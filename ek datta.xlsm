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user\Desktop\goth sudhar\"/>
    </mc:Choice>
  </mc:AlternateContent>
  <xr:revisionPtr revIDLastSave="0" documentId="8_{776D5A1C-2409-4E8A-BFBE-012DA6B1577A}" xr6:coauthVersionLast="47" xr6:coauthVersionMax="47" xr10:uidLastSave="{00000000-0000-0000-0000-000000000000}"/>
  <bookViews>
    <workbookView xWindow="-120" yWindow="-120" windowWidth="20730" windowHeight="11040" firstSheet="3" activeTab="3" xr2:uid="{00000000-000D-0000-FFFF-FFFF00000000}"/>
  </bookViews>
  <sheets>
    <sheet name="Basic" sheetId="18" state="hidden" r:id="rId1"/>
    <sheet name="Dist Rate" sheetId="16" state="hidden" r:id="rId2"/>
    <sheet name="Sheet2" sheetId="20" state="hidden" r:id="rId3"/>
    <sheet name="ek datta khanal" sheetId="32" r:id="rId4"/>
    <sheet name="shiva ram khanal" sheetId="27" r:id="rId5"/>
    <sheet name="ram prasad khanal" sheetId="33" r:id="rId6"/>
    <sheet name="rama khanal" sheetId="34" r:id="rId7"/>
    <sheet name="ram krishna khatiwoda" sheetId="36" r:id="rId8"/>
    <sheet name="govinda prashad khadal" sheetId="35" r:id="rId9"/>
    <sheet name="mb" sheetId="31" r:id="rId10"/>
    <sheet name="valuation" sheetId="29" r:id="rId11"/>
    <sheet name="nyayik samiti" sheetId="28" r:id="rId12"/>
    <sheet name="Table of Content 1" sheetId="17" state="hidden" r:id="rId13"/>
    <sheet name="Sheet1" sheetId="19" state="hidden" r:id="rId14"/>
    <sheet name="rate anal ciaa" sheetId="22" state="hidden" r:id="rId15"/>
    <sheet name="inland revenue" sheetId="23" state="hidden" r:id="rId16"/>
  </sheets>
  <externalReferences>
    <externalReference r:id="rId17"/>
    <externalReference r:id="rId18"/>
    <externalReference r:id="rId19"/>
  </externalReferences>
  <definedNames>
    <definedName name="_cgi24">#REF!</definedName>
    <definedName name="_cgi26">#REF!</definedName>
    <definedName name="_xlnm._FilterDatabase" localSheetId="0" hidden="1">Basic!#REF!</definedName>
    <definedName name="adopted_rate_diesel">[1]District_Rate!$L$33</definedName>
    <definedName name="awood">#REF!</definedName>
    <definedName name="bmarble">#REF!</definedName>
    <definedName name="brick">#REF!</definedName>
    <definedName name="cheskini100">#REF!</definedName>
    <definedName name="cheskini150">#REF!</definedName>
    <definedName name="cheskini300">#REF!</definedName>
    <definedName name="colorpata">#REF!</definedName>
    <definedName name="description_261">[2]Abstract!$B$33</definedName>
    <definedName name="description_262">[2]Abstract!$B$34</definedName>
    <definedName name="description_4">[2]Abstract!$B$170</definedName>
    <definedName name="description_781">[2]Abstract!$B$299</definedName>
    <definedName name="Diagowar">#REF!</definedName>
    <definedName name="diesel">[1]District_Rate!$D$33</definedName>
    <definedName name="electricity">[1]District_Rate!$D$36</definedName>
    <definedName name="giwar">#REF!</definedName>
    <definedName name="giwire">#REF!</definedName>
    <definedName name="giwire24">#REF!</definedName>
    <definedName name="glass3">#REF!</definedName>
    <definedName name="glass4">#REF!</definedName>
    <definedName name="glass5">#REF!</definedName>
    <definedName name="glass6">#REF!</definedName>
    <definedName name="handle">#REF!</definedName>
    <definedName name="holpass">#REF!</definedName>
    <definedName name="igwire">#REF!</definedName>
    <definedName name="Jparling">#REF!</definedName>
    <definedName name="jphalak">#REF!</definedName>
    <definedName name="Jwarling">#REF!</definedName>
    <definedName name="Jwood">#REF!</definedName>
    <definedName name="jyami">#REF!,#REF!,#REF!,#REF!,#REF!</definedName>
    <definedName name="Kabja100">#REF!</definedName>
    <definedName name="kabja75">#REF!</definedName>
    <definedName name="kila">#REF!</definedName>
    <definedName name="Labour">#REF!,#REF!,#REF!,#REF!,#REF!,#REF!,#REF!,#REF!,#REF!,#REF!</definedName>
    <definedName name="lucking300">#REF!</definedName>
    <definedName name="Marble">#REF!</definedName>
    <definedName name="mason">#REF!</definedName>
    <definedName name="mluck">#REF!</definedName>
    <definedName name="moluck">#REF!</definedName>
    <definedName name="ms">#REF!</definedName>
    <definedName name="nutbolt">#REF!</definedName>
    <definedName name="nutbolt8">#REF!</definedName>
    <definedName name="pkila">#REF!</definedName>
    <definedName name="plainst26">#REF!</definedName>
    <definedName name="plainst28">#REF!</definedName>
    <definedName name="Planst">#REF!</definedName>
    <definedName name="plywood4">#REF!</definedName>
    <definedName name="plywood6">#REF!</definedName>
    <definedName name="_xlnm.Print_Area" localSheetId="0">Basic!$A$1:$E$1028</definedName>
    <definedName name="_xlnm.Print_Area" localSheetId="3">'ek datta khanal'!$A$1:$K$34</definedName>
    <definedName name="_xlnm.Print_Area" localSheetId="8">'govinda prashad khadal'!$A$1:$K$48</definedName>
    <definedName name="_xlnm.Print_Area" localSheetId="9">mb!$A$1:$I$69</definedName>
    <definedName name="_xlnm.Print_Area" localSheetId="11">'nyayik samiti'!$A$1:$K$24</definedName>
    <definedName name="_xlnm.Print_Area" localSheetId="7">'ram krishna khatiwoda'!$A$1:$K$41</definedName>
    <definedName name="_xlnm.Print_Area" localSheetId="5">'ram prasad khanal'!$A$1:$K$28</definedName>
    <definedName name="_xlnm.Print_Area" localSheetId="6">'rama khanal'!$A$1:$K$36</definedName>
    <definedName name="_xlnm.Print_Area" localSheetId="13">Sheet1!$B$1:$I$759</definedName>
    <definedName name="_xlnm.Print_Area" localSheetId="4">'shiva ram khanal'!$A$1:$K$35</definedName>
    <definedName name="_xlnm.Print_Area" localSheetId="12">'Table of Content 1'!$B$1:$E$20</definedName>
    <definedName name="_xlnm.Print_Area" localSheetId="10">valuation!$A$1:$K$77</definedName>
    <definedName name="_xlnm.Print_Titles" localSheetId="0">Basic!$698:$698</definedName>
    <definedName name="_xlnm.Print_Titles" localSheetId="1">'Dist Rate'!$2:$7</definedName>
    <definedName name="_xlnm.Print_Titles" localSheetId="3">'ek datta khanal'!$1:$9</definedName>
    <definedName name="_xlnm.Print_Titles" localSheetId="8">'govinda prashad khadal'!$1:$9</definedName>
    <definedName name="_xlnm.Print_Titles" localSheetId="9">mb!$1:$9</definedName>
    <definedName name="_xlnm.Print_Titles" localSheetId="11">'nyayik samiti'!$1:$9</definedName>
    <definedName name="_xlnm.Print_Titles" localSheetId="7">'ram krishna khatiwoda'!$1:$9</definedName>
    <definedName name="_xlnm.Print_Titles" localSheetId="5">'ram prasad khanal'!$1:$9</definedName>
    <definedName name="_xlnm.Print_Titles" localSheetId="6">'rama khanal'!$1:$9</definedName>
    <definedName name="_xlnm.Print_Titles" localSheetId="4">'shiva ram khanal'!$1:$9</definedName>
    <definedName name="_xlnm.Print_Titles" localSheetId="10">valuation!$1:$9</definedName>
    <definedName name="shandle">#REF!</definedName>
    <definedName name="skilled">[1]District_Rate!$D$146</definedName>
    <definedName name="Swood">#REF!</definedName>
    <definedName name="Tikply4">#REF!</definedName>
    <definedName name="tikwood4">#REF!</definedName>
    <definedName name="torsteel">#REF!</definedName>
    <definedName name="Ttile">#REF!</definedName>
    <definedName name="unskilled">[1]District_Rate!$D$154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34" l="1"/>
  <c r="D11" i="33"/>
  <c r="D33" i="36"/>
  <c r="D34" i="36"/>
  <c r="C34" i="36"/>
  <c r="C33" i="36"/>
  <c r="D32" i="36"/>
  <c r="G32" i="36" s="1"/>
  <c r="F26" i="36"/>
  <c r="D26" i="36"/>
  <c r="J49" i="36"/>
  <c r="J48" i="36"/>
  <c r="J38" i="36"/>
  <c r="I35" i="36"/>
  <c r="D31" i="36"/>
  <c r="G31" i="36" s="1"/>
  <c r="I27" i="36"/>
  <c r="I21" i="36"/>
  <c r="G20" i="36"/>
  <c r="B19" i="36"/>
  <c r="N17" i="36"/>
  <c r="O17" i="36" s="1"/>
  <c r="I15" i="36"/>
  <c r="E14" i="36"/>
  <c r="D14" i="36"/>
  <c r="I12" i="36"/>
  <c r="G11" i="36"/>
  <c r="G12" i="36" s="1"/>
  <c r="D39" i="35"/>
  <c r="G39" i="35" s="1"/>
  <c r="D41" i="35"/>
  <c r="G41" i="35" s="1"/>
  <c r="D40" i="35"/>
  <c r="G40" i="35" s="1"/>
  <c r="G34" i="36" l="1"/>
  <c r="G33" i="36"/>
  <c r="G35" i="36" s="1"/>
  <c r="J35" i="36" s="1"/>
  <c r="J36" i="36" s="1"/>
  <c r="G26" i="36"/>
  <c r="G27" i="36" s="1"/>
  <c r="J28" i="36" s="1"/>
  <c r="G21" i="36"/>
  <c r="J23" i="36" s="1"/>
  <c r="G14" i="36"/>
  <c r="G15" i="36" s="1"/>
  <c r="J16" i="36" s="1"/>
  <c r="J12" i="36"/>
  <c r="G42" i="35"/>
  <c r="J27" i="36" l="1"/>
  <c r="J21" i="36"/>
  <c r="J24" i="36"/>
  <c r="J22" i="36"/>
  <c r="J15" i="36"/>
  <c r="J40" i="36" l="1"/>
  <c r="J44" i="36" s="1"/>
  <c r="J47" i="36" s="1"/>
  <c r="K47" i="36" s="1"/>
  <c r="K46" i="36" l="1"/>
  <c r="F34" i="35" l="1"/>
  <c r="D34" i="35"/>
  <c r="G34" i="35" s="1"/>
  <c r="G35" i="35" s="1"/>
  <c r="J36" i="35" s="1"/>
  <c r="I35" i="35"/>
  <c r="G27" i="35"/>
  <c r="E19" i="35"/>
  <c r="E26" i="35" s="1"/>
  <c r="I20" i="35"/>
  <c r="J56" i="35"/>
  <c r="J55" i="35"/>
  <c r="J45" i="35"/>
  <c r="I42" i="35"/>
  <c r="I28" i="35"/>
  <c r="D26" i="35"/>
  <c r="B26" i="35"/>
  <c r="N17" i="35"/>
  <c r="O17" i="35" s="1"/>
  <c r="I15" i="35"/>
  <c r="E14" i="35"/>
  <c r="D14" i="35"/>
  <c r="D19" i="35" s="1"/>
  <c r="C14" i="35"/>
  <c r="I12" i="35"/>
  <c r="G11" i="35"/>
  <c r="G12" i="35" s="1"/>
  <c r="I30" i="34"/>
  <c r="D30" i="34"/>
  <c r="G30" i="34" s="1"/>
  <c r="J28" i="34"/>
  <c r="J27" i="34"/>
  <c r="I21" i="34"/>
  <c r="E19" i="34"/>
  <c r="D19" i="34"/>
  <c r="B19" i="34"/>
  <c r="N17" i="34"/>
  <c r="O17" i="34" s="1"/>
  <c r="J44" i="34"/>
  <c r="J43" i="34"/>
  <c r="J33" i="34"/>
  <c r="I15" i="34"/>
  <c r="E14" i="34"/>
  <c r="D14" i="34"/>
  <c r="C14" i="34"/>
  <c r="I12" i="34"/>
  <c r="G11" i="34"/>
  <c r="G12" i="34" s="1"/>
  <c r="E19" i="33"/>
  <c r="I20" i="33"/>
  <c r="D14" i="33"/>
  <c r="J36" i="33"/>
  <c r="J35" i="33"/>
  <c r="J25" i="33"/>
  <c r="N18" i="33"/>
  <c r="I15" i="33"/>
  <c r="C14" i="33"/>
  <c r="I12" i="33"/>
  <c r="E11" i="27"/>
  <c r="D11" i="27"/>
  <c r="F27" i="27"/>
  <c r="D27" i="27"/>
  <c r="F26" i="27"/>
  <c r="D26" i="27"/>
  <c r="G26" i="32"/>
  <c r="G25" i="32"/>
  <c r="I27" i="32"/>
  <c r="J35" i="35" l="1"/>
  <c r="G19" i="35"/>
  <c r="G20" i="35" s="1"/>
  <c r="J22" i="35" s="1"/>
  <c r="J12" i="35"/>
  <c r="J42" i="35"/>
  <c r="J43" i="35" s="1"/>
  <c r="G14" i="35"/>
  <c r="G15" i="35" s="1"/>
  <c r="J16" i="35" s="1"/>
  <c r="G26" i="35"/>
  <c r="G28" i="35" s="1"/>
  <c r="J31" i="35" s="1"/>
  <c r="J30" i="34"/>
  <c r="J31" i="34" s="1"/>
  <c r="G19" i="34"/>
  <c r="G21" i="34" s="1"/>
  <c r="J24" i="34" s="1"/>
  <c r="J22" i="34"/>
  <c r="G14" i="34"/>
  <c r="G15" i="34" s="1"/>
  <c r="J16" i="34" s="1"/>
  <c r="J12" i="34"/>
  <c r="G14" i="33"/>
  <c r="G15" i="33" s="1"/>
  <c r="J16" i="33" s="1"/>
  <c r="D19" i="33"/>
  <c r="G19" i="33" s="1"/>
  <c r="G20" i="33" s="1"/>
  <c r="J22" i="33" s="1"/>
  <c r="G11" i="33"/>
  <c r="G12" i="33" s="1"/>
  <c r="J12" i="33" s="1"/>
  <c r="G27" i="27"/>
  <c r="G27" i="32"/>
  <c r="J27" i="32" s="1"/>
  <c r="J28" i="32"/>
  <c r="J21" i="34" l="1"/>
  <c r="J23" i="33"/>
  <c r="J21" i="33"/>
  <c r="J23" i="35"/>
  <c r="J21" i="35"/>
  <c r="J20" i="35"/>
  <c r="J30" i="35"/>
  <c r="J29" i="35"/>
  <c r="J15" i="35"/>
  <c r="J28" i="35"/>
  <c r="J23" i="34"/>
  <c r="J15" i="34"/>
  <c r="J15" i="33"/>
  <c r="J20" i="33"/>
  <c r="J30" i="32"/>
  <c r="J29" i="32"/>
  <c r="J27" i="33" l="1"/>
  <c r="J31" i="33" s="1"/>
  <c r="J47" i="35"/>
  <c r="J51" i="35" s="1"/>
  <c r="K53" i="35" s="1"/>
  <c r="J35" i="34"/>
  <c r="J39" i="34" s="1"/>
  <c r="J42" i="34" s="1"/>
  <c r="K42" i="34" s="1"/>
  <c r="J34" i="33"/>
  <c r="K34" i="33" s="1"/>
  <c r="K33" i="33"/>
  <c r="J54" i="35" l="1"/>
  <c r="K54" i="35" s="1"/>
  <c r="K41" i="34"/>
  <c r="J32" i="32"/>
  <c r="J43" i="32"/>
  <c r="J42" i="32"/>
  <c r="I20" i="32"/>
  <c r="E19" i="32"/>
  <c r="D19" i="32"/>
  <c r="B19" i="32"/>
  <c r="N18" i="32"/>
  <c r="I15" i="32"/>
  <c r="E14" i="32"/>
  <c r="D14" i="32"/>
  <c r="C14" i="32"/>
  <c r="I11" i="32"/>
  <c r="G10" i="32"/>
  <c r="G11" i="32" s="1"/>
  <c r="E19" i="27"/>
  <c r="D19" i="27"/>
  <c r="E14" i="27"/>
  <c r="F59" i="31"/>
  <c r="D59" i="31"/>
  <c r="F58" i="31"/>
  <c r="D58" i="31"/>
  <c r="F57" i="31"/>
  <c r="D57" i="31"/>
  <c r="F56" i="31"/>
  <c r="D56" i="31"/>
  <c r="D52" i="31"/>
  <c r="G52" i="31" s="1"/>
  <c r="G46" i="31"/>
  <c r="G45" i="31"/>
  <c r="G44" i="31"/>
  <c r="G43" i="31"/>
  <c r="G42" i="31"/>
  <c r="G40" i="31"/>
  <c r="D39" i="31"/>
  <c r="E35" i="31"/>
  <c r="D35" i="31"/>
  <c r="C35" i="31"/>
  <c r="E34" i="31"/>
  <c r="D34" i="31"/>
  <c r="D41" i="31" s="1"/>
  <c r="G41" i="31" s="1"/>
  <c r="C34" i="31"/>
  <c r="B34" i="31"/>
  <c r="G30" i="31"/>
  <c r="G29" i="31"/>
  <c r="B29" i="31"/>
  <c r="B27" i="31"/>
  <c r="L26" i="31"/>
  <c r="G23" i="31"/>
  <c r="F20" i="31"/>
  <c r="F21" i="31" s="1"/>
  <c r="G19" i="31"/>
  <c r="B19" i="31"/>
  <c r="E18" i="31"/>
  <c r="D18" i="31"/>
  <c r="D28" i="31" s="1"/>
  <c r="G28" i="31" s="1"/>
  <c r="C18" i="31"/>
  <c r="K17" i="31"/>
  <c r="E17" i="31"/>
  <c r="D17" i="31"/>
  <c r="D27" i="31" s="1"/>
  <c r="G27" i="31" s="1"/>
  <c r="C17" i="31"/>
  <c r="B17" i="31"/>
  <c r="G13" i="31"/>
  <c r="G12" i="31"/>
  <c r="G11" i="31"/>
  <c r="D59" i="29"/>
  <c r="G52" i="29"/>
  <c r="G53" i="29"/>
  <c r="G47" i="29"/>
  <c r="G49" i="29"/>
  <c r="G50" i="29"/>
  <c r="G33" i="29"/>
  <c r="F20" i="29"/>
  <c r="G20" i="29" s="1"/>
  <c r="G23" i="29"/>
  <c r="G12" i="29"/>
  <c r="D18" i="29"/>
  <c r="G14" i="32" l="1"/>
  <c r="G15" i="32" s="1"/>
  <c r="J16" i="32" s="1"/>
  <c r="G19" i="32"/>
  <c r="G20" i="32" s="1"/>
  <c r="J22" i="32" s="1"/>
  <c r="J23" i="32"/>
  <c r="G59" i="31"/>
  <c r="G17" i="31"/>
  <c r="G14" i="31"/>
  <c r="G57" i="31"/>
  <c r="G58" i="31"/>
  <c r="G34" i="31"/>
  <c r="G56" i="31"/>
  <c r="G31" i="31"/>
  <c r="C39" i="31"/>
  <c r="G39" i="31" s="1"/>
  <c r="G47" i="31" s="1"/>
  <c r="G35" i="31"/>
  <c r="G18" i="31"/>
  <c r="G53" i="31"/>
  <c r="G54" i="31" s="1"/>
  <c r="F22" i="31"/>
  <c r="G22" i="31" s="1"/>
  <c r="G21" i="31"/>
  <c r="G20" i="31"/>
  <c r="F21" i="29"/>
  <c r="G21" i="29" s="1"/>
  <c r="J86" i="29"/>
  <c r="J85" i="29"/>
  <c r="J83" i="29"/>
  <c r="J75" i="29"/>
  <c r="I68" i="29"/>
  <c r="F67" i="29"/>
  <c r="D67" i="29"/>
  <c r="F66" i="29"/>
  <c r="D66" i="29"/>
  <c r="F65" i="29"/>
  <c r="D65" i="29"/>
  <c r="F64" i="29"/>
  <c r="D64" i="29"/>
  <c r="I61" i="29"/>
  <c r="I56" i="29"/>
  <c r="G51" i="29"/>
  <c r="D46" i="29"/>
  <c r="I42" i="29"/>
  <c r="E41" i="29"/>
  <c r="D41" i="29"/>
  <c r="C41" i="29"/>
  <c r="E40" i="29"/>
  <c r="D40" i="29"/>
  <c r="C40" i="29"/>
  <c r="B40" i="29"/>
  <c r="I34" i="29"/>
  <c r="G32" i="29"/>
  <c r="B32" i="29"/>
  <c r="D31" i="29"/>
  <c r="G31" i="29" s="1"/>
  <c r="B30" i="29"/>
  <c r="N29" i="29"/>
  <c r="I24" i="29"/>
  <c r="B19" i="29"/>
  <c r="E18" i="29"/>
  <c r="C18" i="29"/>
  <c r="M17" i="29"/>
  <c r="E17" i="29"/>
  <c r="D17" i="29"/>
  <c r="D30" i="29" s="1"/>
  <c r="G30" i="29" s="1"/>
  <c r="C17" i="29"/>
  <c r="B17" i="29"/>
  <c r="I14" i="29"/>
  <c r="G13" i="29"/>
  <c r="G11" i="29"/>
  <c r="I15" i="27"/>
  <c r="J20" i="32" l="1"/>
  <c r="J21" i="32"/>
  <c r="J15" i="32"/>
  <c r="G36" i="31"/>
  <c r="G60" i="31"/>
  <c r="G48" i="31"/>
  <c r="G49" i="31" s="1"/>
  <c r="G24" i="31"/>
  <c r="G34" i="29"/>
  <c r="G22" i="29"/>
  <c r="G65" i="29"/>
  <c r="G67" i="29"/>
  <c r="G66" i="29"/>
  <c r="G18" i="29"/>
  <c r="G64" i="29"/>
  <c r="D48" i="29"/>
  <c r="G48" i="29" s="1"/>
  <c r="G19" i="29"/>
  <c r="G14" i="29"/>
  <c r="G17" i="29"/>
  <c r="G40" i="29"/>
  <c r="C46" i="29"/>
  <c r="G46" i="29" s="1"/>
  <c r="G54" i="29" s="1"/>
  <c r="G41" i="29"/>
  <c r="I28" i="27"/>
  <c r="I76" i="31" l="1"/>
  <c r="I75" i="31"/>
  <c r="G55" i="29"/>
  <c r="G56" i="29" s="1"/>
  <c r="J56" i="29" s="1"/>
  <c r="G24" i="29"/>
  <c r="G68" i="29"/>
  <c r="J71" i="29" s="1"/>
  <c r="J37" i="29"/>
  <c r="G59" i="29"/>
  <c r="J36" i="29"/>
  <c r="J35" i="29"/>
  <c r="J34" i="29"/>
  <c r="J14" i="29"/>
  <c r="G42" i="29"/>
  <c r="I21" i="28"/>
  <c r="F20" i="28"/>
  <c r="D20" i="28"/>
  <c r="D19" i="28"/>
  <c r="I15" i="28"/>
  <c r="G60" i="29" l="1"/>
  <c r="G61" i="29" s="1"/>
  <c r="J69" i="29"/>
  <c r="J70" i="29"/>
  <c r="J68" i="29"/>
  <c r="J26" i="29"/>
  <c r="J25" i="29"/>
  <c r="J24" i="29"/>
  <c r="J27" i="29"/>
  <c r="J42" i="29"/>
  <c r="J43" i="29"/>
  <c r="G20" i="28"/>
  <c r="J62" i="29" l="1"/>
  <c r="J61" i="29"/>
  <c r="J57" i="29"/>
  <c r="G13" i="28"/>
  <c r="F14" i="28"/>
  <c r="G12" i="28"/>
  <c r="G11" i="28"/>
  <c r="J33" i="28"/>
  <c r="J32" i="28"/>
  <c r="J30" i="28"/>
  <c r="B19" i="27"/>
  <c r="C14" i="27"/>
  <c r="J42" i="27"/>
  <c r="J41" i="27"/>
  <c r="J31" i="27"/>
  <c r="I21" i="27"/>
  <c r="N18" i="27"/>
  <c r="I12" i="27"/>
  <c r="J77" i="29" l="1"/>
  <c r="J81" i="29" s="1"/>
  <c r="J84" i="29" s="1"/>
  <c r="K84" i="29" s="1"/>
  <c r="G19" i="27"/>
  <c r="G14" i="28"/>
  <c r="G15" i="28" s="1"/>
  <c r="J15" i="28" s="1"/>
  <c r="F19" i="28"/>
  <c r="G19" i="28" s="1"/>
  <c r="G21" i="28" s="1"/>
  <c r="J21" i="28" s="1"/>
  <c r="J22" i="28" s="1"/>
  <c r="D14" i="27"/>
  <c r="G11" i="27"/>
  <c r="K83" i="29" l="1"/>
  <c r="G14" i="27"/>
  <c r="G21" i="27"/>
  <c r="J16" i="28"/>
  <c r="G12" i="27"/>
  <c r="J12" i="27" l="1"/>
  <c r="G26" i="27"/>
  <c r="G28" i="27" s="1"/>
  <c r="J29" i="27" l="1"/>
  <c r="J28" i="27"/>
  <c r="J24" i="28"/>
  <c r="J28" i="28" s="1"/>
  <c r="G15" i="27"/>
  <c r="J16" i="27" l="1"/>
  <c r="J31" i="28"/>
  <c r="K31" i="28" s="1"/>
  <c r="K30" i="28"/>
  <c r="J15" i="27"/>
  <c r="J21" i="27"/>
  <c r="J22" i="27"/>
  <c r="J24" i="27"/>
  <c r="J23" i="27"/>
  <c r="J33" i="27" l="1"/>
  <c r="J37" i="27" s="1"/>
  <c r="J40" i="27" l="1"/>
  <c r="K40" i="27" s="1"/>
  <c r="K39" i="27"/>
  <c r="G450" i="23" l="1"/>
  <c r="H451" i="23" s="1"/>
  <c r="G448" i="23"/>
  <c r="G447" i="23"/>
  <c r="A444" i="23"/>
  <c r="G438" i="23"/>
  <c r="G437" i="23"/>
  <c r="G436" i="23"/>
  <c r="G435" i="23"/>
  <c r="G426" i="23"/>
  <c r="G425" i="23"/>
  <c r="G424" i="23"/>
  <c r="G423" i="23"/>
  <c r="A419" i="23"/>
  <c r="A432" i="23" s="1"/>
  <c r="G413" i="23"/>
  <c r="G412" i="23"/>
  <c r="G411" i="23"/>
  <c r="G410" i="23"/>
  <c r="A407" i="23"/>
  <c r="G400" i="23"/>
  <c r="H400" i="23" s="1"/>
  <c r="G399" i="23"/>
  <c r="G398" i="23"/>
  <c r="A395" i="23"/>
  <c r="G389" i="23"/>
  <c r="G388" i="23"/>
  <c r="G387" i="23"/>
  <c r="G386" i="23"/>
  <c r="A383" i="23"/>
  <c r="G377" i="23"/>
  <c r="G376" i="23"/>
  <c r="G375" i="23"/>
  <c r="G374" i="23"/>
  <c r="G364" i="23"/>
  <c r="G363" i="23"/>
  <c r="G362" i="23"/>
  <c r="G361" i="23"/>
  <c r="A358" i="23"/>
  <c r="G351" i="23"/>
  <c r="D356" i="23"/>
  <c r="E356" i="23" s="1"/>
  <c r="G350" i="23" s="1"/>
  <c r="G349" i="23"/>
  <c r="G348" i="23"/>
  <c r="G347" i="23"/>
  <c r="G346" i="23"/>
  <c r="A343" i="23"/>
  <c r="G336" i="23"/>
  <c r="G335" i="23"/>
  <c r="G334" i="23"/>
  <c r="G333" i="23"/>
  <c r="G332" i="23"/>
  <c r="G331" i="23"/>
  <c r="G330" i="23"/>
  <c r="G329" i="23"/>
  <c r="G328" i="23"/>
  <c r="A324" i="23"/>
  <c r="G317" i="23"/>
  <c r="G316" i="23"/>
  <c r="G315" i="23"/>
  <c r="G314" i="23"/>
  <c r="G313" i="23"/>
  <c r="G312" i="23"/>
  <c r="A309" i="23"/>
  <c r="G302" i="23"/>
  <c r="G301" i="23"/>
  <c r="G300" i="23"/>
  <c r="G299" i="23"/>
  <c r="G298" i="23"/>
  <c r="G297" i="23"/>
  <c r="G296" i="23"/>
  <c r="G295" i="23"/>
  <c r="A291" i="23"/>
  <c r="D284" i="23"/>
  <c r="G284" i="23" s="1"/>
  <c r="G283" i="23"/>
  <c r="G282" i="23"/>
  <c r="G281" i="23"/>
  <c r="G272" i="23"/>
  <c r="G271" i="23"/>
  <c r="G270" i="23"/>
  <c r="G269" i="23"/>
  <c r="G268" i="23"/>
  <c r="A264" i="23"/>
  <c r="A278" i="23" s="1"/>
  <c r="G257" i="23"/>
  <c r="G256" i="23"/>
  <c r="G255" i="23"/>
  <c r="G253" i="23"/>
  <c r="G252" i="23"/>
  <c r="G251" i="23"/>
  <c r="G250" i="23"/>
  <c r="G240" i="23"/>
  <c r="G239" i="23"/>
  <c r="G238" i="23"/>
  <c r="G237" i="23"/>
  <c r="G236" i="23"/>
  <c r="G235" i="23"/>
  <c r="G234" i="23"/>
  <c r="A230" i="23"/>
  <c r="A247" i="23" s="1"/>
  <c r="G224" i="23"/>
  <c r="G223" i="23"/>
  <c r="G222" i="23"/>
  <c r="G221" i="23"/>
  <c r="G220" i="23"/>
  <c r="A217" i="23"/>
  <c r="G210" i="23"/>
  <c r="H211" i="23" s="1"/>
  <c r="G209" i="23"/>
  <c r="G208" i="23"/>
  <c r="G197" i="23"/>
  <c r="G196" i="23"/>
  <c r="G195" i="23"/>
  <c r="G194" i="23"/>
  <c r="G193" i="23"/>
  <c r="H198" i="23" s="1"/>
  <c r="G192" i="23"/>
  <c r="G191" i="23"/>
  <c r="A186" i="23"/>
  <c r="G180" i="23"/>
  <c r="G179" i="23"/>
  <c r="G178" i="23"/>
  <c r="G177" i="23"/>
  <c r="G176" i="23"/>
  <c r="H181" i="23" s="1"/>
  <c r="G175" i="23"/>
  <c r="G174" i="23"/>
  <c r="A169" i="23"/>
  <c r="H413" i="23" l="1"/>
  <c r="H364" i="23"/>
  <c r="H377" i="23"/>
  <c r="H438" i="23"/>
  <c r="H303" i="23"/>
  <c r="H176" i="23"/>
  <c r="H313" i="23"/>
  <c r="H389" i="23"/>
  <c r="H272" i="23"/>
  <c r="H337" i="23"/>
  <c r="H346" i="23"/>
  <c r="H448" i="23"/>
  <c r="H452" i="23" s="1"/>
  <c r="H436" i="23"/>
  <c r="H426" i="23"/>
  <c r="H424" i="23"/>
  <c r="H411" i="23"/>
  <c r="H414" i="23" s="1"/>
  <c r="H399" i="23"/>
  <c r="H401" i="23" s="1"/>
  <c r="H402" i="23" s="1"/>
  <c r="H403" i="23" s="1"/>
  <c r="B403" i="23" s="1"/>
  <c r="D403" i="23" s="1"/>
  <c r="H387" i="23"/>
  <c r="H375" i="23"/>
  <c r="H362" i="23"/>
  <c r="H351" i="23"/>
  <c r="H330" i="23"/>
  <c r="H317" i="23"/>
  <c r="H296" i="23"/>
  <c r="H282" i="23"/>
  <c r="H285" i="23"/>
  <c r="H269" i="23"/>
  <c r="H251" i="23"/>
  <c r="H258" i="23"/>
  <c r="H235" i="23"/>
  <c r="H241" i="23"/>
  <c r="H224" i="23"/>
  <c r="H221" i="23"/>
  <c r="H209" i="23"/>
  <c r="H212" i="23" s="1"/>
  <c r="H193" i="23"/>
  <c r="H197" i="23"/>
  <c r="H180" i="23"/>
  <c r="H304" i="23" l="1"/>
  <c r="H305" i="23" s="1"/>
  <c r="H306" i="23" s="1"/>
  <c r="B306" i="23" s="1"/>
  <c r="D306" i="23" s="1"/>
  <c r="H439" i="23"/>
  <c r="H378" i="23"/>
  <c r="H379" i="23" s="1"/>
  <c r="H380" i="23" s="1"/>
  <c r="B380" i="23" s="1"/>
  <c r="D380" i="23" s="1"/>
  <c r="H182" i="23"/>
  <c r="H183" i="23" s="1"/>
  <c r="H184" i="23" s="1"/>
  <c r="B184" i="23" s="1"/>
  <c r="H365" i="23"/>
  <c r="H366" i="23" s="1"/>
  <c r="H367" i="23" s="1"/>
  <c r="B367" i="23" s="1"/>
  <c r="D367" i="23" s="1"/>
  <c r="H273" i="23"/>
  <c r="H274" i="23" s="1"/>
  <c r="H275" i="23" s="1"/>
  <c r="B275" i="23" s="1"/>
  <c r="D275" i="23" s="1"/>
  <c r="H338" i="23"/>
  <c r="H339" i="23" s="1"/>
  <c r="H340" i="23" s="1"/>
  <c r="B340" i="23" s="1"/>
  <c r="D340" i="23" s="1"/>
  <c r="H199" i="23"/>
  <c r="H200" i="23" s="1"/>
  <c r="H201" i="23" s="1"/>
  <c r="B201" i="23" s="1"/>
  <c r="H259" i="23"/>
  <c r="H260" i="23" s="1"/>
  <c r="H261" i="23" s="1"/>
  <c r="B261" i="23" s="1"/>
  <c r="D261" i="23" s="1"/>
  <c r="H440" i="23"/>
  <c r="H441" i="23" s="1"/>
  <c r="B441" i="23" s="1"/>
  <c r="D441" i="23" s="1"/>
  <c r="H318" i="23"/>
  <c r="H319" i="23" s="1"/>
  <c r="H320" i="23" s="1"/>
  <c r="B320" i="23" s="1"/>
  <c r="D320" i="23" s="1"/>
  <c r="H352" i="23"/>
  <c r="H353" i="23" s="1"/>
  <c r="H354" i="23" s="1"/>
  <c r="B354" i="23" s="1"/>
  <c r="D354" i="23" s="1"/>
  <c r="H390" i="23"/>
  <c r="H391" i="23" s="1"/>
  <c r="H392" i="23" s="1"/>
  <c r="B392" i="23" s="1"/>
  <c r="D392" i="23" s="1"/>
  <c r="H453" i="23"/>
  <c r="H454" i="23" s="1"/>
  <c r="B454" i="23" s="1"/>
  <c r="D454" i="23" s="1"/>
  <c r="H427" i="23"/>
  <c r="H415" i="23"/>
  <c r="H416" i="23" s="1"/>
  <c r="B416" i="23" s="1"/>
  <c r="D416" i="23" s="1"/>
  <c r="H286" i="23"/>
  <c r="H242" i="23"/>
  <c r="H243" i="23" s="1"/>
  <c r="H244" i="23" s="1"/>
  <c r="B244" i="23" s="1"/>
  <c r="D244" i="23" s="1"/>
  <c r="H225" i="23"/>
  <c r="H213" i="23"/>
  <c r="H214" i="23" s="1"/>
  <c r="B214" i="23" s="1"/>
  <c r="H226" i="23" l="1"/>
  <c r="H227" i="23" s="1"/>
  <c r="B227" i="23" s="1"/>
  <c r="H428" i="23"/>
  <c r="H429" i="23" s="1"/>
  <c r="B429" i="23" s="1"/>
  <c r="D429" i="23" s="1"/>
  <c r="H287" i="23"/>
  <c r="H288" i="23" s="1"/>
  <c r="B288" i="23" s="1"/>
  <c r="D288" i="23" s="1"/>
  <c r="G157" i="23"/>
  <c r="G156" i="23"/>
  <c r="G155" i="23"/>
  <c r="G154" i="23"/>
  <c r="G153" i="23"/>
  <c r="G152" i="23"/>
  <c r="G142" i="23"/>
  <c r="G141" i="23"/>
  <c r="G140" i="23"/>
  <c r="G139" i="23"/>
  <c r="A135" i="23"/>
  <c r="A148" i="23" s="1"/>
  <c r="G128" i="23"/>
  <c r="G127" i="23"/>
  <c r="G126" i="23"/>
  <c r="G125" i="23"/>
  <c r="A121" i="23"/>
  <c r="G114" i="23"/>
  <c r="G113" i="23"/>
  <c r="G112" i="23"/>
  <c r="G111" i="23"/>
  <c r="A107" i="23"/>
  <c r="G101" i="23"/>
  <c r="H101" i="23" s="1"/>
  <c r="G100" i="23"/>
  <c r="H100" i="23" s="1"/>
  <c r="G99" i="23"/>
  <c r="G98" i="23"/>
  <c r="A94" i="23"/>
  <c r="G89" i="23"/>
  <c r="G88" i="23"/>
  <c r="G87" i="23"/>
  <c r="G86" i="23"/>
  <c r="G85" i="23"/>
  <c r="G84" i="23"/>
  <c r="G83" i="23"/>
  <c r="G82" i="23"/>
  <c r="G81" i="23"/>
  <c r="G80" i="23"/>
  <c r="G79" i="23"/>
  <c r="A74" i="23"/>
  <c r="G69" i="23"/>
  <c r="G68" i="23"/>
  <c r="G67" i="23"/>
  <c r="G66" i="23"/>
  <c r="G65" i="23"/>
  <c r="G64" i="23"/>
  <c r="G63" i="23"/>
  <c r="A58" i="23"/>
  <c r="G52" i="23"/>
  <c r="G51" i="23"/>
  <c r="G50" i="23"/>
  <c r="G49" i="23"/>
  <c r="A46" i="23"/>
  <c r="G41" i="23"/>
  <c r="H41" i="23" s="1"/>
  <c r="G40" i="23"/>
  <c r="H40" i="23" s="1"/>
  <c r="G30" i="23"/>
  <c r="H30" i="23" s="1"/>
  <c r="G28" i="23"/>
  <c r="H28" i="23" s="1"/>
  <c r="G17" i="23"/>
  <c r="H17" i="23" s="1"/>
  <c r="A13" i="23"/>
  <c r="A24" i="23" s="1"/>
  <c r="A36" i="23" s="1"/>
  <c r="G6" i="23"/>
  <c r="H6" i="23" s="1"/>
  <c r="G35" i="22"/>
  <c r="G34" i="22"/>
  <c r="G32" i="22"/>
  <c r="G31" i="22"/>
  <c r="A28" i="22"/>
  <c r="G20" i="22"/>
  <c r="H21" i="22" s="1"/>
  <c r="D18" i="22"/>
  <c r="G18" i="22" s="1"/>
  <c r="D17" i="22"/>
  <c r="G17" i="22" s="1"/>
  <c r="A14" i="22"/>
  <c r="G7" i="22"/>
  <c r="H7" i="22" s="1"/>
  <c r="G5" i="22"/>
  <c r="G4" i="22"/>
  <c r="A1" i="22"/>
  <c r="H128" i="23" l="1"/>
  <c r="H153" i="23"/>
  <c r="H87" i="23"/>
  <c r="H31" i="23"/>
  <c r="H32" i="23" s="1"/>
  <c r="H52" i="23"/>
  <c r="H89" i="23"/>
  <c r="H142" i="23"/>
  <c r="H157" i="23"/>
  <c r="H140" i="23"/>
  <c r="H126" i="23"/>
  <c r="H114" i="23"/>
  <c r="H112" i="23"/>
  <c r="H99" i="23"/>
  <c r="H102" i="23" s="1"/>
  <c r="H80" i="23"/>
  <c r="H69" i="23"/>
  <c r="H64" i="23"/>
  <c r="H50" i="23"/>
  <c r="H42" i="23"/>
  <c r="H43" i="23" s="1"/>
  <c r="H44" i="23" s="1"/>
  <c r="B44" i="23" s="1"/>
  <c r="H18" i="23"/>
  <c r="H19" i="23" s="1"/>
  <c r="H7" i="23"/>
  <c r="H35" i="22"/>
  <c r="H32" i="22"/>
  <c r="H18" i="22"/>
  <c r="H22" i="22" s="1"/>
  <c r="H23" i="22" s="1"/>
  <c r="H24" i="22" s="1"/>
  <c r="B24" i="22" s="1"/>
  <c r="D24" i="22" s="1"/>
  <c r="H5" i="22"/>
  <c r="H8" i="22" s="1"/>
  <c r="H9" i="22" s="1"/>
  <c r="H129" i="23" l="1"/>
  <c r="H130" i="23" s="1"/>
  <c r="H36" i="22"/>
  <c r="H37" i="22" s="1"/>
  <c r="H38" i="22" s="1"/>
  <c r="B38" i="22" s="1"/>
  <c r="D38" i="22" s="1"/>
  <c r="H158" i="23"/>
  <c r="H159" i="23" s="1"/>
  <c r="H160" i="23" s="1"/>
  <c r="B160" i="23" s="1"/>
  <c r="D160" i="23" s="1"/>
  <c r="H33" i="23"/>
  <c r="B33" i="23" s="1"/>
  <c r="H53" i="23"/>
  <c r="H54" i="23" s="1"/>
  <c r="H55" i="23" s="1"/>
  <c r="B55" i="23" s="1"/>
  <c r="D55" i="23" s="1"/>
  <c r="H103" i="23"/>
  <c r="H104" i="23" s="1"/>
  <c r="B104" i="23" s="1"/>
  <c r="H90" i="23"/>
  <c r="H143" i="23"/>
  <c r="H115" i="23"/>
  <c r="H70" i="23"/>
  <c r="H20" i="23"/>
  <c r="H21" i="23" s="1"/>
  <c r="B22" i="23" s="1"/>
  <c r="H8" i="23"/>
  <c r="H9" i="23" s="1"/>
  <c r="B10" i="23" s="1"/>
  <c r="H10" i="22"/>
  <c r="B10" i="22" s="1"/>
  <c r="D10" i="22" s="1"/>
  <c r="H131" i="23" l="1"/>
  <c r="B131" i="23" s="1"/>
  <c r="D131" i="23" s="1"/>
  <c r="H144" i="23"/>
  <c r="H145" i="23" s="1"/>
  <c r="B145" i="23" s="1"/>
  <c r="D145" i="23" s="1"/>
  <c r="H91" i="23"/>
  <c r="H92" i="23" s="1"/>
  <c r="B92" i="23" s="1"/>
  <c r="H116" i="23"/>
  <c r="H117" i="23" s="1"/>
  <c r="B117" i="23" s="1"/>
  <c r="H71" i="23"/>
  <c r="H72" i="23" s="1"/>
  <c r="B72" i="23" s="1"/>
  <c r="F7" i="20" l="1"/>
  <c r="H755" i="19" l="1"/>
  <c r="I756" i="19" s="1"/>
  <c r="I757" i="19" s="1"/>
  <c r="H745" i="19"/>
  <c r="I746" i="19" s="1"/>
  <c r="I747" i="19" s="1"/>
  <c r="H735" i="19"/>
  <c r="I736" i="19" s="1"/>
  <c r="I737" i="19" s="1"/>
  <c r="H725" i="19"/>
  <c r="I726" i="19" s="1"/>
  <c r="I727" i="19" s="1"/>
  <c r="R72" i="19"/>
  <c r="S72" i="19" s="1"/>
  <c r="T73" i="19" s="1"/>
  <c r="T74" i="19" s="1"/>
  <c r="M66" i="19"/>
  <c r="I758" i="19" l="1"/>
  <c r="I759" i="19" s="1"/>
  <c r="C759" i="19" s="1"/>
  <c r="I748" i="19"/>
  <c r="I749" i="19" s="1"/>
  <c r="C749" i="19" s="1"/>
  <c r="I738" i="19"/>
  <c r="I739" i="19" s="1"/>
  <c r="C739" i="19" s="1"/>
  <c r="I728" i="19"/>
  <c r="I729" i="19" s="1"/>
  <c r="C729" i="19" s="1"/>
  <c r="T76" i="19"/>
  <c r="N76" i="19" s="1"/>
  <c r="T75" i="19"/>
  <c r="M4909" i="20" l="1"/>
  <c r="M4914" i="20"/>
  <c r="M4918" i="20"/>
  <c r="N4917" i="20"/>
  <c r="N4918" i="20" s="1"/>
  <c r="N4913" i="20"/>
  <c r="N4914" i="20" s="1"/>
  <c r="M4338" i="20"/>
  <c r="K4336" i="20"/>
  <c r="Z4336" i="20"/>
  <c r="Y4335" i="20"/>
  <c r="N4339" i="20"/>
  <c r="M4337" i="20"/>
  <c r="N4337" i="20" s="1"/>
  <c r="Y4336" i="20"/>
  <c r="K4334" i="20"/>
  <c r="M4336" i="20"/>
  <c r="K4335" i="20"/>
  <c r="M4335" i="20"/>
  <c r="M4334" i="20"/>
  <c r="N4336" i="20" l="1"/>
  <c r="N4334" i="20"/>
  <c r="N4335" i="20"/>
  <c r="N4331" i="20"/>
  <c r="N4332" i="20"/>
  <c r="F4894" i="20"/>
  <c r="N4894" i="20"/>
  <c r="N4907" i="20"/>
  <c r="N4908" i="20" s="1"/>
  <c r="N4909" i="20" s="1"/>
  <c r="N4902" i="20"/>
  <c r="N4904" i="20" s="1"/>
  <c r="N4905" i="20" s="1"/>
  <c r="N4895" i="20"/>
  <c r="N4893" i="20"/>
  <c r="F4893" i="20"/>
  <c r="M4055" i="20"/>
  <c r="Q4044" i="20"/>
  <c r="M4042" i="20"/>
  <c r="O1990" i="20"/>
  <c r="P1990" i="20" s="1"/>
  <c r="Q1992" i="20" s="1"/>
  <c r="O1988" i="20"/>
  <c r="P1988" i="20" s="1"/>
  <c r="O1972" i="20"/>
  <c r="P1972" i="20" s="1"/>
  <c r="O1977" i="20"/>
  <c r="P1977" i="20" s="1"/>
  <c r="O1976" i="20"/>
  <c r="P1976" i="20" s="1"/>
  <c r="O1975" i="20"/>
  <c r="P1975" i="20" s="1"/>
  <c r="O1973" i="20"/>
  <c r="P1973" i="20" s="1"/>
  <c r="O1970" i="20"/>
  <c r="P1970" i="20" s="1"/>
  <c r="J1967" i="20"/>
  <c r="C4956" i="20"/>
  <c r="F4954" i="20"/>
  <c r="G4954" i="20" s="1"/>
  <c r="F4937" i="20"/>
  <c r="G4937" i="20" s="1"/>
  <c r="F4936" i="20"/>
  <c r="F4953" i="20" s="1"/>
  <c r="G4953" i="20" s="1"/>
  <c r="F4935" i="20"/>
  <c r="F4952" i="20" s="1"/>
  <c r="G4952" i="20" s="1"/>
  <c r="C4924" i="20"/>
  <c r="F4923" i="20"/>
  <c r="G4923" i="20" s="1"/>
  <c r="C4923" i="20"/>
  <c r="F4907" i="20"/>
  <c r="G4907" i="20" s="1"/>
  <c r="F4906" i="20"/>
  <c r="F4922" i="20" s="1"/>
  <c r="G4922" i="20" s="1"/>
  <c r="F4905" i="20"/>
  <c r="F4921" i="20" s="1"/>
  <c r="G4921" i="20" s="1"/>
  <c r="F4895" i="20"/>
  <c r="F4559" i="20"/>
  <c r="G4559" i="20" s="1"/>
  <c r="F4557" i="20"/>
  <c r="G4557" i="20" s="1"/>
  <c r="F4556" i="20"/>
  <c r="G4556" i="20" s="1"/>
  <c r="F4555" i="20"/>
  <c r="G4555" i="20" s="1"/>
  <c r="F4554" i="20"/>
  <c r="G4554" i="20" s="1"/>
  <c r="F4553" i="20"/>
  <c r="G4553" i="20" s="1"/>
  <c r="F4541" i="20"/>
  <c r="G4541" i="20" s="1"/>
  <c r="F4539" i="20"/>
  <c r="G4539" i="20" s="1"/>
  <c r="F4538" i="20"/>
  <c r="G4538" i="20" s="1"/>
  <c r="F4537" i="20"/>
  <c r="G4537" i="20" s="1"/>
  <c r="F4536" i="20"/>
  <c r="G4536" i="20" s="1"/>
  <c r="F4535" i="20"/>
  <c r="G4535" i="20" s="1"/>
  <c r="G4518" i="20"/>
  <c r="G4517" i="20"/>
  <c r="F4516" i="20"/>
  <c r="G4516" i="20" s="1"/>
  <c r="F4515" i="20"/>
  <c r="G4515" i="20" s="1"/>
  <c r="F4514" i="20"/>
  <c r="G4514" i="20" s="1"/>
  <c r="F4513" i="20"/>
  <c r="G4513" i="20" s="1"/>
  <c r="G4503" i="20"/>
  <c r="G4502" i="20"/>
  <c r="F4501" i="20"/>
  <c r="G4501" i="20" s="1"/>
  <c r="F4500" i="20"/>
  <c r="G4500" i="20" s="1"/>
  <c r="F4499" i="20"/>
  <c r="G4499" i="20" s="1"/>
  <c r="G4489" i="20"/>
  <c r="G4488" i="20"/>
  <c r="F4487" i="20"/>
  <c r="G4487" i="20" s="1"/>
  <c r="F4486" i="20"/>
  <c r="G4486" i="20" s="1"/>
  <c r="F4485" i="20"/>
  <c r="G4485" i="20" s="1"/>
  <c r="F4484" i="20"/>
  <c r="G4484" i="20" s="1"/>
  <c r="F4474" i="20"/>
  <c r="G4474" i="20" s="1"/>
  <c r="F4473" i="20"/>
  <c r="G4473" i="20" s="1"/>
  <c r="F4472" i="20"/>
  <c r="G4472" i="20" s="1"/>
  <c r="F4471" i="20"/>
  <c r="G4471" i="20" s="1"/>
  <c r="F4470" i="20"/>
  <c r="G4470" i="20" s="1"/>
  <c r="F4469" i="20"/>
  <c r="G4469" i="20" s="1"/>
  <c r="F4468" i="20"/>
  <c r="G4468" i="20" s="1"/>
  <c r="F4458" i="20"/>
  <c r="G4458" i="20" s="1"/>
  <c r="F4457" i="20"/>
  <c r="G4457" i="20" s="1"/>
  <c r="F4456" i="20"/>
  <c r="G4456" i="20" s="1"/>
  <c r="F4455" i="20"/>
  <c r="G4455" i="20" s="1"/>
  <c r="F4454" i="20"/>
  <c r="G4454" i="20" s="1"/>
  <c r="F4439" i="20"/>
  <c r="G4439" i="20" s="1"/>
  <c r="H4439" i="20" s="1"/>
  <c r="H4440" i="20" s="1"/>
  <c r="F4429" i="20"/>
  <c r="G4429" i="20" s="1"/>
  <c r="H4429" i="20" s="1"/>
  <c r="F4428" i="20"/>
  <c r="G4428" i="20" s="1"/>
  <c r="F4427" i="20"/>
  <c r="G4427" i="20" s="1"/>
  <c r="F4414" i="20"/>
  <c r="G4414" i="20" s="1"/>
  <c r="H4414" i="20" s="1"/>
  <c r="F4413" i="20"/>
  <c r="G4413" i="20" s="1"/>
  <c r="F4412" i="20"/>
  <c r="G4412" i="20" s="1"/>
  <c r="F4399" i="20"/>
  <c r="G4399" i="20" s="1"/>
  <c r="F4398" i="20"/>
  <c r="G4398" i="20" s="1"/>
  <c r="F4397" i="20"/>
  <c r="G4397" i="20" s="1"/>
  <c r="F4396" i="20"/>
  <c r="G4396" i="20" s="1"/>
  <c r="F4375" i="20"/>
  <c r="G4375" i="20" s="1"/>
  <c r="F4373" i="20"/>
  <c r="G4373" i="20" s="1"/>
  <c r="F4372" i="20"/>
  <c r="G4372" i="20" s="1"/>
  <c r="F4371" i="20"/>
  <c r="G4371" i="20" s="1"/>
  <c r="F4370" i="20"/>
  <c r="G4370" i="20" s="1"/>
  <c r="F4357" i="20"/>
  <c r="G4357" i="20" s="1"/>
  <c r="F4356" i="20"/>
  <c r="F4374" i="20" s="1"/>
  <c r="G4374" i="20" s="1"/>
  <c r="F4355" i="20"/>
  <c r="G4355" i="20" s="1"/>
  <c r="F4353" i="20"/>
  <c r="G4353" i="20" s="1"/>
  <c r="F4352" i="20"/>
  <c r="G4352" i="20" s="1"/>
  <c r="F4351" i="20"/>
  <c r="G4351" i="20" s="1"/>
  <c r="F4338" i="20"/>
  <c r="G4338" i="20" s="1"/>
  <c r="H4339" i="20" s="1"/>
  <c r="F4332" i="20"/>
  <c r="G4332" i="20" s="1"/>
  <c r="F4331" i="20"/>
  <c r="G4331" i="20" s="1"/>
  <c r="F4319" i="20"/>
  <c r="G4319" i="20" s="1"/>
  <c r="F4318" i="20"/>
  <c r="G4318" i="20" s="1"/>
  <c r="F4317" i="20"/>
  <c r="G4317" i="20" s="1"/>
  <c r="F4316" i="20"/>
  <c r="G4316" i="20" s="1"/>
  <c r="F4303" i="20"/>
  <c r="G4303" i="20" s="1"/>
  <c r="H4305" i="20" s="1"/>
  <c r="F4302" i="20"/>
  <c r="G4302" i="20" s="1"/>
  <c r="F4301" i="20"/>
  <c r="G4301" i="20" s="1"/>
  <c r="F4290" i="20"/>
  <c r="G4290" i="20" s="1"/>
  <c r="H4291" i="20" s="1"/>
  <c r="H4292" i="20" s="1"/>
  <c r="F4279" i="20"/>
  <c r="G4279" i="20" s="1"/>
  <c r="H4279" i="20" s="1"/>
  <c r="H4281" i="20" s="1"/>
  <c r="F4267" i="20"/>
  <c r="G4267" i="20" s="1"/>
  <c r="H4268" i="20" s="1"/>
  <c r="H4269" i="20" s="1"/>
  <c r="F4257" i="20"/>
  <c r="G4257" i="20" s="1"/>
  <c r="H4258" i="20" s="1"/>
  <c r="H4259" i="20" s="1"/>
  <c r="F4245" i="20"/>
  <c r="G4245" i="20" s="1"/>
  <c r="H4246" i="20" s="1"/>
  <c r="F4243" i="20"/>
  <c r="G4243" i="20" s="1"/>
  <c r="F4242" i="20"/>
  <c r="G4242" i="20" s="1"/>
  <c r="F4228" i="20"/>
  <c r="G4228" i="20" s="1"/>
  <c r="F4227" i="20"/>
  <c r="G4227" i="20" s="1"/>
  <c r="F4226" i="20"/>
  <c r="G4226" i="20" s="1"/>
  <c r="F4225" i="20"/>
  <c r="G4225" i="20" s="1"/>
  <c r="F4211" i="20"/>
  <c r="G4211" i="20" s="1"/>
  <c r="H4212" i="20" s="1"/>
  <c r="H4213" i="20" s="1"/>
  <c r="F4200" i="20"/>
  <c r="G4200" i="20" s="1"/>
  <c r="H4201" i="20" s="1"/>
  <c r="H4202" i="20" s="1"/>
  <c r="F4189" i="20"/>
  <c r="G4189" i="20" s="1"/>
  <c r="H4190" i="20" s="1"/>
  <c r="H4191" i="20" s="1"/>
  <c r="F4178" i="20"/>
  <c r="G4178" i="20" s="1"/>
  <c r="F4177" i="20"/>
  <c r="G4177" i="20" s="1"/>
  <c r="F4167" i="20"/>
  <c r="G4167" i="20" s="1"/>
  <c r="H4167" i="20" s="1"/>
  <c r="H4168" i="20" s="1"/>
  <c r="F4158" i="20"/>
  <c r="G4158" i="20" s="1"/>
  <c r="H4158" i="20" s="1"/>
  <c r="H4159" i="20" s="1"/>
  <c r="F4148" i="20"/>
  <c r="G4148" i="20" s="1"/>
  <c r="H4148" i="20" s="1"/>
  <c r="H4149" i="20" s="1"/>
  <c r="F4137" i="20"/>
  <c r="G4137" i="20" s="1"/>
  <c r="F4136" i="20"/>
  <c r="G4136" i="20" s="1"/>
  <c r="F4125" i="20"/>
  <c r="G4125" i="20" s="1"/>
  <c r="F4124" i="20"/>
  <c r="G4124" i="20" s="1"/>
  <c r="F4113" i="20"/>
  <c r="G4113" i="20" s="1"/>
  <c r="F4112" i="20"/>
  <c r="G4112" i="20" s="1"/>
  <c r="F4100" i="20"/>
  <c r="G4100" i="20" s="1"/>
  <c r="F4099" i="20"/>
  <c r="G4099" i="20" s="1"/>
  <c r="F4087" i="20"/>
  <c r="G4087" i="20" s="1"/>
  <c r="F4086" i="20"/>
  <c r="G4086" i="20" s="1"/>
  <c r="F4075" i="20"/>
  <c r="G4075" i="20" s="1"/>
  <c r="F4074" i="20"/>
  <c r="G4074" i="20" s="1"/>
  <c r="F4060" i="20"/>
  <c r="G4060" i="20" s="1"/>
  <c r="F4059" i="20"/>
  <c r="G4059" i="20" s="1"/>
  <c r="D4056" i="20"/>
  <c r="H4045" i="20"/>
  <c r="D4043" i="20"/>
  <c r="F4031" i="20"/>
  <c r="F4058" i="20" s="1"/>
  <c r="G4058" i="20" s="1"/>
  <c r="F4030" i="20"/>
  <c r="F4043" i="20" s="1"/>
  <c r="O4056" i="20" s="1"/>
  <c r="P4056" i="20" s="1"/>
  <c r="Q4056" i="20" s="1"/>
  <c r="D4029" i="20"/>
  <c r="F4016" i="20"/>
  <c r="G4016" i="20" s="1"/>
  <c r="F4015" i="20"/>
  <c r="G4015" i="20" s="1"/>
  <c r="F4014" i="20"/>
  <c r="G4014" i="20" s="1"/>
  <c r="F4013" i="20"/>
  <c r="G4013" i="20" s="1"/>
  <c r="F4012" i="20"/>
  <c r="G4012" i="20" s="1"/>
  <c r="F4001" i="20"/>
  <c r="G4001" i="20" s="1"/>
  <c r="F4000" i="20"/>
  <c r="G4000" i="20" s="1"/>
  <c r="F3989" i="20"/>
  <c r="G3989" i="20" s="1"/>
  <c r="H3989" i="20" s="1"/>
  <c r="H3991" i="20" s="1"/>
  <c r="F3978" i="20"/>
  <c r="G3978" i="20" s="1"/>
  <c r="H3978" i="20" s="1"/>
  <c r="H3980" i="20" s="1"/>
  <c r="F3966" i="20"/>
  <c r="G3966" i="20" s="1"/>
  <c r="H3966" i="20" s="1"/>
  <c r="H3968" i="20" s="1"/>
  <c r="F3955" i="20"/>
  <c r="G3955" i="20" s="1"/>
  <c r="H3955" i="20" s="1"/>
  <c r="H3957" i="20" s="1"/>
  <c r="F3945" i="20"/>
  <c r="G3945" i="20" s="1"/>
  <c r="H3945" i="20" s="1"/>
  <c r="H3947" i="20" s="1"/>
  <c r="F3935" i="20"/>
  <c r="G3935" i="20" s="1"/>
  <c r="H3936" i="20" s="1"/>
  <c r="H3937" i="20" s="1"/>
  <c r="F3877" i="20"/>
  <c r="G3877" i="20" s="1"/>
  <c r="H3878" i="20" s="1"/>
  <c r="H3879" i="20" s="1"/>
  <c r="F3851" i="20"/>
  <c r="G3851" i="20" s="1"/>
  <c r="F3850" i="20"/>
  <c r="G3850" i="20" s="1"/>
  <c r="F3847" i="20"/>
  <c r="G3847" i="20" s="1"/>
  <c r="F3846" i="20"/>
  <c r="G3846" i="20" s="1"/>
  <c r="F3834" i="20"/>
  <c r="G3834" i="20" s="1"/>
  <c r="F3833" i="20"/>
  <c r="G3833" i="20" s="1"/>
  <c r="F3830" i="20"/>
  <c r="G3830" i="20" s="1"/>
  <c r="F3829" i="20"/>
  <c r="G3829" i="20" s="1"/>
  <c r="F3818" i="20"/>
  <c r="G3818" i="20" s="1"/>
  <c r="F3817" i="20"/>
  <c r="G3817" i="20" s="1"/>
  <c r="F3814" i="20"/>
  <c r="G3814" i="20" s="1"/>
  <c r="F3813" i="20"/>
  <c r="G3813" i="20" s="1"/>
  <c r="F3802" i="20"/>
  <c r="G3802" i="20" s="1"/>
  <c r="F3801" i="20"/>
  <c r="G3801" i="20" s="1"/>
  <c r="F3790" i="20"/>
  <c r="G3790" i="20" s="1"/>
  <c r="F3789" i="20"/>
  <c r="G3789" i="20" s="1"/>
  <c r="F3787" i="20"/>
  <c r="G3787" i="20" s="1"/>
  <c r="H3787" i="20" s="1"/>
  <c r="F3777" i="20"/>
  <c r="G3777" i="20" s="1"/>
  <c r="F3776" i="20"/>
  <c r="G3776" i="20" s="1"/>
  <c r="F3775" i="20"/>
  <c r="G3775" i="20" s="1"/>
  <c r="F3774" i="20"/>
  <c r="G3774" i="20" s="1"/>
  <c r="F3773" i="20"/>
  <c r="G3773" i="20" s="1"/>
  <c r="F3772" i="20"/>
  <c r="G3772" i="20" s="1"/>
  <c r="F3763" i="20"/>
  <c r="G3763" i="20" s="1"/>
  <c r="F3762" i="20"/>
  <c r="G3762" i="20" s="1"/>
  <c r="F3761" i="20"/>
  <c r="G3761" i="20" s="1"/>
  <c r="F3760" i="20"/>
  <c r="G3760" i="20" s="1"/>
  <c r="F3759" i="20"/>
  <c r="G3759" i="20" s="1"/>
  <c r="F3758" i="20"/>
  <c r="G3758" i="20" s="1"/>
  <c r="F3746" i="20"/>
  <c r="G3746" i="20" s="1"/>
  <c r="F3745" i="20"/>
  <c r="G3745" i="20" s="1"/>
  <c r="F3744" i="20"/>
  <c r="G3744" i="20" s="1"/>
  <c r="F3743" i="20"/>
  <c r="G3743" i="20" s="1"/>
  <c r="F3742" i="20"/>
  <c r="G3742" i="20" s="1"/>
  <c r="F3730" i="20"/>
  <c r="G3730" i="20" s="1"/>
  <c r="F3729" i="20"/>
  <c r="G3729" i="20" s="1"/>
  <c r="F3726" i="20"/>
  <c r="G3726" i="20" s="1"/>
  <c r="F3725" i="20"/>
  <c r="G3725" i="20" s="1"/>
  <c r="F3714" i="20"/>
  <c r="G3714" i="20" s="1"/>
  <c r="F3713" i="20"/>
  <c r="G3713" i="20" s="1"/>
  <c r="F3710" i="20"/>
  <c r="G3710" i="20" s="1"/>
  <c r="F3709" i="20"/>
  <c r="G3709" i="20" s="1"/>
  <c r="F3697" i="20"/>
  <c r="G3697" i="20" s="1"/>
  <c r="H3697" i="20" s="1"/>
  <c r="H3698" i="20" s="1"/>
  <c r="F3675" i="20"/>
  <c r="G3675" i="20" s="1"/>
  <c r="H3675" i="20" s="1"/>
  <c r="H3676" i="20" s="1"/>
  <c r="F3652" i="20"/>
  <c r="G3652" i="20" s="1"/>
  <c r="H3652" i="20" s="1"/>
  <c r="H3653" i="20" s="1"/>
  <c r="F3640" i="20"/>
  <c r="G3640" i="20" s="1"/>
  <c r="H3640" i="20" s="1"/>
  <c r="H3641" i="20" s="1"/>
  <c r="F3629" i="20"/>
  <c r="G3629" i="20" s="1"/>
  <c r="F3627" i="20"/>
  <c r="G3627" i="20" s="1"/>
  <c r="F3626" i="20"/>
  <c r="G3626" i="20" s="1"/>
  <c r="F3611" i="20"/>
  <c r="G3611" i="20" s="1"/>
  <c r="F3610" i="20"/>
  <c r="G3610" i="20" s="1"/>
  <c r="F3597" i="20"/>
  <c r="G3597" i="20" s="1"/>
  <c r="F3596" i="20"/>
  <c r="G3596" i="20" s="1"/>
  <c r="F3586" i="20"/>
  <c r="G3586" i="20" s="1"/>
  <c r="F3585" i="20"/>
  <c r="G3585" i="20" s="1"/>
  <c r="F3583" i="20"/>
  <c r="G3583" i="20" s="1"/>
  <c r="F3582" i="20"/>
  <c r="G3582" i="20" s="1"/>
  <c r="F3570" i="20"/>
  <c r="G3570" i="20" s="1"/>
  <c r="F3569" i="20"/>
  <c r="G3569" i="20" s="1"/>
  <c r="F3567" i="20"/>
  <c r="G3567" i="20" s="1"/>
  <c r="F3566" i="20"/>
  <c r="G3566" i="20" s="1"/>
  <c r="F3552" i="20"/>
  <c r="G3552" i="20" s="1"/>
  <c r="F3551" i="20"/>
  <c r="G3551" i="20" s="1"/>
  <c r="F3539" i="20"/>
  <c r="G3539" i="20" s="1"/>
  <c r="F3538" i="20"/>
  <c r="G3538" i="20" s="1"/>
  <c r="F3526" i="20"/>
  <c r="G3526" i="20" s="1"/>
  <c r="H3526" i="20" s="1"/>
  <c r="F3524" i="20"/>
  <c r="G3524" i="20" s="1"/>
  <c r="F3523" i="20"/>
  <c r="G3523" i="20" s="1"/>
  <c r="F3513" i="20"/>
  <c r="G3513" i="20" s="1"/>
  <c r="H3513" i="20" s="1"/>
  <c r="F3511" i="20"/>
  <c r="G3511" i="20" s="1"/>
  <c r="F3510" i="20"/>
  <c r="G3510" i="20" s="1"/>
  <c r="F3500" i="20"/>
  <c r="G3500" i="20" s="1"/>
  <c r="F3498" i="20"/>
  <c r="G3498" i="20" s="1"/>
  <c r="F3497" i="20"/>
  <c r="G3497" i="20" s="1"/>
  <c r="F3482" i="20"/>
  <c r="G3482" i="20" s="1"/>
  <c r="F3481" i="20"/>
  <c r="G3481" i="20" s="1"/>
  <c r="F3467" i="20"/>
  <c r="G3467" i="20" s="1"/>
  <c r="F3466" i="20"/>
  <c r="G3466" i="20" s="1"/>
  <c r="F3456" i="20"/>
  <c r="G3456" i="20" s="1"/>
  <c r="H3456" i="20" s="1"/>
  <c r="F3444" i="20"/>
  <c r="G3444" i="20" s="1"/>
  <c r="H3444" i="20" s="1"/>
  <c r="F3402" i="20"/>
  <c r="F3443" i="20" s="1"/>
  <c r="G3443" i="20" s="1"/>
  <c r="F3401" i="20"/>
  <c r="F3442" i="20" s="1"/>
  <c r="G3442" i="20" s="1"/>
  <c r="F3389" i="20"/>
  <c r="G3389" i="20" s="1"/>
  <c r="F3388" i="20"/>
  <c r="G3388" i="20" s="1"/>
  <c r="F3377" i="20"/>
  <c r="G3377" i="20" s="1"/>
  <c r="F3376" i="20"/>
  <c r="G3376" i="20" s="1"/>
  <c r="F3363" i="20"/>
  <c r="G3363" i="20" s="1"/>
  <c r="F3362" i="20"/>
  <c r="G3362" i="20" s="1"/>
  <c r="F3350" i="20"/>
  <c r="G3350" i="20" s="1"/>
  <c r="F3349" i="20"/>
  <c r="G3349" i="20" s="1"/>
  <c r="F3339" i="20"/>
  <c r="G3339" i="20" s="1"/>
  <c r="F3338" i="20"/>
  <c r="G3338" i="20" s="1"/>
  <c r="F3324" i="20"/>
  <c r="G3324" i="20" s="1"/>
  <c r="F3323" i="20"/>
  <c r="G3323" i="20" s="1"/>
  <c r="F3312" i="20"/>
  <c r="G3312" i="20" s="1"/>
  <c r="F3311" i="20"/>
  <c r="G3311" i="20" s="1"/>
  <c r="F3310" i="20"/>
  <c r="G3310" i="20" s="1"/>
  <c r="F3309" i="20"/>
  <c r="G3309" i="20" s="1"/>
  <c r="F3308" i="20"/>
  <c r="G3308" i="20" s="1"/>
  <c r="F3294" i="20"/>
  <c r="G3294" i="20" s="1"/>
  <c r="F3293" i="20"/>
  <c r="G3293" i="20" s="1"/>
  <c r="F3280" i="20"/>
  <c r="G3280" i="20" s="1"/>
  <c r="F3279" i="20"/>
  <c r="G3279" i="20" s="1"/>
  <c r="F3265" i="20"/>
  <c r="G3265" i="20" s="1"/>
  <c r="F3264" i="20"/>
  <c r="G3264" i="20" s="1"/>
  <c r="F3253" i="20"/>
  <c r="G3253" i="20" s="1"/>
  <c r="H3253" i="20" s="1"/>
  <c r="H3254" i="20" s="1"/>
  <c r="F3241" i="20"/>
  <c r="G3241" i="20" s="1"/>
  <c r="F3240" i="20"/>
  <c r="G3240" i="20" s="1"/>
  <c r="F3226" i="20"/>
  <c r="G3226" i="20" s="1"/>
  <c r="F3225" i="20"/>
  <c r="G3225" i="20" s="1"/>
  <c r="F3214" i="20"/>
  <c r="G3214" i="20" s="1"/>
  <c r="F3213" i="20"/>
  <c r="G3213" i="20" s="1"/>
  <c r="F3212" i="20"/>
  <c r="G3212" i="20" s="1"/>
  <c r="F3211" i="20"/>
  <c r="G3211" i="20" s="1"/>
  <c r="F3201" i="20"/>
  <c r="G3201" i="20" s="1"/>
  <c r="F3200" i="20"/>
  <c r="G3200" i="20" s="1"/>
  <c r="F3199" i="20"/>
  <c r="G3199" i="20" s="1"/>
  <c r="F3198" i="20"/>
  <c r="G3198" i="20" s="1"/>
  <c r="G3185" i="20"/>
  <c r="F3184" i="20"/>
  <c r="G3184" i="20" s="1"/>
  <c r="H3184" i="20" s="1"/>
  <c r="F3183" i="20"/>
  <c r="G3183" i="20" s="1"/>
  <c r="F3182" i="20"/>
  <c r="G3182" i="20" s="1"/>
  <c r="G3171" i="20"/>
  <c r="F3170" i="20"/>
  <c r="G3170" i="20" s="1"/>
  <c r="H3170" i="20" s="1"/>
  <c r="F3169" i="20"/>
  <c r="G3169" i="20" s="1"/>
  <c r="F3168" i="20"/>
  <c r="G3168" i="20" s="1"/>
  <c r="G3159" i="20"/>
  <c r="G3158" i="20"/>
  <c r="G3157" i="20"/>
  <c r="G3156" i="20"/>
  <c r="G3143" i="20"/>
  <c r="G3142" i="20"/>
  <c r="G3141" i="20"/>
  <c r="G3140" i="20"/>
  <c r="F3127" i="20"/>
  <c r="G3127" i="20" s="1"/>
  <c r="F3126" i="20"/>
  <c r="G3126" i="20" s="1"/>
  <c r="F3115" i="20"/>
  <c r="G3115" i="20" s="1"/>
  <c r="F3114" i="20"/>
  <c r="G3114" i="20" s="1"/>
  <c r="F3101" i="20"/>
  <c r="G3101" i="20" s="1"/>
  <c r="F3100" i="20"/>
  <c r="G3100" i="20" s="1"/>
  <c r="F3086" i="20"/>
  <c r="G3086" i="20" s="1"/>
  <c r="F3085" i="20"/>
  <c r="G3085" i="20" s="1"/>
  <c r="F3074" i="20"/>
  <c r="G3074" i="20" s="1"/>
  <c r="F3073" i="20"/>
  <c r="G3073" i="20" s="1"/>
  <c r="F3063" i="20"/>
  <c r="G3063" i="20" s="1"/>
  <c r="F3062" i="20"/>
  <c r="G3062" i="20" s="1"/>
  <c r="F3043" i="20"/>
  <c r="G3043" i="20" s="1"/>
  <c r="F3042" i="20"/>
  <c r="G3042" i="20" s="1"/>
  <c r="F3041" i="20"/>
  <c r="G3041" i="20" s="1"/>
  <c r="F3040" i="20"/>
  <c r="G3040" i="20" s="1"/>
  <c r="F3029" i="20"/>
  <c r="G3029" i="20" s="1"/>
  <c r="H3029" i="20" s="1"/>
  <c r="F3028" i="20"/>
  <c r="G3028" i="20" s="1"/>
  <c r="F3027" i="20"/>
  <c r="G3027" i="20" s="1"/>
  <c r="F3013" i="20"/>
  <c r="G3013" i="20" s="1"/>
  <c r="F3012" i="20"/>
  <c r="G3012" i="20" s="1"/>
  <c r="F3011" i="20"/>
  <c r="G3011" i="20" s="1"/>
  <c r="F3010" i="20"/>
  <c r="G3010" i="20" s="1"/>
  <c r="F2999" i="20"/>
  <c r="G2999" i="20" s="1"/>
  <c r="F2998" i="20"/>
  <c r="G2998" i="20" s="1"/>
  <c r="F2997" i="20"/>
  <c r="G2997" i="20" s="1"/>
  <c r="F2996" i="20"/>
  <c r="G2996" i="20" s="1"/>
  <c r="F2986" i="20"/>
  <c r="G2986" i="20" s="1"/>
  <c r="F2985" i="20"/>
  <c r="G2985" i="20" s="1"/>
  <c r="F2984" i="20"/>
  <c r="G2984" i="20" s="1"/>
  <c r="F2983" i="20"/>
  <c r="G2983" i="20" s="1"/>
  <c r="F2971" i="20"/>
  <c r="G2971" i="20" s="1"/>
  <c r="F2970" i="20"/>
  <c r="G2970" i="20" s="1"/>
  <c r="F2969" i="20"/>
  <c r="G2969" i="20" s="1"/>
  <c r="F2968" i="20"/>
  <c r="G2968" i="20" s="1"/>
  <c r="F2956" i="20"/>
  <c r="G2956" i="20" s="1"/>
  <c r="F2955" i="20"/>
  <c r="G2955" i="20" s="1"/>
  <c r="F2954" i="20"/>
  <c r="G2954" i="20" s="1"/>
  <c r="F2953" i="20"/>
  <c r="G2953" i="20" s="1"/>
  <c r="F2943" i="20"/>
  <c r="G2943" i="20" s="1"/>
  <c r="F2942" i="20"/>
  <c r="G2942" i="20" s="1"/>
  <c r="F2941" i="20"/>
  <c r="G2941" i="20" s="1"/>
  <c r="F2940" i="20"/>
  <c r="G2940" i="20" s="1"/>
  <c r="F2927" i="20"/>
  <c r="G2927" i="20" s="1"/>
  <c r="F2926" i="20"/>
  <c r="G2926" i="20" s="1"/>
  <c r="F2912" i="20"/>
  <c r="G2912" i="20" s="1"/>
  <c r="F2911" i="20"/>
  <c r="G2911" i="20" s="1"/>
  <c r="F2910" i="20"/>
  <c r="G2910" i="20" s="1"/>
  <c r="F2909" i="20"/>
  <c r="G2909" i="20" s="1"/>
  <c r="F2908" i="20"/>
  <c r="G2908" i="20" s="1"/>
  <c r="F2898" i="20"/>
  <c r="G2898" i="20" s="1"/>
  <c r="F2897" i="20"/>
  <c r="G2897" i="20" s="1"/>
  <c r="F2896" i="20"/>
  <c r="G2896" i="20" s="1"/>
  <c r="F2895" i="20"/>
  <c r="G2895" i="20" s="1"/>
  <c r="F2894" i="20"/>
  <c r="G2894" i="20" s="1"/>
  <c r="F2881" i="20"/>
  <c r="G2881" i="20" s="1"/>
  <c r="F2880" i="20"/>
  <c r="G2880" i="20" s="1"/>
  <c r="F2879" i="20"/>
  <c r="G2879" i="20" s="1"/>
  <c r="F2878" i="20"/>
  <c r="G2878" i="20" s="1"/>
  <c r="F2865" i="20"/>
  <c r="G2865" i="20" s="1"/>
  <c r="F2864" i="20"/>
  <c r="G2864" i="20" s="1"/>
  <c r="F2863" i="20"/>
  <c r="G2863" i="20" s="1"/>
  <c r="F2862" i="20"/>
  <c r="G2862" i="20" s="1"/>
  <c r="F2854" i="20"/>
  <c r="G2854" i="20" s="1"/>
  <c r="F2853" i="20"/>
  <c r="G2853" i="20" s="1"/>
  <c r="F2852" i="20"/>
  <c r="G2852" i="20" s="1"/>
  <c r="F2851" i="20"/>
  <c r="G2851" i="20" s="1"/>
  <c r="F2821" i="20"/>
  <c r="F2837" i="20" s="1"/>
  <c r="G2837" i="20" s="1"/>
  <c r="F2820" i="20"/>
  <c r="F2836" i="20" s="1"/>
  <c r="G2836" i="20" s="1"/>
  <c r="F2811" i="20"/>
  <c r="G2811" i="20" s="1"/>
  <c r="F2810" i="20"/>
  <c r="G2810" i="20" s="1"/>
  <c r="F2809" i="20"/>
  <c r="G2809" i="20" s="1"/>
  <c r="F2808" i="20"/>
  <c r="G2808" i="20" s="1"/>
  <c r="F2795" i="20"/>
  <c r="G2795" i="20" s="1"/>
  <c r="F2794" i="20"/>
  <c r="G2794" i="20" s="1"/>
  <c r="F2793" i="20"/>
  <c r="G2793" i="20" s="1"/>
  <c r="F2792" i="20"/>
  <c r="G2792" i="20" s="1"/>
  <c r="F2780" i="20"/>
  <c r="G2780" i="20" s="1"/>
  <c r="F2779" i="20"/>
  <c r="G2779" i="20" s="1"/>
  <c r="F2778" i="20"/>
  <c r="G2778" i="20" s="1"/>
  <c r="F2777" i="20"/>
  <c r="G2777" i="20" s="1"/>
  <c r="F2768" i="20"/>
  <c r="G2768" i="20" s="1"/>
  <c r="F2767" i="20"/>
  <c r="G2767" i="20" s="1"/>
  <c r="F2766" i="20"/>
  <c r="G2766" i="20" s="1"/>
  <c r="F2765" i="20"/>
  <c r="G2765" i="20" s="1"/>
  <c r="G2753" i="20"/>
  <c r="F2752" i="20"/>
  <c r="G2752" i="20" s="1"/>
  <c r="F2751" i="20"/>
  <c r="G2751" i="20" s="1"/>
  <c r="F2750" i="20"/>
  <c r="G2750" i="20" s="1"/>
  <c r="F2749" i="20"/>
  <c r="G2749" i="20" s="1"/>
  <c r="F2748" i="20"/>
  <c r="G2748" i="20" s="1"/>
  <c r="F2733" i="20"/>
  <c r="G2733" i="20" s="1"/>
  <c r="F2732" i="20"/>
  <c r="G2732" i="20" s="1"/>
  <c r="F2721" i="20"/>
  <c r="F2709" i="20"/>
  <c r="G2709" i="20" s="1"/>
  <c r="F2708" i="20"/>
  <c r="G2708" i="20" s="1"/>
  <c r="F2694" i="20"/>
  <c r="G2694" i="20" s="1"/>
  <c r="F2693" i="20"/>
  <c r="G2693" i="20" s="1"/>
  <c r="F2692" i="20"/>
  <c r="G2692" i="20" s="1"/>
  <c r="F2691" i="20"/>
  <c r="G2691" i="20" s="1"/>
  <c r="F2690" i="20"/>
  <c r="G2690" i="20" s="1"/>
  <c r="F2680" i="20"/>
  <c r="F2697" i="20" s="1"/>
  <c r="G2697" i="20" s="1"/>
  <c r="F2679" i="20"/>
  <c r="F2696" i="20" s="1"/>
  <c r="G2696" i="20" s="1"/>
  <c r="F2678" i="20"/>
  <c r="F2695" i="20" s="1"/>
  <c r="G2695" i="20" s="1"/>
  <c r="F2677" i="20"/>
  <c r="G2677" i="20" s="1"/>
  <c r="F2676" i="20"/>
  <c r="G2676" i="20" s="1"/>
  <c r="F2675" i="20"/>
  <c r="G2675" i="20" s="1"/>
  <c r="F2674" i="20"/>
  <c r="G2674" i="20" s="1"/>
  <c r="F2673" i="20"/>
  <c r="G2673" i="20" s="1"/>
  <c r="F2656" i="20"/>
  <c r="G2656" i="20" s="1"/>
  <c r="H2656" i="20" s="1"/>
  <c r="F2654" i="20"/>
  <c r="G2654" i="20" s="1"/>
  <c r="F2653" i="20"/>
  <c r="G2653" i="20" s="1"/>
  <c r="F2652" i="20"/>
  <c r="G2652" i="20" s="1"/>
  <c r="F2651" i="20"/>
  <c r="G2651" i="20" s="1"/>
  <c r="F2650" i="20"/>
  <c r="G2650" i="20" s="1"/>
  <c r="F2649" i="20"/>
  <c r="G2649" i="20" s="1"/>
  <c r="F2648" i="20"/>
  <c r="G2648" i="20" s="1"/>
  <c r="F2647" i="20"/>
  <c r="G2647" i="20" s="1"/>
  <c r="F2637" i="20"/>
  <c r="G2637" i="20" s="1"/>
  <c r="H2637" i="20" s="1"/>
  <c r="F2635" i="20"/>
  <c r="G2635" i="20" s="1"/>
  <c r="F2634" i="20"/>
  <c r="G2634" i="20" s="1"/>
  <c r="F2633" i="20"/>
  <c r="G2633" i="20" s="1"/>
  <c r="F2632" i="20"/>
  <c r="G2632" i="20" s="1"/>
  <c r="F2631" i="20"/>
  <c r="G2631" i="20" s="1"/>
  <c r="F2630" i="20"/>
  <c r="G2630" i="20" s="1"/>
  <c r="F2629" i="20"/>
  <c r="G2629" i="20" s="1"/>
  <c r="F2628" i="20"/>
  <c r="G2628" i="20" s="1"/>
  <c r="F2617" i="20"/>
  <c r="G2617" i="20" s="1"/>
  <c r="H2617" i="20" s="1"/>
  <c r="F2616" i="20"/>
  <c r="G2616" i="20" s="1"/>
  <c r="H2616" i="20" s="1"/>
  <c r="F2607" i="20"/>
  <c r="G2607" i="20" s="1"/>
  <c r="F2605" i="20"/>
  <c r="G2605" i="20" s="1"/>
  <c r="F2604" i="20"/>
  <c r="G2604" i="20" s="1"/>
  <c r="F2603" i="20"/>
  <c r="G2603" i="20" s="1"/>
  <c r="F2602" i="20"/>
  <c r="G2602" i="20" s="1"/>
  <c r="F2592" i="20"/>
  <c r="G2592" i="20" s="1"/>
  <c r="F2591" i="20"/>
  <c r="G2591" i="20" s="1"/>
  <c r="F2590" i="20"/>
  <c r="G2590" i="20" s="1"/>
  <c r="F2589" i="20"/>
  <c r="G2589" i="20" s="1"/>
  <c r="F2588" i="20"/>
  <c r="G2588" i="20" s="1"/>
  <c r="F2576" i="20"/>
  <c r="G2576" i="20" s="1"/>
  <c r="F2575" i="20"/>
  <c r="G2575" i="20" s="1"/>
  <c r="F2574" i="20"/>
  <c r="G2574" i="20" s="1"/>
  <c r="F2573" i="20"/>
  <c r="G2573" i="20" s="1"/>
  <c r="F2572" i="20"/>
  <c r="G2572" i="20" s="1"/>
  <c r="F2571" i="20"/>
  <c r="G2571" i="20" s="1"/>
  <c r="F2570" i="20"/>
  <c r="G2570" i="20" s="1"/>
  <c r="F2569" i="20"/>
  <c r="G2569" i="20" s="1"/>
  <c r="F2568" i="20"/>
  <c r="G2568" i="20" s="1"/>
  <c r="F2556" i="20"/>
  <c r="G2556" i="20" s="1"/>
  <c r="F2555" i="20"/>
  <c r="G2555" i="20" s="1"/>
  <c r="F2554" i="20"/>
  <c r="G2554" i="20" s="1"/>
  <c r="F2553" i="20"/>
  <c r="G2553" i="20" s="1"/>
  <c r="F2543" i="20"/>
  <c r="G2543" i="20" s="1"/>
  <c r="F2542" i="20"/>
  <c r="G2542" i="20" s="1"/>
  <c r="F2541" i="20"/>
  <c r="G2541" i="20" s="1"/>
  <c r="F2540" i="20"/>
  <c r="G2540" i="20" s="1"/>
  <c r="F2525" i="20"/>
  <c r="G2525" i="20" s="1"/>
  <c r="F2524" i="20"/>
  <c r="G2524" i="20" s="1"/>
  <c r="F2523" i="20"/>
  <c r="G2523" i="20" s="1"/>
  <c r="H2527" i="20" s="1"/>
  <c r="F2522" i="20"/>
  <c r="G2522" i="20" s="1"/>
  <c r="F2510" i="20"/>
  <c r="F2526" i="20" s="1"/>
  <c r="G2526" i="20" s="1"/>
  <c r="F2509" i="20"/>
  <c r="G2509" i="20" s="1"/>
  <c r="F2508" i="20"/>
  <c r="G2508" i="20" s="1"/>
  <c r="F2507" i="20"/>
  <c r="G2507" i="20" s="1"/>
  <c r="F2506" i="20"/>
  <c r="G2506" i="20" s="1"/>
  <c r="F2495" i="20"/>
  <c r="G2495" i="20" s="1"/>
  <c r="F2494" i="20"/>
  <c r="G2494" i="20" s="1"/>
  <c r="F2482" i="20"/>
  <c r="D2487" i="20" s="1"/>
  <c r="E2487" i="20" s="1"/>
  <c r="F2481" i="20" s="1"/>
  <c r="G2481" i="20" s="1"/>
  <c r="F2479" i="20"/>
  <c r="G2479" i="20" s="1"/>
  <c r="F2478" i="20"/>
  <c r="G2478" i="20" s="1"/>
  <c r="F2477" i="20"/>
  <c r="G2477" i="20" s="1"/>
  <c r="F2466" i="20"/>
  <c r="D2471" i="20" s="1"/>
  <c r="E2471" i="20" s="1"/>
  <c r="F2465" i="20" s="1"/>
  <c r="G2465" i="20" s="1"/>
  <c r="F2463" i="20"/>
  <c r="G2463" i="20" s="1"/>
  <c r="F2462" i="20"/>
  <c r="G2462" i="20" s="1"/>
  <c r="F2461" i="20"/>
  <c r="G2461" i="20" s="1"/>
  <c r="F2452" i="20"/>
  <c r="G2452" i="20" s="1"/>
  <c r="F2451" i="20"/>
  <c r="G2451" i="20" s="1"/>
  <c r="F2450" i="20"/>
  <c r="G2450" i="20" s="1"/>
  <c r="F2449" i="20"/>
  <c r="G2449" i="20" s="1"/>
  <c r="F2439" i="20"/>
  <c r="G2439" i="20" s="1"/>
  <c r="H2439" i="20" s="1"/>
  <c r="F2437" i="20"/>
  <c r="G2437" i="20" s="1"/>
  <c r="F2436" i="20"/>
  <c r="G2436" i="20" s="1"/>
  <c r="F2423" i="20"/>
  <c r="G2423" i="20" s="1"/>
  <c r="H2423" i="20" s="1"/>
  <c r="F2412" i="20"/>
  <c r="G2412" i="20" s="1"/>
  <c r="H2412" i="20" s="1"/>
  <c r="F2409" i="20"/>
  <c r="G2409" i="20" s="1"/>
  <c r="H2410" i="20" s="1"/>
  <c r="F2397" i="20"/>
  <c r="G2397" i="20" s="1"/>
  <c r="F2396" i="20"/>
  <c r="G2396" i="20" s="1"/>
  <c r="F2395" i="20"/>
  <c r="G2395" i="20" s="1"/>
  <c r="F2394" i="20"/>
  <c r="G2394" i="20" s="1"/>
  <c r="F2381" i="20"/>
  <c r="G2381" i="20" s="1"/>
  <c r="F2380" i="20"/>
  <c r="G2380" i="20" s="1"/>
  <c r="F2379" i="20"/>
  <c r="G2379" i="20" s="1"/>
  <c r="F2378" i="20"/>
  <c r="G2378" i="20" s="1"/>
  <c r="F2377" i="20"/>
  <c r="G2377" i="20" s="1"/>
  <c r="F2366" i="20"/>
  <c r="G2366" i="20" s="1"/>
  <c r="F2365" i="20"/>
  <c r="G2365" i="20" s="1"/>
  <c r="F2364" i="20"/>
  <c r="G2364" i="20" s="1"/>
  <c r="F2363" i="20"/>
  <c r="G2363" i="20" s="1"/>
  <c r="F2351" i="20"/>
  <c r="G2351" i="20" s="1"/>
  <c r="F2350" i="20"/>
  <c r="G2350" i="20" s="1"/>
  <c r="F2349" i="20"/>
  <c r="G2349" i="20" s="1"/>
  <c r="F2348" i="20"/>
  <c r="G2348" i="20" s="1"/>
  <c r="F2336" i="20"/>
  <c r="G2336" i="20" s="1"/>
  <c r="F2335" i="20"/>
  <c r="G2335" i="20" s="1"/>
  <c r="F2334" i="20"/>
  <c r="G2334" i="20" s="1"/>
  <c r="F2333" i="20"/>
  <c r="G2333" i="20" s="1"/>
  <c r="F2321" i="20"/>
  <c r="G2321" i="20" s="1"/>
  <c r="F2320" i="20"/>
  <c r="G2320" i="20" s="1"/>
  <c r="F2308" i="20"/>
  <c r="G2308" i="20" s="1"/>
  <c r="F2307" i="20"/>
  <c r="G2307" i="20" s="1"/>
  <c r="F2306" i="20"/>
  <c r="G2306" i="20" s="1"/>
  <c r="F2305" i="20"/>
  <c r="G2305" i="20" s="1"/>
  <c r="F2304" i="20"/>
  <c r="G2304" i="20" s="1"/>
  <c r="F2292" i="20"/>
  <c r="G2292" i="20" s="1"/>
  <c r="F2291" i="20"/>
  <c r="G2291" i="20" s="1"/>
  <c r="F2290" i="20"/>
  <c r="G2290" i="20" s="1"/>
  <c r="F2289" i="20"/>
  <c r="G2289" i="20" s="1"/>
  <c r="F2288" i="20"/>
  <c r="G2288" i="20" s="1"/>
  <c r="F2277" i="20"/>
  <c r="G2277" i="20" s="1"/>
  <c r="F2276" i="20"/>
  <c r="G2276" i="20" s="1"/>
  <c r="F2273" i="20"/>
  <c r="G2273" i="20" s="1"/>
  <c r="F2272" i="20"/>
  <c r="G2272" i="20" s="1"/>
  <c r="F2271" i="20"/>
  <c r="G2271" i="20" s="1"/>
  <c r="F2259" i="20"/>
  <c r="G2259" i="20" s="1"/>
  <c r="F2258" i="20"/>
  <c r="G2258" i="20" s="1"/>
  <c r="F2257" i="20"/>
  <c r="G2257" i="20" s="1"/>
  <c r="F2256" i="20"/>
  <c r="G2256" i="20" s="1"/>
  <c r="F2255" i="20"/>
  <c r="G2255" i="20" s="1"/>
  <c r="F2244" i="20"/>
  <c r="G2244" i="20" s="1"/>
  <c r="F2243" i="20"/>
  <c r="G2243" i="20" s="1"/>
  <c r="F2242" i="20"/>
  <c r="G2242" i="20" s="1"/>
  <c r="F2241" i="20"/>
  <c r="G2241" i="20" s="1"/>
  <c r="F2232" i="20"/>
  <c r="G2232" i="20" s="1"/>
  <c r="F2231" i="20"/>
  <c r="G2231" i="20" s="1"/>
  <c r="F2230" i="20"/>
  <c r="G2230" i="20" s="1"/>
  <c r="F2229" i="20"/>
  <c r="G2229" i="20" s="1"/>
  <c r="F2228" i="20"/>
  <c r="G2228" i="20" s="1"/>
  <c r="F2209" i="20"/>
  <c r="G2209" i="20" s="1"/>
  <c r="F2208" i="20"/>
  <c r="G2208" i="20" s="1"/>
  <c r="F2207" i="20"/>
  <c r="G2207" i="20" s="1"/>
  <c r="F2206" i="20"/>
  <c r="G2206" i="20" s="1"/>
  <c r="F2205" i="20"/>
  <c r="G2205" i="20" s="1"/>
  <c r="F2204" i="20"/>
  <c r="G2204" i="20" s="1"/>
  <c r="F2203" i="20"/>
  <c r="G2203" i="20" s="1"/>
  <c r="F2194" i="20"/>
  <c r="G2194" i="20" s="1"/>
  <c r="F2193" i="20"/>
  <c r="G2193" i="20" s="1"/>
  <c r="F2192" i="20"/>
  <c r="G2192" i="20" s="1"/>
  <c r="F2191" i="20"/>
  <c r="G2191" i="20" s="1"/>
  <c r="F2190" i="20"/>
  <c r="G2190" i="20" s="1"/>
  <c r="F2189" i="20"/>
  <c r="G2189" i="20" s="1"/>
  <c r="F2180" i="20"/>
  <c r="G2180" i="20" s="1"/>
  <c r="F2179" i="20"/>
  <c r="G2179" i="20" s="1"/>
  <c r="F2178" i="20"/>
  <c r="G2178" i="20" s="1"/>
  <c r="F2177" i="20"/>
  <c r="G2177" i="20" s="1"/>
  <c r="F2176" i="20"/>
  <c r="G2176" i="20" s="1"/>
  <c r="F2175" i="20"/>
  <c r="G2175" i="20" s="1"/>
  <c r="F2167" i="20"/>
  <c r="G2167" i="20" s="1"/>
  <c r="F2166" i="20"/>
  <c r="G2166" i="20" s="1"/>
  <c r="F2165" i="20"/>
  <c r="G2165" i="20" s="1"/>
  <c r="F2164" i="20"/>
  <c r="G2164" i="20" s="1"/>
  <c r="F2163" i="20"/>
  <c r="G2163" i="20" s="1"/>
  <c r="F2162" i="20"/>
  <c r="G2162" i="20" s="1"/>
  <c r="F2151" i="20"/>
  <c r="G2151" i="20" s="1"/>
  <c r="H2151" i="20" s="1"/>
  <c r="F2149" i="20"/>
  <c r="G2149" i="20" s="1"/>
  <c r="F2148" i="20"/>
  <c r="G2148" i="20" s="1"/>
  <c r="F2147" i="20"/>
  <c r="G2147" i="20" s="1"/>
  <c r="F2146" i="20"/>
  <c r="G2146" i="20" s="1"/>
  <c r="F2145" i="20"/>
  <c r="G2145" i="20" s="1"/>
  <c r="F2143" i="20"/>
  <c r="G2143" i="20" s="1"/>
  <c r="F2142" i="20"/>
  <c r="G2142" i="20" s="1"/>
  <c r="F2125" i="20"/>
  <c r="G2125" i="20" s="1"/>
  <c r="F2124" i="20"/>
  <c r="G2124" i="20" s="1"/>
  <c r="F2123" i="20"/>
  <c r="G2123" i="20" s="1"/>
  <c r="F2121" i="20"/>
  <c r="G2121" i="20" s="1"/>
  <c r="F2120" i="20"/>
  <c r="G2120" i="20" s="1"/>
  <c r="F2119" i="20"/>
  <c r="G2119" i="20" s="1"/>
  <c r="F2118" i="20"/>
  <c r="G2118" i="20" s="1"/>
  <c r="F2117" i="20"/>
  <c r="G2117" i="20" s="1"/>
  <c r="F2105" i="20"/>
  <c r="G2105" i="20" s="1"/>
  <c r="F2104" i="20"/>
  <c r="G2104" i="20" s="1"/>
  <c r="F2103" i="20"/>
  <c r="G2103" i="20" s="1"/>
  <c r="F2101" i="20"/>
  <c r="G2101" i="20" s="1"/>
  <c r="F2100" i="20"/>
  <c r="G2100" i="20" s="1"/>
  <c r="F2099" i="20"/>
  <c r="G2099" i="20" s="1"/>
  <c r="F2098" i="20"/>
  <c r="G2098" i="20" s="1"/>
  <c r="F2097" i="20"/>
  <c r="G2097" i="20" s="1"/>
  <c r="F2080" i="20"/>
  <c r="G2080" i="20" s="1"/>
  <c r="F2079" i="20"/>
  <c r="G2079" i="20" s="1"/>
  <c r="F2078" i="20"/>
  <c r="G2078" i="20" s="1"/>
  <c r="F2075" i="20"/>
  <c r="G2075" i="20" s="1"/>
  <c r="F2074" i="20"/>
  <c r="G2074" i="20" s="1"/>
  <c r="F2073" i="20"/>
  <c r="G2073" i="20" s="1"/>
  <c r="F2072" i="20"/>
  <c r="G2072" i="20" s="1"/>
  <c r="F2071" i="20"/>
  <c r="G2071" i="20" s="1"/>
  <c r="F2070" i="20"/>
  <c r="G2070" i="20" s="1"/>
  <c r="F2057" i="20"/>
  <c r="G2057" i="20" s="1"/>
  <c r="F2056" i="20"/>
  <c r="G2056" i="20" s="1"/>
  <c r="F2055" i="20"/>
  <c r="G2055" i="20" s="1"/>
  <c r="F2054" i="20"/>
  <c r="G2054" i="20" s="1"/>
  <c r="F2053" i="20"/>
  <c r="G2053" i="20" s="1"/>
  <c r="F2040" i="20"/>
  <c r="G2040" i="20" s="1"/>
  <c r="F2039" i="20"/>
  <c r="G2039" i="20" s="1"/>
  <c r="F2038" i="20"/>
  <c r="G2038" i="20" s="1"/>
  <c r="F2037" i="20"/>
  <c r="G2037" i="20" s="1"/>
  <c r="F2036" i="20"/>
  <c r="G2036" i="20" s="1"/>
  <c r="F2023" i="20"/>
  <c r="G2023" i="20" s="1"/>
  <c r="F2022" i="20"/>
  <c r="G2022" i="20" s="1"/>
  <c r="F2021" i="20"/>
  <c r="G2021" i="20" s="1"/>
  <c r="F2020" i="20"/>
  <c r="G2020" i="20" s="1"/>
  <c r="F2019" i="20"/>
  <c r="G2019" i="20" s="1"/>
  <c r="F2008" i="20"/>
  <c r="G2008" i="20" s="1"/>
  <c r="H2010" i="20" s="1"/>
  <c r="F2007" i="20"/>
  <c r="G2007" i="20" s="1"/>
  <c r="F2006" i="20"/>
  <c r="G2006" i="20" s="1"/>
  <c r="F1993" i="20"/>
  <c r="G1993" i="20" s="1"/>
  <c r="H1995" i="20" s="1"/>
  <c r="F1992" i="20"/>
  <c r="G1992" i="20" s="1"/>
  <c r="F1991" i="20"/>
  <c r="G1991" i="20" s="1"/>
  <c r="F1977" i="20"/>
  <c r="G1977" i="20" s="1"/>
  <c r="F1976" i="20"/>
  <c r="G1976" i="20" s="1"/>
  <c r="F1975" i="20"/>
  <c r="G1975" i="20" s="1"/>
  <c r="F1973" i="20"/>
  <c r="G1973" i="20" s="1"/>
  <c r="F1972" i="20"/>
  <c r="G1972" i="20" s="1"/>
  <c r="F1971" i="20"/>
  <c r="G1971" i="20" s="1"/>
  <c r="F1970" i="20"/>
  <c r="G1970" i="20" s="1"/>
  <c r="F1960" i="20"/>
  <c r="G1960" i="20" s="1"/>
  <c r="F1959" i="20"/>
  <c r="G1959" i="20" s="1"/>
  <c r="F1958" i="20"/>
  <c r="G1958" i="20" s="1"/>
  <c r="F1956" i="20"/>
  <c r="G1956" i="20" s="1"/>
  <c r="F1955" i="20"/>
  <c r="G1955" i="20" s="1"/>
  <c r="F1954" i="20"/>
  <c r="G1954" i="20" s="1"/>
  <c r="F1953" i="20"/>
  <c r="G1953" i="20" s="1"/>
  <c r="F1939" i="20"/>
  <c r="G1939" i="20" s="1"/>
  <c r="F1938" i="20"/>
  <c r="G1938" i="20" s="1"/>
  <c r="F1937" i="20"/>
  <c r="G1937" i="20" s="1"/>
  <c r="F1935" i="20"/>
  <c r="G1935" i="20" s="1"/>
  <c r="F1934" i="20"/>
  <c r="G1934" i="20" s="1"/>
  <c r="F1933" i="20"/>
  <c r="G1933" i="20" s="1"/>
  <c r="F1932" i="20"/>
  <c r="G1932" i="20" s="1"/>
  <c r="F1922" i="20"/>
  <c r="G1922" i="20" s="1"/>
  <c r="F1921" i="20"/>
  <c r="G1921" i="20" s="1"/>
  <c r="F1920" i="20"/>
  <c r="G1920" i="20" s="1"/>
  <c r="F1918" i="20"/>
  <c r="G1918" i="20" s="1"/>
  <c r="F1917" i="20"/>
  <c r="G1917" i="20" s="1"/>
  <c r="F1916" i="20"/>
  <c r="G1916" i="20" s="1"/>
  <c r="F1915" i="20"/>
  <c r="G1915" i="20" s="1"/>
  <c r="F1900" i="20"/>
  <c r="G1900" i="20" s="1"/>
  <c r="F1899" i="20"/>
  <c r="G1899" i="20" s="1"/>
  <c r="F1898" i="20"/>
  <c r="G1898" i="20" s="1"/>
  <c r="F1896" i="20"/>
  <c r="G1896" i="20" s="1"/>
  <c r="F1895" i="20"/>
  <c r="G1895" i="20" s="1"/>
  <c r="F1894" i="20"/>
  <c r="G1894" i="20" s="1"/>
  <c r="F1893" i="20"/>
  <c r="G1893" i="20" s="1"/>
  <c r="F1892" i="20"/>
  <c r="G1892" i="20" s="1"/>
  <c r="F1891" i="20"/>
  <c r="G1891" i="20" s="1"/>
  <c r="F1881" i="20"/>
  <c r="G1881" i="20" s="1"/>
  <c r="F1880" i="20"/>
  <c r="G1880" i="20" s="1"/>
  <c r="F1879" i="20"/>
  <c r="G1879" i="20" s="1"/>
  <c r="F1877" i="20"/>
  <c r="G1877" i="20" s="1"/>
  <c r="F1876" i="20"/>
  <c r="G1876" i="20" s="1"/>
  <c r="F1875" i="20"/>
  <c r="G1875" i="20" s="1"/>
  <c r="F1874" i="20"/>
  <c r="G1874" i="20" s="1"/>
  <c r="F1873" i="20"/>
  <c r="G1873" i="20" s="1"/>
  <c r="F1872" i="20"/>
  <c r="G1872" i="20" s="1"/>
  <c r="F1857" i="20"/>
  <c r="G1857" i="20" s="1"/>
  <c r="F1856" i="20"/>
  <c r="G1856" i="20" s="1"/>
  <c r="F1855" i="20"/>
  <c r="G1855" i="20" s="1"/>
  <c r="F1853" i="20"/>
  <c r="G1853" i="20" s="1"/>
  <c r="F1852" i="20"/>
  <c r="G1852" i="20" s="1"/>
  <c r="F1851" i="20"/>
  <c r="G1851" i="20" s="1"/>
  <c r="F1850" i="20"/>
  <c r="G1850" i="20" s="1"/>
  <c r="F1849" i="20"/>
  <c r="G1849" i="20" s="1"/>
  <c r="F1848" i="20"/>
  <c r="G1848" i="20" s="1"/>
  <c r="F1838" i="20"/>
  <c r="G1838" i="20" s="1"/>
  <c r="H1838" i="20" s="1"/>
  <c r="F1837" i="20"/>
  <c r="G1837" i="20" s="1"/>
  <c r="F1836" i="20"/>
  <c r="G1836" i="20" s="1"/>
  <c r="F1824" i="20"/>
  <c r="G1824" i="20" s="1"/>
  <c r="F1823" i="20"/>
  <c r="G1823" i="20" s="1"/>
  <c r="F1822" i="20"/>
  <c r="G1822" i="20" s="1"/>
  <c r="F1821" i="20"/>
  <c r="G1821" i="20" s="1"/>
  <c r="F1820" i="20"/>
  <c r="G1820" i="20" s="1"/>
  <c r="F1819" i="20"/>
  <c r="G1819" i="20" s="1"/>
  <c r="F1807" i="20"/>
  <c r="G1807" i="20" s="1"/>
  <c r="F1806" i="20"/>
  <c r="G1806" i="20" s="1"/>
  <c r="F1805" i="20"/>
  <c r="G1805" i="20" s="1"/>
  <c r="F1804" i="20"/>
  <c r="G1804" i="20" s="1"/>
  <c r="F1803" i="20"/>
  <c r="G1803" i="20" s="1"/>
  <c r="F1802" i="20"/>
  <c r="G1802" i="20" s="1"/>
  <c r="F1791" i="20"/>
  <c r="G1791" i="20" s="1"/>
  <c r="F1790" i="20"/>
  <c r="G1790" i="20" s="1"/>
  <c r="F1789" i="20"/>
  <c r="G1789" i="20" s="1"/>
  <c r="F1788" i="20"/>
  <c r="G1788" i="20" s="1"/>
  <c r="F1787" i="20"/>
  <c r="G1787" i="20" s="1"/>
  <c r="F1786" i="20"/>
  <c r="G1786" i="20" s="1"/>
  <c r="F1773" i="20"/>
  <c r="G1773" i="20" s="1"/>
  <c r="H1775" i="20" s="1"/>
  <c r="F1772" i="20"/>
  <c r="G1772" i="20" s="1"/>
  <c r="F1771" i="20"/>
  <c r="G1771" i="20" s="1"/>
  <c r="F1759" i="20"/>
  <c r="G1759" i="20" s="1"/>
  <c r="F1758" i="20"/>
  <c r="G1758" i="20" s="1"/>
  <c r="F1757" i="20"/>
  <c r="G1757" i="20" s="1"/>
  <c r="F1756" i="20"/>
  <c r="G1756" i="20" s="1"/>
  <c r="F1747" i="20"/>
  <c r="G1747" i="20" s="1"/>
  <c r="F1746" i="20"/>
  <c r="G1746" i="20" s="1"/>
  <c r="F1745" i="20"/>
  <c r="G1745" i="20" s="1"/>
  <c r="F1744" i="20"/>
  <c r="G1744" i="20" s="1"/>
  <c r="F1732" i="20"/>
  <c r="G1732" i="20" s="1"/>
  <c r="F1731" i="20"/>
  <c r="G1731" i="20" s="1"/>
  <c r="F1730" i="20"/>
  <c r="G1730" i="20" s="1"/>
  <c r="F1729" i="20"/>
  <c r="G1729" i="20" s="1"/>
  <c r="F1717" i="20"/>
  <c r="G1717" i="20" s="1"/>
  <c r="F1716" i="20"/>
  <c r="G1716" i="20" s="1"/>
  <c r="F1715" i="20"/>
  <c r="G1715" i="20" s="1"/>
  <c r="F1714" i="20"/>
  <c r="G1714" i="20" s="1"/>
  <c r="F1704" i="20"/>
  <c r="G1704" i="20" s="1"/>
  <c r="F1703" i="20"/>
  <c r="G1703" i="20" s="1"/>
  <c r="F1702" i="20"/>
  <c r="G1702" i="20" s="1"/>
  <c r="F1701" i="20"/>
  <c r="G1701" i="20" s="1"/>
  <c r="F1691" i="20"/>
  <c r="G1691" i="20" s="1"/>
  <c r="F1690" i="20"/>
  <c r="G1690" i="20" s="1"/>
  <c r="F1689" i="20"/>
  <c r="G1689" i="20" s="1"/>
  <c r="F1688" i="20"/>
  <c r="G1688" i="20" s="1"/>
  <c r="F1687" i="20"/>
  <c r="G1687" i="20" s="1"/>
  <c r="F1686" i="20"/>
  <c r="G1686" i="20" s="1"/>
  <c r="F1685" i="20"/>
  <c r="G1685" i="20" s="1"/>
  <c r="F1684" i="20"/>
  <c r="G1684" i="20" s="1"/>
  <c r="F1683" i="20"/>
  <c r="G1683" i="20" s="1"/>
  <c r="F1672" i="20"/>
  <c r="G1672" i="20" s="1"/>
  <c r="F1671" i="20"/>
  <c r="G1671" i="20" s="1"/>
  <c r="F1670" i="20"/>
  <c r="G1670" i="20" s="1"/>
  <c r="F1669" i="20"/>
  <c r="G1669" i="20" s="1"/>
  <c r="F1668" i="20"/>
  <c r="G1668" i="20" s="1"/>
  <c r="F1667" i="20"/>
  <c r="G1667" i="20" s="1"/>
  <c r="F1666" i="20"/>
  <c r="G1666" i="20" s="1"/>
  <c r="F1665" i="20"/>
  <c r="G1665" i="20" s="1"/>
  <c r="F1654" i="20"/>
  <c r="G1654" i="20" s="1"/>
  <c r="F1653" i="20"/>
  <c r="G1653" i="20" s="1"/>
  <c r="F1652" i="20"/>
  <c r="G1652" i="20" s="1"/>
  <c r="F1651" i="20"/>
  <c r="G1651" i="20" s="1"/>
  <c r="F1650" i="20"/>
  <c r="G1650" i="20" s="1"/>
  <c r="F1649" i="20"/>
  <c r="G1649" i="20" s="1"/>
  <c r="F1648" i="20"/>
  <c r="G1648" i="20" s="1"/>
  <c r="F1647" i="20"/>
  <c r="G1647" i="20" s="1"/>
  <c r="F1628" i="20"/>
  <c r="G1628" i="20" s="1"/>
  <c r="F1627" i="20"/>
  <c r="G1627" i="20" s="1"/>
  <c r="F1626" i="20"/>
  <c r="G1626" i="20" s="1"/>
  <c r="F1625" i="20"/>
  <c r="G1625" i="20" s="1"/>
  <c r="F1624" i="20"/>
  <c r="G1624" i="20" s="1"/>
  <c r="F1623" i="20"/>
  <c r="G1623" i="20" s="1"/>
  <c r="F1622" i="20"/>
  <c r="G1622" i="20" s="1"/>
  <c r="F1608" i="20"/>
  <c r="G1608" i="20" s="1"/>
  <c r="F1607" i="20"/>
  <c r="G1607" i="20" s="1"/>
  <c r="F1588" i="20"/>
  <c r="F1611" i="20" s="1"/>
  <c r="G1611" i="20" s="1"/>
  <c r="F1587" i="20"/>
  <c r="F1610" i="20" s="1"/>
  <c r="G1610" i="20" s="1"/>
  <c r="F1586" i="20"/>
  <c r="F1609" i="20" s="1"/>
  <c r="G1609" i="20" s="1"/>
  <c r="F1585" i="20"/>
  <c r="G1585" i="20" s="1"/>
  <c r="F1584" i="20"/>
  <c r="F1606" i="20" s="1"/>
  <c r="G1606" i="20" s="1"/>
  <c r="F1583" i="20"/>
  <c r="F1605" i="20" s="1"/>
  <c r="G1605" i="20" s="1"/>
  <c r="F1582" i="20"/>
  <c r="F1604" i="20" s="1"/>
  <c r="G1604" i="20" s="1"/>
  <c r="F1570" i="20"/>
  <c r="G1570" i="20" s="1"/>
  <c r="F1569" i="20"/>
  <c r="G1569" i="20" s="1"/>
  <c r="F1568" i="20"/>
  <c r="G1568" i="20" s="1"/>
  <c r="F1567" i="20"/>
  <c r="G1567" i="20" s="1"/>
  <c r="F1566" i="20"/>
  <c r="G1566" i="20" s="1"/>
  <c r="F1565" i="20"/>
  <c r="G1565" i="20" s="1"/>
  <c r="F1564" i="20"/>
  <c r="G1564" i="20" s="1"/>
  <c r="F1546" i="20"/>
  <c r="G1546" i="20" s="1"/>
  <c r="F1545" i="20"/>
  <c r="G1545" i="20" s="1"/>
  <c r="F1544" i="20"/>
  <c r="G1544" i="20" s="1"/>
  <c r="F1543" i="20"/>
  <c r="G1543" i="20" s="1"/>
  <c r="F1542" i="20"/>
  <c r="G1542" i="20" s="1"/>
  <c r="F1541" i="20"/>
  <c r="G1541" i="20" s="1"/>
  <c r="F1540" i="20"/>
  <c r="G1540" i="20" s="1"/>
  <c r="F1530" i="20"/>
  <c r="G1530" i="20" s="1"/>
  <c r="F1528" i="20"/>
  <c r="G1528" i="20" s="1"/>
  <c r="F1527" i="20"/>
  <c r="G1527" i="20" s="1"/>
  <c r="F1526" i="20"/>
  <c r="G1526" i="20" s="1"/>
  <c r="F1525" i="20"/>
  <c r="G1525" i="20" s="1"/>
  <c r="F1524" i="20"/>
  <c r="G1524" i="20" s="1"/>
  <c r="F1523" i="20"/>
  <c r="G1523" i="20" s="1"/>
  <c r="F1522" i="20"/>
  <c r="G1522" i="20" s="1"/>
  <c r="F1507" i="20"/>
  <c r="G1507" i="20" s="1"/>
  <c r="F1506" i="20"/>
  <c r="G1506" i="20" s="1"/>
  <c r="F1505" i="20"/>
  <c r="G1505" i="20" s="1"/>
  <c r="F1504" i="20"/>
  <c r="G1504" i="20" s="1"/>
  <c r="F1503" i="20"/>
  <c r="G1503" i="20" s="1"/>
  <c r="F1492" i="20"/>
  <c r="G1492" i="20" s="1"/>
  <c r="H1493" i="20" s="1"/>
  <c r="F1491" i="20"/>
  <c r="G1491" i="20" s="1"/>
  <c r="F1490" i="20"/>
  <c r="G1490" i="20" s="1"/>
  <c r="F1478" i="20"/>
  <c r="G1478" i="20" s="1"/>
  <c r="H1479" i="20" s="1"/>
  <c r="F1477" i="20"/>
  <c r="G1477" i="20" s="1"/>
  <c r="F1476" i="20"/>
  <c r="G1476" i="20" s="1"/>
  <c r="F1465" i="20"/>
  <c r="G1465" i="20" s="1"/>
  <c r="F1464" i="20"/>
  <c r="G1464" i="20" s="1"/>
  <c r="F1463" i="20"/>
  <c r="G1463" i="20" s="1"/>
  <c r="F1462" i="20"/>
  <c r="G1462" i="20" s="1"/>
  <c r="F1461" i="20"/>
  <c r="G1461" i="20" s="1"/>
  <c r="F1460" i="20"/>
  <c r="G1460" i="20" s="1"/>
  <c r="F1450" i="20"/>
  <c r="G1450" i="20" s="1"/>
  <c r="H1451" i="20" s="1"/>
  <c r="F1449" i="20"/>
  <c r="G1449" i="20" s="1"/>
  <c r="F1448" i="20"/>
  <c r="G1448" i="20" s="1"/>
  <c r="F1436" i="20"/>
  <c r="G1436" i="20" s="1"/>
  <c r="F1435" i="20"/>
  <c r="G1435" i="20" s="1"/>
  <c r="F1434" i="20"/>
  <c r="G1434" i="20" s="1"/>
  <c r="F1433" i="20"/>
  <c r="G1433" i="20" s="1"/>
  <c r="F1432" i="20"/>
  <c r="G1432" i="20" s="1"/>
  <c r="F1431" i="20"/>
  <c r="G1431" i="20" s="1"/>
  <c r="F1420" i="20"/>
  <c r="G1420" i="20" s="1"/>
  <c r="H1421" i="20" s="1"/>
  <c r="F1418" i="20"/>
  <c r="G1418" i="20" s="1"/>
  <c r="F1417" i="20"/>
  <c r="G1417" i="20" s="1"/>
  <c r="F1406" i="20"/>
  <c r="D1406" i="20"/>
  <c r="F1404" i="20"/>
  <c r="G1404" i="20" s="1"/>
  <c r="F1403" i="20"/>
  <c r="G1403" i="20" s="1"/>
  <c r="G1392" i="20"/>
  <c r="H1393" i="20" s="1"/>
  <c r="G1390" i="20"/>
  <c r="G1389" i="20"/>
  <c r="F1376" i="20"/>
  <c r="G1376" i="20" s="1"/>
  <c r="F1375" i="20"/>
  <c r="G1375" i="20" s="1"/>
  <c r="F1373" i="20"/>
  <c r="G1373" i="20" s="1"/>
  <c r="F1372" i="20"/>
  <c r="G1372" i="20" s="1"/>
  <c r="F1371" i="20"/>
  <c r="G1371" i="20" s="1"/>
  <c r="F1357" i="20"/>
  <c r="G1357" i="20" s="1"/>
  <c r="F1356" i="20"/>
  <c r="G1356" i="20" s="1"/>
  <c r="F1354" i="20"/>
  <c r="G1354" i="20" s="1"/>
  <c r="F1353" i="20"/>
  <c r="G1353" i="20" s="1"/>
  <c r="F1352" i="20"/>
  <c r="G1352" i="20" s="1"/>
  <c r="F1328" i="20"/>
  <c r="G1328" i="20" s="1"/>
  <c r="H1329" i="20" s="1"/>
  <c r="F1327" i="20"/>
  <c r="G1327" i="20" s="1"/>
  <c r="F1326" i="20"/>
  <c r="G1326" i="20" s="1"/>
  <c r="F1312" i="20"/>
  <c r="G1312" i="20" s="1"/>
  <c r="H1313" i="20" s="1"/>
  <c r="F1311" i="20"/>
  <c r="G1311" i="20" s="1"/>
  <c r="F1310" i="20"/>
  <c r="G1310" i="20" s="1"/>
  <c r="F1299" i="20"/>
  <c r="G1299" i="20" s="1"/>
  <c r="F1298" i="20"/>
  <c r="G1298" i="20" s="1"/>
  <c r="F1297" i="20"/>
  <c r="G1297" i="20" s="1"/>
  <c r="F1296" i="20"/>
  <c r="G1296" i="20" s="1"/>
  <c r="F1295" i="20"/>
  <c r="G1295" i="20" s="1"/>
  <c r="F1294" i="20"/>
  <c r="G1294" i="20" s="1"/>
  <c r="F1283" i="20"/>
  <c r="G1283" i="20" s="1"/>
  <c r="F1282" i="20"/>
  <c r="G1282" i="20" s="1"/>
  <c r="F1281" i="20"/>
  <c r="G1281" i="20" s="1"/>
  <c r="F1280" i="20"/>
  <c r="G1280" i="20" s="1"/>
  <c r="F1279" i="20"/>
  <c r="G1279" i="20" s="1"/>
  <c r="F1278" i="20"/>
  <c r="G1278" i="20" s="1"/>
  <c r="F1269" i="20"/>
  <c r="G1269" i="20" s="1"/>
  <c r="F1268" i="20"/>
  <c r="G1268" i="20" s="1"/>
  <c r="F1267" i="20"/>
  <c r="G1267" i="20" s="1"/>
  <c r="F1266" i="20"/>
  <c r="G1266" i="20" s="1"/>
  <c r="F1265" i="20"/>
  <c r="G1265" i="20" s="1"/>
  <c r="F1264" i="20"/>
  <c r="G1264" i="20" s="1"/>
  <c r="F1250" i="20"/>
  <c r="G1250" i="20" s="1"/>
  <c r="H1251" i="20" s="1"/>
  <c r="F1249" i="20"/>
  <c r="G1249" i="20" s="1"/>
  <c r="F1248" i="20"/>
  <c r="G1248" i="20" s="1"/>
  <c r="F1232" i="20"/>
  <c r="G1232" i="20" s="1"/>
  <c r="H1233" i="20" s="1"/>
  <c r="F1231" i="20"/>
  <c r="G1231" i="20" s="1"/>
  <c r="F1230" i="20"/>
  <c r="G1230" i="20" s="1"/>
  <c r="F1220" i="20"/>
  <c r="G1220" i="20" s="1"/>
  <c r="F1219" i="20"/>
  <c r="G1219" i="20" s="1"/>
  <c r="F1218" i="20"/>
  <c r="G1218" i="20" s="1"/>
  <c r="F1217" i="20"/>
  <c r="G1217" i="20" s="1"/>
  <c r="F1216" i="20"/>
  <c r="G1216" i="20" s="1"/>
  <c r="F1215" i="20"/>
  <c r="G1215" i="20" s="1"/>
  <c r="F1203" i="20"/>
  <c r="G1203" i="20" s="1"/>
  <c r="F1202" i="20"/>
  <c r="G1202" i="20" s="1"/>
  <c r="F1201" i="20"/>
  <c r="G1201" i="20" s="1"/>
  <c r="F1200" i="20"/>
  <c r="G1200" i="20" s="1"/>
  <c r="F1199" i="20"/>
  <c r="G1199" i="20" s="1"/>
  <c r="F1198" i="20"/>
  <c r="G1198" i="20" s="1"/>
  <c r="F1187" i="20"/>
  <c r="G1187" i="20" s="1"/>
  <c r="F1186" i="20"/>
  <c r="G1186" i="20" s="1"/>
  <c r="F1185" i="20"/>
  <c r="G1185" i="20" s="1"/>
  <c r="F1184" i="20"/>
  <c r="G1184" i="20" s="1"/>
  <c r="F1183" i="20"/>
  <c r="G1183" i="20" s="1"/>
  <c r="F1182" i="20"/>
  <c r="G1182" i="20" s="1"/>
  <c r="F1172" i="20"/>
  <c r="G1172" i="20" s="1"/>
  <c r="F1170" i="20"/>
  <c r="G1170" i="20" s="1"/>
  <c r="F1169" i="20"/>
  <c r="G1169" i="20" s="1"/>
  <c r="F1146" i="20"/>
  <c r="G1146" i="20" s="1"/>
  <c r="F1144" i="20"/>
  <c r="G1144" i="20" s="1"/>
  <c r="F1143" i="20"/>
  <c r="G1143" i="20" s="1"/>
  <c r="F1127" i="20"/>
  <c r="G1127" i="20" s="1"/>
  <c r="F1126" i="20"/>
  <c r="G1126" i="20" s="1"/>
  <c r="F1125" i="20"/>
  <c r="G1125" i="20" s="1"/>
  <c r="F1124" i="20"/>
  <c r="G1124" i="20" s="1"/>
  <c r="F1123" i="20"/>
  <c r="G1123" i="20" s="1"/>
  <c r="F1122" i="20"/>
  <c r="G1122" i="20" s="1"/>
  <c r="F1098" i="20"/>
  <c r="G1098" i="20" s="1"/>
  <c r="F1097" i="20"/>
  <c r="G1097" i="20" s="1"/>
  <c r="F1096" i="20"/>
  <c r="G1096" i="20" s="1"/>
  <c r="F1095" i="20"/>
  <c r="G1095" i="20" s="1"/>
  <c r="F1094" i="20"/>
  <c r="G1094" i="20" s="1"/>
  <c r="F1093" i="20"/>
  <c r="G1093" i="20" s="1"/>
  <c r="F1082" i="20"/>
  <c r="G1082" i="20" s="1"/>
  <c r="F1081" i="20"/>
  <c r="G1081" i="20" s="1"/>
  <c r="F1080" i="20"/>
  <c r="G1080" i="20" s="1"/>
  <c r="F1079" i="20"/>
  <c r="G1079" i="20" s="1"/>
  <c r="F1060" i="20"/>
  <c r="G1060" i="20" s="1"/>
  <c r="F1059" i="20"/>
  <c r="G1059" i="20" s="1"/>
  <c r="F1058" i="20"/>
  <c r="G1058" i="20" s="1"/>
  <c r="F1057" i="20"/>
  <c r="G1057" i="20" s="1"/>
  <c r="F1040" i="20"/>
  <c r="G1040" i="20" s="1"/>
  <c r="F1039" i="20"/>
  <c r="G1039" i="20" s="1"/>
  <c r="F1038" i="20"/>
  <c r="G1038" i="20" s="1"/>
  <c r="F1037" i="20"/>
  <c r="G1037" i="20" s="1"/>
  <c r="F1036" i="20"/>
  <c r="G1036" i="20" s="1"/>
  <c r="F1035" i="20"/>
  <c r="G1035" i="20" s="1"/>
  <c r="F1019" i="20"/>
  <c r="G1019" i="20" s="1"/>
  <c r="F1018" i="20"/>
  <c r="G1018" i="20" s="1"/>
  <c r="F1017" i="20"/>
  <c r="G1017" i="20" s="1"/>
  <c r="F1016" i="20"/>
  <c r="G1016" i="20" s="1"/>
  <c r="F1004" i="20"/>
  <c r="G1004" i="20" s="1"/>
  <c r="F1003" i="20"/>
  <c r="G1003" i="20" s="1"/>
  <c r="F1002" i="20"/>
  <c r="G1002" i="20" s="1"/>
  <c r="F1001" i="20"/>
  <c r="G1001" i="20" s="1"/>
  <c r="F991" i="20"/>
  <c r="G991" i="20" s="1"/>
  <c r="F990" i="20"/>
  <c r="G990" i="20" s="1"/>
  <c r="F989" i="20"/>
  <c r="G989" i="20" s="1"/>
  <c r="F988" i="20"/>
  <c r="G988" i="20" s="1"/>
  <c r="F976" i="20"/>
  <c r="G976" i="20" s="1"/>
  <c r="F974" i="20"/>
  <c r="G974" i="20" s="1"/>
  <c r="F973" i="20"/>
  <c r="G973" i="20" s="1"/>
  <c r="F972" i="20"/>
  <c r="G972" i="20" s="1"/>
  <c r="F971" i="20"/>
  <c r="G971" i="20" s="1"/>
  <c r="F970" i="20"/>
  <c r="G970" i="20" s="1"/>
  <c r="F969" i="20"/>
  <c r="G969" i="20" s="1"/>
  <c r="F959" i="20"/>
  <c r="G959" i="20" s="1"/>
  <c r="H959" i="20" s="1"/>
  <c r="F958" i="20"/>
  <c r="G958" i="20" s="1"/>
  <c r="F957" i="20"/>
  <c r="G957" i="20" s="1"/>
  <c r="F940" i="20"/>
  <c r="G940" i="20" s="1"/>
  <c r="F939" i="20"/>
  <c r="G939" i="20" s="1"/>
  <c r="F937" i="20"/>
  <c r="G937" i="20" s="1"/>
  <c r="F936" i="20"/>
  <c r="G936" i="20" s="1"/>
  <c r="F935" i="20"/>
  <c r="G935" i="20" s="1"/>
  <c r="F934" i="20"/>
  <c r="G934" i="20" s="1"/>
  <c r="F933" i="20"/>
  <c r="G933" i="20" s="1"/>
  <c r="F932" i="20"/>
  <c r="G932" i="20" s="1"/>
  <c r="F931" i="20"/>
  <c r="G931" i="20" s="1"/>
  <c r="F919" i="20"/>
  <c r="G919" i="20" s="1"/>
  <c r="F918" i="20"/>
  <c r="G918" i="20" s="1"/>
  <c r="F916" i="20"/>
  <c r="G916" i="20" s="1"/>
  <c r="F915" i="20"/>
  <c r="G915" i="20" s="1"/>
  <c r="F914" i="20"/>
  <c r="G914" i="20" s="1"/>
  <c r="F913" i="20"/>
  <c r="G913" i="20" s="1"/>
  <c r="F912" i="20"/>
  <c r="G912" i="20" s="1"/>
  <c r="F911" i="20"/>
  <c r="G911" i="20" s="1"/>
  <c r="F894" i="20"/>
  <c r="G894" i="20" s="1"/>
  <c r="F893" i="20"/>
  <c r="G893" i="20" s="1"/>
  <c r="F891" i="20"/>
  <c r="G891" i="20" s="1"/>
  <c r="F890" i="20"/>
  <c r="G890" i="20" s="1"/>
  <c r="F889" i="20"/>
  <c r="G889" i="20" s="1"/>
  <c r="F888" i="20"/>
  <c r="G888" i="20" s="1"/>
  <c r="F887" i="20"/>
  <c r="G887" i="20" s="1"/>
  <c r="F886" i="20"/>
  <c r="G886" i="20" s="1"/>
  <c r="F874" i="20"/>
  <c r="G874" i="20" s="1"/>
  <c r="F873" i="20"/>
  <c r="G873" i="20" s="1"/>
  <c r="F871" i="20"/>
  <c r="G871" i="20" s="1"/>
  <c r="F870" i="20"/>
  <c r="G870" i="20" s="1"/>
  <c r="F869" i="20"/>
  <c r="G869" i="20" s="1"/>
  <c r="F868" i="20"/>
  <c r="G868" i="20" s="1"/>
  <c r="F867" i="20"/>
  <c r="G867" i="20" s="1"/>
  <c r="F866" i="20"/>
  <c r="G866" i="20" s="1"/>
  <c r="F848" i="20"/>
  <c r="G848" i="20" s="1"/>
  <c r="F847" i="20"/>
  <c r="G847" i="20" s="1"/>
  <c r="F845" i="20"/>
  <c r="G845" i="20" s="1"/>
  <c r="F844" i="20"/>
  <c r="G844" i="20" s="1"/>
  <c r="F843" i="20"/>
  <c r="G843" i="20" s="1"/>
  <c r="F842" i="20"/>
  <c r="G842" i="20" s="1"/>
  <c r="F841" i="20"/>
  <c r="G841" i="20" s="1"/>
  <c r="F840" i="20"/>
  <c r="G840" i="20" s="1"/>
  <c r="F829" i="20"/>
  <c r="G829" i="20" s="1"/>
  <c r="F828" i="20"/>
  <c r="G828" i="20" s="1"/>
  <c r="F827" i="20"/>
  <c r="G827" i="20" s="1"/>
  <c r="F826" i="20"/>
  <c r="G826" i="20" s="1"/>
  <c r="F825" i="20"/>
  <c r="G825" i="20" s="1"/>
  <c r="F824" i="20"/>
  <c r="G824" i="20" s="1"/>
  <c r="F806" i="20"/>
  <c r="G806" i="20" s="1"/>
  <c r="F805" i="20"/>
  <c r="G805" i="20" s="1"/>
  <c r="F804" i="20"/>
  <c r="G804" i="20" s="1"/>
  <c r="F803" i="20"/>
  <c r="G803" i="20" s="1"/>
  <c r="F802" i="20"/>
  <c r="G802" i="20" s="1"/>
  <c r="F801" i="20"/>
  <c r="G801" i="20" s="1"/>
  <c r="F790" i="20"/>
  <c r="G790" i="20" s="1"/>
  <c r="F789" i="20"/>
  <c r="G789" i="20" s="1"/>
  <c r="F788" i="20"/>
  <c r="G788" i="20" s="1"/>
  <c r="F787" i="20"/>
  <c r="G787" i="20" s="1"/>
  <c r="F786" i="20"/>
  <c r="G786" i="20" s="1"/>
  <c r="F785" i="20"/>
  <c r="G785" i="20" s="1"/>
  <c r="F784" i="20"/>
  <c r="G784" i="20" s="1"/>
  <c r="F768" i="20"/>
  <c r="G768" i="20" s="1"/>
  <c r="F767" i="20"/>
  <c r="G767" i="20" s="1"/>
  <c r="F766" i="20"/>
  <c r="G766" i="20" s="1"/>
  <c r="F765" i="20"/>
  <c r="G765" i="20" s="1"/>
  <c r="F764" i="20"/>
  <c r="G764" i="20" s="1"/>
  <c r="F763" i="20"/>
  <c r="G763" i="20" s="1"/>
  <c r="F762" i="20"/>
  <c r="G762" i="20" s="1"/>
  <c r="F752" i="20"/>
  <c r="G752" i="20" s="1"/>
  <c r="F751" i="20"/>
  <c r="G751" i="20" s="1"/>
  <c r="F750" i="20"/>
  <c r="G750" i="20" s="1"/>
  <c r="F749" i="20"/>
  <c r="G749" i="20" s="1"/>
  <c r="F748" i="20"/>
  <c r="G748" i="20" s="1"/>
  <c r="F747" i="20"/>
  <c r="G747" i="20" s="1"/>
  <c r="F736" i="20"/>
  <c r="G736" i="20" s="1"/>
  <c r="F735" i="20"/>
  <c r="G735" i="20" s="1"/>
  <c r="F734" i="20"/>
  <c r="G734" i="20" s="1"/>
  <c r="F733" i="20"/>
  <c r="G733" i="20" s="1"/>
  <c r="F732" i="20"/>
  <c r="G732" i="20" s="1"/>
  <c r="F731" i="20"/>
  <c r="G731" i="20" s="1"/>
  <c r="F716" i="20"/>
  <c r="G716" i="20" s="1"/>
  <c r="F715" i="20"/>
  <c r="G715" i="20" s="1"/>
  <c r="F714" i="20"/>
  <c r="G714" i="20" s="1"/>
  <c r="F713" i="20"/>
  <c r="G713" i="20" s="1"/>
  <c r="F712" i="20"/>
  <c r="G712" i="20" s="1"/>
  <c r="F704" i="20"/>
  <c r="G704" i="20" s="1"/>
  <c r="F703" i="20"/>
  <c r="G703" i="20" s="1"/>
  <c r="F702" i="20"/>
  <c r="G702" i="20" s="1"/>
  <c r="H702" i="20" s="1"/>
  <c r="F673" i="20"/>
  <c r="G673" i="20" s="1"/>
  <c r="F672" i="20"/>
  <c r="G672" i="20" s="1"/>
  <c r="F671" i="20"/>
  <c r="G671" i="20" s="1"/>
  <c r="F670" i="20"/>
  <c r="G670" i="20" s="1"/>
  <c r="F669" i="20"/>
  <c r="G669" i="20" s="1"/>
  <c r="F659" i="20"/>
  <c r="G659" i="20" s="1"/>
  <c r="F658" i="20"/>
  <c r="G658" i="20" s="1"/>
  <c r="F657" i="20"/>
  <c r="G657" i="20" s="1"/>
  <c r="F656" i="20"/>
  <c r="G656" i="20" s="1"/>
  <c r="F645" i="20"/>
  <c r="G645" i="20" s="1"/>
  <c r="F644" i="20"/>
  <c r="G644" i="20" s="1"/>
  <c r="F643" i="20"/>
  <c r="G643" i="20" s="1"/>
  <c r="F642" i="20"/>
  <c r="G642" i="20" s="1"/>
  <c r="F641" i="20"/>
  <c r="G641" i="20" s="1"/>
  <c r="F640" i="20"/>
  <c r="G640" i="20" s="1"/>
  <c r="F629" i="20"/>
  <c r="G629" i="20" s="1"/>
  <c r="F628" i="20"/>
  <c r="G628" i="20" s="1"/>
  <c r="F627" i="20"/>
  <c r="G627" i="20" s="1"/>
  <c r="F626" i="20"/>
  <c r="G626" i="20" s="1"/>
  <c r="F625" i="20"/>
  <c r="G625" i="20" s="1"/>
  <c r="F624" i="20"/>
  <c r="G624" i="20" s="1"/>
  <c r="F612" i="20"/>
  <c r="G612" i="20" s="1"/>
  <c r="F611" i="20"/>
  <c r="G611" i="20" s="1"/>
  <c r="F610" i="20"/>
  <c r="G610" i="20" s="1"/>
  <c r="F609" i="20"/>
  <c r="G609" i="20" s="1"/>
  <c r="F608" i="20"/>
  <c r="G608" i="20" s="1"/>
  <c r="F607" i="20"/>
  <c r="G607" i="20" s="1"/>
  <c r="F587" i="20"/>
  <c r="G587" i="20" s="1"/>
  <c r="F586" i="20"/>
  <c r="G586" i="20" s="1"/>
  <c r="F585" i="20"/>
  <c r="G585" i="20" s="1"/>
  <c r="F584" i="20"/>
  <c r="G584" i="20" s="1"/>
  <c r="H589" i="20" s="1"/>
  <c r="F583" i="20"/>
  <c r="G583" i="20" s="1"/>
  <c r="F582" i="20"/>
  <c r="G582" i="20" s="1"/>
  <c r="F569" i="20"/>
  <c r="G569" i="20" s="1"/>
  <c r="F568" i="20"/>
  <c r="G568" i="20" s="1"/>
  <c r="F567" i="20"/>
  <c r="G567" i="20" s="1"/>
  <c r="F565" i="20"/>
  <c r="G565" i="20" s="1"/>
  <c r="H572" i="20" s="1"/>
  <c r="F564" i="20"/>
  <c r="G564" i="20" s="1"/>
  <c r="F563" i="20"/>
  <c r="G563" i="20" s="1"/>
  <c r="F547" i="20"/>
  <c r="G547" i="20" s="1"/>
  <c r="F546" i="20"/>
  <c r="G546" i="20" s="1"/>
  <c r="F545" i="20"/>
  <c r="G545" i="20" s="1"/>
  <c r="H549" i="20" s="1"/>
  <c r="F544" i="20"/>
  <c r="G544" i="20" s="1"/>
  <c r="F543" i="20"/>
  <c r="G543" i="20" s="1"/>
  <c r="F531" i="20"/>
  <c r="G531" i="20" s="1"/>
  <c r="F530" i="20"/>
  <c r="G530" i="20" s="1"/>
  <c r="F529" i="20"/>
  <c r="G529" i="20" s="1"/>
  <c r="F528" i="20"/>
  <c r="G528" i="20" s="1"/>
  <c r="H533" i="20" s="1"/>
  <c r="F527" i="20"/>
  <c r="G527" i="20" s="1"/>
  <c r="F526" i="20"/>
  <c r="G526" i="20" s="1"/>
  <c r="F506" i="20"/>
  <c r="G506" i="20" s="1"/>
  <c r="F505" i="20"/>
  <c r="G505" i="20" s="1"/>
  <c r="F504" i="20"/>
  <c r="G504" i="20" s="1"/>
  <c r="F503" i="20"/>
  <c r="G503" i="20" s="1"/>
  <c r="H508" i="20" s="1"/>
  <c r="F502" i="20"/>
  <c r="G502" i="20" s="1"/>
  <c r="F501" i="20"/>
  <c r="G501" i="20" s="1"/>
  <c r="F489" i="20"/>
  <c r="G489" i="20" s="1"/>
  <c r="F488" i="20"/>
  <c r="G488" i="20" s="1"/>
  <c r="F487" i="20"/>
  <c r="G487" i="20" s="1"/>
  <c r="F486" i="20"/>
  <c r="G486" i="20" s="1"/>
  <c r="H491" i="20" s="1"/>
  <c r="F485" i="20"/>
  <c r="G485" i="20" s="1"/>
  <c r="F484" i="20"/>
  <c r="G484" i="20" s="1"/>
  <c r="F465" i="20"/>
  <c r="G465" i="20" s="1"/>
  <c r="F464" i="20"/>
  <c r="G464" i="20" s="1"/>
  <c r="F463" i="20"/>
  <c r="G463" i="20" s="1"/>
  <c r="F462" i="20"/>
  <c r="G462" i="20" s="1"/>
  <c r="H467" i="20" s="1"/>
  <c r="F461" i="20"/>
  <c r="G461" i="20" s="1"/>
  <c r="F460" i="20"/>
  <c r="G460" i="20" s="1"/>
  <c r="F448" i="20"/>
  <c r="G448" i="20" s="1"/>
  <c r="F447" i="20"/>
  <c r="G447" i="20" s="1"/>
  <c r="F446" i="20"/>
  <c r="G446" i="20" s="1"/>
  <c r="F445" i="20"/>
  <c r="G445" i="20" s="1"/>
  <c r="H450" i="20" s="1"/>
  <c r="F444" i="20"/>
  <c r="G444" i="20" s="1"/>
  <c r="F443" i="20"/>
  <c r="G443" i="20" s="1"/>
  <c r="F425" i="20"/>
  <c r="G425" i="20" s="1"/>
  <c r="F424" i="20"/>
  <c r="G424" i="20" s="1"/>
  <c r="F423" i="20"/>
  <c r="G423" i="20" s="1"/>
  <c r="F422" i="20"/>
  <c r="G422" i="20" s="1"/>
  <c r="H427" i="20" s="1"/>
  <c r="F421" i="20"/>
  <c r="G421" i="20" s="1"/>
  <c r="F420" i="20"/>
  <c r="G420" i="20" s="1"/>
  <c r="F408" i="20"/>
  <c r="G408" i="20" s="1"/>
  <c r="F407" i="20"/>
  <c r="G407" i="20" s="1"/>
  <c r="F406" i="20"/>
  <c r="G406" i="20" s="1"/>
  <c r="F405" i="20"/>
  <c r="G405" i="20" s="1"/>
  <c r="H410" i="20" s="1"/>
  <c r="F404" i="20"/>
  <c r="G404" i="20" s="1"/>
  <c r="F403" i="20"/>
  <c r="G403" i="20" s="1"/>
  <c r="F383" i="20"/>
  <c r="G383" i="20" s="1"/>
  <c r="F382" i="20"/>
  <c r="G382" i="20" s="1"/>
  <c r="F381" i="20"/>
  <c r="G381" i="20" s="1"/>
  <c r="F380" i="20"/>
  <c r="G380" i="20" s="1"/>
  <c r="H385" i="20" s="1"/>
  <c r="F379" i="20"/>
  <c r="G379" i="20" s="1"/>
  <c r="F378" i="20"/>
  <c r="G378" i="20" s="1"/>
  <c r="F366" i="20"/>
  <c r="G366" i="20" s="1"/>
  <c r="F365" i="20"/>
  <c r="G365" i="20" s="1"/>
  <c r="F364" i="20"/>
  <c r="G364" i="20" s="1"/>
  <c r="F363" i="20"/>
  <c r="G363" i="20" s="1"/>
  <c r="H368" i="20" s="1"/>
  <c r="F362" i="20"/>
  <c r="G362" i="20" s="1"/>
  <c r="F361" i="20"/>
  <c r="G361" i="20" s="1"/>
  <c r="F341" i="20"/>
  <c r="G341" i="20" s="1"/>
  <c r="F340" i="20"/>
  <c r="G340" i="20" s="1"/>
  <c r="F339" i="20"/>
  <c r="G339" i="20" s="1"/>
  <c r="F338" i="20"/>
  <c r="G338" i="20" s="1"/>
  <c r="H343" i="20" s="1"/>
  <c r="F337" i="20"/>
  <c r="G337" i="20" s="1"/>
  <c r="F336" i="20"/>
  <c r="G336" i="20" s="1"/>
  <c r="F323" i="20"/>
  <c r="G323" i="20" s="1"/>
  <c r="F322" i="20"/>
  <c r="G322" i="20" s="1"/>
  <c r="F321" i="20"/>
  <c r="G321" i="20" s="1"/>
  <c r="F320" i="20"/>
  <c r="G320" i="20" s="1"/>
  <c r="H325" i="20" s="1"/>
  <c r="F319" i="20"/>
  <c r="G319" i="20" s="1"/>
  <c r="F318" i="20"/>
  <c r="G318" i="20" s="1"/>
  <c r="F296" i="20"/>
  <c r="G296" i="20" s="1"/>
  <c r="F295" i="20"/>
  <c r="G295" i="20" s="1"/>
  <c r="F294" i="20"/>
  <c r="G294" i="20" s="1"/>
  <c r="F293" i="20"/>
  <c r="G293" i="20" s="1"/>
  <c r="H298" i="20" s="1"/>
  <c r="F292" i="20"/>
  <c r="G292" i="20" s="1"/>
  <c r="F291" i="20"/>
  <c r="G291" i="20" s="1"/>
  <c r="F280" i="20"/>
  <c r="G280" i="20" s="1"/>
  <c r="H280" i="20" s="1"/>
  <c r="F269" i="20"/>
  <c r="G269" i="20" s="1"/>
  <c r="H269" i="20" s="1"/>
  <c r="F258" i="20"/>
  <c r="G258" i="20" s="1"/>
  <c r="H258" i="20" s="1"/>
  <c r="F235" i="20"/>
  <c r="G235" i="20" s="1"/>
  <c r="F226" i="20"/>
  <c r="G226" i="20" s="1"/>
  <c r="H226" i="20" s="1"/>
  <c r="F225" i="20"/>
  <c r="G225" i="20" s="1"/>
  <c r="H225" i="20" s="1"/>
  <c r="F214" i="20"/>
  <c r="G214" i="20" s="1"/>
  <c r="F213" i="20"/>
  <c r="G213" i="20" s="1"/>
  <c r="H213" i="20" s="1"/>
  <c r="F203" i="20"/>
  <c r="G203" i="20" s="1"/>
  <c r="H203" i="20" s="1"/>
  <c r="F202" i="20"/>
  <c r="G202" i="20" s="1"/>
  <c r="H202" i="20" s="1"/>
  <c r="F190" i="20"/>
  <c r="G190" i="20" s="1"/>
  <c r="H190" i="20" s="1"/>
  <c r="F180" i="20"/>
  <c r="G180" i="20" s="1"/>
  <c r="F179" i="20"/>
  <c r="G179" i="20" s="1"/>
  <c r="H179" i="20" s="1"/>
  <c r="F166" i="20"/>
  <c r="G166" i="20" s="1"/>
  <c r="H166" i="20" s="1"/>
  <c r="F151" i="20"/>
  <c r="G151" i="20" s="1"/>
  <c r="H151" i="20" s="1"/>
  <c r="F139" i="20"/>
  <c r="G139" i="20" s="1"/>
  <c r="H139" i="20" s="1"/>
  <c r="H123" i="20"/>
  <c r="H121" i="20"/>
  <c r="F118" i="20"/>
  <c r="G118" i="20" s="1"/>
  <c r="F117" i="20"/>
  <c r="G117" i="20" s="1"/>
  <c r="F116" i="20"/>
  <c r="G116" i="20" s="1"/>
  <c r="G115" i="20"/>
  <c r="H105" i="20"/>
  <c r="F104" i="20"/>
  <c r="G104" i="20" s="1"/>
  <c r="F103" i="20"/>
  <c r="G103" i="20" s="1"/>
  <c r="F101" i="20"/>
  <c r="G101" i="20" s="1"/>
  <c r="F100" i="20"/>
  <c r="G100" i="20" s="1"/>
  <c r="F99" i="20"/>
  <c r="G99" i="20" s="1"/>
  <c r="A95" i="20"/>
  <c r="A111" i="20" s="1"/>
  <c r="A135" i="20" s="1"/>
  <c r="A147" i="20" s="1"/>
  <c r="A162" i="20" s="1"/>
  <c r="A175" i="20" s="1"/>
  <c r="A199" i="20" s="1"/>
  <c r="A209" i="20" s="1"/>
  <c r="A221" i="20" s="1"/>
  <c r="A232" i="20" s="1"/>
  <c r="A244" i="20" s="1"/>
  <c r="A254" i="20" s="1"/>
  <c r="A265" i="20" s="1"/>
  <c r="A276" i="20" s="1"/>
  <c r="A286" i="20" s="1"/>
  <c r="A313" i="20" s="1"/>
  <c r="A331" i="20" s="1"/>
  <c r="A356" i="20" s="1"/>
  <c r="A373" i="20" s="1"/>
  <c r="A398" i="20" s="1"/>
  <c r="A415" i="20" s="1"/>
  <c r="A438" i="20" s="1"/>
  <c r="A455" i="20" s="1"/>
  <c r="A479" i="20" s="1"/>
  <c r="A496" i="20" s="1"/>
  <c r="A521" i="20" s="1"/>
  <c r="A538" i="20" s="1"/>
  <c r="A558" i="20" s="1"/>
  <c r="A577" i="20" s="1"/>
  <c r="A603" i="20" s="1"/>
  <c r="A620" i="20" s="1"/>
  <c r="A636" i="20" s="1"/>
  <c r="A652" i="20" s="1"/>
  <c r="A665" i="20" s="1"/>
  <c r="A681" i="20" s="1"/>
  <c r="A698" i="20" s="1"/>
  <c r="A708" i="20" s="1"/>
  <c r="A727" i="20" s="1"/>
  <c r="A742" i="20" s="1"/>
  <c r="A758" i="20" s="1"/>
  <c r="A780" i="20" s="1"/>
  <c r="A797" i="20" s="1"/>
  <c r="A820" i="20" s="1"/>
  <c r="A835" i="20" s="1"/>
  <c r="A861" i="20" s="1"/>
  <c r="A881" i="20" s="1"/>
  <c r="A906" i="20" s="1"/>
  <c r="A926" i="20" s="1"/>
  <c r="A953" i="20" s="1"/>
  <c r="A964" i="20" s="1"/>
  <c r="A984" i="20" s="1"/>
  <c r="A997" i="20" s="1"/>
  <c r="A1012" i="20" s="1"/>
  <c r="A1031" i="20" s="1"/>
  <c r="A1053" i="20" s="1"/>
  <c r="A1075" i="20" s="1"/>
  <c r="A1090" i="20" s="1"/>
  <c r="A1118" i="20" s="1"/>
  <c r="A1139" i="20" s="1"/>
  <c r="A1165" i="20" s="1"/>
  <c r="A1179" i="20" s="1"/>
  <c r="A1195" i="20" s="1"/>
  <c r="A1212" i="20" s="1"/>
  <c r="A1227" i="20" s="1"/>
  <c r="A1245" i="20" s="1"/>
  <c r="A1261" i="20" s="1"/>
  <c r="A1275" i="20" s="1"/>
  <c r="A1291" i="20" s="1"/>
  <c r="A1307" i="20" s="1"/>
  <c r="A1323" i="20" s="1"/>
  <c r="A1347" i="20" s="1"/>
  <c r="A1366" i="20" s="1"/>
  <c r="A1386" i="20" s="1"/>
  <c r="A1400" i="20" s="1"/>
  <c r="A1414" i="20" s="1"/>
  <c r="A1427" i="20" s="1"/>
  <c r="A1444" i="20" s="1"/>
  <c r="A1456" i="20" s="1"/>
  <c r="A1473" i="20" s="1"/>
  <c r="A1487" i="20" s="1"/>
  <c r="A1500" i="20" s="1"/>
  <c r="A1519" i="20" s="1"/>
  <c r="A1536" i="20" s="1"/>
  <c r="A1560" i="20" s="1"/>
  <c r="A1579" i="20" s="1"/>
  <c r="A1601" i="20" s="1"/>
  <c r="A1619" i="20" s="1"/>
  <c r="A1644" i="20" s="1"/>
  <c r="A1662" i="20" s="1"/>
  <c r="A1680" i="20" s="1"/>
  <c r="A1698" i="20" s="1"/>
  <c r="A1711" i="20" s="1"/>
  <c r="A1726" i="20" s="1"/>
  <c r="A1741" i="20" s="1"/>
  <c r="A1753" i="20" s="1"/>
  <c r="A1767" i="20" s="1"/>
  <c r="A1783" i="20" s="1"/>
  <c r="A1798" i="20" s="1"/>
  <c r="A1816" i="20" s="1"/>
  <c r="A1833" i="20" s="1"/>
  <c r="A1844" i="20" s="1"/>
  <c r="A1868" i="20" s="1"/>
  <c r="A1887" i="20" s="1"/>
  <c r="A1912" i="20" s="1"/>
  <c r="A1929" i="20" s="1"/>
  <c r="A1950" i="20" s="1"/>
  <c r="A1967" i="20" s="1"/>
  <c r="A1987" i="20" s="1"/>
  <c r="A2002" i="20" s="1"/>
  <c r="A2015" i="20" s="1"/>
  <c r="A2032" i="20" s="1"/>
  <c r="A2049" i="20" s="1"/>
  <c r="A2065" i="20" s="1"/>
  <c r="A2093" i="20" s="1"/>
  <c r="A2113" i="20" s="1"/>
  <c r="A2138" i="20" s="1"/>
  <c r="A2159" i="20" s="1"/>
  <c r="A2200" i="20" s="1"/>
  <c r="A2225" i="20" s="1"/>
  <c r="A2238" i="20" s="1"/>
  <c r="A2251" i="20" s="1"/>
  <c r="A2266" i="20" s="1"/>
  <c r="A2285" i="20" s="1"/>
  <c r="A2301" i="20" s="1"/>
  <c r="A2317" i="20" s="1"/>
  <c r="A2330" i="20" s="1"/>
  <c r="A2345" i="20" s="1"/>
  <c r="A2360" i="20" s="1"/>
  <c r="A2373" i="20" s="1"/>
  <c r="A2391" i="20" s="1"/>
  <c r="A2406" i="20" s="1"/>
  <c r="A2419" i="20" s="1"/>
  <c r="A2433" i="20" s="1"/>
  <c r="A2446" i="20" s="1"/>
  <c r="A2458" i="20" s="1"/>
  <c r="A2474" i="20" s="1"/>
  <c r="A2491" i="20" s="1"/>
  <c r="A2503" i="20" s="1"/>
  <c r="A2519" i="20" s="1"/>
  <c r="A2537" i="20" s="1"/>
  <c r="A2550" i="20" s="1"/>
  <c r="A2564" i="20" s="1"/>
  <c r="A2585" i="20" s="1"/>
  <c r="A2599" i="20" s="1"/>
  <c r="A2613" i="20" s="1"/>
  <c r="A2624" i="20" s="1"/>
  <c r="A2669" i="20" s="1"/>
  <c r="A2705" i="20" s="1"/>
  <c r="A2718" i="20" s="1"/>
  <c r="A2728" i="20" s="1"/>
  <c r="A2744" i="20" s="1"/>
  <c r="A2762" i="20" s="1"/>
  <c r="A2774" i="20" s="1"/>
  <c r="A2789" i="20" s="1"/>
  <c r="A2805" i="20" s="1"/>
  <c r="A2817" i="20" s="1"/>
  <c r="A2832" i="20" s="1"/>
  <c r="A2848" i="20" s="1"/>
  <c r="A2859" i="20" s="1"/>
  <c r="A2875" i="20" s="1"/>
  <c r="A2891" i="20" s="1"/>
  <c r="A2905" i="20" s="1"/>
  <c r="A2921" i="20" s="1"/>
  <c r="A2937" i="20" s="1"/>
  <c r="A2950" i="20" s="1"/>
  <c r="A2965" i="20" s="1"/>
  <c r="A2980" i="20" s="1"/>
  <c r="A2993" i="20" s="1"/>
  <c r="A3007" i="20" s="1"/>
  <c r="A3024" i="20" s="1"/>
  <c r="A3037" i="20" s="1"/>
  <c r="A3050" i="20" s="1"/>
  <c r="A3059" i="20" s="1"/>
  <c r="A3070" i="20" s="1"/>
  <c r="A3082" i="20" s="1"/>
  <c r="A3097" i="20" s="1"/>
  <c r="A3111" i="20" s="1"/>
  <c r="A3123" i="20" s="1"/>
  <c r="A3137" i="20" s="1"/>
  <c r="A3152" i="20" s="1"/>
  <c r="A3165" i="20" s="1"/>
  <c r="A3179" i="20" s="1"/>
  <c r="A3195" i="20" s="1"/>
  <c r="A3207" i="20" s="1"/>
  <c r="A3221" i="20" s="1"/>
  <c r="A3237" i="20" s="1"/>
  <c r="A3249" i="20" s="1"/>
  <c r="A3261" i="20" s="1"/>
  <c r="A3276" i="20" s="1"/>
  <c r="A3304" i="20" s="1"/>
  <c r="A3320" i="20" s="1"/>
  <c r="A3334" i="20" s="1"/>
  <c r="A3346" i="20" s="1"/>
  <c r="A3358" i="20" s="1"/>
  <c r="A3373" i="20" s="1"/>
  <c r="A3385" i="20" s="1"/>
  <c r="A3398" i="20" s="1"/>
  <c r="A3413" i="20" s="1"/>
  <c r="A3425" i="20" s="1"/>
  <c r="A3439" i="20" s="1"/>
  <c r="A3451" i="20" s="1"/>
  <c r="A3462" i="20" s="1"/>
  <c r="A3478" i="20" s="1"/>
  <c r="A3494" i="20" s="1"/>
  <c r="A3507" i="20" s="1"/>
  <c r="A3520" i="20" s="1"/>
  <c r="A3535" i="20" s="1"/>
  <c r="A3548" i="20" s="1"/>
  <c r="A3562" i="20" s="1"/>
  <c r="A3579" i="20" s="1"/>
  <c r="A3593" i="20" s="1"/>
  <c r="A3606" i="20" s="1"/>
  <c r="A3622" i="20" s="1"/>
  <c r="A3636" i="20" s="1"/>
  <c r="A3648" i="20" s="1"/>
  <c r="A3658" i="20" s="1"/>
  <c r="A3671" i="20" s="1"/>
  <c r="A3681" i="20" s="1"/>
  <c r="A3693" i="20" s="1"/>
  <c r="A3706" i="20" s="1"/>
  <c r="A3721" i="20" s="1"/>
  <c r="A3739" i="20" s="1"/>
  <c r="A3755" i="20" s="1"/>
  <c r="A3769" i="20" s="1"/>
  <c r="A3784" i="20" s="1"/>
  <c r="A3798" i="20" s="1"/>
  <c r="A3810" i="20" s="1"/>
  <c r="A3826" i="20" s="1"/>
  <c r="A3843" i="20" s="1"/>
  <c r="A3857" i="20" s="1"/>
  <c r="A3871" i="20" s="1"/>
  <c r="A3885" i="20" s="1"/>
  <c r="A3897" i="20" s="1"/>
  <c r="A3907" i="20" s="1"/>
  <c r="A3918" i="20" s="1"/>
  <c r="A3929" i="20" s="1"/>
  <c r="A3942" i="20" s="1"/>
  <c r="A3952" i="20" s="1"/>
  <c r="A3963" i="20" s="1"/>
  <c r="A3975" i="20" s="1"/>
  <c r="A3986" i="20" s="1"/>
  <c r="A3997" i="20" s="1"/>
  <c r="A4008" i="20" s="1"/>
  <c r="A4025" i="20" s="1"/>
  <c r="A4038" i="20" s="1"/>
  <c r="A4052" i="20" s="1"/>
  <c r="A4070" i="20" s="1"/>
  <c r="A4082" i="20" s="1"/>
  <c r="A4095" i="20" s="1"/>
  <c r="A4108" i="20" s="1"/>
  <c r="A4120" i="20" s="1"/>
  <c r="A4132" i="20" s="1"/>
  <c r="A4144" i="20" s="1"/>
  <c r="A4154" i="20" s="1"/>
  <c r="A4163" i="20" s="1"/>
  <c r="A4173" i="20" s="1"/>
  <c r="A4186" i="20" s="1"/>
  <c r="A4197" i="20" s="1"/>
  <c r="A4208" i="20" s="1"/>
  <c r="A4222" i="20" s="1"/>
  <c r="A4239" i="20" s="1"/>
  <c r="A4252" i="20" s="1"/>
  <c r="A4264" i="20" s="1"/>
  <c r="A4276" i="20" s="1"/>
  <c r="A4287" i="20" s="1"/>
  <c r="A4298" i="20" s="1"/>
  <c r="A4312" i="20" s="1"/>
  <c r="A4327" i="20" s="1"/>
  <c r="A4345" i="20" s="1"/>
  <c r="A4364" i="20" s="1"/>
  <c r="A4383" i="20" s="1"/>
  <c r="A4392" i="20" s="1"/>
  <c r="A4408" i="20" s="1"/>
  <c r="A4423" i="20" s="1"/>
  <c r="A4435" i="20" s="1"/>
  <c r="A4450" i="20" s="1"/>
  <c r="A4464" i="20" s="1"/>
  <c r="A4480" i="20" s="1"/>
  <c r="A4495" i="20" s="1"/>
  <c r="A4509" i="20" s="1"/>
  <c r="A4531" i="20" s="1"/>
  <c r="A4549" i="20" s="1"/>
  <c r="A4566" i="20" s="1"/>
  <c r="A4579" i="20" s="1"/>
  <c r="A4591" i="20" s="1"/>
  <c r="A4602" i="20" s="1"/>
  <c r="A4613" i="20" s="1"/>
  <c r="A4624" i="20" s="1"/>
  <c r="A4635" i="20" s="1"/>
  <c r="A4645" i="20" s="1"/>
  <c r="A4658" i="20" s="1"/>
  <c r="A4671" i="20" s="1"/>
  <c r="A4684" i="20" s="1"/>
  <c r="A4696" i="20" s="1"/>
  <c r="A4707" i="20" s="1"/>
  <c r="A4718" i="20" s="1"/>
  <c r="A4729" i="20" s="1"/>
  <c r="A4741" i="20" s="1"/>
  <c r="A4753" i="20" s="1"/>
  <c r="A4765" i="20" s="1"/>
  <c r="A4775" i="20" s="1"/>
  <c r="A4785" i="20" s="1"/>
  <c r="A4797" i="20" s="1"/>
  <c r="A4807" i="20" s="1"/>
  <c r="A4818" i="20" s="1"/>
  <c r="A4831" i="20" s="1"/>
  <c r="A4842" i="20" s="1"/>
  <c r="A4853" i="20" s="1"/>
  <c r="A4864" i="20" s="1"/>
  <c r="A4874" i="20" s="1"/>
  <c r="A4884" i="20" s="1"/>
  <c r="A4901" i="20" s="1"/>
  <c r="A4917" i="20" s="1"/>
  <c r="A4931" i="20" s="1"/>
  <c r="A4947" i="20" s="1"/>
  <c r="F88" i="20"/>
  <c r="G88" i="20" s="1"/>
  <c r="H88" i="20" s="1"/>
  <c r="F78" i="20"/>
  <c r="G78" i="20" s="1"/>
  <c r="F63" i="20"/>
  <c r="G63" i="20" s="1"/>
  <c r="F49" i="20"/>
  <c r="G49" i="20" s="1"/>
  <c r="F38" i="20"/>
  <c r="G38" i="20" s="1"/>
  <c r="F22" i="20"/>
  <c r="G22" i="20" s="1"/>
  <c r="G7" i="20"/>
  <c r="F4896" i="20" l="1"/>
  <c r="F4897" i="20" s="1"/>
  <c r="F4898" i="20" s="1"/>
  <c r="H3143" i="20"/>
  <c r="H3159" i="20"/>
  <c r="H3141" i="20"/>
  <c r="H3157" i="20"/>
  <c r="O4335" i="20"/>
  <c r="H4061" i="20"/>
  <c r="H4075" i="20"/>
  <c r="H4076" i="20" s="1"/>
  <c r="H4077" i="20" s="1"/>
  <c r="H4087" i="20"/>
  <c r="H4088" i="20" s="1"/>
  <c r="H4089" i="20" s="1"/>
  <c r="H4100" i="20"/>
  <c r="H4101" i="20" s="1"/>
  <c r="H4102" i="20" s="1"/>
  <c r="H4113" i="20"/>
  <c r="H4114" i="20" s="1"/>
  <c r="H4115" i="20" s="1"/>
  <c r="H4125" i="20"/>
  <c r="H4126" i="20" s="1"/>
  <c r="H4127" i="20" s="1"/>
  <c r="H4137" i="20"/>
  <c r="H4138" i="20" s="1"/>
  <c r="H4139" i="20" s="1"/>
  <c r="H4226" i="20"/>
  <c r="H4229" i="20"/>
  <c r="H4243" i="20"/>
  <c r="H4247" i="20" s="1"/>
  <c r="H4248" i="20" s="1"/>
  <c r="H4249" i="20" s="1"/>
  <c r="B4249" i="20" s="1"/>
  <c r="D4249" i="20" s="1"/>
  <c r="H4317" i="20"/>
  <c r="H4320" i="20"/>
  <c r="H4332" i="20"/>
  <c r="H4340" i="20" s="1"/>
  <c r="H4341" i="20" s="1"/>
  <c r="H4342" i="20" s="1"/>
  <c r="B4342" i="20" s="1"/>
  <c r="D4342" i="20" s="1"/>
  <c r="F4354" i="20"/>
  <c r="G4354" i="20" s="1"/>
  <c r="H4371" i="20"/>
  <c r="H2098" i="20"/>
  <c r="H2143" i="20"/>
  <c r="H2334" i="20"/>
  <c r="H2336" i="20"/>
  <c r="H2437" i="20"/>
  <c r="H2440" i="20" s="1"/>
  <c r="H2554" i="20"/>
  <c r="H3074" i="20"/>
  <c r="H3086" i="20"/>
  <c r="H3101" i="20"/>
  <c r="H3115" i="20"/>
  <c r="H3127" i="20"/>
  <c r="H3169" i="20"/>
  <c r="H3172" i="20" s="1"/>
  <c r="H3183" i="20"/>
  <c r="H3186" i="20" s="1"/>
  <c r="H3199" i="20"/>
  <c r="H3201" i="20"/>
  <c r="H3212" i="20"/>
  <c r="H3214" i="20"/>
  <c r="H3226" i="20"/>
  <c r="H3241" i="20"/>
  <c r="H3324" i="20"/>
  <c r="H3350" i="20"/>
  <c r="H3377" i="20"/>
  <c r="H3443" i="20"/>
  <c r="H3445" i="20" s="1"/>
  <c r="H3446" i="20" s="1"/>
  <c r="H3447" i="20" s="1"/>
  <c r="B3447" i="20" s="1"/>
  <c r="D3447" i="20" s="1"/>
  <c r="H3524" i="20"/>
  <c r="H3527" i="20" s="1"/>
  <c r="H3528" i="20" s="1"/>
  <c r="H3529" i="20" s="1"/>
  <c r="B3529" i="20" s="1"/>
  <c r="D3529" i="20" s="1"/>
  <c r="H584" i="20"/>
  <c r="H625" i="20"/>
  <c r="H657" i="20"/>
  <c r="H659" i="20"/>
  <c r="H670" i="20"/>
  <c r="H3802" i="20"/>
  <c r="H204" i="20"/>
  <c r="H205" i="20" s="1"/>
  <c r="H206" i="20" s="1"/>
  <c r="B206" i="20" s="1"/>
  <c r="H320" i="20"/>
  <c r="H363" i="20"/>
  <c r="H405" i="20"/>
  <c r="H445" i="20"/>
  <c r="H486" i="20"/>
  <c r="H528" i="20"/>
  <c r="H748" i="20"/>
  <c r="H825" i="20"/>
  <c r="H867" i="20"/>
  <c r="H912" i="20"/>
  <c r="H1249" i="20"/>
  <c r="H1252" i="20" s="1"/>
  <c r="H1253" i="20" s="1"/>
  <c r="H1254" i="20" s="1"/>
  <c r="H1327" i="20"/>
  <c r="H1330" i="20" s="1"/>
  <c r="H1331" i="20" s="1"/>
  <c r="H1332" i="20" s="1"/>
  <c r="H1404" i="20"/>
  <c r="G1406" i="20"/>
  <c r="H1407" i="20" s="1"/>
  <c r="H1418" i="20"/>
  <c r="H1422" i="20" s="1"/>
  <c r="H1423" i="20" s="1"/>
  <c r="H1424" i="20" s="1"/>
  <c r="B1424" i="20" s="1"/>
  <c r="D1424" i="20" s="1"/>
  <c r="H1461" i="20"/>
  <c r="H1465" i="20"/>
  <c r="H1477" i="20"/>
  <c r="H1480" i="20" s="1"/>
  <c r="H1481" i="20" s="1"/>
  <c r="H1482" i="20" s="1"/>
  <c r="B1482" i="20" s="1"/>
  <c r="H1504" i="20"/>
  <c r="H1507" i="20"/>
  <c r="H1565" i="20"/>
  <c r="H1571" i="20"/>
  <c r="H1623" i="20"/>
  <c r="H1629" i="20"/>
  <c r="H1702" i="20"/>
  <c r="H1705" i="20"/>
  <c r="H1715" i="20"/>
  <c r="H1718" i="20"/>
  <c r="H1730" i="20"/>
  <c r="H1733" i="20"/>
  <c r="H1745" i="20"/>
  <c r="H1748" i="20"/>
  <c r="H1757" i="20"/>
  <c r="H1760" i="20"/>
  <c r="H1772" i="20"/>
  <c r="H1776" i="20" s="1"/>
  <c r="H1849" i="20"/>
  <c r="H1859" i="20"/>
  <c r="H1892" i="20"/>
  <c r="H1901" i="20"/>
  <c r="H1933" i="20"/>
  <c r="H1940" i="20"/>
  <c r="H1971" i="20"/>
  <c r="H1978" i="20"/>
  <c r="H2007" i="20"/>
  <c r="H2011" i="20" s="1"/>
  <c r="H2037" i="20"/>
  <c r="H2040" i="20"/>
  <c r="H2071" i="20"/>
  <c r="H2229" i="20"/>
  <c r="H2232" i="20"/>
  <c r="H2272" i="20"/>
  <c r="H2305" i="20"/>
  <c r="H2308" i="20"/>
  <c r="H2395" i="20"/>
  <c r="H2397" i="20"/>
  <c r="H2477" i="20"/>
  <c r="H2507" i="20"/>
  <c r="H2577" i="20"/>
  <c r="H2589" i="20"/>
  <c r="H2592" i="20"/>
  <c r="H2618" i="20"/>
  <c r="H2619" i="20" s="1"/>
  <c r="H2620" i="20" s="1"/>
  <c r="B2620" i="20" s="1"/>
  <c r="D2620" i="20" s="1"/>
  <c r="H2629" i="20"/>
  <c r="H2636" i="20"/>
  <c r="H2674" i="20"/>
  <c r="H2691" i="20"/>
  <c r="H2733" i="20"/>
  <c r="H2749" i="20"/>
  <c r="H2753" i="20"/>
  <c r="H2766" i="20"/>
  <c r="H2768" i="20"/>
  <c r="H2778" i="20"/>
  <c r="H2780" i="20"/>
  <c r="H2793" i="20"/>
  <c r="H2795" i="20"/>
  <c r="H2809" i="20"/>
  <c r="H2811" i="20"/>
  <c r="H2837" i="20"/>
  <c r="H2852" i="20"/>
  <c r="H2854" i="20"/>
  <c r="H2863" i="20"/>
  <c r="H2865" i="20"/>
  <c r="H2879" i="20"/>
  <c r="H2881" i="20"/>
  <c r="H2895" i="20"/>
  <c r="H2898" i="20"/>
  <c r="H2927" i="20"/>
  <c r="H2941" i="20"/>
  <c r="H2943" i="20"/>
  <c r="H2954" i="20"/>
  <c r="H2956" i="20"/>
  <c r="H2969" i="20"/>
  <c r="H2971" i="20"/>
  <c r="H2984" i="20"/>
  <c r="H2986" i="20"/>
  <c r="H2997" i="20"/>
  <c r="H2999" i="20"/>
  <c r="H3011" i="20"/>
  <c r="H3013" i="20"/>
  <c r="H3028" i="20"/>
  <c r="H3031" i="20" s="1"/>
  <c r="H3032" i="20" s="1"/>
  <c r="H3033" i="20" s="1"/>
  <c r="B3033" i="20" s="1"/>
  <c r="D3033" i="20" s="1"/>
  <c r="H3265" i="20"/>
  <c r="H3294" i="20"/>
  <c r="H3552" i="20"/>
  <c r="H3611" i="20"/>
  <c r="H3759" i="20"/>
  <c r="H3763" i="20"/>
  <c r="H3773" i="20"/>
  <c r="H3777" i="20"/>
  <c r="H4397" i="20"/>
  <c r="H4400" i="20"/>
  <c r="H4413" i="20"/>
  <c r="H4415" i="20" s="1"/>
  <c r="H4416" i="20" s="1"/>
  <c r="H4417" i="20" s="1"/>
  <c r="B4417" i="20" s="1"/>
  <c r="D4417" i="20" s="1"/>
  <c r="H4469" i="20"/>
  <c r="H4474" i="20"/>
  <c r="H4514" i="20"/>
  <c r="H4518" i="20"/>
  <c r="H4536" i="20"/>
  <c r="H4554" i="20"/>
  <c r="H4922" i="20"/>
  <c r="O4332" i="20"/>
  <c r="H227" i="20"/>
  <c r="H228" i="20" s="1"/>
  <c r="H229" i="20" s="1"/>
  <c r="B229" i="20" s="1"/>
  <c r="H293" i="20"/>
  <c r="H2349" i="20"/>
  <c r="H2351" i="20"/>
  <c r="H2364" i="20"/>
  <c r="H2366" i="20"/>
  <c r="H2378" i="20"/>
  <c r="H2381" i="20"/>
  <c r="H2450" i="20"/>
  <c r="H2452" i="20"/>
  <c r="H2461" i="20"/>
  <c r="H2495" i="20"/>
  <c r="H2523" i="20"/>
  <c r="H2541" i="20"/>
  <c r="H2570" i="20"/>
  <c r="H2603" i="20"/>
  <c r="H2607" i="20"/>
  <c r="H2648" i="20"/>
  <c r="H2655" i="20"/>
  <c r="H2709" i="20"/>
  <c r="H2710" i="20" s="1"/>
  <c r="H2711" i="20" s="1"/>
  <c r="H2712" i="20" s="1"/>
  <c r="B2712" i="20" s="1"/>
  <c r="D2712" i="20" s="1"/>
  <c r="H2909" i="20"/>
  <c r="H2912" i="20"/>
  <c r="H3041" i="20"/>
  <c r="H3063" i="20"/>
  <c r="H338" i="20"/>
  <c r="H380" i="20"/>
  <c r="H422" i="20"/>
  <c r="H462" i="20"/>
  <c r="H503" i="20"/>
  <c r="H545" i="20"/>
  <c r="H565" i="20"/>
  <c r="H608" i="20"/>
  <c r="H641" i="20"/>
  <c r="H704" i="20"/>
  <c r="H705" i="20" s="1"/>
  <c r="H706" i="20" s="1"/>
  <c r="H707" i="20" s="1"/>
  <c r="B707" i="20" s="1"/>
  <c r="H713" i="20"/>
  <c r="H732" i="20"/>
  <c r="H763" i="20"/>
  <c r="H785" i="20"/>
  <c r="H802" i="20"/>
  <c r="H841" i="20"/>
  <c r="H887" i="20"/>
  <c r="H932" i="20"/>
  <c r="H958" i="20"/>
  <c r="H970" i="20"/>
  <c r="H989" i="20"/>
  <c r="H991" i="20"/>
  <c r="H1002" i="20"/>
  <c r="H1004" i="20"/>
  <c r="H1017" i="20"/>
  <c r="H1019" i="20"/>
  <c r="H1036" i="20"/>
  <c r="H1040" i="20"/>
  <c r="H1058" i="20"/>
  <c r="H1060" i="20"/>
  <c r="H1080" i="20"/>
  <c r="H1082" i="20"/>
  <c r="H1094" i="20"/>
  <c r="H1098" i="20"/>
  <c r="H1123" i="20"/>
  <c r="H1127" i="20"/>
  <c r="H1144" i="20"/>
  <c r="H1170" i="20"/>
  <c r="H1183" i="20"/>
  <c r="H1187" i="20"/>
  <c r="H1199" i="20"/>
  <c r="H1203" i="20"/>
  <c r="H1216" i="20"/>
  <c r="H1220" i="20"/>
  <c r="H1231" i="20"/>
  <c r="H1234" i="20" s="1"/>
  <c r="H1235" i="20" s="1"/>
  <c r="H1236" i="20" s="1"/>
  <c r="H1265" i="20"/>
  <c r="H1269" i="20"/>
  <c r="H1279" i="20"/>
  <c r="H1283" i="20"/>
  <c r="H1295" i="20"/>
  <c r="H1299" i="20"/>
  <c r="H1311" i="20"/>
  <c r="H1314" i="20" s="1"/>
  <c r="H1315" i="20" s="1"/>
  <c r="H1316" i="20" s="1"/>
  <c r="H1353" i="20"/>
  <c r="H1372" i="20"/>
  <c r="H1390" i="20"/>
  <c r="H1394" i="20" s="1"/>
  <c r="H1395" i="20" s="1"/>
  <c r="H1396" i="20" s="1"/>
  <c r="B1395" i="20" s="1"/>
  <c r="D1395" i="20" s="1"/>
  <c r="H1432" i="20"/>
  <c r="H1436" i="20"/>
  <c r="H1449" i="20"/>
  <c r="H1452" i="20" s="1"/>
  <c r="H1453" i="20" s="1"/>
  <c r="H1454" i="20" s="1"/>
  <c r="B1454" i="20" s="1"/>
  <c r="D1454" i="20" s="1"/>
  <c r="H1491" i="20"/>
  <c r="H1494" i="20" s="1"/>
  <c r="H1523" i="20"/>
  <c r="H1531" i="20"/>
  <c r="H1541" i="20"/>
  <c r="H1547" i="20"/>
  <c r="H1605" i="20"/>
  <c r="H1612" i="20"/>
  <c r="H1648" i="20"/>
  <c r="H1655" i="20"/>
  <c r="H1666" i="20"/>
  <c r="H1673" i="20"/>
  <c r="H1684" i="20"/>
  <c r="H1692" i="20"/>
  <c r="H1787" i="20"/>
  <c r="H1791" i="20"/>
  <c r="H1803" i="20"/>
  <c r="H1807" i="20"/>
  <c r="H1820" i="20"/>
  <c r="H1824" i="20"/>
  <c r="H1837" i="20"/>
  <c r="H1839" i="20" s="1"/>
  <c r="H1840" i="20" s="1"/>
  <c r="H1841" i="20" s="1"/>
  <c r="B1841" i="20" s="1"/>
  <c r="H1873" i="20"/>
  <c r="H1882" i="20"/>
  <c r="H1916" i="20"/>
  <c r="H1923" i="20"/>
  <c r="H1954" i="20"/>
  <c r="H1961" i="20"/>
  <c r="H1992" i="20"/>
  <c r="H1996" i="20" s="1"/>
  <c r="H2020" i="20"/>
  <c r="H2023" i="20"/>
  <c r="H2054" i="20"/>
  <c r="H2057" i="20"/>
  <c r="H2118" i="20"/>
  <c r="H2163" i="20"/>
  <c r="H2167" i="20"/>
  <c r="H2176" i="20"/>
  <c r="H2180" i="20"/>
  <c r="H2190" i="20"/>
  <c r="H2194" i="20"/>
  <c r="H2204" i="20"/>
  <c r="H2209" i="20"/>
  <c r="H2242" i="20"/>
  <c r="H2244" i="20"/>
  <c r="H2256" i="20"/>
  <c r="H2259" i="20"/>
  <c r="H2289" i="20"/>
  <c r="H2292" i="20"/>
  <c r="H2321" i="20"/>
  <c r="H3280" i="20"/>
  <c r="Q1978" i="20"/>
  <c r="N4896" i="20"/>
  <c r="N4897" i="20" s="1"/>
  <c r="N4898" i="20" s="1"/>
  <c r="H3309" i="20"/>
  <c r="H3312" i="20"/>
  <c r="H3339" i="20"/>
  <c r="H3363" i="20"/>
  <c r="H3389" i="20"/>
  <c r="H3467" i="20"/>
  <c r="H3482" i="20"/>
  <c r="H3498" i="20"/>
  <c r="H3511" i="20"/>
  <c r="H3514" i="20" s="1"/>
  <c r="H3515" i="20" s="1"/>
  <c r="H3516" i="20" s="1"/>
  <c r="B3516" i="20" s="1"/>
  <c r="D3516" i="20" s="1"/>
  <c r="H3539" i="20"/>
  <c r="H3567" i="20"/>
  <c r="H3570" i="20"/>
  <c r="H3583" i="20"/>
  <c r="H3586" i="20"/>
  <c r="H3597" i="20"/>
  <c r="H3627" i="20"/>
  <c r="H3710" i="20"/>
  <c r="H3726" i="20"/>
  <c r="H3743" i="20"/>
  <c r="H3746" i="20"/>
  <c r="H3814" i="20"/>
  <c r="H3830" i="20"/>
  <c r="H3847" i="20"/>
  <c r="H4001" i="20"/>
  <c r="H4002" i="20" s="1"/>
  <c r="H4003" i="20" s="1"/>
  <c r="H4004" i="20" s="1"/>
  <c r="B4004" i="20" s="1"/>
  <c r="H4013" i="20"/>
  <c r="H4016" i="20"/>
  <c r="H4178" i="20"/>
  <c r="H4179" i="20" s="1"/>
  <c r="H4180" i="20" s="1"/>
  <c r="H4181" i="20" s="1"/>
  <c r="B4181" i="20" s="1"/>
  <c r="H4302" i="20"/>
  <c r="H4306" i="20" s="1"/>
  <c r="H4307" i="20" s="1"/>
  <c r="H4308" i="20" s="1"/>
  <c r="B4308" i="20" s="1"/>
  <c r="D4308" i="20" s="1"/>
  <c r="H4352" i="20"/>
  <c r="H4428" i="20"/>
  <c r="H4430" i="20" s="1"/>
  <c r="H4431" i="20" s="1"/>
  <c r="H4432" i="20" s="1"/>
  <c r="B4432" i="20" s="1"/>
  <c r="D4432" i="20" s="1"/>
  <c r="H4455" i="20"/>
  <c r="H4458" i="20"/>
  <c r="H4485" i="20"/>
  <c r="H4489" i="20"/>
  <c r="H4500" i="20"/>
  <c r="H4503" i="20"/>
  <c r="H4953" i="20"/>
  <c r="N4903" i="20"/>
  <c r="O1971" i="20"/>
  <c r="P1971" i="20" s="1"/>
  <c r="Q1971" i="20" s="1"/>
  <c r="O1989" i="20"/>
  <c r="P1989" i="20" s="1"/>
  <c r="Q1989" i="20" s="1"/>
  <c r="Q1993" i="20" s="1"/>
  <c r="O4042" i="20"/>
  <c r="P4042" i="20" s="1"/>
  <c r="Q4042" i="20" s="1"/>
  <c r="Q4045" i="20" s="1"/>
  <c r="Q4046" i="20" s="1"/>
  <c r="Q4047" i="20" s="1"/>
  <c r="K4047" i="20" s="1"/>
  <c r="M4047" i="20" s="1"/>
  <c r="O4057" i="20"/>
  <c r="P4057" i="20" s="1"/>
  <c r="O4058" i="20"/>
  <c r="P4058" i="20" s="1"/>
  <c r="O4059" i="20"/>
  <c r="P4059" i="20" s="1"/>
  <c r="O3401" i="20"/>
  <c r="P3401" i="20" s="1"/>
  <c r="O3402" i="20"/>
  <c r="P3402" i="20" s="1"/>
  <c r="H8" i="20"/>
  <c r="H7" i="20"/>
  <c r="H23" i="20"/>
  <c r="H22" i="20"/>
  <c r="H39" i="20"/>
  <c r="H38" i="20"/>
  <c r="H50" i="20"/>
  <c r="H49" i="20"/>
  <c r="H64" i="20"/>
  <c r="H63" i="20"/>
  <c r="H79" i="20"/>
  <c r="H78" i="20"/>
  <c r="H140" i="20"/>
  <c r="H141" i="20" s="1"/>
  <c r="H152" i="20"/>
  <c r="H153" i="20" s="1"/>
  <c r="H167" i="20"/>
  <c r="H168" i="20" s="1"/>
  <c r="H236" i="20"/>
  <c r="H235" i="20"/>
  <c r="H100" i="20"/>
  <c r="H118" i="20"/>
  <c r="H124" i="20" s="1"/>
  <c r="H2413" i="20"/>
  <c r="H2526" i="20"/>
  <c r="H3255" i="20"/>
  <c r="H3256" i="20" s="1"/>
  <c r="B3256" i="20" s="1"/>
  <c r="D3256" i="20" s="1"/>
  <c r="H3642" i="20"/>
  <c r="H3643" i="20" s="1"/>
  <c r="B3643" i="20" s="1"/>
  <c r="D3643" i="20" s="1"/>
  <c r="H3654" i="20"/>
  <c r="H3655" i="20" s="1"/>
  <c r="B3655" i="20" s="1"/>
  <c r="D3655" i="20" s="1"/>
  <c r="H3677" i="20"/>
  <c r="H3678" i="20" s="1"/>
  <c r="B3678" i="20" s="1"/>
  <c r="D3678" i="20" s="1"/>
  <c r="H3699" i="20"/>
  <c r="H3700" i="20" s="1"/>
  <c r="B3700" i="20" s="1"/>
  <c r="D3700" i="20" s="1"/>
  <c r="G1582" i="20"/>
  <c r="G1583" i="20"/>
  <c r="G1584" i="20"/>
  <c r="G1586" i="20"/>
  <c r="G1587" i="20"/>
  <c r="G1588" i="20"/>
  <c r="G2466" i="20"/>
  <c r="G2482" i="20"/>
  <c r="G2510" i="20"/>
  <c r="H2510" i="20" s="1"/>
  <c r="H2698" i="20"/>
  <c r="H3880" i="20"/>
  <c r="H3881" i="20" s="1"/>
  <c r="B3881" i="20" s="1"/>
  <c r="H3938" i="20"/>
  <c r="H3939" i="20" s="1"/>
  <c r="B3939" i="20" s="1"/>
  <c r="H3948" i="20"/>
  <c r="H3949" i="20" s="1"/>
  <c r="B3949" i="20" s="1"/>
  <c r="H3958" i="20"/>
  <c r="H3959" i="20" s="1"/>
  <c r="B3959" i="20" s="1"/>
  <c r="H3969" i="20"/>
  <c r="H3970" i="20" s="1"/>
  <c r="B3970" i="20" s="1"/>
  <c r="H3981" i="20"/>
  <c r="H3982" i="20" s="1"/>
  <c r="B3982" i="20" s="1"/>
  <c r="H3992" i="20"/>
  <c r="H3993" i="20" s="1"/>
  <c r="B3993" i="20" s="1"/>
  <c r="F4057" i="20"/>
  <c r="G4057" i="20" s="1"/>
  <c r="H4057" i="20" s="1"/>
  <c r="G4043" i="20"/>
  <c r="H4043" i="20" s="1"/>
  <c r="H4046" i="20" s="1"/>
  <c r="H4150" i="20"/>
  <c r="H4151" i="20" s="1"/>
  <c r="B4151" i="20" s="1"/>
  <c r="H4160" i="20"/>
  <c r="H4161" i="20" s="1"/>
  <c r="B4161" i="20" s="1"/>
  <c r="H4169" i="20"/>
  <c r="H4170" i="20" s="1"/>
  <c r="B4170" i="20" s="1"/>
  <c r="H4192" i="20"/>
  <c r="H4193" i="20" s="1"/>
  <c r="B4193" i="20" s="1"/>
  <c r="D4193" i="20" s="1"/>
  <c r="H4203" i="20"/>
  <c r="H4204" i="20" s="1"/>
  <c r="B4204" i="20" s="1"/>
  <c r="D4204" i="20" s="1"/>
  <c r="H4214" i="20"/>
  <c r="H4215" i="20" s="1"/>
  <c r="B4215" i="20" s="1"/>
  <c r="D4215" i="20" s="1"/>
  <c r="H4260" i="20"/>
  <c r="H4261" i="20" s="1"/>
  <c r="B4261" i="20" s="1"/>
  <c r="D4261" i="20" s="1"/>
  <c r="H4270" i="20"/>
  <c r="H4271" i="20" s="1"/>
  <c r="B4271" i="20" s="1"/>
  <c r="D4271" i="20" s="1"/>
  <c r="H4282" i="20"/>
  <c r="H4283" i="20" s="1"/>
  <c r="B4283" i="20" s="1"/>
  <c r="D4283" i="20" s="1"/>
  <c r="H4293" i="20"/>
  <c r="H4294" i="20" s="1"/>
  <c r="B4294" i="20" s="1"/>
  <c r="D4294" i="20" s="1"/>
  <c r="H4441" i="20"/>
  <c r="H4442" i="20" s="1"/>
  <c r="B4442" i="20" s="1"/>
  <c r="G2678" i="20"/>
  <c r="G2679" i="20"/>
  <c r="G2680" i="20"/>
  <c r="G2721" i="20"/>
  <c r="H2721" i="20" s="1"/>
  <c r="H2722" i="20" s="1"/>
  <c r="G2820" i="20"/>
  <c r="G2821" i="20"/>
  <c r="G3401" i="20"/>
  <c r="G3402" i="20"/>
  <c r="F3416" i="20"/>
  <c r="F3417" i="20"/>
  <c r="H4375" i="20"/>
  <c r="H4376" i="20" s="1"/>
  <c r="G4030" i="20"/>
  <c r="H4030" i="20" s="1"/>
  <c r="G4031" i="20"/>
  <c r="H4032" i="20" s="1"/>
  <c r="G4356" i="20"/>
  <c r="G4905" i="20"/>
  <c r="G4906" i="20"/>
  <c r="G4935" i="20"/>
  <c r="G4936" i="20"/>
  <c r="Q1979" i="20" l="1"/>
  <c r="Q1980" i="20" s="1"/>
  <c r="Q1981" i="20" s="1"/>
  <c r="K1981" i="20" s="1"/>
  <c r="M1981" i="20" s="1"/>
  <c r="H3144" i="20"/>
  <c r="H3145" i="20" s="1"/>
  <c r="H3146" i="20" s="1"/>
  <c r="B3146" i="20" s="1"/>
  <c r="D3146" i="20" s="1"/>
  <c r="H3160" i="20"/>
  <c r="H3161" i="20" s="1"/>
  <c r="H3162" i="20" s="1"/>
  <c r="B3162" i="20" s="1"/>
  <c r="D3162" i="20" s="1"/>
  <c r="H2337" i="20"/>
  <c r="H2338" i="20" s="1"/>
  <c r="H2339" i="20" s="1"/>
  <c r="B2339" i="20" s="1"/>
  <c r="D2339" i="20" s="1"/>
  <c r="H4357" i="20"/>
  <c r="H4358" i="20" s="1"/>
  <c r="H4359" i="20" s="1"/>
  <c r="H4062" i="20"/>
  <c r="H4063" i="20" s="1"/>
  <c r="H4064" i="20" s="1"/>
  <c r="B4064" i="20" s="1"/>
  <c r="D4064" i="20" s="1"/>
  <c r="H2578" i="20"/>
  <c r="H2579" i="20" s="1"/>
  <c r="H2580" i="20" s="1"/>
  <c r="B2580" i="20" s="1"/>
  <c r="D2580" i="20" s="1"/>
  <c r="H1674" i="20"/>
  <c r="H1675" i="20" s="1"/>
  <c r="H1676" i="20" s="1"/>
  <c r="B1676" i="20" s="1"/>
  <c r="D1676" i="20" s="1"/>
  <c r="H2812" i="20"/>
  <c r="H2813" i="20" s="1"/>
  <c r="H2814" i="20" s="1"/>
  <c r="B2814" i="20" s="1"/>
  <c r="D2814" i="20" s="1"/>
  <c r="H1270" i="20"/>
  <c r="H1271" i="20" s="1"/>
  <c r="H1272" i="20" s="1"/>
  <c r="B1272" i="20" s="1"/>
  <c r="D1272" i="20" s="1"/>
  <c r="H2453" i="20"/>
  <c r="H2454" i="20" s="1"/>
  <c r="H2455" i="20" s="1"/>
  <c r="B2455" i="20" s="1"/>
  <c r="D2455" i="20" s="1"/>
  <c r="H3215" i="20"/>
  <c r="H3216" i="20" s="1"/>
  <c r="H3217" i="20" s="1"/>
  <c r="B3217" i="20" s="1"/>
  <c r="D3217" i="20" s="1"/>
  <c r="H2699" i="20"/>
  <c r="H2700" i="20" s="1"/>
  <c r="H2701" i="20" s="1"/>
  <c r="B2701" i="20" s="1"/>
  <c r="D2701" i="20" s="1"/>
  <c r="H2367" i="20"/>
  <c r="H2368" i="20" s="1"/>
  <c r="H2369" i="20" s="1"/>
  <c r="B2369" i="20" s="1"/>
  <c r="D2369" i="20" s="1"/>
  <c r="H3202" i="20"/>
  <c r="H3203" i="20" s="1"/>
  <c r="H3204" i="20" s="1"/>
  <c r="B3204" i="20" s="1"/>
  <c r="D3204" i="20" s="1"/>
  <c r="H4230" i="20"/>
  <c r="H4231" i="20" s="1"/>
  <c r="H4232" i="20" s="1"/>
  <c r="B4232" i="20" s="1"/>
  <c r="D4232" i="20" s="1"/>
  <c r="H4321" i="20"/>
  <c r="H4322" i="20" s="1"/>
  <c r="H4323" i="20" s="1"/>
  <c r="B4323" i="20" s="1"/>
  <c r="D4323" i="20" s="1"/>
  <c r="H660" i="20"/>
  <c r="H661" i="20" s="1"/>
  <c r="H662" i="20" s="1"/>
  <c r="B662" i="20" s="1"/>
  <c r="H2866" i="20"/>
  <c r="H2867" i="20" s="1"/>
  <c r="H2868" i="20" s="1"/>
  <c r="B2868" i="20" s="1"/>
  <c r="D2868" i="20" s="1"/>
  <c r="H2781" i="20"/>
  <c r="H2782" i="20" s="1"/>
  <c r="H2783" i="20" s="1"/>
  <c r="B2783" i="20" s="1"/>
  <c r="D2783" i="20" s="1"/>
  <c r="H1706" i="20"/>
  <c r="H1707" i="20" s="1"/>
  <c r="H1708" i="20" s="1"/>
  <c r="B1708" i="20" s="1"/>
  <c r="D1708" i="20" s="1"/>
  <c r="H1572" i="20"/>
  <c r="H1573" i="20" s="1"/>
  <c r="H1574" i="20" s="1"/>
  <c r="B1574" i="20" s="1"/>
  <c r="D1574" i="20" s="1"/>
  <c r="H1300" i="20"/>
  <c r="H1301" i="20" s="1"/>
  <c r="H1302" i="20" s="1"/>
  <c r="B1302" i="20" s="1"/>
  <c r="D1302" i="20" s="1"/>
  <c r="H2528" i="20"/>
  <c r="H2529" i="20" s="1"/>
  <c r="H2530" i="20" s="1"/>
  <c r="B2530" i="20" s="1"/>
  <c r="D2530" i="20" s="1"/>
  <c r="H1693" i="20"/>
  <c r="H1694" i="20" s="1"/>
  <c r="H1695" i="20" s="1"/>
  <c r="B1695" i="20" s="1"/>
  <c r="D1695" i="20" s="1"/>
  <c r="H1613" i="20"/>
  <c r="H1614" i="20" s="1"/>
  <c r="H1615" i="20" s="1"/>
  <c r="B1615" i="20" s="1"/>
  <c r="D1615" i="20" s="1"/>
  <c r="H1284" i="20"/>
  <c r="H1285" i="20" s="1"/>
  <c r="H1286" i="20" s="1"/>
  <c r="B1286" i="20" s="1"/>
  <c r="D1286" i="20" s="1"/>
  <c r="H2352" i="20"/>
  <c r="H2353" i="20" s="1"/>
  <c r="H2354" i="20" s="1"/>
  <c r="B2354" i="20" s="1"/>
  <c r="D2354" i="20" s="1"/>
  <c r="H4519" i="20"/>
  <c r="H4520" i="20" s="1"/>
  <c r="H4521" i="20" s="1"/>
  <c r="B4521" i="20" s="1"/>
  <c r="D4521" i="20" s="1"/>
  <c r="H4475" i="20"/>
  <c r="H4476" i="20" s="1"/>
  <c r="H4477" i="20" s="1"/>
  <c r="B4477" i="20" s="1"/>
  <c r="D4477" i="20" s="1"/>
  <c r="H3015" i="20"/>
  <c r="H3016" i="20" s="1"/>
  <c r="H3017" i="20" s="1"/>
  <c r="B3017" i="20" s="1"/>
  <c r="D3017" i="20" s="1"/>
  <c r="H3000" i="20"/>
  <c r="H3001" i="20" s="1"/>
  <c r="H3002" i="20" s="1"/>
  <c r="B3002" i="20" s="1"/>
  <c r="D3002" i="20" s="1"/>
  <c r="H2988" i="20"/>
  <c r="H2989" i="20" s="1"/>
  <c r="H2990" i="20" s="1"/>
  <c r="B2990" i="20" s="1"/>
  <c r="D2990" i="20" s="1"/>
  <c r="H2972" i="20"/>
  <c r="H2973" i="20" s="1"/>
  <c r="H2974" i="20" s="1"/>
  <c r="B2974" i="20" s="1"/>
  <c r="D2974" i="20" s="1"/>
  <c r="H2957" i="20"/>
  <c r="H2958" i="20" s="1"/>
  <c r="H2959" i="20" s="1"/>
  <c r="B2959" i="20" s="1"/>
  <c r="D2959" i="20" s="1"/>
  <c r="H2944" i="20"/>
  <c r="H2945" i="20" s="1"/>
  <c r="H2946" i="20" s="1"/>
  <c r="B2946" i="20" s="1"/>
  <c r="D2946" i="20" s="1"/>
  <c r="H2882" i="20"/>
  <c r="H2883" i="20" s="1"/>
  <c r="H2884" i="20" s="1"/>
  <c r="B2884" i="20" s="1"/>
  <c r="D2884" i="20" s="1"/>
  <c r="H2855" i="20"/>
  <c r="H2856" i="20" s="1"/>
  <c r="H2857" i="20" s="1"/>
  <c r="B2857" i="20" s="1"/>
  <c r="D2857" i="20" s="1"/>
  <c r="H2796" i="20"/>
  <c r="H2797" i="20" s="1"/>
  <c r="H2798" i="20" s="1"/>
  <c r="B2798" i="20" s="1"/>
  <c r="D2798" i="20" s="1"/>
  <c r="H2769" i="20"/>
  <c r="H2770" i="20" s="1"/>
  <c r="H2771" i="20" s="1"/>
  <c r="B2771" i="20" s="1"/>
  <c r="D2771" i="20" s="1"/>
  <c r="H2754" i="20"/>
  <c r="H2755" i="20" s="1"/>
  <c r="H2756" i="20" s="1"/>
  <c r="B2756" i="20" s="1"/>
  <c r="H2593" i="20"/>
  <c r="H2594" i="20" s="1"/>
  <c r="H2595" i="20" s="1"/>
  <c r="B2595" i="20" s="1"/>
  <c r="D2595" i="20" s="1"/>
  <c r="H2398" i="20"/>
  <c r="H2399" i="20" s="1"/>
  <c r="H2400" i="20" s="1"/>
  <c r="B2400" i="20" s="1"/>
  <c r="D2400" i="20" s="1"/>
  <c r="H2233" i="20"/>
  <c r="H2234" i="20" s="1"/>
  <c r="H2235" i="20" s="1"/>
  <c r="B2235" i="20" s="1"/>
  <c r="D2235" i="20" s="1"/>
  <c r="H1979" i="20"/>
  <c r="H1980" i="20" s="1"/>
  <c r="H1981" i="20" s="1"/>
  <c r="B1981" i="20" s="1"/>
  <c r="D1981" i="20" s="1"/>
  <c r="H1941" i="20"/>
  <c r="H1942" i="20" s="1"/>
  <c r="H1943" i="20" s="1"/>
  <c r="B1943" i="20" s="1"/>
  <c r="D1943" i="20" s="1"/>
  <c r="H1902" i="20"/>
  <c r="H1903" i="20" s="1"/>
  <c r="H1904" i="20" s="1"/>
  <c r="B1904" i="20" s="1"/>
  <c r="D1904" i="20" s="1"/>
  <c r="H1860" i="20"/>
  <c r="H1861" i="20" s="1"/>
  <c r="H1862" i="20" s="1"/>
  <c r="B1862" i="20" s="1"/>
  <c r="D1862" i="20" s="1"/>
  <c r="H1466" i="20"/>
  <c r="H1467" i="20" s="1"/>
  <c r="H1468" i="20" s="1"/>
  <c r="B1468" i="20" s="1"/>
  <c r="D1468" i="20" s="1"/>
  <c r="H2511" i="20"/>
  <c r="H2512" i="20" s="1"/>
  <c r="H2513" i="20" s="1"/>
  <c r="B2513" i="20" s="1"/>
  <c r="D2513" i="20" s="1"/>
  <c r="H4401" i="20"/>
  <c r="H4402" i="20" s="1"/>
  <c r="H4403" i="20" s="1"/>
  <c r="B4403" i="20" s="1"/>
  <c r="D4403" i="20" s="1"/>
  <c r="H3778" i="20"/>
  <c r="H3779" i="20" s="1"/>
  <c r="H3780" i="20" s="1"/>
  <c r="B3780" i="20" s="1"/>
  <c r="D3780" i="20" s="1"/>
  <c r="H3764" i="20"/>
  <c r="H3765" i="20" s="1"/>
  <c r="H3766" i="20" s="1"/>
  <c r="B3766" i="20" s="1"/>
  <c r="D3766" i="20" s="1"/>
  <c r="H2899" i="20"/>
  <c r="H2900" i="20" s="1"/>
  <c r="H2901" i="20" s="1"/>
  <c r="B2901" i="20" s="1"/>
  <c r="D2901" i="20" s="1"/>
  <c r="H2638" i="20"/>
  <c r="H2639" i="20" s="1"/>
  <c r="H2640" i="20" s="1"/>
  <c r="B2640" i="20" s="1"/>
  <c r="D2640" i="20" s="1"/>
  <c r="H2309" i="20"/>
  <c r="H2310" i="20" s="1"/>
  <c r="H2311" i="20" s="1"/>
  <c r="B2311" i="20" s="1"/>
  <c r="D2311" i="20" s="1"/>
  <c r="H2041" i="20"/>
  <c r="H2042" i="20" s="1"/>
  <c r="H2043" i="20" s="1"/>
  <c r="B2043" i="20" s="1"/>
  <c r="D2043" i="20" s="1"/>
  <c r="H1761" i="20"/>
  <c r="H1762" i="20" s="1"/>
  <c r="H1763" i="20" s="1"/>
  <c r="B1763" i="20" s="1"/>
  <c r="H1749" i="20"/>
  <c r="H1750" i="20" s="1"/>
  <c r="H1751" i="20" s="1"/>
  <c r="B1751" i="20" s="1"/>
  <c r="H1734" i="20"/>
  <c r="H1735" i="20" s="1"/>
  <c r="H1736" i="20" s="1"/>
  <c r="B1736" i="20" s="1"/>
  <c r="H1719" i="20"/>
  <c r="H1720" i="20" s="1"/>
  <c r="H1721" i="20" s="1"/>
  <c r="B1721" i="20" s="1"/>
  <c r="H1630" i="20"/>
  <c r="H1631" i="20" s="1"/>
  <c r="H1632" i="20" s="1"/>
  <c r="B1632" i="20" s="1"/>
  <c r="D1632" i="20" s="1"/>
  <c r="H1508" i="20"/>
  <c r="H1509" i="20" s="1"/>
  <c r="H1510" i="20" s="1"/>
  <c r="B1510" i="20" s="1"/>
  <c r="H1408" i="20"/>
  <c r="H1409" i="20" s="1"/>
  <c r="H1410" i="20" s="1"/>
  <c r="B1410" i="20" s="1"/>
  <c r="D1410" i="20" s="1"/>
  <c r="N4338" i="20"/>
  <c r="O4339" i="20" s="1"/>
  <c r="O4340" i="20" s="1"/>
  <c r="O4341" i="20" s="1"/>
  <c r="O4342" i="20" s="1"/>
  <c r="I4342" i="20" s="1"/>
  <c r="K4342" i="20" s="1"/>
  <c r="H2293" i="20"/>
  <c r="H2294" i="20" s="1"/>
  <c r="H2295" i="20" s="1"/>
  <c r="B2295" i="20" s="1"/>
  <c r="D2295" i="20" s="1"/>
  <c r="H2260" i="20"/>
  <c r="H2261" i="20" s="1"/>
  <c r="H2262" i="20" s="1"/>
  <c r="B2262" i="20" s="1"/>
  <c r="D2262" i="20" s="1"/>
  <c r="H2245" i="20"/>
  <c r="H2246" i="20" s="1"/>
  <c r="H2247" i="20" s="1"/>
  <c r="B2247" i="20" s="1"/>
  <c r="D2247" i="20" s="1"/>
  <c r="H2210" i="20"/>
  <c r="H2211" i="20" s="1"/>
  <c r="H2212" i="20" s="1"/>
  <c r="B2212" i="20" s="1"/>
  <c r="D2212" i="20" s="1"/>
  <c r="H2195" i="20"/>
  <c r="H2196" i="20" s="1"/>
  <c r="H2197" i="20" s="1"/>
  <c r="B2197" i="20" s="1"/>
  <c r="D2197" i="20" s="1"/>
  <c r="H2181" i="20"/>
  <c r="H2182" i="20" s="1"/>
  <c r="H2183" i="20" s="1"/>
  <c r="B2183" i="20" s="1"/>
  <c r="D2183" i="20" s="1"/>
  <c r="H2168" i="20"/>
  <c r="H2169" i="20" s="1"/>
  <c r="H2170" i="20" s="1"/>
  <c r="B2170" i="20" s="1"/>
  <c r="D2170" i="20" s="1"/>
  <c r="H1962" i="20"/>
  <c r="H1963" i="20" s="1"/>
  <c r="H1964" i="20" s="1"/>
  <c r="B1964" i="20" s="1"/>
  <c r="D1964" i="20" s="1"/>
  <c r="H1825" i="20"/>
  <c r="H1826" i="20" s="1"/>
  <c r="H1827" i="20" s="1"/>
  <c r="B1827" i="20" s="1"/>
  <c r="D1827" i="20" s="1"/>
  <c r="H1808" i="20"/>
  <c r="H1809" i="20" s="1"/>
  <c r="H1810" i="20" s="1"/>
  <c r="B1810" i="20" s="1"/>
  <c r="D1810" i="20" s="1"/>
  <c r="H1792" i="20"/>
  <c r="H1793" i="20" s="1"/>
  <c r="H1794" i="20" s="1"/>
  <c r="B1794" i="20" s="1"/>
  <c r="D1794" i="20" s="1"/>
  <c r="H1656" i="20"/>
  <c r="H1657" i="20" s="1"/>
  <c r="H1658" i="20" s="1"/>
  <c r="B1658" i="20" s="1"/>
  <c r="D1658" i="20" s="1"/>
  <c r="H1548" i="20"/>
  <c r="H1549" i="20" s="1"/>
  <c r="H1550" i="20" s="1"/>
  <c r="B1550" i="20" s="1"/>
  <c r="D1550" i="20" s="1"/>
  <c r="H1221" i="20"/>
  <c r="H1222" i="20" s="1"/>
  <c r="H1223" i="20" s="1"/>
  <c r="B1223" i="20" s="1"/>
  <c r="D1223" i="20" s="1"/>
  <c r="H1204" i="20"/>
  <c r="H1205" i="20" s="1"/>
  <c r="H1206" i="20" s="1"/>
  <c r="B1206" i="20" s="1"/>
  <c r="D1206" i="20" s="1"/>
  <c r="H1188" i="20"/>
  <c r="H1189" i="20" s="1"/>
  <c r="H1190" i="20" s="1"/>
  <c r="B1190" i="20" s="1"/>
  <c r="D1190" i="20" s="1"/>
  <c r="H1128" i="20"/>
  <c r="H1129" i="20" s="1"/>
  <c r="H1130" i="20" s="1"/>
  <c r="B1130" i="20" s="1"/>
  <c r="D1130" i="20" s="1"/>
  <c r="H1099" i="20"/>
  <c r="H1100" i="20" s="1"/>
  <c r="H1101" i="20" s="1"/>
  <c r="B1101" i="20" s="1"/>
  <c r="D1101" i="20" s="1"/>
  <c r="H1083" i="20"/>
  <c r="H1084" i="20" s="1"/>
  <c r="H1085" i="20" s="1"/>
  <c r="B1085" i="20" s="1"/>
  <c r="D1085" i="20" s="1"/>
  <c r="H1061" i="20"/>
  <c r="H1062" i="20" s="1"/>
  <c r="H1063" i="20" s="1"/>
  <c r="B1063" i="20" s="1"/>
  <c r="D1063" i="20" s="1"/>
  <c r="H2382" i="20"/>
  <c r="H2383" i="20" s="1"/>
  <c r="H2384" i="20" s="1"/>
  <c r="B2384" i="20" s="1"/>
  <c r="D2384" i="20" s="1"/>
  <c r="F2823" i="20"/>
  <c r="F570" i="20"/>
  <c r="G570" i="20" s="1"/>
  <c r="F2275" i="20"/>
  <c r="G2275" i="20" s="1"/>
  <c r="H2058" i="20"/>
  <c r="H2059" i="20" s="1"/>
  <c r="H2060" i="20" s="1"/>
  <c r="B2060" i="20" s="1"/>
  <c r="D2060" i="20" s="1"/>
  <c r="H2024" i="20"/>
  <c r="H2025" i="20" s="1"/>
  <c r="H2026" i="20" s="1"/>
  <c r="B2026" i="20" s="1"/>
  <c r="D2026" i="20" s="1"/>
  <c r="H1532" i="20"/>
  <c r="H1533" i="20" s="1"/>
  <c r="H1534" i="20" s="1"/>
  <c r="B1534" i="20" s="1"/>
  <c r="D1534" i="20" s="1"/>
  <c r="H1437" i="20"/>
  <c r="H1438" i="20" s="1"/>
  <c r="H1439" i="20" s="1"/>
  <c r="B1439" i="20" s="1"/>
  <c r="D1439" i="20" s="1"/>
  <c r="H2657" i="20"/>
  <c r="H2658" i="20" s="1"/>
  <c r="H2659" i="20" s="1"/>
  <c r="B2659" i="20" s="1"/>
  <c r="D2659" i="20" s="1"/>
  <c r="H2608" i="20"/>
  <c r="H2609" i="20" s="1"/>
  <c r="H2610" i="20" s="1"/>
  <c r="B2610" i="20" s="1"/>
  <c r="D2610" i="20" s="1"/>
  <c r="F2734" i="20"/>
  <c r="G2734" i="20" s="1"/>
  <c r="F2322" i="20"/>
  <c r="G2322" i="20" s="1"/>
  <c r="H2324" i="20" s="1"/>
  <c r="H2325" i="20" s="1"/>
  <c r="H2326" i="20" s="1"/>
  <c r="H2327" i="20" s="1"/>
  <c r="B2327" i="20" s="1"/>
  <c r="D2327" i="20" s="1"/>
  <c r="H4504" i="20"/>
  <c r="H4505" i="20" s="1"/>
  <c r="H4506" i="20" s="1"/>
  <c r="B4506" i="20" s="1"/>
  <c r="D4506" i="20" s="1"/>
  <c r="H4490" i="20"/>
  <c r="H4491" i="20" s="1"/>
  <c r="H4492" i="20" s="1"/>
  <c r="B4492" i="20" s="1"/>
  <c r="D4492" i="20" s="1"/>
  <c r="H4459" i="20"/>
  <c r="H4460" i="20" s="1"/>
  <c r="H4461" i="20" s="1"/>
  <c r="B4461" i="20" s="1"/>
  <c r="D4461" i="20" s="1"/>
  <c r="H4017" i="20"/>
  <c r="H4018" i="20" s="1"/>
  <c r="H4019" i="20" s="1"/>
  <c r="B4019" i="20" s="1"/>
  <c r="H3747" i="20"/>
  <c r="H3748" i="20" s="1"/>
  <c r="H3749" i="20" s="1"/>
  <c r="B3749" i="20" s="1"/>
  <c r="D3749" i="20" s="1"/>
  <c r="H3587" i="20"/>
  <c r="H3588" i="20" s="1"/>
  <c r="H3589" i="20" s="1"/>
  <c r="B3589" i="20" s="1"/>
  <c r="D3589" i="20" s="1"/>
  <c r="H3571" i="20"/>
  <c r="H3572" i="20" s="1"/>
  <c r="H3573" i="20" s="1"/>
  <c r="B3573" i="20" s="1"/>
  <c r="D3573" i="20" s="1"/>
  <c r="H3313" i="20"/>
  <c r="H3314" i="20" s="1"/>
  <c r="H3315" i="20" s="1"/>
  <c r="B3315" i="20" s="1"/>
  <c r="D3315" i="20" s="1"/>
  <c r="H1924" i="20"/>
  <c r="H1925" i="20" s="1"/>
  <c r="H1926" i="20" s="1"/>
  <c r="B1926" i="20" s="1"/>
  <c r="D1926" i="20" s="1"/>
  <c r="H1883" i="20"/>
  <c r="H1884" i="20" s="1"/>
  <c r="H1885" i="20" s="1"/>
  <c r="B1885" i="20" s="1"/>
  <c r="D1885" i="20" s="1"/>
  <c r="H1041" i="20"/>
  <c r="H1042" i="20" s="1"/>
  <c r="H1043" i="20" s="1"/>
  <c r="B1043" i="20" s="1"/>
  <c r="D1043" i="20" s="1"/>
  <c r="H1020" i="20"/>
  <c r="H1021" i="20" s="1"/>
  <c r="H1022" i="20" s="1"/>
  <c r="B1022" i="20" s="1"/>
  <c r="D1022" i="20" s="1"/>
  <c r="H1005" i="20"/>
  <c r="H1006" i="20" s="1"/>
  <c r="H1007" i="20" s="1"/>
  <c r="B1007" i="20" s="1"/>
  <c r="D1007" i="20" s="1"/>
  <c r="H992" i="20"/>
  <c r="H993" i="20" s="1"/>
  <c r="H994" i="20" s="1"/>
  <c r="B994" i="20" s="1"/>
  <c r="H2913" i="20"/>
  <c r="H2914" i="20" s="1"/>
  <c r="H2915" i="20" s="1"/>
  <c r="B2915" i="20" s="1"/>
  <c r="D2915" i="20" s="1"/>
  <c r="H2681" i="20"/>
  <c r="H2682" i="20" s="1"/>
  <c r="H2683" i="20" s="1"/>
  <c r="H2684" i="20" s="1"/>
  <c r="B2684" i="20" s="1"/>
  <c r="D2684" i="20" s="1"/>
  <c r="Q3402" i="20"/>
  <c r="Q4060" i="20"/>
  <c r="Q4061" i="20" s="1"/>
  <c r="Q4062" i="20" s="1"/>
  <c r="Q4063" i="20" s="1"/>
  <c r="K4063" i="20" s="1"/>
  <c r="M4063" i="20" s="1"/>
  <c r="Q1994" i="20"/>
  <c r="Q1995" i="20" s="1"/>
  <c r="K1995" i="20" s="1"/>
  <c r="H2723" i="20"/>
  <c r="H2724" i="20" s="1"/>
  <c r="B2724" i="20" s="1"/>
  <c r="D2724" i="20" s="1"/>
  <c r="H4140" i="20"/>
  <c r="H4141" i="20" s="1"/>
  <c r="B4141" i="20" s="1"/>
  <c r="H4128" i="20"/>
  <c r="H4129" i="20" s="1"/>
  <c r="B4129" i="20" s="1"/>
  <c r="H4116" i="20"/>
  <c r="H4117" i="20" s="1"/>
  <c r="B4117" i="20" s="1"/>
  <c r="H4103" i="20"/>
  <c r="H4104" i="20" s="1"/>
  <c r="B4104" i="20" s="1"/>
  <c r="D4104" i="20" s="1"/>
  <c r="H4090" i="20"/>
  <c r="H4091" i="20" s="1"/>
  <c r="B4091" i="20" s="1"/>
  <c r="D4091" i="20" s="1"/>
  <c r="H4078" i="20"/>
  <c r="H4079" i="20" s="1"/>
  <c r="B4079" i="20" s="1"/>
  <c r="D4079" i="20" s="1"/>
  <c r="B1334" i="20"/>
  <c r="D1334" i="20" s="1"/>
  <c r="B1331" i="20"/>
  <c r="D1331" i="20" s="1"/>
  <c r="B1318" i="20"/>
  <c r="D1318" i="20" s="1"/>
  <c r="B1315" i="20"/>
  <c r="D1315" i="20" s="1"/>
  <c r="B1256" i="20"/>
  <c r="D1256" i="20" s="1"/>
  <c r="B1253" i="20"/>
  <c r="D1253" i="20" s="1"/>
  <c r="B1238" i="20"/>
  <c r="D1238" i="20" s="1"/>
  <c r="B1235" i="20"/>
  <c r="D1235" i="20" s="1"/>
  <c r="H169" i="20"/>
  <c r="H170" i="20" s="1"/>
  <c r="B171" i="20" s="1"/>
  <c r="H154" i="20"/>
  <c r="H155" i="20" s="1"/>
  <c r="B156" i="20" s="1"/>
  <c r="H142" i="20"/>
  <c r="H143" i="20" s="1"/>
  <c r="B144" i="20" s="1"/>
  <c r="F3455" i="20"/>
  <c r="G3455" i="20" s="1"/>
  <c r="F3429" i="20"/>
  <c r="G3429" i="20" s="1"/>
  <c r="G3417" i="20"/>
  <c r="F2925" i="20"/>
  <c r="G2925" i="20" s="1"/>
  <c r="F3454" i="20"/>
  <c r="G3454" i="20" s="1"/>
  <c r="F3428" i="20"/>
  <c r="G3428" i="20" s="1"/>
  <c r="G3416" i="20"/>
  <c r="F2924" i="20"/>
  <c r="G2924" i="20" s="1"/>
  <c r="H4047" i="20"/>
  <c r="H4048" i="20" s="1"/>
  <c r="B4048" i="20" s="1"/>
  <c r="D4048" i="20" s="1"/>
  <c r="H3187" i="20"/>
  <c r="H3188" i="20" s="1"/>
  <c r="B3188" i="20" s="1"/>
  <c r="D3188" i="20" s="1"/>
  <c r="H3173" i="20"/>
  <c r="H3174" i="20" s="1"/>
  <c r="B3174" i="20" s="1"/>
  <c r="D3174" i="20" s="1"/>
  <c r="H2441" i="20"/>
  <c r="H2442" i="20" s="1"/>
  <c r="B2442" i="20" s="1"/>
  <c r="D2442" i="20" s="1"/>
  <c r="H2414" i="20"/>
  <c r="H2415" i="20" s="1"/>
  <c r="B2415" i="20" s="1"/>
  <c r="D2415" i="20" s="1"/>
  <c r="H2012" i="20"/>
  <c r="H2013" i="20" s="1"/>
  <c r="B2013" i="20" s="1"/>
  <c r="H1997" i="20"/>
  <c r="H1998" i="20" s="1"/>
  <c r="B1998" i="20" s="1"/>
  <c r="H1777" i="20"/>
  <c r="H1778" i="20" s="1"/>
  <c r="B1778" i="20" s="1"/>
  <c r="H1495" i="20"/>
  <c r="H1496" i="20" s="1"/>
  <c r="B1496" i="20" s="1"/>
  <c r="D1496" i="20" s="1"/>
  <c r="H125" i="20"/>
  <c r="H126" i="20" s="1"/>
  <c r="B126" i="20" s="1"/>
  <c r="H237" i="20"/>
  <c r="H238" i="20" s="1"/>
  <c r="H80" i="20"/>
  <c r="H81" i="20" s="1"/>
  <c r="B82" i="20" s="1"/>
  <c r="H65" i="20"/>
  <c r="H66" i="20" s="1"/>
  <c r="B67" i="20" s="1"/>
  <c r="H51" i="20"/>
  <c r="H52" i="20" s="1"/>
  <c r="B53" i="20" s="1"/>
  <c r="H40" i="20"/>
  <c r="H41" i="20" s="1"/>
  <c r="B42" i="20" s="1"/>
  <c r="H24" i="20"/>
  <c r="H25" i="20" s="1"/>
  <c r="B26" i="20" s="1"/>
  <c r="H9" i="20"/>
  <c r="H10" i="20" s="1"/>
  <c r="B11" i="20" s="1"/>
  <c r="H4936" i="20"/>
  <c r="H4906" i="20"/>
  <c r="H4033" i="20"/>
  <c r="H4377" i="20"/>
  <c r="H3402" i="20"/>
  <c r="H2821" i="20"/>
  <c r="H1589" i="20"/>
  <c r="H1583" i="20"/>
  <c r="F642" i="19"/>
  <c r="G642" i="19" s="1"/>
  <c r="H643" i="19" s="1"/>
  <c r="H644" i="19" s="1"/>
  <c r="F629" i="19"/>
  <c r="G629" i="19" s="1"/>
  <c r="H630" i="19" s="1"/>
  <c r="H631" i="19" s="1"/>
  <c r="I621" i="19"/>
  <c r="F617" i="19"/>
  <c r="G617" i="19" s="1"/>
  <c r="H618" i="19" s="1"/>
  <c r="H619" i="19" s="1"/>
  <c r="I607" i="19"/>
  <c r="F605" i="19"/>
  <c r="G605" i="19" s="1"/>
  <c r="H606" i="19" s="1"/>
  <c r="H607" i="19" s="1"/>
  <c r="F592" i="19"/>
  <c r="G592" i="19" s="1"/>
  <c r="H593" i="19" s="1"/>
  <c r="H594" i="19" s="1"/>
  <c r="F579" i="19"/>
  <c r="G579" i="19" s="1"/>
  <c r="H580" i="19" s="1"/>
  <c r="H581" i="19" s="1"/>
  <c r="H3455" i="20" l="1"/>
  <c r="H3457" i="20" s="1"/>
  <c r="H3458" i="20" s="1"/>
  <c r="H3459" i="20" s="1"/>
  <c r="B3459" i="20" s="1"/>
  <c r="D3459" i="20" s="1"/>
  <c r="H3429" i="20"/>
  <c r="H2925" i="20"/>
  <c r="H2928" i="20" s="1"/>
  <c r="H2929" i="20" s="1"/>
  <c r="H2930" i="20" s="1"/>
  <c r="B2930" i="20" s="1"/>
  <c r="D2930" i="20" s="1"/>
  <c r="H3417" i="20"/>
  <c r="F4879" i="20"/>
  <c r="G4879" i="20" s="1"/>
  <c r="H4879" i="20" s="1"/>
  <c r="H4880" i="20" s="1"/>
  <c r="H4881" i="20" s="1"/>
  <c r="H4882" i="20" s="1"/>
  <c r="B4882" i="20" s="1"/>
  <c r="F4542" i="20"/>
  <c r="G4542" i="20" s="1"/>
  <c r="F4387" i="20"/>
  <c r="G4387" i="20" s="1"/>
  <c r="H4387" i="20" s="1"/>
  <c r="H4388" i="20" s="1"/>
  <c r="H4389" i="20" s="1"/>
  <c r="H4390" i="20" s="1"/>
  <c r="B4390" i="20" s="1"/>
  <c r="F975" i="20"/>
  <c r="G975" i="20" s="1"/>
  <c r="H976" i="20" s="1"/>
  <c r="F892" i="20"/>
  <c r="G892" i="20" s="1"/>
  <c r="H894" i="20" s="1"/>
  <c r="F846" i="20"/>
  <c r="G846" i="20" s="1"/>
  <c r="H848" i="20" s="1"/>
  <c r="F807" i="20"/>
  <c r="G807" i="20" s="1"/>
  <c r="H807" i="20" s="1"/>
  <c r="H808" i="20" s="1"/>
  <c r="H809" i="20" s="1"/>
  <c r="H810" i="20" s="1"/>
  <c r="B810" i="20" s="1"/>
  <c r="F737" i="20"/>
  <c r="G737" i="20" s="1"/>
  <c r="H737" i="20" s="1"/>
  <c r="H738" i="20" s="1"/>
  <c r="H739" i="20" s="1"/>
  <c r="H740" i="20" s="1"/>
  <c r="B740" i="20" s="1"/>
  <c r="F674" i="20"/>
  <c r="G674" i="20" s="1"/>
  <c r="H674" i="20" s="1"/>
  <c r="H675" i="20" s="1"/>
  <c r="H676" i="20" s="1"/>
  <c r="H677" i="20" s="1"/>
  <c r="B677" i="20" s="1"/>
  <c r="F646" i="20"/>
  <c r="G646" i="20" s="1"/>
  <c r="H646" i="20" s="1"/>
  <c r="H647" i="20" s="1"/>
  <c r="H648" i="20" s="1"/>
  <c r="H649" i="20" s="1"/>
  <c r="B649" i="20" s="1"/>
  <c r="F613" i="20"/>
  <c r="G613" i="20" s="1"/>
  <c r="H613" i="20" s="1"/>
  <c r="H614" i="20" s="1"/>
  <c r="H615" i="20" s="1"/>
  <c r="H616" i="20" s="1"/>
  <c r="B616" i="20" s="1"/>
  <c r="F571" i="20"/>
  <c r="G571" i="20" s="1"/>
  <c r="F507" i="20"/>
  <c r="G507" i="20" s="1"/>
  <c r="H507" i="20" s="1"/>
  <c r="H509" i="20" s="1"/>
  <c r="H510" i="20" s="1"/>
  <c r="H511" i="20" s="1"/>
  <c r="B511" i="20" s="1"/>
  <c r="F466" i="20"/>
  <c r="G466" i="20" s="1"/>
  <c r="H466" i="20" s="1"/>
  <c r="H468" i="20" s="1"/>
  <c r="H469" i="20" s="1"/>
  <c r="H470" i="20" s="1"/>
  <c r="B470" i="20" s="1"/>
  <c r="F426" i="20"/>
  <c r="G426" i="20" s="1"/>
  <c r="H426" i="20" s="1"/>
  <c r="H428" i="20" s="1"/>
  <c r="H429" i="20" s="1"/>
  <c r="H430" i="20" s="1"/>
  <c r="B430" i="20" s="1"/>
  <c r="F384" i="20"/>
  <c r="G384" i="20" s="1"/>
  <c r="H384" i="20" s="1"/>
  <c r="H386" i="20" s="1"/>
  <c r="H387" i="20" s="1"/>
  <c r="H388" i="20" s="1"/>
  <c r="B388" i="20" s="1"/>
  <c r="F342" i="20"/>
  <c r="G342" i="20" s="1"/>
  <c r="H342" i="20" s="1"/>
  <c r="H344" i="20" s="1"/>
  <c r="H345" i="20" s="1"/>
  <c r="H346" i="20" s="1"/>
  <c r="B346" i="20" s="1"/>
  <c r="F938" i="20"/>
  <c r="G938" i="20" s="1"/>
  <c r="H940" i="20" s="1"/>
  <c r="F872" i="20"/>
  <c r="G872" i="20" s="1"/>
  <c r="H874" i="20" s="1"/>
  <c r="F830" i="20"/>
  <c r="G830" i="20" s="1"/>
  <c r="H830" i="20" s="1"/>
  <c r="H831" i="20" s="1"/>
  <c r="H832" i="20" s="1"/>
  <c r="H833" i="20" s="1"/>
  <c r="B833" i="20" s="1"/>
  <c r="F717" i="20"/>
  <c r="G717" i="20" s="1"/>
  <c r="H717" i="20" s="1"/>
  <c r="H718" i="20" s="1"/>
  <c r="H719" i="20" s="1"/>
  <c r="H720" i="20" s="1"/>
  <c r="B720" i="20" s="1"/>
  <c r="F630" i="20"/>
  <c r="G630" i="20" s="1"/>
  <c r="H630" i="20" s="1"/>
  <c r="H631" i="20" s="1"/>
  <c r="H632" i="20" s="1"/>
  <c r="H633" i="20" s="1"/>
  <c r="B633" i="20" s="1"/>
  <c r="F548" i="20"/>
  <c r="G548" i="20" s="1"/>
  <c r="H548" i="20" s="1"/>
  <c r="H550" i="20" s="1"/>
  <c r="H551" i="20" s="1"/>
  <c r="H552" i="20" s="1"/>
  <c r="B552" i="20" s="1"/>
  <c r="F532" i="20"/>
  <c r="G532" i="20" s="1"/>
  <c r="H532" i="20" s="1"/>
  <c r="H534" i="20" s="1"/>
  <c r="H535" i="20" s="1"/>
  <c r="H536" i="20" s="1"/>
  <c r="B536" i="20" s="1"/>
  <c r="F449" i="20"/>
  <c r="G449" i="20" s="1"/>
  <c r="H449" i="20" s="1"/>
  <c r="H451" i="20" s="1"/>
  <c r="H452" i="20" s="1"/>
  <c r="H453" i="20" s="1"/>
  <c r="B453" i="20" s="1"/>
  <c r="F367" i="20"/>
  <c r="G367" i="20" s="1"/>
  <c r="H367" i="20" s="1"/>
  <c r="H369" i="20" s="1"/>
  <c r="H370" i="20" s="1"/>
  <c r="H371" i="20" s="1"/>
  <c r="B371" i="20" s="1"/>
  <c r="F297" i="20"/>
  <c r="G297" i="20" s="1"/>
  <c r="H297" i="20" s="1"/>
  <c r="H299" i="20" s="1"/>
  <c r="H300" i="20" s="1"/>
  <c r="H301" i="20" s="1"/>
  <c r="B301" i="20" s="1"/>
  <c r="F192" i="20"/>
  <c r="G192" i="20" s="1"/>
  <c r="H192" i="20" s="1"/>
  <c r="H193" i="20" s="1"/>
  <c r="H194" i="20" s="1"/>
  <c r="H195" i="20" s="1"/>
  <c r="B195" i="20" s="1"/>
  <c r="F181" i="20"/>
  <c r="G181" i="20" s="1"/>
  <c r="H181" i="20" s="1"/>
  <c r="H182" i="20" s="1"/>
  <c r="H183" i="20" s="1"/>
  <c r="H184" i="20" s="1"/>
  <c r="B184" i="20" s="1"/>
  <c r="F324" i="20"/>
  <c r="G324" i="20" s="1"/>
  <c r="H324" i="20" s="1"/>
  <c r="H326" i="20" s="1"/>
  <c r="H327" i="20" s="1"/>
  <c r="H328" i="20" s="1"/>
  <c r="B328" i="20" s="1"/>
  <c r="F917" i="20"/>
  <c r="G917" i="20" s="1"/>
  <c r="H919" i="20" s="1"/>
  <c r="F791" i="20"/>
  <c r="G791" i="20" s="1"/>
  <c r="H791" i="20" s="1"/>
  <c r="H792" i="20" s="1"/>
  <c r="H793" i="20" s="1"/>
  <c r="H794" i="20" s="1"/>
  <c r="B794" i="20" s="1"/>
  <c r="F769" i="20"/>
  <c r="G769" i="20" s="1"/>
  <c r="H769" i="20" s="1"/>
  <c r="H770" i="20" s="1"/>
  <c r="H771" i="20" s="1"/>
  <c r="H772" i="20" s="1"/>
  <c r="B772" i="20" s="1"/>
  <c r="F753" i="20"/>
  <c r="G753" i="20" s="1"/>
  <c r="H753" i="20" s="1"/>
  <c r="H754" i="20" s="1"/>
  <c r="H755" i="20" s="1"/>
  <c r="H756" i="20" s="1"/>
  <c r="B756" i="20" s="1"/>
  <c r="F588" i="20"/>
  <c r="G588" i="20" s="1"/>
  <c r="H588" i="20" s="1"/>
  <c r="H590" i="20" s="1"/>
  <c r="H591" i="20" s="1"/>
  <c r="H592" i="20" s="1"/>
  <c r="B592" i="20" s="1"/>
  <c r="F490" i="20"/>
  <c r="G490" i="20" s="1"/>
  <c r="H490" i="20" s="1"/>
  <c r="H492" i="20" s="1"/>
  <c r="H493" i="20" s="1"/>
  <c r="H494" i="20" s="1"/>
  <c r="B494" i="20" s="1"/>
  <c r="F409" i="20"/>
  <c r="G409" i="20" s="1"/>
  <c r="H409" i="20" s="1"/>
  <c r="H411" i="20" s="1"/>
  <c r="H412" i="20" s="1"/>
  <c r="H413" i="20" s="1"/>
  <c r="B413" i="20" s="1"/>
  <c r="F215" i="20"/>
  <c r="G215" i="20" s="1"/>
  <c r="H215" i="20" s="1"/>
  <c r="H216" i="20" s="1"/>
  <c r="H217" i="20" s="1"/>
  <c r="H218" i="20" s="1"/>
  <c r="B218" i="20" s="1"/>
  <c r="F270" i="20"/>
  <c r="G270" i="20" s="1"/>
  <c r="H270" i="20" s="1"/>
  <c r="H271" i="20" s="1"/>
  <c r="H272" i="20" s="1"/>
  <c r="H273" i="20" s="1"/>
  <c r="B273" i="20" s="1"/>
  <c r="F281" i="20"/>
  <c r="G281" i="20" s="1"/>
  <c r="H281" i="20" s="1"/>
  <c r="H282" i="20" s="1"/>
  <c r="H283" i="20" s="1"/>
  <c r="H284" i="20" s="1"/>
  <c r="B284" i="20" s="1"/>
  <c r="F247" i="20"/>
  <c r="G247" i="20" s="1"/>
  <c r="H247" i="20" s="1"/>
  <c r="H248" i="20" s="1"/>
  <c r="H249" i="20" s="1"/>
  <c r="H250" i="20" s="1"/>
  <c r="B251" i="20" s="1"/>
  <c r="F4836" i="20"/>
  <c r="G4836" i="20" s="1"/>
  <c r="H4836" i="20" s="1"/>
  <c r="H4837" i="20" s="1"/>
  <c r="H4838" i="20" s="1"/>
  <c r="H4839" i="20" s="1"/>
  <c r="B4839" i="20" s="1"/>
  <c r="F4859" i="20"/>
  <c r="G4859" i="20" s="1"/>
  <c r="H4859" i="20" s="1"/>
  <c r="H4860" i="20" s="1"/>
  <c r="H4861" i="20" s="1"/>
  <c r="H4862" i="20" s="1"/>
  <c r="B4862" i="20" s="1"/>
  <c r="F4747" i="20"/>
  <c r="G4747" i="20" s="1"/>
  <c r="H4748" i="20" s="1"/>
  <c r="H4749" i="20" s="1"/>
  <c r="H4750" i="20" s="1"/>
  <c r="H4751" i="20" s="1"/>
  <c r="B4751" i="20" s="1"/>
  <c r="F89" i="20"/>
  <c r="G89" i="20" s="1"/>
  <c r="F4956" i="20"/>
  <c r="G4956" i="20" s="1"/>
  <c r="H4956" i="20" s="1"/>
  <c r="H4957" i="20" s="1"/>
  <c r="H4958" i="20" s="1"/>
  <c r="H4959" i="20" s="1"/>
  <c r="B4959" i="20" s="1"/>
  <c r="D4959" i="20" s="1"/>
  <c r="F4939" i="20"/>
  <c r="G4939" i="20" s="1"/>
  <c r="H4939" i="20" s="1"/>
  <c r="H4940" i="20" s="1"/>
  <c r="H4941" i="20" s="1"/>
  <c r="H4942" i="20" s="1"/>
  <c r="B4942" i="20" s="1"/>
  <c r="D4942" i="20" s="1"/>
  <c r="F4925" i="20"/>
  <c r="G4925" i="20" s="1"/>
  <c r="F4909" i="20"/>
  <c r="G4909" i="20" s="1"/>
  <c r="F1374" i="20"/>
  <c r="G1374" i="20" s="1"/>
  <c r="H1376" i="20" s="1"/>
  <c r="H1377" i="20" s="1"/>
  <c r="H1378" i="20" s="1"/>
  <c r="H1379" i="20" s="1"/>
  <c r="F1355" i="20"/>
  <c r="G1355" i="20" s="1"/>
  <c r="H1357" i="20" s="1"/>
  <c r="H1358" i="20" s="1"/>
  <c r="H1359" i="20" s="1"/>
  <c r="H1360" i="20" s="1"/>
  <c r="F977" i="20"/>
  <c r="G977" i="20" s="1"/>
  <c r="F941" i="20"/>
  <c r="G941" i="20" s="1"/>
  <c r="F920" i="20"/>
  <c r="G920" i="20" s="1"/>
  <c r="F875" i="20"/>
  <c r="G875" i="20" s="1"/>
  <c r="F895" i="20"/>
  <c r="G895" i="20" s="1"/>
  <c r="F849" i="20"/>
  <c r="G849" i="20" s="1"/>
  <c r="F896" i="20"/>
  <c r="G896" i="20" s="1"/>
  <c r="F850" i="20"/>
  <c r="G850" i="20" s="1"/>
  <c r="F921" i="20"/>
  <c r="G921" i="20" s="1"/>
  <c r="F978" i="20"/>
  <c r="G978" i="20" s="1"/>
  <c r="F960" i="20"/>
  <c r="G960" i="20" s="1"/>
  <c r="H960" i="20" s="1"/>
  <c r="H961" i="20" s="1"/>
  <c r="H962" i="20" s="1"/>
  <c r="H963" i="20" s="1"/>
  <c r="B963" i="20" s="1"/>
  <c r="F942" i="20"/>
  <c r="G942" i="20" s="1"/>
  <c r="F876" i="20"/>
  <c r="G876" i="20" s="1"/>
  <c r="F90" i="20"/>
  <c r="G90" i="20" s="1"/>
  <c r="F102" i="20"/>
  <c r="G102" i="20" s="1"/>
  <c r="H104" i="20" s="1"/>
  <c r="H106" i="20" s="1"/>
  <c r="H107" i="20" s="1"/>
  <c r="H108" i="20" s="1"/>
  <c r="B108" i="20" s="1"/>
  <c r="F259" i="20"/>
  <c r="G259" i="20" s="1"/>
  <c r="H259" i="20" s="1"/>
  <c r="H260" i="20" s="1"/>
  <c r="H261" i="20" s="1"/>
  <c r="H262" i="20" s="1"/>
  <c r="B262" i="20" s="1"/>
  <c r="F4824" i="20"/>
  <c r="G4824" i="20" s="1"/>
  <c r="H4824" i="20" s="1"/>
  <c r="H4825" i="20" s="1"/>
  <c r="H4826" i="20" s="1"/>
  <c r="H4827" i="20" s="1"/>
  <c r="B4827" i="20" s="1"/>
  <c r="F4847" i="20"/>
  <c r="G4847" i="20" s="1"/>
  <c r="H4847" i="20" s="1"/>
  <c r="H4848" i="20" s="1"/>
  <c r="H4849" i="20" s="1"/>
  <c r="H4850" i="20" s="1"/>
  <c r="B4850" i="20" s="1"/>
  <c r="F4869" i="20"/>
  <c r="G4869" i="20" s="1"/>
  <c r="H4869" i="20" s="1"/>
  <c r="H4870" i="20" s="1"/>
  <c r="H4871" i="20" s="1"/>
  <c r="H4872" i="20" s="1"/>
  <c r="B4872" i="20" s="1"/>
  <c r="F4713" i="20"/>
  <c r="G4713" i="20" s="1"/>
  <c r="H4713" i="20" s="1"/>
  <c r="H4714" i="20" s="1"/>
  <c r="H4715" i="20" s="1"/>
  <c r="H4716" i="20" s="1"/>
  <c r="B4716" i="20" s="1"/>
  <c r="F4759" i="20"/>
  <c r="G4759" i="20" s="1"/>
  <c r="H4760" i="20" s="1"/>
  <c r="H4761" i="20" s="1"/>
  <c r="H4762" i="20" s="1"/>
  <c r="H4763" i="20" s="1"/>
  <c r="B4763" i="20" s="1"/>
  <c r="F4955" i="20"/>
  <c r="F4908" i="20"/>
  <c r="F4938" i="20"/>
  <c r="F2839" i="20"/>
  <c r="G2839" i="20" s="1"/>
  <c r="G2823" i="20"/>
  <c r="B240" i="20"/>
  <c r="D240" i="20" s="1"/>
  <c r="B237" i="20"/>
  <c r="D237" i="20" s="1"/>
  <c r="H4378" i="20"/>
  <c r="H4379" i="20" s="1"/>
  <c r="B4379" i="20" s="1"/>
  <c r="D4379" i="20" s="1"/>
  <c r="H4034" i="20"/>
  <c r="H4035" i="20" s="1"/>
  <c r="B4035" i="20" s="1"/>
  <c r="D4035" i="20" s="1"/>
  <c r="H4360" i="20"/>
  <c r="H4361" i="20" s="1"/>
  <c r="B4361" i="20" s="1"/>
  <c r="D4361" i="20" s="1"/>
  <c r="H1590" i="20"/>
  <c r="H596" i="19"/>
  <c r="B596" i="19" s="1"/>
  <c r="H595" i="19"/>
  <c r="H621" i="19"/>
  <c r="B621" i="19" s="1"/>
  <c r="H620" i="19"/>
  <c r="H646" i="19"/>
  <c r="B646" i="19" s="1"/>
  <c r="H645" i="19"/>
  <c r="H583" i="19"/>
  <c r="B583" i="19" s="1"/>
  <c r="H582" i="19"/>
  <c r="H609" i="19"/>
  <c r="B609" i="19" s="1"/>
  <c r="H608" i="19"/>
  <c r="H633" i="19"/>
  <c r="B633" i="19" s="1"/>
  <c r="H632" i="19"/>
  <c r="H90" i="20" l="1"/>
  <c r="H91" i="20" s="1"/>
  <c r="H92" i="20" s="1"/>
  <c r="H93" i="20" s="1"/>
  <c r="B93" i="20" s="1"/>
  <c r="H942" i="20"/>
  <c r="H943" i="20" s="1"/>
  <c r="H944" i="20" s="1"/>
  <c r="H945" i="20" s="1"/>
  <c r="B945" i="20" s="1"/>
  <c r="H876" i="20"/>
  <c r="H877" i="20" s="1"/>
  <c r="H878" i="20" s="1"/>
  <c r="H879" i="20" s="1"/>
  <c r="B879" i="20" s="1"/>
  <c r="B1378" i="20"/>
  <c r="D1378" i="20" s="1"/>
  <c r="B1381" i="20"/>
  <c r="D1381" i="20" s="1"/>
  <c r="F4924" i="20"/>
  <c r="G4924" i="20" s="1"/>
  <c r="H4926" i="20" s="1"/>
  <c r="H4927" i="20" s="1"/>
  <c r="H4928" i="20" s="1"/>
  <c r="H4929" i="20" s="1"/>
  <c r="B4929" i="20" s="1"/>
  <c r="D4929" i="20" s="1"/>
  <c r="G4908" i="20"/>
  <c r="H4910" i="20" s="1"/>
  <c r="H4911" i="20" s="1"/>
  <c r="H4912" i="20" s="1"/>
  <c r="H4913" i="20" s="1"/>
  <c r="B4913" i="20" s="1"/>
  <c r="D4913" i="20" s="1"/>
  <c r="H850" i="20"/>
  <c r="H851" i="20" s="1"/>
  <c r="H852" i="20" s="1"/>
  <c r="H853" i="20" s="1"/>
  <c r="B853" i="20" s="1"/>
  <c r="H896" i="20"/>
  <c r="H897" i="20" s="1"/>
  <c r="H898" i="20" s="1"/>
  <c r="H899" i="20" s="1"/>
  <c r="B899" i="20" s="1"/>
  <c r="H921" i="20"/>
  <c r="H922" i="20" s="1"/>
  <c r="H923" i="20" s="1"/>
  <c r="H924" i="20" s="1"/>
  <c r="B924" i="20" s="1"/>
  <c r="H978" i="20"/>
  <c r="H979" i="20" s="1"/>
  <c r="H980" i="20" s="1"/>
  <c r="H981" i="20" s="1"/>
  <c r="B981" i="20" s="1"/>
  <c r="B1359" i="20"/>
  <c r="D1359" i="20" s="1"/>
  <c r="B1362" i="20"/>
  <c r="D1362" i="20" s="1"/>
  <c r="H1591" i="20"/>
  <c r="H1592" i="20" s="1"/>
  <c r="B1592" i="20" s="1"/>
  <c r="D1592" i="20" s="1"/>
  <c r="F347" i="19" l="1"/>
  <c r="G347" i="19" s="1"/>
  <c r="F207" i="19"/>
  <c r="G207" i="19" s="1"/>
  <c r="H209" i="19" s="1"/>
  <c r="H210" i="19" s="1"/>
  <c r="F220" i="19"/>
  <c r="G220" i="19" s="1"/>
  <c r="H222" i="19" s="1"/>
  <c r="H223" i="19" s="1"/>
  <c r="H224" i="19" s="1"/>
  <c r="H225" i="19" s="1"/>
  <c r="B225" i="19" s="1"/>
  <c r="D225" i="19" s="1"/>
  <c r="F34" i="19"/>
  <c r="G34" i="19" s="1"/>
  <c r="H37" i="19" s="1"/>
  <c r="H38" i="19" s="1"/>
  <c r="H39" i="19" s="1"/>
  <c r="H40" i="19" s="1"/>
  <c r="B40" i="19" s="1"/>
  <c r="F286" i="19"/>
  <c r="G286" i="19" s="1"/>
  <c r="F315" i="19"/>
  <c r="G315" i="19" s="1"/>
  <c r="F366" i="19"/>
  <c r="G366" i="19" s="1"/>
  <c r="H366" i="19" s="1"/>
  <c r="H367" i="19" s="1"/>
  <c r="H368" i="19" s="1"/>
  <c r="H369" i="19" s="1"/>
  <c r="B369" i="19" s="1"/>
  <c r="D369" i="19" s="1"/>
  <c r="F238" i="19"/>
  <c r="G238" i="19" s="1"/>
  <c r="H239" i="19" s="1"/>
  <c r="H240" i="19" s="1"/>
  <c r="H241" i="19" s="1"/>
  <c r="H242" i="19" s="1"/>
  <c r="B242" i="19" s="1"/>
  <c r="F252" i="19"/>
  <c r="G252" i="19" s="1"/>
  <c r="H253" i="19" s="1"/>
  <c r="H254" i="19" s="1"/>
  <c r="H255" i="19" s="1"/>
  <c r="H256" i="19" s="1"/>
  <c r="B256" i="19" s="1"/>
  <c r="F388" i="19"/>
  <c r="G388" i="19" s="1"/>
  <c r="H388" i="19" s="1"/>
  <c r="H389" i="19" s="1"/>
  <c r="H390" i="19" s="1"/>
  <c r="H391" i="19" s="1"/>
  <c r="B391" i="19" s="1"/>
  <c r="D391" i="19" s="1"/>
  <c r="F399" i="19"/>
  <c r="G399" i="19" s="1"/>
  <c r="H399" i="19" s="1"/>
  <c r="H400" i="19" s="1"/>
  <c r="H401" i="19" s="1"/>
  <c r="H402" i="19" s="1"/>
  <c r="B402" i="19" s="1"/>
  <c r="D402" i="19" s="1"/>
  <c r="F13" i="16"/>
  <c r="G13" i="16" s="1"/>
  <c r="F14" i="16"/>
  <c r="G14" i="16" s="1"/>
  <c r="F17" i="16"/>
  <c r="G17" i="16" s="1"/>
  <c r="F18" i="16"/>
  <c r="G18" i="16" s="1"/>
  <c r="F19" i="16"/>
  <c r="F21" i="16"/>
  <c r="G21" i="16" s="1"/>
  <c r="F22" i="16"/>
  <c r="G22" i="16" s="1"/>
  <c r="F23" i="16"/>
  <c r="G23" i="16" s="1"/>
  <c r="F24" i="16"/>
  <c r="G24" i="16" s="1"/>
  <c r="F26" i="16"/>
  <c r="G26" i="16" s="1"/>
  <c r="F27" i="16"/>
  <c r="G27" i="16" s="1"/>
  <c r="F28" i="16"/>
  <c r="G28" i="16" s="1"/>
  <c r="F33" i="16"/>
  <c r="G33" i="16" s="1"/>
  <c r="F34" i="16"/>
  <c r="G34" i="16" s="1"/>
  <c r="F35" i="16"/>
  <c r="G35" i="16" s="1"/>
  <c r="F36" i="16"/>
  <c r="G36" i="16" s="1"/>
  <c r="F38" i="16"/>
  <c r="G38" i="16" s="1"/>
  <c r="F39" i="16"/>
  <c r="G39" i="16" s="1"/>
  <c r="F40" i="16"/>
  <c r="G40" i="16" s="1"/>
  <c r="F41" i="16"/>
  <c r="G41" i="16" s="1"/>
  <c r="F44" i="16"/>
  <c r="F45" i="16"/>
  <c r="G45" i="16" s="1"/>
  <c r="F46" i="16"/>
  <c r="G46" i="16" s="1"/>
  <c r="F47" i="16"/>
  <c r="G47" i="16" s="1"/>
  <c r="F52" i="16"/>
  <c r="G52" i="16" s="1"/>
  <c r="F458" i="16"/>
  <c r="G458" i="16" s="1"/>
  <c r="F64" i="16"/>
  <c r="G64" i="16" s="1"/>
  <c r="F54" i="16"/>
  <c r="G54" i="16" s="1"/>
  <c r="A403" i="18"/>
  <c r="A404" i="18" s="1"/>
  <c r="A405" i="18" s="1"/>
  <c r="A406" i="18" s="1"/>
  <c r="A407" i="18" s="1"/>
  <c r="A408" i="18" s="1"/>
  <c r="A409" i="18" s="1"/>
  <c r="A410" i="18" s="1"/>
  <c r="A411" i="18" s="1"/>
  <c r="A412" i="18" s="1"/>
  <c r="A413" i="18" s="1"/>
  <c r="A414" i="18" s="1"/>
  <c r="A415" i="18" s="1"/>
  <c r="A416" i="18" s="1"/>
  <c r="A417" i="18" s="1"/>
  <c r="A418" i="18" s="1"/>
  <c r="A419" i="18" s="1"/>
  <c r="A420" i="18" s="1"/>
  <c r="A421" i="18" s="1"/>
  <c r="A422" i="18" s="1"/>
  <c r="A423" i="18" s="1"/>
  <c r="A424" i="18" s="1"/>
  <c r="A425" i="18" s="1"/>
  <c r="A426" i="18" s="1"/>
  <c r="A427" i="18" s="1"/>
  <c r="A428" i="18" s="1"/>
  <c r="A429" i="18" s="1"/>
  <c r="A430" i="18" s="1"/>
  <c r="A431" i="18" s="1"/>
  <c r="A432" i="18" s="1"/>
  <c r="A433" i="18" s="1"/>
  <c r="A434" i="18" s="1"/>
  <c r="A435" i="18" s="1"/>
  <c r="A436" i="18" s="1"/>
  <c r="A437" i="18" s="1"/>
  <c r="A438" i="18" s="1"/>
  <c r="A439" i="18" s="1"/>
  <c r="A440" i="18" s="1"/>
  <c r="A441" i="18" s="1"/>
  <c r="A442" i="18" s="1"/>
  <c r="A443" i="18" s="1"/>
  <c r="A444" i="18" s="1"/>
  <c r="A445" i="18" s="1"/>
  <c r="A446" i="18" s="1"/>
  <c r="A447" i="18" s="1"/>
  <c r="A448" i="18" s="1"/>
  <c r="A449" i="18" s="1"/>
  <c r="A450" i="18" s="1"/>
  <c r="A451" i="18" s="1"/>
  <c r="A452" i="18" s="1"/>
  <c r="A453" i="18" s="1"/>
  <c r="A454" i="18" s="1"/>
  <c r="A455" i="18" s="1"/>
  <c r="A456" i="18" s="1"/>
  <c r="A457" i="18" s="1"/>
  <c r="A458" i="18" s="1"/>
  <c r="A459" i="18" s="1"/>
  <c r="A460" i="18" s="1"/>
  <c r="A461" i="18" s="1"/>
  <c r="A462" i="18" s="1"/>
  <c r="A463" i="18" s="1"/>
  <c r="A464" i="18" s="1"/>
  <c r="A465" i="18" s="1"/>
  <c r="A466" i="18" s="1"/>
  <c r="A467" i="18" s="1"/>
  <c r="A468" i="18" s="1"/>
  <c r="A469" i="18" s="1"/>
  <c r="A470" i="18" s="1"/>
  <c r="A471" i="18" s="1"/>
  <c r="A472" i="18" s="1"/>
  <c r="A473" i="18" s="1"/>
  <c r="A474" i="18" s="1"/>
  <c r="A475" i="18" s="1"/>
  <c r="A476" i="18" s="1"/>
  <c r="A477" i="18" s="1"/>
  <c r="A478" i="18" s="1"/>
  <c r="A479" i="18" s="1"/>
  <c r="A480" i="18" s="1"/>
  <c r="A481" i="18" s="1"/>
  <c r="A482" i="18" s="1"/>
  <c r="A483" i="18" s="1"/>
  <c r="A484" i="18" s="1"/>
  <c r="A485" i="18" s="1"/>
  <c r="A486" i="18" s="1"/>
  <c r="A487" i="18" s="1"/>
  <c r="A488" i="18" s="1"/>
  <c r="A489" i="18" s="1"/>
  <c r="A490" i="18" s="1"/>
  <c r="A491" i="18" s="1"/>
  <c r="A492" i="18" s="1"/>
  <c r="A493" i="18" s="1"/>
  <c r="A494" i="18" s="1"/>
  <c r="A495" i="18" s="1"/>
  <c r="A496" i="18" s="1"/>
  <c r="A497" i="18" s="1"/>
  <c r="A498" i="18" s="1"/>
  <c r="A499" i="18" s="1"/>
  <c r="A500" i="18" s="1"/>
  <c r="A501" i="18" s="1"/>
  <c r="A502" i="18" s="1"/>
  <c r="A503" i="18" s="1"/>
  <c r="A504" i="18" s="1"/>
  <c r="A505" i="18" s="1"/>
  <c r="A506" i="18" s="1"/>
  <c r="A507" i="18" s="1"/>
  <c r="A508" i="18" s="1"/>
  <c r="A509" i="18" s="1"/>
  <c r="A510" i="18" s="1"/>
  <c r="A511" i="18" s="1"/>
  <c r="A512" i="18" s="1"/>
  <c r="A513" i="18" s="1"/>
  <c r="A514" i="18" s="1"/>
  <c r="A515" i="18" s="1"/>
  <c r="A516" i="18" s="1"/>
  <c r="A517" i="18" s="1"/>
  <c r="A518" i="18" s="1"/>
  <c r="A519" i="18" s="1"/>
  <c r="A520" i="18" s="1"/>
  <c r="A521" i="18" s="1"/>
  <c r="A522" i="18" s="1"/>
  <c r="A523" i="18" s="1"/>
  <c r="A524" i="18" s="1"/>
  <c r="A525" i="18" s="1"/>
  <c r="A526" i="18" s="1"/>
  <c r="A527" i="18" s="1"/>
  <c r="A528" i="18" s="1"/>
  <c r="A529" i="18" s="1"/>
  <c r="A530" i="18" s="1"/>
  <c r="A531" i="18" s="1"/>
  <c r="A532" i="18" s="1"/>
  <c r="A533" i="18" s="1"/>
  <c r="A534" i="18" s="1"/>
  <c r="A535" i="18" s="1"/>
  <c r="A536" i="18" s="1"/>
  <c r="A537" i="18" s="1"/>
  <c r="A538" i="18" s="1"/>
  <c r="A539" i="18" s="1"/>
  <c r="A540" i="18" s="1"/>
  <c r="A541" i="18" s="1"/>
  <c r="A542" i="18" s="1"/>
  <c r="A543" i="18" s="1"/>
  <c r="A544" i="18" s="1"/>
  <c r="A545" i="18" s="1"/>
  <c r="A546" i="18" s="1"/>
  <c r="A547" i="18" s="1"/>
  <c r="A548" i="18" s="1"/>
  <c r="A549" i="18" s="1"/>
  <c r="A550" i="18" s="1"/>
  <c r="A551" i="18" s="1"/>
  <c r="A552" i="18" s="1"/>
  <c r="A553" i="18" s="1"/>
  <c r="A554" i="18" s="1"/>
  <c r="A555" i="18" s="1"/>
  <c r="A556" i="18" s="1"/>
  <c r="A557" i="18" s="1"/>
  <c r="A558" i="18" s="1"/>
  <c r="A559" i="18" s="1"/>
  <c r="A946" i="18"/>
  <c r="A947" i="18" s="1"/>
  <c r="A948" i="18" s="1"/>
  <c r="A949" i="18" s="1"/>
  <c r="A950" i="18" s="1"/>
  <c r="A951" i="18" s="1"/>
  <c r="A952" i="18" s="1"/>
  <c r="A953" i="18" s="1"/>
  <c r="A954" i="18" s="1"/>
  <c r="A955" i="18" s="1"/>
  <c r="A956" i="18" s="1"/>
  <c r="A957" i="18" s="1"/>
  <c r="A958" i="18" s="1"/>
  <c r="A959" i="18" s="1"/>
  <c r="A960" i="18" s="1"/>
  <c r="A961" i="18" s="1"/>
  <c r="A962" i="18" s="1"/>
  <c r="A963" i="18" s="1"/>
  <c r="A964" i="18" s="1"/>
  <c r="A965" i="18" s="1"/>
  <c r="A966" i="18" s="1"/>
  <c r="A967" i="18" s="1"/>
  <c r="A968" i="18" s="1"/>
  <c r="A969" i="18" s="1"/>
  <c r="A970" i="18" s="1"/>
  <c r="A971" i="18" s="1"/>
  <c r="A972" i="18" s="1"/>
  <c r="A973" i="18" s="1"/>
  <c r="A974" i="18" s="1"/>
  <c r="A975" i="18" s="1"/>
  <c r="A976" i="18" s="1"/>
  <c r="A977" i="18" s="1"/>
  <c r="A978" i="18" s="1"/>
  <c r="A979" i="18" s="1"/>
  <c r="A980" i="18" s="1"/>
  <c r="A981" i="18" s="1"/>
  <c r="A982" i="18" s="1"/>
  <c r="A983" i="18" s="1"/>
  <c r="A984" i="18" s="1"/>
  <c r="A985" i="18" s="1"/>
  <c r="A986" i="18" s="1"/>
  <c r="A987" i="18" s="1"/>
  <c r="A988" i="18" s="1"/>
  <c r="A942" i="18"/>
  <c r="A943" i="18" s="1"/>
  <c r="A936" i="18"/>
  <c r="A937" i="18" s="1"/>
  <c r="A938" i="18" s="1"/>
  <c r="A939" i="18" s="1"/>
  <c r="A928" i="18"/>
  <c r="A929" i="18" s="1"/>
  <c r="A930" i="18" s="1"/>
  <c r="A931" i="18" s="1"/>
  <c r="A932" i="18" s="1"/>
  <c r="A933" i="18" s="1"/>
  <c r="A922" i="18"/>
  <c r="A923" i="18" s="1"/>
  <c r="A924" i="18" s="1"/>
  <c r="A925" i="18" s="1"/>
  <c r="A913" i="18"/>
  <c r="A914" i="18" s="1"/>
  <c r="A915" i="18" s="1"/>
  <c r="A916" i="18" s="1"/>
  <c r="A917" i="18" s="1"/>
  <c r="A918" i="18" s="1"/>
  <c r="A906" i="18"/>
  <c r="A907" i="18" s="1"/>
  <c r="A908" i="18" s="1"/>
  <c r="A909" i="18" s="1"/>
  <c r="A898" i="18"/>
  <c r="A899" i="18" s="1"/>
  <c r="A900" i="18" s="1"/>
  <c r="A901" i="18" s="1"/>
  <c r="A902" i="18" s="1"/>
  <c r="A893" i="18"/>
  <c r="A894" i="18" s="1"/>
  <c r="A866" i="18"/>
  <c r="A867" i="18" s="1"/>
  <c r="A868" i="18" s="1"/>
  <c r="A869" i="18" s="1"/>
  <c r="A870" i="18" s="1"/>
  <c r="A871" i="18" s="1"/>
  <c r="A872" i="18" s="1"/>
  <c r="A873" i="18" s="1"/>
  <c r="A874" i="18" s="1"/>
  <c r="A875" i="18" s="1"/>
  <c r="A876" i="18" s="1"/>
  <c r="A877" i="18" s="1"/>
  <c r="A878" i="18" s="1"/>
  <c r="A879" i="18" s="1"/>
  <c r="A880" i="18" s="1"/>
  <c r="A881" i="18" s="1"/>
  <c r="A882" i="18" s="1"/>
  <c r="A883" i="18" s="1"/>
  <c r="A884" i="18" s="1"/>
  <c r="A885" i="18" s="1"/>
  <c r="A886" i="18" s="1"/>
  <c r="A887" i="18" s="1"/>
  <c r="A857" i="18"/>
  <c r="A858" i="18" s="1"/>
  <c r="A859" i="18" s="1"/>
  <c r="A860" i="18" s="1"/>
  <c r="A861" i="18" s="1"/>
  <c r="A862" i="18" s="1"/>
  <c r="A863" i="18" s="1"/>
  <c r="A848" i="18"/>
  <c r="A849" i="18" s="1"/>
  <c r="A850" i="18" s="1"/>
  <c r="A851" i="18" s="1"/>
  <c r="A852" i="18" s="1"/>
  <c r="A853" i="18" s="1"/>
  <c r="A854" i="18" s="1"/>
  <c r="A838" i="18"/>
  <c r="A839" i="18" s="1"/>
  <c r="A840" i="18" s="1"/>
  <c r="A841" i="18" s="1"/>
  <c r="A842" i="18" s="1"/>
  <c r="A843" i="18" s="1"/>
  <c r="A844" i="18" s="1"/>
  <c r="A845" i="18" s="1"/>
  <c r="A828" i="18"/>
  <c r="A829" i="18" s="1"/>
  <c r="A830" i="18" s="1"/>
  <c r="A831" i="18" s="1"/>
  <c r="A832" i="18" s="1"/>
  <c r="A833" i="18" s="1"/>
  <c r="A834" i="18" s="1"/>
  <c r="A835" i="18" s="1"/>
  <c r="A819" i="18"/>
  <c r="A820" i="18" s="1"/>
  <c r="A821" i="18" s="1"/>
  <c r="A822" i="18" s="1"/>
  <c r="A823" i="18" s="1"/>
  <c r="A824" i="18" s="1"/>
  <c r="A825" i="18" s="1"/>
  <c r="A812" i="18"/>
  <c r="A813" i="18" s="1"/>
  <c r="A814" i="18" s="1"/>
  <c r="A815" i="18" s="1"/>
  <c r="A816" i="18" s="1"/>
  <c r="A794" i="18"/>
  <c r="A795" i="18" s="1"/>
  <c r="A796" i="18" s="1"/>
  <c r="A797" i="18" s="1"/>
  <c r="A798" i="18" s="1"/>
  <c r="A799" i="18" s="1"/>
  <c r="A800" i="18" s="1"/>
  <c r="A801" i="18" s="1"/>
  <c r="A802" i="18" s="1"/>
  <c r="A803" i="18" s="1"/>
  <c r="A804" i="18" s="1"/>
  <c r="A805" i="18" s="1"/>
  <c r="A806" i="18" s="1"/>
  <c r="A807" i="18" s="1"/>
  <c r="A808" i="18" s="1"/>
  <c r="A809" i="18" s="1"/>
  <c r="A773" i="18"/>
  <c r="A774" i="18" s="1"/>
  <c r="A775" i="18" s="1"/>
  <c r="A776" i="18" s="1"/>
  <c r="A777" i="18" s="1"/>
  <c r="A778" i="18" s="1"/>
  <c r="A779" i="18" s="1"/>
  <c r="A780" i="18" s="1"/>
  <c r="A781" i="18" s="1"/>
  <c r="A782" i="18" s="1"/>
  <c r="A783" i="18" s="1"/>
  <c r="A784" i="18" s="1"/>
  <c r="A785" i="18" s="1"/>
  <c r="A786" i="18" s="1"/>
  <c r="A787" i="18" s="1"/>
  <c r="A788" i="18" s="1"/>
  <c r="A789" i="18" s="1"/>
  <c r="A790" i="18" s="1"/>
  <c r="A791" i="18" s="1"/>
  <c r="A760" i="18"/>
  <c r="A761" i="18" s="1"/>
  <c r="A762" i="18" s="1"/>
  <c r="A763" i="18" s="1"/>
  <c r="A764" i="18" s="1"/>
  <c r="A765" i="18" s="1"/>
  <c r="A766" i="18" s="1"/>
  <c r="A767" i="18" s="1"/>
  <c r="A768" i="18" s="1"/>
  <c r="A769" i="18" s="1"/>
  <c r="A770" i="18" s="1"/>
  <c r="E312" i="18"/>
  <c r="E313" i="18"/>
  <c r="E315" i="18"/>
  <c r="A216" i="18"/>
  <c r="A217" i="18" s="1"/>
  <c r="A218" i="18" s="1"/>
  <c r="A219" i="18" s="1"/>
  <c r="A220" i="18" s="1"/>
  <c r="A221" i="18" s="1"/>
  <c r="A222" i="18" s="1"/>
  <c r="A224" i="18" s="1"/>
  <c r="A225" i="18" s="1"/>
  <c r="A226" i="18" s="1"/>
  <c r="A227" i="18" s="1"/>
  <c r="A228" i="18" s="1"/>
  <c r="A229" i="18" s="1"/>
  <c r="A230" i="18" s="1"/>
  <c r="A231" i="18" s="1"/>
  <c r="A232" i="18" s="1"/>
  <c r="A233" i="18" s="1"/>
  <c r="A234" i="18" s="1"/>
  <c r="A235" i="18" s="1"/>
  <c r="A236" i="18" s="1"/>
  <c r="A237" i="18" s="1"/>
  <c r="A238" i="18" s="1"/>
  <c r="A239" i="18" s="1"/>
  <c r="A240" i="18" s="1"/>
  <c r="A241" i="18" s="1"/>
  <c r="A242" i="18" s="1"/>
  <c r="A243" i="18" s="1"/>
  <c r="A244" i="18" s="1"/>
  <c r="A245" i="18" s="1"/>
  <c r="A246" i="18" s="1"/>
  <c r="A247" i="18" s="1"/>
  <c r="A248" i="18" s="1"/>
  <c r="A249" i="18" s="1"/>
  <c r="A250" i="18" s="1"/>
  <c r="A251" i="18" s="1"/>
  <c r="E281" i="18"/>
  <c r="E282" i="18"/>
  <c r="E275" i="18"/>
  <c r="E276" i="18"/>
  <c r="E277" i="18"/>
  <c r="E278" i="18"/>
  <c r="E279" i="18"/>
  <c r="E280" i="18"/>
  <c r="E258" i="18"/>
  <c r="E265" i="18"/>
  <c r="E266" i="18"/>
  <c r="E269" i="18"/>
  <c r="E274" i="18"/>
  <c r="E235" i="18"/>
  <c r="E236" i="18"/>
  <c r="E237" i="18"/>
  <c r="A126" i="18"/>
  <c r="A127" i="18" s="1"/>
  <c r="A128" i="18" s="1"/>
  <c r="A129" i="18" s="1"/>
  <c r="A130" i="18" s="1"/>
  <c r="A131" i="18" s="1"/>
  <c r="A132" i="18" s="1"/>
  <c r="A133" i="18" s="1"/>
  <c r="A134" i="18" s="1"/>
  <c r="A135" i="18" s="1"/>
  <c r="A136" i="18" s="1"/>
  <c r="A137" i="18" s="1"/>
  <c r="A138" i="18" s="1"/>
  <c r="A139" i="18" s="1"/>
  <c r="A141" i="18" s="1"/>
  <c r="A142" i="18" s="1"/>
  <c r="A143" i="18" s="1"/>
  <c r="A144" i="18" s="1"/>
  <c r="A145" i="18" s="1"/>
  <c r="A148" i="18"/>
  <c r="A149" i="18" s="1"/>
  <c r="A150" i="18" s="1"/>
  <c r="A151" i="18" s="1"/>
  <c r="A153" i="18" s="1"/>
  <c r="A154" i="18" s="1"/>
  <c r="A155" i="18" s="1"/>
  <c r="A156" i="18" s="1"/>
  <c r="A157" i="18" s="1"/>
  <c r="A158" i="18" s="1"/>
  <c r="A159" i="18" s="1"/>
  <c r="A160" i="18" s="1"/>
  <c r="A161" i="18" s="1"/>
  <c r="A162" i="18" s="1"/>
  <c r="A163" i="18" s="1"/>
  <c r="A164" i="18" s="1"/>
  <c r="A165" i="18" s="1"/>
  <c r="A166" i="18" s="1"/>
  <c r="A167" i="18" s="1"/>
  <c r="A168" i="18" s="1"/>
  <c r="A169" i="18" s="1"/>
  <c r="A170" i="18" s="1"/>
  <c r="A171" i="18" s="1"/>
  <c r="A172" i="18" s="1"/>
  <c r="A173" i="18" s="1"/>
  <c r="A174" i="18" s="1"/>
  <c r="A175" i="18" s="1"/>
  <c r="A176" i="18" s="1"/>
  <c r="A177" i="18" s="1"/>
  <c r="A178" i="18" s="1"/>
  <c r="A179" i="18" s="1"/>
  <c r="A181" i="18" s="1"/>
  <c r="A182" i="18" s="1"/>
  <c r="A183" i="18" s="1"/>
  <c r="A184" i="18" s="1"/>
  <c r="A185" i="18" s="1"/>
  <c r="A186" i="18" s="1"/>
  <c r="A187" i="18" s="1"/>
  <c r="A188" i="18" s="1"/>
  <c r="A189" i="18" s="1"/>
  <c r="A190" i="18" s="1"/>
  <c r="A191" i="18" s="1"/>
  <c r="A192" i="18" s="1"/>
  <c r="A193" i="18" s="1"/>
  <c r="A194" i="18" s="1"/>
  <c r="A195" i="18" s="1"/>
  <c r="A197" i="18" s="1"/>
  <c r="A198" i="18" s="1"/>
  <c r="A199" i="18" s="1"/>
  <c r="A200" i="18" s="1"/>
  <c r="A201" i="18" s="1"/>
  <c r="A202" i="18" s="1"/>
  <c r="A203" i="18" s="1"/>
  <c r="A204" i="18" s="1"/>
  <c r="A206" i="18" s="1"/>
  <c r="A207" i="18" s="1"/>
  <c r="A208" i="18" s="1"/>
  <c r="A209" i="18" s="1"/>
  <c r="A210" i="18" s="1"/>
  <c r="A211" i="18" s="1"/>
  <c r="A212" i="18" s="1"/>
  <c r="A213" i="18" s="1"/>
  <c r="F175" i="16"/>
  <c r="G175" i="16" s="1"/>
  <c r="F650" i="16"/>
  <c r="G650" i="16" s="1"/>
  <c r="F646" i="16"/>
  <c r="G646" i="16" s="1"/>
  <c r="F643" i="16"/>
  <c r="G643" i="16" s="1"/>
  <c r="F642" i="16"/>
  <c r="G642" i="16" s="1"/>
  <c r="F641" i="16"/>
  <c r="G641" i="16" s="1"/>
  <c r="F461" i="16"/>
  <c r="G461" i="16" s="1"/>
  <c r="F12" i="16"/>
  <c r="G12" i="16" s="1"/>
  <c r="G19" i="16"/>
  <c r="G44" i="16"/>
  <c r="F56" i="16"/>
  <c r="G56" i="16" s="1"/>
  <c r="F57" i="16"/>
  <c r="G57" i="16" s="1"/>
  <c r="F58" i="16"/>
  <c r="G58" i="16" s="1"/>
  <c r="F59" i="16"/>
  <c r="G59" i="16" s="1"/>
  <c r="F60" i="16"/>
  <c r="G60" i="16" s="1"/>
  <c r="F61" i="16"/>
  <c r="G61" i="16" s="1"/>
  <c r="F67" i="16"/>
  <c r="G67" i="16" s="1"/>
  <c r="F68" i="16"/>
  <c r="G68" i="16" s="1"/>
  <c r="F70" i="16"/>
  <c r="G70" i="16" s="1"/>
  <c r="F71" i="16"/>
  <c r="G71" i="16" s="1"/>
  <c r="F72" i="16"/>
  <c r="G72" i="16" s="1"/>
  <c r="F74" i="16"/>
  <c r="G74" i="16" s="1"/>
  <c r="F75" i="16"/>
  <c r="G75" i="16" s="1"/>
  <c r="F76" i="16"/>
  <c r="G76" i="16" s="1"/>
  <c r="F77" i="16"/>
  <c r="G77" i="16" s="1"/>
  <c r="F79" i="16"/>
  <c r="G79" i="16" s="1"/>
  <c r="F80" i="16"/>
  <c r="G80" i="16" s="1"/>
  <c r="F81" i="16"/>
  <c r="G81" i="16" s="1"/>
  <c r="F83" i="16"/>
  <c r="G83" i="16" s="1"/>
  <c r="F84" i="16"/>
  <c r="G84" i="16" s="1"/>
  <c r="F85" i="16"/>
  <c r="G85" i="16" s="1"/>
  <c r="F86" i="16"/>
  <c r="G86" i="16" s="1"/>
  <c r="F87" i="16"/>
  <c r="G87" i="16" s="1"/>
  <c r="G88" i="16"/>
  <c r="F90" i="16"/>
  <c r="G90" i="16" s="1"/>
  <c r="F91" i="16"/>
  <c r="G91" i="16" s="1"/>
  <c r="F92" i="16"/>
  <c r="G92" i="16" s="1"/>
  <c r="F93" i="16"/>
  <c r="G93" i="16" s="1"/>
  <c r="G89" i="16"/>
  <c r="F95" i="16"/>
  <c r="G95" i="16" s="1"/>
  <c r="F96" i="16"/>
  <c r="G96" i="16" s="1"/>
  <c r="F97" i="16"/>
  <c r="G97" i="16" s="1"/>
  <c r="G94" i="16"/>
  <c r="F99" i="16"/>
  <c r="G99" i="16" s="1"/>
  <c r="F100" i="16"/>
  <c r="G100" i="16" s="1"/>
  <c r="F102" i="16"/>
  <c r="G102" i="16" s="1"/>
  <c r="F103" i="16"/>
  <c r="G103" i="16" s="1"/>
  <c r="F104" i="16"/>
  <c r="G104" i="16" s="1"/>
  <c r="F105" i="16"/>
  <c r="G105" i="16" s="1"/>
  <c r="F106" i="16"/>
  <c r="G106" i="16" s="1"/>
  <c r="F107" i="16"/>
  <c r="G107" i="16" s="1"/>
  <c r="F108" i="16"/>
  <c r="G108" i="16" s="1"/>
  <c r="F109" i="16"/>
  <c r="G109" i="16" s="1"/>
  <c r="F110" i="16"/>
  <c r="G110" i="16" s="1"/>
  <c r="F111" i="16"/>
  <c r="G111" i="16" s="1"/>
  <c r="F112" i="16"/>
  <c r="G112" i="16" s="1"/>
  <c r="F113" i="16"/>
  <c r="G113" i="16" s="1"/>
  <c r="F114" i="16"/>
  <c r="G114" i="16" s="1"/>
  <c r="F115" i="16"/>
  <c r="G115" i="16" s="1"/>
  <c r="F116" i="16"/>
  <c r="G116" i="16" s="1"/>
  <c r="F117" i="16"/>
  <c r="G117" i="16" s="1"/>
  <c r="F118" i="16"/>
  <c r="G118" i="16" s="1"/>
  <c r="F119" i="16"/>
  <c r="G119" i="16" s="1"/>
  <c r="G120" i="16"/>
  <c r="F121" i="16"/>
  <c r="G121" i="16" s="1"/>
  <c r="F122" i="16"/>
  <c r="G122" i="16" s="1"/>
  <c r="G123" i="16"/>
  <c r="G124" i="16"/>
  <c r="F125" i="16"/>
  <c r="G125" i="16" s="1"/>
  <c r="F126" i="16"/>
  <c r="G126" i="16" s="1"/>
  <c r="F127" i="16"/>
  <c r="G127" i="16" s="1"/>
  <c r="F128" i="16"/>
  <c r="G128" i="16" s="1"/>
  <c r="F129" i="16"/>
  <c r="G129" i="16" s="1"/>
  <c r="F130" i="16"/>
  <c r="G130" i="16" s="1"/>
  <c r="F131" i="16"/>
  <c r="G131" i="16" s="1"/>
  <c r="F132" i="16"/>
  <c r="G132" i="16" s="1"/>
  <c r="F133" i="16"/>
  <c r="G133" i="16" s="1"/>
  <c r="F134" i="16"/>
  <c r="G134" i="16" s="1"/>
  <c r="F135" i="16"/>
  <c r="G135" i="16" s="1"/>
  <c r="F136" i="16"/>
  <c r="G136" i="16" s="1"/>
  <c r="G137" i="16"/>
  <c r="F138" i="16"/>
  <c r="G138" i="16" s="1"/>
  <c r="F139" i="16"/>
  <c r="G139" i="16" s="1"/>
  <c r="F140" i="16"/>
  <c r="G140" i="16" s="1"/>
  <c r="F141" i="16"/>
  <c r="G141" i="16" s="1"/>
  <c r="F142" i="16"/>
  <c r="G142" i="16" s="1"/>
  <c r="F143" i="16"/>
  <c r="G143" i="16" s="1"/>
  <c r="F144" i="16"/>
  <c r="G144" i="16" s="1"/>
  <c r="F145" i="16"/>
  <c r="G145" i="16" s="1"/>
  <c r="F146" i="16"/>
  <c r="G146" i="16" s="1"/>
  <c r="F147" i="16"/>
  <c r="G147" i="16" s="1"/>
  <c r="F148" i="16"/>
  <c r="G148" i="16" s="1"/>
  <c r="F149" i="16"/>
  <c r="G149" i="16" s="1"/>
  <c r="G150" i="16"/>
  <c r="F151" i="16"/>
  <c r="G151" i="16" s="1"/>
  <c r="F152" i="16"/>
  <c r="G152" i="16" s="1"/>
  <c r="F153" i="16"/>
  <c r="G153" i="16" s="1"/>
  <c r="F154" i="16"/>
  <c r="G154" i="16" s="1"/>
  <c r="F155" i="16"/>
  <c r="G155" i="16" s="1"/>
  <c r="F156" i="16"/>
  <c r="G156" i="16" s="1"/>
  <c r="F157" i="16"/>
  <c r="G157" i="16" s="1"/>
  <c r="F158" i="16"/>
  <c r="G158" i="16" s="1"/>
  <c r="F159" i="16"/>
  <c r="G159" i="16" s="1"/>
  <c r="F160" i="16"/>
  <c r="G160" i="16" s="1"/>
  <c r="F161" i="16"/>
  <c r="G161" i="16" s="1"/>
  <c r="F162" i="16"/>
  <c r="G162" i="16" s="1"/>
  <c r="G163" i="16"/>
  <c r="G164" i="16"/>
  <c r="G165" i="16"/>
  <c r="G166" i="16"/>
  <c r="G167" i="16"/>
  <c r="G168" i="16"/>
  <c r="G169" i="16"/>
  <c r="G170" i="16"/>
  <c r="G171" i="16"/>
  <c r="F172" i="16"/>
  <c r="G172" i="16" s="1"/>
  <c r="F173" i="16"/>
  <c r="G173" i="16" s="1"/>
  <c r="F174" i="16"/>
  <c r="G174" i="16" s="1"/>
  <c r="F176" i="16"/>
  <c r="G176" i="16" s="1"/>
  <c r="F177" i="16"/>
  <c r="G177" i="16" s="1"/>
  <c r="G178" i="16"/>
  <c r="F179" i="16"/>
  <c r="G179" i="16" s="1"/>
  <c r="F180" i="16"/>
  <c r="G180" i="16" s="1"/>
  <c r="F181" i="16"/>
  <c r="G181" i="16" s="1"/>
  <c r="F182" i="16"/>
  <c r="G182" i="16" s="1"/>
  <c r="F183" i="16"/>
  <c r="G183" i="16" s="1"/>
  <c r="F184" i="16"/>
  <c r="G184" i="16" s="1"/>
  <c r="G185" i="16"/>
  <c r="F186" i="16"/>
  <c r="G186" i="16" s="1"/>
  <c r="F187" i="16"/>
  <c r="G187" i="16" s="1"/>
  <c r="F188" i="16"/>
  <c r="G188" i="16" s="1"/>
  <c r="G189" i="16"/>
  <c r="F190" i="16"/>
  <c r="G190" i="16" s="1"/>
  <c r="F191" i="16"/>
  <c r="G191" i="16" s="1"/>
  <c r="F192" i="16"/>
  <c r="G192" i="16" s="1"/>
  <c r="F193" i="16"/>
  <c r="G193" i="16" s="1"/>
  <c r="G194" i="16"/>
  <c r="F195" i="16"/>
  <c r="G195" i="16" s="1"/>
  <c r="F196" i="16"/>
  <c r="G196" i="16" s="1"/>
  <c r="F197" i="16"/>
  <c r="G197" i="16" s="1"/>
  <c r="F198" i="16"/>
  <c r="G198" i="16" s="1"/>
  <c r="F199" i="16"/>
  <c r="G199" i="16" s="1"/>
  <c r="F200" i="16"/>
  <c r="G200" i="16" s="1"/>
  <c r="F201" i="16"/>
  <c r="G201" i="16" s="1"/>
  <c r="F202" i="16"/>
  <c r="G202" i="16" s="1"/>
  <c r="F203" i="16"/>
  <c r="G203" i="16" s="1"/>
  <c r="G204" i="16"/>
  <c r="G205" i="16"/>
  <c r="G206" i="16"/>
  <c r="F207" i="16"/>
  <c r="G207" i="16" s="1"/>
  <c r="F208" i="16"/>
  <c r="G208" i="16" s="1"/>
  <c r="F213" i="16"/>
  <c r="G213" i="16" s="1"/>
  <c r="F214" i="16"/>
  <c r="G214" i="16" s="1"/>
  <c r="F215" i="16"/>
  <c r="G215" i="16" s="1"/>
  <c r="F216" i="16"/>
  <c r="G216" i="16" s="1"/>
  <c r="F217" i="16"/>
  <c r="G217" i="16" s="1"/>
  <c r="F218" i="16"/>
  <c r="G218" i="16" s="1"/>
  <c r="F219" i="16"/>
  <c r="G219" i="16" s="1"/>
  <c r="F220" i="16"/>
  <c r="G220" i="16" s="1"/>
  <c r="F221" i="16"/>
  <c r="G221" i="16" s="1"/>
  <c r="G222" i="16"/>
  <c r="G223" i="16"/>
  <c r="F224" i="16"/>
  <c r="G224" i="16" s="1"/>
  <c r="F225" i="16"/>
  <c r="G225" i="16" s="1"/>
  <c r="F226" i="16"/>
  <c r="G226" i="16" s="1"/>
  <c r="F227" i="16"/>
  <c r="G227" i="16" s="1"/>
  <c r="F228" i="16"/>
  <c r="G228" i="16" s="1"/>
  <c r="F229" i="16"/>
  <c r="G229" i="16" s="1"/>
  <c r="G230" i="16"/>
  <c r="F231" i="16"/>
  <c r="G231" i="16" s="1"/>
  <c r="F232" i="16"/>
  <c r="G232" i="16" s="1"/>
  <c r="F233" i="16"/>
  <c r="G233" i="16" s="1"/>
  <c r="F234" i="16"/>
  <c r="G234" i="16" s="1"/>
  <c r="F235" i="16"/>
  <c r="G235" i="16" s="1"/>
  <c r="G236" i="16"/>
  <c r="G237" i="16"/>
  <c r="F238" i="16"/>
  <c r="G238" i="16" s="1"/>
  <c r="F239" i="16"/>
  <c r="G239" i="16" s="1"/>
  <c r="F240" i="16"/>
  <c r="G240" i="16" s="1"/>
  <c r="G241" i="16"/>
  <c r="G242" i="16"/>
  <c r="G243" i="16"/>
  <c r="G244" i="16"/>
  <c r="G245" i="16"/>
  <c r="G246" i="16"/>
  <c r="G247" i="16"/>
  <c r="G248" i="16"/>
  <c r="G249" i="16"/>
  <c r="G250" i="16"/>
  <c r="G251" i="16"/>
  <c r="F252" i="16"/>
  <c r="G252" i="16" s="1"/>
  <c r="F253" i="16"/>
  <c r="G253" i="16" s="1"/>
  <c r="F254" i="16"/>
  <c r="G254" i="16" s="1"/>
  <c r="F255" i="16"/>
  <c r="G255" i="16" s="1"/>
  <c r="G256" i="16"/>
  <c r="F257" i="16"/>
  <c r="G257" i="16" s="1"/>
  <c r="F258" i="16"/>
  <c r="G258" i="16" s="1"/>
  <c r="F259" i="16"/>
  <c r="G259" i="16" s="1"/>
  <c r="F260" i="16"/>
  <c r="G260" i="16" s="1"/>
  <c r="G261" i="16"/>
  <c r="F262" i="16"/>
  <c r="G262" i="16" s="1"/>
  <c r="F263" i="16"/>
  <c r="G263" i="16" s="1"/>
  <c r="F264" i="16"/>
  <c r="G264" i="16" s="1"/>
  <c r="F265" i="16"/>
  <c r="G265" i="16" s="1"/>
  <c r="G266" i="16"/>
  <c r="F267" i="16"/>
  <c r="G267" i="16" s="1"/>
  <c r="F268" i="16"/>
  <c r="G268" i="16" s="1"/>
  <c r="F269" i="16"/>
  <c r="G269" i="16" s="1"/>
  <c r="F270" i="16"/>
  <c r="G270" i="16" s="1"/>
  <c r="G271" i="16"/>
  <c r="F272" i="16"/>
  <c r="G272" i="16" s="1"/>
  <c r="F273" i="16"/>
  <c r="G273" i="16" s="1"/>
  <c r="F274" i="16"/>
  <c r="G274" i="16" s="1"/>
  <c r="F275" i="16"/>
  <c r="G275" i="16" s="1"/>
  <c r="F276" i="16"/>
  <c r="G276" i="16" s="1"/>
  <c r="F277" i="16"/>
  <c r="G277" i="16" s="1"/>
  <c r="G278" i="16"/>
  <c r="F279" i="16"/>
  <c r="G279" i="16" s="1"/>
  <c r="F280" i="16"/>
  <c r="G280" i="16" s="1"/>
  <c r="F281" i="16"/>
  <c r="G281" i="16" s="1"/>
  <c r="G282" i="16"/>
  <c r="F283" i="16"/>
  <c r="G283" i="16" s="1"/>
  <c r="F284" i="16"/>
  <c r="G284" i="16" s="1"/>
  <c r="F285" i="16"/>
  <c r="G285" i="16" s="1"/>
  <c r="F286" i="16"/>
  <c r="G286" i="16" s="1"/>
  <c r="G287" i="16"/>
  <c r="F288" i="16"/>
  <c r="G288" i="16" s="1"/>
  <c r="F289" i="16"/>
  <c r="G289" i="16" s="1"/>
  <c r="F290" i="16"/>
  <c r="G290" i="16" s="1"/>
  <c r="F291" i="16"/>
  <c r="G291" i="16" s="1"/>
  <c r="G292" i="16"/>
  <c r="G293" i="16"/>
  <c r="F294" i="16"/>
  <c r="G294" i="16" s="1"/>
  <c r="F295" i="16"/>
  <c r="G295" i="16" s="1"/>
  <c r="G296" i="16"/>
  <c r="G297" i="16"/>
  <c r="F298" i="16"/>
  <c r="G298" i="16" s="1"/>
  <c r="F299" i="16"/>
  <c r="G299" i="16" s="1"/>
  <c r="F300" i="16"/>
  <c r="G300" i="16" s="1"/>
  <c r="F301" i="16"/>
  <c r="G301" i="16" s="1"/>
  <c r="G302" i="16"/>
  <c r="F303" i="16"/>
  <c r="G303" i="16" s="1"/>
  <c r="F304" i="16"/>
  <c r="G304" i="16" s="1"/>
  <c r="G305" i="16"/>
  <c r="F306" i="16"/>
  <c r="G306" i="16" s="1"/>
  <c r="G307" i="16"/>
  <c r="F308" i="16"/>
  <c r="G308" i="16" s="1"/>
  <c r="F309" i="16"/>
  <c r="G309" i="16" s="1"/>
  <c r="F310" i="16"/>
  <c r="G310" i="16" s="1"/>
  <c r="F311" i="16"/>
  <c r="G311" i="16" s="1"/>
  <c r="F312" i="16"/>
  <c r="G312" i="16" s="1"/>
  <c r="F313" i="16"/>
  <c r="G313" i="16" s="1"/>
  <c r="F314" i="16"/>
  <c r="G314" i="16" s="1"/>
  <c r="G315" i="16"/>
  <c r="F316" i="16"/>
  <c r="G316" i="16" s="1"/>
  <c r="G317" i="16"/>
  <c r="F318" i="16"/>
  <c r="G318" i="16" s="1"/>
  <c r="G319" i="16"/>
  <c r="F320" i="16"/>
  <c r="G320" i="16" s="1"/>
  <c r="G321" i="16"/>
  <c r="G322" i="16"/>
  <c r="F323" i="16"/>
  <c r="G323" i="16" s="1"/>
  <c r="F324" i="16"/>
  <c r="G324" i="16" s="1"/>
  <c r="F325" i="16"/>
  <c r="G325" i="16" s="1"/>
  <c r="F326" i="16"/>
  <c r="G326" i="16" s="1"/>
  <c r="F327" i="16"/>
  <c r="G327" i="16" s="1"/>
  <c r="F328" i="16"/>
  <c r="G328" i="16" s="1"/>
  <c r="G329" i="16"/>
  <c r="G330" i="16"/>
  <c r="G331" i="16"/>
  <c r="F332" i="16"/>
  <c r="G332" i="16" s="1"/>
  <c r="F333" i="16"/>
  <c r="G333" i="16" s="1"/>
  <c r="F334" i="16"/>
  <c r="G334" i="16" s="1"/>
  <c r="F335" i="16"/>
  <c r="G335" i="16" s="1"/>
  <c r="G336" i="16"/>
  <c r="F337" i="16"/>
  <c r="G337" i="16" s="1"/>
  <c r="F338" i="16"/>
  <c r="G338" i="16" s="1"/>
  <c r="F339" i="16"/>
  <c r="G339" i="16" s="1"/>
  <c r="G340" i="16"/>
  <c r="G341" i="16"/>
  <c r="F342" i="16"/>
  <c r="G342" i="16" s="1"/>
  <c r="F343" i="16"/>
  <c r="G343" i="16" s="1"/>
  <c r="F344" i="16"/>
  <c r="G344" i="16" s="1"/>
  <c r="F345" i="16"/>
  <c r="G345" i="16" s="1"/>
  <c r="F346" i="16"/>
  <c r="G346" i="16" s="1"/>
  <c r="F347" i="16"/>
  <c r="G347" i="16" s="1"/>
  <c r="G348" i="16"/>
  <c r="F349" i="16"/>
  <c r="G349" i="16" s="1"/>
  <c r="F350" i="16"/>
  <c r="G350" i="16" s="1"/>
  <c r="G351" i="16"/>
  <c r="G352" i="16"/>
  <c r="F353" i="16"/>
  <c r="G353" i="16" s="1"/>
  <c r="F354" i="16"/>
  <c r="G354" i="16" s="1"/>
  <c r="F355" i="16"/>
  <c r="G355" i="16" s="1"/>
  <c r="F356" i="16"/>
  <c r="G356" i="16" s="1"/>
  <c r="F357" i="16"/>
  <c r="G357" i="16" s="1"/>
  <c r="F358" i="16"/>
  <c r="G358" i="16" s="1"/>
  <c r="F359" i="16"/>
  <c r="G359" i="16" s="1"/>
  <c r="F360" i="16"/>
  <c r="G360" i="16" s="1"/>
  <c r="F361" i="16"/>
  <c r="G361" i="16" s="1"/>
  <c r="G362" i="16"/>
  <c r="F363" i="16"/>
  <c r="G363" i="16" s="1"/>
  <c r="F364" i="16"/>
  <c r="G364" i="16" s="1"/>
  <c r="F365" i="16"/>
  <c r="G365" i="16" s="1"/>
  <c r="F366" i="16"/>
  <c r="G366" i="16" s="1"/>
  <c r="F367" i="16"/>
  <c r="G367" i="16" s="1"/>
  <c r="F368" i="16"/>
  <c r="G368" i="16" s="1"/>
  <c r="G369" i="16"/>
  <c r="F370" i="16"/>
  <c r="G370" i="16" s="1"/>
  <c r="F371" i="16"/>
  <c r="G371" i="16" s="1"/>
  <c r="F372" i="16"/>
  <c r="G372" i="16" s="1"/>
  <c r="F373" i="16"/>
  <c r="G373" i="16" s="1"/>
  <c r="G374" i="16"/>
  <c r="G375" i="16"/>
  <c r="G376" i="16"/>
  <c r="G377" i="16"/>
  <c r="G378" i="16"/>
  <c r="G379" i="16"/>
  <c r="G380" i="16"/>
  <c r="G381" i="16"/>
  <c r="G382" i="16"/>
  <c r="G383" i="16"/>
  <c r="G384" i="16"/>
  <c r="G385" i="16"/>
  <c r="G386" i="16"/>
  <c r="G387" i="16"/>
  <c r="G388" i="16"/>
  <c r="G389" i="16"/>
  <c r="G390" i="16"/>
  <c r="G391" i="16"/>
  <c r="G392" i="16"/>
  <c r="G393" i="16"/>
  <c r="G394" i="16"/>
  <c r="G395" i="16"/>
  <c r="G396" i="16"/>
  <c r="G397" i="16"/>
  <c r="F398" i="16"/>
  <c r="G398" i="16" s="1"/>
  <c r="F399" i="16"/>
  <c r="G399" i="16" s="1"/>
  <c r="F400" i="16"/>
  <c r="G400" i="16" s="1"/>
  <c r="G401" i="16"/>
  <c r="F402" i="16"/>
  <c r="G402" i="16" s="1"/>
  <c r="F403" i="16"/>
  <c r="G403" i="16" s="1"/>
  <c r="G404" i="16"/>
  <c r="F405" i="16"/>
  <c r="G405" i="16" s="1"/>
  <c r="G406" i="16"/>
  <c r="F407" i="16"/>
  <c r="G407" i="16" s="1"/>
  <c r="F408" i="16"/>
  <c r="G408" i="16" s="1"/>
  <c r="F409" i="16"/>
  <c r="G409" i="16" s="1"/>
  <c r="G410" i="16"/>
  <c r="F411" i="16"/>
  <c r="G411" i="16" s="1"/>
  <c r="F412" i="16"/>
  <c r="G412" i="16" s="1"/>
  <c r="G413" i="16"/>
  <c r="F414" i="16"/>
  <c r="G414" i="16" s="1"/>
  <c r="F415" i="16"/>
  <c r="G415" i="16" s="1"/>
  <c r="F416" i="16"/>
  <c r="G416" i="16" s="1"/>
  <c r="F417" i="16"/>
  <c r="G417" i="16" s="1"/>
  <c r="F418" i="16"/>
  <c r="G418" i="16" s="1"/>
  <c r="F419" i="16"/>
  <c r="G419" i="16" s="1"/>
  <c r="G420" i="16"/>
  <c r="G421" i="16"/>
  <c r="F422" i="16"/>
  <c r="G422" i="16" s="1"/>
  <c r="F423" i="16"/>
  <c r="G423" i="16" s="1"/>
  <c r="F424" i="16"/>
  <c r="G424" i="16" s="1"/>
  <c r="F425" i="16"/>
  <c r="G425" i="16" s="1"/>
  <c r="F426" i="16"/>
  <c r="G426" i="16" s="1"/>
  <c r="F427" i="16"/>
  <c r="G427" i="16" s="1"/>
  <c r="G428" i="16"/>
  <c r="F429" i="16"/>
  <c r="G429" i="16" s="1"/>
  <c r="F430" i="16"/>
  <c r="G430" i="16" s="1"/>
  <c r="G431" i="16"/>
  <c r="F432" i="16"/>
  <c r="G432" i="16" s="1"/>
  <c r="F433" i="16"/>
  <c r="G433" i="16" s="1"/>
  <c r="F434" i="16"/>
  <c r="G434" i="16" s="1"/>
  <c r="F435" i="16"/>
  <c r="G435" i="16" s="1"/>
  <c r="F436" i="16"/>
  <c r="G436" i="16" s="1"/>
  <c r="G437" i="16"/>
  <c r="F438" i="16"/>
  <c r="G438" i="16" s="1"/>
  <c r="F439" i="16"/>
  <c r="G439" i="16" s="1"/>
  <c r="F440" i="16"/>
  <c r="G440" i="16" s="1"/>
  <c r="F441" i="16"/>
  <c r="G441" i="16" s="1"/>
  <c r="F442" i="16"/>
  <c r="G442" i="16" s="1"/>
  <c r="F443" i="16"/>
  <c r="G443" i="16" s="1"/>
  <c r="F444" i="16"/>
  <c r="G444" i="16" s="1"/>
  <c r="F445" i="16"/>
  <c r="G445" i="16" s="1"/>
  <c r="F446" i="16"/>
  <c r="G446" i="16" s="1"/>
  <c r="F447" i="16"/>
  <c r="G447" i="16" s="1"/>
  <c r="F448" i="16"/>
  <c r="G448" i="16" s="1"/>
  <c r="F449" i="16"/>
  <c r="G449" i="16" s="1"/>
  <c r="F450" i="16"/>
  <c r="G450" i="16" s="1"/>
  <c r="F451" i="16"/>
  <c r="G451" i="16" s="1"/>
  <c r="F452" i="16"/>
  <c r="G452" i="16" s="1"/>
  <c r="F453" i="16"/>
  <c r="G453" i="16" s="1"/>
  <c r="F454" i="16"/>
  <c r="G454" i="16" s="1"/>
  <c r="F455" i="16"/>
  <c r="G455" i="16" s="1"/>
  <c r="F456" i="16"/>
  <c r="G456" i="16" s="1"/>
  <c r="F457" i="16"/>
  <c r="G457" i="16" s="1"/>
  <c r="G459" i="16"/>
  <c r="F460" i="16"/>
  <c r="G460" i="16" s="1"/>
  <c r="F462" i="16"/>
  <c r="G462" i="16" s="1"/>
  <c r="G463" i="16"/>
  <c r="G464" i="16"/>
  <c r="F465" i="16"/>
  <c r="G465" i="16" s="1"/>
  <c r="F466" i="16"/>
  <c r="G466" i="16" s="1"/>
  <c r="F467" i="16"/>
  <c r="G467" i="16" s="1"/>
  <c r="F468" i="16"/>
  <c r="G468" i="16" s="1"/>
  <c r="F469" i="16"/>
  <c r="G469" i="16" s="1"/>
  <c r="F470" i="16"/>
  <c r="G470" i="16" s="1"/>
  <c r="F471" i="16"/>
  <c r="G471" i="16" s="1"/>
  <c r="F472" i="16"/>
  <c r="G472" i="16" s="1"/>
  <c r="F473" i="16"/>
  <c r="G473" i="16" s="1"/>
  <c r="F474" i="16"/>
  <c r="G474" i="16" s="1"/>
  <c r="F475" i="16"/>
  <c r="G475" i="16" s="1"/>
  <c r="F476" i="16"/>
  <c r="G476" i="16" s="1"/>
  <c r="F477" i="16"/>
  <c r="G477" i="16" s="1"/>
  <c r="G478" i="16"/>
  <c r="F479" i="16"/>
  <c r="G479" i="16" s="1"/>
  <c r="F480" i="16"/>
  <c r="G480" i="16" s="1"/>
  <c r="F481" i="16"/>
  <c r="G481" i="16" s="1"/>
  <c r="F482" i="16"/>
  <c r="G482" i="16" s="1"/>
  <c r="F483" i="16"/>
  <c r="G483" i="16" s="1"/>
  <c r="F484" i="16"/>
  <c r="G484" i="16" s="1"/>
  <c r="F485" i="16"/>
  <c r="G485" i="16" s="1"/>
  <c r="F486" i="16"/>
  <c r="G486" i="16" s="1"/>
  <c r="F487" i="16"/>
  <c r="G487" i="16" s="1"/>
  <c r="F488" i="16"/>
  <c r="G488" i="16" s="1"/>
  <c r="F489" i="16"/>
  <c r="G489" i="16" s="1"/>
  <c r="F490" i="16"/>
  <c r="G490" i="16" s="1"/>
  <c r="F491" i="16"/>
  <c r="G491" i="16" s="1"/>
  <c r="G492" i="16"/>
  <c r="F493" i="16"/>
  <c r="G493" i="16" s="1"/>
  <c r="F494" i="16"/>
  <c r="G494" i="16" s="1"/>
  <c r="F495" i="16"/>
  <c r="G495" i="16" s="1"/>
  <c r="F496" i="16"/>
  <c r="G496" i="16" s="1"/>
  <c r="G497" i="16"/>
  <c r="F498" i="16"/>
  <c r="G498" i="16" s="1"/>
  <c r="G499" i="16"/>
  <c r="F500" i="16"/>
  <c r="G500" i="16" s="1"/>
  <c r="F501" i="16"/>
  <c r="G501" i="16" s="1"/>
  <c r="F502" i="16"/>
  <c r="G502" i="16" s="1"/>
  <c r="F503" i="16"/>
  <c r="G503" i="16" s="1"/>
  <c r="F504" i="16"/>
  <c r="G504" i="16" s="1"/>
  <c r="F505" i="16"/>
  <c r="G505" i="16" s="1"/>
  <c r="F506" i="16"/>
  <c r="G506" i="16" s="1"/>
  <c r="G507" i="16"/>
  <c r="F508" i="16"/>
  <c r="G508" i="16" s="1"/>
  <c r="F509" i="16"/>
  <c r="G509" i="16" s="1"/>
  <c r="F510" i="16"/>
  <c r="G510" i="16" s="1"/>
  <c r="F511" i="16"/>
  <c r="G511" i="16" s="1"/>
  <c r="F512" i="16"/>
  <c r="G512" i="16" s="1"/>
  <c r="F513" i="16"/>
  <c r="G513" i="16" s="1"/>
  <c r="F514" i="16"/>
  <c r="G514" i="16" s="1"/>
  <c r="F515" i="16"/>
  <c r="G515" i="16" s="1"/>
  <c r="F516" i="16"/>
  <c r="G516" i="16" s="1"/>
  <c r="F517" i="16"/>
  <c r="G517" i="16" s="1"/>
  <c r="F518" i="16"/>
  <c r="G518" i="16" s="1"/>
  <c r="F519" i="16"/>
  <c r="G519" i="16" s="1"/>
  <c r="F520" i="16"/>
  <c r="G520" i="16" s="1"/>
  <c r="F521" i="16"/>
  <c r="G521" i="16" s="1"/>
  <c r="F522" i="16"/>
  <c r="G522" i="16" s="1"/>
  <c r="F523" i="16"/>
  <c r="G523" i="16" s="1"/>
  <c r="F524" i="16"/>
  <c r="G524" i="16" s="1"/>
  <c r="F525" i="16"/>
  <c r="G525" i="16" s="1"/>
  <c r="F526" i="16"/>
  <c r="G526" i="16" s="1"/>
  <c r="F527" i="16"/>
  <c r="G527" i="16" s="1"/>
  <c r="F528" i="16"/>
  <c r="G528" i="16" s="1"/>
  <c r="F529" i="16"/>
  <c r="G529" i="16" s="1"/>
  <c r="F530" i="16"/>
  <c r="G530" i="16" s="1"/>
  <c r="F531" i="16"/>
  <c r="G531" i="16" s="1"/>
  <c r="F532" i="16"/>
  <c r="G532" i="16" s="1"/>
  <c r="F533" i="16"/>
  <c r="G533" i="16" s="1"/>
  <c r="F534" i="16"/>
  <c r="G534" i="16" s="1"/>
  <c r="F535" i="16"/>
  <c r="G535" i="16" s="1"/>
  <c r="F536" i="16"/>
  <c r="G536" i="16" s="1"/>
  <c r="F537" i="16"/>
  <c r="G537" i="16" s="1"/>
  <c r="F538" i="16"/>
  <c r="G538" i="16" s="1"/>
  <c r="F539" i="16"/>
  <c r="G539" i="16" s="1"/>
  <c r="F540" i="16"/>
  <c r="G540" i="16" s="1"/>
  <c r="F541" i="16"/>
  <c r="G541" i="16" s="1"/>
  <c r="G542" i="16"/>
  <c r="F543" i="16"/>
  <c r="G543" i="16" s="1"/>
  <c r="F544" i="16"/>
  <c r="G544" i="16" s="1"/>
  <c r="F545" i="16"/>
  <c r="G545" i="16" s="1"/>
  <c r="F546" i="16"/>
  <c r="G546" i="16" s="1"/>
  <c r="F547" i="16"/>
  <c r="G547" i="16" s="1"/>
  <c r="F548" i="16"/>
  <c r="G548" i="16" s="1"/>
  <c r="F549" i="16"/>
  <c r="G549" i="16" s="1"/>
  <c r="G550" i="16"/>
  <c r="F551" i="16"/>
  <c r="G551" i="16" s="1"/>
  <c r="F552" i="16"/>
  <c r="G552" i="16" s="1"/>
  <c r="F553" i="16"/>
  <c r="G553" i="16" s="1"/>
  <c r="F554" i="16"/>
  <c r="G554" i="16" s="1"/>
  <c r="F555" i="16"/>
  <c r="G555" i="16" s="1"/>
  <c r="F562" i="16"/>
  <c r="G562" i="16" s="1"/>
  <c r="F563" i="16"/>
  <c r="G563" i="16" s="1"/>
  <c r="F564" i="16"/>
  <c r="G564" i="16" s="1"/>
  <c r="F565" i="16"/>
  <c r="G565" i="16" s="1"/>
  <c r="F566" i="16"/>
  <c r="G566" i="16" s="1"/>
  <c r="G567" i="16"/>
  <c r="G568" i="16"/>
  <c r="G569" i="16"/>
  <c r="G570" i="16"/>
  <c r="G571" i="16"/>
  <c r="G572" i="16"/>
  <c r="G573" i="16"/>
  <c r="G574" i="16"/>
  <c r="F575" i="16"/>
  <c r="G575" i="16" s="1"/>
  <c r="G576" i="16"/>
  <c r="F577" i="16"/>
  <c r="G577" i="16" s="1"/>
  <c r="F578" i="16"/>
  <c r="G578" i="16" s="1"/>
  <c r="F579" i="16"/>
  <c r="G579" i="16" s="1"/>
  <c r="G580" i="16"/>
  <c r="F581" i="16"/>
  <c r="G581" i="16" s="1"/>
  <c r="F582" i="16"/>
  <c r="G582" i="16" s="1"/>
  <c r="F583" i="16"/>
  <c r="G583" i="16" s="1"/>
  <c r="G584" i="16"/>
  <c r="F585" i="16"/>
  <c r="G585" i="16" s="1"/>
  <c r="F586" i="16"/>
  <c r="G586" i="16" s="1"/>
  <c r="F587" i="16"/>
  <c r="G587" i="16" s="1"/>
  <c r="F588" i="16"/>
  <c r="G588" i="16" s="1"/>
  <c r="F589" i="16"/>
  <c r="G589" i="16" s="1"/>
  <c r="F590" i="16"/>
  <c r="G590" i="16" s="1"/>
  <c r="G591" i="16"/>
  <c r="F592" i="16"/>
  <c r="G592" i="16" s="1"/>
  <c r="F593" i="16"/>
  <c r="G593" i="16" s="1"/>
  <c r="F594" i="16"/>
  <c r="G594" i="16" s="1"/>
  <c r="F595" i="16"/>
  <c r="G595" i="16" s="1"/>
  <c r="F596" i="16"/>
  <c r="G596" i="16" s="1"/>
  <c r="F597" i="16"/>
  <c r="G597" i="16" s="1"/>
  <c r="G598" i="16"/>
  <c r="F599" i="16"/>
  <c r="G599" i="16" s="1"/>
  <c r="F600" i="16"/>
  <c r="G600" i="16" s="1"/>
  <c r="F601" i="16"/>
  <c r="G601" i="16" s="1"/>
  <c r="F602" i="16"/>
  <c r="G602" i="16" s="1"/>
  <c r="F603" i="16"/>
  <c r="G603" i="16" s="1"/>
  <c r="F604" i="16"/>
  <c r="G604" i="16" s="1"/>
  <c r="G605" i="16"/>
  <c r="F606" i="16"/>
  <c r="G606" i="16" s="1"/>
  <c r="F607" i="16"/>
  <c r="G607" i="16" s="1"/>
  <c r="F608" i="16"/>
  <c r="G608" i="16" s="1"/>
  <c r="F609" i="16"/>
  <c r="G609" i="16" s="1"/>
  <c r="F610" i="16"/>
  <c r="G610" i="16" s="1"/>
  <c r="F611" i="16"/>
  <c r="G611" i="16" s="1"/>
  <c r="G612" i="16"/>
  <c r="F613" i="16"/>
  <c r="G613" i="16" s="1"/>
  <c r="F614" i="16"/>
  <c r="G614" i="16" s="1"/>
  <c r="F615" i="16"/>
  <c r="G615" i="16" s="1"/>
  <c r="F616" i="16"/>
  <c r="G616" i="16" s="1"/>
  <c r="F617" i="16"/>
  <c r="G617" i="16" s="1"/>
  <c r="F618" i="16"/>
  <c r="G618" i="16" s="1"/>
  <c r="G619" i="16"/>
  <c r="F620" i="16"/>
  <c r="G620" i="16" s="1"/>
  <c r="F621" i="16"/>
  <c r="G621" i="16" s="1"/>
  <c r="F622" i="16"/>
  <c r="G622" i="16" s="1"/>
  <c r="F623" i="16"/>
  <c r="G623" i="16" s="1"/>
  <c r="F624" i="16"/>
  <c r="G624" i="16" s="1"/>
  <c r="F625" i="16"/>
  <c r="G625" i="16" s="1"/>
  <c r="G626" i="16"/>
  <c r="F627" i="16"/>
  <c r="G627" i="16" s="1"/>
  <c r="F628" i="16"/>
  <c r="G628" i="16" s="1"/>
  <c r="F629" i="16"/>
  <c r="G629" i="16" s="1"/>
  <c r="F630" i="16"/>
  <c r="G630" i="16" s="1"/>
  <c r="F631" i="16"/>
  <c r="G631" i="16" s="1"/>
  <c r="F638" i="16"/>
  <c r="G638" i="16" s="1"/>
  <c r="F639" i="16"/>
  <c r="G639" i="16" s="1"/>
  <c r="G640" i="16"/>
  <c r="F644" i="16"/>
  <c r="G644" i="16" s="1"/>
  <c r="F645" i="16"/>
  <c r="G645" i="16" s="1"/>
  <c r="G647" i="16"/>
  <c r="G648" i="16"/>
  <c r="F649" i="16"/>
  <c r="G649" i="16" s="1"/>
  <c r="G651" i="16"/>
  <c r="G652" i="16"/>
  <c r="G653" i="16"/>
  <c r="G654" i="16"/>
  <c r="G655" i="16"/>
  <c r="G656" i="16"/>
  <c r="G657" i="16"/>
  <c r="G658" i="16"/>
  <c r="G659" i="16"/>
  <c r="F660" i="16"/>
  <c r="G660" i="16" s="1"/>
  <c r="G661" i="16"/>
  <c r="F662" i="16"/>
  <c r="G662" i="16" s="1"/>
  <c r="F663" i="16"/>
  <c r="G663" i="16" s="1"/>
  <c r="F664" i="16"/>
  <c r="G664" i="16" s="1"/>
  <c r="F665" i="16"/>
  <c r="G665" i="16" s="1"/>
  <c r="F666" i="16"/>
  <c r="G666" i="16" s="1"/>
  <c r="F667" i="16"/>
  <c r="G667" i="16" s="1"/>
  <c r="F668" i="16"/>
  <c r="G668" i="16" s="1"/>
  <c r="F669" i="16"/>
  <c r="G669" i="16" s="1"/>
  <c r="F670" i="16"/>
  <c r="G670" i="16" s="1"/>
  <c r="F671" i="16"/>
  <c r="G671" i="16" s="1"/>
  <c r="F672" i="16"/>
  <c r="G672" i="16" s="1"/>
  <c r="F673" i="16"/>
  <c r="G673" i="16" s="1"/>
  <c r="F674" i="16"/>
  <c r="G674" i="16" s="1"/>
  <c r="F675" i="16"/>
  <c r="G675" i="16" s="1"/>
  <c r="G676" i="16"/>
  <c r="F677" i="16"/>
  <c r="G677" i="16" s="1"/>
  <c r="F678" i="16"/>
  <c r="G678" i="16" s="1"/>
  <c r="F679" i="16"/>
  <c r="G679" i="16" s="1"/>
  <c r="F680" i="16"/>
  <c r="G680" i="16" s="1"/>
  <c r="F681" i="16"/>
  <c r="G681" i="16" s="1"/>
  <c r="F682" i="16"/>
  <c r="G682" i="16" s="1"/>
  <c r="F683" i="16"/>
  <c r="G683" i="16" s="1"/>
  <c r="F684" i="16"/>
  <c r="G684" i="16" s="1"/>
  <c r="F685" i="16"/>
  <c r="G685" i="16" s="1"/>
  <c r="F686" i="16"/>
  <c r="G686" i="16" s="1"/>
  <c r="F687" i="16"/>
  <c r="G687" i="16" s="1"/>
  <c r="F688" i="16"/>
  <c r="G688" i="16" s="1"/>
  <c r="F689" i="16"/>
  <c r="G689" i="16" s="1"/>
  <c r="G690" i="16"/>
  <c r="G691" i="16"/>
  <c r="G692" i="16"/>
  <c r="F693" i="16"/>
  <c r="G693" i="16" s="1"/>
  <c r="F694" i="16"/>
  <c r="G694" i="16" s="1"/>
  <c r="G695" i="16"/>
  <c r="G696" i="16"/>
  <c r="G697" i="16"/>
  <c r="F698" i="16"/>
  <c r="G698" i="16" s="1"/>
  <c r="G699" i="16"/>
  <c r="F700" i="16"/>
  <c r="G700" i="16" s="1"/>
  <c r="F701" i="16"/>
  <c r="G701" i="16" s="1"/>
  <c r="F702" i="16"/>
  <c r="G702" i="16" s="1"/>
  <c r="F703" i="16"/>
  <c r="G703" i="16" s="1"/>
  <c r="F704" i="16"/>
  <c r="G704" i="16" s="1"/>
  <c r="F705" i="16"/>
  <c r="G705" i="16" s="1"/>
  <c r="F706" i="16"/>
  <c r="G706" i="16" s="1"/>
  <c r="F707" i="16"/>
  <c r="G707" i="16" s="1"/>
  <c r="F708" i="16"/>
  <c r="G708" i="16" s="1"/>
  <c r="F709" i="16"/>
  <c r="G709" i="16" s="1"/>
  <c r="F710" i="16"/>
  <c r="G710" i="16" s="1"/>
  <c r="F711" i="16"/>
  <c r="G711" i="16" s="1"/>
  <c r="F712" i="16"/>
  <c r="G712" i="16" s="1"/>
  <c r="F713" i="16"/>
  <c r="G713" i="16" s="1"/>
  <c r="F714" i="16"/>
  <c r="G714" i="16" s="1"/>
  <c r="F715" i="16"/>
  <c r="G715" i="16" s="1"/>
  <c r="F716" i="16"/>
  <c r="G716" i="16" s="1"/>
  <c r="F717" i="16"/>
  <c r="G717" i="16" s="1"/>
  <c r="F718" i="16"/>
  <c r="G718" i="16" s="1"/>
  <c r="F719" i="16"/>
  <c r="G719" i="16" s="1"/>
  <c r="F720" i="16"/>
  <c r="G720" i="16" s="1"/>
  <c r="F721" i="16"/>
  <c r="G721" i="16" s="1"/>
  <c r="F722" i="16"/>
  <c r="G722" i="16" s="1"/>
  <c r="G723" i="16"/>
  <c r="F724" i="16"/>
  <c r="G724" i="16" s="1"/>
  <c r="G725" i="16"/>
  <c r="G726" i="16"/>
  <c r="G727" i="16"/>
  <c r="F728" i="16"/>
  <c r="G728" i="16" s="1"/>
  <c r="F729" i="16"/>
  <c r="G729" i="16" s="1"/>
  <c r="F730" i="16"/>
  <c r="G730" i="16" s="1"/>
  <c r="F731" i="16"/>
  <c r="G731" i="16" s="1"/>
  <c r="F732" i="16"/>
  <c r="G732" i="16" s="1"/>
  <c r="F733" i="16"/>
  <c r="G733" i="16" s="1"/>
  <c r="F734" i="16"/>
  <c r="G734" i="16" s="1"/>
  <c r="G735" i="16"/>
  <c r="F736" i="16"/>
  <c r="G736" i="16" s="1"/>
  <c r="F737" i="16"/>
  <c r="G737" i="16" s="1"/>
  <c r="F738" i="16"/>
  <c r="G738" i="16" s="1"/>
  <c r="F739" i="16"/>
  <c r="G739" i="16" s="1"/>
  <c r="F740" i="16"/>
  <c r="G740" i="16" s="1"/>
  <c r="F741" i="16"/>
  <c r="G741" i="16" s="1"/>
  <c r="F742" i="16"/>
  <c r="G742" i="16" s="1"/>
  <c r="G743" i="16"/>
  <c r="G744" i="16"/>
  <c r="F745" i="16"/>
  <c r="G745" i="16" s="1"/>
  <c r="F746" i="16"/>
  <c r="G746" i="16" s="1"/>
  <c r="F747" i="16"/>
  <c r="G747" i="16" s="1"/>
  <c r="F748" i="16"/>
  <c r="G748" i="16" s="1"/>
  <c r="F749" i="16"/>
  <c r="G749" i="16" s="1"/>
  <c r="G750" i="16"/>
  <c r="G751" i="16"/>
  <c r="F752" i="16"/>
  <c r="G752" i="16" s="1"/>
  <c r="F753" i="16"/>
  <c r="G753" i="16" s="1"/>
  <c r="F754" i="16"/>
  <c r="G754" i="16" s="1"/>
  <c r="F755" i="16"/>
  <c r="G755" i="16" s="1"/>
  <c r="F756" i="16"/>
  <c r="G756" i="16" s="1"/>
  <c r="F757" i="16"/>
  <c r="G757" i="16" s="1"/>
  <c r="F758" i="16"/>
  <c r="G758" i="16" s="1"/>
  <c r="F759" i="16"/>
  <c r="G759" i="16" s="1"/>
  <c r="G760" i="16"/>
  <c r="F761" i="16"/>
  <c r="G761" i="16" s="1"/>
  <c r="F762" i="16"/>
  <c r="G762" i="16" s="1"/>
  <c r="F763" i="16"/>
  <c r="G763" i="16" s="1"/>
  <c r="F764" i="16"/>
  <c r="G764" i="16" s="1"/>
  <c r="F765" i="16"/>
  <c r="G765" i="16" s="1"/>
  <c r="F766" i="16"/>
  <c r="G766" i="16" s="1"/>
  <c r="F767" i="16"/>
  <c r="G767" i="16" s="1"/>
  <c r="F768" i="16"/>
  <c r="G768" i="16" s="1"/>
  <c r="G769" i="16"/>
  <c r="G770" i="16"/>
  <c r="F771" i="16"/>
  <c r="G771" i="16" s="1"/>
  <c r="F772" i="16"/>
  <c r="G772" i="16" s="1"/>
  <c r="F773" i="16"/>
  <c r="G773" i="16" s="1"/>
  <c r="F774" i="16"/>
  <c r="G774" i="16" s="1"/>
  <c r="F775" i="16"/>
  <c r="G775" i="16" s="1"/>
  <c r="F776" i="16"/>
  <c r="G776" i="16" s="1"/>
  <c r="F777" i="16"/>
  <c r="G777" i="16" s="1"/>
  <c r="F778" i="16"/>
  <c r="G778" i="16" s="1"/>
  <c r="F779" i="16"/>
  <c r="G779" i="16" s="1"/>
  <c r="F780" i="16"/>
  <c r="G780" i="16" s="1"/>
  <c r="G781" i="16"/>
  <c r="F782" i="16"/>
  <c r="G782" i="16" s="1"/>
  <c r="F783" i="16"/>
  <c r="G783" i="16" s="1"/>
  <c r="F784" i="16"/>
  <c r="G784" i="16" s="1"/>
  <c r="F785" i="16"/>
  <c r="G785" i="16" s="1"/>
  <c r="F786" i="16"/>
  <c r="G786" i="16" s="1"/>
  <c r="F787" i="16"/>
  <c r="G787" i="16" s="1"/>
  <c r="F788" i="16"/>
  <c r="G788" i="16" s="1"/>
  <c r="F789" i="16"/>
  <c r="G789" i="16" s="1"/>
  <c r="F790" i="16"/>
  <c r="G790" i="16" s="1"/>
  <c r="F791" i="16"/>
  <c r="G791" i="16" s="1"/>
  <c r="G792" i="16"/>
  <c r="G793" i="16"/>
  <c r="F794" i="16"/>
  <c r="G794" i="16" s="1"/>
  <c r="F795" i="16"/>
  <c r="G795" i="16" s="1"/>
  <c r="F796" i="16"/>
  <c r="G796" i="16" s="1"/>
  <c r="F797" i="16"/>
  <c r="G797" i="16" s="1"/>
  <c r="G798" i="16"/>
  <c r="F799" i="16"/>
  <c r="G799" i="16" s="1"/>
  <c r="F800" i="16"/>
  <c r="G800" i="16" s="1"/>
  <c r="F801" i="16"/>
  <c r="G801" i="16" s="1"/>
  <c r="F802" i="16"/>
  <c r="G802" i="16" s="1"/>
  <c r="G803" i="16"/>
  <c r="G804" i="16"/>
  <c r="F805" i="16"/>
  <c r="G805" i="16" s="1"/>
  <c r="F806" i="16"/>
  <c r="G806" i="16" s="1"/>
  <c r="F807" i="16"/>
  <c r="G807" i="16" s="1"/>
  <c r="F808" i="16"/>
  <c r="G808" i="16" s="1"/>
  <c r="G809" i="16"/>
  <c r="F810" i="16"/>
  <c r="G810" i="16" s="1"/>
  <c r="F811" i="16"/>
  <c r="G811" i="16" s="1"/>
  <c r="F812" i="16"/>
  <c r="G812" i="16" s="1"/>
  <c r="F813" i="16"/>
  <c r="G813" i="16" s="1"/>
  <c r="F814" i="16"/>
  <c r="G814" i="16" s="1"/>
  <c r="F815" i="16"/>
  <c r="G815" i="16" s="1"/>
  <c r="F816" i="16"/>
  <c r="G816" i="16" s="1"/>
  <c r="F817" i="16"/>
  <c r="G817" i="16" s="1"/>
  <c r="F818" i="16"/>
  <c r="G818" i="16" s="1"/>
  <c r="F819" i="16"/>
  <c r="G819" i="16" s="1"/>
  <c r="F820" i="16"/>
  <c r="G820" i="16" s="1"/>
  <c r="F821" i="16"/>
  <c r="G821" i="16" s="1"/>
  <c r="G822" i="16"/>
  <c r="G823" i="16"/>
  <c r="G824" i="16"/>
  <c r="G825" i="16"/>
  <c r="G826" i="16"/>
  <c r="G827" i="16"/>
  <c r="G828" i="16"/>
  <c r="G829" i="16"/>
  <c r="G830" i="16"/>
  <c r="G831" i="16"/>
  <c r="G832" i="16"/>
  <c r="G833" i="16"/>
  <c r="G834" i="16"/>
  <c r="G835" i="16"/>
  <c r="G836" i="16"/>
  <c r="G837" i="16"/>
  <c r="G838" i="16"/>
  <c r="G839" i="16"/>
  <c r="G840" i="16"/>
  <c r="G841" i="16"/>
  <c r="G842" i="16"/>
  <c r="G843" i="16"/>
  <c r="G844" i="16"/>
  <c r="G845" i="16"/>
  <c r="F846" i="16"/>
  <c r="G846" i="16" s="1"/>
  <c r="F847" i="16"/>
  <c r="G847" i="16" s="1"/>
  <c r="F848" i="16"/>
  <c r="G848" i="16" s="1"/>
  <c r="G849" i="16"/>
  <c r="F850" i="16"/>
  <c r="G850" i="16" s="1"/>
  <c r="F851" i="16"/>
  <c r="G851" i="16" s="1"/>
  <c r="F854" i="16"/>
  <c r="G854" i="16" s="1"/>
  <c r="F855" i="16"/>
  <c r="G855" i="16" s="1"/>
  <c r="F856" i="16"/>
  <c r="G856" i="16" s="1"/>
  <c r="F857" i="16"/>
  <c r="G857" i="16" s="1"/>
  <c r="F858" i="16"/>
  <c r="G858" i="16" s="1"/>
  <c r="F859" i="16"/>
  <c r="G859" i="16" s="1"/>
  <c r="F860" i="16"/>
  <c r="G860" i="16" s="1"/>
  <c r="F861" i="16"/>
  <c r="G861" i="16" s="1"/>
  <c r="G862" i="16"/>
  <c r="F863" i="16"/>
  <c r="G863" i="16" s="1"/>
  <c r="F864" i="16"/>
  <c r="G864" i="16" s="1"/>
  <c r="F865" i="16"/>
  <c r="G865" i="16" s="1"/>
  <c r="F866" i="16"/>
  <c r="G866" i="16" s="1"/>
  <c r="G867" i="16"/>
  <c r="G868" i="16"/>
  <c r="G869" i="16"/>
  <c r="F870" i="16"/>
  <c r="G870" i="16" s="1"/>
  <c r="F871" i="16"/>
  <c r="G871" i="16" s="1"/>
  <c r="F872" i="16"/>
  <c r="G872" i="16" s="1"/>
  <c r="G873" i="16"/>
  <c r="F874" i="16"/>
  <c r="G874" i="16" s="1"/>
  <c r="F875" i="16"/>
  <c r="G875" i="16" s="1"/>
  <c r="F876" i="16"/>
  <c r="G876" i="16" s="1"/>
  <c r="F877" i="16"/>
  <c r="G877" i="16" s="1"/>
  <c r="F878" i="16"/>
  <c r="G878" i="16" s="1"/>
  <c r="G879" i="16"/>
  <c r="F880" i="16"/>
  <c r="G880" i="16" s="1"/>
  <c r="F881" i="16"/>
  <c r="G881" i="16" s="1"/>
  <c r="F882" i="16"/>
  <c r="G882" i="16" s="1"/>
  <c r="F883" i="16"/>
  <c r="G883" i="16" s="1"/>
  <c r="F884" i="16"/>
  <c r="G884" i="16" s="1"/>
  <c r="G885" i="16"/>
  <c r="G886" i="16"/>
  <c r="G887" i="16"/>
  <c r="F888" i="16"/>
  <c r="G888" i="16" s="1"/>
  <c r="G889" i="16"/>
  <c r="F890" i="16"/>
  <c r="G890" i="16" s="1"/>
  <c r="G891" i="16"/>
  <c r="F892" i="16"/>
  <c r="G892" i="16" s="1"/>
  <c r="G893" i="16"/>
  <c r="F894" i="16"/>
  <c r="G894" i="16" s="1"/>
  <c r="G895" i="16"/>
  <c r="F896" i="16"/>
  <c r="G896" i="16" s="1"/>
  <c r="G897" i="16"/>
  <c r="F898" i="16"/>
  <c r="G898" i="16" s="1"/>
  <c r="G899" i="16"/>
  <c r="F900" i="16"/>
  <c r="G900" i="16" s="1"/>
  <c r="G901" i="16"/>
  <c r="F902" i="16"/>
  <c r="G902" i="16" s="1"/>
  <c r="G903" i="16"/>
  <c r="F904" i="16"/>
  <c r="G904" i="16" s="1"/>
  <c r="G905" i="16"/>
  <c r="F906" i="16"/>
  <c r="G906" i="16" s="1"/>
  <c r="G907" i="16"/>
  <c r="F908" i="16"/>
  <c r="G908" i="16" s="1"/>
  <c r="G909" i="16"/>
  <c r="F910" i="16"/>
  <c r="G910" i="16" s="1"/>
  <c r="G911" i="16"/>
  <c r="F912" i="16"/>
  <c r="G912" i="16" s="1"/>
  <c r="G913" i="16"/>
  <c r="F914" i="16"/>
  <c r="G914" i="16" s="1"/>
  <c r="G915" i="16"/>
  <c r="F916" i="16"/>
  <c r="G916" i="16" s="1"/>
  <c r="G917" i="16"/>
  <c r="F918" i="16"/>
  <c r="G918" i="16" s="1"/>
  <c r="G919" i="16"/>
  <c r="F920" i="16"/>
  <c r="G920" i="16" s="1"/>
  <c r="G921" i="16"/>
  <c r="G922" i="16"/>
  <c r="F923" i="16"/>
  <c r="G923" i="16" s="1"/>
  <c r="G924" i="16"/>
  <c r="F925" i="16"/>
  <c r="G925" i="16" s="1"/>
  <c r="G926" i="16"/>
  <c r="G927" i="16"/>
  <c r="F928" i="16"/>
  <c r="G928" i="16" s="1"/>
  <c r="G929" i="16"/>
  <c r="G930" i="16"/>
  <c r="G931" i="16"/>
  <c r="G932" i="16"/>
  <c r="G933" i="16"/>
  <c r="G934" i="16"/>
  <c r="G935" i="16"/>
  <c r="G936" i="16"/>
  <c r="G937" i="16"/>
  <c r="G938" i="16"/>
  <c r="G939" i="16"/>
  <c r="G940" i="16"/>
  <c r="G941" i="16"/>
  <c r="G942" i="16"/>
  <c r="G943" i="16"/>
  <c r="G944" i="16"/>
  <c r="G945" i="16"/>
  <c r="G946" i="16"/>
  <c r="G947" i="16"/>
  <c r="G948" i="16"/>
  <c r="G949" i="16"/>
  <c r="G950" i="16"/>
  <c r="G951" i="16"/>
  <c r="G952" i="16"/>
  <c r="G953" i="16"/>
  <c r="G954" i="16"/>
  <c r="G955" i="16"/>
  <c r="F956" i="16"/>
  <c r="G956" i="16" s="1"/>
  <c r="F957" i="16"/>
  <c r="G957" i="16" s="1"/>
  <c r="F958" i="16"/>
  <c r="G958" i="16" s="1"/>
  <c r="F959" i="16"/>
  <c r="G959" i="16" s="1"/>
  <c r="F960" i="16"/>
  <c r="G960" i="16" s="1"/>
  <c r="F961" i="16"/>
  <c r="G961" i="16" s="1"/>
  <c r="F962" i="16"/>
  <c r="G962" i="16" s="1"/>
  <c r="F963" i="16"/>
  <c r="G963" i="16" s="1"/>
  <c r="F964" i="16"/>
  <c r="G964" i="16" s="1"/>
  <c r="G965" i="16"/>
  <c r="G966" i="16"/>
  <c r="G967" i="16"/>
  <c r="G968" i="16"/>
  <c r="G969" i="16"/>
  <c r="G970" i="16"/>
  <c r="G971" i="16"/>
  <c r="G972" i="16"/>
  <c r="G973" i="16"/>
  <c r="F974" i="16"/>
  <c r="G974" i="16" s="1"/>
  <c r="F975" i="16"/>
  <c r="G975" i="16" s="1"/>
  <c r="F976" i="16"/>
  <c r="G976" i="16" s="1"/>
  <c r="F977" i="16"/>
  <c r="G977" i="16" s="1"/>
  <c r="G978" i="16"/>
  <c r="F979" i="16"/>
  <c r="G979" i="16" s="1"/>
  <c r="F980" i="16"/>
  <c r="G980" i="16" s="1"/>
  <c r="F981" i="16"/>
  <c r="G981" i="16" s="1"/>
  <c r="F982" i="16"/>
  <c r="G982" i="16" s="1"/>
  <c r="F983" i="16"/>
  <c r="G983" i="16" s="1"/>
  <c r="G984" i="16"/>
  <c r="F985" i="16"/>
  <c r="G985" i="16" s="1"/>
  <c r="F986" i="16"/>
  <c r="G986" i="16" s="1"/>
  <c r="F987" i="16"/>
  <c r="G987" i="16" s="1"/>
  <c r="F988" i="16"/>
  <c r="G988" i="16" s="1"/>
  <c r="G989" i="16"/>
  <c r="G990" i="16"/>
  <c r="G991" i="16"/>
  <c r="G992" i="16"/>
  <c r="G993" i="16"/>
  <c r="G994" i="16"/>
  <c r="G995" i="16"/>
  <c r="G996" i="16"/>
  <c r="G997" i="16"/>
  <c r="F998" i="16"/>
  <c r="G998" i="16" s="1"/>
  <c r="G999" i="16"/>
  <c r="G1000" i="16"/>
  <c r="G1001" i="16"/>
  <c r="G1002" i="16"/>
  <c r="G1003" i="16"/>
  <c r="G1004" i="16"/>
  <c r="G1005" i="16"/>
  <c r="G1006" i="16"/>
  <c r="G1007" i="16"/>
  <c r="F1008" i="16"/>
  <c r="G1008" i="16" s="1"/>
  <c r="F1009" i="16"/>
  <c r="G1009" i="16" s="1"/>
  <c r="G1010" i="16"/>
  <c r="G1011" i="16"/>
  <c r="G1012" i="16"/>
  <c r="G1013" i="16"/>
  <c r="F1014" i="16"/>
  <c r="G1014" i="16" s="1"/>
  <c r="F1015" i="16"/>
  <c r="G1015" i="16" s="1"/>
  <c r="F1016" i="16"/>
  <c r="G1016" i="16" s="1"/>
  <c r="F1017" i="16"/>
  <c r="G1017" i="16" s="1"/>
  <c r="F1018" i="16"/>
  <c r="G1018" i="16" s="1"/>
  <c r="G1019" i="16"/>
  <c r="G1020" i="16"/>
  <c r="F1021" i="16"/>
  <c r="G1021" i="16" s="1"/>
  <c r="F1022" i="16"/>
  <c r="G1022" i="16" s="1"/>
  <c r="F1023" i="16"/>
  <c r="G1023" i="16" s="1"/>
  <c r="F1024" i="16"/>
  <c r="G1024" i="16" s="1"/>
  <c r="F1025" i="16"/>
  <c r="G1025" i="16" s="1"/>
  <c r="F1026" i="16"/>
  <c r="G1026" i="16" s="1"/>
  <c r="F1027" i="16"/>
  <c r="G1027" i="16" s="1"/>
  <c r="F1028" i="16"/>
  <c r="G1028" i="16" s="1"/>
  <c r="G1029" i="16"/>
  <c r="F1030" i="16"/>
  <c r="G1030" i="16" s="1"/>
  <c r="F1031" i="16"/>
  <c r="G1031" i="16" s="1"/>
  <c r="F1032" i="16"/>
  <c r="G1032" i="16" s="1"/>
  <c r="F1033" i="16"/>
  <c r="G1033" i="16" s="1"/>
  <c r="F1034" i="16"/>
  <c r="G1034" i="16" s="1"/>
  <c r="F1035" i="16"/>
  <c r="G1035" i="16" s="1"/>
  <c r="F1036" i="16"/>
  <c r="G1036" i="16" s="1"/>
  <c r="F1037" i="16"/>
  <c r="G1037" i="16" s="1"/>
  <c r="G1038" i="16"/>
  <c r="F1039" i="16"/>
  <c r="G1039" i="16" s="1"/>
  <c r="F1040" i="16"/>
  <c r="G1040" i="16" s="1"/>
  <c r="F1041" i="16"/>
  <c r="G1041" i="16" s="1"/>
  <c r="F1042" i="16"/>
  <c r="G1042" i="16" s="1"/>
  <c r="F1043" i="16"/>
  <c r="G1043" i="16" s="1"/>
  <c r="F1044" i="16"/>
  <c r="G1044" i="16" s="1"/>
  <c r="F1045" i="16"/>
  <c r="G1045" i="16" s="1"/>
  <c r="F1046" i="16"/>
  <c r="G1046" i="16" s="1"/>
  <c r="G1047" i="16"/>
  <c r="F1048" i="16"/>
  <c r="G1048" i="16" s="1"/>
  <c r="F1049" i="16"/>
  <c r="G1049" i="16" s="1"/>
  <c r="F1050" i="16"/>
  <c r="G1050" i="16" s="1"/>
  <c r="F1051" i="16"/>
  <c r="G1051" i="16" s="1"/>
  <c r="F1052" i="16"/>
  <c r="G1052" i="16" s="1"/>
  <c r="F1053" i="16"/>
  <c r="G1053" i="16" s="1"/>
  <c r="F1054" i="16"/>
  <c r="G1054" i="16" s="1"/>
  <c r="F1055" i="16"/>
  <c r="G1055" i="16" s="1"/>
  <c r="G1056" i="16"/>
  <c r="F1057" i="16"/>
  <c r="G1057" i="16" s="1"/>
  <c r="F1058" i="16"/>
  <c r="G1058" i="16" s="1"/>
  <c r="F1059" i="16"/>
  <c r="G1059" i="16" s="1"/>
  <c r="F1060" i="16"/>
  <c r="G1060" i="16" s="1"/>
  <c r="F1061" i="16"/>
  <c r="G1061" i="16" s="1"/>
  <c r="F1062" i="16"/>
  <c r="G1062" i="16" s="1"/>
  <c r="F1063" i="16"/>
  <c r="G1063" i="16" s="1"/>
  <c r="F1064" i="16"/>
  <c r="G1064" i="16" s="1"/>
  <c r="F1065" i="16"/>
  <c r="G1065" i="16" s="1"/>
  <c r="F1066" i="16"/>
  <c r="G1066" i="16" s="1"/>
  <c r="F1067" i="16"/>
  <c r="G1067" i="16" s="1"/>
  <c r="F1068" i="16"/>
  <c r="G1068" i="16" s="1"/>
  <c r="G1069" i="16"/>
  <c r="F1070" i="16"/>
  <c r="G1070" i="16" s="1"/>
  <c r="F1071" i="16"/>
  <c r="G1071" i="16" s="1"/>
  <c r="F1072" i="16"/>
  <c r="G1072" i="16" s="1"/>
  <c r="F1073" i="16"/>
  <c r="G1073" i="16" s="1"/>
  <c r="F1074" i="16"/>
  <c r="G1074" i="16" s="1"/>
  <c r="F1075" i="16"/>
  <c r="G1075" i="16" s="1"/>
  <c r="G1076" i="16"/>
  <c r="G1077" i="16"/>
  <c r="G1078" i="16"/>
  <c r="G1079" i="16"/>
  <c r="G1080" i="16"/>
  <c r="G1081" i="16"/>
  <c r="G1082" i="16"/>
  <c r="G1083" i="16"/>
  <c r="G1084" i="16"/>
  <c r="G1085" i="16"/>
  <c r="F1086" i="16"/>
  <c r="G1086" i="16" s="1"/>
  <c r="F1087" i="16"/>
  <c r="G1087" i="16" s="1"/>
  <c r="F1088" i="16"/>
  <c r="G1088" i="16" s="1"/>
  <c r="F1089" i="16"/>
  <c r="G1089" i="16" s="1"/>
  <c r="F1090" i="16"/>
  <c r="G1090" i="16" s="1"/>
  <c r="F1091" i="16"/>
  <c r="G1091" i="16" s="1"/>
  <c r="F1092" i="16"/>
  <c r="G1092" i="16" s="1"/>
  <c r="F1093" i="16"/>
  <c r="G1093" i="16" s="1"/>
  <c r="F1094" i="16"/>
  <c r="G1094" i="16" s="1"/>
  <c r="F1095" i="16"/>
  <c r="G1095" i="16" s="1"/>
  <c r="G1096" i="16"/>
  <c r="F1097" i="16"/>
  <c r="G1097" i="16" s="1"/>
  <c r="F1098" i="16"/>
  <c r="G1098" i="16" s="1"/>
  <c r="F1099" i="16"/>
  <c r="G1099" i="16" s="1"/>
  <c r="F1100" i="16"/>
  <c r="G1100" i="16" s="1"/>
  <c r="F1101" i="16"/>
  <c r="G1101" i="16" s="1"/>
  <c r="F1102" i="16"/>
  <c r="G1102" i="16" s="1"/>
  <c r="F1103" i="16"/>
  <c r="G1103" i="16" s="1"/>
  <c r="G1104" i="16"/>
  <c r="F1105" i="16"/>
  <c r="G1105" i="16" s="1"/>
  <c r="F1106" i="16"/>
  <c r="G1106" i="16" s="1"/>
  <c r="F1107" i="16"/>
  <c r="G1107" i="16" s="1"/>
  <c r="G1108" i="16"/>
  <c r="F1109" i="16"/>
  <c r="G1109" i="16" s="1"/>
  <c r="F1110" i="16"/>
  <c r="G1110" i="16" s="1"/>
  <c r="F1111" i="16"/>
  <c r="G1111" i="16" s="1"/>
  <c r="F1112" i="16"/>
  <c r="G1112" i="16" s="1"/>
  <c r="F1113" i="16"/>
  <c r="G1113" i="16" s="1"/>
  <c r="F1114" i="16"/>
  <c r="G1114" i="16" s="1"/>
  <c r="F1115" i="16"/>
  <c r="G1115" i="16" s="1"/>
  <c r="F1116" i="16"/>
  <c r="G1116" i="16" s="1"/>
  <c r="F1117" i="16"/>
  <c r="G1117" i="16" s="1"/>
  <c r="F1118" i="16"/>
  <c r="G1118" i="16" s="1"/>
  <c r="F1119" i="16"/>
  <c r="G1119" i="16" s="1"/>
  <c r="F1120" i="16"/>
  <c r="G1120" i="16" s="1"/>
  <c r="F1121" i="16"/>
  <c r="G1121" i="16" s="1"/>
  <c r="F1122" i="16"/>
  <c r="G1122" i="16" s="1"/>
  <c r="F1123" i="16"/>
  <c r="G1123" i="16" s="1"/>
  <c r="F1124" i="16"/>
  <c r="G1124" i="16" s="1"/>
  <c r="F1125" i="16"/>
  <c r="G1125" i="16" s="1"/>
  <c r="F1126" i="16"/>
  <c r="G1126" i="16" s="1"/>
  <c r="F1127" i="16"/>
  <c r="G1127" i="16" s="1"/>
  <c r="F1128" i="16"/>
  <c r="G1128" i="16" s="1"/>
  <c r="F1129" i="16"/>
  <c r="G1129" i="16" s="1"/>
  <c r="F1130" i="16"/>
  <c r="G1130" i="16" s="1"/>
  <c r="F1131" i="16"/>
  <c r="G1131" i="16" s="1"/>
  <c r="F1132" i="16"/>
  <c r="G1132" i="16" s="1"/>
  <c r="F1133" i="16"/>
  <c r="G1133" i="16" s="1"/>
  <c r="F1134" i="16"/>
  <c r="G1134" i="16" s="1"/>
  <c r="F1135" i="16"/>
  <c r="G1135" i="16" s="1"/>
  <c r="F1136" i="16"/>
  <c r="G1136" i="16" s="1"/>
  <c r="F1137" i="16"/>
  <c r="G1137" i="16" s="1"/>
  <c r="F1138" i="16"/>
  <c r="G1138" i="16" s="1"/>
  <c r="F1139" i="16"/>
  <c r="G1139" i="16" s="1"/>
  <c r="F1140" i="16"/>
  <c r="G1140" i="16" s="1"/>
  <c r="F1141" i="16"/>
  <c r="G1141" i="16" s="1"/>
  <c r="F1142" i="16"/>
  <c r="G1142" i="16" s="1"/>
  <c r="F1143" i="16"/>
  <c r="G1143" i="16" s="1"/>
  <c r="F1144" i="16"/>
  <c r="G1144" i="16" s="1"/>
  <c r="F1145" i="16"/>
  <c r="G1145" i="16" s="1"/>
  <c r="F1146" i="16"/>
  <c r="G1146" i="16" s="1"/>
  <c r="F1147" i="16"/>
  <c r="G1147" i="16" s="1"/>
  <c r="F1148" i="16"/>
  <c r="G1148" i="16" s="1"/>
  <c r="F1149" i="16"/>
  <c r="G1149" i="16" s="1"/>
  <c r="F1150" i="16"/>
  <c r="G1150" i="16" s="1"/>
  <c r="F1151" i="16"/>
  <c r="G1151" i="16" s="1"/>
  <c r="F1152" i="16"/>
  <c r="G1152" i="16" s="1"/>
  <c r="F1153" i="16"/>
  <c r="G1153" i="16" s="1"/>
  <c r="F1154" i="16"/>
  <c r="G1154" i="16" s="1"/>
  <c r="F1155" i="16"/>
  <c r="G1155" i="16" s="1"/>
  <c r="F1156" i="16"/>
  <c r="G1156" i="16" s="1"/>
  <c r="F1157" i="16"/>
  <c r="G1157" i="16" s="1"/>
  <c r="F1158" i="16"/>
  <c r="G1158" i="16" s="1"/>
  <c r="F1159" i="16"/>
  <c r="G1159" i="16" s="1"/>
  <c r="F1160" i="16"/>
  <c r="G1160" i="16" s="1"/>
  <c r="F1161" i="16"/>
  <c r="G1161" i="16" s="1"/>
  <c r="F1162" i="16"/>
  <c r="G1162" i="16" s="1"/>
  <c r="F1163" i="16"/>
  <c r="G1163" i="16" s="1"/>
  <c r="F1164" i="16"/>
  <c r="G1164" i="16" s="1"/>
  <c r="F1165" i="16"/>
  <c r="G1165" i="16" s="1"/>
  <c r="F1166" i="16"/>
  <c r="G1166" i="16" s="1"/>
  <c r="F1167" i="16"/>
  <c r="G1167" i="16" s="1"/>
  <c r="F1168" i="16"/>
  <c r="G1168" i="16" s="1"/>
  <c r="G1169" i="16"/>
  <c r="F1170" i="16"/>
  <c r="G1170" i="16" s="1"/>
  <c r="F1171" i="16"/>
  <c r="G1171" i="16" s="1"/>
  <c r="F1172" i="16"/>
  <c r="G1172" i="16" s="1"/>
  <c r="F1173" i="16"/>
  <c r="G1173" i="16" s="1"/>
  <c r="F1174" i="16"/>
  <c r="G1174" i="16" s="1"/>
  <c r="F1175" i="16"/>
  <c r="G1175" i="16" s="1"/>
  <c r="F1176" i="16"/>
  <c r="G1176" i="16" s="1"/>
  <c r="F1177" i="16"/>
  <c r="G1177" i="16" s="1"/>
  <c r="F1178" i="16"/>
  <c r="G1178" i="16" s="1"/>
  <c r="F1179" i="16"/>
  <c r="G1179" i="16" s="1"/>
  <c r="F1180" i="16"/>
  <c r="G1180" i="16" s="1"/>
  <c r="F1181" i="16"/>
  <c r="G1181" i="16" s="1"/>
  <c r="F1182" i="16"/>
  <c r="G1182" i="16" s="1"/>
  <c r="F1183" i="16"/>
  <c r="G1183" i="16" s="1"/>
  <c r="F1184" i="16"/>
  <c r="G1184" i="16" s="1"/>
  <c r="F1186" i="16"/>
  <c r="G1186" i="16" s="1"/>
  <c r="G1187" i="16"/>
  <c r="F1188" i="16"/>
  <c r="G1188" i="16" s="1"/>
  <c r="F1189" i="16"/>
  <c r="G1189" i="16" s="1"/>
  <c r="F1190" i="16"/>
  <c r="G1190" i="16" s="1"/>
  <c r="F1191" i="16"/>
  <c r="G1191" i="16" s="1"/>
  <c r="F1192" i="16"/>
  <c r="G1192" i="16" s="1"/>
  <c r="F1193" i="16"/>
  <c r="G1193" i="16" s="1"/>
  <c r="F1194" i="16"/>
  <c r="G1194" i="16" s="1"/>
  <c r="F1195" i="16"/>
  <c r="G1195" i="16" s="1"/>
  <c r="F1196" i="16"/>
  <c r="G1196" i="16" s="1"/>
  <c r="F1197" i="16"/>
  <c r="G1197" i="16" s="1"/>
  <c r="F1198" i="16"/>
  <c r="G1198" i="16" s="1"/>
  <c r="F1200" i="16"/>
  <c r="G1200" i="16" s="1"/>
  <c r="F1201" i="16"/>
  <c r="G1201" i="16" s="1"/>
  <c r="F1202" i="16"/>
  <c r="G1202" i="16" s="1"/>
  <c r="F1203" i="16"/>
  <c r="G1203" i="16" s="1"/>
  <c r="F1204" i="16"/>
  <c r="G1204" i="16" s="1"/>
  <c r="F1205" i="16"/>
  <c r="G1205" i="16" s="1"/>
  <c r="F1206" i="16"/>
  <c r="G1206" i="16" s="1"/>
  <c r="F1207" i="16"/>
  <c r="G1207" i="16" s="1"/>
  <c r="F1208" i="16"/>
  <c r="G1208" i="16" s="1"/>
  <c r="F1209" i="16"/>
  <c r="G1209" i="16" s="1"/>
  <c r="F1210" i="16"/>
  <c r="G1210" i="16" s="1"/>
  <c r="F1211" i="16"/>
  <c r="G1211" i="16" s="1"/>
  <c r="F1185" i="16"/>
  <c r="E314" i="18"/>
  <c r="E306" i="18"/>
  <c r="E303" i="18"/>
  <c r="E76" i="18"/>
  <c r="E77" i="18"/>
  <c r="E72" i="18"/>
  <c r="E73" i="18"/>
  <c r="E74" i="18"/>
  <c r="E75" i="18"/>
  <c r="E224" i="18"/>
  <c r="E225" i="18"/>
  <c r="E5" i="18" l="1"/>
  <c r="F687" i="19"/>
  <c r="G687" i="19" s="1"/>
  <c r="H688" i="19" s="1"/>
  <c r="H689" i="19" s="1"/>
  <c r="H690" i="19" s="1"/>
  <c r="H691" i="19" s="1"/>
  <c r="B691" i="19" s="1"/>
  <c r="F565" i="19"/>
  <c r="G565" i="19" s="1"/>
  <c r="H566" i="19" s="1"/>
  <c r="H567" i="19" s="1"/>
  <c r="H568" i="19" s="1"/>
  <c r="H569" i="19" s="1"/>
  <c r="B569" i="19" s="1"/>
  <c r="F516" i="19"/>
  <c r="G516" i="19" s="1"/>
  <c r="H517" i="19" s="1"/>
  <c r="H518" i="19" s="1"/>
  <c r="H519" i="19" s="1"/>
  <c r="H520" i="19" s="1"/>
  <c r="B520" i="19" s="1"/>
  <c r="F467" i="19"/>
  <c r="G467" i="19" s="1"/>
  <c r="H468" i="19" s="1"/>
  <c r="H469" i="19" s="1"/>
  <c r="H470" i="19" s="1"/>
  <c r="H471" i="19" s="1"/>
  <c r="B471" i="19" s="1"/>
  <c r="F2544" i="20"/>
  <c r="G2544" i="20" s="1"/>
  <c r="H2544" i="20" s="1"/>
  <c r="H2545" i="20" s="1"/>
  <c r="H2546" i="20" s="1"/>
  <c r="H2547" i="20" s="1"/>
  <c r="B2547" i="20" s="1"/>
  <c r="D2547" i="20" s="1"/>
  <c r="F3922" i="20"/>
  <c r="G3922" i="20" s="1"/>
  <c r="H3923" i="20" s="1"/>
  <c r="H3924" i="20" s="1"/>
  <c r="H3925" i="20" s="1"/>
  <c r="H3926" i="20" s="1"/>
  <c r="B3926" i="20" s="1"/>
  <c r="F3889" i="20"/>
  <c r="G3889" i="20" s="1"/>
  <c r="H3890" i="20" s="1"/>
  <c r="H3891" i="20" s="1"/>
  <c r="H3892" i="20" s="1"/>
  <c r="H3893" i="20" s="1"/>
  <c r="B3893" i="20" s="1"/>
  <c r="F4813" i="20"/>
  <c r="G4813" i="20" s="1"/>
  <c r="H4813" i="20" s="1"/>
  <c r="H4814" i="20" s="1"/>
  <c r="H4815" i="20" s="1"/>
  <c r="H4816" i="20" s="1"/>
  <c r="B4816" i="20" s="1"/>
  <c r="F4791" i="20"/>
  <c r="G4791" i="20" s="1"/>
  <c r="H4791" i="20" s="1"/>
  <c r="H4792" i="20" s="1"/>
  <c r="H4793" i="20" s="1"/>
  <c r="H4794" i="20" s="1"/>
  <c r="B4794" i="20" s="1"/>
  <c r="F4770" i="20"/>
  <c r="G4770" i="20" s="1"/>
  <c r="H4770" i="20" s="1"/>
  <c r="H4771" i="20" s="1"/>
  <c r="H4772" i="20" s="1"/>
  <c r="H4773" i="20" s="1"/>
  <c r="B4773" i="20" s="1"/>
  <c r="F409" i="19"/>
  <c r="G409" i="19" s="1"/>
  <c r="H409" i="19" s="1"/>
  <c r="H410" i="19" s="1"/>
  <c r="H411" i="19" s="1"/>
  <c r="H412" i="19" s="1"/>
  <c r="B412" i="19" s="1"/>
  <c r="D412" i="19" s="1"/>
  <c r="F566" i="20"/>
  <c r="G566" i="20" s="1"/>
  <c r="H571" i="20" s="1"/>
  <c r="H573" i="20" s="1"/>
  <c r="H574" i="20" s="1"/>
  <c r="H575" i="20" s="1"/>
  <c r="B575" i="20" s="1"/>
  <c r="F3685" i="20"/>
  <c r="G3685" i="20" s="1"/>
  <c r="H3685" i="20" s="1"/>
  <c r="H3686" i="20" s="1"/>
  <c r="H3687" i="20" s="1"/>
  <c r="H3688" i="20" s="1"/>
  <c r="B3688" i="20" s="1"/>
  <c r="D3688" i="20" s="1"/>
  <c r="F3863" i="20"/>
  <c r="G3863" i="20" s="1"/>
  <c r="H3864" i="20" s="1"/>
  <c r="H3865" i="20" s="1"/>
  <c r="H3866" i="20" s="1"/>
  <c r="H3867" i="20" s="1"/>
  <c r="B3867" i="20" s="1"/>
  <c r="F156" i="19"/>
  <c r="G156" i="19" s="1"/>
  <c r="H157" i="19" s="1"/>
  <c r="H158" i="19" s="1"/>
  <c r="H159" i="19" s="1"/>
  <c r="H160" i="19" s="1"/>
  <c r="B160" i="19" s="1"/>
  <c r="F4597" i="20"/>
  <c r="G4597" i="20" s="1"/>
  <c r="H4597" i="20" s="1"/>
  <c r="H4598" i="20" s="1"/>
  <c r="H4599" i="20" s="1"/>
  <c r="H4600" i="20" s="1"/>
  <c r="B4600" i="20" s="1"/>
  <c r="F4572" i="20"/>
  <c r="G4572" i="20" s="1"/>
  <c r="H4572" i="20" s="1"/>
  <c r="H4573" i="20" s="1"/>
  <c r="H4574" i="20" s="1"/>
  <c r="H4575" i="20" s="1"/>
  <c r="B4575" i="20" s="1"/>
  <c r="F2497" i="20"/>
  <c r="G2497" i="20" s="1"/>
  <c r="H2497" i="20" s="1"/>
  <c r="H2498" i="20" s="1"/>
  <c r="H2499" i="20" s="1"/>
  <c r="H2500" i="20" s="1"/>
  <c r="B2500" i="20" s="1"/>
  <c r="D2500" i="20" s="1"/>
  <c r="F3053" i="20"/>
  <c r="G3053" i="20" s="1"/>
  <c r="H3054" i="20" s="1"/>
  <c r="H3055" i="20" s="1"/>
  <c r="H3056" i="20" s="1"/>
  <c r="H3057" i="20" s="1"/>
  <c r="B3057" i="20" s="1"/>
  <c r="F51" i="19"/>
  <c r="G51" i="19" s="1"/>
  <c r="H55" i="19" s="1"/>
  <c r="H56" i="19" s="1"/>
  <c r="H57" i="19" s="1"/>
  <c r="H58" i="19" s="1"/>
  <c r="B58" i="19" s="1"/>
  <c r="F4724" i="20"/>
  <c r="G4724" i="20" s="1"/>
  <c r="H4725" i="20" s="1"/>
  <c r="H4726" i="20" s="1"/>
  <c r="H4727" i="20" s="1"/>
  <c r="H4728" i="20" s="1"/>
  <c r="B4728" i="20" s="1"/>
  <c r="F4690" i="20"/>
  <c r="G4690" i="20" s="1"/>
  <c r="H4691" i="20" s="1"/>
  <c r="H4692" i="20" s="1"/>
  <c r="H4693" i="20" s="1"/>
  <c r="H4694" i="20" s="1"/>
  <c r="B4694" i="20" s="1"/>
  <c r="F4665" i="20"/>
  <c r="G4665" i="20" s="1"/>
  <c r="H4666" i="20" s="1"/>
  <c r="H4667" i="20" s="1"/>
  <c r="H4668" i="20" s="1"/>
  <c r="H4669" i="20" s="1"/>
  <c r="B4669" i="20" s="1"/>
  <c r="F4640" i="20"/>
  <c r="F3848" i="20"/>
  <c r="G3848" i="20" s="1"/>
  <c r="F3831" i="20"/>
  <c r="G3831" i="20" s="1"/>
  <c r="F3815" i="20"/>
  <c r="G3815" i="20" s="1"/>
  <c r="F3404" i="20"/>
  <c r="F3403" i="20"/>
  <c r="F3788" i="20"/>
  <c r="G3788" i="20" s="1"/>
  <c r="H3790" i="20" s="1"/>
  <c r="H3791" i="20" s="1"/>
  <c r="H3792" i="20" s="1"/>
  <c r="H3793" i="20" s="1"/>
  <c r="B3793" i="20" s="1"/>
  <c r="D3793" i="20" s="1"/>
  <c r="F3391" i="20"/>
  <c r="G3391" i="20" s="1"/>
  <c r="H3391" i="20" s="1"/>
  <c r="H3392" i="20" s="1"/>
  <c r="H3393" i="20" s="1"/>
  <c r="H3394" i="20" s="1"/>
  <c r="B3394" i="20" s="1"/>
  <c r="D3394" i="20" s="1"/>
  <c r="F3379" i="20"/>
  <c r="G3379" i="20" s="1"/>
  <c r="H3379" i="20" s="1"/>
  <c r="H3380" i="20" s="1"/>
  <c r="H3381" i="20" s="1"/>
  <c r="H3382" i="20" s="1"/>
  <c r="B3382" i="20" s="1"/>
  <c r="D3382" i="20" s="1"/>
  <c r="F3499" i="20"/>
  <c r="G3499" i="20" s="1"/>
  <c r="H3500" i="20" s="1"/>
  <c r="H3502" i="20" s="1"/>
  <c r="H3503" i="20" s="1"/>
  <c r="H3504" i="20" s="1"/>
  <c r="B3504" i="20" s="1"/>
  <c r="D3504" i="20" s="1"/>
  <c r="F3340" i="20"/>
  <c r="G3340" i="20" s="1"/>
  <c r="H3340" i="20" s="1"/>
  <c r="H3341" i="20" s="1"/>
  <c r="H3342" i="20" s="1"/>
  <c r="H3343" i="20" s="1"/>
  <c r="B3343" i="20" s="1"/>
  <c r="D3343" i="20" s="1"/>
  <c r="F3325" i="20"/>
  <c r="G3325" i="20" s="1"/>
  <c r="H3325" i="20" s="1"/>
  <c r="H3326" i="20" s="1"/>
  <c r="H3327" i="20" s="1"/>
  <c r="H3328" i="20" s="1"/>
  <c r="B3328" i="20" s="1"/>
  <c r="D3328" i="20" s="1"/>
  <c r="F3599" i="20"/>
  <c r="G3599" i="20" s="1"/>
  <c r="H3599" i="20" s="1"/>
  <c r="H3600" i="20" s="1"/>
  <c r="H3601" i="20" s="1"/>
  <c r="H3602" i="20" s="1"/>
  <c r="B3602" i="20" s="1"/>
  <c r="D3602" i="20" s="1"/>
  <c r="F3613" i="20"/>
  <c r="G3613" i="20" s="1"/>
  <c r="H3613" i="20" s="1"/>
  <c r="H3614" i="20" s="1"/>
  <c r="H3615" i="20" s="1"/>
  <c r="H3616" i="20" s="1"/>
  <c r="B3616" i="20" s="1"/>
  <c r="D3616" i="20" s="1"/>
  <c r="F3296" i="20"/>
  <c r="G3296" i="20" s="1"/>
  <c r="F3282" i="20"/>
  <c r="G3282" i="20" s="1"/>
  <c r="H3283" i="20" s="1"/>
  <c r="H3284" i="20" s="1"/>
  <c r="H3285" i="20" s="1"/>
  <c r="H3286" i="20" s="1"/>
  <c r="B3286" i="20" s="1"/>
  <c r="D3286" i="20" s="1"/>
  <c r="F3267" i="20"/>
  <c r="G3267" i="20" s="1"/>
  <c r="H3267" i="20" s="1"/>
  <c r="H3268" i="20" s="1"/>
  <c r="H3269" i="20" s="1"/>
  <c r="H3270" i="20" s="1"/>
  <c r="B3270" i="20" s="1"/>
  <c r="D3270" i="20" s="1"/>
  <c r="F3628" i="20"/>
  <c r="G3628" i="20" s="1"/>
  <c r="H3629" i="20" s="1"/>
  <c r="H3630" i="20" s="1"/>
  <c r="H3631" i="20" s="1"/>
  <c r="H3632" i="20" s="1"/>
  <c r="B3632" i="20" s="1"/>
  <c r="D3632" i="20" s="1"/>
  <c r="F3242" i="20"/>
  <c r="G3242" i="20" s="1"/>
  <c r="F3227" i="20"/>
  <c r="G3227" i="20" s="1"/>
  <c r="F3295" i="20"/>
  <c r="G3295" i="20" s="1"/>
  <c r="F1171" i="20"/>
  <c r="G1171" i="20" s="1"/>
  <c r="H1173" i="20" s="1"/>
  <c r="H1174" i="20" s="1"/>
  <c r="H1175" i="20" s="1"/>
  <c r="H1176" i="20" s="1"/>
  <c r="B1176" i="20" s="1"/>
  <c r="D1176" i="20" s="1"/>
  <c r="F1145" i="20"/>
  <c r="G1145" i="20" s="1"/>
  <c r="H1147" i="20" s="1"/>
  <c r="H1148" i="20" s="1"/>
  <c r="H1149" i="20" s="1"/>
  <c r="H1150" i="20" s="1"/>
  <c r="B1150" i="20" s="1"/>
  <c r="D1150" i="20" s="1"/>
  <c r="F2144" i="20"/>
  <c r="G2144" i="20" s="1"/>
  <c r="H2150" i="20" s="1"/>
  <c r="H2152" i="20" s="1"/>
  <c r="H2153" i="20" s="1"/>
  <c r="H2154" i="20" s="1"/>
  <c r="B2154" i="20" s="1"/>
  <c r="D2154" i="20" s="1"/>
  <c r="F2102" i="20"/>
  <c r="G2102" i="20" s="1"/>
  <c r="H2106" i="20" s="1"/>
  <c r="H2107" i="20" s="1"/>
  <c r="H2108" i="20" s="1"/>
  <c r="H2109" i="20" s="1"/>
  <c r="B2109" i="20" s="1"/>
  <c r="D2109" i="20" s="1"/>
  <c r="F2122" i="20"/>
  <c r="G2122" i="20" s="1"/>
  <c r="H2126" i="20" s="1"/>
  <c r="H2127" i="20" s="1"/>
  <c r="H2128" i="20" s="1"/>
  <c r="H2129" i="20" s="1"/>
  <c r="B2129" i="20" s="1"/>
  <c r="D2129" i="20" s="1"/>
  <c r="F2076" i="20"/>
  <c r="G2076" i="20" s="1"/>
  <c r="H2081" i="20" s="1"/>
  <c r="H2082" i="20" s="1"/>
  <c r="H2083" i="20" s="1"/>
  <c r="H2084" i="20" s="1"/>
  <c r="B2084" i="20" s="1"/>
  <c r="D2084" i="20" s="1"/>
  <c r="F2425" i="20"/>
  <c r="G2425" i="20" s="1"/>
  <c r="H2425" i="20" s="1"/>
  <c r="H2426" i="20" s="1"/>
  <c r="H2427" i="20" s="1"/>
  <c r="H2428" i="20" s="1"/>
  <c r="B2428" i="20" s="1"/>
  <c r="D2428" i="20" s="1"/>
  <c r="F704" i="19"/>
  <c r="G704" i="19" s="1"/>
  <c r="H705" i="19" s="1"/>
  <c r="H706" i="19" s="1"/>
  <c r="H707" i="19" s="1"/>
  <c r="H708" i="19" s="1"/>
  <c r="B708" i="19" s="1"/>
  <c r="F670" i="19"/>
  <c r="G670" i="19" s="1"/>
  <c r="H671" i="19" s="1"/>
  <c r="H672" i="19" s="1"/>
  <c r="H673" i="19" s="1"/>
  <c r="H674" i="19" s="1"/>
  <c r="B674" i="19" s="1"/>
  <c r="F548" i="19"/>
  <c r="G548" i="19" s="1"/>
  <c r="H549" i="19" s="1"/>
  <c r="H550" i="19" s="1"/>
  <c r="H551" i="19" s="1"/>
  <c r="H552" i="19" s="1"/>
  <c r="B552" i="19" s="1"/>
  <c r="F499" i="19"/>
  <c r="G499" i="19" s="1"/>
  <c r="H500" i="19" s="1"/>
  <c r="H501" i="19" s="1"/>
  <c r="H502" i="19" s="1"/>
  <c r="H503" i="19" s="1"/>
  <c r="B503" i="19" s="1"/>
  <c r="F450" i="19"/>
  <c r="G450" i="19" s="1"/>
  <c r="H451" i="19" s="1"/>
  <c r="H452" i="19" s="1"/>
  <c r="H453" i="19" s="1"/>
  <c r="H454" i="19" s="1"/>
  <c r="B454" i="19" s="1"/>
  <c r="F2480" i="20"/>
  <c r="G2480" i="20" s="1"/>
  <c r="H2482" i="20" s="1"/>
  <c r="H2483" i="20" s="1"/>
  <c r="H2484" i="20" s="1"/>
  <c r="H2485" i="20" s="1"/>
  <c r="B2485" i="20" s="1"/>
  <c r="D2485" i="20" s="1"/>
  <c r="F2464" i="20"/>
  <c r="G2464" i="20" s="1"/>
  <c r="H2466" i="20" s="1"/>
  <c r="H2467" i="20" s="1"/>
  <c r="H2468" i="20" s="1"/>
  <c r="H2469" i="20" s="1"/>
  <c r="B2469" i="20" s="1"/>
  <c r="D2469" i="20" s="1"/>
  <c r="F2557" i="20"/>
  <c r="G2557" i="20" s="1"/>
  <c r="H2557" i="20" s="1"/>
  <c r="H2558" i="20" s="1"/>
  <c r="H2559" i="20" s="1"/>
  <c r="H2560" i="20" s="1"/>
  <c r="B2560" i="20" s="1"/>
  <c r="D2560" i="20" s="1"/>
  <c r="F3064" i="20"/>
  <c r="G3064" i="20" s="1"/>
  <c r="H3064" i="20" s="1"/>
  <c r="H3065" i="20" s="1"/>
  <c r="H3066" i="20" s="1"/>
  <c r="H3067" i="20" s="1"/>
  <c r="B3067" i="20" s="1"/>
  <c r="D3067" i="20" s="1"/>
  <c r="F3911" i="20"/>
  <c r="G3911" i="20" s="1"/>
  <c r="H3912" i="20" s="1"/>
  <c r="H3913" i="20" s="1"/>
  <c r="H3914" i="20" s="1"/>
  <c r="H3915" i="20" s="1"/>
  <c r="B3915" i="20" s="1"/>
  <c r="F3901" i="20"/>
  <c r="G3901" i="20" s="1"/>
  <c r="H3902" i="20" s="1"/>
  <c r="H3903" i="20" s="1"/>
  <c r="H3904" i="20" s="1"/>
  <c r="H3905" i="20" s="1"/>
  <c r="B3905" i="20" s="1"/>
  <c r="F3044" i="20"/>
  <c r="G3044" i="20" s="1"/>
  <c r="H3044" i="20" s="1"/>
  <c r="H3045" i="20" s="1"/>
  <c r="H3046" i="20" s="1"/>
  <c r="H3047" i="20" s="1"/>
  <c r="B3047" i="20" s="1"/>
  <c r="F4802" i="20"/>
  <c r="G4802" i="20" s="1"/>
  <c r="H4802" i="20" s="1"/>
  <c r="H4803" i="20" s="1"/>
  <c r="H4804" i="20" s="1"/>
  <c r="H4805" i="20" s="1"/>
  <c r="B4805" i="20" s="1"/>
  <c r="F4780" i="20"/>
  <c r="G4780" i="20" s="1"/>
  <c r="H4780" i="20" s="1"/>
  <c r="H4781" i="20" s="1"/>
  <c r="H4782" i="20" s="1"/>
  <c r="H4783" i="20" s="1"/>
  <c r="B4783" i="20" s="1"/>
  <c r="F4619" i="20"/>
  <c r="G4619" i="20" s="1"/>
  <c r="H4619" i="20" s="1"/>
  <c r="H4620" i="20" s="1"/>
  <c r="H4621" i="20" s="1"/>
  <c r="H4622" i="20" s="1"/>
  <c r="B4622" i="20" s="1"/>
  <c r="F377" i="19"/>
  <c r="G377" i="19" s="1"/>
  <c r="H377" i="19" s="1"/>
  <c r="H378" i="19" s="1"/>
  <c r="H379" i="19" s="1"/>
  <c r="H380" i="19" s="1"/>
  <c r="B380" i="19" s="1"/>
  <c r="D380" i="19" s="1"/>
  <c r="F3662" i="20"/>
  <c r="G3662" i="20" s="1"/>
  <c r="H3662" i="20" s="1"/>
  <c r="H3663" i="20" s="1"/>
  <c r="H3664" i="20" s="1"/>
  <c r="H3665" i="20" s="1"/>
  <c r="B3665" i="20" s="1"/>
  <c r="D3665" i="20" s="1"/>
  <c r="F184" i="19"/>
  <c r="G184" i="19" s="1"/>
  <c r="H185" i="19" s="1"/>
  <c r="H186" i="19" s="1"/>
  <c r="H187" i="19" s="1"/>
  <c r="H188" i="19" s="1"/>
  <c r="B188" i="19" s="1"/>
  <c r="F169" i="19"/>
  <c r="G169" i="19" s="1"/>
  <c r="H170" i="19" s="1"/>
  <c r="H171" i="19" s="1"/>
  <c r="H172" i="19" s="1"/>
  <c r="H173" i="19" s="1"/>
  <c r="B173" i="19" s="1"/>
  <c r="F4608" i="20"/>
  <c r="G4608" i="20" s="1"/>
  <c r="H4608" i="20" s="1"/>
  <c r="H4609" i="20" s="1"/>
  <c r="H4610" i="20" s="1"/>
  <c r="H4611" i="20" s="1"/>
  <c r="B4611" i="20" s="1"/>
  <c r="F4585" i="20"/>
  <c r="G4585" i="20" s="1"/>
  <c r="H4585" i="20" s="1"/>
  <c r="H4586" i="20" s="1"/>
  <c r="H4587" i="20" s="1"/>
  <c r="H4588" i="20" s="1"/>
  <c r="B4588" i="20" s="1"/>
  <c r="F3727" i="20"/>
  <c r="G3727" i="20" s="1"/>
  <c r="F3711" i="20"/>
  <c r="G3711" i="20" s="1"/>
  <c r="F70" i="19"/>
  <c r="G70" i="19" s="1"/>
  <c r="H73" i="19" s="1"/>
  <c r="H74" i="19" s="1"/>
  <c r="H75" i="19" s="1"/>
  <c r="H76" i="19" s="1"/>
  <c r="B76" i="19" s="1"/>
  <c r="F4735" i="20"/>
  <c r="G4735" i="20" s="1"/>
  <c r="H4736" i="20" s="1"/>
  <c r="H4737" i="20" s="1"/>
  <c r="H4738" i="20" s="1"/>
  <c r="H4739" i="20" s="1"/>
  <c r="B4739" i="20" s="1"/>
  <c r="F4702" i="20"/>
  <c r="G4702" i="20" s="1"/>
  <c r="H4702" i="20" s="1"/>
  <c r="H4703" i="20" s="1"/>
  <c r="H4704" i="20" s="1"/>
  <c r="H4705" i="20" s="1"/>
  <c r="B4705" i="20" s="1"/>
  <c r="F4678" i="20"/>
  <c r="G4678" i="20" s="1"/>
  <c r="H4679" i="20" s="1"/>
  <c r="H4680" i="20" s="1"/>
  <c r="H4681" i="20" s="1"/>
  <c r="H4682" i="20" s="1"/>
  <c r="B4682" i="20" s="1"/>
  <c r="F4651" i="20"/>
  <c r="G4651" i="20" s="1"/>
  <c r="H4651" i="20" s="1"/>
  <c r="H4653" i="20" s="1"/>
  <c r="H4654" i="20" s="1"/>
  <c r="H4655" i="20" s="1"/>
  <c r="B4655" i="20" s="1"/>
  <c r="F4629" i="20"/>
  <c r="G4629" i="20" s="1"/>
  <c r="H4630" i="20" s="1"/>
  <c r="H4631" i="20" s="1"/>
  <c r="H4632" i="20" s="1"/>
  <c r="H4633" i="20" s="1"/>
  <c r="B4633" i="20" s="1"/>
  <c r="F3803" i="20"/>
  <c r="G3803" i="20" s="1"/>
  <c r="H3803" i="20" s="1"/>
  <c r="H3804" i="20" s="1"/>
  <c r="H3805" i="20" s="1"/>
  <c r="H3806" i="20" s="1"/>
  <c r="B3806" i="20" s="1"/>
  <c r="D3806" i="20" s="1"/>
  <c r="F3483" i="20"/>
  <c r="G3483" i="20" s="1"/>
  <c r="F3849" i="20"/>
  <c r="G3849" i="20" s="1"/>
  <c r="F3832" i="20"/>
  <c r="G3832" i="20" s="1"/>
  <c r="F3816" i="20"/>
  <c r="G3816" i="20" s="1"/>
  <c r="F3728" i="20"/>
  <c r="G3728" i="20" s="1"/>
  <c r="F3712" i="20"/>
  <c r="G3712" i="20" s="1"/>
  <c r="F3364" i="20"/>
  <c r="G3364" i="20" s="1"/>
  <c r="H3364" i="20" s="1"/>
  <c r="H3365" i="20" s="1"/>
  <c r="H3366" i="20" s="1"/>
  <c r="H3367" i="20" s="1"/>
  <c r="B3367" i="20" s="1"/>
  <c r="D3367" i="20" s="1"/>
  <c r="F3351" i="20"/>
  <c r="G3351" i="20" s="1"/>
  <c r="H3351" i="20" s="1"/>
  <c r="H3352" i="20" s="1"/>
  <c r="H3353" i="20" s="1"/>
  <c r="H3354" i="20" s="1"/>
  <c r="B3354" i="20" s="1"/>
  <c r="D3354" i="20" s="1"/>
  <c r="F3418" i="20"/>
  <c r="F3541" i="20"/>
  <c r="G3541" i="20" s="1"/>
  <c r="H3541" i="20" s="1"/>
  <c r="H3542" i="20" s="1"/>
  <c r="H3543" i="20" s="1"/>
  <c r="H3544" i="20" s="1"/>
  <c r="B3544" i="20" s="1"/>
  <c r="D3544" i="20" s="1"/>
  <c r="F3554" i="20"/>
  <c r="G3554" i="20" s="1"/>
  <c r="H3555" i="20" s="1"/>
  <c r="H3556" i="20" s="1"/>
  <c r="H3557" i="20" s="1"/>
  <c r="H3558" i="20" s="1"/>
  <c r="B3558" i="20" s="1"/>
  <c r="D3558" i="20" s="1"/>
  <c r="F3243" i="20"/>
  <c r="G3243" i="20" s="1"/>
  <c r="F3228" i="20"/>
  <c r="G3228" i="20" s="1"/>
  <c r="F4558" i="20"/>
  <c r="G4558" i="20" s="1"/>
  <c r="F4540" i="20"/>
  <c r="G4540" i="20" s="1"/>
  <c r="H4542" i="20" s="1"/>
  <c r="H4543" i="20" s="1"/>
  <c r="H4544" i="20" s="1"/>
  <c r="H4545" i="20" s="1"/>
  <c r="B4545" i="20" s="1"/>
  <c r="D4545" i="20" s="1"/>
  <c r="F3484" i="20"/>
  <c r="G3484" i="20" s="1"/>
  <c r="F3469" i="20"/>
  <c r="G3469" i="20" s="1"/>
  <c r="F3129" i="20"/>
  <c r="G3129" i="20" s="1"/>
  <c r="F3117" i="20"/>
  <c r="G3117" i="20" s="1"/>
  <c r="F3103" i="20"/>
  <c r="G3103" i="20" s="1"/>
  <c r="F3088" i="20"/>
  <c r="G3088" i="20" s="1"/>
  <c r="F3076" i="20"/>
  <c r="G3076" i="20" s="1"/>
  <c r="F2735" i="20"/>
  <c r="G2735" i="20" s="1"/>
  <c r="H2735" i="20" s="1"/>
  <c r="H2736" i="20" s="1"/>
  <c r="H2737" i="20" s="1"/>
  <c r="H2738" i="20" s="1"/>
  <c r="B2738" i="20" s="1"/>
  <c r="D2738" i="20" s="1"/>
  <c r="F3468" i="20"/>
  <c r="G3468" i="20" s="1"/>
  <c r="F3128" i="20"/>
  <c r="G3128" i="20" s="1"/>
  <c r="F3116" i="20"/>
  <c r="G3116" i="20" s="1"/>
  <c r="F3102" i="20"/>
  <c r="G3102" i="20" s="1"/>
  <c r="F3087" i="20"/>
  <c r="G3087" i="20" s="1"/>
  <c r="F3075" i="20"/>
  <c r="G3075" i="20" s="1"/>
  <c r="F2822" i="20"/>
  <c r="F2274" i="20"/>
  <c r="G2274" i="20" s="1"/>
  <c r="H2277" i="20" s="1"/>
  <c r="H2278" i="20" s="1"/>
  <c r="H2279" i="20" s="1"/>
  <c r="H2280" i="20" s="1"/>
  <c r="B2280" i="20" s="1"/>
  <c r="D2280" i="20" s="1"/>
  <c r="F4560" i="20"/>
  <c r="G4560" i="20" s="1"/>
  <c r="F82" i="16"/>
  <c r="G82" i="16" s="1"/>
  <c r="F25" i="16"/>
  <c r="G25" i="16" s="1"/>
  <c r="F269" i="19"/>
  <c r="G269" i="19" s="1"/>
  <c r="F22" i="19"/>
  <c r="G22" i="19" s="1"/>
  <c r="H22" i="19" s="1"/>
  <c r="H23" i="19" s="1"/>
  <c r="H24" i="19" s="1"/>
  <c r="H25" i="19" s="1"/>
  <c r="B25" i="19" s="1"/>
  <c r="F344" i="19"/>
  <c r="G344" i="19" s="1"/>
  <c r="E219" i="18"/>
  <c r="E232" i="18"/>
  <c r="E230" i="18"/>
  <c r="E228" i="18"/>
  <c r="E220" i="18"/>
  <c r="E218" i="18"/>
  <c r="E216" i="18"/>
  <c r="E231" i="18"/>
  <c r="E229" i="18"/>
  <c r="E271" i="18"/>
  <c r="E310" i="18"/>
  <c r="E212" i="18"/>
  <c r="E210" i="18"/>
  <c r="E215" i="18"/>
  <c r="E217" i="18"/>
  <c r="E270" i="18"/>
  <c r="E308" i="18"/>
  <c r="E213" i="18"/>
  <c r="E211" i="18"/>
  <c r="E208" i="18"/>
  <c r="E260" i="18"/>
  <c r="E317" i="18"/>
  <c r="E311" i="18"/>
  <c r="E309" i="18"/>
  <c r="E307" i="18"/>
  <c r="F303" i="19"/>
  <c r="G303" i="19" s="1"/>
  <c r="H303" i="19" s="1"/>
  <c r="H304" i="19" s="1"/>
  <c r="H305" i="19" s="1"/>
  <c r="H306" i="19" s="1"/>
  <c r="B306" i="19" s="1"/>
  <c r="D306" i="19" s="1"/>
  <c r="E300" i="18" s="1"/>
  <c r="F419" i="19"/>
  <c r="G419" i="19" s="1"/>
  <c r="H419" i="19" s="1"/>
  <c r="H420" i="19" s="1"/>
  <c r="H421" i="19" s="1"/>
  <c r="H422" i="19" s="1"/>
  <c r="B422" i="19" s="1"/>
  <c r="D422" i="19" s="1"/>
  <c r="E316" i="18" s="1"/>
  <c r="F356" i="19"/>
  <c r="G356" i="19" s="1"/>
  <c r="H356" i="19" s="1"/>
  <c r="H357" i="19" s="1"/>
  <c r="H358" i="19" s="1"/>
  <c r="H359" i="19" s="1"/>
  <c r="B359" i="19" s="1"/>
  <c r="D359" i="19" s="1"/>
  <c r="E305" i="18" s="1"/>
  <c r="F130" i="19"/>
  <c r="G130" i="19" s="1"/>
  <c r="H131" i="19" s="1"/>
  <c r="H132" i="19" s="1"/>
  <c r="H133" i="19" s="1"/>
  <c r="H134" i="19" s="1"/>
  <c r="B134" i="19" s="1"/>
  <c r="E263" i="18" s="1"/>
  <c r="F104" i="19"/>
  <c r="G104" i="19" s="1"/>
  <c r="H105" i="19" s="1"/>
  <c r="H106" i="19" s="1"/>
  <c r="H107" i="19" s="1"/>
  <c r="H108" i="19" s="1"/>
  <c r="B108" i="19" s="1"/>
  <c r="E261" i="18" s="1"/>
  <c r="F316" i="19"/>
  <c r="G316" i="19" s="1"/>
  <c r="F288" i="19"/>
  <c r="G288" i="19" s="1"/>
  <c r="F345" i="19"/>
  <c r="G345" i="19" s="1"/>
  <c r="F327" i="19"/>
  <c r="G327" i="19" s="1"/>
  <c r="F284" i="19"/>
  <c r="G284" i="19" s="1"/>
  <c r="F342" i="19"/>
  <c r="G342" i="19" s="1"/>
  <c r="F325" i="19"/>
  <c r="G325" i="19" s="1"/>
  <c r="F313" i="19"/>
  <c r="G313" i="19" s="1"/>
  <c r="F282" i="19"/>
  <c r="G282" i="19" s="1"/>
  <c r="F267" i="19"/>
  <c r="G267" i="19" s="1"/>
  <c r="F143" i="19"/>
  <c r="G143" i="19" s="1"/>
  <c r="H144" i="19" s="1"/>
  <c r="H145" i="19" s="1"/>
  <c r="H146" i="19" s="1"/>
  <c r="H147" i="19" s="1"/>
  <c r="B147" i="19" s="1"/>
  <c r="E264" i="18" s="1"/>
  <c r="F117" i="19"/>
  <c r="G117" i="19" s="1"/>
  <c r="H118" i="19" s="1"/>
  <c r="H119" i="19" s="1"/>
  <c r="H120" i="19" s="1"/>
  <c r="H121" i="19" s="1"/>
  <c r="B121" i="19" s="1"/>
  <c r="E262" i="18" s="1"/>
  <c r="H211" i="19"/>
  <c r="H212" i="19" s="1"/>
  <c r="B212" i="19" s="1"/>
  <c r="D212" i="19" s="1"/>
  <c r="E273" i="18" s="1"/>
  <c r="F270" i="19"/>
  <c r="G270" i="19" s="1"/>
  <c r="F289" i="19"/>
  <c r="G289" i="19" s="1"/>
  <c r="F287" i="19"/>
  <c r="G287" i="19" s="1"/>
  <c r="F346" i="19"/>
  <c r="G346" i="19" s="1"/>
  <c r="F285" i="19"/>
  <c r="G285" i="19" s="1"/>
  <c r="F283" i="19"/>
  <c r="G283" i="19" s="1"/>
  <c r="F268" i="19"/>
  <c r="G268" i="19" s="1"/>
  <c r="F343" i="19"/>
  <c r="G343" i="19" s="1"/>
  <c r="F326" i="19"/>
  <c r="G326" i="19" s="1"/>
  <c r="F314" i="19"/>
  <c r="G314" i="19" s="1"/>
  <c r="F291" i="19"/>
  <c r="G291" i="19" s="1"/>
  <c r="H291" i="19" s="1"/>
  <c r="H316" i="19"/>
  <c r="F10" i="19"/>
  <c r="G10" i="19" s="1"/>
  <c r="F11" i="19"/>
  <c r="G11" i="19" s="1"/>
  <c r="F7" i="19"/>
  <c r="G7" i="19" s="1"/>
  <c r="F8" i="19"/>
  <c r="G8" i="19" s="1"/>
  <c r="E184" i="18"/>
  <c r="E186" i="18"/>
  <c r="E182" i="18"/>
  <c r="E253" i="18"/>
  <c r="E254" i="18"/>
  <c r="E194" i="18"/>
  <c r="E259" i="18"/>
  <c r="A253" i="18"/>
  <c r="A254" i="18" s="1"/>
  <c r="A255" i="18" s="1"/>
  <c r="A256" i="18" s="1"/>
  <c r="A257" i="18" s="1"/>
  <c r="A258" i="18" s="1"/>
  <c r="A259" i="18" s="1"/>
  <c r="A260" i="18" s="1"/>
  <c r="A261" i="18" s="1"/>
  <c r="A262" i="18" s="1"/>
  <c r="A263" i="18" s="1"/>
  <c r="A264" i="18" s="1"/>
  <c r="A265" i="18" s="1"/>
  <c r="A266" i="18" s="1"/>
  <c r="A267" i="18" s="1"/>
  <c r="A268" i="18" s="1"/>
  <c r="A269" i="18" s="1"/>
  <c r="A270" i="18" s="1"/>
  <c r="A271" i="18" s="1"/>
  <c r="A272" i="18" s="1"/>
  <c r="A273" i="18" s="1"/>
  <c r="A274" i="18" s="1"/>
  <c r="A275" i="18" s="1"/>
  <c r="A276" i="18" s="1"/>
  <c r="A277" i="18" s="1"/>
  <c r="A278" i="18" s="1"/>
  <c r="A279" i="18" s="1"/>
  <c r="A280" i="18" s="1"/>
  <c r="A281" i="18" s="1"/>
  <c r="A282" i="18" s="1"/>
  <c r="A283" i="18" s="1"/>
  <c r="A284" i="18" s="1"/>
  <c r="A285" i="18" s="1"/>
  <c r="A286" i="18" s="1"/>
  <c r="A287" i="18" s="1"/>
  <c r="A288" i="18" s="1"/>
  <c r="A289" i="18" s="1"/>
  <c r="A290" i="18" s="1"/>
  <c r="A291" i="18" s="1"/>
  <c r="A292" i="18" s="1"/>
  <c r="A293" i="18" s="1"/>
  <c r="A294" i="18" s="1"/>
  <c r="A295" i="18" s="1"/>
  <c r="A296" i="18" s="1"/>
  <c r="A297" i="18" s="1"/>
  <c r="A298" i="18" s="1"/>
  <c r="A299" i="18" s="1"/>
  <c r="A300" i="18" s="1"/>
  <c r="A301" i="18" s="1"/>
  <c r="A302" i="18" s="1"/>
  <c r="A303" i="18" s="1"/>
  <c r="A304" i="18" s="1"/>
  <c r="A305" i="18" s="1"/>
  <c r="A306" i="18" s="1"/>
  <c r="A307" i="18" s="1"/>
  <c r="A308" i="18" s="1"/>
  <c r="A309" i="18" s="1"/>
  <c r="A310" i="18" s="1"/>
  <c r="A311" i="18" s="1"/>
  <c r="A312" i="18" s="1"/>
  <c r="A313" i="18" s="1"/>
  <c r="A314" i="18" s="1"/>
  <c r="A315" i="18" s="1"/>
  <c r="A316" i="18" s="1"/>
  <c r="A317" i="18" s="1"/>
  <c r="A318" i="18" s="1"/>
  <c r="A319" i="18" s="1"/>
  <c r="A320" i="18" s="1"/>
  <c r="A252" i="18"/>
  <c r="E3" i="18" l="1"/>
  <c r="E160" i="18"/>
  <c r="E13" i="18"/>
  <c r="E161" i="18"/>
  <c r="E135" i="18"/>
  <c r="E166" i="18"/>
  <c r="H3088" i="20"/>
  <c r="H3089" i="20" s="1"/>
  <c r="H3090" i="20" s="1"/>
  <c r="H3091" i="20" s="1"/>
  <c r="B3091" i="20" s="1"/>
  <c r="D3091" i="20" s="1"/>
  <c r="H3471" i="20"/>
  <c r="H3472" i="20" s="1"/>
  <c r="H3473" i="20" s="1"/>
  <c r="H3474" i="20" s="1"/>
  <c r="B3474" i="20" s="1"/>
  <c r="D3474" i="20" s="1"/>
  <c r="H3117" i="20"/>
  <c r="H3118" i="20" s="1"/>
  <c r="H3119" i="20" s="1"/>
  <c r="H3120" i="20" s="1"/>
  <c r="B3120" i="20" s="1"/>
  <c r="D3120" i="20" s="1"/>
  <c r="H3076" i="20"/>
  <c r="H3077" i="20" s="1"/>
  <c r="H3078" i="20" s="1"/>
  <c r="H3079" i="20" s="1"/>
  <c r="B3079" i="20" s="1"/>
  <c r="D3079" i="20" s="1"/>
  <c r="H3129" i="20"/>
  <c r="H3130" i="20" s="1"/>
  <c r="H3131" i="20" s="1"/>
  <c r="H3132" i="20" s="1"/>
  <c r="B3132" i="20" s="1"/>
  <c r="D3132" i="20" s="1"/>
  <c r="H3103" i="20"/>
  <c r="H3104" i="20" s="1"/>
  <c r="H3105" i="20" s="1"/>
  <c r="H3106" i="20" s="1"/>
  <c r="B3106" i="20" s="1"/>
  <c r="D3106" i="20" s="1"/>
  <c r="H271" i="19"/>
  <c r="E173" i="18"/>
  <c r="H347" i="19"/>
  <c r="H3296" i="20"/>
  <c r="H3297" i="20" s="1"/>
  <c r="H3298" i="20" s="1"/>
  <c r="H3299" i="20" s="1"/>
  <c r="B3299" i="20" s="1"/>
  <c r="D3299" i="20" s="1"/>
  <c r="F2838" i="20"/>
  <c r="G2838" i="20" s="1"/>
  <c r="H2839" i="20" s="1"/>
  <c r="H2840" i="20" s="1"/>
  <c r="H2841" i="20" s="1"/>
  <c r="H2842" i="20" s="1"/>
  <c r="B2842" i="20" s="1"/>
  <c r="D2842" i="20" s="1"/>
  <c r="G2822" i="20"/>
  <c r="H2823" i="20" s="1"/>
  <c r="H2824" i="20" s="1"/>
  <c r="H2825" i="20" s="1"/>
  <c r="H2826" i="20" s="1"/>
  <c r="B2826" i="20" s="1"/>
  <c r="D2826" i="20" s="1"/>
  <c r="F3430" i="20"/>
  <c r="G3430" i="20" s="1"/>
  <c r="H3430" i="20" s="1"/>
  <c r="H3431" i="20" s="1"/>
  <c r="H3432" i="20" s="1"/>
  <c r="H3433" i="20" s="1"/>
  <c r="B3433" i="20" s="1"/>
  <c r="D3433" i="20" s="1"/>
  <c r="G3419" i="20"/>
  <c r="H3419" i="20" s="1"/>
  <c r="H3420" i="20" s="1"/>
  <c r="H3421" i="20" s="1"/>
  <c r="H3422" i="20" s="1"/>
  <c r="B3422" i="20" s="1"/>
  <c r="D3422" i="20" s="1"/>
  <c r="H3714" i="20"/>
  <c r="H3715" i="20" s="1"/>
  <c r="H3716" i="20" s="1"/>
  <c r="H3717" i="20" s="1"/>
  <c r="B3717" i="20" s="1"/>
  <c r="D3717" i="20" s="1"/>
  <c r="H3228" i="20"/>
  <c r="H3229" i="20" s="1"/>
  <c r="H3230" i="20" s="1"/>
  <c r="H3231" i="20" s="1"/>
  <c r="B3231" i="20" s="1"/>
  <c r="D3231" i="20" s="1"/>
  <c r="G3403" i="20"/>
  <c r="O3403" i="20"/>
  <c r="P3403" i="20" s="1"/>
  <c r="G3404" i="20"/>
  <c r="O3404" i="20"/>
  <c r="P3404" i="20" s="1"/>
  <c r="H3818" i="20"/>
  <c r="H3819" i="20" s="1"/>
  <c r="H3820" i="20" s="1"/>
  <c r="H3821" i="20" s="1"/>
  <c r="B3821" i="20" s="1"/>
  <c r="D3821" i="20" s="1"/>
  <c r="H3851" i="20"/>
  <c r="H3852" i="20" s="1"/>
  <c r="H3853" i="20" s="1"/>
  <c r="H3854" i="20" s="1"/>
  <c r="B3854" i="20" s="1"/>
  <c r="D3854" i="20" s="1"/>
  <c r="G4640" i="20"/>
  <c r="H4640" i="20" s="1"/>
  <c r="H4641" i="20" s="1"/>
  <c r="H4642" i="20" s="1"/>
  <c r="H4643" i="20" s="1"/>
  <c r="B4643" i="20" s="1"/>
  <c r="N4640" i="20"/>
  <c r="O4640" i="20" s="1"/>
  <c r="P4640" i="20" s="1"/>
  <c r="P4641" i="20" s="1"/>
  <c r="P4642" i="20" s="1"/>
  <c r="P4643" i="20" s="1"/>
  <c r="J4643" i="20" s="1"/>
  <c r="H4560" i="20"/>
  <c r="H4561" i="20" s="1"/>
  <c r="H4562" i="20" s="1"/>
  <c r="H4563" i="20" s="1"/>
  <c r="B4563" i="20" s="1"/>
  <c r="D4563" i="20" s="1"/>
  <c r="H3486" i="20"/>
  <c r="H3487" i="20" s="1"/>
  <c r="H3488" i="20" s="1"/>
  <c r="H3489" i="20" s="1"/>
  <c r="B3489" i="20" s="1"/>
  <c r="D3489" i="20" s="1"/>
  <c r="H3730" i="20"/>
  <c r="H3731" i="20" s="1"/>
  <c r="H3732" i="20" s="1"/>
  <c r="H3733" i="20" s="1"/>
  <c r="B3733" i="20" s="1"/>
  <c r="D3733" i="20" s="1"/>
  <c r="H3243" i="20"/>
  <c r="H3244" i="20" s="1"/>
  <c r="H3245" i="20" s="1"/>
  <c r="H3246" i="20" s="1"/>
  <c r="B3246" i="20" s="1"/>
  <c r="D3246" i="20" s="1"/>
  <c r="H3834" i="20"/>
  <c r="H3835" i="20" s="1"/>
  <c r="H3836" i="20" s="1"/>
  <c r="H3837" i="20" s="1"/>
  <c r="B3837" i="20" s="1"/>
  <c r="D3837" i="20" s="1"/>
  <c r="H12" i="19"/>
  <c r="E288" i="18"/>
  <c r="E318" i="18"/>
  <c r="E227" i="18"/>
  <c r="E226" i="18"/>
  <c r="E246" i="18"/>
  <c r="E243" i="18"/>
  <c r="E201" i="18"/>
  <c r="E138" i="18"/>
  <c r="E242" i="18"/>
  <c r="E200" i="18"/>
  <c r="E159" i="18"/>
  <c r="H268" i="19"/>
  <c r="H314" i="19"/>
  <c r="H317" i="19" s="1"/>
  <c r="H318" i="19" s="1"/>
  <c r="H319" i="19" s="1"/>
  <c r="B319" i="19" s="1"/>
  <c r="D319" i="19" s="1"/>
  <c r="E301" i="18" s="1"/>
  <c r="H343" i="19"/>
  <c r="H290" i="19"/>
  <c r="H326" i="19"/>
  <c r="H328" i="19"/>
  <c r="H283" i="19"/>
  <c r="E158" i="18"/>
  <c r="H8" i="19"/>
  <c r="E296" i="18"/>
  <c r="E189" i="18"/>
  <c r="E185" i="18"/>
  <c r="E304" i="18"/>
  <c r="E193" i="18"/>
  <c r="E170" i="18"/>
  <c r="E6" i="18" l="1"/>
  <c r="E8" i="18"/>
  <c r="E7" i="18"/>
  <c r="E59" i="18"/>
  <c r="E164" i="18"/>
  <c r="E93" i="18"/>
  <c r="E62" i="18"/>
  <c r="E163" i="18"/>
  <c r="E123" i="18"/>
  <c r="E162" i="18"/>
  <c r="E40" i="18"/>
  <c r="E66" i="18"/>
  <c r="E165" i="18"/>
  <c r="E65" i="18"/>
  <c r="E43" i="18"/>
  <c r="E12" i="18"/>
  <c r="E61" i="18"/>
  <c r="E168" i="18"/>
  <c r="E136" i="18"/>
  <c r="E58" i="18"/>
  <c r="E139" i="18"/>
  <c r="E9" i="18"/>
  <c r="E4" i="18"/>
  <c r="E167" i="18"/>
  <c r="E157" i="18"/>
  <c r="E154" i="18"/>
  <c r="E156" i="18"/>
  <c r="E155" i="18"/>
  <c r="E153" i="18"/>
  <c r="E146" i="18"/>
  <c r="E145" i="18"/>
  <c r="E64" i="18"/>
  <c r="E68" i="18"/>
  <c r="E63" i="18"/>
  <c r="E60" i="18"/>
  <c r="E142" i="18"/>
  <c r="E144" i="18"/>
  <c r="E129" i="18"/>
  <c r="E122" i="18"/>
  <c r="E143" i="18"/>
  <c r="E149" i="18"/>
  <c r="E113" i="18"/>
  <c r="E114" i="18"/>
  <c r="E147" i="18"/>
  <c r="E148" i="18"/>
  <c r="E116" i="18"/>
  <c r="E137" i="18"/>
  <c r="E115" i="18"/>
  <c r="E117" i="18"/>
  <c r="E121" i="18"/>
  <c r="E128" i="18"/>
  <c r="E141" i="18"/>
  <c r="E134" i="18"/>
  <c r="E112" i="18"/>
  <c r="E133" i="18"/>
  <c r="E120" i="18"/>
  <c r="E16" i="18"/>
  <c r="E38" i="18"/>
  <c r="E21" i="18"/>
  <c r="E39" i="18"/>
  <c r="E30" i="18"/>
  <c r="E34" i="18"/>
  <c r="E23" i="18"/>
  <c r="E22" i="18"/>
  <c r="E33" i="18"/>
  <c r="E28" i="18"/>
  <c r="H272" i="19"/>
  <c r="H273" i="19" s="1"/>
  <c r="H274" i="19" s="1"/>
  <c r="B274" i="19" s="1"/>
  <c r="D274" i="19" s="1"/>
  <c r="H348" i="19"/>
  <c r="H349" i="19" s="1"/>
  <c r="H350" i="19" s="1"/>
  <c r="B350" i="19" s="1"/>
  <c r="D350" i="19" s="1"/>
  <c r="E174" i="18"/>
  <c r="E177" i="18"/>
  <c r="E172" i="18"/>
  <c r="E171" i="18"/>
  <c r="E175" i="18"/>
  <c r="E176" i="18"/>
  <c r="E169" i="18"/>
  <c r="Q3404" i="20"/>
  <c r="Q3405" i="20" s="1"/>
  <c r="Q3406" i="20" s="1"/>
  <c r="Q3407" i="20" s="1"/>
  <c r="K3407" i="20" s="1"/>
  <c r="M3407" i="20" s="1"/>
  <c r="H3404" i="20"/>
  <c r="H3405" i="20" s="1"/>
  <c r="H3406" i="20" s="1"/>
  <c r="H3407" i="20" s="1"/>
  <c r="B3407" i="20" s="1"/>
  <c r="D3407" i="20" s="1"/>
  <c r="H292" i="19"/>
  <c r="H293" i="19" s="1"/>
  <c r="H294" i="19" s="1"/>
  <c r="B294" i="19" s="1"/>
  <c r="D294" i="19" s="1"/>
  <c r="H13" i="19"/>
  <c r="H14" i="19" s="1"/>
  <c r="H15" i="19" s="1"/>
  <c r="B15" i="19" s="1"/>
  <c r="D15" i="19" s="1"/>
  <c r="E233" i="18" s="1"/>
  <c r="E17" i="18"/>
  <c r="E234" i="18"/>
  <c r="E221" i="18"/>
  <c r="E294" i="18"/>
  <c r="E249" i="18"/>
  <c r="E295" i="18"/>
  <c r="E222" i="18"/>
  <c r="E250" i="18"/>
  <c r="E241" i="18"/>
  <c r="E198" i="18"/>
  <c r="E207" i="18"/>
  <c r="E240" i="18"/>
  <c r="E83" i="18"/>
  <c r="E291" i="18"/>
  <c r="E209" i="18"/>
  <c r="E239" i="18"/>
  <c r="E290" i="18"/>
  <c r="E245" i="18"/>
  <c r="E252" i="18"/>
  <c r="E127" i="18"/>
  <c r="E197" i="18"/>
  <c r="E267" i="18"/>
  <c r="E285" i="18"/>
  <c r="E244" i="18"/>
  <c r="E272" i="18"/>
  <c r="E119" i="18"/>
  <c r="E202" i="18"/>
  <c r="E188" i="18"/>
  <c r="E183" i="18"/>
  <c r="E283" i="18"/>
  <c r="E192" i="18"/>
  <c r="E204" i="18"/>
  <c r="E284" i="18"/>
  <c r="E247" i="18"/>
  <c r="E319" i="18"/>
  <c r="E238" i="18"/>
  <c r="E126" i="18"/>
  <c r="E84" i="18"/>
  <c r="E299" i="18"/>
  <c r="E181" i="18"/>
  <c r="E297" i="18"/>
  <c r="E190" i="18"/>
  <c r="E130" i="18"/>
  <c r="E191" i="18"/>
  <c r="E195" i="18"/>
  <c r="E187" i="18"/>
  <c r="E206" i="18"/>
  <c r="E203" i="18"/>
  <c r="E286" i="18"/>
  <c r="E94" i="18"/>
  <c r="E289" i="18"/>
  <c r="E199" i="18"/>
  <c r="E14" i="18"/>
  <c r="E26" i="18"/>
  <c r="E27" i="18"/>
  <c r="H329" i="19"/>
  <c r="H330" i="19" s="1"/>
  <c r="H331" i="19" s="1"/>
  <c r="B331" i="19" s="1"/>
  <c r="D331" i="19" s="1"/>
  <c r="E302" i="18" s="1"/>
  <c r="E298" i="18"/>
  <c r="E49" i="18" l="1"/>
  <c r="E108" i="18"/>
  <c r="E131" i="18"/>
  <c r="E87" i="18"/>
  <c r="E98" i="18"/>
  <c r="E106" i="18"/>
  <c r="E102" i="18"/>
  <c r="E91" i="18"/>
  <c r="E97" i="18"/>
  <c r="E107" i="18"/>
  <c r="E132" i="18"/>
  <c r="E85" i="18"/>
  <c r="E86" i="18"/>
  <c r="E101" i="18"/>
  <c r="E110" i="18"/>
  <c r="E95" i="18"/>
  <c r="E89" i="18"/>
  <c r="E88" i="18"/>
  <c r="E103" i="18"/>
  <c r="E105" i="18"/>
  <c r="E100" i="18"/>
  <c r="E92" i="18"/>
  <c r="E96" i="18"/>
  <c r="E99" i="18"/>
  <c r="E82" i="18"/>
  <c r="E78" i="18"/>
  <c r="E104" i="18"/>
  <c r="E69" i="18"/>
  <c r="E70" i="18"/>
  <c r="E150" i="18"/>
  <c r="E124" i="18"/>
  <c r="E125" i="18"/>
  <c r="E151" i="18"/>
  <c r="E31" i="18"/>
  <c r="E41" i="18"/>
  <c r="E55" i="18"/>
  <c r="E56" i="18" s="1"/>
  <c r="E37" i="18"/>
  <c r="E48" i="18"/>
  <c r="E25" i="18"/>
  <c r="E50" i="18"/>
  <c r="E15" i="18"/>
  <c r="E29" i="18"/>
  <c r="E53" i="18"/>
  <c r="E52" i="18"/>
  <c r="E35" i="18"/>
  <c r="E32" i="18"/>
  <c r="E24" i="18"/>
  <c r="E46" i="18"/>
  <c r="E51" i="18"/>
  <c r="E54" i="18"/>
  <c r="E44" i="18"/>
  <c r="E178" i="18"/>
  <c r="E179" i="18"/>
  <c r="E223" i="18"/>
  <c r="E248" i="18"/>
  <c r="E293" i="18"/>
  <c r="E292" i="18"/>
  <c r="E320" i="18"/>
  <c r="E255" i="18"/>
  <c r="E257" i="18"/>
  <c r="E268" i="18"/>
  <c r="E287" i="18"/>
  <c r="E256" i="18"/>
  <c r="E251" i="18"/>
  <c r="E18" i="18"/>
  <c r="E11" i="18" l="1"/>
  <c r="E90" i="18"/>
  <c r="E80" i="18"/>
  <c r="E79" i="18"/>
  <c r="E109" i="18"/>
  <c r="E118" i="18"/>
  <c r="E20" i="18"/>
  <c r="E71" i="18"/>
  <c r="E45" i="18"/>
  <c r="E42" i="18"/>
  <c r="A573" i="19" l="1"/>
  <c r="A586" i="19" s="1"/>
  <c r="A599" i="19" s="1"/>
  <c r="A611" i="19" s="1"/>
  <c r="A623" i="19" s="1"/>
  <c r="A636" i="19" s="1"/>
  <c r="A231" i="19" s="1"/>
  <c r="A245" i="19" s="1"/>
  <c r="A204" i="19" l="1"/>
  <c r="A217" i="19" s="1"/>
  <c r="A299" i="19" l="1"/>
  <c r="A310" i="19" s="1"/>
  <c r="A322" i="19" s="1"/>
  <c r="A338" i="19" s="1"/>
  <c r="A352" i="19" s="1"/>
  <c r="A362" i="19" s="1"/>
  <c r="A97" i="19" l="1"/>
  <c r="A110" i="19" s="1"/>
  <c r="A123" i="19" s="1"/>
  <c r="A136" i="19" s="1"/>
  <c r="A149" i="19" s="1"/>
  <c r="A162" i="19" s="1"/>
  <c r="A373" i="19" l="1"/>
  <c r="A384" i="19" s="1"/>
  <c r="A395" i="19" s="1"/>
  <c r="A405" i="19" s="1"/>
  <c r="A415" i="19" s="1"/>
  <c r="A278" i="19"/>
  <c r="A177" i="19" l="1"/>
  <c r="A30" i="19" l="1"/>
  <c r="A44" i="19" s="1"/>
  <c r="A62" i="19" s="1"/>
  <c r="A264" i="19" l="1"/>
  <c r="A3" i="19" l="1"/>
  <c r="A443" i="19" l="1"/>
  <c r="A460" i="19" s="1"/>
  <c r="A492" i="19" s="1"/>
  <c r="A509" i="19" s="1"/>
  <c r="A541" i="19" s="1"/>
  <c r="A558" i="19" s="1"/>
  <c r="A663" i="19" s="1"/>
  <c r="A680" i="19" s="1"/>
  <c r="A697" i="19" s="1"/>
  <c r="J11" i="32" l="1"/>
  <c r="J34" i="32" s="1"/>
  <c r="J38" i="32" s="1"/>
  <c r="K40" i="32" s="1"/>
  <c r="J41" i="32" l="1"/>
  <c r="K41" i="32" s="1"/>
</calcChain>
</file>

<file path=xl/sharedStrings.xml><?xml version="1.0" encoding="utf-8"?>
<sst xmlns="http://schemas.openxmlformats.org/spreadsheetml/2006/main" count="17958" uniqueCount="3922">
  <si>
    <t>Carbon Fibre UPVC Roofing Sheet including the cost of material and labour  fitting, fixing, all complete job (3mm Thick)</t>
  </si>
  <si>
    <t>3mm th.Carbon fibre UPVC Roofing sheet</t>
  </si>
  <si>
    <t>Carbon Fibre UPVC Roofing Sheet including the cost of material and labour  fitting, fixing, all complete job (2mm Thick)</t>
  </si>
  <si>
    <t>2mm th.Carbon fibre UPVC Roofing sheet</t>
  </si>
  <si>
    <r>
      <t>Classic</t>
    </r>
    <r>
      <rPr>
        <sz val="16"/>
        <rFont val="Preeti"/>
      </rPr>
      <t xml:space="preserve"> dfj{n  -</t>
    </r>
    <r>
      <rPr>
        <i/>
        <sz val="16"/>
        <rFont val="Preeti"/>
      </rPr>
      <t>#</t>
    </r>
    <r>
      <rPr>
        <sz val="16"/>
        <rFont val="Preeti"/>
      </rPr>
      <t xml:space="preserve">)) </t>
    </r>
    <r>
      <rPr>
        <sz val="10"/>
        <rFont val="Arial"/>
        <family val="2"/>
      </rPr>
      <t>X</t>
    </r>
    <r>
      <rPr>
        <sz val="16"/>
        <rFont val="Preeti"/>
      </rPr>
      <t xml:space="preserve"> #)) dL=dL=_ </t>
    </r>
  </si>
  <si>
    <r>
      <t>Classic</t>
    </r>
    <r>
      <rPr>
        <sz val="13"/>
        <rFont val="Preeti"/>
      </rPr>
      <t xml:space="preserve"> dfj{n</t>
    </r>
  </si>
  <si>
    <t>Ruled pointing work in  (1:1) cement sand mortar on boulder stone work.</t>
  </si>
  <si>
    <t>Ruled pointing work in  (1:2) cement sand mortar on boulder stone work with good finish including curing as per instruciton all complete.</t>
  </si>
  <si>
    <t>Ruled pointing work in  (1:2) cement sand mortar on boulder stone work with.</t>
  </si>
  <si>
    <t>Ruled pointing work in  (1:3) cement sand mortar on boulder stone work with good finish including curing as per instruciton all complete.</t>
  </si>
  <si>
    <t>c:t/ jfx]s Pssf]6 tof/L Ogfd]n k]G6 ug]{ sfd .</t>
  </si>
  <si>
    <t>c:t/ jfx]s Ps sf]6 cfNd'lgod k]G6 ug]{ sfd .</t>
  </si>
  <si>
    <t>! Jff]/f dfj{n lrK; j/fj/ !=) 3=lkm= dfg]sf] .</t>
  </si>
  <si>
    <t>b/ ljZn]if0fsf] nflu !) 3=dL= lnOPsf]</t>
  </si>
  <si>
    <t xml:space="preserve">Supply and fixing of 75X100mm Sisam wood handrail including fittings as per drawing and instructions all complete </t>
  </si>
  <si>
    <t>Supplying and fitting of railing with 20mm X 20mm M.S. square pipe and 75mm X 100mm Sal/Sisam handrail with brass cap including welding, joints and primer painting as per drawing and instructions all complete</t>
  </si>
  <si>
    <t>Supplying and fitting of railing with 20mm X 20mm M.S. square pipe and 75mm X 100mm Sal/Sisam handrail .</t>
  </si>
  <si>
    <t>Supplying and fitting of railing with 20mm X 20mm M.S. squire pipe and 40mm black pipe  handrail including welding, joints and primer painting as per drawing and instructions all complete</t>
  </si>
  <si>
    <t>20mm X 20mm M.S. squire pipe and 40mm black pipe  handrail including welding, joints and primer painting.</t>
  </si>
  <si>
    <t>1 coats of white washing without primer Painting over old Surkhey plastered surface surface all complete</t>
  </si>
  <si>
    <t>1 coats Ramtilak paint over porperly cleaned outer surface of old Durbar wall surface all complete</t>
  </si>
  <si>
    <t>1. coats Ramtilak paint over porperly cleaned outer surface of old Durbar wall surface all complete</t>
  </si>
  <si>
    <t>1 coats of ready made enamel paint of approved colour without primer Painting over porperly sanded surface all complete</t>
  </si>
  <si>
    <t>1 coats of ready made enamel paint of approved colour without primer Painting over porperly sanded surface.</t>
  </si>
  <si>
    <t>2 coats of ready made enamel paint without primer Painting over porperly sanded surface all complete</t>
  </si>
  <si>
    <t>2 coats of ready made enamel paint of approved colour without primer Painting over porperly sanded surface.</t>
  </si>
  <si>
    <t>1 coats of Plastic emulsion paint of approved colour without primer Painting over porperly cleaned surface all complete</t>
  </si>
  <si>
    <t>1 coats of Plastic emulsion paint of approved colour without primer Painting over porperly cleaned surface .</t>
  </si>
  <si>
    <t>2 coats of Plastic emulsion paint of approved colour without primer Painting over porperly cleaned surface all complete</t>
  </si>
  <si>
    <t>2 coats of Plastic emulsion paint of approved colour without primer Painting over porperly cleaned surface.</t>
  </si>
  <si>
    <t>1 coat almunium paint without primer Painting over porperly cleaned surface all complete</t>
  </si>
  <si>
    <t>Machine made  Brickwork in 1:3 C/S mortar in superstructure.</t>
  </si>
  <si>
    <t xml:space="preserve">Machine made  Brickwork in 1:4 C/S mortar up to ground floor in perfect line level finish including wetting the bricks, racking the joints and curing the work for at least 7 days all complete. </t>
  </si>
  <si>
    <t>Fixing /laying 140 mm dia Plastic Water Gutter pipe ( Half Round) with necessary fittings  all complete.</t>
  </si>
  <si>
    <t xml:space="preserve">140 mm dia Plastic Water Gutter pipe ( Half Round) with necessary fittings. </t>
  </si>
  <si>
    <t>180 mm dia Plastic Water Gutter pipe ( Half Round)  with necessary fittings.</t>
  </si>
  <si>
    <r>
      <t xml:space="preserve">x\of08/]n </t>
    </r>
    <r>
      <rPr>
        <sz val="13"/>
        <color indexed="10"/>
        <rFont val="Preeti"/>
      </rPr>
      <t>Pj+</t>
    </r>
  </si>
  <si>
    <r>
      <t>/ kf]i6</t>
    </r>
    <r>
      <rPr>
        <sz val="12"/>
        <color indexed="10"/>
        <rFont val="Preeti"/>
      </rPr>
      <t xml:space="preserve"> </t>
    </r>
    <r>
      <rPr>
        <sz val="13"/>
        <color indexed="10"/>
        <rFont val="Preeti"/>
      </rPr>
      <t>;d]t</t>
    </r>
  </si>
  <si>
    <t xml:space="preserve">Machine made  Brickwork in 1:6 C/S mortar in superstructure in perfect line level finish including wetting the bricks, racking the joints and curing the work for at least 7 days all complete. </t>
  </si>
  <si>
    <t xml:space="preserve">Machine made  Brickwork in 1:6 C/S mortar in superstructure. </t>
  </si>
  <si>
    <t>2 Pole MCB Box</t>
  </si>
  <si>
    <t>Dome Light 6" Milky Type Heavy Carrier(decorative)</t>
  </si>
  <si>
    <t>Dome Light 6" Brace Base</t>
  </si>
  <si>
    <t>Dome Light 8" Milky Type Heavy Carrier</t>
  </si>
  <si>
    <t>Dinning Lamp Decorative Medium</t>
  </si>
  <si>
    <t>Chandlers Lamp 3-5 Lamp Medium</t>
  </si>
  <si>
    <t>Chandlers Lamp 6-8 Lamp Medium</t>
  </si>
  <si>
    <t>15-100 Watt Bulb (ISI)</t>
  </si>
  <si>
    <t>Festival Light</t>
  </si>
  <si>
    <t>4 way Indicator With Bell</t>
  </si>
  <si>
    <t>6 way Indicator With Bell</t>
  </si>
  <si>
    <t>3/22 PVC Coper Wire Nepal, Prakash etc.</t>
  </si>
  <si>
    <r>
      <t>#</t>
    </r>
    <r>
      <rPr>
        <sz val="14"/>
        <color indexed="10"/>
        <rFont val="Preeti"/>
      </rPr>
      <t>÷</t>
    </r>
    <r>
      <rPr>
        <vertAlign val="subscript"/>
        <sz val="14"/>
        <color indexed="10"/>
        <rFont val="Preeti"/>
      </rPr>
      <t>$</t>
    </r>
    <r>
      <rPr>
        <sz val="10"/>
        <color indexed="10"/>
        <rFont val="Arial"/>
        <family val="2"/>
      </rPr>
      <t xml:space="preserve">" X </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Æ;fO{hsf] :Sjfo/ kfO{kaf6 @Ú–^Æ b]lv #Ú–)Æ ;Dd prfO{ ePsf] /]lnË jgfO{ </t>
    </r>
  </si>
  <si>
    <r>
      <t>#Æ</t>
    </r>
    <r>
      <rPr>
        <sz val="10"/>
        <color indexed="10"/>
        <rFont val="Arial"/>
        <family val="2"/>
      </rPr>
      <t>x</t>
    </r>
    <r>
      <rPr>
        <sz val="16"/>
        <color indexed="10"/>
        <rFont val="Preeti"/>
      </rPr>
      <t>$Æ ;fO{hsf] ;fn jf lzzf}sf] x\of08/]n agfO{ k|fOd/ k]G6 ;lxt h8fg ug]{ sfd .</t>
    </r>
  </si>
  <si>
    <r>
      <t>#</t>
    </r>
    <r>
      <rPr>
        <sz val="12"/>
        <color indexed="10"/>
        <rFont val="Preeti"/>
      </rPr>
      <t>÷</t>
    </r>
    <r>
      <rPr>
        <vertAlign val="subscript"/>
        <sz val="12"/>
        <color indexed="10"/>
        <rFont val="Preeti"/>
      </rPr>
      <t>$</t>
    </r>
    <r>
      <rPr>
        <sz val="12"/>
        <color indexed="10"/>
        <rFont val="Preeti"/>
      </rPr>
      <t xml:space="preserve">Æ </t>
    </r>
    <r>
      <rPr>
        <sz val="10"/>
        <color indexed="10"/>
        <rFont val="Arial"/>
        <family val="2"/>
      </rPr>
      <t>x</t>
    </r>
    <r>
      <rPr>
        <sz val="12"/>
        <color indexed="10"/>
        <rFont val="Preeti"/>
      </rPr>
      <t xml:space="preserve"> </t>
    </r>
    <r>
      <rPr>
        <vertAlign val="superscript"/>
        <sz val="12"/>
        <color indexed="10"/>
        <rFont val="Preeti"/>
      </rPr>
      <t>#</t>
    </r>
    <r>
      <rPr>
        <sz val="12"/>
        <color indexed="10"/>
        <rFont val="Preeti"/>
      </rPr>
      <t>÷</t>
    </r>
    <r>
      <rPr>
        <vertAlign val="subscript"/>
        <sz val="12"/>
        <color indexed="10"/>
        <rFont val="Preeti"/>
      </rPr>
      <t>$</t>
    </r>
    <r>
      <rPr>
        <vertAlign val="subscript"/>
        <sz val="16"/>
        <color indexed="10"/>
        <rFont val="Preeti"/>
      </rPr>
      <t>Æ</t>
    </r>
    <r>
      <rPr>
        <sz val="12"/>
        <color indexed="10"/>
        <rFont val="Preeti"/>
      </rPr>
      <t xml:space="preserve"> kmnfd]</t>
    </r>
  </si>
  <si>
    <t>Supplying and fixing Armstrong Mineral Board for suspended false ceiling with necessary frames and hooks all complete</t>
  </si>
  <si>
    <t>Elastocrete cementitious elastomeric water proofing coating 2 components capacity per kg. 6 sq.ft 2 coat including supply and applying all complete work</t>
  </si>
  <si>
    <t xml:space="preserve"> Supplying &amp; fixing of spiral staircase with 100mm  black pipe post, 20mm squire pipe railing , 32mm handrail, width of staircase 75cm including red oxide primer coat and necessary fittings</t>
  </si>
  <si>
    <t xml:space="preserve"> Supplying &amp; fixing of spiral staircase with 100mm  black pipe post, 20mm squire pipe railing , 32mm handrail, width of staircase 75cm .</t>
  </si>
  <si>
    <t>Annex-1</t>
  </si>
  <si>
    <t xml:space="preserve">Colouring with two coat white washing in new ceiling surface to give uniform colouring after rendering the surface all complete. </t>
  </si>
  <si>
    <t>Colouring with two coat white washing in new ceiling surface.</t>
  </si>
  <si>
    <r>
      <t>ª_ @</t>
    </r>
    <r>
      <rPr>
        <vertAlign val="superscript"/>
        <sz val="14"/>
        <rFont val="Preeti"/>
      </rPr>
      <t>!</t>
    </r>
    <r>
      <rPr>
        <sz val="14"/>
        <rFont val="Preeti"/>
      </rPr>
      <t>÷</t>
    </r>
    <r>
      <rPr>
        <vertAlign val="subscript"/>
        <sz val="14"/>
        <rFont val="Preeti"/>
      </rPr>
      <t>@</t>
    </r>
    <r>
      <rPr>
        <sz val="14"/>
        <rFont val="Preeti"/>
      </rPr>
      <t xml:space="preserve">Æ – #Æ  ;Dd afSnf] 9'Ëf  ,,      ,,    </t>
    </r>
  </si>
  <si>
    <t>5HP Electric motor Pump monoblock ( crompton)</t>
  </si>
  <si>
    <t xml:space="preserve"> Porecelene clay toilet paper holder Recessed type american standard  with necessary accessories all complete.</t>
  </si>
  <si>
    <t>Porecelene clay toilet paper holder  Recessed type american standard with necessary accessories.</t>
  </si>
  <si>
    <t xml:space="preserve"> Porecelene clay toilet paper holder  Recessed type with necessary accessories all complete.</t>
  </si>
  <si>
    <t>cGbfh</t>
  </si>
  <si>
    <r>
      <t xml:space="preserve">c) 26 </t>
    </r>
    <r>
      <rPr>
        <sz val="14"/>
        <rFont val="Preeti"/>
      </rPr>
      <t>u]h</t>
    </r>
    <r>
      <rPr>
        <sz val="12"/>
        <rFont val="Times New Roman"/>
        <family val="1"/>
      </rPr>
      <t xml:space="preserve"> Heavy     </t>
    </r>
  </si>
  <si>
    <r>
      <t xml:space="preserve">$ lkm6 </t>
    </r>
    <r>
      <rPr>
        <b/>
        <sz val="14"/>
        <rFont val="Times New Roman"/>
        <family val="1"/>
      </rPr>
      <t xml:space="preserve">* </t>
    </r>
    <r>
      <rPr>
        <b/>
        <sz val="14"/>
        <rFont val="Preeti"/>
      </rPr>
      <t xml:space="preserve">* lkm6 sf] lh=cfO{= Kn]g l;6 </t>
    </r>
  </si>
  <si>
    <t xml:space="preserve">Rubble masonry work in inclined level in 1:3 C/S mortar in perfect line level finish including, racking the joints and curing the work for at least 7 days all complete. </t>
  </si>
  <si>
    <t>Supply and fixing 16/18 gauge M.S. Rolling shutter with all necessary accessories, all complete.</t>
  </si>
  <si>
    <t>Supply and fixing 16/18 gauge M.S. Rolling shutter.</t>
  </si>
  <si>
    <r>
      <t>xiv) Steel wire Rope (Right hand ordinary lay,WSC wire strand core,Tensile strength of wire 1570 N/mm</t>
    </r>
    <r>
      <rPr>
        <vertAlign val="superscript"/>
        <sz val="10"/>
        <rFont val="Arial"/>
        <family val="2"/>
      </rPr>
      <t>2</t>
    </r>
    <r>
      <rPr>
        <sz val="10"/>
        <rFont val="Arial"/>
        <family val="2"/>
      </rPr>
      <t>, Performed, 'A' Heavy Galvanized coating Nondrying lubrication oil and prestretched</t>
    </r>
  </si>
  <si>
    <r>
      <t>m</t>
    </r>
    <r>
      <rPr>
        <vertAlign val="superscript"/>
        <sz val="10"/>
        <rFont val="Arial"/>
        <family val="2"/>
      </rPr>
      <t>2</t>
    </r>
  </si>
  <si>
    <t>-a_ /ftf] df6f] -u]? /+u_</t>
  </si>
  <si>
    <t>-e_ rk|f kfln;</t>
  </si>
  <si>
    <t>-d_ tof/L jf;]jn l8:t]Dk/</t>
  </si>
  <si>
    <t>o_ tof/L Knfl:6S; OdN;g k]G6</t>
  </si>
  <si>
    <t>-j_ :yfgLo :k|L6</t>
  </si>
  <si>
    <t>-;_ df]ljsn÷km]ljsn</t>
  </si>
  <si>
    <t>-x_ u§f r'g -O{08Log_</t>
  </si>
  <si>
    <t>Ready made Premix Concrete</t>
  </si>
  <si>
    <t>M 15</t>
  </si>
  <si>
    <t>3= ld</t>
  </si>
  <si>
    <t>M 25</t>
  </si>
  <si>
    <t>M 30</t>
  </si>
  <si>
    <t>M 35</t>
  </si>
  <si>
    <t>M 40</t>
  </si>
  <si>
    <t>/Truck</t>
  </si>
  <si>
    <r>
      <t xml:space="preserve">ii) </t>
    </r>
    <r>
      <rPr>
        <sz val="14"/>
        <rFont val="Preeti"/>
      </rPr>
      <t xml:space="preserve">;8s sfnf]kq] ubf{ lj6'dLg gpKsLgsf] nfuL k|of]u ug]{ ;fdfg </t>
    </r>
    <r>
      <rPr>
        <sz val="12"/>
        <rFont val="Times New Roman"/>
        <family val="1"/>
      </rPr>
      <t>Anti stripping</t>
    </r>
  </si>
  <si>
    <t>Salwood for roofing, of first class finish free from cracks and wrought including hoisting and fitting with necessary nails, bolts nuts etc. to fix the false ceiling all complete work.</t>
  </si>
  <si>
    <t>Salwood for roofing.</t>
  </si>
  <si>
    <t xml:space="preserve"> Fitting of 25mm thick well seasoned salwood evesboard with necessary nails, screws, metal brackets etc as per drawing and instruction all complete.</t>
  </si>
  <si>
    <t>25mm thick well seasoned salwood evesboard.</t>
  </si>
  <si>
    <t xml:space="preserve">16-20 mm dia bar fixing in window chaukhat </t>
  </si>
  <si>
    <t>0.50mm Colour GI plain sheet for gutter on roofing including fixing in proper shape &amp; size with all necessary rails, screws, bolts &amp; nuts washers, J &amp; L hocks etc as per drawing &amp; instruction all complete.</t>
  </si>
  <si>
    <t>Making and fitting fixing Plywood Panel partition of 75 x 75 mm size sal wood frame with 12 mm thick commercial ply  on midle and 4mm thick teak ply lamination on both sides including all necessary hardware fitting all complete.</t>
  </si>
  <si>
    <t>Plywood panelled partition with 12mm.commercial plywood and both sides  teak ply lamination</t>
  </si>
  <si>
    <t>Making and fitting fixing of 12 x 12 mm,solid core squar rod Grill on the frame of 4.5 x 20 mm. M.S.plate with painting all complete.</t>
  </si>
  <si>
    <t>12x12mm.solid core square rod grill work.</t>
  </si>
  <si>
    <t>Making and fitting fixing of stainless steel pipe railling with 38mm.dia.stainless steel pipe handrail 2 row 25mm.dia.stainless steel pipe in between handrail and floor and 38mm.dia.stainless stell pipe for vertical post @ 2m. c/c including welding , cutt</t>
  </si>
  <si>
    <t>Stainless stell handrail work</t>
  </si>
  <si>
    <t>Additional items</t>
  </si>
  <si>
    <r>
      <t xml:space="preserve">b/ ljZn]if0fsf] nflu (=&amp;% </t>
    </r>
    <r>
      <rPr>
        <sz val="8"/>
        <rFont val="Arial"/>
        <family val="2"/>
      </rPr>
      <t>X</t>
    </r>
    <r>
      <rPr>
        <sz val="11"/>
        <rFont val="Preeti"/>
      </rPr>
      <t xml:space="preserve"> #=^% Ö #%=%* j=ld= lnOPsf]</t>
    </r>
  </si>
  <si>
    <r>
      <t xml:space="preserve">b/ ljZn]if0fsf] nflu !=)(@ </t>
    </r>
    <r>
      <rPr>
        <sz val="8"/>
        <rFont val="Arial"/>
        <family val="2"/>
      </rPr>
      <t xml:space="preserve">X </t>
    </r>
    <r>
      <rPr>
        <sz val="11"/>
        <rFont val="Preeti"/>
      </rPr>
      <t>@=)%* Ö @=@$% j=ld= lnOPsf]</t>
    </r>
  </si>
  <si>
    <t xml:space="preserve"> kmf]/dfO{sf n]ldg]zg u/L </t>
  </si>
  <si>
    <t xml:space="preserve"> ;gdfO{sf n]ldg]zg u/L </t>
  </si>
  <si>
    <t>b/ k|lt s]]=hL=sf]</t>
  </si>
  <si>
    <t>!#–% v,u</t>
  </si>
  <si>
    <t>!@=% dL=dL= afSnf] l;d]G6 afn'jf -!M^_ df  sfd ug]{ .</t>
  </si>
  <si>
    <t>Amp. Meter (0-500)</t>
  </si>
  <si>
    <t>6-32 Amp SP MCB</t>
  </si>
  <si>
    <t>6-32 Amp DP MCB</t>
  </si>
  <si>
    <t>6-32 Amp TP MCB</t>
  </si>
  <si>
    <t>6-32 Amp TPN MCB</t>
  </si>
  <si>
    <t>40-60 Amp SP MCB</t>
  </si>
  <si>
    <t>40-60 AmpDP MCB</t>
  </si>
  <si>
    <t>40-60 Amp TP MCB</t>
  </si>
  <si>
    <t>40-60 Amp TPN MCB</t>
  </si>
  <si>
    <t>40Amp DP MCB</t>
  </si>
  <si>
    <t>63 Amp DP MCB</t>
  </si>
  <si>
    <t>40Amp TP MCB</t>
  </si>
  <si>
    <t>50 Amp TP MCB</t>
  </si>
  <si>
    <t>63 Amp TP MCB</t>
  </si>
  <si>
    <t>4 Way SPN DB Double Cover</t>
  </si>
  <si>
    <t>6 Way SPN DB Double Cover</t>
  </si>
  <si>
    <t>8Way SPN DB Double Cover</t>
  </si>
  <si>
    <t>12 Way SPN DB Double Cover</t>
  </si>
  <si>
    <t>16 Way SPN DB Double Cover</t>
  </si>
  <si>
    <t>3/4 Way TPN DB Double Cover</t>
  </si>
  <si>
    <t>6 Way TPN DB Double Cover</t>
  </si>
  <si>
    <t>8 Way TPN DB Double Cover</t>
  </si>
  <si>
    <t>50 Pair Telephone DB with Crown tag</t>
  </si>
  <si>
    <t>4 wayTPN DB 14"x16"x5"</t>
  </si>
  <si>
    <t>6 wayTPN DB 16"x18"x5"</t>
  </si>
  <si>
    <t>8 wayTPN DB 18"x20"x5"</t>
  </si>
  <si>
    <t>10 wayTPN DB 20"x22"x5"</t>
  </si>
  <si>
    <t>12 wayTPN DB 22"x24"x5"</t>
  </si>
  <si>
    <t>14-16 wayTPN DB 24"x26"x5"</t>
  </si>
  <si>
    <t>4 Pole MCB Box</t>
  </si>
  <si>
    <t>36" Ceiling Fan</t>
  </si>
  <si>
    <t>42" Ceiling Fan</t>
  </si>
  <si>
    <t>48" Ceiling Fan</t>
  </si>
  <si>
    <t>56" Ceiling Fan</t>
  </si>
  <si>
    <t>16" Wall Fan</t>
  </si>
  <si>
    <t>6 " Exhaust fan</t>
  </si>
  <si>
    <t>9" Exhaust Fan</t>
  </si>
  <si>
    <t>12" Exhaust Fan</t>
  </si>
  <si>
    <t>Dome Light 8" Brass Base (decorative)</t>
  </si>
  <si>
    <t>1*10 Watt FCL Down Light (conceal light)</t>
  </si>
  <si>
    <t>Wall Bracket/Spot Light/Mirror Light ( ordinary)</t>
  </si>
  <si>
    <t>Bulk head Single Direct Ord. Decon</t>
  </si>
  <si>
    <t>dfn;fdfg pknAw u/L %) dL=dL= df]6f] x]eL 8o"6L OG6/nls+u s+lqm6Ans %) dL=dL=df]6fOsf] qm;/ 8:6 dfyL /fvL la5ofpg]] sfd k'/f .</t>
  </si>
  <si>
    <t xml:space="preserve">vfgLsf] afn'jf </t>
  </si>
  <si>
    <t>b/ ljZn]if0fsf] nflu ! /=dL= lnOPsf]</t>
  </si>
  <si>
    <t>Supplying and fitting Ready made Teak wood Doors,special (Seasoned and Poisoned treated ,one side teak and other side water proof ply fitting)  with all neccessary hardware all complete.</t>
  </si>
  <si>
    <t>Earth filling in 150 mm thick layer, watering, ramming including supply of filling materials within 6 km distance all complete.</t>
  </si>
  <si>
    <t>Earth filling in 150 mm thick layer, watering, ramming including supply of filling materials within 6 km distance.</t>
  </si>
  <si>
    <t>Earth filling including supply of filling materials within 10 m distance all complete.</t>
  </si>
  <si>
    <t>Earth filling including supply of filling materials within 10 m distance.</t>
  </si>
  <si>
    <t xml:space="preserve">Pumping out of water from foundation or pit. </t>
  </si>
  <si>
    <t>per hour</t>
  </si>
  <si>
    <t>Sand filling including supply of filling materials, watering, ramming etc. all complete</t>
  </si>
  <si>
    <t>Sand filling including supply of filling materials.</t>
  </si>
  <si>
    <t>Machine made  Brickwork in 1:3 C/S mortar up to ground floor in perfect line level finish including wetting the bricks, racking the joints and curing the work for at least 7 days all complete.</t>
  </si>
  <si>
    <t>Machine made  Brickwork in 1:3 C/S mortar up to ground floor.</t>
  </si>
  <si>
    <t xml:space="preserve">Machine made  Brickwork in 1:3 C/S mortar in superstructure in perfect line level finish including wetting the bricks, racking the joints and curing the work for at least 7 days all complete. </t>
  </si>
  <si>
    <r>
      <t xml:space="preserve"> </t>
    </r>
    <r>
      <rPr>
        <sz val="16"/>
        <color indexed="10"/>
        <rFont val="Preeti"/>
      </rPr>
      <t xml:space="preserve">sfnf] kmnfd] kfO{ksf] 6«; agfO{ k|fOd/ k]G6 ;lxt ;fO6df </t>
    </r>
  </si>
  <si>
    <t>Supplying and fitting Ready made Teak wood Doors,ordinary (Seasoned and Poisoned treated ,one side teak and other side water proof ply fitting)  with all neccessary hardware all complete.</t>
  </si>
  <si>
    <t xml:space="preserve">  tof/L 6Ls vfkf Psftkm{ jf6/k|'km KnfO ePsf]</t>
  </si>
  <si>
    <t xml:space="preserve">  tof/L 6Ls vfkf </t>
  </si>
  <si>
    <t>af]N8/ 9'+ufsf] uf/f]df ˆn; ?N8 l6Ksf/ ug]{ sfd .</t>
  </si>
  <si>
    <t>af]N8/ 9'+ufsf] uf/f]df l;d]G6 afn'jf -!M@_ df ˆn; ?N8 l6Ksf/ ug]{ sfd .</t>
  </si>
  <si>
    <t>PZn/ sfddf ˆn; ?N8 l6Ksf/ l;d]G6 afn'jf -!M#_ sfo{ .</t>
  </si>
  <si>
    <r>
      <t xml:space="preserve">$% ;]=dL= </t>
    </r>
    <r>
      <rPr>
        <sz val="8"/>
        <rFont val="Arial"/>
        <family val="2"/>
      </rPr>
      <t>X</t>
    </r>
    <r>
      <rPr>
        <sz val="16"/>
        <rFont val="Preeti"/>
      </rPr>
      <t xml:space="preserve"> $% ;]=dL= r]K6f] 9'+uf 5fk]sf]df -!M#_ l;d]G6 afn'jfsf] l6Ksf/ .</t>
    </r>
  </si>
  <si>
    <r>
      <t>!)</t>
    </r>
    <r>
      <rPr>
        <sz val="14"/>
        <rFont val="Times New Roman"/>
        <family val="1"/>
      </rPr>
      <t>×</t>
    </r>
    <r>
      <rPr>
        <sz val="14"/>
        <rFont val="Preeti"/>
      </rPr>
      <t>!@</t>
    </r>
    <r>
      <rPr>
        <sz val="14"/>
        <rFont val="Times New Roman"/>
        <family val="1"/>
      </rPr>
      <t>/</t>
    </r>
    <r>
      <rPr>
        <sz val="14"/>
        <rFont val="Preeti"/>
      </rPr>
      <t>@=&amp;</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</si>
  <si>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t>
    </r>
  </si>
  <si>
    <r>
      <t xml:space="preserve">5_ </t>
    </r>
    <r>
      <rPr>
        <b/>
        <sz val="12"/>
        <rFont val="Times New Roman"/>
        <family val="1"/>
      </rPr>
      <t>WMN/ZN/PVC</t>
    </r>
  </si>
  <si>
    <t>Supplying and fitting Ready made Teak wood Doors,special (Seasoned and Poisoned treated ,one side teak)  with all neccessary hardware all complete.</t>
  </si>
  <si>
    <r>
      <t>b/ ljZn]if0fsf] nflu !=</t>
    </r>
    <r>
      <rPr>
        <sz val="11"/>
        <rFont val="Preeti"/>
      </rPr>
      <t xml:space="preserve"> j=ld= lnOPsf]</t>
    </r>
  </si>
  <si>
    <t>20/40  Watt FTL Rod  Philips or equivalent</t>
  </si>
  <si>
    <t>150  Watt SV Bulb Philips or equivalent</t>
  </si>
  <si>
    <t>250  Watt SV Bulb Philips or equivalent</t>
  </si>
  <si>
    <t xml:space="preserve"> 2" PVC Listy</t>
  </si>
  <si>
    <t xml:space="preserve"> 1.5" PVC Listy</t>
  </si>
  <si>
    <t>0.75" PVC Listy</t>
  </si>
  <si>
    <t>0.5" PVC Listy</t>
  </si>
  <si>
    <t>6 Amp Uni Socket Switch Combined With Shutter F</t>
  </si>
  <si>
    <t>Dimmer Single 400 Watt F</t>
  </si>
  <si>
    <t>Dimmer Single 800 Watt F</t>
  </si>
  <si>
    <t>DP Switch 16-32 Amp F</t>
  </si>
  <si>
    <t>Telephone Socket Single F</t>
  </si>
  <si>
    <t>Buzzer</t>
  </si>
  <si>
    <t>Musical Bell</t>
  </si>
  <si>
    <t>Ceiling Rose</t>
  </si>
  <si>
    <t>16 Amp 415 Volt DP Main Switch S</t>
  </si>
  <si>
    <t>32 Amp 415 Volt DP Main Switch S</t>
  </si>
  <si>
    <t>63 Amp 415 Volt DP Main Switch S</t>
  </si>
  <si>
    <t>100 Amp 415 Volt DP Main Switch</t>
  </si>
  <si>
    <t>16 Amp 415 Volt TP Main Switch</t>
  </si>
  <si>
    <t>32 Amp 415 Volt TP Main Switch</t>
  </si>
  <si>
    <t>63 Amp 415 Volt TP Main Switch</t>
  </si>
  <si>
    <t>100 Amp 415 Volt TP Main Switch</t>
  </si>
  <si>
    <t>16 Amp 415 Volt TP Main Switch HRC</t>
  </si>
  <si>
    <t>32 Amp 415 Volt TP Main Switch HRC</t>
  </si>
  <si>
    <t>63 Amp 415 Volt TP Main Switch HRC</t>
  </si>
  <si>
    <t>100 Amp 415 Volt TP Main Switch HRC</t>
  </si>
  <si>
    <t>200 Amp 415 Volt TP Switch HRC</t>
  </si>
  <si>
    <t>16 Amp 415 Volt Change over Switch</t>
  </si>
  <si>
    <t>32 Amp 415 Volt Change over Switch</t>
  </si>
  <si>
    <t>63 Amp 415 Volt Change over Switch</t>
  </si>
  <si>
    <t>100 Amp 415 Volt Change over Switch</t>
  </si>
  <si>
    <t>63 Amp Bus Bar Chamber</t>
  </si>
  <si>
    <t>100 Amp Bus Bar Chamber</t>
  </si>
  <si>
    <t>200 Amp Bus Bar Chamber</t>
  </si>
  <si>
    <t>60/100 Panel Board with Suitable color,Floor Mounted Double cover,pushTypeSwitch, Size 9"x36"x48"</t>
  </si>
  <si>
    <t>60/100 Panel Board with Suitable color,Floor Mounted Double cover,pushTypeSwitch, Size 12"x36"x48"</t>
  </si>
  <si>
    <t>150/200 Panel Board with Suitable color,Floor Mounted Double cover,Push Type Switch Size 9"x38"x52"</t>
  </si>
  <si>
    <t>250/300 Panel Board with Suitable color,Floor Mounted Double cover,Push Type Switch Size 12"x48"x60"</t>
  </si>
  <si>
    <t>400 Panel Board with Suitable color,Floor Mounted Double cover,Push Type Switch Size 12"x52"x66"</t>
  </si>
  <si>
    <t>60 Amp MCCB Siemens made</t>
  </si>
  <si>
    <t>100 Amp MCCB Siemens made</t>
  </si>
  <si>
    <t>125 Amp MCCB Siemens made</t>
  </si>
  <si>
    <t>160  Amp MCCB Siemens made</t>
  </si>
  <si>
    <t>200-250 Amp MCCB Siemens made</t>
  </si>
  <si>
    <t>Fencing with 62mm X 62mm size mesh made up of 7mm Ø rods framed on 25X25X4 mm angles and 50mm Ø M.S. blackpipe post in 2m interval including jointting , fixing, erection and primer painting with all necessary M.S. grills and plates as per drawing and inst</t>
  </si>
  <si>
    <t>Fabrication and fixing of  I.S. or B.S. Standard iron section with one coat primer painting all complete</t>
  </si>
  <si>
    <t>Fabrication and fixing of  I.S. or B.S. Standard iron section with one coat primer painting.</t>
  </si>
  <si>
    <t>Ruled pointing work in  (1:3) cement sand mortar on boulder stone work.</t>
  </si>
  <si>
    <t>Ruled pointing work in  (1:3) cement sand mortar on Asler work with good finish including curing as per instruciton all complete.</t>
  </si>
  <si>
    <t>Ruled pointing work in  (1:3) cement sand mortar on Asler work.</t>
  </si>
  <si>
    <t>75 mm dia UPVC cross tee.</t>
  </si>
  <si>
    <t xml:space="preserve">75 mm dia UPVC pipe clip. </t>
  </si>
  <si>
    <t>110 mm dia UPVC vent  cowl.</t>
  </si>
  <si>
    <t>110 mm dia UPVC  plain Tee.</t>
  </si>
  <si>
    <t>110 mm dia UPVC Door Tee</t>
  </si>
  <si>
    <t>110 mm dia UPVC 90 degree bend.</t>
  </si>
  <si>
    <t>110 mm dia UPVC Door bend.</t>
  </si>
  <si>
    <t xml:space="preserve">110 mm dia UPVC 45 degree bend </t>
  </si>
  <si>
    <t xml:space="preserve">110 mm dia UPVC Y branch </t>
  </si>
  <si>
    <t>110 mm dia UPVC cross tee</t>
  </si>
  <si>
    <t>110 mm dia UPVC pipe clip</t>
  </si>
  <si>
    <t xml:space="preserve">110 mm dia UPVC gully trap </t>
  </si>
  <si>
    <t>50 mm dia CI 90 degee bend</t>
  </si>
  <si>
    <t>50 mm dia CI Vent Cowl.</t>
  </si>
  <si>
    <t>Earth filling in 150 mm thick layer, watering, ramming including supply of filling materials within 10 m distance all complete.</t>
  </si>
  <si>
    <t xml:space="preserve">Earth filling in 150 mm thick layer with  watering and ramming </t>
  </si>
  <si>
    <t>Well seasoned salwood chaukhats for fixed/openable door/windows with good finish of approved quality incuding fixing in postion with necessary M.S. hold fasts as per drawing and instruction all complete.</t>
  </si>
  <si>
    <t>Well seasoned salwood chaukhats for fixed/openable door/windows.</t>
  </si>
  <si>
    <t>Making and fitting fixing sal wood Panelled door shutter with 38 mm thick sal wood frame including all necessary hardware fitting all complete.</t>
  </si>
  <si>
    <t>Making and fitting fixing sal wood Panelled door shutter with 38 mm thick sal wood frame.</t>
  </si>
  <si>
    <t xml:space="preserve">Fixing of glazed shutter in 38x75 mm thick sal wood frame with 3mm thick  plain glass fitted including all necessary hardware fittings all complete. </t>
  </si>
  <si>
    <t xml:space="preserve"> white glazed wash basin 55X40mm with brackets 32mm bottle trap,   ½"x18" pipe connector etc  all complete.</t>
  </si>
  <si>
    <t xml:space="preserve"> white glazed wash basin 55X40mm </t>
  </si>
  <si>
    <r>
      <t xml:space="preserve">%) dL=dL= </t>
    </r>
    <r>
      <rPr>
        <sz val="12"/>
        <rFont val="Arial"/>
        <family val="2"/>
      </rPr>
      <t>Ø</t>
    </r>
    <r>
      <rPr>
        <sz val="12"/>
        <rFont val="Preeti"/>
      </rPr>
      <t xml:space="preserve"> sf] sfnf] kmnfd] kfO{k kf]i6 @ dL6/ b"/Ldf @)</t>
    </r>
    <r>
      <rPr>
        <sz val="10"/>
        <rFont val="Arial"/>
        <family val="2"/>
      </rPr>
      <t>x</t>
    </r>
    <r>
      <rPr>
        <sz val="12"/>
        <rFont val="Preeti"/>
      </rPr>
      <t>@)</t>
    </r>
    <r>
      <rPr>
        <sz val="10"/>
        <rFont val="Arial"/>
        <family val="2"/>
      </rPr>
      <t>x</t>
    </r>
    <r>
      <rPr>
        <sz val="12"/>
        <rFont val="Preeti"/>
      </rPr>
      <t>$ dL=dL=/</t>
    </r>
  </si>
  <si>
    <r>
      <t>@)</t>
    </r>
    <r>
      <rPr>
        <sz val="9"/>
        <rFont val="Arial"/>
        <family val="2"/>
      </rPr>
      <t>x</t>
    </r>
    <r>
      <rPr>
        <sz val="11"/>
        <rFont val="Preeti"/>
      </rPr>
      <t>@)</t>
    </r>
    <r>
      <rPr>
        <sz val="9"/>
        <rFont val="Arial"/>
        <family val="2"/>
      </rPr>
      <t>x</t>
    </r>
    <r>
      <rPr>
        <sz val="11"/>
        <rFont val="Preeti"/>
      </rPr>
      <t>$ dL=dL=PËn</t>
    </r>
  </si>
  <si>
    <r>
      <t>@%</t>
    </r>
    <r>
      <rPr>
        <sz val="9"/>
        <rFont val="Arial"/>
        <family val="2"/>
      </rPr>
      <t>x</t>
    </r>
    <r>
      <rPr>
        <sz val="11"/>
        <rFont val="Preeti"/>
      </rPr>
      <t>@%</t>
    </r>
    <r>
      <rPr>
        <sz val="9"/>
        <rFont val="Arial"/>
        <family val="2"/>
      </rPr>
      <t>x</t>
    </r>
    <r>
      <rPr>
        <sz val="11"/>
        <rFont val="Preeti"/>
      </rPr>
      <t>$ dL=dL= PËn</t>
    </r>
  </si>
  <si>
    <r>
      <t xml:space="preserve">!) </t>
    </r>
    <r>
      <rPr>
        <sz val="7"/>
        <rFont val="Arial"/>
        <family val="2"/>
      </rPr>
      <t xml:space="preserve">S.W.G.G. I. Chain </t>
    </r>
    <r>
      <rPr>
        <sz val="8"/>
        <rFont val="Arial"/>
        <family val="2"/>
      </rPr>
      <t xml:space="preserve">Link  </t>
    </r>
    <r>
      <rPr>
        <sz val="11"/>
        <rFont val="Preeti"/>
      </rPr>
      <t>@Æ</t>
    </r>
    <r>
      <rPr>
        <sz val="8"/>
        <rFont val="Arial"/>
        <family val="2"/>
      </rPr>
      <t>x</t>
    </r>
    <r>
      <rPr>
        <sz val="11"/>
        <rFont val="Preeti"/>
      </rPr>
      <t>@Æ sf] d]; ;fOh</t>
    </r>
  </si>
  <si>
    <r>
      <t>kmnfd] kftfsf] lu|n #</t>
    </r>
    <r>
      <rPr>
        <sz val="8"/>
        <rFont val="Arial"/>
        <family val="2"/>
      </rPr>
      <t>x</t>
    </r>
    <r>
      <rPr>
        <sz val="11"/>
        <rFont val="Preeti"/>
      </rPr>
      <t>@) dL=dL=</t>
    </r>
  </si>
  <si>
    <t xml:space="preserve"> 40mm dia galvanized Iron (GI) pipe  necessary hardware  all complete.</t>
  </si>
  <si>
    <t>Flush door shutter of 38 x 100 mm size sal wood frame with 4 mm teak ply on both side.</t>
  </si>
  <si>
    <t>Making and fitting flush door shutter of 38 x 100 mm size sal wood frame with 28gauge G.I thick G.I  plain sheet on both side including all necessary hardware fitting all complete.</t>
  </si>
  <si>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</si>
  <si>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r>
      <t>6mmm th Flex-O Board</t>
    </r>
    <r>
      <rPr>
        <sz val="13"/>
        <rFont val="Preeti"/>
      </rPr>
      <t xml:space="preserve"> sf] tof/L </t>
    </r>
    <r>
      <rPr>
        <sz val="10"/>
        <rFont val="Arial"/>
        <family val="2"/>
      </rPr>
      <t>false ceiling</t>
    </r>
  </si>
  <si>
    <t>Fittings for Tiles on stairs</t>
  </si>
  <si>
    <t>Dendrite for tiles</t>
  </si>
  <si>
    <t>Wall Paper</t>
  </si>
  <si>
    <t>Wall paper (10m.x 0.53m)</t>
  </si>
  <si>
    <t xml:space="preserve">/f]n  </t>
  </si>
  <si>
    <t>Fittings for wall paper</t>
  </si>
  <si>
    <t>White glue for wall paper</t>
  </si>
  <si>
    <t xml:space="preserve">Water proofing chemical </t>
  </si>
  <si>
    <t xml:space="preserve"> i) 2 coat of tape crete</t>
  </si>
  <si>
    <t>ii) Water  proofing treatment in grouting</t>
  </si>
  <si>
    <t>iii) Waterproofing treatment in seal wall</t>
  </si>
  <si>
    <t>iv) Pre construction anti termite treatment</t>
  </si>
  <si>
    <t xml:space="preserve">Waterproofing treatment </t>
  </si>
  <si>
    <t xml:space="preserve"> i) Wall guard (Interior wall coating )</t>
  </si>
  <si>
    <t>ii) Seal on roof, water proof coating work</t>
  </si>
  <si>
    <t>iii) Seal, long life exterior  coating on plastered surface</t>
  </si>
  <si>
    <t>iv) Water repellent on exposed bricks and stones</t>
  </si>
  <si>
    <t>s'lbPsf] sf7sf] sfd tof/L</t>
  </si>
  <si>
    <t>k/Dk/fut lgdf{0f ;fdfu|Lx? M–</t>
  </si>
  <si>
    <t xml:space="preserve">#_ blrckf 7"nf]sf] s'+ </t>
  </si>
  <si>
    <t xml:space="preserve">$_ blrckf ;fgf]sf] s'F ckf </t>
  </si>
  <si>
    <t xml:space="preserve">(G.M.) check valve 100mm dia medium quality with flange </t>
  </si>
  <si>
    <t>PVC floor trap 11x7.5 cm  all complete.</t>
  </si>
  <si>
    <t>20mm thick cement sand plaster in (1:4) ratio on floor.</t>
  </si>
  <si>
    <t>20mm thick cement sand plaster in (1:6) ratio on floor of good finish including racking the joint, wetting of surfaces &amp; curing the work all complete.</t>
  </si>
  <si>
    <t>20mm thick cement sand plaster in (1:6) ratio on floor .</t>
  </si>
  <si>
    <t>25mm thick Leon plaster in wall of good finish including racking the joint, wetting of surfaces &amp; curing the work all complete.</t>
  </si>
  <si>
    <t>25mm thick Leon plaster in wall.</t>
  </si>
  <si>
    <t>12mm thick Leon plaster in wall of good finish including racking the joint, wetting of surfaces &amp; curing the work all complete.</t>
  </si>
  <si>
    <t>12mm thick Leon plaster in wall.</t>
  </si>
  <si>
    <t xml:space="preserve"> 110 mm dia CI  P or S Trap</t>
  </si>
  <si>
    <t>110 mm dia CI  Plain Tee</t>
  </si>
  <si>
    <t>110 mm dia CI  Y-Branch</t>
  </si>
  <si>
    <t>110 mm dia CI Door bend</t>
  </si>
  <si>
    <t>Hard Soil Cutting (for Well)</t>
  </si>
  <si>
    <t>Cu.m.</t>
  </si>
  <si>
    <t>4' Ø R.C.C. Ring for Well fitting</t>
  </si>
  <si>
    <t>3'6" Ø R.C.C. Ring for Well fitting</t>
  </si>
  <si>
    <t>3' Ø R.C.C. Ring for Well fitting</t>
  </si>
  <si>
    <t>2'6" Ø R.C.C. Ring for Well fitting</t>
  </si>
  <si>
    <t>150 mm dia CI Vent Cowl.</t>
  </si>
  <si>
    <t>IPWC comode with cistern and comode seat cover all complete set (European pattern)</t>
  </si>
  <si>
    <t>IPWC comode with cistern and comode seat cover all complete set (Eoropean pattern)</t>
  </si>
  <si>
    <t>Under counter wash basin  all complete set (European pattern)</t>
  </si>
  <si>
    <t>Under counter wash basin  all complete set (Eoropean pattern)</t>
  </si>
  <si>
    <t>C P Towel ring  (European pattern)</t>
  </si>
  <si>
    <t>C P Towel ring  (Eoropean pattern)</t>
  </si>
  <si>
    <t>C P High flow divertor with single lever  (European pattern)</t>
  </si>
  <si>
    <t>1 coats of bitumen (Alkatra) painting over porperly cleaned surface all complete</t>
  </si>
  <si>
    <t>2 coats of bitumen (Alkatra) painting over porperly cleaned surface all complete</t>
  </si>
  <si>
    <t>Three coats of chapra polishing in wood surfaces with approved colour in properly sanded surface including sealing voids with putting all complete.</t>
  </si>
  <si>
    <t>1 coats of Tata red oxide painting over porperly cleaned surface all complete</t>
  </si>
  <si>
    <t>Two coats of tata red oxide painting with approved colour in properly cleaned surface including sealing voids with putting all complete.</t>
  </si>
  <si>
    <t xml:space="preserve">Two coats of tata red oxide painting with approved colour in properly cleaned surface </t>
  </si>
  <si>
    <t>Flush pointing work in  (1:1) cement sand mortar on brick works with good finish including curing as per instruciton all complete.</t>
  </si>
  <si>
    <t>Flush pointing work in  (1:1) cement sand mortar on brick works.</t>
  </si>
  <si>
    <t>Ruled pointing work in  (1:1) cement sand mortar on brick works with good finish including curing as per instruciton all complete.</t>
  </si>
  <si>
    <t>Ruled pointing work in  (1:1) cement sand mortar on brick works.</t>
  </si>
  <si>
    <t xml:space="preserve"> 500 lit capacity PVC water tank HilTake or equivalent</t>
  </si>
  <si>
    <t>500 lit capacity PVC water tank HilTake or equivalent</t>
  </si>
  <si>
    <t xml:space="preserve"> 2000 lit capacity PVC water tank HilTake or equivalent</t>
  </si>
  <si>
    <t>2000 lit capacity PVC water tank HilTake or equivalent</t>
  </si>
  <si>
    <t xml:space="preserve"> 1HPChinese Water Pump</t>
  </si>
  <si>
    <t>1HPChinese Water Pump</t>
  </si>
  <si>
    <t>#÷$Æ Jof; ePsf] @=^% dL=dL= </t>
  </si>
  <si>
    <t>!Æ Jof; ePsf] @=^% dL=dL= </t>
  </si>
  <si>
    <t>! !÷$Æ Jof; ePsf] @=^% dL=dL= </t>
  </si>
  <si>
    <t>! !÷@Æ Jof; ePsf] @=^% dL=dL= </t>
  </si>
  <si>
    <t xml:space="preserve"> @Æ Jof; ePsf] @=^% dL=dL= </t>
  </si>
  <si>
    <t>#÷$Æ Jof; ePsf]  !^ u]h df]6fO{</t>
  </si>
  <si>
    <t>!Æ Jof; ePsf]  !^ u]h df]6fO{</t>
  </si>
  <si>
    <t>! !÷$Æ Jof; ePsf] !^ u]h df]6fO{</t>
  </si>
  <si>
    <t>! !÷@Æ Jof; ePsf] !^ u]h df]6fO{</t>
  </si>
  <si>
    <t xml:space="preserve"> @Æ Jof; ePsf] !^ u]h df]6fO{</t>
  </si>
  <si>
    <t xml:space="preserve">l;d]G6df, afn'jf, lu§L cflbsf] sfd tyf ;fdfgx? ;DaGwL </t>
  </si>
  <si>
    <t>Flush pointing work in  (1:2) cement sand mortar on brick works with good finish including curing as per instruciton all complete.</t>
  </si>
  <si>
    <t>Flush pointing work in  (1:2) cement sand mortar on brick works.</t>
  </si>
  <si>
    <t>12.5mm thick cement sand plaster in (1:6) ratio on wall.</t>
  </si>
  <si>
    <t>2 Gang  one way Switch F</t>
  </si>
  <si>
    <t>2Gang one way Switch S</t>
  </si>
  <si>
    <t>3 Gang  one way Switch F</t>
  </si>
  <si>
    <t>3 Gang one way Switch S</t>
  </si>
  <si>
    <t>4 Gang  one way Switch F</t>
  </si>
  <si>
    <t>4 Gang one way Switch S</t>
  </si>
  <si>
    <t>6 Gang  one way Switch F</t>
  </si>
  <si>
    <t>6 Gang  one way Switch S</t>
  </si>
  <si>
    <t>8 Gang  one way Switch F</t>
  </si>
  <si>
    <t>8 Gang  one way Switch S</t>
  </si>
  <si>
    <t>1 Gang  one Bell Push F</t>
  </si>
  <si>
    <t>1 Gang  one Bell Push S</t>
  </si>
  <si>
    <t>16/6 Amp Combined S/Socket With Safety Shutter F</t>
  </si>
  <si>
    <t>16/6 Amp Combined S/Socket With Safety ShutterS</t>
  </si>
  <si>
    <t>16 Amp 3 pin Plug Top</t>
  </si>
  <si>
    <t>20/25 Amp SP AC motor starter with 6/16 Amp Power socket</t>
  </si>
  <si>
    <t>1 Gang 1 one way Switch F</t>
  </si>
  <si>
    <t>1 Gang 2 way Switch F</t>
  </si>
  <si>
    <t>2 Gang 2 one way Switch F</t>
  </si>
  <si>
    <t>3 Gang 3 one way Switch F</t>
  </si>
  <si>
    <t>4 Gang 4 one way Switch F</t>
  </si>
  <si>
    <t>5 Gang 5 one way Switch F</t>
  </si>
  <si>
    <t>12.5mm thick lime surki plaster in (1:2) ratio on wall and ceiling.</t>
  </si>
  <si>
    <t>20mm thick lime surki plaster in (1:2) ratio on wall and ceiling of good finish including racking the joint, wetting of surfaces &amp; curing the work all complete.</t>
  </si>
  <si>
    <t>20mm thick lime surki plaster in (1:2) ratio on wall and ceiling of good finish.</t>
  </si>
  <si>
    <t>20mm thick cement sand plaster in (1:3) ratio on wall of good finish including racking the joint, wetting of surfaces &amp; curing the work all complete.</t>
  </si>
  <si>
    <t>20mm thick cement sand plaster in (1:3) ratio on wall.</t>
  </si>
  <si>
    <t>-Hofnf ;lxt_</t>
  </si>
  <si>
    <t>cfNd'lgodsf</t>
  </si>
  <si>
    <t>b/ /]6 k|lt j= dL=sf]</t>
  </si>
  <si>
    <t>b/ ljZn]if0fsf] nflu !) Jf=dL= lnOPsf]</t>
  </si>
  <si>
    <t>b/ ljZn]if0fsf] nflu ! Jf=dL= lnOPsf]</t>
  </si>
  <si>
    <t>df]l6{; ns                                                             -;fwf/0f_</t>
  </si>
  <si>
    <t xml:space="preserve"> ^ dL=dL= jf6/k|'km KnfO{p8</t>
  </si>
  <si>
    <t xml:space="preserve">channel fixing 9.0-12.5mm thick MPL (metalised polyster laminated) board or MPL boral  </t>
  </si>
  <si>
    <t>UPVC</t>
  </si>
  <si>
    <t>df]ljsn</t>
  </si>
  <si>
    <t>-</t>
  </si>
  <si>
    <t>$ dL=dL= 6Ls KnfOp8</t>
  </si>
  <si>
    <t xml:space="preserve">d;nfdf nufO{ 3f]6\g] / kflnz ug]{ . </t>
  </si>
  <si>
    <t>km\nf]l/Ë sfo{sf nflu afn'jfn] eg]{ sfd .</t>
  </si>
  <si>
    <t>lgdf{0f ;fdu|L / lkml6Ë sfo{ ;d]t</t>
  </si>
  <si>
    <t xml:space="preserve"> nufpg] sfd, O{+6f pknAw ug]{, d;nf tof/ u/L d;nfdf uf/f]</t>
  </si>
  <si>
    <t xml:space="preserve">Good quality local chimney made  Brickwork in 1:4 C/S mortar up to ground floor in perfect line level finishe including wetting the bricks, racking the joints and curing the work for at least 7 days all complete. </t>
  </si>
  <si>
    <t>Good quality local chimney made  Brickwork in 1:4 C/S mortar up to ground floor .</t>
  </si>
  <si>
    <t xml:space="preserve">Good quality local chimney made  Brickwork in 1:4 C/S mortar in superstructure in perfect line level finish including wetting the bricks, racking the joints and curing the work for at least 7 days all complete. </t>
  </si>
  <si>
    <t>Good quality local chimney made  Brickwork in 1:4 C/S mortar in superstructure.</t>
  </si>
  <si>
    <t xml:space="preserve">Good quality local chimney made  Brickwork in 1:6 C/S mortar up to ground floor in perfect line level finishe including wetting the bricks, racking the joints and curing the work for at least 7 days all complete. </t>
  </si>
  <si>
    <t>Good quality local chimney made  Brickwork in 1:6 C/S mortar up to ground floor.</t>
  </si>
  <si>
    <t xml:space="preserve">Good quality local chimney made  Brickwork in 1:6 C/S mortar in superstructure in perfect line level finish including wetting the bricks, racking the joints and curing the work for at least 7 days all complete. </t>
  </si>
  <si>
    <t>Good quality local chimney made  Brickwork in 1:6 C/S mortar in superstructure.</t>
  </si>
  <si>
    <t xml:space="preserve">Local chimney made  Brickwork in mud mortar for up to ground floor in perfect line level finish including wetting the bricks and racking the joints all complete. </t>
  </si>
  <si>
    <t>Local chimney made  Brickwork in mud mortar for up to ground floor .</t>
  </si>
  <si>
    <t xml:space="preserve">Local chimney made  Brickwork in mud mortar for superstructure in perfect line level finish including wetting the bricks and racking the joints all complete. </t>
  </si>
  <si>
    <t>t]lnof O{6f 5fk]sf]df l;d]G6 afn'jf -!M!_ l6Ksf/ .</t>
  </si>
  <si>
    <t xml:space="preserve">Good quality local chimney made  Brickwork in 1:3 C/S mortar up to ground floor in perfect line level finishe including wetting the bricks, racking the joints and curing the work for at least 7 days all complete. </t>
  </si>
  <si>
    <t>Good quality local chimney made  Brickwork in 1:3 C/S mortar up to ground floor.</t>
  </si>
  <si>
    <t xml:space="preserve">Good quality local chimney made  Brickwork in 1:3 C/S mortar in superstructure in perfect line level finish including wetting the bricks, racking the joints and curing the work for at least 7 days all complete. </t>
  </si>
  <si>
    <t>Good quality local chimney made  Brickwork in 1:3 C/S mortar in superstructure.</t>
  </si>
  <si>
    <t>Making and fitting fixing Plywood Panel door shutter of 38 x 100 mm size sal wood frame with 8 mm thick commercial ply on midle and 4mm thick teak ply on both sides including all necessary hardware fitting all complete.</t>
  </si>
  <si>
    <t>13  Amp Round Elat Switch Socket F</t>
  </si>
  <si>
    <t>Two Switch + Socket</t>
  </si>
  <si>
    <t>T.V Socket Single</t>
  </si>
  <si>
    <t>Telephone Socket Single</t>
  </si>
  <si>
    <t>50-60mm thick flag stone paving work in (1:4) C/S mortar .</t>
  </si>
  <si>
    <t>50-62mm thick flag stone paving work in (1:4) C/S mortar  including curing etc all complete.</t>
  </si>
  <si>
    <t>50-62mm thick flag stone paving work in (1:4) C/S mortar .</t>
  </si>
  <si>
    <t>60mm thick inter locking concrete block paving with 50mm.th. Stone dust all complete</t>
  </si>
  <si>
    <t>60mm thick flag stone paving work on stone dust.</t>
  </si>
  <si>
    <t>70mm thick inter locking concrete block paving with 50mm.th. Stone dust all complete</t>
  </si>
  <si>
    <t>70mm thick flag stone paving work on stone dust.</t>
  </si>
  <si>
    <t>25-37.5 mm thick flag stone paving work in (1:4) C/S mortar  including curing etc all complete.</t>
  </si>
  <si>
    <t>25-37.5 mm thick flag stone paving work in (1:4) C/S mortar.</t>
  </si>
  <si>
    <t>25 mm thick Telia brick paving work in (1:2) surki mortar and pointing the joints with 1:1 C/S mortar including curing etc all complete.</t>
  </si>
  <si>
    <t>25 mm thick Telia brick paving work in (1:2) surki mortar and pointing the joints with 1:1 C/S mortar.</t>
  </si>
  <si>
    <t>Local flat brick soiling work in (1:6) Cement Sand mortar and pointing joint in (1:2)cement sand .</t>
  </si>
  <si>
    <t>Local brick on edge soiling work in (1:6) Cement Sand mortar and pointing joint in (1:2)cement sand .</t>
  </si>
  <si>
    <t>Local flat brick soiling work with sand filling.</t>
  </si>
  <si>
    <t>Dry brick soling brick on edge in foundation and floor.</t>
  </si>
  <si>
    <t>Dry stone soling in foundation and floor including sand filling in joints, leveling, watering etc. all complete.</t>
  </si>
  <si>
    <t>Flat dry brick soling on flat in foundation and floor including sand filling in joints, leveling, ramming etc. all complete</t>
  </si>
  <si>
    <t>1x20 Watt F.T.L Patti fitting Phillips/Wipro/GE  or equivalent</t>
  </si>
  <si>
    <t>1x40 Watt F.T.L Patti fitting Phillips/Wipro/GE  or equivalent</t>
  </si>
  <si>
    <t>1x20 Watt F.T.L Mirrolta FMC 200/140 Phillips or equivalent</t>
  </si>
  <si>
    <t>1x40 Watt F.T.L Mirrolta FMC 200/140 Phillips or equivalent</t>
  </si>
  <si>
    <t>2*18 watt CFL recessed / surface mounting mirror optic</t>
  </si>
  <si>
    <t>1*11 watt CFL mirror optic</t>
  </si>
  <si>
    <t>1x40  Watt F.T.L Box Fitting TMC 501/136 HPF Phillips/Wipro/GE or equivalent</t>
  </si>
  <si>
    <t>1x40 Watt FTL IndustrialChannel Stove Enamelled Reflector Phillips/Wipro/GE  or eqv</t>
  </si>
  <si>
    <t>2x40 Watt FTL IndustrialChannel Stove Enamelled Reflector Phillips/Wipro/GE  or eqv</t>
  </si>
  <si>
    <t>1x40  Watt F.T.L Opalite with Acrylic Difuser TCS 19/136 Philips or equivalent</t>
  </si>
  <si>
    <t>2x40  Watt F.T.L Opalite with Acrylic Difuser TCS 19/236 Philips or equivalent</t>
  </si>
  <si>
    <t xml:space="preserve">4x18/20  Watt F.T.L Dished Opal  Acrylic Cover/mirror optic TBC 71/420 HPF, 72/420 Philips </t>
  </si>
  <si>
    <t xml:space="preserve"> all complete work.</t>
  </si>
  <si>
    <t>O{n]:6«f]qm]6 l;d]G6Llgo;\ O{n]:6f]d]l6«s jf6/ k|'lkmËsf</t>
  </si>
  <si>
    <t>kmnfd] 3'Dg] e¥ofË</t>
  </si>
  <si>
    <t>BOQ, Abstract and Item Rates of F.Y. 2064/65</t>
  </si>
  <si>
    <t>S.N.</t>
  </si>
  <si>
    <t>Description for BOQ</t>
  </si>
  <si>
    <t>Description for Abstract and Comparative chart</t>
  </si>
  <si>
    <t>Unit</t>
  </si>
  <si>
    <t>Rate</t>
  </si>
  <si>
    <t>300-400 Amp MCCB Siemens made</t>
  </si>
  <si>
    <t>Voltmeter (0-500)</t>
  </si>
  <si>
    <t>Indicator</t>
  </si>
  <si>
    <t>Slector Switch</t>
  </si>
  <si>
    <t>C.T.Coil</t>
  </si>
  <si>
    <t>Energy meter</t>
  </si>
  <si>
    <t>Join Box Metal 4"x6"</t>
  </si>
  <si>
    <t>Join Box Metal 6"x8"</t>
  </si>
  <si>
    <t>Join Box Metal 8"x12"</t>
  </si>
  <si>
    <t>Join Box Metal 8"x10"</t>
  </si>
  <si>
    <t>Join Box PVC 4"x6"</t>
  </si>
  <si>
    <t>Join Box PVC 8"x10"</t>
  </si>
  <si>
    <t>NP2 RCC Hume pie with collar including 1:4 cement sand mortar 150 mm dia</t>
  </si>
  <si>
    <t>NP2 RCC Hume pie with collar including 1:4 cement sand mortar 200 mm dia</t>
  </si>
  <si>
    <t>2 coat of polymer coat for under ground water tank</t>
  </si>
  <si>
    <t>C,P spreader</t>
  </si>
  <si>
    <t>e) Double casement window</t>
  </si>
  <si>
    <t>b/ /]6 k|lt /=dL=sf]</t>
  </si>
  <si>
    <t xml:space="preserve">gf]6 M ut cf=j=sf] b//]6 cg';f/ </t>
  </si>
  <si>
    <t>11.11/6x0.90=1.65</t>
  </si>
  <si>
    <t>!^ dL=dL= dfj{n</t>
  </si>
  <si>
    <t>g) ,,       ,,       ,,     with centre &amp; bottom fixed</t>
  </si>
  <si>
    <t>h) Single casement window with side fixed</t>
  </si>
  <si>
    <t>Supplying and installation of UPVC Profile Casement Door frame 60x60 mm , Casement door sash 104x60 mm, Casement window mullion 72x60 mm, door panel 100x25 mm  white colour with galvanized steel reinforcement of 1.5 mm, 5 mm thick clear glass, insect net,</t>
  </si>
  <si>
    <t>Casement door with half glass &amp; panel</t>
  </si>
  <si>
    <r>
      <t>UPVC</t>
    </r>
    <r>
      <rPr>
        <b/>
        <sz val="12"/>
        <color indexed="10"/>
        <rFont val="Preeti"/>
      </rPr>
      <t xml:space="preserve"> sf]] ‰ofn, 9f]sf tyf </t>
    </r>
    <r>
      <rPr>
        <b/>
        <sz val="10"/>
        <color indexed="10"/>
        <rFont val="Arial"/>
        <family val="2"/>
      </rPr>
      <t>wall partition</t>
    </r>
    <r>
      <rPr>
        <b/>
        <sz val="12"/>
        <color indexed="10"/>
        <rFont val="Preeti"/>
      </rPr>
      <t xml:space="preserve"> sf lgdf{0f ;fdfu|Lx? </t>
    </r>
    <r>
      <rPr>
        <b/>
        <sz val="10"/>
        <color indexed="10"/>
        <rFont val="Arial"/>
        <family val="2"/>
      </rPr>
      <t>(Certified by ISO 9001-2000, ISO 14001:2004, ISO 527-2:1993, ISO 178:2001, iec 60695-2-11:2001, ASTM D4226-00, 91/338/EEC) Asper approved District rate of 068-069 page no.27 to 28</t>
    </r>
  </si>
  <si>
    <r>
      <t>150 mm dia NP</t>
    </r>
    <r>
      <rPr>
        <vertAlign val="superscript"/>
        <sz val="10"/>
        <rFont val="Arial"/>
        <family val="2"/>
      </rPr>
      <t xml:space="preserve">2 </t>
    </r>
    <r>
      <rPr>
        <sz val="10"/>
        <rFont val="Arial"/>
        <family val="2"/>
      </rPr>
      <t>RCC Hume pipe including collar with all complete.</t>
    </r>
  </si>
  <si>
    <r>
      <t>Fixing /laying 200 mm dia NP</t>
    </r>
    <r>
      <rPr>
        <vertAlign val="superscript"/>
        <sz val="10"/>
        <rFont val="Arial"/>
        <family val="2"/>
      </rPr>
      <t xml:space="preserve">2 </t>
    </r>
    <r>
      <rPr>
        <sz val="10"/>
        <rFont val="Arial"/>
        <family val="2"/>
      </rPr>
      <t>RCC Hume pipe with collar including 1:4 cement sand mortar all complete.</t>
    </r>
  </si>
  <si>
    <t xml:space="preserve"> of Kitchen sink stainless steel 90 cm long  and instruction all complete. EXCEPT PILLER COCK</t>
  </si>
  <si>
    <t xml:space="preserve"> Kitchen sink stainless steel 90 cm long. EXCEPT PILLER COCK</t>
  </si>
  <si>
    <t xml:space="preserve"> 500lit with 5panel(1800x900mm) solar panel with 4 K.W electric booster complete set.</t>
  </si>
  <si>
    <t xml:space="preserve"> of 110 PVC pipe of 6 kg/cm2  and instruction all complete.</t>
  </si>
  <si>
    <t xml:space="preserve"> of 150 PVC pipe of 4 kg/cm2  and instruction all complete.</t>
  </si>
  <si>
    <t>C.P.  Wash basin Hot and Cold 15 mm dia. Basin mixer</t>
  </si>
  <si>
    <t>15mm dia galvanized Iron (GI) pipe  with necessary hardware  all complete.(Heavy)</t>
  </si>
  <si>
    <t xml:space="preserve"> 20mm dia galvanized Iron (GI) pipe with necessary hardware  all complete.(Heavy)</t>
  </si>
  <si>
    <t xml:space="preserve"> 25mm dia galvanized Iron (GI) pipe  with necessary hardware  all complete.(Heavy)</t>
  </si>
  <si>
    <t xml:space="preserve"> 32mm dia galvanized Iron (GI) pipe  with necessary hardware  all complete.(Heavy)</t>
  </si>
  <si>
    <t>8" Globe type Post top lamp complete set Homedec,DECON or ISI eqv..</t>
  </si>
  <si>
    <t>10" Globe type Post top lamp complete set Homedec,DECON or ISI eqv..</t>
  </si>
  <si>
    <t>Exit Light safty sign</t>
  </si>
  <si>
    <t>IS 3043 Copper Plate 80x80x3.15</t>
  </si>
  <si>
    <t>IS 3043 Copper Plate 65x65x3.15</t>
  </si>
  <si>
    <t>G.NO 8 Plastic Coated Cu. Wire</t>
  </si>
  <si>
    <t>9 Meter Steel Tubelar Pole ( Bottom 134mm dia,3300mm ht,155mm dia 2250mm ht,90mm dia 2250 ht and 76mm dia 1650mm ht with over lapping of 200mm,150mm,100mm respectively)</t>
  </si>
  <si>
    <t>7 Meter Steel Tubelar Pole ( Bottom 115mm dia,3300mm ht,90mm dia 2400mm ht, and 76mm dia 1650mm ht with over lapping of 200mm,150mm,100mm respectively)</t>
  </si>
  <si>
    <t>7 Meter Steel Tubelar Pole ( Bottom 115mm dia,3100mm ht,90mm dia 2300mm ht, and 76mm dia 1600mm ht with WELDED joints.</t>
  </si>
  <si>
    <t>Concelled Wiring</t>
  </si>
  <si>
    <t>1.5mm2 PVC insulated copper wire</t>
  </si>
  <si>
    <t>2.5mm2 PVC insulated copper wire</t>
  </si>
  <si>
    <t>4.0mm2 PVC insulated copper wire</t>
  </si>
  <si>
    <t>6.0mm2 PVC insulated copper wire</t>
  </si>
  <si>
    <t>10.0mm2PVC insulated copper wire</t>
  </si>
  <si>
    <t>Surface Wiring</t>
  </si>
  <si>
    <t>Multistrand Flexible wire( 1 coil=91.44M)</t>
  </si>
  <si>
    <t>4mm2 4 core Nepal, Prakash Or NS</t>
  </si>
  <si>
    <t>6 mm2 4 core Nepal, Prakash Or NS</t>
  </si>
  <si>
    <t>10 mm2 4 core Nepal, Prakash Or NS</t>
  </si>
  <si>
    <t>16 mm2 4 core Nepal, Prakash Or NS</t>
  </si>
  <si>
    <t>25 mm2 4 core Nepal, Prakash Or NS</t>
  </si>
  <si>
    <t>4 mm22 core Nepal, Prakash Or NS</t>
  </si>
  <si>
    <t>16 mm2 Cable Shoe</t>
  </si>
  <si>
    <t>1 Gang 1 Two way Switch F.</t>
  </si>
  <si>
    <t>3 Gang one way Switch  F</t>
  </si>
  <si>
    <t xml:space="preserve">Supplying and laying of Godawari(30cm.x30cm) marbal in cement sand motar (1:2) ratio with approved colour on floors, skirting and wall s all complete. </t>
  </si>
  <si>
    <t xml:space="preserve">Supplying and laying of 16mm thick granite in cement sand motar (1:2) ratio with approved colour on floors, skirting and wall s all complete. </t>
  </si>
  <si>
    <t>Supplying and applying white cement putty on ceiling and wall with line and level all complete</t>
  </si>
  <si>
    <t>Supplying and laying 100mm long 12mmthick parquate skirting in line and level with painting all complete.</t>
  </si>
  <si>
    <t>Supplying and fitting 100x75mm sal/sisau hand rail on 150x150mm special post,75x75mm sal wood baluster for railling all complete.</t>
  </si>
  <si>
    <t>nufpg] sfd O{+6f pknAw ug]{, d;nf tof/ u/L d;nfdf uf/f] nufpg] sfd</t>
  </si>
  <si>
    <t>#) dL6/;Dd 9'jfgL ;lxt</t>
  </si>
  <si>
    <t>s_ l;kfn'</t>
  </si>
  <si>
    <t>6f/km]N6</t>
  </si>
  <si>
    <t>b'O{ tx 6f/km]N6 nufpg] sfd .</t>
  </si>
  <si>
    <t>8]Dk k|'km u|]8 6f/km]N8 Ps tx nufpg] .</t>
  </si>
  <si>
    <t xml:space="preserve">&gt;lds </t>
  </si>
  <si>
    <t>HofdL</t>
  </si>
  <si>
    <t>!)–!@</t>
  </si>
  <si>
    <t>6fOn 5fgf eTsfO{ To;af6 ePsf] 6fOn sf7 cflb !) dL= k/ ;fg{ nufO{</t>
  </si>
  <si>
    <t>/fd|/L yGsfpg] sfd .</t>
  </si>
  <si>
    <t>x6fpg] sfd .</t>
  </si>
  <si>
    <t>xv) Special addittive CZ-500</t>
  </si>
  <si>
    <t>Bridge  Materials</t>
  </si>
  <si>
    <t>i) Structural Steel with Fabrication</t>
  </si>
  <si>
    <t>Kg</t>
  </si>
  <si>
    <t xml:space="preserve">ii) Reinforcement Steel </t>
  </si>
  <si>
    <t>iii) Cutting and Bending</t>
  </si>
  <si>
    <t>iv) Φ 13 mm thimble</t>
  </si>
  <si>
    <t>Pc</t>
  </si>
  <si>
    <t>v) Φ 26 mm thimble</t>
  </si>
  <si>
    <t>vi) Φ 32 mm thimble</t>
  </si>
  <si>
    <t>vii) Φ 36 mm thimble</t>
  </si>
  <si>
    <t>viii) Φ 40 mm thimble</t>
  </si>
  <si>
    <t>ix) Φ 13 mm Bulldog grip</t>
  </si>
  <si>
    <t>x) Φ 26 mm Bulldog grip</t>
  </si>
  <si>
    <t>xi) Φ 32 mm Bulldog grip</t>
  </si>
  <si>
    <t>xii) Φ 36 mm Bulldog grip</t>
  </si>
  <si>
    <t>xiii) Φ 40 mm Bulldog grip</t>
  </si>
  <si>
    <t>a) Φ 13 mm Wire rope</t>
  </si>
  <si>
    <t>m</t>
  </si>
  <si>
    <t>&gt;lds cfO6d g+= !)–!&amp;cg';f/ lnOPsf]</t>
  </si>
  <si>
    <t>Ps sf]6 c:t/ u/L b'O{ sf]6 Pk]S; k]G6 ug]{ sfd .</t>
  </si>
  <si>
    <t>Ps tx Knfli6s km]N6 nufpg] sfd .</t>
  </si>
  <si>
    <t>Knfli6s km]N6</t>
  </si>
  <si>
    <t>?lkmË u|]8lj6'ldg</t>
  </si>
  <si>
    <t>v&gt;f] afn'jf vf]nfsf]</t>
  </si>
  <si>
    <t>b'O{ tx Knfli6s km]N6 nufpg] sfd .</t>
  </si>
  <si>
    <t>$) dL=dL=9'+uf -qm;\8_ /f]8f</t>
  </si>
  <si>
    <t>@) dL=dL=9'+uf -qm;\8_ /f]8f</t>
  </si>
  <si>
    <t>!) dL=dL=9'+uf -qm;\8_ /f]8f</t>
  </si>
  <si>
    <t>b/ ljZn]if0fsf] nflu !) /=ld= lnOPsf]</t>
  </si>
  <si>
    <t xml:space="preserve"> s]=hL=</t>
  </si>
  <si>
    <t xml:space="preserve"> /=dL=</t>
  </si>
  <si>
    <t xml:space="preserve"> kfs]6</t>
  </si>
  <si>
    <t xml:space="preserve">cu|fv sf7sf] rf}s; agfO hf]8\g] sfd . </t>
  </si>
  <si>
    <t>k'/fgf] ;txdf lnG;L8 cfonn] k'5L tof/L Ogfd]n k]G6 ! sf]6 nufpg] sfd .</t>
  </si>
  <si>
    <t>l;d]G6 jf jh|df hf]8]sf] uf/f] eTsfO{ To;af6 cfPsf] ;fdfu+|L !) dL= x6fpg] sfd .</t>
  </si>
  <si>
    <t>af]8/ 6fOn</t>
  </si>
  <si>
    <t>!!–&amp; s</t>
  </si>
  <si>
    <t>A very effective water proof polymer based coating for heavy duty jobs. Two coats are recommended with a fiber mesh layer in between, to enhance strength and bond.</t>
  </si>
  <si>
    <t>sq.ft.</t>
  </si>
  <si>
    <t>WAPCOT</t>
  </si>
  <si>
    <t>A silicone based water repellant. It is to be sprayed on dry walls to check seepage, fungus growth, salt-peter actions etc. Remains effective over the years.</t>
  </si>
  <si>
    <t>OPAL – GROUT</t>
  </si>
  <si>
    <t>An excellent grouting material for injection grouting under pressure through nozzles using a 30 psi pump. Very effective in concrete /masonary works.</t>
  </si>
  <si>
    <t>OPAL – PROOF:</t>
  </si>
  <si>
    <t>It is a concrete/mortar admixture in liquid form that acts as a highly efficient plasticizer and water proofing compound. It conforms to IS:2645:1975</t>
  </si>
  <si>
    <t>ltr.</t>
  </si>
  <si>
    <t>OPAL – XCEL</t>
  </si>
  <si>
    <t>Rubble masonry work in inclined level in 1:3 C/S mortar.</t>
  </si>
  <si>
    <t>-jfF;, e¥ofË, 8f]/L cflb_</t>
  </si>
  <si>
    <r>
      <t xml:space="preserve">k'/fgf] b/jf/sf] jflx/L efudf Pssf]6 /fdltnsn] kf]Tg] sfd . </t>
    </r>
    <r>
      <rPr>
        <sz val="12"/>
        <rFont val="Arial"/>
        <family val="2"/>
      </rPr>
      <t/>
    </r>
  </si>
  <si>
    <t>tof/L OdN;g</t>
  </si>
  <si>
    <t>c:t/ jfx]s b'O{ sf]6 Knfli6s OdN;g k]G6 ug]{ sfd .</t>
  </si>
  <si>
    <t>c:t/ jfx]s b'O{sf]6 tof/L Ogfd]n k]G6 ug]{ sfd .</t>
  </si>
  <si>
    <t>Ruled pointing work in  (1:2) cement sand mortar on brick works with good finish including curing as per instruciton all complete.</t>
  </si>
  <si>
    <t>Ruled pointing work in  (1:2) cement sand mortar on brick works.</t>
  </si>
  <si>
    <t>Flush pointing work in  (1:3) cement sand mortar on brick works with good finish including curing as per instruciton all complete.</t>
  </si>
  <si>
    <t>Flush pointing work in  (1:3) cement sand mortar on brick works.</t>
  </si>
  <si>
    <t>Ruled pointing work in  (1:3) cement sand mortar on brick works with good finish including curing as per instruciton all complete.</t>
  </si>
  <si>
    <t>Ruled pointing work in  (1:3) cement sand mortar on brick works.</t>
  </si>
  <si>
    <t>Ruled pointing work in  (1:1) cement sand mortar on boulder stone work with good finish including curing as per instruciton all complete.</t>
  </si>
  <si>
    <r>
      <t>i)</t>
    </r>
    <r>
      <rPr>
        <sz val="14"/>
        <rFont val="Times New Roman"/>
        <family val="1"/>
      </rPr>
      <t xml:space="preserve"> </t>
    </r>
    <r>
      <rPr>
        <sz val="12"/>
        <rFont val="Preeti"/>
      </rPr>
      <t xml:space="preserve"> e¥ofËsf] /]lnË tyf afb{nL cflbdf s'FlbPsf] :yfgLo ;L;f} sf7sf] x'Ssf </t>
    </r>
    <r>
      <rPr>
        <sz val="12"/>
        <rFont val="Times New Roman"/>
        <family val="1"/>
      </rPr>
      <t>(2'-6"x3"x3")</t>
    </r>
  </si>
  <si>
    <r>
      <t>ii)</t>
    </r>
    <r>
      <rPr>
        <sz val="14"/>
        <rFont val="Times New Roman"/>
        <family val="1"/>
      </rPr>
      <t xml:space="preserve"> </t>
    </r>
    <r>
      <rPr>
        <sz val="12"/>
        <rFont val="Preeti"/>
      </rPr>
      <t xml:space="preserve"> e¥ofËsf] /]lnË tyf afb{nL cflbdf s'FlbPsf] h+unL :k]zn ;L;f} sf7sf] x'Ssf </t>
    </r>
    <r>
      <rPr>
        <sz val="12"/>
        <rFont val="Times New Roman"/>
        <family val="1"/>
      </rPr>
      <t>(2'-6"x3"x3")</t>
    </r>
  </si>
  <si>
    <r>
      <t>iii)</t>
    </r>
    <r>
      <rPr>
        <sz val="14"/>
        <rFont val="Times New Roman"/>
        <family val="1"/>
      </rPr>
      <t xml:space="preserve"> </t>
    </r>
    <r>
      <rPr>
        <sz val="12"/>
        <rFont val="Preeti"/>
      </rPr>
      <t xml:space="preserve"> e¥ofËsf] /]lnË tyf afb{nL cflbdf s'FlbPsf] ;L;f} sf7sf] x]08 /]n </t>
    </r>
    <r>
      <rPr>
        <sz val="12"/>
        <rFont val="Times New Roman"/>
        <family val="1"/>
      </rPr>
      <t>(3"x4")</t>
    </r>
  </si>
  <si>
    <r>
      <t>iv)</t>
    </r>
    <r>
      <rPr>
        <sz val="14"/>
        <rFont val="Times New Roman"/>
        <family val="1"/>
      </rPr>
      <t xml:space="preserve"> </t>
    </r>
    <r>
      <rPr>
        <sz val="12"/>
        <rFont val="Preeti"/>
      </rPr>
      <t xml:space="preserve"> e¥ofËsf] /]lnËsf] 3'Dg] 7fpFdf s'FlbPsf] ;L;f} sf7sf] uf]nf] x]08 /]n </t>
    </r>
    <r>
      <rPr>
        <sz val="12"/>
        <rFont val="Times New Roman"/>
        <family val="1"/>
      </rPr>
      <t>(3"x4")</t>
    </r>
  </si>
  <si>
    <r>
      <t>v)</t>
    </r>
    <r>
      <rPr>
        <sz val="14"/>
        <rFont val="Preeti"/>
      </rPr>
      <t xml:space="preserve"> </t>
    </r>
    <r>
      <rPr>
        <sz val="12"/>
        <rFont val="Preeti"/>
      </rPr>
      <t>b]jL b]jtfsf] d'lt{ s'FlbPsf]  $… b]lv %… nfdf]  -#Æ</t>
    </r>
    <r>
      <rPr>
        <sz val="12"/>
        <rFont val="Times New Roman"/>
        <family val="1"/>
      </rPr>
      <t>x</t>
    </r>
    <r>
      <rPr>
        <sz val="12"/>
        <rFont val="Preeti"/>
      </rPr>
      <t xml:space="preserve"> *Æ_ ;fn sf7df 6'F8fn agfpg] sfd</t>
    </r>
  </si>
  <si>
    <t xml:space="preserve">Dry wall partition with metal stud providing, fixing, fitting G.I. under frame using GYP steel branded channel and 12.5 mm th . GYP board on both side finishing of joints with compound tape all complete, overall thickness 75 mm  </t>
  </si>
  <si>
    <t>Pressure Grouting</t>
  </si>
  <si>
    <t>i) Providing material &amp; applying pressure grouting on Rcc roof slab.</t>
  </si>
  <si>
    <t xml:space="preserve">Rubble masonry work in inclined level in 1:6 C/S mortar in perfect line level finish including, racking the joints and curing the work for at least 7 days all complete. </t>
  </si>
  <si>
    <t>Rubble masonry work in inclined level in 1:6 C/S mortar.</t>
  </si>
  <si>
    <t xml:space="preserve">Dressed stone masonry in 1:6 C/S mortar in perfect line level finish including, racking the joints and curing the work for at least 7 days all complete. </t>
  </si>
  <si>
    <t>Dressed stone masonry in 1:6 C/S mortar.</t>
  </si>
  <si>
    <t>PVC floor trap 11x7.5 cm.</t>
  </si>
  <si>
    <t>Alumium Gratting 100 mm dia  all complete.</t>
  </si>
  <si>
    <t>CP Gratting 125 mm dia  all complete.</t>
  </si>
  <si>
    <t>CP Gratting 125 mm dia.</t>
  </si>
  <si>
    <t>CP Gratting 110 mm dia  all complete.</t>
  </si>
  <si>
    <t>CP Gratting 110 mm dia.</t>
  </si>
  <si>
    <t>Fixing or laying 150mm dia cast iron (CI) pipe with necessary hardware  all complete.</t>
  </si>
  <si>
    <t>Fixing or laying 150mm dia cast iron (CI) pipe.</t>
  </si>
  <si>
    <t>50 mm dia CI Door Tee</t>
  </si>
  <si>
    <t>50 mm dia CI  P or S Trap</t>
  </si>
  <si>
    <t xml:space="preserve"> 50 mm dia CI  P or S Trap</t>
  </si>
  <si>
    <t>50 mm dia CI  Plain Tee</t>
  </si>
  <si>
    <t xml:space="preserve"> 50 mm dia CI  Plain Tee</t>
  </si>
  <si>
    <t>50 mm dia CI  Y-Branch</t>
  </si>
  <si>
    <t>50 mm dia CI Door bend</t>
  </si>
  <si>
    <t>75 mm dia CI 90 degee bend</t>
  </si>
  <si>
    <t>75 mm dia CI Vent Cowl.</t>
  </si>
  <si>
    <t>75 mm dia CI Door Tee</t>
  </si>
  <si>
    <t xml:space="preserve"> 75 mm dia CI Door Tee</t>
  </si>
  <si>
    <t>75 mm dia CI  P or S Trap</t>
  </si>
  <si>
    <t xml:space="preserve">  75 mm dia CI  P or S Trap</t>
  </si>
  <si>
    <t>75 mm dia CI  Plain Tee</t>
  </si>
  <si>
    <t xml:space="preserve">  75 mm dia CI  Plain Tee</t>
  </si>
  <si>
    <t>75 mm dia CI  Y-Branch</t>
  </si>
  <si>
    <t xml:space="preserve">  75 mm dia CI  Y-Branch</t>
  </si>
  <si>
    <t>75 mm dia CI Door bend</t>
  </si>
  <si>
    <t xml:space="preserve">  75 mm dia CI Door bend</t>
  </si>
  <si>
    <t>110 mm dia CI 90 degee bend</t>
  </si>
  <si>
    <t>110 mm dia CI Vent Cowl.</t>
  </si>
  <si>
    <t>110 mm dia CI Door Tee</t>
  </si>
  <si>
    <t>110 mm dia CI  P or S Trap</t>
  </si>
  <si>
    <t>Fixing/laying 32mm dia  (GI) pipe medium class.</t>
  </si>
  <si>
    <t>40mm dia galvanized Iron (GI) pipe medium class includes fixing/laying with necessary hardware  all complete.</t>
  </si>
  <si>
    <t>Fixing/laying 40mm dia  (GI) pipe medium class.</t>
  </si>
  <si>
    <t>50mm dia galvanized Iron (GI) pipe medium class includes fixing/laying with necessary hardware  all complete.</t>
  </si>
  <si>
    <t>Fixing/laying 50mm dia  (GI) pipe medium class.</t>
  </si>
  <si>
    <t>80mm dia galvanized Iron (GI) pipe medium class includes fixing/laying with necessary hardware  all complete.</t>
  </si>
  <si>
    <t>Fixing/laying 80mm dia  (GI) pipe medium class.</t>
  </si>
  <si>
    <t>Filling 50mm lead caulked joint @ 3 lbs per joint  all complete.</t>
  </si>
  <si>
    <t>50mm lead caulked joint @ 3 lbs per joint.</t>
  </si>
  <si>
    <t>Filling 75mm lead caulked joint @ 3 lbs per joint  all complete.</t>
  </si>
  <si>
    <t>One layer damp proof grade Tarfelt laying over evenly spread roofing grade bitumen with river sand on cleaned surface.</t>
  </si>
  <si>
    <t>Taking out damaged brick from the wall and replacing new in1:6 CM</t>
  </si>
  <si>
    <t>50 lit electric water heater (Geyser).</t>
  </si>
  <si>
    <r>
      <t>@%</t>
    </r>
    <r>
      <rPr>
        <sz val="12"/>
        <rFont val="Arial"/>
        <family val="2"/>
      </rPr>
      <t xml:space="preserve"> x</t>
    </r>
    <r>
      <rPr>
        <sz val="12"/>
        <rFont val="Preeti"/>
      </rPr>
      <t xml:space="preserve"> @% </t>
    </r>
    <r>
      <rPr>
        <sz val="12"/>
        <rFont val="Arial"/>
        <family val="2"/>
      </rPr>
      <t>x</t>
    </r>
    <r>
      <rPr>
        <sz val="12"/>
        <rFont val="Preeti"/>
      </rPr>
      <t xml:space="preserve"> $ dL=dL= ;fO{hsf] kmnfd] PËn k|m]dsf] ljrdf !) </t>
    </r>
    <r>
      <rPr>
        <sz val="9"/>
        <rFont val="Arial"/>
        <family val="2"/>
      </rPr>
      <t>S.W.G.G. I. Chain Link</t>
    </r>
    <r>
      <rPr>
        <sz val="12"/>
        <rFont val="Preeti"/>
      </rPr>
      <t xml:space="preserve">  @Æ</t>
    </r>
    <r>
      <rPr>
        <sz val="8"/>
        <rFont val="Arial"/>
        <family val="2"/>
      </rPr>
      <t>x</t>
    </r>
    <r>
      <rPr>
        <sz val="12"/>
        <rFont val="Preeti"/>
      </rPr>
      <t xml:space="preserve">@Æ sf] d]; ;fOh hfnL </t>
    </r>
  </si>
  <si>
    <r>
      <t xml:space="preserve">h8fg ug]{ / # </t>
    </r>
    <r>
      <rPr>
        <sz val="9"/>
        <rFont val="Arial"/>
        <family val="2"/>
      </rPr>
      <t>x</t>
    </r>
    <r>
      <rPr>
        <sz val="11"/>
        <rFont val="Arial"/>
        <family val="2"/>
      </rPr>
      <t xml:space="preserve"> </t>
    </r>
    <r>
      <rPr>
        <sz val="12"/>
        <rFont val="Preeti"/>
      </rPr>
      <t>@) sf] kmnfd] kftfsf] lu|n )=!% dL= cUnf] agfO{ dfly h8fg u/L</t>
    </r>
  </si>
  <si>
    <t>15 lit electric water heater (Geyser) Aeroston American Standard, all complete.</t>
  </si>
  <si>
    <t>25 lit electric water heater (Geyser) all complete.</t>
  </si>
  <si>
    <t>25 lit electric water heater (Geyser)</t>
  </si>
  <si>
    <t>35 lit electric water heater (Geyser) all complete.</t>
  </si>
  <si>
    <t>35 lit electric water heater (Geyser).</t>
  </si>
  <si>
    <t>Small Lavoratary Sink 45X30x15cm with brackets 32mm bottle trap, 32mm CP waste coupling with CP chain and rubber plug, 15mm fancy type piller cock and  ½"x18" pipe connector etc  all complete.</t>
  </si>
  <si>
    <t>Small Lavoratary Sink 45X30x15cm complete set.</t>
  </si>
  <si>
    <t>Lavoratary Sink 53X43x18cm with brackets 32mm bottle trap, 32mm CP waste coupling with CP chain and rubber plug, 15mm fancy type piller cock and  ½"x18" pipe connector etc  all complete.</t>
  </si>
  <si>
    <t>Lavoratary Sink 53X43x18cm complete set.</t>
  </si>
  <si>
    <t>Kitchen sink 60X45X25cm  with brackets,32mm bottle trap, 32mm CP waste coupling all complete set .</t>
  </si>
  <si>
    <t>Kitchen sink 60X45X25cm complete set .</t>
  </si>
  <si>
    <t>Urinal 46.5X35.5X26.5cm constallation type with necessary accessories all complete set .</t>
  </si>
  <si>
    <t>Urinal 46.5X35.5X26.5cm White glazed constallation type with complete set .</t>
  </si>
  <si>
    <t>Urinal 46.5X31.5X26.5cm  first color constallation type with necessary accessories all complete set .</t>
  </si>
  <si>
    <t>Urinal 46.5X35.5X26.5cm first color constallation type with complete set .</t>
  </si>
  <si>
    <t>White glazed Urinal 46.5X31.5X26.5cm   with necessary accessories all complete set .</t>
  </si>
  <si>
    <t>50 mm2 4 core Nepal, Prakash Or NS</t>
  </si>
  <si>
    <t>16 Amp big button switch Socket.</t>
  </si>
  <si>
    <t>Bell push 6 Amp( Net West)</t>
  </si>
  <si>
    <t>Socket 16 A &amp; 6 A- 6 pin(shutter- Net West)</t>
  </si>
  <si>
    <t>One gang module plate</t>
  </si>
  <si>
    <t>Two gang module plate</t>
  </si>
  <si>
    <t>Three gang module plate</t>
  </si>
  <si>
    <t>Four gang module plate</t>
  </si>
  <si>
    <t xml:space="preserve">Dimmer 300 /500 watt. </t>
  </si>
  <si>
    <t>4 Way single phaseDB double door.</t>
  </si>
  <si>
    <t>4 Way single phase DB Single door.</t>
  </si>
  <si>
    <t>12 Way single phase DB Double Door.</t>
  </si>
  <si>
    <t>12 Way single phase DB Single Door.</t>
  </si>
  <si>
    <t>4 WayThree phaseDB double door.</t>
  </si>
  <si>
    <t>4 WayThree phaseDBSingle door.</t>
  </si>
  <si>
    <t>6 WayThree phaseDB Double door.</t>
  </si>
  <si>
    <t>6 WayThreephaseDB Singledoor.</t>
  </si>
  <si>
    <t>1x40 Box Type Tube Light. Orant lighting</t>
  </si>
  <si>
    <t>2x40 Box Type Tube Light. Orant lighting</t>
  </si>
  <si>
    <t>1x40 Mirror Optic Tube Light. Orant lighting</t>
  </si>
  <si>
    <t>2x40 Mirror Optic Tube Light. Orant lighting</t>
  </si>
  <si>
    <t>0.02885/1.1/6x0.75=0.039</t>
  </si>
  <si>
    <t>8/15x0.75=0.40</t>
  </si>
  <si>
    <t xml:space="preserve">uf/f]sf] df]x8fdf lju|]sf] O{6f lgsfnL l;d]G6 afn'jf -!M^_ df </t>
  </si>
  <si>
    <t>uf/f] dd{t ug]{ sfd .</t>
  </si>
  <si>
    <t>l;kfn'</t>
  </si>
  <si>
    <t>! Gf+ sf] O{6f</t>
  </si>
  <si>
    <t>GI barbed wire fencing work</t>
  </si>
  <si>
    <t>Placing salwood Post @ 3m and 5 layer + 2layer diagonal barbed wire fencing work</t>
  </si>
  <si>
    <t xml:space="preserve">M.S.black pipe roof truss with I.S. or B.S. section including jointing, fixing, erection and primer painting with all necessary M.S. bed plates, shoe angles anchor bolts leas sheeting or cement grouting as per drawing and instructions, all complete . </t>
  </si>
  <si>
    <t>M.S.black pipe roof truss with primer painting with all necessary M.S. bed plates, shoe angles anchor bolts leas.</t>
  </si>
  <si>
    <t>Dry wall partition with metal stud :</t>
  </si>
  <si>
    <t>@ s</t>
  </si>
  <si>
    <t>Providing fitting, fixing G.I. under frame, using GYPSTEEL branded</t>
  </si>
  <si>
    <t xml:space="preserve">k|lt !))) ln=÷! 3=dL= </t>
  </si>
  <si>
    <t xml:space="preserve">k|lt 3G6f </t>
  </si>
  <si>
    <t>afn'jf vf]nfsf]</t>
  </si>
  <si>
    <t>v6sf] ;ffdfg</t>
  </si>
  <si>
    <t>uf]6f</t>
  </si>
  <si>
    <t>d]=6=</t>
  </si>
  <si>
    <t>!–&amp;</t>
  </si>
  <si>
    <t>e'O{tNnfdf d]lzgåf/f agfOPsf] O{6f pknAw ug]{,</t>
  </si>
  <si>
    <t>tof/L /+u</t>
  </si>
  <si>
    <t>sfo{ ;d'x</t>
  </si>
  <si>
    <t>sfdsf] ljj/)f</t>
  </si>
  <si>
    <t>v</t>
  </si>
  <si>
    <t>u</t>
  </si>
  <si>
    <t>#</t>
  </si>
  <si>
    <t>ª</t>
  </si>
  <si>
    <t>r</t>
  </si>
  <si>
    <t>%</t>
  </si>
  <si>
    <t>h</t>
  </si>
  <si>
    <t>em</t>
  </si>
  <si>
    <t>`</t>
  </si>
  <si>
    <t>^</t>
  </si>
  <si>
    <t>&amp;</t>
  </si>
  <si>
    <t>*</t>
  </si>
  <si>
    <t>(</t>
  </si>
  <si>
    <t>)f</t>
  </si>
  <si>
    <t>t</t>
  </si>
  <si>
    <t xml:space="preserve"> s </t>
  </si>
  <si>
    <t>df6f] sf6\g] / k'g]{ sfd</t>
  </si>
  <si>
    <t>O{+6fsf] sfd</t>
  </si>
  <si>
    <t>9'Ëfsf] sfd</t>
  </si>
  <si>
    <t>l;d]G6 s+qmL6sf] sfd</t>
  </si>
  <si>
    <t>kmdf{sf] sfd</t>
  </si>
  <si>
    <t>5fgfsf] sfd</t>
  </si>
  <si>
    <t>sf7sf] sfd</t>
  </si>
  <si>
    <t>ˆnf]l/Ësf] sfd</t>
  </si>
  <si>
    <t>/+u /f]ugsf] sfd</t>
  </si>
  <si>
    <t>l6Ksf/ ug]{ sfd</t>
  </si>
  <si>
    <t>jf6/ k|'lkm+u ug]{ sfd</t>
  </si>
  <si>
    <t>dd{t ;DaGwL sfd</t>
  </si>
  <si>
    <t>kmnfdsf] sfd</t>
  </si>
  <si>
    <t>gofF sfd</t>
  </si>
  <si>
    <t>*–!#</t>
  </si>
  <si>
    <t>!$–@(</t>
  </si>
  <si>
    <t>#)–#(</t>
  </si>
  <si>
    <t>$)–$&amp;</t>
  </si>
  <si>
    <t>$*–%#</t>
  </si>
  <si>
    <t>%$–^!</t>
  </si>
  <si>
    <t>^@–*^</t>
  </si>
  <si>
    <t>*&amp;–!!$</t>
  </si>
  <si>
    <t>!!%–!@$</t>
  </si>
  <si>
    <t>!@%–!%!</t>
  </si>
  <si>
    <t>!%@–!^^</t>
  </si>
  <si>
    <t>!^&amp;–!&amp;$</t>
  </si>
  <si>
    <t>!&amp;%–!*@</t>
  </si>
  <si>
    <t>!*#–!()</t>
  </si>
  <si>
    <t xml:space="preserve"> 3HP Electric motor Pump monoblock ( crompton)</t>
  </si>
  <si>
    <t>3HP Electric motor Pump monoblock ( crompton)</t>
  </si>
  <si>
    <t xml:space="preserve"> 5HP Electric motor Pump monoblock ( crompton)</t>
  </si>
  <si>
    <t>Supply and fixing of  C.P. Flush Valve Americand Standard</t>
  </si>
  <si>
    <t>Supply and fixing of Sensor Flush Valve for Urinal Americand Standard</t>
  </si>
  <si>
    <t>C.P. Bibcock 15mm dia heavy type</t>
  </si>
  <si>
    <t>Ordinary type C.P. Bibcock 15mm dia.</t>
  </si>
  <si>
    <t>0.50mm GI plain sheet for gutter on roofing including fixing in proper shape &amp; size with all necessary rails, screws, bolts &amp; nuts washers, J &amp; L hocks etc as per drawing &amp; instruction all complete.</t>
  </si>
  <si>
    <t>1.2 mm corrugated fiber glass sheet roofing including fixing in proper shape &amp; size with all necessary rails, screws, bolts &amp; nuts washers, J &amp; L hocks etc as per drawing &amp; instruction all complete.</t>
  </si>
  <si>
    <t>1.2 mm corrugated fiber glass sheet roofing.</t>
  </si>
  <si>
    <t xml:space="preserve"> OVAL  wash basin 55X40mm with brackets 32mm bottle trap, 32mm CP waste coupling with CP chain and rubber plug,  and  ½"x18" pipe connector etc  all complete.(super constellation type , colour)</t>
  </si>
  <si>
    <t>C P soap tray, Towel rod, toilet paper holder  heavy type(Jaquar)</t>
  </si>
  <si>
    <t>CP comode hygenic spray heavy type(Jaquar)</t>
  </si>
  <si>
    <t>CP Angle  valve heavy type(Jaquar)</t>
  </si>
  <si>
    <t xml:space="preserve"> beveled edge looking mirror of high quality with boarder, </t>
  </si>
  <si>
    <t>CP wash basin mixer  hot and cold heavy type(Jaquar)</t>
  </si>
  <si>
    <t xml:space="preserve">Porcelain clay white galzed European pattern american standard Comode (Cotto or eq.) with 10 lts. low level cistern and seat cover </t>
  </si>
  <si>
    <t>Cleaning old surface with linsid oil and ready made enamel painting work</t>
  </si>
  <si>
    <t>Dismentaling of old lime surkhi / cement Sand plaster including disposal of the debris out of site.</t>
  </si>
  <si>
    <t>Dismantling of roof tile in cement mortar including disposal of the debris out of site .</t>
  </si>
  <si>
    <t>Dismantling of roof tile in cement mortar including disposal of the debris out of site.</t>
  </si>
  <si>
    <t>Dismantling of existing brickwork in mud mortar including disposal of the debris out of site .</t>
  </si>
  <si>
    <t>Dismantling of existing brickwork in mud mortar including disposal of the debris out of site.</t>
  </si>
  <si>
    <t>Dismantling of existing brickwork in cement / lime surkhi mortar including disposal of the debris out of site .</t>
  </si>
  <si>
    <t>Dismantling of existing brickwork in cement / lime surkhi mortar including disposal of the debris out of site.</t>
  </si>
  <si>
    <t xml:space="preserve">Dismantling of  RCC work including disposal of the debris out of site . </t>
  </si>
  <si>
    <t>Dismantling of  RCC work including disposal of the debris out of site.</t>
  </si>
  <si>
    <t>!@=% dL=dL= r'gf ;'sL{ Knfi6/ -!M@_ efudf sfd ug]{ .</t>
  </si>
  <si>
    <t>Boarder tile</t>
  </si>
  <si>
    <t>C P Shower rail (Eoropean pattern)</t>
  </si>
  <si>
    <t>C P shower rose (Eoropean pattern)</t>
  </si>
  <si>
    <t>Dismelting existing soil pipe and waste pipe</t>
  </si>
  <si>
    <t>IPWC comode with cistern and comode seat cover all complete set (Constellation)</t>
  </si>
  <si>
    <t>M.S cover 24"x24" with locling arrangement</t>
  </si>
  <si>
    <t>25mm dia G I pipe</t>
  </si>
  <si>
    <t xml:space="preserve">25mm socket </t>
  </si>
  <si>
    <t>25mm Union</t>
  </si>
  <si>
    <t>Construction of manhole as per drawing and specification</t>
  </si>
  <si>
    <t>Ordanary type mortise lock</t>
  </si>
  <si>
    <t>Cistern cell</t>
  </si>
  <si>
    <t>Pvc bottle trap</t>
  </si>
  <si>
    <t>1100.0 Ltr horizantal pvc water tank</t>
  </si>
  <si>
    <t>Hydraulic door closer</t>
  </si>
  <si>
    <t>C.p . Spreader</t>
  </si>
  <si>
    <t>Name plate (Toilet) in plain sheet</t>
  </si>
  <si>
    <t>Basin mirror</t>
  </si>
  <si>
    <t>1gang 1way switch</t>
  </si>
  <si>
    <t>Chicken wire mesh</t>
  </si>
  <si>
    <t>1x40  Watt F.T.L Mirror Optic HPF Phillips/Wipro/GE  or equivalent</t>
  </si>
  <si>
    <t xml:space="preserve">Machine made  Brickwork in 1:5 C/S mortar up to ground floor in perfect line level finish including wetting the bricks, racking the joints and curing the work for at least 7 days all complete. </t>
  </si>
  <si>
    <t>Machine made  Brickwork in 1:5 C/S mortar up to ground floor.</t>
  </si>
  <si>
    <t xml:space="preserve">Machine made  Brickwork in 1:5 C/S mortar in superstructure in perfect line level finish including wetting the bricks, racking the joints and curing the work for at least 7 days all complete. </t>
  </si>
  <si>
    <t>Machine made  Brickwork in 1:5 C/S mortar in superstructure.</t>
  </si>
  <si>
    <t>Dismantling of P.C.C./L.C.C. work  including disposal of the debris out of site.</t>
  </si>
  <si>
    <t xml:space="preserve"> 3x20mm size M.S. grill with almunium paints as per design and instruction all complete.</t>
  </si>
  <si>
    <t xml:space="preserve"> 3x20mm size M.S. grill with almunium paints.</t>
  </si>
  <si>
    <t>Acrylic type bath tub 5'6"x2'6" size all complete.</t>
  </si>
  <si>
    <t>Acrylic type bath tub 5'6"x2'6" size.</t>
  </si>
  <si>
    <t>CP telephonic shower with mixer all complete.</t>
  </si>
  <si>
    <t>CP telephonic shower with mixer.</t>
  </si>
  <si>
    <t>Acrylic type shower tray all complete.</t>
  </si>
  <si>
    <t>Acrylic type shower tray.</t>
  </si>
  <si>
    <t>Euro guard filter.</t>
  </si>
  <si>
    <t>Kitchen sink stainless steel 90 cm long all complete.</t>
  </si>
  <si>
    <t>Kitchen sink stainless steel 90 cm long.</t>
  </si>
  <si>
    <t>Kitchen sink stainless steel 150 cm long all complete.</t>
  </si>
  <si>
    <t>Kitchen sink stainless steel 150 cm long.</t>
  </si>
  <si>
    <t>$ dL=dL= P]gf</t>
  </si>
  <si>
    <t>2x40  Watt F.T.L Mirror Optic HPFPhillips/Wipro/GE  or equivalent</t>
  </si>
  <si>
    <t>300/500 Watt Halogen Phillips/Wipro/GE  or equivalent</t>
  </si>
  <si>
    <t>1000 Watt Halogen Phillips/Wipro/GE  or equivalent</t>
  </si>
  <si>
    <t>3 mm thick cement sand punning on floor, skriting, dado etc, including mixing laying and rubbing with steel trowel to a hard, smooth and shining surface and curing all complete.</t>
  </si>
  <si>
    <t>3 mm thick cement sand punning on floor, skriting, dado etc.</t>
  </si>
  <si>
    <t>Chrome plated 15mm dia x450mm long heavy quality towel rod</t>
  </si>
  <si>
    <t>C p 15mm dia x450mm long  towel rod.</t>
  </si>
  <si>
    <t>Supply and fixing of 60 cm CP Glass Shelf</t>
  </si>
  <si>
    <t>60 cm CP Glass Shelf</t>
  </si>
  <si>
    <t>Supply and fixing of Porceline Clay Glass Shelf European Pattern, American Standard.</t>
  </si>
  <si>
    <t xml:space="preserve"> 55X40cm beveled edge looking mirror of high quality,</t>
  </si>
  <si>
    <t>55X40cm beveled edge looking mirror of high quality, standard brand.</t>
  </si>
  <si>
    <t xml:space="preserve"> 60X45cm beveled edge looking mirror of high quality modiguard or standard brand.</t>
  </si>
  <si>
    <t>60X 45cm beveled edge looking mirror of high quality, modiguard or standard brand.</t>
  </si>
  <si>
    <t xml:space="preserve"> 50X40cm beveled edge  looking mirror of high quality </t>
  </si>
  <si>
    <t xml:space="preserve"> 50X40cm beveled edge  looking mirror of high quality modiguard or eq.</t>
  </si>
  <si>
    <t xml:space="preserve">  50X40cm Beveled edge  looking mirror of high quality European Pattern, American Standard</t>
  </si>
  <si>
    <t xml:space="preserve">Chrome plate shower rose 7.5 cm dia of standard brand </t>
  </si>
  <si>
    <t>Chrome plate shower rose 7.5 cm dia of standard brand.</t>
  </si>
  <si>
    <t>Pressure Adjustable Shower rose</t>
  </si>
  <si>
    <t xml:space="preserve">Supply and fixing of Ordinary type C.P. shower rose </t>
  </si>
  <si>
    <t xml:space="preserve">M/F suspended ceiling with MPL board for CGI roofing </t>
  </si>
  <si>
    <t>White glazed earthenware Indian pattern W C  530mm Orissa Pan with 3.0gallons low level flushing cistern with complete accessories including bracket, flushing pipe,pipe connector etc. all complete set</t>
  </si>
  <si>
    <t>White glazed earthenware Indian pattern W C  530mm Orissa Pan with 10 liter low level flushing cistern .</t>
  </si>
  <si>
    <t>White glazed earthenware Indian pattern W C  580mm Orissa Pan  complete set</t>
  </si>
  <si>
    <t>580mm Orissa pan complete set</t>
  </si>
  <si>
    <t xml:space="preserve"> 10.0 lit. low level Porceline clay cistern complete set</t>
  </si>
  <si>
    <t>10.0 lit. low level Porceline clay cistern</t>
  </si>
  <si>
    <t xml:space="preserve"> 10.0 lit. low level PVC cistern complete set</t>
  </si>
  <si>
    <t>10.0 lit. low level PVC cistern</t>
  </si>
  <si>
    <t>Porcelain clay white glazed indian pattern Comode(Hindustan, Parryware, Classica or eq.) with 10 lts. low level cistern and seat cover</t>
  </si>
  <si>
    <t>Porcelain clay white glazed indian pattern Comode with 10 lts. low level cistern</t>
  </si>
  <si>
    <t>Porcelain clay first color indian pattern Comode(Hindustan, Parryware, Classica or eq.) with 10 lts. low level cistern and seat cover constallation type</t>
  </si>
  <si>
    <r>
      <t>xii)</t>
    </r>
    <r>
      <rPr>
        <sz val="14"/>
        <rFont val="Preeti"/>
      </rPr>
      <t xml:space="preserve"> </t>
    </r>
    <r>
      <rPr>
        <sz val="12"/>
        <rFont val="Preeti"/>
      </rPr>
      <t>#Æ</t>
    </r>
    <r>
      <rPr>
        <sz val="12"/>
        <rFont val="Times New Roman"/>
        <family val="1"/>
      </rPr>
      <t>x</t>
    </r>
    <r>
      <rPr>
        <sz val="12"/>
        <rFont val="Preeti"/>
      </rPr>
      <t xml:space="preserve"> !=%Æ ;fOhsf] ;fnsf] sf7sf] s'FlbPsf] knL tof/L ug]{ sfd</t>
    </r>
  </si>
  <si>
    <r>
      <t>xiii)</t>
    </r>
    <r>
      <rPr>
        <sz val="14"/>
        <rFont val="Times New Roman"/>
        <family val="1"/>
      </rPr>
      <t xml:space="preserve"> </t>
    </r>
    <r>
      <rPr>
        <sz val="12"/>
        <rFont val="Preeti"/>
      </rPr>
      <t>sF'lbPsf] ljleGg a'§f /fvL agfPsf] ;fn sf7sf] $Æ</t>
    </r>
    <r>
      <rPr>
        <sz val="12"/>
        <rFont val="Times New Roman"/>
        <family val="1"/>
      </rPr>
      <t>x</t>
    </r>
    <r>
      <rPr>
        <sz val="12"/>
        <rFont val="Preeti"/>
      </rPr>
      <t xml:space="preserve"> %Æsf] sfg]{; lad cflb tof/L ug]{ sfo{</t>
    </r>
  </si>
  <si>
    <r>
      <t>75 mm th. , (600×2100)mm</t>
    </r>
    <r>
      <rPr>
        <vertAlign val="superscript"/>
        <sz val="12"/>
        <rFont val="Times New Roman"/>
        <family val="1"/>
      </rPr>
      <t>2</t>
    </r>
    <r>
      <rPr>
        <sz val="12"/>
        <rFont val="Times New Roman"/>
        <family val="1"/>
      </rPr>
      <t>(12×7 ft)</t>
    </r>
  </si>
  <si>
    <r>
      <t>75 mm th. , (600×1800)mm</t>
    </r>
    <r>
      <rPr>
        <vertAlign val="superscript"/>
        <sz val="12"/>
        <rFont val="Times New Roman"/>
        <family val="1"/>
      </rPr>
      <t>2</t>
    </r>
    <r>
      <rPr>
        <sz val="12"/>
        <rFont val="Times New Roman"/>
        <family val="1"/>
      </rPr>
      <t>(12×6) ft</t>
    </r>
  </si>
  <si>
    <r>
      <t>75 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</si>
  <si>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9, 8 fit size )</t>
    </r>
  </si>
  <si>
    <r>
      <t>40mm th. , (600×1500)mm</t>
    </r>
    <r>
      <rPr>
        <vertAlign val="superscript"/>
        <sz val="12"/>
        <rFont val="Times New Roman"/>
        <family val="1"/>
      </rPr>
      <t>2</t>
    </r>
    <r>
      <rPr>
        <sz val="12"/>
        <rFont val="Times New Roman"/>
        <family val="1"/>
      </rPr>
      <t>(12×5) fit</t>
    </r>
  </si>
  <si>
    <t>!) dL= k/ x6fpg] sfd .</t>
  </si>
  <si>
    <t>hf]8\g]</t>
  </si>
  <si>
    <t>Porcelain clay first color indian pattern Comode with 10 lts. low level cistern constallation type.</t>
  </si>
  <si>
    <t>Porcelain clay white glazed indian pattern Comode(Hindustan, Parryware, Classica or eq.) with 10 lts. low level cistern and seat cover constallation type.</t>
  </si>
  <si>
    <t>Porcelain clay white glazed indian pattern Comode with 10 lts. low level cistern constallation type.</t>
  </si>
  <si>
    <t>1.2 mm fiber glass sheet for ridge including fixing in proper shape &amp; size with all necessary nails, screws, bolts &amp; nuts washers, J &amp; L hocks etc as per drawing &amp; instruction all complete.</t>
  </si>
  <si>
    <t>1.2 mm fiber glass sheet for ridge.</t>
  </si>
  <si>
    <t>R.m.</t>
  </si>
  <si>
    <t>Cleaning and rubbing old marble floor and wall with oxalic acid</t>
  </si>
  <si>
    <t xml:space="preserve">Cleaning and Polishing old Parket floor </t>
  </si>
  <si>
    <t>Cleaning, rubbing and Polishing of Old mossaic floor</t>
  </si>
  <si>
    <t>12.5mm thick cement sand rainwater protection plaster line in (1:4) ratio including wetting of surfaces &amp; curing the work all complete.</t>
  </si>
  <si>
    <t>12.5mm thick cement sand rainwater protection plaster line in (1:4) ratio</t>
  </si>
  <si>
    <t>Dismanlting of old CGI sheet roofing work including stagging in proper place .</t>
  </si>
  <si>
    <t>Dismanlting of old CGI sheet roofing work including stagging in proper place.</t>
  </si>
  <si>
    <t>1" thick Roofing Tile Shape cutting work in 1:4 CM</t>
  </si>
  <si>
    <t>Fitting &amp; fixing suspended Plain ceiling of water resistance gypsum board with all necessary hanger, angles, hooks nut bolt all complete.</t>
  </si>
  <si>
    <t>Fitting &amp; fixing suspended Plain ceiling of water resistance gypsum board.</t>
  </si>
  <si>
    <t>Fitting &amp; fixing suspended design ceiling of water resistance gypsum board with all necessary hanger, angles, hooks nut bolt all complete.</t>
  </si>
  <si>
    <t>Fitting &amp; fixing suspended design ceiling of water resistance gypsum board.</t>
  </si>
  <si>
    <t>$ dL=dL= 6Ls KnfO{p8 b'j} tkm{ 7f]sL ˆnz vfkf agfO{ hf]8\g] .</t>
  </si>
  <si>
    <t>$ dL=dL=l6s Knfp8</t>
  </si>
  <si>
    <t>rf}sf];df $ dL=dL= sdl;{on KnfO{p8 sf7sf] lni6L nufO{ hf]8\g] .</t>
  </si>
  <si>
    <t>$ dL=dL= KnfOp8</t>
  </si>
  <si>
    <t>Providing and applying Dustban/Permise chemicals for Anti Termite Treatment all complete.</t>
  </si>
  <si>
    <t>3x36 CFL concil/surface.Orant Light</t>
  </si>
  <si>
    <t>250 Watt MHL set.Orant Light</t>
  </si>
  <si>
    <t>3 Watt to 13 Watt PL Orant Tube</t>
  </si>
  <si>
    <t xml:space="preserve">60 Amp MCCB Tengen </t>
  </si>
  <si>
    <t xml:space="preserve">100 Amp MCCB Tengen </t>
  </si>
  <si>
    <t xml:space="preserve">200 Amp MCCB Tengen </t>
  </si>
  <si>
    <t xml:space="preserve">300 Amp MCCB Tengen </t>
  </si>
  <si>
    <t>1x/40 Watt F.T.L Box fitting Crompton,Anchor,Bajaj  or equivalent</t>
  </si>
  <si>
    <t>kmnfd] /f]lnË ;6/ agfO{ h8fg ug]{ , k]G6LË / Hofnf ;d]t .</t>
  </si>
  <si>
    <r>
      <t>#</t>
    </r>
    <r>
      <rPr>
        <sz val="16"/>
        <rFont val="Preeti"/>
      </rPr>
      <t>÷</t>
    </r>
    <r>
      <rPr>
        <vertAlign val="subscript"/>
        <sz val="16"/>
        <rFont val="Preeti"/>
      </rPr>
      <t>$</t>
    </r>
    <r>
      <rPr>
        <sz val="16"/>
        <rFont val="Preeti"/>
      </rPr>
      <t>Æ</t>
    </r>
    <r>
      <rPr>
        <sz val="11"/>
        <rFont val="Arial"/>
        <family val="2"/>
      </rPr>
      <t>x</t>
    </r>
    <r>
      <rPr>
        <vertAlign val="superscript"/>
        <sz val="16"/>
        <rFont val="Preeti"/>
      </rPr>
      <t>#</t>
    </r>
    <r>
      <rPr>
        <sz val="16"/>
        <rFont val="Preeti"/>
      </rPr>
      <t>÷</t>
    </r>
    <r>
      <rPr>
        <vertAlign val="subscript"/>
        <sz val="16"/>
        <rFont val="Preeti"/>
      </rPr>
      <t>$</t>
    </r>
    <r>
      <rPr>
        <sz val="16"/>
        <rFont val="Preeti"/>
      </rPr>
      <t>Æ sf] :Sjfo/ kfO{k df !</t>
    </r>
    <r>
      <rPr>
        <vertAlign val="superscript"/>
        <sz val="16"/>
        <rFont val="Preeti"/>
      </rPr>
      <t>!</t>
    </r>
    <r>
      <rPr>
        <sz val="16"/>
        <rFont val="Preeti"/>
      </rPr>
      <t>÷</t>
    </r>
    <r>
      <rPr>
        <vertAlign val="subscript"/>
        <sz val="16"/>
        <rFont val="Preeti"/>
      </rPr>
      <t>$</t>
    </r>
    <r>
      <rPr>
        <sz val="16"/>
        <rFont val="Preeti"/>
      </rPr>
      <t>Æ</t>
    </r>
    <r>
      <rPr>
        <sz val="11"/>
        <rFont val="Arial"/>
        <family val="2"/>
      </rPr>
      <t>Ø</t>
    </r>
    <r>
      <rPr>
        <sz val="16"/>
        <rFont val="Preeti"/>
      </rPr>
      <t xml:space="preserve"> sf] dWod &gt;]0fLsf] sfnf] kfO{ksf] x\of08/]n</t>
    </r>
  </si>
  <si>
    <r>
      <t xml:space="preserve">kmnfd] 3'Dg] e¥ofË M $Æ–^Æ </t>
    </r>
    <r>
      <rPr>
        <sz val="10"/>
        <rFont val="Arial"/>
        <family val="2"/>
      </rPr>
      <t>Ø</t>
    </r>
    <r>
      <rPr>
        <sz val="16"/>
        <rFont val="Preeti"/>
      </rPr>
      <t xml:space="preserve"> ;Ddsf] dWod &gt;]0fLsf] sfnf] kfO{k kf]i6 k|of]u u/L </t>
    </r>
  </si>
  <si>
    <t xml:space="preserve">M.S. blackpipe purlin with I.S. or B.S. section including jointting , fixing, erection and primer painting with all necessary M.S. bed plates, shoe angles, anchor bolts leas sheeting or cement grouting as per drawing and instructions all complete . </t>
  </si>
  <si>
    <t>M.S. blackpipe purlin with primer painting with all necessary M.S. bed plates, shoe angles, anchor bolts leas sheeting .</t>
  </si>
  <si>
    <t>Flush pointing work in  (1:3) cement sand mortar on 45 x 45 cm flag stone paving works with good finish including curing as per instruciton all complete.</t>
  </si>
  <si>
    <t>Flush pointing work in  (1:3) cement sand mortar on 45 x 45 cm flag stone paving works.</t>
  </si>
  <si>
    <t>1:1 cement sand pointing work in Telia floor tile with good finishing including curing  all complete</t>
  </si>
  <si>
    <t>Pointing work in  (1:1) cement sand mortar for Telia flooring.</t>
  </si>
  <si>
    <t>3 mm thick cement sand punning (1:1) on floor, skriting, dado etc, including mixing laying and rubbing with steel trowel to a hard, smooth and shining surface and curing all complete.</t>
  </si>
  <si>
    <t>3 mm thick cement sand punning (1:1) on floor, skriting, dado etc.</t>
  </si>
  <si>
    <t>3 mm thick lime plastering work including mixing laying and rubbing with steel trowel to a hard, smooth and shining surface and curing all complete.</t>
  </si>
  <si>
    <t>3 mm thick lime plastering work.</t>
  </si>
  <si>
    <t>3 mm thick cement plastering work including mixing laying and rubbing with steel trowel to a hard, smooth and shining surface and curing all complete.</t>
  </si>
  <si>
    <t>3mm thick cement plastering work.</t>
  </si>
  <si>
    <t>2 cm thick (1:2) cement sand mortar DPC work with water proof compound including mixing laying and rubbing with steel trowel to a hard, smooth and shining surface and curing all complete.</t>
  </si>
  <si>
    <t>2 cm thick (1:2) cement sand mortar DPC work with water proof compound.</t>
  </si>
  <si>
    <t>2.5 cm thick (1:1.5:3) concrete DPC work with water proof compound including mixing laying and rubbing with steel trowel to a hard, smooth and shining surface and curing all complete.</t>
  </si>
  <si>
    <t>2.5 cm thick (1:1.5:3) concrete DPC work with water proof compound.</t>
  </si>
  <si>
    <t>3.8 cm thick (1:2:4) concrete DPC work with water proof compound including mixing laying and rubbing with steel trowel to a hard, smooth and shining surface and curing all complete.</t>
  </si>
  <si>
    <t>3.8 cm thick (1:2:4) concrete DPC work with water proof compound.</t>
  </si>
  <si>
    <t>1 coats of bitumen (Alkatra) painting over DPC course and covering porperly with river sand .</t>
  </si>
  <si>
    <t xml:space="preserve">Supplying and laying of one layer of 500 gauge Polythene sheet on prepared surface </t>
  </si>
  <si>
    <t>3/20 PVC Coper Wire Nepal, Prakash etc.</t>
  </si>
  <si>
    <t>7/22 PVC Coper Wire Nepal, Prakash etc.</t>
  </si>
  <si>
    <t>7/20 PVC Coper Wire Nepal, Prakash etc.</t>
  </si>
  <si>
    <t>7/18 PVC Coper Wire Nepal, Prakash etc.</t>
  </si>
  <si>
    <t>7/16 PVC Coper Wire Nepal, Prakash etc.</t>
  </si>
  <si>
    <t>1/18 PVC Coper Wire Nepal, Prakash etc.</t>
  </si>
  <si>
    <t>1 Pole MCB Box</t>
  </si>
  <si>
    <t>35 mm2 4 core Nepal, Prakash Or NS</t>
  </si>
  <si>
    <t>Supplying and fitting Ready made Teak wood Doors,ordinary (Seasoned and Poisoned treated ,one side teak)  with all neccessary hardware all complete.</t>
  </si>
  <si>
    <t>Fitting &amp; fixing of water resistance gypsum board design false ceiling.</t>
  </si>
  <si>
    <t>Dry wall partition work with metal stud: Providing and fixing Gypboard on both side thickness of 75mm all complete work</t>
  </si>
  <si>
    <t>Gypsum or Boral plaster board wall panelling : Providing and fixing Gypboard or boral plaster board finishing all complete work</t>
  </si>
  <si>
    <t>One layer Plastic felt laying over evenly spread roofing grade bitumen with river sand on cleaned surface.</t>
  </si>
  <si>
    <t>Two layer Plastic felt laying over evenly spread roofing grade bitumen with river sand on cleaned surface.</t>
  </si>
  <si>
    <r>
      <t>600 mm dia NP</t>
    </r>
    <r>
      <rPr>
        <vertAlign val="superscript"/>
        <sz val="10"/>
        <rFont val="Arial"/>
        <family val="2"/>
      </rPr>
      <t xml:space="preserve">2 </t>
    </r>
    <r>
      <rPr>
        <sz val="10"/>
        <rFont val="Arial"/>
        <family val="2"/>
      </rPr>
      <t>RCC Hume pipe including collar with all complete.</t>
    </r>
  </si>
  <si>
    <r>
      <t>150 mm dia NP</t>
    </r>
    <r>
      <rPr>
        <vertAlign val="superscript"/>
        <sz val="10"/>
        <rFont val="Arial"/>
        <family val="2"/>
      </rPr>
      <t xml:space="preserve">3 </t>
    </r>
    <r>
      <rPr>
        <sz val="10"/>
        <rFont val="Arial"/>
        <family val="2"/>
      </rPr>
      <t>RCC Hume pipe including collar with all complete.</t>
    </r>
  </si>
  <si>
    <r>
      <t>Fixing /laying 200 mm dia NP</t>
    </r>
    <r>
      <rPr>
        <vertAlign val="superscript"/>
        <sz val="10"/>
        <rFont val="Arial"/>
        <family val="2"/>
      </rPr>
      <t xml:space="preserve">3 </t>
    </r>
    <r>
      <rPr>
        <sz val="10"/>
        <rFont val="Arial"/>
        <family val="2"/>
      </rPr>
      <t>RCC Hume pipe with collar including 1:4 cement sand mortar all complete.</t>
    </r>
  </si>
  <si>
    <r>
      <t>200 mm dia NP</t>
    </r>
    <r>
      <rPr>
        <vertAlign val="superscript"/>
        <sz val="10"/>
        <rFont val="Arial"/>
        <family val="2"/>
      </rPr>
      <t xml:space="preserve">3 </t>
    </r>
    <r>
      <rPr>
        <sz val="10"/>
        <rFont val="Arial"/>
        <family val="2"/>
      </rPr>
      <t>RCC Hume pipe including collar with all complete.</t>
    </r>
  </si>
  <si>
    <r>
      <t>Fixing /laying 300 mm dia NP</t>
    </r>
    <r>
      <rPr>
        <vertAlign val="superscript"/>
        <sz val="10"/>
        <rFont val="Arial"/>
        <family val="2"/>
      </rPr>
      <t xml:space="preserve">3 </t>
    </r>
    <r>
      <rPr>
        <sz val="10"/>
        <rFont val="Arial"/>
        <family val="2"/>
      </rPr>
      <t>RCC Hume pipe with collar including 1:4 cement sand mortar all complete.</t>
    </r>
  </si>
  <si>
    <r>
      <t>300 mm dia NP</t>
    </r>
    <r>
      <rPr>
        <vertAlign val="superscript"/>
        <sz val="10"/>
        <rFont val="Arial"/>
        <family val="2"/>
      </rPr>
      <t xml:space="preserve">3 </t>
    </r>
    <r>
      <rPr>
        <sz val="10"/>
        <rFont val="Arial"/>
        <family val="2"/>
      </rPr>
      <t>RCC Hume pipe including collar with all complete.</t>
    </r>
  </si>
  <si>
    <r>
      <t>Fixing /laying 400 mm dia NP</t>
    </r>
    <r>
      <rPr>
        <vertAlign val="superscript"/>
        <sz val="10"/>
        <rFont val="Arial"/>
        <family val="2"/>
      </rPr>
      <t xml:space="preserve">3 </t>
    </r>
    <r>
      <rPr>
        <sz val="10"/>
        <rFont val="Arial"/>
        <family val="2"/>
      </rPr>
      <t>RCC Hume pipe with collar including 1:4 cement sand mortar all complete.</t>
    </r>
  </si>
  <si>
    <r>
      <t>400mm dia NP</t>
    </r>
    <r>
      <rPr>
        <vertAlign val="superscript"/>
        <sz val="10"/>
        <rFont val="Arial"/>
        <family val="2"/>
      </rPr>
      <t xml:space="preserve">3 </t>
    </r>
    <r>
      <rPr>
        <sz val="10"/>
        <rFont val="Arial"/>
        <family val="2"/>
      </rPr>
      <t>RCC Hume pipe including collar with all complete.</t>
    </r>
  </si>
  <si>
    <r>
      <t>Fixing /laying 600 mm dia NP</t>
    </r>
    <r>
      <rPr>
        <vertAlign val="superscript"/>
        <sz val="10"/>
        <rFont val="Arial"/>
        <family val="2"/>
      </rPr>
      <t xml:space="preserve">3 </t>
    </r>
    <r>
      <rPr>
        <sz val="10"/>
        <rFont val="Arial"/>
        <family val="2"/>
      </rPr>
      <t>RCC Hume pipe with collar including 1:4 cement sand mortar all complete.</t>
    </r>
  </si>
  <si>
    <r>
      <t>600 mm dia NP</t>
    </r>
    <r>
      <rPr>
        <vertAlign val="superscript"/>
        <sz val="10"/>
        <rFont val="Arial"/>
        <family val="2"/>
      </rPr>
      <t xml:space="preserve">3 </t>
    </r>
    <r>
      <rPr>
        <sz val="10"/>
        <rFont val="Arial"/>
        <family val="2"/>
      </rPr>
      <t>RCC Hume pipe including collar with all complete.</t>
    </r>
  </si>
  <si>
    <r>
      <t>NP</t>
    </r>
    <r>
      <rPr>
        <vertAlign val="superscript"/>
        <sz val="10"/>
        <rFont val="Arial"/>
        <family val="2"/>
      </rPr>
      <t xml:space="preserve">2 </t>
    </r>
    <r>
      <rPr>
        <sz val="10"/>
        <rFont val="Arial"/>
        <family val="2"/>
      </rPr>
      <t>RCC Hume pie with collar including 1:4 cement sand mortar 150 mm dia</t>
    </r>
  </si>
  <si>
    <r>
      <t>NP</t>
    </r>
    <r>
      <rPr>
        <vertAlign val="superscript"/>
        <sz val="10"/>
        <rFont val="Arial"/>
        <family val="2"/>
      </rPr>
      <t xml:space="preserve">3 </t>
    </r>
    <r>
      <rPr>
        <sz val="10"/>
        <rFont val="Arial"/>
        <family val="2"/>
      </rPr>
      <t>RCC Hume pie with collar including 1:4 cement sand mortar 150 mm dia</t>
    </r>
  </si>
  <si>
    <r>
      <t xml:space="preserve"> 110 PVC pipe of 6 kg/cm</t>
    </r>
    <r>
      <rPr>
        <vertAlign val="superscript"/>
        <sz val="10"/>
        <rFont val="Arial"/>
        <family val="2"/>
      </rPr>
      <t>2</t>
    </r>
    <r>
      <rPr>
        <sz val="10"/>
        <rFont val="Arial"/>
        <family val="2"/>
      </rPr>
      <t xml:space="preserve"> </t>
    </r>
  </si>
  <si>
    <t>b/ k|lt d]=6=sf]</t>
  </si>
  <si>
    <r>
      <t xml:space="preserve">kmnfdsf] kfOk </t>
    </r>
    <r>
      <rPr>
        <sz val="9"/>
        <rFont val="Arial"/>
        <family val="2"/>
      </rPr>
      <t>(Prop),</t>
    </r>
    <r>
      <rPr>
        <sz val="16"/>
        <rFont val="Preeti"/>
      </rPr>
      <t xml:space="preserve"> KnfOjf]8{ k|of]u u/L km;{ / :nfjsf] nflu kmdf{ agfpg] sfd . </t>
    </r>
  </si>
  <si>
    <t>:k|LË</t>
  </si>
  <si>
    <t>s) Mini Dumper    (1 CUM+)</t>
  </si>
  <si>
    <t>t) Excavator, Wheel    (Upto 110 HP)</t>
  </si>
  <si>
    <t>u) Excavator, Track    (Upto 110 HP)</t>
  </si>
  <si>
    <t>v) Fork Lift Truck    (Upto 2.5 ton)</t>
  </si>
  <si>
    <t>x) Generator*   (10+ to 30 KVA)</t>
  </si>
  <si>
    <t>y) Generator*   (250 KVA)</t>
  </si>
  <si>
    <t>z) Generator*   (420 KVA)</t>
  </si>
  <si>
    <t>aa) Grador motor   (80 to 145 HP)</t>
  </si>
  <si>
    <t>bb) Hopper Gritter</t>
  </si>
  <si>
    <t>cc) Chips spreader tail gate mounted</t>
  </si>
  <si>
    <t>dd) Bitumin heater   (Upto 2 KL)</t>
  </si>
  <si>
    <r>
      <t>75 mm th. , (600×3000)mm</t>
    </r>
    <r>
      <rPr>
        <vertAlign val="superscript"/>
        <sz val="12"/>
        <rFont val="Times New Roman"/>
        <family val="1"/>
      </rPr>
      <t>2</t>
    </r>
    <r>
      <rPr>
        <sz val="12"/>
        <rFont val="Times New Roman"/>
        <family val="1"/>
      </rPr>
      <t>(12×10 ft)</t>
    </r>
  </si>
  <si>
    <t xml:space="preserve">a) Providing, fitting &amp; fixing in position G.I. under frame using GYP  steel-branded channel and fixing 9-12 mm th. GYP. board ( Or Boral Plaster Board) finishing of joints with compound tape all complete work </t>
  </si>
  <si>
    <t>b) Do but for design ceiling</t>
  </si>
  <si>
    <t>s'FlbPsf] ;fn sf7sf] em\ofn 9f]sf h8fg ;d]t k'/f</t>
  </si>
  <si>
    <t xml:space="preserve">s'FlbPsf] ;fn sf7 </t>
  </si>
  <si>
    <t xml:space="preserve">s'+lbPsf] ;fn sf7 </t>
  </si>
  <si>
    <t>;'Vvf 9+'uf 5fKg] sfd .</t>
  </si>
  <si>
    <t>9'+uf -kmf]?jf_</t>
  </si>
  <si>
    <t>/=ld</t>
  </si>
  <si>
    <t>kmnfd] sf]nfK;Lan u]6 k]lG6Ë / h8fg ;d]t ug]{ .</t>
  </si>
  <si>
    <t>iii)Wall partation</t>
  </si>
  <si>
    <t>iv)Wall paneling</t>
  </si>
  <si>
    <t>b/ ljZn]if0fsf] nflu !) Jf=ld= lnOPsf]</t>
  </si>
  <si>
    <t>b/ k|lt ! ?vsf]</t>
  </si>
  <si>
    <t>kmnfd] u]6</t>
  </si>
  <si>
    <t>;6/</t>
  </si>
  <si>
    <t>%)) u]hsf] kf]lnlyg zL6 Ps tx lj5\ofpg] .</t>
  </si>
  <si>
    <t xml:space="preserve">12.5mm thick Gypsum Board False ceiling including all necessary material </t>
  </si>
  <si>
    <t xml:space="preserve">:6]gn]; :6Ln kfOk </t>
  </si>
  <si>
    <t>!Æ×#Æ ;fOhsf] -!=$_ efusf] ld&gt;0fsf] d;nf tof/ ul/ v6 /flv jiff{bsf] kfgL k§L agfpg] sfd -tof/L_</t>
  </si>
  <si>
    <t>/=dL</t>
  </si>
  <si>
    <t xml:space="preserve">j=lkm </t>
  </si>
  <si>
    <t>e) Curb stone M-30 grade.</t>
  </si>
  <si>
    <t>/=ld=</t>
  </si>
  <si>
    <t>25 mm thick C.C. Tile (Grey color)</t>
  </si>
  <si>
    <t xml:space="preserve">Burfi Checker </t>
  </si>
  <si>
    <t>e'O{tNnfeGbf dfly d]lzgåf/f agfOPsf] O{6fsf] uf/f]sf] l;d]G6 d;nf -!M#_ df</t>
  </si>
  <si>
    <t>!@% dL=dL= afSnf] 7f8f] O{6f ;f]lnË u/L hf]gL{df afn'jfn] eg]{ tyf</t>
  </si>
  <si>
    <t>@) dL=dL= afSnf] l;d]G6 afn'jf Knfi6/ -!M#_ efudf sfd ug]{ .</t>
  </si>
  <si>
    <t>XoflG8n</t>
  </si>
  <si>
    <t>!!–#</t>
  </si>
  <si>
    <t>!M! l;d]G6 afn'jfdf l6Ksf/ ug]{ sfd .</t>
  </si>
  <si>
    <t>t]lnof O{6f</t>
  </si>
  <si>
    <t>;'sL{</t>
  </si>
  <si>
    <t>!!–!@</t>
  </si>
  <si>
    <r>
      <t xml:space="preserve">-!)=)) /=dL= Ö !)=)) </t>
    </r>
    <r>
      <rPr>
        <u/>
        <sz val="10"/>
        <rFont val="Arial"/>
        <family val="2"/>
      </rPr>
      <t>x</t>
    </r>
    <r>
      <rPr>
        <u/>
        <sz val="10"/>
        <rFont val="Preeti"/>
      </rPr>
      <t xml:space="preserve"> )=^) Ö ^=)) j=dL=_</t>
    </r>
  </si>
  <si>
    <t xml:space="preserve">!%_ sf]]k" ;fgf] </t>
  </si>
  <si>
    <t xml:space="preserve">!^_ uf]+urf </t>
  </si>
  <si>
    <t>s_;fgf</t>
  </si>
  <si>
    <t>v_7'nf]</t>
  </si>
  <si>
    <t xml:space="preserve">!&amp;_ k]6Lsf]nflu 9'Ëf </t>
  </si>
  <si>
    <t xml:space="preserve"> !*_ gfuf]n O{6f </t>
  </si>
  <si>
    <t xml:space="preserve"> @^_ a'§]bf/L slg{z O6f -sfzLdf]x?_</t>
  </si>
  <si>
    <t xml:space="preserve">ljleGg lsl;dsf] O{+6f </t>
  </si>
  <si>
    <t>s_ d]lzgaf6 pTkflbt O+{6f -5fg]sf]_</t>
  </si>
  <si>
    <t xml:space="preserve">xhf/ </t>
  </si>
  <si>
    <t>v_ d]lzgaf6 pTkflbt O+{6f -!–g+=_</t>
  </si>
  <si>
    <t>,,</t>
  </si>
  <si>
    <t xml:space="preserve">u_ lrDgL e§fsf] O{+6f </t>
  </si>
  <si>
    <t xml:space="preserve">5fgf 5fpg] 6fonx? </t>
  </si>
  <si>
    <t xml:space="preserve">s_ d]lzgaf6 pTkflbt 6fon </t>
  </si>
  <si>
    <t xml:space="preserve">uf]6f </t>
  </si>
  <si>
    <t xml:space="preserve">v_ lrDgL e§fsf] 6fon </t>
  </si>
  <si>
    <t xml:space="preserve">,, </t>
  </si>
  <si>
    <t xml:space="preserve">u_ d]lzgaf6 pTkflbt w'/L </t>
  </si>
  <si>
    <t xml:space="preserve">3_ lrDgL e§fsf] w'/L </t>
  </si>
  <si>
    <t>e'O{df÷ sf};Ldf 5fKg] 6fonM</t>
  </si>
  <si>
    <t>$ dL=dL= P]gf vfkf agfO{ h8fg ug]{ .</t>
  </si>
  <si>
    <t>$ dL=dL=P]gf</t>
  </si>
  <si>
    <t>lgb]{zfg';f/ h8fg ug]{ sfd .</t>
  </si>
  <si>
    <t>sfnf] kfO{k</t>
  </si>
  <si>
    <r>
      <t xml:space="preserve">Providing and applying Perma treat or Perma clear seal (colorless solvent silicon based liquid) for </t>
    </r>
    <r>
      <rPr>
        <b/>
        <sz val="12"/>
        <rFont val="Times New Roman"/>
        <family val="1"/>
      </rPr>
      <t>water repellant</t>
    </r>
    <r>
      <rPr>
        <sz val="12"/>
        <rFont val="Times New Roman"/>
        <family val="1"/>
      </rPr>
      <t xml:space="preserve"> on bricks, tiles from fungus and algae growth (exposed surface).</t>
    </r>
  </si>
  <si>
    <r>
      <t xml:space="preserve">d]lzgaf6 a'lgPsf, </t>
    </r>
    <r>
      <rPr>
        <b/>
        <sz val="12"/>
        <rFont val="Arial"/>
        <family val="2"/>
      </rPr>
      <t xml:space="preserve">mechanically selvedged double Twist wire mesh </t>
    </r>
    <r>
      <rPr>
        <b/>
        <sz val="14"/>
        <rFont val="Preeti"/>
      </rPr>
      <t>sf] u]ljog jfs;</t>
    </r>
  </si>
  <si>
    <r>
      <t xml:space="preserve">s_ </t>
    </r>
    <r>
      <rPr>
        <b/>
        <sz val="12"/>
        <rFont val="Times New Roman"/>
        <family val="1"/>
      </rPr>
      <t>MBG/10x12/3.0/3.9/2.4/ZN</t>
    </r>
  </si>
  <si>
    <r>
      <t>!=%</t>
    </r>
    <r>
      <rPr>
        <sz val="14"/>
        <rFont val="Times New Roman"/>
        <family val="1"/>
      </rPr>
      <t>×</t>
    </r>
    <r>
      <rPr>
        <sz val="14"/>
        <rFont val="Preeti"/>
      </rPr>
      <t>!</t>
    </r>
    <r>
      <rPr>
        <sz val="14"/>
        <rFont val="Times New Roman"/>
        <family val="1"/>
      </rPr>
      <t>×</t>
    </r>
    <r>
      <rPr>
        <sz val="14"/>
        <rFont val="Preeti"/>
      </rPr>
      <t>)=%÷)</t>
    </r>
  </si>
  <si>
    <r>
      <t xml:space="preserve"> @</t>
    </r>
    <r>
      <rPr>
        <sz val="14"/>
        <rFont val="Times New Roman"/>
        <family val="1"/>
      </rPr>
      <t>×</t>
    </r>
    <r>
      <rPr>
        <sz val="14"/>
        <rFont val="Preeti"/>
      </rPr>
      <t>!</t>
    </r>
    <r>
      <rPr>
        <sz val="14"/>
        <rFont val="Times New Roman"/>
        <family val="1"/>
      </rPr>
      <t>×</t>
    </r>
    <r>
      <rPr>
        <sz val="12"/>
        <rFont val="Times New Roman"/>
        <family val="1"/>
      </rPr>
      <t>0.</t>
    </r>
    <r>
      <rPr>
        <sz val="14"/>
        <rFont val="Preeti"/>
      </rPr>
      <t>%÷)</t>
    </r>
    <r>
      <rPr>
        <sz val="11"/>
        <rFont val="Arial"/>
        <family val="2"/>
      </rPr>
      <t xml:space="preserve"> </t>
    </r>
  </si>
  <si>
    <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</si>
  <si>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</si>
  <si>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</si>
  <si>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</si>
  <si>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</si>
  <si>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</si>
  <si>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v_ </t>
    </r>
    <r>
      <rPr>
        <b/>
        <sz val="12"/>
        <rFont val="Times New Roman"/>
        <family val="1"/>
      </rPr>
      <t>MBG/10x12/2.7/3.4/2.2/ZN</t>
    </r>
  </si>
  <si>
    <r>
      <t>!=%</t>
    </r>
    <r>
      <rPr>
        <sz val="14"/>
        <rFont val="Times New Roman"/>
        <family val="1"/>
      </rPr>
      <t>×</t>
    </r>
    <r>
      <rPr>
        <sz val="14"/>
        <rFont val="Preeti"/>
      </rPr>
      <t>!</t>
    </r>
    <r>
      <rPr>
        <sz val="14"/>
        <rFont val="Times New Roman"/>
        <family val="1"/>
      </rPr>
      <t>×</t>
    </r>
    <r>
      <rPr>
        <sz val="14"/>
        <rFont val="Preeti"/>
      </rPr>
      <t>)=%)</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</si>
  <si>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</si>
  <si>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</si>
  <si>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</si>
  <si>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</si>
  <si>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</si>
  <si>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</si>
  <si>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</si>
  <si>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u_ </t>
    </r>
    <r>
      <rPr>
        <b/>
        <sz val="12"/>
        <rFont val="Times New Roman"/>
        <family val="1"/>
      </rPr>
      <t>MJG/10x12/3.0/3.9/2.4/ZN</t>
    </r>
  </si>
  <si>
    <r>
      <t>#</t>
    </r>
    <r>
      <rPr>
        <sz val="14"/>
        <rFont val="Times New Roman"/>
        <family val="1"/>
      </rPr>
      <t>×</t>
    </r>
    <r>
      <rPr>
        <sz val="14"/>
        <rFont val="Preeti"/>
      </rPr>
      <t>@</t>
    </r>
    <r>
      <rPr>
        <sz val="14"/>
        <rFont val="Times New Roman"/>
        <family val="1"/>
      </rPr>
      <t>×</t>
    </r>
    <r>
      <rPr>
        <sz val="14"/>
        <rFont val="Preeti"/>
      </rPr>
      <t>)=%)</t>
    </r>
  </si>
  <si>
    <t>kf]/l;lng Un]H8 6fO{n !M$ l;d]G6 afn'jfdf 5fKg] sfd af]8/ ;lxt .</t>
  </si>
  <si>
    <t>l;d]G6df # dL=dL= afSnf] ˆnl;+u Knfi6/ nufpg] sfd .</t>
  </si>
  <si>
    <t>s_ HofdL</t>
  </si>
  <si>
    <t>kf]lnlyg zL6 %)) u]h</t>
  </si>
  <si>
    <t xml:space="preserve">!@=% dL=dL= afSnf] l;d]G6 afn'jf Knfi6/ -!M$_ efudf l;lnËdf ug]{ . </t>
  </si>
  <si>
    <t xml:space="preserve">!@=% dL=dL= afSnf] l;d]G6 afn'jf -!M$_ df </t>
  </si>
  <si>
    <t xml:space="preserve">l;lnË jfx]s cGoq Knfi6/ ug]{ . </t>
  </si>
  <si>
    <r>
      <t>a)</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5fgfsf] nflu</t>
    </r>
    <r>
      <rPr>
        <sz val="12"/>
        <rFont val="Preeti"/>
      </rPr>
      <t xml:space="preserve"> </t>
    </r>
  </si>
  <si>
    <r>
      <t>b)</t>
    </r>
    <r>
      <rPr>
        <sz val="7"/>
        <rFont val="Times New Roman"/>
        <family val="1"/>
      </rPr>
      <t xml:space="preserve">       </t>
    </r>
    <r>
      <rPr>
        <sz val="11"/>
        <rFont val="Times New Roman"/>
        <family val="1"/>
      </rPr>
      <t>70 mm inter locking cement conc. Block   M- 30 grade</t>
    </r>
    <r>
      <rPr>
        <sz val="12"/>
        <rFont val="Times New Roman"/>
        <family val="1"/>
      </rPr>
      <t xml:space="preserve"> </t>
    </r>
  </si>
  <si>
    <r>
      <t>c)</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1"/>
        <rFont val="Arial"/>
        <family val="2"/>
      </rPr>
      <t xml:space="preserve"> </t>
    </r>
    <r>
      <rPr>
        <sz val="11"/>
        <rFont val="Times New Roman"/>
        <family val="1"/>
      </rPr>
      <t>passage</t>
    </r>
    <r>
      <rPr>
        <sz val="11"/>
        <rFont val="Arial"/>
        <family val="2"/>
      </rPr>
      <t xml:space="preserve"> </t>
    </r>
    <r>
      <rPr>
        <sz val="14"/>
        <rFont val="Preeti"/>
      </rPr>
      <t>df 5fgfsf] nflu</t>
    </r>
  </si>
  <si>
    <r>
      <t xml:space="preserve">d)   </t>
    </r>
    <r>
      <rPr>
        <sz val="11"/>
        <rFont val="Times New Roman"/>
        <family val="1"/>
      </rPr>
      <t>70 mm inter locking cement conc. Block   M- 30 grade</t>
    </r>
  </si>
  <si>
    <r>
      <t>ii) Parquet size 1</t>
    </r>
    <r>
      <rPr>
        <vertAlign val="superscript"/>
        <sz val="12"/>
        <rFont val="Times New Roman"/>
        <family val="1"/>
      </rPr>
      <t>3</t>
    </r>
    <r>
      <rPr>
        <sz val="12"/>
        <rFont val="Times New Roman"/>
        <family val="1"/>
      </rPr>
      <t>/</t>
    </r>
    <r>
      <rPr>
        <vertAlign val="subscript"/>
        <sz val="12"/>
        <rFont val="Times New Roman"/>
        <family val="1"/>
      </rPr>
      <t xml:space="preserve">4 </t>
    </r>
    <r>
      <rPr>
        <sz val="12"/>
        <rFont val="Times New Roman"/>
        <family val="1"/>
      </rPr>
      <t>"×9"size</t>
    </r>
  </si>
  <si>
    <r>
      <t>iii) Parquet  size 2</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"×12" size</t>
    </r>
  </si>
  <si>
    <r>
      <t xml:space="preserve">v) Old parquet flooring </t>
    </r>
    <r>
      <rPr>
        <sz val="14"/>
        <rFont val="Preeti"/>
      </rPr>
      <t xml:space="preserve">df u|fOl8Ë ug{} kfln; ug{} cflb sfd </t>
    </r>
  </si>
  <si>
    <t>b/ ljZn]if0fsf] nflu $=@) j=ld= lnOPsf]</t>
  </si>
  <si>
    <t>c:t/ jfx]s b'O{ sf]6 /]8 cS;fO8 k]G6 ug]{ sfd .</t>
  </si>
  <si>
    <r>
      <t xml:space="preserve">%) dL=dL= </t>
    </r>
    <r>
      <rPr>
        <sz val="11"/>
        <rFont val="Arial"/>
        <family val="2"/>
      </rPr>
      <t>Ø</t>
    </r>
    <r>
      <rPr>
        <sz val="14"/>
        <rFont val="Preeti"/>
      </rPr>
      <t xml:space="preserve"> sf] sfnf] kmnfd] kfO{k kf]i6 @ dL6/ b"/Ldf </t>
    </r>
  </si>
  <si>
    <r>
      <t>@%</t>
    </r>
    <r>
      <rPr>
        <sz val="11"/>
        <rFont val="Arial"/>
        <family val="2"/>
      </rPr>
      <t xml:space="preserve"> x</t>
    </r>
    <r>
      <rPr>
        <sz val="14"/>
        <rFont val="Preeti"/>
      </rPr>
      <t xml:space="preserve"> @% </t>
    </r>
    <r>
      <rPr>
        <sz val="11"/>
        <rFont val="Arial"/>
        <family val="2"/>
      </rPr>
      <t>x</t>
    </r>
    <r>
      <rPr>
        <sz val="14"/>
        <rFont val="Preeti"/>
      </rPr>
      <t xml:space="preserve"> $ dL=dL= ;fO{hsf] kmnfd] PËn k|m]ddf &amp; dL=dL=</t>
    </r>
    <r>
      <rPr>
        <sz val="10"/>
        <rFont val="Arial"/>
        <family val="2"/>
      </rPr>
      <t>Ø</t>
    </r>
    <r>
      <rPr>
        <sz val="14"/>
        <rFont val="Preeti"/>
      </rPr>
      <t xml:space="preserve"> kmnfd] 808Lsf] 8fouf]gnL hfnL</t>
    </r>
  </si>
  <si>
    <r>
      <t xml:space="preserve">^@ </t>
    </r>
    <r>
      <rPr>
        <sz val="11"/>
        <rFont val="Arial"/>
        <family val="2"/>
      </rPr>
      <t>x</t>
    </r>
    <r>
      <rPr>
        <sz val="12"/>
        <rFont val="Preeti"/>
      </rPr>
      <t xml:space="preserve"> ^@ dL=dL= ;fOhdf h8fg ug]{ / #</t>
    </r>
    <r>
      <rPr>
        <sz val="11"/>
        <rFont val="Arial"/>
        <family val="2"/>
      </rPr>
      <t>x</t>
    </r>
    <r>
      <rPr>
        <sz val="12"/>
        <rFont val="Preeti"/>
      </rPr>
      <t>@) sf] kmnfd] kftfsf] lu|n )=!% dL= cUnf] agfO{ dfly h8fg u/L</t>
    </r>
  </si>
  <si>
    <t>km]lj|s]zg u/L k|fOd/ k]G6 ;lxt ;Dk"0f{ sfo{ .</t>
  </si>
  <si>
    <r>
      <t>%) dL=dL=</t>
    </r>
    <r>
      <rPr>
        <sz val="10"/>
        <rFont val="Arial"/>
        <family val="2"/>
      </rPr>
      <t>Ø</t>
    </r>
    <r>
      <rPr>
        <sz val="13"/>
        <rFont val="Preeti"/>
      </rPr>
      <t xml:space="preserve"> kf]i6</t>
    </r>
  </si>
  <si>
    <r>
      <t>@%</t>
    </r>
    <r>
      <rPr>
        <sz val="11"/>
        <rFont val="Arial"/>
        <family val="2"/>
      </rPr>
      <t>x</t>
    </r>
    <r>
      <rPr>
        <sz val="11"/>
        <rFont val="Preeti"/>
      </rPr>
      <t>@%</t>
    </r>
    <r>
      <rPr>
        <sz val="11"/>
        <rFont val="Arial"/>
        <family val="2"/>
      </rPr>
      <t>x</t>
    </r>
    <r>
      <rPr>
        <sz val="11"/>
        <rFont val="Preeti"/>
      </rPr>
      <t>$ dL=dL= PËn</t>
    </r>
  </si>
  <si>
    <r>
      <t>kmnfd] kftfsf] lu|n #</t>
    </r>
    <r>
      <rPr>
        <sz val="11"/>
        <rFont val="Arial"/>
        <family val="2"/>
      </rPr>
      <t>x</t>
    </r>
    <r>
      <rPr>
        <sz val="13"/>
        <rFont val="Preeti"/>
      </rPr>
      <t>@) dL=dL=</t>
    </r>
  </si>
  <si>
    <t>&amp; dL=dL= kmnfd] 808L</t>
  </si>
  <si>
    <t>k|mflj|s]zg !%Ü</t>
  </si>
  <si>
    <t>ljleGg ;fO{hsf] kmnfd] PËn km]lj|s]zg u/L k|fOd/ k]G6 ;lxt ug]{ sfd .</t>
  </si>
  <si>
    <t xml:space="preserve">;fnsf] sf7n] qm; kfl6{;g u/L !@ dL=dL=sdl;{on KnfO{p8df b'a}tkm{ $ dL=dL=sf]  </t>
  </si>
  <si>
    <t>!) dL= k/ x6fpg] .</t>
  </si>
  <si>
    <t>lni6L</t>
  </si>
  <si>
    <t>White glazed wash basin 55X40cm with brackets 32mm bottle trap, 32mm CP waste coupling with CP chain and rubber plug, 15mm basin mixer ( jaquar or essco or eqv.) with pedestal  and  ½"x18" pipe connector etc  all complete.</t>
  </si>
  <si>
    <t>White glazed 55X40 cm  size Indian pattern wash basin  with pedestal and basin mixer etc  all complete.</t>
  </si>
  <si>
    <t>White glazed  wash basin 55X40cm with brackets 32mm bottle trap, 32mm CP waste coupling with CP chain and rubber plug, 15mm fancy type piller cock and  ½"x18" pipe connector etc  all complete.</t>
  </si>
  <si>
    <t>White glazed  wash basin 55X40cm all complete set.</t>
  </si>
  <si>
    <t>White glazed  Corner wash basin 40X40cm with brackets 32mm bottle trap, 32mm CP waste coupling with CP chain and rubber plug, 15mm fancy type piller cock and  ½"x18" pipe connector etc  all complete.</t>
  </si>
  <si>
    <t>White glazed  Corner wash basin 40X40cm all complete set.</t>
  </si>
  <si>
    <t>9'jfgL ug]{ ;tx ;kmf ug{] kfgLn] lehfpg] / Knfi6/ ug]{ .</t>
  </si>
  <si>
    <t>e';f</t>
  </si>
  <si>
    <t>uf]a/</t>
  </si>
  <si>
    <t xml:space="preserve">uf/f]df !@ dL=dL= afSnf] df6f]sf] Knfi6/ -lnpg_ nufpg] sfd, d;nf tof/ kf/L </t>
  </si>
  <si>
    <t>#) dL= ;Dd 9'jfgL ug]{, ;tx ;kmf kfg]{, kfgLn] lehfpg] / Knfi6/ ug]{ .</t>
  </si>
  <si>
    <t>gofF ;km]{;df XjfO{6jf; b'O{sf]6 ug]{ sfd -l;ln+udf_</t>
  </si>
  <si>
    <t>;]tf] r'gf</t>
  </si>
  <si>
    <t>Functional and High builds epoxy coating on floor 400 micron(for pharmaceutical and hospitals floor)</t>
  </si>
  <si>
    <t>Urinal 46.5X35.5X26.5cm White glazed with complete set .</t>
  </si>
  <si>
    <t>White glazed 61X41X38cm  large flat back Urinal all complete set.</t>
  </si>
  <si>
    <t xml:space="preserve"> 45X35X27.5cm Angle back Urinal  all complete set .</t>
  </si>
  <si>
    <t>45X35X27.5cm Angle back Urinal  all complete set.</t>
  </si>
  <si>
    <t xml:space="preserve"> 45X35cm Squating Plate Urinal  all complete set .</t>
  </si>
  <si>
    <t>45X35cm Squating Plate Urinal  all complete set.</t>
  </si>
  <si>
    <t xml:space="preserve"> 68X30cm size Urinal  partation all complete set .</t>
  </si>
  <si>
    <t xml:space="preserve"> 300 lit. 3 panel solar heater  fixing with electric booster all complete.</t>
  </si>
  <si>
    <t xml:space="preserve"> 900 lit. G.I water tank fixing  all complete.</t>
  </si>
  <si>
    <t>900 lit. G.I water tank fixing all complete.</t>
  </si>
  <si>
    <t>nos</t>
  </si>
  <si>
    <t xml:space="preserve"> 1350 lit. G.I water tank fixing  all complete.</t>
  </si>
  <si>
    <t>1350 lit. G.I water tank fixing all complete.</t>
  </si>
  <si>
    <t>Recess type Soap Dish , American Standard with necessary accessories.</t>
  </si>
  <si>
    <t xml:space="preserve"> Porecelene clay Soap Tray 6"x6"  Recessed type with necessary accessories all complete.</t>
  </si>
  <si>
    <t>Porecelene clay Soap Tray 6"x6"  Recessed type with necessary accessories all complete.</t>
  </si>
  <si>
    <t xml:space="preserve">Chrome plated soap tray 6"x6" with necessary accessories </t>
  </si>
  <si>
    <r>
      <t>CGI</t>
    </r>
    <r>
      <rPr>
        <sz val="13"/>
        <rFont val="Preeti"/>
      </rPr>
      <t xml:space="preserve"> </t>
    </r>
    <r>
      <rPr>
        <sz val="10"/>
        <rFont val="Preeti"/>
      </rPr>
      <t xml:space="preserve">kftf @$ u]h </t>
    </r>
    <r>
      <rPr>
        <sz val="8"/>
        <rFont val="Arial"/>
        <family val="2"/>
      </rPr>
      <t>(0.50mm)</t>
    </r>
  </si>
  <si>
    <t xml:space="preserve">channels, fixing 9.0-12.5mm thick MPL (metalised polyster laminated) board or MPL boral  </t>
  </si>
  <si>
    <t>-Ps sf]6 k|fO{d/ ;lxt_</t>
  </si>
  <si>
    <t>-Ps sf]6 c:t/ ;lxt_</t>
  </si>
  <si>
    <t>* dLdL= g6 af]N6</t>
  </si>
  <si>
    <t>cfjZos g6 af]N6</t>
  </si>
  <si>
    <r>
      <t>l;len sfo{x? -</t>
    </r>
    <r>
      <rPr>
        <b/>
        <sz val="20"/>
        <rFont val="Arial"/>
        <family val="2"/>
      </rPr>
      <t xml:space="preserve">Civil works </t>
    </r>
    <r>
      <rPr>
        <b/>
        <sz val="20"/>
        <rFont val="Preeti"/>
      </rPr>
      <t>_</t>
    </r>
  </si>
  <si>
    <r>
      <t xml:space="preserve">9'+ufsf] sfd </t>
    </r>
    <r>
      <rPr>
        <b/>
        <sz val="12"/>
        <rFont val="Times New Roman"/>
        <family val="1"/>
      </rPr>
      <t>(Rubble Stone)</t>
    </r>
  </si>
  <si>
    <r>
      <t xml:space="preserve">-s_ 7'nf] ;fOhsf] vfgLsf] 9'+uf </t>
    </r>
    <r>
      <rPr>
        <sz val="13"/>
        <rFont val="Preeti"/>
      </rPr>
      <t>-</t>
    </r>
    <r>
      <rPr>
        <sz val="11"/>
        <rFont val="Times New Roman"/>
        <family val="1"/>
      </rPr>
      <t>Quarry  stone)</t>
    </r>
  </si>
  <si>
    <r>
      <t xml:space="preserve">-v_ 7'nf] ;fOhsf] vf]nfsf] 9'+uf </t>
    </r>
    <r>
      <rPr>
        <sz val="12"/>
        <rFont val="Times New Roman"/>
        <family val="1"/>
      </rPr>
      <t>(River Stone)</t>
    </r>
  </si>
  <si>
    <r>
      <t xml:space="preserve"> -v_ :yfgLo 9'Ëf </t>
    </r>
    <r>
      <rPr>
        <sz val="12"/>
        <rFont val="Times New Roman"/>
        <family val="1"/>
      </rPr>
      <t xml:space="preserve">(Av. Lead 500 m. </t>
    </r>
    <r>
      <rPr>
        <sz val="14"/>
        <rFont val="Preeti"/>
      </rPr>
      <t>;Ddsf]</t>
    </r>
    <r>
      <rPr>
        <sz val="14"/>
        <rFont val="Times New Roman"/>
        <family val="1"/>
      </rPr>
      <t>)</t>
    </r>
  </si>
  <si>
    <r>
      <t xml:space="preserve">;8ssf] </t>
    </r>
    <r>
      <rPr>
        <b/>
        <sz val="14"/>
        <rFont val="Times New Roman"/>
        <family val="1"/>
      </rPr>
      <t>Sub-base/base course</t>
    </r>
    <r>
      <rPr>
        <b/>
        <sz val="14"/>
        <rFont val="Preeti"/>
      </rPr>
      <t xml:space="preserve"> sf nflu k|of]u ul/g] lgdf{0f ;fdfu|L</t>
    </r>
  </si>
  <si>
    <r>
      <t xml:space="preserve">-s_ :yfgLo vf]nfsf] u|fe]n </t>
    </r>
    <r>
      <rPr>
        <sz val="12"/>
        <rFont val="Times New Roman"/>
        <family val="1"/>
      </rPr>
      <t>(Local)</t>
    </r>
  </si>
  <si>
    <r>
      <t xml:space="preserve"> -ª_ </t>
    </r>
    <r>
      <rPr>
        <sz val="12"/>
        <rFont val="Times New Roman"/>
        <family val="1"/>
      </rPr>
      <t>Granular Sub-base material</t>
    </r>
  </si>
  <si>
    <t xml:space="preserve">  !@ dL=dL= jfSnf] !)) dL=dL=prfO{sf] sf7sf] kfs]{6n] sf]7fx?df </t>
  </si>
  <si>
    <t xml:space="preserve"> Supply and fixing of  Iron gate made up of 16 gauge black sheet on 50 X 50 X 4 mm M.S. angle frame including with all necessary accessories, all complete. </t>
  </si>
  <si>
    <t xml:space="preserve"> Supply and fixing of  Iron gate made up of 16 gauge black sheet on 50 X 50 X 4 mm M.S. angle frame.</t>
  </si>
  <si>
    <t>40mm ball cock</t>
  </si>
  <si>
    <t xml:space="preserve"> white glazed OVAL  wash basin 55X40mm with brackets 32mm bottle trap, 32mm CP waste coupling with CP chain and rubber plug, 15mm fancy type Mixer and  ½"x18" pipe connector etc  all complete.</t>
  </si>
  <si>
    <t xml:space="preserve"> Kitchen sink stainless steel 90 cm long  with sink mixer and instruction all complete.</t>
  </si>
  <si>
    <t>Kitchen sink stainless steel 90 cm long  with sink mixer and instruction all complete.</t>
  </si>
  <si>
    <t xml:space="preserve"> white glazed   wash basin 55X40mm with brackets 32mm bottle trap, 32mm CP waste coupling with CP chain and rubber plug, and  ½"x18" pipe connector etc  all complete. Except piller cock</t>
  </si>
  <si>
    <t xml:space="preserve"> white glazed   wash basin 55X40mm with brackets 32mm bottle trap, 32mm CP waste coupling with CP chain and rubber plug, and  ½"x18" pipe connector etc  all complete. With mixer</t>
  </si>
  <si>
    <t>Construction of 20 user septic tank  all complete work as per drawing and specification.</t>
  </si>
  <si>
    <t>site clearance</t>
  </si>
  <si>
    <t>Ls</t>
  </si>
  <si>
    <t>Earth work in excavtion in Well (Hard soil) and pumping  water and soil by electric equipment</t>
  </si>
  <si>
    <t>cu.m</t>
  </si>
  <si>
    <t>4'-0"  dia. Rcc Ring for well</t>
  </si>
  <si>
    <t>3' -6"  dia. Rcc Ring for well</t>
  </si>
  <si>
    <t>15mm dia brass bib cock</t>
  </si>
  <si>
    <t>15mm dia  Flexiable pipe</t>
  </si>
  <si>
    <t xml:space="preserve"> White galze Porcelain clay 500 mm Indian pan  with P or S trap all complete set</t>
  </si>
  <si>
    <t>dfn;fdfg pknAw u/L )=$! dL=dL= afSnf] ;L=hL=cfO{= zL6 -h:tf kftfsf]_ 5fgf 5fpg] sfd k'/f .</t>
  </si>
  <si>
    <t xml:space="preserve"> sf7sf] k|m]ddf d:SjL6f] k|'km hfnL lnli6åf/f h8fg ug]{ sfo{ .</t>
  </si>
  <si>
    <r>
      <t>b/ ljZn]if0fsf] nflu !</t>
    </r>
    <r>
      <rPr>
        <sz val="11"/>
        <rFont val="Preeti"/>
      </rPr>
      <t xml:space="preserve"> j=ld= lnOPsf]</t>
    </r>
  </si>
  <si>
    <t>sf7sf] lni6L</t>
  </si>
  <si>
    <t>d:SjL6f] k|'km hfnL</t>
  </si>
  <si>
    <r>
      <t xml:space="preserve">%) </t>
    </r>
    <r>
      <rPr>
        <sz val="10"/>
        <rFont val="Arial"/>
        <family val="2"/>
      </rPr>
      <t>X</t>
    </r>
    <r>
      <rPr>
        <sz val="16"/>
        <rFont val="Preeti"/>
      </rPr>
      <t xml:space="preserve"> &amp;% dL=dL= ;fO{hsf] ;Nnf] s' sf7sf] ^)) </t>
    </r>
    <r>
      <rPr>
        <sz val="10"/>
        <rFont val="Arial"/>
        <family val="2"/>
      </rPr>
      <t>X</t>
    </r>
    <r>
      <rPr>
        <sz val="16"/>
        <rFont val="Preeti"/>
      </rPr>
      <t xml:space="preserve"> ()) dL= dL= sf] </t>
    </r>
  </si>
  <si>
    <t>;Nnf] s' sf7</t>
  </si>
  <si>
    <t>lzzf} sf7sf]</t>
  </si>
  <si>
    <t>sf] agfO{</t>
  </si>
  <si>
    <t>lkml6Ë ug]{</t>
  </si>
  <si>
    <t>1.5 cm CP flush cock with sreader all complete.</t>
  </si>
  <si>
    <t>1.5 cm CP flush cock with sreader.</t>
  </si>
  <si>
    <t>Flange 80 mm dia size</t>
  </si>
  <si>
    <t>Flange 100 mm dia size</t>
  </si>
  <si>
    <t>Motor starter switch all complete.</t>
  </si>
  <si>
    <t>Motor starter switch.</t>
  </si>
  <si>
    <t xml:space="preserve"> Pressure sensor switch all complete.</t>
  </si>
  <si>
    <t>Pressure sensor switch.</t>
  </si>
  <si>
    <t>Fire post all complete.</t>
  </si>
  <si>
    <t>Fire post.</t>
  </si>
  <si>
    <t>20 HP electric motor pump all complete.</t>
  </si>
  <si>
    <t>20 HP electric motor pump.</t>
  </si>
  <si>
    <t>Fire hose reel all complete.</t>
  </si>
  <si>
    <t>Fire hose reel.</t>
  </si>
  <si>
    <t>G.M. 25 mm Float Valve</t>
  </si>
  <si>
    <t>Grab Bar American Standard</t>
  </si>
  <si>
    <t>Euro guard filter all complete.</t>
  </si>
  <si>
    <t>OPAL RMP</t>
  </si>
  <si>
    <t>ROAD MARKING PAINTS</t>
  </si>
  <si>
    <t>Road marking paints are versatile for marking on the metalled and concrete surface of roads, air stripe etc. They are two type water based and sprit based white and golden yellow colour.</t>
  </si>
  <si>
    <t>Aluminium Door &amp; Windos</t>
  </si>
  <si>
    <t>Mention rates are including supplying of necessary chemicals, materials,fittings, labours as per manufacturer's specifications all complete or as per consultant's direction.</t>
  </si>
  <si>
    <t>Aluminum fixed panel window without ventilator from section. (88×38×1.30) mm and 5 mm glass.</t>
  </si>
  <si>
    <t>Making and fitting flush door shutter of 38 x 100 mm size sal wood frame with 28gauge G.I thick G.I  plain sheet on both side.</t>
  </si>
  <si>
    <t xml:space="preserve">Making and fitting of G.I. Mosquito net shutter with diamond chicken wire mesh with 38mm thick seasoned salwood frame including hinges, towerbolts, handles, locking set etc all complete. </t>
  </si>
  <si>
    <t>(G.M.) check valve 15mm dia</t>
  </si>
  <si>
    <t xml:space="preserve">(G.M.) check valve 20mm dia medium quality </t>
  </si>
  <si>
    <t>(G.M.) check valve 20mm dia</t>
  </si>
  <si>
    <t xml:space="preserve">(G.M.) check valve 25mm dia medium quality </t>
  </si>
  <si>
    <t>(G.M.) check valve 25mm dia</t>
  </si>
  <si>
    <t xml:space="preserve">(G.M.) check valve 32mm dia medium quality </t>
  </si>
  <si>
    <t>(G.M.) check valve 32mm dia</t>
  </si>
  <si>
    <t xml:space="preserve">(G.M.) check valve 50mm dia medium quality </t>
  </si>
  <si>
    <t>(G.M.) check valve 50mm dia</t>
  </si>
  <si>
    <t xml:space="preserve">(G.M.) check valve 65mm dia medium quality </t>
  </si>
  <si>
    <t>(G.M.) check valve 65mm dia</t>
  </si>
  <si>
    <t xml:space="preserve">(G.M.) check valve 80mm dia medium quality </t>
  </si>
  <si>
    <t>(G.M.) check valve 80mm dia</t>
  </si>
  <si>
    <t>Ordinary type C.P. Pillar cock 15mm dia.</t>
  </si>
  <si>
    <t xml:space="preserve"> 15mm dia concealed valve ordinary type </t>
  </si>
  <si>
    <t>15mm dia concealed valve ordinary type.</t>
  </si>
  <si>
    <t xml:space="preserve"> (G.M.) gate valve 15mm dia full way medium </t>
  </si>
  <si>
    <t xml:space="preserve">G.M. gate valve 15mm dia </t>
  </si>
  <si>
    <t xml:space="preserve"> (G.M.) gate valve 20mm dia full way medium </t>
  </si>
  <si>
    <t xml:space="preserve">G.M.gate valve 20mm dia </t>
  </si>
  <si>
    <t xml:space="preserve">(G.M.) gate valve 25mm dia full way medium  </t>
  </si>
  <si>
    <t>G.M. gate valve 25mm dia</t>
  </si>
  <si>
    <t xml:space="preserve">(G.M.) gate valve 32mm dia full way medium  </t>
  </si>
  <si>
    <t>G.M. gate valve 32mm dia</t>
  </si>
  <si>
    <t xml:space="preserve">(G.M.) gate valve 40mm dia full way medium  </t>
  </si>
  <si>
    <t>G.M.gate valve 40mm dia</t>
  </si>
  <si>
    <t xml:space="preserve">(G.M.) gate valve 50mm dia full way medium  </t>
  </si>
  <si>
    <t>G.M.gate valve 50mm dia</t>
  </si>
  <si>
    <t xml:space="preserve">(G.M.) gate valve 65mm dia full way medium  </t>
  </si>
  <si>
    <t>G.M.gate valve 65mm dia</t>
  </si>
  <si>
    <t xml:space="preserve">(G.M.) gate valve 80mm dia full way medium  </t>
  </si>
  <si>
    <t>G.M.gate valve 80mm dia</t>
  </si>
  <si>
    <t xml:space="preserve">(G.M.) gate valve 100mm dia full way medium  </t>
  </si>
  <si>
    <t>G.M.gate valve 100mm dia</t>
  </si>
  <si>
    <t xml:space="preserve">(G.M.) check valve 15mm dia medium quality </t>
  </si>
  <si>
    <t xml:space="preserve"> 1800 lit. G.I water tank fixing  all complete.</t>
  </si>
  <si>
    <t>1800 lit. G.I water tank fixing.</t>
  </si>
  <si>
    <t xml:space="preserve"> 2250 lit. G.I water tank fixing  all complete.</t>
  </si>
  <si>
    <t>2250 lit. G.I water tank fixing.</t>
  </si>
  <si>
    <t xml:space="preserve"> 1000 lit capacity PVC water tank HilTake or equivalent</t>
  </si>
  <si>
    <t>1000 lit capacity PVC water tank HilTake or equivalent</t>
  </si>
  <si>
    <t xml:space="preserve"> 1HPChinese Submersible Water Pump</t>
  </si>
  <si>
    <t>1HPChinese Submersible Water Pump</t>
  </si>
  <si>
    <t xml:space="preserve"> 1HP Electric motor  Submersible Water Pump Italian</t>
  </si>
  <si>
    <t>C P High flow divertor with single lever  (Eoropean pattern)</t>
  </si>
  <si>
    <t>15mm C P bath spout  (European pattern)</t>
  </si>
  <si>
    <t>15mm C P bath spout  (Eoropean pattern)</t>
  </si>
  <si>
    <t>C P Telephonic shower  (European pattern)</t>
  </si>
  <si>
    <t>C P Telephonic shower  (Eoropean pattern)</t>
  </si>
  <si>
    <t>C P Basin mixer  (European pattern)</t>
  </si>
  <si>
    <t>C P Basin mixer  (Eoropean pattern)</t>
  </si>
  <si>
    <t>C P hygenic spray  (European pattern)</t>
  </si>
  <si>
    <t>C P hygenic spray  (Eoropean pattern)</t>
  </si>
  <si>
    <t>CP corner shelf  (European pattern)</t>
  </si>
  <si>
    <t>CP corner shelf  (Eoropean pattern)</t>
  </si>
  <si>
    <t>C P Grab bar (European pattern)</t>
  </si>
  <si>
    <t>C P Grab bar (Eoropean pattern)</t>
  </si>
  <si>
    <t>C P Towel rack (European pattern)</t>
  </si>
  <si>
    <t>C P Towel rack (Eoropean pattern)</t>
  </si>
  <si>
    <t>15mm Insulation</t>
  </si>
  <si>
    <t>C P Soap dish (Eoropean pattern)</t>
  </si>
  <si>
    <t>15 mm CP Bath Spout European Pattern American Standard all complete.</t>
  </si>
  <si>
    <t>Sensor Mixer for basin Battery Operating all complete.</t>
  </si>
  <si>
    <t xml:space="preserve"> CP sink mixer all complete.</t>
  </si>
  <si>
    <t>CP sink mixer.</t>
  </si>
  <si>
    <t>CI cover 45x45 cm size (medium) all complete.</t>
  </si>
  <si>
    <t>CI cover 45x45 cm size (medium).</t>
  </si>
  <si>
    <t>CI cover 55x55 cm size ( medium) all complete.</t>
  </si>
  <si>
    <t>CI cover 55x55 cm size    ( medium).</t>
  </si>
  <si>
    <r>
      <t>2x</t>
    </r>
    <r>
      <rPr>
        <vertAlign val="superscript"/>
        <sz val="12"/>
        <color indexed="10"/>
        <rFont val="Arial"/>
        <family val="2"/>
      </rPr>
      <t>3/20</t>
    </r>
    <r>
      <rPr>
        <vertAlign val="superscript"/>
        <sz val="14"/>
        <color indexed="10"/>
        <rFont val="Arial"/>
        <family val="2"/>
      </rPr>
      <t xml:space="preserve"> pvc copper wire for light</t>
    </r>
  </si>
  <si>
    <t>0.41 mm CGI sheet roofing with proper shape &amp; size, all necessary nails, screws, bolts, nuts washers, J or L hooks etc as per drawing &amp; instruction all complete.</t>
  </si>
  <si>
    <t>Sanitary Works</t>
  </si>
  <si>
    <t>White glazed earthenware Indian pattern W C  580mm Orissa Pan with 3.0gallons low level flushing cistern with complete accessories including bracket, flushing pipe,pipe connector etc. all complete set</t>
  </si>
  <si>
    <t>Local chimney made  Brickwork in mud mortar for superstructure .</t>
  </si>
  <si>
    <t xml:space="preserve">Rubble masonry in 1:3 C/S mortar in perfect line level finish including, racking the joints and curing the work for at least 7 days all complete. </t>
  </si>
  <si>
    <t xml:space="preserve">Rubble masonry in 1:3 C/S mortar </t>
  </si>
  <si>
    <t xml:space="preserve">Rubble masonry in 1:4 C/S mortar in perfect line level finish including, racking the joints and curing the work for at least 7 days all complete. </t>
  </si>
  <si>
    <t xml:space="preserve">Rubble masonry in 1:4 C/S mortar. </t>
  </si>
  <si>
    <t>20mm thick cement sand plaster in (1:4) ratio on floor of good finish including racking the joint, wetting of surfaces &amp; curing the work all complete.</t>
  </si>
  <si>
    <t>Wall Bracket/Spot Light/Mirror Light best quality Homedec,Decon or ISI eqv.</t>
  </si>
  <si>
    <t>Dome light 8" Silver Cast Milky Base Decorative set Homedec,DECON or ISI Eqv.</t>
  </si>
  <si>
    <t>Dome light 8" Black Cast Milky Base Decorative set Homedec,DECON or ISI Eqv.</t>
  </si>
  <si>
    <t>Bollard Graden light Medium size Homedec,DECON or ISI eqv.</t>
  </si>
  <si>
    <t>Bollard Graden light Full size Homedec,DECON or ISI eqv.</t>
  </si>
  <si>
    <r>
      <t>!</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 Jof;sf] sfnf] kfO{ksf] x\of0/]n jgfO{ ;KnfO{, h8fg Pj+ k|fO{d/ k]G6 </t>
    </r>
  </si>
  <si>
    <t>RJ 45 Computer Socket</t>
  </si>
  <si>
    <t>20 Amp heavy load switch with indicator</t>
  </si>
  <si>
    <t>1x20 Watt F.T.L Patti fitting Crompton,Anchor,Bajaj  or equivalent</t>
  </si>
  <si>
    <t>1x40 Watt F.T.L Patti fitting Crompton,Anchor,Bajaj  or equivalent</t>
  </si>
  <si>
    <t>1x/20 Watt F.T.L Box fitting Crompton,Anchor,Bajaj  or equivalent</t>
  </si>
  <si>
    <t>Garden Post lamp HL 2220 width 165mm height 765mm mild steel post with PL lamp,Homedec or eqv.</t>
  </si>
  <si>
    <r>
      <t xml:space="preserve">b/ ljZn]if0fsf] nflu !=*@( </t>
    </r>
    <r>
      <rPr>
        <sz val="8"/>
        <rFont val="Arial"/>
        <family val="2"/>
      </rPr>
      <t>X</t>
    </r>
    <r>
      <rPr>
        <sz val="11"/>
        <rFont val="Preeti"/>
      </rPr>
      <t xml:space="preserve"> !=@@ Ö @=@# j=ld= lnOPsf]</t>
    </r>
  </si>
  <si>
    <t>b'a}tkm{ $ dL=dL= l6sKnfO{p8 n]ldg]6 u/L KnfO{sf] l8nfvfkf agfO{ h8fg ug]{ .</t>
  </si>
  <si>
    <t xml:space="preserve">Supplying and laying of good quality marbal in cement sand motar (1:2) ratio with approved colour on floors, skirting and wall s all complete. </t>
  </si>
  <si>
    <t>Marbal in cement sand motar (1:2) ratio with approved colour on floors, skirting and wall.</t>
  </si>
  <si>
    <r>
      <t xml:space="preserve"> 8_ -^)</t>
    </r>
    <r>
      <rPr>
        <sz val="12"/>
        <rFont val="Times New Roman"/>
        <family val="1"/>
      </rPr>
      <t>×</t>
    </r>
    <r>
      <rPr>
        <sz val="12"/>
        <rFont val="Preeti"/>
      </rPr>
      <t xml:space="preserve">()_ ;]=ld   </t>
    </r>
  </si>
  <si>
    <r>
      <t xml:space="preserve">!^ dL=dL afSnf] /fh:yfgL </t>
    </r>
    <r>
      <rPr>
        <sz val="12"/>
        <rFont val="Times New Roman"/>
        <family val="1"/>
      </rPr>
      <t>wonder marble</t>
    </r>
  </si>
  <si>
    <r>
      <t xml:space="preserve">Un]h 6foN; - !@  Æ </t>
    </r>
    <r>
      <rPr>
        <sz val="12"/>
        <rFont val="Times New Roman"/>
        <family val="1"/>
      </rPr>
      <t xml:space="preserve">x  </t>
    </r>
    <r>
      <rPr>
        <sz val="12"/>
        <rFont val="Preeti"/>
      </rPr>
      <t>* Æ _ ;Ddsf] .</t>
    </r>
  </si>
  <si>
    <r>
      <t xml:space="preserve">Un]h 6foN; - !@  Æ </t>
    </r>
    <r>
      <rPr>
        <sz val="12"/>
        <rFont val="Times New Roman"/>
        <family val="1"/>
      </rPr>
      <t xml:space="preserve">x  </t>
    </r>
    <r>
      <rPr>
        <sz val="12"/>
        <rFont val="Preeti"/>
      </rPr>
      <t>!@ Æ _ dflfysf] .</t>
    </r>
  </si>
  <si>
    <r>
      <t>Border Tile</t>
    </r>
    <r>
      <rPr>
        <sz val="12"/>
        <rFont val="Preeti"/>
      </rPr>
      <t xml:space="preserve"> - @  Æ </t>
    </r>
    <r>
      <rPr>
        <sz val="12"/>
        <rFont val="Times New Roman"/>
        <family val="1"/>
      </rPr>
      <t xml:space="preserve">x  </t>
    </r>
    <r>
      <rPr>
        <sz val="12"/>
        <rFont val="Preeti"/>
      </rPr>
      <t>* Æ _</t>
    </r>
  </si>
  <si>
    <t>0.50mm colour GI plain sheet for ridge cover on roofing.</t>
  </si>
  <si>
    <t>0.5mm GI colour sheet for gutter on roofing.</t>
  </si>
  <si>
    <t>0.5mm GI plain sheet for gutter on roofing.</t>
  </si>
  <si>
    <t>0.41mm CGI sheet roofing.</t>
  </si>
  <si>
    <t>Colouring with 1 coats waterproof cement paint of approved colour to give uniform colouring after rendering the surface all complete.</t>
  </si>
  <si>
    <t>Colouring with 1 coats waterproof cement paint of approved colour.</t>
  </si>
  <si>
    <t>Colouring with 2 coats waterproof cement paint of approved colour to give uniform colouring after rendering the surface all complete.</t>
  </si>
  <si>
    <t>Colouring with 2 coats waterproof cement paint of approved colour.</t>
  </si>
  <si>
    <t>1 coats of ready made enamel paint of approved colour over 1 coats of primer Painting over porperly sanded wooden surface all complete</t>
  </si>
  <si>
    <t>1 coats of ready made enamel paint of approved colour over 1 coats of primer.</t>
  </si>
  <si>
    <t>2 coats of ready made enamel paint of approved colour over 1 coats of primer Painting over porperly sanded wooden surface all complete</t>
  </si>
  <si>
    <t>2 coats of ready made enamel paint of approved colour over 1 coats of primer.</t>
  </si>
  <si>
    <t>Commercial Plywood Panelled door shutter with  both sides Teak ply Lamination</t>
  </si>
  <si>
    <t>Making and fitting fixing Plywood Panel door shutter of 38 x 100 mm size sal wood frame with 8 mm thick water proofl ply on midle and 4mm thick teak ply on one side including all necessary hardware fitting all complete.</t>
  </si>
  <si>
    <t>Water proof Plywood Panelled door shutter with  one side Teak ply Lamination</t>
  </si>
  <si>
    <t>Supply and lamination of Sunmica on hardboard and other partition surface with glue</t>
  </si>
  <si>
    <t>Sunmica Lamination on hard board or partition</t>
  </si>
  <si>
    <t>Supply and lamination of Formica on hardboard and other partition surface with glue</t>
  </si>
  <si>
    <t xml:space="preserve">Supplying and laying of glazed or non glazed tiles in cement sand mortar (1:4) ratio with approved colour on wall and floor  all complete. </t>
  </si>
  <si>
    <t>Glazed or non glazed tiles in cement sand mortar (1:4) ratio with approved colour on wall and floor.</t>
  </si>
  <si>
    <t xml:space="preserve">Supplying and laying of glazed or non glazed tiles in cement sand mortar (1:4) ratio with Boarder approved colour on wall and floor  all complete. </t>
  </si>
  <si>
    <t>Glazed or non glazed tiles in cement sand mortar (1:4) ratio with Boarder approved colour on wall and floor.</t>
  </si>
  <si>
    <t>50-60mm thick flag stone paving work in (1:4) C/S mortar  including curing etc all complete.</t>
  </si>
  <si>
    <r>
      <t xml:space="preserve">           </t>
    </r>
    <r>
      <rPr>
        <sz val="12"/>
        <rFont val="Times New Roman"/>
        <family val="1"/>
      </rPr>
      <t>ii.</t>
    </r>
    <r>
      <rPr>
        <sz val="7"/>
        <rFont val="Times New Roman"/>
        <family val="1"/>
      </rPr>
      <t xml:space="preserve">      </t>
    </r>
    <r>
      <rPr>
        <sz val="12"/>
        <rFont val="Times New Roman"/>
        <family val="1"/>
      </rPr>
      <t xml:space="preserve">Glossy Finish </t>
    </r>
    <r>
      <rPr>
        <sz val="14"/>
        <rFont val="Times New Roman"/>
        <family val="1"/>
      </rPr>
      <t>(</t>
    </r>
    <r>
      <rPr>
        <sz val="14"/>
        <rFont val="Preeti"/>
      </rPr>
      <t>rlDsnf] agfpg]</t>
    </r>
    <r>
      <rPr>
        <sz val="14"/>
        <rFont val="Times New Roman"/>
        <family val="1"/>
      </rPr>
      <t>)</t>
    </r>
  </si>
  <si>
    <r>
      <t xml:space="preserve">Poly Carbonate Sheet  (6mm thick ) UV resistance. </t>
    </r>
    <r>
      <rPr>
        <sz val="14"/>
        <rFont val="Preeti"/>
      </rPr>
      <t>:sfO{nfO{6 k|of]u ug{sf] nflu</t>
    </r>
  </si>
  <si>
    <r>
      <t xml:space="preserve">Ready made Teak wood Doors (Seasoned and Poisoned treated )  </t>
    </r>
    <r>
      <rPr>
        <sz val="8"/>
        <rFont val="Times New Roman"/>
        <family val="1"/>
      </rPr>
      <t>( excluding the cost of fitting, transportation, Painting)</t>
    </r>
  </si>
  <si>
    <t>Supplying and installation of UPVC Bay Window frame 60x60 mm , Casement window sash 78x60 mm, sliding window sash 55x36 mm, corner connector 41x23 mm  white colour with galvanized steel reinforcement of 1.5 mm, 5 mm thick clear glass, insect net, patented</t>
  </si>
  <si>
    <t>Bay window centre sliding</t>
  </si>
  <si>
    <t>Bay window side sliding</t>
  </si>
  <si>
    <t>Bay window with top hung</t>
  </si>
  <si>
    <t>Bay window side casement window</t>
  </si>
  <si>
    <t xml:space="preserve">!)_ w'/L rfFË ;fgf] </t>
  </si>
  <si>
    <t xml:space="preserve"> !!_ lemu6L gofF *–#÷$Æ×$Æ</t>
  </si>
  <si>
    <t xml:space="preserve"> !@_ lemu+6L k"/fgf] </t>
  </si>
  <si>
    <t xml:space="preserve"> !#_ 9's' </t>
  </si>
  <si>
    <t xml:space="preserve">!^ – @) dL=dL= Jof;sf] kmnfd] 808L sf+6L em\ofnsf] rf}s;df </t>
  </si>
  <si>
    <t>Kjfn vf]kL h8fg ug]{ sfd .</t>
  </si>
  <si>
    <t>808L</t>
  </si>
  <si>
    <t xml:space="preserve">l;d]G6 </t>
  </si>
  <si>
    <t>jfn'jf</t>
  </si>
  <si>
    <t>!@ dL=dL /f]8f</t>
  </si>
  <si>
    <t>hu leQf kvf{ndf l;d]G6 s+lqm6 ug]{ sfd dfn;fdfg pknAw ug]{</t>
  </si>
  <si>
    <t xml:space="preserve">#) dL6/;Dd 9'jfgL ;lxt </t>
  </si>
  <si>
    <t>-lk=;L=;L= !M$M*_</t>
  </si>
  <si>
    <t>v;|f] afn'jf</t>
  </si>
  <si>
    <t>-lk=;L=;L= !M#M^_</t>
  </si>
  <si>
    <t>-lk=;L=;L= !M@M$_</t>
  </si>
  <si>
    <t>;'k/ :6«Sr/, 8]s :n]a ljdx?df l;d]G6 s+lqm6 ug]{ sfd</t>
  </si>
  <si>
    <t>dfn;fdfg pknAw ug]{ #) dL6/;Dd 9'jfgL ;d]t</t>
  </si>
  <si>
    <t>-lk=;L=;L= !M!M@_</t>
  </si>
  <si>
    <t>@ ;]=dL= df]6fO{sf] l;d]G6 afn'jf !M@ efudf jf6/ k|'km sDkfp08</t>
  </si>
  <si>
    <t>b/ ljZn]if0fsf] nflu !) j=dL= lnOPsf</t>
  </si>
  <si>
    <t>1 coats of ready made plastic emulsion paint of approved colour over 1 coats of primer Painting.</t>
  </si>
  <si>
    <t>2 coats of plastic emulsion paint paint of approved colour over 1 coats of primer Painting over porperly cleaned surface all complete</t>
  </si>
  <si>
    <t>2 coats of plastic emulsion paint paint of approved colour over 1 coats of primer Painting over porperly cleaned surface.</t>
  </si>
  <si>
    <t>Colouring with duracel paint of approved colour on brick wall face to give uniform colouring after rendering the surface all complete.</t>
  </si>
  <si>
    <t>1 coats of apex paint(weather coat) of approved colour without primer Painting over porperly cleaned surface all complete</t>
  </si>
  <si>
    <t>2 coats of apex paint(weather coat) of approved colour without primer Painting over porperly cleaned surface all complete</t>
  </si>
  <si>
    <t>Two coats of aluminium paint over one coat of primer in metal surface to give uniform colouring after rendering the surface all complete.</t>
  </si>
  <si>
    <t>Two coats of aluminium paint over one coat of primer in metal surface to give uniform colouring after rendering the surface.</t>
  </si>
  <si>
    <t>Two coats of red oxide painting in metal surfaces in properly sanded surface including sealing voids with putting all complete.</t>
  </si>
  <si>
    <t>Two coats of red oxide painting in metal surfaces in properly sanded surface.</t>
  </si>
  <si>
    <t>1 coats of double boiled linsid oil painting over porperly cleaned surface all complete</t>
  </si>
  <si>
    <t>2 coats of double boiled linsid oil painting over porperly cleaned surface all complete</t>
  </si>
  <si>
    <t>1 coats of commercial varnesh painting over porperly cleaned surface all complete</t>
  </si>
  <si>
    <t>2 coats of commercial varnesh painting over porperly cleaned surface all complete</t>
  </si>
  <si>
    <t>e'O{tNnfdf d]lzgåf/f agfOPsf] O{6fsf] uf/f]sf] l;d]G6 d;nf -!M#_ df</t>
  </si>
  <si>
    <t>-hfd'g_</t>
  </si>
  <si>
    <t>b/ k|lt /=dL=sf]</t>
  </si>
  <si>
    <t xml:space="preserve">!$_ sf]k' 7"nf] </t>
  </si>
  <si>
    <r>
      <t>r_ @</t>
    </r>
    <r>
      <rPr>
        <vertAlign val="superscript"/>
        <sz val="14"/>
        <rFont val="Preeti"/>
      </rPr>
      <t>!</t>
    </r>
    <r>
      <rPr>
        <sz val="14"/>
        <rFont val="Preeti"/>
      </rPr>
      <t>÷</t>
    </r>
    <r>
      <rPr>
        <vertAlign val="subscript"/>
        <sz val="14"/>
        <rFont val="Preeti"/>
      </rPr>
      <t>@</t>
    </r>
    <r>
      <rPr>
        <sz val="14"/>
        <rFont val="Preeti"/>
      </rPr>
      <t>Æ – #Æ ;Dd afSnf] 9'Ëf d]l;gn] sf6]sf]</t>
    </r>
  </si>
  <si>
    <r>
      <t xml:space="preserve">3_ vfgL÷vf]nf÷gbLsf] afn'jf </t>
    </r>
    <r>
      <rPr>
        <sz val="10"/>
        <rFont val="Times New Roman"/>
        <family val="1"/>
      </rPr>
      <t xml:space="preserve">(free from all kind of impurities as per mentioned in specification) </t>
    </r>
  </si>
  <si>
    <r>
      <t xml:space="preserve">ª_ 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</si>
  <si>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r>
      <t>i)</t>
    </r>
    <r>
      <rPr>
        <sz val="14"/>
        <rFont val="Preeti"/>
      </rPr>
      <t xml:space="preserve"> *)÷!)) u|]8sf] lj6'dLg </t>
    </r>
  </si>
  <si>
    <r>
      <t>A)</t>
    </r>
    <r>
      <rPr>
        <sz val="7"/>
        <rFont val="Times New Roman"/>
        <family val="1"/>
      </rPr>
      <t xml:space="preserve">    </t>
    </r>
    <r>
      <rPr>
        <sz val="12"/>
        <rFont val="Times New Roman"/>
        <family val="1"/>
      </rPr>
      <t xml:space="preserve">Floor to wall (for pharmaceutical and hospitals floor) </t>
    </r>
  </si>
  <si>
    <r>
      <t>B)</t>
    </r>
    <r>
      <rPr>
        <sz val="7"/>
        <rFont val="Times New Roman"/>
        <family val="1"/>
      </rPr>
      <t xml:space="preserve">     </t>
    </r>
    <r>
      <rPr>
        <sz val="12"/>
        <rFont val="Times New Roman"/>
        <family val="1"/>
      </rPr>
      <t xml:space="preserve">Ceiling to wall (for pharmaceutical and hospitals floor) </t>
    </r>
  </si>
  <si>
    <t>150 Watt HPSV HPF Phillips/Wipro/GE  or equivalent</t>
  </si>
  <si>
    <t>250  Watt HPSV HPF Phillips/Wipro/GE  or equivalent</t>
  </si>
  <si>
    <t>8 to 11 watt CFL lamp</t>
  </si>
  <si>
    <t>13 to22 watt CFL lamp</t>
  </si>
  <si>
    <t>20/40  Watt 220 Volt FTL Ballast Philips or equivalent</t>
  </si>
  <si>
    <t>Rm.</t>
  </si>
  <si>
    <t>1 Gang  one way Switch F</t>
  </si>
  <si>
    <t>1 Gang  one way Switch S</t>
  </si>
  <si>
    <t>1 Gang 2  way Switch F</t>
  </si>
  <si>
    <t>1 Gang 2  way Switch S</t>
  </si>
  <si>
    <t>Providing and applying SBR Mortar on the RCC slab minor crack with making "V" shaped groove cutting and polymer coating of 1 ft wide area from groove all complete.</t>
  </si>
  <si>
    <t>/=lkm</t>
  </si>
  <si>
    <t xml:space="preserve"> Perma Clear seal coating</t>
  </si>
  <si>
    <t>Supplying and applying perma or Beck Brand Self leveling Epoxy coating on floor 2mm thick as per specification all complete. (for pharmaceutical and hospitals floor)</t>
  </si>
  <si>
    <t>d]l;gd]8 Sn] 6fon !M$ l;d]G6 afn'jfdf :nf]k ?km ;km]{;df 6f+:g] sfo{</t>
  </si>
  <si>
    <t>HofdLsf] #Ü n]</t>
  </si>
  <si>
    <t>Making and fitting MS grill including red oxide paint all complete</t>
  </si>
  <si>
    <t>k.g.</t>
  </si>
  <si>
    <t>6 Gang 6 one way Switch F</t>
  </si>
  <si>
    <t>5 Amp Pqwer Socket</t>
  </si>
  <si>
    <t>13-15 Amp Power Socket</t>
  </si>
  <si>
    <t>T.V Socket</t>
  </si>
  <si>
    <t>T.Phone Socket</t>
  </si>
  <si>
    <t>Bell Push</t>
  </si>
  <si>
    <t>-l;=af=-!M!_ df_</t>
  </si>
  <si>
    <t>/+lug ss{6 kftf</t>
  </si>
  <si>
    <t>1.2 mm Plain fiber glass sheet roofing.</t>
  </si>
  <si>
    <t>;fx|f] k|sf/sf] Sn], g/d d'/d 9'+uf -#) ;]=dL=;Dd_ ld;]sf] df6f] ;a} lsl;dsf]</t>
  </si>
  <si>
    <t xml:space="preserve">sf7sf] lni6L </t>
  </si>
  <si>
    <t>rf}sf];df $ dL=dL= df]6fO{sf] P]gf sf7sf] lni6L nufO{ hf]8\g] .</t>
  </si>
  <si>
    <t>;fdu|L</t>
  </si>
  <si>
    <t>h:tfkftfsf] 5fgf eTsfO{ To;af6 lg:s]sf sf7 tyf kmnfd] lgdf{0f ;fdu|Lx?</t>
  </si>
  <si>
    <t xml:space="preserve"> k|of]u u/L @Ú–)Æ b]lv @Ú–^Æ rf}8fO{;Ddsf] kmnfd] 3'Dg] e¥ofË cfjZos ;fdu|Lx? ;lxt</t>
  </si>
  <si>
    <t>l6Ksf/ ug]{ .</t>
  </si>
  <si>
    <r>
      <t>$^ ;]=dL=</t>
    </r>
    <r>
      <rPr>
        <sz val="10"/>
        <rFont val="Arial"/>
        <family val="2"/>
      </rPr>
      <t>X</t>
    </r>
    <r>
      <rPr>
        <sz val="16"/>
        <rFont val="Preeti"/>
      </rPr>
      <t xml:space="preserve"> $^ ;]=dL= 9'+uf 5fk]sf]df l;d]G6 afn'jf !M! n] </t>
    </r>
  </si>
  <si>
    <t>6'qmf O{6f</t>
  </si>
  <si>
    <t>b/ ljZn]if0fsf] nflu ! J.=dL= lnOPsf]</t>
  </si>
  <si>
    <t>b/ ljZn]if0fsf] nflu !)) J.=dL= lnOPsf]</t>
  </si>
  <si>
    <t>b/ ljZn]if0fsf] nflu !)) j=dL= lnOPsf]</t>
  </si>
  <si>
    <t>b/ ljZn]if0fsf] nflu !)) j=dL=lnOPsf]</t>
  </si>
  <si>
    <t>b/ ljZn]if0fsf] nflu !) j=dL= lnOPsf]</t>
  </si>
  <si>
    <t>!) dL=dL=9'+uf /f]8f</t>
  </si>
  <si>
    <t>hL=cfO{=afFWg] tf/</t>
  </si>
  <si>
    <t>#* dL=dL= afSnf] lr/fg cu|fv sf7sf] k|m]d xfnL l8nfvfkf agfO{ h8fg ug]{ .</t>
  </si>
  <si>
    <r>
      <t>-vfkfsf] gfk !=)&amp; dL=</t>
    </r>
    <r>
      <rPr>
        <sz val="9"/>
        <rFont val="Arial"/>
        <family val="2"/>
      </rPr>
      <t>X</t>
    </r>
    <r>
      <rPr>
        <sz val="16"/>
        <rFont val="Preeti"/>
      </rPr>
      <t xml:space="preserve"> !=(*@ dL=</t>
    </r>
    <r>
      <rPr>
        <sz val="9"/>
        <rFont val="Arial"/>
        <family val="2"/>
      </rPr>
      <t>=</t>
    </r>
    <r>
      <rPr>
        <sz val="16"/>
        <rFont val="Preeti"/>
      </rPr>
      <t xml:space="preserve"> @=!!$ j= dL=_ </t>
    </r>
  </si>
  <si>
    <r>
      <t xml:space="preserve">#* </t>
    </r>
    <r>
      <rPr>
        <sz val="9"/>
        <rFont val="Arial"/>
        <family val="2"/>
      </rPr>
      <t xml:space="preserve">X </t>
    </r>
    <r>
      <rPr>
        <sz val="16"/>
        <rFont val="Preeti"/>
      </rPr>
      <t>&amp;% dL=dL=lr/fg ;fn sf7sf] k|m]d agfO{</t>
    </r>
  </si>
  <si>
    <t>@) dL=dL= 6]/fhf] 6fO{n</t>
  </si>
  <si>
    <t>cShflns P;L8</t>
  </si>
  <si>
    <r>
      <t xml:space="preserve">%) dL=dL= </t>
    </r>
    <r>
      <rPr>
        <sz val="10"/>
        <rFont val="Arial"/>
        <family val="2"/>
      </rPr>
      <t>X</t>
    </r>
    <r>
      <rPr>
        <sz val="16"/>
        <rFont val="Preeti"/>
      </rPr>
      <t xml:space="preserve"> &amp;% dL=dL= cu|fvsf] k|m]d ^)) dL=dL= </t>
    </r>
    <r>
      <rPr>
        <sz val="10"/>
        <rFont val="Arial"/>
        <family val="2"/>
      </rPr>
      <t>X</t>
    </r>
    <r>
      <rPr>
        <sz val="16"/>
        <rFont val="Preeti"/>
      </rPr>
      <t xml:space="preserve"> ^)) dL=dL= df xfnL</t>
    </r>
  </si>
  <si>
    <t>b/ ljZn]if0fsf] nflu !)) /=dL= lnOPsf]</t>
  </si>
  <si>
    <t>b/ ljZn]if0fsf] nflu ! Jf= dL= lnOPsf]</t>
  </si>
  <si>
    <t>KnfO{ af]8{</t>
  </si>
  <si>
    <t>sf7 nf]sn</t>
  </si>
  <si>
    <t>kmnfd] k|k</t>
  </si>
  <si>
    <t>dfn;fdfg pknAw u/L )=%) dL=dL= afSnf] ;L=hL=cfO{= zL6 -h:tf kftfsf]_ 5fgf 5fpg] sfd k'/f .</t>
  </si>
  <si>
    <r>
      <t>UPVC</t>
    </r>
    <r>
      <rPr>
        <b/>
        <sz val="14"/>
        <rFont val="Preeti"/>
      </rPr>
      <t xml:space="preserve"> </t>
    </r>
    <r>
      <rPr>
        <b/>
        <sz val="14"/>
        <rFont val="Times New Roman"/>
        <family val="1"/>
      </rPr>
      <t>Profile</t>
    </r>
    <r>
      <rPr>
        <b/>
        <sz val="14"/>
        <rFont val="Preeti"/>
      </rPr>
      <t xml:space="preserve"> </t>
    </r>
    <r>
      <rPr>
        <b/>
        <sz val="14"/>
        <rFont val="Times New Roman"/>
        <family val="1"/>
      </rPr>
      <t xml:space="preserve">Door and Window/ Wall partition </t>
    </r>
  </si>
  <si>
    <r>
      <t xml:space="preserve">Alternative Profile Company </t>
    </r>
    <r>
      <rPr>
        <b/>
        <sz val="12"/>
        <rFont val="Preeti"/>
      </rPr>
      <t xml:space="preserve">sf]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r>
      <rPr>
        <b/>
        <sz val="12"/>
        <rFont val="Times New Roman"/>
        <family val="1"/>
      </rPr>
      <t>(Certified by ISO 9001-2000, ISO 14001:2004, ISO 527-2:1993, ISO 178:2001, iec 60695-2-11:2001, ASTM D4226-00, 91/338/EEC)</t>
    </r>
  </si>
  <si>
    <r>
      <t>50mm th. , (600×3000)mm</t>
    </r>
    <r>
      <rPr>
        <vertAlign val="superscript"/>
        <sz val="12"/>
        <rFont val="Times New Roman"/>
        <family val="1"/>
      </rPr>
      <t xml:space="preserve">2 </t>
    </r>
    <r>
      <rPr>
        <sz val="12"/>
        <rFont val="Times New Roman"/>
        <family val="1"/>
      </rPr>
      <t>(12×10 ft. )</t>
    </r>
  </si>
  <si>
    <r>
      <t>50mm th. , (600×2100)mm</t>
    </r>
    <r>
      <rPr>
        <vertAlign val="superscript"/>
        <sz val="12"/>
        <rFont val="Times New Roman"/>
        <family val="1"/>
      </rPr>
      <t>2</t>
    </r>
    <r>
      <rPr>
        <sz val="12"/>
        <rFont val="Times New Roman"/>
        <family val="1"/>
      </rPr>
      <t>(12×7 ft)</t>
    </r>
  </si>
  <si>
    <t>vii) Thermoplastic road paint</t>
  </si>
  <si>
    <t>Kg.</t>
  </si>
  <si>
    <t>viii) Glass bead</t>
  </si>
  <si>
    <t>ix) Geo-textile</t>
  </si>
  <si>
    <t>x) Traffic Jacket</t>
  </si>
  <si>
    <t>xi) Traffic cone</t>
  </si>
  <si>
    <t>xii) Planting Board</t>
  </si>
  <si>
    <t>xiii) Traffic reflective signage (Price without stand pipe)</t>
  </si>
  <si>
    <t>gf]6 M d]lzg k|of]u gu/L HofdL ;+Vof !#½ j9fpg] x'g] hDdf b/ ?= ==========÷========= k}= jf:tljs b//]6 ?= ===========÷===========k}=</t>
  </si>
  <si>
    <r>
      <t>Poly propylene polymer compound waterprofing membrane</t>
    </r>
    <r>
      <rPr>
        <sz val="12"/>
        <rFont val="Times New Roman"/>
        <family val="1"/>
      </rPr>
      <t xml:space="preserve"> (</t>
    </r>
    <r>
      <rPr>
        <b/>
        <sz val="12"/>
        <rFont val="Times New Roman"/>
        <family val="1"/>
      </rPr>
      <t>PPPCWM</t>
    </r>
    <r>
      <rPr>
        <sz val="12"/>
        <rFont val="Times New Roman"/>
        <family val="1"/>
      </rPr>
      <t>)series 115,400 grades (400 grams/ Sqm..)for basement . Shear wall, tunnels, top roof, terrace gradening.</t>
    </r>
  </si>
  <si>
    <r>
      <t xml:space="preserve">BASF </t>
    </r>
    <r>
      <rPr>
        <sz val="12"/>
        <rFont val="Times New Roman"/>
        <family val="1"/>
      </rPr>
      <t>Waterproofing protection tretment with application of polyurethane floor epoxy coating system(Two coats) of Mastertop TC-467-C over the mosaic / Marble finishing floor topping.</t>
    </r>
  </si>
  <si>
    <r>
      <t xml:space="preserve">BASF (Inland coating) </t>
    </r>
    <r>
      <rPr>
        <sz val="12"/>
        <rFont val="Times New Roman"/>
        <family val="1"/>
      </rPr>
      <t>Waterproofing protection tretment with 100% Synthetic Rubber coating system of RC 2000/2200 thermally stable and resists cracking and peeling due to weather extremes and ultra violent exposer : for concrete / metallic roof surfaces a</t>
    </r>
  </si>
  <si>
    <r>
      <t>Epoxy bounding agent</t>
    </r>
    <r>
      <rPr>
        <sz val="12"/>
        <rFont val="Times New Roman"/>
        <family val="1"/>
      </rPr>
      <t>Concressive - 1414: Two component epoxy bonding agent old to new concrete</t>
    </r>
  </si>
  <si>
    <r>
      <t xml:space="preserve">D) </t>
    </r>
    <r>
      <rPr>
        <b/>
        <sz val="12"/>
        <rFont val="Times New Roman"/>
        <family val="1"/>
      </rPr>
      <t>Glnium - sky 584</t>
    </r>
    <r>
      <rPr>
        <sz val="12"/>
        <rFont val="Times New Roman"/>
        <family val="1"/>
      </rPr>
      <t xml:space="preserve">:New Generation , Polycarboxylic Eather (PCE) baced superplastisiser for High grade ready mix concrete using total A performance control </t>
    </r>
  </si>
  <si>
    <r>
      <t xml:space="preserve">E) </t>
    </r>
    <r>
      <rPr>
        <b/>
        <sz val="12"/>
        <rFont val="Times New Roman"/>
        <family val="1"/>
      </rPr>
      <t>Glnium - stream- 2</t>
    </r>
    <r>
      <rPr>
        <sz val="12"/>
        <rFont val="Times New Roman"/>
        <family val="1"/>
      </rPr>
      <t>: Viscosity modifying agent for producing self compacting , pumpable concrete</t>
    </r>
  </si>
  <si>
    <r>
      <t xml:space="preserve">kfgL r'x]sf] :yfgdf </t>
    </r>
    <r>
      <rPr>
        <b/>
        <sz val="12"/>
        <rFont val="Times New Roman"/>
        <family val="1"/>
      </rPr>
      <t>water proofing</t>
    </r>
    <r>
      <rPr>
        <b/>
        <sz val="14"/>
        <rFont val="Preeti"/>
      </rPr>
      <t xml:space="preserve"> ug{ </t>
    </r>
    <r>
      <rPr>
        <b/>
        <sz val="12"/>
        <rFont val="Times New Roman"/>
        <family val="1"/>
      </rPr>
      <t>OPAL</t>
    </r>
    <r>
      <rPr>
        <b/>
        <sz val="14"/>
        <rFont val="Preeti"/>
      </rPr>
      <t xml:space="preserve"> – af6 pTkflbt lgdf{0f ;fdfu|Lx?</t>
    </r>
  </si>
  <si>
    <t>k'/fgf] ;km]{;df XjfO{6jf; ug]{ sfd .</t>
  </si>
  <si>
    <t>l8:6]Dk/ nufpg] sfd Ps sf]6 .</t>
  </si>
  <si>
    <t>c:t/</t>
  </si>
  <si>
    <t>l8:6]Dk/ kfp8/</t>
  </si>
  <si>
    <t>l8:6]Dk/ nufpg] sfd b'O{ sf]6 .</t>
  </si>
  <si>
    <t>jf6/ k|'km l;d]G6 k]G6 Ps sf]6 nufpg] sfd .</t>
  </si>
  <si>
    <t>l;d]G6 k]G6</t>
  </si>
  <si>
    <t>jf6/ k|'km l;d]G6 k]G6 b'O{ sf]6 nufpg] sfd .</t>
  </si>
  <si>
    <t>tof/L Ogfd]n k]G6 Ps sf]6 nufpg] .</t>
  </si>
  <si>
    <t>jfn'jf vf]nfsf]</t>
  </si>
  <si>
    <t>Ogfd]n k]G6</t>
  </si>
  <si>
    <t>l;d]G6 jf jh| Knfi6/ eTsfO{ To;af6 cfPsf] w'nf] !) dL=k/ x6fpg] sfd .</t>
  </si>
  <si>
    <t>;+Vof</t>
  </si>
  <si>
    <t>e'O{tNnf eGbf dfly d]lzgåf/f agfOPsf] O{6f pknAw ug]{,</t>
  </si>
  <si>
    <t>% -@_ v</t>
  </si>
  <si>
    <t>% -@_ s</t>
  </si>
  <si>
    <t>v_ HofdL</t>
  </si>
  <si>
    <t>u_ HofdL</t>
  </si>
  <si>
    <t xml:space="preserve">O{6f </t>
  </si>
  <si>
    <t>l;d]G6</t>
  </si>
  <si>
    <t>leQf Pj+ l;lnËdf Kn]g XjfO{6 kl§ Knf:6/ ug]{ sfo{ .</t>
  </si>
  <si>
    <t>p) Mild Steel Props for Concreting 2" dia 3.5 mm thick 3.5 m- 4.0 m length</t>
  </si>
  <si>
    <t>q) Wrought Iron</t>
  </si>
  <si>
    <t>ljleGg lsl;dsf sf7x?</t>
  </si>
  <si>
    <t xml:space="preserve"> -s_ #… b]lv *Ú ;Ddsf] ;fnsf7 </t>
  </si>
  <si>
    <t xml:space="preserve">3= lkm </t>
  </si>
  <si>
    <t xml:space="preserve"> -v_ *… b]lv !$Ú ;Ddsf] ;fnsf7</t>
  </si>
  <si>
    <t xml:space="preserve"> -u_ !$ lkm6 b]lv dflysf] ;fn sf7  </t>
  </si>
  <si>
    <t xml:space="preserve"> -3_ ;fem sf7 tyf :yfgLo s'sf7 </t>
  </si>
  <si>
    <t xml:space="preserve"> -ª_ hfd'g sf7 </t>
  </si>
  <si>
    <t xml:space="preserve"> -r_ ;Nnfsf] sf7 </t>
  </si>
  <si>
    <t>a) Balcony sliding door</t>
  </si>
  <si>
    <t>b) Sliding door</t>
  </si>
  <si>
    <t>cf_ )=%% ld=ld df]6fO{sf</t>
  </si>
  <si>
    <t>O_ ) =^@ ld=ld df]6fO{sf</t>
  </si>
  <si>
    <t>O{_ )=&amp;% ld=ld df]6fO{sf</t>
  </si>
  <si>
    <t>p_ )=*) ld=ld df]6fO{sf</t>
  </si>
  <si>
    <t>pm_)=() ld=ld df]6fO{sf</t>
  </si>
  <si>
    <t>c_ )=%) ld=ld df]6fO{sf</t>
  </si>
  <si>
    <t>O_ )=^@ ld=ld df]6fO{sf</t>
  </si>
  <si>
    <r>
      <t xml:space="preserve">cfNd'lgodsf] </t>
    </r>
    <r>
      <rPr>
        <sz val="12"/>
        <rFont val="Arial"/>
        <family val="2"/>
      </rPr>
      <t xml:space="preserve">Fixed Partition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</si>
  <si>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Fixed Curtain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</si>
  <si>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Structure Glazing </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</si>
  <si>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M/F suspended ceiling with GYP. board for RCC ceiling.</t>
    </r>
    <r>
      <rPr>
        <sz val="12"/>
        <rFont val="Times New Roman"/>
        <family val="1"/>
      </rPr>
      <t xml:space="preserve"> </t>
    </r>
  </si>
  <si>
    <t>b/ ljZn]if0fsf] nflu !) s]=lh== lnOPsf]</t>
  </si>
  <si>
    <r>
      <t xml:space="preserve">Providing and applying Dustban/Permise chemicals for </t>
    </r>
    <r>
      <rPr>
        <b/>
        <sz val="12"/>
        <rFont val="Times New Roman"/>
        <family val="1"/>
      </rPr>
      <t>Anti Termite Treatment</t>
    </r>
    <r>
      <rPr>
        <sz val="12"/>
        <rFont val="Times New Roman"/>
        <family val="1"/>
      </rPr>
      <t xml:space="preserve"> all complete.</t>
    </r>
  </si>
  <si>
    <r>
      <t xml:space="preserve">Providing and applying of </t>
    </r>
    <r>
      <rPr>
        <b/>
        <sz val="12"/>
        <rFont val="Times New Roman"/>
        <family val="1"/>
      </rPr>
      <t>Perma Wall Guard Coating</t>
    </r>
    <r>
      <rPr>
        <sz val="12"/>
        <rFont val="Times New Roman"/>
        <family val="1"/>
      </rPr>
      <t xml:space="preserve"> ( for colorful flexi exterior waterproof coating) all complete</t>
    </r>
  </si>
  <si>
    <r>
      <t xml:space="preserve">Providing and applying </t>
    </r>
    <r>
      <rPr>
        <b/>
        <sz val="12"/>
        <rFont val="Times New Roman"/>
        <family val="1"/>
      </rPr>
      <t xml:space="preserve">Water Proofing Membrane </t>
    </r>
    <r>
      <rPr>
        <sz val="12"/>
        <rFont val="Times New Roman"/>
        <family val="1"/>
      </rPr>
      <t xml:space="preserve">with mixing of bonding agent </t>
    </r>
    <r>
      <rPr>
        <b/>
        <sz val="12"/>
        <rFont val="Times New Roman"/>
        <family val="1"/>
      </rPr>
      <t xml:space="preserve">(Perma Bond SBR) </t>
    </r>
    <r>
      <rPr>
        <sz val="12"/>
        <rFont val="Times New Roman"/>
        <family val="1"/>
      </rPr>
      <t>fresh grey cement and fine sand paste for basement floor and wall , rooftop waterproofing as per specifications  all complete</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</si>
  <si>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</si>
  <si>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</si>
  <si>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</si>
  <si>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t>b/ ljZn]if0fsf] nflu ! 3=dL= lnOPsf]</t>
  </si>
  <si>
    <t>l;=g+=</t>
  </si>
  <si>
    <t>tfp</t>
  </si>
  <si>
    <t xml:space="preserve">!%Ü 7]s]bf/ cf]e/x]8 </t>
  </si>
  <si>
    <t>!%Ü 7]s]bf/ cf]e/x]8</t>
  </si>
  <si>
    <t>cnsqf k]G6 b'O{ sf]6 nufpg] sfd .</t>
  </si>
  <si>
    <t>rk|f kflnz tLg sf]6 nufpg] sfd .</t>
  </si>
  <si>
    <t>rk|f</t>
  </si>
  <si>
    <t>l:k/L6</t>
  </si>
  <si>
    <t>O{6fsf] uf/f]df l;d]G6 afn'jf -!M!_ df ˆn; l6Ksf/ ug]{ sfd .</t>
  </si>
  <si>
    <t>dfn;fdfg pknAw u/L ^) dL=dL= df]6f] x]eL 8o"6L OG6/nls+u s+lqm6Ans %) dL=dL=df]6fOsf] qm;/ 8:6 dfyL /fvL la5ofpg]] sfd k'/f .</t>
  </si>
  <si>
    <t>v_ HofdL @-$@-</t>
  </si>
  <si>
    <t>9'+ufsf] 3"nf]</t>
  </si>
  <si>
    <t>finishing of joints with compound &amp; tape all complete.</t>
  </si>
  <si>
    <t>lhK;d\ jf jf]/n Knfi6/ jf]8{sf] jfn kfglnË</t>
  </si>
  <si>
    <t>Providing fitting, fixing in position Armstrong Mineral board (fine fissured ANF)</t>
  </si>
  <si>
    <t>for suspended false ceiling with necessary frames &amp; hooks</t>
  </si>
  <si>
    <t xml:space="preserve"> all complete.</t>
  </si>
  <si>
    <t>cfd{:6«f]Ë ldlg/n kmfO{j/ af]8{sf</t>
  </si>
  <si>
    <t>k|To]s ;|f]t ;fwgsf] hDdf</t>
  </si>
  <si>
    <t>&gt;lds</t>
  </si>
  <si>
    <t>Hofld</t>
  </si>
  <si>
    <t>hjfg</t>
  </si>
  <si>
    <t>jf:tljs b//]6</t>
  </si>
  <si>
    <t>!%Ü 7]s]bf/sf] cf]e/x]8</t>
  </si>
  <si>
    <t>b/ k|lt j=dL=sf]</t>
  </si>
  <si>
    <t>hDdf b/ /]6</t>
  </si>
  <si>
    <t>Dry wall partition with metal stud</t>
  </si>
  <si>
    <t>O{6fsf] uf/f]df l;d]G6 afn'jf -!M@_ df ˆn; l6Ksf/ ug]{ sfd .</t>
  </si>
  <si>
    <r>
      <t>o) Supplying and fixing 25×25×3 mm thick set angle and 1</t>
    </r>
    <r>
      <rPr>
        <sz val="12"/>
        <rFont val="Arial"/>
        <family val="2"/>
      </rPr>
      <t>¾"</t>
    </r>
    <r>
      <rPr>
        <sz val="12"/>
        <rFont val="Times New Roman"/>
        <family val="1"/>
      </rPr>
      <t>×</t>
    </r>
    <r>
      <rPr>
        <sz val="12"/>
        <rFont val="Arial"/>
        <family val="2"/>
      </rPr>
      <t>2"</t>
    </r>
    <r>
      <rPr>
        <sz val="12"/>
        <rFont val="Times New Roman"/>
        <family val="1"/>
      </rPr>
      <t>×5 mm thick Mulium angle frame including glass shutter with necessary lock, handle, putting primer all complete</t>
    </r>
  </si>
  <si>
    <r>
      <t xml:space="preserve"> -s_ # dL =dL </t>
    </r>
    <r>
      <rPr>
        <sz val="12"/>
        <rFont val="Times New Roman"/>
        <family val="1"/>
      </rPr>
      <t/>
    </r>
  </si>
  <si>
    <r>
      <t xml:space="preserve"> -s_ ;gdfO{sf </t>
    </r>
    <r>
      <rPr>
        <sz val="14"/>
        <rFont val="Times New Roman"/>
        <family val="1"/>
      </rPr>
      <t>(4' x 8')</t>
    </r>
  </si>
  <si>
    <r>
      <t xml:space="preserve"> -u_ xf8{jf]8{  </t>
    </r>
    <r>
      <rPr>
        <sz val="12"/>
        <rFont val="Times New Roman"/>
        <family val="1"/>
      </rPr>
      <t>(Hard board) 12 mm thick</t>
    </r>
  </si>
  <si>
    <r>
      <t>Glass</t>
    </r>
    <r>
      <rPr>
        <b/>
        <sz val="14"/>
        <rFont val="Preeti"/>
      </rPr>
      <t xml:space="preserve"> ;L;f </t>
    </r>
  </si>
  <si>
    <r>
      <t xml:space="preserve">Plain </t>
    </r>
    <r>
      <rPr>
        <b/>
        <sz val="14"/>
        <rFont val="Preeti"/>
      </rPr>
      <t>;fbf -;]tf]_</t>
    </r>
  </si>
  <si>
    <r>
      <t>Printed Glass (</t>
    </r>
    <r>
      <rPr>
        <b/>
        <sz val="14"/>
        <rFont val="Preeti"/>
      </rPr>
      <t>a'§]bf/ l;;f</t>
    </r>
    <r>
      <rPr>
        <b/>
        <sz val="14"/>
        <rFont val="Times New Roman"/>
        <family val="1"/>
      </rPr>
      <t>)</t>
    </r>
    <r>
      <rPr>
        <b/>
        <sz val="14"/>
        <rFont val="Preeti"/>
      </rPr>
      <t xml:space="preserve"> </t>
    </r>
  </si>
  <si>
    <r>
      <t>Tinted Float glass</t>
    </r>
    <r>
      <rPr>
        <sz val="14"/>
        <rFont val="Preeti"/>
      </rPr>
      <t xml:space="preserve"> </t>
    </r>
    <r>
      <rPr>
        <b/>
        <sz val="14"/>
        <rFont val="Preeti"/>
      </rPr>
      <t>aflx/ af6 gb]lvg] leqaf6 b]lvg]</t>
    </r>
  </si>
  <si>
    <r>
      <t xml:space="preserve">5fgfdf k|of]u ul/g] a'§]bf/ P]gf </t>
    </r>
    <r>
      <rPr>
        <b/>
        <sz val="12"/>
        <rFont val="Times New Roman"/>
        <family val="1"/>
      </rPr>
      <t>Itching</t>
    </r>
    <r>
      <rPr>
        <b/>
        <sz val="14"/>
        <rFont val="Preeti"/>
      </rPr>
      <t xml:space="preserve"> </t>
    </r>
    <r>
      <rPr>
        <b/>
        <sz val="12"/>
        <rFont val="Times New Roman"/>
        <family val="1"/>
      </rPr>
      <t>Glass with simple shade and texture</t>
    </r>
  </si>
  <si>
    <r>
      <t xml:space="preserve">ljleGg /+usf] </t>
    </r>
    <r>
      <rPr>
        <b/>
        <sz val="14"/>
        <rFont val="Times New Roman"/>
        <family val="1"/>
      </rPr>
      <t>Reflector Glass</t>
    </r>
    <r>
      <rPr>
        <b/>
        <sz val="14"/>
        <rFont val="Preeti"/>
      </rPr>
      <t xml:space="preserve"> -lzzf_</t>
    </r>
  </si>
  <si>
    <r>
      <t xml:space="preserve"> </t>
    </r>
    <r>
      <rPr>
        <sz val="10"/>
        <rFont val="Times New Roman"/>
        <family val="1"/>
      </rPr>
      <t xml:space="preserve">Note: </t>
    </r>
    <r>
      <rPr>
        <sz val="10"/>
        <rFont val="Preeti"/>
      </rPr>
      <t xml:space="preserve">$ lkm6 </t>
    </r>
    <r>
      <rPr>
        <sz val="10"/>
        <rFont val="Times New Roman"/>
        <family val="1"/>
      </rPr>
      <t xml:space="preserve">* </t>
    </r>
    <r>
      <rPr>
        <sz val="10"/>
        <rFont val="Preeti"/>
      </rPr>
      <t>* lkm6 eGbf a9L ;fOhsf] l;;f ePdf %) Ü yk /sd nfUg] 5 .</t>
    </r>
  </si>
  <si>
    <r>
      <t xml:space="preserve"> -s_ )=* dL= dL= df]6f]    </t>
    </r>
    <r>
      <rPr>
        <sz val="14"/>
        <rFont val="Times New Roman"/>
        <family val="1"/>
      </rPr>
      <t>(P.F.G Sheet)</t>
    </r>
  </si>
  <si>
    <r>
      <t xml:space="preserve"> -ª_ </t>
    </r>
    <r>
      <rPr>
        <sz val="12"/>
        <rFont val="Times New Roman"/>
        <family val="1"/>
      </rPr>
      <t xml:space="preserve">Fiber Glass </t>
    </r>
    <r>
      <rPr>
        <sz val="12"/>
        <rFont val="Preeti"/>
      </rPr>
      <t xml:space="preserve">5fgfsf] nflu </t>
    </r>
    <r>
      <rPr>
        <sz val="12"/>
        <rFont val="Times New Roman"/>
        <family val="1"/>
      </rPr>
      <t>Alumunium strip (25 mm x 1.5 mm)</t>
    </r>
  </si>
  <si>
    <r>
      <t xml:space="preserve"> -r_ </t>
    </r>
    <r>
      <rPr>
        <sz val="12"/>
        <rFont val="Times New Roman"/>
        <family val="1"/>
      </rPr>
      <t xml:space="preserve">Fiber Glass </t>
    </r>
    <r>
      <rPr>
        <sz val="12"/>
        <rFont val="Preeti"/>
      </rPr>
      <t xml:space="preserve">5fgfsf] nflu </t>
    </r>
    <r>
      <rPr>
        <sz val="12"/>
        <rFont val="Times New Roman"/>
        <family val="1"/>
      </rPr>
      <t>Ribet nut</t>
    </r>
  </si>
  <si>
    <r>
      <t>em\ofn 9f]sfdf nfUg]</t>
    </r>
    <r>
      <rPr>
        <b/>
        <sz val="14"/>
        <rFont val="Times New Roman"/>
        <family val="1"/>
      </rPr>
      <t xml:space="preserve"> Fixture </t>
    </r>
    <r>
      <rPr>
        <b/>
        <sz val="14"/>
        <rFont val="Preeti"/>
      </rPr>
      <t>x?</t>
    </r>
  </si>
  <si>
    <r>
      <t>Iron</t>
    </r>
    <r>
      <rPr>
        <b/>
        <sz val="14"/>
        <rFont val="Preeti"/>
      </rPr>
      <t xml:space="preserve"> af6 ag]sf </t>
    </r>
  </si>
  <si>
    <r>
      <t>Hinge (</t>
    </r>
    <r>
      <rPr>
        <b/>
        <sz val="12"/>
        <rFont val="Preeti"/>
      </rPr>
      <t>sAhf</t>
    </r>
    <r>
      <rPr>
        <b/>
        <sz val="12"/>
        <rFont val="Times New Roman"/>
        <family val="1"/>
      </rPr>
      <t>)</t>
    </r>
  </si>
  <si>
    <r>
      <t>Aluminum</t>
    </r>
    <r>
      <rPr>
        <b/>
        <sz val="14"/>
        <rFont val="Preeti"/>
      </rPr>
      <t xml:space="preserve"> af6 ag]sf </t>
    </r>
  </si>
  <si>
    <r>
      <t xml:space="preserve">Towerbolt </t>
    </r>
    <r>
      <rPr>
        <b/>
        <sz val="12"/>
        <rFont val="Preeti"/>
      </rPr>
      <t>-5]:sLgL_</t>
    </r>
  </si>
  <si>
    <r>
      <t>Handle (</t>
    </r>
    <r>
      <rPr>
        <b/>
        <sz val="12"/>
        <rFont val="Preeti"/>
      </rPr>
      <t>xtsn</t>
    </r>
    <r>
      <rPr>
        <b/>
        <sz val="12"/>
        <rFont val="Times New Roman"/>
        <family val="1"/>
      </rPr>
      <t>)</t>
    </r>
  </si>
  <si>
    <r>
      <t>Brass</t>
    </r>
    <r>
      <rPr>
        <b/>
        <sz val="14"/>
        <rFont val="Preeti"/>
      </rPr>
      <t xml:space="preserve"> af6 ag]sf </t>
    </r>
  </si>
  <si>
    <r>
      <t xml:space="preserve">2"× </t>
    </r>
    <r>
      <rPr>
        <vertAlign val="superscript"/>
        <sz val="12"/>
        <rFont val="Times New Roman"/>
        <family val="1"/>
      </rPr>
      <t>1</t>
    </r>
    <r>
      <rPr>
        <sz val="12"/>
        <rFont val="Times New Roman"/>
        <family val="1"/>
      </rPr>
      <t>/</t>
    </r>
    <r>
      <rPr>
        <vertAlign val="subscript"/>
        <sz val="12"/>
        <rFont val="Times New Roman"/>
        <family val="1"/>
      </rPr>
      <t xml:space="preserve">2 </t>
    </r>
    <r>
      <rPr>
        <vertAlign val="superscript"/>
        <sz val="12"/>
        <rFont val="Times New Roman"/>
        <family val="1"/>
      </rPr>
      <t xml:space="preserve">" </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</si>
  <si>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</si>
  <si>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 xml:space="preserve">3" × </t>
    </r>
    <r>
      <rPr>
        <vertAlign val="superscript"/>
        <sz val="12"/>
        <rFont val="Times New Roman"/>
        <family val="1"/>
      </rPr>
      <t>3</t>
    </r>
    <r>
      <rPr>
        <sz val="12"/>
        <rFont val="Times New Roman"/>
        <family val="1"/>
      </rPr>
      <t>/</t>
    </r>
    <r>
      <rPr>
        <vertAlign val="subscript"/>
        <sz val="12"/>
        <rFont val="Times New Roman"/>
        <family val="1"/>
      </rPr>
      <t xml:space="preserve">4 </t>
    </r>
    <r>
      <rPr>
        <vertAlign val="superscript"/>
        <sz val="12"/>
        <rFont val="Times New Roman"/>
        <family val="1"/>
      </rPr>
      <t>"</t>
    </r>
  </si>
  <si>
    <r>
      <t>2" ×</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</si>
  <si>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</si>
  <si>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3"×</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t>
    </r>
  </si>
  <si>
    <r>
      <t xml:space="preserve">Sandpaper </t>
    </r>
    <r>
      <rPr>
        <sz val="12"/>
        <rFont val="Preeti"/>
      </rPr>
      <t>-vfU;L_</t>
    </r>
  </si>
  <si>
    <r>
      <t xml:space="preserve"> </t>
    </r>
    <r>
      <rPr>
        <sz val="14"/>
        <rFont val="Preeti"/>
      </rPr>
      <t xml:space="preserve">lj6'dLg jf;/ </t>
    </r>
  </si>
  <si>
    <r>
      <t xml:space="preserve"> </t>
    </r>
    <r>
      <rPr>
        <sz val="12"/>
        <rFont val="Times New Roman"/>
        <family val="1"/>
      </rPr>
      <t xml:space="preserve">Roofing  bitumen </t>
    </r>
    <r>
      <rPr>
        <sz val="14"/>
        <rFont val="Preeti"/>
      </rPr>
      <t>-?lkmË cnsqf_</t>
    </r>
  </si>
  <si>
    <r>
      <t xml:space="preserve"> </t>
    </r>
    <r>
      <rPr>
        <sz val="14"/>
        <rFont val="Preeti"/>
      </rPr>
      <t>%)) u]h Knfli6s l;6</t>
    </r>
  </si>
  <si>
    <r>
      <t xml:space="preserve"> </t>
    </r>
    <r>
      <rPr>
        <sz val="12"/>
        <rFont val="Times New Roman"/>
        <family val="1"/>
      </rPr>
      <t xml:space="preserve">ISI Mark Trafelt  </t>
    </r>
    <r>
      <rPr>
        <sz val="14"/>
        <rFont val="Preeti"/>
      </rPr>
      <t xml:space="preserve">-@)dL= </t>
    </r>
    <r>
      <rPr>
        <sz val="14"/>
        <rFont val="Times New Roman"/>
        <family val="1"/>
      </rPr>
      <t>×</t>
    </r>
    <r>
      <rPr>
        <sz val="14"/>
        <rFont val="Preeti"/>
      </rPr>
      <t xml:space="preserve"> !dL=_</t>
    </r>
  </si>
  <si>
    <r>
      <t xml:space="preserve"> </t>
    </r>
    <r>
      <rPr>
        <sz val="12"/>
        <rFont val="Times New Roman"/>
        <family val="1"/>
      </rPr>
      <t xml:space="preserve">Plasticfelt  </t>
    </r>
    <r>
      <rPr>
        <sz val="14"/>
        <rFont val="Preeti"/>
      </rPr>
      <t xml:space="preserve">-@)dL= </t>
    </r>
    <r>
      <rPr>
        <sz val="14"/>
        <rFont val="Times New Roman"/>
        <family val="1"/>
      </rPr>
      <t>×</t>
    </r>
    <r>
      <rPr>
        <sz val="14"/>
        <rFont val="Preeti"/>
      </rPr>
      <t xml:space="preserve"> !dL=_</t>
    </r>
  </si>
  <si>
    <t>c:t/ jfx]s Ps sf]6 /]8 cS;fO8 k]G6 ug]{ sfd .</t>
  </si>
  <si>
    <t xml:space="preserve"> iv) Access Controller without record using Card and Pin ( with 5 piece RFID Card.)</t>
  </si>
  <si>
    <t xml:space="preserve"> v) Finger print access system with software</t>
  </si>
  <si>
    <t>ii) Do but on basement</t>
  </si>
  <si>
    <t>iii) Providing material and applying pressure grouting on Rcc slab, basement and water tank 2 coats</t>
  </si>
  <si>
    <t>iii) Do but sealing Rcc slab crack</t>
  </si>
  <si>
    <t>iv) Do but Rcc column</t>
  </si>
  <si>
    <t>Point</t>
  </si>
  <si>
    <t>Eradication of peepal &amp; other plants</t>
  </si>
  <si>
    <t>Miscellaneous Item</t>
  </si>
  <si>
    <t>Water proof of terrace &amp; roof garden</t>
  </si>
  <si>
    <t xml:space="preserve">Supplying and laying of 2 pack polymer modified cementious water proofing coatings (Acrocote) all complete. </t>
  </si>
  <si>
    <t>j=ld</t>
  </si>
  <si>
    <t>Pabbles cladding work</t>
  </si>
  <si>
    <t>Particle Board Partition wall</t>
  </si>
  <si>
    <t>Double skin partition in wood frame of 3"×3" and 2"×2" with 4mm. thick Medium density particle board (one side laminate) both side cladding.</t>
  </si>
  <si>
    <t>Single skin partition in wood frame of 3"×3" and 3"×4" with 9mm (both side laminated) particle board fixed in middle all complete.</t>
  </si>
  <si>
    <t>Carbon Fibre UPVC Roofing Sheet</t>
  </si>
  <si>
    <t>Carbon Fibre UPVC Roofing Sheet including the cost of material and labour  fitting, fixing, all complete job</t>
  </si>
  <si>
    <t>3mm</t>
  </si>
  <si>
    <t>2mm</t>
  </si>
  <si>
    <t>Ready made Door</t>
  </si>
  <si>
    <t xml:space="preserve">38 mm th. solid flush door (Both side teak ) </t>
  </si>
  <si>
    <t xml:space="preserve">38 mm th. solid flush door (One side teak) </t>
  </si>
  <si>
    <t>Readymade door shutter Recon, ordinary (1 side teak)</t>
  </si>
  <si>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</si>
  <si>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</si>
  <si>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</si>
  <si>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 dL=dL= 6]/fhf] 6fO{n @) dL=dL= afSnf] !M$ efudf l;d]G6 afn'jf</t>
  </si>
  <si>
    <t>3f]6\g] HofdL</t>
  </si>
  <si>
    <t>!!–^</t>
  </si>
  <si>
    <t>!M@ efusf] l;d]G6 d;nfdf 5fkL 3f]6\g] / kflnz ;d]t ug]{ .</t>
  </si>
  <si>
    <t>cShflns Pl;8</t>
  </si>
  <si>
    <t>!!–&amp;</t>
  </si>
  <si>
    <t>kf]/l;lng Un]H8 6fO{n !M$ l;d]G6 afn'jfdf 5fKg] sfd .</t>
  </si>
  <si>
    <t>!!–* s</t>
  </si>
  <si>
    <t>d;nfdf nufpg] .</t>
  </si>
  <si>
    <t>%) dL=dL= 9'+uf</t>
  </si>
  <si>
    <t>!!–* v</t>
  </si>
  <si>
    <t>!!–(</t>
  </si>
  <si>
    <t>#&amp;=% dL=dL= 9'+uf</t>
  </si>
  <si>
    <t>!!–!!</t>
  </si>
  <si>
    <t>g/d k|sf/sf] Sn] / l;N6L df6f]df ;j} lsl;dsf] vGg] sfd !) dL6/</t>
  </si>
  <si>
    <t>;Dd jf]sgL l8:kf]hn / !=% dL6/;Dd lnˆ6 ;d]t</t>
  </si>
  <si>
    <t>lh=cfO{=sf9]tf/ -jf/ j]8 jfo/_ nufpg] .</t>
  </si>
  <si>
    <t>lh=cfO{=sfF9]tf/</t>
  </si>
  <si>
    <t>-jf/j]8 jfo/_</t>
  </si>
  <si>
    <t>Supplying, making, fixing suspended ceiling (for R.C.C.) design ceiling.</t>
  </si>
  <si>
    <t>! v</t>
  </si>
  <si>
    <t>lhk af]8{ l8hfOg kmN;\l;lnËsf</t>
  </si>
  <si>
    <t>Supplying, making, fixing ceiling with MPL board (for CGI roofing ceiling) plain ceiling.</t>
  </si>
  <si>
    <t>! Uf</t>
  </si>
  <si>
    <t>Fixing or laying 110mm dia cast iron (CI) pipe with necessary hardware  all complete.</t>
  </si>
  <si>
    <t>Fixing or laying 110mm dia cast iron (CI) pipe.</t>
  </si>
  <si>
    <t>Fixing or laying 75mm dia cast iron (CI) pipe with necessary hardware  all complete.</t>
  </si>
  <si>
    <t>Fixing or laying 75mm dia cast iron (CI) pipe.</t>
  </si>
  <si>
    <t>Fixing or laying 50mm dia cast iron (CI) pipe with necessary hardware  all complete.</t>
  </si>
  <si>
    <t>Fixing or laying 50mm dia cast iron (CI) pipe.</t>
  </si>
  <si>
    <t>15mm dia galvanized Iron (GI) pipe medium class includes fixing/laying with necessary hardware  all complete.</t>
  </si>
  <si>
    <t>Fixing/laying 15mm dia  (GI) pipe medium class.</t>
  </si>
  <si>
    <t>75mm lead caulked joint @ 3 lbs per joint.</t>
  </si>
  <si>
    <t>50 lit electric water heater (Geyser) all complete.</t>
  </si>
  <si>
    <t>20mm dia galvanized Iron (GI) pipe medium class includes fixing/laying with necessary hardware  all complete.</t>
  </si>
  <si>
    <t>Fixing/laying 20mm dia  (GI) pipe medium class.</t>
  </si>
  <si>
    <t>25mm dia galvanized Iron (GI) pipe medium class includes fixing/laying with necessary hardware  all complete.</t>
  </si>
  <si>
    <t>Fixing/laying 25mm dia  (GI) pipe medium class.</t>
  </si>
  <si>
    <t>32mm dia galvanized Iron (GI) pipe medium class includes fixing/laying with necessary hardware  all complete.</t>
  </si>
  <si>
    <t>^ dL=dL=jf6/k|'km Knfp8</t>
  </si>
  <si>
    <r>
      <t>a)</t>
    </r>
    <r>
      <rPr>
        <sz val="7"/>
        <rFont val="Times New Roman"/>
        <family val="1"/>
      </rPr>
      <t xml:space="preserve">          </t>
    </r>
    <r>
      <rPr>
        <sz val="12"/>
        <rFont val="Times New Roman"/>
        <family val="1"/>
      </rPr>
      <t>Stem up to 1" thickness</t>
    </r>
  </si>
  <si>
    <r>
      <t>b)</t>
    </r>
    <r>
      <rPr>
        <sz val="7"/>
        <rFont val="Times New Roman"/>
        <family val="1"/>
      </rPr>
      <t xml:space="preserve">          </t>
    </r>
    <r>
      <rPr>
        <sz val="12"/>
        <rFont val="Times New Roman"/>
        <family val="1"/>
      </rPr>
      <t>Stem up to 1"–2" thickness</t>
    </r>
  </si>
  <si>
    <r>
      <t>c)</t>
    </r>
    <r>
      <rPr>
        <sz val="7"/>
        <rFont val="Times New Roman"/>
        <family val="1"/>
      </rPr>
      <t xml:space="preserve">          </t>
    </r>
    <r>
      <rPr>
        <sz val="12"/>
        <rFont val="Times New Roman"/>
        <family val="1"/>
      </rPr>
      <t>Stem up to 2"–3" thickness</t>
    </r>
  </si>
  <si>
    <r>
      <t>d)</t>
    </r>
    <r>
      <rPr>
        <sz val="7"/>
        <rFont val="Times New Roman"/>
        <family val="1"/>
      </rPr>
      <t xml:space="preserve">          </t>
    </r>
    <r>
      <rPr>
        <sz val="12"/>
        <rFont val="Times New Roman"/>
        <family val="1"/>
      </rPr>
      <t>Stem up to 3"–4" thickness</t>
    </r>
  </si>
  <si>
    <r>
      <t>lzzf} sf7sf] #Æ</t>
    </r>
    <r>
      <rPr>
        <sz val="10"/>
        <rFont val="Arial"/>
        <family val="2"/>
      </rPr>
      <t>x</t>
    </r>
    <r>
      <rPr>
        <sz val="16"/>
        <rFont val="Preeti"/>
      </rPr>
      <t>$Æ ;fO{hsf] x\of08/]n agfO{ lkml6Ë ug]{ sfd .</t>
    </r>
  </si>
  <si>
    <r>
      <t xml:space="preserve">x\of08/]n </t>
    </r>
    <r>
      <rPr>
        <sz val="13"/>
        <rFont val="Preeti"/>
      </rPr>
      <t>#Æ</t>
    </r>
    <r>
      <rPr>
        <sz val="9"/>
        <rFont val="Arial"/>
        <family val="2"/>
      </rPr>
      <t>x</t>
    </r>
    <r>
      <rPr>
        <sz val="13"/>
        <rFont val="Preeti"/>
      </rPr>
      <t>$Æ+</t>
    </r>
  </si>
  <si>
    <t>lsnf, ud -df]ljns_</t>
  </si>
  <si>
    <t xml:space="preserve">!( dL=dL= jf]8{ </t>
  </si>
  <si>
    <t>lsnf sfF6L</t>
  </si>
  <si>
    <t>ixAluminium partition with 5 mm thick glass and 9 mm thick laminated board of section (64 x38x1.1)</t>
  </si>
  <si>
    <t>tof/L Ogfd]n k]G6 b'O{ sf]6 nufpg] .</t>
  </si>
  <si>
    <t>tof/L Knfli6s Odn\;g k]G6 Ps sf]6 nufpg] .</t>
  </si>
  <si>
    <r>
      <t xml:space="preserve">gf]6 M 6fonsf] ;fOh @@=&amp;% </t>
    </r>
    <r>
      <rPr>
        <sz val="10"/>
        <rFont val="Arial"/>
        <family val="2"/>
      </rPr>
      <t>x</t>
    </r>
    <r>
      <rPr>
        <sz val="10"/>
        <rFont val="Preeti"/>
      </rPr>
      <t xml:space="preserve"> &amp;=) ;]=dL= </t>
    </r>
    <r>
      <rPr>
        <sz val="9"/>
        <rFont val="Arial"/>
        <family val="2"/>
      </rPr>
      <t>=</t>
    </r>
    <r>
      <rPr>
        <sz val="10"/>
        <rFont val="Preeti"/>
      </rPr>
      <t xml:space="preserve"> )=)!%( j=dL=</t>
    </r>
  </si>
  <si>
    <t>!^dL=dL=u|]gfO{6</t>
  </si>
  <si>
    <t xml:space="preserve">!^ dL=dL=u|]gfO{6, @) dL=dL= afSnf] </t>
  </si>
  <si>
    <t xml:space="preserve">XjfO{6 kl§ Knf:6/ </t>
  </si>
  <si>
    <t>tof/L kfs]{6</t>
  </si>
  <si>
    <t>:sl6ª ug]{ sfd .</t>
  </si>
  <si>
    <t>1.2 mm plain fiber glass sheet roofing including almunium strip at the joints and fixing in proper shape &amp; size with all necessary rails, screws, bolts &amp; nuts washers, J &amp; L hocks etc as per drawing &amp; instruction all complete.</t>
  </si>
  <si>
    <r>
      <t xml:space="preserve">#* </t>
    </r>
    <r>
      <rPr>
        <sz val="9"/>
        <rFont val="Arial"/>
        <family val="2"/>
      </rPr>
      <t xml:space="preserve">X </t>
    </r>
    <r>
      <rPr>
        <sz val="16"/>
        <rFont val="Preeti"/>
      </rPr>
      <t>&amp;% dL=dL= ;fn sf7sf] k|m]d agfO{</t>
    </r>
  </si>
  <si>
    <t>;fn sf7</t>
  </si>
  <si>
    <t>&amp;% dL=dL= sAhf</t>
  </si>
  <si>
    <t>!)) dL=dL= 5]:sLgL</t>
  </si>
  <si>
    <t>Supplying, making, fixing suspended ceilling (for R.C.C.) plain ceiling.</t>
  </si>
  <si>
    <t>! s</t>
  </si>
  <si>
    <t>Do but with ventilator from section (88×38×1.30) mm and 5 mm glass.</t>
  </si>
  <si>
    <t xml:space="preserve">Aluminum sliding windows without ventilator from section (101×45×1.50) mm and 5 mm glass. </t>
  </si>
  <si>
    <t xml:space="preserve">Do but with ventilator from section (101×45×1.50)mm and 5 mm glass. </t>
  </si>
  <si>
    <t xml:space="preserve">Siding door with naturally anodized color section of (101×45×1.50)mm  (40×45×1.5)mm &amp; 5 mm glass. </t>
  </si>
  <si>
    <t>Plain cement Concrete (PCC) in 1:2:4 ratio  for foundations, flooring and walls with approved quality of cement and sand and crushed stone aggregate including mixing, laying, curing etc all complete in approval of site engineer.</t>
  </si>
  <si>
    <t>Plain cement Concrete (PCC) in 1:2:4 ratio  for foundations, flooring and walls .</t>
  </si>
  <si>
    <t>Plain cement Concrete (PCC) for RCC works (1:2:4) for slab/lintels with approved quality of cement and sand and crushed stone aggregate including mixing, laying, curing etc all complete in approval of site engineer.</t>
  </si>
  <si>
    <t>Plain cement Concrete (PCC) for RCC works (1:2:4) for slab/lintels</t>
  </si>
  <si>
    <t>Plain cement Concrete (PCC) for RCC works (1:1.5:3) for slab/lintels with approved quality of cement and sand and crushed stone aggregate including mixing, laying, curing etc all complete in approval of site engineer.</t>
  </si>
  <si>
    <t>Plain cement Concrete (PCC) for RCC works (1:1.5:3) for slab/lintels</t>
  </si>
  <si>
    <t xml:space="preserve">@% dL=dL= afSnf] df]hfos ˆnf]l/Ë @) dL=dL= -!M@M$_ l;d]G6 s+qmL6 u/L </t>
  </si>
  <si>
    <t xml:space="preserve">To; dfly % dL=dL= afSnf] !M! efudf ;]tf] l;d]G6 / </t>
  </si>
  <si>
    <t>dfj{n lrK; nufO{ 3f]6\g] / kflnz ;d]t ug]{ sfd .</t>
  </si>
  <si>
    <t>!@=% dL=dL= /f]8f</t>
  </si>
  <si>
    <t xml:space="preserve"> 15mm dia. Auto Closing  Bibcock with aerator</t>
  </si>
  <si>
    <t xml:space="preserve"> 15mm dia. Urinal  Auto Closing Valve with built in Control Cock</t>
  </si>
  <si>
    <t>C.P. 15mm dia  Angle valve European Pattern</t>
  </si>
  <si>
    <t>C.P. 15mm dia  Angle valve  Ordinary type</t>
  </si>
  <si>
    <t xml:space="preserve">15mm dia two way angle valve  </t>
  </si>
  <si>
    <t xml:space="preserve"> 0.5HP Electric motor Pump monoblock     ( crompton)</t>
  </si>
  <si>
    <t>0.5HP Electric motor Pump monoblock     ( crompton)</t>
  </si>
  <si>
    <t xml:space="preserve"> 1HP Electric motor Pump  monoblock   ( crompton)</t>
  </si>
  <si>
    <t>1HP Electric motor Pump  monoblock   ( crompton)</t>
  </si>
  <si>
    <t xml:space="preserve"> 1HP Electric motor Pump Multi Stage coupled  ( crompton)</t>
  </si>
  <si>
    <t xml:space="preserve"> 2HP Electric motor Pump multi stage coupled ( crompton)</t>
  </si>
  <si>
    <t>Flat dry brick soling on flat in foundation and floor including sand filling in joints.</t>
  </si>
  <si>
    <t>Pointing in flat stone paving</t>
  </si>
  <si>
    <t>Sand filling in flooring including supply of filling materials, watering, ramming etc. all complete</t>
  </si>
  <si>
    <t xml:space="preserve">Sand filling in flooring including watering, ramming etc. </t>
  </si>
  <si>
    <t>Brick bat filling work</t>
  </si>
  <si>
    <t>Porecelene clay toilet paper holder Recessed type with necessary accessories.</t>
  </si>
  <si>
    <t>Chrome plated toilet paper holder with necessary accessories.</t>
  </si>
  <si>
    <t>Colouring with three coat white washing in new ceiling surface.</t>
  </si>
  <si>
    <t xml:space="preserve">Colouring with three coat white washing in new wall surface to give uniform colouring after rendering the surface all complete. </t>
  </si>
  <si>
    <t>Colouring with three coat white washing in new wall surface.</t>
  </si>
  <si>
    <t xml:space="preserve">Rubble masonry in 1:6 C/S mortar in perfect line level finish including, racking the joints and curing the work for at least 7 days all complete. </t>
  </si>
  <si>
    <t>Rubble masonry in 1:6 C/S mortar.</t>
  </si>
  <si>
    <t xml:space="preserve">Dry rubble masonry work in perfect line level finish all complete. </t>
  </si>
  <si>
    <t>Dry rubble masonry work.</t>
  </si>
  <si>
    <t xml:space="preserve">Rubble masonry in mud mortar in perfect line level finish including, racking the joints  all complete. </t>
  </si>
  <si>
    <t>Rubble masonry in mud mortar.</t>
  </si>
  <si>
    <t>12.5mm thick lime surki plaster in (1:2) ratio on wall and ceiling of good finish including racking the joint, wetting of surfaces &amp; curing the work all complete.</t>
  </si>
  <si>
    <t>Hand pump with nut and bolt with flange</t>
  </si>
  <si>
    <t>Construction of 100 user septic tank  all complete work as per drawing and specification.</t>
  </si>
  <si>
    <t>Construction of 1.2  m dia (Rcc ring) soak pit  all complete work as per drawing and specification.</t>
  </si>
  <si>
    <t>6 lit electric water heater (Geyser)  and instruction all complete.</t>
  </si>
  <si>
    <t xml:space="preserve"> white glazed wash basin 55X40mm with brackets 32mm bottle trap, 15mm basin mixer with pedestal and   all complete.</t>
  </si>
  <si>
    <t xml:space="preserve"> Kitchen sink stainless steel 90 cm long with mixer and instruction all complete.</t>
  </si>
  <si>
    <t>Under counter wash basin  with trap, flexiable pipe and (hot&amp;cold) mixer all complete set</t>
  </si>
  <si>
    <t>Construction of 12 cu.m Under ground rcc water tank  all complete work as per drawing and specification.</t>
  </si>
  <si>
    <t xml:space="preserve"> Fixing Sal wood frame size 50x75 mm  with 6 mm thick water proof ply in Falce ceiling work</t>
  </si>
  <si>
    <t>sq. m</t>
  </si>
  <si>
    <t>Labour cost of fixing 2000 lit.Pvc water tank and site clearance as per instruction</t>
  </si>
  <si>
    <t>Labour cost of Removing door and re fixing after complete floor tile</t>
  </si>
  <si>
    <t xml:space="preserve"> Porcelain clay white glaze indian pattern Comode(Hindustan, Parryware, Classica or eq.) with FLUSH valve and seat cover</t>
  </si>
  <si>
    <t>set</t>
  </si>
  <si>
    <t xml:space="preserve"> Kitchen sink stainless steel 150 cm long . Except sink cock</t>
  </si>
  <si>
    <t>Construction of 50  user septic tank  all complete work as per drawing and specification.</t>
  </si>
  <si>
    <t>Construction of 200 user septic tank  all complete work as per drawing and specification.</t>
  </si>
  <si>
    <t>Construction of 2.0 m dia soak pit  all complete work as per drawing and specification.</t>
  </si>
  <si>
    <t>Construction of Pump house  all complete work as per drawing and specification.</t>
  </si>
  <si>
    <t xml:space="preserve">  White glaze Wash basin pedeatal</t>
  </si>
  <si>
    <t>Wash basin pedeatal</t>
  </si>
  <si>
    <t>40mm ball cock(Float valve)</t>
  </si>
  <si>
    <t>15 mm CP water spray all complete.</t>
  </si>
  <si>
    <t>15 mm CP water spray.</t>
  </si>
  <si>
    <t>Hand drayer Chinese</t>
  </si>
  <si>
    <t>4 kg/cm2 (50 mm) HDP pipe  all complete.</t>
  </si>
  <si>
    <t>4 kg/cm2 (50 mm) HDP pipe .</t>
  </si>
  <si>
    <t>4 kg/cm2 (110 mm) HDP pipe  all complete.</t>
  </si>
  <si>
    <t>4 kg/cm2 (125 mm) HDP pipe  all complete.</t>
  </si>
  <si>
    <t xml:space="preserve">Rubble masonry  filling  work in foundation   . </t>
  </si>
  <si>
    <t xml:space="preserve">Rubble masonry  filling  work in foundation  . </t>
  </si>
  <si>
    <t>Plain cement Concrete (PCC) in 1:5:10 ratio  for foundations, flooring and walls with approved quality of cement and sand and crushed stone aggregate including mixing, laying, curing etc all complete in approval of site engineer.</t>
  </si>
  <si>
    <t>Plain cement Concrete (PCC) in 1:5:10 ratio  for foundations, flooring and walls.</t>
  </si>
  <si>
    <t>Supply and fixing of  shower head with arm and flange European Pattern, Americand Standard</t>
  </si>
  <si>
    <t>Supplying and installation of UPVC Profile Casement Window frame 60x60 mm , Casement window sash 78x60 mm, Casement window mullion 72x60 mm white colour with galvanized steel reinforcement of 1.5 mm, 5 mm thick clear glass, insect net, patented standard h</t>
  </si>
  <si>
    <t>a) Single casement</t>
  </si>
  <si>
    <t>White glazed earthenware Indian pattern W C  500mm Orissa Pan with 3.0gallons low level flushing cistern with complete accessories including bracket, flushing pipe,pipe connector etc. all complete set</t>
  </si>
  <si>
    <t>White glazed earthenware Indian pattern W C  500mm Indian Pan with 10 liter low level flushing cistern .</t>
  </si>
  <si>
    <t>Double swing casement door with half glass &amp; laminated particle board</t>
  </si>
  <si>
    <t>Full panel double swing casement door</t>
  </si>
  <si>
    <t>Full laminated particle board double swing casement door</t>
  </si>
  <si>
    <t>i) Double glazing</t>
  </si>
  <si>
    <t>!) dL= k/ nlu ldnfO{ yfs nufpg] sfo{ .</t>
  </si>
  <si>
    <t>gf]6 M pk/f]Qm HofdL ;+Vof cf=g+= !( -^_ df lbOPsf] kl/df0fsf] %)Ü cg'dfg ul/P{sf] .</t>
  </si>
  <si>
    <t xml:space="preserve">!Æ afSnf] ?lkmË 6fon a'§f Knfi6/ </t>
  </si>
  <si>
    <t>l;d]G6 d;nf -!M$_ tof/ u/L nufpg] sfo{ .</t>
  </si>
  <si>
    <t>!Æ afSnf] ?lkmË /flkmË 6fon a'§f agfpg] ;Dk"0f{ sfo{</t>
  </si>
  <si>
    <t>a=dL=</t>
  </si>
  <si>
    <t>One side lamination Melamined faced (Exteriors Grade)</t>
  </si>
  <si>
    <t>Both side lamination Melamined faced (Exteriors Grade)</t>
  </si>
  <si>
    <t>tof/L 6Ls p8 kfs]{6</t>
  </si>
  <si>
    <t>tof/L lzzf} sf7 k}g]n</t>
  </si>
  <si>
    <t>tof/L x]l.6]h</t>
  </si>
  <si>
    <r>
      <t xml:space="preserve">$) ld=ld=afSnf] </t>
    </r>
    <r>
      <rPr>
        <sz val="10"/>
        <rFont val="Arial"/>
        <family val="2"/>
      </rPr>
      <t>Prefab</t>
    </r>
    <r>
      <rPr>
        <sz val="13"/>
        <rFont val="Preeti"/>
      </rPr>
      <t xml:space="preserve"> sf] </t>
    </r>
    <r>
      <rPr>
        <sz val="10"/>
        <rFont val="Arial"/>
        <family val="2"/>
      </rPr>
      <t xml:space="preserve">cubical </t>
    </r>
    <r>
      <rPr>
        <sz val="13"/>
        <rFont val="Preeti"/>
      </rPr>
      <t>tof/L kfl6{;g</t>
    </r>
  </si>
  <si>
    <r>
      <t xml:space="preserve">&amp;% ld=ld=afSnf] </t>
    </r>
    <r>
      <rPr>
        <sz val="10"/>
        <rFont val="Arial"/>
        <family val="2"/>
      </rPr>
      <t>Prefab</t>
    </r>
    <r>
      <rPr>
        <sz val="13"/>
        <rFont val="Preeti"/>
      </rPr>
      <t xml:space="preserve"> sf] </t>
    </r>
    <r>
      <rPr>
        <sz val="10"/>
        <rFont val="Arial"/>
        <family val="2"/>
      </rPr>
      <t xml:space="preserve"> </t>
    </r>
    <r>
      <rPr>
        <sz val="13"/>
        <rFont val="Preeti"/>
      </rPr>
      <t>tof/L kfl6{;g</t>
    </r>
  </si>
  <si>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</si>
  <si>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t>8.04.01</t>
  </si>
  <si>
    <t>F</t>
  </si>
  <si>
    <t>Mini Truck Rent(Per Hour/3cum)</t>
  </si>
  <si>
    <t>R</t>
  </si>
  <si>
    <t xml:space="preserve">Unskilled man </t>
  </si>
  <si>
    <t>LR</t>
  </si>
  <si>
    <t>Speed for Kathmandu valley</t>
  </si>
  <si>
    <t>V1</t>
  </si>
  <si>
    <t>20km/hour</t>
  </si>
  <si>
    <t>v1</t>
  </si>
  <si>
    <t>D1</t>
  </si>
  <si>
    <t>d1</t>
  </si>
  <si>
    <t>Labour</t>
  </si>
  <si>
    <t>0.4xL R</t>
  </si>
  <si>
    <t>3.2xTx F</t>
  </si>
  <si>
    <t>Equipment</t>
  </si>
  <si>
    <t>Total Rate for 10km/cum</t>
  </si>
  <si>
    <t>15% overheadcharge</t>
  </si>
  <si>
    <t>% ls=dL= ;Ddsf] b'/L # 6g Sofkfl;6Ls] 6«såf/f vlg elTs cfPsf tyf sfd gnfUg] a:t' tyf ;fdfg yGsfpg] sfd .</t>
  </si>
  <si>
    <t>b/ k|lt 3=dL= sf]</t>
  </si>
  <si>
    <t xml:space="preserve">Fixing of 5 mm thick glass on existing fixed frames of windows, ventilators with wooden beading &amp; putty s all complete.  </t>
  </si>
  <si>
    <t>Fixing of 5 mm thick glass on existing fixed frames.</t>
  </si>
  <si>
    <t>50 mm dia CPVC Pipe  SDR 13.5 CTS, includes fixing/laying with necessary fittings  all complete.</t>
  </si>
  <si>
    <t>15 mm dia CPVC Ball Valve, CTS Socket  all complete.</t>
  </si>
  <si>
    <t>Nos</t>
  </si>
  <si>
    <t>20 mm dia CPVC Ball Valve, CTS Socket  all complete.</t>
  </si>
  <si>
    <t>25 mm dia CPVC Ball Valve, CTS Socket  all complete.</t>
  </si>
  <si>
    <t>32 mm dia CPVC Ball Valve, CTS Socket  all complete.</t>
  </si>
  <si>
    <t>40 mm dia CPVC Ball Valve, CTS Socket  all complete.</t>
  </si>
  <si>
    <t>50 mm dia CPVC Ball Valve, CTS Socket  all complete.</t>
  </si>
  <si>
    <t>16 mm dia multi-layer PAP Composite pipe  includes fixing/laying with necessary fittings  all complete.</t>
  </si>
  <si>
    <t xml:space="preserve">16 mm dia multi-layer PAP Composite pipe  </t>
  </si>
  <si>
    <t>20 mm dia multi-layer PAP Composite pipe  includes fixing/laying with necessary fittings  all complete.</t>
  </si>
  <si>
    <t xml:space="preserve">20 mm dia multi-layer PAP Composite pipe  </t>
  </si>
  <si>
    <t>25 mm dia multi-layer PAP Composite pipe  includes fixing/laying with necessary fittings  all complete.</t>
  </si>
  <si>
    <t xml:space="preserve">25 mm dia multi-layer PAP Composite pipe  </t>
  </si>
  <si>
    <t>32 mm dia multi-layer PAP Composite pipe  includes fixing/laying with necessary fittings  all complete.</t>
  </si>
  <si>
    <t xml:space="preserve">32 mm dia multi-layer PAP Composite pipe  </t>
  </si>
  <si>
    <t>40 mm dia multi-layer PAP Composite pipe  includes fixing/laying with necessary fittings  all complete.</t>
  </si>
  <si>
    <t xml:space="preserve">40 mm dia multi-layer PAP Composite pipe  </t>
  </si>
  <si>
    <t>50 mm dia multi-layer PAP Composite pipe  includes fixing/laying with necessary fittings  all complete.</t>
  </si>
  <si>
    <t xml:space="preserve">50 mm dia multi-layer PAP Composite pipe  </t>
  </si>
  <si>
    <t>25mm thick sal wood planking work with salwood frame (size 50x75mm)  making 60x90cm room size.</t>
  </si>
  <si>
    <t>12-30 cm dia tree cutting work</t>
  </si>
  <si>
    <t>Nos.</t>
  </si>
  <si>
    <t>137 cm dia tree cutting work</t>
  </si>
  <si>
    <t>Removing roots of tree</t>
  </si>
  <si>
    <t>Thick bush and plant cutting  work</t>
  </si>
  <si>
    <t>sq.m.</t>
  </si>
  <si>
    <t>Surface dressing work</t>
  </si>
  <si>
    <t>Upper earth cutting work</t>
  </si>
  <si>
    <t>Site preparation work with cleaning and disposal of debrises, uprooting roots, solid wastes etc. all complete .</t>
  </si>
  <si>
    <t xml:space="preserve">Site preparation work </t>
  </si>
  <si>
    <t xml:space="preserve">Earthwork in excavation in ordinary soils </t>
  </si>
  <si>
    <t>cu.m.</t>
  </si>
  <si>
    <t>Earthwork in excavation in hard/boulder mix soils in foundation including 10m hauling distance and 1.5 m. lift all complete.</t>
  </si>
  <si>
    <t xml:space="preserve">Earthwork in excavation in hard/boulder mix soils </t>
  </si>
  <si>
    <t>Gun metal two way collection head with 63mm dia. Insteintaneous type inlet including built in check valve for Fire Bridgade connection to under ground water tank or hose reel</t>
  </si>
  <si>
    <t>12.5mm thick cement sand plaster in (1:4) ratio on ceiling of good finish including racking the joint, wetting of surfaces &amp; curing the work all complete.</t>
  </si>
  <si>
    <t>12.5mm thick cement sand plaster in (1:4) ratio on ceiling.</t>
  </si>
  <si>
    <r>
      <t>v_ !</t>
    </r>
    <r>
      <rPr>
        <vertAlign val="superscript"/>
        <sz val="14"/>
        <rFont val="Preeti"/>
      </rPr>
      <t>!</t>
    </r>
    <r>
      <rPr>
        <sz val="14"/>
        <rFont val="Preeti"/>
      </rPr>
      <t>÷</t>
    </r>
    <r>
      <rPr>
        <vertAlign val="subscript"/>
        <sz val="14"/>
        <rFont val="Preeti"/>
      </rPr>
      <t>@</t>
    </r>
    <r>
      <rPr>
        <sz val="14"/>
        <rFont val="Preeti"/>
      </rPr>
      <t>Æ ;Dd afSnf      ,,       ,,</t>
    </r>
  </si>
  <si>
    <r>
      <t>3_ @</t>
    </r>
    <r>
      <rPr>
        <vertAlign val="superscript"/>
        <sz val="14"/>
        <rFont val="Preeti"/>
      </rPr>
      <t>!</t>
    </r>
    <r>
      <rPr>
        <sz val="14"/>
        <rFont val="Preeti"/>
      </rPr>
      <t>÷</t>
    </r>
    <r>
      <rPr>
        <vertAlign val="subscript"/>
        <sz val="14"/>
        <rFont val="Preeti"/>
      </rPr>
      <t>@</t>
    </r>
    <r>
      <rPr>
        <sz val="14"/>
        <rFont val="Preeti"/>
      </rPr>
      <t xml:space="preserve">Æ ;Dd afSnf] 9'Ëf  ,,         ,,    </t>
    </r>
  </si>
  <si>
    <t>OPAL JOINT SET PRIMER</t>
  </si>
  <si>
    <t>It is a recommended for surface namely concrete, brick work, cement, gypsum board, natural and artificial stone, glass ceramics, anodized aluminium, timer and rigid PVC etc.</t>
  </si>
  <si>
    <t>UPVC Double Glazing Casement Window 60*60 mm Frame White Colour With 5mm Glass</t>
  </si>
  <si>
    <t>UPVC Sliding Window With 50*80 mm White Colour And 5mm Glass With Aluminium Sliding Track</t>
  </si>
  <si>
    <t>UPVC Casement Window 60*60 mm Frame White Colour With 5mm Glass With UPVC Panel Luever Fixed</t>
  </si>
  <si>
    <t>16-20 mm dia bar fixing in window chaukhat.</t>
  </si>
  <si>
    <t>38mm thick (1:2:4) P.C.C. for flooring with approved quality of O.P. cement &amp; sand and crushed stone aggregate including mixing, laying, punning, rubbing in hard surface curing etc all complete.</t>
  </si>
  <si>
    <t>38mm thick (1:2:4) P.C.C. for flooring with punning, rubbing in hard surface curing.</t>
  </si>
  <si>
    <t>50mm thick (1:2:4) P.C.C. for flooring with approved quality of O.P. cement &amp; sand and crushed stone aggregate including mixing, laying, punning, rubbing in hard surface curing etc all complete.</t>
  </si>
  <si>
    <t>50mm thick (1:2:4) P.C.C. for flooring with punning, rubbing in hard surface curing.</t>
  </si>
  <si>
    <t>75mm thick (1:2:4) P.C.C. for flooring with approved quality of O.P. cement &amp; sand and crushed stone aggregate including mixing, laying, punning, rubbing in hard surface curing etc all complete.</t>
  </si>
  <si>
    <t>75mm thick (1:2:4) P.C.C. for flooring with approved quality of O.P. cement &amp; sand and crushed stone aggregate.</t>
  </si>
  <si>
    <t>25mm thick mosaic flooring- 5mm thick white cement and marble chips(1:1) on 20mm (1:2:4) cement conc. Rubbing and polishing properly.</t>
  </si>
  <si>
    <t>25mm thick mosaic flooring- 5mm thick white cement and marble chips(1:1) on 20mm (1:2:4) cement conc.</t>
  </si>
  <si>
    <t>ld;fO{ 8]Dk k|'lkm+Ë ug]{ .</t>
  </si>
  <si>
    <t>79==116</t>
  </si>
  <si>
    <t>!(!–@*^</t>
  </si>
  <si>
    <t>12.5mm thick cement sand plaster in (1:4) ratio on wall of good finish including racking the joint, wetting of surfaces &amp; curing the work all complete.</t>
  </si>
  <si>
    <t>12.5mm thick cement sand plaster in (1:4) ratio on wall .</t>
  </si>
  <si>
    <t>12.5mm thick cement sand plaster in (1:6) ratio on wall of good finish including racking the joint, wetting of surfaces &amp; curing the work all complete.</t>
  </si>
  <si>
    <t>25mm thick mosaic flooring-  6mm thick white cement and marble chips(1:2) on 19mm thick cement plastering (1:2) and rubbing and polishing properly.</t>
  </si>
  <si>
    <t xml:space="preserve">Supplying and laying of 20mm thick Terrazzo tiles in 20mm thick cement sand motar (1:4) ratio on floors, skirting and wall s all complete. </t>
  </si>
  <si>
    <t>ii)Water resistant false ceiling</t>
  </si>
  <si>
    <r>
      <t>Fixing /laying 150 mm dia NP</t>
    </r>
    <r>
      <rPr>
        <vertAlign val="superscript"/>
        <sz val="10"/>
        <rFont val="Arial"/>
        <family val="2"/>
      </rPr>
      <t xml:space="preserve">2 </t>
    </r>
    <r>
      <rPr>
        <sz val="10"/>
        <rFont val="Arial"/>
        <family val="2"/>
      </rPr>
      <t>RCC Hume pipe with collar including 1:4 cement sand mortar all complete.</t>
    </r>
  </si>
  <si>
    <t>20mm thick Terrazzo tiles in 20mm thick cement sand motar (1:4) ratio on floors, skirting and wall.</t>
  </si>
  <si>
    <r>
      <t>ix)</t>
    </r>
    <r>
      <rPr>
        <sz val="14"/>
        <rFont val="Preeti"/>
      </rPr>
      <t xml:space="preserve"> </t>
    </r>
    <r>
      <rPr>
        <sz val="12"/>
        <rFont val="Preeti"/>
      </rPr>
      <t>;fdfGo k|sf/sf]</t>
    </r>
    <r>
      <rPr>
        <sz val="14"/>
        <rFont val="Preeti"/>
      </rPr>
      <t xml:space="preserve"> </t>
    </r>
    <r>
      <rPr>
        <sz val="12"/>
        <rFont val="Preeti"/>
      </rPr>
      <t xml:space="preserve">s'FlbPsf] ;fnsf] sf7sf] cfFvL em\ofn tof/L </t>
    </r>
  </si>
  <si>
    <r>
      <t>x)</t>
    </r>
    <r>
      <rPr>
        <sz val="14"/>
        <rFont val="Preeti"/>
      </rPr>
      <t xml:space="preserve"> </t>
    </r>
    <r>
      <rPr>
        <sz val="12"/>
        <rFont val="Preeti"/>
      </rPr>
      <t>dWod k|sf/sf]</t>
    </r>
    <r>
      <rPr>
        <sz val="14"/>
        <rFont val="Preeti"/>
      </rPr>
      <t xml:space="preserve"> </t>
    </r>
    <r>
      <rPr>
        <sz val="12"/>
        <rFont val="Preeti"/>
      </rPr>
      <t>s'FlbPsf] ;fnsf] sf7sf] cfFvL em\ofn tof/L</t>
    </r>
  </si>
  <si>
    <r>
      <t>200 mm dia NP</t>
    </r>
    <r>
      <rPr>
        <vertAlign val="superscript"/>
        <sz val="10"/>
        <rFont val="Arial"/>
        <family val="2"/>
      </rPr>
      <t xml:space="preserve">2 </t>
    </r>
    <r>
      <rPr>
        <sz val="10"/>
        <rFont val="Arial"/>
        <family val="2"/>
      </rPr>
      <t>RCC Hume pipe including collar with all complete.</t>
    </r>
  </si>
  <si>
    <r>
      <t>Fixing /laying 300 mm dia NP</t>
    </r>
    <r>
      <rPr>
        <vertAlign val="superscript"/>
        <sz val="10"/>
        <rFont val="Arial"/>
        <family val="2"/>
      </rPr>
      <t xml:space="preserve">2 </t>
    </r>
    <r>
      <rPr>
        <sz val="10"/>
        <rFont val="Arial"/>
        <family val="2"/>
      </rPr>
      <t>RCC Hume pipe with collar including 1:4 cement sand mortar all complete.</t>
    </r>
  </si>
  <si>
    <r>
      <t>300 mm dia NP</t>
    </r>
    <r>
      <rPr>
        <vertAlign val="superscript"/>
        <sz val="10"/>
        <rFont val="Arial"/>
        <family val="2"/>
      </rPr>
      <t xml:space="preserve">2 </t>
    </r>
    <r>
      <rPr>
        <sz val="10"/>
        <rFont val="Arial"/>
        <family val="2"/>
      </rPr>
      <t>RCC Hume pipe including collar with all complete.</t>
    </r>
  </si>
  <si>
    <r>
      <t>400mm dia NP</t>
    </r>
    <r>
      <rPr>
        <vertAlign val="superscript"/>
        <sz val="10"/>
        <rFont val="Arial"/>
        <family val="2"/>
      </rPr>
      <t xml:space="preserve">2 </t>
    </r>
    <r>
      <rPr>
        <sz val="10"/>
        <rFont val="Arial"/>
        <family val="2"/>
      </rPr>
      <t>RCC Hume pipe including collar with all complete.</t>
    </r>
  </si>
  <si>
    <r>
      <t>cfNd'lgod s};d]G6 em\ofn 6fOk–</t>
    </r>
    <r>
      <rPr>
        <sz val="12"/>
        <rFont val="Arial"/>
        <family val="2"/>
      </rPr>
      <t xml:space="preserve">B </t>
    </r>
    <r>
      <rPr>
        <sz val="12"/>
        <rFont val="Preeti"/>
      </rPr>
      <t xml:space="preserve">-$@=&amp;) </t>
    </r>
    <r>
      <rPr>
        <sz val="12"/>
        <rFont val="Arial"/>
        <family val="2"/>
      </rPr>
      <t xml:space="preserve">x </t>
    </r>
    <r>
      <rPr>
        <sz val="12"/>
        <rFont val="Preeti"/>
      </rPr>
      <t xml:space="preserve">#* </t>
    </r>
    <r>
      <rPr>
        <sz val="12"/>
        <rFont val="Arial"/>
        <family val="2"/>
      </rPr>
      <t xml:space="preserve">X </t>
    </r>
    <r>
      <rPr>
        <sz val="12"/>
        <rFont val="Preeti"/>
      </rPr>
      <t xml:space="preserve">@=!@ dL=dL=_ </t>
    </r>
  </si>
  <si>
    <r>
      <t xml:space="preserve">cfNd'lgod lkmS; e]G6Ln];g ;lxtsf] s};d]G6 em\ofn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</si>
  <si>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b'O{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</si>
  <si>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l;+un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</si>
  <si>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b'O{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</si>
  <si>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 xml:space="preserve">cfNd'lgodsf] l;+un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</si>
  <si>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t>a) Providing, fitting &amp; fixing in position G.I under frame using GYP steel branded channel with 9-12 mm th. MPL (Moralized Polyester Laminated) board finishing of joints with compound tape  all complete work</t>
  </si>
  <si>
    <t>viii) Aluminium partition with 5 mm thick glass and 9 mm thick laminated board of section (101 x45x1.1)</t>
  </si>
  <si>
    <t>Iron Square Pipe/Black Pipe/Channel/ Angle/I-Beam/Black Sheet/MS Plate</t>
  </si>
  <si>
    <t xml:space="preserve">i) Iron Square Pipe </t>
  </si>
  <si>
    <t>G.I. Wire</t>
  </si>
  <si>
    <t>i)  a) 8 gauge light class</t>
  </si>
  <si>
    <t xml:space="preserve">    b) 8 gauge medium class   </t>
  </si>
  <si>
    <r>
      <t>Fixing /laying 600 mm dia NP</t>
    </r>
    <r>
      <rPr>
        <vertAlign val="superscript"/>
        <sz val="10"/>
        <rFont val="Arial"/>
        <family val="2"/>
      </rPr>
      <t xml:space="preserve">2 </t>
    </r>
    <r>
      <rPr>
        <sz val="10"/>
        <rFont val="Arial"/>
        <family val="2"/>
      </rPr>
      <t>RCC Hume pipe with collar including 1:4 cement sand mortar all complete.</t>
    </r>
  </si>
  <si>
    <r>
      <t>Fixing /laying 150 mm dia NP</t>
    </r>
    <r>
      <rPr>
        <vertAlign val="superscript"/>
        <sz val="10"/>
        <rFont val="Arial"/>
        <family val="2"/>
      </rPr>
      <t xml:space="preserve">3 </t>
    </r>
    <r>
      <rPr>
        <sz val="10"/>
        <rFont val="Arial"/>
        <family val="2"/>
      </rPr>
      <t>RCC Hume pipe with collar including 1:4 cement sand mortar all complete.</t>
    </r>
  </si>
  <si>
    <t>Fixing /laying 180 mm dia Plastic Water Gutter pipe ( Half Round)  with necessary fittings  all complete.</t>
  </si>
  <si>
    <r>
      <t xml:space="preserve">3_ </t>
    </r>
    <r>
      <rPr>
        <b/>
        <sz val="12"/>
        <rFont val="Times New Roman"/>
        <family val="1"/>
      </rPr>
      <t>MJG/10x12/2.7/3.4/2.2/ZN</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</si>
  <si>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</si>
  <si>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</si>
  <si>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ª_ </t>
    </r>
    <r>
      <rPr>
        <b/>
        <sz val="12"/>
        <rFont val="Times New Roman"/>
        <family val="1"/>
      </rPr>
      <t>MRM/6x8/2.2/2.7/2.2/ZN</t>
    </r>
  </si>
  <si>
    <r>
      <t xml:space="preserve">  #</t>
    </r>
    <r>
      <rPr>
        <sz val="14"/>
        <rFont val="Times New Roman"/>
        <family val="1"/>
      </rPr>
      <t>×</t>
    </r>
    <r>
      <rPr>
        <sz val="14"/>
        <rFont val="Preeti"/>
      </rPr>
      <t>@</t>
    </r>
    <r>
      <rPr>
        <sz val="14"/>
        <rFont val="Times New Roman"/>
        <family val="1"/>
      </rPr>
      <t>×</t>
    </r>
    <r>
      <rPr>
        <sz val="14"/>
        <rFont val="Preeti"/>
      </rPr>
      <t>)=!&amp;</t>
    </r>
  </si>
  <si>
    <r>
      <t xml:space="preserve">  $</t>
    </r>
    <r>
      <rPr>
        <sz val="14"/>
        <rFont val="Times New Roman"/>
        <family val="1"/>
      </rPr>
      <t>×</t>
    </r>
    <r>
      <rPr>
        <sz val="14"/>
        <rFont val="Preeti"/>
      </rPr>
      <t>@</t>
    </r>
    <r>
      <rPr>
        <sz val="14"/>
        <rFont val="Times New Roman"/>
        <family val="1"/>
      </rPr>
      <t>×</t>
    </r>
    <r>
      <rPr>
        <sz val="14"/>
        <rFont val="Preeti"/>
      </rPr>
      <t>)=!&amp;</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</si>
  <si>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)=!&amp;</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</si>
  <si>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)=!&amp;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</si>
  <si>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</si>
  <si>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</si>
  <si>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</si>
  <si>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</si>
  <si>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</si>
  <si>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</si>
  <si>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</si>
  <si>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</si>
  <si>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r_ </t>
    </r>
    <r>
      <rPr>
        <b/>
        <sz val="12"/>
        <rFont val="Times New Roman"/>
        <family val="1"/>
      </rPr>
      <t>WMN/ZN</t>
    </r>
  </si>
  <si>
    <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@=&amp;</t>
    </r>
  </si>
  <si>
    <t>e'O{tNnfeGbf dfly lrDgL e§fsf] O{6f pknAw ug]{,</t>
  </si>
  <si>
    <t>r'gf</t>
  </si>
  <si>
    <t xml:space="preserve">afn'jf </t>
  </si>
  <si>
    <t>df6f]sf] d;nf tof/ u/L uf/f] nufpg] sfd</t>
  </si>
  <si>
    <t xml:space="preserve"> #) dL6/;Dd 9'jfgL ;lxt </t>
  </si>
  <si>
    <t>df6f]</t>
  </si>
  <si>
    <t>df6f]sf] d;nf tof/ u/L uf/f] nufpg]</t>
  </si>
  <si>
    <t>9'+ufsf] -/a'n_ uf/f]sf] sfd ;fx|f] Ans:6f]g pknAw ug]{,</t>
  </si>
  <si>
    <t>l;d]G6 d;nf !M# tof/ u/L uf/f] nufpg]</t>
  </si>
  <si>
    <t>ljdsf] nflu !( dL=dL KnfO{sf] kmdf{ agfpg] sfd,dfn;fdfgsf] pknlAw, 5gf}6 ug]{, gS;f cg';f/ kmdf{ /fVg]</t>
  </si>
  <si>
    <t xml:space="preserve">lsnf / cGt/ nufpg] kmdf{ lemSg], x6fpg] #) ld6/;Dd 9'jfgL ;lxt . </t>
  </si>
  <si>
    <t>0.155/6x0.75=0.019</t>
  </si>
  <si>
    <t>10.68/15x0.75=0.54</t>
  </si>
  <si>
    <t>d]l;gd]8 Sn] 6fon !M$ l;d]G6 afn'jfdf jfn ;km]{;df 6f+:g] sfo{</t>
  </si>
  <si>
    <t>Providing fitting, fixing in posiotion G.I. Under frame, using GYPSTEEL branded</t>
  </si>
  <si>
    <t xml:space="preserve">channel fixing 9.0-12.5mm thick Gyp board or Boral Plaster board finishing </t>
  </si>
  <si>
    <t>of joints with compound &amp; tape all complete.</t>
  </si>
  <si>
    <t>lhk af]8{ kmN;\l;lnËsf</t>
  </si>
  <si>
    <t xml:space="preserve"> </t>
  </si>
  <si>
    <t xml:space="preserve">Supplying and laying Teak wood Parqueting on floor polishing </t>
  </si>
  <si>
    <t xml:space="preserve">Supplying and fixing 6mm.waterproof ply false ceiling </t>
  </si>
  <si>
    <t xml:space="preserve"> -!=$_ efusf] ld&gt;0fsf] l;d]G6 d;nf tof/ ul/ v6 /flv !ÆjfSnf] Knfi6/df ?lkmª 6fOnsf] j'§f sf6\g] ;fdfg ;lxt -tof/L_ </t>
  </si>
  <si>
    <t>j=ld=</t>
  </si>
  <si>
    <t>A unique single component compound for fixing tiles, marbles, granite etc. on any plain surface (walls as well as floor). Highly economical and easy to use. A very thin coating is required.</t>
  </si>
  <si>
    <t>OPAL – TILE MASTER</t>
  </si>
  <si>
    <r>
      <t>k)</t>
    </r>
    <r>
      <rPr>
        <sz val="12"/>
        <rFont val="Preeti"/>
      </rPr>
      <t xml:space="preserve"> /f]lnË ;6/ ck/];gsf] nflu Xof08Ln /f]lnË u]o/</t>
    </r>
  </si>
  <si>
    <r>
      <t>l)</t>
    </r>
    <r>
      <rPr>
        <sz val="12"/>
        <rFont val="Preeti"/>
      </rPr>
      <t xml:space="preserve"> /f]lnË ;6/ ck/];gsf] nflu On]S6«Ls /f]lnË u]o/ k'; j6g l;:6d</t>
    </r>
  </si>
  <si>
    <r>
      <t>m)</t>
    </r>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</si>
  <si>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r>
      <t>n)</t>
    </r>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</si>
  <si>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r>
      <t>i)</t>
    </r>
    <r>
      <rPr>
        <sz val="12"/>
        <rFont val="Preeti"/>
      </rPr>
      <t xml:space="preserve"> kmnfd] /f]lnË ;6/ 808L k|of]u u/L agfOsf] ;fy} h8fg ug]{ ;d]t</t>
    </r>
  </si>
  <si>
    <r>
      <t>j)</t>
    </r>
    <r>
      <rPr>
        <sz val="12"/>
        <rFont val="Preeti"/>
      </rPr>
      <t xml:space="preserve"> lk=le=;L= /f]lnË ;6/ agfO{ h8fg ;d]t</t>
    </r>
  </si>
  <si>
    <t>oflGqs pks/0f</t>
  </si>
  <si>
    <t xml:space="preserve"> Hofldsf] Hofnfsf] #Ü n]</t>
  </si>
  <si>
    <t>:Sjfo/ kfO{k</t>
  </si>
  <si>
    <t xml:space="preserve"> /]lnË agfO{</t>
  </si>
  <si>
    <t>;fn jf lzzf} sf7sf]</t>
  </si>
  <si>
    <t>a|f; SoflkË</t>
  </si>
  <si>
    <t>c:t/ jfx]s b'O{ sf]6 cfNd'lgod k]G6 ug]{ sfd .</t>
  </si>
  <si>
    <t xml:space="preserve">/]8 </t>
  </si>
  <si>
    <t>cS;fO8 k]G6</t>
  </si>
  <si>
    <t>nn) Roller, Vib Pedestrain  (Upto 0.5 ton)</t>
  </si>
  <si>
    <t>oo) Roller, Vib Sheep Foot   (Upto 10 ton)</t>
  </si>
  <si>
    <t>pp) Roller, Vib, Self Prop   (Upto 3 ton)</t>
  </si>
  <si>
    <t>qq) Roller, Vib, Self Prop   (3 ton+)</t>
  </si>
  <si>
    <t>rr) Roller, Vib, towed   (Upto 7 ton)</t>
  </si>
  <si>
    <t>ss) Spreader chips, Self propeeled</t>
  </si>
  <si>
    <t>tt) Sprayer, Emulsion    (Upto 1 KL)</t>
  </si>
  <si>
    <t>uu) Truck, Flat Bed/ Crane   (Upto 7 ton)</t>
  </si>
  <si>
    <t>vv) Truck, Flat Bed   (Upto 159 HP)</t>
  </si>
  <si>
    <t>ww) Truck, Tipper   (Upto 159 HP)</t>
  </si>
  <si>
    <t>xx) Truck Tipper   (From 150 HP+)</t>
  </si>
  <si>
    <t>yy) Mini Truck</t>
  </si>
  <si>
    <t>bbb) Water Tanker    (Upto 16 KL)</t>
  </si>
  <si>
    <t>ccc) Trailer</t>
  </si>
  <si>
    <t>ddd) Tractor    (Upto 85 HP)</t>
  </si>
  <si>
    <t>eee) Vibrator (Engine)</t>
  </si>
  <si>
    <t>fff) Compactor, Hand Towed   (Upto 200 Kg)</t>
  </si>
  <si>
    <t>ggg) Compactor, Hand Towed   (350 to 450 Kg)</t>
  </si>
  <si>
    <t>hhh) Welking, Arc   (10 to 30 KVA)</t>
  </si>
  <si>
    <t>Road furniture/goods/other materials from DoR</t>
  </si>
  <si>
    <t>It is a single component white liquid acrylic polymer admixture for water proofing, cementitious coating in slurry form as well as cement mortar form. It is to be mixed with cement/mortar for excellent water proof coating.</t>
  </si>
  <si>
    <t>sq.ft</t>
  </si>
  <si>
    <t>OPAL – GUARD</t>
  </si>
  <si>
    <t>!%) dL=dL=5]:sLgL</t>
  </si>
  <si>
    <t>#))dL=dL= 5]:sLgL</t>
  </si>
  <si>
    <t>Xofl8n</t>
  </si>
  <si>
    <t>It is a polymer, based on styrene-butadiene rubber, specially formulated for use with cement formulations. Highly recommended for structural rehabilitation, concrete repair etc.</t>
  </si>
  <si>
    <t>OPAL – SEAL</t>
  </si>
  <si>
    <t>An excellent admixture for water proofing sunken portions in buildings such as bath rooms, terraces etc.</t>
  </si>
  <si>
    <t>OPAL – FEX</t>
  </si>
  <si>
    <t xml:space="preserve"> -s_ # dL =dL  </t>
  </si>
  <si>
    <t xml:space="preserve"> -v_ ^ dL =dL  </t>
  </si>
  <si>
    <t>Both side lamination Melamined faced (Interiors Grade)MDF</t>
  </si>
  <si>
    <t>Other Hard Board/Sunmica &amp; Formaica)</t>
  </si>
  <si>
    <t xml:space="preserve">kftf </t>
  </si>
  <si>
    <t xml:space="preserve"> -v_ kmf]/dfO{sf </t>
  </si>
  <si>
    <t xml:space="preserve"> -s_ # dL=dL= </t>
  </si>
  <si>
    <t xml:space="preserve">j=lkm= </t>
  </si>
  <si>
    <t xml:space="preserve"> -v_ $ dL=dL=</t>
  </si>
  <si>
    <t xml:space="preserve"> -u_ % dL=dL=   Æ        </t>
  </si>
  <si>
    <t xml:space="preserve"> -3_ ^ dL=dL=   Æ  </t>
  </si>
  <si>
    <t>husf] vf8ndf 9'+uf eg]{ / n]en ug]{ sfd</t>
  </si>
  <si>
    <t xml:space="preserve"> HofdL</t>
  </si>
  <si>
    <t>v;|f] afn'jf vf]nfsf]</t>
  </si>
  <si>
    <t>cu|fv sf7</t>
  </si>
  <si>
    <t>k]r lsnf</t>
  </si>
  <si>
    <t>^ dL=dL= KnfOp8</t>
  </si>
  <si>
    <t>kmn]s -hfd'g_</t>
  </si>
  <si>
    <r>
      <t xml:space="preserve"> -~_ -#)</t>
    </r>
    <r>
      <rPr>
        <sz val="12"/>
        <rFont val="Times New Roman"/>
        <family val="1"/>
      </rPr>
      <t>×</t>
    </r>
    <r>
      <rPr>
        <sz val="12"/>
        <rFont val="Preeti"/>
      </rPr>
      <t xml:space="preserve">#)_ ;]=ld= </t>
    </r>
  </si>
  <si>
    <r>
      <t xml:space="preserve"> 6_ -#)</t>
    </r>
    <r>
      <rPr>
        <sz val="12"/>
        <rFont val="Times New Roman"/>
        <family val="1"/>
      </rPr>
      <t>×</t>
    </r>
    <r>
      <rPr>
        <sz val="12"/>
        <rFont val="Preeti"/>
      </rPr>
      <t xml:space="preserve">^)_ ;]=ld    </t>
    </r>
  </si>
  <si>
    <r>
      <t xml:space="preserve"> 7_ -^)</t>
    </r>
    <r>
      <rPr>
        <sz val="12"/>
        <rFont val="Times New Roman"/>
        <family val="1"/>
      </rPr>
      <t>×</t>
    </r>
    <r>
      <rPr>
        <sz val="12"/>
        <rFont val="Preeti"/>
      </rPr>
      <t xml:space="preserve">^)_ ;]=ld   </t>
    </r>
  </si>
  <si>
    <t xml:space="preserve">A)   Rheobuild sp -1  :High range water reducing superplsticsizer for concrete  </t>
  </si>
  <si>
    <t>B)   Rheobuild sp -1i : High range water reducing &amp; retarding superplastisizer for ready mix concrete</t>
  </si>
  <si>
    <t>C)   Rheobuild sp -1100  High performance , range water reducing superplastisizer:</t>
  </si>
  <si>
    <t xml:space="preserve">OPAL -  KREET </t>
  </si>
  <si>
    <t xml:space="preserve">Fixing of glazed shutter in 38x75 mm thick sal wood frame with 6mm thick  plain glass fitting including all necessary hardware fittings all complete. </t>
  </si>
  <si>
    <t>Fixing of glazed shutter in 38x75 mm thick sal wood frame with 6mm thick  plain glass.</t>
  </si>
  <si>
    <t>Making and fitting flush door shutter of 38 x 100 mm size sal wood frame with 4 mm thick commercial plywood on both side including all necessary hardware fitting all complete.</t>
  </si>
  <si>
    <t>p_)=() ld=ld df]6fO{sf</t>
  </si>
  <si>
    <t>PNd'lgod Kn]g l;6</t>
  </si>
  <si>
    <t xml:space="preserve"> -s_ @^ u]h </t>
  </si>
  <si>
    <t>j=lkm=</t>
  </si>
  <si>
    <t xml:space="preserve"> -v_ #) u]h </t>
  </si>
  <si>
    <t>-v_ jfn'jf rfNg] hfnL</t>
  </si>
  <si>
    <t xml:space="preserve">-3_ a|f; qml;Ë hfnL </t>
  </si>
  <si>
    <t>kmnfdaf6 lgld{t ;fdfgx?</t>
  </si>
  <si>
    <t xml:space="preserve">s]=hL  </t>
  </si>
  <si>
    <t xml:space="preserve">Uff]6f </t>
  </si>
  <si>
    <t>;]6</t>
  </si>
  <si>
    <t>/=lkm=</t>
  </si>
  <si>
    <r>
      <t xml:space="preserve">-3_ l;d]G6 k]G6 </t>
    </r>
    <r>
      <rPr>
        <sz val="12"/>
        <rFont val="Times New Roman"/>
        <family val="1"/>
      </rPr>
      <t>(Cement Paints)</t>
    </r>
  </si>
  <si>
    <r>
      <t xml:space="preserve">5_ p8 k|fOd/ </t>
    </r>
    <r>
      <rPr>
        <sz val="12"/>
        <rFont val="Times New Roman"/>
        <family val="1"/>
      </rPr>
      <t>(Wood Primer)</t>
    </r>
  </si>
  <si>
    <r>
      <t xml:space="preserve">-h_ sf]?u]6]8 ?km </t>
    </r>
    <r>
      <rPr>
        <sz val="12"/>
        <rFont val="Times New Roman"/>
        <family val="1"/>
      </rPr>
      <t>Paint</t>
    </r>
  </si>
  <si>
    <r>
      <t xml:space="preserve">-w_ /]8 cs;fO8 k]G6 </t>
    </r>
    <r>
      <rPr>
        <sz val="12"/>
        <rFont val="Times New Roman"/>
        <family val="1"/>
      </rPr>
      <t>(Red oxide Paint)</t>
    </r>
  </si>
  <si>
    <r>
      <t xml:space="preserve"> -k_ </t>
    </r>
    <r>
      <rPr>
        <sz val="12"/>
        <rFont val="Times New Roman"/>
        <family val="1"/>
      </rPr>
      <t>Black Span Paint</t>
    </r>
  </si>
  <si>
    <r>
      <t xml:space="preserve">-/_ </t>
    </r>
    <r>
      <rPr>
        <sz val="12"/>
        <rFont val="Times New Roman"/>
        <family val="1"/>
      </rPr>
      <t>Road Marking Paint</t>
    </r>
  </si>
  <si>
    <r>
      <t xml:space="preserve">-n_ lngl;8 cfon </t>
    </r>
    <r>
      <rPr>
        <sz val="12"/>
        <rFont val="Times New Roman"/>
        <family val="1"/>
      </rPr>
      <t>(linsed Oil)</t>
    </r>
  </si>
  <si>
    <r>
      <t xml:space="preserve">-if_ </t>
    </r>
    <r>
      <rPr>
        <sz val="12"/>
        <rFont val="Times New Roman"/>
        <family val="1"/>
      </rPr>
      <t>Tata Red Oxide Paint</t>
    </r>
  </si>
  <si>
    <r>
      <t xml:space="preserve"> -If_ </t>
    </r>
    <r>
      <rPr>
        <sz val="14"/>
        <rFont val="Times New Roman"/>
        <family val="1"/>
      </rPr>
      <t>White putty</t>
    </r>
  </si>
  <si>
    <r>
      <t xml:space="preserve"> </t>
    </r>
    <r>
      <rPr>
        <sz val="14"/>
        <rFont val="Preeti"/>
      </rPr>
      <t>-q_</t>
    </r>
    <r>
      <rPr>
        <sz val="12"/>
        <rFont val="Times New Roman"/>
        <family val="1"/>
      </rPr>
      <t xml:space="preserve"> Plaster of Parish (POP) </t>
    </r>
  </si>
  <si>
    <r>
      <t xml:space="preserve"> </t>
    </r>
    <r>
      <rPr>
        <sz val="12"/>
        <rFont val="Times New Roman"/>
        <family val="1"/>
      </rPr>
      <t>M 20</t>
    </r>
  </si>
  <si>
    <r>
      <t xml:space="preserve"> </t>
    </r>
    <r>
      <rPr>
        <sz val="12"/>
        <rFont val="Times New Roman"/>
        <family val="1"/>
      </rPr>
      <t>Transportation and pouring of Premix Concrete upto10 km and 5</t>
    </r>
    <r>
      <rPr>
        <vertAlign val="superscript"/>
        <sz val="12"/>
        <rFont val="Times New Roman"/>
        <family val="1"/>
      </rPr>
      <t>th</t>
    </r>
    <r>
      <rPr>
        <sz val="12"/>
        <rFont val="Times New Roman"/>
        <family val="1"/>
      </rPr>
      <t xml:space="preserve"> floors</t>
    </r>
  </si>
  <si>
    <r>
      <t xml:space="preserve">Thai gypsum board </t>
    </r>
    <r>
      <rPr>
        <b/>
        <sz val="14"/>
        <rFont val="Preeti"/>
      </rPr>
      <t xml:space="preserve">af6 pTkfbg ePsf] ;fdfgx? </t>
    </r>
  </si>
  <si>
    <r>
      <t xml:space="preserve">i) </t>
    </r>
    <r>
      <rPr>
        <sz val="14"/>
        <rFont val="Preeti"/>
      </rPr>
      <t>kmN; l;lnË ug{}</t>
    </r>
  </si>
  <si>
    <r>
      <t>I</t>
    </r>
    <r>
      <rPr>
        <b/>
        <sz val="11"/>
        <rFont val="Arial"/>
        <family val="2"/>
      </rPr>
      <t>nterlocking Cement Concrete Block</t>
    </r>
  </si>
  <si>
    <t>6 mm thick Flex-O- Board (Water proof cement board) 6mm thick for false ceiling</t>
  </si>
  <si>
    <t>!% dL=dL= b]lv !%) dL=dL= 6'qmf O{6fn] eg]{ sfd .</t>
  </si>
  <si>
    <t xml:space="preserve"> Æ</t>
  </si>
  <si>
    <t xml:space="preserve">Supplying and laying Sisam wood wall panelling on wall(with wood frame) polishing all complete(75mm*16mm) </t>
  </si>
  <si>
    <t xml:space="preserve">Supplying and laying Teak wood Parqueting on floor polishing all complete(150mm*30mm*8mm) </t>
  </si>
  <si>
    <t xml:space="preserve">Supplying and fitting Ready made Teak wood Doors,ordinary (Seasoned and Poisoned treated ,one side teak and other side water proof ply fitting)  with all neccessary hardware all complete. </t>
  </si>
  <si>
    <t xml:space="preserve">Supplying and fitting Ready made Teak wood Doors,special (Seasoned and Poisoned treated ,one side teak and other side water proof ply fitting)  with all neccessary hardware all complete. </t>
  </si>
  <si>
    <t>Carbon Fibre UPVC Roofing Sheet including the cost of material and labour  fitting, fixing, all complete job (2mm Thick) .</t>
  </si>
  <si>
    <t xml:space="preserve">Carbon Fibre UPVC Roofing Sheet including the cost of material and labour  fitting, fixing, all complete job (3mm Thick) </t>
  </si>
  <si>
    <t xml:space="preserve">UPVC (60x60)mm size white colour swing door with 5mm glass pannel fixing all complete; </t>
  </si>
  <si>
    <t xml:space="preserve">Supplying and fixing of (80x50) mm th. White color casement windows(double glazing glass), etc all complete. </t>
  </si>
  <si>
    <t xml:space="preserve">UPVC (60x60)mm size,9mm th.  white colour partition board /5mm glass pannel fixing all complete </t>
  </si>
  <si>
    <t xml:space="preserve">UPVC (100x60)mm,9mm th. Board and 5 mm th glass white color doors with necessary accessories all complete; </t>
  </si>
  <si>
    <t xml:space="preserve">UPVC (60x60)mm size white colour casement window with 5mm glass pannel fixing all complete </t>
  </si>
  <si>
    <t xml:space="preserve">UPVC (80x50)mm size sliding white colour window with 5mm glass pannel fixing all complete </t>
  </si>
  <si>
    <r>
      <t xml:space="preserve"> -u_ ljleGg ;fOhsf] </t>
    </r>
    <r>
      <rPr>
        <b/>
        <sz val="14"/>
        <rFont val="Times New Roman"/>
        <family val="1"/>
      </rPr>
      <t>Torcaree</t>
    </r>
  </si>
  <si>
    <r>
      <t xml:space="preserve"> -3_ </t>
    </r>
    <r>
      <rPr>
        <b/>
        <sz val="14"/>
        <rFont val="Times New Roman"/>
        <family val="1"/>
      </rPr>
      <t xml:space="preserve">Binding Wire </t>
    </r>
    <r>
      <rPr>
        <b/>
        <sz val="14"/>
        <rFont val="Preeti"/>
      </rPr>
      <t>-808L afFWg]tf/_</t>
    </r>
  </si>
  <si>
    <r>
      <t>ii)</t>
    </r>
    <r>
      <rPr>
        <sz val="12"/>
        <rFont val="Preeti"/>
      </rPr>
      <t xml:space="preserve"> ljleGg ;fOhsf]</t>
    </r>
    <r>
      <rPr>
        <sz val="12"/>
        <rFont val="Times New Roman"/>
        <family val="1"/>
      </rPr>
      <t xml:space="preserve"> MS Angle</t>
    </r>
  </si>
  <si>
    <r>
      <t xml:space="preserve">iii) </t>
    </r>
    <r>
      <rPr>
        <sz val="12"/>
        <rFont val="Preeti"/>
      </rPr>
      <t>ljleGg ;fOhsf]</t>
    </r>
    <r>
      <rPr>
        <sz val="12"/>
        <rFont val="Times New Roman"/>
        <family val="1"/>
      </rPr>
      <t xml:space="preserve"> Black Pipe</t>
    </r>
  </si>
  <si>
    <r>
      <t xml:space="preserve">iv) </t>
    </r>
    <r>
      <rPr>
        <sz val="12"/>
        <rFont val="Preeti"/>
      </rPr>
      <t xml:space="preserve">ljleGg ;fOhsf] </t>
    </r>
    <r>
      <rPr>
        <sz val="12"/>
        <rFont val="Times New Roman"/>
        <family val="1"/>
      </rPr>
      <t>Channel</t>
    </r>
  </si>
  <si>
    <r>
      <t xml:space="preserve">v) </t>
    </r>
    <r>
      <rPr>
        <sz val="12"/>
        <rFont val="Preeti"/>
      </rPr>
      <t>ljleGg ;fOhsf]</t>
    </r>
    <r>
      <rPr>
        <sz val="12"/>
        <rFont val="Times New Roman"/>
        <family val="1"/>
      </rPr>
      <t xml:space="preserve"> I-Beam</t>
    </r>
  </si>
  <si>
    <r>
      <t xml:space="preserve">vi) </t>
    </r>
    <r>
      <rPr>
        <sz val="12"/>
        <rFont val="Preeti"/>
      </rPr>
      <t>ljleGg ;fOhsf]</t>
    </r>
    <r>
      <rPr>
        <sz val="12"/>
        <rFont val="Times New Roman"/>
        <family val="1"/>
      </rPr>
      <t xml:space="preserve"> MS plate </t>
    </r>
  </si>
  <si>
    <r>
      <t xml:space="preserve">vii) </t>
    </r>
    <r>
      <rPr>
        <sz val="12"/>
        <rFont val="Preeti"/>
      </rPr>
      <t>ljleGg ;fOhsf]</t>
    </r>
    <r>
      <rPr>
        <sz val="12"/>
        <rFont val="Times New Roman"/>
        <family val="1"/>
      </rPr>
      <t xml:space="preserve"> MS Square solid bar up to 16mm</t>
    </r>
  </si>
  <si>
    <r>
      <t xml:space="preserve">viii) </t>
    </r>
    <r>
      <rPr>
        <sz val="12"/>
        <rFont val="Preeti"/>
      </rPr>
      <t>ljleGg df]6fOsf]</t>
    </r>
    <r>
      <rPr>
        <sz val="12"/>
        <rFont val="Times New Roman"/>
        <family val="1"/>
      </rPr>
      <t xml:space="preserve"> Black sheet</t>
    </r>
  </si>
  <si>
    <r>
      <t>Barbed Wire</t>
    </r>
    <r>
      <rPr>
        <b/>
        <sz val="14"/>
        <rFont val="Preeti"/>
      </rPr>
      <t xml:space="preserve"> -sfF9]tf/_</t>
    </r>
  </si>
  <si>
    <r>
      <t>a</t>
    </r>
    <r>
      <rPr>
        <sz val="14"/>
        <rFont val="Preeti"/>
      </rPr>
      <t>_</t>
    </r>
    <r>
      <rPr>
        <sz val="12"/>
        <rFont val="Times New Roman"/>
        <family val="1"/>
      </rPr>
      <t xml:space="preserve"> 12 guage commercial ,Medium duty  </t>
    </r>
  </si>
  <si>
    <r>
      <t xml:space="preserve"> ;fbf tyf /+lug h:tf kftf </t>
    </r>
    <r>
      <rPr>
        <b/>
        <sz val="14"/>
        <rFont val="Times New Roman"/>
        <family val="1"/>
      </rPr>
      <t>(Plain/Corrugated Galvanized/Colour Iron Sheet)</t>
    </r>
  </si>
  <si>
    <r>
      <t xml:space="preserve"> -s_ ;]tf] ;fbf  h:tfkftf </t>
    </r>
    <r>
      <rPr>
        <b/>
        <sz val="14"/>
        <rFont val="Times New Roman"/>
        <family val="1"/>
      </rPr>
      <t>(G P Sheet)</t>
    </r>
  </si>
  <si>
    <r>
      <t>a)</t>
    </r>
    <r>
      <rPr>
        <sz val="14"/>
        <rFont val="Times New Roman"/>
        <family val="1"/>
      </rPr>
      <t xml:space="preserve"> </t>
    </r>
    <r>
      <rPr>
        <sz val="13"/>
        <rFont val="Times New Roman"/>
        <family val="1"/>
      </rPr>
      <t>30</t>
    </r>
    <r>
      <rPr>
        <sz val="14"/>
        <rFont val="Preeti"/>
      </rPr>
      <t xml:space="preserve"> u]h</t>
    </r>
    <r>
      <rPr>
        <sz val="14"/>
        <rFont val="Times New Roman"/>
        <family val="1"/>
      </rPr>
      <t xml:space="preserve"> </t>
    </r>
    <r>
      <rPr>
        <sz val="12"/>
        <rFont val="Times New Roman"/>
        <family val="1"/>
      </rPr>
      <t>Light (0.2 mm)</t>
    </r>
  </si>
  <si>
    <r>
      <t>b) 30</t>
    </r>
    <r>
      <rPr>
        <sz val="14"/>
        <rFont val="Preeti"/>
      </rPr>
      <t xml:space="preserve"> u]h</t>
    </r>
    <r>
      <rPr>
        <sz val="11"/>
        <rFont val="Times New Roman"/>
        <family val="1"/>
      </rPr>
      <t xml:space="preserve"> Medium</t>
    </r>
    <r>
      <rPr>
        <sz val="12"/>
        <rFont val="Times New Roman"/>
        <family val="1"/>
      </rPr>
      <t xml:space="preserve"> (0.22 mm)</t>
    </r>
    <r>
      <rPr>
        <sz val="14"/>
        <rFont val="Times New Roman"/>
        <family val="1"/>
      </rPr>
      <t xml:space="preserve">  </t>
    </r>
  </si>
  <si>
    <r>
      <t>c) 30</t>
    </r>
    <r>
      <rPr>
        <sz val="14"/>
        <rFont val="Preeti"/>
      </rPr>
      <t xml:space="preserve"> u]h</t>
    </r>
    <r>
      <rPr>
        <sz val="14"/>
        <rFont val="Times New Roman"/>
        <family val="1"/>
      </rPr>
      <t xml:space="preserve"> </t>
    </r>
    <r>
      <rPr>
        <sz val="12"/>
        <rFont val="Times New Roman"/>
        <family val="1"/>
      </rPr>
      <t>Heavy (0.24 mm)</t>
    </r>
    <r>
      <rPr>
        <sz val="14"/>
        <rFont val="Times New Roman"/>
        <family val="1"/>
      </rPr>
      <t xml:space="preserve">  </t>
    </r>
  </si>
  <si>
    <t xml:space="preserve">Chrome plated Towel Rod 15mm dia x450mm long American Standard  with necessary accessories </t>
  </si>
  <si>
    <t>Chrome plated 15mm dia x600mm long heavy quality towel rod</t>
  </si>
  <si>
    <t>C p 15mm dia x600mm long heavy quality towel rod.</t>
  </si>
  <si>
    <t>sf7df kmdf{ agfpg] sfd, dfn;fdfgsf] pknlAw, 5gf}6 ug]{, gS;f cg';f/ kmdf{ /fVg]</t>
  </si>
  <si>
    <t>lsnf / cGt/ nufpg] kmdf{ lemSg], x6fpg] #) ld6/;Dd 9'jfgL ;lxt</t>
  </si>
  <si>
    <t>kmz{ / :n]j h:tf sfd</t>
  </si>
  <si>
    <t>lsnf</t>
  </si>
  <si>
    <t>;]tf] l;d]G6</t>
  </si>
  <si>
    <t>-cShflns_ P;L8</t>
  </si>
  <si>
    <t>d}g kflnz</t>
  </si>
  <si>
    <t>tf/k]G6fOg</t>
  </si>
  <si>
    <t>ud cflb</t>
  </si>
  <si>
    <t>gofF ;km]{;df XjfO{6jf; b'O{sf]6 ug]{ sfd -cGoq_</t>
  </si>
  <si>
    <t>gofF l;lnË ;km]{;df XjfO{6jf; tLgsf]6 ug]{ sfd .</t>
  </si>
  <si>
    <r>
      <t>Slope, flat roof,</t>
    </r>
    <r>
      <rPr>
        <b/>
        <sz val="14"/>
        <rFont val="Preeti"/>
      </rPr>
      <t xml:space="preserve"> </t>
    </r>
    <r>
      <rPr>
        <b/>
        <sz val="14"/>
        <rFont val="Times New Roman"/>
        <family val="1"/>
      </rPr>
      <t>sunken slab</t>
    </r>
    <r>
      <rPr>
        <b/>
        <sz val="14"/>
        <rFont val="Preeti"/>
      </rPr>
      <t xml:space="preserve"> / </t>
    </r>
    <r>
      <rPr>
        <b/>
        <sz val="14"/>
        <rFont val="Times New Roman"/>
        <family val="1"/>
      </rPr>
      <t>basement</t>
    </r>
    <r>
      <rPr>
        <b/>
        <sz val="14"/>
        <rFont val="Preeti"/>
      </rPr>
      <t xml:space="preserve"> df kfgL r'x]sf] :yfgdf </t>
    </r>
    <r>
      <rPr>
        <b/>
        <sz val="14"/>
        <rFont val="Times New Roman"/>
        <family val="1"/>
      </rPr>
      <t>Perma Construction Co</t>
    </r>
    <r>
      <rPr>
        <b/>
        <sz val="14"/>
        <rFont val="Preeti"/>
      </rPr>
      <t xml:space="preserve"> – af6 pTkflbt lgdf{0f ;fdfu|Lx?</t>
    </r>
  </si>
  <si>
    <r>
      <t xml:space="preserve">Water proofing treatment by </t>
    </r>
    <r>
      <rPr>
        <b/>
        <sz val="12"/>
        <rFont val="Times New Roman"/>
        <family val="1"/>
      </rPr>
      <t>Injection and Pressure Grouting System</t>
    </r>
    <r>
      <rPr>
        <sz val="12"/>
        <rFont val="Times New Roman"/>
        <family val="1"/>
      </rPr>
      <t xml:space="preserve"> using perma Grout 500 with mixing fresh gray cement slurry all complete. (slope roof, sunk slab, basement )</t>
    </r>
  </si>
  <si>
    <r>
      <t xml:space="preserve">Water proofing treatment by Perma Guard coating </t>
    </r>
    <r>
      <rPr>
        <b/>
        <sz val="12"/>
        <rFont val="Times New Roman"/>
        <family val="1"/>
      </rPr>
      <t>(Elastomoric Polymer Coating)</t>
    </r>
    <r>
      <rPr>
        <sz val="12"/>
        <rFont val="Times New Roman"/>
        <family val="1"/>
      </rPr>
      <t xml:space="preserve"> all complete. (roof top, sunken slab, basement, terrace)</t>
    </r>
  </si>
  <si>
    <r>
      <t xml:space="preserve">Water proofing treatment by using perma </t>
    </r>
    <r>
      <rPr>
        <b/>
        <sz val="12"/>
        <rFont val="Times New Roman"/>
        <family val="1"/>
      </rPr>
      <t>Shield</t>
    </r>
    <r>
      <rPr>
        <sz val="12"/>
        <rFont val="Times New Roman"/>
        <family val="1"/>
      </rPr>
      <t xml:space="preserve"> / AR coating ( </t>
    </r>
    <r>
      <rPr>
        <b/>
        <sz val="12"/>
        <rFont val="Times New Roman"/>
        <family val="1"/>
      </rPr>
      <t>Semi Flexible Polymer Coating</t>
    </r>
    <r>
      <rPr>
        <sz val="12"/>
        <rFont val="Times New Roman"/>
        <family val="1"/>
      </rPr>
      <t xml:space="preserve"> </t>
    </r>
    <r>
      <rPr>
        <b/>
        <sz val="12"/>
        <rFont val="Times New Roman"/>
        <family val="1"/>
      </rPr>
      <t>System</t>
    </r>
    <r>
      <rPr>
        <sz val="12"/>
        <rFont val="Times New Roman"/>
        <family val="1"/>
      </rPr>
      <t>) all Complete (roof top, sunk slab, basement)</t>
    </r>
  </si>
  <si>
    <r>
      <t xml:space="preserve">Waterproofing treatment by </t>
    </r>
    <r>
      <rPr>
        <b/>
        <sz val="12"/>
        <rFont val="Times New Roman"/>
        <family val="1"/>
      </rPr>
      <t>Crystallization</t>
    </r>
    <r>
      <rPr>
        <sz val="12"/>
        <rFont val="Times New Roman"/>
        <family val="1"/>
      </rPr>
      <t xml:space="preserve"> Process by applying two coats of perma Seal all complete. (watertank basement)</t>
    </r>
  </si>
  <si>
    <r>
      <t xml:space="preserve">Major  crack treatment on Rcc slab by </t>
    </r>
    <r>
      <rPr>
        <b/>
        <sz val="12"/>
        <rFont val="Times New Roman"/>
        <family val="1"/>
      </rPr>
      <t>Perma Polyseal</t>
    </r>
  </si>
  <si>
    <t xml:space="preserve"> kmnfd] lu|n agfO{ vfS;L nufO{ /]8cS;fO8 k]G6 ;d]t u/L hf]8\g]</t>
  </si>
  <si>
    <t>kmnfd] lu|n agfO{</t>
  </si>
  <si>
    <t>b/ ljZn]if0fsf] nflu !) s]=hL= lnOPsf]</t>
  </si>
  <si>
    <t>b/ k|lt s]=hL=sf]</t>
  </si>
  <si>
    <r>
      <t xml:space="preserve"> $$_ </t>
    </r>
    <r>
      <rPr>
        <sz val="12"/>
        <rFont val="Times New Roman"/>
        <family val="1"/>
      </rPr>
      <t>Lime for traditional work</t>
    </r>
  </si>
  <si>
    <t>It is a super plasticizer for concrete. It is a high range water reducing admixture for concrete. It is based on sulphonated naphthalene formaldehyde and is used for reducing the water to cement ratio, increasing compressive strength &amp; producing free flow</t>
  </si>
  <si>
    <t>OPAL – RETARDPLAST</t>
  </si>
  <si>
    <r>
      <t xml:space="preserve">c_ )=%) ld=ld df]6fO{sf </t>
    </r>
    <r>
      <rPr>
        <sz val="12"/>
        <rFont val="Times New Roman"/>
        <family val="1"/>
      </rPr>
      <t>(12.05 Kg</t>
    </r>
    <r>
      <rPr>
        <sz val="14"/>
        <rFont val="Times New Roman"/>
        <family val="1"/>
      </rPr>
      <t>.)</t>
    </r>
  </si>
  <si>
    <r>
      <t xml:space="preserve">$ lkm6 </t>
    </r>
    <r>
      <rPr>
        <b/>
        <sz val="14"/>
        <rFont val="Times New Roman"/>
        <family val="1"/>
      </rPr>
      <t xml:space="preserve">* </t>
    </r>
    <r>
      <rPr>
        <b/>
        <sz val="14"/>
        <rFont val="Preeti"/>
      </rPr>
      <t xml:space="preserve">* lkm6 sf] /lËg Kn]g l;6 </t>
    </r>
  </si>
  <si>
    <r>
      <t xml:space="preserve"> -u_ </t>
    </r>
    <r>
      <rPr>
        <sz val="12"/>
        <rFont val="Times New Roman"/>
        <family val="1"/>
      </rPr>
      <t xml:space="preserve"> 3mm thick Aluminium Composite Pannel</t>
    </r>
  </si>
  <si>
    <r>
      <t xml:space="preserve">ljleGg k|sf/sf] hfnLx? </t>
    </r>
    <r>
      <rPr>
        <b/>
        <sz val="12"/>
        <rFont val="Times New Roman"/>
        <family val="1"/>
      </rPr>
      <t xml:space="preserve">(Netting) </t>
    </r>
  </si>
  <si>
    <r>
      <t xml:space="preserve"> -s_ dl;gf] vfnsf] </t>
    </r>
    <r>
      <rPr>
        <sz val="14"/>
        <rFont val="Times New Roman"/>
        <family val="1"/>
      </rPr>
      <t>Mosquito proof</t>
    </r>
    <r>
      <rPr>
        <sz val="14"/>
        <rFont val="Preeti"/>
      </rPr>
      <t xml:space="preserve"> hfnL</t>
    </r>
  </si>
  <si>
    <r>
      <t xml:space="preserve">-u_ s'v'/] hfnL </t>
    </r>
    <r>
      <rPr>
        <sz val="12"/>
        <rFont val="Times New Roman"/>
        <family val="1"/>
      </rPr>
      <t>(Chicken wire mesh)</t>
    </r>
  </si>
  <si>
    <r>
      <t>a)</t>
    </r>
    <r>
      <rPr>
        <sz val="10"/>
        <rFont val="Preeti"/>
      </rPr>
      <t xml:space="preserve"> </t>
    </r>
    <r>
      <rPr>
        <sz val="10"/>
        <rFont val="Times New Roman"/>
        <family val="1"/>
      </rPr>
      <t xml:space="preserve">M.S. Grill </t>
    </r>
    <r>
      <rPr>
        <sz val="10"/>
        <rFont val="Preeti"/>
      </rPr>
      <t xml:space="preserve">agfO{   h8fg ug]{ sfd </t>
    </r>
  </si>
  <si>
    <r>
      <t xml:space="preserve">b) </t>
    </r>
    <r>
      <rPr>
        <sz val="10"/>
        <rFont val="Preeti"/>
      </rPr>
      <t>sDkfp08 jfn dfyL !Æ</t>
    </r>
    <r>
      <rPr>
        <sz val="10"/>
        <rFont val="Times New Roman"/>
        <family val="1"/>
      </rPr>
      <t>×</t>
    </r>
    <r>
      <rPr>
        <sz val="10"/>
        <rFont val="Preeti"/>
      </rPr>
      <t xml:space="preserve">!Æ sf] kmnfd] PËndf * dL=dL= 808L @Æ </t>
    </r>
    <r>
      <rPr>
        <sz val="10"/>
        <rFont val="Times New Roman"/>
        <family val="1"/>
      </rPr>
      <t>c/c</t>
    </r>
    <r>
      <rPr>
        <sz val="10"/>
        <rFont val="Preeti"/>
      </rPr>
      <t xml:space="preserve"> df /fvL agfpg] sfd</t>
    </r>
  </si>
  <si>
    <r>
      <t xml:space="preserve">c) 1 ½ " Black Pipe </t>
    </r>
    <r>
      <rPr>
        <sz val="10"/>
        <rFont val="Preeti"/>
      </rPr>
      <t>sf6\g] / h8fg ug{} sfd     -nDafO !=@% dL=, sDkfp08 jfn dfly Sofk ;lxtsf] u|Ln h8fg ug{ _</t>
    </r>
  </si>
  <si>
    <r>
      <t>d) </t>
    </r>
    <r>
      <rPr>
        <sz val="12"/>
        <rFont val="Preeti"/>
      </rPr>
      <t>sf]NofK;Lan u]6 agfO{ h8fg ug]{</t>
    </r>
  </si>
  <si>
    <r>
      <t>e) </t>
    </r>
    <r>
      <rPr>
        <sz val="12"/>
        <rFont val="Preeti"/>
      </rPr>
      <t>!</t>
    </r>
    <r>
      <rPr>
        <sz val="12"/>
        <rFont val="Arial"/>
        <family val="2"/>
      </rPr>
      <t xml:space="preserve">" </t>
    </r>
    <r>
      <rPr>
        <sz val="12"/>
        <rFont val="Preeti"/>
      </rPr>
      <t xml:space="preserve">:Sjfo/ kfOk /]lnË agfO{ To;df ;fn  jf l;;f} sf7sf] </t>
    </r>
    <r>
      <rPr>
        <sz val="12"/>
        <rFont val="Times New Roman"/>
        <family val="1"/>
      </rPr>
      <t xml:space="preserve">Hand rail </t>
    </r>
    <r>
      <rPr>
        <sz val="12"/>
        <rFont val="Preeti"/>
      </rPr>
      <t xml:space="preserve">/fvL h8fg ug]{ </t>
    </r>
  </si>
  <si>
    <r>
      <t>f)</t>
    </r>
    <r>
      <rPr>
        <sz val="12"/>
        <rFont val="Preeti"/>
      </rPr>
      <t xml:space="preserve">  P]=P]= t/ sf7sf] </t>
    </r>
    <r>
      <rPr>
        <sz val="12"/>
        <rFont val="Times New Roman"/>
        <family val="1"/>
      </rPr>
      <t xml:space="preserve">hand rail </t>
    </r>
    <r>
      <rPr>
        <sz val="12"/>
        <rFont val="Preeti"/>
      </rPr>
      <t xml:space="preserve">sf] ;§f </t>
    </r>
    <r>
      <rPr>
        <sz val="12"/>
        <rFont val="Times New Roman"/>
        <family val="1"/>
      </rPr>
      <t xml:space="preserve">Black Pipe 1½" </t>
    </r>
    <r>
      <rPr>
        <sz val="12"/>
        <rFont val="Preeti"/>
      </rPr>
      <t xml:space="preserve">sf] </t>
    </r>
    <r>
      <rPr>
        <sz val="12"/>
        <rFont val="Times New Roman"/>
        <family val="1"/>
      </rPr>
      <t>hand rail</t>
    </r>
    <r>
      <rPr>
        <sz val="12"/>
        <rFont val="Preeti"/>
      </rPr>
      <t xml:space="preserve"> /flv h8fg ug]{ sfd</t>
    </r>
  </si>
  <si>
    <r>
      <t>g)</t>
    </r>
    <r>
      <rPr>
        <sz val="12"/>
        <rFont val="Preeti"/>
      </rPr>
      <t xml:space="preserve"> !^–!* u]hsf] kmnfd] /f]lnË ;6/ agfO{ h8fg ug]{ </t>
    </r>
  </si>
  <si>
    <r>
      <t xml:space="preserve">h) </t>
    </r>
    <r>
      <rPr>
        <sz val="12"/>
        <rFont val="Preeti"/>
      </rPr>
      <t xml:space="preserve">kmnfd] /f]lnË ;6/ !^–!* u]h h8fg ;lxt :6«Lk ;6/ Kjfn ePsf] </t>
    </r>
  </si>
  <si>
    <t>Machine made  Brickwork in 1:4 C/S mortar up to ground floor.</t>
  </si>
  <si>
    <r>
      <t xml:space="preserve">kftfsf] 5fgf 5fpg] sfd k'/f . </t>
    </r>
    <r>
      <rPr>
        <sz val="14"/>
        <rFont val="Preeti"/>
      </rPr>
      <t>-)=$% dL=dL=afSnf] _</t>
    </r>
  </si>
  <si>
    <t>k'/fgf] dfj{n ˆnf]/ tyf leQfdf HofdLåf/f dfj{n ;tx cShflns Pl;8 xfnL</t>
  </si>
  <si>
    <t>3f]6\g], ;kmf ug]{ sfo{  .</t>
  </si>
  <si>
    <t xml:space="preserve">Machine made  Brickwork in 1:6 C/S mortar up to ground floor in perfect line level finish including wetting the bricks, racking the joints and curing the work for at least 7 days all complete. </t>
  </si>
  <si>
    <t>Machine made  Brickwork in 1:6 C/S mortar up to ground floor .</t>
  </si>
  <si>
    <t>d}g kfln;</t>
  </si>
  <si>
    <t>kln{+u tyf :6«6x?</t>
  </si>
  <si>
    <t>To; dfly ^ dL=dL= ;]tf] l;d]G6 dfj{n lrK; !M! efudf nufO{</t>
  </si>
  <si>
    <t>!!–%</t>
  </si>
  <si>
    <t>lgdf{0f ;fdu|L</t>
  </si>
  <si>
    <t xml:space="preserve">df6f]df hf]8]sf] uf/f] eTsfO{ To;af6 cfPsf] ;fdu|L !) dL=;Dd </t>
  </si>
  <si>
    <t>cf/=l;=l;= jf cf/=lj=l;= sfd eTsfO{ To;af6 cfPsf] ;fdu|L</t>
  </si>
  <si>
    <t>Kn]g l;d]G6 sqmL6 jf jh| s+qmL6 eTsfO{ To;af6 cfPsf] ;fdu|L</t>
  </si>
  <si>
    <t>b/ ljZn]if0fsf] nflu !) J.=dL= lnOPsf]</t>
  </si>
  <si>
    <t>glbsf] afn'jf</t>
  </si>
  <si>
    <t>d]=6</t>
  </si>
  <si>
    <t>3=dL</t>
  </si>
  <si>
    <t>j=dL</t>
  </si>
  <si>
    <t>sf ;fdfg</t>
  </si>
  <si>
    <t>sf ;/;fdfg</t>
  </si>
  <si>
    <t>b/ ljZn]if0fsf] nflu %(=#$ s]=hL= lnOPsf]</t>
  </si>
  <si>
    <t>kmnfd]</t>
  </si>
  <si>
    <t>;;fgf g6 jf]N6;</t>
  </si>
  <si>
    <t>k|fOd/ k]G6</t>
  </si>
  <si>
    <t>b/ ljZn]if0fsf] nflu !*=($ s]=hL= lnOPsf]</t>
  </si>
  <si>
    <t>;j} k|sf/sf]</t>
  </si>
  <si>
    <t>b/ ljZn]if0fsf] nflu @=!!$ j=ld= lnOPsf]</t>
  </si>
  <si>
    <t>!)) dL=dL= sAhf</t>
  </si>
  <si>
    <t>2 coat almunium paint without primer Painting over porperly cleaned surface all complete</t>
  </si>
  <si>
    <t>1 coat Red oxide paint without primer Painting over porperly sanded  surface all complete</t>
  </si>
  <si>
    <t>1 coat Red oxide paint without primer Painting over porperly sanded surface all complete</t>
  </si>
  <si>
    <t>2 coat Red oxide paint without primer Painting over porperly sanded surface all complete</t>
  </si>
  <si>
    <t>Plain cement Concrete (PCC) in 1:4:8 ratio  for foundations, flooring and walls with approved quality of cement and sand and crushed stone aggregate including mixing, laying, curing etc all complete in approval of site engineer.</t>
  </si>
  <si>
    <t>Plain cement Concrete (PCC) in 1:4:8 ratio  for foundations, flooring and walls.</t>
  </si>
  <si>
    <t>Plain cement Concrete (PCC) in 1:3:6 ratio  for foundations, flooring and walls with approved quality of cement and sand and crushed stone aggregate including mixing, laying, curing etc all complete in approval of site engineer.</t>
  </si>
  <si>
    <t>Plain cement Concrete (PCC) in 1:3:6 ratio  for foundations, flooring and walls.</t>
  </si>
  <si>
    <t>Under counter wash basin  with basin mixer  all complete set (European pattern)</t>
  </si>
  <si>
    <t xml:space="preserve"> 6.0 lit electric water heater (Geyser) </t>
  </si>
  <si>
    <t>8mm thick water proof plywood false ceiling with salwood frame</t>
  </si>
  <si>
    <t>White glaze Flat back urinal ,Natasha, all complete set (European pattern) "Cotto"</t>
  </si>
  <si>
    <t>European pattern touch flush for Urinal</t>
  </si>
  <si>
    <t>Construction of 12 cu.m Under ground water tank  tank  all complete work as per drawing and specification.</t>
  </si>
  <si>
    <t>Angle and fabrication work for water tank stand 2000.0 lit</t>
  </si>
  <si>
    <t xml:space="preserve"> Kitchen sink stainless steel 150 cm long  and instruction all complete. Except sink cock</t>
  </si>
  <si>
    <t xml:space="preserve">sfd k'/f !) dL6/;Dd 9'jfgL ;lxt </t>
  </si>
  <si>
    <t>afn'jf</t>
  </si>
  <si>
    <t>Ans :6f]g</t>
  </si>
  <si>
    <t>jG8 :6f]g</t>
  </si>
  <si>
    <t xml:space="preserve"> # dL= eGbf j9L ulx/fO{df .</t>
  </si>
  <si>
    <t xml:space="preserve">#* dL=dL= afSnf] cu|fv sf7sf] k|m]ddf </t>
  </si>
  <si>
    <t>!)–&amp;</t>
  </si>
  <si>
    <t>!%) dL=dL= 5]:sLgL</t>
  </si>
  <si>
    <t>b/ ljZn]if0fsf] nflu ?v ;+Vof ! lnOPsf]</t>
  </si>
  <si>
    <t>-Ps sf]6 k|fOd/ ;lxt_</t>
  </si>
  <si>
    <t xml:space="preserve">!% dL6/ b"/L;Dd af]sfgL ug]{ </t>
  </si>
  <si>
    <t>b/ ljZn]if0fsf] nflu !*=($ s]=hL== lnOPsf]</t>
  </si>
  <si>
    <t xml:space="preserve">;j} k|sf/sf] </t>
  </si>
  <si>
    <t>kmnfd] PËn</t>
  </si>
  <si>
    <t>b/ k|lt s]=hL= sf]</t>
  </si>
  <si>
    <t>Formica Lamination on hard board or partition</t>
  </si>
  <si>
    <t>Making and fitting fixing Plywood Panel partition of 75 x 75 mm size sal wood frame with 12 mm thick commercial ply on midle and 4mm thick teak ply lamination on one side including all necessary hardware fitting all complete.</t>
  </si>
  <si>
    <t>Plywood panelled partition with 12mm.commercial plywood and one side  teak ply lamination</t>
  </si>
  <si>
    <t>BASF Waterproofing protection tretment  and sealing of building expansion joint /construction joint with hiugh  performance flexible tape Masterflex-3000: for all types of wide expantion joint  specially for irregular building expantion/ construction join</t>
  </si>
  <si>
    <t>Porcelain clay white glazed European pattern american standard Comode with 10 lts. low level cistern.</t>
  </si>
  <si>
    <t xml:space="preserve">Porcelain clay white galzed European pattern american standard  one piece Comode (Cotto or eq.) with  slow falling seat cover </t>
  </si>
  <si>
    <t>Porcelain clay white glazed European pattern american standard one piece Comode with slow falling seat cover.</t>
  </si>
  <si>
    <t>White glazed  oval wash basin 55X40cm with brackets 32mm bottle trap, 32mm CP waste coupling with CP chain and rubber plug, 15mm fancy type piller cock and  ½"x18" pipe connector etc  all complete.</t>
  </si>
  <si>
    <t xml:space="preserve">Rubble masonry work in inclined level in 1:4 C/S mortar in perfect line level finish including, racking the joints and curing the work for at least 7 days all complete. </t>
  </si>
  <si>
    <t>Rubble masonry work in inclined level in 1:4 C/S mortar.</t>
  </si>
  <si>
    <r>
      <t>50mm PVC pipe of 4 kg/cm</t>
    </r>
    <r>
      <rPr>
        <vertAlign val="superscript"/>
        <sz val="10"/>
        <rFont val="Arial"/>
        <family val="2"/>
      </rPr>
      <t>2</t>
    </r>
  </si>
  <si>
    <r>
      <t>75mm PVC pipe of 4 kg/cm</t>
    </r>
    <r>
      <rPr>
        <vertAlign val="superscript"/>
        <sz val="10"/>
        <rFont val="Arial"/>
        <family val="2"/>
      </rPr>
      <t>2</t>
    </r>
  </si>
  <si>
    <r>
      <t>110mm PVC pipe of 4 kg/cm</t>
    </r>
    <r>
      <rPr>
        <vertAlign val="superscript"/>
        <sz val="10"/>
        <rFont val="Arial"/>
        <family val="2"/>
      </rPr>
      <t>2</t>
    </r>
  </si>
  <si>
    <r>
      <t>4 kg/cm</t>
    </r>
    <r>
      <rPr>
        <vertAlign val="superscript"/>
        <sz val="10"/>
        <rFont val="Arial"/>
        <family val="2"/>
      </rPr>
      <t xml:space="preserve">2 </t>
    </r>
    <r>
      <rPr>
        <sz val="10"/>
        <rFont val="Arial"/>
        <family val="2"/>
      </rPr>
      <t>(110 mm) HDP pipe.</t>
    </r>
  </si>
  <si>
    <r>
      <t>4 kg/cm</t>
    </r>
    <r>
      <rPr>
        <vertAlign val="superscript"/>
        <sz val="10"/>
        <rFont val="Arial"/>
        <family val="2"/>
      </rPr>
      <t xml:space="preserve">2 </t>
    </r>
    <r>
      <rPr>
        <sz val="10"/>
        <rFont val="Arial"/>
        <family val="2"/>
      </rPr>
      <t>(125 mm) HDP pipe.</t>
    </r>
  </si>
  <si>
    <r>
      <t>4 kg/cm</t>
    </r>
    <r>
      <rPr>
        <vertAlign val="superscript"/>
        <sz val="10"/>
        <rFont val="Arial"/>
        <family val="2"/>
      </rPr>
      <t xml:space="preserve">2 </t>
    </r>
    <r>
      <rPr>
        <sz val="10"/>
        <rFont val="Arial"/>
        <family val="2"/>
      </rPr>
      <t>(140 mm) HDP pipe.</t>
    </r>
  </si>
  <si>
    <r>
      <t>4 kg/cm</t>
    </r>
    <r>
      <rPr>
        <vertAlign val="superscript"/>
        <sz val="10"/>
        <rFont val="Arial"/>
        <family val="2"/>
      </rPr>
      <t xml:space="preserve">2 </t>
    </r>
    <r>
      <rPr>
        <sz val="10"/>
        <rFont val="Arial"/>
        <family val="2"/>
      </rPr>
      <t>(150 mm) HDP pipe.</t>
    </r>
  </si>
  <si>
    <r>
      <t>4 kg/cm</t>
    </r>
    <r>
      <rPr>
        <vertAlign val="superscript"/>
        <sz val="10"/>
        <rFont val="Arial"/>
        <family val="2"/>
      </rPr>
      <t xml:space="preserve">2 </t>
    </r>
    <r>
      <rPr>
        <sz val="10"/>
        <rFont val="Arial"/>
        <family val="2"/>
      </rPr>
      <t>(180 mm) HDP pipe.</t>
    </r>
  </si>
  <si>
    <r>
      <t>4 kg/cm</t>
    </r>
    <r>
      <rPr>
        <vertAlign val="superscript"/>
        <sz val="10"/>
        <rFont val="Arial"/>
        <family val="2"/>
      </rPr>
      <t xml:space="preserve">2 </t>
    </r>
    <r>
      <rPr>
        <sz val="10"/>
        <rFont val="Arial"/>
        <family val="2"/>
      </rPr>
      <t>(200 mm) HDP pipe.</t>
    </r>
  </si>
  <si>
    <t>32 mm dia CPVC Pipe  SDR 13.5 CTS, 22.5 kg/cm2 includes fixing/laying with necessary fittings  all complete.</t>
  </si>
  <si>
    <t>40 mm dia CPVC Pipe  SDR 13.5 CTS, 22.5 kg/cm2 includes fixing/laying with necessary fittings  all complete.</t>
  </si>
  <si>
    <t>40 mm dia CPVC Pipe  SDR 13.5 CTS, includes fixing/laying with necessary fittings  all complete.</t>
  </si>
  <si>
    <t>50 mm dia CPVC Pipe  SDR 13.5 CTS, 22.5 kg/cm2 includes fixing/laying with necessary fittings  all complete.</t>
  </si>
  <si>
    <t>0.45mm colour CGI sheet roofing with proper shape &amp; size, all necessary nails, screws, bolts, nuts washers, J or L hooks etc as per drawing &amp; instruction all complete.</t>
  </si>
  <si>
    <t>0.45 mm colour CGI sheet roofing.</t>
  </si>
  <si>
    <t>0.50mm colour CGI sheet roofing including fixing in proper shape &amp; size with all necessary rails, screws, bolts &amp; nuts washers, J &amp; L hocks etc as per drawing &amp; instruction all complete.</t>
  </si>
  <si>
    <t>0.50mm colour CGI sheet roofing.</t>
  </si>
  <si>
    <t>r.m.</t>
  </si>
  <si>
    <t>Slate roofing work .</t>
  </si>
  <si>
    <t>Machine made clay tiles on roofing including fixing in proper shape &amp; size as per drawing &amp; instruction all complete.</t>
  </si>
  <si>
    <t>Machine made clay tiles on roofing .</t>
  </si>
  <si>
    <t>Clay tile ridge roofing work .</t>
  </si>
  <si>
    <t>Fixing /laying 250 mm dia Plastic Water Gutter pipe ( Half Round)  with necessary fittings  all complete.</t>
  </si>
  <si>
    <t xml:space="preserve">250 mm dia Plastic Water Gutter pipe ( Half Round)  with necessary fittings. </t>
  </si>
  <si>
    <t>50 mm mm dia UPVC  plain Tee.</t>
  </si>
  <si>
    <t xml:space="preserve">  50 mm mm dia UPVC  plain Tee.</t>
  </si>
  <si>
    <t xml:space="preserve">50 mm mm dia UPVC 90 degree bend </t>
  </si>
  <si>
    <t xml:space="preserve"> 50 mm mm dia UPVC 90 degree bend </t>
  </si>
  <si>
    <t>50 mm mm dia UPVC 45 degree bend.</t>
  </si>
  <si>
    <t xml:space="preserve">75 mm dia UPVC vent  cowl </t>
  </si>
  <si>
    <t>75 mm dia UPVC  plain Tee.</t>
  </si>
  <si>
    <t>75 mm dia UPVC  door tee.</t>
  </si>
  <si>
    <t>75 mm dia UPVC  90 degree  bend.</t>
  </si>
  <si>
    <t xml:space="preserve">75 mm dia UPVC door  bend. </t>
  </si>
  <si>
    <t>75 mm dia UPVC 45 degree bend.</t>
  </si>
  <si>
    <t xml:space="preserve">75 mm dia UPVC Y branch.  </t>
  </si>
  <si>
    <t>0.50mm colour GI plain sheet for ridge cover on roofing including fixing in proper shape &amp; size with all necessary rails, screws, bolts &amp; nuts washers, J &amp; L hocks etc as per drawing &amp; instruction all complete.</t>
  </si>
  <si>
    <r>
      <t xml:space="preserve">cfNd'lgod lkmS; e]G6Ln];g ;lxtsf] s};d]G6 em\ofn -#&amp; </t>
    </r>
    <r>
      <rPr>
        <sz val="12"/>
        <rFont val="Arial"/>
        <family val="2"/>
      </rPr>
      <t xml:space="preserve">x </t>
    </r>
    <r>
      <rPr>
        <sz val="12"/>
        <rFont val="Preeti"/>
      </rPr>
      <t>#*=%)</t>
    </r>
    <r>
      <rPr>
        <sz val="12"/>
        <rFont val="Arial"/>
        <family val="2"/>
      </rPr>
      <t>X</t>
    </r>
    <r>
      <rPr>
        <sz val="12"/>
        <rFont val="Preeti"/>
      </rPr>
      <t xml:space="preserve">!=&amp;) dL=dL=_ </t>
    </r>
  </si>
  <si>
    <t xml:space="preserve">   M kfO{k M !% k6s;Dd k|of]u ug{ ;lsg] To;kl5 @%Ü d"No afFsL /xg] lx;fan] ul/Psf] </t>
  </si>
  <si>
    <t>88/15x0.75 =4.4</t>
  </si>
  <si>
    <t>kmnfd] af]N6</t>
  </si>
  <si>
    <t>Construction of pump house as per drawing and specification</t>
  </si>
  <si>
    <t>Angle and fabrication work for water tank stand</t>
  </si>
  <si>
    <t>Construction of Manhole, Inner side 450x450mm,height 450mm ,  Wall thick thickness 230mm with brick work with 1:6 cement sand mortar, inner side plaster ,base 1:2:4 Pcc , Brick soling all complete work as per drawing and specification.</t>
  </si>
  <si>
    <t xml:space="preserve"> white glazed  Under counter wash basin 55X40mm with g, and  ½"x18" pipe connector etc  all complete.</t>
  </si>
  <si>
    <t xml:space="preserve"> white glazed  Under counter wash basin 55X40mm</t>
  </si>
  <si>
    <t>15mm dia. 6.0mm thickness section Insulation</t>
  </si>
  <si>
    <t>20mm dia. 6.0mm thickness section Insulation</t>
  </si>
  <si>
    <t>25mm dia. 6.0mm thickness section Insulation</t>
  </si>
  <si>
    <t>32mm dia. 6.0mm thickness section Insulation</t>
  </si>
  <si>
    <t>White glazed Oval wash basin 55X40cm European pattern (american Standard) with mixer and semi pedestal all complete set.</t>
  </si>
  <si>
    <t>First color glazed wash basin 55X40 cm  size Indian pattern  with brackets 32mm bottle trap, 32mm CP waste coupling with CP chain and rubber plug, cascade type with pedestal and 15mm fancy type piller cock and ½"x18" pipe connector etc  all complete.</t>
  </si>
  <si>
    <t>First color glazed wash basin 55X40 cm  size Indian pattern, cascade type with pedestal etc  all complete.</t>
  </si>
  <si>
    <t>One layer Tarfelt laying over evenly spread roofing grade bitumen with river sand on cleaned surface.</t>
  </si>
  <si>
    <t>Two layer Tarfelt laying over evenly spread roofing grade bitumen with river sand on cleaned surface.</t>
  </si>
  <si>
    <t>cf=j= )^^÷^&amp;</t>
  </si>
  <si>
    <t>sf&amp;df*f} tyf eStk'/ lhNnfsf] cf=j=2066.067 sf] b//]^</t>
  </si>
  <si>
    <t>b) U Hook for bar bed Wire Fencing</t>
  </si>
  <si>
    <r>
      <t>c) 28</t>
    </r>
    <r>
      <rPr>
        <sz val="14"/>
        <rFont val="Preeti"/>
      </rPr>
      <t xml:space="preserve"> u]h</t>
    </r>
    <r>
      <rPr>
        <sz val="14"/>
        <rFont val="Times New Roman"/>
        <family val="1"/>
      </rPr>
      <t xml:space="preserve"> </t>
    </r>
    <r>
      <rPr>
        <sz val="12"/>
        <rFont val="Times New Roman"/>
        <family val="1"/>
      </rPr>
      <t>Heavy (.30 mm)</t>
    </r>
    <r>
      <rPr>
        <sz val="14"/>
        <rFont val="Times New Roman"/>
        <family val="1"/>
      </rPr>
      <t xml:space="preserve"> </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</si>
  <si>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(0.38 mm)</t>
    </r>
  </si>
  <si>
    <t>w) Generator*    (Upto 10 KVA)</t>
  </si>
  <si>
    <t>jj) Water Pump   (Upto 4" DIA)</t>
  </si>
  <si>
    <t>zz) Trailer, Tractor   (10+ to 25 ton)</t>
  </si>
  <si>
    <t>aaa) Trailer, Tractor   (25 ton+)</t>
  </si>
  <si>
    <t>-3_ ef/taf6 pTkflbt l;d]G6 -;a}_</t>
  </si>
  <si>
    <t xml:space="preserve">-ª_ ;]tf] l;d]G6 </t>
  </si>
  <si>
    <t xml:space="preserve">kmnfdsf] 808Lx? M </t>
  </si>
  <si>
    <t xml:space="preserve"> a) 4.75, 7 mm dia</t>
  </si>
  <si>
    <t xml:space="preserve"> b) 8 mm dia</t>
  </si>
  <si>
    <t xml:space="preserve"> c) 10,12,16,20, 25mm dia </t>
  </si>
  <si>
    <t xml:space="preserve"> d) 28,32 mm dia </t>
  </si>
  <si>
    <t xml:space="preserve"> b) 10-25mm TOR steel</t>
  </si>
  <si>
    <t xml:space="preserve"> c) 28-32mm  TOR steel</t>
  </si>
  <si>
    <t>ee) Loader, Wheel   (1 to 1.75 CUM)</t>
  </si>
  <si>
    <t>ff) Loader, Wheel   (!.75+ to 2.5 C)</t>
  </si>
  <si>
    <t>gg) Back Hoe Loader   (Upto 85 HP)</t>
  </si>
  <si>
    <t>hh) Mizer Concrete</t>
  </si>
  <si>
    <t>ii) Maintainer   (Upto 75 HP)</t>
  </si>
  <si>
    <t>kk) Pile Driver*</t>
  </si>
  <si>
    <t>ll) Roller 3, Wheel   (Upto 12 ton)</t>
  </si>
  <si>
    <t>mm) Roller, Pneumatic   (Upto 20 ton)</t>
  </si>
  <si>
    <t>White glazed Cval wash basin 55X40cm  size European pattern american standard with brackets 32mm bottle trap, 32mm CP waste coupling with CP chain and rubber plug, Basin mixer (jaquar, essco or eqv.) semi pedestal and  ½"x18" pipe connector etc  all complete.</t>
  </si>
  <si>
    <r>
      <t>Fixing /laying 400 mm dia NP</t>
    </r>
    <r>
      <rPr>
        <vertAlign val="superscript"/>
        <sz val="10"/>
        <rFont val="Arial"/>
        <family val="2"/>
      </rPr>
      <t xml:space="preserve">2 </t>
    </r>
    <r>
      <rPr>
        <sz val="10"/>
        <rFont val="Arial"/>
        <family val="2"/>
      </rPr>
      <t>RCC Hume pipe with collar including 1:4 cement sand mortar all complete.</t>
    </r>
  </si>
  <si>
    <t>Supplying and installation of UPVC Partition frame 60x60 mm with 5 mm thick clear glass or with 9 mm thick both side laminated particle board all complete with all accessorie as per specification of Korean Standard.</t>
  </si>
  <si>
    <t>Full glass partition</t>
  </si>
  <si>
    <t>Full partition with half glass and laminated particle board</t>
  </si>
  <si>
    <t>Full ht. partition with top and bottom laminated particle board and centre with glass</t>
  </si>
  <si>
    <t xml:space="preserve">Full ht. partition with top and bottom laminated particle board </t>
  </si>
  <si>
    <t>UPVC Casement Window 60*60 mm White Colour With 5mm Glass</t>
  </si>
  <si>
    <t>cfjZos g6 jf]N6</t>
  </si>
  <si>
    <t>@% dL=dL=–#&amp;=% dL=dL= afSnf] 5fKg] 9'+uf -ˆn}u:6f]g_ !M$ l;d]G6 afn'jfdf 5fKg] sfd .</t>
  </si>
  <si>
    <t xml:space="preserve">HofdL </t>
  </si>
  <si>
    <t># dL=dL= df]6fO{ d;Lgf] l;d]G6 3f]6\g] sfd .</t>
  </si>
  <si>
    <t>!!–@!</t>
  </si>
  <si>
    <t>@% dL=dL= afSnf] cu|fvsf] sf7sf] ˆn]s 5fKg] sfd .</t>
  </si>
  <si>
    <t>lsnf sf+6L</t>
  </si>
  <si>
    <t xml:space="preserve">!@–#) ;]=dL= uf]nfO{sf] ?v 9fNg] sfo{ xfFufx? sf6L ?vsf] 6'qmf kf/L lgdf{0f :ynaf6 </t>
  </si>
  <si>
    <t xml:space="preserve">!@–#) ;]=dL= uf]nfO{sf] ?v h/f lemSg] sfo{ h/f p7fpg] / lgdf{0f :ynaf6 </t>
  </si>
  <si>
    <t>kDk</t>
  </si>
  <si>
    <t xml:space="preserve"> nufpg] sfd #) dL6/;Dd 9'jfgL ;lxt</t>
  </si>
  <si>
    <t>l;d]G6 d;nf -!M$_ tof/ u/L uf/f] nufpg]</t>
  </si>
  <si>
    <t xml:space="preserve">sfd #) dL6/;Dd 9'jfgL ;lxt </t>
  </si>
  <si>
    <t>Full glass casement door</t>
  </si>
  <si>
    <t>Casement door with half glass &amp; laminated board</t>
  </si>
  <si>
    <t>Full panel casement door</t>
  </si>
  <si>
    <t>Full board casement door</t>
  </si>
  <si>
    <t>Double swing casement door with half glass &amp; panel</t>
  </si>
  <si>
    <t xml:space="preserve">Double swing casement door with full glass </t>
  </si>
  <si>
    <t>e'O{tNnfeGbf dfly d]lzgåf/f agfOPsf] O{6f pknAw ug]{,</t>
  </si>
  <si>
    <t>g) Air compressor 150 to 275 CPM</t>
  </si>
  <si>
    <t>h) Crane Mobile  5 to 10 ton</t>
  </si>
  <si>
    <t>i) Crane Mobile   (10+ to 15 ton)</t>
  </si>
  <si>
    <t>j) Crusher Stone   (50 to 100HP)</t>
  </si>
  <si>
    <t>k) Cutter Concrete</t>
  </si>
  <si>
    <t>l) Dozer Wheel    (150+ to 225 HP)</t>
  </si>
  <si>
    <t>m) Dozer, Track   (120 to 180 HP)</t>
  </si>
  <si>
    <t>b/ ljZn]if0fsf] nflu ! 3=ld= lnOPsf]</t>
  </si>
  <si>
    <t>3=dL=</t>
  </si>
  <si>
    <t xml:space="preserve">s_ ^ dL= dL= ;fOhsf] 9'Ëf sf] /f]8f </t>
  </si>
  <si>
    <t>3=lkm</t>
  </si>
  <si>
    <t>v_ !@ dL=dL  ,,   ,,</t>
  </si>
  <si>
    <t xml:space="preserve">u_ #–$ dL= dL= ,,   ,, </t>
  </si>
  <si>
    <t>3_ ;a} ;fOhsf] lu§L</t>
  </si>
  <si>
    <t xml:space="preserve">lkmN6/ ;fdfu|L </t>
  </si>
  <si>
    <t>/ P]gf</t>
  </si>
  <si>
    <t>Psftkm{ $ dL=dL= l6sKnfO{p8 n]ldg]6 u/L jf6/k|'km KnfO{p8sf] l8nfvfkf agfO{ h8fg ug]{ .</t>
  </si>
  <si>
    <t>8 dL=dL=jf^/k|'km KnfO{p*</t>
  </si>
  <si>
    <r>
      <t xml:space="preserve">b/ ljZn]if0fsf] nflu !=)(@ </t>
    </r>
    <r>
      <rPr>
        <sz val="8"/>
        <rFont val="Arial"/>
        <family val="2"/>
      </rPr>
      <t>X</t>
    </r>
    <r>
      <rPr>
        <sz val="11"/>
        <rFont val="Preeti"/>
      </rPr>
      <t xml:space="preserve"> @=)%* Ö @=@$% j=ld= lnOPsf]</t>
    </r>
  </si>
  <si>
    <r>
      <t xml:space="preserve">Expansion Joint Works: -                         </t>
    </r>
    <r>
      <rPr>
        <sz val="12"/>
        <rFont val="Times New Roman"/>
        <family val="1"/>
      </rPr>
      <t xml:space="preserve"> </t>
    </r>
    <r>
      <rPr>
        <sz val="8"/>
        <rFont val="Times New Roman"/>
        <family val="1"/>
      </rPr>
      <t xml:space="preserve">Providing and chipping and plaster with mixing  </t>
    </r>
    <r>
      <rPr>
        <b/>
        <sz val="8"/>
        <rFont val="Times New Roman"/>
        <family val="1"/>
      </rPr>
      <t>Perma Bond SBR</t>
    </r>
    <r>
      <rPr>
        <sz val="8"/>
        <rFont val="Times New Roman"/>
        <family val="1"/>
      </rPr>
      <t xml:space="preserve"> modified mortar up to 40 mm wide on levelling all complete. Providing and laying thermacol in the hole, Providing masking tape on thermacol  a</t>
    </r>
  </si>
  <si>
    <r>
      <t>Epoxy Coving</t>
    </r>
    <r>
      <rPr>
        <sz val="12"/>
        <rFont val="Times New Roman"/>
        <family val="1"/>
      </rPr>
      <t xml:space="preserve"> </t>
    </r>
  </si>
  <si>
    <t>Plain plaster of paris in wall and ceiling including mixing laying and rubbing to a hard, smooth and shining surface all complete</t>
  </si>
  <si>
    <t>Plain plaster of paris in wall and ceiling</t>
  </si>
  <si>
    <t>25mm thick sal wood planking work with salwood frame (size 50x75mm)  making 60x90cm room size  all complete.</t>
  </si>
  <si>
    <t xml:space="preserve">0f_ r'gf k]G6 ug{ /fVg] ud </t>
  </si>
  <si>
    <t>t_ g]kfnL lyg/</t>
  </si>
  <si>
    <t>-y_ l;d]G6 k|fOd/ ;]tf]</t>
  </si>
  <si>
    <t>-b_ tf/lkg t]n</t>
  </si>
  <si>
    <t>-g_ p8 lk|h/ d]l6Ë k]G6</t>
  </si>
  <si>
    <t xml:space="preserve"> Æ </t>
  </si>
  <si>
    <t>-km_ /fd ltns</t>
  </si>
  <si>
    <r>
      <t>CGI</t>
    </r>
    <r>
      <rPr>
        <sz val="13"/>
        <rFont val="Preeti"/>
      </rPr>
      <t xml:space="preserve"> </t>
    </r>
    <r>
      <rPr>
        <sz val="10"/>
        <rFont val="Preeti"/>
      </rPr>
      <t xml:space="preserve">kftf @^ u]h </t>
    </r>
    <r>
      <rPr>
        <sz val="8"/>
        <rFont val="Arial"/>
        <family val="2"/>
      </rPr>
      <t>(0.41mm)</t>
    </r>
  </si>
  <si>
    <t>4mm 0.25 black core</t>
  </si>
  <si>
    <t>Aluminium composit panel 4mm 0.30 black core sheet supplying and fitting all complete work.</t>
  </si>
  <si>
    <t>4mm 0.30 black core</t>
  </si>
  <si>
    <t>Aluminium composit panel 4mm 0.50 black core sheet supplying and fitting all complete work.</t>
  </si>
  <si>
    <t>4mm 0.50 black core</t>
  </si>
  <si>
    <t>Aluminium composit panel 4mm.0.25 Vergin core sheet supplying and fitting all complete work.</t>
  </si>
  <si>
    <t>Aluminium composit panel 4mm.0.30 Vergin core sheet supplying and fitting all complete work.</t>
  </si>
  <si>
    <t>Aluminium composit panel 4mm.0.50 Vergin core sheet supplying and fitting all complete work.</t>
  </si>
  <si>
    <t xml:space="preserve">UPVC Casement Window 60*60 mm Frame White Colour With 5mm Glass With Adjustable Glass Panel Luever </t>
  </si>
  <si>
    <t>UPVC Sliding Window With 50*80 mm White Colour With Aluminium Sliding Track And 5mm Glass With Adjustable Glass Panel Luever</t>
  </si>
  <si>
    <t>UPVC Door 100mm*60mm White Colour With Top Glass 5mm And Bottom UPVC Panel</t>
  </si>
  <si>
    <t>UPVC Door 100mm*60mm White Colour With Top Glass 5mm Glass And Bottom 9mm Nepal Board</t>
  </si>
  <si>
    <t>UPVC Door 100mm*60mm White Colour With Top And Bottom UPVC Panel</t>
  </si>
  <si>
    <t>UPVC 60*60 mm Partition With Half Board 9mm And Other Half 5mm Glass</t>
  </si>
  <si>
    <t>UPVC 100mm*60mm Swing Door With Top 5mm Glass And Bottom UPVC Panel</t>
  </si>
  <si>
    <t>Aerocon/Rapicon prefab Panel for Partition wall</t>
  </si>
  <si>
    <t>a) supply and erection with aerocon p5 wall partition.</t>
  </si>
  <si>
    <t>b)supply and erection with aerocon p5 wall partition</t>
  </si>
  <si>
    <r>
      <t>iii)</t>
    </r>
    <r>
      <rPr>
        <sz val="14"/>
        <rFont val="Preeti"/>
      </rPr>
      <t xml:space="preserve"> sfnf]kq]df lj6'dLg sd k|of]u ug{sf] nfuL /flvg] </t>
    </r>
    <r>
      <rPr>
        <sz val="12"/>
        <rFont val="Times New Roman"/>
        <family val="1"/>
      </rPr>
      <t>Rubber Asphalt Modifier</t>
    </r>
  </si>
  <si>
    <r>
      <t>iv) Packed bitumen emulsion</t>
    </r>
    <r>
      <rPr>
        <sz val="12"/>
        <rFont val="Preeti"/>
      </rPr>
      <t xml:space="preserve"> </t>
    </r>
    <r>
      <rPr>
        <sz val="14"/>
        <rFont val="Preeti"/>
      </rPr>
      <t>sf] sfd</t>
    </r>
  </si>
  <si>
    <r>
      <t>l56f] hDg]</t>
    </r>
    <r>
      <rPr>
        <sz val="12"/>
        <rFont val="Times New Roman"/>
        <family val="1"/>
      </rPr>
      <t xml:space="preserve"> (RS60%)</t>
    </r>
  </si>
  <si>
    <r>
      <t xml:space="preserve">  </t>
    </r>
    <r>
      <rPr>
        <sz val="14"/>
        <rFont val="Preeti"/>
      </rPr>
      <t>dWod hDg]</t>
    </r>
    <r>
      <rPr>
        <sz val="12"/>
        <rFont val="Times New Roman"/>
        <family val="1"/>
      </rPr>
      <t xml:space="preserve"> (MS 65%)</t>
    </r>
  </si>
  <si>
    <r>
      <t xml:space="preserve">  </t>
    </r>
    <r>
      <rPr>
        <sz val="14"/>
        <rFont val="Preeti"/>
      </rPr>
      <t>9Lnf] hDg]</t>
    </r>
    <r>
      <rPr>
        <sz val="12"/>
        <rFont val="Times New Roman"/>
        <family val="1"/>
      </rPr>
      <t xml:space="preserve"> (SS60%)</t>
    </r>
  </si>
  <si>
    <r>
      <t>xiv)</t>
    </r>
    <r>
      <rPr>
        <sz val="14"/>
        <rFont val="Times New Roman"/>
        <family val="1"/>
      </rPr>
      <t xml:space="preserve"> </t>
    </r>
    <r>
      <rPr>
        <sz val="12"/>
        <rFont val="Preeti"/>
      </rPr>
      <t>$Æ</t>
    </r>
    <r>
      <rPr>
        <sz val="12"/>
        <rFont val="Times New Roman"/>
        <family val="1"/>
      </rPr>
      <t>x</t>
    </r>
    <r>
      <rPr>
        <sz val="12"/>
        <rFont val="Preeti"/>
      </rPr>
      <t xml:space="preserve"> %Æsf] ;fn sf7sf] gfu a'§f sF'lb tof/L u/L h8fg ug]{ sfo{</t>
    </r>
  </si>
  <si>
    <r>
      <t>!_ blr ckf 7"nf] *Æ</t>
    </r>
    <r>
      <rPr>
        <sz val="14"/>
        <rFont val="Times New Roman"/>
        <family val="1"/>
      </rPr>
      <t>×</t>
    </r>
    <r>
      <rPr>
        <sz val="14"/>
        <rFont val="Preeti"/>
      </rPr>
      <t>@–#÷*Æ</t>
    </r>
    <r>
      <rPr>
        <sz val="14"/>
        <rFont val="Times New Roman"/>
        <family val="1"/>
      </rPr>
      <t>×</t>
    </r>
    <r>
      <rPr>
        <sz val="14"/>
        <rFont val="Preeti"/>
      </rPr>
      <t>%Æ</t>
    </r>
  </si>
  <si>
    <r>
      <t>@_ blr ckf ;fgf] *#÷*Æ</t>
    </r>
    <r>
      <rPr>
        <sz val="14"/>
        <rFont val="Times New Roman"/>
        <family val="1"/>
      </rPr>
      <t>×</t>
    </r>
    <r>
      <rPr>
        <sz val="14"/>
        <rFont val="Preeti"/>
      </rPr>
      <t>@–!÷*Æ</t>
    </r>
    <r>
      <rPr>
        <sz val="14"/>
        <rFont val="Times New Roman"/>
        <family val="1"/>
      </rPr>
      <t>×</t>
    </r>
    <r>
      <rPr>
        <sz val="14"/>
        <rFont val="Preeti"/>
      </rPr>
      <t>$–!÷$Æ</t>
    </r>
  </si>
  <si>
    <r>
      <t>%_ dfF ckf 7'nf] *–&amp;÷*Æ</t>
    </r>
    <r>
      <rPr>
        <sz val="14"/>
        <rFont val="Times New Roman"/>
        <family val="1"/>
      </rPr>
      <t>×</t>
    </r>
    <r>
      <rPr>
        <sz val="14"/>
        <rFont val="Preeti"/>
      </rPr>
      <t>@–!÷$Æ</t>
    </r>
    <r>
      <rPr>
        <sz val="14"/>
        <rFont val="Times New Roman"/>
        <family val="1"/>
      </rPr>
      <t>×</t>
    </r>
    <r>
      <rPr>
        <sz val="14"/>
        <rFont val="Preeti"/>
      </rPr>
      <t>%–#÷$Æ</t>
    </r>
  </si>
  <si>
    <r>
      <t xml:space="preserve">^_ dfF ckf 7'nf] </t>
    </r>
    <r>
      <rPr>
        <sz val="12"/>
        <rFont val="Times New Roman"/>
        <family val="1"/>
      </rPr>
      <t>241x60x158 mm</t>
    </r>
  </si>
  <si>
    <r>
      <t>&amp;_ df ckf ;fgf] *–#÷*Æ</t>
    </r>
    <r>
      <rPr>
        <sz val="14"/>
        <rFont val="Times New Roman"/>
        <family val="1"/>
      </rPr>
      <t>×</t>
    </r>
    <r>
      <rPr>
        <sz val="14"/>
        <rFont val="Preeti"/>
      </rPr>
      <t>@Æ</t>
    </r>
    <r>
      <rPr>
        <sz val="14"/>
        <rFont val="Times New Roman"/>
        <family val="1"/>
      </rPr>
      <t>×</t>
    </r>
    <r>
      <rPr>
        <sz val="14"/>
        <rFont val="Preeti"/>
      </rPr>
      <t>%Æ</t>
    </r>
  </si>
  <si>
    <r>
      <t>*_ w'/L rfË 7"nf] (–#÷*Æ%–!÷@Æ</t>
    </r>
    <r>
      <rPr>
        <sz val="14"/>
        <rFont val="Times New Roman"/>
        <family val="1"/>
      </rPr>
      <t>×</t>
    </r>
    <r>
      <rPr>
        <sz val="14"/>
        <rFont val="Preeti"/>
      </rPr>
      <t>#÷$</t>
    </r>
  </si>
  <si>
    <r>
      <t xml:space="preserve">(_ w'/L </t>
    </r>
    <r>
      <rPr>
        <sz val="12"/>
        <rFont val="Times New Roman"/>
        <family val="1"/>
      </rPr>
      <t>230x295x25 mm</t>
    </r>
  </si>
  <si>
    <r>
      <t>s_ !*Æ</t>
    </r>
    <r>
      <rPr>
        <sz val="14"/>
        <rFont val="Times New Roman"/>
        <family val="1"/>
      </rPr>
      <t>×</t>
    </r>
    <r>
      <rPr>
        <sz val="14"/>
        <rFont val="Preeti"/>
      </rPr>
      <t>!)Æ</t>
    </r>
    <r>
      <rPr>
        <sz val="14"/>
        <rFont val="Times New Roman"/>
        <family val="1"/>
      </rPr>
      <t>×</t>
    </r>
    <r>
      <rPr>
        <sz val="14"/>
        <rFont val="Preeti"/>
      </rPr>
      <t>%Æ</t>
    </r>
  </si>
  <si>
    <r>
      <t>Vf_  !*Æ</t>
    </r>
    <r>
      <rPr>
        <sz val="14"/>
        <rFont val="Times New Roman"/>
        <family val="1"/>
      </rPr>
      <t>×</t>
    </r>
    <r>
      <rPr>
        <sz val="14"/>
        <rFont val="Preeti"/>
      </rPr>
      <t>!)Æ</t>
    </r>
    <r>
      <rPr>
        <sz val="14"/>
        <rFont val="Times New Roman"/>
        <family val="1"/>
      </rPr>
      <t>×</t>
    </r>
    <r>
      <rPr>
        <sz val="14"/>
        <rFont val="Preeti"/>
      </rPr>
      <t>$Æ</t>
    </r>
  </si>
  <si>
    <r>
      <t xml:space="preserve"> !(_ Nxf]x ckf !%Æ</t>
    </r>
    <r>
      <rPr>
        <sz val="14"/>
        <rFont val="Times New Roman"/>
        <family val="1"/>
      </rPr>
      <t>×</t>
    </r>
    <r>
      <rPr>
        <sz val="14"/>
        <rFont val="Preeti"/>
      </rPr>
      <t>(Æ</t>
    </r>
    <r>
      <rPr>
        <sz val="14"/>
        <rFont val="Times New Roman"/>
        <family val="1"/>
      </rPr>
      <t>×</t>
    </r>
    <r>
      <rPr>
        <sz val="14"/>
        <rFont val="Preeti"/>
      </rPr>
      <t>#Æ</t>
    </r>
  </si>
  <si>
    <r>
      <t xml:space="preserve"> @)_ kmMNxf]x ckf 7'nf] </t>
    </r>
    <r>
      <rPr>
        <sz val="11"/>
        <rFont val="Times New Roman"/>
        <family val="1"/>
      </rPr>
      <t>375x225x100mm</t>
    </r>
  </si>
  <si>
    <r>
      <t xml:space="preserve"> @!_ kmMNxf]x ckf ;fgf] </t>
    </r>
    <r>
      <rPr>
        <sz val="11"/>
        <rFont val="Times New Roman"/>
        <family val="1"/>
      </rPr>
      <t>254x229x102mm</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</si>
  <si>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</si>
  <si>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</si>
  <si>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rf/s'g}  t]lnof O{+6f  -*Æ</t>
    </r>
    <r>
      <rPr>
        <sz val="14"/>
        <rFont val="Times New Roman"/>
        <family val="1"/>
      </rPr>
      <t>×</t>
    </r>
    <r>
      <rPr>
        <sz val="14"/>
        <rFont val="Preeti"/>
      </rPr>
      <t>*Æ</t>
    </r>
  </si>
  <si>
    <r>
      <t xml:space="preserve"> @%_ t]lnof O{+6f  -^Æ</t>
    </r>
    <r>
      <rPr>
        <sz val="14"/>
        <rFont val="Times New Roman"/>
        <family val="1"/>
      </rPr>
      <t>×</t>
    </r>
    <r>
      <rPr>
        <sz val="14"/>
        <rFont val="Preeti"/>
      </rPr>
      <t>^Æ</t>
    </r>
    <r>
      <rPr>
        <sz val="14"/>
        <rFont val="Times New Roman"/>
        <family val="1"/>
      </rPr>
      <t/>
    </r>
  </si>
  <si>
    <r>
      <t>50mm th. , (600×1800)mm</t>
    </r>
    <r>
      <rPr>
        <vertAlign val="superscript"/>
        <sz val="12"/>
        <rFont val="Times New Roman"/>
        <family val="1"/>
      </rPr>
      <t>2</t>
    </r>
    <r>
      <rPr>
        <sz val="12"/>
        <rFont val="Times New Roman"/>
        <family val="1"/>
      </rPr>
      <t>(12×6) ft</t>
    </r>
  </si>
  <si>
    <r>
      <t>50mm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</si>
  <si>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t>
    </r>
  </si>
  <si>
    <r>
      <t>40mm th. , (600×2100)mm</t>
    </r>
    <r>
      <rPr>
        <vertAlign val="superscript"/>
        <sz val="12"/>
        <rFont val="Times New Roman"/>
        <family val="1"/>
      </rPr>
      <t>2</t>
    </r>
    <r>
      <rPr>
        <sz val="12"/>
        <rFont val="Times New Roman"/>
        <family val="1"/>
      </rPr>
      <t>(12×7 ft)</t>
    </r>
  </si>
  <si>
    <t>2 coats of  readymade washable distemper paint of approved colour with one coat primer Painting over porperly cleaned surface all complete</t>
  </si>
  <si>
    <t>2 coats of weather coat (Apex) paint of approved colour with one coat primer Painting over porperly cleaned surface all complete</t>
  </si>
  <si>
    <t>i) Retro-reflective traffic sign</t>
  </si>
  <si>
    <t>ii) Painted traffic sign</t>
  </si>
  <si>
    <t>iii) Normal cats eye</t>
  </si>
  <si>
    <t>iv) Solar power road stud</t>
  </si>
  <si>
    <t>v) Traffic signal (Circular or Arrow )</t>
  </si>
  <si>
    <t>vi) Traffic signal control unit</t>
  </si>
  <si>
    <t xml:space="preserve">Heritage Wall Surface Texture (Interior and Exterior) including the cost supplying and fitting (Heritage granular) </t>
  </si>
  <si>
    <t>;fn jf lzzf} sf7sf] snfTds kf]i6,an':6/ tyf Xof08/]n tof/ u/L h8fg ;d]t ug]{ .</t>
  </si>
  <si>
    <t>tof/L Knfli6s Odn\;g k]G6 b'O{ sf]6 nufpg] .</t>
  </si>
  <si>
    <t>Pno"ldlgod k]G6</t>
  </si>
  <si>
    <t>8an af]O{N8 lnlG;8 cfon Ps sf]6 nufpg] .</t>
  </si>
  <si>
    <t>lnG;L8 cfon</t>
  </si>
  <si>
    <t>8an af]O{N8 lnlG;8 cfon b'O{ sf]6 nufpg] .</t>
  </si>
  <si>
    <t>afg]{;</t>
  </si>
  <si>
    <r>
      <t xml:space="preserve">kftfsf] 5fgf 5fpg] sfd k'/f . </t>
    </r>
    <r>
      <rPr>
        <sz val="14"/>
        <rFont val="Preeti"/>
      </rPr>
      <t>-)=%) dL=dL=afSnf] _</t>
    </r>
  </si>
  <si>
    <t>b/ ljZn]if0fsf] nflu !) /=dL= lnOPsf]</t>
  </si>
  <si>
    <t>b/ ljZn]if0fsf] nflu ! j=ld= lnOPsf]</t>
  </si>
  <si>
    <t>Æ</t>
  </si>
  <si>
    <t>;'Vvf O{6f RofK6f] 5fKg] sfd .</t>
  </si>
  <si>
    <t>O{6f</t>
  </si>
  <si>
    <t xml:space="preserve">jfn'jf vf]nfsf] </t>
  </si>
  <si>
    <t>;'Vvf O{6f 7f8f] 5fKg] sfd .</t>
  </si>
  <si>
    <t>hf]gL{sf] dfly tNnf] efudf !M# l;d]G6 afn'jfsf] d;nfsf] ˆnz l6Ksf/ ug]{ sfd .</t>
  </si>
  <si>
    <t>h8fg ug]{ sfd k'/f .</t>
  </si>
  <si>
    <t># dL=dL= dfj{n lrK;</t>
  </si>
  <si>
    <t>!!–$</t>
  </si>
  <si>
    <t xml:space="preserve">@) dL=dL= afSnf] df]hfos ˆnf]l/Ë ug]{ !@+=% dL=dL= l;d]G6 Knfi6/ !M@ efudf nufO{ </t>
  </si>
  <si>
    <t>vi) Aluminium swing door of section (101x45x1.1)</t>
  </si>
  <si>
    <t>vii) Aluminium sliding windows of section (88 x38 x1.1)</t>
  </si>
  <si>
    <t xml:space="preserve">    c) 8 gauge heavy duty</t>
  </si>
  <si>
    <t>ii)  a) 10 gauge light class</t>
  </si>
  <si>
    <t xml:space="preserve">    b) 10 gauge medium class   </t>
  </si>
  <si>
    <t xml:space="preserve">    c) 10 gauge heavy duty</t>
  </si>
  <si>
    <t>iii)  a) 12 gauge light class</t>
  </si>
  <si>
    <t xml:space="preserve">    b) 12 gauge medium class   </t>
  </si>
  <si>
    <t xml:space="preserve">    c) 12 gauge heavy duty</t>
  </si>
  <si>
    <t>a08n</t>
  </si>
  <si>
    <t>-v_ /+lug h:tfkftf</t>
  </si>
  <si>
    <t xml:space="preserve">;fbf  h:tf kftf </t>
  </si>
  <si>
    <t>lk;</t>
  </si>
  <si>
    <t>plater board finishing of joints with compound &amp; tape all complete.</t>
  </si>
  <si>
    <t>d]6fnfO{H8 kf]ln:6/ jf]8{ kmN;\l;lnËsf</t>
  </si>
  <si>
    <t>Supplying, making, fixing ceiling with MPL board (for CGI roofing ceiling) design ceiling.</t>
  </si>
  <si>
    <t>! 3</t>
  </si>
  <si>
    <t xml:space="preserve">Aluminium partition with 5 mm thick glass and 9 mm thick laminated board of section (64 x38x1.1) </t>
  </si>
  <si>
    <t xml:space="preserve">Aluminium partition with 5 mm thick glass and 9 mm thick laminated board of section (101 x45x1.1) </t>
  </si>
  <si>
    <t xml:space="preserve">Aluminium sliding windows of section (88 x38 x1.1) </t>
  </si>
  <si>
    <t xml:space="preserve">Aluminium swing door of section (101x45x1.1) </t>
  </si>
  <si>
    <t xml:space="preserve">Aluminium casement door of section (101 x45 x1.1) </t>
  </si>
  <si>
    <t xml:space="preserve">Aluminium casement windows of section (54 x38 x1.1) </t>
  </si>
  <si>
    <t xml:space="preserve"> Aluminium sliding door of section (101 x45x1.1) </t>
  </si>
  <si>
    <t xml:space="preserve"> Aluminium sliding window with fixed panels without fly mesh shutter of section (88 x38.1x1.1) </t>
  </si>
  <si>
    <t xml:space="preserve"> Aluminium fix panel at sliding windows of section (88 x38.1x1.1) </t>
  </si>
  <si>
    <t>UPVC (100x60)mm,9mm th. Board and 5 mm th glass white color doors with necessary accessories all complete;</t>
  </si>
  <si>
    <t xml:space="preserve">2 coats of weather coat (Apex) paint with one coat primer Painting </t>
  </si>
  <si>
    <t xml:space="preserve">2 coats of  readymade washable distemper paint  with one coat primer </t>
  </si>
  <si>
    <t>Supplying and laying of Godawari(30cm.x30cm) marbal in cement sand motar</t>
  </si>
  <si>
    <t xml:space="preserve">Supplying and laying of 16mm thick granite in cement sand motar </t>
  </si>
  <si>
    <t xml:space="preserve">Supplying and applying white cement putty on ceiling and wall </t>
  </si>
  <si>
    <t>Supply and fixing of (40mm thick)aerocon/rapicon prefab panel  cubical partition wall all complete</t>
  </si>
  <si>
    <t xml:space="preserve">Supply and errection of (40mm thick) aerocon/rapicon prefab panel in partition wall. All complete </t>
  </si>
  <si>
    <t xml:space="preserve">Supply and errection of (50mm thick) aerocon/rapicon prefab panel in partition wall. All complete </t>
  </si>
  <si>
    <t xml:space="preserve">Supply and errection of (75mm thick) aerocon/rapicon prefab panel in partition wall.all complete </t>
  </si>
  <si>
    <t>cnsqf k]G6 Ps sf]6 nufpg] sfd .</t>
  </si>
  <si>
    <t>cnsqf k]G6</t>
  </si>
  <si>
    <t xml:space="preserve">Supplying and laying 100mm long 12mmthick parquate skirting </t>
  </si>
  <si>
    <t xml:space="preserve">Supplying and fitting  sal/sisau hand rail on  special post, sal wood baluster for railling </t>
  </si>
  <si>
    <t xml:space="preserve">Supplying &amp; Painting minium 2 coats of Japanees Texture paint over cement plastered surface </t>
  </si>
  <si>
    <t>Formwork, shuttering, centering with 19mm thick waterproof ply board and steel post</t>
  </si>
  <si>
    <t>Formwork, shuttering, centering with approved materials for  beam upto 0.30 m necessary propping, scaffolding, staging, supporting inclusive of wedging and cutting holes for utilization till the support if fully unyielding nett.</t>
  </si>
  <si>
    <t>Formwork, shuttering, centering with approved materials for  beam upto 0.30 m depth.</t>
  </si>
  <si>
    <t>Formwork, shuttering, centering with approved materials for  0.30m to 0.80 m deep beam necessary propping, scaffolding, staging, supporting inclusive of wedging and cutting holes for utilization till the support if fully unyielding nett.</t>
  </si>
  <si>
    <t>Formwork, shuttering, centering with approved materials for   0.30 to 0.80 m.deep beam.</t>
  </si>
  <si>
    <t>eTsfpg] / x6fpg] / #) ld6/;Dd 9'jfgL ug]{ cflb ;d]t</t>
  </si>
  <si>
    <t>;lxt ;Dk"0f{ sfd .</t>
  </si>
  <si>
    <t>af/ / sfnf] kfO{ksf]</t>
  </si>
  <si>
    <r>
      <t xml:space="preserve">k'/fgf] b/jf/sf] jflx/L efudf Pssf]6 r'gf kf]Tg] sfd </t>
    </r>
    <r>
      <rPr>
        <sz val="16"/>
        <rFont val="Preeti"/>
      </rPr>
      <t>.</t>
    </r>
  </si>
  <si>
    <t>8o'/fl;n k]G6 O{6fsf] ufx|f] km];df nufpg] sfd .</t>
  </si>
  <si>
    <t xml:space="preserve">8o'/fl;n k]G6 </t>
  </si>
  <si>
    <t>lgdf{0f ;fdu|L nufpg] Hofnf ;d]t</t>
  </si>
  <si>
    <r>
      <t>b/ ljZn]if0fsf] nflu !)ld=</t>
    </r>
    <r>
      <rPr>
        <sz val="12"/>
        <rFont val="Arial"/>
        <family val="2"/>
      </rPr>
      <t>x</t>
    </r>
    <r>
      <rPr>
        <sz val="12"/>
        <rFont val="Preeti"/>
      </rPr>
      <t xml:space="preserve"> )=() ld=Ö( a=ld= lnOPsf]</t>
    </r>
  </si>
  <si>
    <t>Np3 RCC Hume pie with collar including 1:4 cement sand mortar 200 mm dia</t>
  </si>
  <si>
    <t>15.0 Ltr electric geyser with all complete set</t>
  </si>
  <si>
    <t>fixing .50mm plain g.I. Sheet for duct.</t>
  </si>
  <si>
    <t>C.P wall mixer with bend pipe Jaquar</t>
  </si>
  <si>
    <t>Construction of 30 user septic tank  all complete work as per drawing and specification.</t>
  </si>
  <si>
    <t>kmdf{sf] sfd @ ld= ;Dd uf]nfO{sf] sf]nd .</t>
  </si>
  <si>
    <t xml:space="preserve"> -v_ $ dL=dL   Æ      Æ </t>
  </si>
  <si>
    <t>Poly Fibre Glass</t>
  </si>
  <si>
    <t xml:space="preserve"> -s_ )^ dL=dL= </t>
  </si>
  <si>
    <t>Black Color Glass</t>
  </si>
  <si>
    <t xml:space="preserve">-s_ # dL=dL= </t>
  </si>
  <si>
    <t xml:space="preserve">-v_ $ dL=dL= </t>
  </si>
  <si>
    <t xml:space="preserve">-u_ % dL=dL=   </t>
  </si>
  <si>
    <t xml:space="preserve">-3_ ^ dL=dL=   </t>
  </si>
  <si>
    <t xml:space="preserve">-ª_ * dL=dL= </t>
  </si>
  <si>
    <t xml:space="preserve">-r_ !) dL=dL   </t>
  </si>
  <si>
    <t xml:space="preserve">-5_ !@ dL=dL    </t>
  </si>
  <si>
    <t xml:space="preserve"> -s_ % ld=ld afSnf] </t>
  </si>
  <si>
    <t xml:space="preserve"> -s_ ================== dL=dL= afSnf] </t>
  </si>
  <si>
    <t xml:space="preserve">j=ld= </t>
  </si>
  <si>
    <t xml:space="preserve"> % dL=dL+ df]6f]</t>
  </si>
  <si>
    <t>Corrugated/Plain Fiber Glass Sheet</t>
  </si>
  <si>
    <t xml:space="preserve"> -v_ !=@ dL=dL= df]6f]      Æ     Æ</t>
  </si>
  <si>
    <t xml:space="preserve">  Æ</t>
  </si>
  <si>
    <r>
      <t xml:space="preserve">Heritage Wall Surface Texture (Interior and Exterior) including the cost supplying and fitting </t>
    </r>
    <r>
      <rPr>
        <b/>
        <sz val="12"/>
        <rFont val="Times New Roman"/>
        <family val="1"/>
      </rPr>
      <t>(Heritage Top coat plastic lamination)</t>
    </r>
  </si>
  <si>
    <r>
      <t xml:space="preserve">Supplying and fixing </t>
    </r>
    <r>
      <rPr>
        <b/>
        <sz val="12"/>
        <rFont val="Times New Roman"/>
        <family val="1"/>
      </rPr>
      <t>6 mm thick Flex-O- Board (Water proof cement board)</t>
    </r>
    <r>
      <rPr>
        <sz val="12"/>
        <rFont val="Times New Roman"/>
        <family val="1"/>
      </rPr>
      <t xml:space="preserve"> for false ceiling all complete</t>
    </r>
  </si>
  <si>
    <r>
      <t xml:space="preserve">Supply and fixing of </t>
    </r>
    <r>
      <rPr>
        <b/>
        <sz val="12"/>
        <rFont val="Times New Roman"/>
        <family val="1"/>
      </rPr>
      <t>(40mm thick)aerocon/rapicon prefab panel  cubical partition wall</t>
    </r>
    <r>
      <rPr>
        <sz val="12"/>
        <rFont val="Times New Roman"/>
        <family val="1"/>
      </rPr>
      <t xml:space="preserve"> all complete.</t>
    </r>
  </si>
  <si>
    <r>
      <t xml:space="preserve">Heritage Wall Surface Texture (Interior and Exterior) including the cost supplying and fitting </t>
    </r>
    <r>
      <rPr>
        <b/>
        <sz val="12"/>
        <rFont val="Times New Roman"/>
        <family val="1"/>
      </rPr>
      <t>(Heritage granular)</t>
    </r>
  </si>
  <si>
    <r>
      <t xml:space="preserve">Heritage Wall Surface Texture (Interior and Exterior) including the cost supplying and fitting </t>
    </r>
    <r>
      <rPr>
        <b/>
        <sz val="12"/>
        <rFont val="Times New Roman"/>
        <family val="1"/>
      </rPr>
      <t>(Heritage flakes)</t>
    </r>
  </si>
  <si>
    <t>25 mm thick C.C. Tile (Red color) paving in 1:4 cement mortar</t>
  </si>
  <si>
    <t>25 mm thick C.C. Tile (Grey color) paving in 1:4 cement mortar</t>
  </si>
  <si>
    <r>
      <t xml:space="preserve">Steel Security Gate supply Rainbow Elasto Company </t>
    </r>
    <r>
      <rPr>
        <b/>
        <sz val="12"/>
        <rFont val="Preeti"/>
      </rPr>
      <t>af6</t>
    </r>
    <r>
      <rPr>
        <b/>
        <sz val="12"/>
        <rFont val="Times New Roman"/>
        <family val="1"/>
      </rPr>
      <t xml:space="preserve"> Supply </t>
    </r>
    <r>
      <rPr>
        <b/>
        <sz val="12"/>
        <rFont val="Preeti"/>
      </rPr>
      <t>x'g]</t>
    </r>
  </si>
  <si>
    <r>
      <t xml:space="preserve"> i) Short range wireless intruder Alarm (including Host Unit-1, PIR moton detector-1, Door Sensor-1, Remote Controller -2) (</t>
    </r>
    <r>
      <rPr>
        <sz val="12"/>
        <rFont val="Preeti"/>
      </rPr>
      <t>3/ sDkfp08 ;'/Iff k|lalw</t>
    </r>
    <r>
      <rPr>
        <sz val="10"/>
        <rFont val="Arial"/>
        <family val="2"/>
      </rPr>
      <t>)</t>
    </r>
  </si>
  <si>
    <r>
      <t xml:space="preserve"> ii)Long range distance wireless intruder Alarm system(including Host Unit-1, PIR moton detector-3,  Remote Controller -2) (</t>
    </r>
    <r>
      <rPr>
        <sz val="12"/>
        <rFont val="Preeti"/>
      </rPr>
      <t>clkm; tyf Aofkfl/s ;'/Iff k|lalw</t>
    </r>
    <r>
      <rPr>
        <sz val="10"/>
        <rFont val="Arial"/>
        <family val="2"/>
      </rPr>
      <t>)</t>
    </r>
  </si>
  <si>
    <r>
      <t xml:space="preserve"> viii) Automatic motor operator for water mo pump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</si>
  <si>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Ps</t>
  </si>
  <si>
    <t>sf]7f agfO{ ljleGg lsl;dsf] kmN; l;lnË 7f]Sg]</t>
  </si>
  <si>
    <t xml:space="preserve">!)–!^ s </t>
  </si>
  <si>
    <t>OdN;g k]G6</t>
  </si>
  <si>
    <t>Aluminium casement windows of section (54 x38 x1.1)</t>
  </si>
  <si>
    <r>
      <t xml:space="preserve">%) </t>
    </r>
    <r>
      <rPr>
        <sz val="10"/>
        <rFont val="Arial"/>
        <family val="2"/>
      </rPr>
      <t>X</t>
    </r>
    <r>
      <rPr>
        <sz val="16"/>
        <rFont val="Preeti"/>
      </rPr>
      <t xml:space="preserve"> &amp;% dL=dL= ;fO{hsf] cu|fv sf7sf] ^)) </t>
    </r>
    <r>
      <rPr>
        <sz val="10"/>
        <rFont val="Arial"/>
        <family val="2"/>
      </rPr>
      <t>X</t>
    </r>
    <r>
      <rPr>
        <sz val="16"/>
        <rFont val="Preeti"/>
      </rPr>
      <t xml:space="preserve"> ()) dL= dL= sf] </t>
    </r>
  </si>
  <si>
    <t>b) Φ 26 mm Wire rope</t>
  </si>
  <si>
    <t>c) Φ 32 mm Wire rope</t>
  </si>
  <si>
    <t>d) Φ 36 mm Wire rope</t>
  </si>
  <si>
    <t>e) Φ 40 mm Wire rope</t>
  </si>
  <si>
    <t xml:space="preserve">xv) Wire mesh netting </t>
  </si>
  <si>
    <t>xvi) Sign Board with Fittings (Size - 30cm X 6cm)</t>
  </si>
  <si>
    <t>xvii) Bolts, Nuts &amp; Washers (Galvanised 4.6 grade)</t>
  </si>
  <si>
    <t>xviii) Hot Dip Galvanization</t>
  </si>
  <si>
    <t>xix) Truck Metalled Road</t>
  </si>
  <si>
    <t>KgxKm</t>
  </si>
  <si>
    <t>xx) Truck Non-Metalled Road</t>
  </si>
  <si>
    <t>xxi) Coaltar</t>
  </si>
  <si>
    <t>Lit</t>
  </si>
  <si>
    <t>BASF Concrete Admixtures</t>
  </si>
  <si>
    <t xml:space="preserve"> d]lzgaf6 pTkflbt O+{6f -s / v b'j}sf] Pe/]h</t>
  </si>
  <si>
    <t>Supplying and fixing 6mm.waterproof ply false ceiling on 50x75mm size sal wood of 600x900 panelling all complete</t>
  </si>
  <si>
    <t>Supplying and laying machine made clay tile in 1:4 cement mortar on slope roof properly in line and level all complete.</t>
  </si>
  <si>
    <t xml:space="preserve">Supplying and fixing 6 mm thick Flex-O- Board (Water proof cement board) for false ceiling all complete </t>
  </si>
  <si>
    <t>d]6fnfO{H8 kf]ln:6/ jf]8{ l8hfO{h kmN;\l;lnËsf</t>
  </si>
  <si>
    <t>af6/ k|'km sDkfp08</t>
  </si>
  <si>
    <t>vGg] sfd !) dL6/ af]sgL l8:kf]hn / !=% dL6/;Dd lnˆ6 ;d]t</t>
  </si>
  <si>
    <t>It is an organic based polymer in liquid form which acts as a plasticizer cum accelerator for concrete/mortar. Higher strength is achieved in a shorter time. It conform IS: 9103:1979 and ASTM C494. Excellent in winter or cold climate.</t>
  </si>
  <si>
    <t>ltr</t>
  </si>
  <si>
    <t>OPAL – PLASTMASTER</t>
  </si>
  <si>
    <t>It is an additive for plaster of walls. Gives excellent workability and smooth finish. Check seepage of water/moisture.</t>
  </si>
  <si>
    <t>OPAL – SP101</t>
  </si>
  <si>
    <t>hu jf vf8naf6 kfgL kDk ug]{ .</t>
  </si>
  <si>
    <t>gf]6 M o;df kl/df0f kDksf] Ifdtf cg';f/ /fVg] .</t>
  </si>
  <si>
    <t>Pk]S; k]G6</t>
  </si>
  <si>
    <t>gS:ff cg';f/ 7fpFdf /fvL afFWg] sfd</t>
  </si>
  <si>
    <t>b/ ljZn]if0fsf] nflu !) j=ld= lnOPsf]</t>
  </si>
  <si>
    <t>b/ ljZn]if0fsf] nflu #) /=dL= lnOPsf]</t>
  </si>
  <si>
    <t>gf]6 M ! s]=hL= sfF8]tf/df !) /=dL= x'g] lx;fj ul/Psf] .</t>
  </si>
  <si>
    <t>swing door</t>
  </si>
  <si>
    <t xml:space="preserve">sf ;/;fdfgx? </t>
  </si>
  <si>
    <t>4mm.0.25 Vergin core</t>
  </si>
  <si>
    <t>4mm.0.30 Vergin core</t>
  </si>
  <si>
    <t>4mm.0.50 Vergin core</t>
  </si>
  <si>
    <t>Aluminium composit panel 3mm 0.20 black core sheet supplying and fitting all complete work.</t>
  </si>
  <si>
    <t>3mm 0.25 black core</t>
  </si>
  <si>
    <t>Aluminium composit panel 3mm 0.25 black core sheet supplying and fitting all complete work.</t>
  </si>
  <si>
    <t>3mm 0.20 black core</t>
  </si>
  <si>
    <t>Aluminium composit panel 3mm 0.30 black core sheet supplying and fitting all complete work.</t>
  </si>
  <si>
    <t>3mm 0.30 black core</t>
  </si>
  <si>
    <t>Aluminium composit panel 4mm 0.20 black core sheet supplying and fitting all complete work.</t>
  </si>
  <si>
    <t xml:space="preserve">;fdfGo df6f]n] k'g]{ sfd !%, !% ;]=dL= sf] txdf km}nfpg], kfgL 5g]{ / </t>
  </si>
  <si>
    <t>;fdfGo df6f]n] kfgL g5l/sg k'g]{ sfd</t>
  </si>
  <si>
    <t>306f</t>
  </si>
  <si>
    <t>One side lamination Melamined faced (Interiors Grade)</t>
  </si>
  <si>
    <t>Wall panelling ( with wood frame) sisam wood. (75mm*16mm)</t>
  </si>
  <si>
    <t xml:space="preserve">LG Floors Tiles </t>
  </si>
  <si>
    <t xml:space="preserve">L.G. Deco Wood (100x920x3mm) </t>
  </si>
  <si>
    <t xml:space="preserve">Fittings for Tiles </t>
  </si>
  <si>
    <t>c) supply and erection with aerocon p5 wall partition</t>
  </si>
  <si>
    <t>Supply and fixing of aerocon prefab panel. 4ft to 5ft cubical partition etc. all complete.</t>
  </si>
  <si>
    <t>b/ ljZn]if0fsf] nflu ! d]=6g= lnOPsf]</t>
  </si>
  <si>
    <t>b/ k|lt d]=6g= sf]</t>
  </si>
  <si>
    <t xml:space="preserve"> Ordinary type C.P. Pillar cock 15mm dia </t>
  </si>
  <si>
    <t>Plain cement Concrete (PCC) for RCC works (1:1:2) for super structure with approved quality of cement and sand and crushed stone aggregate including mixing, laying, curing etc all complete in approval of site engineer.</t>
  </si>
  <si>
    <t>Plain cement Concrete (PCC) for RCC works (1:1:2) for super structure.</t>
  </si>
  <si>
    <t xml:space="preserve">Tor steel reinforcement bar of fe 415/500 grade including straightening, cleaning, cutting, binding &amp; fixing in position with annealed tying binding wire as per drawing, design &amp; instruction all complete. </t>
  </si>
  <si>
    <t>Tor steel reinforcement bar of fe 415/500 grade.</t>
  </si>
  <si>
    <t>MT</t>
  </si>
  <si>
    <t>Formwork, shuttering, centering with approved materials for all works necessary propping, scaffolding, staging, supporting inclusive of wedging and cutting holes for utilization till the support if fully unyielding nett.</t>
  </si>
  <si>
    <t>Formwork, shuttering, centering with approved materials.</t>
  </si>
  <si>
    <t>Formwork, shuttering, centering with approved materials for column and beam necessary propping, scaffolding, staging, supporting inclusive of wedging and cutting holes for utilization till the support if fully unyielding nett.</t>
  </si>
  <si>
    <t>Formwork, shuttering, centering with approved materials for column and beam .</t>
  </si>
  <si>
    <t>Formwork, shuttering, centering with 19mm thick waterproof ply board and steel post for all works necessary propping, scaffolding, staging, supporting inclusive of wedging and cutting holes for utilization till the support if fully unyielding nett.</t>
  </si>
  <si>
    <t>Fixing wall light single</t>
  </si>
  <si>
    <t>2 gang two way switch</t>
  </si>
  <si>
    <t>point</t>
  </si>
  <si>
    <t>Porcalain clay Comode with cistern with seat cover all complete set.(super constellation type , colour)</t>
  </si>
  <si>
    <t xml:space="preserve"> OVAL  wash basin 55X40mm and  ½"x18" pipe connector etc  all complete. (super constellation type , colour)</t>
  </si>
  <si>
    <t>Construction of 15 user septic tank  all complete work as per drawing and specification.</t>
  </si>
  <si>
    <t>Construction of Rcc ring for soak pit all complete work as per drawing and specification.</t>
  </si>
  <si>
    <t>Electtrical works</t>
  </si>
  <si>
    <t>2x40  Watt F.T.L Box Fitting TMC 501/236 HPF Phillips/Wipro/GE or equivalent</t>
  </si>
  <si>
    <t>Formwork, shuttering, centering with 19mm thick waterproof ply for  beam with steel pipe propping, scaffolding, staging, supporting inclusive of wedging and cutting holes for utilization till the support if fully unyielding nett.</t>
  </si>
  <si>
    <t>Formwork, shuttering, centering with 19mm thick waterproof ply for  beam with steel pipe propping.</t>
  </si>
  <si>
    <t>Formwork, shuttering, centering with 19mm thick waterproof ply for column, necessary propping, scaffolding, staging, supporting inclusive of wedging and cutting holes for utilization till the support if fully unyielding nett.</t>
  </si>
  <si>
    <t>Formwork, shuttering, centering with 19mm thick waterproof ply for column.</t>
  </si>
  <si>
    <t xml:space="preserve">Wooden plank bracingwork  in trench with approved materials for  depth from 1.5 m to less than 3.0m </t>
  </si>
  <si>
    <t>Wooden plank bracing work in 1.5m to 3.0m deep trench.</t>
  </si>
  <si>
    <t xml:space="preserve">Wooden plank bracing work in trench  with approved materials for  depth more than 3.0m </t>
  </si>
  <si>
    <t>Wooden plank bracing work in trench deeper than 3.0m.</t>
  </si>
  <si>
    <t>0.5 mm CGI sheet roofing with proper shape &amp; size, all necessary nails, screws, bolts, nuts washers, J or L hooks etc as per drawing &amp; instruction all complete.</t>
  </si>
  <si>
    <t>0.50mm CGI sheet roofing.</t>
  </si>
  <si>
    <t>:6«Sr/sf] jLdsf] nflu kmdf{ agfpg] sfd 5gf}6 ug]{ h8fg ug]{</t>
  </si>
  <si>
    <t>lsnf nufpg] cfO{lnË eTsfpg] x6fpg] #) dL= ;Dd 9'jfgL ;lxt</t>
  </si>
  <si>
    <t>jLdsf] prfO{ )=#) dL= ;Dd .</t>
  </si>
  <si>
    <t>lsnf nufpg] cfO{lnË eTsfpg] x6fpg] #) dL= ;Dd 9'jfgL ug]{ ;d]t .</t>
  </si>
  <si>
    <t>Providing fitting, fixing in position G.I. under frame, using GYPSTEEL branded</t>
  </si>
  <si>
    <t>sfaf]{/08d 9'+uf</t>
  </si>
  <si>
    <t>nL=</t>
  </si>
  <si>
    <t>20 mm thick salwood false ceiling fiting woth 40mmx 20mm bidding joint</t>
  </si>
  <si>
    <t xml:space="preserve">Fixing of glazed shutter in 38x75 mm thick sal wood frame with 5mm thick  plain glass fitting including all necessary hardware fittings all complete. </t>
  </si>
  <si>
    <t>Fixing of glazed shutter in 38x75 mm thick sal wood frame with 5mm thick  plain glass.</t>
  </si>
  <si>
    <t>1 coats of ready made plastic emulsion paint of approved colour over 1 coats of primer Painting over porperly cleaned surface all complete</t>
  </si>
  <si>
    <t>4 kg/cm2 (140 mm) HDP pipe  all complete.</t>
  </si>
  <si>
    <t>4 kg/cm2 (150 mm) HDP pipe  all complete.</t>
  </si>
  <si>
    <t>4 kg/cm2 (180 mm) HDP pipe  all complete.</t>
  </si>
  <si>
    <t>4 kg/cm2 (200 mm) HDP pipe  all complete.</t>
  </si>
  <si>
    <t xml:space="preserve">5 kg fire extinguiser </t>
  </si>
  <si>
    <t>5 kg fire extinguiser.</t>
  </si>
  <si>
    <t xml:space="preserve">560 mm dia 228 kg CI heavy cover </t>
  </si>
  <si>
    <t>560 mm dia 228 kg CI heavy cover.</t>
  </si>
  <si>
    <t>15mm dia Aeroflex Pipe insulation for hot water pipe all complete.</t>
  </si>
  <si>
    <t>25mm dia Aeroflex Pipe insulation for hot water pipe all complete.</t>
  </si>
  <si>
    <t>32mm dia Aeroflex Pipe insulation for hot water pipe all complete.</t>
  </si>
  <si>
    <t>15mm dia CPVC Pipe  SDR 13.5 CTS, 22.5 kg/cm2 includes fixing/laying with necessary fittings  all complete.</t>
  </si>
  <si>
    <t>15mm dia CPVC Pipe  SDR 13.5 CTS includes fixing/laying with necessary fittings  all complete.</t>
  </si>
  <si>
    <t>20 mm dia CPVC Pipe  SDR 13.5 CTS, 22.5 kg/cm2 includes fixing/laying with necessary fittings all complete.</t>
  </si>
  <si>
    <t>15mm dia CPVC Pipe  SDR 13.5 CTS, includes fixing/laying with necessary fittings  all complete.</t>
  </si>
  <si>
    <t>25 mm dia CPVC Pipe  SDR 13.5 CTS, 22.5 kg/cm2 includes fixing/laying with necessary fittings  all complete.</t>
  </si>
  <si>
    <t>15mm dia CPVC Pipe  SDR 13.5 CTS,  includes fixing/laying with necessary fittings  all complete.</t>
  </si>
  <si>
    <t>Making and fitting fixing Plywood Panel door shutter of 38 x 100 mm size sal wood frame with 8 mm thick commercial ply on midle and 4mm thick teak ply on one side including all necessary hardware fitting all complete.</t>
  </si>
  <si>
    <t>Commercial Plywood Panelled door shutter with  one side Teak ply Lamination</t>
  </si>
  <si>
    <t>Indian Godrej Company</t>
  </si>
  <si>
    <t>Door Spring (Door Closer)</t>
  </si>
  <si>
    <t>hydraulic</t>
  </si>
  <si>
    <t>Other Door/Windows fixtures</t>
  </si>
  <si>
    <t>Window I-hook</t>
  </si>
  <si>
    <t>Gate Hook</t>
  </si>
  <si>
    <t>4"</t>
  </si>
  <si>
    <t>5"</t>
  </si>
  <si>
    <t>Door stopper</t>
  </si>
  <si>
    <t>Diamond</t>
  </si>
  <si>
    <t>Butterfly</t>
  </si>
  <si>
    <t>Bell catch 2" size</t>
  </si>
  <si>
    <t>C.P. handle</t>
  </si>
  <si>
    <t xml:space="preserve">Power coated  handle </t>
  </si>
  <si>
    <t>G.I. Mosquito net shutter with diamond chicken wire mesh on 38mm thick seasoned salwood frame.</t>
  </si>
  <si>
    <t xml:space="preserve">Making and fitting of G.I. Mosquito net shutter over existing salwood frame including listi  all complete. </t>
  </si>
  <si>
    <t xml:space="preserve"> G.I. Mosquito net over existing salwood frame.</t>
  </si>
  <si>
    <t xml:space="preserve">Making and fitting of G.I. Mosquito net shutter with 38mm thick seasoned salwood frame including hinges, towerbolts, handles, locking set etc all complete. </t>
  </si>
  <si>
    <t xml:space="preserve"> G.I. Mosquito net shutter with 38mm thick seasoned salwood frame.</t>
  </si>
  <si>
    <t xml:space="preserve">Fixing of 3 mm thick glass on existing fixed frames of windows, ventilators with wooden beading &amp; putty s all complete.  </t>
  </si>
  <si>
    <t>Fixing of 3 mm thick glass on existing fixed frames.</t>
  </si>
  <si>
    <t xml:space="preserve">Fixing of 4 mm thick glass on existing fixed frames of windows, ventilators with wooden beading &amp; putty s all complete.  </t>
  </si>
  <si>
    <t>Fixing of 4 mm thick glass on existing fixed frames.</t>
  </si>
  <si>
    <t xml:space="preserve">xf8{af]8{ tyf cGo kf6L{zgdf $ dL=dL= 6Ls KnfOp8 n]ldg]zg u/L </t>
  </si>
  <si>
    <t>hf]8\g] sfd Pstkm{ dfq .</t>
  </si>
  <si>
    <t>b/ ljZn]if0fsf] nflu ! j=dL= lnOPsf] .</t>
  </si>
  <si>
    <t xml:space="preserve"> l;kfn'</t>
  </si>
  <si>
    <t xml:space="preserve">@% dL=dL= afSnf] df]hfos ˆnf]l/Ë !( dL=dL= l;d]G6 Knfi6/ !M@ efudf u/L </t>
  </si>
  <si>
    <t>To; dfly ^ dL=dL= dfj{n lrK; ;]tf] l;d]G6 !M! efudf nufO{</t>
  </si>
  <si>
    <t xml:space="preserve"> 3f]6\g] / kflnz ug]{ .</t>
  </si>
  <si>
    <t>k|dfl)ft b//]^</t>
  </si>
  <si>
    <r>
      <t>3.5</t>
    </r>
    <r>
      <rPr>
        <b/>
        <sz val="10"/>
        <rFont val="Arial"/>
        <family val="2"/>
      </rPr>
      <t xml:space="preserve">% </t>
    </r>
    <r>
      <rPr>
        <b/>
        <sz val="10"/>
        <rFont val="FONTASY_ HIMALI_ TT"/>
        <family val="5"/>
      </rPr>
      <t>('jfgL yk ;lxt</t>
    </r>
  </si>
  <si>
    <t>b/ ljZn]if)fsf] nflu</t>
  </si>
  <si>
    <t>;]7</t>
  </si>
  <si>
    <t>ljleGg ;fO{hs]f h]–x's, o'–x's !s]=lh=df !$ j6f dfg]sf]</t>
  </si>
  <si>
    <t xml:space="preserve"> -s_ ^–!) dL= dL= ;fOhsf </t>
  </si>
  <si>
    <t xml:space="preserve"> -v_ !)–@) dL= dL= ;fOhsf </t>
  </si>
  <si>
    <t xml:space="preserve">Fixing of 6 mm thick glass on existing fixed frames of windows, ventilators with wooden beading &amp; putty s all complete.  </t>
  </si>
  <si>
    <t>Fixing of 6 mm thick glass on existing fixed frames.</t>
  </si>
  <si>
    <t>Fitting up the 4mm thick plywood false ceiling in existing wooden frame  all complete.</t>
  </si>
  <si>
    <t>4mm thick plywood false ceiling in existing wooden frame.</t>
  </si>
  <si>
    <t>Partition work with 4mm thick plywood fixed on both side with salwood frame (size 50x75mm)  making 60x90cm room size  all complete.</t>
  </si>
  <si>
    <t>Partition work with 4mm thick plywood fixed on both side with salwood frame (size 50x75mm)  making 60x90cm room size.</t>
  </si>
  <si>
    <t>Partition work with 12mm thick plywood fixed on both side with salwood frame (size 38x75mm)  making 61x91.5cm room size and listi  all complete.</t>
  </si>
  <si>
    <t>Fitting &amp; fixing of water resistance gypsum board false ceiling with all necessary hanger, angles, hooks nut bolt all complete.</t>
  </si>
  <si>
    <t>Fitting &amp; fixing of water resistance gypsum board false ceiling.</t>
  </si>
  <si>
    <t>Fitting &amp; fixing of water resistance gypsum board design false ceiling with all necessary hanger, angles, hooks nut bolt all complete.</t>
  </si>
  <si>
    <r>
      <t xml:space="preserve">Supply and errection of </t>
    </r>
    <r>
      <rPr>
        <b/>
        <sz val="12"/>
        <rFont val="Times New Roman"/>
        <family val="1"/>
      </rPr>
      <t>(75mm thick) aerocon/rapicon prefab panel</t>
    </r>
    <r>
      <rPr>
        <sz val="12"/>
        <rFont val="Times New Roman"/>
        <family val="1"/>
      </rPr>
      <t xml:space="preserve"> in partition wall.all complete</t>
    </r>
  </si>
  <si>
    <r>
      <t xml:space="preserve">Supply and errection of </t>
    </r>
    <r>
      <rPr>
        <b/>
        <sz val="12"/>
        <rFont val="Times New Roman"/>
        <family val="1"/>
      </rPr>
      <t>(50mm thick) aerocon/rapicon prefab panel</t>
    </r>
    <r>
      <rPr>
        <sz val="12"/>
        <rFont val="Times New Roman"/>
        <family val="1"/>
      </rPr>
      <t xml:space="preserve"> in partition wall. All complete</t>
    </r>
  </si>
  <si>
    <r>
      <t xml:space="preserve">Supply and errection of </t>
    </r>
    <r>
      <rPr>
        <b/>
        <sz val="12"/>
        <rFont val="Times New Roman"/>
        <family val="1"/>
      </rPr>
      <t>(40mm thick) aerocon/rapicon prefab panel</t>
    </r>
    <r>
      <rPr>
        <sz val="12"/>
        <rFont val="Times New Roman"/>
        <family val="1"/>
      </rPr>
      <t xml:space="preserve"> in partition wall. All complete</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</si>
  <si>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</si>
  <si>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 -5_ 9'uf+sf] w'nf] </t>
    </r>
    <r>
      <rPr>
        <sz val="12"/>
        <rFont val="Times New Roman"/>
        <family val="1"/>
      </rPr>
      <t>(Stone dust)</t>
    </r>
  </si>
  <si>
    <r>
      <t xml:space="preserve"> -3_  ^ ld=ld= </t>
    </r>
    <r>
      <rPr>
        <sz val="14"/>
        <rFont val="Times New Roman"/>
        <family val="1"/>
      </rPr>
      <t>down</t>
    </r>
  </si>
  <si>
    <r>
      <t xml:space="preserve">ljleGg ;fOhsf vf]nfsf] </t>
    </r>
    <r>
      <rPr>
        <b/>
        <sz val="14"/>
        <rFont val="Times New Roman"/>
        <family val="1"/>
      </rPr>
      <t xml:space="preserve">Screening </t>
    </r>
    <r>
      <rPr>
        <b/>
        <sz val="14"/>
        <rFont val="Preeti"/>
      </rPr>
      <t xml:space="preserve">u/]sf] </t>
    </r>
    <r>
      <rPr>
        <b/>
        <sz val="14"/>
        <rFont val="Times New Roman"/>
        <family val="1"/>
      </rPr>
      <t>Gravel</t>
    </r>
  </si>
  <si>
    <r>
      <t>5fKg] 9'Ëf -</t>
    </r>
    <r>
      <rPr>
        <b/>
        <sz val="13"/>
        <rFont val="Times New Roman"/>
        <family val="1"/>
      </rPr>
      <t>Flag stone</t>
    </r>
    <r>
      <rPr>
        <b/>
        <sz val="14"/>
        <rFont val="Preeti"/>
      </rPr>
      <t>_</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</si>
  <si>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</si>
  <si>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12.5mm thick cement sand plaster in (1:3) ratio on ceiling of good finish including racking the joint, wetting of surfaces &amp; curing the work all complete.</t>
  </si>
  <si>
    <t>12.5mm thick cement sand plaster in (1:3) ratio on ceiling.</t>
  </si>
  <si>
    <t xml:space="preserve">@% dL=dL= afSnf] t]lnof O{6f !M@ ;'sL{ d;nfdf 5fKg] / </t>
  </si>
  <si>
    <t>gf]6 M ! 3=dL= Ö ^$) s]=hL=</t>
  </si>
  <si>
    <t xml:space="preserve">!!–@) </t>
  </si>
  <si>
    <t>Supplying &amp; Painting minium 2 coats of Japanees Texture paint over cement plastered surface including cleaning the surface, preparation all complete an aproved colour as per office.</t>
  </si>
  <si>
    <t>l;d]G6 d;nf -!M^_ tof/ u/L uf/f] nufpg]</t>
  </si>
  <si>
    <t>tof/L Ogfd]n k]G6</t>
  </si>
  <si>
    <t>/=dL=</t>
  </si>
  <si>
    <r>
      <t>a)</t>
    </r>
    <r>
      <rPr>
        <sz val="14"/>
        <rFont val="Times New Roman"/>
        <family val="1"/>
      </rPr>
      <t xml:space="preserve"> </t>
    </r>
    <r>
      <rPr>
        <sz val="13"/>
        <rFont val="Times New Roman"/>
        <family val="1"/>
      </rPr>
      <t>28</t>
    </r>
    <r>
      <rPr>
        <sz val="14"/>
        <rFont val="Preeti"/>
      </rPr>
      <t xml:space="preserve"> u]h</t>
    </r>
    <r>
      <rPr>
        <sz val="14"/>
        <rFont val="Times New Roman"/>
        <family val="1"/>
      </rPr>
      <t xml:space="preserve"> </t>
    </r>
    <r>
      <rPr>
        <sz val="12"/>
        <rFont val="Times New Roman"/>
        <family val="1"/>
      </rPr>
      <t>Light (0.26 mm)</t>
    </r>
  </si>
  <si>
    <r>
      <t>b) 28</t>
    </r>
    <r>
      <rPr>
        <sz val="14"/>
        <rFont val="Preeti"/>
      </rPr>
      <t xml:space="preserve"> u]h</t>
    </r>
    <r>
      <rPr>
        <sz val="11"/>
        <rFont val="Times New Roman"/>
        <family val="1"/>
      </rPr>
      <t xml:space="preserve"> Medium (0.28 mm)</t>
    </r>
    <r>
      <rPr>
        <sz val="12"/>
        <rFont val="Times New Roman"/>
        <family val="1"/>
      </rPr>
      <t xml:space="preserve"> </t>
    </r>
    <r>
      <rPr>
        <sz val="14"/>
        <rFont val="Times New Roman"/>
        <family val="1"/>
      </rPr>
      <t xml:space="preserve">  </t>
    </r>
  </si>
  <si>
    <r>
      <t>c) 28</t>
    </r>
    <r>
      <rPr>
        <sz val="14"/>
        <rFont val="Preeti"/>
      </rPr>
      <t xml:space="preserve"> u]h</t>
    </r>
    <r>
      <rPr>
        <sz val="14"/>
        <rFont val="Times New Roman"/>
        <family val="1"/>
      </rPr>
      <t xml:space="preserve"> </t>
    </r>
    <r>
      <rPr>
        <sz val="12"/>
        <rFont val="Times New Roman"/>
        <family val="1"/>
      </rPr>
      <t>Heavy (.030 mm)</t>
    </r>
    <r>
      <rPr>
        <sz val="14"/>
        <rFont val="Times New Roman"/>
        <family val="1"/>
      </rPr>
      <t xml:space="preserve"> </t>
    </r>
  </si>
  <si>
    <r>
      <t>a)</t>
    </r>
    <r>
      <rPr>
        <sz val="14"/>
        <rFont val="Times New Roman"/>
        <family val="1"/>
      </rPr>
      <t xml:space="preserve"> </t>
    </r>
    <r>
      <rPr>
        <sz val="13"/>
        <rFont val="Times New Roman"/>
        <family val="1"/>
      </rPr>
      <t>26</t>
    </r>
    <r>
      <rPr>
        <sz val="14"/>
        <rFont val="Preeti"/>
      </rPr>
      <t xml:space="preserve"> u]h</t>
    </r>
    <r>
      <rPr>
        <sz val="14"/>
        <rFont val="Times New Roman"/>
        <family val="1"/>
      </rPr>
      <t xml:space="preserve"> </t>
    </r>
    <r>
      <rPr>
        <sz val="12"/>
        <rFont val="Times New Roman"/>
        <family val="1"/>
      </rPr>
      <t>Light (0.35 mm)</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</si>
  <si>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(0.36 mm)</t>
    </r>
  </si>
  <si>
    <r>
      <t>c) 26</t>
    </r>
    <r>
      <rPr>
        <sz val="14"/>
        <rFont val="Preeti"/>
      </rPr>
      <t xml:space="preserve"> u]h</t>
    </r>
    <r>
      <rPr>
        <sz val="14"/>
        <rFont val="Times New Roman"/>
        <family val="1"/>
      </rPr>
      <t xml:space="preserve"> </t>
    </r>
    <r>
      <rPr>
        <sz val="12"/>
        <rFont val="Times New Roman"/>
        <family val="1"/>
      </rPr>
      <t>Heavy (0.41 mm)</t>
    </r>
    <r>
      <rPr>
        <sz val="14"/>
        <rFont val="Times New Roman"/>
        <family val="1"/>
      </rPr>
      <t xml:space="preserve">  </t>
    </r>
  </si>
  <si>
    <r>
      <t>a)</t>
    </r>
    <r>
      <rPr>
        <sz val="14"/>
        <rFont val="Times New Roman"/>
        <family val="1"/>
      </rPr>
      <t xml:space="preserve"> </t>
    </r>
    <r>
      <rPr>
        <sz val="13"/>
        <rFont val="Times New Roman"/>
        <family val="1"/>
      </rPr>
      <t>24</t>
    </r>
    <r>
      <rPr>
        <sz val="14"/>
        <rFont val="Preeti"/>
      </rPr>
      <t xml:space="preserve"> u]h</t>
    </r>
    <r>
      <rPr>
        <sz val="14"/>
        <rFont val="Times New Roman"/>
        <family val="1"/>
      </rPr>
      <t xml:space="preserve"> </t>
    </r>
    <r>
      <rPr>
        <sz val="12"/>
        <rFont val="Times New Roman"/>
        <family val="1"/>
      </rPr>
      <t>Light (0.45 mm)</t>
    </r>
  </si>
  <si>
    <r>
      <t>b) 24</t>
    </r>
    <r>
      <rPr>
        <sz val="14"/>
        <rFont val="Preeti"/>
      </rPr>
      <t xml:space="preserve"> u]h</t>
    </r>
    <r>
      <rPr>
        <sz val="14"/>
        <rFont val="Times New Roman"/>
        <family val="1"/>
      </rPr>
      <t xml:space="preserve"> </t>
    </r>
    <r>
      <rPr>
        <sz val="11"/>
        <rFont val="Times New Roman"/>
        <family val="1"/>
      </rPr>
      <t>Medium (0.50 mm)</t>
    </r>
  </si>
  <si>
    <r>
      <t>c) 24</t>
    </r>
    <r>
      <rPr>
        <sz val="14"/>
        <rFont val="Preeti"/>
      </rPr>
      <t xml:space="preserve"> u|]h </t>
    </r>
    <r>
      <rPr>
        <sz val="14"/>
        <rFont val="Times New Roman"/>
        <family val="1"/>
      </rPr>
      <t xml:space="preserve"> </t>
    </r>
    <r>
      <rPr>
        <sz val="12"/>
        <rFont val="Times New Roman"/>
        <family val="1"/>
      </rPr>
      <t>Heavy</t>
    </r>
    <r>
      <rPr>
        <sz val="14"/>
        <rFont val="Times New Roman"/>
        <family val="1"/>
      </rPr>
      <t xml:space="preserve"> </t>
    </r>
    <r>
      <rPr>
        <sz val="12"/>
        <rFont val="Times New Roman"/>
        <family val="1"/>
      </rPr>
      <t>(0.52 mm)</t>
    </r>
  </si>
  <si>
    <r>
      <t xml:space="preserve"> -u_ UofNefgfOH8 sf]?u]6]8 h:tfkftf </t>
    </r>
    <r>
      <rPr>
        <b/>
        <sz val="14"/>
        <rFont val="Times New Roman"/>
        <family val="1"/>
      </rPr>
      <t>(G C Sheet)</t>
    </r>
  </si>
  <si>
    <r>
      <t>h:tf kftf sf] w'/L</t>
    </r>
    <r>
      <rPr>
        <sz val="14"/>
        <rFont val="Preeti"/>
      </rPr>
      <t xml:space="preserve"> </t>
    </r>
    <r>
      <rPr>
        <sz val="14"/>
        <rFont val="Times New Roman"/>
        <family val="1"/>
      </rPr>
      <t>(Ridge Cover) Specified  thickness are thickness of base metal.</t>
    </r>
  </si>
  <si>
    <r>
      <t xml:space="preserve">a) 28 </t>
    </r>
    <r>
      <rPr>
        <sz val="14"/>
        <rFont val="Preeti"/>
      </rPr>
      <t>u]h</t>
    </r>
    <r>
      <rPr>
        <sz val="12"/>
        <rFont val="Times New Roman"/>
        <family val="1"/>
      </rPr>
      <t xml:space="preserve"> Light  </t>
    </r>
  </si>
  <si>
    <r>
      <t xml:space="preserve">b) 28 </t>
    </r>
    <r>
      <rPr>
        <sz val="14"/>
        <rFont val="Preeti"/>
      </rPr>
      <t>u]h</t>
    </r>
    <r>
      <rPr>
        <sz val="12"/>
        <rFont val="Times New Roman"/>
        <family val="1"/>
      </rPr>
      <t xml:space="preserve"> Medium</t>
    </r>
  </si>
  <si>
    <r>
      <t xml:space="preserve">c) 28 </t>
    </r>
    <r>
      <rPr>
        <sz val="14"/>
        <rFont val="Preeti"/>
      </rPr>
      <t>u]h</t>
    </r>
    <r>
      <rPr>
        <sz val="12"/>
        <rFont val="Times New Roman"/>
        <family val="1"/>
      </rPr>
      <t xml:space="preserve"> Heavy</t>
    </r>
    <r>
      <rPr>
        <sz val="14"/>
        <rFont val="Times New Roman"/>
        <family val="1"/>
      </rPr>
      <t xml:space="preserve">      </t>
    </r>
  </si>
  <si>
    <r>
      <t xml:space="preserve">a) 26 </t>
    </r>
    <r>
      <rPr>
        <sz val="14"/>
        <rFont val="Preeti"/>
      </rPr>
      <t>u]h</t>
    </r>
    <r>
      <rPr>
        <sz val="12"/>
        <rFont val="Times New Roman"/>
        <family val="1"/>
      </rPr>
      <t xml:space="preserve"> Light</t>
    </r>
  </si>
  <si>
    <r>
      <t xml:space="preserve">b) 26 </t>
    </r>
    <r>
      <rPr>
        <sz val="14"/>
        <rFont val="Preeti"/>
      </rPr>
      <t>u]h</t>
    </r>
    <r>
      <rPr>
        <sz val="12"/>
        <rFont val="Times New Roman"/>
        <family val="1"/>
      </rPr>
      <t xml:space="preserve"> Medium</t>
    </r>
  </si>
  <si>
    <t xml:space="preserve">Supply and fixing of Flex-O Board , False Ceiling  Materials without framing  and fitting charge etc. </t>
  </si>
  <si>
    <t>1220×610×6mm th, 100% water proof cement  board for false ceiling purpose.</t>
  </si>
  <si>
    <t>Supply and errection of aerocon/rapicon prefab panel in partition wall.</t>
  </si>
  <si>
    <t>75 mm thick</t>
  </si>
  <si>
    <t>50 mm thick</t>
  </si>
  <si>
    <t>40 mm thick</t>
  </si>
  <si>
    <t>Supply and fixing of aerocon/rapicon prefab panel  cubical partition wall all complete.</t>
  </si>
  <si>
    <t xml:space="preserve">   M kmnfd] af]N6 M !% k6s;dd k|of]u ug{ ;lsg] To;kl5 @%Ü d"No afFsL /xg] lx;fan] ul/Psf] </t>
  </si>
  <si>
    <t>4.62/6x0.90=0.693</t>
  </si>
  <si>
    <t>gf]6M !=)) j=dL= Ö !^=!$ s]]=hL=</t>
  </si>
  <si>
    <t>gf]6 M ! Jf=dL= Ö @!=%) s]=hL= lnPsf] .</t>
  </si>
  <si>
    <t>kmf]dfO{sf</t>
  </si>
  <si>
    <t>;gdfO{sf</t>
  </si>
  <si>
    <t>l6s KnfO{p8 n]ldg];g u/L hf]lt{df sf7sf] lni6L nufO{ kfl6{;g ug]{ .</t>
  </si>
  <si>
    <t>$ dL=dL=l6s KnfO{</t>
  </si>
  <si>
    <t>s]=hL</t>
  </si>
  <si>
    <r>
      <t xml:space="preserve">$=% </t>
    </r>
    <r>
      <rPr>
        <sz val="10"/>
        <rFont val="Arial"/>
        <family val="2"/>
      </rPr>
      <t>X</t>
    </r>
    <r>
      <rPr>
        <sz val="13"/>
        <rFont val="Preeti"/>
      </rPr>
      <t xml:space="preserve"> @) dL=dL kmnfd] kQL] </t>
    </r>
  </si>
  <si>
    <r>
      <t xml:space="preserve">!@ </t>
    </r>
    <r>
      <rPr>
        <sz val="13"/>
        <rFont val="Arial"/>
        <family val="2"/>
      </rPr>
      <t>x</t>
    </r>
    <r>
      <rPr>
        <sz val="13"/>
        <rFont val="Preeti"/>
      </rPr>
      <t xml:space="preserve"> !@ dL=dL=;f]ln8 sf]/ :Sjfo/ /8sf]</t>
    </r>
  </si>
  <si>
    <t>sf] tof/L /]lnË</t>
  </si>
  <si>
    <t>b/ /]6 k|lt j=dL=sf]</t>
  </si>
  <si>
    <t>Liquid additive and bonding agent for water resistant cement mortar. It is specially formulated liquid polymer additive for use with cement and sand for form mortars having high bond strength and water proofing proportions for the laying of ceramic, mosai</t>
  </si>
  <si>
    <t>OPAL – CONCOAT</t>
  </si>
  <si>
    <t>Protective Coating for reinforced concrete. It is protective coating, which in extremely useful in increasing the life of reinforced cement concrete structures. It protects the RCC from CO2, oxygen, water and other damaging elements in the air.</t>
  </si>
  <si>
    <t>OPAL JOINT SET</t>
  </si>
  <si>
    <t>POLY - SULPHIDE SEALANT</t>
  </si>
  <si>
    <r>
      <t xml:space="preserve">)=%) </t>
    </r>
    <r>
      <rPr>
        <sz val="12"/>
        <rFont val="Arial"/>
        <family val="2"/>
      </rPr>
      <t xml:space="preserve">Plain </t>
    </r>
    <r>
      <rPr>
        <sz val="12"/>
        <rFont val="Preeti"/>
      </rPr>
      <t>zL6</t>
    </r>
  </si>
  <si>
    <r>
      <t>xi)</t>
    </r>
    <r>
      <rPr>
        <sz val="14"/>
        <rFont val="Preeti"/>
      </rPr>
      <t xml:space="preserve"> </t>
    </r>
    <r>
      <rPr>
        <sz val="12"/>
        <rFont val="Preeti"/>
      </rPr>
      <t>ljz]if k|sf/sf]</t>
    </r>
    <r>
      <rPr>
        <sz val="14"/>
        <rFont val="Preeti"/>
      </rPr>
      <t xml:space="preserve"> </t>
    </r>
    <r>
      <rPr>
        <sz val="12"/>
        <rFont val="Preeti"/>
      </rPr>
      <t>s'FlbPsf] ;fnsf] sf7sf] cfFvL em\ofn tof/L</t>
    </r>
  </si>
  <si>
    <t>Mention rates are including supplying of necessary chemicals, labour and applying as per manufacturer specifications or as per consultant's direction.</t>
  </si>
  <si>
    <t>Psftkm{ $ dL=dL= l6sKnfO{p8 n]ldg]6 u/L KnfO{sf] l8nfvfkf agfO{ h8fg ug]{ .</t>
  </si>
  <si>
    <t>e'O{tNnfdf lrDgL e§fsf] O{6f pknAw ug]{,</t>
  </si>
  <si>
    <t>l;d]G6 d;nf -!M#_ tof/ u/L uf/f] nufpg]</t>
  </si>
  <si>
    <r>
      <t xml:space="preserve">b/ ljZn]if0fsf] nflu !) </t>
    </r>
    <r>
      <rPr>
        <sz val="11"/>
        <rFont val="Arial"/>
        <family val="2"/>
      </rPr>
      <t>x</t>
    </r>
    <r>
      <rPr>
        <sz val="11"/>
        <rFont val="Preeti"/>
      </rPr>
      <t xml:space="preserve"> )=(!%</t>
    </r>
    <r>
      <rPr>
        <sz val="10"/>
        <rFont val="Arial"/>
        <family val="2"/>
      </rPr>
      <t>=</t>
    </r>
    <r>
      <rPr>
        <sz val="11"/>
        <rFont val="Preeti"/>
      </rPr>
      <t xml:space="preserve"> (=!% j=dL= lnOPsf]</t>
    </r>
  </si>
  <si>
    <t>r]K6f] O{6f -!M^_ l;d]G6 afn'jfdf 5fkL !M@ l;d]G6, afn'jf</t>
  </si>
  <si>
    <t>hf]gL{df l6Ksf/ ug]{ sfd .</t>
  </si>
  <si>
    <t xml:space="preserve"> O{6f</t>
  </si>
  <si>
    <t>gf]6 M lrDgL e§fsf] O{6f .</t>
  </si>
  <si>
    <t>!!–!#</t>
  </si>
  <si>
    <t>7f8f] O{6f -!M^_ l;d]G6 afn'jfdf 5fkL !M@ l;d]G6, afn'jf</t>
  </si>
  <si>
    <t>vfS;L</t>
  </si>
  <si>
    <t>Ps sf]6 c:t/ u/L b'O{ sf]6 tof/L PNo"ldlgod k]G6 ug]{ .</t>
  </si>
  <si>
    <t xml:space="preserve">jf;]jn l8:6]Dk/ </t>
  </si>
  <si>
    <t xml:space="preserve"> Ps sf]6 k|fO{d/ ;lxt b'O{ sf]6 tof/L jf;]jn l8:6]Dk/ nufpg] sfd .</t>
  </si>
  <si>
    <t>Decorative epoxy coating with perma plaster putty on celing and wall all complete 200 micron. (for pharmaceutical and hospitals floor)</t>
  </si>
  <si>
    <t>cfNd'lgod k]G6</t>
  </si>
  <si>
    <t xml:space="preserve">$)Ü lu§L ^)Ü afn'jf ld&gt;0fsf] lkmN6/ k|of]hg </t>
  </si>
  <si>
    <t>Brass coated handle</t>
  </si>
  <si>
    <t>Door stopper, single brass stopper</t>
  </si>
  <si>
    <t>Door stopper double brass stopper</t>
  </si>
  <si>
    <t>lalaw ;fdfu|Lx?</t>
  </si>
  <si>
    <t>Hold fast different sizes (7 nos./Kg.)</t>
  </si>
  <si>
    <t>Nails (different sizes)</t>
  </si>
  <si>
    <t xml:space="preserve">Nut and Bolts </t>
  </si>
  <si>
    <t>Nut and Bolts (different sizes)</t>
  </si>
  <si>
    <t>Wooden Listy 3/4" wide</t>
  </si>
  <si>
    <t>Wooden Listy 3/4" wide decorative</t>
  </si>
  <si>
    <t xml:space="preserve">s]hL </t>
  </si>
  <si>
    <t xml:space="preserve"> @Æ ;fOh ?lkmË g]N; </t>
  </si>
  <si>
    <t>#Æ ;fOh ?lkmË g]N;</t>
  </si>
  <si>
    <t>Screw  Brass</t>
  </si>
  <si>
    <t>20mm</t>
  </si>
  <si>
    <t>25mm</t>
  </si>
  <si>
    <t>35mm</t>
  </si>
  <si>
    <t>50mm</t>
  </si>
  <si>
    <t>75mm</t>
  </si>
  <si>
    <t>Screw  Steel</t>
  </si>
  <si>
    <t>/f]n</t>
  </si>
  <si>
    <t>!*–@) lkm6 nfdf] afF;</t>
  </si>
  <si>
    <t>h'6 jf kf]lnlygsf] vfnL af]/f</t>
  </si>
  <si>
    <t xml:space="preserve">uf]6f  </t>
  </si>
  <si>
    <t>Dff6f]</t>
  </si>
  <si>
    <t>3=ld=</t>
  </si>
  <si>
    <t>e';</t>
  </si>
  <si>
    <t>uf]j/</t>
  </si>
  <si>
    <t>Marble Chips</t>
  </si>
  <si>
    <t xml:space="preserve"> -s_ ;]tf] /+usf] dfa{n lrK; -@% s]=lh= k|lt af]/f_</t>
  </si>
  <si>
    <t>af]/f</t>
  </si>
  <si>
    <t xml:space="preserve"> -v_ /+uLg dfa{n lrK; -@% s]=lh=_ k|lt af]/f</t>
  </si>
  <si>
    <t xml:space="preserve"> -u_ qm]hL dfa{n -^ ju{ lkm6 k|lt af]/f_</t>
  </si>
  <si>
    <t xml:space="preserve"> -3_ dfa{n kfp8/ -@% s]=lh= k|lt af]/f_</t>
  </si>
  <si>
    <t xml:space="preserve">Æ </t>
  </si>
  <si>
    <t>Godabari Marble in different sizes</t>
  </si>
  <si>
    <t>kfln; u/]sf] . -ld// kf]ln:8 _</t>
  </si>
  <si>
    <t xml:space="preserve"> -ª_  -!%×!%_ ;]=ld= </t>
  </si>
  <si>
    <t>kfln; gu/]sf] . - Snfl;s dfj{n _</t>
  </si>
  <si>
    <t>Marble Rajasthani</t>
  </si>
  <si>
    <t>!^ dL=dL afSnf] /fh:yfgL</t>
  </si>
  <si>
    <t>a=lkm=</t>
  </si>
  <si>
    <t>!^ dL=dL afSnf] u]|gfO6</t>
  </si>
  <si>
    <t>!( dL=dL afSnf] u]|gfO6</t>
  </si>
  <si>
    <t>Porcelain Glazed/Terrazo Mosaic Tiles</t>
  </si>
  <si>
    <t>Terrazo Mosaic Tiles</t>
  </si>
  <si>
    <t>Porcelain Glazed Tiles</t>
  </si>
  <si>
    <t>Spainish Ceramic Wall Tile (31*45cm)</t>
  </si>
  <si>
    <t>Spainish Ceramic Border Tile (31*45cm)</t>
  </si>
  <si>
    <t>Spainish Ceramic Floor Tile (31*45cm)</t>
  </si>
  <si>
    <t>/+u/f]ugsf ;fdfgx?</t>
  </si>
  <si>
    <t>-s_ s[lif r'gaf6 pTkflbt ;]tf] r'g</t>
  </si>
  <si>
    <t>-v_ ljleGg k|sf/sf] /+lug r'g</t>
  </si>
  <si>
    <t>-u_ ljleGg k|sf/sf] ef/lto r'g /+lug</t>
  </si>
  <si>
    <t>-ª_ ;fwf/0f ;]Gy]l6s Ogfd]n k]G6</t>
  </si>
  <si>
    <t>ln6/</t>
  </si>
  <si>
    <t>r_ g]kfn /]8sf] Dof6 lkmlgl;Ë</t>
  </si>
  <si>
    <t>-em_ tof/L cNd'lgod k]G6</t>
  </si>
  <si>
    <t>-`_ tof/L jfg]{;</t>
  </si>
  <si>
    <t>-6_ tof/L jfg]{/ ;]Gy]l6s</t>
  </si>
  <si>
    <t>-7_ ef/lto lyg/</t>
  </si>
  <si>
    <t xml:space="preserve">8_ p8 P08 Unf; k'l6g </t>
  </si>
  <si>
    <t xml:space="preserve">9_ d]6n k'l6g </t>
  </si>
  <si>
    <t xml:space="preserve">!)–!@ </t>
  </si>
  <si>
    <t>l;d]G6 3f]6L tof/ ug]{ .</t>
  </si>
  <si>
    <t xml:space="preserve">%) dL=dL= -@Æ_ afSnf] l;d]G6 s+qmL6 -!M@M$_ ˆnf]/ 9nfg u/L </t>
  </si>
  <si>
    <r>
      <t>#* dL=dL= -!</t>
    </r>
    <r>
      <rPr>
        <sz val="16"/>
        <rFont val="Sama"/>
        <family val="5"/>
      </rPr>
      <t>½</t>
    </r>
    <r>
      <rPr>
        <sz val="16"/>
        <rFont val="Preeti"/>
      </rPr>
      <t xml:space="preserve">Æ_ afSnf] l;d]G6 s+qmL6 -!M@M$_ ˆnf]/ 9nfg u/L </t>
    </r>
  </si>
  <si>
    <t>!!–! 3</t>
  </si>
  <si>
    <t xml:space="preserve">&amp;% dL=dL= -#Æ_ afSnf] l;d]G6 s+qmL6 -!M@M$_ ˆnf]/ 9nfg u/L </t>
  </si>
  <si>
    <t>!!–@</t>
  </si>
  <si>
    <t>It is as polymer modified cementitious coating acrylic water proofing system for a varied number of applications in water proofing and corrosion control. This is two pack systems, which when applied after mixing, gives a flexible coating. Very effective h</t>
  </si>
  <si>
    <t>OPAL – BOND REPAIR</t>
  </si>
  <si>
    <t xml:space="preserve">s_ d]lzgaf6 pTkflbt Sn] 6fon </t>
  </si>
  <si>
    <t xml:space="preserve">v_ lrDgL e§fsf] Sn] 6fon </t>
  </si>
  <si>
    <t>L.G. Deluxe Tiles (300x300x2mm)</t>
  </si>
  <si>
    <t>L.G. Deco Tiles (450x450x3mm)</t>
  </si>
  <si>
    <t>3=lkm=</t>
  </si>
  <si>
    <t>-v_ e};]kf6L, dxfb]j j];Lsf] vf]nfsf] u|fe]n</t>
  </si>
  <si>
    <t>-u_ vfgLsf] u|fe]n -l6sfe}/j_ cfbL</t>
  </si>
  <si>
    <t xml:space="preserve"> -3_ vf]nf÷vfgLsf] :yfgLo u|fe]n</t>
  </si>
  <si>
    <t>qm;/af6 pTkflbt /f]8f</t>
  </si>
  <si>
    <t>s]=hL=</t>
  </si>
  <si>
    <t>sf]nd -kf]i6_ kmdf{ nufpgnfO{ v8f ug]{, sfd ldnfpg], lsnf nufpg]</t>
  </si>
  <si>
    <t xml:space="preserve">   b)  Do but for design ceiling</t>
  </si>
  <si>
    <t xml:space="preserve"> -u_ @)–$) dL= dL= ;fOhsf] </t>
  </si>
  <si>
    <t xml:space="preserve"> -ª_ #–^ dL= dL= ;fOhsf] </t>
  </si>
  <si>
    <t xml:space="preserve">s_ $)– *) dL=dL </t>
  </si>
  <si>
    <t xml:space="preserve">3=lkm </t>
  </si>
  <si>
    <t xml:space="preserve">v_ @)– $) dL=dL </t>
  </si>
  <si>
    <t xml:space="preserve">u_ !)– @)  dL=dL </t>
  </si>
  <si>
    <t xml:space="preserve">3_ %– !)  dL=dL </t>
  </si>
  <si>
    <t>km'6fn]sf] 9'Ëfsf] lu§L</t>
  </si>
  <si>
    <t xml:space="preserve">;fnsf] sf7n] qm; kfl6{;g u/L !@ dL=dL=sdl;{on KnfO{p8df Psftkm{ $ dL=dL=sf]  </t>
  </si>
  <si>
    <r>
      <t>@=% ;]=dL= df]6fO{ l;d]G6 s+qmL6 -!M!</t>
    </r>
    <r>
      <rPr>
        <sz val="16"/>
        <rFont val="Sama"/>
        <family val="5"/>
      </rPr>
      <t>½</t>
    </r>
    <r>
      <rPr>
        <sz val="16"/>
        <rFont val="Preeti"/>
      </rPr>
      <t>M#_ 8]Dk k|'kmLË ug]{ .</t>
    </r>
  </si>
  <si>
    <t>!@ dL=dL= /f]8f</t>
  </si>
  <si>
    <t>#=* ;]=dL= df]6fO{ l;d]G6 s+qmL6 -!M@M$_ 8]Dk k|'kmLË ug]{ .</t>
  </si>
  <si>
    <t>Ps sf]6 lj6'ldg k]G6 8]Dk k|'km sf];{df nufO{ afn'jfn] 5f]Kg] .</t>
  </si>
  <si>
    <t>lj6'ldg</t>
  </si>
  <si>
    <t>v&gt;f] afn'jf vf]nf</t>
  </si>
  <si>
    <t>bfp/f</t>
  </si>
  <si>
    <t>Ps tx 6f/km]N6 nufpg] sfd .</t>
  </si>
  <si>
    <t>Hofldåf/f sDk}S6 ug]{ sfd ;d]t !) dL= b"/Laf6 9'jfgL ug]{ ;fy} l/Ë/f]8;Ddsf] df6f]sf] d"No ;d]t</t>
  </si>
  <si>
    <t>gf]6 M o;df Kn]gl;6sf] rf}8fO @Ú cGbfh ul/Psf] ._</t>
  </si>
  <si>
    <t>-&gt;lds (–@ cg';f/ lnOPsf] o;df Kn]g l;6sf] rf}8fO{ )=^) dL= cGbfh ul/Psf] _</t>
  </si>
  <si>
    <t>v6sf] ;fdfg</t>
  </si>
  <si>
    <t xml:space="preserve">tof/L </t>
  </si>
  <si>
    <t>It is modified sulphonated naphthalene formaldehyde plasticize-cum-retarder for concrete. It is a dark brown liquid. Water reducing up to 25% can be achieved.</t>
  </si>
  <si>
    <t>Sq.ft.</t>
  </si>
  <si>
    <t>OPAL – CEMCURE</t>
  </si>
  <si>
    <t>It is water based emulsion to be applied by brush or spray on fresh concrete surface to remain water in concrete. Suitable for use where curing by water in not possible, or in hot climate.</t>
  </si>
  <si>
    <t>OPAL – AE PLAST</t>
  </si>
  <si>
    <t>An air entraining concrete admixture used for increasing crack resistance, frost resistance etc.</t>
  </si>
  <si>
    <t>OPAL – TILEBOND LIQUID</t>
  </si>
  <si>
    <t>-o;df b/ ljZn]if0f gd{;sf] qm=;+= !! -^_ kfgf g+= !)@ df pNn]lvt ljj/0fnfO{ cfwf/ dfgL ljZn]if0f ul/Psf] 5 ._</t>
  </si>
  <si>
    <t xml:space="preserve">cShflns Pl;8 </t>
  </si>
  <si>
    <t>sfjf]{/]08d 9'+uf</t>
  </si>
  <si>
    <t>b/ k|lt !) j=dL=sf]</t>
  </si>
  <si>
    <t>k'/fgf] kfs]{6 lj5\ofPsf] 7fpFdf 3f]6L kfln; ug]{ sfo{ .</t>
  </si>
  <si>
    <t xml:space="preserve">k'/fgf] df]hfos ˆnf]l/Ë u/]sf] 7fpFdf 3f]6L ;kmf u/L </t>
  </si>
  <si>
    <t>d}g kfln; ;d]t ug]{ sfo{ .</t>
  </si>
  <si>
    <t>ln=</t>
  </si>
  <si>
    <t>sfjf]{/]08d 9'Ëf</t>
  </si>
  <si>
    <r>
      <t>Staircase</t>
    </r>
    <r>
      <rPr>
        <sz val="12"/>
        <rFont val="Preeti"/>
      </rPr>
      <t xml:space="preserve"> sf] </t>
    </r>
    <r>
      <rPr>
        <sz val="12"/>
        <rFont val="Times New Roman"/>
        <family val="1"/>
      </rPr>
      <t>3/4" x 3/4" square pipe</t>
    </r>
    <r>
      <rPr>
        <sz val="12"/>
        <rFont val="Preeti"/>
      </rPr>
      <t xml:space="preserve"> df nufpg] </t>
    </r>
    <r>
      <rPr>
        <sz val="12"/>
        <rFont val="Times New Roman"/>
        <family val="1"/>
      </rPr>
      <t>Brass cap</t>
    </r>
  </si>
  <si>
    <r>
      <t>Staircase</t>
    </r>
    <r>
      <rPr>
        <sz val="12"/>
        <rFont val="Preeti"/>
      </rPr>
      <t xml:space="preserve"> sf] </t>
    </r>
    <r>
      <rPr>
        <sz val="12"/>
        <rFont val="Times New Roman"/>
        <family val="1"/>
      </rPr>
      <t>1" x 1" square pipe</t>
    </r>
    <r>
      <rPr>
        <sz val="12"/>
        <rFont val="Preeti"/>
      </rPr>
      <t xml:space="preserve"> df nufpg] </t>
    </r>
    <r>
      <rPr>
        <sz val="12"/>
        <rFont val="Times New Roman"/>
        <family val="1"/>
      </rPr>
      <t>Brass cap</t>
    </r>
  </si>
  <si>
    <r>
      <t xml:space="preserve">Tarpoline sheet </t>
    </r>
    <r>
      <rPr>
        <sz val="14"/>
        <rFont val="Preeti"/>
      </rPr>
      <t>-tf/kf]lng l;6_</t>
    </r>
  </si>
  <si>
    <r>
      <t xml:space="preserve"> -s_ !)</t>
    </r>
    <r>
      <rPr>
        <sz val="12"/>
        <rFont val="Times New Roman"/>
        <family val="1"/>
      </rPr>
      <t>×</t>
    </r>
    <r>
      <rPr>
        <sz val="12"/>
        <rFont val="Preeti"/>
      </rPr>
      <t xml:space="preserve">!) ;]=ld= </t>
    </r>
  </si>
  <si>
    <r>
      <t xml:space="preserve"> -v_ -!)</t>
    </r>
    <r>
      <rPr>
        <sz val="12"/>
        <rFont val="Times New Roman"/>
        <family val="1"/>
      </rPr>
      <t>×</t>
    </r>
    <r>
      <rPr>
        <sz val="12"/>
        <rFont val="Preeti"/>
      </rPr>
      <t>!%_ ;]=ld=</t>
    </r>
  </si>
  <si>
    <r>
      <t xml:space="preserve"> -u_ -!)</t>
    </r>
    <r>
      <rPr>
        <sz val="12"/>
        <rFont val="Times New Roman"/>
        <family val="1"/>
      </rPr>
      <t>×</t>
    </r>
    <r>
      <rPr>
        <sz val="12"/>
        <rFont val="Preeti"/>
      </rPr>
      <t>@)_ ;]=ld=</t>
    </r>
  </si>
  <si>
    <r>
      <t xml:space="preserve"> -3_ -!)</t>
    </r>
    <r>
      <rPr>
        <sz val="12"/>
        <rFont val="Times New Roman"/>
        <family val="1"/>
      </rPr>
      <t>×</t>
    </r>
    <r>
      <rPr>
        <sz val="12"/>
        <rFont val="Preeti"/>
      </rPr>
      <t>#)_ ;]=ld=</t>
    </r>
  </si>
  <si>
    <r>
      <t xml:space="preserve"> -r_ -!%</t>
    </r>
    <r>
      <rPr>
        <sz val="12"/>
        <rFont val="Times New Roman"/>
        <family val="1"/>
      </rPr>
      <t>×</t>
    </r>
    <r>
      <rPr>
        <sz val="12"/>
        <rFont val="Preeti"/>
      </rPr>
      <t>@)_ ;]=ld=</t>
    </r>
  </si>
  <si>
    <r>
      <t xml:space="preserve"> -5_ -!%</t>
    </r>
    <r>
      <rPr>
        <sz val="12"/>
        <rFont val="Times New Roman"/>
        <family val="1"/>
      </rPr>
      <t>×</t>
    </r>
    <r>
      <rPr>
        <sz val="12"/>
        <rFont val="Preeti"/>
      </rPr>
      <t>#)_ ;]=ld=</t>
    </r>
  </si>
  <si>
    <r>
      <t xml:space="preserve"> -h_ -@)</t>
    </r>
    <r>
      <rPr>
        <sz val="12"/>
        <rFont val="Times New Roman"/>
        <family val="1"/>
      </rPr>
      <t>×</t>
    </r>
    <r>
      <rPr>
        <sz val="12"/>
        <rFont val="Preeti"/>
      </rPr>
      <t xml:space="preserve">@)_ ;]=ld= </t>
    </r>
  </si>
  <si>
    <r>
      <t xml:space="preserve"> -em_ -@)</t>
    </r>
    <r>
      <rPr>
        <sz val="12"/>
        <rFont val="Times New Roman"/>
        <family val="1"/>
      </rPr>
      <t>×</t>
    </r>
    <r>
      <rPr>
        <sz val="12"/>
        <rFont val="Preeti"/>
      </rPr>
      <t xml:space="preserve">#)_ ;]=ld=  </t>
    </r>
  </si>
  <si>
    <t>6«]Grsf] sfddf cfjZos kg]{ v'nf lsl;dsf] sf7sf] sfd pknlAw tyf h8fg ;d]t</t>
  </si>
  <si>
    <t>!=% dL= b]lv # dL= eGbf sd ulx/fO{df .</t>
  </si>
  <si>
    <t>jfln+u tyf :6«6x?</t>
  </si>
  <si>
    <t>b/ ljZn]if0fsf] nflu !)) j=ld= lnOPsf]</t>
  </si>
  <si>
    <t>* dL=dL= jf]N6 g6</t>
  </si>
  <si>
    <t>h] x's</t>
  </si>
  <si>
    <t>lj6'ldg jfz/</t>
  </si>
  <si>
    <t>j=dL=</t>
  </si>
  <si>
    <t>cGbfhL</t>
  </si>
  <si>
    <t>dL6/</t>
  </si>
  <si>
    <t>–</t>
  </si>
  <si>
    <t>Flush door shutter of 38 x 100 mm size sal wood frame with 4 mm thick commercial plywood on both side.</t>
  </si>
  <si>
    <t>Making and fitting fixing flush door shutter of 38 x 100 mm size sal wood frame with 6 mm thick waterproof ply on one side and 4mm thick commercial ply on other side including all necessary hardware fitting all complete.</t>
  </si>
  <si>
    <t>Flush door shutter of 38 x 100 mm size sal wood frame with 6 mm thick waterproof ply on one side and 4mm thick commercial ply on other side</t>
  </si>
  <si>
    <t>Making and fitting fixing flush door shutter of 38 x 100 mm size sal wood frame with 4 mm teak ply on both side including all necessary hardware fitting all complete.</t>
  </si>
  <si>
    <t xml:space="preserve">Supplying and laying Sisam wood wall panelling on wall(with wood frame) </t>
  </si>
  <si>
    <t xml:space="preserve">Aluminium partition with 5 mm thick glass and 9 mm </t>
  </si>
  <si>
    <t xml:space="preserve">Colouring with two coat white washing in new wall surface to give uniform colouring after rendering the surface all complete. </t>
  </si>
  <si>
    <t>Colouring with two coat white washing in new wall surface.</t>
  </si>
  <si>
    <t xml:space="preserve">Colouring with three coat white washing in new ceiling surface to give uniform colouring after rendering the surface all complete. </t>
  </si>
  <si>
    <t xml:space="preserve"> -3_ * dL=dL </t>
  </si>
  <si>
    <t xml:space="preserve"> -ª_ !@ dL=dL </t>
  </si>
  <si>
    <t xml:space="preserve"> -r_ !( dL=dL</t>
  </si>
  <si>
    <t>Water Proof</t>
  </si>
  <si>
    <t xml:space="preserve">s_ $ dL=dL  </t>
  </si>
  <si>
    <t xml:space="preserve">s_ ^ dL=dL  </t>
  </si>
  <si>
    <t xml:space="preserve">v_ * dL=dL= </t>
  </si>
  <si>
    <t xml:space="preserve">u_ !@ dL=dL </t>
  </si>
  <si>
    <t xml:space="preserve">3_ !( dL=dL </t>
  </si>
  <si>
    <t>Natural Teak Plywood</t>
  </si>
  <si>
    <t>One side lamination</t>
  </si>
  <si>
    <t xml:space="preserve"> -v_ $ dL= dL=] </t>
  </si>
  <si>
    <t xml:space="preserve"> -u_ ^ dL=dL=]  </t>
  </si>
  <si>
    <t>Both side lamination</t>
  </si>
  <si>
    <t xml:space="preserve"> -s_ ^ dL=dL=] </t>
  </si>
  <si>
    <t xml:space="preserve"> -v_ ^ dL=dL=] </t>
  </si>
  <si>
    <t xml:space="preserve"> -u_ * dL=dL </t>
  </si>
  <si>
    <t xml:space="preserve"> -3_ !@ dL=dL </t>
  </si>
  <si>
    <t xml:space="preserve"> -ª_ !( dL=dL</t>
  </si>
  <si>
    <t>Prelaminated Particle Board</t>
  </si>
  <si>
    <t>Plain Particle Board (Exteriors Grade)</t>
  </si>
  <si>
    <t xml:space="preserve"> -s_ ( dL =dL  </t>
  </si>
  <si>
    <t xml:space="preserve"> -v_ !@ dL= dL=] </t>
  </si>
  <si>
    <t xml:space="preserve"> -u_ !* dL=dL=]  </t>
  </si>
  <si>
    <t xml:space="preserve"> -3_ @% dL=dL </t>
  </si>
  <si>
    <t xml:space="preserve"> -3_ *Æ  nfdf]  </t>
  </si>
  <si>
    <t xml:space="preserve"> -ª_ !)Æ nfdf]  </t>
  </si>
  <si>
    <t xml:space="preserve"> -r_ !@Æ nfdf] </t>
  </si>
  <si>
    <t xml:space="preserve">Ordinary </t>
  </si>
  <si>
    <t>Special</t>
  </si>
  <si>
    <t>3"×1"</t>
  </si>
  <si>
    <t>4"×1"</t>
  </si>
  <si>
    <t>5"×1"</t>
  </si>
  <si>
    <t>6"</t>
  </si>
  <si>
    <t>8"</t>
  </si>
  <si>
    <t>10"</t>
  </si>
  <si>
    <t>12"</t>
  </si>
  <si>
    <t xml:space="preserve"> -s_ *Æ  nfdf]  </t>
  </si>
  <si>
    <t xml:space="preserve"> -v_ !)Æ nfdf]  </t>
  </si>
  <si>
    <t xml:space="preserve"> -u_ !@Æ nfdf] </t>
  </si>
  <si>
    <t>Special Fittings</t>
  </si>
  <si>
    <t>Pn 8«k M–</t>
  </si>
  <si>
    <t>*Æ nfdf] ============</t>
  </si>
  <si>
    <t>!)Æ nfdf] ===========</t>
  </si>
  <si>
    <t>!@Æ nfdf] ===========</t>
  </si>
  <si>
    <t>x\of08n M –</t>
  </si>
  <si>
    <t>*Æ nfdf] ===========</t>
  </si>
  <si>
    <t>6fj/ af]N6 M –</t>
  </si>
  <si>
    <t>^Æ nfdf] ============</t>
  </si>
  <si>
    <t>8an sn/  -uf]N8 l;Ne/÷ANofs l;Ne/_</t>
  </si>
  <si>
    <t>Mortice Lock</t>
  </si>
  <si>
    <t>Ordinary</t>
  </si>
  <si>
    <t>Chinese</t>
  </si>
  <si>
    <r>
      <t xml:space="preserve">Heritage Wall Surface Texture (Interior and Exterior) including the cost supplying and fitting </t>
    </r>
    <r>
      <rPr>
        <b/>
        <sz val="12"/>
        <rFont val="Times New Roman"/>
        <family val="1"/>
      </rPr>
      <t>(Heritage roller coat)</t>
    </r>
  </si>
  <si>
    <t>!@ dL=dL= KnfO{p8</t>
  </si>
  <si>
    <t>lsnf x's cflb</t>
  </si>
  <si>
    <t>ld=</t>
  </si>
  <si>
    <t># ld6/ b"/Ldf vDaf ufl8 % tx tyf @ j6f 8fouf]gn sf9]tf/ nufpg] sfd .</t>
  </si>
  <si>
    <t>;fnsf] sf7</t>
  </si>
  <si>
    <t>sfF9]tf/</t>
  </si>
  <si>
    <t>o" x's</t>
  </si>
  <si>
    <t>dL=</t>
  </si>
  <si>
    <r>
      <t>-u_ sf] 3</t>
    </r>
    <r>
      <rPr>
        <sz val="10"/>
        <rFont val="Preeti"/>
      </rPr>
      <t>Ü</t>
    </r>
    <r>
      <rPr>
        <sz val="10"/>
        <rFont val="FONTASY_ HIMALI_ TT"/>
        <family val="5"/>
      </rPr>
      <t xml:space="preserve"> n]</t>
    </r>
  </si>
  <si>
    <t>Fixing machinemade clay tile on 1:4 cement sand mortar over wall surface</t>
  </si>
  <si>
    <t>Carved salwood door/wondow fitting</t>
  </si>
  <si>
    <t>Carved salwood Ankhi jhyal dhoka fitting</t>
  </si>
  <si>
    <t>C) Wall to wall (for pharmaceutical and hospitals floor)</t>
  </si>
  <si>
    <t>Water proofing &amp; add Concrete mixture (BASF)</t>
  </si>
  <si>
    <t>xiv) Super bond XS ( Anti-strpping agent)</t>
  </si>
  <si>
    <t>ljifo ;"lr !</t>
  </si>
  <si>
    <t xml:space="preserve"> k]h= g+=</t>
  </si>
  <si>
    <t>ljZn]if)f lstfasf]</t>
  </si>
  <si>
    <t>cfO^d g+=</t>
  </si>
  <si>
    <t>Sqft</t>
  </si>
  <si>
    <t>Round Checker</t>
  </si>
  <si>
    <t>Boby Checker</t>
  </si>
  <si>
    <t>25 mm thick C.C. Tile (Red color)</t>
  </si>
  <si>
    <t>50 mm thick CC Block (Grey color)</t>
  </si>
  <si>
    <t>Cosmix</t>
  </si>
  <si>
    <t>Hexagon</t>
  </si>
  <si>
    <t>Threehex</t>
  </si>
  <si>
    <t>Royal tone Interlock</t>
  </si>
  <si>
    <t>I-Interlock</t>
  </si>
  <si>
    <t>Plus Interlock</t>
  </si>
  <si>
    <t>50 mm thick CC Block (Red color)</t>
  </si>
  <si>
    <t>60 mm thick CC Block (Grey color)</t>
  </si>
  <si>
    <t>60 mm thick CC Block (Red color)</t>
  </si>
  <si>
    <t>70 mm thick CC Block (Grey color)</t>
  </si>
  <si>
    <t>70 mm thick CC Block (Red color)</t>
  </si>
  <si>
    <t xml:space="preserve">Heritage Wall Surface Texture (Interior and Exterior) including the cost supplying and fitting </t>
  </si>
  <si>
    <t xml:space="preserve">i) Heritage granular </t>
  </si>
  <si>
    <t>ii) Heritage flakes</t>
  </si>
  <si>
    <t>iii) Heritage granite finish</t>
  </si>
  <si>
    <t>iv) Heritage roller coat,</t>
  </si>
  <si>
    <t>v) Heritage Top coat (plastic lamination)</t>
  </si>
  <si>
    <t xml:space="preserve">Wooden Parquet Flooring </t>
  </si>
  <si>
    <t>i) Parquet size 1"×6" size</t>
  </si>
  <si>
    <t>iv) Parquet skirting 4 " ×12mm th.</t>
  </si>
  <si>
    <t xml:space="preserve">Teak wood 150mm*30mm*8mm </t>
  </si>
  <si>
    <t xml:space="preserve">* dL=dL= g6 jf]N6 </t>
  </si>
  <si>
    <t>xf]N8 kf:6</t>
  </si>
  <si>
    <t>% dL=dL=P]gf</t>
  </si>
  <si>
    <t>;fdfg</t>
  </si>
  <si>
    <t>b/ ljZn]if0fsf] nflu !) 3=ld= lnOPsf]</t>
  </si>
  <si>
    <t xml:space="preserve"> l;d]G6 </t>
  </si>
  <si>
    <r>
      <t>v)</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</si>
  <si>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t xml:space="preserve">ª_ sfnf]kq] ;8sdf /]vf+sg ug{ k|of]u ul/g] </t>
    </r>
    <r>
      <rPr>
        <sz val="12"/>
        <rFont val="Times New Roman"/>
        <family val="1"/>
      </rPr>
      <t xml:space="preserve">Therom Plastic Road marking </t>
    </r>
    <r>
      <rPr>
        <sz val="14"/>
        <rFont val="Preeti"/>
      </rPr>
      <t>;fdfu|L</t>
    </r>
  </si>
  <si>
    <r>
      <t xml:space="preserve"> -s_ ljleGg ;fOhsf</t>
    </r>
    <r>
      <rPr>
        <b/>
        <sz val="12"/>
        <rFont val="Times New Roman"/>
        <family val="1"/>
      </rPr>
      <t xml:space="preserve"> TMT Bar</t>
    </r>
  </si>
  <si>
    <r>
      <t xml:space="preserve"> -v_ ljleGg ;fOhsf] </t>
    </r>
    <r>
      <rPr>
        <b/>
        <sz val="12"/>
        <rFont val="Times New Roman"/>
        <family val="1"/>
      </rPr>
      <t>TOR Steel</t>
    </r>
    <r>
      <rPr>
        <sz val="12"/>
        <rFont val="Times New Roman"/>
        <family val="1"/>
      </rPr>
      <t xml:space="preserve"> </t>
    </r>
  </si>
  <si>
    <r>
      <t xml:space="preserve"> a)</t>
    </r>
    <r>
      <rPr>
        <sz val="14"/>
        <rFont val="Preeti"/>
      </rPr>
      <t xml:space="preserve"> </t>
    </r>
    <r>
      <rPr>
        <sz val="12"/>
        <rFont val="Times New Roman"/>
        <family val="1"/>
      </rPr>
      <t>8mm dia TOR steel</t>
    </r>
    <r>
      <rPr>
        <sz val="14"/>
        <rFont val="Preeti"/>
      </rPr>
      <t xml:space="preserve"> </t>
    </r>
  </si>
  <si>
    <r>
      <t>yk b/ ljZn]if0</t>
    </r>
    <r>
      <rPr>
        <sz val="20"/>
        <rFont val="Preeti"/>
      </rPr>
      <t>f</t>
    </r>
  </si>
  <si>
    <r>
      <t xml:space="preserve">#* </t>
    </r>
    <r>
      <rPr>
        <sz val="9"/>
        <rFont val="Arial"/>
        <family val="2"/>
      </rPr>
      <t xml:space="preserve">X  </t>
    </r>
    <r>
      <rPr>
        <sz val="16"/>
        <rFont val="Preeti"/>
      </rPr>
      <t xml:space="preserve">!)) dL=dL= ;fn sf7sf] k|m]dsf] Kofgnx?df * dL=dL=sf] sdl;{on KnfO{p8 /fvL </t>
    </r>
  </si>
  <si>
    <r>
      <t xml:space="preserve">#* </t>
    </r>
    <r>
      <rPr>
        <sz val="9"/>
        <rFont val="Arial"/>
        <family val="2"/>
      </rPr>
      <t xml:space="preserve">X  </t>
    </r>
    <r>
      <rPr>
        <sz val="16"/>
        <rFont val="Preeti"/>
      </rPr>
      <t xml:space="preserve">!)) dL=dL= ;fn sf7sf] k|m]dsf] Kofgnx?df * dL=dL=sf] jf6/k|'km KnfO{p8 /fvL </t>
    </r>
  </si>
  <si>
    <r>
      <t xml:space="preserve">&amp;% </t>
    </r>
    <r>
      <rPr>
        <sz val="10"/>
        <rFont val="Arial"/>
        <family val="2"/>
      </rPr>
      <t>X</t>
    </r>
    <r>
      <rPr>
        <sz val="16"/>
        <rFont val="Preeti"/>
      </rPr>
      <t xml:space="preserve"> &amp;% dL=dL= ;fO{hsf] cu|fv sf7sf] !=&amp;! </t>
    </r>
    <r>
      <rPr>
        <sz val="10"/>
        <rFont val="Arial"/>
        <family val="2"/>
      </rPr>
      <t>X</t>
    </r>
    <r>
      <rPr>
        <sz val="16"/>
        <rFont val="Preeti"/>
      </rPr>
      <t xml:space="preserve"> !=*^ dL=sf] sf]7fdf %) </t>
    </r>
    <r>
      <rPr>
        <sz val="10"/>
        <rFont val="Arial"/>
        <family val="2"/>
      </rPr>
      <t>X</t>
    </r>
    <r>
      <rPr>
        <sz val="16"/>
        <rFont val="Preeti"/>
      </rPr>
      <t xml:space="preserve"> &amp;% dL=dL= ;fO{hsf]</t>
    </r>
  </si>
  <si>
    <r>
      <t xml:space="preserve">$=% </t>
    </r>
    <r>
      <rPr>
        <sz val="10"/>
        <rFont val="Arial"/>
        <family val="2"/>
      </rPr>
      <t>X</t>
    </r>
    <r>
      <rPr>
        <sz val="16"/>
        <rFont val="Preeti"/>
      </rPr>
      <t xml:space="preserve"> @) dL=dL= kmnfd] kftfsf] k|m]ddf !@ </t>
    </r>
    <r>
      <rPr>
        <sz val="16"/>
        <rFont val="Arial"/>
        <family val="2"/>
      </rPr>
      <t>x</t>
    </r>
    <r>
      <rPr>
        <sz val="16"/>
        <rFont val="Preeti"/>
      </rPr>
      <t xml:space="preserve"> !@ dL=dL=;f]ln8 sf]/ :Sjfo/ /8sf] lu|n agfO{ vfS;L nufO{ /]8cS;fO8 tyf cNd'lgod k]G6 ;d]t u/L hf]8\g]</t>
    </r>
  </si>
  <si>
    <r>
      <t xml:space="preserve">gf]6 M !=)) j08n h:tf nDafO{{ &amp;@Ú–)Æ / rf}8fO{ @Ú–&amp;=%Æ dfg]sf] . -&amp;@Ú </t>
    </r>
    <r>
      <rPr>
        <sz val="10"/>
        <rFont val="Arial"/>
        <family val="2"/>
      </rPr>
      <t>x</t>
    </r>
    <r>
      <rPr>
        <sz val="10"/>
        <rFont val="Preeti"/>
      </rPr>
      <t xml:space="preserve"> @Ú–&amp;=%</t>
    </r>
    <r>
      <rPr>
        <sz val="10"/>
        <rFont val="Arial"/>
        <family val="2"/>
      </rPr>
      <t>=</t>
    </r>
    <r>
      <rPr>
        <sz val="10"/>
        <rFont val="Preeti"/>
      </rPr>
      <t>+ !&amp;=%^ j=dL=_</t>
    </r>
  </si>
  <si>
    <r>
      <t>vi)</t>
    </r>
    <r>
      <rPr>
        <sz val="14"/>
        <rFont val="Preeti"/>
      </rPr>
      <t xml:space="preserve"> </t>
    </r>
    <r>
      <rPr>
        <sz val="12"/>
        <rFont val="Preeti"/>
      </rPr>
      <t>b]jL b]jtfsf] d'lt{ s'FlbPsf]  ^… b]lv &amp;… nfdf]  -#Æ</t>
    </r>
    <r>
      <rPr>
        <sz val="12"/>
        <rFont val="Times New Roman"/>
        <family val="1"/>
      </rPr>
      <t>x</t>
    </r>
    <r>
      <rPr>
        <sz val="12"/>
        <rFont val="Preeti"/>
      </rPr>
      <t xml:space="preserve"> *Æ_ ;fn sf7df 6'F8fn agfpg] sfd</t>
    </r>
  </si>
  <si>
    <r>
      <t>vii)</t>
    </r>
    <r>
      <rPr>
        <sz val="14"/>
        <rFont val="Preeti"/>
      </rPr>
      <t xml:space="preserve"> </t>
    </r>
    <r>
      <rPr>
        <sz val="12"/>
        <rFont val="Preeti"/>
      </rPr>
      <t>ljleGg a'§f tyf b]jL b]jtfsf] d'lt{ s'FlbPsf] ;fn sf7sf] em\ofn 9f]sf agfpg] sfd -vfkfsf] df6fO{ $) ld=ld= b]lv %) ld=ld= ;Dd _</t>
    </r>
  </si>
  <si>
    <r>
      <t>viii)</t>
    </r>
    <r>
      <rPr>
        <sz val="14"/>
        <rFont val="Preeti"/>
      </rPr>
      <t xml:space="preserve"> </t>
    </r>
    <r>
      <rPr>
        <sz val="12"/>
        <rFont val="Preeti"/>
      </rPr>
      <t>3f]8fsf] cfs[lt ul/ s'FlbPsf] $Æ</t>
    </r>
    <r>
      <rPr>
        <sz val="12"/>
        <rFont val="Times New Roman"/>
        <family val="1"/>
      </rPr>
      <t>x</t>
    </r>
    <r>
      <rPr>
        <sz val="12"/>
        <rFont val="Preeti"/>
      </rPr>
      <t xml:space="preserve"> %Æ ;fOhsf] #… b]lv $… nfdf] ;fn sf7sf] tof/L 6'F8fn agfpg] sfd .</t>
    </r>
  </si>
  <si>
    <t>#)) dL=dL=nlsË ;]6</t>
  </si>
  <si>
    <t>df]l6{; ns -;fwf/0f_</t>
  </si>
  <si>
    <t xml:space="preserve"> k]r lsnf</t>
  </si>
  <si>
    <t xml:space="preserve">df]l6{; ns </t>
  </si>
  <si>
    <t xml:space="preserve"> $ dL=dL= sdl;{on KnfO{p8</t>
  </si>
  <si>
    <t xml:space="preserve"> ^ dL=dL= sdl;{on KnfO{p8</t>
  </si>
  <si>
    <t xml:space="preserve">!!–! v </t>
  </si>
  <si>
    <t>!!–! Uf</t>
  </si>
  <si>
    <t>!)–!&amp;</t>
  </si>
  <si>
    <t>@% dL=dL= cu|fv sf7sf] O{E; -d'7n_ agfO{ hf]8\g] .</t>
  </si>
  <si>
    <t>on both side, finishing of joints with compound &amp; tape all complete overall thickness 75mm</t>
  </si>
  <si>
    <t>d]6n :68sf] jfn kf6]{;g</t>
  </si>
  <si>
    <t>Gypsum or Boral plaster board wall panelling :</t>
  </si>
  <si>
    <t>@ v</t>
  </si>
  <si>
    <t>leQf Pj+ l;lnËdf Kn]g Knf:6/ ckm k]l/; ug]{ sfo{ .</t>
  </si>
  <si>
    <t>Knf:6/ ckm k]l/;</t>
  </si>
  <si>
    <t>@) dL=dL= r'gf ;'sL{ Knfi6/ -!M@_ efudf sfd ug]{ .</t>
  </si>
  <si>
    <t>6f6f /]8 cS;fO8 k]G6 Ps sf]6 nufpg] sfd .</t>
  </si>
  <si>
    <t>6f6f /]8 cS;fO8</t>
  </si>
  <si>
    <t>6f6f /]8 cS;fO8 k]G6 b'O{ sf]6 nufpg] sfd .</t>
  </si>
  <si>
    <t>It is a two pack poly sulphide base sealant with available grades. It provides strong and highly elastic sealant through cross linking process. Joint Set (G) gun applied for non – sag type for vertical and inclined expansion contraction joints and (P) pou</t>
  </si>
  <si>
    <t>kg</t>
  </si>
  <si>
    <r>
      <t>40mm th. , (600×1800)mm</t>
    </r>
    <r>
      <rPr>
        <vertAlign val="superscript"/>
        <sz val="12"/>
        <rFont val="Times New Roman"/>
        <family val="1"/>
      </rPr>
      <t>2</t>
    </r>
    <r>
      <rPr>
        <sz val="12"/>
        <rFont val="Times New Roman"/>
        <family val="1"/>
      </rPr>
      <t>(12×6) ft</t>
    </r>
  </si>
  <si>
    <r>
      <t>40mm th. , (600×1500)mm</t>
    </r>
    <r>
      <rPr>
        <vertAlign val="superscript"/>
        <sz val="12"/>
        <rFont val="Times New Roman"/>
        <family val="1"/>
      </rPr>
      <t>2</t>
    </r>
    <r>
      <rPr>
        <sz val="12"/>
        <rFont val="Times New Roman"/>
        <family val="1"/>
      </rPr>
      <t>(12×5) ft</t>
    </r>
  </si>
  <si>
    <r>
      <t xml:space="preserve"> @Ú–^Æ b]lv #Ú–)Æ ;Dd prfO{ ePsf] ^Æ</t>
    </r>
    <r>
      <rPr>
        <sz val="16"/>
        <rFont val="Arial"/>
        <family val="2"/>
      </rPr>
      <t xml:space="preserve">x </t>
    </r>
    <r>
      <rPr>
        <sz val="16"/>
        <rFont val="Preeti"/>
      </rPr>
      <t>^Æ ;fO{hsf] ;fn jf lzzf} sf7sf] snfTds kf]i6 tyf #Æ</t>
    </r>
    <r>
      <rPr>
        <sz val="16"/>
        <rFont val="Arial"/>
        <family val="2"/>
      </rPr>
      <t>x</t>
    </r>
    <r>
      <rPr>
        <sz val="16"/>
        <rFont val="Preeti"/>
      </rPr>
      <t xml:space="preserve"> #Æ;fO{hsf] snfTds an':6/ /fvL #Æ</t>
    </r>
    <r>
      <rPr>
        <sz val="16"/>
        <rFont val="Arial"/>
        <family val="2"/>
      </rPr>
      <t>x</t>
    </r>
    <r>
      <rPr>
        <sz val="16"/>
        <rFont val="Preeti"/>
      </rPr>
      <t>$Æ ;fO{hsf] ;fn jf lzzf}sf] x\of08/]n agfO{ h8fg ug]{ sfd .</t>
    </r>
  </si>
  <si>
    <t>sf]7f agfO{ ljleGg lsl;dsf] kmN; l;lnË 7f]Sg] $ dL=dL= sdl;{on KnfO{p8</t>
  </si>
  <si>
    <t>8 dL=dL=sdl;{on KnfO{</t>
  </si>
  <si>
    <t>;|f]t ;fwg</t>
  </si>
  <si>
    <t>tx÷lsl;d</t>
  </si>
  <si>
    <t>kl/df0f</t>
  </si>
  <si>
    <t>PsfO{</t>
  </si>
  <si>
    <t>b/ k|lt PsfO{</t>
  </si>
  <si>
    <t>/sd</t>
  </si>
  <si>
    <t xml:space="preserve">s_ !Æ ;Dd afSnf] ;km{]; 8]«; u/]sf] 5fKg] 9'Ëf </t>
  </si>
  <si>
    <t>j=lkm</t>
  </si>
  <si>
    <t xml:space="preserve">u_@Æ ;Dd afSnf] 9'Ëf     ,,          ,,      </t>
  </si>
  <si>
    <t xml:space="preserve">ljleGg k|sf/sf] afn'jf </t>
  </si>
  <si>
    <t xml:space="preserve">s_ vf]nfsf] grfn]sf] v;\f] afn'[jf </t>
  </si>
  <si>
    <t xml:space="preserve">v_ vfgLsf] grfn]sf] afn'jf </t>
  </si>
  <si>
    <t xml:space="preserve">u_ vfgLsf] rfn]sf] / kvfn]sf] afn'jf </t>
  </si>
  <si>
    <t>;8s sfnf] kq] ug]{ sfdsf] nfuL</t>
  </si>
  <si>
    <t xml:space="preserve">s]=hL </t>
  </si>
  <si>
    <t>s]=lh=</t>
  </si>
  <si>
    <t>i)   B.S. Grade</t>
  </si>
  <si>
    <t>s]=lh</t>
  </si>
  <si>
    <t>ii)  Most Grade</t>
  </si>
  <si>
    <t>iii) Glass beads</t>
  </si>
  <si>
    <t xml:space="preserve">ljleGg sDkgLaf6 pTkflbt l;d]G6x? </t>
  </si>
  <si>
    <t xml:space="preserve">s_ x]6f}+8f l;d]G6 </t>
  </si>
  <si>
    <t>Aofu</t>
  </si>
  <si>
    <t>v_ pbok'/ l;d]G6</t>
  </si>
  <si>
    <t>Filling 110mm lead caulked joint @ 4 lbs per joint  all complete.</t>
  </si>
  <si>
    <t>110mm lead caulked joint @ 4 lbs per joint.</t>
  </si>
  <si>
    <t>Filling 150mm lead caulked joint @ 4lbs per joint  all complete.</t>
  </si>
  <si>
    <t>150mm lead caulked joint @ 4lbs per joint .</t>
  </si>
  <si>
    <t>50mm PVC pipe of 4 kg/cm2  and instruction all complete.</t>
  </si>
  <si>
    <t>75mm PVC pipe of 4 kg/cm2  and instruction all complete.</t>
  </si>
  <si>
    <t>110mm PVC pipe of 4 kg/cm2  and instruction all complete.</t>
  </si>
  <si>
    <t>@) dL=dL= afSnf] l;d]G6 afn'jf Knfi6/ -!M$_ efudf  .</t>
  </si>
  <si>
    <t>@) dL=dL= afSnf] l;d]G6 afn'jf Knfi6/ -!M^_ efudf  .</t>
  </si>
  <si>
    <t>dfn;fdfg pknAw u/L sf]?u]6]8 /+lug ss{6</t>
  </si>
  <si>
    <t>d]lzg d]8 6fO{n</t>
  </si>
  <si>
    <t>d]lzg d]8 w'/L</t>
  </si>
  <si>
    <t xml:space="preserve">-;fwf/0f_ </t>
  </si>
  <si>
    <t>Xofl8n ;fwf/0f</t>
  </si>
  <si>
    <t>Xof08n -;fwf/0f_</t>
  </si>
  <si>
    <t>?=</t>
  </si>
  <si>
    <t>k}=</t>
  </si>
  <si>
    <t>%=) dL=dL= P]gf vfkf agfO{ h8fg ug]{ .</t>
  </si>
  <si>
    <t>$ dL=dL= l6s KnfO{</t>
  </si>
  <si>
    <t>Supplying and laying Teak wood Parqueting on floor polishing all complete(150mm*30mm*8mm)</t>
  </si>
  <si>
    <t>Supplying and laying Sisam wood wall panelling on wall(with wood frame) polishing all complete(75mm*16mm)</t>
  </si>
  <si>
    <t>Elastocrete cementitious elastomeric water proofing coating 2 components</t>
  </si>
  <si>
    <r>
      <t>gf]6 M d]lzg k|of]u gu/L HofdL ;+Vof !#</t>
    </r>
    <r>
      <rPr>
        <sz val="10"/>
        <rFont val="Sama"/>
        <family val="5"/>
      </rPr>
      <t>½</t>
    </r>
    <r>
      <rPr>
        <sz val="10"/>
        <rFont val="Preeti"/>
      </rPr>
      <t xml:space="preserve"> j9fpg] x'g] hDdf b/ ?= ==========÷========= k}= jf:tljs b//]6 ?= ===========÷===========k}=</t>
    </r>
  </si>
  <si>
    <t>:yfgLo sdl;{on afg]{; Ps sf]6 nufpg] sfd .</t>
  </si>
  <si>
    <t>:yfgLo sdl;{on afg]{; b'O{ sf]6 nufpg] sfd .</t>
  </si>
  <si>
    <t>-gf]6M !^–!* u]hsf] :6«Lk k|of]u ug]{ u/L lx;fj ul/Psf]_</t>
  </si>
  <si>
    <t>c:t/ jfx]s Ps sf]6 Knfli6s OdN;g k]G6 ug]{ sfd .</t>
  </si>
  <si>
    <t>rf}sf];df % dL=dL= df]6fO{sf] P]gf sf7sf] lni6L nufO{ hf]8\g] .</t>
  </si>
  <si>
    <t>% dL=dL= P]gf</t>
  </si>
  <si>
    <t xml:space="preserve">!@=% dL=dL= afSnf] l;d]G6 afn'jf Knfi6/ -!M#_ efudf l;lnËdf ug]{ . </t>
  </si>
  <si>
    <t>White glazed  Oval wash basin 55X40cm all complete set.</t>
  </si>
  <si>
    <t>White glazed Cval wash basin 55X40cm  size European pattern american standard with brackets 32mm bottle trap, 32mm CP waste coupling with CP chain and rubber plug, Basin mixer (jaquar, essco or eqv.) and  ½"x18" pipe connector etc  all complete.</t>
  </si>
  <si>
    <t>White glazed Oval wash basin 55X40cm European pattern (american Standard) with mixer all complete set.</t>
  </si>
  <si>
    <t xml:space="preserve"> @&amp;_ a'§]bf/L slg{z O6f s'gf</t>
  </si>
  <si>
    <t xml:space="preserve"> @(_  ‰ofn dflysf] slg{z O{6f a'§]bf/L </t>
  </si>
  <si>
    <t xml:space="preserve"> #$_ ef} Kjf</t>
  </si>
  <si>
    <t xml:space="preserve"> #%_ tfdf kftf</t>
  </si>
  <si>
    <t>s]lh</t>
  </si>
  <si>
    <t xml:space="preserve"> #^_ lkQn kftf</t>
  </si>
  <si>
    <t xml:space="preserve"> #&amp;_ kf/f]</t>
  </si>
  <si>
    <t>Tff]nf</t>
  </si>
  <si>
    <t xml:space="preserve"> #*_ ;"ls{ O6f s'l6 w'nf] agfPsf] .</t>
  </si>
  <si>
    <t>6g</t>
  </si>
  <si>
    <t>1==3</t>
  </si>
  <si>
    <t>3==5</t>
  </si>
  <si>
    <t>5==13</t>
  </si>
  <si>
    <t>13==18</t>
  </si>
  <si>
    <t>18==22</t>
  </si>
  <si>
    <t>22==26</t>
  </si>
  <si>
    <t>27==30</t>
  </si>
  <si>
    <t>31==42</t>
  </si>
  <si>
    <t>43==53</t>
  </si>
  <si>
    <t>54==57</t>
  </si>
  <si>
    <t>57==66</t>
  </si>
  <si>
    <t>66==71</t>
  </si>
  <si>
    <t>71==74</t>
  </si>
  <si>
    <t>74==76</t>
  </si>
  <si>
    <t>76==79</t>
  </si>
  <si>
    <t>Knfi6/sf] sfd</t>
  </si>
  <si>
    <t>;fO{6 ;kmf ug]{ sfd</t>
  </si>
  <si>
    <r>
      <t xml:space="preserve">Supplying and fixing of 8mm medium density </t>
    </r>
    <r>
      <rPr>
        <b/>
        <sz val="12"/>
        <rFont val="Times New Roman"/>
        <family val="1"/>
      </rPr>
      <t>fiber board</t>
    </r>
    <r>
      <rPr>
        <sz val="12"/>
        <rFont val="Times New Roman"/>
        <family val="1"/>
      </rPr>
      <t xml:space="preserve"> of merhok fiter. Malaysian vertical wall paneling</t>
    </r>
  </si>
  <si>
    <r>
      <t xml:space="preserve">Structural strengthening and </t>
    </r>
    <r>
      <rPr>
        <b/>
        <sz val="12"/>
        <rFont val="Times New Roman"/>
        <family val="1"/>
      </rPr>
      <t>Retrofitting</t>
    </r>
    <r>
      <rPr>
        <sz val="12"/>
        <rFont val="Times New Roman"/>
        <family val="1"/>
      </rPr>
      <t xml:space="preserve"> works using Carbonex fiber wrap including material, labour all complete</t>
    </r>
  </si>
  <si>
    <r>
      <t xml:space="preserve">Washable </t>
    </r>
    <r>
      <rPr>
        <b/>
        <sz val="12"/>
        <rFont val="Times New Roman"/>
        <family val="1"/>
      </rPr>
      <t>Wall Paper</t>
    </r>
    <r>
      <rPr>
        <sz val="12"/>
        <rFont val="Times New Roman"/>
        <family val="1"/>
      </rPr>
      <t xml:space="preserve"> on cement wall with one coat of primer all complete.</t>
    </r>
  </si>
  <si>
    <r>
      <t xml:space="preserve">!@=% dL=dL  df]6fOsf] </t>
    </r>
    <r>
      <rPr>
        <sz val="12"/>
        <rFont val="Times New Roman"/>
        <family val="1"/>
      </rPr>
      <t>Perforated board</t>
    </r>
    <r>
      <rPr>
        <sz val="12"/>
        <rFont val="Preeti"/>
      </rPr>
      <t xml:space="preserve"> </t>
    </r>
    <r>
      <rPr>
        <sz val="14"/>
        <rFont val="Preeti"/>
      </rPr>
      <t xml:space="preserve">sf] sfd </t>
    </r>
  </si>
  <si>
    <t xml:space="preserve">sfd k'/f #) dL6/;Dd 9'jfgL ;lxt </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</si>
  <si>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</si>
  <si>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</si>
  <si>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</si>
  <si>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</si>
  <si>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r>
      <t>cfNd'lgod s};d]G6 em\ofn 6fOk–</t>
    </r>
    <r>
      <rPr>
        <sz val="12"/>
        <rFont val="Arial"/>
        <family val="2"/>
      </rPr>
      <t xml:space="preserve">A </t>
    </r>
    <r>
      <rPr>
        <sz val="12"/>
        <rFont val="Preeti"/>
      </rPr>
      <t>-#&amp;</t>
    </r>
    <r>
      <rPr>
        <sz val="12"/>
        <rFont val="Arial"/>
        <family val="2"/>
      </rPr>
      <t>x</t>
    </r>
    <r>
      <rPr>
        <sz val="12"/>
        <rFont val="Preeti"/>
      </rPr>
      <t>#*=%)</t>
    </r>
    <r>
      <rPr>
        <sz val="12"/>
        <rFont val="Arial"/>
        <family val="2"/>
      </rPr>
      <t>X</t>
    </r>
    <r>
      <rPr>
        <sz val="12"/>
        <rFont val="Preeti"/>
      </rPr>
      <t xml:space="preserve">!=&amp;) dL=dL=_ </t>
    </r>
  </si>
  <si>
    <t xml:space="preserve"> -u_ @ dL=dL= df]6f]        Æ     Æ</t>
  </si>
  <si>
    <t xml:space="preserve"> -3_ # dL= dL=  df]6f]      Æ    Æ</t>
  </si>
  <si>
    <t>Rm</t>
  </si>
  <si>
    <t>no.</t>
  </si>
  <si>
    <t xml:space="preserve"> -s_ #Æ  ;fOh </t>
  </si>
  <si>
    <t xml:space="preserve"> -v_ $Æ ;fOh </t>
  </si>
  <si>
    <t xml:space="preserve"> -u_ %Æ ;fOh </t>
  </si>
  <si>
    <t xml:space="preserve"> -3_ ^Æ ;fOh </t>
  </si>
  <si>
    <t>Locking Set (L-drop)</t>
  </si>
  <si>
    <t>300 mm</t>
  </si>
  <si>
    <t>225 mm</t>
  </si>
  <si>
    <t>150 mm</t>
  </si>
  <si>
    <t xml:space="preserve"> -s_ #Æ  nfdf] </t>
  </si>
  <si>
    <t xml:space="preserve"> -v_ $Æ  nfdf] </t>
  </si>
  <si>
    <t xml:space="preserve"> -u_ ^Æ   nfdf]   </t>
  </si>
  <si>
    <t>/fd ltns</t>
  </si>
  <si>
    <t>ud</t>
  </si>
  <si>
    <t>gf]6 M !Æ j/fj/ @=%$ ;]=dL= kmn]ssf] lx;fj ul/Psf] sf7x? ^ k6s;Dd k|of]u u/L;s]kl5 @%Ü d"No afFsL x'g] u/L lx;fj ul/Psf]]_</t>
  </si>
  <si>
    <t>Fixing of glazed shutter in 38x75 mm thick sal wood frame with 3mm thick  plain glass fitted.</t>
  </si>
  <si>
    <t xml:space="preserve">Fixing of glazed shutter in 38x75 mm thick sal wood frame with 4mm thick  plain glass fitted including all necessary hardware fittings all complete. </t>
  </si>
  <si>
    <t>Fixing of glazed shutter in 38x75 mm thick sal wood frame with 4mm thick  plain glass fitted.</t>
  </si>
  <si>
    <t xml:space="preserve"> 50mm dia galvanized Iron (GI) pipe with necessary hardware  all complete.(Heavy)</t>
  </si>
  <si>
    <t xml:space="preserve"> 80mm dia galvanized Iron (GI) pipe  necessary hardware  all complete.(Heavy)</t>
  </si>
  <si>
    <r>
      <t xml:space="preserve">b/ ljZn]if0fsf] nflu (=&amp;% </t>
    </r>
    <r>
      <rPr>
        <sz val="8"/>
        <rFont val="Arial"/>
        <family val="2"/>
      </rPr>
      <t>X</t>
    </r>
    <r>
      <rPr>
        <sz val="10"/>
        <rFont val="Preeti"/>
      </rPr>
      <t xml:space="preserve"> #=^% Ö #%=%* j=ld= lnOPsf]</t>
    </r>
  </si>
  <si>
    <t>b) Top hung window with bottom fixed</t>
  </si>
  <si>
    <t>c) Single casement with bottom fixed</t>
  </si>
  <si>
    <t>d) Double casement  with bottom fixed</t>
  </si>
  <si>
    <t>f)    ,,       ,,       ,,     with centre  fixed</t>
  </si>
  <si>
    <t>cf/=;L=;L= nflu kmnfd] 808L sf6\g], df]8\g]</t>
  </si>
  <si>
    <t>kmn]s hfd"g</t>
  </si>
  <si>
    <r>
      <t>-lk=;L=;L= ! M !</t>
    </r>
    <r>
      <rPr>
        <vertAlign val="superscript"/>
        <sz val="16"/>
        <rFont val="Preeti"/>
      </rPr>
      <t>!</t>
    </r>
    <r>
      <rPr>
        <sz val="16"/>
        <rFont val="Preeti"/>
      </rPr>
      <t>÷</t>
    </r>
    <r>
      <rPr>
        <vertAlign val="subscript"/>
        <sz val="16"/>
        <rFont val="Preeti"/>
      </rPr>
      <t xml:space="preserve">@ </t>
    </r>
    <r>
      <rPr>
        <sz val="16"/>
        <rFont val="Preeti"/>
      </rPr>
      <t>M #_</t>
    </r>
  </si>
  <si>
    <t>b/ ljZn]if0fsf] nflu ! Df]=6= lnOPsf]</t>
  </si>
  <si>
    <r>
      <t>!@ dL=dL= df]6fOsf]</t>
    </r>
    <r>
      <rPr>
        <sz val="12"/>
        <rFont val="Preeti"/>
      </rPr>
      <t xml:space="preserve">] </t>
    </r>
    <r>
      <rPr>
        <sz val="12"/>
        <rFont val="Times New Roman"/>
        <family val="1"/>
      </rPr>
      <t xml:space="preserve">Soft board </t>
    </r>
    <r>
      <rPr>
        <sz val="14"/>
        <rFont val="Preeti"/>
      </rPr>
      <t>sf] sfd</t>
    </r>
  </si>
  <si>
    <r>
      <t>Supplying and providing water proof treatment with poly magic treatment. Water membrane 3 kg/m</t>
    </r>
    <r>
      <rPr>
        <vertAlign val="superscript"/>
        <sz val="12"/>
        <rFont val="Times New Roman"/>
        <family val="1"/>
      </rPr>
      <t>2</t>
    </r>
    <r>
      <rPr>
        <sz val="12"/>
        <rFont val="Times New Roman"/>
        <family val="1"/>
      </rPr>
      <t xml:space="preserve"> including coating of surface with comfortable Multiplas polymer force application with 10cm. over lap all complete.</t>
    </r>
  </si>
  <si>
    <r>
      <t xml:space="preserve">rfOlgh O{6f, 9'Ëfsf] ufx|f]df kfgL gl5g{] u/L </t>
    </r>
    <r>
      <rPr>
        <sz val="12"/>
        <rFont val="Times New Roman"/>
        <family val="1"/>
      </rPr>
      <t>treatment</t>
    </r>
    <r>
      <rPr>
        <sz val="14"/>
        <rFont val="Preeti"/>
      </rPr>
      <t xml:space="preserve"> ug{] sfd . </t>
    </r>
  </si>
  <si>
    <r>
      <t xml:space="preserve">            </t>
    </r>
    <r>
      <rPr>
        <sz val="12"/>
        <rFont val="Times New Roman"/>
        <family val="1"/>
      </rPr>
      <t>i.</t>
    </r>
    <r>
      <rPr>
        <sz val="7"/>
        <rFont val="Times New Roman"/>
        <family val="1"/>
      </rPr>
      <t xml:space="preserve">      </t>
    </r>
    <r>
      <rPr>
        <sz val="12"/>
        <rFont val="Times New Roman"/>
        <family val="1"/>
      </rPr>
      <t xml:space="preserve"> Matt  Finish</t>
    </r>
  </si>
  <si>
    <t>-u_ g]kfn af6 pTkfbLt l;d]G6x? -;a}_</t>
  </si>
  <si>
    <t>channel fixing 12.5mm thick Gypboard or  boral  plater board</t>
  </si>
  <si>
    <t xml:space="preserve"> -5_ :yfgLo l;;f}+ sf7 </t>
  </si>
  <si>
    <t xml:space="preserve"> -h_ h+unL l;;f}+ sf7 ,,</t>
  </si>
  <si>
    <t xml:space="preserve"> -em_ sf7 bfp/f </t>
  </si>
  <si>
    <t xml:space="preserve">ljleGg df]6fO{sf] KnfOp8x? </t>
  </si>
  <si>
    <t>Commercial</t>
  </si>
  <si>
    <t xml:space="preserve"> -s_ # dL=dL </t>
  </si>
  <si>
    <t xml:space="preserve"> -v_ $ dL=dL </t>
  </si>
  <si>
    <t xml:space="preserve"> -u_ ^ dL=dL </t>
  </si>
  <si>
    <r>
      <t xml:space="preserve">Heritage Wall Surface Texture (Interior and Exterior) including the cost supplying and fitting </t>
    </r>
    <r>
      <rPr>
        <b/>
        <sz val="12"/>
        <rFont val="Times New Roman"/>
        <family val="1"/>
      </rPr>
      <t>(Heritage granite finishing)</t>
    </r>
  </si>
  <si>
    <t>Both side lamination Melamined faced (Interiors Grade)</t>
  </si>
  <si>
    <t>One side lamination Melamined faced (Interiors Grade)MDF</t>
  </si>
  <si>
    <t xml:space="preserve"> -v_ $ dL =dL  </t>
  </si>
  <si>
    <t xml:space="preserve"> -u_ ^ dL =dL  </t>
  </si>
  <si>
    <t xml:space="preserve"> -3_ ( dL =dL  </t>
  </si>
  <si>
    <r>
      <t xml:space="preserve">Plaster of Parish (POP) </t>
    </r>
    <r>
      <rPr>
        <sz val="12"/>
        <rFont val="Times New Roman"/>
        <family val="1"/>
      </rPr>
      <t>cornice and molding making die, casting of cornice as per design and drawing including fixing in position using steel screws on resin glue finishing all complete.</t>
    </r>
  </si>
  <si>
    <r>
      <t>a)</t>
    </r>
    <r>
      <rPr>
        <sz val="7"/>
        <rFont val="Times New Roman"/>
        <family val="1"/>
      </rPr>
      <t xml:space="preserve">      </t>
    </r>
    <r>
      <rPr>
        <sz val="12"/>
        <rFont val="Times New Roman"/>
        <family val="1"/>
      </rPr>
      <t>POP Molding 1" to 1½"</t>
    </r>
  </si>
  <si>
    <r>
      <t>b)</t>
    </r>
    <r>
      <rPr>
        <sz val="7"/>
        <rFont val="Times New Roman"/>
        <family val="1"/>
      </rPr>
      <t xml:space="preserve">      </t>
    </r>
    <r>
      <rPr>
        <sz val="12"/>
        <rFont val="Times New Roman"/>
        <family val="1"/>
      </rPr>
      <t>Up to 5" wide</t>
    </r>
  </si>
  <si>
    <r>
      <t>c)</t>
    </r>
    <r>
      <rPr>
        <sz val="7"/>
        <rFont val="Times New Roman"/>
        <family val="1"/>
      </rPr>
      <t xml:space="preserve">      </t>
    </r>
    <r>
      <rPr>
        <sz val="12"/>
        <rFont val="Times New Roman"/>
        <family val="1"/>
      </rPr>
      <t>Up to 8" wide</t>
    </r>
  </si>
  <si>
    <r>
      <t>d)</t>
    </r>
    <r>
      <rPr>
        <sz val="7"/>
        <rFont val="Times New Roman"/>
        <family val="1"/>
      </rPr>
      <t xml:space="preserve">      </t>
    </r>
    <r>
      <rPr>
        <sz val="12"/>
        <rFont val="Times New Roman"/>
        <family val="1"/>
      </rPr>
      <t>Above 8" wide</t>
    </r>
  </si>
  <si>
    <t>25mm thick mosaic flooring-  6mm thick white cement and marble chips(1:2) on 19mm thick cement plastering (1:2).</t>
  </si>
  <si>
    <t>20mm thick mosaic flooring(1:2) with12.5mm thick cement sand plaster(1:4)</t>
  </si>
  <si>
    <t xml:space="preserve">!)–! </t>
  </si>
  <si>
    <t xml:space="preserve">   M KNffO{ M ^ k6s;dd k|of]u ug{ ;lsg] To;kl5 !)Ü d"No afFsL /xg] lx;fan] ul/Psf] </t>
  </si>
  <si>
    <t>100x1.1x0.9/6=16.5</t>
  </si>
  <si>
    <t>1.6875x1.1x0.7516= 0.232</t>
  </si>
  <si>
    <r>
      <t>gf]6</t>
    </r>
    <r>
      <rPr>
        <sz val="11"/>
        <rFont val="Preeti"/>
      </rPr>
      <t xml:space="preserve"> M sf7 M ^ k6s;dd k|of]u ug{ ;lsg] To;kl5 @%Ü d"No afFsL /xg] lx;fan] ul/Psf] </t>
    </r>
  </si>
  <si>
    <t>n) Dozer, Track   (180+ to 240 H)</t>
  </si>
  <si>
    <t>o) Bitumin Distributer   (4 to 6 KL)</t>
  </si>
  <si>
    <t>p) Rock Drill (Engine)</t>
  </si>
  <si>
    <t>q) Rock Drill (Pneumatic)</t>
  </si>
  <si>
    <t>r) Mini Dumper    (Upto 1CUM)</t>
  </si>
  <si>
    <t xml:space="preserve"> !( dL=dL KnfO{ af]8{sf] kmdf{ sf]nd -kf]i6_df nufpg],{ v8f ug]{, sfd ldnfpg], lsnf nufpg]</t>
  </si>
  <si>
    <t>;km]{;nfO{ 8«]l;Ë ug]{ sfo{ vfN6f] k'g]{, p7]sf] df6f] sf6\g], ;tx ldnfpg]</t>
  </si>
  <si>
    <t>cflb sfo{ ;d]t -;le{;/f]8 cflb_</t>
  </si>
  <si>
    <t xml:space="preserve"> vi) Securty from Panic Alarm</t>
  </si>
  <si>
    <t xml:space="preserve"> vii) GPS (Global Positioning System) Device with software</t>
  </si>
  <si>
    <t>Up to 1/2 H.P.</t>
  </si>
  <si>
    <t>1.0 H.P.</t>
  </si>
  <si>
    <t>5 H.P.</t>
  </si>
  <si>
    <t>&amp; dL=dL= jf]N6 g6</t>
  </si>
  <si>
    <t>* dL=dL= h] x's</t>
  </si>
  <si>
    <t>dfn;fdfg pknAw u/L :n]6 5fgf 5fpg] sfd .</t>
  </si>
  <si>
    <t>:n]6</t>
  </si>
  <si>
    <t>dfn;fdfg pknAw u/L Sn] 6fO{n 5fgf 5fpg] sfd .</t>
  </si>
  <si>
    <t>dfn;fdfg pknAw u/L Sn] 6fO{nsf] w'/L nufpg] sfd</t>
  </si>
  <si>
    <t>b/ ljZn]if0fsf] nflu %))) ln6/ lnOPsf]</t>
  </si>
  <si>
    <t>Partition work with 12mm thick plywood fixed on both side with salwood frame (size 38x75mm)  making 61x91.5cm room size and listi.</t>
  </si>
  <si>
    <t>Supply and fixing of one side laminated 18 mm thick partition board</t>
  </si>
  <si>
    <t>Supply and lamination of 4 mm teak ply on hardboard and other partition surface with glue</t>
  </si>
  <si>
    <t>4mm thick plywood false ceiling work with salwood frame (size 50x75mm)  making 60x90cm room size  all complete.</t>
  </si>
  <si>
    <t>4mm thick plywood false ceiling work with salwood frame (size 50x75mm)  making 60x90cm room size.</t>
  </si>
  <si>
    <t>6mm thick plywood false ceiling work with salwood frame (size 50x75mm)  making 60x90cm room size  all complete.</t>
  </si>
  <si>
    <t>6mm thick plywood false ceiling work with salwood frame (size 50x75mm)  making 60x90cm room size.</t>
  </si>
  <si>
    <t>4mm thick plywood false ceiling work with pinewood frame (size 50x75mm)  making 60x90cm room size  all complete.</t>
  </si>
  <si>
    <t>4mm thick plywood false ceiling work with pinewood frame (size 50x75mm)  making 60x90cm room size.</t>
  </si>
  <si>
    <t>Readymade door shutter Recon, Special (1 side teak)</t>
  </si>
  <si>
    <t xml:space="preserve">If Oneside water proof  ply fitting </t>
  </si>
  <si>
    <t>Note:</t>
  </si>
  <si>
    <t>MBG = Maccaferi Box Gabion</t>
  </si>
  <si>
    <t>MJG = Maccaferi Jumbo Gabion</t>
  </si>
  <si>
    <t>MRM = Maccaferi Reno Mettress</t>
  </si>
  <si>
    <t>WMN = Wire Mesh Netting</t>
  </si>
  <si>
    <t>10x12/3.0/3.9/2.4/ZN = Mesh type/Mesh wire dia./Selvedge wire dia./Lacing wire dia./Type of coating</t>
  </si>
  <si>
    <t>ZN = Heavy galvanized</t>
  </si>
  <si>
    <t>PVC = PVC coated</t>
  </si>
  <si>
    <t>Security System</t>
  </si>
  <si>
    <t>Metal detector (black Scorpian Company)</t>
  </si>
  <si>
    <t>Walk through gate class 1 (,,  ,,  ,, )</t>
  </si>
  <si>
    <t>Walk through gate class 2  (,,  ,,  ,, )</t>
  </si>
  <si>
    <t>Walk through gate class 3  (,,  ,,  ,, )</t>
  </si>
  <si>
    <t>Access Controller   (Taiwanese )</t>
  </si>
  <si>
    <t>Access Controller   (Chainese )</t>
  </si>
  <si>
    <t>Steel Security Door</t>
  </si>
  <si>
    <t>Single leaf :-  50 mm, 70 mm, 100mm</t>
  </si>
  <si>
    <t>Half leaf : -  50 mm, 70 mm, 100mm</t>
  </si>
  <si>
    <t>Double leaf : -  50 mm, 70 mm, 100mm</t>
  </si>
  <si>
    <t xml:space="preserve"> iii) Access Controller with record using Card and Pin ( with 10 piece RFID Card.)</t>
  </si>
  <si>
    <t xml:space="preserve">Supplying and installation of UPVC Profile Sliding Window frame 80x50 mm white colour, sliding window sash 55x36 mm with galvanized steel reinforcement of 1.5 mm, 5 mm thick clear glass, insect net, patented standard hardware like: rollers, gaskets,brush </t>
  </si>
  <si>
    <t>i) Single glazing</t>
  </si>
  <si>
    <t xml:space="preserve">a) Two slider sliding window </t>
  </si>
  <si>
    <t>Sqm</t>
  </si>
  <si>
    <t>b) ,,       ,,       ,,       ,,  with centre fixed</t>
  </si>
  <si>
    <t>c) ,,       ,,        ,,      ,, with bottom fixed</t>
  </si>
  <si>
    <t>d) ,,      ,,     ,,    ,,  with centre &amp; bottom fixed</t>
  </si>
  <si>
    <t>e) ,,      ,,     ,,    ,,  with top &amp; bottom fixed</t>
  </si>
  <si>
    <t>f) ,,    ,,   ,,   ,,  with centre, top &amp; bottom fixed</t>
  </si>
  <si>
    <t>g) Vertical sliding</t>
  </si>
  <si>
    <t>ii) Double glazing</t>
  </si>
  <si>
    <t>Supplying and installation of UPVC Profile Sliding Door frame 80x50 mm white colour, sliding window sash 66x36 mm with galvanized steel reinforcement of 1.5 mm, 5 mm thick clear glass, insect net, patented standard hardware like: rollers, gaskets,brush se</t>
  </si>
  <si>
    <t>Plain Particle Board (Interiors Grade)</t>
  </si>
  <si>
    <t>Equipment Hired  Rate Based on DoR</t>
  </si>
  <si>
    <t>a) Asphalt Plant*   (Upto 10 ton)</t>
  </si>
  <si>
    <t>Per hr.</t>
  </si>
  <si>
    <t>b) Asphalt Plant*  (40 ton/ hour)</t>
  </si>
  <si>
    <t>c) Asphalt Paver</t>
  </si>
  <si>
    <t>d) Asphalt, Mixer (Bel mix)</t>
  </si>
  <si>
    <t>e) Broom Road, Towed</t>
  </si>
  <si>
    <t>f) Boring Rig</t>
  </si>
  <si>
    <r>
      <t xml:space="preserve"> @*_ a'§]bf/L slg{z O6f 7"nf] </t>
    </r>
    <r>
      <rPr>
        <sz val="12"/>
        <rFont val="Times New Roman"/>
        <family val="1"/>
      </rPr>
      <t>222x273x76mm</t>
    </r>
  </si>
  <si>
    <r>
      <t xml:space="preserve"> #)_ sf7sf] slg{z dflysf] O6f !!</t>
    </r>
    <r>
      <rPr>
        <sz val="14"/>
        <rFont val="Times New Roman"/>
        <family val="1"/>
      </rPr>
      <t>×</t>
    </r>
    <r>
      <rPr>
        <sz val="14"/>
        <rFont val="Preeti"/>
      </rPr>
      <t>^</t>
    </r>
    <r>
      <rPr>
        <sz val="14"/>
        <rFont val="Times New Roman"/>
        <family val="1"/>
      </rPr>
      <t>×</t>
    </r>
    <r>
      <rPr>
        <sz val="14"/>
        <rFont val="Preeti"/>
      </rPr>
      <t>@=%Æ</t>
    </r>
  </si>
  <si>
    <r>
      <t xml:space="preserve"> #!_ sg{/ :6f]g M !)Æ</t>
    </r>
    <r>
      <rPr>
        <sz val="14"/>
        <rFont val="Times New Roman"/>
        <family val="1"/>
      </rPr>
      <t>×</t>
    </r>
    <r>
      <rPr>
        <sz val="14"/>
        <rFont val="Preeti"/>
      </rPr>
      <t>!)Æ</t>
    </r>
    <r>
      <rPr>
        <sz val="14"/>
        <rFont val="Times New Roman"/>
        <family val="1"/>
      </rPr>
      <t>×</t>
    </r>
    <r>
      <rPr>
        <sz val="14"/>
        <rFont val="Preeti"/>
      </rPr>
      <t xml:space="preserve">!$Æ] </t>
    </r>
  </si>
  <si>
    <r>
      <t xml:space="preserve"> #@_ s_  ljrsf] GofxfsNxF !)Æ</t>
    </r>
    <r>
      <rPr>
        <sz val="14"/>
        <rFont val="Times New Roman"/>
        <family val="1"/>
      </rPr>
      <t>×</t>
    </r>
    <r>
      <rPr>
        <sz val="14"/>
        <rFont val="Preeti"/>
      </rPr>
      <t>&amp;Æ</t>
    </r>
    <r>
      <rPr>
        <sz val="14"/>
        <rFont val="Times New Roman"/>
        <family val="1"/>
      </rPr>
      <t>×</t>
    </r>
    <r>
      <rPr>
        <sz val="14"/>
        <rFont val="Preeti"/>
      </rPr>
      <t>!$Æ</t>
    </r>
  </si>
  <si>
    <r>
      <t xml:space="preserve"> ##_ gfuf]n 9'Ëf !*Æ</t>
    </r>
    <r>
      <rPr>
        <sz val="14"/>
        <rFont val="Times New Roman"/>
        <family val="1"/>
      </rPr>
      <t>×</t>
    </r>
    <r>
      <rPr>
        <sz val="14"/>
        <rFont val="Preeti"/>
      </rPr>
      <t>!)Æ</t>
    </r>
    <r>
      <rPr>
        <sz val="14"/>
        <rFont val="Times New Roman"/>
        <family val="1"/>
      </rPr>
      <t>×</t>
    </r>
    <r>
      <rPr>
        <sz val="14"/>
        <rFont val="Preeti"/>
      </rPr>
      <t>%</t>
    </r>
  </si>
  <si>
    <r>
      <t xml:space="preserve"> #(_ </t>
    </r>
    <r>
      <rPr>
        <sz val="12"/>
        <rFont val="Times New Roman"/>
        <family val="1"/>
      </rPr>
      <t>Wind bell</t>
    </r>
    <r>
      <rPr>
        <sz val="14"/>
        <rFont val="Preeti"/>
      </rPr>
      <t xml:space="preserve"> xjf 306L $Æ</t>
    </r>
  </si>
  <si>
    <r>
      <t xml:space="preserve"> </t>
    </r>
    <r>
      <rPr>
        <sz val="12"/>
        <rFont val="Preeti"/>
      </rPr>
      <t xml:space="preserve"> $)_ </t>
    </r>
    <r>
      <rPr>
        <sz val="12"/>
        <rFont val="Times New Roman"/>
        <family val="1"/>
      </rPr>
      <t>Snake body brick traditional</t>
    </r>
  </si>
  <si>
    <r>
      <t xml:space="preserve"> $!_ </t>
    </r>
    <r>
      <rPr>
        <sz val="12"/>
        <rFont val="Times New Roman"/>
        <family val="1"/>
      </rPr>
      <t>Snake neck brick ,,</t>
    </r>
  </si>
  <si>
    <r>
      <t xml:space="preserve"> $@_ </t>
    </r>
    <r>
      <rPr>
        <sz val="12"/>
        <rFont val="Times New Roman"/>
        <family val="1"/>
      </rPr>
      <t>Snake head brick ,,</t>
    </r>
  </si>
  <si>
    <r>
      <t xml:space="preserve"> $#_ </t>
    </r>
    <r>
      <rPr>
        <sz val="12"/>
        <rFont val="Times New Roman"/>
        <family val="1"/>
      </rPr>
      <t>Yellow mud (clay) for roofing/B/W</t>
    </r>
  </si>
  <si>
    <t>l;d]G6 d;nf !M$ tof/ u/L uf/f] nufpg]</t>
  </si>
  <si>
    <t>l;d]G6 d;nf !M^ tof/ u/L uf/f] nufpg]</t>
  </si>
  <si>
    <t xml:space="preserve">Heritage Wall Surface Texture (Interior and Exterior) including the cost supplying and fitting (Heritage roller coat) </t>
  </si>
  <si>
    <t xml:space="preserve">Heritage Wall Surface Texture (Interior and Exterior) including the cost supplying and fitting (Heritage granite finishing) </t>
  </si>
  <si>
    <t xml:space="preserve">Heritage Wall Surface Texture (Interior and Exterior) including the cost supplying and fitting (Heritage flakes) </t>
  </si>
  <si>
    <t xml:space="preserve">Machine made  Brickwork in 1:4 C/S mortar in superstructure in perfect line level finish including wetting the bricks, racking the joints and curing the work for at least 7 days all complete. </t>
  </si>
  <si>
    <t>Machine made  Brickwork in 1:4 C/S mortar in superstructure.</t>
  </si>
  <si>
    <t xml:space="preserve">Heritage Wall Surface Texture (Interior and Exterior) including the cost supplying and fitting (Heritage Top coat plastic lamination) </t>
  </si>
  <si>
    <t>UPVC/glass</t>
  </si>
  <si>
    <r>
      <t xml:space="preserve">yk ('jfgL b/ </t>
    </r>
    <r>
      <rPr>
        <b/>
        <sz val="14"/>
        <color indexed="21"/>
        <rFont val="Arial"/>
        <family val="2"/>
      </rPr>
      <t>% =</t>
    </r>
    <r>
      <rPr>
        <b/>
        <sz val="14"/>
        <color indexed="21"/>
        <rFont val="FONTASY_ HIMALI_ TT"/>
        <family val="5"/>
      </rPr>
      <t xml:space="preserve">  </t>
    </r>
  </si>
  <si>
    <t>s'FlbPsf] ;fn sf7sf] cfFvL em\ofn jf 9f]sf h8fg ;d]t k'/f</t>
  </si>
  <si>
    <t>sf] cfFvL em\ofn</t>
  </si>
  <si>
    <t>Casement double panel aluminum windows with ventilation. Section size (54×33×1.50)mm, (38×34×1.50)mm &amp;  5 mm glass.</t>
  </si>
  <si>
    <t xml:space="preserve">Casement door of aluminum section in naturally anodized color. Section size (101×45×1.50) mm and 5 mm glass.  </t>
  </si>
  <si>
    <t xml:space="preserve">Swing door door of aluminum section in naturally anodized color. Section size (101×45×1.50) mm and 5 mm glass.   </t>
  </si>
  <si>
    <t xml:space="preserve">Siding windows 2 track in naturally anodized color section of (88×38×1.30)mm  5 mm glass. </t>
  </si>
  <si>
    <t>Fixed windows &amp; partitions with fixed ventilators from 9mm board and section (101×45×1.50)mm</t>
  </si>
  <si>
    <t>i) Aluminium fix panel at sliding windows of section (88 x38.1x1.1)</t>
  </si>
  <si>
    <t>ii) Aluminium sliding window with fixed panels without fly mesh shutter of section (88 x38.1x1.1)</t>
  </si>
  <si>
    <t>iii) Aluminium sliding door of section (101 x45x1.1)</t>
  </si>
  <si>
    <t>iv) Aluminium casement windows of section (54 x38 x1.1)</t>
  </si>
  <si>
    <t>v) Aluminium casement door of section (101 x45 x1.1)</t>
  </si>
  <si>
    <t>Fencing with 10 S.W.G.G.I chain link 2"X2" mesh sized framed on 25X25X4 mm angles and 50mm Ø M.S. blackpipe post in 2m interval including jointting , fixing, erection and primer painting with all necessary M.S. grills and plates as per drawing and instruc</t>
  </si>
  <si>
    <t xml:space="preserve"> Fencing with 10 S.W.G.G.I chain link 2"X2" mesh sized framed on 25X25X4 mm angles and 50mm Ø M.S. blackpipe post in 2m interval including jointting , fixing, erection and primer painting with all necessary M.S. grills and plates as per drawing and instru</t>
  </si>
  <si>
    <t>-u_ sf] #Ü n]</t>
  </si>
  <si>
    <t>afn'jf vf]nf</t>
  </si>
  <si>
    <t>9'+uf</t>
  </si>
  <si>
    <t>b/ k|lt 3=dL=sf]</t>
  </si>
  <si>
    <t>s'+b]sf] 9'+ufsf] sfd l;d]G6 afn'jf -!M^_ df</t>
  </si>
  <si>
    <t>s'+b]sf] 9'+uf</t>
  </si>
  <si>
    <t xml:space="preserve">Colouring with one coat white washing in old  surface to give uniform colouring after rendering the surface all complete. </t>
  </si>
  <si>
    <t>Colouring with one coat white washing in old  surface.</t>
  </si>
  <si>
    <t xml:space="preserve">Colouring with one coat distemper paint with one coat primer to give uniform colouring after rendering the surface all complete. </t>
  </si>
  <si>
    <t>Colouring with one coat distemper paint with one coat primer.</t>
  </si>
  <si>
    <t>White glazed earthenware Indian pattern W C  580mm Orissa Pan with 10 liter low level flushing cistern .</t>
  </si>
  <si>
    <t>Set</t>
  </si>
  <si>
    <t xml:space="preserve"> 4.5x20mm size M.S. grill with almunium paints as per design and instruction all complete.</t>
  </si>
  <si>
    <t xml:space="preserve"> 4.5x20mm size M.S. grill with almunium paints.</t>
  </si>
  <si>
    <t xml:space="preserve"> Supply and fixing of M.S. collapsible gate including with primer painting and all necessary accessories all complete</t>
  </si>
  <si>
    <t xml:space="preserve"> Supply and fixing of M.S. collapsible gate including with primer peinting.</t>
  </si>
  <si>
    <t xml:space="preserve"> -u_ ( dL =dL  </t>
  </si>
  <si>
    <t xml:space="preserve"> -3_ !@ dL= dL=] </t>
  </si>
  <si>
    <t xml:space="preserve"> -ª_ !* dL=dL=]  </t>
  </si>
  <si>
    <t xml:space="preserve"> -r_ @% dL=dL </t>
  </si>
  <si>
    <t xml:space="preserve">Colouring with two coat distemper paint with one coat primer to give uniform colouring after rendering the surface all complete. </t>
  </si>
  <si>
    <t>Colouring with two coat distemper paint with one coat primer.</t>
  </si>
  <si>
    <t>1sq=1kg</t>
  </si>
  <si>
    <t>!% dL6/ b"/L;Dd af]sfgL ug]{ sfo{ ;d]t -?vsf] uf]nfO{ hdLg b]lv ! dL6/ dfly gfKg]_ .</t>
  </si>
  <si>
    <t xml:space="preserve">^!–!@) ;]=dL= uf]nfO{sf] ?v 9fNg] sfo{ xfFufx? sf6L ?vsf] 6'qmf kf/L lgdf{0f :ynaf6 </t>
  </si>
  <si>
    <t xml:space="preserve">^!–!@) ;]=dL= uf]nfO{sf] ?v h/f lemSg] sfo{ h/f p7fpg] / lgdf{0f :ynaf6 </t>
  </si>
  <si>
    <t>3fF; sf6\g] To;sf] h/f lemSg], l9:sf] k'm6fpg] / n]en u/L :yn ;kmf ug]{ ;a} jf]sgL ;d]t</t>
  </si>
  <si>
    <t xml:space="preserve">3fF;sf] rk/L nufpg] sfd rk/L sf6\g], af]sfgL ug]{, kfgL / dn 5g]{ </t>
  </si>
  <si>
    <t>cflb af]sfgL ;d]t -;le{;/f]8 cflb_</t>
  </si>
  <si>
    <t>/;folgs dn</t>
  </si>
  <si>
    <t>hfnL /fvL ! dL6/ cUnf] 6«L uf8{ agfO{ ;'/lIft ug]{, kfgL / dn 5g]{ cflb af]sfgL ;d]t</t>
  </si>
  <si>
    <t>b/ ljZn]if0fsf] nflu !) ?v lnOPsf]</t>
  </si>
  <si>
    <t>lj?jf</t>
  </si>
  <si>
    <r>
      <t>#</t>
    </r>
    <r>
      <rPr>
        <sz val="13"/>
        <rFont val="Calibri"/>
        <family val="2"/>
        <scheme val="minor"/>
      </rPr>
      <t>x</t>
    </r>
    <r>
      <rPr>
        <sz val="13"/>
        <rFont val="Preeti"/>
      </rPr>
      <t>@) dLdL sf] kmnfd] kftf</t>
    </r>
  </si>
  <si>
    <t>-b/ ljZn]if0fsf] nflu g/d df6f] / ulx/fO{ !@ dL6/ lnOPsf]_</t>
  </si>
  <si>
    <t>df6f] k/LIf0f ug]{ sfd af]/ xf]n vGg], gd"gf ;+sng tyf k|of]uzfnf k/LIf0f ug]{, k|ltj]bg tof/ ug]{ ;d]t</t>
  </si>
  <si>
    <t>b/ ljZn]if0fsf] nflu k|lt af]/ xf]n lnOPsf]</t>
  </si>
  <si>
    <t>lj1</t>
  </si>
  <si>
    <t>;xfos</t>
  </si>
  <si>
    <t>A3</t>
  </si>
  <si>
    <t>A4</t>
  </si>
  <si>
    <t>A5</t>
  </si>
  <si>
    <t>A6</t>
  </si>
  <si>
    <t>A7</t>
  </si>
  <si>
    <t xml:space="preserve">lj:kmf]6g ljgf dWod k|sf/ 9'Ëfdf </t>
  </si>
  <si>
    <t>kfgL</t>
  </si>
  <si>
    <t>nL6/</t>
  </si>
  <si>
    <t>jfn'jf eg]{, kfgL 5g]{ / HofdLåf/f sDk]s ug]{ sfd</t>
  </si>
  <si>
    <t>-!) dL6/ 9'jfgL ;d]t_</t>
  </si>
  <si>
    <t>b/ ljZn]if0fsf] nflu ! 3= ld= lnOPsf]</t>
  </si>
  <si>
    <t>hudf u|fen e/L HofdLåf/f w'd{'; sDKofS6 ug]{ sfd</t>
  </si>
  <si>
    <t>@)÷@) ;]=dL= txdf k'l/Psf] df6f]nfO{ /f]n/åf/f sDKofS6 ug]{ sfd</t>
  </si>
  <si>
    <t>b/ ljZn]if0fsf] nflu !)) 3=ld= lnOPsf]</t>
  </si>
  <si>
    <t>/f]n/ -*–!) d]=6=_</t>
  </si>
  <si>
    <t>@)÷@) ;]=dL= txdf k'l/Psf] df6f]nfO{ Ps 6gsf] xft] /f]n/åf/f sDKofS6 ug]{ sfd</t>
  </si>
  <si>
    <t>b/ ljZn]if0fsf] nflu !)) 3= ld= lnOPsf]</t>
  </si>
  <si>
    <t>/f]n/ -! 6g_</t>
  </si>
  <si>
    <t>l8h]n</t>
  </si>
  <si>
    <t>PS;fe]6/ -)=* 3=dL= Ifdtf_</t>
  </si>
  <si>
    <t>B5</t>
  </si>
  <si>
    <t>B6</t>
  </si>
  <si>
    <t>B7</t>
  </si>
  <si>
    <t>C3</t>
  </si>
  <si>
    <t>uf/f]sf] aflx/L ;txdf brL ckf k|of]u u/L l;d]G6 jfn'jf -!M$_</t>
  </si>
  <si>
    <t>d;nfdf uf/f] nufO{ r'gf;'sL{n] l6Ksf/ ;d]t ug]{ sfd</t>
  </si>
  <si>
    <t>O{6f -brL ckf_</t>
  </si>
  <si>
    <t>C4</t>
  </si>
  <si>
    <t>O{6f uf/f]sf] sfd O{6f pknAw ug]{, l;d]G6, jfn'jf -!M^_ d;nf tof/ u/L ¥of6 6«ofk</t>
  </si>
  <si>
    <t xml:space="preserve">af]08df uf/f] nufpg] sfd k"/f </t>
  </si>
  <si>
    <t>s+lqm6 xf]nf] Anssf] uf/f] l;d]G6, jfn'jf -!M$_ df nufpg] sfd</t>
  </si>
  <si>
    <t>#) dL= ;Dd 9'jfgL ;d]t</t>
  </si>
  <si>
    <t>D3</t>
  </si>
  <si>
    <t>d]lzgsf] k|of]u u/L hu leQf kvf{ndf l;d]G6 s+lqm6 ug]{ sfd dfn;fdfg pknAw ug]{</t>
  </si>
  <si>
    <t>ldS;/</t>
  </si>
  <si>
    <t>efOa]|6/</t>
  </si>
  <si>
    <t>k]6«f]n</t>
  </si>
  <si>
    <t>d]lzgsf] k|of]u u/L ;'k/ :6«Sr/df l;d]G6 s+lqm6 ug]{ sfd dfn;fdfg pknAw ug]{</t>
  </si>
  <si>
    <t>-lk=;L=;L= !M!=%M#_</t>
  </si>
  <si>
    <t xml:space="preserve">dfn;fdfg pknAw #) dL6/;Dd 9'jfgL ;lxt </t>
  </si>
  <si>
    <t>;'k/ Knfli6;fOh/</t>
  </si>
  <si>
    <t>dfOqmf] l;lnsf</t>
  </si>
  <si>
    <t xml:space="preserve">d]lzgsf] k|of]u u/L ;'k/ :6«Sr/df dfOqmf] l;lnsf tyf Knfli6;fOh/sf] k|of]u u/L l;d]G6 s+lqm6 ug]{ sfd </t>
  </si>
  <si>
    <t>!)–@) dL=dL=9'+uf -qm;\8_ /f]8f</t>
  </si>
  <si>
    <t>D5</t>
  </si>
  <si>
    <t>D4</t>
  </si>
  <si>
    <t>D6</t>
  </si>
  <si>
    <t>D7</t>
  </si>
  <si>
    <t xml:space="preserve">hudf cf/=l;=l;= sf] l;Ën c08//Ld kfOn 9nfg ug]{ sfd </t>
  </si>
  <si>
    <t xml:space="preserve">dfn;fdfg pknAw ug]{ /  #) dL6/;Dd 9'jfgL ;lxt </t>
  </si>
  <si>
    <r>
      <t xml:space="preserve">-ljZn]if0fsf] nflu #&amp;% ld=ld= Jof; / ^ ld6/ nDafOsf] kfO{k / </t>
    </r>
    <r>
      <rPr>
        <sz val="10"/>
        <rFont val="Calibri"/>
        <family val="2"/>
        <scheme val="minor"/>
      </rPr>
      <t>M20</t>
    </r>
    <r>
      <rPr>
        <sz val="12"/>
        <rFont val="Preeti"/>
      </rPr>
      <t xml:space="preserve"> s+lqm6 lnOPsf]_</t>
    </r>
  </si>
  <si>
    <t>jf]/f</t>
  </si>
  <si>
    <r>
      <t xml:space="preserve">gf]6 M ^ k6s;Dd k|of]u ug{ ;lsg] To; kl5 kmdf{sf] d"No @%Ü afFls /xg] lx;fj ul/Psf] -)=&amp;% </t>
    </r>
    <r>
      <rPr>
        <sz val="10"/>
        <color theme="1"/>
        <rFont val="Arial"/>
        <family val="2"/>
      </rPr>
      <t>X</t>
    </r>
    <r>
      <rPr>
        <sz val="10"/>
        <color theme="1"/>
        <rFont val="Preeti"/>
      </rPr>
      <t xml:space="preserve"> )=%@^Ö)=)&amp; 3=dL=_</t>
    </r>
  </si>
  <si>
    <r>
      <t>jLdsf] prfO{ )=#) dL=</t>
    </r>
    <r>
      <rPr>
        <sz val="16"/>
        <color theme="1"/>
        <rFont val="Arial"/>
        <family val="2"/>
      </rPr>
      <t>~</t>
    </r>
    <r>
      <rPr>
        <sz val="16"/>
        <color theme="1"/>
        <rFont val="Preeti"/>
      </rPr>
      <t xml:space="preserve"> )=*) ld= ;Dd .</t>
    </r>
  </si>
  <si>
    <r>
      <t>gf]6</t>
    </r>
    <r>
      <rPr>
        <sz val="11"/>
        <color theme="1"/>
        <rFont val="Preeti"/>
      </rPr>
      <t xml:space="preserve"> M sf7 M ^ k6s;dd k|of]u ug{ ;lsg] To;kl5 @%Ü d"No afFsL /xg] lx;fan] ul/Psf] </t>
    </r>
  </si>
  <si>
    <t>dfn;fdfg pknAw u/L )=$% dL=dL= afSnf] ;L=hL=cfO{= zL6 -h:tf kftfsf]_ 5fgf 5fpg] sfd k'/f .</t>
  </si>
  <si>
    <r>
      <t>CGI</t>
    </r>
    <r>
      <rPr>
        <sz val="13"/>
        <rFont val="Preeti"/>
      </rPr>
      <t xml:space="preserve"> </t>
    </r>
    <r>
      <rPr>
        <sz val="10"/>
        <rFont val="Preeti"/>
      </rPr>
      <t xml:space="preserve">kftf @$ u]h </t>
    </r>
    <r>
      <rPr>
        <sz val="8"/>
        <rFont val="Arial"/>
        <family val="2"/>
      </rPr>
      <t>(0.45 mm)</t>
    </r>
  </si>
  <si>
    <r>
      <t xml:space="preserve">dfn;fdfg pknAw u/L )=%) dL=dL= </t>
    </r>
    <r>
      <rPr>
        <sz val="12"/>
        <rFont val="Arial"/>
        <family val="2"/>
      </rPr>
      <t>Plain</t>
    </r>
    <r>
      <rPr>
        <sz val="14"/>
        <rFont val="Preeti"/>
      </rPr>
      <t xml:space="preserve"> hL=cfO{= zL6sf] @ lkm6 rf}8fO{sf] w'/L agfO{ </t>
    </r>
  </si>
  <si>
    <r>
      <t xml:space="preserve">dfn;fdfg pknAw u/L )=$% dL=dL= </t>
    </r>
    <r>
      <rPr>
        <sz val="12"/>
        <rFont val="Arial"/>
        <family val="2"/>
      </rPr>
      <t>Plain</t>
    </r>
    <r>
      <rPr>
        <sz val="14"/>
        <rFont val="Preeti"/>
      </rPr>
      <t xml:space="preserve"> hL=cfO{= zL6sf] @ lkm6 rf}8fO{sf] w'/L agfO{ </t>
    </r>
  </si>
  <si>
    <r>
      <t xml:space="preserve">kftfsf] 5fgf 5fpg] sfd k'/f . </t>
    </r>
    <r>
      <rPr>
        <sz val="14"/>
        <rFont val="Preeti"/>
      </rPr>
      <t>-)=$! dL=dL=afSnf] _</t>
    </r>
  </si>
  <si>
    <t xml:space="preserve">dfn;fdfg pknAw u/L )=$% dL=dL= /+lug =hL=cfO{= zL6sf] w'/L agfO{ </t>
  </si>
  <si>
    <t xml:space="preserve">dfn;fdfg pknAw u/L )=%) dL=dL=  /+uLg hL=cfO{= zL6sf] w'/L agfO{ </t>
  </si>
  <si>
    <t>)=%) /+uLg zL6</t>
  </si>
  <si>
    <t>)=$% /+lug zL6</t>
  </si>
  <si>
    <r>
      <t xml:space="preserve">dfn;fdfg pknAw u/L </t>
    </r>
    <r>
      <rPr>
        <sz val="12"/>
        <rFont val="Arial"/>
        <family val="2"/>
      </rPr>
      <t>0.50mm</t>
    </r>
    <r>
      <rPr>
        <sz val="16"/>
        <rFont val="Preeti"/>
      </rPr>
      <t xml:space="preserve">  Kn]g zL6sf] !%) ld=ld= rf}8fO{, $%) ld=ld= ;Ddsf] </t>
    </r>
    <r>
      <rPr>
        <b/>
        <sz val="12"/>
        <rFont val="Arial"/>
        <family val="2"/>
      </rPr>
      <t/>
    </r>
  </si>
  <si>
    <r>
      <t>u6/ agfO{ $)</t>
    </r>
    <r>
      <rPr>
        <sz val="12"/>
        <rFont val="Calibri"/>
        <family val="2"/>
        <scheme val="minor"/>
      </rPr>
      <t>X</t>
    </r>
    <r>
      <rPr>
        <sz val="16"/>
        <rFont val="Preeti"/>
      </rPr>
      <t># ld=ld= sf] kmnfd] a|fs]6, g6af]N6, jf;/ nufpg] ;d]t sfd k'/f .</t>
    </r>
  </si>
  <si>
    <r>
      <t xml:space="preserve">   </t>
    </r>
    <r>
      <rPr>
        <sz val="14"/>
        <rFont val="Preeti"/>
      </rPr>
      <t xml:space="preserve">;fbf </t>
    </r>
    <r>
      <rPr>
        <sz val="12"/>
        <rFont val="Calibri"/>
        <family val="2"/>
        <scheme val="minor"/>
      </rPr>
      <t xml:space="preserve">0.50mm </t>
    </r>
    <r>
      <rPr>
        <sz val="14"/>
        <rFont val="Preeti"/>
      </rPr>
      <t>sf] Kn]g l;6</t>
    </r>
  </si>
  <si>
    <t>a|fs]6</t>
  </si>
  <si>
    <t>jf;/</t>
  </si>
  <si>
    <t>af]N6</t>
  </si>
  <si>
    <r>
      <t xml:space="preserve">dfn;fdfg pknAw u/L </t>
    </r>
    <r>
      <rPr>
        <sz val="12"/>
        <rFont val="Arial"/>
        <family val="2"/>
      </rPr>
      <t>0.50mm</t>
    </r>
    <r>
      <rPr>
        <sz val="16"/>
        <rFont val="Preeti"/>
      </rPr>
      <t xml:space="preserve">  /+uLg Kn]g zL6sf] !%) ld=ld= rf}8fO{, $%) ld=ld= ;Ddsf] </t>
    </r>
    <r>
      <rPr>
        <b/>
        <sz val="12"/>
        <rFont val="Arial"/>
        <family val="2"/>
      </rPr>
      <t/>
    </r>
  </si>
  <si>
    <r>
      <t xml:space="preserve">   </t>
    </r>
    <r>
      <rPr>
        <sz val="12"/>
        <rFont val="Calibri"/>
        <family val="2"/>
        <scheme val="minor"/>
      </rPr>
      <t xml:space="preserve">0.50mm </t>
    </r>
    <r>
      <rPr>
        <sz val="14"/>
        <rFont val="Preeti"/>
      </rPr>
      <t>sf] /+uLg Kn]g l;6</t>
    </r>
  </si>
  <si>
    <t>F7</t>
  </si>
  <si>
    <t>F14</t>
  </si>
  <si>
    <t xml:space="preserve">kmfOj/ Unf; Kn]g  !=@ dLdL= afSnf] </t>
  </si>
  <si>
    <t>dfn;fdfg pknAw u/L !=@ ld=ld= sf]?u]6]8 kmfO{j/ Unf; kftfn] 5fgf 5fpg] sfd .</t>
  </si>
  <si>
    <t>dfn;fdfg pknAw u/L !=@ ld=ld= Kn]g kmfO{j/ Unf; kftfn] 5fgf 5fpg] sfd .</t>
  </si>
  <si>
    <t xml:space="preserve">kmfOj/ Unf; sf]?u]6]8  !=@ dLdL= afSnf] </t>
  </si>
  <si>
    <t>cu|fv sf7sf] jLd blng cflb agfO{ hf]8\g] .</t>
  </si>
  <si>
    <t># ld=ld= kftf</t>
  </si>
  <si>
    <r>
      <t xml:space="preserve">gf]6 M -#* </t>
    </r>
    <r>
      <rPr>
        <sz val="8"/>
        <rFont val="Arial"/>
        <family val="2"/>
      </rPr>
      <t>X</t>
    </r>
    <r>
      <rPr>
        <sz val="11"/>
        <rFont val="Preeti"/>
      </rPr>
      <t xml:space="preserve"> &amp;% dL=dL= lr/fg ;fn sf7af6 k|m]d tof/ u/L P]gf vfkf jgfpg] u/L lx;fj ul/Psf] _</t>
    </r>
  </si>
  <si>
    <t># dL=dL= sdl;{on KnfO{p8 b'j} tkm{ 7f]sL ˆn; vfkf agfO{ hf]8\g] .</t>
  </si>
  <si>
    <t># dL=dL=sdl;{on Knfp8</t>
  </si>
  <si>
    <t>^ dL=dL= jf6/k|'km KnfO{p8 Pstkm{ / csf]{tkm{ # dL=dL= sdl;{on KnfOp8 7f]sL ˆn; vfkf agfO{ hf]8\g] .</t>
  </si>
  <si>
    <t># dL=dL= sdl;{on KnfOp8</t>
  </si>
  <si>
    <t>lh=cfO{ d:SjL6f] k|'km hfnL</t>
  </si>
  <si>
    <t>F15</t>
  </si>
  <si>
    <t>)=% dL=dL=hL=cfO{= Kn]g lz6</t>
  </si>
  <si>
    <t>)=% dL=dL= hL=cfO{= Kn]g zL6 b'j} k§L vfkf agfO{ hf]8\g] .</t>
  </si>
  <si>
    <t xml:space="preserve"> hL=cfO{= d:SjL6f] k|'km jfo/ d]z / 8fod08 qm; hfnL ;lxt 7f]sL vfkf agfO{ hf]8\g] .</t>
  </si>
  <si>
    <t>8fod08 qm; hfnL</t>
  </si>
  <si>
    <t xml:space="preserve"> hL=cfO{= d:SjL6f] k|'km jfo/ d]z ;lxt 7f]sL vfkf agfO{ hf]8\g] .</t>
  </si>
  <si>
    <t>sqm</t>
  </si>
  <si>
    <t xml:space="preserve">%) dL=dL= afSnf] 5fKg] 9'+uf -ˆn}u:6f]g_ !M$ l;d]G6 afn'jf </t>
  </si>
  <si>
    <t>%) dL=dL= ;Ddsf] 5fkf] 9'+uf afn'jf 5fKg] .</t>
  </si>
  <si>
    <t>kfs]6 lj5\ofpg] / vfS;L nufO{ kfln; ug]{ sfd .</t>
  </si>
  <si>
    <t>kfs]{6</t>
  </si>
  <si>
    <t>u|] OG6/nls+u Ans</t>
  </si>
  <si>
    <t>Sn] 6fon -!a=dL a/fa/ ^# j6f_</t>
  </si>
  <si>
    <t>C.C. Tile (Red)</t>
  </si>
  <si>
    <t>@% dL=dL= l;d]G6 s+lqm6 6fon -/ftf] /+usf]_ !M$ l;d]G6 d;nfdf 5fKg] sfd .</t>
  </si>
  <si>
    <t>@% dL=dL= l;d]G6 s+lqm6 6fon -v}/f] /+usf]_ !M$ l;d]G6 d;nfdf 5fKg] sfd .</t>
  </si>
  <si>
    <t>C.C. Tile (Grey)</t>
  </si>
  <si>
    <t>H25</t>
  </si>
  <si>
    <t>u_ 3f]6\g] HofdL</t>
  </si>
  <si>
    <t>PlG6l:nk l;d]G6 6fOn</t>
  </si>
  <si>
    <r>
      <t xml:space="preserve">#)) </t>
    </r>
    <r>
      <rPr>
        <sz val="10"/>
        <rFont val="Arial"/>
        <family val="2"/>
      </rPr>
      <t>X</t>
    </r>
    <r>
      <rPr>
        <sz val="14"/>
        <rFont val="Preeti"/>
      </rPr>
      <t xml:space="preserve"> #)) dL=dL= @% dL=dL= afSnf] PlG6l:nk l;d]G6 6fOn l;d]G6 jfn'jfdf -!M$_ nufpg] sfd .</t>
    </r>
  </si>
  <si>
    <r>
      <t xml:space="preserve">#)) </t>
    </r>
    <r>
      <rPr>
        <sz val="10"/>
        <rFont val="Arial"/>
        <family val="2"/>
      </rPr>
      <t>X</t>
    </r>
    <r>
      <rPr>
        <sz val="14"/>
        <rFont val="Preeti"/>
      </rPr>
      <t xml:space="preserve"> #)) dL=dL= ;fOhsf] !) dL=dL= afSnf] Pl;8 jf PNsfnL k|lt/f]ws 6fOn l;d]G6 jfn'jfdf -!M$_ nufpg] sfd .</t>
    </r>
  </si>
  <si>
    <t>s]ldSn/f]wL l;d]G6</t>
  </si>
  <si>
    <t>/a/ j]:8 P8]l;edf lk=le=l;=6fOn nufpg] /f]lnË ug]{ ;d]t sfo{ .</t>
  </si>
  <si>
    <t>lk=le=;L= 6fOn</t>
  </si>
  <si>
    <t xml:space="preserve">!^ dL=dL= dfj{n  @) dL=dL= afSnf] </t>
  </si>
  <si>
    <t>!^ dL=dL= dfj{n  !@=% dL=dL= afSnf] !M# efusf] l;d]G6 d;nfdf</t>
  </si>
  <si>
    <t xml:space="preserve"> e¥ofÍ v'8\lsnf, :sl6{Ë, leQf, lkn/ cflbdf 5fkL 3f]6\g] / kflnz ;d]t ug]{ .</t>
  </si>
  <si>
    <t>H36</t>
  </si>
  <si>
    <t>e¥ofËsf] v'8\lsnfdf dfj{n gf]lhË ug{sf nflu yk &gt;lds</t>
  </si>
  <si>
    <t>dfj{n kf]ln; dfq ug{sf nflu cfjZos &gt;lds</t>
  </si>
  <si>
    <t xml:space="preserve">!@ dL=dL= afSnf] !)) dL=dL= prfO{sf] sf7sf] kfs]{6n] </t>
  </si>
  <si>
    <t>sf]7fx?df :sl6{Ë ug]{ sfd .</t>
  </si>
  <si>
    <t>!@ dL=dL= afSnf] l;d]G6 jfn'jf -!M^_ df gg\Un]H8 6fOnsf]</t>
  </si>
  <si>
    <t>!)) dL=dL= cUnf] :sl6{Ë ug]{ sfd .</t>
  </si>
  <si>
    <t>b/ ljZn]if0fsf] nflu /=dL= lnOPsf]</t>
  </si>
  <si>
    <t>Okf]S;L u|fp6, lkUd]G6</t>
  </si>
  <si>
    <t>Knfi6/ dfly @) dL=dL= afSnf] emNn/ jf kfgL k§L agfpg] sfd .</t>
  </si>
  <si>
    <t>b/ ljZn]if0fsf] nflu ! /=dL=lnOPsf]</t>
  </si>
  <si>
    <t>jf6/k|'lkmË</t>
  </si>
  <si>
    <t>leQf Pjd\ l;lnËdf @ ld=ld= Kn]g XjfO{6 k'§L Knfi6/ ug]{ sfo{ .</t>
  </si>
  <si>
    <t>XjfO{6 k§L</t>
  </si>
  <si>
    <t>gofF ;km]{;df XjfO{6jf; tLgsf]6 ug]{ sfd -cGoq_ .</t>
  </si>
  <si>
    <t>Knf:6/ ;km]{;df XjfO6 l;d]G6 Ps sf]6 nufpg] sfd .</t>
  </si>
  <si>
    <t>XjfO6 l;d]G6</t>
  </si>
  <si>
    <t>Knf:6/ ;km]{;df XjfO6 l;d]G6 b'O{ sf]6 nufpg] sfd .</t>
  </si>
  <si>
    <t>Providing material &amp; applying pressure grouting on RCC Roof slab</t>
  </si>
  <si>
    <t>k|]z/ u|fpl6ª</t>
  </si>
  <si>
    <t>Providing material &amp; applying pressure grouting on basement slab</t>
  </si>
  <si>
    <t>Providing material &amp; applying pressure grouting and sealing RCC slab crack</t>
  </si>
  <si>
    <t xml:space="preserve">Providing material &amp; applying pressure grouting on RCC Column </t>
  </si>
  <si>
    <t>b/ ljZn]if0fsf] nflu ! KjfOG6 lnOPsf]</t>
  </si>
  <si>
    <t>KjfOG6</t>
  </si>
  <si>
    <t>b/ /]6 k|lt KjfOG6sf]</t>
  </si>
  <si>
    <t xml:space="preserve">Waterproofing treatment by Crystallization Process by applying </t>
  </si>
  <si>
    <t xml:space="preserve">two coats of perma Seal or equivalent all complete. </t>
  </si>
  <si>
    <t>lqm:6LnfOh]zg l;n</t>
  </si>
  <si>
    <t xml:space="preserve">Expansion Joint Works: -  Chipping  and laying thermacol in the hole,  masking tape on </t>
  </si>
  <si>
    <t xml:space="preserve">mortar up to 40 mm wide and  levelling all complete. </t>
  </si>
  <si>
    <t xml:space="preserve">the  thermacol and plaster with mixing  Perma Bond SBR or eqv.  modified </t>
  </si>
  <si>
    <t>PSkfG;g HjfOG6</t>
  </si>
  <si>
    <t>tyf k'gM k|of]u ug]{ ;lsg] u/L yGsfpg] sfd .</t>
  </si>
  <si>
    <t xml:space="preserve">df6f]sf] d;nfsf] uf/f]af6 O{6f lemls nfu]sf] d;nf ;kmf ug]{ </t>
  </si>
  <si>
    <t>b/ ljZn]if0fsf] nflu !))) uf]6f lnOPsf]</t>
  </si>
  <si>
    <t>8f]/L cflb</t>
  </si>
  <si>
    <t>b/ k|lt uf]6fsf]</t>
  </si>
  <si>
    <t xml:space="preserve">r'gf ;'sL{sf] d;nfsf] uf/f]af6 O{6f lemls nfu]sf] d;nf ;kmf ug]{ </t>
  </si>
  <si>
    <t xml:space="preserve">l;d]G6 d;nfsf] uf/f]af6 O{6f lemls nfu]sf] d;nf ;kmf ug]{ </t>
  </si>
  <si>
    <t>s'+b]sf] 9'Ëf, dfj{n jf lk|sfi6 s+lqm6 -r'gf, ;'sL{ d;nfdf_ eTsfpg] sfd .</t>
  </si>
  <si>
    <t>s'+b]sf] 9'Ëf, dfj{n jf lk|sfi6 s+lqm6 -l;d]G6 d;nfdf_ eTsfpg] sfd .</t>
  </si>
  <si>
    <t xml:space="preserve">b/ ljZn]if0fsf] nflu ! 3=dL= lnOPsf] </t>
  </si>
  <si>
    <t xml:space="preserve">b/ ljZn]if0fsf] nflu ! D]f=6= lnOPsf] </t>
  </si>
  <si>
    <t xml:space="preserve"> UofF;, UofF; s6/ / 8f]/L cflb</t>
  </si>
  <si>
    <t>kmnfd] sfd -Rofgn PËn 6L cflb_ x6fpg] sfo{ lemSg], 5'6\ofpg] / /fd|/L yGsfpg] ;d]t</t>
  </si>
  <si>
    <t>cf/=l;=l;=km]G;sf] sfd x6fpg] df6f] vGg] / vfN8f]df df6f] ;Dofpg] ;d]t sfd .</t>
  </si>
  <si>
    <t xml:space="preserve">b/ ljZn]if0fsf] nflu ! j=dL= lnOPsf] </t>
  </si>
  <si>
    <t>kmnfd] km]G;sf] sfd x6fpg] df6f] vGg] / vfN8f]df df6f] ;Dofpg] ;d]t sfd .</t>
  </si>
  <si>
    <t>sf7] km]G;sf] sfd x6fpg] df6f] vGg] / vfN8f]df df6f] ;Dofpg] ;d]t sfd .</t>
  </si>
  <si>
    <r>
      <t xml:space="preserve">$=% </t>
    </r>
    <r>
      <rPr>
        <sz val="10"/>
        <rFont val="Arial"/>
        <family val="2"/>
      </rPr>
      <t>X</t>
    </r>
    <r>
      <rPr>
        <sz val="16"/>
        <rFont val="Preeti"/>
      </rPr>
      <t xml:space="preserve"> @) dL=dL= kmnfd] lu|n agfO{ vfS;L nufO{ /]8cS;fO8 k]G6 ;d]t u/L hf]8\g]</t>
    </r>
  </si>
  <si>
    <r>
      <t xml:space="preserve"># </t>
    </r>
    <r>
      <rPr>
        <sz val="9"/>
        <rFont val="Arial"/>
        <family val="2"/>
      </rPr>
      <t>X</t>
    </r>
    <r>
      <rPr>
        <sz val="16"/>
        <rFont val="Preeti"/>
      </rPr>
      <t xml:space="preserve"> @) dL=dL= kmnfd] lu|n agfO{ vfS;L nufO{ /]8cS;fO8 k]G6 ;d]t u/L hf]8\g]</t>
    </r>
  </si>
  <si>
    <r>
      <t xml:space="preserve"># </t>
    </r>
    <r>
      <rPr>
        <sz val="8"/>
        <rFont val="Arial"/>
        <family val="2"/>
      </rPr>
      <t>X</t>
    </r>
    <r>
      <rPr>
        <sz val="13"/>
        <rFont val="Preeti"/>
      </rPr>
      <t xml:space="preserve"> @) dL=dL= kmnfd] lu|n agfO{</t>
    </r>
  </si>
  <si>
    <r>
      <t xml:space="preserve">$=% </t>
    </r>
    <r>
      <rPr>
        <sz val="10"/>
        <rFont val="Arial"/>
        <family val="2"/>
      </rPr>
      <t>X</t>
    </r>
    <r>
      <rPr>
        <sz val="13"/>
        <rFont val="Preeti"/>
      </rPr>
      <t xml:space="preserve"> @) dL=dL= kmnfd] lu|n agfO{ hf]8\g]</t>
    </r>
  </si>
  <si>
    <t>lu|n agfO{ hf]8\g]</t>
  </si>
  <si>
    <r>
      <t xml:space="preserve">b/ ljZn]if0fsf] nflu !=)) /=ld= lnOPsf]-e¥ofªsf] gfkL ubf{ </t>
    </r>
    <r>
      <rPr>
        <sz val="11"/>
        <rFont val="Arial"/>
        <family val="2"/>
      </rPr>
      <t xml:space="preserve">floor to floor height </t>
    </r>
    <r>
      <rPr>
        <sz val="14"/>
        <rFont val="Preeti"/>
      </rPr>
      <t>lng]_</t>
    </r>
  </si>
  <si>
    <r>
      <t>kmnfd] u]6 !^ u]h -%)</t>
    </r>
    <r>
      <rPr>
        <sz val="12"/>
        <rFont val="Arial"/>
        <family val="2"/>
      </rPr>
      <t>X</t>
    </r>
    <r>
      <rPr>
        <sz val="16"/>
        <rFont val="Preeti"/>
      </rPr>
      <t>%)</t>
    </r>
    <r>
      <rPr>
        <sz val="12"/>
        <rFont val="Arial"/>
        <family val="2"/>
      </rPr>
      <t>X</t>
    </r>
    <r>
      <rPr>
        <sz val="16"/>
        <rFont val="Preeti"/>
      </rPr>
      <t>% dL=dL=sf] k|m]d ;lxt_ agfO{ hf]8\g] /]8 cS;fO8 k]lG6Ë / Hofnf ;d]t .</t>
    </r>
  </si>
  <si>
    <r>
      <t xml:space="preserve">&amp;% dL=dL= </t>
    </r>
    <r>
      <rPr>
        <sz val="10"/>
        <rFont val="Arial"/>
        <family val="2"/>
      </rPr>
      <t>X</t>
    </r>
    <r>
      <rPr>
        <sz val="16"/>
        <rFont val="Preeti"/>
      </rPr>
      <t xml:space="preserve"> !)) dL=dL= </t>
    </r>
    <r>
      <rPr>
        <sz val="10"/>
        <rFont val="Arial"/>
        <family val="2"/>
      </rPr>
      <t>X</t>
    </r>
    <r>
      <rPr>
        <sz val="16"/>
        <rFont val="Preeti"/>
      </rPr>
      <t xml:space="preserve"> @=! dL= nfdf] ;fnsf7sf] vDaf k|of]u ug]{ .</t>
    </r>
  </si>
  <si>
    <t xml:space="preserve"> jgfO{ hf]8\g]</t>
  </si>
  <si>
    <r>
      <t xml:space="preserve"> </t>
    </r>
    <r>
      <rPr>
        <sz val="16"/>
        <rFont val="Preeti"/>
      </rPr>
      <t xml:space="preserve">sfnf] kmnfd] kfO{ksf] 6«; agfO{ h8fg ug]{ sfd -k|fOd/ k]G6 ;lxt_  </t>
    </r>
  </si>
  <si>
    <t>n=;=</t>
  </si>
  <si>
    <t>u|fe]n</t>
  </si>
  <si>
    <t>%) dL=dL=Aof;sf] :6]Gn];l:6nsf] x\of08/]ndf @ ld6/sf] b"/Ldf %) dL=dL=Aof;sf] :6]Gn];l:6ns} 7f8f] kf]i6 /fvL x\of08/]n / e"O+sf] aLrdf tLg tx t];f]{ @% dL=dL=Aof;sf] :6]Gn];l:6nsf] d]Da/ /fvL @Ú–^Æ b]lv #Ú–)Æ ;Dd prfO{ ePsf] /]lnË pknAw u/fO{ h8fg u/L /+u ;d]t nufpg] sfd .</t>
  </si>
  <si>
    <t>%) dL=dL=Aof;sf] :6]Gn];l:6nsf] kfO{ksf] Xof08/]n h8fg ug]{ sfo{</t>
  </si>
  <si>
    <t>#* dL=dL=Aof;sf] :6]Gn];l:6nsf] x\of08/]ndf @ ld6/sf] b"/Ldf #* dL=dL=Aof;sf] :6]Gn];l:6ns} 7f8f] kf]i6 /fvL x\of08/]n / e"O+sf] aLrdf b'O{ tx t];f]{ @% dL=dL=Aof;sf] :6]Gn];l:6nsf] d]Da/ /fvL /]lnË agfO{ h8fg u/L /+u ;d]t nufpg] sfd .</t>
  </si>
  <si>
    <t>@% dL=dL= :6Ln kfO{k</t>
  </si>
  <si>
    <t>b/ ljZn]if0fsf] nflu ( j=dL= lnOPsf]</t>
  </si>
  <si>
    <t>b/ ljZn]if0fsf] nflu ! dL= lnOPsf]</t>
  </si>
  <si>
    <r>
      <t xml:space="preserve">e¥ofËsf] /]lnË tyf afb{nL cflbdf s'FlbPsf] ;L;f} sf7sf] x]08 /]n </t>
    </r>
    <r>
      <rPr>
        <sz val="11"/>
        <rFont val="Fantci"/>
      </rPr>
      <t>(3"x4")</t>
    </r>
  </si>
  <si>
    <r>
      <t>lzzf} sf7sf] #Æ</t>
    </r>
    <r>
      <rPr>
        <sz val="11"/>
        <rFont val="Arial"/>
        <family val="2"/>
      </rPr>
      <t xml:space="preserve">X </t>
    </r>
    <r>
      <rPr>
        <sz val="16"/>
        <rFont val="Preeti"/>
      </rPr>
      <t>$Æ;fO{hsf] Xof08/]n agfO{ lkml6Ë ug]{ sfd .</t>
    </r>
  </si>
  <si>
    <t>b/ k|lt dL=sf]</t>
  </si>
  <si>
    <t xml:space="preserve"> lzzf} sf7</t>
  </si>
  <si>
    <r>
      <t>!%</t>
    </r>
    <r>
      <rPr>
        <sz val="12"/>
        <rFont val="Arial"/>
        <family val="2"/>
      </rPr>
      <t>X</t>
    </r>
    <r>
      <rPr>
        <sz val="16"/>
        <rFont val="Preeti"/>
      </rPr>
      <t>!% ;]=dL= ;fOhsf] ;fn sf7sf] kf]i6 tyf #Æ</t>
    </r>
    <r>
      <rPr>
        <sz val="12"/>
        <rFont val="Arial"/>
        <family val="2"/>
      </rPr>
      <t>X</t>
    </r>
    <r>
      <rPr>
        <sz val="16"/>
        <rFont val="Preeti"/>
      </rPr>
      <t>#Æ ;fO{hsf] an':6/ /fvL #Æ</t>
    </r>
    <r>
      <rPr>
        <sz val="12"/>
        <rFont val="Arial"/>
        <family val="2"/>
      </rPr>
      <t>X</t>
    </r>
    <r>
      <rPr>
        <sz val="16"/>
        <rFont val="Preeti"/>
      </rPr>
      <t xml:space="preserve">$Æ ;fO{hsf] ;fnsf] Xof08/]n agfO{ h8fg ug]{ sfd . </t>
    </r>
  </si>
  <si>
    <t>$) ldld :qm'</t>
  </si>
  <si>
    <t>l;;f} sf7</t>
  </si>
  <si>
    <t>dfn;fdfg pknAw u/L @) ld=ld= df]6fO{sf] l;;f} sf7sf] l;lnË nufpg] sfd .</t>
  </si>
  <si>
    <r>
      <t xml:space="preserve"> $) </t>
    </r>
    <r>
      <rPr>
        <sz val="12"/>
        <rFont val="Arial"/>
        <family val="2"/>
      </rPr>
      <t>X</t>
    </r>
    <r>
      <rPr>
        <sz val="16"/>
        <rFont val="Preeti"/>
      </rPr>
      <t xml:space="preserve"> @) dL=dL= ljl8Ë HjfO{G6df nufpg] ;d]t .</t>
    </r>
  </si>
  <si>
    <t>%) ldld :qm'</t>
  </si>
  <si>
    <t>^) ldld :qm'</t>
  </si>
  <si>
    <t>%) ldld lsnf</t>
  </si>
  <si>
    <t>dfn;fdfg pknAw u/L !( ld=ld= df]6fO{sf] KnfO{ jf]8{sf] l;lnË nufpg] sfd .</t>
  </si>
  <si>
    <t>!( dL=dL=KnfO{ jf]8{</t>
  </si>
  <si>
    <t>b/ ljZn]if0fsf] nflu #%=%* j=ld= lnOPsf]</t>
  </si>
  <si>
    <t>ln:6L</t>
  </si>
  <si>
    <r>
      <t>#*</t>
    </r>
    <r>
      <rPr>
        <sz val="12"/>
        <rFont val="Arial"/>
        <family val="2"/>
      </rPr>
      <t>X</t>
    </r>
    <r>
      <rPr>
        <sz val="16"/>
        <rFont val="Preeti"/>
      </rPr>
      <t>&amp;% dL=dL= ;fO{hsf] cu|fv sf7sf] )=^!</t>
    </r>
    <r>
      <rPr>
        <sz val="12"/>
        <rFont val="Arial"/>
        <family val="2"/>
      </rPr>
      <t>X</t>
    </r>
    <r>
      <rPr>
        <sz val="16"/>
        <rFont val="Preeti"/>
      </rPr>
      <t>)=(!% dL=sf] sf]7f -k|m]d_ agfO{</t>
    </r>
  </si>
  <si>
    <t>b'j} tkm{ # dL= dL= sdl;{on KnfO{p8 nufO{ hf]gL{df sf7sf] ln:6L 7f]sL sf7jf/ nufpg sfd .</t>
  </si>
  <si>
    <t xml:space="preserve"> !( dL= dL= cu|fv sf7sf] kmNofs b'j} tkm{ Nofk HjfOG6df 7f]sL sf7jf/ nufpg sfd .</t>
  </si>
  <si>
    <r>
      <t>%)</t>
    </r>
    <r>
      <rPr>
        <sz val="12"/>
        <rFont val="Arial"/>
        <family val="2"/>
      </rPr>
      <t>X</t>
    </r>
    <r>
      <rPr>
        <sz val="16"/>
        <rFont val="Preeti"/>
      </rPr>
      <t>&amp;% dL=dL= ;fO{hsf] cu|fv sf7sf] )=^)</t>
    </r>
    <r>
      <rPr>
        <sz val="12"/>
        <rFont val="Arial"/>
        <family val="2"/>
      </rPr>
      <t>X</t>
    </r>
    <r>
      <rPr>
        <sz val="16"/>
        <rFont val="Preeti"/>
      </rPr>
      <t>)=() dL=sf] sf]7f -k|m]d_ agfO{</t>
    </r>
  </si>
  <si>
    <t xml:space="preserve"> ^ dL= dL= jf6/k|'km KnfOp8sf] kmN; l;lnË 7f]Sg]] sfd . </t>
  </si>
  <si>
    <t>^ dL=dL= jf6/k|'k KnfO{p8</t>
  </si>
  <si>
    <t xml:space="preserve">dfn;fdfg pknAw u/L lh=cfO{=k|m]ddf lhD;d jf]8{sf] </t>
  </si>
  <si>
    <t>b/ ljZn]if0fsf] nflu !) Jf= dL= lnOPsf]</t>
  </si>
  <si>
    <t>lhk af]8{ l8hfOg kmN;\l;lnËsf]</t>
  </si>
  <si>
    <t>sfd k'/f</t>
  </si>
  <si>
    <t>l8hfOg kmN; l;lnË nufpg] sfd -cf/=l;=l;= 5td'lg_</t>
  </si>
  <si>
    <t>;fwf/0f kmN; l;lnË nufpg] sfd -cf/=l;=l;= 5td'lg_</t>
  </si>
  <si>
    <t>lhk af]8{ ;fwf/0f kmN;\l;lnËsf]</t>
  </si>
  <si>
    <t xml:space="preserve">dfn;fdfg pknAw u/L lh=cfO{=k|m]ddf d]6fnfOH8 kf]lnP6/ nfldg]6]8 jf]8{sf] </t>
  </si>
  <si>
    <t>l;lnË nufpg] sfd -ss{t kftfsf] 5fgfd'lg_</t>
  </si>
  <si>
    <t>b/ ljZn]if0fsf] nflu !Jf= dL= lnOPsf]</t>
  </si>
  <si>
    <t xml:space="preserve">l8hfOg Pd=lk=Pn= l;lnËsf] </t>
  </si>
  <si>
    <t xml:space="preserve">;fwf/0f Pd=lk=Pn= l;lnËsf] </t>
  </si>
  <si>
    <t xml:space="preserve">dfn;fdfg pknAw u/L lh=cfO{=k|m]ddf ;fwf/0f d]6fnfOH8 kf]lnP6/ nfldg]6]8 jf]8{sf] </t>
  </si>
  <si>
    <t xml:space="preserve">dfn;fdfg pknAw u/L ^ dL=dL= afSnf] km\nf]S; cf]– jf]8{ </t>
  </si>
  <si>
    <t xml:space="preserve">-jf6/k|'km l;d]G6 af]8{_ sf] kmN; l;lnË nufpg] sfd </t>
  </si>
  <si>
    <t>km\n]S; cf]–jf]8{ l;lnËsf]</t>
  </si>
  <si>
    <t>UPVC 110X64X9mm thick board and 5mm thick Partition With Half Board 9mm And Other Half 5mm Glass</t>
  </si>
  <si>
    <t>UPVC 60*60mm white colour Swing Door With 5mm Glass Panel</t>
  </si>
  <si>
    <t>UPVC sliding window with net (frame 50 X 80mm sash 58 X 36mm white colour with 5mm Glass)</t>
  </si>
  <si>
    <t>UPVC sliding window without net (frame 60 X 60mm sash 66 X 42mm white colour with 5mm Glass)</t>
  </si>
  <si>
    <t>UPVC Single Door (frame 60X60mm, sash 60X 104mm) White Colour With Top Glass 5mm And Bottom UPVC Panel</t>
  </si>
  <si>
    <t>UPVC Singl Door with full pannel (frame 60*60mm sash 60X100mm White Colour With  Panel)</t>
  </si>
  <si>
    <t>UPVC sliding Door with net (frame 52 X 88mm sash 8 X 42mm white colour with 5mm Glass)</t>
  </si>
  <si>
    <t>UPVC sliding Door without net (frame 60 X 60mm sash 88 X 40mm white colour with 5mm Glass)</t>
  </si>
  <si>
    <t>UPVC Double Door  (frame 60 X 60mm sash 60 X 140mm white colour with 5mm Glass)</t>
  </si>
  <si>
    <t>UPVC Single Door</t>
  </si>
  <si>
    <t xml:space="preserve">UPVC Singl Door with full pannel </t>
  </si>
  <si>
    <t xml:space="preserve">UPVC 110X64X9mm thick board </t>
  </si>
  <si>
    <t xml:space="preserve"> Swing Door With 5mm Glass Panel</t>
  </si>
  <si>
    <t>UPVC sliding window with net</t>
  </si>
  <si>
    <t>UPVC sliding window without net</t>
  </si>
  <si>
    <t>UPVC sliding Door with net</t>
  </si>
  <si>
    <t>UPVC sliding Door without net</t>
  </si>
  <si>
    <t>UPVC Double Door</t>
  </si>
  <si>
    <t>gd"gf ;+sng y}nL Nofa ;fdfu|L</t>
  </si>
  <si>
    <r>
      <t xml:space="preserve"> </t>
    </r>
    <r>
      <rPr>
        <sz val="10"/>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</si>
  <si>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;lxt cu/ -n=;=@))).– k/ 3=_</t>
  </si>
  <si>
    <t>j6f</t>
  </si>
  <si>
    <r>
      <rPr>
        <sz val="10"/>
        <rFont val="Arial"/>
        <family val="2"/>
      </rPr>
      <t xml:space="preserve">M20 grade </t>
    </r>
    <r>
      <rPr>
        <sz val="13"/>
        <rFont val="Preeti"/>
      </rPr>
      <t>/]l8ldS; s+lqm6</t>
    </r>
  </si>
  <si>
    <r>
      <t xml:space="preserve">kmnfd] kfO{k  </t>
    </r>
    <r>
      <rPr>
        <sz val="9"/>
        <rFont val="Arial"/>
        <family val="2"/>
      </rPr>
      <t>(NMB 50-M)</t>
    </r>
  </si>
  <si>
    <t>kf]/l;lng Un]H8 6fO{n</t>
  </si>
  <si>
    <r>
      <t>9'+ufsf] 3"nf] -Pl/of</t>
    </r>
    <r>
      <rPr>
        <sz val="10"/>
        <rFont val="Arial"/>
        <family val="2"/>
      </rPr>
      <t>X</t>
    </r>
    <r>
      <rPr>
        <sz val="13"/>
        <rFont val="Preeti"/>
      </rPr>
      <t>% ;]=dL=_</t>
    </r>
  </si>
  <si>
    <r>
      <t>v_ HofdL @</t>
    </r>
    <r>
      <rPr>
        <sz val="13"/>
        <rFont val="FONTASY_HIMALI_TT"/>
        <family val="5"/>
      </rPr>
      <t>-</t>
    </r>
    <r>
      <rPr>
        <sz val="13"/>
        <rFont val="Preeti"/>
      </rPr>
      <t>$@-</t>
    </r>
  </si>
  <si>
    <r>
      <t xml:space="preserve">9'+ufsf] 3"nf] -Pl/of </t>
    </r>
    <r>
      <rPr>
        <sz val="10"/>
        <rFont val="Arial"/>
        <family val="2"/>
      </rPr>
      <t xml:space="preserve">X </t>
    </r>
    <r>
      <rPr>
        <sz val="13"/>
        <rFont val="Preeti"/>
      </rPr>
      <t>^ ;]=dL=_</t>
    </r>
  </si>
  <si>
    <t>H38</t>
  </si>
  <si>
    <t>H39</t>
  </si>
  <si>
    <t>gg\Un]H8 6fOn</t>
  </si>
  <si>
    <t>c:t/ jfx]s Ps sf]6 j]b/sf]6 -Pk]S; jf ;f] ;/x_ k]G6 ug]{ sfd .</t>
  </si>
  <si>
    <t>j]b/ sf]6 -Pk]S; jf ;f] ;/x_ k]G6</t>
  </si>
  <si>
    <t>c:t/ jfx]s b'O{ sf]6 j]b/sf]6 -Pk]S; jf ;f] ;/x_ k]G6 ug]{ sfd .</t>
  </si>
  <si>
    <t>:6]Gn];l:6nsf] kfO{kdf UofF; j]lN8ª  / k]l6Ë ug]{ .</t>
  </si>
  <si>
    <t>#* dL=dL= :6Ln kfOk</t>
  </si>
  <si>
    <t>Report, writing &amp; submission</t>
  </si>
  <si>
    <t>;xfos ;fdu|L</t>
  </si>
  <si>
    <t>E5</t>
  </si>
  <si>
    <t>E6</t>
  </si>
  <si>
    <t>F1</t>
  </si>
  <si>
    <t>F8</t>
  </si>
  <si>
    <t xml:space="preserve">hu leQf kvf{ndf l;d]G6 s+lqm6 ug]{ sfd dfn;fdfg pknAw ug]{ #) dL6/;Dd 9'jfgL ;lxt </t>
  </si>
  <si>
    <r>
      <t xml:space="preserve">;'k/ :6«Sr/df l8hfOg adf]lhdsf] </t>
    </r>
    <r>
      <rPr>
        <sz val="11"/>
        <rFont val="Arial"/>
        <family val="2"/>
      </rPr>
      <t>M20 grade</t>
    </r>
    <r>
      <rPr>
        <sz val="16"/>
        <rFont val="Preeti"/>
      </rPr>
      <t xml:space="preserve"> sf] /]l8ldS; s+lqm6 k|of]u u/L 9nfg ug]{ sfd </t>
    </r>
  </si>
  <si>
    <t xml:space="preserve">dfn;fdfg pknAw ug]{ / ;fO{6;Dd 9'jfgL ;d]t  </t>
  </si>
  <si>
    <t>G 12</t>
  </si>
  <si>
    <t>G 11</t>
  </si>
  <si>
    <t>G 13</t>
  </si>
  <si>
    <t>G 14</t>
  </si>
  <si>
    <t>G 15</t>
  </si>
  <si>
    <t>G 16</t>
  </si>
  <si>
    <t>H 1</t>
  </si>
  <si>
    <t>H 2</t>
  </si>
  <si>
    <t>H 3</t>
  </si>
  <si>
    <t>H 4</t>
  </si>
  <si>
    <t>H 5</t>
  </si>
  <si>
    <t>H 6</t>
  </si>
  <si>
    <t>H 7</t>
  </si>
  <si>
    <t>H 8</t>
  </si>
  <si>
    <t>H 9</t>
  </si>
  <si>
    <t>H 11</t>
  </si>
  <si>
    <t>H 12</t>
  </si>
  <si>
    <t>H 13</t>
  </si>
  <si>
    <t>Fuel(Disel)</t>
  </si>
  <si>
    <t>Formula</t>
  </si>
  <si>
    <t>Fuel rate (Disel)</t>
  </si>
  <si>
    <t>b/ k|lt af]/xf]nsf]</t>
  </si>
  <si>
    <t>tof/L x]l/6]h</t>
  </si>
  <si>
    <t>A 1</t>
  </si>
  <si>
    <t>A 2</t>
  </si>
  <si>
    <r>
      <t xml:space="preserve">3fF; </t>
    </r>
    <r>
      <rPr>
        <sz val="11"/>
        <rFont val="Arial"/>
        <family val="2"/>
      </rPr>
      <t>(Dubo)</t>
    </r>
  </si>
  <si>
    <t>/8 ;lxt j]N8/</t>
  </si>
  <si>
    <r>
      <t>?v /f]Kg] sfd, vfN8f] vNg], $% ;]=dL= uf]nfO{df rf/ j6f #</t>
    </r>
    <r>
      <rPr>
        <sz val="12"/>
        <rFont val="Calibri"/>
        <family val="2"/>
        <scheme val="minor"/>
      </rPr>
      <t>x</t>
    </r>
    <r>
      <rPr>
        <sz val="14"/>
        <rFont val="Preeti"/>
      </rPr>
      <t>@) dLdL sf] kmnfd] kftf / @</t>
    </r>
    <r>
      <rPr>
        <sz val="12"/>
        <rFont val="Calibri"/>
        <family val="2"/>
        <scheme val="minor"/>
      </rPr>
      <t>"X</t>
    </r>
    <r>
      <rPr>
        <sz val="14"/>
        <rFont val="Preeti"/>
      </rPr>
      <t>@</t>
    </r>
    <r>
      <rPr>
        <sz val="12"/>
        <rFont val="Calibri"/>
        <family val="2"/>
        <scheme val="minor"/>
      </rPr>
      <t>"</t>
    </r>
    <r>
      <rPr>
        <sz val="14"/>
        <rFont val="Preeti"/>
      </rPr>
      <t xml:space="preserve"> d];</t>
    </r>
  </si>
  <si>
    <r>
      <t>@</t>
    </r>
    <r>
      <rPr>
        <sz val="13"/>
        <rFont val="Calibri"/>
        <family val="2"/>
        <scheme val="minor"/>
      </rPr>
      <t>"X</t>
    </r>
    <r>
      <rPr>
        <sz val="13"/>
        <rFont val="Preeti"/>
      </rPr>
      <t>@</t>
    </r>
    <r>
      <rPr>
        <sz val="13"/>
        <rFont val="Calibri"/>
        <family val="2"/>
        <scheme val="minor"/>
      </rPr>
      <t>"</t>
    </r>
    <r>
      <rPr>
        <sz val="13"/>
        <rFont val="Preeti"/>
      </rPr>
      <t xml:space="preserve"> d]; hfnL </t>
    </r>
  </si>
  <si>
    <r>
      <t xml:space="preserve">a]G6f]g]6 kfp8/ </t>
    </r>
    <r>
      <rPr>
        <sz val="11"/>
        <rFont val="Preeti"/>
      </rPr>
      <t xml:space="preserve">-$) s]hL </t>
    </r>
    <r>
      <rPr>
        <sz val="10"/>
        <rFont val="Arial"/>
        <family val="2"/>
      </rPr>
      <t>=</t>
    </r>
    <r>
      <rPr>
        <sz val="11"/>
        <rFont val="Arial"/>
        <family val="2"/>
      </rPr>
      <t xml:space="preserve"> </t>
    </r>
    <r>
      <rPr>
        <sz val="11"/>
        <rFont val="Preeti"/>
      </rPr>
      <t>! Aff]/f_</t>
    </r>
  </si>
  <si>
    <t xml:space="preserve">:yfgLo s'–sf7 </t>
  </si>
  <si>
    <r>
      <t xml:space="preserve">)=$% </t>
    </r>
    <r>
      <rPr>
        <sz val="9"/>
        <rFont val="Arial"/>
        <family val="2"/>
      </rPr>
      <t>Plain</t>
    </r>
    <r>
      <rPr>
        <sz val="12"/>
        <rFont val="Arial"/>
        <family val="2"/>
      </rPr>
      <t xml:space="preserve"> </t>
    </r>
    <r>
      <rPr>
        <sz val="12"/>
        <rFont val="Preeti"/>
      </rPr>
      <t>zL6</t>
    </r>
  </si>
  <si>
    <t>)=$! dL=dL= /+lug ss{6 kftf</t>
  </si>
  <si>
    <t>)=$% dL=dL= /+lug ss{6 kftf</t>
  </si>
  <si>
    <t>dfn;fdfg pknAw u/L !=@ dL=dL= afSnf] kmfO{j/ Unf;sf] zL6sf] w'/L agfO{ h8fg ug]{ sfd k'/f .</t>
  </si>
  <si>
    <t>Kn]g zL6 -^) ;]=dL= rf}8fO{_</t>
  </si>
  <si>
    <t>!@ dL=dL= df]6fO{ ePsf] kf6L{zg jf]8{ Ps ;fO8 n]ldg]6 u/]sf] h8fg ug]{ sfo{ .</t>
  </si>
  <si>
    <t>!@ dL=dL= df]6fO{ ePsf] Ps ;fO{8 nfldg]6 ul/Psf]</t>
  </si>
  <si>
    <t>@) dL=dL /f]8f</t>
  </si>
  <si>
    <t>gf]6M 9'+ufsf] w'nf] 3=dL=nfO{ )=)% dL6/n] u'0fg u/]sf] .</t>
  </si>
  <si>
    <t>gf]6M 9'+ufsf] w'nf] 3=dL=nfO{ )=)^ dL6/n] u'0fg u/]sf] .</t>
  </si>
  <si>
    <t>Supplying &amp; fixing Structure glazing with laminated safety glass 6.38 mm thick</t>
  </si>
  <si>
    <t>l;;f} sf7sf] ljl8Ë</t>
  </si>
  <si>
    <t xml:space="preserve">  Supplying and fitting Aluminium fixed panel  window with Ventilation but without fly mesh shutter from section (88 x38.1x1.3)mm and 5mm glass.</t>
  </si>
  <si>
    <r>
      <t xml:space="preserve">fixed panel  window with Ventilation but without fly mesh shutter </t>
    </r>
    <r>
      <rPr>
        <sz val="13"/>
        <rFont val="Preeti"/>
      </rPr>
      <t xml:space="preserve">sf </t>
    </r>
  </si>
  <si>
    <t>Supplying and fitting Aluminium fixed panel  window with Ventilation but with fly mesh shutter from section (88 x38.1x1.3)mm and 5mm glass.</t>
  </si>
  <si>
    <t>fixed panel  window with Ventilation but with fly mesh shutter</t>
  </si>
  <si>
    <t>sliding window with Ventilator</t>
  </si>
  <si>
    <t>sliding door</t>
  </si>
  <si>
    <t>Supplying and fitting  Aluminium sliding window with Ventilator from section (101 x45x1.50)mm                       and 5mm glass.</t>
  </si>
  <si>
    <t>Supplying and fitting  Aluminium sliding door section (101 x45 x1.5)mm with sash 40x45x1.5mm                        and 5mm glass.</t>
  </si>
  <si>
    <t>Supplying and fitting Aluminium casement door section of (101 x45 x1.5)mm sash 40x45x1.5mm &amp; 5mm glass.</t>
  </si>
  <si>
    <t>Supplying and fitting Casement double panel aluminum windows with Ventilation section of (54x33x1.5)mm with sash 38x34x1.5mm and 5mm glass.</t>
  </si>
  <si>
    <t>Supplying and fitting Aluminium swing door section of (101 x45 x1.5)mm  &amp; 5mm glass.</t>
  </si>
  <si>
    <t>Supplying and fitting Aluminium fixed window and partition with fixed ventilator from 9mm board and                          section (101 x45x1.5)</t>
  </si>
  <si>
    <t>Supplying and fitting Aluminium partition with 5mm thick glass and  9mm thick laminated  board of section (101 x45x1.1)</t>
  </si>
  <si>
    <t>Supplying and fitting Aluminium partition with 5mm thick glass and  9mm thick laminated  board of                          section (64 x38x1.1)</t>
  </si>
  <si>
    <t>Supplying and fitting Aluminium sliding window without Ventilator from section (101 x45x1.50)mm                              and 5mm glass.</t>
  </si>
  <si>
    <t>sliding window without Ventilator</t>
  </si>
  <si>
    <t>with sash</t>
  </si>
  <si>
    <t>Casement double panel</t>
  </si>
  <si>
    <t>windows with Ventilation</t>
  </si>
  <si>
    <t xml:space="preserve">Casement door </t>
  </si>
  <si>
    <t>sliding window 2 track</t>
  </si>
  <si>
    <t>fixed window and partition with</t>
  </si>
  <si>
    <t xml:space="preserve"> fixed ventilator from 9mm board</t>
  </si>
  <si>
    <t xml:space="preserve">partition with 5mm thick glass </t>
  </si>
  <si>
    <t>and  9mm thick laminated  board</t>
  </si>
  <si>
    <t xml:space="preserve">Structure glazing </t>
  </si>
  <si>
    <r>
      <t xml:space="preserve">sash </t>
    </r>
    <r>
      <rPr>
        <sz val="12"/>
        <rFont val="Preeti"/>
      </rPr>
      <t>sf ;/;fdfg</t>
    </r>
  </si>
  <si>
    <t xml:space="preserve">9'+ufsf] -/a'n_ uf/f]sf] sfd ;fx|f] Ans:6f]g pknAw ug]{, ;'Vvf uf/f] nufpg] </t>
  </si>
  <si>
    <t>B 1</t>
  </si>
  <si>
    <t>B 2</t>
  </si>
  <si>
    <t>B 3</t>
  </si>
  <si>
    <t>B 4</t>
  </si>
  <si>
    <t>C 1</t>
  </si>
  <si>
    <t>Supplying and fitting Ready made Teak wood Doors, special (Seasoned and Poisoned treated ,one side teak)  with all neccessary hardware all complete.</t>
  </si>
  <si>
    <t>P;L8 kfp8/</t>
  </si>
  <si>
    <t xml:space="preserve">clV;8fOh/ -cShflns_ </t>
  </si>
  <si>
    <t>C 2</t>
  </si>
  <si>
    <t>C6</t>
  </si>
  <si>
    <t>C9</t>
  </si>
  <si>
    <t>C10</t>
  </si>
  <si>
    <t>C13</t>
  </si>
  <si>
    <t>D2</t>
  </si>
  <si>
    <t>D9</t>
  </si>
  <si>
    <t>E1</t>
  </si>
  <si>
    <t>E2</t>
  </si>
  <si>
    <t>E3</t>
  </si>
  <si>
    <t>E4</t>
  </si>
  <si>
    <t>E12</t>
  </si>
  <si>
    <t>E13</t>
  </si>
  <si>
    <t>F4</t>
  </si>
  <si>
    <t>F6</t>
  </si>
  <si>
    <t>F9</t>
  </si>
  <si>
    <t>F10</t>
  </si>
  <si>
    <t>F11</t>
  </si>
  <si>
    <t>F19</t>
  </si>
  <si>
    <t>F20</t>
  </si>
  <si>
    <t>F21</t>
  </si>
  <si>
    <t>G2</t>
  </si>
  <si>
    <t>G3</t>
  </si>
  <si>
    <t>G4</t>
  </si>
  <si>
    <t>G5</t>
  </si>
  <si>
    <t>G8</t>
  </si>
  <si>
    <t>G7</t>
  </si>
  <si>
    <t>G9</t>
  </si>
  <si>
    <t>G10</t>
  </si>
  <si>
    <t>H 14</t>
  </si>
  <si>
    <t>H 15</t>
  </si>
  <si>
    <t>H 16</t>
  </si>
  <si>
    <t>H 17</t>
  </si>
  <si>
    <t>H 18</t>
  </si>
  <si>
    <t>H 19</t>
  </si>
  <si>
    <t>H 20</t>
  </si>
  <si>
    <t>H 21</t>
  </si>
  <si>
    <t>H 22</t>
  </si>
  <si>
    <t>H 23</t>
  </si>
  <si>
    <t>H 24</t>
  </si>
  <si>
    <t>H 26</t>
  </si>
  <si>
    <t>H27</t>
  </si>
  <si>
    <t>PNsfnL k|lt/f]ws 6fOn</t>
  </si>
  <si>
    <t>H31</t>
  </si>
  <si>
    <t>H30</t>
  </si>
  <si>
    <t>H33</t>
  </si>
  <si>
    <t>H37</t>
  </si>
  <si>
    <t>I 1</t>
  </si>
  <si>
    <t>I 3</t>
  </si>
  <si>
    <t>I 4</t>
  </si>
  <si>
    <t>I 5</t>
  </si>
  <si>
    <t>@% dL=dL= afSnf] df6f]sf] lnpg Knfi6/ ug]{ sfd d;nf tof/ kf/L #) dL= ;Dd</t>
  </si>
  <si>
    <t>I 6</t>
  </si>
  <si>
    <t>I 8</t>
  </si>
  <si>
    <t>I 9</t>
  </si>
  <si>
    <t>I 10</t>
  </si>
  <si>
    <t>I 11</t>
  </si>
  <si>
    <t>I 12</t>
  </si>
  <si>
    <t>I 14</t>
  </si>
  <si>
    <t>I 15</t>
  </si>
  <si>
    <t>I 16</t>
  </si>
  <si>
    <t>I 17</t>
  </si>
  <si>
    <t>J 1</t>
  </si>
  <si>
    <t>J 2</t>
  </si>
  <si>
    <t>J 3</t>
  </si>
  <si>
    <t>J 4</t>
  </si>
  <si>
    <t>J 5</t>
  </si>
  <si>
    <t>J 6</t>
  </si>
  <si>
    <t>J 7</t>
  </si>
  <si>
    <t>J 8</t>
  </si>
  <si>
    <t>J 9</t>
  </si>
  <si>
    <t>J 10</t>
  </si>
  <si>
    <t>J 11</t>
  </si>
  <si>
    <t>J 12</t>
  </si>
  <si>
    <t>J 13</t>
  </si>
  <si>
    <t>J 14</t>
  </si>
  <si>
    <t>J 15</t>
  </si>
  <si>
    <t>J 16</t>
  </si>
  <si>
    <t>J 17</t>
  </si>
  <si>
    <t>J 18</t>
  </si>
  <si>
    <t>J 20</t>
  </si>
  <si>
    <t>J 21</t>
  </si>
  <si>
    <t>J 22</t>
  </si>
  <si>
    <t>J 23</t>
  </si>
  <si>
    <t>J 26</t>
  </si>
  <si>
    <t>J 28</t>
  </si>
  <si>
    <t>J 29</t>
  </si>
  <si>
    <t>J 24</t>
  </si>
  <si>
    <t>J 25</t>
  </si>
  <si>
    <t>K 1</t>
  </si>
  <si>
    <t>K 2</t>
  </si>
  <si>
    <t>K 3</t>
  </si>
  <si>
    <t>K 4</t>
  </si>
  <si>
    <t>K 5</t>
  </si>
  <si>
    <t>K 6</t>
  </si>
  <si>
    <t>K 7</t>
  </si>
  <si>
    <t>L 1</t>
  </si>
  <si>
    <t>L 2</t>
  </si>
  <si>
    <t>L 3</t>
  </si>
  <si>
    <t>L 4</t>
  </si>
  <si>
    <t>L 5</t>
  </si>
  <si>
    <t>L 6</t>
  </si>
  <si>
    <t>L 11</t>
  </si>
  <si>
    <t>L 8</t>
  </si>
  <si>
    <t>L 12</t>
  </si>
  <si>
    <t>L 13</t>
  </si>
  <si>
    <t>L 14</t>
  </si>
  <si>
    <t>L 16</t>
  </si>
  <si>
    <t>L 18</t>
  </si>
  <si>
    <t>L 19</t>
  </si>
  <si>
    <t>L 22</t>
  </si>
  <si>
    <t>M 1</t>
  </si>
  <si>
    <t>M 2</t>
  </si>
  <si>
    <t>M 3</t>
  </si>
  <si>
    <t>M 4</t>
  </si>
  <si>
    <t>M 5</t>
  </si>
  <si>
    <t>M 6</t>
  </si>
  <si>
    <t>M 7</t>
  </si>
  <si>
    <t>M 8</t>
  </si>
  <si>
    <t>M 9</t>
  </si>
  <si>
    <t>M 10</t>
  </si>
  <si>
    <t>M 11</t>
  </si>
  <si>
    <t>M 12</t>
  </si>
  <si>
    <t>M 13</t>
  </si>
  <si>
    <t>M 16</t>
  </si>
  <si>
    <r>
      <t>!%</t>
    </r>
    <r>
      <rPr>
        <sz val="12"/>
        <rFont val="Arial"/>
        <family val="2"/>
      </rPr>
      <t>X</t>
    </r>
    <r>
      <rPr>
        <sz val="16"/>
        <rFont val="Preeti"/>
      </rPr>
      <t>!% ;]=dL= ;fOhsf] lzzf} sf7sf] kf]i6 tyf #Æ</t>
    </r>
    <r>
      <rPr>
        <sz val="12"/>
        <rFont val="Arial"/>
        <family val="2"/>
      </rPr>
      <t>X</t>
    </r>
    <r>
      <rPr>
        <sz val="16"/>
        <rFont val="Preeti"/>
      </rPr>
      <t>#Æ ;fO{hsf] an':6/ /fvL #Æ</t>
    </r>
    <r>
      <rPr>
        <sz val="12"/>
        <rFont val="Arial"/>
        <family val="2"/>
      </rPr>
      <t>X</t>
    </r>
    <r>
      <rPr>
        <sz val="16"/>
        <rFont val="Preeti"/>
      </rPr>
      <t xml:space="preserve">$Æ ;fO{hsf] lzzf}sf] Xof08/]n agfO{ h8fg ug]{ sfd . </t>
    </r>
  </si>
  <si>
    <t>M 17</t>
  </si>
  <si>
    <t>N 1</t>
  </si>
  <si>
    <t>N 2</t>
  </si>
  <si>
    <t>N 3</t>
  </si>
  <si>
    <t>N 6</t>
  </si>
  <si>
    <t>N 7</t>
  </si>
  <si>
    <t>N 8</t>
  </si>
  <si>
    <t>N 9</t>
  </si>
  <si>
    <t>N 10</t>
  </si>
  <si>
    <t>N 12</t>
  </si>
  <si>
    <t>N 11</t>
  </si>
  <si>
    <t>N 14</t>
  </si>
  <si>
    <t>G 21</t>
  </si>
  <si>
    <t>NRs100/cum</t>
  </si>
  <si>
    <t>NRs300</t>
  </si>
  <si>
    <t>0.4(T+0.75)*100</t>
  </si>
  <si>
    <t xml:space="preserve">cu|fv sf7sf]  </t>
  </si>
  <si>
    <t>b/ k|lt ?vsf]</t>
  </si>
  <si>
    <t>b/ k|lt /=ld=sf]</t>
  </si>
  <si>
    <t>5 km</t>
  </si>
  <si>
    <t>Distance for site to disposal site</t>
  </si>
  <si>
    <t>T=2*d1/v1</t>
  </si>
  <si>
    <t>xfO8«f]lns PS;fe]6/ -)=* 3=dL= Ifdtf_ k|of]u u/L g/d df6f] vGg] sfd</t>
  </si>
  <si>
    <t>xfO8«f]lns PS;fe]6/ -)=* 3=dL= Ifdtf_ k|of]u u/L s8f df6f] vGg] sfd</t>
  </si>
  <si>
    <t>Source Norms for rate Analysis as per Standard Spcification for Road And Bridge works GoN.M.P.P.and Works Department of Road</t>
  </si>
  <si>
    <t>3.2xTx10</t>
  </si>
  <si>
    <t>NRs 100</t>
  </si>
  <si>
    <t xml:space="preserve"> Ps sf]6 k|fO{d/ ;lxt b'O{ sf]6 j]b/sf]6 -Pk]S; jf ;f] ;/x_ k]G6 ug]{ sfd</t>
  </si>
  <si>
    <t>j]b/sf]6</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</si>
  <si>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(Regular)</t>
    </r>
    <r>
      <rPr>
        <sz val="16"/>
        <rFont val="Preeti"/>
      </rPr>
      <t>5fgf 5fpg] sfd .</t>
    </r>
  </si>
  <si>
    <r>
      <rPr>
        <sz val="12"/>
        <rFont val="Arial"/>
        <family val="2"/>
      </rPr>
      <t>UPVCsheet</t>
    </r>
    <r>
      <rPr>
        <sz val="12"/>
        <rFont val="Preeti"/>
      </rPr>
      <t xml:space="preserve"> </t>
    </r>
  </si>
  <si>
    <t>Self Tapping Screw 3"</t>
  </si>
  <si>
    <t>Self Tapping Screw 2.5"</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</si>
  <si>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(Tile)</t>
    </r>
    <r>
      <rPr>
        <sz val="16"/>
        <rFont val="Preeti"/>
      </rPr>
      <t>5fgf 5fpg] sfd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</si>
  <si>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
    </r>
    <r>
      <rPr>
        <sz val="10"/>
        <rFont val="Preeti"/>
      </rPr>
      <t xml:space="preserve"> </t>
    </r>
    <r>
      <rPr>
        <sz val="16"/>
        <rFont val="Preeti"/>
      </rPr>
      <t>nufpg] sfd lSnk tyf k]r cflb ;d]t k'/f sfo{ ug]{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</si>
  <si>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Tile</t>
    </r>
    <r>
      <rPr>
        <sz val="16"/>
        <rFont val="Preeti"/>
      </rPr>
      <t>nufpg] sfd lSnk tyf k]r cflb ;d]t k'/f sfo{ ug]{ .</t>
    </r>
  </si>
  <si>
    <t>s</t>
  </si>
  <si>
    <t>!# dL=dL= dfj{n  !@=% dL=dL= afSnf] !M# efusf] l;d]G6 d;nfdf</t>
  </si>
  <si>
    <t>!# dL=dL= dfj{n</t>
  </si>
  <si>
    <t xml:space="preserve">!# dL=dL= dfj{n  @) dL=dL= afSnf] </t>
  </si>
  <si>
    <t>?</t>
  </si>
  <si>
    <r>
      <t>125</t>
    </r>
    <r>
      <rPr>
        <sz val="10"/>
        <rFont val="FONTASY_HIMALI_TT"/>
        <family val="5"/>
      </rPr>
      <t>s</t>
    </r>
  </si>
  <si>
    <r>
      <t>kf]/l;lng gg</t>
    </r>
    <r>
      <rPr>
        <sz val="16"/>
        <rFont val="Arial"/>
        <family val="2"/>
      </rPr>
      <t>-</t>
    </r>
    <r>
      <rPr>
        <sz val="16"/>
        <rFont val="Preeti"/>
      </rPr>
      <t>Un]H8 6fO{n</t>
    </r>
    <r>
      <rPr>
        <sz val="9"/>
        <rFont val="Arial"/>
        <family val="2"/>
      </rPr>
      <t>(for flooring)</t>
    </r>
    <r>
      <rPr>
        <sz val="16"/>
        <rFont val="Preeti"/>
      </rPr>
      <t xml:space="preserve"> !M$ l;d]G6 afn'jfdf 5fKg] sfd .</t>
    </r>
  </si>
  <si>
    <r>
      <t>kf]/l;lng  gg</t>
    </r>
    <r>
      <rPr>
        <sz val="13"/>
        <rFont val="Arial"/>
        <family val="2"/>
      </rPr>
      <t>-</t>
    </r>
    <r>
      <rPr>
        <sz val="13"/>
        <rFont val="Preeti"/>
      </rPr>
      <t>Un]H8 6fO{n</t>
    </r>
  </si>
  <si>
    <r>
      <t>125</t>
    </r>
    <r>
      <rPr>
        <sz val="10"/>
        <rFont val="FONTASY_HIMALI_TT"/>
        <family val="5"/>
      </rPr>
      <t>v</t>
    </r>
  </si>
  <si>
    <r>
      <t>kf]/l;lng Un]H8</t>
    </r>
    <r>
      <rPr>
        <sz val="16"/>
        <rFont val="Arial"/>
        <family val="2"/>
      </rPr>
      <t>/</t>
    </r>
    <r>
      <rPr>
        <sz val="16"/>
        <rFont val="Preeti"/>
      </rPr>
      <t>ggn]H8 6fO{n</t>
    </r>
    <r>
      <rPr>
        <sz val="9"/>
        <rFont val="Arial"/>
        <family val="2"/>
      </rPr>
      <t>(Floor &amp; Wall of kazzaria ,Somany or eqvalent)</t>
    </r>
    <r>
      <rPr>
        <sz val="16"/>
        <rFont val="Preeti"/>
      </rPr>
      <t xml:space="preserve"> !M$ l;d]G6 afn'jfdf 5fKg] sfd .</t>
    </r>
  </si>
  <si>
    <r>
      <t>kf]/l;lng Un]H8</t>
    </r>
    <r>
      <rPr>
        <sz val="13"/>
        <rFont val="Arial"/>
        <family val="2"/>
      </rPr>
      <t>/</t>
    </r>
    <r>
      <rPr>
        <sz val="13"/>
        <rFont val="Preeti"/>
      </rPr>
      <t xml:space="preserve"> gg</t>
    </r>
    <r>
      <rPr>
        <sz val="13"/>
        <rFont val="Arial"/>
        <family val="2"/>
      </rPr>
      <t>-</t>
    </r>
    <r>
      <rPr>
        <sz val="13"/>
        <rFont val="Preeti"/>
      </rPr>
      <t xml:space="preserve">Un]H8 </t>
    </r>
    <r>
      <rPr>
        <sz val="10"/>
        <rFont val="Arial"/>
        <family val="2"/>
      </rPr>
      <t>Kazzaria, Simany or equivalent)</t>
    </r>
    <r>
      <rPr>
        <sz val="13"/>
        <rFont val="Preeti"/>
      </rPr>
      <t xml:space="preserve"> 6fO{n</t>
    </r>
  </si>
  <si>
    <t>(Size in cm=0.19*0.3 for .22*.35)</t>
  </si>
  <si>
    <t>10/0.19*0.3x1.05=184</t>
  </si>
  <si>
    <r>
      <t>13</t>
    </r>
    <r>
      <rPr>
        <sz val="10"/>
        <rFont val="FONTASY_HIMALI_TT"/>
        <family val="5"/>
      </rPr>
      <t>s</t>
    </r>
  </si>
  <si>
    <t>clip</t>
  </si>
  <si>
    <t>Clip</t>
  </si>
  <si>
    <r>
      <t xml:space="preserve">808L </t>
    </r>
    <r>
      <rPr>
        <sz val="13"/>
        <color theme="1"/>
        <rFont val="Arial"/>
        <family val="2"/>
      </rPr>
      <t>(TMT rod)</t>
    </r>
  </si>
  <si>
    <t>Block Size</t>
  </si>
  <si>
    <t>40*15*20cm</t>
  </si>
  <si>
    <t>For 1 sqm=13no</t>
  </si>
  <si>
    <r>
      <t>!%)</t>
    </r>
    <r>
      <rPr>
        <sz val="11"/>
        <color theme="1"/>
        <rFont val="Calibri"/>
        <family val="2"/>
        <scheme val="minor"/>
      </rPr>
      <t>X</t>
    </r>
    <r>
      <rPr>
        <sz val="11"/>
        <color theme="1"/>
        <rFont val="Preeti"/>
      </rPr>
      <t>@))</t>
    </r>
    <r>
      <rPr>
        <sz val="11"/>
        <color theme="1"/>
        <rFont val="Calibri"/>
        <family val="2"/>
        <scheme val="minor"/>
      </rPr>
      <t>X</t>
    </r>
    <r>
      <rPr>
        <sz val="11"/>
        <color theme="1"/>
        <rFont val="Preeti"/>
      </rPr>
      <t>$)) Pd=Pd=sf] xf]nf] Ans</t>
    </r>
  </si>
  <si>
    <t>Supplying and fitting Aluminium sliding window 2 track section of (88 x38x1.3)mm &amp; 5mm glass.</t>
  </si>
  <si>
    <t>F 23</t>
  </si>
  <si>
    <t>3mmThick Sunrise or Equavalent</t>
  </si>
  <si>
    <t>-u_ sf] 3Ü n]</t>
  </si>
  <si>
    <r>
      <rPr>
        <sz val="24"/>
        <rFont val="Wingdings 2"/>
        <family val="1"/>
        <charset val="2"/>
      </rPr>
      <t>b</t>
    </r>
    <r>
      <rPr>
        <sz val="24"/>
        <rFont val="Arial"/>
        <family val="2"/>
      </rPr>
      <t xml:space="preserve"> </t>
    </r>
    <r>
      <rPr>
        <sz val="24"/>
        <rFont val="Preeti"/>
      </rPr>
      <t xml:space="preserve">;dfKt </t>
    </r>
    <r>
      <rPr>
        <sz val="24"/>
        <rFont val="Wingdings 2"/>
        <family val="1"/>
        <charset val="2"/>
      </rPr>
      <t>a</t>
    </r>
  </si>
  <si>
    <t>Ö ?=</t>
  </si>
  <si>
    <t>Ö '?=</t>
  </si>
  <si>
    <r>
      <t>196</t>
    </r>
    <r>
      <rPr>
        <sz val="10"/>
        <rFont val="FONTASY_HIMALI_TT"/>
        <family val="5"/>
      </rPr>
      <t>s</t>
    </r>
  </si>
  <si>
    <t>capacity per kg 6 sq. ft for 2 coat including supplying &amp; applying</t>
  </si>
  <si>
    <t xml:space="preserve">  tof/L 6Ls </t>
  </si>
  <si>
    <t>Supplying and fitting Ready made Teak Ply at old shutter fram,s,Both  side teak Lamination)  with all neccessary hardware all complete.</t>
  </si>
  <si>
    <t>NRs 475</t>
  </si>
  <si>
    <t>0.4x475</t>
  </si>
  <si>
    <t>2x5/20=0.5</t>
  </si>
  <si>
    <t>Supply and Laying  Marble Chips in floor Box</t>
  </si>
  <si>
    <t>25kg /Bag</t>
  </si>
  <si>
    <t>2620kg/cum</t>
  </si>
  <si>
    <t>158/25</t>
  </si>
  <si>
    <t>per cum</t>
  </si>
  <si>
    <t>Supply and Laying Sallawood in Wall</t>
  </si>
  <si>
    <t>Per Kg</t>
  </si>
  <si>
    <t>Per Cum</t>
  </si>
  <si>
    <t>Hard board</t>
  </si>
  <si>
    <t>a=ld=</t>
  </si>
  <si>
    <t>For  Above   8. m Ht</t>
  </si>
  <si>
    <t>sfnf] kfO{k jgfO{ hf]8\g]</t>
  </si>
  <si>
    <t>lh=cfO= tf/</t>
  </si>
  <si>
    <t>1kg=10.675/21.3525=0.5sqm</t>
  </si>
  <si>
    <t>(3.5*4+3.05*5)Rm,0.73kg/msqpipe</t>
  </si>
  <si>
    <r>
      <t xml:space="preserve"> </t>
    </r>
    <r>
      <rPr>
        <sz val="10"/>
        <rFont val="Preeti"/>
      </rPr>
      <t xml:space="preserve">sfnf] kmnfd] kfO{ksf] 6«; agfO{ h8fg ug]{ sfd -k|fOd/ k]G6 ;lxt_  </t>
    </r>
  </si>
  <si>
    <t>Quantity</t>
  </si>
  <si>
    <t>Remarks</t>
  </si>
  <si>
    <t>Verti-fied Tile</t>
  </si>
  <si>
    <t>d;nf</t>
  </si>
  <si>
    <t>b/ ljZn]if0fsf] nflu !=) J.=dL= lnOPsf]</t>
  </si>
  <si>
    <r>
      <rPr>
        <sz val="12"/>
        <rFont val="Prachin"/>
        <family val="2"/>
      </rPr>
      <t>tof/L</t>
    </r>
    <r>
      <rPr>
        <sz val="12"/>
        <rFont val="Arial"/>
        <family val="2"/>
      </rPr>
      <t xml:space="preserve"> Prepacked Adhesive </t>
    </r>
  </si>
  <si>
    <t>Supply and Fixing Panchabudha at located place as directed by site engineer</t>
  </si>
  <si>
    <t>Per piece</t>
  </si>
  <si>
    <t>Supply and Fixing Aluminum strip for adjusting marmolonium  at saircase step and main gate step or  as directed by site engineer</t>
  </si>
  <si>
    <t>Per Rm</t>
  </si>
  <si>
    <t>.687*2</t>
  </si>
  <si>
    <t>0.781*4</t>
  </si>
  <si>
    <t>3time use</t>
  </si>
  <si>
    <t>m2</t>
  </si>
  <si>
    <t>c:t/ jfx]s b'O{ sf]6 j]b/sf]6 k]G6 ug]{ sfd .</t>
  </si>
  <si>
    <r>
      <t xml:space="preserve"> !) dL=dL= afSnf] </t>
    </r>
    <r>
      <rPr>
        <sz val="12"/>
        <rFont val="Arial"/>
        <family val="2"/>
      </rPr>
      <t>Verti-fied</t>
    </r>
    <r>
      <rPr>
        <sz val="14"/>
        <rFont val="Preeti"/>
      </rPr>
      <t xml:space="preserve"> 6fOn tof/L</t>
    </r>
    <r>
      <rPr>
        <sz val="14"/>
        <rFont val="Arial"/>
        <family val="2"/>
      </rPr>
      <t xml:space="preserve"> </t>
    </r>
    <r>
      <rPr>
        <sz val="12"/>
        <rFont val="Arial"/>
        <family val="2"/>
      </rPr>
      <t>Prepacked</t>
    </r>
    <r>
      <rPr>
        <sz val="12"/>
        <rFont val="Preeti"/>
      </rPr>
      <t xml:space="preserve"> </t>
    </r>
    <r>
      <rPr>
        <sz val="12"/>
        <rFont val="Arial"/>
        <family val="2"/>
      </rPr>
      <t>adheshive</t>
    </r>
    <r>
      <rPr>
        <sz val="12"/>
        <rFont val="Preeti"/>
      </rPr>
      <t xml:space="preserve"> </t>
    </r>
    <r>
      <rPr>
        <sz val="14"/>
        <rFont val="Preeti"/>
      </rPr>
      <t>d;nfdf nufpg] sfd .</t>
    </r>
  </si>
  <si>
    <t/>
  </si>
  <si>
    <t>Ps sf]6 c:t/ ;lxttof/L Knfli6s Odn\;g k]G6 b'O{ sf]6 nufpg] .</t>
  </si>
  <si>
    <t xml:space="preserve"> Ps sf]6 k|fO{d/ ;lxt b'O{ sf]6 j]b/sf]6 k]G6 ug]{ sfd</t>
  </si>
  <si>
    <r>
      <t>kf]/l;lng Un]H8</t>
    </r>
    <r>
      <rPr>
        <sz val="12"/>
        <rFont val="Arial"/>
        <family val="2"/>
      </rPr>
      <t>/</t>
    </r>
    <r>
      <rPr>
        <sz val="12"/>
        <rFont val="Preeti"/>
      </rPr>
      <t xml:space="preserve"> gg</t>
    </r>
    <r>
      <rPr>
        <sz val="12"/>
        <rFont val="Arial"/>
        <family val="2"/>
      </rPr>
      <t>-</t>
    </r>
    <r>
      <rPr>
        <sz val="12"/>
        <rFont val="Preeti"/>
      </rPr>
      <t xml:space="preserve">Un]H8 </t>
    </r>
    <r>
      <rPr>
        <sz val="12"/>
        <rFont val="Arial"/>
        <family val="2"/>
      </rPr>
      <t>Kazzaria, Simany or equivalent)</t>
    </r>
    <r>
      <rPr>
        <sz val="12"/>
        <rFont val="Preeti"/>
      </rPr>
      <t xml:space="preserve"> 6fO{n</t>
    </r>
  </si>
  <si>
    <t xml:space="preserve">!% dL=dL= jf]8{ </t>
  </si>
  <si>
    <t xml:space="preserve"> b'O{ sf]6 8o'/fl;n l;lnsg k]G6 O{6fsf] ufx|fsf]] km];df sfd .</t>
  </si>
  <si>
    <t>8o'/fl;n l;lnsg k]G6</t>
  </si>
  <si>
    <t>Government of Nepal</t>
  </si>
  <si>
    <t>Shankharapur Municipality</t>
  </si>
  <si>
    <t>Shankhu, Kathmandu</t>
  </si>
  <si>
    <t>Description of work</t>
  </si>
  <si>
    <t>No.</t>
  </si>
  <si>
    <t>Length</t>
  </si>
  <si>
    <t>Breadth</t>
  </si>
  <si>
    <t>Height</t>
  </si>
  <si>
    <t>Amount</t>
  </si>
  <si>
    <t>Description</t>
  </si>
  <si>
    <t>Total Estimated</t>
  </si>
  <si>
    <t>Budget Allocated</t>
  </si>
  <si>
    <t>User Contribution</t>
  </si>
  <si>
    <t xml:space="preserve">husf] vf8ndf 9'+uf eg]{ / n]en ug]{ sfddf </t>
  </si>
  <si>
    <t>Location:- Shankharapur Municipality- 1</t>
  </si>
  <si>
    <t xml:space="preserve">hu leQf kvf{ndf l;d]G6 s+lqm6 ug]{ sfd -lk=;L=;L= !M@M$_ </t>
  </si>
  <si>
    <t xml:space="preserve">g/d k|sf/sf] Sn] / l;N6L df6f]df ;j} lsl;dsf] vGg] sfd </t>
  </si>
  <si>
    <t>MS square pipe with all work complete</t>
  </si>
  <si>
    <t xml:space="preserve">)=#^ lblv )=$) dL=dL=afSnf] sf]?u]6]8 /+lug ss{6 kftfsf] 5fgf 5fpg] sfd </t>
  </si>
  <si>
    <t>Project:-</t>
  </si>
  <si>
    <t>Percent%)</t>
  </si>
  <si>
    <t xml:space="preserve">Amount </t>
  </si>
  <si>
    <t xml:space="preserve">Total </t>
  </si>
  <si>
    <t xml:space="preserve">9'Ëfsf] uf/f] l;d]G6 d;nf -!M^_ df     </t>
  </si>
  <si>
    <t>Information Board  and Photograph</t>
  </si>
  <si>
    <t xml:space="preserve">Contigency </t>
  </si>
  <si>
    <t xml:space="preserve">Maintenance fund </t>
  </si>
  <si>
    <t>F.Y.:- 081/082</t>
  </si>
  <si>
    <t>length</t>
  </si>
  <si>
    <t>breadth</t>
  </si>
  <si>
    <t>ft</t>
  </si>
  <si>
    <t>Estimation sheet</t>
  </si>
  <si>
    <t>rafter</t>
  </si>
  <si>
    <t>door</t>
  </si>
  <si>
    <t>window</t>
  </si>
  <si>
    <t>vat on stone</t>
  </si>
  <si>
    <t>vat on cement</t>
  </si>
  <si>
    <t>vat on sand</t>
  </si>
  <si>
    <t>vat on aggregate</t>
  </si>
  <si>
    <t>vat on material</t>
  </si>
  <si>
    <t>vat on hollow block</t>
  </si>
  <si>
    <t>vat for stone</t>
  </si>
  <si>
    <t>steps</t>
  </si>
  <si>
    <t>Municipal contribution</t>
  </si>
  <si>
    <t xml:space="preserve">  k|fO{d/ afx]s Ps sf]6 tof/L jf;]jn l8:6]Dk/ nufpg] sfd .</t>
  </si>
  <si>
    <t>d]nldnfk stf{ sf]7f /+u nufpg] sfd</t>
  </si>
  <si>
    <t>Date:2081/08/24</t>
  </si>
  <si>
    <t>Peripheral wall</t>
  </si>
  <si>
    <t xml:space="preserve">vertical pole </t>
  </si>
  <si>
    <t>purlin</t>
  </si>
  <si>
    <t xml:space="preserve"> kf]v/L rf}/ rf}tf/L lgdf{0f</t>
  </si>
  <si>
    <t>Valuation sheet</t>
  </si>
  <si>
    <t>Valuation Amount</t>
  </si>
  <si>
    <t>Date:2082/01/21</t>
  </si>
  <si>
    <t>railing</t>
  </si>
  <si>
    <t>wastage</t>
  </si>
  <si>
    <t>Measurement sheet</t>
  </si>
  <si>
    <t>lzj /fd vgfn</t>
  </si>
  <si>
    <t>/df vgfn</t>
  </si>
  <si>
    <t>Ps bQ vgfn</t>
  </si>
  <si>
    <t>/fd k|;fb vgfn</t>
  </si>
  <si>
    <t xml:space="preserve"> /fd s[i0f vltj8f</t>
  </si>
  <si>
    <t>uf]laGb k|;fb vFbfn</t>
  </si>
  <si>
    <t>Date:2082/02/01</t>
  </si>
  <si>
    <t>e'O{+tNnfdf lrDgL e§fsf] O{+6fsf] uf/f] l;d]G6 d;nf -!M$_ df</t>
  </si>
  <si>
    <t>vat on brick</t>
  </si>
  <si>
    <t>page 171</t>
  </si>
  <si>
    <t>Roof top PVC water tank</t>
  </si>
  <si>
    <t>65bb light</t>
  </si>
  <si>
    <t>Date:2082/02/04</t>
  </si>
  <si>
    <t>Date:2082/02/02</t>
  </si>
  <si>
    <t>Ps bQ b+ufn</t>
  </si>
  <si>
    <t>Date:2082/02/05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</si>
</sst>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0"/>
    <numFmt numFmtId="165" formatCode="0.000"/>
    <numFmt numFmtId="166" formatCode="0.0"/>
  </numFmts>
  <fonts count="174">
    <font>
      <sz val="10"/>
      <name val="Arial"/>
    </font>
    <font>
      <sz val="11"/>
      <color theme="1"/>
      <name val="Calibri"/>
      <family val="2"/>
      <scheme val="minor"/>
    </font>
    <font>
      <sz val="11"/>
      <color theme="1"/>
      <name val="Calibri"/>
      <family val="2"/>
      <scheme val="minor"/>
    </font>
    <font>
      <sz val="10"/>
      <name val="Arial"/>
      <family val="2"/>
    </font>
    <font>
      <sz val="10"/>
      <name val="Preeti"/>
    </font>
    <font>
      <sz val="12"/>
      <name val="Preeti"/>
    </font>
    <font>
      <sz val="12"/>
      <name val="FONTASY_ HIMALI_ TT"/>
      <family val="5"/>
    </font>
    <font>
      <sz val="9"/>
      <name val="FONTASY_ HIMALI_ TT"/>
      <family val="5"/>
    </font>
    <font>
      <sz val="9"/>
      <name val="Arial"/>
      <family val="2"/>
    </font>
    <font>
      <sz val="8"/>
      <name val="Arial"/>
      <family val="2"/>
    </font>
    <font>
      <sz val="8"/>
      <name val="FONTASY_ HIMALI_ TT"/>
      <family val="5"/>
    </font>
    <font>
      <sz val="16"/>
      <name val="Preeti"/>
    </font>
    <font>
      <sz val="11"/>
      <name val="Preeti"/>
    </font>
    <font>
      <vertAlign val="superscript"/>
      <sz val="16"/>
      <name val="Preeti"/>
    </font>
    <font>
      <vertAlign val="subscript"/>
      <sz val="16"/>
      <name val="Preeti"/>
    </font>
    <font>
      <sz val="16"/>
      <name val="Arial"/>
      <family val="2"/>
    </font>
    <font>
      <sz val="14"/>
      <name val="Preeti"/>
    </font>
    <font>
      <sz val="8"/>
      <name val="Fontasy Himali"/>
      <family val="5"/>
    </font>
    <font>
      <sz val="12"/>
      <name val="Arial"/>
      <family val="2"/>
    </font>
    <font>
      <sz val="10"/>
      <name val="Arial"/>
      <family val="2"/>
    </font>
    <font>
      <sz val="16"/>
      <name val="Sama"/>
      <family val="5"/>
    </font>
    <font>
      <sz val="13"/>
      <name val="Preeti"/>
    </font>
    <font>
      <sz val="10"/>
      <name val="Fontasy Himali"/>
      <family val="5"/>
    </font>
    <font>
      <sz val="10"/>
      <name val="FONTASY_ HIMALI_ TT"/>
      <family val="5"/>
    </font>
    <font>
      <sz val="11"/>
      <name val="Arial"/>
      <family val="2"/>
    </font>
    <font>
      <sz val="11"/>
      <name val="FONTASY_ HIMALI_ TT"/>
      <family val="5"/>
    </font>
    <font>
      <sz val="13"/>
      <name val="FONTASY_ HIMALI_ TT"/>
      <family val="5"/>
    </font>
    <font>
      <vertAlign val="superscript"/>
      <sz val="10"/>
      <color indexed="9"/>
      <name val="FONTASY_ HIMALI_ TT"/>
      <family val="5"/>
    </font>
    <font>
      <sz val="9"/>
      <color indexed="9"/>
      <name val="FONTASY_ HIMALI_ TT"/>
      <family val="5"/>
    </font>
    <font>
      <sz val="8"/>
      <color indexed="9"/>
      <name val="FONTASY_ HIMALI_ TT"/>
      <family val="5"/>
    </font>
    <font>
      <sz val="10"/>
      <color indexed="9"/>
      <name val="FONTASY_ HIMALI_ TT"/>
      <family val="5"/>
    </font>
    <font>
      <b/>
      <sz val="11"/>
      <name val="FONTASY_ HIMALI_ TT"/>
      <family val="5"/>
    </font>
    <font>
      <b/>
      <sz val="10"/>
      <name val="FONTASY_ HIMALI_ TT"/>
      <family val="5"/>
    </font>
    <font>
      <sz val="9"/>
      <name val="Preeti"/>
    </font>
    <font>
      <sz val="9"/>
      <name val="Fontasy Himali"/>
      <family val="5"/>
    </font>
    <font>
      <b/>
      <u/>
      <sz val="14"/>
      <name val="Preeti"/>
    </font>
    <font>
      <u/>
      <sz val="10"/>
      <name val="Preeti"/>
    </font>
    <font>
      <u/>
      <sz val="10"/>
      <name val="Arial"/>
      <family val="2"/>
    </font>
    <font>
      <sz val="12"/>
      <name val="Arial"/>
      <family val="2"/>
    </font>
    <font>
      <sz val="12"/>
      <name val="Wingdings 2"/>
      <family val="1"/>
      <charset val="2"/>
    </font>
    <font>
      <u/>
      <sz val="10"/>
      <color indexed="12"/>
      <name val="Arial"/>
      <family val="2"/>
    </font>
    <font>
      <b/>
      <sz val="14"/>
      <name val="FONTASY_ HIMALI_ TT"/>
      <family val="5"/>
    </font>
    <font>
      <sz val="14"/>
      <name val="Arial"/>
      <family val="2"/>
    </font>
    <font>
      <vertAlign val="superscript"/>
      <sz val="14"/>
      <name val="Preeti"/>
    </font>
    <font>
      <vertAlign val="subscript"/>
      <sz val="14"/>
      <name val="Preeti"/>
    </font>
    <font>
      <b/>
      <sz val="13"/>
      <name val="Preeti"/>
    </font>
    <font>
      <sz val="10"/>
      <name val="Sama"/>
      <family val="5"/>
    </font>
    <font>
      <sz val="7"/>
      <name val="Arial"/>
      <family val="2"/>
    </font>
    <font>
      <u/>
      <sz val="11"/>
      <name val="Preeti"/>
    </font>
    <font>
      <sz val="12"/>
      <name val="Times New Roman"/>
      <family val="1"/>
    </font>
    <font>
      <sz val="12"/>
      <name val="Fontasy Himali"/>
      <family val="5"/>
    </font>
    <font>
      <sz val="12"/>
      <color indexed="10"/>
      <name val="FONTASY_ HIMALI_ TT"/>
      <family val="5"/>
    </font>
    <font>
      <b/>
      <sz val="14"/>
      <color indexed="21"/>
      <name val="FONTASY_ HIMALI_ TT"/>
      <family val="5"/>
    </font>
    <font>
      <b/>
      <sz val="14"/>
      <color indexed="21"/>
      <name val="Arial"/>
      <family val="2"/>
    </font>
    <font>
      <sz val="8"/>
      <name val="Arial"/>
      <family val="2"/>
    </font>
    <font>
      <sz val="16"/>
      <color indexed="10"/>
      <name val="Preeti"/>
    </font>
    <font>
      <sz val="13"/>
      <name val="Arial"/>
      <family val="2"/>
    </font>
    <font>
      <i/>
      <sz val="16"/>
      <name val="Preeti"/>
    </font>
    <font>
      <u/>
      <sz val="20"/>
      <name val="Preeti"/>
    </font>
    <font>
      <sz val="20"/>
      <name val="Preeti"/>
    </font>
    <font>
      <b/>
      <sz val="20"/>
      <name val="Arial"/>
      <family val="2"/>
    </font>
    <font>
      <b/>
      <sz val="20"/>
      <name val="Preeti"/>
    </font>
    <font>
      <b/>
      <sz val="14"/>
      <name val="Preeti"/>
    </font>
    <font>
      <sz val="14"/>
      <name val="Arial"/>
      <family val="2"/>
    </font>
    <font>
      <b/>
      <sz val="12"/>
      <name val="Preeti"/>
    </font>
    <font>
      <b/>
      <sz val="14"/>
      <name val="Times New Roman"/>
      <family val="1"/>
    </font>
    <font>
      <sz val="10"/>
      <name val="Times New Roman"/>
      <family val="1"/>
    </font>
    <font>
      <b/>
      <sz val="12"/>
      <name val="Times New Roman"/>
      <family val="1"/>
    </font>
    <font>
      <sz val="14"/>
      <name val="Times New Roman"/>
      <family val="1"/>
    </font>
    <font>
      <sz val="11"/>
      <name val="Times New Roman"/>
      <family val="1"/>
    </font>
    <font>
      <sz val="8"/>
      <name val="Times New Roman"/>
      <family val="1"/>
    </font>
    <font>
      <sz val="8"/>
      <name val="Preeti"/>
    </font>
    <font>
      <b/>
      <sz val="13"/>
      <name val="Times New Roman"/>
      <family val="1"/>
    </font>
    <font>
      <sz val="18"/>
      <name val="Preeti"/>
    </font>
    <font>
      <b/>
      <u/>
      <sz val="14"/>
      <name val="Times New Roman"/>
      <family val="1"/>
    </font>
    <font>
      <sz val="7"/>
      <name val="Times New Roman"/>
      <family val="1"/>
    </font>
    <font>
      <sz val="9"/>
      <name val="Times New Roman"/>
      <family val="1"/>
    </font>
    <font>
      <sz val="13"/>
      <name val="Times New Roman"/>
      <family val="1"/>
    </font>
    <font>
      <sz val="10"/>
      <name val="Fontasy Himali"/>
      <family val="5"/>
    </font>
    <font>
      <sz val="16"/>
      <name val="Ank-Cast"/>
    </font>
    <font>
      <sz val="15"/>
      <name val="Preeti"/>
    </font>
    <font>
      <b/>
      <sz val="10"/>
      <name val="Times New Roman"/>
      <family val="1"/>
    </font>
    <font>
      <vertAlign val="superscript"/>
      <sz val="12"/>
      <name val="Times New Roman"/>
      <family val="1"/>
    </font>
    <font>
      <vertAlign val="subscript"/>
      <sz val="12"/>
      <name val="Times New Roman"/>
      <family val="1"/>
    </font>
    <font>
      <b/>
      <sz val="11"/>
      <name val="Arial"/>
      <family val="2"/>
    </font>
    <font>
      <b/>
      <sz val="11"/>
      <name val="Times New Roman"/>
      <family val="1"/>
    </font>
    <font>
      <b/>
      <sz val="14"/>
      <name val="Arial"/>
      <family val="2"/>
    </font>
    <font>
      <i/>
      <sz val="12"/>
      <name val="Times New Roman"/>
      <family val="1"/>
    </font>
    <font>
      <b/>
      <sz val="8"/>
      <name val="Times New Roman"/>
      <family val="1"/>
    </font>
    <font>
      <i/>
      <sz val="10"/>
      <name val="Times New Roman"/>
      <family val="1"/>
    </font>
    <font>
      <b/>
      <u/>
      <sz val="12"/>
      <name val="Times New Roman"/>
      <family val="1"/>
    </font>
    <font>
      <b/>
      <sz val="12"/>
      <name val="Arial"/>
      <family val="2"/>
    </font>
    <font>
      <u/>
      <sz val="10"/>
      <name val="Times New Roman"/>
      <family val="1"/>
    </font>
    <font>
      <b/>
      <sz val="14"/>
      <name val="Arial"/>
      <family val="2"/>
    </font>
    <font>
      <vertAlign val="superscript"/>
      <sz val="10"/>
      <name val="Arial"/>
      <family val="2"/>
    </font>
    <font>
      <sz val="10"/>
      <color indexed="10"/>
      <name val="FONTASY_ HIMALI_ TT"/>
      <family val="5"/>
    </font>
    <font>
      <sz val="14"/>
      <color indexed="10"/>
      <name val="FONTASY_ HIMALI_ TT"/>
      <family val="5"/>
    </font>
    <font>
      <b/>
      <sz val="14"/>
      <color indexed="10"/>
      <name val="FONTASY_ HIMALI_ TT"/>
      <family val="5"/>
    </font>
    <font>
      <sz val="8"/>
      <color indexed="10"/>
      <name val="FONTASY_ HIMALI_ TT"/>
      <family val="5"/>
    </font>
    <font>
      <b/>
      <u/>
      <sz val="14"/>
      <color indexed="10"/>
      <name val="FONTASY_ HIMALI_ TT"/>
      <family val="5"/>
    </font>
    <font>
      <b/>
      <sz val="10"/>
      <color indexed="10"/>
      <name val="FONTASY_ HIMALI_ TT"/>
      <family val="5"/>
    </font>
    <font>
      <b/>
      <sz val="12"/>
      <color indexed="10"/>
      <name val="FONTASY_ HIMALI_ TT"/>
      <family val="5"/>
    </font>
    <font>
      <sz val="18"/>
      <color indexed="10"/>
      <name val="FONTASY_ HIMALI_ TT"/>
      <family val="5"/>
    </font>
    <font>
      <sz val="16"/>
      <color indexed="10"/>
      <name val="FONTASY_ HIMALI_ TT"/>
      <family val="5"/>
    </font>
    <font>
      <b/>
      <u/>
      <sz val="12"/>
      <color indexed="10"/>
      <name val="FONTASY_ HIMALI_ TT"/>
      <family val="5"/>
    </font>
    <font>
      <b/>
      <sz val="10"/>
      <name val="Arial"/>
      <family val="2"/>
    </font>
    <font>
      <sz val="12"/>
      <color indexed="10"/>
      <name val="Arial"/>
      <family val="2"/>
    </font>
    <font>
      <sz val="11"/>
      <color indexed="10"/>
      <name val="Arial"/>
      <family val="2"/>
    </font>
    <font>
      <b/>
      <sz val="12"/>
      <name val="FONTASY_ HIMALI_ TT"/>
      <family val="5"/>
    </font>
    <font>
      <b/>
      <u/>
      <sz val="24"/>
      <name val="Rukmini"/>
    </font>
    <font>
      <sz val="10"/>
      <color indexed="10"/>
      <name val="Arial"/>
      <family val="2"/>
    </font>
    <font>
      <sz val="10"/>
      <color indexed="14"/>
      <name val="Arial"/>
      <family val="2"/>
    </font>
    <font>
      <b/>
      <u/>
      <sz val="10"/>
      <color indexed="14"/>
      <name val="Arial"/>
      <family val="2"/>
    </font>
    <font>
      <vertAlign val="superscript"/>
      <sz val="12"/>
      <color indexed="10"/>
      <name val="Arial"/>
      <family val="2"/>
    </font>
    <font>
      <vertAlign val="superscript"/>
      <sz val="14"/>
      <color indexed="10"/>
      <name val="Arial"/>
      <family val="2"/>
    </font>
    <font>
      <b/>
      <sz val="12"/>
      <color indexed="10"/>
      <name val="Preeti"/>
    </font>
    <font>
      <b/>
      <sz val="10"/>
      <color indexed="10"/>
      <name val="Arial"/>
      <family val="2"/>
    </font>
    <font>
      <b/>
      <u/>
      <sz val="16"/>
      <name val="Arial"/>
      <family val="2"/>
    </font>
    <font>
      <sz val="12"/>
      <color indexed="10"/>
      <name val="Preeti"/>
    </font>
    <font>
      <sz val="11"/>
      <color indexed="10"/>
      <name val="Preeti"/>
    </font>
    <font>
      <sz val="13"/>
      <color indexed="10"/>
      <name val="Preeti"/>
    </font>
    <font>
      <sz val="10"/>
      <color indexed="10"/>
      <name val="Fontasy Himali"/>
      <family val="5"/>
    </font>
    <font>
      <sz val="10"/>
      <color indexed="10"/>
      <name val="Arial"/>
      <family val="2"/>
    </font>
    <font>
      <sz val="14"/>
      <color indexed="10"/>
      <name val="Preeti"/>
    </font>
    <font>
      <sz val="13"/>
      <color indexed="10"/>
      <name val="FONTASY_ HIMALI_ TT"/>
      <family val="5"/>
    </font>
    <font>
      <vertAlign val="superscript"/>
      <sz val="14"/>
      <color indexed="10"/>
      <name val="Preeti"/>
    </font>
    <font>
      <vertAlign val="subscript"/>
      <sz val="14"/>
      <color indexed="10"/>
      <name val="Preeti"/>
    </font>
    <font>
      <vertAlign val="superscript"/>
      <sz val="16"/>
      <color indexed="10"/>
      <name val="Preeti"/>
    </font>
    <font>
      <vertAlign val="subscript"/>
      <sz val="16"/>
      <color indexed="10"/>
      <name val="Preeti"/>
    </font>
    <font>
      <vertAlign val="superscript"/>
      <sz val="12"/>
      <color indexed="10"/>
      <name val="Preeti"/>
    </font>
    <font>
      <vertAlign val="subscript"/>
      <sz val="12"/>
      <color indexed="10"/>
      <name val="Preeti"/>
    </font>
    <font>
      <sz val="24"/>
      <name val="Preeti"/>
    </font>
    <font>
      <u/>
      <sz val="14"/>
      <name val="Arial"/>
      <family val="2"/>
    </font>
    <font>
      <sz val="10"/>
      <color indexed="63"/>
      <name val="Arial"/>
      <family val="2"/>
    </font>
    <font>
      <u/>
      <sz val="14"/>
      <color indexed="63"/>
      <name val="Arial"/>
      <family val="2"/>
    </font>
    <font>
      <sz val="10"/>
      <name val="FONTASY_HIMALI_TT"/>
      <family val="5"/>
    </font>
    <font>
      <sz val="12"/>
      <name val="Calibri"/>
      <family val="2"/>
      <scheme val="minor"/>
    </font>
    <font>
      <sz val="13"/>
      <name val="Calibri"/>
      <family val="2"/>
      <scheme val="minor"/>
    </font>
    <font>
      <sz val="16"/>
      <color theme="1"/>
      <name val="Preeti"/>
    </font>
    <font>
      <sz val="14"/>
      <color theme="1"/>
      <name val="Preeti"/>
    </font>
    <font>
      <sz val="11"/>
      <color theme="1"/>
      <name val="Preeti"/>
    </font>
    <font>
      <sz val="13"/>
      <color theme="1"/>
      <name val="Preeti"/>
    </font>
    <font>
      <sz val="10"/>
      <name val="Calibri"/>
      <family val="2"/>
      <scheme val="minor"/>
    </font>
    <font>
      <sz val="12"/>
      <color theme="1"/>
      <name val="Preeti"/>
    </font>
    <font>
      <sz val="10"/>
      <color theme="1"/>
      <name val="FONTASY_ HIMALI_ TT"/>
      <family val="5"/>
    </font>
    <font>
      <sz val="10"/>
      <color theme="1"/>
      <name val="Fontasy Himali"/>
      <family val="5"/>
    </font>
    <font>
      <sz val="10"/>
      <color theme="1"/>
      <name val="Arial"/>
      <family val="2"/>
    </font>
    <font>
      <sz val="10"/>
      <color theme="1"/>
      <name val="Preeti"/>
    </font>
    <font>
      <sz val="16"/>
      <color theme="1"/>
      <name val="Arial"/>
      <family val="2"/>
    </font>
    <font>
      <u/>
      <sz val="11"/>
      <color theme="1"/>
      <name val="Preeti"/>
    </font>
    <font>
      <sz val="9"/>
      <color theme="1"/>
      <name val="Arial"/>
      <family val="2"/>
    </font>
    <font>
      <sz val="9"/>
      <name val="FONTASY_HIMALI_TT"/>
      <family val="5"/>
    </font>
    <font>
      <sz val="10"/>
      <color rgb="FFFF0000"/>
      <name val="FONTASY_ HIMALI_ TT"/>
      <family val="5"/>
    </font>
    <font>
      <sz val="11"/>
      <name val="Fantci"/>
    </font>
    <font>
      <sz val="13"/>
      <name val="FONTASY_HIMALI_TT"/>
      <family val="5"/>
    </font>
    <font>
      <sz val="10"/>
      <color theme="0" tint="-0.14999847407452621"/>
      <name val="FONTASY_ HIMALI_ TT"/>
      <family val="5"/>
    </font>
    <font>
      <sz val="24"/>
      <name val="Arial"/>
      <family val="2"/>
    </font>
    <font>
      <sz val="9"/>
      <color indexed="63"/>
      <name val="Arial"/>
      <family val="2"/>
    </font>
    <font>
      <b/>
      <sz val="10"/>
      <color theme="0" tint="-0.14999847407452621"/>
      <name val="FONTASY_ HIMALI_ TT"/>
      <family val="5"/>
    </font>
    <font>
      <sz val="13"/>
      <color theme="1"/>
      <name val="Arial"/>
      <family val="2"/>
    </font>
    <font>
      <sz val="10"/>
      <name val="Prachin"/>
      <family val="2"/>
    </font>
    <font>
      <sz val="24"/>
      <name val="Wingdings 2"/>
      <family val="1"/>
      <charset val="2"/>
    </font>
    <font>
      <sz val="8"/>
      <color theme="0"/>
      <name val="FONTASY_ HIMALI_ TT"/>
      <family val="5"/>
    </font>
    <font>
      <sz val="12"/>
      <name val="Aparajita"/>
      <family val="2"/>
    </font>
    <font>
      <sz val="12"/>
      <name val="Prachin"/>
      <family val="2"/>
    </font>
    <font>
      <sz val="10"/>
      <color rgb="FFFF0000"/>
      <name val="Arial"/>
      <family val="2"/>
    </font>
    <font>
      <b/>
      <sz val="12"/>
      <color theme="1"/>
      <name val="Times New Roman"/>
      <family val="1"/>
    </font>
    <font>
      <sz val="14"/>
      <color theme="1"/>
      <name val="Times New Roman"/>
      <family val="1"/>
    </font>
    <font>
      <sz val="12"/>
      <color theme="1"/>
      <name val="Times New Roman"/>
      <family val="1"/>
    </font>
    <font>
      <sz val="11"/>
      <color theme="1"/>
      <name val="Times New Roman"/>
      <family val="1"/>
    </font>
    <font>
      <b/>
      <sz val="14"/>
      <color theme="1"/>
      <name val="Times New Roman"/>
      <family val="1"/>
    </font>
    <font>
      <sz val="12"/>
      <color theme="1"/>
      <name val="Calibri"/>
      <family val="2"/>
      <scheme val="minor"/>
    </font>
    <font>
      <sz val="15"/>
      <color theme="1"/>
      <name val="Preeti"/>
    </font>
    <font>
      <sz val="12"/>
      <color theme="1"/>
      <name val="Arial"/>
      <family val="2"/>
    </font>
  </fonts>
  <fills count="13">
    <fill>
      <patternFill patternType="none"/>
    </fill>
    <fill>
      <patternFill patternType="gray125"/>
    </fill>
    <fill>
      <patternFill patternType="solid">
        <fgColor indexed="47"/>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indexed="23"/>
        <bgColor indexed="64"/>
      </patternFill>
    </fill>
    <fill>
      <patternFill patternType="solid">
        <fgColor indexed="19"/>
        <bgColor indexed="64"/>
      </patternFill>
    </fill>
    <fill>
      <patternFill patternType="solid">
        <fgColor indexed="55"/>
        <bgColor indexed="64"/>
      </patternFill>
    </fill>
    <fill>
      <patternFill patternType="solid">
        <fgColor theme="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79998168889431442"/>
        <bgColor theme="4" tint="0.79998168889431442"/>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20"/>
      </left>
      <right style="thin">
        <color indexed="64"/>
      </right>
      <top style="medium">
        <color indexed="20"/>
      </top>
      <bottom style="medium">
        <color indexed="20"/>
      </bottom>
      <diagonal/>
    </border>
    <border>
      <left style="thin">
        <color indexed="64"/>
      </left>
      <right style="medium">
        <color indexed="20"/>
      </right>
      <top style="medium">
        <color indexed="20"/>
      </top>
      <bottom style="medium">
        <color indexed="2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hair">
        <color indexed="64"/>
      </top>
      <bottom style="hair">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s>
  <cellStyleXfs count="13">
    <xf numFmtId="0" fontId="0" fillId="0" borderId="0"/>
    <xf numFmtId="43" fontId="3" fillId="0" borderId="0" applyFont="0" applyFill="0" applyBorder="0" applyAlignment="0" applyProtection="0"/>
    <xf numFmtId="0" fontId="40"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0" fontId="2" fillId="0" borderId="0"/>
    <xf numFmtId="43" fontId="2" fillId="0" borderId="0" applyFont="0" applyFill="0" applyBorder="0" applyAlignment="0" applyProtection="0"/>
    <xf numFmtId="0" fontId="3" fillId="0" borderId="0"/>
    <xf numFmtId="0" fontId="3" fillId="0" borderId="0"/>
    <xf numFmtId="43" fontId="3" fillId="0" borderId="0" applyFont="0" applyFill="0" applyBorder="0" applyAlignment="0" applyProtection="0"/>
    <xf numFmtId="0" fontId="86" fillId="0" borderId="0" applyFont="0" applyBorder="0" applyAlignment="0">
      <alignment horizontal="centerContinuous" vertical="center"/>
    </xf>
    <xf numFmtId="0" fontId="3" fillId="0" borderId="0"/>
    <xf numFmtId="43" fontId="3" fillId="0" borderId="0" applyFont="0" applyFill="0" applyBorder="0" applyAlignment="0" applyProtection="0"/>
  </cellStyleXfs>
  <cellXfs count="1027">
    <xf numFmtId="0" fontId="0" fillId="0" borderId="0" xfId="0"/>
    <xf numFmtId="0" fontId="5" fillId="0" borderId="0" xfId="0" applyFont="1"/>
    <xf numFmtId="0" fontId="6" fillId="0" borderId="0" xfId="0" applyFont="1"/>
    <xf numFmtId="0" fontId="5" fillId="0" borderId="0" xfId="0" applyFont="1" applyAlignment="1">
      <alignment horizontal="center"/>
    </xf>
    <xf numFmtId="0" fontId="5" fillId="0" borderId="1" xfId="0" applyFont="1" applyBorder="1" applyAlignment="1">
      <alignment horizontal="center" vertical="center" wrapText="1"/>
    </xf>
    <xf numFmtId="0" fontId="5" fillId="0" borderId="1" xfId="0" applyFont="1" applyBorder="1" applyAlignment="1">
      <alignment horizontal="center"/>
    </xf>
    <xf numFmtId="0" fontId="7" fillId="0" borderId="1" xfId="0" applyFont="1" applyBorder="1" applyAlignment="1">
      <alignment horizontal="center"/>
    </xf>
    <xf numFmtId="2" fontId="7" fillId="0" borderId="1" xfId="0" applyNumberFormat="1" applyFont="1" applyBorder="1" applyAlignment="1">
      <alignment horizontal="center"/>
    </xf>
    <xf numFmtId="0" fontId="5" fillId="0" borderId="2" xfId="0" applyFont="1" applyBorder="1"/>
    <xf numFmtId="0" fontId="5" fillId="0" borderId="3" xfId="0" applyFont="1" applyBorder="1"/>
    <xf numFmtId="0" fontId="5" fillId="0" borderId="4" xfId="0" applyFont="1" applyBorder="1"/>
    <xf numFmtId="0" fontId="5" fillId="0" borderId="2" xfId="0" applyFont="1" applyBorder="1" applyAlignment="1">
      <alignment horizontal="center"/>
    </xf>
    <xf numFmtId="0" fontId="5" fillId="0" borderId="3" xfId="0" applyFont="1" applyBorder="1" applyAlignment="1">
      <alignment horizontal="center"/>
    </xf>
    <xf numFmtId="0" fontId="5" fillId="0" borderId="5" xfId="0" applyFont="1" applyBorder="1"/>
    <xf numFmtId="0" fontId="5" fillId="0" borderId="2" xfId="0" applyFont="1" applyBorder="1" applyAlignment="1">
      <alignment horizontal="center" vertical="center" wrapText="1"/>
    </xf>
    <xf numFmtId="0" fontId="5" fillId="0" borderId="4" xfId="0" applyFont="1" applyBorder="1" applyAlignment="1">
      <alignment horizontal="center"/>
    </xf>
    <xf numFmtId="0" fontId="10" fillId="0" borderId="5" xfId="0" applyFont="1" applyBorder="1"/>
    <xf numFmtId="2" fontId="10" fillId="0" borderId="4" xfId="0" applyNumberFormat="1" applyFont="1" applyBorder="1" applyAlignment="1">
      <alignment horizontal="center"/>
    </xf>
    <xf numFmtId="2" fontId="10" fillId="0" borderId="2" xfId="0" applyNumberFormat="1" applyFont="1" applyBorder="1" applyAlignment="1">
      <alignment horizontal="center"/>
    </xf>
    <xf numFmtId="0" fontId="10" fillId="0" borderId="0" xfId="0" applyFont="1" applyAlignment="1">
      <alignment horizontal="center"/>
    </xf>
    <xf numFmtId="0" fontId="4" fillId="0" borderId="3" xfId="0" applyFont="1" applyBorder="1" applyAlignment="1">
      <alignment horizontal="center"/>
    </xf>
    <xf numFmtId="0" fontId="4" fillId="0" borderId="3" xfId="0" quotePrefix="1" applyFont="1" applyBorder="1" applyAlignment="1">
      <alignment horizontal="center"/>
    </xf>
    <xf numFmtId="0" fontId="5" fillId="0" borderId="4" xfId="0" quotePrefix="1" applyFont="1" applyBorder="1" applyAlignment="1">
      <alignment horizontal="center"/>
    </xf>
    <xf numFmtId="0" fontId="4" fillId="0" borderId="4" xfId="0" applyFont="1" applyBorder="1" applyAlignment="1">
      <alignment horizontal="center"/>
    </xf>
    <xf numFmtId="0" fontId="12" fillId="0" borderId="3" xfId="0" applyFont="1" applyBorder="1" applyAlignment="1">
      <alignment horizontal="center" vertical="top" wrapText="1"/>
    </xf>
    <xf numFmtId="0" fontId="5" fillId="0" borderId="5" xfId="0" applyFont="1" applyBorder="1" applyAlignment="1">
      <alignment horizontal="center"/>
    </xf>
    <xf numFmtId="2" fontId="10" fillId="0" borderId="2" xfId="0" applyNumberFormat="1" applyFont="1" applyBorder="1" applyAlignment="1">
      <alignment horizontal="center" vertical="center"/>
    </xf>
    <xf numFmtId="0" fontId="5" fillId="0" borderId="0" xfId="0" applyFont="1" applyAlignment="1">
      <alignment horizontal="right"/>
    </xf>
    <xf numFmtId="165" fontId="10" fillId="0" borderId="4" xfId="0" applyNumberFormat="1" applyFont="1" applyBorder="1" applyAlignment="1">
      <alignment horizontal="center"/>
    </xf>
    <xf numFmtId="165" fontId="10" fillId="0" borderId="3" xfId="0" applyNumberFormat="1" applyFont="1" applyBorder="1" applyAlignment="1">
      <alignment horizontal="center"/>
    </xf>
    <xf numFmtId="0" fontId="5" fillId="0" borderId="0" xfId="0" quotePrefix="1" applyFont="1"/>
    <xf numFmtId="0" fontId="5" fillId="0" borderId="6" xfId="0" applyFont="1" applyBorder="1"/>
    <xf numFmtId="0" fontId="5" fillId="0" borderId="3" xfId="0" applyFont="1" applyBorder="1" applyAlignment="1">
      <alignment horizontal="center" vertical="center" wrapText="1"/>
    </xf>
    <xf numFmtId="0" fontId="5" fillId="0" borderId="4" xfId="0" quotePrefix="1"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0" fontId="11" fillId="0" borderId="0" xfId="0" applyFont="1" applyAlignment="1">
      <alignment horizontal="center"/>
    </xf>
    <xf numFmtId="0" fontId="5" fillId="0" borderId="7" xfId="0" applyFont="1" applyBorder="1" applyAlignment="1">
      <alignment horizontal="center"/>
    </xf>
    <xf numFmtId="0" fontId="5" fillId="0" borderId="8" xfId="0" applyFont="1" applyBorder="1"/>
    <xf numFmtId="0" fontId="21" fillId="0" borderId="6" xfId="0" applyFont="1" applyBorder="1" applyAlignment="1">
      <alignment horizontal="center"/>
    </xf>
    <xf numFmtId="0" fontId="21" fillId="0" borderId="0" xfId="0" applyFont="1"/>
    <xf numFmtId="2" fontId="22" fillId="0" borderId="2" xfId="0" applyNumberFormat="1" applyFont="1" applyBorder="1" applyAlignment="1">
      <alignment horizontal="center"/>
    </xf>
    <xf numFmtId="2" fontId="22" fillId="0" borderId="3" xfId="0" applyNumberFormat="1" applyFont="1" applyBorder="1" applyAlignment="1">
      <alignment horizontal="center"/>
    </xf>
    <xf numFmtId="2" fontId="22" fillId="0" borderId="4" xfId="0" applyNumberFormat="1" applyFont="1" applyBorder="1" applyAlignment="1">
      <alignment horizontal="center"/>
    </xf>
    <xf numFmtId="2" fontId="22" fillId="0" borderId="1" xfId="0" applyNumberFormat="1" applyFont="1" applyBorder="1" applyAlignment="1">
      <alignment horizontal="center"/>
    </xf>
    <xf numFmtId="1" fontId="22" fillId="0" borderId="2" xfId="0" applyNumberFormat="1" applyFont="1" applyBorder="1" applyAlignment="1">
      <alignment horizontal="center"/>
    </xf>
    <xf numFmtId="165" fontId="22" fillId="0" borderId="2" xfId="0" applyNumberFormat="1" applyFont="1" applyBorder="1" applyAlignment="1">
      <alignment horizontal="center"/>
    </xf>
    <xf numFmtId="166" fontId="22" fillId="0" borderId="4" xfId="0" applyNumberFormat="1" applyFont="1" applyBorder="1" applyAlignment="1">
      <alignment horizontal="center"/>
    </xf>
    <xf numFmtId="166" fontId="22" fillId="0" borderId="2" xfId="0" applyNumberFormat="1" applyFont="1" applyBorder="1" applyAlignment="1">
      <alignment horizontal="center"/>
    </xf>
    <xf numFmtId="165" fontId="22" fillId="0" borderId="4" xfId="0" applyNumberFormat="1" applyFont="1" applyBorder="1" applyAlignment="1">
      <alignment horizontal="center"/>
    </xf>
    <xf numFmtId="1" fontId="22" fillId="0" borderId="3" xfId="0" applyNumberFormat="1" applyFont="1" applyBorder="1" applyAlignment="1">
      <alignment horizontal="center"/>
    </xf>
    <xf numFmtId="1" fontId="22" fillId="0" borderId="4" xfId="0" applyNumberFormat="1" applyFont="1" applyBorder="1" applyAlignment="1">
      <alignment horizontal="center"/>
    </xf>
    <xf numFmtId="165" fontId="22" fillId="0" borderId="3" xfId="0" applyNumberFormat="1" applyFont="1" applyBorder="1" applyAlignment="1">
      <alignment horizontal="center"/>
    </xf>
    <xf numFmtId="0" fontId="21" fillId="0" borderId="3" xfId="0" applyFont="1" applyBorder="1" applyAlignment="1">
      <alignment horizontal="center"/>
    </xf>
    <xf numFmtId="0" fontId="21" fillId="0" borderId="3" xfId="0" quotePrefix="1" applyFont="1" applyBorder="1" applyAlignment="1">
      <alignment horizontal="center"/>
    </xf>
    <xf numFmtId="0" fontId="21" fillId="0" borderId="2" xfId="0" applyFont="1" applyBorder="1" applyAlignment="1">
      <alignment horizontal="center"/>
    </xf>
    <xf numFmtId="0" fontId="21" fillId="0" borderId="4" xfId="0" applyFont="1" applyBorder="1" applyAlignment="1">
      <alignment horizontal="center"/>
    </xf>
    <xf numFmtId="1" fontId="21" fillId="0" borderId="4" xfId="0" applyNumberFormat="1" applyFont="1" applyBorder="1" applyAlignment="1">
      <alignment horizontal="center"/>
    </xf>
    <xf numFmtId="0" fontId="21" fillId="0" borderId="2" xfId="0" applyFont="1" applyBorder="1" applyAlignment="1">
      <alignment horizontal="center" vertical="center" wrapText="1"/>
    </xf>
    <xf numFmtId="1" fontId="23" fillId="0" borderId="4" xfId="0" applyNumberFormat="1" applyFont="1" applyBorder="1" applyAlignment="1">
      <alignment horizontal="center"/>
    </xf>
    <xf numFmtId="0" fontId="21" fillId="0" borderId="3" xfId="0" applyFont="1" applyBorder="1" applyAlignment="1">
      <alignment horizontal="center" vertical="top" wrapText="1"/>
    </xf>
    <xf numFmtId="0" fontId="21" fillId="0" borderId="3" xfId="0" applyFont="1" applyBorder="1" applyAlignment="1">
      <alignment horizontal="center" vertical="top"/>
    </xf>
    <xf numFmtId="0" fontId="21" fillId="0" borderId="4" xfId="0" applyFont="1" applyBorder="1"/>
    <xf numFmtId="2" fontId="23" fillId="0" borderId="4" xfId="0" applyNumberFormat="1" applyFont="1" applyBorder="1" applyAlignment="1">
      <alignment horizontal="center"/>
    </xf>
    <xf numFmtId="0" fontId="21" fillId="0" borderId="1" xfId="0" applyFont="1" applyBorder="1" applyAlignment="1">
      <alignment horizontal="center"/>
    </xf>
    <xf numFmtId="0" fontId="21" fillId="0" borderId="4" xfId="0" applyFont="1" applyBorder="1" applyAlignment="1">
      <alignment horizontal="center" vertical="center"/>
    </xf>
    <xf numFmtId="0" fontId="21" fillId="0" borderId="1" xfId="0" applyFont="1" applyBorder="1" applyAlignment="1">
      <alignment horizontal="center" vertical="center"/>
    </xf>
    <xf numFmtId="0" fontId="21" fillId="0" borderId="0" xfId="0" applyFont="1" applyAlignment="1">
      <alignment horizontal="center"/>
    </xf>
    <xf numFmtId="0" fontId="21" fillId="0" borderId="1" xfId="0" applyFont="1" applyBorder="1" applyAlignment="1">
      <alignment horizontal="center" vertical="center" wrapText="1"/>
    </xf>
    <xf numFmtId="0" fontId="22" fillId="0" borderId="1" xfId="0" applyFont="1" applyBorder="1" applyAlignment="1">
      <alignment horizontal="center"/>
    </xf>
    <xf numFmtId="0" fontId="21" fillId="0" borderId="1" xfId="0" applyFont="1" applyBorder="1"/>
    <xf numFmtId="0" fontId="21" fillId="0" borderId="5" xfId="0" applyFont="1" applyBorder="1"/>
    <xf numFmtId="0" fontId="21" fillId="0" borderId="0" xfId="0" applyFont="1" applyAlignment="1">
      <alignment horizontal="center" vertical="center" wrapText="1"/>
    </xf>
    <xf numFmtId="0" fontId="21" fillId="0" borderId="3" xfId="0" applyFont="1" applyBorder="1"/>
    <xf numFmtId="0" fontId="21" fillId="0" borderId="2" xfId="0" applyFont="1" applyBorder="1"/>
    <xf numFmtId="0" fontId="21" fillId="0" borderId="9" xfId="0" quotePrefix="1" applyFont="1" applyBorder="1" applyAlignment="1">
      <alignment horizontal="center"/>
    </xf>
    <xf numFmtId="0" fontId="21" fillId="0" borderId="2" xfId="0" applyFont="1" applyBorder="1" applyAlignment="1">
      <alignment horizontal="center" vertical="center"/>
    </xf>
    <xf numFmtId="2" fontId="21" fillId="0" borderId="4" xfId="0" applyNumberFormat="1" applyFont="1" applyBorder="1" applyAlignment="1">
      <alignment horizontal="center"/>
    </xf>
    <xf numFmtId="0" fontId="21" fillId="0" borderId="4" xfId="0" applyFont="1" applyBorder="1" applyAlignment="1">
      <alignment horizontal="center" vertical="center" wrapText="1"/>
    </xf>
    <xf numFmtId="2" fontId="21" fillId="0" borderId="2" xfId="0" applyNumberFormat="1" applyFont="1" applyBorder="1" applyAlignment="1">
      <alignment horizontal="center"/>
    </xf>
    <xf numFmtId="0" fontId="21" fillId="0" borderId="3" xfId="0" applyFont="1" applyBorder="1" applyAlignment="1">
      <alignment horizontal="center" vertical="center" wrapText="1"/>
    </xf>
    <xf numFmtId="0" fontId="21" fillId="0" borderId="3" xfId="0" quotePrefix="1" applyFont="1" applyBorder="1" applyAlignment="1">
      <alignment horizontal="center" vertical="center" wrapText="1"/>
    </xf>
    <xf numFmtId="0" fontId="21" fillId="0" borderId="4" xfId="0" quotePrefix="1" applyFont="1" applyBorder="1" applyAlignment="1">
      <alignment horizontal="center" vertical="center" wrapText="1"/>
    </xf>
    <xf numFmtId="0" fontId="8" fillId="0" borderId="3" xfId="0"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2" xfId="0" applyNumberFormat="1" applyFont="1" applyBorder="1" applyAlignment="1">
      <alignment horizontal="center" vertical="center" wrapText="1"/>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22" fillId="0" borderId="0" xfId="0" applyFont="1" applyAlignment="1">
      <alignment horizontal="center"/>
    </xf>
    <xf numFmtId="0" fontId="22" fillId="0" borderId="0" xfId="0" applyFont="1"/>
    <xf numFmtId="0" fontId="5" fillId="0" borderId="8" xfId="0" applyFont="1" applyBorder="1" applyAlignment="1">
      <alignment horizontal="center"/>
    </xf>
    <xf numFmtId="0" fontId="17" fillId="0" borderId="0" xfId="0" applyFont="1" applyAlignment="1">
      <alignment horizontal="center"/>
    </xf>
    <xf numFmtId="0" fontId="23" fillId="0" borderId="0" xfId="0" applyFont="1"/>
    <xf numFmtId="0" fontId="23" fillId="0" borderId="1" xfId="0" applyFont="1" applyBorder="1" applyAlignment="1">
      <alignment horizontal="center"/>
    </xf>
    <xf numFmtId="0" fontId="21" fillId="0" borderId="9" xfId="0" quotePrefix="1" applyFont="1" applyBorder="1" applyAlignment="1">
      <alignment horizontal="left"/>
    </xf>
    <xf numFmtId="0" fontId="21" fillId="0" borderId="5" xfId="0" quotePrefix="1" applyFont="1" applyBorder="1" applyAlignment="1">
      <alignment horizontal="left"/>
    </xf>
    <xf numFmtId="0" fontId="0" fillId="0" borderId="0" xfId="0" applyAlignment="1">
      <alignment horizontal="center"/>
    </xf>
    <xf numFmtId="0" fontId="19" fillId="0" borderId="0" xfId="0" applyFont="1"/>
    <xf numFmtId="0" fontId="21" fillId="0" borderId="10" xfId="0" applyFont="1" applyBorder="1" applyAlignment="1">
      <alignment horizontal="center"/>
    </xf>
    <xf numFmtId="2" fontId="23" fillId="0" borderId="1" xfId="0" applyNumberFormat="1" applyFont="1" applyBorder="1" applyAlignment="1">
      <alignment horizontal="center"/>
    </xf>
    <xf numFmtId="2" fontId="7" fillId="0" borderId="1" xfId="0" applyNumberFormat="1" applyFont="1" applyBorder="1" applyAlignment="1">
      <alignment horizontal="center" vertical="center"/>
    </xf>
    <xf numFmtId="2" fontId="23" fillId="0" borderId="1" xfId="0" applyNumberFormat="1" applyFont="1" applyBorder="1" applyAlignment="1">
      <alignment horizontal="center" vertical="center" wrapText="1"/>
    </xf>
    <xf numFmtId="0" fontId="26" fillId="0" borderId="0" xfId="0" applyFont="1"/>
    <xf numFmtId="2" fontId="23" fillId="0" borderId="0" xfId="0" applyNumberFormat="1" applyFont="1"/>
    <xf numFmtId="164" fontId="4" fillId="0" borderId="11" xfId="0" applyNumberFormat="1" applyFont="1" applyBorder="1"/>
    <xf numFmtId="164" fontId="4" fillId="0" borderId="5" xfId="0" applyNumberFormat="1" applyFont="1" applyBorder="1"/>
    <xf numFmtId="0" fontId="4" fillId="0" borderId="0" xfId="0" applyFont="1"/>
    <xf numFmtId="2" fontId="23" fillId="0" borderId="2" xfId="0" applyNumberFormat="1" applyFont="1" applyBorder="1" applyAlignment="1">
      <alignment horizontal="center" vertical="center" wrapText="1"/>
    </xf>
    <xf numFmtId="2" fontId="23" fillId="0" borderId="2" xfId="0" applyNumberFormat="1" applyFont="1" applyBorder="1" applyAlignment="1">
      <alignment horizontal="center" vertical="center"/>
    </xf>
    <xf numFmtId="2" fontId="23" fillId="0" borderId="3" xfId="0" applyNumberFormat="1" applyFont="1" applyBorder="1" applyAlignment="1">
      <alignment horizontal="center"/>
    </xf>
    <xf numFmtId="2" fontId="23" fillId="0" borderId="2" xfId="0" applyNumberFormat="1" applyFont="1" applyBorder="1" applyAlignment="1">
      <alignment horizontal="center"/>
    </xf>
    <xf numFmtId="0" fontId="23" fillId="0" borderId="4" xfId="0" applyFont="1" applyBorder="1" applyAlignment="1">
      <alignment horizontal="center"/>
    </xf>
    <xf numFmtId="2" fontId="10" fillId="0" borderId="11" xfId="0" applyNumberFormat="1" applyFont="1" applyBorder="1" applyAlignment="1">
      <alignment horizontal="center" vertical="center" wrapText="1"/>
    </xf>
    <xf numFmtId="2" fontId="21" fillId="0" borderId="0" xfId="0" applyNumberFormat="1" applyFont="1"/>
    <xf numFmtId="166" fontId="27" fillId="0" borderId="8" xfId="0" applyNumberFormat="1" applyFont="1" applyBorder="1" applyAlignment="1">
      <alignment horizontal="center" vertical="center" wrapText="1"/>
    </xf>
    <xf numFmtId="2" fontId="21" fillId="0" borderId="0" xfId="0" applyNumberFormat="1" applyFont="1" applyAlignment="1">
      <alignment horizontal="center"/>
    </xf>
    <xf numFmtId="2" fontId="23" fillId="0" borderId="3" xfId="0" applyNumberFormat="1" applyFont="1" applyBorder="1" applyAlignment="1">
      <alignment horizontal="center" vertical="center" wrapText="1"/>
    </xf>
    <xf numFmtId="0" fontId="23" fillId="0" borderId="0" xfId="0" applyFont="1" applyAlignment="1">
      <alignment horizontal="center"/>
    </xf>
    <xf numFmtId="2" fontId="28" fillId="0" borderId="12" xfId="0" quotePrefix="1" applyNumberFormat="1" applyFont="1" applyBorder="1" applyAlignment="1">
      <alignment horizontal="left"/>
    </xf>
    <xf numFmtId="0" fontId="30" fillId="0" borderId="0" xfId="0" applyFont="1" applyAlignment="1">
      <alignment horizontal="center"/>
    </xf>
    <xf numFmtId="0" fontId="30" fillId="0" borderId="11" xfId="0" applyFont="1" applyBorder="1" applyAlignment="1">
      <alignment horizontal="center"/>
    </xf>
    <xf numFmtId="2" fontId="23" fillId="0" borderId="3" xfId="0" applyNumberFormat="1" applyFont="1" applyBorder="1" applyAlignment="1">
      <alignment horizontal="center" vertical="center"/>
    </xf>
    <xf numFmtId="2" fontId="23" fillId="0" borderId="4" xfId="0" applyNumberFormat="1" applyFont="1" applyBorder="1" applyAlignment="1">
      <alignment horizontal="center" vertical="center" wrapText="1"/>
    </xf>
    <xf numFmtId="2" fontId="23" fillId="0" borderId="4" xfId="0" applyNumberFormat="1" applyFont="1" applyBorder="1" applyAlignment="1">
      <alignment horizontal="center" vertical="center"/>
    </xf>
    <xf numFmtId="2" fontId="23" fillId="0" borderId="8" xfId="0" applyNumberFormat="1" applyFont="1" applyBorder="1" applyAlignment="1">
      <alignment horizontal="center"/>
    </xf>
    <xf numFmtId="2" fontId="23" fillId="0" borderId="12" xfId="0" applyNumberFormat="1" applyFont="1" applyBorder="1" applyAlignment="1">
      <alignment horizontal="center"/>
    </xf>
    <xf numFmtId="2" fontId="23" fillId="0" borderId="1" xfId="0" applyNumberFormat="1" applyFont="1" applyBorder="1" applyAlignment="1">
      <alignment horizontal="center" vertical="center"/>
    </xf>
    <xf numFmtId="0" fontId="5" fillId="0" borderId="13" xfId="0" applyFont="1" applyBorder="1"/>
    <xf numFmtId="0" fontId="5" fillId="0" borderId="14" xfId="0" applyFont="1" applyBorder="1"/>
    <xf numFmtId="0" fontId="21" fillId="0" borderId="7" xfId="0" applyFont="1" applyBorder="1" applyAlignment="1">
      <alignment horizontal="center"/>
    </xf>
    <xf numFmtId="0" fontId="26" fillId="0" borderId="13" xfId="0" applyFont="1" applyBorder="1"/>
    <xf numFmtId="0" fontId="6" fillId="0" borderId="2" xfId="0" applyFont="1" applyBorder="1"/>
    <xf numFmtId="0" fontId="6" fillId="0" borderId="3" xfId="0" applyFont="1" applyBorder="1"/>
    <xf numFmtId="2" fontId="26" fillId="0" borderId="0" xfId="0" applyNumberFormat="1" applyFont="1"/>
    <xf numFmtId="0" fontId="22" fillId="0" borderId="8" xfId="0" applyFont="1" applyBorder="1" applyAlignment="1">
      <alignment horizontal="center"/>
    </xf>
    <xf numFmtId="0" fontId="21" fillId="0" borderId="4" xfId="0" quotePrefix="1" applyFont="1" applyBorder="1" applyAlignment="1">
      <alignment horizontal="center"/>
    </xf>
    <xf numFmtId="0" fontId="12" fillId="0" borderId="3" xfId="0" quotePrefix="1" applyFont="1" applyBorder="1" applyAlignment="1">
      <alignment horizontal="center"/>
    </xf>
    <xf numFmtId="0" fontId="11" fillId="0" borderId="0" xfId="0" quotePrefix="1" applyFont="1" applyAlignment="1">
      <alignment horizontal="center"/>
    </xf>
    <xf numFmtId="1" fontId="23" fillId="0" borderId="2" xfId="0" applyNumberFormat="1" applyFont="1" applyBorder="1" applyAlignment="1">
      <alignment horizontal="center"/>
    </xf>
    <xf numFmtId="0" fontId="6" fillId="0" borderId="0" xfId="0" applyFont="1" applyAlignment="1">
      <alignment horizontal="center"/>
    </xf>
    <xf numFmtId="2" fontId="23" fillId="0" borderId="6" xfId="0" applyNumberFormat="1" applyFont="1" applyBorder="1" applyAlignment="1">
      <alignment horizontal="center"/>
    </xf>
    <xf numFmtId="2" fontId="23" fillId="0" borderId="0" xfId="0" applyNumberFormat="1" applyFont="1" applyAlignment="1">
      <alignment horizontal="center"/>
    </xf>
    <xf numFmtId="0" fontId="5" fillId="0" borderId="7" xfId="0" applyFont="1" applyBorder="1"/>
    <xf numFmtId="2" fontId="22" fillId="0" borderId="0" xfId="0" applyNumberFormat="1" applyFont="1" applyAlignment="1">
      <alignment horizontal="center"/>
    </xf>
    <xf numFmtId="0" fontId="12" fillId="0" borderId="0" xfId="0" applyFont="1"/>
    <xf numFmtId="2" fontId="7" fillId="0" borderId="6" xfId="0" applyNumberFormat="1" applyFont="1" applyBorder="1" applyAlignment="1">
      <alignment horizontal="center"/>
    </xf>
    <xf numFmtId="2" fontId="34" fillId="0" borderId="0" xfId="0" applyNumberFormat="1" applyFont="1" applyAlignment="1">
      <alignment horizontal="center"/>
    </xf>
    <xf numFmtId="0" fontId="21" fillId="0" borderId="9" xfId="0" applyFont="1" applyBorder="1" applyAlignment="1">
      <alignment horizontal="center"/>
    </xf>
    <xf numFmtId="0" fontId="10" fillId="0" borderId="11" xfId="0" applyFont="1" applyBorder="1" applyAlignment="1">
      <alignment horizontal="center"/>
    </xf>
    <xf numFmtId="2" fontId="23" fillId="0" borderId="11" xfId="0" applyNumberFormat="1" applyFont="1" applyBorder="1" applyAlignment="1">
      <alignment horizontal="center"/>
    </xf>
    <xf numFmtId="2" fontId="23" fillId="0" borderId="4" xfId="0" applyNumberFormat="1" applyFont="1" applyBorder="1" applyAlignment="1">
      <alignment horizontal="center" vertical="top"/>
    </xf>
    <xf numFmtId="2" fontId="22" fillId="0" borderId="2" xfId="0" applyNumberFormat="1" applyFont="1" applyBorder="1" applyAlignment="1">
      <alignment horizontal="center" vertical="top"/>
    </xf>
    <xf numFmtId="2" fontId="23" fillId="0" borderId="2" xfId="0" applyNumberFormat="1" applyFont="1" applyBorder="1" applyAlignment="1">
      <alignment horizontal="center" wrapText="1"/>
    </xf>
    <xf numFmtId="2" fontId="23" fillId="0" borderId="3" xfId="0" applyNumberFormat="1" applyFont="1" applyBorder="1" applyAlignment="1">
      <alignment horizontal="center" wrapText="1"/>
    </xf>
    <xf numFmtId="0" fontId="21" fillId="0" borderId="2" xfId="0" applyFont="1" applyBorder="1" applyAlignment="1">
      <alignment horizontal="center" wrapText="1"/>
    </xf>
    <xf numFmtId="2" fontId="23" fillId="0" borderId="4" xfId="0" applyNumberFormat="1" applyFont="1" applyBorder="1" applyAlignment="1">
      <alignment horizontal="center" wrapText="1"/>
    </xf>
    <xf numFmtId="0" fontId="36" fillId="0" borderId="0" xfId="0" quotePrefix="1" applyFont="1"/>
    <xf numFmtId="2" fontId="7" fillId="0" borderId="2" xfId="0" applyNumberFormat="1" applyFont="1" applyBorder="1" applyAlignment="1">
      <alignment horizontal="center" vertical="center" wrapText="1"/>
    </xf>
    <xf numFmtId="2" fontId="7" fillId="0" borderId="3" xfId="0" applyNumberFormat="1" applyFont="1" applyBorder="1" applyAlignment="1">
      <alignment horizontal="center"/>
    </xf>
    <xf numFmtId="2" fontId="7" fillId="0" borderId="2" xfId="0" applyNumberFormat="1" applyFont="1" applyBorder="1" applyAlignment="1">
      <alignment horizontal="center"/>
    </xf>
    <xf numFmtId="2" fontId="7" fillId="0" borderId="4" xfId="0" applyNumberFormat="1" applyFont="1" applyBorder="1" applyAlignment="1">
      <alignment horizontal="center"/>
    </xf>
    <xf numFmtId="2" fontId="7" fillId="0" borderId="3" xfId="0" applyNumberFormat="1" applyFont="1" applyBorder="1" applyAlignment="1">
      <alignment horizontal="center" vertical="center"/>
    </xf>
    <xf numFmtId="2" fontId="7" fillId="0" borderId="2" xfId="0" applyNumberFormat="1" applyFont="1" applyBorder="1" applyAlignment="1">
      <alignment horizontal="center" vertical="center"/>
    </xf>
    <xf numFmtId="0" fontId="33" fillId="0" borderId="3" xfId="0" applyFont="1" applyBorder="1"/>
    <xf numFmtId="2" fontId="7" fillId="0" borderId="4" xfId="0" applyNumberFormat="1" applyFont="1" applyBorder="1" applyAlignment="1">
      <alignment horizontal="center" vertical="center"/>
    </xf>
    <xf numFmtId="0" fontId="9" fillId="0" borderId="3" xfId="0" applyFont="1" applyBorder="1" applyAlignment="1">
      <alignment horizontal="center" vertical="top" wrapText="1"/>
    </xf>
    <xf numFmtId="0" fontId="7" fillId="0" borderId="0" xfId="0" applyFont="1" applyAlignment="1">
      <alignment horizontal="center"/>
    </xf>
    <xf numFmtId="0" fontId="12" fillId="0" borderId="2" xfId="0" applyFont="1" applyBorder="1" applyAlignment="1">
      <alignment horizontal="center"/>
    </xf>
    <xf numFmtId="0" fontId="12" fillId="0" borderId="4" xfId="0" applyFont="1" applyBorder="1" applyAlignment="1">
      <alignment horizontal="center"/>
    </xf>
    <xf numFmtId="2" fontId="7" fillId="0" borderId="0" xfId="0" applyNumberFormat="1" applyFont="1" applyAlignment="1">
      <alignment horizontal="center"/>
    </xf>
    <xf numFmtId="0" fontId="39" fillId="0" borderId="0" xfId="0" applyFont="1" applyAlignment="1">
      <alignment horizontal="left" vertical="center"/>
    </xf>
    <xf numFmtId="0" fontId="7" fillId="0" borderId="1" xfId="1" applyNumberFormat="1" applyFont="1" applyBorder="1" applyAlignment="1">
      <alignment horizontal="center"/>
    </xf>
    <xf numFmtId="0" fontId="18" fillId="0" borderId="0" xfId="0" applyFont="1"/>
    <xf numFmtId="1" fontId="22" fillId="0" borderId="2" xfId="0" applyNumberFormat="1" applyFont="1" applyBorder="1" applyAlignment="1">
      <alignment horizontal="center" vertical="center" wrapText="1"/>
    </xf>
    <xf numFmtId="0" fontId="6" fillId="0" borderId="1" xfId="0" applyFont="1" applyBorder="1"/>
    <xf numFmtId="0" fontId="41" fillId="0" borderId="0" xfId="0" applyFont="1" applyAlignment="1">
      <alignment horizontal="center"/>
    </xf>
    <xf numFmtId="2" fontId="23" fillId="0" borderId="15" xfId="0" applyNumberFormat="1" applyFont="1" applyBorder="1" applyAlignment="1">
      <alignment horizontal="center" vertical="center" wrapText="1"/>
    </xf>
    <xf numFmtId="2" fontId="23" fillId="0" borderId="10" xfId="0" applyNumberFormat="1" applyFont="1" applyBorder="1" applyAlignment="1">
      <alignment horizontal="center"/>
    </xf>
    <xf numFmtId="2" fontId="23" fillId="0" borderId="15" xfId="0" applyNumberFormat="1" applyFont="1" applyBorder="1" applyAlignment="1">
      <alignment horizontal="center"/>
    </xf>
    <xf numFmtId="2" fontId="23" fillId="0" borderId="13" xfId="0" applyNumberFormat="1" applyFont="1" applyBorder="1" applyAlignment="1">
      <alignment horizontal="center"/>
    </xf>
    <xf numFmtId="2" fontId="23" fillId="0" borderId="12" xfId="0" applyNumberFormat="1" applyFont="1" applyBorder="1" applyAlignment="1">
      <alignment horizontal="center" vertical="center" wrapText="1"/>
    </xf>
    <xf numFmtId="2" fontId="23" fillId="0" borderId="14" xfId="0" applyNumberFormat="1" applyFont="1" applyBorder="1" applyAlignment="1">
      <alignment horizontal="center" vertical="center" wrapText="1"/>
    </xf>
    <xf numFmtId="2" fontId="23" fillId="0" borderId="14" xfId="0" applyNumberFormat="1" applyFont="1" applyBorder="1" applyAlignment="1">
      <alignment horizontal="center"/>
    </xf>
    <xf numFmtId="2" fontId="29" fillId="0" borderId="14" xfId="0" applyNumberFormat="1" applyFont="1" applyBorder="1" applyAlignment="1">
      <alignment horizontal="center"/>
    </xf>
    <xf numFmtId="2" fontId="23" fillId="0" borderId="12" xfId="0" applyNumberFormat="1" applyFont="1" applyBorder="1" applyAlignment="1">
      <alignment horizontal="center" vertical="center"/>
    </xf>
    <xf numFmtId="2" fontId="23" fillId="0" borderId="14" xfId="0" applyNumberFormat="1" applyFont="1" applyBorder="1" applyAlignment="1">
      <alignment horizontal="center" vertical="center"/>
    </xf>
    <xf numFmtId="0" fontId="0" fillId="0" borderId="4" xfId="0" applyBorder="1" applyAlignment="1">
      <alignment horizontal="center" vertical="center"/>
    </xf>
    <xf numFmtId="0" fontId="5" fillId="0" borderId="3" xfId="0" applyFont="1" applyBorder="1" applyAlignment="1">
      <alignment horizontal="center" vertical="center"/>
    </xf>
    <xf numFmtId="0" fontId="21" fillId="0" borderId="0" xfId="0" applyFont="1" applyAlignment="1">
      <alignment horizontal="center" vertical="center"/>
    </xf>
    <xf numFmtId="166" fontId="22" fillId="0" borderId="0" xfId="0" applyNumberFormat="1" applyFont="1" applyAlignment="1">
      <alignment horizontal="center" vertical="center"/>
    </xf>
    <xf numFmtId="0" fontId="21" fillId="0" borderId="2" xfId="0" quotePrefix="1" applyFont="1" applyBorder="1" applyAlignment="1">
      <alignment horizontal="center" vertical="center" wrapText="1"/>
    </xf>
    <xf numFmtId="0" fontId="39" fillId="0" borderId="0" xfId="0" applyFont="1" applyAlignment="1">
      <alignment horizontal="center" vertical="center"/>
    </xf>
    <xf numFmtId="164" fontId="22" fillId="0" borderId="2" xfId="0" applyNumberFormat="1" applyFont="1" applyBorder="1" applyAlignment="1">
      <alignment horizontal="center"/>
    </xf>
    <xf numFmtId="166" fontId="22" fillId="0" borderId="3" xfId="0" applyNumberFormat="1" applyFont="1" applyBorder="1" applyAlignment="1">
      <alignment horizontal="center"/>
    </xf>
    <xf numFmtId="0" fontId="5" fillId="0" borderId="0" xfId="0" quotePrefix="1" applyFont="1" applyAlignment="1">
      <alignment horizontal="center"/>
    </xf>
    <xf numFmtId="0" fontId="21" fillId="0" borderId="2" xfId="0" applyFont="1" applyBorder="1" applyAlignment="1">
      <alignment horizontal="center" vertical="top" wrapText="1"/>
    </xf>
    <xf numFmtId="2" fontId="10" fillId="0" borderId="3" xfId="0" applyNumberFormat="1" applyFont="1" applyBorder="1"/>
    <xf numFmtId="0" fontId="21" fillId="0" borderId="4" xfId="0" applyFont="1" applyBorder="1" applyAlignment="1">
      <alignment horizontal="center" vertical="top" wrapText="1"/>
    </xf>
    <xf numFmtId="0" fontId="21" fillId="0" borderId="4" xfId="0" applyFont="1" applyBorder="1" applyAlignment="1">
      <alignment horizontal="center" vertical="top"/>
    </xf>
    <xf numFmtId="0" fontId="21" fillId="0" borderId="3" xfId="0" applyFont="1" applyBorder="1" applyAlignment="1">
      <alignment horizontal="center" vertical="center"/>
    </xf>
    <xf numFmtId="166" fontId="22" fillId="0" borderId="2" xfId="0" applyNumberFormat="1" applyFont="1" applyBorder="1" applyAlignment="1">
      <alignment horizontal="center" vertical="center"/>
    </xf>
    <xf numFmtId="166" fontId="22" fillId="0" borderId="4" xfId="0" applyNumberFormat="1" applyFont="1" applyBorder="1" applyAlignment="1">
      <alignment horizontal="center" vertical="center"/>
    </xf>
    <xf numFmtId="0" fontId="5" fillId="0" borderId="6" xfId="0" applyFont="1" applyBorder="1" applyAlignment="1">
      <alignment horizontal="center"/>
    </xf>
    <xf numFmtId="0" fontId="21" fillId="0" borderId="5" xfId="0" applyFont="1" applyBorder="1" applyAlignment="1">
      <alignment horizontal="center" vertical="center" wrapText="1"/>
    </xf>
    <xf numFmtId="0" fontId="24" fillId="0" borderId="0" xfId="0" applyFont="1" applyAlignment="1">
      <alignment horizontal="center"/>
    </xf>
    <xf numFmtId="0" fontId="12" fillId="0" borderId="3" xfId="0" applyFont="1" applyBorder="1" applyAlignment="1">
      <alignment horizontal="center" vertical="center" wrapText="1"/>
    </xf>
    <xf numFmtId="2" fontId="23" fillId="0" borderId="7" xfId="0" applyNumberFormat="1" applyFont="1" applyBorder="1" applyAlignment="1">
      <alignment horizontal="center"/>
    </xf>
    <xf numFmtId="0" fontId="12" fillId="0" borderId="3" xfId="0" quotePrefix="1" applyFont="1" applyBorder="1" applyAlignment="1">
      <alignment horizontal="center" vertical="center" wrapText="1"/>
    </xf>
    <xf numFmtId="0" fontId="0" fillId="0" borderId="9" xfId="0" applyBorder="1" applyAlignment="1">
      <alignment horizontal="center" vertical="center" wrapText="1"/>
    </xf>
    <xf numFmtId="1" fontId="22" fillId="0" borderId="5" xfId="0" applyNumberFormat="1" applyFont="1" applyBorder="1" applyAlignment="1">
      <alignment horizontal="center"/>
    </xf>
    <xf numFmtId="0" fontId="21" fillId="0" borderId="5" xfId="0" applyFont="1" applyBorder="1" applyAlignment="1">
      <alignment horizontal="center"/>
    </xf>
    <xf numFmtId="2" fontId="5" fillId="0" borderId="5" xfId="0" applyNumberFormat="1" applyFont="1" applyBorder="1" applyAlignment="1">
      <alignment horizontal="center" vertical="center" wrapText="1"/>
    </xf>
    <xf numFmtId="2" fontId="6" fillId="0" borderId="11" xfId="0" applyNumberFormat="1" applyFont="1" applyBorder="1" applyAlignment="1">
      <alignment horizontal="center"/>
    </xf>
    <xf numFmtId="0" fontId="21" fillId="0" borderId="13" xfId="0" applyFont="1" applyBorder="1" applyAlignment="1">
      <alignment horizontal="center" vertical="top"/>
    </xf>
    <xf numFmtId="0" fontId="5" fillId="0" borderId="0" xfId="0" quotePrefix="1" applyFont="1" applyAlignment="1">
      <alignment horizontal="right"/>
    </xf>
    <xf numFmtId="2" fontId="22" fillId="0" borderId="8" xfId="0" applyNumberFormat="1" applyFont="1" applyBorder="1" applyAlignment="1">
      <alignment horizontal="center"/>
    </xf>
    <xf numFmtId="1" fontId="22" fillId="0" borderId="8" xfId="0" applyNumberFormat="1" applyFont="1" applyBorder="1" applyAlignment="1">
      <alignment horizontal="center"/>
    </xf>
    <xf numFmtId="1" fontId="22" fillId="0" borderId="0" xfId="0" applyNumberFormat="1" applyFont="1" applyAlignment="1">
      <alignment horizontal="center"/>
    </xf>
    <xf numFmtId="2" fontId="10" fillId="0" borderId="2" xfId="0" applyNumberFormat="1" applyFont="1" applyBorder="1" applyAlignment="1">
      <alignment horizontal="center" vertical="center" wrapText="1"/>
    </xf>
    <xf numFmtId="2" fontId="23" fillId="0" borderId="4" xfId="0" applyNumberFormat="1" applyFont="1" applyBorder="1"/>
    <xf numFmtId="165" fontId="22" fillId="0" borderId="2" xfId="0" applyNumberFormat="1" applyFont="1" applyBorder="1" applyAlignment="1">
      <alignment horizontal="center" vertical="center"/>
    </xf>
    <xf numFmtId="2" fontId="23" fillId="0" borderId="3" xfId="0" applyNumberFormat="1" applyFont="1" applyBorder="1"/>
    <xf numFmtId="1" fontId="23" fillId="0" borderId="8" xfId="0" applyNumberFormat="1" applyFont="1" applyBorder="1" applyAlignment="1">
      <alignment horizontal="center"/>
    </xf>
    <xf numFmtId="1" fontId="23" fillId="0" borderId="0" xfId="0" applyNumberFormat="1" applyFont="1" applyAlignment="1">
      <alignment horizontal="center"/>
    </xf>
    <xf numFmtId="0" fontId="21" fillId="0" borderId="2" xfId="0" quotePrefix="1" applyFont="1" applyBorder="1" applyAlignment="1">
      <alignment horizontal="center"/>
    </xf>
    <xf numFmtId="2" fontId="23" fillId="0" borderId="3" xfId="0" applyNumberFormat="1" applyFont="1" applyBorder="1" applyAlignment="1">
      <alignment horizontal="right"/>
    </xf>
    <xf numFmtId="2" fontId="23" fillId="0" borderId="4" xfId="0" applyNumberFormat="1" applyFont="1" applyBorder="1" applyAlignment="1">
      <alignment horizontal="right"/>
    </xf>
    <xf numFmtId="2" fontId="23" fillId="0" borderId="4" xfId="0" applyNumberFormat="1" applyFont="1" applyBorder="1" applyAlignment="1">
      <alignment horizontal="right" vertical="center" wrapText="1"/>
    </xf>
    <xf numFmtId="2" fontId="23" fillId="0" borderId="1" xfId="0" applyNumberFormat="1" applyFont="1" applyBorder="1" applyAlignment="1">
      <alignment horizontal="right"/>
    </xf>
    <xf numFmtId="2" fontId="23" fillId="0" borderId="2" xfId="0" applyNumberFormat="1" applyFont="1" applyBorder="1" applyAlignment="1">
      <alignment horizontal="right" vertical="center" wrapText="1"/>
    </xf>
    <xf numFmtId="2" fontId="23" fillId="0" borderId="2" xfId="0" applyNumberFormat="1" applyFont="1" applyBorder="1" applyAlignment="1">
      <alignment horizontal="right" vertical="center"/>
    </xf>
    <xf numFmtId="0" fontId="39" fillId="0" borderId="0" xfId="0" applyFont="1" applyAlignment="1">
      <alignment horizontal="right"/>
    </xf>
    <xf numFmtId="0" fontId="12" fillId="0" borderId="2" xfId="0" applyFont="1" applyBorder="1" applyAlignment="1">
      <alignment horizontal="center" vertical="center" wrapText="1"/>
    </xf>
    <xf numFmtId="0" fontId="21" fillId="0" borderId="2" xfId="0" applyFont="1" applyBorder="1" applyAlignment="1">
      <alignment vertical="center" wrapText="1"/>
    </xf>
    <xf numFmtId="0" fontId="21" fillId="0" borderId="4" xfId="0" applyFont="1" applyBorder="1" applyAlignment="1">
      <alignment vertical="top"/>
    </xf>
    <xf numFmtId="0" fontId="10" fillId="0" borderId="4" xfId="0" applyFont="1" applyBorder="1"/>
    <xf numFmtId="2" fontId="22" fillId="0" borderId="6" xfId="0" applyNumberFormat="1" applyFont="1" applyBorder="1" applyAlignment="1">
      <alignment horizontal="center"/>
    </xf>
    <xf numFmtId="0" fontId="5" fillId="0" borderId="6" xfId="0" applyFont="1" applyBorder="1" applyAlignment="1">
      <alignment horizontal="right"/>
    </xf>
    <xf numFmtId="0" fontId="22" fillId="0" borderId="2" xfId="0" applyFont="1" applyBorder="1" applyAlignment="1">
      <alignment horizontal="center"/>
    </xf>
    <xf numFmtId="0" fontId="22" fillId="0" borderId="3" xfId="0" applyFont="1" applyBorder="1" applyAlignment="1">
      <alignment horizontal="center"/>
    </xf>
    <xf numFmtId="0" fontId="8" fillId="0" borderId="0" xfId="0" applyFont="1"/>
    <xf numFmtId="0" fontId="4" fillId="0" borderId="0" xfId="0" quotePrefix="1" applyFont="1"/>
    <xf numFmtId="164" fontId="22" fillId="0" borderId="4" xfId="0" applyNumberFormat="1" applyFont="1" applyBorder="1" applyAlignment="1">
      <alignment horizontal="center" vertical="center"/>
    </xf>
    <xf numFmtId="0" fontId="22" fillId="0" borderId="4" xfId="0" applyFont="1" applyBorder="1" applyAlignment="1">
      <alignment horizontal="center"/>
    </xf>
    <xf numFmtId="0" fontId="22" fillId="0" borderId="4" xfId="0" applyFont="1" applyBorder="1"/>
    <xf numFmtId="0" fontId="22" fillId="0" borderId="4" xfId="0" quotePrefix="1" applyFont="1" applyBorder="1" applyAlignment="1">
      <alignment horizontal="center"/>
    </xf>
    <xf numFmtId="2" fontId="22" fillId="0" borderId="1" xfId="0" applyNumberFormat="1" applyFont="1" applyBorder="1" applyAlignment="1">
      <alignment horizontal="center" vertical="center" wrapText="1"/>
    </xf>
    <xf numFmtId="0" fontId="22" fillId="0" borderId="1" xfId="0" applyFont="1" applyBorder="1" applyAlignment="1">
      <alignment horizontal="center" vertical="center" wrapText="1"/>
    </xf>
    <xf numFmtId="0" fontId="22" fillId="0" borderId="1" xfId="1" applyNumberFormat="1" applyFont="1" applyBorder="1" applyAlignment="1">
      <alignment horizontal="center"/>
    </xf>
    <xf numFmtId="2" fontId="22" fillId="0" borderId="1" xfId="1" applyNumberFormat="1" applyFont="1" applyBorder="1" applyAlignment="1">
      <alignment horizontal="center"/>
    </xf>
    <xf numFmtId="2" fontId="22" fillId="0" borderId="4" xfId="0" applyNumberFormat="1" applyFont="1" applyBorder="1" applyAlignment="1">
      <alignment horizontal="center" vertical="center" wrapText="1"/>
    </xf>
    <xf numFmtId="0" fontId="50" fillId="0" borderId="0" xfId="0" applyFont="1"/>
    <xf numFmtId="165" fontId="22" fillId="0" borderId="10" xfId="0" applyNumberFormat="1" applyFont="1" applyBorder="1" applyAlignment="1">
      <alignment horizontal="center"/>
    </xf>
    <xf numFmtId="2" fontId="23" fillId="0" borderId="7" xfId="0" applyNumberFormat="1" applyFont="1" applyBorder="1" applyAlignment="1">
      <alignment horizontal="center" vertical="center" wrapText="1"/>
    </xf>
    <xf numFmtId="1" fontId="22" fillId="0" borderId="13" xfId="0" applyNumberFormat="1" applyFont="1" applyBorder="1" applyAlignment="1">
      <alignment horizontal="center"/>
    </xf>
    <xf numFmtId="2" fontId="22" fillId="0" borderId="10" xfId="0" applyNumberFormat="1" applyFont="1" applyBorder="1" applyAlignment="1">
      <alignment horizontal="center"/>
    </xf>
    <xf numFmtId="2" fontId="23" fillId="0" borderId="0" xfId="0" applyNumberFormat="1" applyFont="1" applyAlignment="1">
      <alignment horizontal="center" vertical="center"/>
    </xf>
    <xf numFmtId="0" fontId="34" fillId="0" borderId="2" xfId="1" applyNumberFormat="1" applyFont="1" applyBorder="1" applyAlignment="1">
      <alignment horizontal="center"/>
    </xf>
    <xf numFmtId="0" fontId="34" fillId="0" borderId="0" xfId="1" applyNumberFormat="1" applyFont="1" applyBorder="1" applyAlignment="1">
      <alignment horizontal="center"/>
    </xf>
    <xf numFmtId="2" fontId="0" fillId="0" borderId="0" xfId="0" applyNumberFormat="1"/>
    <xf numFmtId="1" fontId="23" fillId="0" borderId="1" xfId="0" applyNumberFormat="1" applyFont="1" applyBorder="1" applyAlignment="1">
      <alignment horizontal="center"/>
    </xf>
    <xf numFmtId="0" fontId="12" fillId="0" borderId="6" xfId="0" applyFont="1" applyBorder="1" applyAlignment="1">
      <alignment horizontal="center"/>
    </xf>
    <xf numFmtId="0" fontId="49" fillId="0" borderId="1" xfId="0" applyFont="1" applyBorder="1" applyAlignment="1">
      <alignment wrapText="1"/>
    </xf>
    <xf numFmtId="0" fontId="49" fillId="0" borderId="2" xfId="0" applyFont="1" applyBorder="1" applyAlignment="1">
      <alignment horizontal="center" vertical="center" wrapText="1"/>
    </xf>
    <xf numFmtId="0" fontId="52" fillId="0" borderId="16" xfId="0" applyFont="1" applyBorder="1" applyAlignment="1">
      <alignment horizontal="right"/>
    </xf>
    <xf numFmtId="0" fontId="52" fillId="0" borderId="17" xfId="0" applyFont="1" applyBorder="1" applyAlignment="1">
      <alignment horizontal="center"/>
    </xf>
    <xf numFmtId="0" fontId="41" fillId="0" borderId="0" xfId="0" applyFont="1" applyAlignment="1">
      <alignment horizontal="left"/>
    </xf>
    <xf numFmtId="0" fontId="34" fillId="0" borderId="8" xfId="1" applyNumberFormat="1" applyFont="1" applyBorder="1" applyAlignment="1">
      <alignment horizontal="center"/>
    </xf>
    <xf numFmtId="0" fontId="49" fillId="0" borderId="0" xfId="0" applyFont="1" applyAlignment="1">
      <alignment wrapText="1"/>
    </xf>
    <xf numFmtId="0" fontId="0" fillId="0" borderId="1" xfId="0" applyBorder="1" applyAlignment="1">
      <alignment wrapText="1"/>
    </xf>
    <xf numFmtId="0" fontId="5" fillId="0" borderId="0" xfId="0" applyFont="1" applyAlignment="1">
      <alignment wrapText="1"/>
    </xf>
    <xf numFmtId="1" fontId="23" fillId="0" borderId="3" xfId="0" applyNumberFormat="1" applyFont="1" applyBorder="1" applyAlignment="1">
      <alignment horizontal="center"/>
    </xf>
    <xf numFmtId="0" fontId="21" fillId="0" borderId="3" xfId="0" applyFont="1" applyBorder="1" applyAlignment="1">
      <alignment horizontal="center" wrapText="1"/>
    </xf>
    <xf numFmtId="0" fontId="19" fillId="0" borderId="3" xfId="0" applyFont="1" applyBorder="1" applyAlignment="1">
      <alignment horizontal="center" vertical="center" wrapText="1"/>
    </xf>
    <xf numFmtId="0" fontId="5" fillId="0" borderId="12" xfId="0" applyFont="1" applyBorder="1"/>
    <xf numFmtId="164" fontId="22" fillId="0" borderId="4" xfId="0" applyNumberFormat="1" applyFont="1" applyBorder="1" applyAlignment="1">
      <alignment horizontal="center"/>
    </xf>
    <xf numFmtId="0" fontId="5" fillId="0" borderId="2" xfId="0" applyFont="1" applyBorder="1" applyAlignment="1">
      <alignment wrapText="1"/>
    </xf>
    <xf numFmtId="0" fontId="5" fillId="0" borderId="4" xfId="0" applyFont="1" applyBorder="1" applyAlignment="1">
      <alignment wrapText="1"/>
    </xf>
    <xf numFmtId="0" fontId="58" fillId="0" borderId="0" xfId="0" applyFont="1"/>
    <xf numFmtId="0" fontId="59" fillId="0" borderId="0" xfId="0" applyFont="1"/>
    <xf numFmtId="0" fontId="3" fillId="0" borderId="0" xfId="0" applyFont="1"/>
    <xf numFmtId="0" fontId="63" fillId="0" borderId="0" xfId="0" applyFont="1"/>
    <xf numFmtId="0" fontId="65" fillId="0" borderId="1" xfId="0" applyFont="1" applyBorder="1" applyAlignment="1">
      <alignment wrapText="1"/>
    </xf>
    <xf numFmtId="0" fontId="62" fillId="0" borderId="1" xfId="0" applyFont="1" applyBorder="1" applyAlignment="1">
      <alignment wrapText="1"/>
    </xf>
    <xf numFmtId="0" fontId="16" fillId="0" borderId="1" xfId="0" applyFont="1" applyBorder="1" applyAlignment="1">
      <alignment horizontal="center"/>
    </xf>
    <xf numFmtId="2" fontId="66" fillId="0" borderId="1" xfId="0" applyNumberFormat="1" applyFont="1" applyBorder="1" applyAlignment="1">
      <alignment horizontal="right"/>
    </xf>
    <xf numFmtId="0" fontId="16" fillId="0" borderId="1" xfId="0" applyFont="1" applyBorder="1" applyAlignment="1">
      <alignment wrapText="1"/>
    </xf>
    <xf numFmtId="2" fontId="66" fillId="0" borderId="1" xfId="0" quotePrefix="1" applyNumberFormat="1" applyFont="1" applyBorder="1" applyAlignment="1">
      <alignment horizontal="right"/>
    </xf>
    <xf numFmtId="0" fontId="4" fillId="0" borderId="1" xfId="0" applyFont="1" applyBorder="1" applyAlignment="1">
      <alignment horizontal="center"/>
    </xf>
    <xf numFmtId="0" fontId="65" fillId="0" borderId="1" xfId="0" applyFont="1" applyBorder="1" applyAlignment="1">
      <alignment horizontal="right" wrapText="1"/>
    </xf>
    <xf numFmtId="0" fontId="16" fillId="0" borderId="1" xfId="0" applyFont="1" applyBorder="1" applyAlignment="1">
      <alignment horizontal="center" wrapText="1"/>
    </xf>
    <xf numFmtId="2" fontId="66" fillId="0" borderId="1" xfId="0" applyNumberFormat="1" applyFont="1" applyBorder="1" applyAlignment="1">
      <alignment horizontal="right" wrapText="1"/>
    </xf>
    <xf numFmtId="0" fontId="16" fillId="0" borderId="1" xfId="0" applyFont="1" applyBorder="1" applyAlignment="1">
      <alignment vertical="top" wrapText="1"/>
    </xf>
    <xf numFmtId="2" fontId="65" fillId="0" borderId="1" xfId="0" applyNumberFormat="1" applyFont="1" applyBorder="1" applyAlignment="1">
      <alignment horizontal="right" wrapText="1"/>
    </xf>
    <xf numFmtId="0" fontId="62" fillId="0" borderId="1" xfId="0" applyFont="1" applyBorder="1" applyAlignment="1">
      <alignment vertical="top" wrapText="1"/>
    </xf>
    <xf numFmtId="0" fontId="16" fillId="0" borderId="1" xfId="0" applyFont="1" applyBorder="1" applyAlignment="1">
      <alignment horizontal="left" wrapText="1"/>
    </xf>
    <xf numFmtId="0" fontId="3" fillId="0" borderId="1" xfId="0" applyFont="1" applyBorder="1" applyAlignment="1">
      <alignment horizontal="center"/>
    </xf>
    <xf numFmtId="0" fontId="71" fillId="0" borderId="1" xfId="0" applyFont="1" applyBorder="1" applyAlignment="1">
      <alignment vertical="top" wrapText="1"/>
    </xf>
    <xf numFmtId="0" fontId="73" fillId="0" borderId="1" xfId="0" applyFont="1" applyBorder="1" applyAlignment="1">
      <alignment horizontal="center"/>
    </xf>
    <xf numFmtId="0" fontId="35" fillId="0" borderId="1" xfId="0" applyFont="1" applyBorder="1" applyAlignment="1">
      <alignment horizontal="center" wrapText="1"/>
    </xf>
    <xf numFmtId="2" fontId="74" fillId="0" borderId="1" xfId="0" applyNumberFormat="1" applyFont="1" applyBorder="1" applyAlignment="1">
      <alignment horizontal="right" wrapText="1"/>
    </xf>
    <xf numFmtId="0" fontId="21" fillId="0" borderId="1" xfId="0" applyFont="1" applyBorder="1" applyAlignment="1">
      <alignment horizontal="center" wrapText="1"/>
    </xf>
    <xf numFmtId="0" fontId="75" fillId="0" borderId="1" xfId="0" applyFont="1" applyBorder="1" applyAlignment="1">
      <alignment wrapText="1"/>
    </xf>
    <xf numFmtId="0" fontId="49" fillId="0" borderId="1" xfId="0" applyFont="1" applyBorder="1" applyAlignment="1">
      <alignment horizontal="justify" wrapText="1"/>
    </xf>
    <xf numFmtId="0" fontId="16" fillId="0" borderId="1" xfId="0" applyFont="1" applyBorder="1" applyAlignment="1">
      <alignment horizontal="justify" wrapText="1"/>
    </xf>
    <xf numFmtId="0" fontId="5" fillId="0" borderId="1" xfId="0" applyFont="1" applyBorder="1" applyAlignment="1">
      <alignment horizontal="center" wrapText="1"/>
    </xf>
    <xf numFmtId="0" fontId="62" fillId="0" borderId="1" xfId="0" applyFont="1" applyBorder="1"/>
    <xf numFmtId="0" fontId="64" fillId="0" borderId="1" xfId="0" applyFont="1" applyBorder="1"/>
    <xf numFmtId="0" fontId="49" fillId="0" borderId="1" xfId="0" applyFont="1" applyBorder="1" applyAlignment="1">
      <alignment horizontal="center" wrapText="1"/>
    </xf>
    <xf numFmtId="0" fontId="65" fillId="0" borderId="1" xfId="0" applyFont="1" applyBorder="1"/>
    <xf numFmtId="0" fontId="76" fillId="0" borderId="1" xfId="0" applyFont="1" applyBorder="1" applyAlignment="1">
      <alignment horizontal="center" wrapText="1"/>
    </xf>
    <xf numFmtId="0" fontId="35" fillId="0" borderId="1" xfId="0" applyFont="1" applyBorder="1" applyAlignment="1">
      <alignment horizontal="center"/>
    </xf>
    <xf numFmtId="2" fontId="74" fillId="0" borderId="1" xfId="0" applyNumberFormat="1" applyFont="1" applyBorder="1" applyAlignment="1">
      <alignment horizontal="right"/>
    </xf>
    <xf numFmtId="2" fontId="68" fillId="0" borderId="1" xfId="0" applyNumberFormat="1" applyFont="1" applyBorder="1" applyAlignment="1">
      <alignment horizontal="right"/>
    </xf>
    <xf numFmtId="0" fontId="49" fillId="0" borderId="1" xfId="0" applyFont="1" applyBorder="1" applyAlignment="1">
      <alignment horizontal="left" wrapText="1"/>
    </xf>
    <xf numFmtId="2" fontId="68" fillId="0" borderId="1" xfId="0" applyNumberFormat="1" applyFont="1" applyBorder="1" applyAlignment="1">
      <alignment horizontal="right" wrapText="1"/>
    </xf>
    <xf numFmtId="0" fontId="79" fillId="0" borderId="1" xfId="0" applyFont="1" applyBorder="1" applyAlignment="1">
      <alignment wrapText="1"/>
    </xf>
    <xf numFmtId="0" fontId="33" fillId="0" borderId="1" xfId="0" applyFont="1" applyBorder="1" applyAlignment="1">
      <alignment horizontal="center" wrapText="1"/>
    </xf>
    <xf numFmtId="0" fontId="66" fillId="0" borderId="1" xfId="0" applyFont="1" applyBorder="1" applyAlignment="1">
      <alignment wrapText="1"/>
    </xf>
    <xf numFmtId="0" fontId="80" fillId="0" borderId="1" xfId="0" applyFont="1" applyBorder="1" applyAlignment="1">
      <alignment horizontal="center" wrapText="1"/>
    </xf>
    <xf numFmtId="0" fontId="49" fillId="0" borderId="1" xfId="0" applyFont="1" applyBorder="1"/>
    <xf numFmtId="2" fontId="78" fillId="0" borderId="1" xfId="0" applyNumberFormat="1" applyFont="1" applyBorder="1" applyAlignment="1">
      <alignment horizontal="right"/>
    </xf>
    <xf numFmtId="0" fontId="67" fillId="0" borderId="1" xfId="0" applyFont="1" applyBorder="1" applyAlignment="1">
      <alignment wrapText="1"/>
    </xf>
    <xf numFmtId="0" fontId="68" fillId="0" borderId="1" xfId="0" applyFont="1" applyBorder="1" applyAlignment="1">
      <alignment wrapText="1"/>
    </xf>
    <xf numFmtId="0" fontId="4" fillId="0" borderId="1" xfId="0" applyFont="1" applyBorder="1"/>
    <xf numFmtId="0" fontId="16" fillId="0" borderId="1" xfId="0" applyFont="1" applyBorder="1"/>
    <xf numFmtId="0" fontId="5" fillId="0" borderId="1" xfId="0" applyFont="1" applyBorder="1" applyAlignment="1">
      <alignment wrapText="1"/>
    </xf>
    <xf numFmtId="0" fontId="35" fillId="0" borderId="1" xfId="0" applyFont="1" applyBorder="1" applyAlignment="1">
      <alignment wrapText="1"/>
    </xf>
    <xf numFmtId="0" fontId="49" fillId="0" borderId="1" xfId="0" applyFont="1" applyBorder="1" applyAlignment="1">
      <alignment horizontal="right" wrapText="1"/>
    </xf>
    <xf numFmtId="2" fontId="67" fillId="0" borderId="1" xfId="0" applyNumberFormat="1" applyFont="1" applyBorder="1" applyAlignment="1">
      <alignment horizontal="right" wrapText="1"/>
    </xf>
    <xf numFmtId="0" fontId="62" fillId="0" borderId="1" xfId="0" applyFont="1" applyBorder="1" applyAlignment="1">
      <alignment horizontal="center" wrapText="1"/>
    </xf>
    <xf numFmtId="0" fontId="71" fillId="0" borderId="1" xfId="0" applyFont="1" applyBorder="1" applyAlignment="1">
      <alignment horizontal="center" wrapText="1"/>
    </xf>
    <xf numFmtId="0" fontId="75" fillId="0" borderId="1" xfId="0" applyFont="1" applyBorder="1" applyAlignment="1">
      <alignment horizontal="left" wrapText="1"/>
    </xf>
    <xf numFmtId="0" fontId="67" fillId="0" borderId="1" xfId="0" applyFont="1" applyBorder="1" applyAlignment="1">
      <alignment horizontal="justify" wrapText="1"/>
    </xf>
    <xf numFmtId="0" fontId="67" fillId="0" borderId="1" xfId="0" applyFont="1" applyBorder="1" applyAlignment="1">
      <alignment horizontal="justify" vertical="top" wrapText="1"/>
    </xf>
    <xf numFmtId="2" fontId="65" fillId="0" borderId="1" xfId="0" applyNumberFormat="1" applyFont="1" applyBorder="1" applyAlignment="1">
      <alignment horizontal="right"/>
    </xf>
    <xf numFmtId="0" fontId="62" fillId="0" borderId="1" xfId="0" applyFont="1" applyBorder="1" applyAlignment="1">
      <alignment vertical="top"/>
    </xf>
    <xf numFmtId="0" fontId="85" fillId="0" borderId="1" xfId="0" applyFont="1" applyBorder="1" applyAlignment="1">
      <alignment wrapText="1"/>
    </xf>
    <xf numFmtId="0" fontId="19" fillId="0" borderId="1" xfId="0" applyFont="1" applyBorder="1" applyAlignment="1">
      <alignment horizontal="center" wrapText="1"/>
    </xf>
    <xf numFmtId="0" fontId="78" fillId="0" borderId="1" xfId="0" applyFont="1" applyBorder="1" applyAlignment="1">
      <alignment horizontal="center" wrapText="1"/>
    </xf>
    <xf numFmtId="0" fontId="78" fillId="0" borderId="1" xfId="0" applyFont="1" applyBorder="1" applyAlignment="1">
      <alignment horizontal="center" vertical="top" wrapText="1"/>
    </xf>
    <xf numFmtId="0" fontId="19" fillId="0" borderId="1" xfId="0" applyFont="1" applyBorder="1" applyAlignment="1">
      <alignment wrapText="1"/>
    </xf>
    <xf numFmtId="0" fontId="69" fillId="0" borderId="1" xfId="0" applyFont="1" applyBorder="1" applyAlignment="1">
      <alignment wrapText="1"/>
    </xf>
    <xf numFmtId="0" fontId="65" fillId="0" borderId="1" xfId="0" applyFont="1" applyBorder="1" applyAlignment="1">
      <alignment horizontal="left" wrapText="1"/>
    </xf>
    <xf numFmtId="2" fontId="49" fillId="0" borderId="1" xfId="0" applyNumberFormat="1" applyFont="1" applyBorder="1" applyAlignment="1">
      <alignment horizontal="right"/>
    </xf>
    <xf numFmtId="0" fontId="3" fillId="0" borderId="1" xfId="0" applyFont="1" applyBorder="1" applyAlignment="1">
      <alignment wrapText="1"/>
    </xf>
    <xf numFmtId="0" fontId="5" fillId="0" borderId="1" xfId="0" applyFont="1" applyBorder="1"/>
    <xf numFmtId="0" fontId="16" fillId="0" borderId="1" xfId="0" applyFont="1" applyBorder="1" applyAlignment="1">
      <alignment horizontal="right" wrapText="1"/>
    </xf>
    <xf numFmtId="0" fontId="66" fillId="0" borderId="1" xfId="0" applyFont="1" applyBorder="1" applyAlignment="1">
      <alignment horizontal="justify" wrapText="1"/>
    </xf>
    <xf numFmtId="0" fontId="67" fillId="0" borderId="9" xfId="0" applyFont="1" applyBorder="1" applyAlignment="1">
      <alignment horizontal="left" wrapText="1"/>
    </xf>
    <xf numFmtId="0" fontId="67" fillId="0" borderId="1" xfId="0" applyFont="1" applyBorder="1" applyAlignment="1">
      <alignment horizontal="left" wrapText="1"/>
    </xf>
    <xf numFmtId="0" fontId="86" fillId="0" borderId="1" xfId="0" applyFont="1" applyBorder="1" applyAlignment="1">
      <alignment wrapText="1"/>
    </xf>
    <xf numFmtId="0" fontId="3" fillId="0" borderId="1" xfId="0" applyFont="1" applyBorder="1" applyAlignment="1">
      <alignment horizontal="right" wrapText="1"/>
    </xf>
    <xf numFmtId="0" fontId="87" fillId="0" borderId="1" xfId="0" applyFont="1" applyBorder="1" applyAlignment="1">
      <alignment horizontal="justify" wrapText="1"/>
    </xf>
    <xf numFmtId="0" fontId="65" fillId="0" borderId="1" xfId="0" applyFont="1" applyBorder="1" applyAlignment="1">
      <alignment horizontal="justify" wrapText="1"/>
    </xf>
    <xf numFmtId="0" fontId="68" fillId="0" borderId="1" xfId="0" applyFont="1" applyBorder="1" applyAlignment="1">
      <alignment horizontal="justify" wrapText="1"/>
    </xf>
    <xf numFmtId="0" fontId="62" fillId="0" borderId="1" xfId="0" applyFont="1" applyBorder="1" applyAlignment="1">
      <alignment horizontal="justify" wrapText="1"/>
    </xf>
    <xf numFmtId="2" fontId="49" fillId="0" borderId="1" xfId="0" applyNumberFormat="1" applyFont="1" applyBorder="1" applyAlignment="1">
      <alignment horizontal="right" wrapText="1"/>
    </xf>
    <xf numFmtId="0" fontId="89" fillId="0" borderId="1" xfId="0" applyFont="1" applyBorder="1" applyAlignment="1">
      <alignment horizontal="justify" wrapText="1"/>
    </xf>
    <xf numFmtId="0" fontId="81" fillId="0" borderId="1" xfId="0" applyFont="1" applyBorder="1" applyAlignment="1">
      <alignment wrapText="1"/>
    </xf>
    <xf numFmtId="2" fontId="81" fillId="0" borderId="1" xfId="0" applyNumberFormat="1" applyFont="1" applyBorder="1" applyAlignment="1">
      <alignment horizontal="right" wrapText="1"/>
    </xf>
    <xf numFmtId="0" fontId="87" fillId="0" borderId="1" xfId="0" applyFont="1" applyBorder="1" applyAlignment="1">
      <alignment wrapText="1"/>
    </xf>
    <xf numFmtId="0" fontId="65" fillId="0" borderId="1" xfId="0" applyFont="1" applyBorder="1" applyAlignment="1">
      <alignment horizontal="center"/>
    </xf>
    <xf numFmtId="0" fontId="67" fillId="0" borderId="1" xfId="0" applyFont="1" applyBorder="1" applyAlignment="1">
      <alignment horizontal="center" wrapText="1"/>
    </xf>
    <xf numFmtId="0" fontId="11" fillId="0" borderId="1" xfId="0" applyFont="1" applyBorder="1" applyAlignment="1">
      <alignment horizontal="center" wrapText="1"/>
    </xf>
    <xf numFmtId="0" fontId="69" fillId="0" borderId="1" xfId="0" applyFont="1" applyBorder="1" applyAlignment="1">
      <alignment horizontal="center" wrapText="1"/>
    </xf>
    <xf numFmtId="0" fontId="90" fillId="0" borderId="1" xfId="0" applyFont="1" applyBorder="1" applyAlignment="1">
      <alignment wrapText="1"/>
    </xf>
    <xf numFmtId="2" fontId="90" fillId="0" borderId="1" xfId="0" applyNumberFormat="1" applyFont="1" applyBorder="1" applyAlignment="1">
      <alignment horizontal="right" wrapText="1"/>
    </xf>
    <xf numFmtId="0" fontId="90" fillId="0" borderId="1" xfId="0" applyFont="1" applyBorder="1" applyAlignment="1">
      <alignment horizontal="center" wrapText="1"/>
    </xf>
    <xf numFmtId="0" fontId="3" fillId="0" borderId="1" xfId="0" applyFont="1" applyBorder="1" applyAlignment="1">
      <alignment horizontal="right"/>
    </xf>
    <xf numFmtId="0" fontId="91" fillId="0" borderId="1" xfId="0" applyFont="1" applyBorder="1" applyAlignment="1">
      <alignment wrapText="1"/>
    </xf>
    <xf numFmtId="0" fontId="91" fillId="0" borderId="1" xfId="0" applyFont="1" applyBorder="1"/>
    <xf numFmtId="2" fontId="67" fillId="0" borderId="1" xfId="0" applyNumberFormat="1" applyFont="1" applyBorder="1" applyAlignment="1">
      <alignment horizontal="right"/>
    </xf>
    <xf numFmtId="0" fontId="66" fillId="0" borderId="1" xfId="0" applyFont="1" applyBorder="1"/>
    <xf numFmtId="0" fontId="81" fillId="0" borderId="1" xfId="0" applyFont="1" applyBorder="1"/>
    <xf numFmtId="0" fontId="92" fillId="0" borderId="1" xfId="0" applyFont="1" applyBorder="1"/>
    <xf numFmtId="2" fontId="92" fillId="0" borderId="1" xfId="0" applyNumberFormat="1" applyFont="1" applyBorder="1" applyAlignment="1">
      <alignment horizontal="right"/>
    </xf>
    <xf numFmtId="0" fontId="65" fillId="0" borderId="1" xfId="0" applyFont="1" applyBorder="1" applyAlignment="1">
      <alignment horizontal="left"/>
    </xf>
    <xf numFmtId="0" fontId="67" fillId="0" borderId="1" xfId="0" applyFont="1" applyBorder="1"/>
    <xf numFmtId="0" fontId="65" fillId="0" borderId="1" xfId="0" applyFont="1" applyBorder="1" applyAlignment="1">
      <alignment horizontal="right"/>
    </xf>
    <xf numFmtId="0" fontId="93" fillId="0" borderId="1" xfId="0" applyFont="1" applyBorder="1"/>
    <xf numFmtId="0" fontId="3" fillId="0" borderId="1" xfId="0" applyFont="1" applyBorder="1"/>
    <xf numFmtId="0" fontId="68" fillId="0" borderId="1" xfId="0" applyFont="1" applyBorder="1"/>
    <xf numFmtId="0" fontId="19" fillId="0" borderId="1" xfId="0" applyFont="1" applyBorder="1"/>
    <xf numFmtId="0" fontId="19" fillId="0" borderId="1" xfId="0" applyFont="1" applyBorder="1" applyAlignment="1">
      <alignment horizontal="center"/>
    </xf>
    <xf numFmtId="0" fontId="65" fillId="0" borderId="0" xfId="0" applyFont="1"/>
    <xf numFmtId="0" fontId="3" fillId="0" borderId="0" xfId="0" applyFont="1" applyAlignment="1">
      <alignment horizontal="center"/>
    </xf>
    <xf numFmtId="2" fontId="66" fillId="0" borderId="0" xfId="0" applyNumberFormat="1" applyFont="1" applyAlignment="1">
      <alignment horizontal="right"/>
    </xf>
    <xf numFmtId="0" fontId="62" fillId="0" borderId="4" xfId="0" applyFont="1" applyBorder="1" applyAlignment="1">
      <alignment horizontal="center" vertical="center"/>
    </xf>
    <xf numFmtId="0" fontId="23" fillId="0" borderId="1" xfId="0" applyFont="1" applyBorder="1"/>
    <xf numFmtId="2" fontId="95" fillId="0" borderId="1" xfId="0" applyNumberFormat="1" applyFont="1" applyBorder="1"/>
    <xf numFmtId="0" fontId="95" fillId="0" borderId="1" xfId="0" applyFont="1" applyBorder="1"/>
    <xf numFmtId="0" fontId="96" fillId="0" borderId="1" xfId="0" applyFont="1" applyBorder="1" applyAlignment="1">
      <alignment wrapText="1"/>
    </xf>
    <xf numFmtId="0" fontId="95" fillId="0" borderId="1" xfId="0" applyFont="1" applyBorder="1" applyAlignment="1">
      <alignment wrapText="1"/>
    </xf>
    <xf numFmtId="0" fontId="97" fillId="0" borderId="1" xfId="0" applyFont="1" applyBorder="1" applyAlignment="1">
      <alignment wrapText="1"/>
    </xf>
    <xf numFmtId="0" fontId="99" fillId="0" borderId="1" xfId="0" applyFont="1" applyBorder="1"/>
    <xf numFmtId="0" fontId="96" fillId="0" borderId="1" xfId="0" applyFont="1" applyBorder="1"/>
    <xf numFmtId="0" fontId="16" fillId="2" borderId="1" xfId="0" applyFont="1" applyFill="1" applyBorder="1" applyAlignment="1">
      <alignment horizontal="center" wrapText="1"/>
    </xf>
    <xf numFmtId="2" fontId="66" fillId="2" borderId="1" xfId="0" applyNumberFormat="1" applyFont="1" applyFill="1" applyBorder="1" applyAlignment="1">
      <alignment horizontal="right"/>
    </xf>
    <xf numFmtId="2" fontId="95" fillId="2" borderId="1" xfId="0" applyNumberFormat="1" applyFont="1" applyFill="1" applyBorder="1"/>
    <xf numFmtId="2" fontId="95" fillId="0" borderId="1" xfId="0" applyNumberFormat="1" applyFont="1" applyBorder="1" applyAlignment="1">
      <alignment wrapText="1"/>
    </xf>
    <xf numFmtId="0" fontId="100" fillId="0" borderId="1" xfId="0" applyFont="1" applyBorder="1" applyAlignment="1">
      <alignment horizontal="right"/>
    </xf>
    <xf numFmtId="0" fontId="99" fillId="0" borderId="1" xfId="0" applyFont="1" applyBorder="1" applyAlignment="1">
      <alignment wrapText="1"/>
    </xf>
    <xf numFmtId="0" fontId="101" fillId="0" borderId="1" xfId="0" applyFont="1" applyBorder="1" applyAlignment="1">
      <alignment wrapText="1"/>
    </xf>
    <xf numFmtId="0" fontId="100" fillId="0" borderId="1" xfId="0" applyFont="1" applyBorder="1"/>
    <xf numFmtId="0" fontId="95" fillId="0" borderId="1" xfId="0" applyFont="1" applyBorder="1" applyAlignment="1">
      <alignment horizontal="right"/>
    </xf>
    <xf numFmtId="0" fontId="102" fillId="0" borderId="1" xfId="0" applyFont="1" applyBorder="1" applyAlignment="1">
      <alignment wrapText="1"/>
    </xf>
    <xf numFmtId="0" fontId="101" fillId="0" borderId="1" xfId="0" applyFont="1" applyBorder="1" applyAlignment="1">
      <alignment horizontal="justify" wrapText="1"/>
    </xf>
    <xf numFmtId="0" fontId="97" fillId="0" borderId="1" xfId="0" applyFont="1" applyBorder="1"/>
    <xf numFmtId="2" fontId="100" fillId="0" borderId="1" xfId="0" applyNumberFormat="1" applyFont="1" applyBorder="1" applyAlignment="1">
      <alignment wrapText="1"/>
    </xf>
    <xf numFmtId="0" fontId="97" fillId="0" borderId="1" xfId="0" applyFont="1" applyBorder="1" applyAlignment="1">
      <alignment horizontal="justify" wrapText="1"/>
    </xf>
    <xf numFmtId="2" fontId="100" fillId="0" borderId="1" xfId="0" applyNumberFormat="1" applyFont="1" applyBorder="1" applyAlignment="1">
      <alignment horizontal="justify" wrapText="1"/>
    </xf>
    <xf numFmtId="0" fontId="103" fillId="0" borderId="1" xfId="0" applyFont="1" applyBorder="1" applyAlignment="1">
      <alignment horizontal="justify" wrapText="1"/>
    </xf>
    <xf numFmtId="0" fontId="103" fillId="0" borderId="1" xfId="0" applyFont="1" applyBorder="1" applyAlignment="1">
      <alignment wrapText="1"/>
    </xf>
    <xf numFmtId="0" fontId="104" fillId="0" borderId="1" xfId="0" applyFont="1" applyBorder="1" applyAlignment="1">
      <alignment wrapText="1"/>
    </xf>
    <xf numFmtId="0" fontId="96" fillId="0" borderId="1" xfId="0" applyFont="1" applyBorder="1" applyAlignment="1">
      <alignment horizontal="center" wrapText="1"/>
    </xf>
    <xf numFmtId="0" fontId="95" fillId="3" borderId="1" xfId="0" applyFont="1" applyFill="1" applyBorder="1"/>
    <xf numFmtId="2" fontId="95" fillId="3" borderId="1" xfId="0" applyNumberFormat="1" applyFont="1" applyFill="1" applyBorder="1"/>
    <xf numFmtId="0" fontId="98" fillId="3" borderId="1" xfId="0" applyFont="1" applyFill="1" applyBorder="1" applyAlignment="1">
      <alignment horizontal="center" wrapText="1"/>
    </xf>
    <xf numFmtId="0" fontId="61" fillId="0" borderId="0" xfId="0" applyFont="1" applyAlignment="1">
      <alignment horizontal="center"/>
    </xf>
    <xf numFmtId="0" fontId="16" fillId="0" borderId="4" xfId="0" applyFont="1" applyBorder="1" applyAlignment="1">
      <alignment horizontal="center"/>
    </xf>
    <xf numFmtId="2" fontId="95" fillId="0" borderId="7" xfId="0" applyNumberFormat="1" applyFont="1" applyBorder="1"/>
    <xf numFmtId="2" fontId="23" fillId="0" borderId="7" xfId="0" applyNumberFormat="1" applyFont="1" applyBorder="1"/>
    <xf numFmtId="0" fontId="23" fillId="0" borderId="1" xfId="0" applyFont="1" applyBorder="1" applyAlignment="1">
      <alignment wrapText="1"/>
    </xf>
    <xf numFmtId="2" fontId="23" fillId="0" borderId="1" xfId="0" applyNumberFormat="1" applyFont="1" applyBorder="1"/>
    <xf numFmtId="0" fontId="10" fillId="0" borderId="1" xfId="0" applyFont="1" applyBorder="1" applyAlignment="1">
      <alignment horizontal="center" wrapText="1"/>
    </xf>
    <xf numFmtId="1" fontId="23" fillId="0" borderId="2" xfId="0" quotePrefix="1" applyNumberFormat="1" applyFont="1" applyBorder="1" applyAlignment="1">
      <alignment horizontal="center"/>
    </xf>
    <xf numFmtId="0" fontId="19" fillId="0" borderId="0" xfId="0" applyFont="1" applyAlignment="1">
      <alignment wrapText="1"/>
    </xf>
    <xf numFmtId="0" fontId="0" fillId="0" borderId="1" xfId="0" applyBorder="1" applyAlignment="1">
      <alignment horizontal="center" vertical="center" wrapText="1"/>
    </xf>
    <xf numFmtId="2" fontId="23" fillId="0" borderId="5" xfId="0" applyNumberFormat="1" applyFont="1" applyBorder="1" applyAlignment="1">
      <alignment horizontal="center" vertical="center" wrapText="1"/>
    </xf>
    <xf numFmtId="2" fontId="23" fillId="0" borderId="11" xfId="0" applyNumberFormat="1" applyFont="1" applyBorder="1" applyAlignment="1">
      <alignment horizontal="center" vertical="center" wrapText="1"/>
    </xf>
    <xf numFmtId="0" fontId="21" fillId="0" borderId="5" xfId="0" applyFont="1" applyBorder="1" applyAlignment="1">
      <alignment horizontal="left"/>
    </xf>
    <xf numFmtId="16" fontId="11" fillId="0" borderId="1" xfId="0" applyNumberFormat="1" applyFont="1" applyBorder="1" applyAlignment="1">
      <alignment horizontal="center"/>
    </xf>
    <xf numFmtId="0" fontId="11" fillId="0" borderId="1" xfId="0" applyFont="1" applyBorder="1"/>
    <xf numFmtId="0" fontId="108" fillId="0" borderId="18" xfId="0" applyFont="1" applyBorder="1" applyAlignment="1">
      <alignment horizontal="center"/>
    </xf>
    <xf numFmtId="0" fontId="6" fillId="0" borderId="19" xfId="0" applyFont="1" applyBorder="1" applyAlignment="1">
      <alignment horizontal="center"/>
    </xf>
    <xf numFmtId="0" fontId="108" fillId="0" borderId="20" xfId="0" applyFont="1" applyBorder="1" applyAlignment="1">
      <alignment horizontal="center"/>
    </xf>
    <xf numFmtId="0" fontId="11" fillId="0" borderId="21" xfId="0" applyFont="1" applyBorder="1"/>
    <xf numFmtId="16" fontId="11" fillId="0" borderId="21" xfId="0" applyNumberFormat="1" applyFont="1" applyBorder="1" applyAlignment="1">
      <alignment horizontal="center"/>
    </xf>
    <xf numFmtId="0" fontId="6" fillId="0" borderId="22" xfId="0" applyFont="1" applyBorder="1" applyAlignment="1">
      <alignment horizontal="center"/>
    </xf>
    <xf numFmtId="0" fontId="108" fillId="0" borderId="23" xfId="0" applyFont="1" applyBorder="1" applyAlignment="1">
      <alignment horizontal="center"/>
    </xf>
    <xf numFmtId="0" fontId="11" fillId="0" borderId="4" xfId="0" applyFont="1" applyBorder="1"/>
    <xf numFmtId="16" fontId="11" fillId="0" borderId="4" xfId="0" applyNumberFormat="1" applyFont="1" applyBorder="1" applyAlignment="1">
      <alignment horizontal="center"/>
    </xf>
    <xf numFmtId="0" fontId="6" fillId="0" borderId="24" xfId="0" applyFont="1" applyBorder="1" applyAlignment="1">
      <alignment horizontal="center"/>
    </xf>
    <xf numFmtId="0" fontId="108" fillId="0" borderId="21" xfId="0" applyFont="1" applyBorder="1" applyAlignment="1">
      <alignment horizontal="center"/>
    </xf>
    <xf numFmtId="0" fontId="108" fillId="0" borderId="22" xfId="0" applyFont="1" applyBorder="1" applyAlignment="1">
      <alignment horizontal="center"/>
    </xf>
    <xf numFmtId="0" fontId="35" fillId="0" borderId="0" xfId="0" applyFont="1"/>
    <xf numFmtId="0" fontId="105" fillId="0" borderId="0" xfId="0" applyFont="1"/>
    <xf numFmtId="0" fontId="0" fillId="0" borderId="0" xfId="0" applyAlignment="1">
      <alignment horizontal="center" vertical="center"/>
    </xf>
    <xf numFmtId="2" fontId="0" fillId="0" borderId="2" xfId="0" applyNumberFormat="1" applyBorder="1" applyAlignment="1">
      <alignment horizontal="center" vertical="center"/>
    </xf>
    <xf numFmtId="0" fontId="105" fillId="0" borderId="25" xfId="0" applyFont="1" applyBorder="1" applyAlignment="1">
      <alignment horizontal="center" vertical="center"/>
    </xf>
    <xf numFmtId="0" fontId="0" fillId="0" borderId="25" xfId="0" applyBorder="1" applyAlignment="1">
      <alignment horizontal="center" vertical="center"/>
    </xf>
    <xf numFmtId="2" fontId="0" fillId="0" borderId="26" xfId="0" applyNumberFormat="1" applyBorder="1" applyAlignment="1">
      <alignment horizontal="center" vertical="center"/>
    </xf>
    <xf numFmtId="0" fontId="19" fillId="0" borderId="18" xfId="0" applyFont="1" applyBorder="1" applyAlignment="1">
      <alignment horizontal="center" vertical="top"/>
    </xf>
    <xf numFmtId="0" fontId="19" fillId="0" borderId="1" xfId="0" applyFont="1" applyBorder="1" applyAlignment="1">
      <alignment horizontal="justify" vertical="top" wrapText="1"/>
    </xf>
    <xf numFmtId="0" fontId="19" fillId="0" borderId="1" xfId="0" applyFont="1" applyBorder="1" applyAlignment="1">
      <alignment horizontal="center" vertical="center"/>
    </xf>
    <xf numFmtId="2" fontId="19" fillId="0" borderId="19" xfId="0" applyNumberFormat="1" applyFont="1" applyBorder="1" applyAlignment="1">
      <alignment horizontal="center" vertical="center"/>
    </xf>
    <xf numFmtId="0" fontId="19" fillId="0" borderId="18" xfId="0" applyFont="1" applyBorder="1" applyAlignment="1">
      <alignment horizontal="center"/>
    </xf>
    <xf numFmtId="0" fontId="19" fillId="0" borderId="1" xfId="0" applyFont="1" applyBorder="1" applyAlignment="1">
      <alignment horizontal="left"/>
    </xf>
    <xf numFmtId="0" fontId="0" fillId="0" borderId="1" xfId="0" applyBorder="1" applyAlignment="1">
      <alignment horizontal="justify" vertical="top" wrapText="1"/>
    </xf>
    <xf numFmtId="0" fontId="0" fillId="0" borderId="1" xfId="0" applyBorder="1" applyAlignment="1">
      <alignment horizontal="center" vertical="center"/>
    </xf>
    <xf numFmtId="0" fontId="0" fillId="0" borderId="18" xfId="0" applyBorder="1" applyAlignment="1">
      <alignment horizontal="center" vertical="top"/>
    </xf>
    <xf numFmtId="2" fontId="19" fillId="3" borderId="19" xfId="0" applyNumberFormat="1" applyFont="1" applyFill="1" applyBorder="1" applyAlignment="1">
      <alignment horizontal="center" vertical="center"/>
    </xf>
    <xf numFmtId="0" fontId="3" fillId="0" borderId="18" xfId="0" applyFont="1" applyBorder="1" applyAlignment="1">
      <alignment horizontal="center" vertical="top"/>
    </xf>
    <xf numFmtId="0" fontId="3" fillId="0" borderId="1" xfId="0" applyFont="1" applyBorder="1" applyAlignment="1">
      <alignment horizontal="justify" vertical="top" wrapText="1"/>
    </xf>
    <xf numFmtId="0" fontId="3" fillId="0" borderId="1" xfId="0" applyFont="1" applyBorder="1" applyAlignment="1">
      <alignment horizontal="center" vertical="center"/>
    </xf>
    <xf numFmtId="0" fontId="0" fillId="0" borderId="2" xfId="0" applyBorder="1" applyAlignment="1">
      <alignment horizontal="center" vertical="center"/>
    </xf>
    <xf numFmtId="0" fontId="49" fillId="0" borderId="12" xfId="0" applyFont="1" applyBorder="1" applyAlignment="1">
      <alignment vertical="top" wrapText="1"/>
    </xf>
    <xf numFmtId="0" fontId="49" fillId="0" borderId="7" xfId="0" applyFont="1" applyBorder="1" applyAlignment="1">
      <alignment vertical="top" wrapText="1"/>
    </xf>
    <xf numFmtId="0" fontId="49" fillId="0" borderId="7" xfId="0" applyFont="1" applyBorder="1" applyAlignment="1">
      <alignment vertical="justify" wrapText="1"/>
    </xf>
    <xf numFmtId="0" fontId="0" fillId="4" borderId="0" xfId="0" applyFill="1"/>
    <xf numFmtId="2" fontId="0" fillId="4" borderId="0" xfId="0" applyNumberFormat="1" applyFill="1"/>
    <xf numFmtId="0" fontId="19" fillId="4" borderId="0" xfId="0" applyFont="1" applyFill="1" applyAlignment="1">
      <alignment horizontal="center"/>
    </xf>
    <xf numFmtId="0" fontId="110" fillId="0" borderId="1" xfId="0" applyFont="1" applyBorder="1" applyAlignment="1">
      <alignment horizontal="justify" vertical="top" wrapText="1"/>
    </xf>
    <xf numFmtId="0" fontId="110" fillId="0" borderId="1" xfId="0" applyFont="1" applyBorder="1" applyAlignment="1">
      <alignment horizontal="center" vertical="center"/>
    </xf>
    <xf numFmtId="2" fontId="110" fillId="0" borderId="19" xfId="0" applyNumberFormat="1" applyFont="1" applyBorder="1" applyAlignment="1">
      <alignment horizontal="center" vertical="center"/>
    </xf>
    <xf numFmtId="0" fontId="110" fillId="0" borderId="0" xfId="0" applyFont="1"/>
    <xf numFmtId="0" fontId="110" fillId="0" borderId="1" xfId="0" applyFont="1" applyBorder="1" applyAlignment="1">
      <alignment horizontal="center" vertical="top" wrapText="1"/>
    </xf>
    <xf numFmtId="2" fontId="0" fillId="0" borderId="1" xfId="0" applyNumberFormat="1" applyBorder="1" applyAlignment="1">
      <alignment horizontal="center" vertical="center"/>
    </xf>
    <xf numFmtId="0" fontId="111" fillId="5" borderId="18" xfId="0" applyFont="1" applyFill="1" applyBorder="1" applyAlignment="1">
      <alignment horizontal="center" vertical="top"/>
    </xf>
    <xf numFmtId="0" fontId="112" fillId="5" borderId="1" xfId="0" applyFont="1" applyFill="1" applyBorder="1" applyAlignment="1">
      <alignment horizontal="justify" vertical="top" wrapText="1"/>
    </xf>
    <xf numFmtId="0" fontId="111" fillId="5" borderId="1" xfId="0" applyFont="1" applyFill="1" applyBorder="1" applyAlignment="1">
      <alignment horizontal="center" vertical="center"/>
    </xf>
    <xf numFmtId="2" fontId="111" fillId="5" borderId="1" xfId="0" applyNumberFormat="1" applyFont="1" applyFill="1" applyBorder="1" applyAlignment="1">
      <alignment horizontal="center" vertical="center"/>
    </xf>
    <xf numFmtId="0" fontId="111" fillId="5" borderId="0" xfId="0" applyFont="1" applyFill="1"/>
    <xf numFmtId="0" fontId="19" fillId="0" borderId="2" xfId="0" applyFont="1" applyBorder="1" applyAlignment="1">
      <alignment horizontal="justify" vertical="justify" wrapText="1"/>
    </xf>
    <xf numFmtId="0" fontId="19" fillId="0" borderId="2" xfId="0" applyFont="1" applyBorder="1" applyAlignment="1">
      <alignment horizontal="justify" vertical="top" wrapText="1"/>
    </xf>
    <xf numFmtId="0" fontId="0" fillId="0" borderId="1" xfId="0" applyBorder="1" applyAlignment="1">
      <alignment horizontal="center" vertical="top"/>
    </xf>
    <xf numFmtId="2" fontId="0" fillId="0" borderId="19" xfId="0" applyNumberFormat="1" applyBorder="1" applyAlignment="1">
      <alignment horizontal="center" vertical="top"/>
    </xf>
    <xf numFmtId="0" fontId="19" fillId="0" borderId="1" xfId="0" applyFont="1" applyBorder="1" applyAlignment="1">
      <alignment horizontal="left" vertical="top" wrapText="1"/>
    </xf>
    <xf numFmtId="0" fontId="0" fillId="0" borderId="1" xfId="0" applyBorder="1"/>
    <xf numFmtId="0" fontId="0" fillId="0" borderId="1" xfId="0" applyBorder="1" applyAlignment="1">
      <alignment horizontal="justify" vertical="justify"/>
    </xf>
    <xf numFmtId="2" fontId="0" fillId="0" borderId="1" xfId="0" applyNumberFormat="1" applyBorder="1" applyAlignment="1">
      <alignment horizontal="center" vertical="top"/>
    </xf>
    <xf numFmtId="2" fontId="0" fillId="0" borderId="4" xfId="0" applyNumberFormat="1" applyBorder="1" applyAlignment="1">
      <alignment horizontal="center" vertical="top"/>
    </xf>
    <xf numFmtId="0" fontId="0" fillId="0" borderId="3" xfId="0" applyBorder="1" applyAlignment="1">
      <alignment horizontal="justify" vertical="justify"/>
    </xf>
    <xf numFmtId="0" fontId="19" fillId="0" borderId="1" xfId="0" applyFont="1" applyBorder="1" applyAlignment="1">
      <alignment horizontal="justify" vertical="justify" wrapText="1"/>
    </xf>
    <xf numFmtId="0" fontId="110" fillId="0" borderId="1" xfId="0" applyFont="1" applyBorder="1" applyAlignment="1">
      <alignment horizontal="justify" vertical="top"/>
    </xf>
    <xf numFmtId="2" fontId="110" fillId="0" borderId="19" xfId="0" applyNumberFormat="1" applyFont="1" applyBorder="1" applyAlignment="1">
      <alignment horizontal="center" vertical="top"/>
    </xf>
    <xf numFmtId="0" fontId="110" fillId="0" borderId="1" xfId="0" applyFont="1" applyBorder="1"/>
    <xf numFmtId="2" fontId="110" fillId="0" borderId="1" xfId="0" applyNumberFormat="1" applyFont="1" applyBorder="1"/>
    <xf numFmtId="0" fontId="110" fillId="0" borderId="18" xfId="0" applyFont="1" applyBorder="1" applyAlignment="1">
      <alignment horizontal="center" vertical="top"/>
    </xf>
    <xf numFmtId="2" fontId="0" fillId="0" borderId="0" xfId="0" applyNumberFormat="1" applyAlignment="1">
      <alignment horizontal="center" vertical="center"/>
    </xf>
    <xf numFmtId="0" fontId="0" fillId="3" borderId="18" xfId="0" applyFill="1" applyBorder="1" applyAlignment="1">
      <alignment horizontal="center" vertical="top"/>
    </xf>
    <xf numFmtId="0" fontId="19" fillId="3" borderId="1" xfId="0" applyFont="1" applyFill="1" applyBorder="1" applyAlignment="1">
      <alignment horizontal="justify" vertical="top" wrapText="1"/>
    </xf>
    <xf numFmtId="0" fontId="0" fillId="3" borderId="1" xfId="0" applyFill="1" applyBorder="1" applyAlignment="1">
      <alignment horizontal="center" vertical="center"/>
    </xf>
    <xf numFmtId="0" fontId="0" fillId="3" borderId="1" xfId="0" applyFill="1" applyBorder="1" applyAlignment="1">
      <alignment horizontal="justify" vertical="top" wrapText="1"/>
    </xf>
    <xf numFmtId="0" fontId="0" fillId="0" borderId="11" xfId="0" applyBorder="1" applyAlignment="1">
      <alignment horizontal="justify" vertical="top" wrapText="1"/>
    </xf>
    <xf numFmtId="0" fontId="19" fillId="0" borderId="2" xfId="0" applyFont="1" applyBorder="1" applyAlignment="1">
      <alignment wrapText="1"/>
    </xf>
    <xf numFmtId="0" fontId="19" fillId="0" borderId="3" xfId="0" applyFont="1" applyBorder="1" applyAlignment="1">
      <alignment wrapText="1"/>
    </xf>
    <xf numFmtId="0" fontId="3" fillId="0" borderId="3" xfId="0" applyFont="1" applyBorder="1" applyAlignment="1">
      <alignment horizontal="justify" vertical="top" wrapText="1"/>
    </xf>
    <xf numFmtId="0" fontId="0" fillId="0" borderId="0" xfId="0" applyAlignment="1">
      <alignment wrapText="1"/>
    </xf>
    <xf numFmtId="0" fontId="19" fillId="3" borderId="18" xfId="0" applyFont="1" applyFill="1" applyBorder="1" applyAlignment="1">
      <alignment horizontal="center"/>
    </xf>
    <xf numFmtId="2" fontId="110" fillId="3" borderId="19" xfId="0" applyNumberFormat="1" applyFont="1" applyFill="1" applyBorder="1" applyAlignment="1">
      <alignment horizontal="center" vertical="center"/>
    </xf>
    <xf numFmtId="0" fontId="3" fillId="3" borderId="18" xfId="0" applyFont="1" applyFill="1" applyBorder="1" applyAlignment="1">
      <alignment horizontal="center" vertical="top"/>
    </xf>
    <xf numFmtId="0" fontId="3" fillId="3" borderId="1" xfId="0" applyFont="1" applyFill="1" applyBorder="1" applyAlignment="1">
      <alignment horizontal="justify" vertical="top" wrapText="1"/>
    </xf>
    <xf numFmtId="0" fontId="3" fillId="3" borderId="1" xfId="0" applyFont="1" applyFill="1" applyBorder="1" applyAlignment="1">
      <alignment horizontal="center" vertical="center"/>
    </xf>
    <xf numFmtId="0" fontId="117" fillId="0" borderId="0" xfId="0" applyFont="1"/>
    <xf numFmtId="0" fontId="0" fillId="6" borderId="1" xfId="0" applyFill="1" applyBorder="1"/>
    <xf numFmtId="0" fontId="0" fillId="6" borderId="1" xfId="0" applyFill="1" applyBorder="1" applyAlignment="1">
      <alignment wrapText="1"/>
    </xf>
    <xf numFmtId="0" fontId="0" fillId="6" borderId="1" xfId="0" applyFill="1" applyBorder="1" applyAlignment="1">
      <alignment horizontal="center" vertical="center"/>
    </xf>
    <xf numFmtId="2" fontId="0" fillId="6" borderId="1" xfId="0" applyNumberFormat="1" applyFill="1" applyBorder="1" applyAlignment="1">
      <alignment horizontal="center" vertical="center"/>
    </xf>
    <xf numFmtId="2" fontId="19" fillId="0" borderId="1" xfId="0" applyNumberFormat="1" applyFont="1" applyBorder="1"/>
    <xf numFmtId="2" fontId="0" fillId="0" borderId="1" xfId="0" applyNumberFormat="1" applyBorder="1"/>
    <xf numFmtId="0" fontId="118" fillId="0" borderId="0" xfId="0" applyFont="1"/>
    <xf numFmtId="0" fontId="118" fillId="0" borderId="4" xfId="0" applyFont="1" applyBorder="1" applyAlignment="1">
      <alignment horizontal="center"/>
    </xf>
    <xf numFmtId="0" fontId="120" fillId="0" borderId="1" xfId="0" applyFont="1" applyBorder="1" applyAlignment="1">
      <alignment horizontal="center" vertical="center" wrapText="1"/>
    </xf>
    <xf numFmtId="0" fontId="120" fillId="0" borderId="2" xfId="0" applyFont="1" applyBorder="1" applyAlignment="1">
      <alignment horizontal="center" vertical="center" wrapText="1"/>
    </xf>
    <xf numFmtId="2" fontId="95" fillId="0" borderId="2" xfId="0" applyNumberFormat="1" applyFont="1" applyBorder="1" applyAlignment="1">
      <alignment horizontal="center" vertical="center" wrapText="1"/>
    </xf>
    <xf numFmtId="2" fontId="95" fillId="0" borderId="2" xfId="0" applyNumberFormat="1" applyFont="1" applyBorder="1" applyAlignment="1">
      <alignment horizontal="center" vertical="center"/>
    </xf>
    <xf numFmtId="0" fontId="120" fillId="0" borderId="3" xfId="0" applyFont="1" applyBorder="1" applyAlignment="1">
      <alignment horizontal="center"/>
    </xf>
    <xf numFmtId="2" fontId="95" fillId="0" borderId="3" xfId="0" applyNumberFormat="1" applyFont="1" applyBorder="1" applyAlignment="1">
      <alignment horizontal="center"/>
    </xf>
    <xf numFmtId="2" fontId="95" fillId="0" borderId="3" xfId="0" applyNumberFormat="1" applyFont="1" applyBorder="1" applyAlignment="1">
      <alignment horizontal="center" vertical="center"/>
    </xf>
    <xf numFmtId="2" fontId="95" fillId="0" borderId="4" xfId="0" applyNumberFormat="1" applyFont="1" applyBorder="1" applyAlignment="1">
      <alignment horizontal="center"/>
    </xf>
    <xf numFmtId="2" fontId="95" fillId="0" borderId="4" xfId="0" applyNumberFormat="1" applyFont="1" applyBorder="1" applyAlignment="1">
      <alignment horizontal="center" vertical="center"/>
    </xf>
    <xf numFmtId="0" fontId="120" fillId="0" borderId="0" xfId="0" applyFont="1"/>
    <xf numFmtId="2" fontId="95" fillId="0" borderId="1" xfId="0" applyNumberFormat="1" applyFont="1" applyBorder="1" applyAlignment="1">
      <alignment horizontal="center"/>
    </xf>
    <xf numFmtId="0" fontId="118" fillId="0" borderId="0" xfId="0" applyFont="1" applyAlignment="1">
      <alignment horizontal="right"/>
    </xf>
    <xf numFmtId="2" fontId="121" fillId="0" borderId="2" xfId="0" applyNumberFormat="1" applyFont="1" applyBorder="1" applyAlignment="1">
      <alignment horizontal="center"/>
    </xf>
    <xf numFmtId="2" fontId="121" fillId="0" borderId="3" xfId="0" applyNumberFormat="1" applyFont="1" applyBorder="1" applyAlignment="1">
      <alignment horizontal="center"/>
    </xf>
    <xf numFmtId="2" fontId="121" fillId="0" borderId="4" xfId="0" applyNumberFormat="1" applyFont="1" applyBorder="1" applyAlignment="1">
      <alignment horizontal="center"/>
    </xf>
    <xf numFmtId="0" fontId="122" fillId="0" borderId="0" xfId="0" applyFont="1"/>
    <xf numFmtId="2" fontId="95" fillId="0" borderId="6" xfId="0" applyNumberFormat="1" applyFont="1" applyBorder="1" applyAlignment="1">
      <alignment horizontal="center"/>
    </xf>
    <xf numFmtId="0" fontId="95" fillId="0" borderId="0" xfId="0" applyFont="1"/>
    <xf numFmtId="165" fontId="121" fillId="0" borderId="3" xfId="0" applyNumberFormat="1" applyFont="1" applyBorder="1" applyAlignment="1">
      <alignment horizontal="center"/>
    </xf>
    <xf numFmtId="0" fontId="118" fillId="0" borderId="2" xfId="0" applyFont="1" applyBorder="1" applyAlignment="1">
      <alignment horizontal="center"/>
    </xf>
    <xf numFmtId="0" fontId="118" fillId="0" borderId="3" xfId="0" applyFont="1" applyBorder="1"/>
    <xf numFmtId="2" fontId="95" fillId="0" borderId="4" xfId="0" applyNumberFormat="1" applyFont="1" applyBorder="1" applyAlignment="1">
      <alignment horizontal="center" vertical="center" wrapText="1"/>
    </xf>
    <xf numFmtId="0" fontId="118" fillId="0" borderId="2" xfId="0" applyFont="1" applyBorder="1"/>
    <xf numFmtId="0" fontId="120" fillId="0" borderId="4" xfId="0" applyFont="1" applyBorder="1" applyAlignment="1">
      <alignment horizontal="center" vertical="center" wrapText="1"/>
    </xf>
    <xf numFmtId="0" fontId="124" fillId="0" borderId="0" xfId="0" applyFont="1"/>
    <xf numFmtId="0" fontId="120" fillId="0" borderId="3" xfId="0" applyFont="1" applyBorder="1" applyAlignment="1">
      <alignment horizontal="center" vertical="center" wrapText="1"/>
    </xf>
    <xf numFmtId="0" fontId="51" fillId="0" borderId="2" xfId="0" applyFont="1" applyBorder="1"/>
    <xf numFmtId="2" fontId="95" fillId="0" borderId="3" xfId="0" applyNumberFormat="1" applyFont="1" applyBorder="1" applyAlignment="1">
      <alignment horizontal="center" vertical="center" wrapText="1"/>
    </xf>
    <xf numFmtId="1" fontId="95" fillId="0" borderId="2" xfId="0" applyNumberFormat="1" applyFont="1" applyBorder="1" applyAlignment="1">
      <alignment horizontal="center"/>
    </xf>
    <xf numFmtId="0" fontId="118" fillId="0" borderId="3" xfId="0" applyFont="1" applyBorder="1" applyAlignment="1">
      <alignment horizontal="center" vertical="center" wrapText="1"/>
    </xf>
    <xf numFmtId="0" fontId="118" fillId="0" borderId="3" xfId="0" applyFont="1" applyBorder="1" applyAlignment="1">
      <alignment horizontal="center"/>
    </xf>
    <xf numFmtId="0" fontId="51" fillId="0" borderId="3" xfId="0" applyFont="1" applyBorder="1"/>
    <xf numFmtId="0" fontId="121" fillId="0" borderId="0" xfId="0" applyFont="1" applyAlignment="1">
      <alignment horizontal="center"/>
    </xf>
    <xf numFmtId="165" fontId="121" fillId="0" borderId="4" xfId="0" applyNumberFormat="1" applyFont="1" applyBorder="1" applyAlignment="1">
      <alignment horizontal="center"/>
    </xf>
    <xf numFmtId="0" fontId="118" fillId="0" borderId="8" xfId="0" applyFont="1" applyBorder="1" applyAlignment="1">
      <alignment horizontal="center"/>
    </xf>
    <xf numFmtId="0" fontId="129" fillId="0" borderId="3" xfId="0" applyFont="1" applyBorder="1" applyAlignment="1">
      <alignment horizontal="center" vertical="center" wrapText="1"/>
    </xf>
    <xf numFmtId="0" fontId="119" fillId="0" borderId="3" xfId="0" applyFont="1" applyBorder="1" applyAlignment="1">
      <alignment horizontal="center" vertical="center" wrapText="1"/>
    </xf>
    <xf numFmtId="165" fontId="98" fillId="0" borderId="3" xfId="0" applyNumberFormat="1" applyFont="1" applyBorder="1" applyAlignment="1">
      <alignment horizontal="center"/>
    </xf>
    <xf numFmtId="165" fontId="98" fillId="0" borderId="4" xfId="0" applyNumberFormat="1" applyFont="1" applyBorder="1" applyAlignment="1">
      <alignment horizontal="center"/>
    </xf>
    <xf numFmtId="0" fontId="118" fillId="0" borderId="8" xfId="0" applyFont="1" applyBorder="1"/>
    <xf numFmtId="0" fontId="118" fillId="0" borderId="0" xfId="0" applyFont="1" applyAlignment="1">
      <alignment horizontal="center"/>
    </xf>
    <xf numFmtId="2" fontId="95" fillId="0" borderId="12" xfId="0" applyNumberFormat="1" applyFont="1" applyBorder="1" applyAlignment="1">
      <alignment horizontal="center"/>
    </xf>
    <xf numFmtId="0" fontId="65" fillId="4" borderId="1" xfId="0" applyFont="1" applyFill="1" applyBorder="1" applyAlignment="1">
      <alignment wrapText="1"/>
    </xf>
    <xf numFmtId="0" fontId="65" fillId="4" borderId="1" xfId="0" applyFont="1" applyFill="1" applyBorder="1"/>
    <xf numFmtId="0" fontId="49" fillId="0" borderId="1" xfId="0" applyFont="1" applyBorder="1" applyAlignment="1">
      <alignment vertical="top" wrapText="1"/>
    </xf>
    <xf numFmtId="0" fontId="56" fillId="0" borderId="3" xfId="0" applyFont="1" applyBorder="1" applyAlignment="1">
      <alignment horizontal="center"/>
    </xf>
    <xf numFmtId="0" fontId="132" fillId="0" borderId="0" xfId="0" applyFont="1" applyAlignment="1">
      <alignment horizontal="center"/>
    </xf>
    <xf numFmtId="0" fontId="133" fillId="0" borderId="0" xfId="0" applyFont="1"/>
    <xf numFmtId="0" fontId="134" fillId="0" borderId="0" xfId="0" applyFont="1" applyAlignment="1">
      <alignment horizontal="center"/>
    </xf>
    <xf numFmtId="4" fontId="105" fillId="0" borderId="0" xfId="0" applyNumberFormat="1" applyFont="1" applyAlignment="1">
      <alignment horizontal="center"/>
    </xf>
    <xf numFmtId="0" fontId="15" fillId="0" borderId="0" xfId="0" applyFont="1"/>
    <xf numFmtId="0" fontId="64" fillId="0" borderId="0" xfId="0" applyFont="1" applyAlignment="1">
      <alignment horizontal="left"/>
    </xf>
    <xf numFmtId="0" fontId="0" fillId="0" borderId="3" xfId="0" applyBorder="1" applyAlignment="1">
      <alignment horizontal="center" vertical="center"/>
    </xf>
    <xf numFmtId="2" fontId="7" fillId="0" borderId="1" xfId="1" applyNumberFormat="1" applyFont="1" applyBorder="1" applyAlignment="1">
      <alignment horizontal="center"/>
    </xf>
    <xf numFmtId="2" fontId="28" fillId="0" borderId="7" xfId="0" quotePrefix="1" applyNumberFormat="1" applyFont="1" applyBorder="1" applyAlignment="1">
      <alignment horizontal="left"/>
    </xf>
    <xf numFmtId="2" fontId="7" fillId="0" borderId="2" xfId="1" applyNumberFormat="1" applyFont="1" applyBorder="1" applyAlignment="1">
      <alignment horizontal="center"/>
    </xf>
    <xf numFmtId="2" fontId="7" fillId="0" borderId="4" xfId="1" applyNumberFormat="1" applyFont="1" applyBorder="1" applyAlignment="1">
      <alignment horizontal="center"/>
    </xf>
    <xf numFmtId="2" fontId="7" fillId="0" borderId="3" xfId="1" applyNumberFormat="1" applyFont="1" applyBorder="1" applyAlignment="1">
      <alignment horizontal="center"/>
    </xf>
    <xf numFmtId="0" fontId="136" fillId="0" borderId="4" xfId="0" applyFont="1" applyBorder="1" applyAlignment="1">
      <alignment horizontal="center"/>
    </xf>
    <xf numFmtId="0" fontId="21" fillId="0" borderId="11" xfId="0" applyFont="1" applyBorder="1" applyAlignment="1">
      <alignment horizontal="center"/>
    </xf>
    <xf numFmtId="0" fontId="21" fillId="0" borderId="8" xfId="0" applyFont="1" applyBorder="1" applyAlignment="1">
      <alignment vertical="center"/>
    </xf>
    <xf numFmtId="0" fontId="21" fillId="0" borderId="1" xfId="0" applyFont="1" applyBorder="1" applyAlignment="1">
      <alignment vertical="center"/>
    </xf>
    <xf numFmtId="166" fontId="22" fillId="0" borderId="1" xfId="0" applyNumberFormat="1" applyFont="1" applyBorder="1" applyAlignment="1">
      <alignment horizontal="center"/>
    </xf>
    <xf numFmtId="0" fontId="21" fillId="0" borderId="1" xfId="0" quotePrefix="1" applyFont="1" applyBorder="1" applyAlignment="1">
      <alignment horizontal="center" vertical="center" wrapText="1"/>
    </xf>
    <xf numFmtId="164" fontId="22" fillId="0" borderId="1" xfId="0" applyNumberFormat="1" applyFont="1" applyBorder="1" applyAlignment="1">
      <alignment horizontal="center" vertical="center"/>
    </xf>
    <xf numFmtId="0" fontId="5" fillId="0" borderId="8" xfId="0" quotePrefix="1" applyFont="1" applyBorder="1" applyAlignment="1">
      <alignment horizontal="center"/>
    </xf>
    <xf numFmtId="166" fontId="23" fillId="0" borderId="4" xfId="0" applyNumberFormat="1" applyFont="1" applyBorder="1" applyAlignment="1">
      <alignment horizontal="center"/>
    </xf>
    <xf numFmtId="0" fontId="141" fillId="0" borderId="2" xfId="0" applyFont="1" applyBorder="1" applyAlignment="1">
      <alignment horizontal="center"/>
    </xf>
    <xf numFmtId="0" fontId="5" fillId="0" borderId="3" xfId="0" quotePrefix="1" applyFont="1" applyBorder="1" applyAlignment="1">
      <alignment horizontal="center"/>
    </xf>
    <xf numFmtId="0" fontId="21" fillId="0" borderId="1" xfId="0" applyFont="1" applyBorder="1" applyAlignment="1">
      <alignment vertical="center" wrapText="1"/>
    </xf>
    <xf numFmtId="0" fontId="143" fillId="0" borderId="0" xfId="0" applyFont="1"/>
    <xf numFmtId="1" fontId="144" fillId="0" borderId="1" xfId="0" applyNumberFormat="1" applyFont="1" applyBorder="1" applyAlignment="1">
      <alignment horizontal="center"/>
    </xf>
    <xf numFmtId="0" fontId="141" fillId="0" borderId="1" xfId="0" applyFont="1" applyBorder="1" applyAlignment="1">
      <alignment horizontal="center" vertical="center" wrapText="1"/>
    </xf>
    <xf numFmtId="0" fontId="141" fillId="0" borderId="2" xfId="0" applyFont="1" applyBorder="1" applyAlignment="1">
      <alignment horizontal="center" vertical="center" wrapText="1"/>
    </xf>
    <xf numFmtId="2" fontId="144" fillId="0" borderId="2" xfId="0" applyNumberFormat="1" applyFont="1" applyBorder="1" applyAlignment="1">
      <alignment horizontal="center" vertical="center" wrapText="1"/>
    </xf>
    <xf numFmtId="2" fontId="144" fillId="0" borderId="2" xfId="0" applyNumberFormat="1" applyFont="1" applyBorder="1" applyAlignment="1">
      <alignment horizontal="center"/>
    </xf>
    <xf numFmtId="2" fontId="144" fillId="0" borderId="2" xfId="0" applyNumberFormat="1" applyFont="1" applyBorder="1" applyAlignment="1">
      <alignment horizontal="center" vertical="center"/>
    </xf>
    <xf numFmtId="0" fontId="141" fillId="0" borderId="3" xfId="0" applyFont="1" applyBorder="1" applyAlignment="1">
      <alignment horizontal="center"/>
    </xf>
    <xf numFmtId="2" fontId="144" fillId="0" borderId="3" xfId="0" applyNumberFormat="1" applyFont="1" applyBorder="1" applyAlignment="1">
      <alignment horizontal="center"/>
    </xf>
    <xf numFmtId="2" fontId="144" fillId="0" borderId="3" xfId="0" applyNumberFormat="1" applyFont="1" applyBorder="1" applyAlignment="1">
      <alignment horizontal="center" vertical="center"/>
    </xf>
    <xf numFmtId="0" fontId="145" fillId="0" borderId="2" xfId="0" applyFont="1" applyBorder="1" applyAlignment="1">
      <alignment horizontal="center"/>
    </xf>
    <xf numFmtId="0" fontId="141" fillId="0" borderId="4" xfId="0" applyFont="1" applyBorder="1" applyAlignment="1">
      <alignment horizontal="center"/>
    </xf>
    <xf numFmtId="166" fontId="145" fillId="0" borderId="4" xfId="0" applyNumberFormat="1" applyFont="1" applyBorder="1" applyAlignment="1">
      <alignment horizontal="center"/>
    </xf>
    <xf numFmtId="2" fontId="144" fillId="0" borderId="4" xfId="0" applyNumberFormat="1" applyFont="1" applyBorder="1" applyAlignment="1">
      <alignment horizontal="center"/>
    </xf>
    <xf numFmtId="2" fontId="144" fillId="0" borderId="4" xfId="0" applyNumberFormat="1" applyFont="1" applyBorder="1" applyAlignment="1">
      <alignment horizontal="center" vertical="center"/>
    </xf>
    <xf numFmtId="0" fontId="141" fillId="0" borderId="0" xfId="0" applyFont="1"/>
    <xf numFmtId="2" fontId="144" fillId="0" borderId="1" xfId="0" applyNumberFormat="1" applyFont="1" applyBorder="1" applyAlignment="1">
      <alignment horizontal="center"/>
    </xf>
    <xf numFmtId="0" fontId="143" fillId="0" borderId="0" xfId="0" applyFont="1" applyAlignment="1">
      <alignment horizontal="right"/>
    </xf>
    <xf numFmtId="0" fontId="145" fillId="0" borderId="0" xfId="0" applyFont="1" applyAlignment="1">
      <alignment horizontal="center"/>
    </xf>
    <xf numFmtId="2" fontId="145" fillId="0" borderId="2" xfId="0" applyNumberFormat="1" applyFont="1" applyBorder="1" applyAlignment="1">
      <alignment horizontal="center"/>
    </xf>
    <xf numFmtId="2" fontId="145" fillId="0" borderId="3" xfId="0" applyNumberFormat="1" applyFont="1" applyBorder="1" applyAlignment="1">
      <alignment horizontal="center"/>
    </xf>
    <xf numFmtId="2" fontId="145" fillId="0" borderId="4" xfId="0" applyNumberFormat="1" applyFont="1" applyBorder="1" applyAlignment="1">
      <alignment horizontal="center"/>
    </xf>
    <xf numFmtId="0" fontId="143" fillId="0" borderId="0" xfId="0" applyFont="1" applyAlignment="1">
      <alignment horizontal="center"/>
    </xf>
    <xf numFmtId="0" fontId="146" fillId="0" borderId="0" xfId="0" applyFont="1"/>
    <xf numFmtId="2" fontId="144" fillId="0" borderId="6" xfId="0" applyNumberFormat="1" applyFont="1" applyBorder="1" applyAlignment="1">
      <alignment horizontal="center"/>
    </xf>
    <xf numFmtId="0" fontId="144" fillId="0" borderId="0" xfId="0" applyFont="1" applyAlignment="1">
      <alignment horizontal="right"/>
    </xf>
    <xf numFmtId="0" fontId="144" fillId="0" borderId="0" xfId="0" applyFont="1" applyAlignment="1">
      <alignment horizontal="center"/>
    </xf>
    <xf numFmtId="0" fontId="144" fillId="0" borderId="0" xfId="0" applyFont="1"/>
    <xf numFmtId="0" fontId="147" fillId="0" borderId="0" xfId="0" applyFont="1"/>
    <xf numFmtId="165" fontId="145" fillId="0" borderId="2" xfId="0" applyNumberFormat="1" applyFont="1" applyBorder="1" applyAlignment="1">
      <alignment horizontal="center"/>
    </xf>
    <xf numFmtId="165" fontId="145" fillId="0" borderId="3" xfId="0" applyNumberFormat="1" applyFont="1" applyBorder="1" applyAlignment="1">
      <alignment horizontal="center"/>
    </xf>
    <xf numFmtId="0" fontId="141" fillId="0" borderId="3" xfId="0" applyFont="1" applyBorder="1" applyAlignment="1">
      <alignment horizontal="center" vertical="center"/>
    </xf>
    <xf numFmtId="0" fontId="145" fillId="0" borderId="3" xfId="0" applyFont="1" applyBorder="1" applyAlignment="1">
      <alignment horizontal="center"/>
    </xf>
    <xf numFmtId="0" fontId="141" fillId="0" borderId="4" xfId="0" applyFont="1" applyBorder="1" applyAlignment="1">
      <alignment horizontal="center" vertical="center"/>
    </xf>
    <xf numFmtId="0" fontId="150" fillId="0" borderId="0" xfId="0" applyFont="1"/>
    <xf numFmtId="0" fontId="138" fillId="0" borderId="0" xfId="0" applyFont="1" applyAlignment="1">
      <alignment horizontal="center"/>
    </xf>
    <xf numFmtId="0" fontId="141" fillId="0" borderId="0" xfId="0" applyFont="1" applyAlignment="1">
      <alignment horizontal="center"/>
    </xf>
    <xf numFmtId="0" fontId="140" fillId="0" borderId="0" xfId="0" applyFont="1" applyAlignment="1">
      <alignment horizontal="center"/>
    </xf>
    <xf numFmtId="0" fontId="146" fillId="0" borderId="4" xfId="0" applyFont="1" applyBorder="1" applyAlignment="1">
      <alignment horizontal="center" vertical="center"/>
    </xf>
    <xf numFmtId="0" fontId="143" fillId="0" borderId="3" xfId="0" applyFont="1" applyBorder="1"/>
    <xf numFmtId="2" fontId="144" fillId="0" borderId="0" xfId="0" applyNumberFormat="1" applyFont="1" applyAlignment="1">
      <alignment horizontal="center"/>
    </xf>
    <xf numFmtId="1" fontId="23" fillId="9" borderId="1" xfId="0" applyNumberFormat="1" applyFont="1" applyFill="1" applyBorder="1" applyAlignment="1">
      <alignment horizontal="center"/>
    </xf>
    <xf numFmtId="2" fontId="151" fillId="0" borderId="0" xfId="0" applyNumberFormat="1" applyFont="1" applyAlignment="1">
      <alignment horizontal="center"/>
    </xf>
    <xf numFmtId="2" fontId="152" fillId="0" borderId="4" xfId="0" applyNumberFormat="1" applyFont="1" applyBorder="1" applyAlignment="1">
      <alignment horizontal="center"/>
    </xf>
    <xf numFmtId="0" fontId="147" fillId="0" borderId="0" xfId="0" applyFont="1" applyAlignment="1">
      <alignment horizontal="left" vertical="center"/>
    </xf>
    <xf numFmtId="0" fontId="140" fillId="0" borderId="0" xfId="0" applyFont="1" applyAlignment="1">
      <alignment horizontal="center" vertical="center"/>
    </xf>
    <xf numFmtId="0" fontId="5" fillId="0" borderId="2" xfId="0" applyFont="1" applyBorder="1" applyAlignment="1">
      <alignment horizontal="center" vertical="top" wrapText="1"/>
    </xf>
    <xf numFmtId="2" fontId="10" fillId="0" borderId="2" xfId="0" applyNumberFormat="1" applyFont="1" applyBorder="1"/>
    <xf numFmtId="2" fontId="16" fillId="0" borderId="4" xfId="0" applyNumberFormat="1" applyFont="1" applyBorder="1" applyAlignment="1">
      <alignment horizontal="center"/>
    </xf>
    <xf numFmtId="2" fontId="144" fillId="0" borderId="2" xfId="0" applyNumberFormat="1" applyFont="1" applyBorder="1" applyAlignment="1">
      <alignment horizontal="center" wrapText="1"/>
    </xf>
    <xf numFmtId="2" fontId="5" fillId="0" borderId="4" xfId="0" applyNumberFormat="1" applyFont="1" applyBorder="1" applyAlignment="1">
      <alignment horizontal="center"/>
    </xf>
    <xf numFmtId="0" fontId="5" fillId="0" borderId="4" xfId="0" applyFont="1" applyBorder="1" applyAlignment="1">
      <alignment horizontal="center" vertical="center" wrapText="1"/>
    </xf>
    <xf numFmtId="0" fontId="5" fillId="0" borderId="4" xfId="0" applyFont="1" applyBorder="1" applyAlignment="1">
      <alignment horizontal="center" wrapText="1"/>
    </xf>
    <xf numFmtId="0" fontId="22" fillId="0" borderId="3" xfId="0" quotePrefix="1" applyFont="1" applyBorder="1" applyAlignment="1">
      <alignment horizontal="center"/>
    </xf>
    <xf numFmtId="0" fontId="19" fillId="0" borderId="4" xfId="0" applyFont="1" applyBorder="1" applyAlignment="1">
      <alignment horizontal="center"/>
    </xf>
    <xf numFmtId="165" fontId="22" fillId="0" borderId="1" xfId="0" applyNumberFormat="1" applyFont="1" applyBorder="1" applyAlignment="1">
      <alignment horizontal="center"/>
    </xf>
    <xf numFmtId="2" fontId="23" fillId="0" borderId="2" xfId="0" applyNumberFormat="1" applyFont="1" applyBorder="1"/>
    <xf numFmtId="0" fontId="19" fillId="0" borderId="4" xfId="0" applyFont="1" applyBorder="1" applyAlignment="1">
      <alignment horizontal="center" vertical="center" wrapText="1"/>
    </xf>
    <xf numFmtId="165" fontId="22" fillId="0" borderId="1" xfId="0" applyNumberFormat="1" applyFont="1" applyBorder="1" applyAlignment="1">
      <alignment horizontal="center" vertical="center"/>
    </xf>
    <xf numFmtId="0" fontId="11" fillId="0" borderId="0" xfId="0" applyFont="1"/>
    <xf numFmtId="2" fontId="7" fillId="0" borderId="3" xfId="1" applyNumberFormat="1" applyFont="1" applyFill="1" applyBorder="1" applyAlignment="1">
      <alignment horizontal="center"/>
    </xf>
    <xf numFmtId="2" fontId="23" fillId="0" borderId="9" xfId="0" applyNumberFormat="1" applyFont="1" applyBorder="1" applyAlignment="1">
      <alignment horizontal="center"/>
    </xf>
    <xf numFmtId="2" fontId="7" fillId="0" borderId="1" xfId="1" applyNumberFormat="1" applyFont="1" applyFill="1" applyBorder="1" applyAlignment="1">
      <alignment horizontal="center"/>
    </xf>
    <xf numFmtId="2" fontId="22" fillId="0" borderId="1" xfId="0" applyNumberFormat="1" applyFont="1" applyBorder="1" applyAlignment="1">
      <alignment horizontal="center" vertical="center"/>
    </xf>
    <xf numFmtId="0" fontId="18" fillId="0" borderId="4" xfId="0" applyFont="1" applyBorder="1" applyAlignment="1">
      <alignment horizontal="center"/>
    </xf>
    <xf numFmtId="2" fontId="11" fillId="0" borderId="4" xfId="0" applyNumberFormat="1" applyFont="1" applyBorder="1" applyAlignment="1">
      <alignment horizontal="center"/>
    </xf>
    <xf numFmtId="0" fontId="19" fillId="0" borderId="4" xfId="0" applyFont="1" applyBorder="1" applyAlignment="1">
      <alignment horizontal="justify" vertical="top" wrapText="1"/>
    </xf>
    <xf numFmtId="0" fontId="4" fillId="0" borderId="4" xfId="0" applyFont="1" applyBorder="1" applyAlignment="1">
      <alignment horizontal="justify" vertical="top" wrapText="1"/>
    </xf>
    <xf numFmtId="2" fontId="5" fillId="0" borderId="1" xfId="0" applyNumberFormat="1" applyFont="1" applyBorder="1" applyAlignment="1">
      <alignment horizontal="center"/>
    </xf>
    <xf numFmtId="2" fontId="22" fillId="0" borderId="3" xfId="1" applyNumberFormat="1" applyFont="1" applyBorder="1" applyAlignment="1">
      <alignment horizontal="center"/>
    </xf>
    <xf numFmtId="2" fontId="22" fillId="0" borderId="4" xfId="1" applyNumberFormat="1" applyFont="1" applyBorder="1" applyAlignment="1">
      <alignment horizontal="center"/>
    </xf>
    <xf numFmtId="0" fontId="146" fillId="0" borderId="4" xfId="0" applyFont="1" applyBorder="1" applyAlignment="1">
      <alignment horizontal="center"/>
    </xf>
    <xf numFmtId="0" fontId="5" fillId="0" borderId="14" xfId="0" applyFont="1" applyBorder="1" applyAlignment="1">
      <alignment horizontal="center"/>
    </xf>
    <xf numFmtId="0" fontId="18" fillId="0" borderId="11" xfId="0" applyFont="1" applyBorder="1"/>
    <xf numFmtId="0" fontId="18" fillId="0" borderId="11" xfId="0" applyFont="1" applyBorder="1" applyAlignment="1">
      <alignment horizontal="center"/>
    </xf>
    <xf numFmtId="1" fontId="23" fillId="0" borderId="1" xfId="0" quotePrefix="1" applyNumberFormat="1" applyFont="1" applyBorder="1" applyAlignment="1">
      <alignment horizontal="center"/>
    </xf>
    <xf numFmtId="0" fontId="0" fillId="0" borderId="1" xfId="0" applyBorder="1" applyAlignment="1">
      <alignment horizontal="center"/>
    </xf>
    <xf numFmtId="0" fontId="18" fillId="0" borderId="1" xfId="0" applyFont="1" applyBorder="1" applyAlignment="1">
      <alignment horizontal="left" wrapText="1"/>
    </xf>
    <xf numFmtId="2" fontId="145" fillId="0" borderId="2" xfId="0" quotePrefix="1" applyNumberFormat="1" applyFont="1" applyBorder="1" applyAlignment="1">
      <alignment horizontal="center"/>
    </xf>
    <xf numFmtId="1" fontId="25" fillId="0" borderId="4" xfId="0" applyNumberFormat="1" applyFont="1" applyBorder="1" applyAlignment="1">
      <alignment horizontal="center"/>
    </xf>
    <xf numFmtId="2" fontId="5" fillId="0" borderId="2" xfId="0" applyNumberFormat="1" applyFont="1" applyBorder="1"/>
    <xf numFmtId="43" fontId="22" fillId="0" borderId="2" xfId="1" applyFont="1" applyBorder="1" applyAlignment="1">
      <alignment horizontal="center"/>
    </xf>
    <xf numFmtId="0" fontId="49" fillId="0" borderId="4" xfId="0" applyFont="1" applyBorder="1" applyAlignment="1">
      <alignment horizontal="center" vertical="center" wrapText="1"/>
    </xf>
    <xf numFmtId="0" fontId="24" fillId="0" borderId="4" xfId="0" applyFont="1" applyBorder="1" applyAlignment="1">
      <alignment horizontal="center"/>
    </xf>
    <xf numFmtId="0" fontId="21" fillId="0" borderId="1" xfId="0" quotePrefix="1" applyFont="1" applyBorder="1" applyAlignment="1">
      <alignment horizontal="center"/>
    </xf>
    <xf numFmtId="2" fontId="22" fillId="0" borderId="2" xfId="1" applyNumberFormat="1" applyFont="1" applyBorder="1" applyAlignment="1">
      <alignment horizontal="center"/>
    </xf>
    <xf numFmtId="0" fontId="140" fillId="0" borderId="2" xfId="0" applyFont="1" applyBorder="1" applyAlignment="1">
      <alignment horizontal="center"/>
    </xf>
    <xf numFmtId="164" fontId="22" fillId="0" borderId="3" xfId="0" applyNumberFormat="1" applyFont="1" applyBorder="1" applyAlignment="1">
      <alignment horizontal="center"/>
    </xf>
    <xf numFmtId="1" fontId="7" fillId="0" borderId="4" xfId="0" applyNumberFormat="1" applyFont="1" applyBorder="1" applyAlignment="1">
      <alignment horizontal="center"/>
    </xf>
    <xf numFmtId="0" fontId="105" fillId="0" borderId="1" xfId="0" applyFont="1" applyBorder="1"/>
    <xf numFmtId="2" fontId="155" fillId="10" borderId="33" xfId="0" applyNumberFormat="1" applyFont="1" applyFill="1" applyBorder="1" applyAlignment="1">
      <alignment horizontal="center"/>
    </xf>
    <xf numFmtId="0" fontId="16" fillId="0" borderId="3" xfId="0" applyFont="1" applyBorder="1" applyAlignment="1">
      <alignment horizontal="center" wrapText="1"/>
    </xf>
    <xf numFmtId="165" fontId="22" fillId="0" borderId="3" xfId="0" applyNumberFormat="1" applyFont="1" applyBorder="1" applyAlignment="1">
      <alignment horizontal="center" vertical="center"/>
    </xf>
    <xf numFmtId="2" fontId="84" fillId="0" borderId="1" xfId="0" applyNumberFormat="1" applyFont="1" applyBorder="1"/>
    <xf numFmtId="2" fontId="15" fillId="0" borderId="0" xfId="0" applyNumberFormat="1" applyFont="1"/>
    <xf numFmtId="2" fontId="155" fillId="10" borderId="0" xfId="0" applyNumberFormat="1" applyFont="1" applyFill="1" applyAlignment="1">
      <alignment horizontal="center"/>
    </xf>
    <xf numFmtId="2" fontId="155" fillId="0" borderId="0" xfId="0" applyNumberFormat="1" applyFont="1" applyAlignment="1">
      <alignment horizontal="center"/>
    </xf>
    <xf numFmtId="0" fontId="131" fillId="0" borderId="0" xfId="0" applyFont="1"/>
    <xf numFmtId="0" fontId="157" fillId="0" borderId="0" xfId="0" applyFont="1"/>
    <xf numFmtId="2" fontId="158" fillId="0" borderId="33" xfId="0" applyNumberFormat="1" applyFont="1" applyBorder="1" applyAlignment="1">
      <alignment horizontal="center"/>
    </xf>
    <xf numFmtId="0" fontId="8" fillId="0" borderId="1" xfId="0" applyFont="1" applyBorder="1" applyAlignment="1">
      <alignment horizontal="left" wrapText="1"/>
    </xf>
    <xf numFmtId="0" fontId="56" fillId="0" borderId="3" xfId="0" applyFont="1" applyBorder="1" applyAlignment="1">
      <alignment horizontal="center" vertical="top" wrapText="1"/>
    </xf>
    <xf numFmtId="0" fontId="24" fillId="0" borderId="3" xfId="0" applyFont="1" applyBorder="1" applyAlignment="1">
      <alignment horizontal="center" vertical="top" wrapText="1"/>
    </xf>
    <xf numFmtId="0" fontId="56" fillId="0" borderId="4" xfId="0" applyFont="1" applyBorder="1" applyAlignment="1">
      <alignment horizontal="center" vertical="top" wrapText="1"/>
    </xf>
    <xf numFmtId="0" fontId="135" fillId="0" borderId="4" xfId="0" applyFont="1" applyBorder="1" applyAlignment="1">
      <alignment horizontal="center"/>
    </xf>
    <xf numFmtId="0" fontId="147" fillId="0" borderId="0" xfId="0" applyFont="1" applyAlignment="1">
      <alignment horizontal="right"/>
    </xf>
    <xf numFmtId="0" fontId="21" fillId="0" borderId="4" xfId="0" applyFont="1" applyBorder="1" applyAlignment="1">
      <alignment horizontal="center" wrapText="1"/>
    </xf>
    <xf numFmtId="0" fontId="8" fillId="0" borderId="4" xfId="0" applyFont="1" applyBorder="1"/>
    <xf numFmtId="0" fontId="71" fillId="0" borderId="0" xfId="0" applyFont="1" applyAlignment="1">
      <alignment horizontal="right"/>
    </xf>
    <xf numFmtId="0" fontId="71" fillId="0" borderId="0" xfId="0" applyFont="1"/>
    <xf numFmtId="0" fontId="24" fillId="0" borderId="4" xfId="0" applyFont="1" applyBorder="1" applyAlignment="1">
      <alignment horizontal="center" vertical="top" wrapText="1"/>
    </xf>
    <xf numFmtId="0" fontId="160" fillId="0" borderId="0" xfId="0" applyFont="1" applyAlignment="1">
      <alignment horizontal="right"/>
    </xf>
    <xf numFmtId="2" fontId="10" fillId="0" borderId="0" xfId="0" applyNumberFormat="1" applyFont="1" applyAlignment="1">
      <alignment horizontal="center"/>
    </xf>
    <xf numFmtId="0" fontId="136" fillId="0" borderId="3" xfId="0" applyFont="1" applyBorder="1" applyAlignment="1">
      <alignment horizontal="center"/>
    </xf>
    <xf numFmtId="0" fontId="21" fillId="0" borderId="7" xfId="0" applyFont="1" applyBorder="1" applyAlignment="1">
      <alignment horizontal="right"/>
    </xf>
    <xf numFmtId="0" fontId="162" fillId="0" borderId="0" xfId="0" applyFont="1" applyAlignment="1">
      <alignment horizontal="center"/>
    </xf>
    <xf numFmtId="0" fontId="163" fillId="0" borderId="0" xfId="0" applyFont="1" applyAlignment="1">
      <alignment horizontal="center"/>
    </xf>
    <xf numFmtId="0" fontId="21" fillId="0" borderId="2" xfId="0" applyFont="1" applyBorder="1" applyAlignment="1">
      <alignment vertical="center"/>
    </xf>
    <xf numFmtId="0" fontId="141" fillId="0" borderId="2" xfId="0" applyFont="1" applyBorder="1" applyAlignment="1">
      <alignment horizontal="center" vertical="center"/>
    </xf>
    <xf numFmtId="2" fontId="23" fillId="11" borderId="1" xfId="0" applyNumberFormat="1" applyFont="1" applyFill="1" applyBorder="1" applyAlignment="1">
      <alignment horizontal="center"/>
    </xf>
    <xf numFmtId="2" fontId="16" fillId="0" borderId="0" xfId="0" applyNumberFormat="1" applyFont="1"/>
    <xf numFmtId="9" fontId="0" fillId="0" borderId="0" xfId="0" applyNumberFormat="1"/>
    <xf numFmtId="0" fontId="105" fillId="11" borderId="1" xfId="0" applyFont="1" applyFill="1" applyBorder="1"/>
    <xf numFmtId="0" fontId="9" fillId="0" borderId="0" xfId="0" applyFont="1"/>
    <xf numFmtId="0" fontId="9" fillId="0" borderId="0" xfId="0" applyFont="1" applyAlignment="1">
      <alignment horizontal="center"/>
    </xf>
    <xf numFmtId="0" fontId="4" fillId="0" borderId="1" xfId="0" applyFont="1" applyBorder="1" applyAlignment="1">
      <alignment horizontal="center" vertical="center" wrapText="1"/>
    </xf>
    <xf numFmtId="0" fontId="4" fillId="0" borderId="34" xfId="0" applyFont="1" applyBorder="1" applyAlignment="1">
      <alignment horizontal="center" vertical="center" wrapText="1"/>
    </xf>
    <xf numFmtId="165" fontId="22" fillId="0" borderId="34" xfId="0" applyNumberFormat="1" applyFont="1" applyBorder="1" applyAlignment="1">
      <alignment horizontal="center"/>
    </xf>
    <xf numFmtId="0" fontId="4" fillId="0" borderId="34" xfId="0" applyFont="1" applyBorder="1" applyAlignment="1">
      <alignment horizontal="center"/>
    </xf>
    <xf numFmtId="2" fontId="23" fillId="0" borderId="34" xfId="0" applyNumberFormat="1" applyFont="1" applyBorder="1" applyAlignment="1">
      <alignment horizontal="center" vertical="center" wrapText="1"/>
    </xf>
    <xf numFmtId="2" fontId="23" fillId="0" borderId="34" xfId="0" applyNumberFormat="1" applyFont="1" applyBorder="1" applyAlignment="1">
      <alignment horizontal="center" vertical="center"/>
    </xf>
    <xf numFmtId="0" fontId="4" fillId="0" borderId="35" xfId="0" applyFont="1" applyBorder="1" applyAlignment="1">
      <alignment horizontal="center" vertical="center" wrapText="1"/>
    </xf>
    <xf numFmtId="165" fontId="22" fillId="0" borderId="35" xfId="0" applyNumberFormat="1" applyFont="1" applyBorder="1" applyAlignment="1">
      <alignment horizontal="center"/>
    </xf>
    <xf numFmtId="2" fontId="23" fillId="0" borderId="35" xfId="0" applyNumberFormat="1" applyFont="1" applyBorder="1" applyAlignment="1">
      <alignment horizontal="center" vertical="center" wrapText="1"/>
    </xf>
    <xf numFmtId="2" fontId="23" fillId="0" borderId="35" xfId="0" applyNumberFormat="1" applyFont="1" applyBorder="1" applyAlignment="1">
      <alignment horizontal="center"/>
    </xf>
    <xf numFmtId="2" fontId="23" fillId="0" borderId="35" xfId="0" applyNumberFormat="1" applyFont="1" applyBorder="1" applyAlignment="1">
      <alignment horizontal="center" vertical="center"/>
    </xf>
    <xf numFmtId="0" fontId="3" fillId="0" borderId="35" xfId="0" applyFont="1" applyBorder="1" applyAlignment="1">
      <alignment horizontal="center" vertical="center" wrapText="1"/>
    </xf>
    <xf numFmtId="0" fontId="4" fillId="0" borderId="35" xfId="0" applyFont="1" applyBorder="1" applyAlignment="1">
      <alignment horizontal="center"/>
    </xf>
    <xf numFmtId="2" fontId="22" fillId="0" borderId="35" xfId="0" applyNumberFormat="1" applyFont="1" applyBorder="1" applyAlignment="1">
      <alignment horizontal="center"/>
    </xf>
    <xf numFmtId="0" fontId="23" fillId="0" borderId="35" xfId="0" applyFont="1" applyBorder="1"/>
    <xf numFmtId="0" fontId="4" fillId="0" borderId="35" xfId="0" applyFont="1" applyBorder="1"/>
    <xf numFmtId="0" fontId="4" fillId="0" borderId="36" xfId="0" applyFont="1" applyBorder="1" applyAlignment="1">
      <alignment horizontal="center" vertical="center" wrapText="1"/>
    </xf>
    <xf numFmtId="1" fontId="4" fillId="0" borderId="36" xfId="0" applyNumberFormat="1" applyFont="1" applyBorder="1" applyAlignment="1">
      <alignment horizontal="center"/>
    </xf>
    <xf numFmtId="0" fontId="4" fillId="0" borderId="36" xfId="0" applyFont="1" applyBorder="1" applyAlignment="1">
      <alignment horizontal="center"/>
    </xf>
    <xf numFmtId="2" fontId="23" fillId="0" borderId="36" xfId="0" applyNumberFormat="1" applyFont="1" applyBorder="1" applyAlignment="1">
      <alignment horizontal="center"/>
    </xf>
    <xf numFmtId="2" fontId="23" fillId="0" borderId="36" xfId="0" applyNumberFormat="1" applyFont="1" applyBorder="1" applyAlignment="1">
      <alignment horizontal="center" vertical="center"/>
    </xf>
    <xf numFmtId="0" fontId="4" fillId="0" borderId="0" xfId="0" applyFont="1" applyAlignment="1">
      <alignment horizontal="right"/>
    </xf>
    <xf numFmtId="0" fontId="22" fillId="0" borderId="5" xfId="0" applyFont="1" applyBorder="1" applyAlignment="1">
      <alignment horizontal="center"/>
    </xf>
    <xf numFmtId="2" fontId="10" fillId="0" borderId="1" xfId="0" applyNumberFormat="1" applyFont="1" applyBorder="1" applyAlignment="1">
      <alignment horizontal="center"/>
    </xf>
    <xf numFmtId="0" fontId="18" fillId="0" borderId="2" xfId="0" applyFont="1" applyBorder="1" applyAlignment="1">
      <alignment horizontal="center" vertical="center" wrapText="1"/>
    </xf>
    <xf numFmtId="0" fontId="18" fillId="0" borderId="0" xfId="0" applyFont="1" applyAlignment="1">
      <alignment horizontal="center"/>
    </xf>
    <xf numFmtId="0" fontId="165" fillId="0" borderId="0" xfId="0" applyFont="1"/>
    <xf numFmtId="2" fontId="105" fillId="11" borderId="0" xfId="0" applyNumberFormat="1" applyFont="1" applyFill="1"/>
    <xf numFmtId="166" fontId="23" fillId="0" borderId="1" xfId="0" applyNumberFormat="1" applyFont="1" applyBorder="1" applyAlignment="1">
      <alignment horizontal="center"/>
    </xf>
    <xf numFmtId="43" fontId="168" fillId="0" borderId="0" xfId="1" applyFont="1"/>
    <xf numFmtId="2" fontId="169" fillId="0" borderId="1" xfId="0" applyNumberFormat="1" applyFont="1" applyBorder="1"/>
    <xf numFmtId="0" fontId="168" fillId="0" borderId="0" xfId="0" applyFont="1" applyAlignment="1">
      <alignment horizontal="left" vertical="top" wrapText="1"/>
    </xf>
    <xf numFmtId="43" fontId="168" fillId="0" borderId="0" xfId="1" applyFont="1" applyBorder="1" applyAlignment="1">
      <alignment wrapText="1"/>
    </xf>
    <xf numFmtId="0" fontId="168" fillId="0" borderId="0" xfId="0" applyFont="1"/>
    <xf numFmtId="0" fontId="166" fillId="0" borderId="0" xfId="0" applyFont="1"/>
    <xf numFmtId="0" fontId="170" fillId="0" borderId="0" xfId="0" applyFont="1"/>
    <xf numFmtId="0" fontId="166" fillId="9" borderId="1" xfId="0" applyFont="1" applyFill="1" applyBorder="1"/>
    <xf numFmtId="0" fontId="166" fillId="9" borderId="1" xfId="0" applyFont="1" applyFill="1" applyBorder="1" applyAlignment="1">
      <alignment horizontal="center" wrapText="1"/>
    </xf>
    <xf numFmtId="0" fontId="166" fillId="9" borderId="1" xfId="0" applyFont="1" applyFill="1" applyBorder="1" applyAlignment="1">
      <alignment horizontal="center"/>
    </xf>
    <xf numFmtId="43" fontId="166" fillId="9" borderId="1" xfId="1" applyFont="1" applyFill="1" applyBorder="1"/>
    <xf numFmtId="0" fontId="166" fillId="9" borderId="1" xfId="0" applyFont="1" applyFill="1" applyBorder="1" applyAlignment="1">
      <alignment wrapText="1"/>
    </xf>
    <xf numFmtId="0" fontId="66" fillId="0" borderId="0" xfId="0" applyFont="1"/>
    <xf numFmtId="0" fontId="168" fillId="9" borderId="1" xfId="0" applyFont="1" applyFill="1" applyBorder="1"/>
    <xf numFmtId="0" fontId="168" fillId="0" borderId="0" xfId="0" applyFont="1" applyAlignment="1"/>
    <xf numFmtId="0" fontId="138" fillId="12" borderId="38" xfId="0" applyFont="1" applyFill="1" applyBorder="1"/>
    <xf numFmtId="2" fontId="166" fillId="0" borderId="1" xfId="0" applyNumberFormat="1" applyFont="1" applyBorder="1" applyAlignment="1"/>
    <xf numFmtId="2" fontId="168" fillId="0" borderId="1" xfId="0" applyNumberFormat="1" applyFont="1" applyBorder="1" applyAlignment="1"/>
    <xf numFmtId="2" fontId="168" fillId="0" borderId="1" xfId="1" applyNumberFormat="1" applyFont="1" applyBorder="1" applyAlignment="1"/>
    <xf numFmtId="2" fontId="169" fillId="0" borderId="1" xfId="0" applyNumberFormat="1" applyFont="1" applyBorder="1" applyAlignment="1"/>
    <xf numFmtId="2" fontId="166" fillId="0" borderId="0" xfId="0" applyNumberFormat="1" applyFont="1" applyBorder="1" applyAlignment="1"/>
    <xf numFmtId="2" fontId="168" fillId="0" borderId="0" xfId="0" applyNumberFormat="1" applyFont="1" applyBorder="1" applyAlignment="1"/>
    <xf numFmtId="2" fontId="169" fillId="0" borderId="0" xfId="0" applyNumberFormat="1" applyFont="1" applyBorder="1" applyAlignment="1"/>
    <xf numFmtId="2" fontId="168" fillId="9" borderId="37" xfId="0" applyNumberFormat="1" applyFont="1" applyFill="1" applyBorder="1" applyAlignment="1">
      <alignment horizontal="right"/>
    </xf>
    <xf numFmtId="2" fontId="168" fillId="9" borderId="37" xfId="1" applyNumberFormat="1" applyFont="1" applyFill="1" applyBorder="1" applyAlignment="1">
      <alignment horizontal="right"/>
    </xf>
    <xf numFmtId="0" fontId="80" fillId="9" borderId="37" xfId="0" quotePrefix="1" applyFont="1" applyFill="1" applyBorder="1" applyAlignment="1">
      <alignment wrapText="1"/>
    </xf>
    <xf numFmtId="0" fontId="168" fillId="9" borderId="37" xfId="0" applyFont="1" applyFill="1" applyBorder="1"/>
    <xf numFmtId="0" fontId="172" fillId="9" borderId="37" xfId="0" applyFont="1" applyFill="1" applyBorder="1" applyAlignment="1">
      <alignment wrapText="1"/>
    </xf>
    <xf numFmtId="0" fontId="168" fillId="9" borderId="37" xfId="0" applyFont="1" applyFill="1" applyBorder="1" applyAlignment="1">
      <alignment wrapText="1"/>
    </xf>
    <xf numFmtId="43" fontId="168" fillId="9" borderId="37" xfId="1" applyFont="1" applyFill="1" applyBorder="1" applyAlignment="1">
      <alignment horizontal="right" wrapText="1"/>
    </xf>
    <xf numFmtId="0" fontId="168" fillId="9" borderId="37" xfId="0" applyFont="1" applyFill="1" applyBorder="1" applyAlignment="1">
      <alignment horizontal="right"/>
    </xf>
    <xf numFmtId="0" fontId="66" fillId="9" borderId="37" xfId="0" applyFont="1" applyFill="1" applyBorder="1"/>
    <xf numFmtId="2" fontId="168" fillId="9" borderId="37" xfId="0" applyNumberFormat="1" applyFont="1" applyFill="1" applyBorder="1"/>
    <xf numFmtId="2" fontId="168" fillId="9" borderId="37" xfId="1" applyNumberFormat="1" applyFont="1" applyFill="1" applyBorder="1"/>
    <xf numFmtId="2" fontId="168" fillId="9" borderId="37" xfId="0" applyNumberFormat="1" applyFont="1" applyFill="1" applyBorder="1" applyAlignment="1">
      <alignment horizontal="center"/>
    </xf>
    <xf numFmtId="0" fontId="168" fillId="9" borderId="37" xfId="0" applyFont="1" applyFill="1" applyBorder="1" applyAlignment="1">
      <alignment horizontal="right" vertical="top"/>
    </xf>
    <xf numFmtId="0" fontId="173" fillId="9" borderId="37" xfId="0" applyFont="1" applyFill="1" applyBorder="1" applyAlignment="1">
      <alignment vertical="center" wrapText="1"/>
    </xf>
    <xf numFmtId="0" fontId="171" fillId="9" borderId="37" xfId="0" applyFont="1" applyFill="1" applyBorder="1"/>
    <xf numFmtId="0" fontId="139" fillId="9" borderId="37" xfId="0" applyFont="1" applyFill="1" applyBorder="1" applyAlignment="1">
      <alignment vertical="center" wrapText="1"/>
    </xf>
    <xf numFmtId="0" fontId="173" fillId="9" borderId="37" xfId="0" applyFont="1" applyFill="1" applyBorder="1" applyAlignment="1">
      <alignment vertical="center"/>
    </xf>
    <xf numFmtId="2" fontId="168" fillId="9" borderId="37" xfId="0" applyNumberFormat="1" applyFont="1" applyFill="1" applyBorder="1" applyAlignment="1">
      <alignment horizontal="right" vertical="top"/>
    </xf>
    <xf numFmtId="0" fontId="166" fillId="9" borderId="37" xfId="0" applyFont="1" applyFill="1" applyBorder="1" applyAlignment="1">
      <alignment horizontal="center" wrapText="1"/>
    </xf>
    <xf numFmtId="0" fontId="166" fillId="9" borderId="37" xfId="0" applyFont="1" applyFill="1" applyBorder="1" applyAlignment="1">
      <alignment vertical="center"/>
    </xf>
    <xf numFmtId="2" fontId="168" fillId="9" borderId="37" xfId="5" applyNumberFormat="1" applyFont="1" applyFill="1" applyBorder="1" applyAlignment="1">
      <alignment horizontal="center"/>
    </xf>
    <xf numFmtId="0" fontId="166" fillId="9" borderId="37" xfId="0" applyFont="1" applyFill="1" applyBorder="1" applyAlignment="1">
      <alignment horizontal="right" vertical="top" wrapText="1"/>
    </xf>
    <xf numFmtId="2" fontId="166" fillId="9" borderId="37" xfId="0" applyNumberFormat="1" applyFont="1" applyFill="1" applyBorder="1" applyAlignment="1">
      <alignment horizontal="right"/>
    </xf>
    <xf numFmtId="166" fontId="168" fillId="9" borderId="37" xfId="0" applyNumberFormat="1" applyFont="1" applyFill="1" applyBorder="1" applyAlignment="1">
      <alignment horizontal="right"/>
    </xf>
    <xf numFmtId="0" fontId="168" fillId="9" borderId="37" xfId="0" applyFont="1" applyFill="1" applyBorder="1" applyAlignment="1">
      <alignment horizontal="right" vertical="top" wrapText="1"/>
    </xf>
    <xf numFmtId="166" fontId="168" fillId="9" borderId="39" xfId="0" applyNumberFormat="1" applyFont="1" applyFill="1" applyBorder="1" applyAlignment="1">
      <alignment horizontal="right"/>
    </xf>
    <xf numFmtId="0" fontId="172" fillId="9" borderId="39" xfId="0" applyFont="1" applyFill="1" applyBorder="1" applyAlignment="1">
      <alignment wrapText="1"/>
    </xf>
    <xf numFmtId="2" fontId="168" fillId="9" borderId="39" xfId="0" applyNumberFormat="1" applyFont="1" applyFill="1" applyBorder="1" applyAlignment="1">
      <alignment horizontal="center"/>
    </xf>
    <xf numFmtId="2" fontId="168" fillId="9" borderId="39" xfId="1" applyNumberFormat="1" applyFont="1" applyFill="1" applyBorder="1"/>
    <xf numFmtId="2" fontId="168" fillId="9" borderId="39" xfId="0" applyNumberFormat="1" applyFont="1" applyFill="1" applyBorder="1"/>
    <xf numFmtId="0" fontId="168" fillId="9" borderId="39" xfId="0" applyFont="1" applyFill="1" applyBorder="1" applyAlignment="1">
      <alignment wrapText="1"/>
    </xf>
    <xf numFmtId="0" fontId="168" fillId="9" borderId="40" xfId="0" applyFont="1" applyFill="1" applyBorder="1"/>
    <xf numFmtId="2" fontId="168" fillId="9" borderId="40" xfId="0" applyNumberFormat="1" applyFont="1" applyFill="1" applyBorder="1" applyAlignment="1">
      <alignment horizontal="right"/>
    </xf>
    <xf numFmtId="2" fontId="166" fillId="9" borderId="40" xfId="0" applyNumberFormat="1" applyFont="1" applyFill="1" applyBorder="1" applyAlignment="1">
      <alignment horizontal="right"/>
    </xf>
    <xf numFmtId="166" fontId="168" fillId="9" borderId="41" xfId="0" applyNumberFormat="1" applyFont="1" applyFill="1" applyBorder="1" applyAlignment="1">
      <alignment horizontal="right"/>
    </xf>
    <xf numFmtId="0" fontId="168" fillId="9" borderId="41" xfId="0" applyFont="1" applyFill="1" applyBorder="1" applyAlignment="1">
      <alignment horizontal="right" vertical="top" wrapText="1"/>
    </xf>
    <xf numFmtId="2" fontId="168" fillId="9" borderId="41" xfId="0" applyNumberFormat="1" applyFont="1" applyFill="1" applyBorder="1" applyAlignment="1">
      <alignment horizontal="center"/>
    </xf>
    <xf numFmtId="2" fontId="168" fillId="9" borderId="41" xfId="1" applyNumberFormat="1" applyFont="1" applyFill="1" applyBorder="1"/>
    <xf numFmtId="2" fontId="168" fillId="9" borderId="41" xfId="0" applyNumberFormat="1" applyFont="1" applyFill="1" applyBorder="1"/>
    <xf numFmtId="2" fontId="168" fillId="9" borderId="41" xfId="1" applyNumberFormat="1" applyFont="1" applyFill="1" applyBorder="1" applyAlignment="1">
      <alignment horizontal="right"/>
    </xf>
    <xf numFmtId="2" fontId="168" fillId="9" borderId="41" xfId="0" applyNumberFormat="1" applyFont="1" applyFill="1" applyBorder="1" applyAlignment="1">
      <alignment horizontal="right"/>
    </xf>
    <xf numFmtId="0" fontId="168" fillId="9" borderId="41" xfId="0" applyFont="1" applyFill="1" applyBorder="1" applyAlignment="1">
      <alignment wrapText="1"/>
    </xf>
    <xf numFmtId="165" fontId="168" fillId="9" borderId="37" xfId="1" applyNumberFormat="1" applyFont="1" applyFill="1" applyBorder="1"/>
    <xf numFmtId="0" fontId="168" fillId="9" borderId="37" xfId="0" applyFont="1" applyFill="1" applyBorder="1" applyAlignment="1">
      <alignment horizontal="right" wrapText="1"/>
    </xf>
    <xf numFmtId="0" fontId="0" fillId="0" borderId="0" xfId="0"/>
    <xf numFmtId="0" fontId="168" fillId="0" borderId="0" xfId="0" applyFont="1" applyAlignment="1">
      <alignment horizontal="center"/>
    </xf>
    <xf numFmtId="0" fontId="167" fillId="0" borderId="0" xfId="0" applyFont="1" applyAlignment="1">
      <alignment horizontal="center"/>
    </xf>
    <xf numFmtId="0" fontId="0" fillId="0" borderId="0" xfId="0"/>
    <xf numFmtId="0" fontId="168" fillId="0" borderId="0" xfId="0" applyFont="1" applyAlignment="1">
      <alignment horizontal="center"/>
    </xf>
    <xf numFmtId="0" fontId="167" fillId="0" borderId="0" xfId="0" applyFont="1" applyAlignment="1">
      <alignment horizontal="center"/>
    </xf>
    <xf numFmtId="43" fontId="166" fillId="9" borderId="40" xfId="1" applyFont="1" applyFill="1" applyBorder="1" applyAlignment="1">
      <alignment horizontal="right"/>
    </xf>
    <xf numFmtId="43" fontId="168" fillId="0" borderId="1" xfId="1" applyFont="1" applyBorder="1" applyAlignment="1"/>
    <xf numFmtId="0" fontId="80" fillId="9" borderId="39" xfId="0" quotePrefix="1" applyFont="1" applyFill="1" applyBorder="1" applyAlignment="1">
      <alignment wrapText="1"/>
    </xf>
    <xf numFmtId="0" fontId="0" fillId="0" borderId="39" xfId="0" applyBorder="1"/>
    <xf numFmtId="0" fontId="0" fillId="0" borderId="37" xfId="0" applyBorder="1"/>
    <xf numFmtId="0" fontId="80" fillId="9" borderId="37" xfId="0" applyFont="1" applyFill="1" applyBorder="1" applyAlignment="1">
      <alignment wrapText="1"/>
    </xf>
    <xf numFmtId="0" fontId="3" fillId="0" borderId="37" xfId="0" applyFont="1" applyBorder="1" applyAlignment="1">
      <alignment horizontal="right"/>
    </xf>
    <xf numFmtId="2" fontId="168" fillId="0" borderId="37" xfId="0" applyNumberFormat="1" applyFont="1" applyBorder="1"/>
    <xf numFmtId="0" fontId="166" fillId="0" borderId="37" xfId="0" applyFont="1" applyBorder="1" applyAlignment="1">
      <alignment horizontal="left" wrapText="1"/>
    </xf>
    <xf numFmtId="2" fontId="168" fillId="0" borderId="37" xfId="0" applyNumberFormat="1" applyFont="1" applyBorder="1" applyAlignment="1">
      <alignment horizontal="center"/>
    </xf>
    <xf numFmtId="2" fontId="168" fillId="0" borderId="37" xfId="1" applyNumberFormat="1" applyFont="1" applyFill="1" applyBorder="1"/>
    <xf numFmtId="0" fontId="168" fillId="0" borderId="37" xfId="0" applyFont="1" applyBorder="1" applyAlignment="1">
      <alignment wrapText="1"/>
    </xf>
    <xf numFmtId="0" fontId="168" fillId="0" borderId="37" xfId="0" applyFont="1" applyBorder="1" applyAlignment="1">
      <alignment horizontal="right"/>
    </xf>
    <xf numFmtId="2" fontId="168" fillId="0" borderId="37" xfId="7" applyNumberFormat="1" applyFont="1" applyBorder="1" applyAlignment="1">
      <alignment horizontal="center"/>
    </xf>
    <xf numFmtId="166" fontId="168" fillId="0" borderId="37" xfId="7" applyNumberFormat="1" applyFont="1" applyBorder="1" applyAlignment="1">
      <alignment horizontal="center"/>
    </xf>
    <xf numFmtId="2" fontId="168" fillId="0" borderId="37" xfId="0" applyNumberFormat="1" applyFont="1" applyBorder="1" applyAlignment="1">
      <alignment horizontal="right"/>
    </xf>
    <xf numFmtId="0" fontId="0" fillId="0" borderId="0" xfId="0"/>
    <xf numFmtId="0" fontId="168" fillId="0" borderId="0" xfId="0" applyFont="1" applyAlignment="1">
      <alignment horizontal="center"/>
    </xf>
    <xf numFmtId="0" fontId="167" fillId="0" borderId="0" xfId="0" applyFont="1" applyAlignment="1">
      <alignment horizontal="center"/>
    </xf>
    <xf numFmtId="0" fontId="0" fillId="0" borderId="0" xfId="0"/>
    <xf numFmtId="0" fontId="168" fillId="0" borderId="0" xfId="0" applyFont="1" applyAlignment="1">
      <alignment horizontal="center"/>
    </xf>
    <xf numFmtId="0" fontId="167" fillId="0" borderId="0" xfId="0" applyFont="1" applyAlignment="1">
      <alignment horizontal="center"/>
    </xf>
    <xf numFmtId="43" fontId="168" fillId="9" borderId="37" xfId="1" applyFont="1" applyFill="1" applyBorder="1" applyAlignment="1">
      <alignment horizontal="right"/>
    </xf>
    <xf numFmtId="43" fontId="168" fillId="9" borderId="37" xfId="1" applyFont="1" applyFill="1" applyBorder="1"/>
    <xf numFmtId="43" fontId="168" fillId="0" borderId="37" xfId="1" applyFont="1" applyFill="1" applyBorder="1"/>
    <xf numFmtId="43" fontId="168" fillId="0" borderId="37" xfId="1" applyFont="1" applyFill="1" applyBorder="1" applyAlignment="1">
      <alignment horizontal="right"/>
    </xf>
    <xf numFmtId="43" fontId="0" fillId="0" borderId="37" xfId="1" applyFont="1" applyBorder="1"/>
    <xf numFmtId="43" fontId="166" fillId="9" borderId="37" xfId="1" applyFont="1" applyFill="1" applyBorder="1" applyAlignment="1">
      <alignment horizontal="right"/>
    </xf>
    <xf numFmtId="0" fontId="0" fillId="0" borderId="0" xfId="0" applyBorder="1"/>
    <xf numFmtId="2" fontId="168" fillId="0" borderId="37" xfId="7" applyNumberFormat="1" applyFont="1" applyBorder="1" applyAlignment="1">
      <alignment horizontal="right"/>
    </xf>
    <xf numFmtId="0" fontId="0" fillId="0" borderId="0" xfId="0"/>
    <xf numFmtId="0" fontId="0" fillId="0" borderId="0" xfId="0"/>
    <xf numFmtId="0" fontId="168" fillId="0" borderId="0" xfId="0" applyFont="1" applyAlignment="1">
      <alignment horizontal="center"/>
    </xf>
    <xf numFmtId="0" fontId="167" fillId="0" borderId="0" xfId="0" applyFont="1" applyAlignment="1">
      <alignment horizontal="center"/>
    </xf>
    <xf numFmtId="0" fontId="0" fillId="0" borderId="0" xfId="0"/>
    <xf numFmtId="0" fontId="168" fillId="0" borderId="0" xfId="0" applyFont="1" applyAlignment="1">
      <alignment horizontal="center"/>
    </xf>
    <xf numFmtId="0" fontId="167" fillId="0" borderId="0" xfId="0" applyFont="1" applyAlignment="1">
      <alignment horizontal="center"/>
    </xf>
    <xf numFmtId="2" fontId="166" fillId="9" borderId="40" xfId="1" applyNumberFormat="1" applyFont="1" applyFill="1" applyBorder="1" applyAlignment="1">
      <alignment horizontal="right"/>
    </xf>
    <xf numFmtId="2" fontId="168" fillId="9" borderId="37" xfId="1" applyNumberFormat="1" applyFont="1" applyFill="1" applyBorder="1" applyAlignment="1">
      <alignment horizontal="left"/>
    </xf>
    <xf numFmtId="0" fontId="168" fillId="0" borderId="37" xfId="0" applyFont="1" applyBorder="1" applyAlignment="1">
      <alignment horizontal="left" wrapText="1"/>
    </xf>
    <xf numFmtId="0" fontId="91" fillId="4" borderId="5" xfId="0" applyFont="1" applyFill="1" applyBorder="1" applyAlignment="1">
      <alignment horizontal="left"/>
    </xf>
    <xf numFmtId="0" fontId="32" fillId="7" borderId="3" xfId="0" applyFont="1" applyFill="1" applyBorder="1" applyAlignment="1">
      <alignment horizontal="center" wrapText="1"/>
    </xf>
    <xf numFmtId="0" fontId="31" fillId="8" borderId="9" xfId="0" applyFont="1" applyFill="1" applyBorder="1" applyAlignment="1">
      <alignment horizontal="center"/>
    </xf>
    <xf numFmtId="0" fontId="31" fillId="8" borderId="5" xfId="0" applyFont="1" applyFill="1" applyBorder="1" applyAlignment="1">
      <alignment horizontal="center"/>
    </xf>
    <xf numFmtId="0" fontId="31" fillId="8" borderId="11" xfId="0" applyFont="1" applyFill="1" applyBorder="1" applyAlignment="1">
      <alignment horizontal="center"/>
    </xf>
    <xf numFmtId="0" fontId="61" fillId="0" borderId="6" xfId="0" applyFont="1" applyBorder="1" applyAlignment="1">
      <alignment horizontal="center"/>
    </xf>
    <xf numFmtId="0" fontId="61" fillId="0" borderId="0" xfId="0" applyFont="1" applyAlignment="1">
      <alignment horizontal="center"/>
    </xf>
    <xf numFmtId="0" fontId="62" fillId="0" borderId="2" xfId="0" applyFont="1" applyBorder="1" applyAlignment="1">
      <alignment horizontal="center" vertical="center"/>
    </xf>
    <xf numFmtId="0" fontId="62" fillId="0" borderId="3" xfId="0" applyFont="1" applyBorder="1" applyAlignment="1">
      <alignment horizontal="center" vertical="center"/>
    </xf>
    <xf numFmtId="0" fontId="62" fillId="0" borderId="4" xfId="0" applyFont="1" applyBorder="1" applyAlignment="1">
      <alignment horizontal="center" vertical="center"/>
    </xf>
    <xf numFmtId="0" fontId="62" fillId="7" borderId="3" xfId="0" applyFont="1" applyFill="1" applyBorder="1" applyAlignment="1">
      <alignment horizontal="center" vertical="center" wrapText="1"/>
    </xf>
    <xf numFmtId="0" fontId="62" fillId="7" borderId="4" xfId="0" applyFont="1" applyFill="1" applyBorder="1" applyAlignment="1">
      <alignment horizontal="center" vertical="center" wrapText="1"/>
    </xf>
    <xf numFmtId="0" fontId="62" fillId="7" borderId="3" xfId="0" applyFont="1" applyFill="1" applyBorder="1" applyAlignment="1">
      <alignment horizontal="center" vertical="center"/>
    </xf>
    <xf numFmtId="0" fontId="62" fillId="7" borderId="4" xfId="0" applyFont="1" applyFill="1" applyBorder="1" applyAlignment="1">
      <alignment horizontal="center" vertical="center"/>
    </xf>
    <xf numFmtId="2" fontId="16" fillId="0" borderId="10" xfId="0" applyNumberFormat="1" applyFont="1" applyBorder="1" applyAlignment="1">
      <alignment horizontal="center" wrapText="1"/>
    </xf>
    <xf numFmtId="2" fontId="16" fillId="0" borderId="0" xfId="0" applyNumberFormat="1" applyFont="1" applyAlignment="1">
      <alignment horizontal="center" wrapText="1"/>
    </xf>
    <xf numFmtId="0" fontId="11" fillId="0" borderId="10" xfId="0" applyFont="1" applyBorder="1" applyAlignment="1">
      <alignment horizontal="center"/>
    </xf>
    <xf numFmtId="0" fontId="11" fillId="0" borderId="0" xfId="0" applyFont="1" applyAlignment="1">
      <alignment horizontal="center"/>
    </xf>
    <xf numFmtId="0" fontId="12" fillId="0" borderId="0" xfId="0" applyFont="1" applyAlignment="1">
      <alignment horizontal="center"/>
    </xf>
    <xf numFmtId="0" fontId="21" fillId="0" borderId="2" xfId="0" applyFont="1" applyBorder="1" applyAlignment="1">
      <alignment vertical="center"/>
    </xf>
    <xf numFmtId="0" fontId="21" fillId="0" borderId="3" xfId="0" applyFont="1" applyBorder="1" applyAlignment="1">
      <alignment vertical="center"/>
    </xf>
    <xf numFmtId="0" fontId="0" fillId="0" borderId="4" xfId="0" applyBorder="1" applyAlignment="1">
      <alignment vertical="center"/>
    </xf>
    <xf numFmtId="0" fontId="18" fillId="0" borderId="10" xfId="0" applyFont="1" applyBorder="1" applyAlignment="1">
      <alignment horizontal="center" wrapText="1"/>
    </xf>
    <xf numFmtId="0" fontId="18" fillId="0" borderId="0" xfId="0" applyFont="1" applyAlignment="1">
      <alignment horizontal="center" wrapText="1"/>
    </xf>
    <xf numFmtId="0" fontId="12" fillId="0" borderId="6" xfId="0" applyFont="1" applyBorder="1" applyAlignment="1">
      <alignment horizontal="center"/>
    </xf>
    <xf numFmtId="0" fontId="21" fillId="0" borderId="2" xfId="0" applyFont="1" applyBorder="1" applyAlignment="1">
      <alignment horizontal="center" vertical="center"/>
    </xf>
    <xf numFmtId="0" fontId="0" fillId="0" borderId="4" xfId="0" applyBorder="1" applyAlignment="1">
      <alignment horizontal="center" vertical="center"/>
    </xf>
    <xf numFmtId="0" fontId="12" fillId="0" borderId="10" xfId="0" applyFont="1" applyBorder="1" applyAlignment="1">
      <alignment horizontal="center"/>
    </xf>
    <xf numFmtId="0" fontId="21" fillId="0" borderId="2" xfId="0" applyFont="1" applyBorder="1" applyAlignment="1">
      <alignment horizontal="center" vertical="center" wrapText="1"/>
    </xf>
    <xf numFmtId="0" fontId="0" fillId="0" borderId="3" xfId="0" applyBorder="1" applyAlignment="1">
      <alignment horizontal="center" vertical="center"/>
    </xf>
    <xf numFmtId="0" fontId="16" fillId="0" borderId="0" xfId="0" applyFont="1" applyAlignment="1">
      <alignment horizontal="center"/>
    </xf>
    <xf numFmtId="0" fontId="16" fillId="0" borderId="0" xfId="2" applyFont="1" applyAlignment="1" applyProtection="1">
      <alignment horizontal="center"/>
    </xf>
    <xf numFmtId="0" fontId="16" fillId="0" borderId="10" xfId="0" applyFont="1" applyBorder="1" applyAlignment="1">
      <alignment horizontal="center"/>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4" xfId="0" applyFont="1" applyBorder="1" applyAlignment="1">
      <alignment horizontal="center" vertical="center" wrapText="1"/>
    </xf>
    <xf numFmtId="0" fontId="16" fillId="0" borderId="0" xfId="0" quotePrefix="1" applyFont="1" applyAlignment="1">
      <alignment horizontal="center"/>
    </xf>
    <xf numFmtId="0" fontId="21" fillId="0" borderId="9"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9" xfId="0" quotePrefix="1" applyFont="1" applyBorder="1" applyAlignment="1">
      <alignment horizontal="center" vertical="center"/>
    </xf>
    <xf numFmtId="0" fontId="21" fillId="0" borderId="5" xfId="0" applyFont="1" applyBorder="1" applyAlignment="1">
      <alignment vertical="center"/>
    </xf>
    <xf numFmtId="0" fontId="135" fillId="0" borderId="9" xfId="0" quotePrefix="1" applyFont="1" applyBorder="1" applyAlignment="1">
      <alignment horizontal="center" vertical="center"/>
    </xf>
    <xf numFmtId="0" fontId="135" fillId="0" borderId="5" xfId="0" quotePrefix="1" applyFont="1" applyBorder="1" applyAlignment="1">
      <alignment horizontal="center" vertical="center"/>
    </xf>
    <xf numFmtId="0" fontId="151" fillId="0" borderId="9" xfId="0" quotePrefix="1" applyFont="1" applyBorder="1" applyAlignment="1">
      <alignment horizontal="center"/>
    </xf>
    <xf numFmtId="0" fontId="151" fillId="0" borderId="5" xfId="0" quotePrefix="1" applyFont="1" applyBorder="1" applyAlignment="1">
      <alignment horizont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5" fillId="0" borderId="4" xfId="0" applyFont="1" applyBorder="1" applyAlignment="1">
      <alignment horizontal="center" vertical="center"/>
    </xf>
    <xf numFmtId="0" fontId="11" fillId="0" borderId="0" xfId="0" quotePrefix="1" applyFont="1" applyAlignment="1">
      <alignment horizontal="center"/>
    </xf>
    <xf numFmtId="0" fontId="138" fillId="0" borderId="0" xfId="0" applyFont="1" applyAlignment="1">
      <alignment horizontal="center"/>
    </xf>
    <xf numFmtId="0" fontId="139" fillId="0" borderId="0" xfId="0" applyFont="1" applyAlignment="1">
      <alignment horizontal="center"/>
    </xf>
    <xf numFmtId="0" fontId="140" fillId="0" borderId="6" xfId="0" applyFont="1" applyBorder="1" applyAlignment="1">
      <alignment horizontal="center"/>
    </xf>
    <xf numFmtId="0" fontId="5" fillId="0" borderId="0" xfId="0" quotePrefix="1" applyFont="1" applyAlignment="1">
      <alignment horizontal="center"/>
    </xf>
    <xf numFmtId="0" fontId="5" fillId="0" borderId="0" xfId="0" applyFont="1" applyAlignment="1">
      <alignment horizontal="center"/>
    </xf>
    <xf numFmtId="0" fontId="140" fillId="0" borderId="0" xfId="0" applyFont="1" applyAlignment="1">
      <alignment horizontal="center"/>
    </xf>
    <xf numFmtId="0" fontId="141" fillId="0" borderId="2" xfId="0" applyFont="1" applyBorder="1" applyAlignment="1">
      <alignment horizontal="center" vertical="center" wrapText="1"/>
    </xf>
    <xf numFmtId="0" fontId="146" fillId="0" borderId="4" xfId="0" applyFont="1" applyBorder="1" applyAlignment="1">
      <alignment horizontal="center" vertical="center"/>
    </xf>
    <xf numFmtId="0" fontId="141" fillId="0" borderId="2" xfId="0" applyFont="1" applyBorder="1" applyAlignment="1">
      <alignment horizontal="center" vertical="center"/>
    </xf>
    <xf numFmtId="0" fontId="141" fillId="0" borderId="4" xfId="0" applyFont="1" applyBorder="1" applyAlignment="1">
      <alignment horizontal="center" vertical="center"/>
    </xf>
    <xf numFmtId="0" fontId="48" fillId="0" borderId="0" xfId="0" applyFont="1" applyAlignment="1">
      <alignment horizontal="left"/>
    </xf>
    <xf numFmtId="0" fontId="12" fillId="0" borderId="0" xfId="0" applyFont="1" applyAlignment="1">
      <alignment horizontal="left"/>
    </xf>
    <xf numFmtId="0" fontId="138" fillId="0" borderId="10" xfId="0" applyFont="1" applyBorder="1" applyAlignment="1">
      <alignment horizontal="center"/>
    </xf>
    <xf numFmtId="0" fontId="146" fillId="0" borderId="3" xfId="0" applyFont="1" applyBorder="1" applyAlignment="1">
      <alignment horizontal="center" vertical="center"/>
    </xf>
    <xf numFmtId="0" fontId="149" fillId="0" borderId="0" xfId="0" applyFont="1" applyAlignment="1">
      <alignment horizontal="left"/>
    </xf>
    <xf numFmtId="0" fontId="140" fillId="0" borderId="0" xfId="0" applyFont="1" applyAlignment="1">
      <alignment horizontal="left"/>
    </xf>
    <xf numFmtId="0" fontId="45" fillId="0" borderId="10" xfId="0" applyFont="1" applyBorder="1" applyAlignment="1">
      <alignment horizontal="center"/>
    </xf>
    <xf numFmtId="0" fontId="45" fillId="0" borderId="0" xfId="0" applyFont="1" applyAlignment="1">
      <alignment horizontal="center"/>
    </xf>
    <xf numFmtId="0" fontId="12" fillId="0" borderId="13" xfId="0" applyFont="1" applyBorder="1" applyAlignment="1">
      <alignment horizontal="center"/>
    </xf>
    <xf numFmtId="0" fontId="5" fillId="0" borderId="2" xfId="0" applyFont="1" applyBorder="1" applyAlignment="1">
      <alignment horizontal="center" vertical="center" wrapText="1"/>
    </xf>
    <xf numFmtId="0" fontId="38" fillId="0" borderId="4" xfId="0" applyFont="1" applyBorder="1" applyAlignment="1">
      <alignment horizontal="center" vertical="center"/>
    </xf>
    <xf numFmtId="0" fontId="5" fillId="0" borderId="4" xfId="0" applyFont="1" applyBorder="1" applyAlignment="1">
      <alignment horizontal="center" vertical="center" wrapText="1"/>
    </xf>
    <xf numFmtId="0" fontId="5" fillId="0" borderId="13" xfId="0" applyFont="1" applyBorder="1" applyAlignment="1">
      <alignment horizontal="center"/>
    </xf>
    <xf numFmtId="0" fontId="5" fillId="0" borderId="6" xfId="0" applyFont="1" applyBorder="1" applyAlignment="1">
      <alignment horizontal="center"/>
    </xf>
    <xf numFmtId="0" fontId="56" fillId="0" borderId="4" xfId="0" applyFont="1" applyBorder="1" applyAlignment="1">
      <alignment horizontal="center" vertical="center"/>
    </xf>
    <xf numFmtId="0" fontId="11" fillId="0" borderId="10" xfId="0" quotePrefix="1" applyFont="1" applyBorder="1" applyAlignment="1">
      <alignment horizontal="center"/>
    </xf>
    <xf numFmtId="0" fontId="21" fillId="0" borderId="6" xfId="0" applyFont="1" applyBorder="1" applyAlignment="1">
      <alignment horizontal="center"/>
    </xf>
    <xf numFmtId="0" fontId="21" fillId="0" borderId="4" xfId="0" applyFont="1" applyBorder="1" applyAlignment="1">
      <alignment vertical="center"/>
    </xf>
    <xf numFmtId="0" fontId="0" fillId="0" borderId="3" xfId="0" applyBorder="1" applyAlignment="1">
      <alignment vertical="center"/>
    </xf>
    <xf numFmtId="0" fontId="4" fillId="0" borderId="6" xfId="0" applyFont="1" applyBorder="1" applyAlignment="1">
      <alignment horizontal="center"/>
    </xf>
    <xf numFmtId="0" fontId="45" fillId="0" borderId="10" xfId="0" applyFont="1" applyBorder="1" applyAlignment="1">
      <alignment horizontal="center" wrapText="1"/>
    </xf>
    <xf numFmtId="0" fontId="45" fillId="0" borderId="0" xfId="0" applyFont="1" applyAlignment="1">
      <alignment horizontal="center" wrapText="1"/>
    </xf>
    <xf numFmtId="0" fontId="0" fillId="0" borderId="4" xfId="0" applyBorder="1" applyAlignment="1">
      <alignment horizontal="center" vertical="center" wrapText="1"/>
    </xf>
    <xf numFmtId="0" fontId="21" fillId="0" borderId="3" xfId="0" applyFont="1" applyBorder="1" applyAlignment="1">
      <alignment horizontal="center" vertical="center" wrapText="1"/>
    </xf>
    <xf numFmtId="2" fontId="23" fillId="0" borderId="2" xfId="0" applyNumberFormat="1" applyFont="1" applyBorder="1" applyAlignment="1">
      <alignment horizontal="center" vertical="center"/>
    </xf>
    <xf numFmtId="2" fontId="23" fillId="0" borderId="3"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0" fillId="0" borderId="3" xfId="0" applyBorder="1" applyAlignment="1">
      <alignment horizontal="center" vertical="center" wrapText="1"/>
    </xf>
    <xf numFmtId="0" fontId="16" fillId="0" borderId="10" xfId="0" quotePrefix="1" applyFont="1" applyBorder="1" applyAlignment="1">
      <alignment horizont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9" fillId="0" borderId="4" xfId="0" applyFont="1" applyBorder="1" applyAlignment="1">
      <alignment horizontal="center" vertical="center"/>
    </xf>
    <xf numFmtId="0" fontId="19" fillId="0" borderId="4" xfId="0" applyFont="1" applyBorder="1" applyAlignment="1">
      <alignment horizontal="center" vertical="center" wrapText="1"/>
    </xf>
    <xf numFmtId="0" fontId="49" fillId="0" borderId="10" xfId="0" applyFont="1" applyBorder="1" applyAlignment="1">
      <alignment horizontal="center" wrapText="1"/>
    </xf>
    <xf numFmtId="0" fontId="49" fillId="0" borderId="0" xfId="0" applyFont="1" applyAlignment="1">
      <alignment horizontal="center" wrapText="1"/>
    </xf>
    <xf numFmtId="0" fontId="19" fillId="0" borderId="2" xfId="0" applyFont="1" applyBorder="1" applyAlignment="1">
      <alignment horizontal="left" vertical="justify" wrapText="1"/>
    </xf>
    <xf numFmtId="0" fontId="19" fillId="0" borderId="4" xfId="0" applyFont="1" applyBorder="1" applyAlignment="1">
      <alignment horizontal="left" vertical="justify" wrapText="1"/>
    </xf>
    <xf numFmtId="0" fontId="24" fillId="0" borderId="0" xfId="0" applyFont="1" applyAlignment="1">
      <alignment horizontal="center"/>
    </xf>
    <xf numFmtId="0" fontId="24" fillId="0" borderId="0" xfId="0" quotePrefix="1" applyFont="1" applyAlignment="1">
      <alignment horizontal="center"/>
    </xf>
    <xf numFmtId="0" fontId="0" fillId="0" borderId="0" xfId="0"/>
    <xf numFmtId="0" fontId="12" fillId="0" borderId="6" xfId="0" applyFont="1" applyBorder="1" applyAlignment="1">
      <alignment horizontal="center" wrapText="1"/>
    </xf>
    <xf numFmtId="0" fontId="4" fillId="0" borderId="0" xfId="0" quotePrefix="1" applyFont="1" applyAlignment="1">
      <alignment horizontal="center"/>
    </xf>
    <xf numFmtId="0" fontId="4" fillId="0" borderId="0" xfId="0" applyFont="1" applyAlignment="1">
      <alignment horizontal="center"/>
    </xf>
    <xf numFmtId="165" fontId="22" fillId="0" borderId="2" xfId="0" applyNumberFormat="1" applyFont="1" applyBorder="1" applyAlignment="1">
      <alignment horizontal="center" vertical="center"/>
    </xf>
    <xf numFmtId="165" fontId="0" fillId="0" borderId="4" xfId="0" applyNumberFormat="1" applyBorder="1" applyAlignment="1">
      <alignment horizontal="center" vertical="center"/>
    </xf>
    <xf numFmtId="0" fontId="13" fillId="0" borderId="0" xfId="0" applyFont="1" applyAlignment="1">
      <alignment horizontal="center"/>
    </xf>
    <xf numFmtId="0" fontId="11" fillId="0" borderId="10" xfId="0" applyFont="1" applyBorder="1" applyAlignment="1">
      <alignment horizontal="center" wrapText="1"/>
    </xf>
    <xf numFmtId="0" fontId="11" fillId="0" borderId="0" xfId="0" applyFont="1" applyAlignment="1">
      <alignment horizontal="center" wrapText="1"/>
    </xf>
    <xf numFmtId="0" fontId="5" fillId="0" borderId="10" xfId="0" quotePrefix="1" applyFont="1" applyBorder="1" applyAlignment="1">
      <alignment horizontal="center" vertical="center"/>
    </xf>
    <xf numFmtId="0" fontId="5" fillId="0" borderId="0" xfId="0" applyFont="1" applyAlignment="1">
      <alignment horizontal="center" vertical="center"/>
    </xf>
    <xf numFmtId="0" fontId="18" fillId="0" borderId="10" xfId="0" applyFont="1" applyBorder="1" applyAlignment="1">
      <alignment horizontal="center"/>
    </xf>
    <xf numFmtId="0" fontId="19" fillId="0" borderId="3" xfId="0" applyFont="1" applyBorder="1" applyAlignment="1">
      <alignment horizontal="center" vertical="center" wrapText="1"/>
    </xf>
    <xf numFmtId="0" fontId="5" fillId="0" borderId="10" xfId="0" applyFont="1" applyBorder="1" applyAlignment="1">
      <alignment horizontal="center" vertical="center"/>
    </xf>
    <xf numFmtId="0" fontId="16" fillId="0" borderId="10" xfId="0" applyFont="1" applyBorder="1" applyAlignment="1">
      <alignment horizontal="center" vertical="center"/>
    </xf>
    <xf numFmtId="0" fontId="16" fillId="0" borderId="0" xfId="0" applyFont="1" applyAlignment="1">
      <alignment horizontal="center" vertical="center"/>
    </xf>
    <xf numFmtId="0" fontId="16" fillId="0" borderId="10" xfId="0" quotePrefix="1" applyFont="1" applyBorder="1" applyAlignment="1">
      <alignment horizontal="center" vertical="center"/>
    </xf>
    <xf numFmtId="0" fontId="18" fillId="0" borderId="0" xfId="0" applyFont="1" applyAlignment="1">
      <alignment horizontal="center"/>
    </xf>
    <xf numFmtId="0" fontId="24" fillId="0" borderId="10" xfId="0" applyFont="1" applyBorder="1" applyAlignment="1">
      <alignment horizontal="center" wrapText="1"/>
    </xf>
    <xf numFmtId="0" fontId="24" fillId="0" borderId="0" xfId="0" applyFont="1" applyAlignment="1">
      <alignment horizontal="center" wrapText="1"/>
    </xf>
    <xf numFmtId="0" fontId="24" fillId="0" borderId="10" xfId="0" applyFont="1" applyBorder="1" applyAlignment="1">
      <alignment horizontal="center"/>
    </xf>
    <xf numFmtId="0" fontId="19" fillId="0" borderId="10" xfId="0" applyFont="1" applyBorder="1" applyAlignment="1">
      <alignment horizontal="center" wrapText="1"/>
    </xf>
    <xf numFmtId="0" fontId="19" fillId="0" borderId="0" xfId="0" applyFont="1" applyAlignment="1">
      <alignment horizontal="center" wrapText="1"/>
    </xf>
    <xf numFmtId="0" fontId="8" fillId="0" borderId="10" xfId="0" applyFont="1" applyBorder="1" applyAlignment="1">
      <alignment horizontal="center" wrapText="1"/>
    </xf>
    <xf numFmtId="0" fontId="8" fillId="0" borderId="0" xfId="0" applyFont="1" applyAlignment="1">
      <alignment horizontal="center" wrapText="1"/>
    </xf>
    <xf numFmtId="0" fontId="3" fillId="0" borderId="0" xfId="0" applyFont="1" applyAlignment="1">
      <alignment wrapText="1"/>
    </xf>
    <xf numFmtId="0" fontId="3" fillId="0" borderId="0" xfId="0" applyFont="1" applyAlignment="1">
      <alignment horizontal="center"/>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168" fillId="0" borderId="6" xfId="0" applyFont="1" applyBorder="1"/>
    <xf numFmtId="0" fontId="168" fillId="0" borderId="6" xfId="0" applyFont="1" applyBorder="1" applyAlignment="1">
      <alignment horizontal="right"/>
    </xf>
    <xf numFmtId="0" fontId="166" fillId="0" borderId="0" xfId="0" applyFont="1" applyAlignment="1">
      <alignment horizontal="center"/>
    </xf>
    <xf numFmtId="0" fontId="170" fillId="0" borderId="0" xfId="0" applyFont="1" applyAlignment="1">
      <alignment horizontal="center"/>
    </xf>
    <xf numFmtId="0" fontId="168" fillId="0" borderId="0" xfId="0" applyFont="1" applyAlignment="1">
      <alignment horizontal="center"/>
    </xf>
    <xf numFmtId="0" fontId="167" fillId="0" borderId="0" xfId="0" applyFont="1" applyAlignment="1">
      <alignment horizontal="center"/>
    </xf>
    <xf numFmtId="0" fontId="168" fillId="0" borderId="0" xfId="0" quotePrefix="1" applyFont="1" applyAlignment="1">
      <alignment horizontal="right"/>
    </xf>
    <xf numFmtId="0" fontId="168" fillId="0" borderId="0" xfId="0" applyFont="1" applyAlignment="1">
      <alignment horizontal="right"/>
    </xf>
    <xf numFmtId="0" fontId="109" fillId="0" borderId="0" xfId="0" applyFont="1" applyAlignment="1">
      <alignment horizontal="center"/>
    </xf>
    <xf numFmtId="0" fontId="108" fillId="0" borderId="27" xfId="0" applyFont="1" applyBorder="1" applyAlignment="1">
      <alignment horizontal="center"/>
    </xf>
    <xf numFmtId="0" fontId="108" fillId="0" borderId="28" xfId="0" applyFont="1" applyBorder="1" applyAlignment="1">
      <alignment horizontal="center"/>
    </xf>
    <xf numFmtId="0" fontId="108" fillId="0" borderId="29" xfId="0" applyFont="1" applyBorder="1" applyAlignment="1">
      <alignment horizontal="center" vertical="center"/>
    </xf>
    <xf numFmtId="0" fontId="108" fillId="0" borderId="30" xfId="0" applyFont="1" applyBorder="1" applyAlignment="1">
      <alignment horizontal="center" vertical="center"/>
    </xf>
    <xf numFmtId="0" fontId="108" fillId="0" borderId="31" xfId="0" applyFont="1" applyBorder="1" applyAlignment="1">
      <alignment horizontal="center" vertical="center"/>
    </xf>
    <xf numFmtId="0" fontId="108" fillId="0" borderId="32" xfId="0" applyFont="1" applyBorder="1" applyAlignment="1">
      <alignment horizontal="center" vertical="center"/>
    </xf>
    <xf numFmtId="0" fontId="119" fillId="0" borderId="0" xfId="0" applyFont="1" applyAlignment="1">
      <alignment horizontal="center"/>
    </xf>
    <xf numFmtId="0" fontId="106" fillId="0" borderId="10" xfId="0" applyFont="1" applyBorder="1" applyAlignment="1">
      <alignment horizontal="center"/>
    </xf>
    <xf numFmtId="0" fontId="55" fillId="0" borderId="0" xfId="0" applyFont="1" applyAlignment="1">
      <alignment horizontal="center"/>
    </xf>
    <xf numFmtId="0" fontId="120" fillId="0" borderId="2" xfId="0" applyFont="1" applyBorder="1" applyAlignment="1">
      <alignment horizontal="center" vertical="center" wrapText="1"/>
    </xf>
    <xf numFmtId="0" fontId="122" fillId="0" borderId="4" xfId="0" applyFont="1" applyBorder="1" applyAlignment="1">
      <alignment horizontal="center" vertical="center" wrapText="1"/>
    </xf>
    <xf numFmtId="0" fontId="122" fillId="0" borderId="3" xfId="0" applyFont="1" applyBorder="1" applyAlignment="1">
      <alignment horizontal="center" vertical="center" wrapText="1"/>
    </xf>
    <xf numFmtId="0" fontId="55" fillId="0" borderId="10" xfId="0" applyFont="1" applyBorder="1" applyAlignment="1">
      <alignment horizontal="center"/>
    </xf>
    <xf numFmtId="0" fontId="55" fillId="0" borderId="0" xfId="0" quotePrefix="1" applyFont="1" applyAlignment="1">
      <alignment horizontal="center"/>
    </xf>
    <xf numFmtId="0" fontId="125" fillId="0" borderId="10" xfId="0" applyFont="1" applyBorder="1" applyAlignment="1">
      <alignment horizontal="center"/>
    </xf>
    <xf numFmtId="0" fontId="125" fillId="0" borderId="0" xfId="0" applyFont="1" applyAlignment="1">
      <alignment horizontal="center"/>
    </xf>
    <xf numFmtId="0" fontId="106" fillId="0" borderId="0" xfId="0" applyFont="1" applyAlignment="1">
      <alignment horizontal="center"/>
    </xf>
    <xf numFmtId="0" fontId="107" fillId="0" borderId="10" xfId="0" applyFont="1" applyBorder="1" applyAlignment="1">
      <alignment horizontal="center" wrapText="1"/>
    </xf>
    <xf numFmtId="0" fontId="107" fillId="0" borderId="0" xfId="0" applyFont="1" applyAlignment="1">
      <alignment horizontal="center" wrapText="1"/>
    </xf>
    <xf numFmtId="0" fontId="49" fillId="0" borderId="10" xfId="0" applyFont="1" applyBorder="1" applyAlignment="1">
      <alignment horizontal="center"/>
    </xf>
    <xf numFmtId="0" fontId="49" fillId="0" borderId="0" xfId="0" applyFont="1" applyAlignment="1">
      <alignment horizontal="center"/>
    </xf>
    <xf numFmtId="0" fontId="15" fillId="0" borderId="10" xfId="0" applyFont="1" applyBorder="1" applyAlignment="1">
      <alignment horizontal="center"/>
    </xf>
    <xf numFmtId="0" fontId="19" fillId="0" borderId="2" xfId="0" applyFont="1" applyBorder="1" applyAlignment="1">
      <alignment horizontal="center" vertical="center" wrapText="1"/>
    </xf>
    <xf numFmtId="0" fontId="116" fillId="0" borderId="0" xfId="0" applyFont="1" applyAlignment="1">
      <alignment horizontal="center" wrapText="1"/>
    </xf>
    <xf numFmtId="0" fontId="16" fillId="0" borderId="9" xfId="0" applyFont="1" applyBorder="1" applyAlignment="1">
      <alignment horizontal="center"/>
    </xf>
    <xf numFmtId="0" fontId="16" fillId="0" borderId="5" xfId="0" applyFont="1" applyBorder="1" applyAlignment="1">
      <alignment horizontal="center"/>
    </xf>
    <xf numFmtId="0" fontId="16" fillId="0" borderId="11" xfId="0" applyFont="1" applyBorder="1" applyAlignment="1">
      <alignment horizontal="center"/>
    </xf>
  </cellXfs>
  <cellStyles count="13">
    <cellStyle name="Comma" xfId="1" builtinId="3"/>
    <cellStyle name="Comma 10" xfId="12" xr:uid="{239E7C5E-BE6D-497D-8749-7AD6D2282E51}"/>
    <cellStyle name="Comma 2" xfId="9" xr:uid="{00000000-0005-0000-0000-000001000000}"/>
    <cellStyle name="Comma 3" xfId="6" xr:uid="{00000000-0005-0000-0000-000002000000}"/>
    <cellStyle name="existing style" xfId="10" xr:uid="{00000000-0005-0000-0000-000003000000}"/>
    <cellStyle name="Hyperlink" xfId="2" builtinId="8"/>
    <cellStyle name="Normal" xfId="0" builtinId="0"/>
    <cellStyle name="Normal 2" xfId="7" xr:uid="{00000000-0005-0000-0000-000006000000}"/>
    <cellStyle name="Normal 2 3" xfId="11" xr:uid="{00000000-0005-0000-0000-000007000000}"/>
    <cellStyle name="Normal 3" xfId="3" xr:uid="{00000000-0005-0000-0000-000008000000}"/>
    <cellStyle name="Normal 4" xfId="8" xr:uid="{00000000-0005-0000-0000-000009000000}"/>
    <cellStyle name="Normal 5" xfId="5" xr:uid="{00000000-0005-0000-0000-00000A000000}"/>
    <cellStyle name="Percent 2" xfId="4" xr:uid="{00000000-0005-0000-0000-00000B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drawing1.xml><?xml version="1.0" encoding="utf-8"?>
<xdr:wsDr xmlns:xdr="http://schemas.openxmlformats.org/drawingml/2006/spreadsheetDrawing" xmlns:a="http://schemas.openxmlformats.org/drawingml/2006/main">
  <xdr:twoCellAnchor>
    <xdr:from>
      <xdr:col>2</xdr:col>
      <xdr:colOff>66675</xdr:colOff>
      <xdr:row>1151</xdr:row>
      <xdr:rowOff>200025</xdr:rowOff>
    </xdr:from>
    <xdr:to>
      <xdr:col>2</xdr:col>
      <xdr:colOff>714375</xdr:colOff>
      <xdr:row>1153</xdr:row>
      <xdr:rowOff>0</xdr:rowOff>
    </xdr:to>
    <xdr:sp macro="" textlink="">
      <xdr:nvSpPr>
        <xdr:cNvPr id="2" name="Text Box 2">
          <a:extLst>
            <a:ext uri="{FF2B5EF4-FFF2-40B4-BE49-F238E27FC236}">
              <a16:creationId xmlns:a16="http://schemas.microsoft.com/office/drawing/2014/main" id="{00000000-0008-0000-0500-000002000000}"/>
            </a:ext>
          </a:extLst>
        </xdr:cNvPr>
        <xdr:cNvSpPr txBox="1">
          <a:spLocks noChangeArrowheads="1"/>
        </xdr:cNvSpPr>
      </xdr:nvSpPr>
      <xdr:spPr bwMode="auto">
        <a:xfrm>
          <a:off x="1457325" y="2879502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761</xdr:row>
      <xdr:rowOff>0</xdr:rowOff>
    </xdr:from>
    <xdr:to>
      <xdr:col>2</xdr:col>
      <xdr:colOff>76200</xdr:colOff>
      <xdr:row>761</xdr:row>
      <xdr:rowOff>35433</xdr:rowOff>
    </xdr:to>
    <xdr:sp macro="" textlink="">
      <xdr:nvSpPr>
        <xdr:cNvPr id="3" name="Text Box 5">
          <a:extLst>
            <a:ext uri="{FF2B5EF4-FFF2-40B4-BE49-F238E27FC236}">
              <a16:creationId xmlns:a16="http://schemas.microsoft.com/office/drawing/2014/main" id="{00000000-0008-0000-0500-000003000000}"/>
            </a:ext>
          </a:extLst>
        </xdr:cNvPr>
        <xdr:cNvSpPr txBox="1">
          <a:spLocks noChangeArrowheads="1"/>
        </xdr:cNvSpPr>
      </xdr:nvSpPr>
      <xdr:spPr bwMode="auto">
        <a:xfrm>
          <a:off x="1390650" y="193014600"/>
          <a:ext cx="76200" cy="180975"/>
        </a:xfrm>
        <a:prstGeom prst="rect">
          <a:avLst/>
        </a:prstGeom>
        <a:noFill/>
        <a:ln w="9525">
          <a:noFill/>
          <a:miter lim="800000"/>
          <a:headEnd/>
          <a:tailEnd/>
        </a:ln>
      </xdr:spPr>
    </xdr:sp>
    <xdr:clientData/>
  </xdr:twoCellAnchor>
  <xdr:twoCellAnchor>
    <xdr:from>
      <xdr:col>2</xdr:col>
      <xdr:colOff>232024</xdr:colOff>
      <xdr:row>1061</xdr:row>
      <xdr:rowOff>216614</xdr:rowOff>
    </xdr:from>
    <xdr:to>
      <xdr:col>2</xdr:col>
      <xdr:colOff>489199</xdr:colOff>
      <xdr:row>1062</xdr:row>
      <xdr:rowOff>149939</xdr:rowOff>
    </xdr:to>
    <xdr:sp macro="" textlink="">
      <xdr:nvSpPr>
        <xdr:cNvPr id="4" name="Text Box 6">
          <a:extLst>
            <a:ext uri="{FF2B5EF4-FFF2-40B4-BE49-F238E27FC236}">
              <a16:creationId xmlns:a16="http://schemas.microsoft.com/office/drawing/2014/main" id="{00000000-0008-0000-0500-000004000000}"/>
            </a:ext>
          </a:extLst>
        </xdr:cNvPr>
        <xdr:cNvSpPr txBox="1">
          <a:spLocks noChangeArrowheads="1"/>
        </xdr:cNvSpPr>
      </xdr:nvSpPr>
      <xdr:spPr bwMode="auto">
        <a:xfrm>
          <a:off x="1622674" y="266897564"/>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1083</xdr:row>
      <xdr:rowOff>183328</xdr:rowOff>
    </xdr:from>
    <xdr:to>
      <xdr:col>2</xdr:col>
      <xdr:colOff>449495</xdr:colOff>
      <xdr:row>1084</xdr:row>
      <xdr:rowOff>128427</xdr:rowOff>
    </xdr:to>
    <xdr:sp macro="" textlink="">
      <xdr:nvSpPr>
        <xdr:cNvPr id="5" name="Text Box 7">
          <a:extLst>
            <a:ext uri="{FF2B5EF4-FFF2-40B4-BE49-F238E27FC236}">
              <a16:creationId xmlns:a16="http://schemas.microsoft.com/office/drawing/2014/main" id="{00000000-0008-0000-0500-000005000000}"/>
            </a:ext>
          </a:extLst>
        </xdr:cNvPr>
        <xdr:cNvSpPr txBox="1">
          <a:spLocks noChangeArrowheads="1"/>
        </xdr:cNvSpPr>
      </xdr:nvSpPr>
      <xdr:spPr bwMode="auto">
        <a:xfrm>
          <a:off x="1529886" y="27253165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1174</xdr:row>
      <xdr:rowOff>66782</xdr:rowOff>
    </xdr:from>
    <xdr:to>
      <xdr:col>2</xdr:col>
      <xdr:colOff>524410</xdr:colOff>
      <xdr:row>1175</xdr:row>
      <xdr:rowOff>74915</xdr:rowOff>
    </xdr:to>
    <xdr:sp macro="" textlink="">
      <xdr:nvSpPr>
        <xdr:cNvPr id="6" name="Text Box 9">
          <a:extLst>
            <a:ext uri="{FF2B5EF4-FFF2-40B4-BE49-F238E27FC236}">
              <a16:creationId xmlns:a16="http://schemas.microsoft.com/office/drawing/2014/main" id="{00000000-0008-0000-0500-000006000000}"/>
            </a:ext>
          </a:extLst>
        </xdr:cNvPr>
        <xdr:cNvSpPr txBox="1">
          <a:spLocks noChangeArrowheads="1"/>
        </xdr:cNvSpPr>
      </xdr:nvSpPr>
      <xdr:spPr bwMode="auto">
        <a:xfrm>
          <a:off x="1583398" y="293417732"/>
          <a:ext cx="331662" cy="227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7" name="Text Box 10">
          <a:extLst>
            <a:ext uri="{FF2B5EF4-FFF2-40B4-BE49-F238E27FC236}">
              <a16:creationId xmlns:a16="http://schemas.microsoft.com/office/drawing/2014/main" id="{00000000-0008-0000-0500-000007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8" name="Text Box 11">
          <a:extLst>
            <a:ext uri="{FF2B5EF4-FFF2-40B4-BE49-F238E27FC236}">
              <a16:creationId xmlns:a16="http://schemas.microsoft.com/office/drawing/2014/main" id="{00000000-0008-0000-0500-000008000000}"/>
            </a:ext>
          </a:extLst>
        </xdr:cNvPr>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692</xdr:row>
      <xdr:rowOff>152400</xdr:rowOff>
    </xdr:from>
    <xdr:to>
      <xdr:col>2</xdr:col>
      <xdr:colOff>361950</xdr:colOff>
      <xdr:row>693</xdr:row>
      <xdr:rowOff>95250</xdr:rowOff>
    </xdr:to>
    <xdr:sp macro="" textlink="">
      <xdr:nvSpPr>
        <xdr:cNvPr id="9" name="Text Box 12">
          <a:extLst>
            <a:ext uri="{FF2B5EF4-FFF2-40B4-BE49-F238E27FC236}">
              <a16:creationId xmlns:a16="http://schemas.microsoft.com/office/drawing/2014/main" id="{00000000-0008-0000-0500-000009000000}"/>
            </a:ext>
          </a:extLst>
        </xdr:cNvPr>
        <xdr:cNvSpPr txBox="1">
          <a:spLocks noChangeArrowheads="1"/>
        </xdr:cNvSpPr>
      </xdr:nvSpPr>
      <xdr:spPr bwMode="auto">
        <a:xfrm>
          <a:off x="1485900" y="176136300"/>
          <a:ext cx="266700"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1005</xdr:row>
      <xdr:rowOff>173806</xdr:rowOff>
    </xdr:from>
    <xdr:to>
      <xdr:col>2</xdr:col>
      <xdr:colOff>490377</xdr:colOff>
      <xdr:row>1006</xdr:row>
      <xdr:rowOff>75024</xdr:rowOff>
    </xdr:to>
    <xdr:sp macro="" textlink="">
      <xdr:nvSpPr>
        <xdr:cNvPr id="10" name="Text Box 13">
          <a:extLst>
            <a:ext uri="{FF2B5EF4-FFF2-40B4-BE49-F238E27FC236}">
              <a16:creationId xmlns:a16="http://schemas.microsoft.com/office/drawing/2014/main" id="{00000000-0008-0000-0500-00000A000000}"/>
            </a:ext>
          </a:extLst>
        </xdr:cNvPr>
        <xdr:cNvSpPr txBox="1">
          <a:spLocks noChangeArrowheads="1"/>
        </xdr:cNvSpPr>
      </xdr:nvSpPr>
      <xdr:spPr bwMode="auto">
        <a:xfrm>
          <a:off x="1614327" y="253557856"/>
          <a:ext cx="266700" cy="148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1020</xdr:row>
      <xdr:rowOff>128641</xdr:rowOff>
    </xdr:from>
    <xdr:to>
      <xdr:col>2</xdr:col>
      <xdr:colOff>533185</xdr:colOff>
      <xdr:row>1021</xdr:row>
      <xdr:rowOff>181938</xdr:rowOff>
    </xdr:to>
    <xdr:sp macro="" textlink="">
      <xdr:nvSpPr>
        <xdr:cNvPr id="11" name="Text Box 14">
          <a:extLst>
            <a:ext uri="{FF2B5EF4-FFF2-40B4-BE49-F238E27FC236}">
              <a16:creationId xmlns:a16="http://schemas.microsoft.com/office/drawing/2014/main" id="{00000000-0008-0000-0500-00000B000000}"/>
            </a:ext>
          </a:extLst>
        </xdr:cNvPr>
        <xdr:cNvSpPr txBox="1">
          <a:spLocks noChangeArrowheads="1"/>
        </xdr:cNvSpPr>
      </xdr:nvSpPr>
      <xdr:spPr bwMode="auto">
        <a:xfrm>
          <a:off x="1657135" y="25726554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2" name="Text Box 15">
          <a:extLst>
            <a:ext uri="{FF2B5EF4-FFF2-40B4-BE49-F238E27FC236}">
              <a16:creationId xmlns:a16="http://schemas.microsoft.com/office/drawing/2014/main" id="{00000000-0008-0000-0500-00000C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3" name="Text Box 16">
          <a:extLst>
            <a:ext uri="{FF2B5EF4-FFF2-40B4-BE49-F238E27FC236}">
              <a16:creationId xmlns:a16="http://schemas.microsoft.com/office/drawing/2014/main" id="{00000000-0008-0000-0500-00000D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4" name="Text Box 17">
          <a:extLst>
            <a:ext uri="{FF2B5EF4-FFF2-40B4-BE49-F238E27FC236}">
              <a16:creationId xmlns:a16="http://schemas.microsoft.com/office/drawing/2014/main" id="{00000000-0008-0000-0500-00000E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5" name="Text Box 18">
          <a:extLst>
            <a:ext uri="{FF2B5EF4-FFF2-40B4-BE49-F238E27FC236}">
              <a16:creationId xmlns:a16="http://schemas.microsoft.com/office/drawing/2014/main" id="{00000000-0008-0000-0500-00000F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6" name="Text Box 19">
          <a:extLst>
            <a:ext uri="{FF2B5EF4-FFF2-40B4-BE49-F238E27FC236}">
              <a16:creationId xmlns:a16="http://schemas.microsoft.com/office/drawing/2014/main" id="{00000000-0008-0000-0500-000010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1630</xdr:row>
      <xdr:rowOff>2570</xdr:rowOff>
    </xdr:from>
    <xdr:to>
      <xdr:col>2</xdr:col>
      <xdr:colOff>645347</xdr:colOff>
      <xdr:row>1631</xdr:row>
      <xdr:rowOff>134421</xdr:rowOff>
    </xdr:to>
    <xdr:sp macro="" textlink="">
      <xdr:nvSpPr>
        <xdr:cNvPr id="17" name="Text Box 22">
          <a:extLst>
            <a:ext uri="{FF2B5EF4-FFF2-40B4-BE49-F238E27FC236}">
              <a16:creationId xmlns:a16="http://schemas.microsoft.com/office/drawing/2014/main" id="{00000000-0008-0000-0500-000011000000}"/>
            </a:ext>
          </a:extLst>
        </xdr:cNvPr>
        <xdr:cNvSpPr txBox="1">
          <a:spLocks noChangeArrowheads="1"/>
        </xdr:cNvSpPr>
      </xdr:nvSpPr>
      <xdr:spPr bwMode="auto">
        <a:xfrm>
          <a:off x="1778822" y="399347720"/>
          <a:ext cx="257175" cy="3795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1655</xdr:row>
      <xdr:rowOff>197567</xdr:rowOff>
    </xdr:from>
    <xdr:to>
      <xdr:col>2</xdr:col>
      <xdr:colOff>571715</xdr:colOff>
      <xdr:row>1656</xdr:row>
      <xdr:rowOff>182049</xdr:rowOff>
    </xdr:to>
    <xdr:sp macro="" textlink="">
      <xdr:nvSpPr>
        <xdr:cNvPr id="18" name="Text Box 23">
          <a:extLst>
            <a:ext uri="{FF2B5EF4-FFF2-40B4-BE49-F238E27FC236}">
              <a16:creationId xmlns:a16="http://schemas.microsoft.com/office/drawing/2014/main" id="{00000000-0008-0000-0500-000012000000}"/>
            </a:ext>
          </a:extLst>
        </xdr:cNvPr>
        <xdr:cNvSpPr txBox="1">
          <a:spLocks noChangeArrowheads="1"/>
        </xdr:cNvSpPr>
      </xdr:nvSpPr>
      <xdr:spPr bwMode="auto">
        <a:xfrm>
          <a:off x="1705190" y="405438692"/>
          <a:ext cx="257175" cy="2035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1674</xdr:row>
      <xdr:rowOff>6100</xdr:rowOff>
    </xdr:from>
    <xdr:to>
      <xdr:col>2</xdr:col>
      <xdr:colOff>572891</xdr:colOff>
      <xdr:row>1675</xdr:row>
      <xdr:rowOff>115370</xdr:rowOff>
    </xdr:to>
    <xdr:sp macro="" textlink="">
      <xdr:nvSpPr>
        <xdr:cNvPr id="19" name="Text Box 24">
          <a:extLst>
            <a:ext uri="{FF2B5EF4-FFF2-40B4-BE49-F238E27FC236}">
              <a16:creationId xmlns:a16="http://schemas.microsoft.com/office/drawing/2014/main" id="{00000000-0008-0000-0500-000013000000}"/>
            </a:ext>
          </a:extLst>
        </xdr:cNvPr>
        <xdr:cNvSpPr txBox="1">
          <a:spLocks noChangeArrowheads="1"/>
        </xdr:cNvSpPr>
      </xdr:nvSpPr>
      <xdr:spPr bwMode="auto">
        <a:xfrm>
          <a:off x="1706366" y="409619200"/>
          <a:ext cx="257175" cy="3283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1692</xdr:row>
      <xdr:rowOff>204736</xdr:rowOff>
    </xdr:from>
    <xdr:to>
      <xdr:col>2</xdr:col>
      <xdr:colOff>588624</xdr:colOff>
      <xdr:row>1693</xdr:row>
      <xdr:rowOff>171236</xdr:rowOff>
    </xdr:to>
    <xdr:sp macro="" textlink="">
      <xdr:nvSpPr>
        <xdr:cNvPr id="20" name="Text Box 25">
          <a:extLst>
            <a:ext uri="{FF2B5EF4-FFF2-40B4-BE49-F238E27FC236}">
              <a16:creationId xmlns:a16="http://schemas.microsoft.com/office/drawing/2014/main" id="{00000000-0008-0000-0500-000014000000}"/>
            </a:ext>
          </a:extLst>
        </xdr:cNvPr>
        <xdr:cNvSpPr txBox="1">
          <a:spLocks noChangeArrowheads="1"/>
        </xdr:cNvSpPr>
      </xdr:nvSpPr>
      <xdr:spPr bwMode="auto">
        <a:xfrm>
          <a:off x="1672976" y="413970736"/>
          <a:ext cx="306298" cy="185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2058</xdr:row>
      <xdr:rowOff>13273</xdr:rowOff>
    </xdr:from>
    <xdr:to>
      <xdr:col>2</xdr:col>
      <xdr:colOff>663539</xdr:colOff>
      <xdr:row>2059</xdr:row>
      <xdr:rowOff>96320</xdr:rowOff>
    </xdr:to>
    <xdr:sp macro="" textlink="">
      <xdr:nvSpPr>
        <xdr:cNvPr id="21" name="Text Box 30">
          <a:extLst>
            <a:ext uri="{FF2B5EF4-FFF2-40B4-BE49-F238E27FC236}">
              <a16:creationId xmlns:a16="http://schemas.microsoft.com/office/drawing/2014/main" id="{00000000-0008-0000-0500-000015000000}"/>
            </a:ext>
          </a:extLst>
        </xdr:cNvPr>
        <xdr:cNvSpPr txBox="1">
          <a:spLocks noChangeArrowheads="1"/>
        </xdr:cNvSpPr>
      </xdr:nvSpPr>
      <xdr:spPr bwMode="auto">
        <a:xfrm>
          <a:off x="1707544" y="500856823"/>
          <a:ext cx="346645" cy="3021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2081</xdr:row>
      <xdr:rowOff>191569</xdr:rowOff>
    </xdr:from>
    <xdr:to>
      <xdr:col>2</xdr:col>
      <xdr:colOff>845476</xdr:colOff>
      <xdr:row>2082</xdr:row>
      <xdr:rowOff>192641</xdr:rowOff>
    </xdr:to>
    <xdr:sp macro="" textlink="">
      <xdr:nvSpPr>
        <xdr:cNvPr id="22" name="Text Box 32">
          <a:extLst>
            <a:ext uri="{FF2B5EF4-FFF2-40B4-BE49-F238E27FC236}">
              <a16:creationId xmlns:a16="http://schemas.microsoft.com/office/drawing/2014/main" id="{00000000-0008-0000-0500-000016000000}"/>
            </a:ext>
          </a:extLst>
        </xdr:cNvPr>
        <xdr:cNvSpPr txBox="1">
          <a:spLocks noChangeArrowheads="1"/>
        </xdr:cNvSpPr>
      </xdr:nvSpPr>
      <xdr:spPr bwMode="auto">
        <a:xfrm>
          <a:off x="1901145" y="506435794"/>
          <a:ext cx="334981" cy="2201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2152</xdr:row>
      <xdr:rowOff>8455</xdr:rowOff>
    </xdr:from>
    <xdr:to>
      <xdr:col>2</xdr:col>
      <xdr:colOff>706348</xdr:colOff>
      <xdr:row>2152</xdr:row>
      <xdr:rowOff>203344</xdr:rowOff>
    </xdr:to>
    <xdr:sp macro="" textlink="">
      <xdr:nvSpPr>
        <xdr:cNvPr id="23" name="Text Box 34">
          <a:extLst>
            <a:ext uri="{FF2B5EF4-FFF2-40B4-BE49-F238E27FC236}">
              <a16:creationId xmlns:a16="http://schemas.microsoft.com/office/drawing/2014/main" id="{00000000-0008-0000-0500-000017000000}"/>
            </a:ext>
          </a:extLst>
        </xdr:cNvPr>
        <xdr:cNvSpPr txBox="1">
          <a:spLocks noChangeArrowheads="1"/>
        </xdr:cNvSpPr>
      </xdr:nvSpPr>
      <xdr:spPr bwMode="auto">
        <a:xfrm>
          <a:off x="1812104" y="522540430"/>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2180</xdr:row>
      <xdr:rowOff>76203</xdr:rowOff>
    </xdr:from>
    <xdr:to>
      <xdr:col>2</xdr:col>
      <xdr:colOff>813371</xdr:colOff>
      <xdr:row>2181</xdr:row>
      <xdr:rowOff>74916</xdr:rowOff>
    </xdr:to>
    <xdr:sp macro="" textlink="">
      <xdr:nvSpPr>
        <xdr:cNvPr id="24" name="Text Box 35">
          <a:extLst>
            <a:ext uri="{FF2B5EF4-FFF2-40B4-BE49-F238E27FC236}">
              <a16:creationId xmlns:a16="http://schemas.microsoft.com/office/drawing/2014/main" id="{00000000-0008-0000-0500-000018000000}"/>
            </a:ext>
          </a:extLst>
        </xdr:cNvPr>
        <xdr:cNvSpPr txBox="1">
          <a:spLocks noChangeArrowheads="1"/>
        </xdr:cNvSpPr>
      </xdr:nvSpPr>
      <xdr:spPr bwMode="auto">
        <a:xfrm>
          <a:off x="1912171" y="529142328"/>
          <a:ext cx="291850" cy="2273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2482</xdr:row>
      <xdr:rowOff>306940</xdr:rowOff>
    </xdr:from>
    <xdr:to>
      <xdr:col>2</xdr:col>
      <xdr:colOff>851150</xdr:colOff>
      <xdr:row>2483</xdr:row>
      <xdr:rowOff>221215</xdr:rowOff>
    </xdr:to>
    <xdr:sp macro="" textlink="">
      <xdr:nvSpPr>
        <xdr:cNvPr id="25" name="Text Box 37">
          <a:extLst>
            <a:ext uri="{FF2B5EF4-FFF2-40B4-BE49-F238E27FC236}">
              <a16:creationId xmlns:a16="http://schemas.microsoft.com/office/drawing/2014/main" id="{00000000-0008-0000-0500-000019000000}"/>
            </a:ext>
          </a:extLst>
        </xdr:cNvPr>
        <xdr:cNvSpPr txBox="1">
          <a:spLocks noChangeArrowheads="1"/>
        </xdr:cNvSpPr>
      </xdr:nvSpPr>
      <xdr:spPr bwMode="auto">
        <a:xfrm>
          <a:off x="1984625" y="6017725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2497</xdr:row>
      <xdr:rowOff>178513</xdr:rowOff>
    </xdr:from>
    <xdr:to>
      <xdr:col>2</xdr:col>
      <xdr:colOff>888287</xdr:colOff>
      <xdr:row>2498</xdr:row>
      <xdr:rowOff>203342</xdr:rowOff>
    </xdr:to>
    <xdr:sp macro="" textlink="">
      <xdr:nvSpPr>
        <xdr:cNvPr id="26" name="Text Box 38">
          <a:extLst>
            <a:ext uri="{FF2B5EF4-FFF2-40B4-BE49-F238E27FC236}">
              <a16:creationId xmlns:a16="http://schemas.microsoft.com/office/drawing/2014/main" id="{00000000-0008-0000-0500-00001A000000}"/>
            </a:ext>
          </a:extLst>
        </xdr:cNvPr>
        <xdr:cNvSpPr txBox="1">
          <a:spLocks noChangeArrowheads="1"/>
        </xdr:cNvSpPr>
      </xdr:nvSpPr>
      <xdr:spPr bwMode="auto">
        <a:xfrm>
          <a:off x="1964505" y="605311288"/>
          <a:ext cx="314432" cy="253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2382</xdr:row>
      <xdr:rowOff>60788</xdr:rowOff>
    </xdr:from>
    <xdr:to>
      <xdr:col>2</xdr:col>
      <xdr:colOff>844086</xdr:colOff>
      <xdr:row>2383</xdr:row>
      <xdr:rowOff>117938</xdr:rowOff>
    </xdr:to>
    <xdr:sp macro="" textlink="">
      <xdr:nvSpPr>
        <xdr:cNvPr id="27" name="Text Box 43">
          <a:extLst>
            <a:ext uri="{FF2B5EF4-FFF2-40B4-BE49-F238E27FC236}">
              <a16:creationId xmlns:a16="http://schemas.microsoft.com/office/drawing/2014/main" id="{00000000-0008-0000-0500-00001B000000}"/>
            </a:ext>
          </a:extLst>
        </xdr:cNvPr>
        <xdr:cNvSpPr txBox="1">
          <a:spLocks noChangeArrowheads="1"/>
        </xdr:cNvSpPr>
      </xdr:nvSpPr>
      <xdr:spPr bwMode="auto">
        <a:xfrm>
          <a:off x="1977561" y="577380563"/>
          <a:ext cx="257175"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2425</xdr:row>
      <xdr:rowOff>147584</xdr:rowOff>
    </xdr:from>
    <xdr:to>
      <xdr:col>2</xdr:col>
      <xdr:colOff>866883</xdr:colOff>
      <xdr:row>2426</xdr:row>
      <xdr:rowOff>160533</xdr:rowOff>
    </xdr:to>
    <xdr:sp macro="" textlink="">
      <xdr:nvSpPr>
        <xdr:cNvPr id="28" name="Text Box 44">
          <a:extLst>
            <a:ext uri="{FF2B5EF4-FFF2-40B4-BE49-F238E27FC236}">
              <a16:creationId xmlns:a16="http://schemas.microsoft.com/office/drawing/2014/main" id="{00000000-0008-0000-0500-00001C000000}"/>
            </a:ext>
          </a:extLst>
        </xdr:cNvPr>
        <xdr:cNvSpPr txBox="1">
          <a:spLocks noChangeArrowheads="1"/>
        </xdr:cNvSpPr>
      </xdr:nvSpPr>
      <xdr:spPr bwMode="auto">
        <a:xfrm>
          <a:off x="1927583" y="587611484"/>
          <a:ext cx="329950" cy="26059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2439</xdr:row>
      <xdr:rowOff>214259</xdr:rowOff>
    </xdr:from>
    <xdr:to>
      <xdr:col>2</xdr:col>
      <xdr:colOff>717051</xdr:colOff>
      <xdr:row>2441</xdr:row>
      <xdr:rowOff>1</xdr:rowOff>
    </xdr:to>
    <xdr:sp macro="" textlink="">
      <xdr:nvSpPr>
        <xdr:cNvPr id="29" name="Text Box 46">
          <a:extLst>
            <a:ext uri="{FF2B5EF4-FFF2-40B4-BE49-F238E27FC236}">
              <a16:creationId xmlns:a16="http://schemas.microsoft.com/office/drawing/2014/main" id="{00000000-0008-0000-0500-00001D000000}"/>
            </a:ext>
          </a:extLst>
        </xdr:cNvPr>
        <xdr:cNvSpPr txBox="1">
          <a:spLocks noChangeArrowheads="1"/>
        </xdr:cNvSpPr>
      </xdr:nvSpPr>
      <xdr:spPr bwMode="auto">
        <a:xfrm>
          <a:off x="1796694" y="590992859"/>
          <a:ext cx="311007" cy="2429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2511</xdr:row>
      <xdr:rowOff>35852</xdr:rowOff>
    </xdr:from>
    <xdr:to>
      <xdr:col>2</xdr:col>
      <xdr:colOff>781263</xdr:colOff>
      <xdr:row>2512</xdr:row>
      <xdr:rowOff>42808</xdr:rowOff>
    </xdr:to>
    <xdr:sp macro="" textlink="">
      <xdr:nvSpPr>
        <xdr:cNvPr id="30" name="Text Box 47">
          <a:extLst>
            <a:ext uri="{FF2B5EF4-FFF2-40B4-BE49-F238E27FC236}">
              <a16:creationId xmlns:a16="http://schemas.microsoft.com/office/drawing/2014/main" id="{00000000-0008-0000-0500-00001E000000}"/>
            </a:ext>
          </a:extLst>
        </xdr:cNvPr>
        <xdr:cNvSpPr txBox="1">
          <a:spLocks noChangeArrowheads="1"/>
        </xdr:cNvSpPr>
      </xdr:nvSpPr>
      <xdr:spPr bwMode="auto">
        <a:xfrm>
          <a:off x="1829442" y="608654777"/>
          <a:ext cx="34247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2467</xdr:row>
      <xdr:rowOff>20335</xdr:rowOff>
    </xdr:from>
    <xdr:to>
      <xdr:col>2</xdr:col>
      <xdr:colOff>802668</xdr:colOff>
      <xdr:row>2468</xdr:row>
      <xdr:rowOff>32108</xdr:rowOff>
    </xdr:to>
    <xdr:sp macro="" textlink="">
      <xdr:nvSpPr>
        <xdr:cNvPr id="31" name="Text Box 48">
          <a:extLst>
            <a:ext uri="{FF2B5EF4-FFF2-40B4-BE49-F238E27FC236}">
              <a16:creationId xmlns:a16="http://schemas.microsoft.com/office/drawing/2014/main" id="{00000000-0008-0000-0500-00001F000000}"/>
            </a:ext>
          </a:extLst>
        </xdr:cNvPr>
        <xdr:cNvSpPr txBox="1">
          <a:spLocks noChangeArrowheads="1"/>
        </xdr:cNvSpPr>
      </xdr:nvSpPr>
      <xdr:spPr bwMode="auto">
        <a:xfrm>
          <a:off x="1875247" y="597790285"/>
          <a:ext cx="318071" cy="2403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2780</xdr:row>
      <xdr:rowOff>228492</xdr:rowOff>
    </xdr:from>
    <xdr:to>
      <xdr:col>2</xdr:col>
      <xdr:colOff>684944</xdr:colOff>
      <xdr:row>2782</xdr:row>
      <xdr:rowOff>74914</xdr:rowOff>
    </xdr:to>
    <xdr:sp macro="" textlink="">
      <xdr:nvSpPr>
        <xdr:cNvPr id="32" name="Text Box 49">
          <a:extLst>
            <a:ext uri="{FF2B5EF4-FFF2-40B4-BE49-F238E27FC236}">
              <a16:creationId xmlns:a16="http://schemas.microsoft.com/office/drawing/2014/main" id="{00000000-0008-0000-0500-000020000000}"/>
            </a:ext>
          </a:extLst>
        </xdr:cNvPr>
        <xdr:cNvSpPr txBox="1">
          <a:spLocks noChangeArrowheads="1"/>
        </xdr:cNvSpPr>
      </xdr:nvSpPr>
      <xdr:spPr bwMode="auto">
        <a:xfrm>
          <a:off x="1733123" y="672769692"/>
          <a:ext cx="342471" cy="2750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2796</xdr:row>
      <xdr:rowOff>2569</xdr:rowOff>
    </xdr:from>
    <xdr:to>
      <xdr:col>2</xdr:col>
      <xdr:colOff>920393</xdr:colOff>
      <xdr:row>2797</xdr:row>
      <xdr:rowOff>53511</xdr:rowOff>
    </xdr:to>
    <xdr:sp macro="" textlink="">
      <xdr:nvSpPr>
        <xdr:cNvPr id="33" name="Text Box 51">
          <a:extLst>
            <a:ext uri="{FF2B5EF4-FFF2-40B4-BE49-F238E27FC236}">
              <a16:creationId xmlns:a16="http://schemas.microsoft.com/office/drawing/2014/main" id="{00000000-0008-0000-0500-000021000000}"/>
            </a:ext>
          </a:extLst>
        </xdr:cNvPr>
        <xdr:cNvSpPr txBox="1">
          <a:spLocks noChangeArrowheads="1"/>
        </xdr:cNvSpPr>
      </xdr:nvSpPr>
      <xdr:spPr bwMode="auto">
        <a:xfrm>
          <a:off x="1934645" y="676458544"/>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2823</xdr:row>
      <xdr:rowOff>158179</xdr:rowOff>
    </xdr:from>
    <xdr:to>
      <xdr:col>2</xdr:col>
      <xdr:colOff>845477</xdr:colOff>
      <xdr:row>2824</xdr:row>
      <xdr:rowOff>192640</xdr:rowOff>
    </xdr:to>
    <xdr:sp macro="" textlink="">
      <xdr:nvSpPr>
        <xdr:cNvPr id="34" name="Text Box 52">
          <a:extLst>
            <a:ext uri="{FF2B5EF4-FFF2-40B4-BE49-F238E27FC236}">
              <a16:creationId xmlns:a16="http://schemas.microsoft.com/office/drawing/2014/main" id="{00000000-0008-0000-0500-000022000000}"/>
            </a:ext>
          </a:extLst>
        </xdr:cNvPr>
        <xdr:cNvSpPr txBox="1">
          <a:spLocks noChangeArrowheads="1"/>
        </xdr:cNvSpPr>
      </xdr:nvSpPr>
      <xdr:spPr bwMode="auto">
        <a:xfrm>
          <a:off x="1901468" y="683214979"/>
          <a:ext cx="334659" cy="2630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2839</xdr:row>
      <xdr:rowOff>207087</xdr:rowOff>
    </xdr:from>
    <xdr:to>
      <xdr:col>2</xdr:col>
      <xdr:colOff>866882</xdr:colOff>
      <xdr:row>2841</xdr:row>
      <xdr:rowOff>32105</xdr:rowOff>
    </xdr:to>
    <xdr:sp macro="" textlink="">
      <xdr:nvSpPr>
        <xdr:cNvPr id="35" name="Text Box 53">
          <a:extLst>
            <a:ext uri="{FF2B5EF4-FFF2-40B4-BE49-F238E27FC236}">
              <a16:creationId xmlns:a16="http://schemas.microsoft.com/office/drawing/2014/main" id="{00000000-0008-0000-0500-000023000000}"/>
            </a:ext>
          </a:extLst>
        </xdr:cNvPr>
        <xdr:cNvSpPr txBox="1">
          <a:spLocks noChangeArrowheads="1"/>
        </xdr:cNvSpPr>
      </xdr:nvSpPr>
      <xdr:spPr bwMode="auto">
        <a:xfrm>
          <a:off x="1872251" y="687083412"/>
          <a:ext cx="385281" cy="2822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2854</xdr:row>
      <xdr:rowOff>207088</xdr:rowOff>
    </xdr:from>
    <xdr:to>
      <xdr:col>2</xdr:col>
      <xdr:colOff>834776</xdr:colOff>
      <xdr:row>2856</xdr:row>
      <xdr:rowOff>21404</xdr:rowOff>
    </xdr:to>
    <xdr:sp macro="" textlink="">
      <xdr:nvSpPr>
        <xdr:cNvPr id="36" name="Text Box 54">
          <a:extLst>
            <a:ext uri="{FF2B5EF4-FFF2-40B4-BE49-F238E27FC236}">
              <a16:creationId xmlns:a16="http://schemas.microsoft.com/office/drawing/2014/main" id="{00000000-0008-0000-0500-000024000000}"/>
            </a:ext>
          </a:extLst>
        </xdr:cNvPr>
        <xdr:cNvSpPr txBox="1">
          <a:spLocks noChangeArrowheads="1"/>
        </xdr:cNvSpPr>
      </xdr:nvSpPr>
      <xdr:spPr bwMode="auto">
        <a:xfrm>
          <a:off x="1913241" y="690626713"/>
          <a:ext cx="312185" cy="2715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2865</xdr:row>
      <xdr:rowOff>255890</xdr:rowOff>
    </xdr:from>
    <xdr:to>
      <xdr:col>2</xdr:col>
      <xdr:colOff>866882</xdr:colOff>
      <xdr:row>2866</xdr:row>
      <xdr:rowOff>224746</xdr:rowOff>
    </xdr:to>
    <xdr:sp macro="" textlink="">
      <xdr:nvSpPr>
        <xdr:cNvPr id="37" name="Text Box 55">
          <a:extLst>
            <a:ext uri="{FF2B5EF4-FFF2-40B4-BE49-F238E27FC236}">
              <a16:creationId xmlns:a16="http://schemas.microsoft.com/office/drawing/2014/main" id="{00000000-0008-0000-0500-000025000000}"/>
            </a:ext>
          </a:extLst>
        </xdr:cNvPr>
        <xdr:cNvSpPr txBox="1">
          <a:spLocks noChangeArrowheads="1"/>
        </xdr:cNvSpPr>
      </xdr:nvSpPr>
      <xdr:spPr bwMode="auto">
        <a:xfrm>
          <a:off x="1889589" y="69340919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2881</xdr:row>
      <xdr:rowOff>204733</xdr:rowOff>
    </xdr:from>
    <xdr:to>
      <xdr:col>2</xdr:col>
      <xdr:colOff>781264</xdr:colOff>
      <xdr:row>2882</xdr:row>
      <xdr:rowOff>214044</xdr:rowOff>
    </xdr:to>
    <xdr:sp macro="" textlink="">
      <xdr:nvSpPr>
        <xdr:cNvPr id="38" name="Text Box 56">
          <a:extLst>
            <a:ext uri="{FF2B5EF4-FFF2-40B4-BE49-F238E27FC236}">
              <a16:creationId xmlns:a16="http://schemas.microsoft.com/office/drawing/2014/main" id="{00000000-0008-0000-0500-000026000000}"/>
            </a:ext>
          </a:extLst>
        </xdr:cNvPr>
        <xdr:cNvSpPr txBox="1">
          <a:spLocks noChangeArrowheads="1"/>
        </xdr:cNvSpPr>
      </xdr:nvSpPr>
      <xdr:spPr bwMode="auto">
        <a:xfrm>
          <a:off x="1844319" y="697196608"/>
          <a:ext cx="327595" cy="2379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2912</xdr:row>
      <xdr:rowOff>190500</xdr:rowOff>
    </xdr:from>
    <xdr:to>
      <xdr:col>2</xdr:col>
      <xdr:colOff>888287</xdr:colOff>
      <xdr:row>2914</xdr:row>
      <xdr:rowOff>42810</xdr:rowOff>
    </xdr:to>
    <xdr:sp macro="" textlink="">
      <xdr:nvSpPr>
        <xdr:cNvPr id="39" name="Text Box 57">
          <a:extLst>
            <a:ext uri="{FF2B5EF4-FFF2-40B4-BE49-F238E27FC236}">
              <a16:creationId xmlns:a16="http://schemas.microsoft.com/office/drawing/2014/main" id="{00000000-0008-0000-0500-000027000000}"/>
            </a:ext>
          </a:extLst>
        </xdr:cNvPr>
        <xdr:cNvSpPr txBox="1">
          <a:spLocks noChangeArrowheads="1"/>
        </xdr:cNvSpPr>
      </xdr:nvSpPr>
      <xdr:spPr bwMode="auto">
        <a:xfrm>
          <a:off x="1897723" y="704516625"/>
          <a:ext cx="381214" cy="3095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2928</xdr:row>
      <xdr:rowOff>33497</xdr:rowOff>
    </xdr:from>
    <xdr:to>
      <xdr:col>2</xdr:col>
      <xdr:colOff>888286</xdr:colOff>
      <xdr:row>2929</xdr:row>
      <xdr:rowOff>74915</xdr:rowOff>
    </xdr:to>
    <xdr:sp macro="" textlink="">
      <xdr:nvSpPr>
        <xdr:cNvPr id="40" name="Text Box 58">
          <a:extLst>
            <a:ext uri="{FF2B5EF4-FFF2-40B4-BE49-F238E27FC236}">
              <a16:creationId xmlns:a16="http://schemas.microsoft.com/office/drawing/2014/main" id="{00000000-0008-0000-0500-000028000000}"/>
            </a:ext>
          </a:extLst>
        </xdr:cNvPr>
        <xdr:cNvSpPr txBox="1">
          <a:spLocks noChangeArrowheads="1"/>
        </xdr:cNvSpPr>
      </xdr:nvSpPr>
      <xdr:spPr bwMode="auto">
        <a:xfrm>
          <a:off x="1884772" y="708150572"/>
          <a:ext cx="394164" cy="2700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3160</xdr:row>
      <xdr:rowOff>43023</xdr:rowOff>
    </xdr:from>
    <xdr:to>
      <xdr:col>2</xdr:col>
      <xdr:colOff>813371</xdr:colOff>
      <xdr:row>3161</xdr:row>
      <xdr:rowOff>53511</xdr:rowOff>
    </xdr:to>
    <xdr:sp macro="" textlink="">
      <xdr:nvSpPr>
        <xdr:cNvPr id="41" name="Text Box 59">
          <a:extLst>
            <a:ext uri="{FF2B5EF4-FFF2-40B4-BE49-F238E27FC236}">
              <a16:creationId xmlns:a16="http://schemas.microsoft.com/office/drawing/2014/main" id="{00000000-0008-0000-0500-000029000000}"/>
            </a:ext>
          </a:extLst>
        </xdr:cNvPr>
        <xdr:cNvSpPr txBox="1">
          <a:spLocks noChangeArrowheads="1"/>
        </xdr:cNvSpPr>
      </xdr:nvSpPr>
      <xdr:spPr bwMode="auto">
        <a:xfrm>
          <a:off x="1854914" y="764205198"/>
          <a:ext cx="349107" cy="2581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3172</xdr:row>
      <xdr:rowOff>115585</xdr:rowOff>
    </xdr:from>
    <xdr:to>
      <xdr:col>2</xdr:col>
      <xdr:colOff>652836</xdr:colOff>
      <xdr:row>3173</xdr:row>
      <xdr:rowOff>107022</xdr:rowOff>
    </xdr:to>
    <xdr:sp macro="" textlink="">
      <xdr:nvSpPr>
        <xdr:cNvPr id="42" name="Text Box 60">
          <a:extLst>
            <a:ext uri="{FF2B5EF4-FFF2-40B4-BE49-F238E27FC236}">
              <a16:creationId xmlns:a16="http://schemas.microsoft.com/office/drawing/2014/main" id="{00000000-0008-0000-0500-00002A000000}"/>
            </a:ext>
          </a:extLst>
        </xdr:cNvPr>
        <xdr:cNvSpPr txBox="1">
          <a:spLocks noChangeArrowheads="1"/>
        </xdr:cNvSpPr>
      </xdr:nvSpPr>
      <xdr:spPr bwMode="auto">
        <a:xfrm>
          <a:off x="1700158" y="767144785"/>
          <a:ext cx="343328" cy="2390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3186</xdr:row>
      <xdr:rowOff>43023</xdr:rowOff>
    </xdr:from>
    <xdr:to>
      <xdr:col>2</xdr:col>
      <xdr:colOff>834775</xdr:colOff>
      <xdr:row>3187</xdr:row>
      <xdr:rowOff>85617</xdr:rowOff>
    </xdr:to>
    <xdr:sp macro="" textlink="">
      <xdr:nvSpPr>
        <xdr:cNvPr id="43" name="Text Box 61">
          <a:extLst>
            <a:ext uri="{FF2B5EF4-FFF2-40B4-BE49-F238E27FC236}">
              <a16:creationId xmlns:a16="http://schemas.microsoft.com/office/drawing/2014/main" id="{00000000-0008-0000-0500-00002B000000}"/>
            </a:ext>
          </a:extLst>
        </xdr:cNvPr>
        <xdr:cNvSpPr txBox="1">
          <a:spLocks noChangeArrowheads="1"/>
        </xdr:cNvSpPr>
      </xdr:nvSpPr>
      <xdr:spPr bwMode="auto">
        <a:xfrm>
          <a:off x="1896652" y="770605998"/>
          <a:ext cx="328773" cy="29024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3202</xdr:row>
      <xdr:rowOff>20438</xdr:rowOff>
    </xdr:from>
    <xdr:to>
      <xdr:col>2</xdr:col>
      <xdr:colOff>834775</xdr:colOff>
      <xdr:row>3203</xdr:row>
      <xdr:rowOff>10702</xdr:rowOff>
    </xdr:to>
    <xdr:sp macro="" textlink="">
      <xdr:nvSpPr>
        <xdr:cNvPr id="44" name="Text Box 62">
          <a:extLst>
            <a:ext uri="{FF2B5EF4-FFF2-40B4-BE49-F238E27FC236}">
              <a16:creationId xmlns:a16="http://schemas.microsoft.com/office/drawing/2014/main" id="{00000000-0008-0000-0500-00002C000000}"/>
            </a:ext>
          </a:extLst>
        </xdr:cNvPr>
        <xdr:cNvSpPr txBox="1">
          <a:spLocks noChangeArrowheads="1"/>
        </xdr:cNvSpPr>
      </xdr:nvSpPr>
      <xdr:spPr bwMode="auto">
        <a:xfrm>
          <a:off x="1895261" y="774583913"/>
          <a:ext cx="330164" cy="2379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2971</xdr:row>
      <xdr:rowOff>176160</xdr:rowOff>
    </xdr:from>
    <xdr:to>
      <xdr:col>2</xdr:col>
      <xdr:colOff>941798</xdr:colOff>
      <xdr:row>2972</xdr:row>
      <xdr:rowOff>192640</xdr:rowOff>
    </xdr:to>
    <xdr:sp macro="" textlink="">
      <xdr:nvSpPr>
        <xdr:cNvPr id="45" name="Text Box 85">
          <a:extLst>
            <a:ext uri="{FF2B5EF4-FFF2-40B4-BE49-F238E27FC236}">
              <a16:creationId xmlns:a16="http://schemas.microsoft.com/office/drawing/2014/main" id="{00000000-0008-0000-0500-00002D000000}"/>
            </a:ext>
          </a:extLst>
        </xdr:cNvPr>
        <xdr:cNvSpPr txBox="1">
          <a:spLocks noChangeArrowheads="1"/>
        </xdr:cNvSpPr>
      </xdr:nvSpPr>
      <xdr:spPr bwMode="auto">
        <a:xfrm>
          <a:off x="1982377" y="718570710"/>
          <a:ext cx="350071" cy="26413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2987</xdr:row>
      <xdr:rowOff>172627</xdr:rowOff>
    </xdr:from>
    <xdr:to>
      <xdr:col>2</xdr:col>
      <xdr:colOff>813371</xdr:colOff>
      <xdr:row>2988</xdr:row>
      <xdr:rowOff>171237</xdr:rowOff>
    </xdr:to>
    <xdr:sp macro="" textlink="">
      <xdr:nvSpPr>
        <xdr:cNvPr id="46" name="Text Box 86">
          <a:extLst>
            <a:ext uri="{FF2B5EF4-FFF2-40B4-BE49-F238E27FC236}">
              <a16:creationId xmlns:a16="http://schemas.microsoft.com/office/drawing/2014/main" id="{00000000-0008-0000-0500-00002E000000}"/>
            </a:ext>
          </a:extLst>
        </xdr:cNvPr>
        <xdr:cNvSpPr txBox="1">
          <a:spLocks noChangeArrowheads="1"/>
        </xdr:cNvSpPr>
      </xdr:nvSpPr>
      <xdr:spPr bwMode="auto">
        <a:xfrm>
          <a:off x="1859516" y="722424802"/>
          <a:ext cx="344505" cy="2462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3014</xdr:row>
      <xdr:rowOff>226140</xdr:rowOff>
    </xdr:from>
    <xdr:to>
      <xdr:col>2</xdr:col>
      <xdr:colOff>781264</xdr:colOff>
      <xdr:row>3015</xdr:row>
      <xdr:rowOff>235449</xdr:rowOff>
    </xdr:to>
    <xdr:sp macro="" textlink="">
      <xdr:nvSpPr>
        <xdr:cNvPr id="47" name="Text Box 88">
          <a:extLst>
            <a:ext uri="{FF2B5EF4-FFF2-40B4-BE49-F238E27FC236}">
              <a16:creationId xmlns:a16="http://schemas.microsoft.com/office/drawing/2014/main" id="{00000000-0008-0000-0500-00002F000000}"/>
            </a:ext>
          </a:extLst>
        </xdr:cNvPr>
        <xdr:cNvSpPr txBox="1">
          <a:spLocks noChangeArrowheads="1"/>
        </xdr:cNvSpPr>
      </xdr:nvSpPr>
      <xdr:spPr bwMode="auto">
        <a:xfrm>
          <a:off x="1806004" y="728879115"/>
          <a:ext cx="365910" cy="2855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3020</xdr:row>
      <xdr:rowOff>0</xdr:rowOff>
    </xdr:from>
    <xdr:to>
      <xdr:col>2</xdr:col>
      <xdr:colOff>342900</xdr:colOff>
      <xdr:row>3020</xdr:row>
      <xdr:rowOff>66675</xdr:rowOff>
    </xdr:to>
    <xdr:sp macro="" textlink="">
      <xdr:nvSpPr>
        <xdr:cNvPr id="48" name="Text Box 89">
          <a:extLst>
            <a:ext uri="{FF2B5EF4-FFF2-40B4-BE49-F238E27FC236}">
              <a16:creationId xmlns:a16="http://schemas.microsoft.com/office/drawing/2014/main" id="{00000000-0008-0000-0500-000030000000}"/>
            </a:ext>
          </a:extLst>
        </xdr:cNvPr>
        <xdr:cNvSpPr txBox="1">
          <a:spLocks noChangeArrowheads="1"/>
        </xdr:cNvSpPr>
      </xdr:nvSpPr>
      <xdr:spPr bwMode="auto">
        <a:xfrm>
          <a:off x="1476375" y="7300531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3103</xdr:row>
      <xdr:rowOff>242832</xdr:rowOff>
    </xdr:from>
    <xdr:to>
      <xdr:col>2</xdr:col>
      <xdr:colOff>749157</xdr:colOff>
      <xdr:row>3104</xdr:row>
      <xdr:rowOff>224747</xdr:rowOff>
    </xdr:to>
    <xdr:sp macro="" textlink="">
      <xdr:nvSpPr>
        <xdr:cNvPr id="49" name="Text Box 93">
          <a:extLst>
            <a:ext uri="{FF2B5EF4-FFF2-40B4-BE49-F238E27FC236}">
              <a16:creationId xmlns:a16="http://schemas.microsoft.com/office/drawing/2014/main" id="{00000000-0008-0000-0500-000031000000}"/>
            </a:ext>
          </a:extLst>
        </xdr:cNvPr>
        <xdr:cNvSpPr txBox="1">
          <a:spLocks noChangeArrowheads="1"/>
        </xdr:cNvSpPr>
      </xdr:nvSpPr>
      <xdr:spPr bwMode="auto">
        <a:xfrm>
          <a:off x="1798940" y="750565182"/>
          <a:ext cx="340867" cy="2295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3118</xdr:row>
      <xdr:rowOff>16910</xdr:rowOff>
    </xdr:from>
    <xdr:to>
      <xdr:col>2</xdr:col>
      <xdr:colOff>770563</xdr:colOff>
      <xdr:row>3118</xdr:row>
      <xdr:rowOff>235449</xdr:rowOff>
    </xdr:to>
    <xdr:sp macro="" textlink="">
      <xdr:nvSpPr>
        <xdr:cNvPr id="50" name="Text Box 94">
          <a:extLst>
            <a:ext uri="{FF2B5EF4-FFF2-40B4-BE49-F238E27FC236}">
              <a16:creationId xmlns:a16="http://schemas.microsoft.com/office/drawing/2014/main" id="{00000000-0008-0000-0500-000032000000}"/>
            </a:ext>
          </a:extLst>
        </xdr:cNvPr>
        <xdr:cNvSpPr txBox="1">
          <a:spLocks noChangeArrowheads="1"/>
        </xdr:cNvSpPr>
      </xdr:nvSpPr>
      <xdr:spPr bwMode="auto">
        <a:xfrm>
          <a:off x="1849028" y="7539397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3130</xdr:row>
      <xdr:rowOff>8564</xdr:rowOff>
    </xdr:from>
    <xdr:to>
      <xdr:col>2</xdr:col>
      <xdr:colOff>749157</xdr:colOff>
      <xdr:row>3131</xdr:row>
      <xdr:rowOff>128427</xdr:rowOff>
    </xdr:to>
    <xdr:sp macro="" textlink="">
      <xdr:nvSpPr>
        <xdr:cNvPr id="51" name="Text Box 95">
          <a:extLst>
            <a:ext uri="{FF2B5EF4-FFF2-40B4-BE49-F238E27FC236}">
              <a16:creationId xmlns:a16="http://schemas.microsoft.com/office/drawing/2014/main" id="{00000000-0008-0000-0500-000033000000}"/>
            </a:ext>
          </a:extLst>
        </xdr:cNvPr>
        <xdr:cNvSpPr txBox="1">
          <a:spLocks noChangeArrowheads="1"/>
        </xdr:cNvSpPr>
      </xdr:nvSpPr>
      <xdr:spPr bwMode="auto">
        <a:xfrm>
          <a:off x="1762125" y="756950789"/>
          <a:ext cx="377682" cy="367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52" name="Text Box 135">
          <a:extLst>
            <a:ext uri="{FF2B5EF4-FFF2-40B4-BE49-F238E27FC236}">
              <a16:creationId xmlns:a16="http://schemas.microsoft.com/office/drawing/2014/main" id="{00000000-0008-0000-0500-000034000000}"/>
            </a:ext>
          </a:extLst>
        </xdr:cNvPr>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3" name="Text Box 136">
          <a:extLst>
            <a:ext uri="{FF2B5EF4-FFF2-40B4-BE49-F238E27FC236}">
              <a16:creationId xmlns:a16="http://schemas.microsoft.com/office/drawing/2014/main" id="{00000000-0008-0000-0500-000035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4" name="Text Box 139">
          <a:extLst>
            <a:ext uri="{FF2B5EF4-FFF2-40B4-BE49-F238E27FC236}">
              <a16:creationId xmlns:a16="http://schemas.microsoft.com/office/drawing/2014/main" id="{00000000-0008-0000-0500-000036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2367</xdr:row>
      <xdr:rowOff>21619</xdr:rowOff>
    </xdr:from>
    <xdr:to>
      <xdr:col>2</xdr:col>
      <xdr:colOff>824073</xdr:colOff>
      <xdr:row>2368</xdr:row>
      <xdr:rowOff>64214</xdr:rowOff>
    </xdr:to>
    <xdr:sp macro="" textlink="">
      <xdr:nvSpPr>
        <xdr:cNvPr id="55" name="Text Box 142">
          <a:extLst>
            <a:ext uri="{FF2B5EF4-FFF2-40B4-BE49-F238E27FC236}">
              <a16:creationId xmlns:a16="http://schemas.microsoft.com/office/drawing/2014/main" id="{00000000-0008-0000-0500-000037000000}"/>
            </a:ext>
          </a:extLst>
        </xdr:cNvPr>
        <xdr:cNvSpPr txBox="1">
          <a:spLocks noChangeArrowheads="1"/>
        </xdr:cNvSpPr>
      </xdr:nvSpPr>
      <xdr:spPr bwMode="auto">
        <a:xfrm>
          <a:off x="1879956" y="573645694"/>
          <a:ext cx="334767"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1099</xdr:row>
      <xdr:rowOff>171235</xdr:rowOff>
    </xdr:from>
    <xdr:to>
      <xdr:col>2</xdr:col>
      <xdr:colOff>417388</xdr:colOff>
      <xdr:row>1101</xdr:row>
      <xdr:rowOff>8454</xdr:rowOff>
    </xdr:to>
    <xdr:sp macro="" textlink="">
      <xdr:nvSpPr>
        <xdr:cNvPr id="56" name="Text Box 147">
          <a:extLst>
            <a:ext uri="{FF2B5EF4-FFF2-40B4-BE49-F238E27FC236}">
              <a16:creationId xmlns:a16="http://schemas.microsoft.com/office/drawing/2014/main" id="{00000000-0008-0000-0500-000038000000}"/>
            </a:ext>
          </a:extLst>
        </xdr:cNvPr>
        <xdr:cNvSpPr txBox="1">
          <a:spLocks noChangeArrowheads="1"/>
        </xdr:cNvSpPr>
      </xdr:nvSpPr>
      <xdr:spPr bwMode="auto">
        <a:xfrm>
          <a:off x="1550114" y="276491485"/>
          <a:ext cx="257924" cy="3325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1128</xdr:row>
      <xdr:rowOff>75129</xdr:rowOff>
    </xdr:from>
    <xdr:to>
      <xdr:col>2</xdr:col>
      <xdr:colOff>492304</xdr:colOff>
      <xdr:row>1129</xdr:row>
      <xdr:rowOff>85618</xdr:rowOff>
    </xdr:to>
    <xdr:sp macro="" textlink="">
      <xdr:nvSpPr>
        <xdr:cNvPr id="57" name="Text Box 148">
          <a:extLst>
            <a:ext uri="{FF2B5EF4-FFF2-40B4-BE49-F238E27FC236}">
              <a16:creationId xmlns:a16="http://schemas.microsoft.com/office/drawing/2014/main" id="{00000000-0008-0000-0500-000039000000}"/>
            </a:ext>
          </a:extLst>
        </xdr:cNvPr>
        <xdr:cNvSpPr txBox="1">
          <a:spLocks noChangeArrowheads="1"/>
        </xdr:cNvSpPr>
      </xdr:nvSpPr>
      <xdr:spPr bwMode="auto">
        <a:xfrm>
          <a:off x="1582218" y="282777129"/>
          <a:ext cx="300736" cy="2581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8" name="Text Box 150">
          <a:extLst>
            <a:ext uri="{FF2B5EF4-FFF2-40B4-BE49-F238E27FC236}">
              <a16:creationId xmlns:a16="http://schemas.microsoft.com/office/drawing/2014/main" id="{00000000-0008-0000-0500-00003A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1584</xdr:row>
      <xdr:rowOff>0</xdr:rowOff>
    </xdr:from>
    <xdr:to>
      <xdr:col>2</xdr:col>
      <xdr:colOff>390525</xdr:colOff>
      <xdr:row>1584</xdr:row>
      <xdr:rowOff>0</xdr:rowOff>
    </xdr:to>
    <xdr:sp macro="" textlink="">
      <xdr:nvSpPr>
        <xdr:cNvPr id="59" name="Text Box 151">
          <a:extLst>
            <a:ext uri="{FF2B5EF4-FFF2-40B4-BE49-F238E27FC236}">
              <a16:creationId xmlns:a16="http://schemas.microsoft.com/office/drawing/2014/main" id="{00000000-0008-0000-0500-00003B000000}"/>
            </a:ext>
          </a:extLst>
        </xdr:cNvPr>
        <xdr:cNvSpPr txBox="1">
          <a:spLocks noChangeArrowheads="1"/>
        </xdr:cNvSpPr>
      </xdr:nvSpPr>
      <xdr:spPr bwMode="auto">
        <a:xfrm>
          <a:off x="1524000"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0" name="Text Box 152">
          <a:extLst>
            <a:ext uri="{FF2B5EF4-FFF2-40B4-BE49-F238E27FC236}">
              <a16:creationId xmlns:a16="http://schemas.microsoft.com/office/drawing/2014/main" id="{00000000-0008-0000-0500-00003C000000}"/>
            </a:ext>
          </a:extLst>
        </xdr:cNvPr>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61" name="Text Box 153">
          <a:extLst>
            <a:ext uri="{FF2B5EF4-FFF2-40B4-BE49-F238E27FC236}">
              <a16:creationId xmlns:a16="http://schemas.microsoft.com/office/drawing/2014/main" id="{00000000-0008-0000-0500-00003D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2" name="Text Box 154">
          <a:extLst>
            <a:ext uri="{FF2B5EF4-FFF2-40B4-BE49-F238E27FC236}">
              <a16:creationId xmlns:a16="http://schemas.microsoft.com/office/drawing/2014/main" id="{00000000-0008-0000-0500-00003E000000}"/>
            </a:ext>
          </a:extLst>
        </xdr:cNvPr>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2898</xdr:row>
      <xdr:rowOff>149831</xdr:rowOff>
    </xdr:from>
    <xdr:to>
      <xdr:col>2</xdr:col>
      <xdr:colOff>920393</xdr:colOff>
      <xdr:row>2899</xdr:row>
      <xdr:rowOff>203342</xdr:rowOff>
    </xdr:to>
    <xdr:sp macro="" textlink="">
      <xdr:nvSpPr>
        <xdr:cNvPr id="63" name="Text Box 156">
          <a:extLst>
            <a:ext uri="{FF2B5EF4-FFF2-40B4-BE49-F238E27FC236}">
              <a16:creationId xmlns:a16="http://schemas.microsoft.com/office/drawing/2014/main" id="{00000000-0008-0000-0500-00003F000000}"/>
            </a:ext>
          </a:extLst>
        </xdr:cNvPr>
        <xdr:cNvSpPr txBox="1">
          <a:spLocks noChangeArrowheads="1"/>
        </xdr:cNvSpPr>
      </xdr:nvSpPr>
      <xdr:spPr bwMode="auto">
        <a:xfrm>
          <a:off x="1893656" y="701218406"/>
          <a:ext cx="417387" cy="2821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3198</xdr:row>
      <xdr:rowOff>0</xdr:rowOff>
    </xdr:from>
    <xdr:to>
      <xdr:col>2</xdr:col>
      <xdr:colOff>342900</xdr:colOff>
      <xdr:row>3198</xdr:row>
      <xdr:rowOff>0</xdr:rowOff>
    </xdr:to>
    <xdr:sp macro="" textlink="">
      <xdr:nvSpPr>
        <xdr:cNvPr id="64" name="Text Box 157">
          <a:extLst>
            <a:ext uri="{FF2B5EF4-FFF2-40B4-BE49-F238E27FC236}">
              <a16:creationId xmlns:a16="http://schemas.microsoft.com/office/drawing/2014/main" id="{00000000-0008-0000-0500-000040000000}"/>
            </a:ext>
          </a:extLst>
        </xdr:cNvPr>
        <xdr:cNvSpPr txBox="1">
          <a:spLocks noChangeArrowheads="1"/>
        </xdr:cNvSpPr>
      </xdr:nvSpPr>
      <xdr:spPr bwMode="auto">
        <a:xfrm>
          <a:off x="1476375" y="773572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3030</xdr:row>
      <xdr:rowOff>189216</xdr:rowOff>
    </xdr:from>
    <xdr:to>
      <xdr:col>2</xdr:col>
      <xdr:colOff>834775</xdr:colOff>
      <xdr:row>3031</xdr:row>
      <xdr:rowOff>160534</xdr:rowOff>
    </xdr:to>
    <xdr:sp macro="" textlink="">
      <xdr:nvSpPr>
        <xdr:cNvPr id="65" name="Text Box 159">
          <a:extLst>
            <a:ext uri="{FF2B5EF4-FFF2-40B4-BE49-F238E27FC236}">
              <a16:creationId xmlns:a16="http://schemas.microsoft.com/office/drawing/2014/main" id="{00000000-0008-0000-0500-000041000000}"/>
            </a:ext>
          </a:extLst>
        </xdr:cNvPr>
        <xdr:cNvSpPr txBox="1">
          <a:spLocks noChangeArrowheads="1"/>
        </xdr:cNvSpPr>
      </xdr:nvSpPr>
      <xdr:spPr bwMode="auto">
        <a:xfrm>
          <a:off x="1891943" y="732499791"/>
          <a:ext cx="333482" cy="2189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4348</xdr:row>
      <xdr:rowOff>0</xdr:rowOff>
    </xdr:from>
    <xdr:to>
      <xdr:col>2</xdr:col>
      <xdr:colOff>342900</xdr:colOff>
      <xdr:row>4348</xdr:row>
      <xdr:rowOff>0</xdr:rowOff>
    </xdr:to>
    <xdr:sp macro="" textlink="">
      <xdr:nvSpPr>
        <xdr:cNvPr id="66" name="Text Box 162">
          <a:extLst>
            <a:ext uri="{FF2B5EF4-FFF2-40B4-BE49-F238E27FC236}">
              <a16:creationId xmlns:a16="http://schemas.microsoft.com/office/drawing/2014/main" id="{00000000-0008-0000-0500-000042000000}"/>
            </a:ext>
          </a:extLst>
        </xdr:cNvPr>
        <xdr:cNvSpPr txBox="1">
          <a:spLocks noChangeArrowheads="1"/>
        </xdr:cNvSpPr>
      </xdr:nvSpPr>
      <xdr:spPr bwMode="auto">
        <a:xfrm>
          <a:off x="1476375" y="1049064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2127</xdr:row>
      <xdr:rowOff>52548</xdr:rowOff>
    </xdr:from>
    <xdr:to>
      <xdr:col>2</xdr:col>
      <xdr:colOff>802669</xdr:colOff>
      <xdr:row>2128</xdr:row>
      <xdr:rowOff>42808</xdr:rowOff>
    </xdr:to>
    <xdr:sp macro="" textlink="">
      <xdr:nvSpPr>
        <xdr:cNvPr id="67" name="Text Box 179">
          <a:extLst>
            <a:ext uri="{FF2B5EF4-FFF2-40B4-BE49-F238E27FC236}">
              <a16:creationId xmlns:a16="http://schemas.microsoft.com/office/drawing/2014/main" id="{00000000-0008-0000-0500-000043000000}"/>
            </a:ext>
          </a:extLst>
        </xdr:cNvPr>
        <xdr:cNvSpPr txBox="1">
          <a:spLocks noChangeArrowheads="1"/>
        </xdr:cNvSpPr>
      </xdr:nvSpPr>
      <xdr:spPr bwMode="auto">
        <a:xfrm>
          <a:off x="1882312" y="516888573"/>
          <a:ext cx="311007" cy="20933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1041</xdr:row>
      <xdr:rowOff>130996</xdr:rowOff>
    </xdr:from>
    <xdr:to>
      <xdr:col>2</xdr:col>
      <xdr:colOff>435689</xdr:colOff>
      <xdr:row>1042</xdr:row>
      <xdr:rowOff>96428</xdr:rowOff>
    </xdr:to>
    <xdr:sp macro="" textlink="">
      <xdr:nvSpPr>
        <xdr:cNvPr id="68" name="Text Box 181">
          <a:extLst>
            <a:ext uri="{FF2B5EF4-FFF2-40B4-BE49-F238E27FC236}">
              <a16:creationId xmlns:a16="http://schemas.microsoft.com/office/drawing/2014/main" id="{00000000-0008-0000-0500-000044000000}"/>
            </a:ext>
          </a:extLst>
        </xdr:cNvPr>
        <xdr:cNvSpPr txBox="1">
          <a:spLocks noChangeArrowheads="1"/>
        </xdr:cNvSpPr>
      </xdr:nvSpPr>
      <xdr:spPr bwMode="auto">
        <a:xfrm>
          <a:off x="1569164" y="2624209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239</xdr:row>
      <xdr:rowOff>38100</xdr:rowOff>
    </xdr:from>
    <xdr:to>
      <xdr:col>1</xdr:col>
      <xdr:colOff>838200</xdr:colOff>
      <xdr:row>240</xdr:row>
      <xdr:rowOff>0</xdr:rowOff>
    </xdr:to>
    <xdr:sp macro="" textlink="">
      <xdr:nvSpPr>
        <xdr:cNvPr id="69" name="Text Box 215">
          <a:extLst>
            <a:ext uri="{FF2B5EF4-FFF2-40B4-BE49-F238E27FC236}">
              <a16:creationId xmlns:a16="http://schemas.microsoft.com/office/drawing/2014/main" id="{00000000-0008-0000-0500-000045000000}"/>
            </a:ext>
          </a:extLst>
        </xdr:cNvPr>
        <xdr:cNvSpPr txBox="1">
          <a:spLocks noChangeArrowheads="1"/>
        </xdr:cNvSpPr>
      </xdr:nvSpPr>
      <xdr:spPr bwMode="auto">
        <a:xfrm>
          <a:off x="1266825" y="64903350"/>
          <a:ext cx="12382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236</xdr:row>
      <xdr:rowOff>123825</xdr:rowOff>
    </xdr:from>
    <xdr:to>
      <xdr:col>2</xdr:col>
      <xdr:colOff>342900</xdr:colOff>
      <xdr:row>237</xdr:row>
      <xdr:rowOff>76200</xdr:rowOff>
    </xdr:to>
    <xdr:sp macro="" textlink="">
      <xdr:nvSpPr>
        <xdr:cNvPr id="70" name="Text Box 216">
          <a:extLst>
            <a:ext uri="{FF2B5EF4-FFF2-40B4-BE49-F238E27FC236}">
              <a16:creationId xmlns:a16="http://schemas.microsoft.com/office/drawing/2014/main" id="{00000000-0008-0000-0500-000046000000}"/>
            </a:ext>
          </a:extLst>
        </xdr:cNvPr>
        <xdr:cNvSpPr txBox="1">
          <a:spLocks noChangeArrowheads="1"/>
        </xdr:cNvSpPr>
      </xdr:nvSpPr>
      <xdr:spPr bwMode="auto">
        <a:xfrm>
          <a:off x="1590675" y="64360425"/>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239</xdr:row>
      <xdr:rowOff>9525</xdr:rowOff>
    </xdr:from>
    <xdr:to>
      <xdr:col>2</xdr:col>
      <xdr:colOff>371475</xdr:colOff>
      <xdr:row>239</xdr:row>
      <xdr:rowOff>180975</xdr:rowOff>
    </xdr:to>
    <xdr:sp macro="" textlink="">
      <xdr:nvSpPr>
        <xdr:cNvPr id="71" name="Text Box 217">
          <a:extLst>
            <a:ext uri="{FF2B5EF4-FFF2-40B4-BE49-F238E27FC236}">
              <a16:creationId xmlns:a16="http://schemas.microsoft.com/office/drawing/2014/main" id="{00000000-0008-0000-0500-000047000000}"/>
            </a:ext>
          </a:extLst>
        </xdr:cNvPr>
        <xdr:cNvSpPr txBox="1">
          <a:spLocks noChangeArrowheads="1"/>
        </xdr:cNvSpPr>
      </xdr:nvSpPr>
      <xdr:spPr bwMode="auto">
        <a:xfrm>
          <a:off x="1390650" y="64874775"/>
          <a:ext cx="371475" cy="17145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1188</xdr:row>
      <xdr:rowOff>76307</xdr:rowOff>
    </xdr:from>
    <xdr:to>
      <xdr:col>2</xdr:col>
      <xdr:colOff>481602</xdr:colOff>
      <xdr:row>1189</xdr:row>
      <xdr:rowOff>107023</xdr:rowOff>
    </xdr:to>
    <xdr:sp macro="" textlink="">
      <xdr:nvSpPr>
        <xdr:cNvPr id="72" name="Text Box 218">
          <a:extLst>
            <a:ext uri="{FF2B5EF4-FFF2-40B4-BE49-F238E27FC236}">
              <a16:creationId xmlns:a16="http://schemas.microsoft.com/office/drawing/2014/main" id="{00000000-0008-0000-0500-000048000000}"/>
            </a:ext>
          </a:extLst>
        </xdr:cNvPr>
        <xdr:cNvSpPr txBox="1">
          <a:spLocks noChangeArrowheads="1"/>
        </xdr:cNvSpPr>
      </xdr:nvSpPr>
      <xdr:spPr bwMode="auto">
        <a:xfrm>
          <a:off x="1561994" y="296799107"/>
          <a:ext cx="310258" cy="2783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1331</xdr:row>
      <xdr:rowOff>208267</xdr:rowOff>
    </xdr:from>
    <xdr:to>
      <xdr:col>2</xdr:col>
      <xdr:colOff>535111</xdr:colOff>
      <xdr:row>1333</xdr:row>
      <xdr:rowOff>2</xdr:rowOff>
    </xdr:to>
    <xdr:sp macro="" textlink="">
      <xdr:nvSpPr>
        <xdr:cNvPr id="73" name="Text Box 220">
          <a:extLst>
            <a:ext uri="{FF2B5EF4-FFF2-40B4-BE49-F238E27FC236}">
              <a16:creationId xmlns:a16="http://schemas.microsoft.com/office/drawing/2014/main" id="{00000000-0008-0000-0500-000049000000}"/>
            </a:ext>
          </a:extLst>
        </xdr:cNvPr>
        <xdr:cNvSpPr txBox="1">
          <a:spLocks noChangeArrowheads="1"/>
        </xdr:cNvSpPr>
      </xdr:nvSpPr>
      <xdr:spPr bwMode="auto">
        <a:xfrm>
          <a:off x="1604800" y="330020917"/>
          <a:ext cx="320961" cy="2013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1548</xdr:row>
      <xdr:rowOff>96429</xdr:rowOff>
    </xdr:from>
    <xdr:to>
      <xdr:col>2</xdr:col>
      <xdr:colOff>588624</xdr:colOff>
      <xdr:row>1549</xdr:row>
      <xdr:rowOff>85618</xdr:rowOff>
    </xdr:to>
    <xdr:sp macro="" textlink="">
      <xdr:nvSpPr>
        <xdr:cNvPr id="74" name="Text Box 222">
          <a:extLst>
            <a:ext uri="{FF2B5EF4-FFF2-40B4-BE49-F238E27FC236}">
              <a16:creationId xmlns:a16="http://schemas.microsoft.com/office/drawing/2014/main" id="{00000000-0008-0000-0500-00004A000000}"/>
            </a:ext>
          </a:extLst>
        </xdr:cNvPr>
        <xdr:cNvSpPr txBox="1">
          <a:spLocks noChangeArrowheads="1"/>
        </xdr:cNvSpPr>
      </xdr:nvSpPr>
      <xdr:spPr bwMode="auto">
        <a:xfrm>
          <a:off x="1698982" y="380020104"/>
          <a:ext cx="280292" cy="2368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1357</xdr:row>
      <xdr:rowOff>125003</xdr:rowOff>
    </xdr:from>
    <xdr:to>
      <xdr:col>2</xdr:col>
      <xdr:colOff>470899</xdr:colOff>
      <xdr:row>1358</xdr:row>
      <xdr:rowOff>139130</xdr:rowOff>
    </xdr:to>
    <xdr:sp macro="" textlink="">
      <xdr:nvSpPr>
        <xdr:cNvPr id="75" name="Text Box 225">
          <a:extLst>
            <a:ext uri="{FF2B5EF4-FFF2-40B4-BE49-F238E27FC236}">
              <a16:creationId xmlns:a16="http://schemas.microsoft.com/office/drawing/2014/main" id="{00000000-0008-0000-0500-00004B000000}"/>
            </a:ext>
          </a:extLst>
        </xdr:cNvPr>
        <xdr:cNvSpPr txBox="1">
          <a:spLocks noChangeArrowheads="1"/>
        </xdr:cNvSpPr>
      </xdr:nvSpPr>
      <xdr:spPr bwMode="auto">
        <a:xfrm>
          <a:off x="1570341" y="335490728"/>
          <a:ext cx="291208" cy="2332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1221</xdr:row>
      <xdr:rowOff>92894</xdr:rowOff>
    </xdr:from>
    <xdr:to>
      <xdr:col>2</xdr:col>
      <xdr:colOff>513708</xdr:colOff>
      <xdr:row>1222</xdr:row>
      <xdr:rowOff>74916</xdr:rowOff>
    </xdr:to>
    <xdr:sp macro="" textlink="">
      <xdr:nvSpPr>
        <xdr:cNvPr id="76" name="Text Box 227">
          <a:extLst>
            <a:ext uri="{FF2B5EF4-FFF2-40B4-BE49-F238E27FC236}">
              <a16:creationId xmlns:a16="http://schemas.microsoft.com/office/drawing/2014/main" id="{00000000-0008-0000-0500-00004C000000}"/>
            </a:ext>
          </a:extLst>
        </xdr:cNvPr>
        <xdr:cNvSpPr txBox="1">
          <a:spLocks noChangeArrowheads="1"/>
        </xdr:cNvSpPr>
      </xdr:nvSpPr>
      <xdr:spPr bwMode="auto">
        <a:xfrm>
          <a:off x="1594100" y="3044642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77" name="Text Box 228">
          <a:extLst>
            <a:ext uri="{FF2B5EF4-FFF2-40B4-BE49-F238E27FC236}">
              <a16:creationId xmlns:a16="http://schemas.microsoft.com/office/drawing/2014/main" id="{00000000-0008-0000-0500-00004D000000}"/>
            </a:ext>
          </a:extLst>
        </xdr:cNvPr>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1178</xdr:row>
      <xdr:rowOff>0</xdr:rowOff>
    </xdr:from>
    <xdr:to>
      <xdr:col>2</xdr:col>
      <xdr:colOff>390525</xdr:colOff>
      <xdr:row>1178</xdr:row>
      <xdr:rowOff>0</xdr:rowOff>
    </xdr:to>
    <xdr:sp macro="" textlink="">
      <xdr:nvSpPr>
        <xdr:cNvPr id="78" name="Text Box 229">
          <a:extLst>
            <a:ext uri="{FF2B5EF4-FFF2-40B4-BE49-F238E27FC236}">
              <a16:creationId xmlns:a16="http://schemas.microsoft.com/office/drawing/2014/main" id="{00000000-0008-0000-0500-00004E000000}"/>
            </a:ext>
          </a:extLst>
        </xdr:cNvPr>
        <xdr:cNvSpPr txBox="1">
          <a:spLocks noChangeArrowheads="1"/>
        </xdr:cNvSpPr>
      </xdr:nvSpPr>
      <xdr:spPr bwMode="auto">
        <a:xfrm>
          <a:off x="1524000"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1178</xdr:row>
      <xdr:rowOff>0</xdr:rowOff>
    </xdr:from>
    <xdr:to>
      <xdr:col>2</xdr:col>
      <xdr:colOff>361950</xdr:colOff>
      <xdr:row>1178</xdr:row>
      <xdr:rowOff>0</xdr:rowOff>
    </xdr:to>
    <xdr:sp macro="" textlink="">
      <xdr:nvSpPr>
        <xdr:cNvPr id="79" name="Text Box 230">
          <a:extLst>
            <a:ext uri="{FF2B5EF4-FFF2-40B4-BE49-F238E27FC236}">
              <a16:creationId xmlns:a16="http://schemas.microsoft.com/office/drawing/2014/main" id="{00000000-0008-0000-0500-00004F000000}"/>
            </a:ext>
          </a:extLst>
        </xdr:cNvPr>
        <xdr:cNvSpPr txBox="1">
          <a:spLocks noChangeArrowheads="1"/>
        </xdr:cNvSpPr>
      </xdr:nvSpPr>
      <xdr:spPr bwMode="auto">
        <a:xfrm>
          <a:off x="149542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80" name="Text Box 231">
          <a:extLst>
            <a:ext uri="{FF2B5EF4-FFF2-40B4-BE49-F238E27FC236}">
              <a16:creationId xmlns:a16="http://schemas.microsoft.com/office/drawing/2014/main" id="{00000000-0008-0000-0500-000050000000}"/>
            </a:ext>
          </a:extLst>
        </xdr:cNvPr>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2943</xdr:row>
      <xdr:rowOff>238125</xdr:rowOff>
    </xdr:from>
    <xdr:to>
      <xdr:col>2</xdr:col>
      <xdr:colOff>742950</xdr:colOff>
      <xdr:row>2944</xdr:row>
      <xdr:rowOff>85725</xdr:rowOff>
    </xdr:to>
    <xdr:sp macro="" textlink="">
      <xdr:nvSpPr>
        <xdr:cNvPr id="81" name="Text Box 237">
          <a:extLst>
            <a:ext uri="{FF2B5EF4-FFF2-40B4-BE49-F238E27FC236}">
              <a16:creationId xmlns:a16="http://schemas.microsoft.com/office/drawing/2014/main" id="{00000000-0008-0000-0500-000051000000}"/>
            </a:ext>
          </a:extLst>
        </xdr:cNvPr>
        <xdr:cNvSpPr txBox="1">
          <a:spLocks noChangeArrowheads="1"/>
        </xdr:cNvSpPr>
      </xdr:nvSpPr>
      <xdr:spPr bwMode="auto">
        <a:xfrm>
          <a:off x="1876425" y="71188897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3772</xdr:row>
      <xdr:rowOff>152400</xdr:rowOff>
    </xdr:from>
    <xdr:to>
      <xdr:col>2</xdr:col>
      <xdr:colOff>342900</xdr:colOff>
      <xdr:row>3773</xdr:row>
      <xdr:rowOff>0</xdr:rowOff>
    </xdr:to>
    <xdr:sp macro="" textlink="">
      <xdr:nvSpPr>
        <xdr:cNvPr id="82" name="Text Box 239">
          <a:extLst>
            <a:ext uri="{FF2B5EF4-FFF2-40B4-BE49-F238E27FC236}">
              <a16:creationId xmlns:a16="http://schemas.microsoft.com/office/drawing/2014/main" id="{00000000-0008-0000-0500-000052000000}"/>
            </a:ext>
          </a:extLst>
        </xdr:cNvPr>
        <xdr:cNvSpPr txBox="1">
          <a:spLocks noChangeArrowheads="1"/>
        </xdr:cNvSpPr>
      </xdr:nvSpPr>
      <xdr:spPr bwMode="auto">
        <a:xfrm>
          <a:off x="1476375" y="910913850"/>
          <a:ext cx="257175" cy="66675"/>
        </a:xfrm>
        <a:prstGeom prst="rect">
          <a:avLst/>
        </a:prstGeom>
        <a:solidFill>
          <a:srgbClr val="FFFFFF"/>
        </a:solidFill>
        <a:ln w="9525">
          <a:noFill/>
          <a:miter lim="800000"/>
          <a:headEnd/>
          <a:tailEnd/>
        </a:ln>
      </xdr:spPr>
    </xdr:sp>
    <xdr:clientData/>
  </xdr:twoCellAnchor>
  <xdr:twoCellAnchor>
    <xdr:from>
      <xdr:col>2</xdr:col>
      <xdr:colOff>282434</xdr:colOff>
      <xdr:row>1924</xdr:row>
      <xdr:rowOff>35853</xdr:rowOff>
    </xdr:from>
    <xdr:to>
      <xdr:col>2</xdr:col>
      <xdr:colOff>535114</xdr:colOff>
      <xdr:row>1925</xdr:row>
      <xdr:rowOff>32109</xdr:rowOff>
    </xdr:to>
    <xdr:sp macro="" textlink="">
      <xdr:nvSpPr>
        <xdr:cNvPr id="83" name="Text Box 245">
          <a:extLst>
            <a:ext uri="{FF2B5EF4-FFF2-40B4-BE49-F238E27FC236}">
              <a16:creationId xmlns:a16="http://schemas.microsoft.com/office/drawing/2014/main" id="{00000000-0008-0000-0500-000053000000}"/>
            </a:ext>
          </a:extLst>
        </xdr:cNvPr>
        <xdr:cNvSpPr txBox="1">
          <a:spLocks noChangeArrowheads="1"/>
        </xdr:cNvSpPr>
      </xdr:nvSpPr>
      <xdr:spPr bwMode="auto">
        <a:xfrm>
          <a:off x="1673084" y="469418328"/>
          <a:ext cx="252680" cy="21533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1940</xdr:row>
      <xdr:rowOff>198742</xdr:rowOff>
    </xdr:from>
    <xdr:to>
      <xdr:col>2</xdr:col>
      <xdr:colOff>588624</xdr:colOff>
      <xdr:row>1941</xdr:row>
      <xdr:rowOff>160534</xdr:rowOff>
    </xdr:to>
    <xdr:sp macro="" textlink="">
      <xdr:nvSpPr>
        <xdr:cNvPr id="84" name="Text Box 246">
          <a:extLst>
            <a:ext uri="{FF2B5EF4-FFF2-40B4-BE49-F238E27FC236}">
              <a16:creationId xmlns:a16="http://schemas.microsoft.com/office/drawing/2014/main" id="{00000000-0008-0000-0500-000054000000}"/>
            </a:ext>
          </a:extLst>
        </xdr:cNvPr>
        <xdr:cNvSpPr txBox="1">
          <a:spLocks noChangeArrowheads="1"/>
        </xdr:cNvSpPr>
      </xdr:nvSpPr>
      <xdr:spPr bwMode="auto">
        <a:xfrm>
          <a:off x="1689563" y="473353117"/>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5" name="Text Box 247">
          <a:extLst>
            <a:ext uri="{FF2B5EF4-FFF2-40B4-BE49-F238E27FC236}">
              <a16:creationId xmlns:a16="http://schemas.microsoft.com/office/drawing/2014/main" id="{00000000-0008-0000-0500-000055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6" name="Text Box 248">
          <a:extLst>
            <a:ext uri="{FF2B5EF4-FFF2-40B4-BE49-F238E27FC236}">
              <a16:creationId xmlns:a16="http://schemas.microsoft.com/office/drawing/2014/main" id="{00000000-0008-0000-0500-000056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7" name="Text Box 249">
          <a:extLst>
            <a:ext uri="{FF2B5EF4-FFF2-40B4-BE49-F238E27FC236}">
              <a16:creationId xmlns:a16="http://schemas.microsoft.com/office/drawing/2014/main" id="{00000000-0008-0000-0500-000057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8" name="Text Box 250">
          <a:extLst>
            <a:ext uri="{FF2B5EF4-FFF2-40B4-BE49-F238E27FC236}">
              <a16:creationId xmlns:a16="http://schemas.microsoft.com/office/drawing/2014/main" id="{00000000-0008-0000-0500-000058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9" name="Text Box 251">
          <a:extLst>
            <a:ext uri="{FF2B5EF4-FFF2-40B4-BE49-F238E27FC236}">
              <a16:creationId xmlns:a16="http://schemas.microsoft.com/office/drawing/2014/main" id="{00000000-0008-0000-0500-000059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90" name="Text Box 252">
          <a:extLst>
            <a:ext uri="{FF2B5EF4-FFF2-40B4-BE49-F238E27FC236}">
              <a16:creationId xmlns:a16="http://schemas.microsoft.com/office/drawing/2014/main" id="{00000000-0008-0000-0500-00005A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1" name="Text Box 253">
          <a:extLst>
            <a:ext uri="{FF2B5EF4-FFF2-40B4-BE49-F238E27FC236}">
              <a16:creationId xmlns:a16="http://schemas.microsoft.com/office/drawing/2014/main" id="{00000000-0008-0000-0500-00005B000000}"/>
            </a:ext>
          </a:extLst>
        </xdr:cNvPr>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sp>
    <xdr:clientData/>
  </xdr:twoCellAnchor>
  <xdr:twoCellAnchor>
    <xdr:from>
      <xdr:col>2</xdr:col>
      <xdr:colOff>85725</xdr:colOff>
      <xdr:row>1900</xdr:row>
      <xdr:rowOff>0</xdr:rowOff>
    </xdr:from>
    <xdr:to>
      <xdr:col>2</xdr:col>
      <xdr:colOff>342900</xdr:colOff>
      <xdr:row>1900</xdr:row>
      <xdr:rowOff>0</xdr:rowOff>
    </xdr:to>
    <xdr:sp macro="" textlink="">
      <xdr:nvSpPr>
        <xdr:cNvPr id="92" name="Text Box 254">
          <a:extLst>
            <a:ext uri="{FF2B5EF4-FFF2-40B4-BE49-F238E27FC236}">
              <a16:creationId xmlns:a16="http://schemas.microsoft.com/office/drawing/2014/main" id="{00000000-0008-0000-0500-00005C000000}"/>
            </a:ext>
          </a:extLst>
        </xdr:cNvPr>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276225</xdr:colOff>
      <xdr:row>1900</xdr:row>
      <xdr:rowOff>0</xdr:rowOff>
    </xdr:to>
    <xdr:sp macro="" textlink="">
      <xdr:nvSpPr>
        <xdr:cNvPr id="93" name="Text Box 255">
          <a:extLst>
            <a:ext uri="{FF2B5EF4-FFF2-40B4-BE49-F238E27FC236}">
              <a16:creationId xmlns:a16="http://schemas.microsoft.com/office/drawing/2014/main" id="{00000000-0008-0000-0500-00005D000000}"/>
            </a:ext>
          </a:extLst>
        </xdr:cNvPr>
        <xdr:cNvSpPr txBox="1">
          <a:spLocks noChangeArrowheads="1"/>
        </xdr:cNvSpPr>
      </xdr:nvSpPr>
      <xdr:spPr bwMode="auto">
        <a:xfrm>
          <a:off x="1476375" y="4636770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4" name="Text Box 256">
          <a:extLst>
            <a:ext uri="{FF2B5EF4-FFF2-40B4-BE49-F238E27FC236}">
              <a16:creationId xmlns:a16="http://schemas.microsoft.com/office/drawing/2014/main" id="{00000000-0008-0000-0500-00005E000000}"/>
            </a:ext>
          </a:extLst>
        </xdr:cNvPr>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5" name="Text Box 257">
          <a:extLst>
            <a:ext uri="{FF2B5EF4-FFF2-40B4-BE49-F238E27FC236}">
              <a16:creationId xmlns:a16="http://schemas.microsoft.com/office/drawing/2014/main" id="{00000000-0008-0000-0500-00005F000000}"/>
            </a:ext>
          </a:extLst>
        </xdr:cNvPr>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sp>
    <xdr:clientData/>
  </xdr:twoCellAnchor>
  <xdr:twoCellAnchor>
    <xdr:from>
      <xdr:col>2</xdr:col>
      <xdr:colOff>85725</xdr:colOff>
      <xdr:row>1914</xdr:row>
      <xdr:rowOff>0</xdr:rowOff>
    </xdr:from>
    <xdr:to>
      <xdr:col>2</xdr:col>
      <xdr:colOff>342900</xdr:colOff>
      <xdr:row>1914</xdr:row>
      <xdr:rowOff>0</xdr:rowOff>
    </xdr:to>
    <xdr:sp macro="" textlink="">
      <xdr:nvSpPr>
        <xdr:cNvPr id="96" name="Text Box 258">
          <a:extLst>
            <a:ext uri="{FF2B5EF4-FFF2-40B4-BE49-F238E27FC236}">
              <a16:creationId xmlns:a16="http://schemas.microsoft.com/office/drawing/2014/main" id="{00000000-0008-0000-0500-000060000000}"/>
            </a:ext>
          </a:extLst>
        </xdr:cNvPr>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276225</xdr:colOff>
      <xdr:row>1914</xdr:row>
      <xdr:rowOff>0</xdr:rowOff>
    </xdr:to>
    <xdr:sp macro="" textlink="">
      <xdr:nvSpPr>
        <xdr:cNvPr id="97" name="Text Box 259">
          <a:extLst>
            <a:ext uri="{FF2B5EF4-FFF2-40B4-BE49-F238E27FC236}">
              <a16:creationId xmlns:a16="http://schemas.microsoft.com/office/drawing/2014/main" id="{00000000-0008-0000-0500-000061000000}"/>
            </a:ext>
          </a:extLst>
        </xdr:cNvPr>
        <xdr:cNvSpPr txBox="1">
          <a:spLocks noChangeArrowheads="1"/>
        </xdr:cNvSpPr>
      </xdr:nvSpPr>
      <xdr:spPr bwMode="auto">
        <a:xfrm>
          <a:off x="1476375" y="467048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8" name="Text Box 260">
          <a:extLst>
            <a:ext uri="{FF2B5EF4-FFF2-40B4-BE49-F238E27FC236}">
              <a16:creationId xmlns:a16="http://schemas.microsoft.com/office/drawing/2014/main" id="{00000000-0008-0000-0500-000062000000}"/>
            </a:ext>
          </a:extLst>
        </xdr:cNvPr>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99" name="Text Box 261">
          <a:extLst>
            <a:ext uri="{FF2B5EF4-FFF2-40B4-BE49-F238E27FC236}">
              <a16:creationId xmlns:a16="http://schemas.microsoft.com/office/drawing/2014/main" id="{00000000-0008-0000-0500-000063000000}"/>
            </a:ext>
          </a:extLst>
        </xdr:cNvPr>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sp>
    <xdr:clientData/>
  </xdr:twoCellAnchor>
  <xdr:twoCellAnchor>
    <xdr:from>
      <xdr:col>2</xdr:col>
      <xdr:colOff>85725</xdr:colOff>
      <xdr:row>1957</xdr:row>
      <xdr:rowOff>0</xdr:rowOff>
    </xdr:from>
    <xdr:to>
      <xdr:col>2</xdr:col>
      <xdr:colOff>342900</xdr:colOff>
      <xdr:row>1957</xdr:row>
      <xdr:rowOff>0</xdr:rowOff>
    </xdr:to>
    <xdr:sp macro="" textlink="">
      <xdr:nvSpPr>
        <xdr:cNvPr id="100" name="Text Box 262">
          <a:extLst>
            <a:ext uri="{FF2B5EF4-FFF2-40B4-BE49-F238E27FC236}">
              <a16:creationId xmlns:a16="http://schemas.microsoft.com/office/drawing/2014/main" id="{00000000-0008-0000-0500-000064000000}"/>
            </a:ext>
          </a:extLst>
        </xdr:cNvPr>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276225</xdr:colOff>
      <xdr:row>1957</xdr:row>
      <xdr:rowOff>0</xdr:rowOff>
    </xdr:to>
    <xdr:sp macro="" textlink="">
      <xdr:nvSpPr>
        <xdr:cNvPr id="101" name="Text Box 263">
          <a:extLst>
            <a:ext uri="{FF2B5EF4-FFF2-40B4-BE49-F238E27FC236}">
              <a16:creationId xmlns:a16="http://schemas.microsoft.com/office/drawing/2014/main" id="{00000000-0008-0000-0500-000065000000}"/>
            </a:ext>
          </a:extLst>
        </xdr:cNvPr>
        <xdr:cNvSpPr txBox="1">
          <a:spLocks noChangeArrowheads="1"/>
        </xdr:cNvSpPr>
      </xdr:nvSpPr>
      <xdr:spPr bwMode="auto">
        <a:xfrm>
          <a:off x="1476375" y="477307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102" name="Text Box 264">
          <a:extLst>
            <a:ext uri="{FF2B5EF4-FFF2-40B4-BE49-F238E27FC236}">
              <a16:creationId xmlns:a16="http://schemas.microsoft.com/office/drawing/2014/main" id="{00000000-0008-0000-0500-000066000000}"/>
            </a:ext>
          </a:extLst>
        </xdr:cNvPr>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3" name="Text Box 265">
          <a:extLst>
            <a:ext uri="{FF2B5EF4-FFF2-40B4-BE49-F238E27FC236}">
              <a16:creationId xmlns:a16="http://schemas.microsoft.com/office/drawing/2014/main" id="{00000000-0008-0000-0500-000067000000}"/>
            </a:ext>
          </a:extLst>
        </xdr:cNvPr>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sp>
    <xdr:clientData/>
  </xdr:twoCellAnchor>
  <xdr:twoCellAnchor>
    <xdr:from>
      <xdr:col>2</xdr:col>
      <xdr:colOff>85725</xdr:colOff>
      <xdr:row>3650</xdr:row>
      <xdr:rowOff>0</xdr:rowOff>
    </xdr:from>
    <xdr:to>
      <xdr:col>2</xdr:col>
      <xdr:colOff>342900</xdr:colOff>
      <xdr:row>3650</xdr:row>
      <xdr:rowOff>0</xdr:rowOff>
    </xdr:to>
    <xdr:sp macro="" textlink="">
      <xdr:nvSpPr>
        <xdr:cNvPr id="104" name="Text Box 266">
          <a:extLst>
            <a:ext uri="{FF2B5EF4-FFF2-40B4-BE49-F238E27FC236}">
              <a16:creationId xmlns:a16="http://schemas.microsoft.com/office/drawing/2014/main" id="{00000000-0008-0000-0500-000068000000}"/>
            </a:ext>
          </a:extLst>
        </xdr:cNvPr>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276225</xdr:colOff>
      <xdr:row>3650</xdr:row>
      <xdr:rowOff>0</xdr:rowOff>
    </xdr:to>
    <xdr:sp macro="" textlink="">
      <xdr:nvSpPr>
        <xdr:cNvPr id="105" name="Text Box 267">
          <a:extLst>
            <a:ext uri="{FF2B5EF4-FFF2-40B4-BE49-F238E27FC236}">
              <a16:creationId xmlns:a16="http://schemas.microsoft.com/office/drawing/2014/main" id="{00000000-0008-0000-0500-000069000000}"/>
            </a:ext>
          </a:extLst>
        </xdr:cNvPr>
        <xdr:cNvSpPr txBox="1">
          <a:spLocks noChangeArrowheads="1"/>
        </xdr:cNvSpPr>
      </xdr:nvSpPr>
      <xdr:spPr bwMode="auto">
        <a:xfrm>
          <a:off x="1476375" y="882310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6" name="Text Box 268">
          <a:extLst>
            <a:ext uri="{FF2B5EF4-FFF2-40B4-BE49-F238E27FC236}">
              <a16:creationId xmlns:a16="http://schemas.microsoft.com/office/drawing/2014/main" id="{00000000-0008-0000-0500-00006A000000}"/>
            </a:ext>
          </a:extLst>
        </xdr:cNvPr>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2352</xdr:row>
      <xdr:rowOff>47625</xdr:rowOff>
    </xdr:from>
    <xdr:to>
      <xdr:col>2</xdr:col>
      <xdr:colOff>888287</xdr:colOff>
      <xdr:row>2353</xdr:row>
      <xdr:rowOff>96320</xdr:rowOff>
    </xdr:to>
    <xdr:sp macro="" textlink="">
      <xdr:nvSpPr>
        <xdr:cNvPr id="107" name="Text Box 271">
          <a:extLst>
            <a:ext uri="{FF2B5EF4-FFF2-40B4-BE49-F238E27FC236}">
              <a16:creationId xmlns:a16="http://schemas.microsoft.com/office/drawing/2014/main" id="{00000000-0008-0000-0500-00006B000000}"/>
            </a:ext>
          </a:extLst>
        </xdr:cNvPr>
        <xdr:cNvSpPr txBox="1">
          <a:spLocks noChangeArrowheads="1"/>
        </xdr:cNvSpPr>
      </xdr:nvSpPr>
      <xdr:spPr bwMode="auto">
        <a:xfrm>
          <a:off x="1937000" y="570052200"/>
          <a:ext cx="341937" cy="2772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2398</xdr:row>
      <xdr:rowOff>8562</xdr:rowOff>
    </xdr:from>
    <xdr:to>
      <xdr:col>2</xdr:col>
      <xdr:colOff>824073</xdr:colOff>
      <xdr:row>2399</xdr:row>
      <xdr:rowOff>10703</xdr:rowOff>
    </xdr:to>
    <xdr:sp macro="" textlink="">
      <xdr:nvSpPr>
        <xdr:cNvPr id="108" name="Text Box 272">
          <a:extLst>
            <a:ext uri="{FF2B5EF4-FFF2-40B4-BE49-F238E27FC236}">
              <a16:creationId xmlns:a16="http://schemas.microsoft.com/office/drawing/2014/main" id="{00000000-0008-0000-0500-00006C000000}"/>
            </a:ext>
          </a:extLst>
        </xdr:cNvPr>
        <xdr:cNvSpPr txBox="1">
          <a:spLocks noChangeArrowheads="1"/>
        </xdr:cNvSpPr>
      </xdr:nvSpPr>
      <xdr:spPr bwMode="auto">
        <a:xfrm>
          <a:off x="1891729" y="581052612"/>
          <a:ext cx="322994" cy="2497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2413</xdr:row>
      <xdr:rowOff>10703</xdr:rowOff>
    </xdr:from>
    <xdr:to>
      <xdr:col>2</xdr:col>
      <xdr:colOff>888287</xdr:colOff>
      <xdr:row>2415</xdr:row>
      <xdr:rowOff>117725</xdr:rowOff>
    </xdr:to>
    <xdr:sp macro="" textlink="">
      <xdr:nvSpPr>
        <xdr:cNvPr id="109" name="Text Box 273">
          <a:extLst>
            <a:ext uri="{FF2B5EF4-FFF2-40B4-BE49-F238E27FC236}">
              <a16:creationId xmlns:a16="http://schemas.microsoft.com/office/drawing/2014/main" id="{00000000-0008-0000-0500-00006D000000}"/>
            </a:ext>
          </a:extLst>
        </xdr:cNvPr>
        <xdr:cNvSpPr txBox="1">
          <a:spLocks noChangeArrowheads="1"/>
        </xdr:cNvSpPr>
      </xdr:nvSpPr>
      <xdr:spPr bwMode="auto">
        <a:xfrm>
          <a:off x="1975100" y="584579003"/>
          <a:ext cx="303837" cy="545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0" name="Text Box 274">
          <a:extLst>
            <a:ext uri="{FF2B5EF4-FFF2-40B4-BE49-F238E27FC236}">
              <a16:creationId xmlns:a16="http://schemas.microsoft.com/office/drawing/2014/main" id="{00000000-0008-0000-0500-00006E000000}"/>
            </a:ext>
          </a:extLst>
        </xdr:cNvPr>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sp>
    <xdr:clientData/>
  </xdr:twoCellAnchor>
  <xdr:twoCellAnchor>
    <xdr:from>
      <xdr:col>2</xdr:col>
      <xdr:colOff>85725</xdr:colOff>
      <xdr:row>2035</xdr:row>
      <xdr:rowOff>0</xdr:rowOff>
    </xdr:from>
    <xdr:to>
      <xdr:col>2</xdr:col>
      <xdr:colOff>342900</xdr:colOff>
      <xdr:row>2035</xdr:row>
      <xdr:rowOff>0</xdr:rowOff>
    </xdr:to>
    <xdr:sp macro="" textlink="">
      <xdr:nvSpPr>
        <xdr:cNvPr id="111" name="Text Box 275">
          <a:extLst>
            <a:ext uri="{FF2B5EF4-FFF2-40B4-BE49-F238E27FC236}">
              <a16:creationId xmlns:a16="http://schemas.microsoft.com/office/drawing/2014/main" id="{00000000-0008-0000-0500-00006F000000}"/>
            </a:ext>
          </a:extLst>
        </xdr:cNvPr>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276225</xdr:colOff>
      <xdr:row>2035</xdr:row>
      <xdr:rowOff>0</xdr:rowOff>
    </xdr:to>
    <xdr:sp macro="" textlink="">
      <xdr:nvSpPr>
        <xdr:cNvPr id="112" name="Text Box 276">
          <a:extLst>
            <a:ext uri="{FF2B5EF4-FFF2-40B4-BE49-F238E27FC236}">
              <a16:creationId xmlns:a16="http://schemas.microsoft.com/office/drawing/2014/main" id="{00000000-0008-0000-0500-000070000000}"/>
            </a:ext>
          </a:extLst>
        </xdr:cNvPr>
        <xdr:cNvSpPr txBox="1">
          <a:spLocks noChangeArrowheads="1"/>
        </xdr:cNvSpPr>
      </xdr:nvSpPr>
      <xdr:spPr bwMode="auto">
        <a:xfrm>
          <a:off x="1476375" y="495538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3" name="Text Box 277">
          <a:extLst>
            <a:ext uri="{FF2B5EF4-FFF2-40B4-BE49-F238E27FC236}">
              <a16:creationId xmlns:a16="http://schemas.microsoft.com/office/drawing/2014/main" id="{00000000-0008-0000-0500-000071000000}"/>
            </a:ext>
          </a:extLst>
        </xdr:cNvPr>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4" name="Text Box 278">
          <a:extLst>
            <a:ext uri="{FF2B5EF4-FFF2-40B4-BE49-F238E27FC236}">
              <a16:creationId xmlns:a16="http://schemas.microsoft.com/office/drawing/2014/main" id="{00000000-0008-0000-0500-000072000000}"/>
            </a:ext>
          </a:extLst>
        </xdr:cNvPr>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sp>
    <xdr:clientData/>
  </xdr:twoCellAnchor>
  <xdr:twoCellAnchor>
    <xdr:from>
      <xdr:col>2</xdr:col>
      <xdr:colOff>85725</xdr:colOff>
      <xdr:row>1944</xdr:row>
      <xdr:rowOff>0</xdr:rowOff>
    </xdr:from>
    <xdr:to>
      <xdr:col>2</xdr:col>
      <xdr:colOff>342900</xdr:colOff>
      <xdr:row>1944</xdr:row>
      <xdr:rowOff>0</xdr:rowOff>
    </xdr:to>
    <xdr:sp macro="" textlink="">
      <xdr:nvSpPr>
        <xdr:cNvPr id="115" name="Text Box 279">
          <a:extLst>
            <a:ext uri="{FF2B5EF4-FFF2-40B4-BE49-F238E27FC236}">
              <a16:creationId xmlns:a16="http://schemas.microsoft.com/office/drawing/2014/main" id="{00000000-0008-0000-0500-000073000000}"/>
            </a:ext>
          </a:extLst>
        </xdr:cNvPr>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276225</xdr:colOff>
      <xdr:row>1944</xdr:row>
      <xdr:rowOff>0</xdr:rowOff>
    </xdr:to>
    <xdr:sp macro="" textlink="">
      <xdr:nvSpPr>
        <xdr:cNvPr id="116" name="Text Box 280">
          <a:extLst>
            <a:ext uri="{FF2B5EF4-FFF2-40B4-BE49-F238E27FC236}">
              <a16:creationId xmlns:a16="http://schemas.microsoft.com/office/drawing/2014/main" id="{00000000-0008-0000-0500-000074000000}"/>
            </a:ext>
          </a:extLst>
        </xdr:cNvPr>
        <xdr:cNvSpPr txBox="1">
          <a:spLocks noChangeArrowheads="1"/>
        </xdr:cNvSpPr>
      </xdr:nvSpPr>
      <xdr:spPr bwMode="auto">
        <a:xfrm>
          <a:off x="1476375" y="4740021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7" name="Text Box 281">
          <a:extLst>
            <a:ext uri="{FF2B5EF4-FFF2-40B4-BE49-F238E27FC236}">
              <a16:creationId xmlns:a16="http://schemas.microsoft.com/office/drawing/2014/main" id="{00000000-0008-0000-0500-000075000000}"/>
            </a:ext>
          </a:extLst>
        </xdr:cNvPr>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3691</xdr:row>
      <xdr:rowOff>133350</xdr:rowOff>
    </xdr:from>
    <xdr:to>
      <xdr:col>2</xdr:col>
      <xdr:colOff>476250</xdr:colOff>
      <xdr:row>3692</xdr:row>
      <xdr:rowOff>9525</xdr:rowOff>
    </xdr:to>
    <xdr:sp macro="" textlink="">
      <xdr:nvSpPr>
        <xdr:cNvPr id="118" name="Text Box 289">
          <a:extLst>
            <a:ext uri="{FF2B5EF4-FFF2-40B4-BE49-F238E27FC236}">
              <a16:creationId xmlns:a16="http://schemas.microsoft.com/office/drawing/2014/main" id="{00000000-0008-0000-0500-000076000000}"/>
            </a:ext>
          </a:extLst>
        </xdr:cNvPr>
        <xdr:cNvSpPr txBox="1">
          <a:spLocks noChangeArrowheads="1"/>
        </xdr:cNvSpPr>
      </xdr:nvSpPr>
      <xdr:spPr bwMode="auto">
        <a:xfrm>
          <a:off x="1609725" y="892006725"/>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438150</xdr:colOff>
      <xdr:row>3701</xdr:row>
      <xdr:rowOff>152400</xdr:rowOff>
    </xdr:from>
    <xdr:to>
      <xdr:col>2</xdr:col>
      <xdr:colOff>628650</xdr:colOff>
      <xdr:row>3702</xdr:row>
      <xdr:rowOff>66675</xdr:rowOff>
    </xdr:to>
    <xdr:sp macro="" textlink="">
      <xdr:nvSpPr>
        <xdr:cNvPr id="119" name="Text Box 301">
          <a:extLst>
            <a:ext uri="{FF2B5EF4-FFF2-40B4-BE49-F238E27FC236}">
              <a16:creationId xmlns:a16="http://schemas.microsoft.com/office/drawing/2014/main" id="{00000000-0008-0000-0500-000077000000}"/>
            </a:ext>
          </a:extLst>
        </xdr:cNvPr>
        <xdr:cNvSpPr txBox="1">
          <a:spLocks noChangeArrowheads="1"/>
        </xdr:cNvSpPr>
      </xdr:nvSpPr>
      <xdr:spPr bwMode="auto">
        <a:xfrm>
          <a:off x="1828800" y="894607050"/>
          <a:ext cx="190500"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0" name="Text Box 307">
          <a:extLst>
            <a:ext uri="{FF2B5EF4-FFF2-40B4-BE49-F238E27FC236}">
              <a16:creationId xmlns:a16="http://schemas.microsoft.com/office/drawing/2014/main" id="{00000000-0008-0000-0500-000078000000}"/>
            </a:ext>
          </a:extLst>
        </xdr:cNvPr>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sp>
    <xdr:clientData/>
  </xdr:twoCellAnchor>
  <xdr:twoCellAnchor>
    <xdr:from>
      <xdr:col>2</xdr:col>
      <xdr:colOff>85725</xdr:colOff>
      <xdr:row>1973</xdr:row>
      <xdr:rowOff>0</xdr:rowOff>
    </xdr:from>
    <xdr:to>
      <xdr:col>2</xdr:col>
      <xdr:colOff>342900</xdr:colOff>
      <xdr:row>1973</xdr:row>
      <xdr:rowOff>0</xdr:rowOff>
    </xdr:to>
    <xdr:sp macro="" textlink="">
      <xdr:nvSpPr>
        <xdr:cNvPr id="121" name="Text Box 308">
          <a:extLst>
            <a:ext uri="{FF2B5EF4-FFF2-40B4-BE49-F238E27FC236}">
              <a16:creationId xmlns:a16="http://schemas.microsoft.com/office/drawing/2014/main" id="{00000000-0008-0000-0500-000079000000}"/>
            </a:ext>
          </a:extLst>
        </xdr:cNvPr>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276225</xdr:colOff>
      <xdr:row>1973</xdr:row>
      <xdr:rowOff>0</xdr:rowOff>
    </xdr:to>
    <xdr:sp macro="" textlink="">
      <xdr:nvSpPr>
        <xdr:cNvPr id="122" name="Text Box 309">
          <a:extLst>
            <a:ext uri="{FF2B5EF4-FFF2-40B4-BE49-F238E27FC236}">
              <a16:creationId xmlns:a16="http://schemas.microsoft.com/office/drawing/2014/main" id="{00000000-0008-0000-0500-00007A000000}"/>
            </a:ext>
          </a:extLst>
        </xdr:cNvPr>
        <xdr:cNvSpPr txBox="1">
          <a:spLocks noChangeArrowheads="1"/>
        </xdr:cNvSpPr>
      </xdr:nvSpPr>
      <xdr:spPr bwMode="auto">
        <a:xfrm>
          <a:off x="1476375" y="481288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3" name="Text Box 310">
          <a:extLst>
            <a:ext uri="{FF2B5EF4-FFF2-40B4-BE49-F238E27FC236}">
              <a16:creationId xmlns:a16="http://schemas.microsoft.com/office/drawing/2014/main" id="{00000000-0008-0000-0500-00007B000000}"/>
            </a:ext>
          </a:extLst>
        </xdr:cNvPr>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4" name="Text Box 311">
          <a:extLst>
            <a:ext uri="{FF2B5EF4-FFF2-40B4-BE49-F238E27FC236}">
              <a16:creationId xmlns:a16="http://schemas.microsoft.com/office/drawing/2014/main" id="{00000000-0008-0000-0500-00007C000000}"/>
            </a:ext>
          </a:extLst>
        </xdr:cNvPr>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sp>
    <xdr:clientData/>
  </xdr:twoCellAnchor>
  <xdr:twoCellAnchor>
    <xdr:from>
      <xdr:col>2</xdr:col>
      <xdr:colOff>85725</xdr:colOff>
      <xdr:row>1987</xdr:row>
      <xdr:rowOff>0</xdr:rowOff>
    </xdr:from>
    <xdr:to>
      <xdr:col>2</xdr:col>
      <xdr:colOff>342900</xdr:colOff>
      <xdr:row>1987</xdr:row>
      <xdr:rowOff>0</xdr:rowOff>
    </xdr:to>
    <xdr:sp macro="" textlink="">
      <xdr:nvSpPr>
        <xdr:cNvPr id="125" name="Text Box 312">
          <a:extLst>
            <a:ext uri="{FF2B5EF4-FFF2-40B4-BE49-F238E27FC236}">
              <a16:creationId xmlns:a16="http://schemas.microsoft.com/office/drawing/2014/main" id="{00000000-0008-0000-0500-00007D000000}"/>
            </a:ext>
          </a:extLst>
        </xdr:cNvPr>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276225</xdr:colOff>
      <xdr:row>1987</xdr:row>
      <xdr:rowOff>0</xdr:rowOff>
    </xdr:to>
    <xdr:sp macro="" textlink="">
      <xdr:nvSpPr>
        <xdr:cNvPr id="126" name="Text Box 313">
          <a:extLst>
            <a:ext uri="{FF2B5EF4-FFF2-40B4-BE49-F238E27FC236}">
              <a16:creationId xmlns:a16="http://schemas.microsoft.com/office/drawing/2014/main" id="{00000000-0008-0000-0500-00007E000000}"/>
            </a:ext>
          </a:extLst>
        </xdr:cNvPr>
        <xdr:cNvSpPr txBox="1">
          <a:spLocks noChangeArrowheads="1"/>
        </xdr:cNvSpPr>
      </xdr:nvSpPr>
      <xdr:spPr bwMode="auto">
        <a:xfrm>
          <a:off x="1476375" y="4843272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7" name="Text Box 314">
          <a:extLst>
            <a:ext uri="{FF2B5EF4-FFF2-40B4-BE49-F238E27FC236}">
              <a16:creationId xmlns:a16="http://schemas.microsoft.com/office/drawing/2014/main" id="{00000000-0008-0000-0500-00007F000000}"/>
            </a:ext>
          </a:extLst>
        </xdr:cNvPr>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2812</xdr:row>
      <xdr:rowOff>46554</xdr:rowOff>
    </xdr:from>
    <xdr:to>
      <xdr:col>2</xdr:col>
      <xdr:colOff>941798</xdr:colOff>
      <xdr:row>2813</xdr:row>
      <xdr:rowOff>21402</xdr:rowOff>
    </xdr:to>
    <xdr:sp macro="" textlink="">
      <xdr:nvSpPr>
        <xdr:cNvPr id="128" name="Text Box 320">
          <a:extLst>
            <a:ext uri="{FF2B5EF4-FFF2-40B4-BE49-F238E27FC236}">
              <a16:creationId xmlns:a16="http://schemas.microsoft.com/office/drawing/2014/main" id="{00000000-0008-0000-0500-000080000000}"/>
            </a:ext>
          </a:extLst>
        </xdr:cNvPr>
        <xdr:cNvSpPr txBox="1">
          <a:spLocks noChangeArrowheads="1"/>
        </xdr:cNvSpPr>
      </xdr:nvSpPr>
      <xdr:spPr bwMode="auto">
        <a:xfrm>
          <a:off x="1984732" y="680350629"/>
          <a:ext cx="347716" cy="2510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2545</xdr:row>
      <xdr:rowOff>85832</xdr:rowOff>
    </xdr:from>
    <xdr:to>
      <xdr:col>2</xdr:col>
      <xdr:colOff>759860</xdr:colOff>
      <xdr:row>2546</xdr:row>
      <xdr:rowOff>107022</xdr:rowOff>
    </xdr:to>
    <xdr:sp macro="" textlink="">
      <xdr:nvSpPr>
        <xdr:cNvPr id="129" name="Text Box 321">
          <a:extLst>
            <a:ext uri="{FF2B5EF4-FFF2-40B4-BE49-F238E27FC236}">
              <a16:creationId xmlns:a16="http://schemas.microsoft.com/office/drawing/2014/main" id="{00000000-0008-0000-0500-000081000000}"/>
            </a:ext>
          </a:extLst>
        </xdr:cNvPr>
        <xdr:cNvSpPr txBox="1">
          <a:spLocks noChangeArrowheads="1"/>
        </xdr:cNvSpPr>
      </xdr:nvSpPr>
      <xdr:spPr bwMode="auto">
        <a:xfrm>
          <a:off x="1822807" y="616667657"/>
          <a:ext cx="327703" cy="2688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2557</xdr:row>
      <xdr:rowOff>191677</xdr:rowOff>
    </xdr:from>
    <xdr:to>
      <xdr:col>2</xdr:col>
      <xdr:colOff>770562</xdr:colOff>
      <xdr:row>2558</xdr:row>
      <xdr:rowOff>192641</xdr:rowOff>
    </xdr:to>
    <xdr:sp macro="" textlink="">
      <xdr:nvSpPr>
        <xdr:cNvPr id="130" name="Text Box 323">
          <a:extLst>
            <a:ext uri="{FF2B5EF4-FFF2-40B4-BE49-F238E27FC236}">
              <a16:creationId xmlns:a16="http://schemas.microsoft.com/office/drawing/2014/main" id="{00000000-0008-0000-0500-000082000000}"/>
            </a:ext>
          </a:extLst>
        </xdr:cNvPr>
        <xdr:cNvSpPr txBox="1">
          <a:spLocks noChangeArrowheads="1"/>
        </xdr:cNvSpPr>
      </xdr:nvSpPr>
      <xdr:spPr bwMode="auto">
        <a:xfrm>
          <a:off x="1873964" y="619697677"/>
          <a:ext cx="287248" cy="2486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2578</xdr:row>
      <xdr:rowOff>21404</xdr:rowOff>
    </xdr:from>
    <xdr:to>
      <xdr:col>2</xdr:col>
      <xdr:colOff>824073</xdr:colOff>
      <xdr:row>2579</xdr:row>
      <xdr:rowOff>10702</xdr:rowOff>
    </xdr:to>
    <xdr:sp macro="" textlink="">
      <xdr:nvSpPr>
        <xdr:cNvPr id="131" name="Text Box 324">
          <a:extLst>
            <a:ext uri="{FF2B5EF4-FFF2-40B4-BE49-F238E27FC236}">
              <a16:creationId xmlns:a16="http://schemas.microsoft.com/office/drawing/2014/main" id="{00000000-0008-0000-0500-000083000000}"/>
            </a:ext>
          </a:extLst>
        </xdr:cNvPr>
        <xdr:cNvSpPr txBox="1">
          <a:spLocks noChangeArrowheads="1"/>
        </xdr:cNvSpPr>
      </xdr:nvSpPr>
      <xdr:spPr bwMode="auto">
        <a:xfrm>
          <a:off x="1893656" y="62439467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4857</xdr:row>
      <xdr:rowOff>0</xdr:rowOff>
    </xdr:from>
    <xdr:to>
      <xdr:col>2</xdr:col>
      <xdr:colOff>342900</xdr:colOff>
      <xdr:row>4857</xdr:row>
      <xdr:rowOff>57150</xdr:rowOff>
    </xdr:to>
    <xdr:sp macro="" textlink="">
      <xdr:nvSpPr>
        <xdr:cNvPr id="132" name="Text Box 331">
          <a:extLst>
            <a:ext uri="{FF2B5EF4-FFF2-40B4-BE49-F238E27FC236}">
              <a16:creationId xmlns:a16="http://schemas.microsoft.com/office/drawing/2014/main" id="{00000000-0008-0000-0500-000084000000}"/>
            </a:ext>
          </a:extLst>
        </xdr:cNvPr>
        <xdr:cNvSpPr txBox="1">
          <a:spLocks noChangeArrowheads="1"/>
        </xdr:cNvSpPr>
      </xdr:nvSpPr>
      <xdr:spPr bwMode="auto">
        <a:xfrm>
          <a:off x="1476375" y="1174880175"/>
          <a:ext cx="257175"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3" name="Text Box 381">
          <a:extLst>
            <a:ext uri="{FF2B5EF4-FFF2-40B4-BE49-F238E27FC236}">
              <a16:creationId xmlns:a16="http://schemas.microsoft.com/office/drawing/2014/main" id="{00000000-0008-0000-0500-000085000000}"/>
            </a:ext>
          </a:extLst>
        </xdr:cNvPr>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sp>
    <xdr:clientData/>
  </xdr:twoCellAnchor>
  <xdr:twoCellAnchor>
    <xdr:from>
      <xdr:col>2</xdr:col>
      <xdr:colOff>85725</xdr:colOff>
      <xdr:row>4906</xdr:row>
      <xdr:rowOff>0</xdr:rowOff>
    </xdr:from>
    <xdr:to>
      <xdr:col>2</xdr:col>
      <xdr:colOff>342900</xdr:colOff>
      <xdr:row>4906</xdr:row>
      <xdr:rowOff>0</xdr:rowOff>
    </xdr:to>
    <xdr:sp macro="" textlink="">
      <xdr:nvSpPr>
        <xdr:cNvPr id="134" name="Text Box 382">
          <a:extLst>
            <a:ext uri="{FF2B5EF4-FFF2-40B4-BE49-F238E27FC236}">
              <a16:creationId xmlns:a16="http://schemas.microsoft.com/office/drawing/2014/main" id="{00000000-0008-0000-0500-000086000000}"/>
            </a:ext>
          </a:extLst>
        </xdr:cNvPr>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276225</xdr:colOff>
      <xdr:row>4906</xdr:row>
      <xdr:rowOff>0</xdr:rowOff>
    </xdr:to>
    <xdr:sp macro="" textlink="">
      <xdr:nvSpPr>
        <xdr:cNvPr id="135" name="Text Box 383">
          <a:extLst>
            <a:ext uri="{FF2B5EF4-FFF2-40B4-BE49-F238E27FC236}">
              <a16:creationId xmlns:a16="http://schemas.microsoft.com/office/drawing/2014/main" id="{00000000-0008-0000-0500-000087000000}"/>
            </a:ext>
          </a:extLst>
        </xdr:cNvPr>
        <xdr:cNvSpPr txBox="1">
          <a:spLocks noChangeArrowheads="1"/>
        </xdr:cNvSpPr>
      </xdr:nvSpPr>
      <xdr:spPr bwMode="auto">
        <a:xfrm>
          <a:off x="1476375" y="11867483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6" name="Text Box 384">
          <a:extLst>
            <a:ext uri="{FF2B5EF4-FFF2-40B4-BE49-F238E27FC236}">
              <a16:creationId xmlns:a16="http://schemas.microsoft.com/office/drawing/2014/main" id="{00000000-0008-0000-0500-000088000000}"/>
            </a:ext>
          </a:extLst>
        </xdr:cNvPr>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719</xdr:row>
      <xdr:rowOff>152400</xdr:rowOff>
    </xdr:from>
    <xdr:to>
      <xdr:col>2</xdr:col>
      <xdr:colOff>361950</xdr:colOff>
      <xdr:row>723</xdr:row>
      <xdr:rowOff>95250</xdr:rowOff>
    </xdr:to>
    <xdr:sp macro="" textlink="">
      <xdr:nvSpPr>
        <xdr:cNvPr id="137" name="Text Box 12">
          <a:extLst>
            <a:ext uri="{FF2B5EF4-FFF2-40B4-BE49-F238E27FC236}">
              <a16:creationId xmlns:a16="http://schemas.microsoft.com/office/drawing/2014/main" id="{00000000-0008-0000-0500-000089000000}"/>
            </a:ext>
          </a:extLst>
        </xdr:cNvPr>
        <xdr:cNvSpPr txBox="1">
          <a:spLocks noChangeArrowheads="1"/>
        </xdr:cNvSpPr>
      </xdr:nvSpPr>
      <xdr:spPr bwMode="auto">
        <a:xfrm rot="20832336">
          <a:off x="1485900" y="182851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982</xdr:row>
      <xdr:rowOff>0</xdr:rowOff>
    </xdr:from>
    <xdr:to>
      <xdr:col>2</xdr:col>
      <xdr:colOff>76200</xdr:colOff>
      <xdr:row>982</xdr:row>
      <xdr:rowOff>40005</xdr:rowOff>
    </xdr:to>
    <xdr:sp macro="" textlink="">
      <xdr:nvSpPr>
        <xdr:cNvPr id="138" name="Text Box 5">
          <a:extLst>
            <a:ext uri="{FF2B5EF4-FFF2-40B4-BE49-F238E27FC236}">
              <a16:creationId xmlns:a16="http://schemas.microsoft.com/office/drawing/2014/main" id="{00000000-0008-0000-0500-00008A000000}"/>
            </a:ext>
          </a:extLst>
        </xdr:cNvPr>
        <xdr:cNvSpPr txBox="1">
          <a:spLocks noChangeArrowheads="1"/>
        </xdr:cNvSpPr>
      </xdr:nvSpPr>
      <xdr:spPr bwMode="auto">
        <a:xfrm>
          <a:off x="1390650" y="247583325"/>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1204</xdr:row>
      <xdr:rowOff>161924</xdr:rowOff>
    </xdr:from>
    <xdr:to>
      <xdr:col>2</xdr:col>
      <xdr:colOff>481601</xdr:colOff>
      <xdr:row>1205</xdr:row>
      <xdr:rowOff>192639</xdr:rowOff>
    </xdr:to>
    <xdr:sp macro="" textlink="">
      <xdr:nvSpPr>
        <xdr:cNvPr id="139" name="Text Box 218">
          <a:extLst>
            <a:ext uri="{FF2B5EF4-FFF2-40B4-BE49-F238E27FC236}">
              <a16:creationId xmlns:a16="http://schemas.microsoft.com/office/drawing/2014/main" id="{00000000-0008-0000-0500-00008B000000}"/>
            </a:ext>
          </a:extLst>
        </xdr:cNvPr>
        <xdr:cNvSpPr txBox="1">
          <a:spLocks noChangeArrowheads="1"/>
        </xdr:cNvSpPr>
      </xdr:nvSpPr>
      <xdr:spPr bwMode="auto">
        <a:xfrm>
          <a:off x="1583397" y="300770924"/>
          <a:ext cx="288854" cy="2783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1236</xdr:row>
      <xdr:rowOff>39383</xdr:rowOff>
    </xdr:from>
    <xdr:to>
      <xdr:col>2</xdr:col>
      <xdr:colOff>556514</xdr:colOff>
      <xdr:row>1237</xdr:row>
      <xdr:rowOff>64211</xdr:rowOff>
    </xdr:to>
    <xdr:sp macro="" textlink="">
      <xdr:nvSpPr>
        <xdr:cNvPr id="140" name="Text Box 225">
          <a:extLst>
            <a:ext uri="{FF2B5EF4-FFF2-40B4-BE49-F238E27FC236}">
              <a16:creationId xmlns:a16="http://schemas.microsoft.com/office/drawing/2014/main" id="{00000000-0008-0000-0500-00008C000000}"/>
            </a:ext>
          </a:extLst>
        </xdr:cNvPr>
        <xdr:cNvSpPr txBox="1">
          <a:spLocks noChangeArrowheads="1"/>
        </xdr:cNvSpPr>
      </xdr:nvSpPr>
      <xdr:spPr bwMode="auto">
        <a:xfrm>
          <a:off x="1634551" y="307915958"/>
          <a:ext cx="312613" cy="2153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1233</xdr:row>
      <xdr:rowOff>146405</xdr:rowOff>
    </xdr:from>
    <xdr:to>
      <xdr:col>2</xdr:col>
      <xdr:colOff>556517</xdr:colOff>
      <xdr:row>1234</xdr:row>
      <xdr:rowOff>139129</xdr:rowOff>
    </xdr:to>
    <xdr:sp macro="" textlink="">
      <xdr:nvSpPr>
        <xdr:cNvPr id="141" name="Text Box 232">
          <a:extLst>
            <a:ext uri="{FF2B5EF4-FFF2-40B4-BE49-F238E27FC236}">
              <a16:creationId xmlns:a16="http://schemas.microsoft.com/office/drawing/2014/main" id="{00000000-0008-0000-0500-00008D000000}"/>
            </a:ext>
          </a:extLst>
        </xdr:cNvPr>
        <xdr:cNvSpPr txBox="1">
          <a:spLocks noChangeArrowheads="1"/>
        </xdr:cNvSpPr>
      </xdr:nvSpPr>
      <xdr:spPr bwMode="auto">
        <a:xfrm>
          <a:off x="1623852" y="307337180"/>
          <a:ext cx="323315" cy="24037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1254</xdr:row>
      <xdr:rowOff>71490</xdr:rowOff>
    </xdr:from>
    <xdr:to>
      <xdr:col>2</xdr:col>
      <xdr:colOff>470899</xdr:colOff>
      <xdr:row>1255</xdr:row>
      <xdr:rowOff>85618</xdr:rowOff>
    </xdr:to>
    <xdr:sp macro="" textlink="">
      <xdr:nvSpPr>
        <xdr:cNvPr id="142" name="Text Box 225">
          <a:extLst>
            <a:ext uri="{FF2B5EF4-FFF2-40B4-BE49-F238E27FC236}">
              <a16:creationId xmlns:a16="http://schemas.microsoft.com/office/drawing/2014/main" id="{00000000-0008-0000-0500-00008E000000}"/>
            </a:ext>
          </a:extLst>
        </xdr:cNvPr>
        <xdr:cNvSpPr txBox="1">
          <a:spLocks noChangeArrowheads="1"/>
        </xdr:cNvSpPr>
      </xdr:nvSpPr>
      <xdr:spPr bwMode="auto">
        <a:xfrm>
          <a:off x="1570341" y="312034290"/>
          <a:ext cx="291208" cy="2046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1251</xdr:row>
      <xdr:rowOff>199917</xdr:rowOff>
    </xdr:from>
    <xdr:to>
      <xdr:col>2</xdr:col>
      <xdr:colOff>535113</xdr:colOff>
      <xdr:row>1252</xdr:row>
      <xdr:rowOff>214044</xdr:rowOff>
    </xdr:to>
    <xdr:sp macro="" textlink="">
      <xdr:nvSpPr>
        <xdr:cNvPr id="143" name="Text Box 232">
          <a:extLst>
            <a:ext uri="{FF2B5EF4-FFF2-40B4-BE49-F238E27FC236}">
              <a16:creationId xmlns:a16="http://schemas.microsoft.com/office/drawing/2014/main" id="{00000000-0008-0000-0500-00008F000000}"/>
            </a:ext>
          </a:extLst>
        </xdr:cNvPr>
        <xdr:cNvSpPr txBox="1">
          <a:spLocks noChangeArrowheads="1"/>
        </xdr:cNvSpPr>
      </xdr:nvSpPr>
      <xdr:spPr bwMode="auto">
        <a:xfrm>
          <a:off x="1559639" y="311476917"/>
          <a:ext cx="366124" cy="2617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1376</xdr:row>
      <xdr:rowOff>146407</xdr:rowOff>
    </xdr:from>
    <xdr:to>
      <xdr:col>2</xdr:col>
      <xdr:colOff>470899</xdr:colOff>
      <xdr:row>1377</xdr:row>
      <xdr:rowOff>117725</xdr:rowOff>
    </xdr:to>
    <xdr:sp macro="" textlink="">
      <xdr:nvSpPr>
        <xdr:cNvPr id="144" name="Text Box 225">
          <a:extLst>
            <a:ext uri="{FF2B5EF4-FFF2-40B4-BE49-F238E27FC236}">
              <a16:creationId xmlns:a16="http://schemas.microsoft.com/office/drawing/2014/main" id="{00000000-0008-0000-0500-000090000000}"/>
            </a:ext>
          </a:extLst>
        </xdr:cNvPr>
        <xdr:cNvSpPr txBox="1">
          <a:spLocks noChangeArrowheads="1"/>
        </xdr:cNvSpPr>
      </xdr:nvSpPr>
      <xdr:spPr bwMode="auto">
        <a:xfrm>
          <a:off x="1591745" y="339884107"/>
          <a:ext cx="269804" cy="19039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1706</xdr:row>
      <xdr:rowOff>1393</xdr:rowOff>
    </xdr:from>
    <xdr:to>
      <xdr:col>2</xdr:col>
      <xdr:colOff>567219</xdr:colOff>
      <xdr:row>1707</xdr:row>
      <xdr:rowOff>0</xdr:rowOff>
    </xdr:to>
    <xdr:sp macro="" textlink="">
      <xdr:nvSpPr>
        <xdr:cNvPr id="145" name="Text Box 25">
          <a:extLst>
            <a:ext uri="{FF2B5EF4-FFF2-40B4-BE49-F238E27FC236}">
              <a16:creationId xmlns:a16="http://schemas.microsoft.com/office/drawing/2014/main" id="{00000000-0008-0000-0500-000091000000}"/>
            </a:ext>
          </a:extLst>
        </xdr:cNvPr>
        <xdr:cNvSpPr txBox="1">
          <a:spLocks noChangeArrowheads="1"/>
        </xdr:cNvSpPr>
      </xdr:nvSpPr>
      <xdr:spPr bwMode="auto">
        <a:xfrm>
          <a:off x="1694379" y="417015418"/>
          <a:ext cx="263490" cy="2176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2337</xdr:row>
      <xdr:rowOff>91719</xdr:rowOff>
    </xdr:from>
    <xdr:to>
      <xdr:col>2</xdr:col>
      <xdr:colOff>802669</xdr:colOff>
      <xdr:row>2338</xdr:row>
      <xdr:rowOff>96320</xdr:rowOff>
    </xdr:to>
    <xdr:sp macro="" textlink="">
      <xdr:nvSpPr>
        <xdr:cNvPr id="146" name="Text Box 41">
          <a:extLst>
            <a:ext uri="{FF2B5EF4-FFF2-40B4-BE49-F238E27FC236}">
              <a16:creationId xmlns:a16="http://schemas.microsoft.com/office/drawing/2014/main" id="{00000000-0008-0000-0500-000092000000}"/>
            </a:ext>
          </a:extLst>
        </xdr:cNvPr>
        <xdr:cNvSpPr txBox="1">
          <a:spLocks noChangeArrowheads="1"/>
        </xdr:cNvSpPr>
      </xdr:nvSpPr>
      <xdr:spPr bwMode="auto">
        <a:xfrm>
          <a:off x="1872786" y="56649584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2607</xdr:row>
      <xdr:rowOff>334340</xdr:rowOff>
    </xdr:from>
    <xdr:to>
      <xdr:col>2</xdr:col>
      <xdr:colOff>866882</xdr:colOff>
      <xdr:row>2609</xdr:row>
      <xdr:rowOff>10703</xdr:rowOff>
    </xdr:to>
    <xdr:sp macro="" textlink="">
      <xdr:nvSpPr>
        <xdr:cNvPr id="147" name="Text Box 324">
          <a:extLst>
            <a:ext uri="{FF2B5EF4-FFF2-40B4-BE49-F238E27FC236}">
              <a16:creationId xmlns:a16="http://schemas.microsoft.com/office/drawing/2014/main" id="{00000000-0008-0000-0500-000093000000}"/>
            </a:ext>
          </a:extLst>
        </xdr:cNvPr>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2618</xdr:row>
      <xdr:rowOff>45378</xdr:rowOff>
    </xdr:from>
    <xdr:to>
      <xdr:col>2</xdr:col>
      <xdr:colOff>749156</xdr:colOff>
      <xdr:row>2619</xdr:row>
      <xdr:rowOff>64213</xdr:rowOff>
    </xdr:to>
    <xdr:sp macro="" textlink="">
      <xdr:nvSpPr>
        <xdr:cNvPr id="148" name="Text Box 324">
          <a:extLst>
            <a:ext uri="{FF2B5EF4-FFF2-40B4-BE49-F238E27FC236}">
              <a16:creationId xmlns:a16="http://schemas.microsoft.com/office/drawing/2014/main" id="{00000000-0008-0000-0500-000094000000}"/>
            </a:ext>
          </a:extLst>
        </xdr:cNvPr>
        <xdr:cNvSpPr txBox="1">
          <a:spLocks noChangeArrowheads="1"/>
        </xdr:cNvSpPr>
      </xdr:nvSpPr>
      <xdr:spPr bwMode="auto">
        <a:xfrm>
          <a:off x="1727663" y="634172253"/>
          <a:ext cx="412143" cy="2664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2637</xdr:row>
      <xdr:rowOff>270125</xdr:rowOff>
    </xdr:from>
    <xdr:to>
      <xdr:col>2</xdr:col>
      <xdr:colOff>791966</xdr:colOff>
      <xdr:row>2638</xdr:row>
      <xdr:rowOff>139129</xdr:rowOff>
    </xdr:to>
    <xdr:sp macro="" textlink="">
      <xdr:nvSpPr>
        <xdr:cNvPr id="149" name="Text Box 324">
          <a:extLst>
            <a:ext uri="{FF2B5EF4-FFF2-40B4-BE49-F238E27FC236}">
              <a16:creationId xmlns:a16="http://schemas.microsoft.com/office/drawing/2014/main" id="{00000000-0008-0000-0500-000095000000}"/>
            </a:ext>
          </a:extLst>
        </xdr:cNvPr>
        <xdr:cNvSpPr txBox="1">
          <a:spLocks noChangeArrowheads="1"/>
        </xdr:cNvSpPr>
      </xdr:nvSpPr>
      <xdr:spPr bwMode="auto">
        <a:xfrm>
          <a:off x="1877494" y="638902325"/>
          <a:ext cx="305122" cy="221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2721</xdr:row>
      <xdr:rowOff>88186</xdr:rowOff>
    </xdr:from>
    <xdr:to>
      <xdr:col>2</xdr:col>
      <xdr:colOff>727753</xdr:colOff>
      <xdr:row>2722</xdr:row>
      <xdr:rowOff>128427</xdr:rowOff>
    </xdr:to>
    <xdr:sp macro="" textlink="">
      <xdr:nvSpPr>
        <xdr:cNvPr id="150" name="Text Box 324">
          <a:extLst>
            <a:ext uri="{FF2B5EF4-FFF2-40B4-BE49-F238E27FC236}">
              <a16:creationId xmlns:a16="http://schemas.microsoft.com/office/drawing/2014/main" id="{00000000-0008-0000-0500-000096000000}"/>
            </a:ext>
          </a:extLst>
        </xdr:cNvPr>
        <xdr:cNvSpPr txBox="1">
          <a:spLocks noChangeArrowheads="1"/>
        </xdr:cNvSpPr>
      </xdr:nvSpPr>
      <xdr:spPr bwMode="auto">
        <a:xfrm>
          <a:off x="1738366" y="658284736"/>
          <a:ext cx="380037" cy="2688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2735</xdr:row>
      <xdr:rowOff>173804</xdr:rowOff>
    </xdr:from>
    <xdr:to>
      <xdr:col>2</xdr:col>
      <xdr:colOff>759860</xdr:colOff>
      <xdr:row>2736</xdr:row>
      <xdr:rowOff>181938</xdr:rowOff>
    </xdr:to>
    <xdr:sp macro="" textlink="">
      <xdr:nvSpPr>
        <xdr:cNvPr id="151" name="Text Box 324">
          <a:extLst>
            <a:ext uri="{FF2B5EF4-FFF2-40B4-BE49-F238E27FC236}">
              <a16:creationId xmlns:a16="http://schemas.microsoft.com/office/drawing/2014/main" id="{00000000-0008-0000-0500-000097000000}"/>
            </a:ext>
          </a:extLst>
        </xdr:cNvPr>
        <xdr:cNvSpPr txBox="1">
          <a:spLocks noChangeArrowheads="1"/>
        </xdr:cNvSpPr>
      </xdr:nvSpPr>
      <xdr:spPr bwMode="auto">
        <a:xfrm>
          <a:off x="1781175" y="661751729"/>
          <a:ext cx="369335" cy="2367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304800</xdr:colOff>
      <xdr:row>3144</xdr:row>
      <xdr:rowOff>52441</xdr:rowOff>
    </xdr:from>
    <xdr:to>
      <xdr:col>2</xdr:col>
      <xdr:colOff>642135</xdr:colOff>
      <xdr:row>3145</xdr:row>
      <xdr:rowOff>107023</xdr:rowOff>
    </xdr:to>
    <xdr:sp macro="" textlink="">
      <xdr:nvSpPr>
        <xdr:cNvPr id="152" name="Text Box 316">
          <a:extLst>
            <a:ext uri="{FF2B5EF4-FFF2-40B4-BE49-F238E27FC236}">
              <a16:creationId xmlns:a16="http://schemas.microsoft.com/office/drawing/2014/main" id="{00000000-0008-0000-0500-000098000000}"/>
            </a:ext>
          </a:extLst>
        </xdr:cNvPr>
        <xdr:cNvSpPr txBox="1">
          <a:spLocks noChangeArrowheads="1"/>
        </xdr:cNvSpPr>
      </xdr:nvSpPr>
      <xdr:spPr bwMode="auto">
        <a:xfrm>
          <a:off x="1695450" y="760376041"/>
          <a:ext cx="337335" cy="3022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3088</xdr:row>
      <xdr:rowOff>213083</xdr:rowOff>
    </xdr:from>
    <xdr:to>
      <xdr:col>2</xdr:col>
      <xdr:colOff>706349</xdr:colOff>
      <xdr:row>3089</xdr:row>
      <xdr:rowOff>224747</xdr:rowOff>
    </xdr:to>
    <xdr:sp macro="" textlink="">
      <xdr:nvSpPr>
        <xdr:cNvPr id="153" name="Text Box 316">
          <a:extLst>
            <a:ext uri="{FF2B5EF4-FFF2-40B4-BE49-F238E27FC236}">
              <a16:creationId xmlns:a16="http://schemas.microsoft.com/office/drawing/2014/main" id="{00000000-0008-0000-0500-000099000000}"/>
            </a:ext>
          </a:extLst>
        </xdr:cNvPr>
        <xdr:cNvSpPr txBox="1">
          <a:spLocks noChangeArrowheads="1"/>
        </xdr:cNvSpPr>
      </xdr:nvSpPr>
      <xdr:spPr bwMode="auto">
        <a:xfrm>
          <a:off x="1771543" y="746925458"/>
          <a:ext cx="325456" cy="2593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3076</xdr:row>
      <xdr:rowOff>214258</xdr:rowOff>
    </xdr:from>
    <xdr:to>
      <xdr:col>2</xdr:col>
      <xdr:colOff>717051</xdr:colOff>
      <xdr:row>3077</xdr:row>
      <xdr:rowOff>246151</xdr:rowOff>
    </xdr:to>
    <xdr:sp macro="" textlink="">
      <xdr:nvSpPr>
        <xdr:cNvPr id="154" name="Text Box 316">
          <a:extLst>
            <a:ext uri="{FF2B5EF4-FFF2-40B4-BE49-F238E27FC236}">
              <a16:creationId xmlns:a16="http://schemas.microsoft.com/office/drawing/2014/main" id="{00000000-0008-0000-0500-00009A000000}"/>
            </a:ext>
          </a:extLst>
        </xdr:cNvPr>
        <xdr:cNvSpPr txBox="1">
          <a:spLocks noChangeArrowheads="1"/>
        </xdr:cNvSpPr>
      </xdr:nvSpPr>
      <xdr:spPr bwMode="auto">
        <a:xfrm>
          <a:off x="1750139" y="743859583"/>
          <a:ext cx="357562" cy="27954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3065</xdr:row>
      <xdr:rowOff>46555</xdr:rowOff>
    </xdr:from>
    <xdr:to>
      <xdr:col>2</xdr:col>
      <xdr:colOff>802669</xdr:colOff>
      <xdr:row>3066</xdr:row>
      <xdr:rowOff>64212</xdr:rowOff>
    </xdr:to>
    <xdr:sp macro="" textlink="">
      <xdr:nvSpPr>
        <xdr:cNvPr id="155" name="Text Box 316">
          <a:extLst>
            <a:ext uri="{FF2B5EF4-FFF2-40B4-BE49-F238E27FC236}">
              <a16:creationId xmlns:a16="http://schemas.microsoft.com/office/drawing/2014/main" id="{00000000-0008-0000-0500-00009B000000}"/>
            </a:ext>
          </a:extLst>
        </xdr:cNvPr>
        <xdr:cNvSpPr txBox="1">
          <a:spLocks noChangeArrowheads="1"/>
        </xdr:cNvSpPr>
      </xdr:nvSpPr>
      <xdr:spPr bwMode="auto">
        <a:xfrm>
          <a:off x="1854913" y="7408724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2999</xdr:row>
      <xdr:rowOff>198740</xdr:rowOff>
    </xdr:from>
    <xdr:to>
      <xdr:col>2</xdr:col>
      <xdr:colOff>770562</xdr:colOff>
      <xdr:row>3001</xdr:row>
      <xdr:rowOff>21403</xdr:rowOff>
    </xdr:to>
    <xdr:sp macro="" textlink="">
      <xdr:nvSpPr>
        <xdr:cNvPr id="156" name="Text Box 316">
          <a:extLst>
            <a:ext uri="{FF2B5EF4-FFF2-40B4-BE49-F238E27FC236}">
              <a16:creationId xmlns:a16="http://schemas.microsoft.com/office/drawing/2014/main" id="{00000000-0008-0000-0500-00009C000000}"/>
            </a:ext>
          </a:extLst>
        </xdr:cNvPr>
        <xdr:cNvSpPr txBox="1">
          <a:spLocks noChangeArrowheads="1"/>
        </xdr:cNvSpPr>
      </xdr:nvSpPr>
      <xdr:spPr bwMode="auto">
        <a:xfrm>
          <a:off x="1834794" y="725365565"/>
          <a:ext cx="326418" cy="2608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2956</xdr:row>
      <xdr:rowOff>216613</xdr:rowOff>
    </xdr:from>
    <xdr:to>
      <xdr:col>2</xdr:col>
      <xdr:colOff>781264</xdr:colOff>
      <xdr:row>2958</xdr:row>
      <xdr:rowOff>42808</xdr:rowOff>
    </xdr:to>
    <xdr:sp macro="" textlink="">
      <xdr:nvSpPr>
        <xdr:cNvPr id="157" name="Text Box 316">
          <a:extLst>
            <a:ext uri="{FF2B5EF4-FFF2-40B4-BE49-F238E27FC236}">
              <a16:creationId xmlns:a16="http://schemas.microsoft.com/office/drawing/2014/main" id="{00000000-0008-0000-0500-00009D000000}"/>
            </a:ext>
          </a:extLst>
        </xdr:cNvPr>
        <xdr:cNvSpPr txBox="1">
          <a:spLocks noChangeArrowheads="1"/>
        </xdr:cNvSpPr>
      </xdr:nvSpPr>
      <xdr:spPr bwMode="auto">
        <a:xfrm>
          <a:off x="1874071" y="715048813"/>
          <a:ext cx="297843" cy="2929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2769</xdr:row>
      <xdr:rowOff>21405</xdr:rowOff>
    </xdr:from>
    <xdr:to>
      <xdr:col>2</xdr:col>
      <xdr:colOff>752369</xdr:colOff>
      <xdr:row>2770</xdr:row>
      <xdr:rowOff>48910</xdr:rowOff>
    </xdr:to>
    <xdr:sp macro="" textlink="">
      <xdr:nvSpPr>
        <xdr:cNvPr id="158" name="Text Box 316">
          <a:extLst>
            <a:ext uri="{FF2B5EF4-FFF2-40B4-BE49-F238E27FC236}">
              <a16:creationId xmlns:a16="http://schemas.microsoft.com/office/drawing/2014/main" id="{00000000-0008-0000-0500-00009E000000}"/>
            </a:ext>
          </a:extLst>
        </xdr:cNvPr>
        <xdr:cNvSpPr txBox="1">
          <a:spLocks noChangeArrowheads="1"/>
        </xdr:cNvSpPr>
      </xdr:nvSpPr>
      <xdr:spPr bwMode="auto">
        <a:xfrm>
          <a:off x="1829443" y="669705105"/>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2699</xdr:row>
      <xdr:rowOff>54902</xdr:rowOff>
    </xdr:from>
    <xdr:to>
      <xdr:col>2</xdr:col>
      <xdr:colOff>813371</xdr:colOff>
      <xdr:row>2700</xdr:row>
      <xdr:rowOff>117724</xdr:rowOff>
    </xdr:to>
    <xdr:sp macro="" textlink="">
      <xdr:nvSpPr>
        <xdr:cNvPr id="159" name="Text Box 316">
          <a:extLst>
            <a:ext uri="{FF2B5EF4-FFF2-40B4-BE49-F238E27FC236}">
              <a16:creationId xmlns:a16="http://schemas.microsoft.com/office/drawing/2014/main" id="{00000000-0008-0000-0500-00009F000000}"/>
            </a:ext>
          </a:extLst>
        </xdr:cNvPr>
        <xdr:cNvSpPr txBox="1">
          <a:spLocks noChangeArrowheads="1"/>
        </xdr:cNvSpPr>
      </xdr:nvSpPr>
      <xdr:spPr bwMode="auto">
        <a:xfrm>
          <a:off x="1854914" y="653041277"/>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2656</xdr:row>
      <xdr:rowOff>203343</xdr:rowOff>
    </xdr:from>
    <xdr:to>
      <xdr:col>2</xdr:col>
      <xdr:colOff>780835</xdr:colOff>
      <xdr:row>2658</xdr:row>
      <xdr:rowOff>51263</xdr:rowOff>
    </xdr:to>
    <xdr:sp macro="" textlink="">
      <xdr:nvSpPr>
        <xdr:cNvPr id="160" name="Text Box 316">
          <a:extLst>
            <a:ext uri="{FF2B5EF4-FFF2-40B4-BE49-F238E27FC236}">
              <a16:creationId xmlns:a16="http://schemas.microsoft.com/office/drawing/2014/main" id="{00000000-0008-0000-0500-0000A0000000}"/>
            </a:ext>
          </a:extLst>
        </xdr:cNvPr>
        <xdr:cNvSpPr txBox="1">
          <a:spLocks noChangeArrowheads="1"/>
        </xdr:cNvSpPr>
      </xdr:nvSpPr>
      <xdr:spPr bwMode="auto">
        <a:xfrm>
          <a:off x="1829442" y="643483743"/>
          <a:ext cx="342043" cy="3051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2592</xdr:row>
      <xdr:rowOff>208266</xdr:rowOff>
    </xdr:from>
    <xdr:to>
      <xdr:col>2</xdr:col>
      <xdr:colOff>791966</xdr:colOff>
      <xdr:row>2594</xdr:row>
      <xdr:rowOff>32107</xdr:rowOff>
    </xdr:to>
    <xdr:sp macro="" textlink="">
      <xdr:nvSpPr>
        <xdr:cNvPr id="161" name="Text Box 316">
          <a:extLst>
            <a:ext uri="{FF2B5EF4-FFF2-40B4-BE49-F238E27FC236}">
              <a16:creationId xmlns:a16="http://schemas.microsoft.com/office/drawing/2014/main" id="{00000000-0008-0000-0500-0000A1000000}"/>
            </a:ext>
          </a:extLst>
        </xdr:cNvPr>
        <xdr:cNvSpPr txBox="1">
          <a:spLocks noChangeArrowheads="1"/>
        </xdr:cNvSpPr>
      </xdr:nvSpPr>
      <xdr:spPr bwMode="auto">
        <a:xfrm>
          <a:off x="1838111" y="627858141"/>
          <a:ext cx="344505" cy="3286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2528</xdr:row>
      <xdr:rowOff>29967</xdr:rowOff>
    </xdr:from>
    <xdr:to>
      <xdr:col>2</xdr:col>
      <xdr:colOff>824073</xdr:colOff>
      <xdr:row>2529</xdr:row>
      <xdr:rowOff>64213</xdr:rowOff>
    </xdr:to>
    <xdr:sp macro="" textlink="">
      <xdr:nvSpPr>
        <xdr:cNvPr id="162" name="Text Box 316">
          <a:extLst>
            <a:ext uri="{FF2B5EF4-FFF2-40B4-BE49-F238E27FC236}">
              <a16:creationId xmlns:a16="http://schemas.microsoft.com/office/drawing/2014/main" id="{00000000-0008-0000-0500-0000A2000000}"/>
            </a:ext>
          </a:extLst>
        </xdr:cNvPr>
        <xdr:cNvSpPr txBox="1">
          <a:spLocks noChangeArrowheads="1"/>
        </xdr:cNvSpPr>
      </xdr:nvSpPr>
      <xdr:spPr bwMode="auto">
        <a:xfrm>
          <a:off x="1895261" y="612658917"/>
          <a:ext cx="319462" cy="28189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2452</xdr:row>
      <xdr:rowOff>210727</xdr:rowOff>
    </xdr:from>
    <xdr:to>
      <xdr:col>2</xdr:col>
      <xdr:colOff>655941</xdr:colOff>
      <xdr:row>2454</xdr:row>
      <xdr:rowOff>106060</xdr:rowOff>
    </xdr:to>
    <xdr:sp macro="" textlink="">
      <xdr:nvSpPr>
        <xdr:cNvPr id="163" name="Text Box 316">
          <a:extLst>
            <a:ext uri="{FF2B5EF4-FFF2-40B4-BE49-F238E27FC236}">
              <a16:creationId xmlns:a16="http://schemas.microsoft.com/office/drawing/2014/main" id="{00000000-0008-0000-0500-0000A3000000}"/>
            </a:ext>
          </a:extLst>
        </xdr:cNvPr>
        <xdr:cNvSpPr txBox="1">
          <a:spLocks noChangeArrowheads="1"/>
        </xdr:cNvSpPr>
      </xdr:nvSpPr>
      <xdr:spPr bwMode="auto">
        <a:xfrm>
          <a:off x="1789416" y="594113527"/>
          <a:ext cx="257175" cy="35253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2232</xdr:row>
      <xdr:rowOff>135704</xdr:rowOff>
    </xdr:from>
    <xdr:to>
      <xdr:col>2</xdr:col>
      <xdr:colOff>770562</xdr:colOff>
      <xdr:row>2233</xdr:row>
      <xdr:rowOff>171238</xdr:rowOff>
    </xdr:to>
    <xdr:sp macro="" textlink="">
      <xdr:nvSpPr>
        <xdr:cNvPr id="164" name="Text Box 316">
          <a:extLst>
            <a:ext uri="{FF2B5EF4-FFF2-40B4-BE49-F238E27FC236}">
              <a16:creationId xmlns:a16="http://schemas.microsoft.com/office/drawing/2014/main" id="{00000000-0008-0000-0500-0000A4000000}"/>
            </a:ext>
          </a:extLst>
        </xdr:cNvPr>
        <xdr:cNvSpPr txBox="1">
          <a:spLocks noChangeArrowheads="1"/>
        </xdr:cNvSpPr>
      </xdr:nvSpPr>
      <xdr:spPr bwMode="auto">
        <a:xfrm>
          <a:off x="1835864" y="541841504"/>
          <a:ext cx="325348" cy="2546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2041</xdr:row>
      <xdr:rowOff>111947</xdr:rowOff>
    </xdr:from>
    <xdr:to>
      <xdr:col>2</xdr:col>
      <xdr:colOff>620731</xdr:colOff>
      <xdr:row>2042</xdr:row>
      <xdr:rowOff>181938</xdr:rowOff>
    </xdr:to>
    <xdr:sp macro="" textlink="">
      <xdr:nvSpPr>
        <xdr:cNvPr id="165" name="Text Box 316">
          <a:extLst>
            <a:ext uri="{FF2B5EF4-FFF2-40B4-BE49-F238E27FC236}">
              <a16:creationId xmlns:a16="http://schemas.microsoft.com/office/drawing/2014/main" id="{00000000-0008-0000-0500-0000A5000000}"/>
            </a:ext>
          </a:extLst>
        </xdr:cNvPr>
        <xdr:cNvSpPr txBox="1">
          <a:spLocks noChangeArrowheads="1"/>
        </xdr:cNvSpPr>
      </xdr:nvSpPr>
      <xdr:spPr bwMode="auto">
        <a:xfrm>
          <a:off x="1692988" y="496974047"/>
          <a:ext cx="318393" cy="2985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1898</xdr:row>
      <xdr:rowOff>171450</xdr:rowOff>
    </xdr:from>
    <xdr:to>
      <xdr:col>2</xdr:col>
      <xdr:colOff>590550</xdr:colOff>
      <xdr:row>1899</xdr:row>
      <xdr:rowOff>38100</xdr:rowOff>
    </xdr:to>
    <xdr:sp macro="" textlink="">
      <xdr:nvSpPr>
        <xdr:cNvPr id="166" name="Text Box 245">
          <a:extLst>
            <a:ext uri="{FF2B5EF4-FFF2-40B4-BE49-F238E27FC236}">
              <a16:creationId xmlns:a16="http://schemas.microsoft.com/office/drawing/2014/main" id="{00000000-0008-0000-0500-0000A6000000}"/>
            </a:ext>
          </a:extLst>
        </xdr:cNvPr>
        <xdr:cNvSpPr txBox="1">
          <a:spLocks noChangeArrowheads="1"/>
        </xdr:cNvSpPr>
      </xdr:nvSpPr>
      <xdr:spPr bwMode="auto">
        <a:xfrm>
          <a:off x="1724025" y="463267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1882</xdr:row>
      <xdr:rowOff>142874</xdr:rowOff>
    </xdr:from>
    <xdr:to>
      <xdr:col>2</xdr:col>
      <xdr:colOff>610030</xdr:colOff>
      <xdr:row>1883</xdr:row>
      <xdr:rowOff>117724</xdr:rowOff>
    </xdr:to>
    <xdr:sp macro="" textlink="">
      <xdr:nvSpPr>
        <xdr:cNvPr id="167" name="Text Box 245">
          <a:extLst>
            <a:ext uri="{FF2B5EF4-FFF2-40B4-BE49-F238E27FC236}">
              <a16:creationId xmlns:a16="http://schemas.microsoft.com/office/drawing/2014/main" id="{00000000-0008-0000-0500-0000A7000000}"/>
            </a:ext>
          </a:extLst>
        </xdr:cNvPr>
        <xdr:cNvSpPr txBox="1">
          <a:spLocks noChangeArrowheads="1"/>
        </xdr:cNvSpPr>
      </xdr:nvSpPr>
      <xdr:spPr bwMode="auto">
        <a:xfrm>
          <a:off x="1724990" y="459381224"/>
          <a:ext cx="275690"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1860</xdr:row>
      <xdr:rowOff>27505</xdr:rowOff>
    </xdr:from>
    <xdr:to>
      <xdr:col>2</xdr:col>
      <xdr:colOff>515420</xdr:colOff>
      <xdr:row>1860</xdr:row>
      <xdr:rowOff>203342</xdr:rowOff>
    </xdr:to>
    <xdr:sp macro="" textlink="">
      <xdr:nvSpPr>
        <xdr:cNvPr id="168" name="Text Box 245">
          <a:extLst>
            <a:ext uri="{FF2B5EF4-FFF2-40B4-BE49-F238E27FC236}">
              <a16:creationId xmlns:a16="http://schemas.microsoft.com/office/drawing/2014/main" id="{00000000-0008-0000-0500-0000A8000000}"/>
            </a:ext>
          </a:extLst>
        </xdr:cNvPr>
        <xdr:cNvSpPr txBox="1">
          <a:spLocks noChangeArrowheads="1"/>
        </xdr:cNvSpPr>
      </xdr:nvSpPr>
      <xdr:spPr bwMode="auto">
        <a:xfrm>
          <a:off x="1626100" y="453922330"/>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1824</xdr:row>
      <xdr:rowOff>160535</xdr:rowOff>
    </xdr:from>
    <xdr:to>
      <xdr:col>2</xdr:col>
      <xdr:colOff>652837</xdr:colOff>
      <xdr:row>1826</xdr:row>
      <xdr:rowOff>107023</xdr:rowOff>
    </xdr:to>
    <xdr:sp macro="" textlink="">
      <xdr:nvSpPr>
        <xdr:cNvPr id="169" name="Text Box 245">
          <a:extLst>
            <a:ext uri="{FF2B5EF4-FFF2-40B4-BE49-F238E27FC236}">
              <a16:creationId xmlns:a16="http://schemas.microsoft.com/office/drawing/2014/main" id="{00000000-0008-0000-0500-0000A9000000}"/>
            </a:ext>
          </a:extLst>
        </xdr:cNvPr>
        <xdr:cNvSpPr txBox="1">
          <a:spLocks noChangeArrowheads="1"/>
        </xdr:cNvSpPr>
      </xdr:nvSpPr>
      <xdr:spPr bwMode="auto">
        <a:xfrm>
          <a:off x="1626100" y="445063760"/>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1808</xdr:row>
      <xdr:rowOff>60789</xdr:rowOff>
    </xdr:from>
    <xdr:to>
      <xdr:col>2</xdr:col>
      <xdr:colOff>620729</xdr:colOff>
      <xdr:row>1809</xdr:row>
      <xdr:rowOff>171236</xdr:rowOff>
    </xdr:to>
    <xdr:sp macro="" textlink="">
      <xdr:nvSpPr>
        <xdr:cNvPr id="170" name="Text Box 245">
          <a:extLst>
            <a:ext uri="{FF2B5EF4-FFF2-40B4-BE49-F238E27FC236}">
              <a16:creationId xmlns:a16="http://schemas.microsoft.com/office/drawing/2014/main" id="{00000000-0008-0000-0500-0000AA000000}"/>
            </a:ext>
          </a:extLst>
        </xdr:cNvPr>
        <xdr:cNvSpPr txBox="1">
          <a:spLocks noChangeArrowheads="1"/>
        </xdr:cNvSpPr>
      </xdr:nvSpPr>
      <xdr:spPr bwMode="auto">
        <a:xfrm>
          <a:off x="1659704" y="441382614"/>
          <a:ext cx="351675"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1605</xdr:row>
      <xdr:rowOff>180975</xdr:rowOff>
    </xdr:from>
    <xdr:to>
      <xdr:col>2</xdr:col>
      <xdr:colOff>609600</xdr:colOff>
      <xdr:row>1606</xdr:row>
      <xdr:rowOff>47625</xdr:rowOff>
    </xdr:to>
    <xdr:sp macro="" textlink="">
      <xdr:nvSpPr>
        <xdr:cNvPr id="171" name="Text Box 245">
          <a:extLst>
            <a:ext uri="{FF2B5EF4-FFF2-40B4-BE49-F238E27FC236}">
              <a16:creationId xmlns:a16="http://schemas.microsoft.com/office/drawing/2014/main" id="{00000000-0008-0000-0500-0000AB000000}"/>
            </a:ext>
          </a:extLst>
        </xdr:cNvPr>
        <xdr:cNvSpPr txBox="1">
          <a:spLocks noChangeArrowheads="1"/>
        </xdr:cNvSpPr>
      </xdr:nvSpPr>
      <xdr:spPr bwMode="auto">
        <a:xfrm>
          <a:off x="1743075" y="393725400"/>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1563</xdr:row>
      <xdr:rowOff>161925</xdr:rowOff>
    </xdr:from>
    <xdr:to>
      <xdr:col>2</xdr:col>
      <xdr:colOff>704850</xdr:colOff>
      <xdr:row>1564</xdr:row>
      <xdr:rowOff>28575</xdr:rowOff>
    </xdr:to>
    <xdr:sp macro="" textlink="">
      <xdr:nvSpPr>
        <xdr:cNvPr id="172" name="Text Box 245">
          <a:extLst>
            <a:ext uri="{FF2B5EF4-FFF2-40B4-BE49-F238E27FC236}">
              <a16:creationId xmlns:a16="http://schemas.microsoft.com/office/drawing/2014/main" id="{00000000-0008-0000-0500-0000AC000000}"/>
            </a:ext>
          </a:extLst>
        </xdr:cNvPr>
        <xdr:cNvSpPr txBox="1">
          <a:spLocks noChangeArrowheads="1"/>
        </xdr:cNvSpPr>
      </xdr:nvSpPr>
      <xdr:spPr bwMode="auto">
        <a:xfrm>
          <a:off x="1838325" y="3839432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1379</xdr:row>
      <xdr:rowOff>82192</xdr:rowOff>
    </xdr:from>
    <xdr:to>
      <xdr:col>2</xdr:col>
      <xdr:colOff>577920</xdr:colOff>
      <xdr:row>1380</xdr:row>
      <xdr:rowOff>139129</xdr:rowOff>
    </xdr:to>
    <xdr:sp macro="" textlink="">
      <xdr:nvSpPr>
        <xdr:cNvPr id="173" name="Text Box 245">
          <a:extLst>
            <a:ext uri="{FF2B5EF4-FFF2-40B4-BE49-F238E27FC236}">
              <a16:creationId xmlns:a16="http://schemas.microsoft.com/office/drawing/2014/main" id="{00000000-0008-0000-0500-0000AD000000}"/>
            </a:ext>
          </a:extLst>
        </xdr:cNvPr>
        <xdr:cNvSpPr txBox="1">
          <a:spLocks noChangeArrowheads="1"/>
        </xdr:cNvSpPr>
      </xdr:nvSpPr>
      <xdr:spPr bwMode="auto">
        <a:xfrm>
          <a:off x="1628666" y="340477117"/>
          <a:ext cx="339904" cy="2474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1360</xdr:row>
      <xdr:rowOff>83370</xdr:rowOff>
    </xdr:from>
    <xdr:to>
      <xdr:col>2</xdr:col>
      <xdr:colOff>428090</xdr:colOff>
      <xdr:row>1361</xdr:row>
      <xdr:rowOff>96320</xdr:rowOff>
    </xdr:to>
    <xdr:sp macro="" textlink="">
      <xdr:nvSpPr>
        <xdr:cNvPr id="174" name="Text Box 245">
          <a:extLst>
            <a:ext uri="{FF2B5EF4-FFF2-40B4-BE49-F238E27FC236}">
              <a16:creationId xmlns:a16="http://schemas.microsoft.com/office/drawing/2014/main" id="{00000000-0008-0000-0500-0000AE000000}"/>
            </a:ext>
          </a:extLst>
        </xdr:cNvPr>
        <xdr:cNvSpPr txBox="1">
          <a:spLocks noChangeArrowheads="1"/>
        </xdr:cNvSpPr>
      </xdr:nvSpPr>
      <xdr:spPr bwMode="auto">
        <a:xfrm>
          <a:off x="1548936" y="336106320"/>
          <a:ext cx="269804" cy="203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1329</xdr:row>
      <xdr:rowOff>100067</xdr:rowOff>
    </xdr:from>
    <xdr:to>
      <xdr:col>2</xdr:col>
      <xdr:colOff>524410</xdr:colOff>
      <xdr:row>1330</xdr:row>
      <xdr:rowOff>53512</xdr:rowOff>
    </xdr:to>
    <xdr:sp macro="" textlink="">
      <xdr:nvSpPr>
        <xdr:cNvPr id="175" name="Text Box 245">
          <a:extLst>
            <a:ext uri="{FF2B5EF4-FFF2-40B4-BE49-F238E27FC236}">
              <a16:creationId xmlns:a16="http://schemas.microsoft.com/office/drawing/2014/main" id="{00000000-0008-0000-0500-0000AF000000}"/>
            </a:ext>
          </a:extLst>
        </xdr:cNvPr>
        <xdr:cNvSpPr txBox="1">
          <a:spLocks noChangeArrowheads="1"/>
        </xdr:cNvSpPr>
      </xdr:nvSpPr>
      <xdr:spPr bwMode="auto">
        <a:xfrm>
          <a:off x="1611972" y="329445992"/>
          <a:ext cx="303088" cy="2010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1313</xdr:row>
      <xdr:rowOff>90542</xdr:rowOff>
    </xdr:from>
    <xdr:to>
      <xdr:col>2</xdr:col>
      <xdr:colOff>449495</xdr:colOff>
      <xdr:row>1314</xdr:row>
      <xdr:rowOff>107023</xdr:rowOff>
    </xdr:to>
    <xdr:sp macro="" textlink="">
      <xdr:nvSpPr>
        <xdr:cNvPr id="176" name="Text Box 245">
          <a:extLst>
            <a:ext uri="{FF2B5EF4-FFF2-40B4-BE49-F238E27FC236}">
              <a16:creationId xmlns:a16="http://schemas.microsoft.com/office/drawing/2014/main" id="{00000000-0008-0000-0500-0000B0000000}"/>
            </a:ext>
          </a:extLst>
        </xdr:cNvPr>
        <xdr:cNvSpPr txBox="1">
          <a:spLocks noChangeArrowheads="1"/>
        </xdr:cNvSpPr>
      </xdr:nvSpPr>
      <xdr:spPr bwMode="auto">
        <a:xfrm>
          <a:off x="1550114" y="325759817"/>
          <a:ext cx="29003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1316</xdr:row>
      <xdr:rowOff>28682</xdr:rowOff>
    </xdr:from>
    <xdr:to>
      <xdr:col>2</xdr:col>
      <xdr:colOff>438791</xdr:colOff>
      <xdr:row>1317</xdr:row>
      <xdr:rowOff>32107</xdr:rowOff>
    </xdr:to>
    <xdr:sp macro="" textlink="">
      <xdr:nvSpPr>
        <xdr:cNvPr id="177" name="Text Box 245">
          <a:extLst>
            <a:ext uri="{FF2B5EF4-FFF2-40B4-BE49-F238E27FC236}">
              <a16:creationId xmlns:a16="http://schemas.microsoft.com/office/drawing/2014/main" id="{00000000-0008-0000-0500-0000B1000000}"/>
            </a:ext>
          </a:extLst>
        </xdr:cNvPr>
        <xdr:cNvSpPr txBox="1">
          <a:spLocks noChangeArrowheads="1"/>
        </xdr:cNvSpPr>
      </xdr:nvSpPr>
      <xdr:spPr bwMode="auto">
        <a:xfrm>
          <a:off x="1552467" y="326355182"/>
          <a:ext cx="276974"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1148</xdr:row>
      <xdr:rowOff>130997</xdr:rowOff>
    </xdr:from>
    <xdr:to>
      <xdr:col>2</xdr:col>
      <xdr:colOff>492304</xdr:colOff>
      <xdr:row>1149</xdr:row>
      <xdr:rowOff>181938</xdr:rowOff>
    </xdr:to>
    <xdr:sp macro="" textlink="">
      <xdr:nvSpPr>
        <xdr:cNvPr id="178" name="Text Box 9">
          <a:extLst>
            <a:ext uri="{FF2B5EF4-FFF2-40B4-BE49-F238E27FC236}">
              <a16:creationId xmlns:a16="http://schemas.microsoft.com/office/drawing/2014/main" id="{00000000-0008-0000-0500-0000B2000000}"/>
            </a:ext>
          </a:extLst>
        </xdr:cNvPr>
        <xdr:cNvSpPr txBox="1">
          <a:spLocks noChangeArrowheads="1"/>
        </xdr:cNvSpPr>
      </xdr:nvSpPr>
      <xdr:spPr bwMode="auto">
        <a:xfrm>
          <a:off x="1577405" y="287166872"/>
          <a:ext cx="305549" cy="289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4972</xdr:row>
      <xdr:rowOff>180975</xdr:rowOff>
    </xdr:from>
    <xdr:to>
      <xdr:col>2</xdr:col>
      <xdr:colOff>647700</xdr:colOff>
      <xdr:row>4973</xdr:row>
      <xdr:rowOff>66675</xdr:rowOff>
    </xdr:to>
    <xdr:sp macro="" textlink="">
      <xdr:nvSpPr>
        <xdr:cNvPr id="179" name="Text Box 245">
          <a:extLst>
            <a:ext uri="{FF2B5EF4-FFF2-40B4-BE49-F238E27FC236}">
              <a16:creationId xmlns:a16="http://schemas.microsoft.com/office/drawing/2014/main" id="{00000000-0008-0000-0500-0000B3000000}"/>
            </a:ext>
          </a:extLst>
        </xdr:cNvPr>
        <xdr:cNvSpPr txBox="1">
          <a:spLocks noChangeArrowheads="1"/>
        </xdr:cNvSpPr>
      </xdr:nvSpPr>
      <xdr:spPr bwMode="auto">
        <a:xfrm>
          <a:off x="1781175" y="1201931175"/>
          <a:ext cx="257175" cy="762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2709</xdr:row>
      <xdr:rowOff>215435</xdr:rowOff>
    </xdr:from>
    <xdr:to>
      <xdr:col>2</xdr:col>
      <xdr:colOff>824073</xdr:colOff>
      <xdr:row>2711</xdr:row>
      <xdr:rowOff>74915</xdr:rowOff>
    </xdr:to>
    <xdr:sp macro="" textlink="">
      <xdr:nvSpPr>
        <xdr:cNvPr id="180" name="Text Box 316">
          <a:extLst>
            <a:ext uri="{FF2B5EF4-FFF2-40B4-BE49-F238E27FC236}">
              <a16:creationId xmlns:a16="http://schemas.microsoft.com/office/drawing/2014/main" id="{00000000-0008-0000-0500-0000B4000000}"/>
            </a:ext>
          </a:extLst>
        </xdr:cNvPr>
        <xdr:cNvSpPr txBox="1">
          <a:spLocks noChangeArrowheads="1"/>
        </xdr:cNvSpPr>
      </xdr:nvSpPr>
      <xdr:spPr bwMode="auto">
        <a:xfrm>
          <a:off x="1833509" y="655487810"/>
          <a:ext cx="381214" cy="31668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2681</xdr:row>
      <xdr:rowOff>179691</xdr:rowOff>
    </xdr:from>
    <xdr:to>
      <xdr:col>2</xdr:col>
      <xdr:colOff>781264</xdr:colOff>
      <xdr:row>2683</xdr:row>
      <xdr:rowOff>42809</xdr:rowOff>
    </xdr:to>
    <xdr:sp macro="" textlink="">
      <xdr:nvSpPr>
        <xdr:cNvPr id="181" name="Text Box 316">
          <a:extLst>
            <a:ext uri="{FF2B5EF4-FFF2-40B4-BE49-F238E27FC236}">
              <a16:creationId xmlns:a16="http://schemas.microsoft.com/office/drawing/2014/main" id="{00000000-0008-0000-0500-0000B5000000}"/>
            </a:ext>
          </a:extLst>
        </xdr:cNvPr>
        <xdr:cNvSpPr txBox="1">
          <a:spLocks noChangeArrowheads="1"/>
        </xdr:cNvSpPr>
      </xdr:nvSpPr>
      <xdr:spPr bwMode="auto">
        <a:xfrm>
          <a:off x="1785884" y="649022691"/>
          <a:ext cx="386030" cy="3203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2194</xdr:row>
      <xdr:rowOff>140414</xdr:rowOff>
    </xdr:from>
    <xdr:to>
      <xdr:col>2</xdr:col>
      <xdr:colOff>845477</xdr:colOff>
      <xdr:row>2195</xdr:row>
      <xdr:rowOff>171236</xdr:rowOff>
    </xdr:to>
    <xdr:sp macro="" textlink="">
      <xdr:nvSpPr>
        <xdr:cNvPr id="182" name="Text Box 35">
          <a:extLst>
            <a:ext uri="{FF2B5EF4-FFF2-40B4-BE49-F238E27FC236}">
              <a16:creationId xmlns:a16="http://schemas.microsoft.com/office/drawing/2014/main" id="{00000000-0008-0000-0500-0000B6000000}"/>
            </a:ext>
          </a:extLst>
        </xdr:cNvPr>
        <xdr:cNvSpPr txBox="1">
          <a:spLocks noChangeArrowheads="1"/>
        </xdr:cNvSpPr>
      </xdr:nvSpPr>
      <xdr:spPr bwMode="auto">
        <a:xfrm>
          <a:off x="1944277" y="533083214"/>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2209</xdr:row>
      <xdr:rowOff>193924</xdr:rowOff>
    </xdr:from>
    <xdr:to>
      <xdr:col>2</xdr:col>
      <xdr:colOff>824073</xdr:colOff>
      <xdr:row>2210</xdr:row>
      <xdr:rowOff>203343</xdr:rowOff>
    </xdr:to>
    <xdr:sp macro="" textlink="">
      <xdr:nvSpPr>
        <xdr:cNvPr id="183" name="Text Box 35">
          <a:extLst>
            <a:ext uri="{FF2B5EF4-FFF2-40B4-BE49-F238E27FC236}">
              <a16:creationId xmlns:a16="http://schemas.microsoft.com/office/drawing/2014/main" id="{00000000-0008-0000-0500-0000B7000000}"/>
            </a:ext>
          </a:extLst>
        </xdr:cNvPr>
        <xdr:cNvSpPr txBox="1">
          <a:spLocks noChangeArrowheads="1"/>
        </xdr:cNvSpPr>
      </xdr:nvSpPr>
      <xdr:spPr bwMode="auto">
        <a:xfrm>
          <a:off x="1890767" y="5366895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2106</xdr:row>
      <xdr:rowOff>223675</xdr:rowOff>
    </xdr:from>
    <xdr:to>
      <xdr:col>2</xdr:col>
      <xdr:colOff>856180</xdr:colOff>
      <xdr:row>2108</xdr:row>
      <xdr:rowOff>10702</xdr:rowOff>
    </xdr:to>
    <xdr:sp macro="" textlink="">
      <xdr:nvSpPr>
        <xdr:cNvPr id="184" name="Text Box 32">
          <a:extLst>
            <a:ext uri="{FF2B5EF4-FFF2-40B4-BE49-F238E27FC236}">
              <a16:creationId xmlns:a16="http://schemas.microsoft.com/office/drawing/2014/main" id="{00000000-0008-0000-0500-0000B8000000}"/>
            </a:ext>
          </a:extLst>
        </xdr:cNvPr>
        <xdr:cNvSpPr txBox="1">
          <a:spLocks noChangeArrowheads="1"/>
        </xdr:cNvSpPr>
      </xdr:nvSpPr>
      <xdr:spPr bwMode="auto">
        <a:xfrm>
          <a:off x="1922551" y="512144800"/>
          <a:ext cx="324279" cy="2347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2943</xdr:row>
      <xdr:rowOff>175195</xdr:rowOff>
    </xdr:from>
    <xdr:to>
      <xdr:col>2</xdr:col>
      <xdr:colOff>759860</xdr:colOff>
      <xdr:row>2944</xdr:row>
      <xdr:rowOff>171236</xdr:rowOff>
    </xdr:to>
    <xdr:sp macro="" textlink="">
      <xdr:nvSpPr>
        <xdr:cNvPr id="185" name="Text Box 58">
          <a:extLst>
            <a:ext uri="{FF2B5EF4-FFF2-40B4-BE49-F238E27FC236}">
              <a16:creationId xmlns:a16="http://schemas.microsoft.com/office/drawing/2014/main" id="{00000000-0008-0000-0500-0000B9000000}"/>
            </a:ext>
          </a:extLst>
        </xdr:cNvPr>
        <xdr:cNvSpPr txBox="1">
          <a:spLocks noChangeArrowheads="1"/>
        </xdr:cNvSpPr>
      </xdr:nvSpPr>
      <xdr:spPr bwMode="auto">
        <a:xfrm>
          <a:off x="1801724" y="711835570"/>
          <a:ext cx="348786"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4033</xdr:row>
      <xdr:rowOff>37033</xdr:rowOff>
    </xdr:from>
    <xdr:to>
      <xdr:col>2</xdr:col>
      <xdr:colOff>717051</xdr:colOff>
      <xdr:row>4034</xdr:row>
      <xdr:rowOff>96320</xdr:rowOff>
    </xdr:to>
    <xdr:sp macro="" textlink="">
      <xdr:nvSpPr>
        <xdr:cNvPr id="186" name="Text Box 131">
          <a:extLst>
            <a:ext uri="{FF2B5EF4-FFF2-40B4-BE49-F238E27FC236}">
              <a16:creationId xmlns:a16="http://schemas.microsoft.com/office/drawing/2014/main" id="{00000000-0008-0000-0500-0000BA000000}"/>
            </a:ext>
          </a:extLst>
        </xdr:cNvPr>
        <xdr:cNvSpPr txBox="1">
          <a:spLocks noChangeArrowheads="1"/>
        </xdr:cNvSpPr>
      </xdr:nvSpPr>
      <xdr:spPr bwMode="auto">
        <a:xfrm>
          <a:off x="1729915" y="972663358"/>
          <a:ext cx="377786" cy="2783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1572</xdr:row>
      <xdr:rowOff>21511</xdr:rowOff>
    </xdr:from>
    <xdr:to>
      <xdr:col>2</xdr:col>
      <xdr:colOff>524411</xdr:colOff>
      <xdr:row>1573</xdr:row>
      <xdr:rowOff>32107</xdr:rowOff>
    </xdr:to>
    <xdr:sp macro="" textlink="">
      <xdr:nvSpPr>
        <xdr:cNvPr id="187" name="Text Box 222">
          <a:extLst>
            <a:ext uri="{FF2B5EF4-FFF2-40B4-BE49-F238E27FC236}">
              <a16:creationId xmlns:a16="http://schemas.microsoft.com/office/drawing/2014/main" id="{00000000-0008-0000-0500-0000BB000000}"/>
            </a:ext>
          </a:extLst>
        </xdr:cNvPr>
        <xdr:cNvSpPr txBox="1">
          <a:spLocks noChangeArrowheads="1"/>
        </xdr:cNvSpPr>
      </xdr:nvSpPr>
      <xdr:spPr bwMode="auto">
        <a:xfrm>
          <a:off x="1666876" y="385831636"/>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1590</xdr:row>
      <xdr:rowOff>85722</xdr:rowOff>
    </xdr:from>
    <xdr:to>
      <xdr:col>2</xdr:col>
      <xdr:colOff>535112</xdr:colOff>
      <xdr:row>1591</xdr:row>
      <xdr:rowOff>53511</xdr:rowOff>
    </xdr:to>
    <xdr:sp macro="" textlink="">
      <xdr:nvSpPr>
        <xdr:cNvPr id="188" name="Text Box 222">
          <a:extLst>
            <a:ext uri="{FF2B5EF4-FFF2-40B4-BE49-F238E27FC236}">
              <a16:creationId xmlns:a16="http://schemas.microsoft.com/office/drawing/2014/main" id="{00000000-0008-0000-0500-0000BC000000}"/>
            </a:ext>
          </a:extLst>
        </xdr:cNvPr>
        <xdr:cNvSpPr txBox="1">
          <a:spLocks noChangeArrowheads="1"/>
        </xdr:cNvSpPr>
      </xdr:nvSpPr>
      <xdr:spPr bwMode="auto">
        <a:xfrm>
          <a:off x="1656173" y="390058272"/>
          <a:ext cx="269589" cy="2154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1612</xdr:row>
      <xdr:rowOff>160637</xdr:rowOff>
    </xdr:from>
    <xdr:to>
      <xdr:col>2</xdr:col>
      <xdr:colOff>599326</xdr:colOff>
      <xdr:row>1613</xdr:row>
      <xdr:rowOff>117724</xdr:rowOff>
    </xdr:to>
    <xdr:sp macro="" textlink="">
      <xdr:nvSpPr>
        <xdr:cNvPr id="189" name="Text Box 222">
          <a:extLst>
            <a:ext uri="{FF2B5EF4-FFF2-40B4-BE49-F238E27FC236}">
              <a16:creationId xmlns:a16="http://schemas.microsoft.com/office/drawing/2014/main" id="{00000000-0008-0000-0500-0000BD000000}"/>
            </a:ext>
          </a:extLst>
        </xdr:cNvPr>
        <xdr:cNvSpPr txBox="1">
          <a:spLocks noChangeArrowheads="1"/>
        </xdr:cNvSpPr>
      </xdr:nvSpPr>
      <xdr:spPr bwMode="auto">
        <a:xfrm>
          <a:off x="1720386" y="395238587"/>
          <a:ext cx="269590" cy="1761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1792</xdr:row>
      <xdr:rowOff>53511</xdr:rowOff>
    </xdr:from>
    <xdr:to>
      <xdr:col>2</xdr:col>
      <xdr:colOff>545815</xdr:colOff>
      <xdr:row>1793</xdr:row>
      <xdr:rowOff>21406</xdr:rowOff>
    </xdr:to>
    <xdr:sp macro="" textlink="">
      <xdr:nvSpPr>
        <xdr:cNvPr id="190" name="Text Box 58">
          <a:extLst>
            <a:ext uri="{FF2B5EF4-FFF2-40B4-BE49-F238E27FC236}">
              <a16:creationId xmlns:a16="http://schemas.microsoft.com/office/drawing/2014/main" id="{00000000-0008-0000-0500-0000BE000000}"/>
            </a:ext>
          </a:extLst>
        </xdr:cNvPr>
        <xdr:cNvSpPr txBox="1">
          <a:spLocks noChangeArrowheads="1"/>
        </xdr:cNvSpPr>
      </xdr:nvSpPr>
      <xdr:spPr bwMode="auto">
        <a:xfrm>
          <a:off x="1647504" y="437622486"/>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1902</xdr:row>
      <xdr:rowOff>14446</xdr:rowOff>
    </xdr:from>
    <xdr:to>
      <xdr:col>2</xdr:col>
      <xdr:colOff>513708</xdr:colOff>
      <xdr:row>1902</xdr:row>
      <xdr:rowOff>203341</xdr:rowOff>
    </xdr:to>
    <xdr:sp macro="" textlink="">
      <xdr:nvSpPr>
        <xdr:cNvPr id="191" name="Text Box 245">
          <a:extLst>
            <a:ext uri="{FF2B5EF4-FFF2-40B4-BE49-F238E27FC236}">
              <a16:creationId xmlns:a16="http://schemas.microsoft.com/office/drawing/2014/main" id="{00000000-0008-0000-0500-0000BF000000}"/>
            </a:ext>
          </a:extLst>
        </xdr:cNvPr>
        <xdr:cNvSpPr txBox="1">
          <a:spLocks noChangeArrowheads="1"/>
        </xdr:cNvSpPr>
      </xdr:nvSpPr>
      <xdr:spPr bwMode="auto">
        <a:xfrm>
          <a:off x="1628668" y="464158171"/>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1962</xdr:row>
      <xdr:rowOff>27503</xdr:rowOff>
    </xdr:from>
    <xdr:to>
      <xdr:col>2</xdr:col>
      <xdr:colOff>610028</xdr:colOff>
      <xdr:row>1962</xdr:row>
      <xdr:rowOff>214045</xdr:rowOff>
    </xdr:to>
    <xdr:sp macro="" textlink="">
      <xdr:nvSpPr>
        <xdr:cNvPr id="192" name="Text Box 246">
          <a:extLst>
            <a:ext uri="{FF2B5EF4-FFF2-40B4-BE49-F238E27FC236}">
              <a16:creationId xmlns:a16="http://schemas.microsoft.com/office/drawing/2014/main" id="{00000000-0008-0000-0500-0000C0000000}"/>
            </a:ext>
          </a:extLst>
        </xdr:cNvPr>
        <xdr:cNvSpPr txBox="1">
          <a:spLocks noChangeArrowheads="1"/>
        </xdr:cNvSpPr>
      </xdr:nvSpPr>
      <xdr:spPr bwMode="auto">
        <a:xfrm>
          <a:off x="1710968" y="47854445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1979</xdr:row>
      <xdr:rowOff>48908</xdr:rowOff>
    </xdr:from>
    <xdr:to>
      <xdr:col>2</xdr:col>
      <xdr:colOff>577922</xdr:colOff>
      <xdr:row>1980</xdr:row>
      <xdr:rowOff>74916</xdr:rowOff>
    </xdr:to>
    <xdr:sp macro="" textlink="">
      <xdr:nvSpPr>
        <xdr:cNvPr id="193" name="Text Box 246">
          <a:extLst>
            <a:ext uri="{FF2B5EF4-FFF2-40B4-BE49-F238E27FC236}">
              <a16:creationId xmlns:a16="http://schemas.microsoft.com/office/drawing/2014/main" id="{00000000-0008-0000-0500-0000C1000000}"/>
            </a:ext>
          </a:extLst>
        </xdr:cNvPr>
        <xdr:cNvSpPr txBox="1">
          <a:spLocks noChangeArrowheads="1"/>
        </xdr:cNvSpPr>
      </xdr:nvSpPr>
      <xdr:spPr bwMode="auto">
        <a:xfrm>
          <a:off x="1646754" y="4827568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2024</xdr:row>
      <xdr:rowOff>74915</xdr:rowOff>
    </xdr:from>
    <xdr:to>
      <xdr:col>2</xdr:col>
      <xdr:colOff>567220</xdr:colOff>
      <xdr:row>2025</xdr:row>
      <xdr:rowOff>53509</xdr:rowOff>
    </xdr:to>
    <xdr:sp macro="" textlink="">
      <xdr:nvSpPr>
        <xdr:cNvPr id="194" name="Text Box 58">
          <a:extLst>
            <a:ext uri="{FF2B5EF4-FFF2-40B4-BE49-F238E27FC236}">
              <a16:creationId xmlns:a16="http://schemas.microsoft.com/office/drawing/2014/main" id="{00000000-0008-0000-0500-0000C2000000}"/>
            </a:ext>
          </a:extLst>
        </xdr:cNvPr>
        <xdr:cNvSpPr txBox="1">
          <a:spLocks noChangeArrowheads="1"/>
        </xdr:cNvSpPr>
      </xdr:nvSpPr>
      <xdr:spPr bwMode="auto">
        <a:xfrm>
          <a:off x="1626100" y="492936515"/>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2167</xdr:row>
      <xdr:rowOff>83373</xdr:rowOff>
    </xdr:from>
    <xdr:to>
      <xdr:col>2</xdr:col>
      <xdr:colOff>695646</xdr:colOff>
      <xdr:row>2168</xdr:row>
      <xdr:rowOff>42810</xdr:rowOff>
    </xdr:to>
    <xdr:sp macro="" textlink="">
      <xdr:nvSpPr>
        <xdr:cNvPr id="195" name="Text Box 34">
          <a:extLst>
            <a:ext uri="{FF2B5EF4-FFF2-40B4-BE49-F238E27FC236}">
              <a16:creationId xmlns:a16="http://schemas.microsoft.com/office/drawing/2014/main" id="{00000000-0008-0000-0500-0000C3000000}"/>
            </a:ext>
          </a:extLst>
        </xdr:cNvPr>
        <xdr:cNvSpPr txBox="1">
          <a:spLocks noChangeArrowheads="1"/>
        </xdr:cNvSpPr>
      </xdr:nvSpPr>
      <xdr:spPr bwMode="auto">
        <a:xfrm>
          <a:off x="1790699" y="526187223"/>
          <a:ext cx="295597" cy="178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3077</xdr:row>
      <xdr:rowOff>46555</xdr:rowOff>
    </xdr:from>
    <xdr:to>
      <xdr:col>2</xdr:col>
      <xdr:colOff>802669</xdr:colOff>
      <xdr:row>3078</xdr:row>
      <xdr:rowOff>64212</xdr:rowOff>
    </xdr:to>
    <xdr:sp macro="" textlink="">
      <xdr:nvSpPr>
        <xdr:cNvPr id="196" name="Text Box 316">
          <a:extLst>
            <a:ext uri="{FF2B5EF4-FFF2-40B4-BE49-F238E27FC236}">
              <a16:creationId xmlns:a16="http://schemas.microsoft.com/office/drawing/2014/main" id="{00000000-0008-0000-0500-0000C4000000}"/>
            </a:ext>
          </a:extLst>
        </xdr:cNvPr>
        <xdr:cNvSpPr txBox="1">
          <a:spLocks noChangeArrowheads="1"/>
        </xdr:cNvSpPr>
      </xdr:nvSpPr>
      <xdr:spPr bwMode="auto">
        <a:xfrm>
          <a:off x="1854913" y="74393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3089</xdr:row>
      <xdr:rowOff>46555</xdr:rowOff>
    </xdr:from>
    <xdr:to>
      <xdr:col>2</xdr:col>
      <xdr:colOff>802669</xdr:colOff>
      <xdr:row>3090</xdr:row>
      <xdr:rowOff>64212</xdr:rowOff>
    </xdr:to>
    <xdr:sp macro="" textlink="">
      <xdr:nvSpPr>
        <xdr:cNvPr id="197" name="Text Box 316">
          <a:extLst>
            <a:ext uri="{FF2B5EF4-FFF2-40B4-BE49-F238E27FC236}">
              <a16:creationId xmlns:a16="http://schemas.microsoft.com/office/drawing/2014/main" id="{00000000-0008-0000-0500-0000C5000000}"/>
            </a:ext>
          </a:extLst>
        </xdr:cNvPr>
        <xdr:cNvSpPr txBox="1">
          <a:spLocks noChangeArrowheads="1"/>
        </xdr:cNvSpPr>
      </xdr:nvSpPr>
      <xdr:spPr bwMode="auto">
        <a:xfrm>
          <a:off x="1854913" y="7470065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3104</xdr:row>
      <xdr:rowOff>46555</xdr:rowOff>
    </xdr:from>
    <xdr:to>
      <xdr:col>2</xdr:col>
      <xdr:colOff>802669</xdr:colOff>
      <xdr:row>3105</xdr:row>
      <xdr:rowOff>64212</xdr:rowOff>
    </xdr:to>
    <xdr:sp macro="" textlink="">
      <xdr:nvSpPr>
        <xdr:cNvPr id="198" name="Text Box 316">
          <a:extLst>
            <a:ext uri="{FF2B5EF4-FFF2-40B4-BE49-F238E27FC236}">
              <a16:creationId xmlns:a16="http://schemas.microsoft.com/office/drawing/2014/main" id="{00000000-0008-0000-0500-0000C6000000}"/>
            </a:ext>
          </a:extLst>
        </xdr:cNvPr>
        <xdr:cNvSpPr txBox="1">
          <a:spLocks noChangeArrowheads="1"/>
        </xdr:cNvSpPr>
      </xdr:nvSpPr>
      <xdr:spPr bwMode="auto">
        <a:xfrm>
          <a:off x="1854913" y="7506165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3118</xdr:row>
      <xdr:rowOff>46555</xdr:rowOff>
    </xdr:from>
    <xdr:to>
      <xdr:col>2</xdr:col>
      <xdr:colOff>802669</xdr:colOff>
      <xdr:row>3119</xdr:row>
      <xdr:rowOff>64212</xdr:rowOff>
    </xdr:to>
    <xdr:sp macro="" textlink="">
      <xdr:nvSpPr>
        <xdr:cNvPr id="199" name="Text Box 316">
          <a:extLst>
            <a:ext uri="{FF2B5EF4-FFF2-40B4-BE49-F238E27FC236}">
              <a16:creationId xmlns:a16="http://schemas.microsoft.com/office/drawing/2014/main" id="{00000000-0008-0000-0500-0000C7000000}"/>
            </a:ext>
          </a:extLst>
        </xdr:cNvPr>
        <xdr:cNvSpPr txBox="1">
          <a:spLocks noChangeArrowheads="1"/>
        </xdr:cNvSpPr>
      </xdr:nvSpPr>
      <xdr:spPr bwMode="auto">
        <a:xfrm>
          <a:off x="1854913" y="7539693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3130</xdr:row>
      <xdr:rowOff>46555</xdr:rowOff>
    </xdr:from>
    <xdr:to>
      <xdr:col>2</xdr:col>
      <xdr:colOff>802669</xdr:colOff>
      <xdr:row>3131</xdr:row>
      <xdr:rowOff>64212</xdr:rowOff>
    </xdr:to>
    <xdr:sp macro="" textlink="">
      <xdr:nvSpPr>
        <xdr:cNvPr id="200" name="Text Box 316">
          <a:extLst>
            <a:ext uri="{FF2B5EF4-FFF2-40B4-BE49-F238E27FC236}">
              <a16:creationId xmlns:a16="http://schemas.microsoft.com/office/drawing/2014/main" id="{00000000-0008-0000-0500-0000C8000000}"/>
            </a:ext>
          </a:extLst>
        </xdr:cNvPr>
        <xdr:cNvSpPr txBox="1">
          <a:spLocks noChangeArrowheads="1"/>
        </xdr:cNvSpPr>
      </xdr:nvSpPr>
      <xdr:spPr bwMode="auto">
        <a:xfrm>
          <a:off x="1854913" y="7569887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3144</xdr:row>
      <xdr:rowOff>46555</xdr:rowOff>
    </xdr:from>
    <xdr:to>
      <xdr:col>2</xdr:col>
      <xdr:colOff>802669</xdr:colOff>
      <xdr:row>3145</xdr:row>
      <xdr:rowOff>64212</xdr:rowOff>
    </xdr:to>
    <xdr:sp macro="" textlink="">
      <xdr:nvSpPr>
        <xdr:cNvPr id="201" name="Text Box 316">
          <a:extLst>
            <a:ext uri="{FF2B5EF4-FFF2-40B4-BE49-F238E27FC236}">
              <a16:creationId xmlns:a16="http://schemas.microsoft.com/office/drawing/2014/main" id="{00000000-0008-0000-0500-0000C9000000}"/>
            </a:ext>
          </a:extLst>
        </xdr:cNvPr>
        <xdr:cNvSpPr txBox="1">
          <a:spLocks noChangeArrowheads="1"/>
        </xdr:cNvSpPr>
      </xdr:nvSpPr>
      <xdr:spPr bwMode="auto">
        <a:xfrm>
          <a:off x="1854913" y="7603701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3160</xdr:row>
      <xdr:rowOff>46555</xdr:rowOff>
    </xdr:from>
    <xdr:to>
      <xdr:col>2</xdr:col>
      <xdr:colOff>802669</xdr:colOff>
      <xdr:row>3161</xdr:row>
      <xdr:rowOff>64212</xdr:rowOff>
    </xdr:to>
    <xdr:sp macro="" textlink="">
      <xdr:nvSpPr>
        <xdr:cNvPr id="202" name="Text Box 316">
          <a:extLst>
            <a:ext uri="{FF2B5EF4-FFF2-40B4-BE49-F238E27FC236}">
              <a16:creationId xmlns:a16="http://schemas.microsoft.com/office/drawing/2014/main" id="{00000000-0008-0000-0500-0000CA000000}"/>
            </a:ext>
          </a:extLst>
        </xdr:cNvPr>
        <xdr:cNvSpPr txBox="1">
          <a:spLocks noChangeArrowheads="1"/>
        </xdr:cNvSpPr>
      </xdr:nvSpPr>
      <xdr:spPr bwMode="auto">
        <a:xfrm>
          <a:off x="1854913" y="7642087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3172</xdr:row>
      <xdr:rowOff>46555</xdr:rowOff>
    </xdr:from>
    <xdr:to>
      <xdr:col>2</xdr:col>
      <xdr:colOff>802669</xdr:colOff>
      <xdr:row>3173</xdr:row>
      <xdr:rowOff>64212</xdr:rowOff>
    </xdr:to>
    <xdr:sp macro="" textlink="">
      <xdr:nvSpPr>
        <xdr:cNvPr id="203" name="Text Box 316">
          <a:extLst>
            <a:ext uri="{FF2B5EF4-FFF2-40B4-BE49-F238E27FC236}">
              <a16:creationId xmlns:a16="http://schemas.microsoft.com/office/drawing/2014/main" id="{00000000-0008-0000-0500-0000CB000000}"/>
            </a:ext>
          </a:extLst>
        </xdr:cNvPr>
        <xdr:cNvSpPr txBox="1">
          <a:spLocks noChangeArrowheads="1"/>
        </xdr:cNvSpPr>
      </xdr:nvSpPr>
      <xdr:spPr bwMode="auto">
        <a:xfrm>
          <a:off x="1854913" y="7670757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3186</xdr:row>
      <xdr:rowOff>46555</xdr:rowOff>
    </xdr:from>
    <xdr:to>
      <xdr:col>2</xdr:col>
      <xdr:colOff>802669</xdr:colOff>
      <xdr:row>3187</xdr:row>
      <xdr:rowOff>64212</xdr:rowOff>
    </xdr:to>
    <xdr:sp macro="" textlink="">
      <xdr:nvSpPr>
        <xdr:cNvPr id="204" name="Text Box 316">
          <a:extLst>
            <a:ext uri="{FF2B5EF4-FFF2-40B4-BE49-F238E27FC236}">
              <a16:creationId xmlns:a16="http://schemas.microsoft.com/office/drawing/2014/main" id="{00000000-0008-0000-0500-0000CC000000}"/>
            </a:ext>
          </a:extLst>
        </xdr:cNvPr>
        <xdr:cNvSpPr txBox="1">
          <a:spLocks noChangeArrowheads="1"/>
        </xdr:cNvSpPr>
      </xdr:nvSpPr>
      <xdr:spPr bwMode="auto">
        <a:xfrm>
          <a:off x="1854913" y="77060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5" name="Text Box 307">
          <a:extLst>
            <a:ext uri="{FF2B5EF4-FFF2-40B4-BE49-F238E27FC236}">
              <a16:creationId xmlns:a16="http://schemas.microsoft.com/office/drawing/2014/main" id="{00000000-0008-0000-0500-0000CD000000}"/>
            </a:ext>
          </a:extLst>
        </xdr:cNvPr>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6" name="Text Box 308">
          <a:extLst>
            <a:ext uri="{FF2B5EF4-FFF2-40B4-BE49-F238E27FC236}">
              <a16:creationId xmlns:a16="http://schemas.microsoft.com/office/drawing/2014/main" id="{00000000-0008-0000-0500-0000CE000000}"/>
            </a:ext>
          </a:extLst>
        </xdr:cNvPr>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276225</xdr:colOff>
      <xdr:row>1973</xdr:row>
      <xdr:rowOff>0</xdr:rowOff>
    </xdr:to>
    <xdr:sp macro="" textlink="">
      <xdr:nvSpPr>
        <xdr:cNvPr id="207" name="Text Box 309">
          <a:extLst>
            <a:ext uri="{FF2B5EF4-FFF2-40B4-BE49-F238E27FC236}">
              <a16:creationId xmlns:a16="http://schemas.microsoft.com/office/drawing/2014/main" id="{00000000-0008-0000-0500-0000CF000000}"/>
            </a:ext>
          </a:extLst>
        </xdr:cNvPr>
        <xdr:cNvSpPr txBox="1">
          <a:spLocks noChangeArrowheads="1"/>
        </xdr:cNvSpPr>
      </xdr:nvSpPr>
      <xdr:spPr bwMode="auto">
        <a:xfrm>
          <a:off x="1724025" y="5131784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8" name="Text Box 310">
          <a:extLst>
            <a:ext uri="{FF2B5EF4-FFF2-40B4-BE49-F238E27FC236}">
              <a16:creationId xmlns:a16="http://schemas.microsoft.com/office/drawing/2014/main" id="{00000000-0008-0000-0500-0000D0000000}"/>
            </a:ext>
          </a:extLst>
        </xdr:cNvPr>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256104</xdr:colOff>
      <xdr:row>1979</xdr:row>
      <xdr:rowOff>48908</xdr:rowOff>
    </xdr:from>
    <xdr:to>
      <xdr:col>11</xdr:col>
      <xdr:colOff>577922</xdr:colOff>
      <xdr:row>1980</xdr:row>
      <xdr:rowOff>74916</xdr:rowOff>
    </xdr:to>
    <xdr:sp macro="" textlink="">
      <xdr:nvSpPr>
        <xdr:cNvPr id="209" name="Text Box 246">
          <a:extLst>
            <a:ext uri="{FF2B5EF4-FFF2-40B4-BE49-F238E27FC236}">
              <a16:creationId xmlns:a16="http://schemas.microsoft.com/office/drawing/2014/main" id="{00000000-0008-0000-0500-0000D1000000}"/>
            </a:ext>
          </a:extLst>
        </xdr:cNvPr>
        <xdr:cNvSpPr txBox="1">
          <a:spLocks noChangeArrowheads="1"/>
        </xdr:cNvSpPr>
      </xdr:nvSpPr>
      <xdr:spPr bwMode="auto">
        <a:xfrm>
          <a:off x="1894404" y="5146846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0" name="Text Box 311">
          <a:extLst>
            <a:ext uri="{FF2B5EF4-FFF2-40B4-BE49-F238E27FC236}">
              <a16:creationId xmlns:a16="http://schemas.microsoft.com/office/drawing/2014/main" id="{00000000-0008-0000-0500-0000D2000000}"/>
            </a:ext>
          </a:extLst>
        </xdr:cNvPr>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1" name="Text Box 312">
          <a:extLst>
            <a:ext uri="{FF2B5EF4-FFF2-40B4-BE49-F238E27FC236}">
              <a16:creationId xmlns:a16="http://schemas.microsoft.com/office/drawing/2014/main" id="{00000000-0008-0000-0500-0000D3000000}"/>
            </a:ext>
          </a:extLst>
        </xdr:cNvPr>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276225</xdr:colOff>
      <xdr:row>1984</xdr:row>
      <xdr:rowOff>0</xdr:rowOff>
    </xdr:to>
    <xdr:sp macro="" textlink="">
      <xdr:nvSpPr>
        <xdr:cNvPr id="212" name="Text Box 313">
          <a:extLst>
            <a:ext uri="{FF2B5EF4-FFF2-40B4-BE49-F238E27FC236}">
              <a16:creationId xmlns:a16="http://schemas.microsoft.com/office/drawing/2014/main" id="{00000000-0008-0000-0500-0000D4000000}"/>
            </a:ext>
          </a:extLst>
        </xdr:cNvPr>
        <xdr:cNvSpPr txBox="1">
          <a:spLocks noChangeArrowheads="1"/>
        </xdr:cNvSpPr>
      </xdr:nvSpPr>
      <xdr:spPr bwMode="auto">
        <a:xfrm>
          <a:off x="1724025" y="4602956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3" name="Text Box 314">
          <a:extLst>
            <a:ext uri="{FF2B5EF4-FFF2-40B4-BE49-F238E27FC236}">
              <a16:creationId xmlns:a16="http://schemas.microsoft.com/office/drawing/2014/main" id="{00000000-0008-0000-0500-0000D5000000}"/>
            </a:ext>
          </a:extLst>
        </xdr:cNvPr>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561975</xdr:colOff>
      <xdr:row>14</xdr:row>
      <xdr:rowOff>133350</xdr:rowOff>
    </xdr:from>
    <xdr:to>
      <xdr:col>2</xdr:col>
      <xdr:colOff>819150</xdr:colOff>
      <xdr:row>16</xdr:row>
      <xdr:rowOff>9525</xdr:rowOff>
    </xdr:to>
    <xdr:sp macro="" textlink="">
      <xdr:nvSpPr>
        <xdr:cNvPr id="2" name="Text Box 306">
          <a:extLst>
            <a:ext uri="{FF2B5EF4-FFF2-40B4-BE49-F238E27FC236}">
              <a16:creationId xmlns:a16="http://schemas.microsoft.com/office/drawing/2014/main" id="{00000000-0008-0000-0E00-000002000000}"/>
            </a:ext>
          </a:extLst>
        </xdr:cNvPr>
        <xdr:cNvSpPr txBox="1">
          <a:spLocks noChangeArrowheads="1"/>
        </xdr:cNvSpPr>
      </xdr:nvSpPr>
      <xdr:spPr bwMode="auto">
        <a:xfrm>
          <a:off x="1857375" y="971073750"/>
          <a:ext cx="257175" cy="2571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xdr:row>
      <xdr:rowOff>152400</xdr:rowOff>
    </xdr:from>
    <xdr:to>
      <xdr:col>2</xdr:col>
      <xdr:colOff>342900</xdr:colOff>
      <xdr:row>41</xdr:row>
      <xdr:rowOff>57150</xdr:rowOff>
    </xdr:to>
    <xdr:sp macro="" textlink="">
      <xdr:nvSpPr>
        <xdr:cNvPr id="3" name="Text Box 114">
          <a:extLst>
            <a:ext uri="{FF2B5EF4-FFF2-40B4-BE49-F238E27FC236}">
              <a16:creationId xmlns:a16="http://schemas.microsoft.com/office/drawing/2014/main" id="{00000000-0008-0000-0E00-000003000000}"/>
            </a:ext>
          </a:extLst>
        </xdr:cNvPr>
        <xdr:cNvSpPr txBox="1">
          <a:spLocks noChangeArrowheads="1"/>
        </xdr:cNvSpPr>
      </xdr:nvSpPr>
      <xdr:spPr bwMode="auto">
        <a:xfrm>
          <a:off x="1381125" y="1106338275"/>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134</xdr:row>
      <xdr:rowOff>133350</xdr:rowOff>
    </xdr:from>
    <xdr:to>
      <xdr:col>2</xdr:col>
      <xdr:colOff>342900</xdr:colOff>
      <xdr:row>135</xdr:row>
      <xdr:rowOff>57150</xdr:rowOff>
    </xdr:to>
    <xdr:sp macro="" textlink="">
      <xdr:nvSpPr>
        <xdr:cNvPr id="5" name="Text Box 124">
          <a:extLst>
            <a:ext uri="{FF2B5EF4-FFF2-40B4-BE49-F238E27FC236}">
              <a16:creationId xmlns:a16="http://schemas.microsoft.com/office/drawing/2014/main" id="{00000000-0008-0000-0E00-000005000000}"/>
            </a:ext>
          </a:extLst>
        </xdr:cNvPr>
        <xdr:cNvSpPr txBox="1">
          <a:spLocks noChangeArrowheads="1"/>
        </xdr:cNvSpPr>
      </xdr:nvSpPr>
      <xdr:spPr bwMode="auto">
        <a:xfrm>
          <a:off x="1381125" y="112422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6" name="Text Box 125">
          <a:extLst>
            <a:ext uri="{FF2B5EF4-FFF2-40B4-BE49-F238E27FC236}">
              <a16:creationId xmlns:a16="http://schemas.microsoft.com/office/drawing/2014/main" id="{00000000-0008-0000-0E00-000006000000}"/>
            </a:ext>
          </a:extLst>
        </xdr:cNvPr>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152</xdr:row>
      <xdr:rowOff>133350</xdr:rowOff>
    </xdr:from>
    <xdr:to>
      <xdr:col>2</xdr:col>
      <xdr:colOff>342900</xdr:colOff>
      <xdr:row>153</xdr:row>
      <xdr:rowOff>57150</xdr:rowOff>
    </xdr:to>
    <xdr:sp macro="" textlink="">
      <xdr:nvSpPr>
        <xdr:cNvPr id="7" name="Text Box 126">
          <a:extLst>
            <a:ext uri="{FF2B5EF4-FFF2-40B4-BE49-F238E27FC236}">
              <a16:creationId xmlns:a16="http://schemas.microsoft.com/office/drawing/2014/main" id="{00000000-0008-0000-0E00-000007000000}"/>
            </a:ext>
          </a:extLst>
        </xdr:cNvPr>
        <xdr:cNvSpPr txBox="1">
          <a:spLocks noChangeArrowheads="1"/>
        </xdr:cNvSpPr>
      </xdr:nvSpPr>
      <xdr:spPr bwMode="auto">
        <a:xfrm>
          <a:off x="1381125" y="112765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8" name="Text Box 127">
          <a:extLst>
            <a:ext uri="{FF2B5EF4-FFF2-40B4-BE49-F238E27FC236}">
              <a16:creationId xmlns:a16="http://schemas.microsoft.com/office/drawing/2014/main" id="{00000000-0008-0000-0E00-000008000000}"/>
            </a:ext>
          </a:extLst>
        </xdr:cNvPr>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165</xdr:row>
      <xdr:rowOff>133350</xdr:rowOff>
    </xdr:from>
    <xdr:to>
      <xdr:col>2</xdr:col>
      <xdr:colOff>342900</xdr:colOff>
      <xdr:row>166</xdr:row>
      <xdr:rowOff>57150</xdr:rowOff>
    </xdr:to>
    <xdr:sp macro="" textlink="">
      <xdr:nvSpPr>
        <xdr:cNvPr id="9" name="Text Box 128">
          <a:extLst>
            <a:ext uri="{FF2B5EF4-FFF2-40B4-BE49-F238E27FC236}">
              <a16:creationId xmlns:a16="http://schemas.microsoft.com/office/drawing/2014/main" id="{00000000-0008-0000-0E00-000009000000}"/>
            </a:ext>
          </a:extLst>
        </xdr:cNvPr>
        <xdr:cNvSpPr txBox="1">
          <a:spLocks noChangeArrowheads="1"/>
        </xdr:cNvSpPr>
      </xdr:nvSpPr>
      <xdr:spPr bwMode="auto">
        <a:xfrm>
          <a:off x="1381125" y="1130131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103</xdr:row>
      <xdr:rowOff>133350</xdr:rowOff>
    </xdr:from>
    <xdr:to>
      <xdr:col>2</xdr:col>
      <xdr:colOff>342900</xdr:colOff>
      <xdr:row>104</xdr:row>
      <xdr:rowOff>57150</xdr:rowOff>
    </xdr:to>
    <xdr:sp macro="" textlink="">
      <xdr:nvSpPr>
        <xdr:cNvPr id="10" name="Text Box 133">
          <a:extLst>
            <a:ext uri="{FF2B5EF4-FFF2-40B4-BE49-F238E27FC236}">
              <a16:creationId xmlns:a16="http://schemas.microsoft.com/office/drawing/2014/main" id="{00000000-0008-0000-0E00-00000A000000}"/>
            </a:ext>
          </a:extLst>
        </xdr:cNvPr>
        <xdr:cNvSpPr txBox="1">
          <a:spLocks noChangeArrowheads="1"/>
        </xdr:cNvSpPr>
      </xdr:nvSpPr>
      <xdr:spPr bwMode="auto">
        <a:xfrm>
          <a:off x="1381125" y="1118320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115</xdr:row>
      <xdr:rowOff>133350</xdr:rowOff>
    </xdr:from>
    <xdr:to>
      <xdr:col>2</xdr:col>
      <xdr:colOff>342900</xdr:colOff>
      <xdr:row>116</xdr:row>
      <xdr:rowOff>57150</xdr:rowOff>
    </xdr:to>
    <xdr:sp macro="" textlink="">
      <xdr:nvSpPr>
        <xdr:cNvPr id="11" name="Text Box 134">
          <a:extLst>
            <a:ext uri="{FF2B5EF4-FFF2-40B4-BE49-F238E27FC236}">
              <a16:creationId xmlns:a16="http://schemas.microsoft.com/office/drawing/2014/main" id="{00000000-0008-0000-0E00-00000B000000}"/>
            </a:ext>
          </a:extLst>
        </xdr:cNvPr>
        <xdr:cNvSpPr txBox="1">
          <a:spLocks noChangeArrowheads="1"/>
        </xdr:cNvSpPr>
      </xdr:nvSpPr>
      <xdr:spPr bwMode="auto">
        <a:xfrm>
          <a:off x="1381125" y="1120606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200025</xdr:colOff>
      <xdr:row>66</xdr:row>
      <xdr:rowOff>161925</xdr:rowOff>
    </xdr:from>
    <xdr:to>
      <xdr:col>2</xdr:col>
      <xdr:colOff>457200</xdr:colOff>
      <xdr:row>67</xdr:row>
      <xdr:rowOff>66675</xdr:rowOff>
    </xdr:to>
    <xdr:sp macro="" textlink="">
      <xdr:nvSpPr>
        <xdr:cNvPr id="12" name="Text Box 164">
          <a:extLst>
            <a:ext uri="{FF2B5EF4-FFF2-40B4-BE49-F238E27FC236}">
              <a16:creationId xmlns:a16="http://schemas.microsoft.com/office/drawing/2014/main" id="{00000000-0008-0000-0E00-00000C000000}"/>
            </a:ext>
          </a:extLst>
        </xdr:cNvPr>
        <xdr:cNvSpPr txBox="1">
          <a:spLocks noChangeArrowheads="1"/>
        </xdr:cNvSpPr>
      </xdr:nvSpPr>
      <xdr:spPr bwMode="auto">
        <a:xfrm>
          <a:off x="1495425" y="1111300800"/>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152400</xdr:colOff>
      <xdr:row>78</xdr:row>
      <xdr:rowOff>133350</xdr:rowOff>
    </xdr:from>
    <xdr:to>
      <xdr:col>2</xdr:col>
      <xdr:colOff>409575</xdr:colOff>
      <xdr:row>79</xdr:row>
      <xdr:rowOff>66675</xdr:rowOff>
    </xdr:to>
    <xdr:sp macro="" textlink="">
      <xdr:nvSpPr>
        <xdr:cNvPr id="13" name="Text Box 165">
          <a:extLst>
            <a:ext uri="{FF2B5EF4-FFF2-40B4-BE49-F238E27FC236}">
              <a16:creationId xmlns:a16="http://schemas.microsoft.com/office/drawing/2014/main" id="{00000000-0008-0000-0E00-00000D000000}"/>
            </a:ext>
          </a:extLst>
        </xdr:cNvPr>
        <xdr:cNvSpPr txBox="1">
          <a:spLocks noChangeArrowheads="1"/>
        </xdr:cNvSpPr>
      </xdr:nvSpPr>
      <xdr:spPr bwMode="auto">
        <a:xfrm>
          <a:off x="1447800" y="1113558225"/>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190</xdr:row>
      <xdr:rowOff>123825</xdr:rowOff>
    </xdr:from>
    <xdr:to>
      <xdr:col>2</xdr:col>
      <xdr:colOff>400050</xdr:colOff>
      <xdr:row>191</xdr:row>
      <xdr:rowOff>114300</xdr:rowOff>
    </xdr:to>
    <xdr:sp macro="" textlink="">
      <xdr:nvSpPr>
        <xdr:cNvPr id="14" name="Text Box 167">
          <a:extLst>
            <a:ext uri="{FF2B5EF4-FFF2-40B4-BE49-F238E27FC236}">
              <a16:creationId xmlns:a16="http://schemas.microsoft.com/office/drawing/2014/main" id="{00000000-0008-0000-0E00-00000E000000}"/>
            </a:ext>
          </a:extLst>
        </xdr:cNvPr>
        <xdr:cNvSpPr txBox="1">
          <a:spLocks noChangeArrowheads="1"/>
        </xdr:cNvSpPr>
      </xdr:nvSpPr>
      <xdr:spPr bwMode="auto">
        <a:xfrm>
          <a:off x="1438275" y="1134884700"/>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161925</xdr:colOff>
      <xdr:row>205</xdr:row>
      <xdr:rowOff>85725</xdr:rowOff>
    </xdr:from>
    <xdr:to>
      <xdr:col>2</xdr:col>
      <xdr:colOff>419100</xdr:colOff>
      <xdr:row>206</xdr:row>
      <xdr:rowOff>66675</xdr:rowOff>
    </xdr:to>
    <xdr:sp macro="" textlink="">
      <xdr:nvSpPr>
        <xdr:cNvPr id="15" name="Text Box 168">
          <a:extLst>
            <a:ext uri="{FF2B5EF4-FFF2-40B4-BE49-F238E27FC236}">
              <a16:creationId xmlns:a16="http://schemas.microsoft.com/office/drawing/2014/main" id="{00000000-0008-0000-0E00-00000F000000}"/>
            </a:ext>
          </a:extLst>
        </xdr:cNvPr>
        <xdr:cNvSpPr txBox="1">
          <a:spLocks noChangeArrowheads="1"/>
        </xdr:cNvSpPr>
      </xdr:nvSpPr>
      <xdr:spPr bwMode="auto">
        <a:xfrm>
          <a:off x="1457325" y="1137704100"/>
          <a:ext cx="2571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222</xdr:row>
      <xdr:rowOff>114300</xdr:rowOff>
    </xdr:from>
    <xdr:to>
      <xdr:col>2</xdr:col>
      <xdr:colOff>400050</xdr:colOff>
      <xdr:row>223</xdr:row>
      <xdr:rowOff>85725</xdr:rowOff>
    </xdr:to>
    <xdr:sp macro="" textlink="">
      <xdr:nvSpPr>
        <xdr:cNvPr id="16" name="Text Box 170">
          <a:extLst>
            <a:ext uri="{FF2B5EF4-FFF2-40B4-BE49-F238E27FC236}">
              <a16:creationId xmlns:a16="http://schemas.microsoft.com/office/drawing/2014/main" id="{00000000-0008-0000-0E00-000010000000}"/>
            </a:ext>
          </a:extLst>
        </xdr:cNvPr>
        <xdr:cNvSpPr txBox="1">
          <a:spLocks noChangeArrowheads="1"/>
        </xdr:cNvSpPr>
      </xdr:nvSpPr>
      <xdr:spPr bwMode="auto">
        <a:xfrm>
          <a:off x="1438275" y="1140971175"/>
          <a:ext cx="257175"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7" name="Text Box 188">
          <a:extLst>
            <a:ext uri="{FF2B5EF4-FFF2-40B4-BE49-F238E27FC236}">
              <a16:creationId xmlns:a16="http://schemas.microsoft.com/office/drawing/2014/main" id="{00000000-0008-0000-0E00-000011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8" name="Text Box 189">
          <a:extLst>
            <a:ext uri="{FF2B5EF4-FFF2-40B4-BE49-F238E27FC236}">
              <a16:creationId xmlns:a16="http://schemas.microsoft.com/office/drawing/2014/main" id="{00000000-0008-0000-0E00-000012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9" name="Text Box 190">
          <a:extLst>
            <a:ext uri="{FF2B5EF4-FFF2-40B4-BE49-F238E27FC236}">
              <a16:creationId xmlns:a16="http://schemas.microsoft.com/office/drawing/2014/main" id="{00000000-0008-0000-0E00-000013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0" name="Text Box 191">
          <a:extLst>
            <a:ext uri="{FF2B5EF4-FFF2-40B4-BE49-F238E27FC236}">
              <a16:creationId xmlns:a16="http://schemas.microsoft.com/office/drawing/2014/main" id="{00000000-0008-0000-0E00-000014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1" name="Text Box 192">
          <a:extLst>
            <a:ext uri="{FF2B5EF4-FFF2-40B4-BE49-F238E27FC236}">
              <a16:creationId xmlns:a16="http://schemas.microsoft.com/office/drawing/2014/main" id="{00000000-0008-0000-0E00-000015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2" name="Text Box 193">
          <a:extLst>
            <a:ext uri="{FF2B5EF4-FFF2-40B4-BE49-F238E27FC236}">
              <a16:creationId xmlns:a16="http://schemas.microsoft.com/office/drawing/2014/main" id="{00000000-0008-0000-0E00-000016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3" name="Text Box 194">
          <a:extLst>
            <a:ext uri="{FF2B5EF4-FFF2-40B4-BE49-F238E27FC236}">
              <a16:creationId xmlns:a16="http://schemas.microsoft.com/office/drawing/2014/main" id="{00000000-0008-0000-0E00-000017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4" name="Text Box 195">
          <a:extLst>
            <a:ext uri="{FF2B5EF4-FFF2-40B4-BE49-F238E27FC236}">
              <a16:creationId xmlns:a16="http://schemas.microsoft.com/office/drawing/2014/main" id="{00000000-0008-0000-0E00-000018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sp>
    <xdr:clientData/>
  </xdr:twoCellAnchor>
  <xdr:twoCellAnchor>
    <xdr:from>
      <xdr:col>2</xdr:col>
      <xdr:colOff>85725</xdr:colOff>
      <xdr:row>417</xdr:row>
      <xdr:rowOff>0</xdr:rowOff>
    </xdr:from>
    <xdr:to>
      <xdr:col>2</xdr:col>
      <xdr:colOff>342900</xdr:colOff>
      <xdr:row>417</xdr:row>
      <xdr:rowOff>0</xdr:rowOff>
    </xdr:to>
    <xdr:sp macro="" textlink="">
      <xdr:nvSpPr>
        <xdr:cNvPr id="25" name="Text Box 196">
          <a:extLst>
            <a:ext uri="{FF2B5EF4-FFF2-40B4-BE49-F238E27FC236}">
              <a16:creationId xmlns:a16="http://schemas.microsoft.com/office/drawing/2014/main" id="{00000000-0008-0000-0E00-000019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6" name="Text Box 197">
          <a:extLst>
            <a:ext uri="{FF2B5EF4-FFF2-40B4-BE49-F238E27FC236}">
              <a16:creationId xmlns:a16="http://schemas.microsoft.com/office/drawing/2014/main" id="{00000000-0008-0000-0E00-00001A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7" name="Text Box 199">
          <a:extLst>
            <a:ext uri="{FF2B5EF4-FFF2-40B4-BE49-F238E27FC236}">
              <a16:creationId xmlns:a16="http://schemas.microsoft.com/office/drawing/2014/main" id="{00000000-0008-0000-0E00-00001B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417</xdr:row>
      <xdr:rowOff>0</xdr:rowOff>
    </xdr:from>
    <xdr:to>
      <xdr:col>2</xdr:col>
      <xdr:colOff>361950</xdr:colOff>
      <xdr:row>417</xdr:row>
      <xdr:rowOff>0</xdr:rowOff>
    </xdr:to>
    <xdr:sp macro="" textlink="">
      <xdr:nvSpPr>
        <xdr:cNvPr id="28" name="Text Box 201">
          <a:extLst>
            <a:ext uri="{FF2B5EF4-FFF2-40B4-BE49-F238E27FC236}">
              <a16:creationId xmlns:a16="http://schemas.microsoft.com/office/drawing/2014/main" id="{00000000-0008-0000-0E00-00001C000000}"/>
            </a:ext>
          </a:extLst>
        </xdr:cNvPr>
        <xdr:cNvSpPr txBox="1">
          <a:spLocks noChangeArrowheads="1"/>
        </xdr:cNvSpPr>
      </xdr:nvSpPr>
      <xdr:spPr bwMode="auto">
        <a:xfrm>
          <a:off x="140017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9" name="Text Box 203">
          <a:extLst>
            <a:ext uri="{FF2B5EF4-FFF2-40B4-BE49-F238E27FC236}">
              <a16:creationId xmlns:a16="http://schemas.microsoft.com/office/drawing/2014/main" id="{00000000-0008-0000-0E00-00001D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0" name="Text Box 204">
          <a:extLst>
            <a:ext uri="{FF2B5EF4-FFF2-40B4-BE49-F238E27FC236}">
              <a16:creationId xmlns:a16="http://schemas.microsoft.com/office/drawing/2014/main" id="{00000000-0008-0000-0E00-00001E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1" name="Text Box 205">
          <a:extLst>
            <a:ext uri="{FF2B5EF4-FFF2-40B4-BE49-F238E27FC236}">
              <a16:creationId xmlns:a16="http://schemas.microsoft.com/office/drawing/2014/main" id="{00000000-0008-0000-0E00-00001F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2" name="Text Box 206">
          <a:extLst>
            <a:ext uri="{FF2B5EF4-FFF2-40B4-BE49-F238E27FC236}">
              <a16:creationId xmlns:a16="http://schemas.microsoft.com/office/drawing/2014/main" id="{00000000-0008-0000-0E00-000020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3" name="Text Box 209">
          <a:extLst>
            <a:ext uri="{FF2B5EF4-FFF2-40B4-BE49-F238E27FC236}">
              <a16:creationId xmlns:a16="http://schemas.microsoft.com/office/drawing/2014/main" id="{00000000-0008-0000-0E00-000021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4" name="Text Box 210">
          <a:extLst>
            <a:ext uri="{FF2B5EF4-FFF2-40B4-BE49-F238E27FC236}">
              <a16:creationId xmlns:a16="http://schemas.microsoft.com/office/drawing/2014/main" id="{00000000-0008-0000-0E00-000022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5" name="Text Box 211">
          <a:extLst>
            <a:ext uri="{FF2B5EF4-FFF2-40B4-BE49-F238E27FC236}">
              <a16:creationId xmlns:a16="http://schemas.microsoft.com/office/drawing/2014/main" id="{00000000-0008-0000-0E00-000023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6" name="Text Box 269">
          <a:extLst>
            <a:ext uri="{FF2B5EF4-FFF2-40B4-BE49-F238E27FC236}">
              <a16:creationId xmlns:a16="http://schemas.microsoft.com/office/drawing/2014/main" id="{00000000-0008-0000-0E00-000024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7" name="Text Box 270">
          <a:extLst>
            <a:ext uri="{FF2B5EF4-FFF2-40B4-BE49-F238E27FC236}">
              <a16:creationId xmlns:a16="http://schemas.microsoft.com/office/drawing/2014/main" id="{00000000-0008-0000-0E00-000025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294</xdr:row>
      <xdr:rowOff>133350</xdr:rowOff>
    </xdr:from>
    <xdr:to>
      <xdr:col>2</xdr:col>
      <xdr:colOff>342900</xdr:colOff>
      <xdr:row>295</xdr:row>
      <xdr:rowOff>57150</xdr:rowOff>
    </xdr:to>
    <xdr:sp macro="" textlink="">
      <xdr:nvSpPr>
        <xdr:cNvPr id="38" name="Text Box 283">
          <a:extLst>
            <a:ext uri="{FF2B5EF4-FFF2-40B4-BE49-F238E27FC236}">
              <a16:creationId xmlns:a16="http://schemas.microsoft.com/office/drawing/2014/main" id="{00000000-0008-0000-0E00-000026000000}"/>
            </a:ext>
          </a:extLst>
        </xdr:cNvPr>
        <xdr:cNvSpPr txBox="1">
          <a:spLocks noChangeArrowheads="1"/>
        </xdr:cNvSpPr>
      </xdr:nvSpPr>
      <xdr:spPr bwMode="auto">
        <a:xfrm>
          <a:off x="1381125" y="115470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395</xdr:row>
      <xdr:rowOff>133350</xdr:rowOff>
    </xdr:from>
    <xdr:to>
      <xdr:col>2</xdr:col>
      <xdr:colOff>390525</xdr:colOff>
      <xdr:row>396</xdr:row>
      <xdr:rowOff>171450</xdr:rowOff>
    </xdr:to>
    <xdr:sp macro="" textlink="">
      <xdr:nvSpPr>
        <xdr:cNvPr id="39" name="Text Box 284">
          <a:extLst>
            <a:ext uri="{FF2B5EF4-FFF2-40B4-BE49-F238E27FC236}">
              <a16:creationId xmlns:a16="http://schemas.microsoft.com/office/drawing/2014/main" id="{00000000-0008-0000-0E00-000027000000}"/>
            </a:ext>
          </a:extLst>
        </xdr:cNvPr>
        <xdr:cNvSpPr txBox="1">
          <a:spLocks noChangeArrowheads="1"/>
        </xdr:cNvSpPr>
      </xdr:nvSpPr>
      <xdr:spPr bwMode="auto">
        <a:xfrm>
          <a:off x="1428750" y="1173946725"/>
          <a:ext cx="257175" cy="2286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314</xdr:row>
      <xdr:rowOff>123825</xdr:rowOff>
    </xdr:from>
    <xdr:to>
      <xdr:col>2</xdr:col>
      <xdr:colOff>342900</xdr:colOff>
      <xdr:row>315</xdr:row>
      <xdr:rowOff>57150</xdr:rowOff>
    </xdr:to>
    <xdr:sp macro="" textlink="">
      <xdr:nvSpPr>
        <xdr:cNvPr id="40" name="Text Box 290">
          <a:extLst>
            <a:ext uri="{FF2B5EF4-FFF2-40B4-BE49-F238E27FC236}">
              <a16:creationId xmlns:a16="http://schemas.microsoft.com/office/drawing/2014/main" id="{00000000-0008-0000-0E00-000028000000}"/>
            </a:ext>
          </a:extLst>
        </xdr:cNvPr>
        <xdr:cNvSpPr txBox="1">
          <a:spLocks noChangeArrowheads="1"/>
        </xdr:cNvSpPr>
      </xdr:nvSpPr>
      <xdr:spPr bwMode="auto">
        <a:xfrm>
          <a:off x="1381125" y="1158506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xdr:row>
      <xdr:rowOff>133350</xdr:rowOff>
    </xdr:from>
    <xdr:to>
      <xdr:col>2</xdr:col>
      <xdr:colOff>342900</xdr:colOff>
      <xdr:row>320</xdr:row>
      <xdr:rowOff>47625</xdr:rowOff>
    </xdr:to>
    <xdr:sp macro="" textlink="">
      <xdr:nvSpPr>
        <xdr:cNvPr id="41" name="Text Box 291">
          <a:extLst>
            <a:ext uri="{FF2B5EF4-FFF2-40B4-BE49-F238E27FC236}">
              <a16:creationId xmlns:a16="http://schemas.microsoft.com/office/drawing/2014/main" id="{00000000-0008-0000-0E00-000029000000}"/>
            </a:ext>
          </a:extLst>
        </xdr:cNvPr>
        <xdr:cNvSpPr txBox="1">
          <a:spLocks noChangeArrowheads="1"/>
        </xdr:cNvSpPr>
      </xdr:nvSpPr>
      <xdr:spPr bwMode="auto">
        <a:xfrm>
          <a:off x="1381125" y="115946872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337</xdr:row>
      <xdr:rowOff>133350</xdr:rowOff>
    </xdr:from>
    <xdr:to>
      <xdr:col>2</xdr:col>
      <xdr:colOff>342900</xdr:colOff>
      <xdr:row>338</xdr:row>
      <xdr:rowOff>57150</xdr:rowOff>
    </xdr:to>
    <xdr:sp macro="" textlink="">
      <xdr:nvSpPr>
        <xdr:cNvPr id="42" name="Text Box 292">
          <a:extLst>
            <a:ext uri="{FF2B5EF4-FFF2-40B4-BE49-F238E27FC236}">
              <a16:creationId xmlns:a16="http://schemas.microsoft.com/office/drawing/2014/main" id="{00000000-0008-0000-0E00-00002A000000}"/>
            </a:ext>
          </a:extLst>
        </xdr:cNvPr>
        <xdr:cNvSpPr txBox="1">
          <a:spLocks noChangeArrowheads="1"/>
        </xdr:cNvSpPr>
      </xdr:nvSpPr>
      <xdr:spPr bwMode="auto">
        <a:xfrm>
          <a:off x="1381125" y="1162897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444</xdr:row>
      <xdr:rowOff>152400</xdr:rowOff>
    </xdr:from>
    <xdr:to>
      <xdr:col>2</xdr:col>
      <xdr:colOff>342900</xdr:colOff>
      <xdr:row>445</xdr:row>
      <xdr:rowOff>66675</xdr:rowOff>
    </xdr:to>
    <xdr:sp macro="" textlink="">
      <xdr:nvSpPr>
        <xdr:cNvPr id="43" name="Text Box 293">
          <a:extLst>
            <a:ext uri="{FF2B5EF4-FFF2-40B4-BE49-F238E27FC236}">
              <a16:creationId xmlns:a16="http://schemas.microsoft.com/office/drawing/2014/main" id="{00000000-0008-0000-0E00-00002B000000}"/>
            </a:ext>
          </a:extLst>
        </xdr:cNvPr>
        <xdr:cNvSpPr txBox="1">
          <a:spLocks noChangeArrowheads="1"/>
        </xdr:cNvSpPr>
      </xdr:nvSpPr>
      <xdr:spPr bwMode="auto">
        <a:xfrm>
          <a:off x="1381125" y="118330027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356</xdr:row>
      <xdr:rowOff>123825</xdr:rowOff>
    </xdr:from>
    <xdr:to>
      <xdr:col>2</xdr:col>
      <xdr:colOff>342900</xdr:colOff>
      <xdr:row>357</xdr:row>
      <xdr:rowOff>57150</xdr:rowOff>
    </xdr:to>
    <xdr:sp macro="" textlink="">
      <xdr:nvSpPr>
        <xdr:cNvPr id="44" name="Text Box 315">
          <a:extLst>
            <a:ext uri="{FF2B5EF4-FFF2-40B4-BE49-F238E27FC236}">
              <a16:creationId xmlns:a16="http://schemas.microsoft.com/office/drawing/2014/main" id="{00000000-0008-0000-0E00-00002C000000}"/>
            </a:ext>
          </a:extLst>
        </xdr:cNvPr>
        <xdr:cNvSpPr txBox="1">
          <a:spLocks noChangeArrowheads="1"/>
        </xdr:cNvSpPr>
      </xdr:nvSpPr>
      <xdr:spPr bwMode="auto">
        <a:xfrm>
          <a:off x="1381125" y="1166507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373</xdr:row>
      <xdr:rowOff>123825</xdr:rowOff>
    </xdr:from>
    <xdr:to>
      <xdr:col>2</xdr:col>
      <xdr:colOff>342900</xdr:colOff>
      <xdr:row>374</xdr:row>
      <xdr:rowOff>47625</xdr:rowOff>
    </xdr:to>
    <xdr:sp macro="" textlink="">
      <xdr:nvSpPr>
        <xdr:cNvPr id="45" name="Text Box 316">
          <a:extLst>
            <a:ext uri="{FF2B5EF4-FFF2-40B4-BE49-F238E27FC236}">
              <a16:creationId xmlns:a16="http://schemas.microsoft.com/office/drawing/2014/main" id="{00000000-0008-0000-0E00-00002D000000}"/>
            </a:ext>
          </a:extLst>
        </xdr:cNvPr>
        <xdr:cNvSpPr txBox="1">
          <a:spLocks noChangeArrowheads="1"/>
        </xdr:cNvSpPr>
      </xdr:nvSpPr>
      <xdr:spPr bwMode="auto">
        <a:xfrm>
          <a:off x="1381125" y="116974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472</xdr:row>
      <xdr:rowOff>133350</xdr:rowOff>
    </xdr:from>
    <xdr:to>
      <xdr:col>2</xdr:col>
      <xdr:colOff>342900</xdr:colOff>
      <xdr:row>473</xdr:row>
      <xdr:rowOff>57150</xdr:rowOff>
    </xdr:to>
    <xdr:sp macro="" textlink="">
      <xdr:nvSpPr>
        <xdr:cNvPr id="47" name="Text Box 336">
          <a:extLst>
            <a:ext uri="{FF2B5EF4-FFF2-40B4-BE49-F238E27FC236}">
              <a16:creationId xmlns:a16="http://schemas.microsoft.com/office/drawing/2014/main" id="{00000000-0008-0000-0E00-00002F000000}"/>
            </a:ext>
          </a:extLst>
        </xdr:cNvPr>
        <xdr:cNvSpPr txBox="1">
          <a:spLocks noChangeArrowheads="1"/>
        </xdr:cNvSpPr>
      </xdr:nvSpPr>
      <xdr:spPr bwMode="auto">
        <a:xfrm>
          <a:off x="1381125" y="118861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48" name="Text Box 337">
          <a:extLst>
            <a:ext uri="{FF2B5EF4-FFF2-40B4-BE49-F238E27FC236}">
              <a16:creationId xmlns:a16="http://schemas.microsoft.com/office/drawing/2014/main" id="{00000000-0008-0000-0E00-000030000000}"/>
            </a:ext>
          </a:extLst>
        </xdr:cNvPr>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sp>
    <xdr:clientData/>
  </xdr:twoCellAnchor>
  <xdr:twoCellAnchor>
    <xdr:from>
      <xdr:col>2</xdr:col>
      <xdr:colOff>85725</xdr:colOff>
      <xdr:row>493</xdr:row>
      <xdr:rowOff>0</xdr:rowOff>
    </xdr:from>
    <xdr:to>
      <xdr:col>2</xdr:col>
      <xdr:colOff>342900</xdr:colOff>
      <xdr:row>493</xdr:row>
      <xdr:rowOff>0</xdr:rowOff>
    </xdr:to>
    <xdr:sp macro="" textlink="">
      <xdr:nvSpPr>
        <xdr:cNvPr id="49" name="Text Box 338">
          <a:extLst>
            <a:ext uri="{FF2B5EF4-FFF2-40B4-BE49-F238E27FC236}">
              <a16:creationId xmlns:a16="http://schemas.microsoft.com/office/drawing/2014/main" id="{00000000-0008-0000-0E00-000031000000}"/>
            </a:ext>
          </a:extLst>
        </xdr:cNvPr>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276225</xdr:colOff>
      <xdr:row>493</xdr:row>
      <xdr:rowOff>0</xdr:rowOff>
    </xdr:to>
    <xdr:sp macro="" textlink="">
      <xdr:nvSpPr>
        <xdr:cNvPr id="50" name="Text Box 339">
          <a:extLst>
            <a:ext uri="{FF2B5EF4-FFF2-40B4-BE49-F238E27FC236}">
              <a16:creationId xmlns:a16="http://schemas.microsoft.com/office/drawing/2014/main" id="{00000000-0008-0000-0E00-000032000000}"/>
            </a:ext>
          </a:extLst>
        </xdr:cNvPr>
        <xdr:cNvSpPr txBox="1">
          <a:spLocks noChangeArrowheads="1"/>
        </xdr:cNvSpPr>
      </xdr:nvSpPr>
      <xdr:spPr bwMode="auto">
        <a:xfrm>
          <a:off x="1381125" y="1192482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51" name="Text Box 340">
          <a:extLst>
            <a:ext uri="{FF2B5EF4-FFF2-40B4-BE49-F238E27FC236}">
              <a16:creationId xmlns:a16="http://schemas.microsoft.com/office/drawing/2014/main" id="{00000000-0008-0000-0E00-000033000000}"/>
            </a:ext>
          </a:extLst>
        </xdr:cNvPr>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2" name="Text Box 341">
          <a:extLst>
            <a:ext uri="{FF2B5EF4-FFF2-40B4-BE49-F238E27FC236}">
              <a16:creationId xmlns:a16="http://schemas.microsoft.com/office/drawing/2014/main" id="{00000000-0008-0000-0E00-000034000000}"/>
            </a:ext>
          </a:extLst>
        </xdr:cNvPr>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sp>
    <xdr:clientData/>
  </xdr:twoCellAnchor>
  <xdr:twoCellAnchor>
    <xdr:from>
      <xdr:col>2</xdr:col>
      <xdr:colOff>85725</xdr:colOff>
      <xdr:row>510</xdr:row>
      <xdr:rowOff>0</xdr:rowOff>
    </xdr:from>
    <xdr:to>
      <xdr:col>2</xdr:col>
      <xdr:colOff>342900</xdr:colOff>
      <xdr:row>510</xdr:row>
      <xdr:rowOff>0</xdr:rowOff>
    </xdr:to>
    <xdr:sp macro="" textlink="">
      <xdr:nvSpPr>
        <xdr:cNvPr id="53" name="Text Box 342">
          <a:extLst>
            <a:ext uri="{FF2B5EF4-FFF2-40B4-BE49-F238E27FC236}">
              <a16:creationId xmlns:a16="http://schemas.microsoft.com/office/drawing/2014/main" id="{00000000-0008-0000-0E00-000035000000}"/>
            </a:ext>
          </a:extLst>
        </xdr:cNvPr>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276225</xdr:colOff>
      <xdr:row>510</xdr:row>
      <xdr:rowOff>0</xdr:rowOff>
    </xdr:to>
    <xdr:sp macro="" textlink="">
      <xdr:nvSpPr>
        <xdr:cNvPr id="54" name="Text Box 343">
          <a:extLst>
            <a:ext uri="{FF2B5EF4-FFF2-40B4-BE49-F238E27FC236}">
              <a16:creationId xmlns:a16="http://schemas.microsoft.com/office/drawing/2014/main" id="{00000000-0008-0000-0E00-000036000000}"/>
            </a:ext>
          </a:extLst>
        </xdr:cNvPr>
        <xdr:cNvSpPr txBox="1">
          <a:spLocks noChangeArrowheads="1"/>
        </xdr:cNvSpPr>
      </xdr:nvSpPr>
      <xdr:spPr bwMode="auto">
        <a:xfrm>
          <a:off x="1381125" y="119572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5" name="Text Box 344">
          <a:extLst>
            <a:ext uri="{FF2B5EF4-FFF2-40B4-BE49-F238E27FC236}">
              <a16:creationId xmlns:a16="http://schemas.microsoft.com/office/drawing/2014/main" id="{00000000-0008-0000-0E00-000037000000}"/>
            </a:ext>
          </a:extLst>
        </xdr:cNvPr>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6" name="Text Box 345">
          <a:extLst>
            <a:ext uri="{FF2B5EF4-FFF2-40B4-BE49-F238E27FC236}">
              <a16:creationId xmlns:a16="http://schemas.microsoft.com/office/drawing/2014/main" id="{00000000-0008-0000-0E00-000038000000}"/>
            </a:ext>
          </a:extLst>
        </xdr:cNvPr>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sp>
    <xdr:clientData/>
  </xdr:twoCellAnchor>
  <xdr:twoCellAnchor>
    <xdr:from>
      <xdr:col>2</xdr:col>
      <xdr:colOff>85725</xdr:colOff>
      <xdr:row>527</xdr:row>
      <xdr:rowOff>0</xdr:rowOff>
    </xdr:from>
    <xdr:to>
      <xdr:col>2</xdr:col>
      <xdr:colOff>342900</xdr:colOff>
      <xdr:row>527</xdr:row>
      <xdr:rowOff>0</xdr:rowOff>
    </xdr:to>
    <xdr:sp macro="" textlink="">
      <xdr:nvSpPr>
        <xdr:cNvPr id="57" name="Text Box 346">
          <a:extLst>
            <a:ext uri="{FF2B5EF4-FFF2-40B4-BE49-F238E27FC236}">
              <a16:creationId xmlns:a16="http://schemas.microsoft.com/office/drawing/2014/main" id="{00000000-0008-0000-0E00-000039000000}"/>
            </a:ext>
          </a:extLst>
        </xdr:cNvPr>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276225</xdr:colOff>
      <xdr:row>527</xdr:row>
      <xdr:rowOff>0</xdr:rowOff>
    </xdr:to>
    <xdr:sp macro="" textlink="">
      <xdr:nvSpPr>
        <xdr:cNvPr id="58" name="Text Box 347">
          <a:extLst>
            <a:ext uri="{FF2B5EF4-FFF2-40B4-BE49-F238E27FC236}">
              <a16:creationId xmlns:a16="http://schemas.microsoft.com/office/drawing/2014/main" id="{00000000-0008-0000-0E00-00003A000000}"/>
            </a:ext>
          </a:extLst>
        </xdr:cNvPr>
        <xdr:cNvSpPr txBox="1">
          <a:spLocks noChangeArrowheads="1"/>
        </xdr:cNvSpPr>
      </xdr:nvSpPr>
      <xdr:spPr bwMode="auto">
        <a:xfrm>
          <a:off x="1381125" y="1198959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9" name="Text Box 348">
          <a:extLst>
            <a:ext uri="{FF2B5EF4-FFF2-40B4-BE49-F238E27FC236}">
              <a16:creationId xmlns:a16="http://schemas.microsoft.com/office/drawing/2014/main" id="{00000000-0008-0000-0E00-00003B000000}"/>
            </a:ext>
          </a:extLst>
        </xdr:cNvPr>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0" name="Text Box 349">
          <a:extLst>
            <a:ext uri="{FF2B5EF4-FFF2-40B4-BE49-F238E27FC236}">
              <a16:creationId xmlns:a16="http://schemas.microsoft.com/office/drawing/2014/main" id="{00000000-0008-0000-0E00-00003C000000}"/>
            </a:ext>
          </a:extLst>
        </xdr:cNvPr>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sp>
    <xdr:clientData/>
  </xdr:twoCellAnchor>
  <xdr:twoCellAnchor>
    <xdr:from>
      <xdr:col>2</xdr:col>
      <xdr:colOff>85725</xdr:colOff>
      <xdr:row>544</xdr:row>
      <xdr:rowOff>0</xdr:rowOff>
    </xdr:from>
    <xdr:to>
      <xdr:col>2</xdr:col>
      <xdr:colOff>342900</xdr:colOff>
      <xdr:row>544</xdr:row>
      <xdr:rowOff>0</xdr:rowOff>
    </xdr:to>
    <xdr:sp macro="" textlink="">
      <xdr:nvSpPr>
        <xdr:cNvPr id="61" name="Text Box 350">
          <a:extLst>
            <a:ext uri="{FF2B5EF4-FFF2-40B4-BE49-F238E27FC236}">
              <a16:creationId xmlns:a16="http://schemas.microsoft.com/office/drawing/2014/main" id="{00000000-0008-0000-0E00-00003D000000}"/>
            </a:ext>
          </a:extLst>
        </xdr:cNvPr>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276225</xdr:colOff>
      <xdr:row>544</xdr:row>
      <xdr:rowOff>0</xdr:rowOff>
    </xdr:to>
    <xdr:sp macro="" textlink="">
      <xdr:nvSpPr>
        <xdr:cNvPr id="62" name="Text Box 351">
          <a:extLst>
            <a:ext uri="{FF2B5EF4-FFF2-40B4-BE49-F238E27FC236}">
              <a16:creationId xmlns:a16="http://schemas.microsoft.com/office/drawing/2014/main" id="{00000000-0008-0000-0E00-00003E000000}"/>
            </a:ext>
          </a:extLst>
        </xdr:cNvPr>
        <xdr:cNvSpPr txBox="1">
          <a:spLocks noChangeArrowheads="1"/>
        </xdr:cNvSpPr>
      </xdr:nvSpPr>
      <xdr:spPr bwMode="auto">
        <a:xfrm>
          <a:off x="1381125" y="1202197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3" name="Text Box 352">
          <a:extLst>
            <a:ext uri="{FF2B5EF4-FFF2-40B4-BE49-F238E27FC236}">
              <a16:creationId xmlns:a16="http://schemas.microsoft.com/office/drawing/2014/main" id="{00000000-0008-0000-0E00-00003F000000}"/>
            </a:ext>
          </a:extLst>
        </xdr:cNvPr>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4" name="Text Box 353">
          <a:extLst>
            <a:ext uri="{FF2B5EF4-FFF2-40B4-BE49-F238E27FC236}">
              <a16:creationId xmlns:a16="http://schemas.microsoft.com/office/drawing/2014/main" id="{00000000-0008-0000-0E00-000040000000}"/>
            </a:ext>
          </a:extLst>
        </xdr:cNvPr>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sp>
    <xdr:clientData/>
  </xdr:twoCellAnchor>
  <xdr:twoCellAnchor>
    <xdr:from>
      <xdr:col>2</xdr:col>
      <xdr:colOff>85725</xdr:colOff>
      <xdr:row>561</xdr:row>
      <xdr:rowOff>0</xdr:rowOff>
    </xdr:from>
    <xdr:to>
      <xdr:col>2</xdr:col>
      <xdr:colOff>342900</xdr:colOff>
      <xdr:row>561</xdr:row>
      <xdr:rowOff>0</xdr:rowOff>
    </xdr:to>
    <xdr:sp macro="" textlink="">
      <xdr:nvSpPr>
        <xdr:cNvPr id="65" name="Text Box 354">
          <a:extLst>
            <a:ext uri="{FF2B5EF4-FFF2-40B4-BE49-F238E27FC236}">
              <a16:creationId xmlns:a16="http://schemas.microsoft.com/office/drawing/2014/main" id="{00000000-0008-0000-0E00-000041000000}"/>
            </a:ext>
          </a:extLst>
        </xdr:cNvPr>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276225</xdr:colOff>
      <xdr:row>561</xdr:row>
      <xdr:rowOff>0</xdr:rowOff>
    </xdr:to>
    <xdr:sp macro="" textlink="">
      <xdr:nvSpPr>
        <xdr:cNvPr id="66" name="Text Box 355">
          <a:extLst>
            <a:ext uri="{FF2B5EF4-FFF2-40B4-BE49-F238E27FC236}">
              <a16:creationId xmlns:a16="http://schemas.microsoft.com/office/drawing/2014/main" id="{00000000-0008-0000-0E00-000042000000}"/>
            </a:ext>
          </a:extLst>
        </xdr:cNvPr>
        <xdr:cNvSpPr txBox="1">
          <a:spLocks noChangeArrowheads="1"/>
        </xdr:cNvSpPr>
      </xdr:nvSpPr>
      <xdr:spPr bwMode="auto">
        <a:xfrm>
          <a:off x="1381125" y="1205436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7" name="Text Box 356">
          <a:extLst>
            <a:ext uri="{FF2B5EF4-FFF2-40B4-BE49-F238E27FC236}">
              <a16:creationId xmlns:a16="http://schemas.microsoft.com/office/drawing/2014/main" id="{00000000-0008-0000-0E00-000043000000}"/>
            </a:ext>
          </a:extLst>
        </xdr:cNvPr>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68" name="Text Box 357">
          <a:extLst>
            <a:ext uri="{FF2B5EF4-FFF2-40B4-BE49-F238E27FC236}">
              <a16:creationId xmlns:a16="http://schemas.microsoft.com/office/drawing/2014/main" id="{00000000-0008-0000-0E00-000044000000}"/>
            </a:ext>
          </a:extLst>
        </xdr:cNvPr>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sp>
    <xdr:clientData/>
  </xdr:twoCellAnchor>
  <xdr:twoCellAnchor>
    <xdr:from>
      <xdr:col>2</xdr:col>
      <xdr:colOff>85725</xdr:colOff>
      <xdr:row>570</xdr:row>
      <xdr:rowOff>0</xdr:rowOff>
    </xdr:from>
    <xdr:to>
      <xdr:col>2</xdr:col>
      <xdr:colOff>342900</xdr:colOff>
      <xdr:row>570</xdr:row>
      <xdr:rowOff>0</xdr:rowOff>
    </xdr:to>
    <xdr:sp macro="" textlink="">
      <xdr:nvSpPr>
        <xdr:cNvPr id="69" name="Text Box 358">
          <a:extLst>
            <a:ext uri="{FF2B5EF4-FFF2-40B4-BE49-F238E27FC236}">
              <a16:creationId xmlns:a16="http://schemas.microsoft.com/office/drawing/2014/main" id="{00000000-0008-0000-0E00-000045000000}"/>
            </a:ext>
          </a:extLst>
        </xdr:cNvPr>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276225</xdr:colOff>
      <xdr:row>570</xdr:row>
      <xdr:rowOff>0</xdr:rowOff>
    </xdr:to>
    <xdr:sp macro="" textlink="">
      <xdr:nvSpPr>
        <xdr:cNvPr id="70" name="Text Box 359">
          <a:extLst>
            <a:ext uri="{FF2B5EF4-FFF2-40B4-BE49-F238E27FC236}">
              <a16:creationId xmlns:a16="http://schemas.microsoft.com/office/drawing/2014/main" id="{00000000-0008-0000-0E00-000046000000}"/>
            </a:ext>
          </a:extLst>
        </xdr:cNvPr>
        <xdr:cNvSpPr txBox="1">
          <a:spLocks noChangeArrowheads="1"/>
        </xdr:cNvSpPr>
      </xdr:nvSpPr>
      <xdr:spPr bwMode="auto">
        <a:xfrm>
          <a:off x="1381125" y="120715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71" name="Text Box 360">
          <a:extLst>
            <a:ext uri="{FF2B5EF4-FFF2-40B4-BE49-F238E27FC236}">
              <a16:creationId xmlns:a16="http://schemas.microsoft.com/office/drawing/2014/main" id="{00000000-0008-0000-0E00-000047000000}"/>
            </a:ext>
          </a:extLst>
        </xdr:cNvPr>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2" name="Text Box 361">
          <a:extLst>
            <a:ext uri="{FF2B5EF4-FFF2-40B4-BE49-F238E27FC236}">
              <a16:creationId xmlns:a16="http://schemas.microsoft.com/office/drawing/2014/main" id="{00000000-0008-0000-0E00-000048000000}"/>
            </a:ext>
          </a:extLst>
        </xdr:cNvPr>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sp>
    <xdr:clientData/>
  </xdr:twoCellAnchor>
  <xdr:twoCellAnchor>
    <xdr:from>
      <xdr:col>2</xdr:col>
      <xdr:colOff>85725</xdr:colOff>
      <xdr:row>653</xdr:row>
      <xdr:rowOff>0</xdr:rowOff>
    </xdr:from>
    <xdr:to>
      <xdr:col>2</xdr:col>
      <xdr:colOff>342900</xdr:colOff>
      <xdr:row>653</xdr:row>
      <xdr:rowOff>0</xdr:rowOff>
    </xdr:to>
    <xdr:sp macro="" textlink="">
      <xdr:nvSpPr>
        <xdr:cNvPr id="73" name="Text Box 362">
          <a:extLst>
            <a:ext uri="{FF2B5EF4-FFF2-40B4-BE49-F238E27FC236}">
              <a16:creationId xmlns:a16="http://schemas.microsoft.com/office/drawing/2014/main" id="{00000000-0008-0000-0E00-000049000000}"/>
            </a:ext>
          </a:extLst>
        </xdr:cNvPr>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276225</xdr:colOff>
      <xdr:row>653</xdr:row>
      <xdr:rowOff>0</xdr:rowOff>
    </xdr:to>
    <xdr:sp macro="" textlink="">
      <xdr:nvSpPr>
        <xdr:cNvPr id="74" name="Text Box 363">
          <a:extLst>
            <a:ext uri="{FF2B5EF4-FFF2-40B4-BE49-F238E27FC236}">
              <a16:creationId xmlns:a16="http://schemas.microsoft.com/office/drawing/2014/main" id="{00000000-0008-0000-0E00-00004A000000}"/>
            </a:ext>
          </a:extLst>
        </xdr:cNvPr>
        <xdr:cNvSpPr txBox="1">
          <a:spLocks noChangeArrowheads="1"/>
        </xdr:cNvSpPr>
      </xdr:nvSpPr>
      <xdr:spPr bwMode="auto">
        <a:xfrm>
          <a:off x="1381125" y="1208674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5" name="Text Box 364">
          <a:extLst>
            <a:ext uri="{FF2B5EF4-FFF2-40B4-BE49-F238E27FC236}">
              <a16:creationId xmlns:a16="http://schemas.microsoft.com/office/drawing/2014/main" id="{00000000-0008-0000-0E00-00004B000000}"/>
            </a:ext>
          </a:extLst>
        </xdr:cNvPr>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6" name="Text Box 365">
          <a:extLst>
            <a:ext uri="{FF2B5EF4-FFF2-40B4-BE49-F238E27FC236}">
              <a16:creationId xmlns:a16="http://schemas.microsoft.com/office/drawing/2014/main" id="{00000000-0008-0000-0E00-00004C000000}"/>
            </a:ext>
          </a:extLst>
        </xdr:cNvPr>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sp>
    <xdr:clientData/>
  </xdr:twoCellAnchor>
  <xdr:twoCellAnchor>
    <xdr:from>
      <xdr:col>2</xdr:col>
      <xdr:colOff>85725</xdr:colOff>
      <xdr:row>670</xdr:row>
      <xdr:rowOff>0</xdr:rowOff>
    </xdr:from>
    <xdr:to>
      <xdr:col>2</xdr:col>
      <xdr:colOff>342900</xdr:colOff>
      <xdr:row>670</xdr:row>
      <xdr:rowOff>0</xdr:rowOff>
    </xdr:to>
    <xdr:sp macro="" textlink="">
      <xdr:nvSpPr>
        <xdr:cNvPr id="77" name="Text Box 366">
          <a:extLst>
            <a:ext uri="{FF2B5EF4-FFF2-40B4-BE49-F238E27FC236}">
              <a16:creationId xmlns:a16="http://schemas.microsoft.com/office/drawing/2014/main" id="{00000000-0008-0000-0E00-00004D000000}"/>
            </a:ext>
          </a:extLst>
        </xdr:cNvPr>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276225</xdr:colOff>
      <xdr:row>670</xdr:row>
      <xdr:rowOff>0</xdr:rowOff>
    </xdr:to>
    <xdr:sp macro="" textlink="">
      <xdr:nvSpPr>
        <xdr:cNvPr id="78" name="Text Box 367">
          <a:extLst>
            <a:ext uri="{FF2B5EF4-FFF2-40B4-BE49-F238E27FC236}">
              <a16:creationId xmlns:a16="http://schemas.microsoft.com/office/drawing/2014/main" id="{00000000-0008-0000-0E00-00004E000000}"/>
            </a:ext>
          </a:extLst>
        </xdr:cNvPr>
        <xdr:cNvSpPr txBox="1">
          <a:spLocks noChangeArrowheads="1"/>
        </xdr:cNvSpPr>
      </xdr:nvSpPr>
      <xdr:spPr bwMode="auto">
        <a:xfrm>
          <a:off x="1381125" y="1211913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9" name="Text Box 368">
          <a:extLst>
            <a:ext uri="{FF2B5EF4-FFF2-40B4-BE49-F238E27FC236}">
              <a16:creationId xmlns:a16="http://schemas.microsoft.com/office/drawing/2014/main" id="{00000000-0008-0000-0E00-00004F000000}"/>
            </a:ext>
          </a:extLst>
        </xdr:cNvPr>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0" name="Text Box 369">
          <a:extLst>
            <a:ext uri="{FF2B5EF4-FFF2-40B4-BE49-F238E27FC236}">
              <a16:creationId xmlns:a16="http://schemas.microsoft.com/office/drawing/2014/main" id="{00000000-0008-0000-0E00-000050000000}"/>
            </a:ext>
          </a:extLst>
        </xdr:cNvPr>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sp>
    <xdr:clientData/>
  </xdr:twoCellAnchor>
  <xdr:twoCellAnchor>
    <xdr:from>
      <xdr:col>2</xdr:col>
      <xdr:colOff>85725</xdr:colOff>
      <xdr:row>687</xdr:row>
      <xdr:rowOff>0</xdr:rowOff>
    </xdr:from>
    <xdr:to>
      <xdr:col>2</xdr:col>
      <xdr:colOff>342900</xdr:colOff>
      <xdr:row>687</xdr:row>
      <xdr:rowOff>0</xdr:rowOff>
    </xdr:to>
    <xdr:sp macro="" textlink="">
      <xdr:nvSpPr>
        <xdr:cNvPr id="81" name="Text Box 370">
          <a:extLst>
            <a:ext uri="{FF2B5EF4-FFF2-40B4-BE49-F238E27FC236}">
              <a16:creationId xmlns:a16="http://schemas.microsoft.com/office/drawing/2014/main" id="{00000000-0008-0000-0E00-000051000000}"/>
            </a:ext>
          </a:extLst>
        </xdr:cNvPr>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276225</xdr:colOff>
      <xdr:row>687</xdr:row>
      <xdr:rowOff>0</xdr:rowOff>
    </xdr:to>
    <xdr:sp macro="" textlink="">
      <xdr:nvSpPr>
        <xdr:cNvPr id="82" name="Text Box 371">
          <a:extLst>
            <a:ext uri="{FF2B5EF4-FFF2-40B4-BE49-F238E27FC236}">
              <a16:creationId xmlns:a16="http://schemas.microsoft.com/office/drawing/2014/main" id="{00000000-0008-0000-0E00-000052000000}"/>
            </a:ext>
          </a:extLst>
        </xdr:cNvPr>
        <xdr:cNvSpPr txBox="1">
          <a:spLocks noChangeArrowheads="1"/>
        </xdr:cNvSpPr>
      </xdr:nvSpPr>
      <xdr:spPr bwMode="auto">
        <a:xfrm>
          <a:off x="1381125" y="121515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3" name="Text Box 372">
          <a:extLst>
            <a:ext uri="{FF2B5EF4-FFF2-40B4-BE49-F238E27FC236}">
              <a16:creationId xmlns:a16="http://schemas.microsoft.com/office/drawing/2014/main" id="{00000000-0008-0000-0E00-000053000000}"/>
            </a:ext>
          </a:extLst>
        </xdr:cNvPr>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4" name="Text Box 373">
          <a:extLst>
            <a:ext uri="{FF2B5EF4-FFF2-40B4-BE49-F238E27FC236}">
              <a16:creationId xmlns:a16="http://schemas.microsoft.com/office/drawing/2014/main" id="{00000000-0008-0000-0E00-000054000000}"/>
            </a:ext>
          </a:extLst>
        </xdr:cNvPr>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sp>
    <xdr:clientData/>
  </xdr:twoCellAnchor>
  <xdr:twoCellAnchor>
    <xdr:from>
      <xdr:col>2</xdr:col>
      <xdr:colOff>85725</xdr:colOff>
      <xdr:row>704</xdr:row>
      <xdr:rowOff>0</xdr:rowOff>
    </xdr:from>
    <xdr:to>
      <xdr:col>2</xdr:col>
      <xdr:colOff>342900</xdr:colOff>
      <xdr:row>704</xdr:row>
      <xdr:rowOff>0</xdr:rowOff>
    </xdr:to>
    <xdr:sp macro="" textlink="">
      <xdr:nvSpPr>
        <xdr:cNvPr id="85" name="Text Box 374">
          <a:extLst>
            <a:ext uri="{FF2B5EF4-FFF2-40B4-BE49-F238E27FC236}">
              <a16:creationId xmlns:a16="http://schemas.microsoft.com/office/drawing/2014/main" id="{00000000-0008-0000-0E00-000055000000}"/>
            </a:ext>
          </a:extLst>
        </xdr:cNvPr>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276225</xdr:colOff>
      <xdr:row>704</xdr:row>
      <xdr:rowOff>0</xdr:rowOff>
    </xdr:to>
    <xdr:sp macro="" textlink="">
      <xdr:nvSpPr>
        <xdr:cNvPr id="86" name="Text Box 375">
          <a:extLst>
            <a:ext uri="{FF2B5EF4-FFF2-40B4-BE49-F238E27FC236}">
              <a16:creationId xmlns:a16="http://schemas.microsoft.com/office/drawing/2014/main" id="{00000000-0008-0000-0E00-000056000000}"/>
            </a:ext>
          </a:extLst>
        </xdr:cNvPr>
        <xdr:cNvSpPr txBox="1">
          <a:spLocks noChangeArrowheads="1"/>
        </xdr:cNvSpPr>
      </xdr:nvSpPr>
      <xdr:spPr bwMode="auto">
        <a:xfrm>
          <a:off x="1381125" y="1218390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7" name="Text Box 376">
          <a:extLst>
            <a:ext uri="{FF2B5EF4-FFF2-40B4-BE49-F238E27FC236}">
              <a16:creationId xmlns:a16="http://schemas.microsoft.com/office/drawing/2014/main" id="{00000000-0008-0000-0E00-000057000000}"/>
            </a:ext>
          </a:extLst>
        </xdr:cNvPr>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88" name="Text Box 377">
          <a:extLst>
            <a:ext uri="{FF2B5EF4-FFF2-40B4-BE49-F238E27FC236}">
              <a16:creationId xmlns:a16="http://schemas.microsoft.com/office/drawing/2014/main" id="{00000000-0008-0000-0E00-000058000000}"/>
            </a:ext>
          </a:extLst>
        </xdr:cNvPr>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sp>
    <xdr:clientData/>
  </xdr:twoCellAnchor>
  <xdr:twoCellAnchor>
    <xdr:from>
      <xdr:col>2</xdr:col>
      <xdr:colOff>85725</xdr:colOff>
      <xdr:row>721</xdr:row>
      <xdr:rowOff>0</xdr:rowOff>
    </xdr:from>
    <xdr:to>
      <xdr:col>2</xdr:col>
      <xdr:colOff>342900</xdr:colOff>
      <xdr:row>721</xdr:row>
      <xdr:rowOff>0</xdr:rowOff>
    </xdr:to>
    <xdr:sp macro="" textlink="">
      <xdr:nvSpPr>
        <xdr:cNvPr id="89" name="Text Box 378">
          <a:extLst>
            <a:ext uri="{FF2B5EF4-FFF2-40B4-BE49-F238E27FC236}">
              <a16:creationId xmlns:a16="http://schemas.microsoft.com/office/drawing/2014/main" id="{00000000-0008-0000-0E00-000059000000}"/>
            </a:ext>
          </a:extLst>
        </xdr:cNvPr>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276225</xdr:colOff>
      <xdr:row>721</xdr:row>
      <xdr:rowOff>0</xdr:rowOff>
    </xdr:to>
    <xdr:sp macro="" textlink="">
      <xdr:nvSpPr>
        <xdr:cNvPr id="90" name="Text Box 379">
          <a:extLst>
            <a:ext uri="{FF2B5EF4-FFF2-40B4-BE49-F238E27FC236}">
              <a16:creationId xmlns:a16="http://schemas.microsoft.com/office/drawing/2014/main" id="{00000000-0008-0000-0E00-00005A000000}"/>
            </a:ext>
          </a:extLst>
        </xdr:cNvPr>
        <xdr:cNvSpPr txBox="1">
          <a:spLocks noChangeArrowheads="1"/>
        </xdr:cNvSpPr>
      </xdr:nvSpPr>
      <xdr:spPr bwMode="auto">
        <a:xfrm>
          <a:off x="1381125" y="1221628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91" name="Text Box 380">
          <a:extLst>
            <a:ext uri="{FF2B5EF4-FFF2-40B4-BE49-F238E27FC236}">
              <a16:creationId xmlns:a16="http://schemas.microsoft.com/office/drawing/2014/main" id="{00000000-0008-0000-0E00-00005B000000}"/>
            </a:ext>
          </a:extLst>
        </xdr:cNvPr>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6" name="Text Box 381">
          <a:extLst>
            <a:ext uri="{FF2B5EF4-FFF2-40B4-BE49-F238E27FC236}">
              <a16:creationId xmlns:a16="http://schemas.microsoft.com/office/drawing/2014/main" id="{00000000-0008-0000-0E00-000060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97" name="Text Box 382">
          <a:extLst>
            <a:ext uri="{FF2B5EF4-FFF2-40B4-BE49-F238E27FC236}">
              <a16:creationId xmlns:a16="http://schemas.microsoft.com/office/drawing/2014/main" id="{00000000-0008-0000-0E00-000061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98" name="Text Box 383">
          <a:extLst>
            <a:ext uri="{FF2B5EF4-FFF2-40B4-BE49-F238E27FC236}">
              <a16:creationId xmlns:a16="http://schemas.microsoft.com/office/drawing/2014/main" id="{00000000-0008-0000-0E00-000062000000}"/>
            </a:ext>
          </a:extLst>
        </xdr:cNvPr>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9" name="Text Box 384">
          <a:extLst>
            <a:ext uri="{FF2B5EF4-FFF2-40B4-BE49-F238E27FC236}">
              <a16:creationId xmlns:a16="http://schemas.microsoft.com/office/drawing/2014/main" id="{00000000-0008-0000-0E00-000063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0" name="Text Box 381">
          <a:extLst>
            <a:ext uri="{FF2B5EF4-FFF2-40B4-BE49-F238E27FC236}">
              <a16:creationId xmlns:a16="http://schemas.microsoft.com/office/drawing/2014/main" id="{00000000-0008-0000-0E00-000064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101" name="Text Box 382">
          <a:extLst>
            <a:ext uri="{FF2B5EF4-FFF2-40B4-BE49-F238E27FC236}">
              <a16:creationId xmlns:a16="http://schemas.microsoft.com/office/drawing/2014/main" id="{00000000-0008-0000-0E00-000065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102" name="Text Box 383">
          <a:extLst>
            <a:ext uri="{FF2B5EF4-FFF2-40B4-BE49-F238E27FC236}">
              <a16:creationId xmlns:a16="http://schemas.microsoft.com/office/drawing/2014/main" id="{00000000-0008-0000-0E00-000066000000}"/>
            </a:ext>
          </a:extLst>
        </xdr:cNvPr>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3" name="Text Box 384">
          <a:extLst>
            <a:ext uri="{FF2B5EF4-FFF2-40B4-BE49-F238E27FC236}">
              <a16:creationId xmlns:a16="http://schemas.microsoft.com/office/drawing/2014/main" id="{00000000-0008-0000-0E00-000067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8</xdr:col>
      <xdr:colOff>0</xdr:colOff>
      <xdr:row>368</xdr:row>
      <xdr:rowOff>0</xdr:rowOff>
    </xdr:from>
    <xdr:to>
      <xdr:col>8</xdr:col>
      <xdr:colOff>114300</xdr:colOff>
      <xdr:row>368</xdr:row>
      <xdr:rowOff>104775</xdr:rowOff>
    </xdr:to>
    <xdr:pic>
      <xdr:nvPicPr>
        <xdr:cNvPr id="104" name="Picture 2168" descr="BD10254_">
          <a:extLst>
            <a:ext uri="{FF2B5EF4-FFF2-40B4-BE49-F238E27FC236}">
              <a16:creationId xmlns:a16="http://schemas.microsoft.com/office/drawing/2014/main" id="{00000000-0008-0000-0E00-00006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editAs="oneCell">
    <xdr:from>
      <xdr:col>8</xdr:col>
      <xdr:colOff>0</xdr:colOff>
      <xdr:row>368</xdr:row>
      <xdr:rowOff>0</xdr:rowOff>
    </xdr:from>
    <xdr:to>
      <xdr:col>8</xdr:col>
      <xdr:colOff>114300</xdr:colOff>
      <xdr:row>368</xdr:row>
      <xdr:rowOff>104775</xdr:rowOff>
    </xdr:to>
    <xdr:pic>
      <xdr:nvPicPr>
        <xdr:cNvPr id="105" name="Picture 2169" descr="BD10255_">
          <a:extLst>
            <a:ext uri="{FF2B5EF4-FFF2-40B4-BE49-F238E27FC236}">
              <a16:creationId xmlns:a16="http://schemas.microsoft.com/office/drawing/2014/main" id="{00000000-0008-0000-0E00-00006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xdr:from>
      <xdr:col>2</xdr:col>
      <xdr:colOff>85725</xdr:colOff>
      <xdr:row>606</xdr:row>
      <xdr:rowOff>0</xdr:rowOff>
    </xdr:from>
    <xdr:to>
      <xdr:col>2</xdr:col>
      <xdr:colOff>342900</xdr:colOff>
      <xdr:row>606</xdr:row>
      <xdr:rowOff>0</xdr:rowOff>
    </xdr:to>
    <xdr:sp macro="" textlink="">
      <xdr:nvSpPr>
        <xdr:cNvPr id="106" name="Text Box 173">
          <a:extLst>
            <a:ext uri="{FF2B5EF4-FFF2-40B4-BE49-F238E27FC236}">
              <a16:creationId xmlns:a16="http://schemas.microsoft.com/office/drawing/2014/main" id="{00000000-0008-0000-0E00-00006A000000}"/>
            </a:ext>
          </a:extLst>
        </xdr:cNvPr>
        <xdr:cNvSpPr txBox="1">
          <a:spLocks noChangeArrowheads="1"/>
        </xdr:cNvSpPr>
      </xdr:nvSpPr>
      <xdr:spPr bwMode="auto">
        <a:xfrm>
          <a:off x="1381125" y="451389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604</xdr:row>
      <xdr:rowOff>133350</xdr:rowOff>
    </xdr:from>
    <xdr:to>
      <xdr:col>2</xdr:col>
      <xdr:colOff>342900</xdr:colOff>
      <xdr:row>605</xdr:row>
      <xdr:rowOff>57150</xdr:rowOff>
    </xdr:to>
    <xdr:sp macro="" textlink="">
      <xdr:nvSpPr>
        <xdr:cNvPr id="107" name="Text Box 174">
          <a:extLst>
            <a:ext uri="{FF2B5EF4-FFF2-40B4-BE49-F238E27FC236}">
              <a16:creationId xmlns:a16="http://schemas.microsoft.com/office/drawing/2014/main" id="{00000000-0008-0000-0E00-00006B000000}"/>
            </a:ext>
          </a:extLst>
        </xdr:cNvPr>
        <xdr:cNvSpPr txBox="1">
          <a:spLocks noChangeArrowheads="1"/>
        </xdr:cNvSpPr>
      </xdr:nvSpPr>
      <xdr:spPr bwMode="auto">
        <a:xfrm>
          <a:off x="1381125" y="4511421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08" name="Text Box 377">
          <a:extLst>
            <a:ext uri="{FF2B5EF4-FFF2-40B4-BE49-F238E27FC236}">
              <a16:creationId xmlns:a16="http://schemas.microsoft.com/office/drawing/2014/main" id="{00000000-0008-0000-0E00-00006C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731</xdr:row>
      <xdr:rowOff>0</xdr:rowOff>
    </xdr:from>
    <xdr:to>
      <xdr:col>2</xdr:col>
      <xdr:colOff>342900</xdr:colOff>
      <xdr:row>731</xdr:row>
      <xdr:rowOff>0</xdr:rowOff>
    </xdr:to>
    <xdr:sp macro="" textlink="">
      <xdr:nvSpPr>
        <xdr:cNvPr id="109" name="Text Box 378">
          <a:extLst>
            <a:ext uri="{FF2B5EF4-FFF2-40B4-BE49-F238E27FC236}">
              <a16:creationId xmlns:a16="http://schemas.microsoft.com/office/drawing/2014/main" id="{00000000-0008-0000-0E00-00006D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276225</xdr:colOff>
      <xdr:row>731</xdr:row>
      <xdr:rowOff>0</xdr:rowOff>
    </xdr:to>
    <xdr:sp macro="" textlink="">
      <xdr:nvSpPr>
        <xdr:cNvPr id="110" name="Text Box 379">
          <a:extLst>
            <a:ext uri="{FF2B5EF4-FFF2-40B4-BE49-F238E27FC236}">
              <a16:creationId xmlns:a16="http://schemas.microsoft.com/office/drawing/2014/main" id="{00000000-0008-0000-0E00-00006E000000}"/>
            </a:ext>
          </a:extLst>
        </xdr:cNvPr>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11" name="Text Box 380">
          <a:extLst>
            <a:ext uri="{FF2B5EF4-FFF2-40B4-BE49-F238E27FC236}">
              <a16:creationId xmlns:a16="http://schemas.microsoft.com/office/drawing/2014/main" id="{00000000-0008-0000-0E00-00006F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2" name="Text Box 377">
          <a:extLst>
            <a:ext uri="{FF2B5EF4-FFF2-40B4-BE49-F238E27FC236}">
              <a16:creationId xmlns:a16="http://schemas.microsoft.com/office/drawing/2014/main" id="{00000000-0008-0000-0E00-000070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741</xdr:row>
      <xdr:rowOff>0</xdr:rowOff>
    </xdr:from>
    <xdr:to>
      <xdr:col>2</xdr:col>
      <xdr:colOff>342900</xdr:colOff>
      <xdr:row>741</xdr:row>
      <xdr:rowOff>0</xdr:rowOff>
    </xdr:to>
    <xdr:sp macro="" textlink="">
      <xdr:nvSpPr>
        <xdr:cNvPr id="113" name="Text Box 378">
          <a:extLst>
            <a:ext uri="{FF2B5EF4-FFF2-40B4-BE49-F238E27FC236}">
              <a16:creationId xmlns:a16="http://schemas.microsoft.com/office/drawing/2014/main" id="{00000000-0008-0000-0E00-000071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276225</xdr:colOff>
      <xdr:row>741</xdr:row>
      <xdr:rowOff>0</xdr:rowOff>
    </xdr:to>
    <xdr:sp macro="" textlink="">
      <xdr:nvSpPr>
        <xdr:cNvPr id="114" name="Text Box 379">
          <a:extLst>
            <a:ext uri="{FF2B5EF4-FFF2-40B4-BE49-F238E27FC236}">
              <a16:creationId xmlns:a16="http://schemas.microsoft.com/office/drawing/2014/main" id="{00000000-0008-0000-0E00-000072000000}"/>
            </a:ext>
          </a:extLst>
        </xdr:cNvPr>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5" name="Text Box 380">
          <a:extLst>
            <a:ext uri="{FF2B5EF4-FFF2-40B4-BE49-F238E27FC236}">
              <a16:creationId xmlns:a16="http://schemas.microsoft.com/office/drawing/2014/main" id="{00000000-0008-0000-0E00-000073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6" name="Text Box 377">
          <a:extLst>
            <a:ext uri="{FF2B5EF4-FFF2-40B4-BE49-F238E27FC236}">
              <a16:creationId xmlns:a16="http://schemas.microsoft.com/office/drawing/2014/main" id="{00000000-0008-0000-0E00-000074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751</xdr:row>
      <xdr:rowOff>0</xdr:rowOff>
    </xdr:from>
    <xdr:to>
      <xdr:col>2</xdr:col>
      <xdr:colOff>342900</xdr:colOff>
      <xdr:row>751</xdr:row>
      <xdr:rowOff>0</xdr:rowOff>
    </xdr:to>
    <xdr:sp macro="" textlink="">
      <xdr:nvSpPr>
        <xdr:cNvPr id="117" name="Text Box 378">
          <a:extLst>
            <a:ext uri="{FF2B5EF4-FFF2-40B4-BE49-F238E27FC236}">
              <a16:creationId xmlns:a16="http://schemas.microsoft.com/office/drawing/2014/main" id="{00000000-0008-0000-0E00-000075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276225</xdr:colOff>
      <xdr:row>751</xdr:row>
      <xdr:rowOff>0</xdr:rowOff>
    </xdr:to>
    <xdr:sp macro="" textlink="">
      <xdr:nvSpPr>
        <xdr:cNvPr id="118" name="Text Box 379">
          <a:extLst>
            <a:ext uri="{FF2B5EF4-FFF2-40B4-BE49-F238E27FC236}">
              <a16:creationId xmlns:a16="http://schemas.microsoft.com/office/drawing/2014/main" id="{00000000-0008-0000-0E00-000076000000}"/>
            </a:ext>
          </a:extLst>
        </xdr:cNvPr>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9" name="Text Box 380">
          <a:extLst>
            <a:ext uri="{FF2B5EF4-FFF2-40B4-BE49-F238E27FC236}">
              <a16:creationId xmlns:a16="http://schemas.microsoft.com/office/drawing/2014/main" id="{00000000-0008-0000-0E00-000077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482136</xdr:colOff>
      <xdr:row>53</xdr:row>
      <xdr:rowOff>91719</xdr:rowOff>
    </xdr:from>
    <xdr:to>
      <xdr:col>2</xdr:col>
      <xdr:colOff>802669</xdr:colOff>
      <xdr:row>54</xdr:row>
      <xdr:rowOff>96320</xdr:rowOff>
    </xdr:to>
    <xdr:sp macro="" textlink="">
      <xdr:nvSpPr>
        <xdr:cNvPr id="2" name="Text Box 41">
          <a:extLst>
            <a:ext uri="{FF2B5EF4-FFF2-40B4-BE49-F238E27FC236}">
              <a16:creationId xmlns:a16="http://schemas.microsoft.com/office/drawing/2014/main" id="{00000000-0008-0000-1000-000002000000}"/>
            </a:ext>
          </a:extLst>
        </xdr:cNvPr>
        <xdr:cNvSpPr txBox="1">
          <a:spLocks noChangeArrowheads="1"/>
        </xdr:cNvSpPr>
      </xdr:nvSpPr>
      <xdr:spPr bwMode="auto">
        <a:xfrm>
          <a:off x="1834686" y="50010659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129</xdr:row>
      <xdr:rowOff>128641</xdr:rowOff>
    </xdr:from>
    <xdr:to>
      <xdr:col>2</xdr:col>
      <xdr:colOff>533185</xdr:colOff>
      <xdr:row>130</xdr:row>
      <xdr:rowOff>181938</xdr:rowOff>
    </xdr:to>
    <xdr:sp macro="" textlink="">
      <xdr:nvSpPr>
        <xdr:cNvPr id="3" name="Text Box 14">
          <a:extLst>
            <a:ext uri="{FF2B5EF4-FFF2-40B4-BE49-F238E27FC236}">
              <a16:creationId xmlns:a16="http://schemas.microsoft.com/office/drawing/2014/main" id="{00000000-0008-0000-1000-000003000000}"/>
            </a:ext>
          </a:extLst>
        </xdr:cNvPr>
        <xdr:cNvSpPr txBox="1">
          <a:spLocks noChangeArrowheads="1"/>
        </xdr:cNvSpPr>
      </xdr:nvSpPr>
      <xdr:spPr bwMode="auto">
        <a:xfrm>
          <a:off x="1619035" y="21922269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143</xdr:row>
      <xdr:rowOff>183328</xdr:rowOff>
    </xdr:from>
    <xdr:to>
      <xdr:col>2</xdr:col>
      <xdr:colOff>449495</xdr:colOff>
      <xdr:row>144</xdr:row>
      <xdr:rowOff>128427</xdr:rowOff>
    </xdr:to>
    <xdr:sp macro="" textlink="">
      <xdr:nvSpPr>
        <xdr:cNvPr id="4" name="Text Box 7">
          <a:extLst>
            <a:ext uri="{FF2B5EF4-FFF2-40B4-BE49-F238E27FC236}">
              <a16:creationId xmlns:a16="http://schemas.microsoft.com/office/drawing/2014/main" id="{00000000-0008-0000-1000-000004000000}"/>
            </a:ext>
          </a:extLst>
        </xdr:cNvPr>
        <xdr:cNvSpPr txBox="1">
          <a:spLocks noChangeArrowheads="1"/>
        </xdr:cNvSpPr>
      </xdr:nvSpPr>
      <xdr:spPr bwMode="auto">
        <a:xfrm>
          <a:off x="1491786" y="23090740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158</xdr:row>
      <xdr:rowOff>130996</xdr:rowOff>
    </xdr:from>
    <xdr:to>
      <xdr:col>2</xdr:col>
      <xdr:colOff>435689</xdr:colOff>
      <xdr:row>159</xdr:row>
      <xdr:rowOff>96428</xdr:rowOff>
    </xdr:to>
    <xdr:sp macro="" textlink="">
      <xdr:nvSpPr>
        <xdr:cNvPr id="5" name="Text Box 181">
          <a:extLst>
            <a:ext uri="{FF2B5EF4-FFF2-40B4-BE49-F238E27FC236}">
              <a16:creationId xmlns:a16="http://schemas.microsoft.com/office/drawing/2014/main" id="{00000000-0008-0000-1000-000005000000}"/>
            </a:ext>
          </a:extLst>
        </xdr:cNvPr>
        <xdr:cNvSpPr txBox="1">
          <a:spLocks noChangeArrowheads="1"/>
        </xdr:cNvSpPr>
      </xdr:nvSpPr>
      <xdr:spPr bwMode="auto">
        <a:xfrm>
          <a:off x="1531064" y="2230255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233</xdr:row>
      <xdr:rowOff>161925</xdr:rowOff>
    </xdr:from>
    <xdr:to>
      <xdr:col>2</xdr:col>
      <xdr:colOff>704850</xdr:colOff>
      <xdr:row>234</xdr:row>
      <xdr:rowOff>28575</xdr:rowOff>
    </xdr:to>
    <xdr:sp macro="" textlink="">
      <xdr:nvSpPr>
        <xdr:cNvPr id="6" name="Text Box 245">
          <a:extLst>
            <a:ext uri="{FF2B5EF4-FFF2-40B4-BE49-F238E27FC236}">
              <a16:creationId xmlns:a16="http://schemas.microsoft.com/office/drawing/2014/main" id="{00000000-0008-0000-1000-000006000000}"/>
            </a:ext>
          </a:extLst>
        </xdr:cNvPr>
        <xdr:cNvSpPr txBox="1">
          <a:spLocks noChangeArrowheads="1"/>
        </xdr:cNvSpPr>
      </xdr:nvSpPr>
      <xdr:spPr bwMode="auto">
        <a:xfrm>
          <a:off x="1800225" y="3274123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242</xdr:row>
      <xdr:rowOff>21511</xdr:rowOff>
    </xdr:from>
    <xdr:to>
      <xdr:col>2</xdr:col>
      <xdr:colOff>524411</xdr:colOff>
      <xdr:row>243</xdr:row>
      <xdr:rowOff>32107</xdr:rowOff>
    </xdr:to>
    <xdr:sp macro="" textlink="">
      <xdr:nvSpPr>
        <xdr:cNvPr id="7" name="Text Box 222">
          <a:extLst>
            <a:ext uri="{FF2B5EF4-FFF2-40B4-BE49-F238E27FC236}">
              <a16:creationId xmlns:a16="http://schemas.microsoft.com/office/drawing/2014/main" id="{00000000-0008-0000-1000-000007000000}"/>
            </a:ext>
          </a:extLst>
        </xdr:cNvPr>
        <xdr:cNvSpPr txBox="1">
          <a:spLocks noChangeArrowheads="1"/>
        </xdr:cNvSpPr>
      </xdr:nvSpPr>
      <xdr:spPr bwMode="auto">
        <a:xfrm>
          <a:off x="1628776" y="329281711"/>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258</xdr:row>
      <xdr:rowOff>198742</xdr:rowOff>
    </xdr:from>
    <xdr:to>
      <xdr:col>2</xdr:col>
      <xdr:colOff>588624</xdr:colOff>
      <xdr:row>259</xdr:row>
      <xdr:rowOff>160534</xdr:rowOff>
    </xdr:to>
    <xdr:sp macro="" textlink="">
      <xdr:nvSpPr>
        <xdr:cNvPr id="8" name="Text Box 246">
          <a:extLst>
            <a:ext uri="{FF2B5EF4-FFF2-40B4-BE49-F238E27FC236}">
              <a16:creationId xmlns:a16="http://schemas.microsoft.com/office/drawing/2014/main" id="{00000000-0008-0000-1000-000008000000}"/>
            </a:ext>
          </a:extLst>
        </xdr:cNvPr>
        <xdr:cNvSpPr txBox="1">
          <a:spLocks noChangeArrowheads="1"/>
        </xdr:cNvSpPr>
      </xdr:nvSpPr>
      <xdr:spPr bwMode="auto">
        <a:xfrm>
          <a:off x="1651463" y="410154742"/>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9" name="Text Box 278">
          <a:extLst>
            <a:ext uri="{FF2B5EF4-FFF2-40B4-BE49-F238E27FC236}">
              <a16:creationId xmlns:a16="http://schemas.microsoft.com/office/drawing/2014/main" id="{00000000-0008-0000-1000-000009000000}"/>
            </a:ext>
          </a:extLst>
        </xdr:cNvPr>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sp>
    <xdr:clientData/>
  </xdr:twoCellAnchor>
  <xdr:twoCellAnchor>
    <xdr:from>
      <xdr:col>2</xdr:col>
      <xdr:colOff>85725</xdr:colOff>
      <xdr:row>262</xdr:row>
      <xdr:rowOff>0</xdr:rowOff>
    </xdr:from>
    <xdr:to>
      <xdr:col>2</xdr:col>
      <xdr:colOff>342900</xdr:colOff>
      <xdr:row>262</xdr:row>
      <xdr:rowOff>0</xdr:rowOff>
    </xdr:to>
    <xdr:sp macro="" textlink="">
      <xdr:nvSpPr>
        <xdr:cNvPr id="10" name="Text Box 279">
          <a:extLst>
            <a:ext uri="{FF2B5EF4-FFF2-40B4-BE49-F238E27FC236}">
              <a16:creationId xmlns:a16="http://schemas.microsoft.com/office/drawing/2014/main" id="{00000000-0008-0000-1000-00000A000000}"/>
            </a:ext>
          </a:extLst>
        </xdr:cNvPr>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276225</xdr:colOff>
      <xdr:row>262</xdr:row>
      <xdr:rowOff>0</xdr:rowOff>
    </xdr:to>
    <xdr:sp macro="" textlink="">
      <xdr:nvSpPr>
        <xdr:cNvPr id="11" name="Text Box 280">
          <a:extLst>
            <a:ext uri="{FF2B5EF4-FFF2-40B4-BE49-F238E27FC236}">
              <a16:creationId xmlns:a16="http://schemas.microsoft.com/office/drawing/2014/main" id="{00000000-0008-0000-1000-00000B000000}"/>
            </a:ext>
          </a:extLst>
        </xdr:cNvPr>
        <xdr:cNvSpPr txBox="1">
          <a:spLocks noChangeArrowheads="1"/>
        </xdr:cNvSpPr>
      </xdr:nvSpPr>
      <xdr:spPr bwMode="auto">
        <a:xfrm>
          <a:off x="1438275" y="410803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12" name="Text Box 281">
          <a:extLst>
            <a:ext uri="{FF2B5EF4-FFF2-40B4-BE49-F238E27FC236}">
              <a16:creationId xmlns:a16="http://schemas.microsoft.com/office/drawing/2014/main" id="{00000000-0008-0000-1000-00000C000000}"/>
            </a:ext>
          </a:extLst>
        </xdr:cNvPr>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273</xdr:row>
      <xdr:rowOff>74915</xdr:rowOff>
    </xdr:from>
    <xdr:to>
      <xdr:col>2</xdr:col>
      <xdr:colOff>567220</xdr:colOff>
      <xdr:row>274</xdr:row>
      <xdr:rowOff>53509</xdr:rowOff>
    </xdr:to>
    <xdr:sp macro="" textlink="">
      <xdr:nvSpPr>
        <xdr:cNvPr id="13" name="Text Box 58">
          <a:extLst>
            <a:ext uri="{FF2B5EF4-FFF2-40B4-BE49-F238E27FC236}">
              <a16:creationId xmlns:a16="http://schemas.microsoft.com/office/drawing/2014/main" id="{00000000-0008-0000-1000-00000D000000}"/>
            </a:ext>
          </a:extLst>
        </xdr:cNvPr>
        <xdr:cNvSpPr txBox="1">
          <a:spLocks noChangeArrowheads="1"/>
        </xdr:cNvSpPr>
      </xdr:nvSpPr>
      <xdr:spPr bwMode="auto">
        <a:xfrm>
          <a:off x="1588000" y="428823740"/>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285</xdr:row>
      <xdr:rowOff>334340</xdr:rowOff>
    </xdr:from>
    <xdr:to>
      <xdr:col>2</xdr:col>
      <xdr:colOff>866882</xdr:colOff>
      <xdr:row>287</xdr:row>
      <xdr:rowOff>10703</xdr:rowOff>
    </xdr:to>
    <xdr:sp macro="" textlink="">
      <xdr:nvSpPr>
        <xdr:cNvPr id="14" name="Text Box 324">
          <a:extLst>
            <a:ext uri="{FF2B5EF4-FFF2-40B4-BE49-F238E27FC236}">
              <a16:creationId xmlns:a16="http://schemas.microsoft.com/office/drawing/2014/main" id="{00000000-0008-0000-1000-00000E000000}"/>
            </a:ext>
          </a:extLst>
        </xdr:cNvPr>
        <xdr:cNvSpPr txBox="1">
          <a:spLocks noChangeArrowheads="1"/>
        </xdr:cNvSpPr>
      </xdr:nvSpPr>
      <xdr:spPr bwMode="auto">
        <a:xfrm>
          <a:off x="1850097" y="566157440"/>
          <a:ext cx="369335" cy="2383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304</xdr:row>
      <xdr:rowOff>54902</xdr:rowOff>
    </xdr:from>
    <xdr:to>
      <xdr:col>2</xdr:col>
      <xdr:colOff>813371</xdr:colOff>
      <xdr:row>305</xdr:row>
      <xdr:rowOff>117724</xdr:rowOff>
    </xdr:to>
    <xdr:sp macro="" textlink="">
      <xdr:nvSpPr>
        <xdr:cNvPr id="15" name="Text Box 316">
          <a:extLst>
            <a:ext uri="{FF2B5EF4-FFF2-40B4-BE49-F238E27FC236}">
              <a16:creationId xmlns:a16="http://schemas.microsoft.com/office/drawing/2014/main" id="{00000000-0008-0000-1000-00000F000000}"/>
            </a:ext>
          </a:extLst>
        </xdr:cNvPr>
        <xdr:cNvSpPr txBox="1">
          <a:spLocks noChangeArrowheads="1"/>
        </xdr:cNvSpPr>
      </xdr:nvSpPr>
      <xdr:spPr bwMode="auto">
        <a:xfrm>
          <a:off x="1816814" y="586032902"/>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317</xdr:row>
      <xdr:rowOff>140414</xdr:rowOff>
    </xdr:from>
    <xdr:to>
      <xdr:col>2</xdr:col>
      <xdr:colOff>845477</xdr:colOff>
      <xdr:row>318</xdr:row>
      <xdr:rowOff>171236</xdr:rowOff>
    </xdr:to>
    <xdr:sp macro="" textlink="">
      <xdr:nvSpPr>
        <xdr:cNvPr id="16" name="Text Box 35">
          <a:extLst>
            <a:ext uri="{FF2B5EF4-FFF2-40B4-BE49-F238E27FC236}">
              <a16:creationId xmlns:a16="http://schemas.microsoft.com/office/drawing/2014/main" id="{00000000-0008-0000-1000-000010000000}"/>
            </a:ext>
          </a:extLst>
        </xdr:cNvPr>
        <xdr:cNvSpPr txBox="1">
          <a:spLocks noChangeArrowheads="1"/>
        </xdr:cNvSpPr>
      </xdr:nvSpPr>
      <xdr:spPr bwMode="auto">
        <a:xfrm>
          <a:off x="1906177" y="468894239"/>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338</xdr:row>
      <xdr:rowOff>21404</xdr:rowOff>
    </xdr:from>
    <xdr:to>
      <xdr:col>2</xdr:col>
      <xdr:colOff>824073</xdr:colOff>
      <xdr:row>339</xdr:row>
      <xdr:rowOff>10702</xdr:rowOff>
    </xdr:to>
    <xdr:sp macro="" textlink="">
      <xdr:nvSpPr>
        <xdr:cNvPr id="17" name="Text Box 324">
          <a:extLst>
            <a:ext uri="{FF2B5EF4-FFF2-40B4-BE49-F238E27FC236}">
              <a16:creationId xmlns:a16="http://schemas.microsoft.com/office/drawing/2014/main" id="{00000000-0008-0000-1000-000011000000}"/>
            </a:ext>
          </a:extLst>
        </xdr:cNvPr>
        <xdr:cNvSpPr txBox="1">
          <a:spLocks noChangeArrowheads="1"/>
        </xdr:cNvSpPr>
      </xdr:nvSpPr>
      <xdr:spPr bwMode="auto">
        <a:xfrm>
          <a:off x="1855556" y="55613852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351</xdr:row>
      <xdr:rowOff>306940</xdr:rowOff>
    </xdr:from>
    <xdr:to>
      <xdr:col>2</xdr:col>
      <xdr:colOff>851150</xdr:colOff>
      <xdr:row>352</xdr:row>
      <xdr:rowOff>221215</xdr:rowOff>
    </xdr:to>
    <xdr:sp macro="" textlink="">
      <xdr:nvSpPr>
        <xdr:cNvPr id="18" name="Text Box 37">
          <a:extLst>
            <a:ext uri="{FF2B5EF4-FFF2-40B4-BE49-F238E27FC236}">
              <a16:creationId xmlns:a16="http://schemas.microsoft.com/office/drawing/2014/main" id="{00000000-0008-0000-1000-000012000000}"/>
            </a:ext>
          </a:extLst>
        </xdr:cNvPr>
        <xdr:cNvSpPr txBox="1">
          <a:spLocks noChangeArrowheads="1"/>
        </xdr:cNvSpPr>
      </xdr:nvSpPr>
      <xdr:spPr bwMode="auto">
        <a:xfrm>
          <a:off x="1946525" y="5337640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364</xdr:row>
      <xdr:rowOff>255890</xdr:rowOff>
    </xdr:from>
    <xdr:to>
      <xdr:col>2</xdr:col>
      <xdr:colOff>866882</xdr:colOff>
      <xdr:row>365</xdr:row>
      <xdr:rowOff>224746</xdr:rowOff>
    </xdr:to>
    <xdr:sp macro="" textlink="">
      <xdr:nvSpPr>
        <xdr:cNvPr id="19" name="Text Box 55">
          <a:extLst>
            <a:ext uri="{FF2B5EF4-FFF2-40B4-BE49-F238E27FC236}">
              <a16:creationId xmlns:a16="http://schemas.microsoft.com/office/drawing/2014/main" id="{00000000-0008-0000-1000-000013000000}"/>
            </a:ext>
          </a:extLst>
        </xdr:cNvPr>
        <xdr:cNvSpPr txBox="1">
          <a:spLocks noChangeArrowheads="1"/>
        </xdr:cNvSpPr>
      </xdr:nvSpPr>
      <xdr:spPr bwMode="auto">
        <a:xfrm>
          <a:off x="1851489" y="61981904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378</xdr:row>
      <xdr:rowOff>2569</xdr:rowOff>
    </xdr:from>
    <xdr:to>
      <xdr:col>2</xdr:col>
      <xdr:colOff>920393</xdr:colOff>
      <xdr:row>379</xdr:row>
      <xdr:rowOff>53511</xdr:rowOff>
    </xdr:to>
    <xdr:sp macro="" textlink="">
      <xdr:nvSpPr>
        <xdr:cNvPr id="20" name="Text Box 51">
          <a:extLst>
            <a:ext uri="{FF2B5EF4-FFF2-40B4-BE49-F238E27FC236}">
              <a16:creationId xmlns:a16="http://schemas.microsoft.com/office/drawing/2014/main" id="{00000000-0008-0000-1000-000014000000}"/>
            </a:ext>
          </a:extLst>
        </xdr:cNvPr>
        <xdr:cNvSpPr txBox="1">
          <a:spLocks noChangeArrowheads="1"/>
        </xdr:cNvSpPr>
      </xdr:nvSpPr>
      <xdr:spPr bwMode="auto">
        <a:xfrm>
          <a:off x="1896545" y="605544919"/>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390</xdr:row>
      <xdr:rowOff>21405</xdr:rowOff>
    </xdr:from>
    <xdr:to>
      <xdr:col>2</xdr:col>
      <xdr:colOff>752369</xdr:colOff>
      <xdr:row>391</xdr:row>
      <xdr:rowOff>48910</xdr:rowOff>
    </xdr:to>
    <xdr:sp macro="" textlink="">
      <xdr:nvSpPr>
        <xdr:cNvPr id="21" name="Text Box 316">
          <a:extLst>
            <a:ext uri="{FF2B5EF4-FFF2-40B4-BE49-F238E27FC236}">
              <a16:creationId xmlns:a16="http://schemas.microsoft.com/office/drawing/2014/main" id="{00000000-0008-0000-1000-000015000000}"/>
            </a:ext>
          </a:extLst>
        </xdr:cNvPr>
        <xdr:cNvSpPr txBox="1">
          <a:spLocks noChangeArrowheads="1"/>
        </xdr:cNvSpPr>
      </xdr:nvSpPr>
      <xdr:spPr bwMode="auto">
        <a:xfrm>
          <a:off x="1791343" y="599477280"/>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401</xdr:row>
      <xdr:rowOff>46555</xdr:rowOff>
    </xdr:from>
    <xdr:to>
      <xdr:col>2</xdr:col>
      <xdr:colOff>802669</xdr:colOff>
      <xdr:row>402</xdr:row>
      <xdr:rowOff>64212</xdr:rowOff>
    </xdr:to>
    <xdr:sp macro="" textlink="">
      <xdr:nvSpPr>
        <xdr:cNvPr id="22" name="Text Box 316">
          <a:extLst>
            <a:ext uri="{FF2B5EF4-FFF2-40B4-BE49-F238E27FC236}">
              <a16:creationId xmlns:a16="http://schemas.microsoft.com/office/drawing/2014/main" id="{00000000-0008-0000-1000-000016000000}"/>
            </a:ext>
          </a:extLst>
        </xdr:cNvPr>
        <xdr:cNvSpPr txBox="1">
          <a:spLocks noChangeArrowheads="1"/>
        </xdr:cNvSpPr>
      </xdr:nvSpPr>
      <xdr:spPr bwMode="auto">
        <a:xfrm>
          <a:off x="1816813" y="6606624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ar%20rate%2078%2079\Road-rate%20analysis%20078-79_Kageshwori%20Mu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Info%20Hub/Desktop/rate/Road-rate-analysis-078-79-shankharapur%20(1)%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user/Desktop/rate%20analysis%20081-82/for%20all%20Civil%20rate%20analysis%2081%2082%20%20shankharapur%20%20Municipalit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sheetName val="Dist Rate"/>
      <sheetName val="Material rate"/>
      <sheetName val="update Rate"/>
      <sheetName val="Plant and Machinary"/>
      <sheetName val="Sheet2"/>
      <sheetName val="Table of Content 2"/>
      <sheetName val="Update Descrip"/>
      <sheetName val="Sheet3"/>
      <sheetName val="Table of Content 1"/>
      <sheetName val="Sheet1"/>
      <sheetName val="rate anal ciaa"/>
      <sheetName val="inland revenue"/>
      <sheetName val="Datasheet"/>
      <sheetName val="Abstract"/>
      <sheetName val="Quantity_Sheet"/>
      <sheetName val="District_Rate"/>
      <sheetName val="Equipment_Rate"/>
      <sheetName val="Summary_of_Rates"/>
      <sheetName val="rate (roadway)"/>
      <sheetName val="manhole"/>
      <sheetName val="bistar"/>
      <sheetName val="Rate_Analysis"/>
      <sheetName val="DWC pipe Rate-analysis"/>
      <sheetName val="Sheet4"/>
      <sheetName val="Loading_Unloading"/>
      <sheetName val="Collection"/>
      <sheetName val="Transportation"/>
      <sheetName val="References"/>
      <sheetName val="BOQ"/>
      <sheetName val="PPMO_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33">
          <cell r="D33">
            <v>98.230088495575231</v>
          </cell>
          <cell r="L33">
            <v>98.230088495575231</v>
          </cell>
        </row>
        <row r="36">
          <cell r="D36">
            <v>11.5</v>
          </cell>
        </row>
        <row r="146">
          <cell r="D146">
            <v>1080</v>
          </cell>
        </row>
        <row r="154">
          <cell r="D154">
            <v>790</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sheet"/>
      <sheetName val="Abstract"/>
      <sheetName val="Quantity_Sheet"/>
      <sheetName val="District_Rate"/>
      <sheetName val="Equipment_Rate"/>
      <sheetName val="Summary_of_Rates"/>
      <sheetName val="rate (roadway)"/>
      <sheetName val="manhole"/>
      <sheetName val="bistar"/>
      <sheetName val="Rate_Analysis"/>
      <sheetName val="DWC pipe Rate-analysis"/>
      <sheetName val="Sheet1"/>
      <sheetName val="Sheet2"/>
      <sheetName val="Sheet3"/>
      <sheetName val="Sheet4"/>
      <sheetName val="Loading_Unloading"/>
      <sheetName val="Collection"/>
      <sheetName val="Transportation"/>
      <sheetName val="References"/>
      <sheetName val="BOQ"/>
      <sheetName val="PPMO_BOQ"/>
    </sheetNames>
    <sheetDataSet>
      <sheetData sheetId="0" refreshError="1"/>
      <sheetData sheetId="1" refreshError="1">
        <row r="21">
          <cell r="B21" t="str">
            <v>Providing and Laying Reinforced cement concrete NP3 Flush jointed pipe for culverts including fixing with cement mortar 1:2 as per Drawing and Technical Specifications., 300 mm  internal dia.</v>
          </cell>
        </row>
        <row r="33">
          <cell r="B33" t="str">
            <v>Earthwork Excavation in Cutting., Roadway Excavation in all types of Soil by Manual Means ., Roadway Excavation in all types of soil as per drawing and technical specification, including removal of stumps and other deleterious matter, with all lifts and lead as per Drawing and instruction of the Engineer.</v>
          </cell>
        </row>
        <row r="34">
          <cell r="B34" t="str">
            <v>Earthwork Excavation in Cutting., Roadway Excavation in all types of Soil by Mechanical  Means ., Road way Excavation in  all types of soil as per Drawing and technical specifications  including  removal of stumps and other deleterious matter, all lifts and lead as per Drawing and instruction of the Engineer.</v>
          </cell>
        </row>
        <row r="170">
          <cell r="B170" t="str">
            <v>Providing and laying of Plain/Reinforced Cement Concrete in Foundation complete as per Drawing and Technical Specifications, PCC Grade M 15, Manual Mixing</v>
          </cell>
        </row>
        <row r="299">
          <cell r="B299" t="str">
            <v>Random Rubble Masonry, Providing and laying of Stone Masonry Work in Cement Mortar 1:4 in Foundation complete as per Drawing and Technical Specifications.</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sheetName val="Dist Rate"/>
      <sheetName val="Material rate"/>
      <sheetName val="update Rate"/>
      <sheetName val="Plant and Machinary"/>
      <sheetName val="Sheet2"/>
      <sheetName val="Table of Content 2"/>
      <sheetName val="Update Descrip"/>
      <sheetName val="Sheet3"/>
      <sheetName val="Table of Content 1"/>
      <sheetName val="Sheet1"/>
      <sheetName val="rate anal ciaa"/>
      <sheetName val="inland revenue"/>
    </sheetNames>
    <sheetDataSet>
      <sheetData sheetId="0"/>
      <sheetData sheetId="1"/>
      <sheetData sheetId="2"/>
      <sheetData sheetId="3"/>
      <sheetData sheetId="4"/>
      <sheetData sheetId="5"/>
      <sheetData sheetId="6">
        <row r="19">
          <cell r="H19">
            <v>663.31</v>
          </cell>
        </row>
        <row r="45">
          <cell r="H45">
            <v>14362.76</v>
          </cell>
        </row>
        <row r="55">
          <cell r="H55">
            <v>12071.97</v>
          </cell>
        </row>
        <row r="58">
          <cell r="H58">
            <v>4473.1499999999996</v>
          </cell>
        </row>
        <row r="62">
          <cell r="H62">
            <v>1876.25</v>
          </cell>
        </row>
        <row r="66">
          <cell r="H66">
            <v>15498.1</v>
          </cell>
        </row>
        <row r="100">
          <cell r="H100">
            <v>1070.9043478260869</v>
          </cell>
        </row>
        <row r="268">
          <cell r="H268">
            <v>213.8</v>
          </cell>
        </row>
        <row r="343">
          <cell r="H343">
            <v>181.17</v>
          </cell>
        </row>
      </sheetData>
      <sheetData sheetId="7">
        <row r="431">
          <cell r="G431">
            <v>8481.2000000000007</v>
          </cell>
        </row>
        <row r="432">
          <cell r="G432">
            <v>849.17000000000007</v>
          </cell>
        </row>
        <row r="433">
          <cell r="G433">
            <v>953.37</v>
          </cell>
        </row>
        <row r="547">
          <cell r="G547">
            <v>1285.8800000000001</v>
          </cell>
        </row>
        <row r="548">
          <cell r="G548">
            <v>1493.6100000000001</v>
          </cell>
        </row>
        <row r="549">
          <cell r="G549">
            <v>2577.63</v>
          </cell>
        </row>
        <row r="588">
          <cell r="H588">
            <v>3093.15</v>
          </cell>
        </row>
        <row r="598">
          <cell r="G598">
            <v>1027</v>
          </cell>
        </row>
        <row r="599">
          <cell r="G599">
            <v>169.83</v>
          </cell>
        </row>
        <row r="600">
          <cell r="G600">
            <v>139.82</v>
          </cell>
        </row>
        <row r="660">
          <cell r="G660">
            <v>3881.92</v>
          </cell>
        </row>
        <row r="661">
          <cell r="G661">
            <v>1652.5</v>
          </cell>
        </row>
        <row r="662">
          <cell r="G662">
            <v>737.97</v>
          </cell>
        </row>
        <row r="663">
          <cell r="G663">
            <v>349.56</v>
          </cell>
        </row>
        <row r="664">
          <cell r="G664">
            <v>1414.16</v>
          </cell>
        </row>
        <row r="1144">
          <cell r="H1144">
            <v>8211.619999999999</v>
          </cell>
        </row>
      </sheetData>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20dL=dL=sdl;%7bon%20KnfO%7b" TargetMode="External"/><Relationship Id="rId7" Type="http://schemas.openxmlformats.org/officeDocument/2006/relationships/drawing" Target="../drawings/drawing1.xml"/><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3.bin"/><Relationship Id="rId5" Type="http://schemas.openxmlformats.org/officeDocument/2006/relationships/hyperlink" Target="mailto:!@&#8211;#) ;]=dL= uf]nfO{sf] ?v 9fNg] sfo{ xfFufx? sf6L ?vsf] 6'qmf kf/L lgdf{0f :ynaf6" TargetMode="External"/><Relationship Id="rId4" Type="http://schemas.openxmlformats.org/officeDocument/2006/relationships/hyperlink" Target="mailto:!@&#8211;#) ;]=dL= uf]nfO{sf] ?v 9fNg] sfo{ xfFufx? sf6L ?vsf] 6'qmf kf/L lgdf{0f :ynaf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991"/>
  <sheetViews>
    <sheetView workbookViewId="0"/>
  </sheetViews>
  <sheetFormatPr defaultRowHeight="12.75"/>
  <cols>
    <col min="1" max="1" width="6.7109375" customWidth="1"/>
    <col min="2" max="2" width="40" bestFit="1" customWidth="1"/>
    <col min="3" max="3" width="43.85546875" customWidth="1"/>
    <col min="4" max="4" width="7.7109375" style="448" bestFit="1" customWidth="1"/>
    <col min="5" max="5" width="11.5703125" style="500" customWidth="1"/>
    <col min="6" max="6" width="10.5703125" bestFit="1" customWidth="1"/>
    <col min="11" max="11" width="11.5703125" bestFit="1" customWidth="1"/>
  </cols>
  <sheetData>
    <row r="1" spans="1:5" ht="13.5" thickBot="1">
      <c r="A1" s="447" t="s">
        <v>439</v>
      </c>
      <c r="E1" s="449"/>
    </row>
    <row r="2" spans="1:5">
      <c r="A2" s="428" t="s">
        <v>440</v>
      </c>
      <c r="B2" s="450" t="s">
        <v>441</v>
      </c>
      <c r="C2" s="450" t="s">
        <v>442</v>
      </c>
      <c r="D2" s="451" t="s">
        <v>443</v>
      </c>
      <c r="E2" s="452" t="s">
        <v>444</v>
      </c>
    </row>
    <row r="3" spans="1:5">
      <c r="A3" s="453">
        <v>1</v>
      </c>
      <c r="B3" s="454" t="s">
        <v>1764</v>
      </c>
      <c r="C3" s="454" t="s">
        <v>1764</v>
      </c>
      <c r="D3" s="455" t="s">
        <v>1765</v>
      </c>
      <c r="E3" s="475" t="e">
        <f>#REF!</f>
        <v>#REF!</v>
      </c>
    </row>
    <row r="4" spans="1:5">
      <c r="A4" s="457">
        <v>2</v>
      </c>
      <c r="B4" s="383" t="s">
        <v>1766</v>
      </c>
      <c r="C4" s="383" t="s">
        <v>1766</v>
      </c>
      <c r="D4" s="455" t="s">
        <v>1765</v>
      </c>
      <c r="E4" s="475" t="e">
        <f>#REF!</f>
        <v>#REF!</v>
      </c>
    </row>
    <row r="5" spans="1:5">
      <c r="A5" s="457">
        <v>3</v>
      </c>
      <c r="B5" s="458" t="s">
        <v>1767</v>
      </c>
      <c r="C5" s="458" t="s">
        <v>1767</v>
      </c>
      <c r="D5" s="455" t="s">
        <v>1765</v>
      </c>
      <c r="E5" s="475" t="e">
        <f>#REF!</f>
        <v>#REF!</v>
      </c>
    </row>
    <row r="6" spans="1:5">
      <c r="A6" s="457">
        <v>4</v>
      </c>
      <c r="B6" s="458" t="s">
        <v>1768</v>
      </c>
      <c r="C6" s="458" t="s">
        <v>1768</v>
      </c>
      <c r="D6" s="455" t="s">
        <v>1769</v>
      </c>
      <c r="E6" s="475" t="e">
        <f>#REF!</f>
        <v>#REF!</v>
      </c>
    </row>
    <row r="7" spans="1:5">
      <c r="A7" s="457">
        <v>5</v>
      </c>
      <c r="B7" s="458" t="s">
        <v>1770</v>
      </c>
      <c r="C7" s="458" t="s">
        <v>1770</v>
      </c>
      <c r="D7" s="455" t="s">
        <v>1769</v>
      </c>
      <c r="E7" s="475" t="e">
        <f>#REF!</f>
        <v>#REF!</v>
      </c>
    </row>
    <row r="8" spans="1:5">
      <c r="A8" s="457">
        <v>6</v>
      </c>
      <c r="B8" s="458" t="s">
        <v>1771</v>
      </c>
      <c r="C8" s="458" t="s">
        <v>1771</v>
      </c>
      <c r="D8" s="455" t="s">
        <v>1769</v>
      </c>
      <c r="E8" s="475" t="e">
        <f>#REF!</f>
        <v>#REF!</v>
      </c>
    </row>
    <row r="9" spans="1:5" ht="38.25">
      <c r="A9" s="457">
        <v>7</v>
      </c>
      <c r="B9" s="459" t="s">
        <v>1772</v>
      </c>
      <c r="C9" s="459" t="s">
        <v>1773</v>
      </c>
      <c r="D9" s="460" t="s">
        <v>1769</v>
      </c>
      <c r="E9" s="475" t="e">
        <f>#REF!</f>
        <v>#REF!</v>
      </c>
    </row>
    <row r="10" spans="1:5">
      <c r="A10" s="510"/>
      <c r="B10" s="504"/>
      <c r="C10" s="504"/>
      <c r="D10" s="503"/>
      <c r="E10" s="511"/>
    </row>
    <row r="11" spans="1:5">
      <c r="A11" s="457">
        <v>8</v>
      </c>
      <c r="B11" s="459" t="s">
        <v>1774</v>
      </c>
      <c r="C11" s="459" t="s">
        <v>1774</v>
      </c>
      <c r="D11" s="460" t="s">
        <v>1775</v>
      </c>
      <c r="E11" s="456" t="e">
        <f>#REF!</f>
        <v>#REF!</v>
      </c>
    </row>
    <row r="12" spans="1:5" ht="38.25">
      <c r="A12" s="457">
        <v>9</v>
      </c>
      <c r="B12" s="459" t="s">
        <v>1776</v>
      </c>
      <c r="C12" s="459" t="s">
        <v>1777</v>
      </c>
      <c r="D12" s="460" t="s">
        <v>1775</v>
      </c>
      <c r="E12" s="456" t="e">
        <f>#REF!</f>
        <v>#REF!</v>
      </c>
    </row>
    <row r="13" spans="1:5" ht="38.25">
      <c r="A13" s="457">
        <v>10</v>
      </c>
      <c r="B13" s="459" t="s">
        <v>246</v>
      </c>
      <c r="C13" s="459" t="s">
        <v>247</v>
      </c>
      <c r="D13" s="460" t="s">
        <v>1775</v>
      </c>
      <c r="E13" s="456" t="e">
        <f>#REF!</f>
        <v>#REF!</v>
      </c>
    </row>
    <row r="14" spans="1:5" ht="38.25">
      <c r="A14" s="461">
        <v>10.1</v>
      </c>
      <c r="B14" s="459" t="s">
        <v>157</v>
      </c>
      <c r="C14" s="459" t="s">
        <v>158</v>
      </c>
      <c r="D14" s="460" t="s">
        <v>1775</v>
      </c>
      <c r="E14" s="456" t="e">
        <f>#REF!</f>
        <v>#REF!</v>
      </c>
    </row>
    <row r="15" spans="1:5" ht="25.5">
      <c r="A15" s="461">
        <v>11</v>
      </c>
      <c r="B15" s="459" t="s">
        <v>159</v>
      </c>
      <c r="C15" s="459" t="s">
        <v>160</v>
      </c>
      <c r="D15" s="460" t="s">
        <v>1775</v>
      </c>
      <c r="E15" s="456" t="e">
        <f>#REF!</f>
        <v>#REF!</v>
      </c>
    </row>
    <row r="16" spans="1:5">
      <c r="A16" s="457">
        <v>12</v>
      </c>
      <c r="B16" s="459" t="s">
        <v>161</v>
      </c>
      <c r="C16" s="459" t="s">
        <v>161</v>
      </c>
      <c r="D16" s="460" t="s">
        <v>1775</v>
      </c>
      <c r="E16" s="456" t="e">
        <f>#REF!</f>
        <v>#REF!</v>
      </c>
    </row>
    <row r="17" spans="1:5">
      <c r="A17" s="461">
        <v>12.1</v>
      </c>
      <c r="B17" s="459" t="s">
        <v>161</v>
      </c>
      <c r="C17" s="459" t="s">
        <v>161</v>
      </c>
      <c r="D17" s="460" t="s">
        <v>162</v>
      </c>
      <c r="E17" s="456" t="e">
        <f>#REF!</f>
        <v>#REF!</v>
      </c>
    </row>
    <row r="18" spans="1:5" ht="38.25">
      <c r="A18" s="461">
        <v>13</v>
      </c>
      <c r="B18" s="459" t="s">
        <v>163</v>
      </c>
      <c r="C18" s="459" t="s">
        <v>164</v>
      </c>
      <c r="D18" s="460" t="s">
        <v>1775</v>
      </c>
      <c r="E18" s="456" t="e">
        <f>#REF!</f>
        <v>#REF!</v>
      </c>
    </row>
    <row r="19" spans="1:5">
      <c r="A19" s="501"/>
      <c r="B19" s="504"/>
      <c r="C19" s="504"/>
      <c r="D19" s="503"/>
      <c r="E19" s="462"/>
    </row>
    <row r="20" spans="1:5" ht="63.75">
      <c r="A20" s="461">
        <v>14</v>
      </c>
      <c r="B20" s="459" t="s">
        <v>165</v>
      </c>
      <c r="C20" s="459" t="s">
        <v>166</v>
      </c>
      <c r="D20" s="460" t="s">
        <v>1775</v>
      </c>
      <c r="E20" s="475" t="e">
        <f>#REF!</f>
        <v>#REF!</v>
      </c>
    </row>
    <row r="21" spans="1:5" ht="63.75">
      <c r="A21" s="461">
        <v>15</v>
      </c>
      <c r="B21" s="459" t="s">
        <v>167</v>
      </c>
      <c r="C21" s="459" t="s">
        <v>31</v>
      </c>
      <c r="D21" s="460" t="s">
        <v>1775</v>
      </c>
      <c r="E21" s="475" t="e">
        <f>#REF!</f>
        <v>#REF!</v>
      </c>
    </row>
    <row r="22" spans="1:5" ht="63.75">
      <c r="A22" s="461">
        <v>16</v>
      </c>
      <c r="B22" s="459" t="s">
        <v>32</v>
      </c>
      <c r="C22" s="459" t="s">
        <v>2045</v>
      </c>
      <c r="D22" s="460" t="s">
        <v>1775</v>
      </c>
      <c r="E22" s="475" t="e">
        <f>#REF!</f>
        <v>#REF!</v>
      </c>
    </row>
    <row r="23" spans="1:5" ht="63.75">
      <c r="A23" s="461">
        <v>17</v>
      </c>
      <c r="B23" s="459" t="s">
        <v>3211</v>
      </c>
      <c r="C23" s="459" t="s">
        <v>3212</v>
      </c>
      <c r="D23" s="460" t="s">
        <v>1775</v>
      </c>
      <c r="E23" s="475" t="e">
        <f>#REF!</f>
        <v>#REF!</v>
      </c>
    </row>
    <row r="24" spans="1:5" ht="63.75">
      <c r="A24" s="461">
        <v>18</v>
      </c>
      <c r="B24" s="459" t="s">
        <v>799</v>
      </c>
      <c r="C24" s="459" t="s">
        <v>800</v>
      </c>
      <c r="D24" s="460" t="s">
        <v>1775</v>
      </c>
      <c r="E24" s="475" t="e">
        <f>#REF!</f>
        <v>#REF!</v>
      </c>
    </row>
    <row r="25" spans="1:5" ht="63.75">
      <c r="A25" s="461">
        <v>19</v>
      </c>
      <c r="B25" s="459" t="s">
        <v>801</v>
      </c>
      <c r="C25" s="459" t="s">
        <v>802</v>
      </c>
      <c r="D25" s="460" t="s">
        <v>1775</v>
      </c>
      <c r="E25" s="475" t="e">
        <f>#REF!</f>
        <v>#REF!</v>
      </c>
    </row>
    <row r="26" spans="1:5" ht="63.75">
      <c r="A26" s="461">
        <v>20</v>
      </c>
      <c r="B26" s="459" t="s">
        <v>2049</v>
      </c>
      <c r="C26" s="459" t="s">
        <v>2050</v>
      </c>
      <c r="D26" s="460" t="s">
        <v>1775</v>
      </c>
      <c r="E26" s="475" t="e">
        <f>#REF!</f>
        <v>#REF!</v>
      </c>
    </row>
    <row r="27" spans="1:5" ht="63.75">
      <c r="A27" s="461">
        <v>21</v>
      </c>
      <c r="B27" s="459" t="s">
        <v>38</v>
      </c>
      <c r="C27" s="459" t="s">
        <v>39</v>
      </c>
      <c r="D27" s="460" t="s">
        <v>1775</v>
      </c>
      <c r="E27" s="475" t="e">
        <f>#REF!</f>
        <v>#REF!</v>
      </c>
    </row>
    <row r="28" spans="1:5" ht="63.75">
      <c r="A28" s="461">
        <v>22</v>
      </c>
      <c r="B28" s="459" t="s">
        <v>398</v>
      </c>
      <c r="C28" s="459" t="s">
        <v>399</v>
      </c>
      <c r="D28" s="460" t="s">
        <v>1775</v>
      </c>
      <c r="E28" s="475" t="e">
        <f>#REF!</f>
        <v>#REF!</v>
      </c>
    </row>
    <row r="29" spans="1:5" ht="63.75">
      <c r="A29" s="461">
        <v>23</v>
      </c>
      <c r="B29" s="459" t="s">
        <v>400</v>
      </c>
      <c r="C29" s="459" t="s">
        <v>401</v>
      </c>
      <c r="D29" s="460" t="s">
        <v>1775</v>
      </c>
      <c r="E29" s="475" t="e">
        <f>#REF!</f>
        <v>#REF!</v>
      </c>
    </row>
    <row r="30" spans="1:5" ht="63.75">
      <c r="A30" s="461">
        <v>24</v>
      </c>
      <c r="B30" s="459" t="s">
        <v>386</v>
      </c>
      <c r="C30" s="459" t="s">
        <v>387</v>
      </c>
      <c r="D30" s="460" t="s">
        <v>1775</v>
      </c>
      <c r="E30" s="475" t="e">
        <f>#REF!</f>
        <v>#REF!</v>
      </c>
    </row>
    <row r="31" spans="1:5" ht="63.75">
      <c r="A31" s="461">
        <v>25</v>
      </c>
      <c r="B31" s="459" t="s">
        <v>388</v>
      </c>
      <c r="C31" s="459" t="s">
        <v>389</v>
      </c>
      <c r="D31" s="460" t="s">
        <v>1775</v>
      </c>
      <c r="E31" s="475" t="e">
        <f>#REF!</f>
        <v>#REF!</v>
      </c>
    </row>
    <row r="32" spans="1:5" ht="63.75">
      <c r="A32" s="461">
        <v>26</v>
      </c>
      <c r="B32" s="459" t="s">
        <v>390</v>
      </c>
      <c r="C32" s="459" t="s">
        <v>391</v>
      </c>
      <c r="D32" s="460" t="s">
        <v>1775</v>
      </c>
      <c r="E32" s="475" t="e">
        <f>#REF!</f>
        <v>#REF!</v>
      </c>
    </row>
    <row r="33" spans="1:5" ht="63.75">
      <c r="A33" s="461">
        <v>27</v>
      </c>
      <c r="B33" s="459" t="s">
        <v>392</v>
      </c>
      <c r="C33" s="459" t="s">
        <v>393</v>
      </c>
      <c r="D33" s="460" t="s">
        <v>1775</v>
      </c>
      <c r="E33" s="475" t="e">
        <f>#REF!</f>
        <v>#REF!</v>
      </c>
    </row>
    <row r="34" spans="1:5" ht="51">
      <c r="A34" s="461">
        <v>28</v>
      </c>
      <c r="B34" s="459" t="s">
        <v>394</v>
      </c>
      <c r="C34" s="459" t="s">
        <v>395</v>
      </c>
      <c r="D34" s="460" t="s">
        <v>1775</v>
      </c>
      <c r="E34" s="475" t="e">
        <f>#REF!</f>
        <v>#REF!</v>
      </c>
    </row>
    <row r="35" spans="1:5" ht="51">
      <c r="A35" s="461">
        <v>29</v>
      </c>
      <c r="B35" s="459" t="s">
        <v>396</v>
      </c>
      <c r="C35" s="459" t="s">
        <v>1239</v>
      </c>
      <c r="D35" s="460" t="s">
        <v>1775</v>
      </c>
      <c r="E35" s="475" t="e">
        <f>#REF!</f>
        <v>#REF!</v>
      </c>
    </row>
    <row r="36" spans="1:5">
      <c r="A36" s="501"/>
      <c r="B36" s="504"/>
      <c r="C36" s="504"/>
      <c r="D36" s="503"/>
      <c r="E36" s="511"/>
    </row>
    <row r="37" spans="1:5" ht="51">
      <c r="A37" s="461">
        <v>30</v>
      </c>
      <c r="B37" s="459" t="s">
        <v>1240</v>
      </c>
      <c r="C37" s="459" t="s">
        <v>1241</v>
      </c>
      <c r="D37" s="460" t="s">
        <v>1775</v>
      </c>
      <c r="E37" s="456" t="e">
        <f>#REF!</f>
        <v>#REF!</v>
      </c>
    </row>
    <row r="38" spans="1:5" ht="51">
      <c r="A38" s="461">
        <v>31</v>
      </c>
      <c r="B38" s="459" t="s">
        <v>1242</v>
      </c>
      <c r="C38" s="459" t="s">
        <v>1243</v>
      </c>
      <c r="D38" s="460" t="s">
        <v>1775</v>
      </c>
      <c r="E38" s="456" t="e">
        <f>#REF!</f>
        <v>#REF!</v>
      </c>
    </row>
    <row r="39" spans="1:5" ht="51">
      <c r="A39" s="461">
        <v>32</v>
      </c>
      <c r="B39" s="459" t="s">
        <v>1658</v>
      </c>
      <c r="C39" s="459" t="s">
        <v>1659</v>
      </c>
      <c r="D39" s="460" t="s">
        <v>1775</v>
      </c>
      <c r="E39" s="456" t="e">
        <f>#REF!</f>
        <v>#REF!</v>
      </c>
    </row>
    <row r="40" spans="1:5" ht="25.5">
      <c r="A40" s="461">
        <v>33</v>
      </c>
      <c r="B40" s="459" t="s">
        <v>1660</v>
      </c>
      <c r="C40" s="459" t="s">
        <v>1661</v>
      </c>
      <c r="D40" s="460" t="s">
        <v>1775</v>
      </c>
      <c r="E40" s="456" t="e">
        <f>#REF!</f>
        <v>#REF!</v>
      </c>
    </row>
    <row r="41" spans="1:5" ht="38.25">
      <c r="A41" s="461">
        <v>34</v>
      </c>
      <c r="B41" s="459" t="s">
        <v>1662</v>
      </c>
      <c r="C41" s="459" t="s">
        <v>1663</v>
      </c>
      <c r="D41" s="460" t="s">
        <v>1775</v>
      </c>
      <c r="E41" s="456" t="e">
        <f>#REF!</f>
        <v>#REF!</v>
      </c>
    </row>
    <row r="42" spans="1:5" ht="51">
      <c r="A42" s="461">
        <v>35</v>
      </c>
      <c r="B42" s="459" t="s">
        <v>70</v>
      </c>
      <c r="C42" s="459" t="s">
        <v>574</v>
      </c>
      <c r="D42" s="460" t="s">
        <v>1775</v>
      </c>
      <c r="E42" s="456" t="e">
        <f>#REF!</f>
        <v>#REF!</v>
      </c>
    </row>
    <row r="43" spans="1:5" ht="51">
      <c r="A43" s="461">
        <v>36</v>
      </c>
      <c r="B43" s="459" t="s">
        <v>2113</v>
      </c>
      <c r="C43" s="459" t="s">
        <v>2114</v>
      </c>
      <c r="D43" s="460" t="s">
        <v>1775</v>
      </c>
      <c r="E43" s="456" t="e">
        <f>#REF!</f>
        <v>#REF!</v>
      </c>
    </row>
    <row r="44" spans="1:5" ht="51">
      <c r="A44" s="461">
        <v>37</v>
      </c>
      <c r="B44" s="459" t="s">
        <v>595</v>
      </c>
      <c r="C44" s="459" t="s">
        <v>596</v>
      </c>
      <c r="D44" s="460" t="s">
        <v>1775</v>
      </c>
      <c r="E44" s="456" t="e">
        <f>#REF!</f>
        <v>#REF!</v>
      </c>
    </row>
    <row r="45" spans="1:5" ht="51">
      <c r="A45" s="461">
        <v>38</v>
      </c>
      <c r="B45" s="459" t="s">
        <v>597</v>
      </c>
      <c r="C45" s="459" t="s">
        <v>598</v>
      </c>
      <c r="D45" s="460" t="s">
        <v>1775</v>
      </c>
      <c r="E45" s="456" t="e">
        <f>#REF!</f>
        <v>#REF!</v>
      </c>
    </row>
    <row r="46" spans="1:5">
      <c r="A46" s="461">
        <v>39</v>
      </c>
      <c r="B46" s="459" t="s">
        <v>1694</v>
      </c>
      <c r="C46" s="459" t="s">
        <v>1695</v>
      </c>
      <c r="D46" s="460" t="s">
        <v>1775</v>
      </c>
      <c r="E46" s="456" t="e">
        <f>#REF!</f>
        <v>#REF!</v>
      </c>
    </row>
    <row r="47" spans="1:5">
      <c r="A47" s="501"/>
      <c r="B47" s="504"/>
      <c r="C47" s="504"/>
      <c r="D47" s="503"/>
      <c r="E47" s="462"/>
    </row>
    <row r="48" spans="1:5" ht="76.5">
      <c r="A48" s="461">
        <v>40</v>
      </c>
      <c r="B48" s="459" t="s">
        <v>1696</v>
      </c>
      <c r="C48" s="459" t="s">
        <v>1697</v>
      </c>
      <c r="D48" s="460" t="s">
        <v>1775</v>
      </c>
      <c r="E48" s="475" t="e">
        <f>#REF!</f>
        <v>#REF!</v>
      </c>
    </row>
    <row r="49" spans="1:5" ht="76.5">
      <c r="A49" s="461">
        <v>41</v>
      </c>
      <c r="B49" s="459" t="s">
        <v>2078</v>
      </c>
      <c r="C49" s="459" t="s">
        <v>2079</v>
      </c>
      <c r="D49" s="460" t="s">
        <v>1775</v>
      </c>
      <c r="E49" s="475" t="e">
        <f>#REF!</f>
        <v>#REF!</v>
      </c>
    </row>
    <row r="50" spans="1:5" ht="76.5">
      <c r="A50" s="461">
        <v>42</v>
      </c>
      <c r="B50" s="459" t="s">
        <v>2080</v>
      </c>
      <c r="C50" s="459" t="s">
        <v>2081</v>
      </c>
      <c r="D50" s="460" t="s">
        <v>1775</v>
      </c>
      <c r="E50" s="475" t="e">
        <f>#REF!</f>
        <v>#REF!</v>
      </c>
    </row>
    <row r="51" spans="1:5" ht="76.5">
      <c r="A51" s="461">
        <v>43</v>
      </c>
      <c r="B51" s="459" t="s">
        <v>1627</v>
      </c>
      <c r="C51" s="459" t="s">
        <v>1628</v>
      </c>
      <c r="D51" s="460" t="s">
        <v>1775</v>
      </c>
      <c r="E51" s="475" t="e">
        <f>#REF!</f>
        <v>#REF!</v>
      </c>
    </row>
    <row r="52" spans="1:5" ht="63.75">
      <c r="A52" s="461">
        <v>44</v>
      </c>
      <c r="B52" s="459" t="s">
        <v>1629</v>
      </c>
      <c r="C52" s="459" t="s">
        <v>1630</v>
      </c>
      <c r="D52" s="460" t="s">
        <v>1775</v>
      </c>
      <c r="E52" s="475" t="e">
        <f>#REF!</f>
        <v>#REF!</v>
      </c>
    </row>
    <row r="53" spans="1:5" ht="63.75">
      <c r="A53" s="461">
        <v>45</v>
      </c>
      <c r="B53" s="459" t="s">
        <v>1631</v>
      </c>
      <c r="C53" s="459" t="s">
        <v>1632</v>
      </c>
      <c r="D53" s="460" t="s">
        <v>1775</v>
      </c>
      <c r="E53" s="475" t="e">
        <f>#REF!</f>
        <v>#REF!</v>
      </c>
    </row>
    <row r="54" spans="1:5" ht="76.5">
      <c r="A54" s="461">
        <v>46</v>
      </c>
      <c r="B54" s="459" t="s">
        <v>2482</v>
      </c>
      <c r="C54" s="459" t="s">
        <v>2483</v>
      </c>
      <c r="D54" s="460" t="s">
        <v>1775</v>
      </c>
      <c r="E54" s="475" t="e">
        <f>#REF!</f>
        <v>#REF!</v>
      </c>
    </row>
    <row r="55" spans="1:5" ht="63.75">
      <c r="A55" s="461">
        <v>47</v>
      </c>
      <c r="B55" s="459" t="s">
        <v>2484</v>
      </c>
      <c r="C55" s="459" t="s">
        <v>2485</v>
      </c>
      <c r="D55" s="460" t="s">
        <v>2486</v>
      </c>
      <c r="E55" s="475" t="e">
        <f>#REF!</f>
        <v>#REF!</v>
      </c>
    </row>
    <row r="56" spans="1:5" ht="63.75">
      <c r="A56" s="461">
        <v>47.1</v>
      </c>
      <c r="B56" s="459" t="s">
        <v>2484</v>
      </c>
      <c r="C56" s="459" t="s">
        <v>2485</v>
      </c>
      <c r="D56" s="460" t="s">
        <v>2960</v>
      </c>
      <c r="E56" s="475" t="e">
        <f>FLOOR(E55/1000,0.01)</f>
        <v>#REF!</v>
      </c>
    </row>
    <row r="57" spans="1:5">
      <c r="A57" s="501"/>
      <c r="B57" s="504"/>
      <c r="C57" s="504"/>
      <c r="D57" s="503"/>
      <c r="E57" s="511"/>
    </row>
    <row r="58" spans="1:5" ht="63.75">
      <c r="A58" s="461">
        <v>48</v>
      </c>
      <c r="B58" s="454" t="s">
        <v>2487</v>
      </c>
      <c r="C58" s="454" t="s">
        <v>2488</v>
      </c>
      <c r="D58" s="460" t="s">
        <v>1769</v>
      </c>
      <c r="E58" s="456" t="e">
        <f>#REF!</f>
        <v>#REF!</v>
      </c>
    </row>
    <row r="59" spans="1:5" ht="76.5">
      <c r="A59" s="461">
        <v>49</v>
      </c>
      <c r="B59" s="454" t="s">
        <v>2489</v>
      </c>
      <c r="C59" s="454" t="s">
        <v>2490</v>
      </c>
      <c r="D59" s="460" t="s">
        <v>1769</v>
      </c>
      <c r="E59" s="456" t="e">
        <f>#REF!</f>
        <v>#REF!</v>
      </c>
    </row>
    <row r="60" spans="1:5" ht="76.5">
      <c r="A60" s="461">
        <v>50</v>
      </c>
      <c r="B60" s="454" t="s">
        <v>2491</v>
      </c>
      <c r="C60" s="454" t="s">
        <v>2370</v>
      </c>
      <c r="D60" s="460" t="s">
        <v>1769</v>
      </c>
      <c r="E60" s="456" t="e">
        <f>#REF!</f>
        <v>#REF!</v>
      </c>
    </row>
    <row r="61" spans="1:5" ht="76.5">
      <c r="A61" s="461">
        <v>50.1</v>
      </c>
      <c r="B61" s="454" t="s">
        <v>2371</v>
      </c>
      <c r="C61" s="454" t="s">
        <v>2372</v>
      </c>
      <c r="D61" s="460" t="s">
        <v>1769</v>
      </c>
      <c r="E61" s="456" t="e">
        <f>#REF!</f>
        <v>#REF!</v>
      </c>
    </row>
    <row r="62" spans="1:5" ht="76.5">
      <c r="A62" s="461">
        <v>51</v>
      </c>
      <c r="B62" s="454" t="s">
        <v>2373</v>
      </c>
      <c r="C62" s="454" t="s">
        <v>2374</v>
      </c>
      <c r="D62" s="460" t="s">
        <v>1769</v>
      </c>
      <c r="E62" s="456" t="e">
        <f>#REF!</f>
        <v>#REF!</v>
      </c>
    </row>
    <row r="63" spans="1:5" ht="76.5">
      <c r="A63" s="461">
        <v>51.1</v>
      </c>
      <c r="B63" s="454" t="s">
        <v>2501</v>
      </c>
      <c r="C63" s="454" t="s">
        <v>2502</v>
      </c>
      <c r="D63" s="460" t="s">
        <v>1769</v>
      </c>
      <c r="E63" s="456" t="e">
        <f>#REF!</f>
        <v>#REF!</v>
      </c>
    </row>
    <row r="64" spans="1:5" ht="76.5">
      <c r="A64" s="461">
        <v>51.2</v>
      </c>
      <c r="B64" s="454" t="s">
        <v>2503</v>
      </c>
      <c r="C64" s="454" t="s">
        <v>2504</v>
      </c>
      <c r="D64" s="460" t="s">
        <v>1769</v>
      </c>
      <c r="E64" s="456" t="e">
        <f>#REF!</f>
        <v>#REF!</v>
      </c>
    </row>
    <row r="65" spans="1:5" ht="38.25">
      <c r="A65" s="461">
        <v>52</v>
      </c>
      <c r="B65" s="454" t="s">
        <v>2505</v>
      </c>
      <c r="C65" s="454" t="s">
        <v>2506</v>
      </c>
      <c r="D65" s="460" t="s">
        <v>1769</v>
      </c>
      <c r="E65" s="456" t="e">
        <f>#REF!</f>
        <v>#REF!</v>
      </c>
    </row>
    <row r="66" spans="1:5" ht="25.5">
      <c r="A66" s="463">
        <v>53</v>
      </c>
      <c r="B66" s="464" t="s">
        <v>2507</v>
      </c>
      <c r="C66" s="454" t="s">
        <v>2508</v>
      </c>
      <c r="D66" s="465" t="s">
        <v>1769</v>
      </c>
      <c r="E66" s="456" t="e">
        <f>#REF!</f>
        <v>#REF!</v>
      </c>
    </row>
    <row r="67" spans="1:5">
      <c r="A67" s="512"/>
      <c r="B67" s="513"/>
      <c r="C67" s="502"/>
      <c r="D67" s="514"/>
      <c r="E67" s="462"/>
    </row>
    <row r="68" spans="1:5" ht="51">
      <c r="A68" s="463">
        <v>54</v>
      </c>
      <c r="B68" s="459" t="s">
        <v>2509</v>
      </c>
      <c r="C68" s="459" t="s">
        <v>2510</v>
      </c>
      <c r="D68" s="460" t="s">
        <v>1769</v>
      </c>
      <c r="E68" s="475" t="e">
        <f>#REF!</f>
        <v>#REF!</v>
      </c>
    </row>
    <row r="69" spans="1:5" ht="51">
      <c r="A69" s="461">
        <v>55</v>
      </c>
      <c r="B69" s="459" t="s">
        <v>1236</v>
      </c>
      <c r="C69" s="459" t="s">
        <v>1269</v>
      </c>
      <c r="D69" s="460" t="s">
        <v>1769</v>
      </c>
      <c r="E69" s="475" t="e">
        <f>#REF!</f>
        <v>#REF!</v>
      </c>
    </row>
    <row r="70" spans="1:5" ht="51">
      <c r="A70" s="461">
        <v>55.1</v>
      </c>
      <c r="B70" s="459" t="s">
        <v>2128</v>
      </c>
      <c r="C70" s="459" t="s">
        <v>2129</v>
      </c>
      <c r="D70" s="460" t="s">
        <v>1769</v>
      </c>
      <c r="E70" s="475" t="e">
        <f>#REF!</f>
        <v>#REF!</v>
      </c>
    </row>
    <row r="71" spans="1:5" ht="63.75">
      <c r="A71" s="461">
        <v>56</v>
      </c>
      <c r="B71" s="459" t="s">
        <v>2130</v>
      </c>
      <c r="C71" s="459" t="s">
        <v>2131</v>
      </c>
      <c r="D71" s="460" t="s">
        <v>1769</v>
      </c>
      <c r="E71" s="475" t="e">
        <f>#REF!</f>
        <v>#REF!</v>
      </c>
    </row>
    <row r="72" spans="1:5" ht="63.75">
      <c r="A72" s="461">
        <v>57</v>
      </c>
      <c r="B72" s="459" t="s">
        <v>2151</v>
      </c>
      <c r="C72" s="459" t="s">
        <v>1266</v>
      </c>
      <c r="D72" s="460" t="s">
        <v>2132</v>
      </c>
      <c r="E72" s="475" t="e">
        <f>#REF!</f>
        <v>#REF!</v>
      </c>
    </row>
    <row r="73" spans="1:5" ht="63.75">
      <c r="A73" s="461">
        <v>57.1</v>
      </c>
      <c r="B73" s="459" t="s">
        <v>2151</v>
      </c>
      <c r="C73" s="459" t="s">
        <v>1266</v>
      </c>
      <c r="D73" s="460" t="s">
        <v>1769</v>
      </c>
      <c r="E73" s="475" t="e">
        <f>#REF!</f>
        <v>#REF!</v>
      </c>
    </row>
    <row r="74" spans="1:5" ht="63.75">
      <c r="A74" s="461">
        <v>58</v>
      </c>
      <c r="B74" s="459" t="s">
        <v>757</v>
      </c>
      <c r="C74" s="459" t="s">
        <v>1268</v>
      </c>
      <c r="D74" s="460" t="s">
        <v>2132</v>
      </c>
      <c r="E74" s="475" t="e">
        <f>#REF!</f>
        <v>#REF!</v>
      </c>
    </row>
    <row r="75" spans="1:5" ht="63.75">
      <c r="A75" s="461">
        <v>58.1</v>
      </c>
      <c r="B75" s="459" t="s">
        <v>757</v>
      </c>
      <c r="C75" s="459" t="s">
        <v>1268</v>
      </c>
      <c r="D75" s="465" t="s">
        <v>1769</v>
      </c>
      <c r="E75" s="475" t="e">
        <f>#REF!</f>
        <v>#REF!</v>
      </c>
    </row>
    <row r="76" spans="1:5" ht="63.75">
      <c r="A76" s="461">
        <v>58.2</v>
      </c>
      <c r="B76" s="459" t="s">
        <v>96</v>
      </c>
      <c r="C76" s="459" t="s">
        <v>1267</v>
      </c>
      <c r="D76" s="460" t="s">
        <v>2132</v>
      </c>
      <c r="E76" s="475" t="e">
        <f>#REF!</f>
        <v>#REF!</v>
      </c>
    </row>
    <row r="77" spans="1:5" ht="63.75">
      <c r="A77" s="461">
        <v>58.3</v>
      </c>
      <c r="B77" s="459" t="s">
        <v>96</v>
      </c>
      <c r="C77" s="459" t="s">
        <v>1267</v>
      </c>
      <c r="D77" s="465" t="s">
        <v>1769</v>
      </c>
      <c r="E77" s="475" t="e">
        <f>#REF!</f>
        <v>#REF!</v>
      </c>
    </row>
    <row r="78" spans="1:5">
      <c r="A78" s="461">
        <v>59</v>
      </c>
      <c r="B78" s="459" t="s">
        <v>2133</v>
      </c>
      <c r="C78" s="459" t="s">
        <v>2133</v>
      </c>
      <c r="D78" s="460" t="s">
        <v>1769</v>
      </c>
      <c r="E78" s="475" t="e">
        <f>#REF!</f>
        <v>#REF!</v>
      </c>
    </row>
    <row r="79" spans="1:5" ht="38.25">
      <c r="A79" s="461">
        <v>60</v>
      </c>
      <c r="B79" s="459" t="s">
        <v>2134</v>
      </c>
      <c r="C79" s="459" t="s">
        <v>2135</v>
      </c>
      <c r="D79" s="460" t="s">
        <v>1769</v>
      </c>
      <c r="E79" s="475" t="e">
        <f>#REF!</f>
        <v>#REF!</v>
      </c>
    </row>
    <row r="80" spans="1:5">
      <c r="A80" s="461">
        <v>61</v>
      </c>
      <c r="B80" s="459" t="s">
        <v>2136</v>
      </c>
      <c r="C80" s="459" t="s">
        <v>2136</v>
      </c>
      <c r="D80" s="460" t="s">
        <v>2132</v>
      </c>
      <c r="E80" s="475" t="e">
        <f>#REF!</f>
        <v>#REF!</v>
      </c>
    </row>
    <row r="81" spans="1:5">
      <c r="A81" s="501"/>
      <c r="B81" s="504"/>
      <c r="C81" s="504"/>
      <c r="D81" s="503"/>
      <c r="E81" s="511"/>
    </row>
    <row r="82" spans="1:5" ht="25.5">
      <c r="A82" s="461">
        <v>62</v>
      </c>
      <c r="B82" s="459" t="s">
        <v>2518</v>
      </c>
      <c r="C82" s="459" t="s">
        <v>2518</v>
      </c>
      <c r="D82" s="460" t="s">
        <v>1769</v>
      </c>
      <c r="E82" s="456" t="e">
        <f>#REF!</f>
        <v>#REF!</v>
      </c>
    </row>
    <row r="83" spans="1:5" ht="63.75">
      <c r="A83" s="461">
        <v>63</v>
      </c>
      <c r="B83" s="459" t="s">
        <v>248</v>
      </c>
      <c r="C83" s="459" t="s">
        <v>249</v>
      </c>
      <c r="D83" s="460" t="s">
        <v>1775</v>
      </c>
      <c r="E83" s="456" t="e">
        <f>#REF!</f>
        <v>#REF!</v>
      </c>
    </row>
    <row r="84" spans="1:5" ht="51">
      <c r="A84" s="461">
        <v>64</v>
      </c>
      <c r="B84" s="459" t="s">
        <v>250</v>
      </c>
      <c r="C84" s="459" t="s">
        <v>251</v>
      </c>
      <c r="D84" s="460" t="s">
        <v>1769</v>
      </c>
      <c r="E84" s="456" t="e">
        <f>#REF!</f>
        <v>#REF!</v>
      </c>
    </row>
    <row r="85" spans="1:5" ht="51">
      <c r="A85" s="461">
        <v>65</v>
      </c>
      <c r="B85" s="459" t="s">
        <v>252</v>
      </c>
      <c r="C85" s="459" t="s">
        <v>3078</v>
      </c>
      <c r="D85" s="460" t="s">
        <v>1769</v>
      </c>
      <c r="E85" s="456" t="e">
        <f>#REF!</f>
        <v>#REF!</v>
      </c>
    </row>
    <row r="86" spans="1:5" ht="51">
      <c r="A86" s="461">
        <v>66</v>
      </c>
      <c r="B86" s="459" t="s">
        <v>3079</v>
      </c>
      <c r="C86" s="459" t="s">
        <v>3080</v>
      </c>
      <c r="D86" s="460" t="s">
        <v>1769</v>
      </c>
      <c r="E86" s="456" t="e">
        <f>#REF!</f>
        <v>#REF!</v>
      </c>
    </row>
    <row r="87" spans="1:5" ht="51">
      <c r="A87" s="461">
        <v>67</v>
      </c>
      <c r="B87" s="459" t="s">
        <v>2519</v>
      </c>
      <c r="C87" s="459" t="s">
        <v>2520</v>
      </c>
      <c r="D87" s="460" t="s">
        <v>1769</v>
      </c>
      <c r="E87" s="456" t="e">
        <f>#REF!</f>
        <v>#REF!</v>
      </c>
    </row>
    <row r="88" spans="1:5" ht="51">
      <c r="A88" s="461">
        <v>68</v>
      </c>
      <c r="B88" s="459" t="s">
        <v>1943</v>
      </c>
      <c r="C88" s="459" t="s">
        <v>1944</v>
      </c>
      <c r="D88" s="460" t="s">
        <v>1769</v>
      </c>
      <c r="E88" s="456" t="e">
        <f>#REF!</f>
        <v>#REF!</v>
      </c>
    </row>
    <row r="89" spans="1:5" ht="51">
      <c r="A89" s="461">
        <v>69</v>
      </c>
      <c r="B89" s="459" t="s">
        <v>1945</v>
      </c>
      <c r="C89" s="459" t="s">
        <v>2811</v>
      </c>
      <c r="D89" s="460" t="s">
        <v>1769</v>
      </c>
      <c r="E89" s="456" t="e">
        <f>#REF!</f>
        <v>#REF!</v>
      </c>
    </row>
    <row r="90" spans="1:5" ht="63.75">
      <c r="A90" s="461">
        <v>70</v>
      </c>
      <c r="B90" s="459" t="s">
        <v>2812</v>
      </c>
      <c r="C90" s="459" t="s">
        <v>2813</v>
      </c>
      <c r="D90" s="460" t="s">
        <v>1769</v>
      </c>
      <c r="E90" s="456" t="e">
        <f>#REF!</f>
        <v>#REF!</v>
      </c>
    </row>
    <row r="91" spans="1:5" ht="51">
      <c r="A91" s="461">
        <v>71</v>
      </c>
      <c r="B91" s="459" t="s">
        <v>2814</v>
      </c>
      <c r="C91" s="459" t="s">
        <v>261</v>
      </c>
      <c r="D91" s="460" t="s">
        <v>1769</v>
      </c>
      <c r="E91" s="456" t="e">
        <f>#REF!</f>
        <v>#REF!</v>
      </c>
    </row>
    <row r="92" spans="1:5" ht="63.75">
      <c r="A92" s="461">
        <v>72</v>
      </c>
      <c r="B92" s="459" t="s">
        <v>262</v>
      </c>
      <c r="C92" s="459" t="s">
        <v>1164</v>
      </c>
      <c r="D92" s="460" t="s">
        <v>1769</v>
      </c>
      <c r="E92" s="456" t="e">
        <f>#REF!</f>
        <v>#REF!</v>
      </c>
    </row>
    <row r="93" spans="1:5" ht="63.75">
      <c r="A93" s="461">
        <v>73</v>
      </c>
      <c r="B93" s="459" t="s">
        <v>1165</v>
      </c>
      <c r="C93" s="459" t="s">
        <v>2555</v>
      </c>
      <c r="D93" s="460" t="s">
        <v>1769</v>
      </c>
      <c r="E93" s="456" t="e">
        <f>#REF!</f>
        <v>#REF!</v>
      </c>
    </row>
    <row r="94" spans="1:5" ht="38.25">
      <c r="A94" s="461">
        <v>73.099999999999994</v>
      </c>
      <c r="B94" s="459" t="s">
        <v>2556</v>
      </c>
      <c r="C94" s="459" t="s">
        <v>2557</v>
      </c>
      <c r="D94" s="460" t="s">
        <v>1769</v>
      </c>
      <c r="E94" s="456" t="e">
        <f>#REF!</f>
        <v>#REF!</v>
      </c>
    </row>
    <row r="95" spans="1:5" ht="51">
      <c r="A95" s="461">
        <v>73.2</v>
      </c>
      <c r="B95" s="459" t="s">
        <v>2558</v>
      </c>
      <c r="C95" s="459" t="s">
        <v>2559</v>
      </c>
      <c r="D95" s="460" t="s">
        <v>1769</v>
      </c>
      <c r="E95" s="456" t="e">
        <f>#REF!</f>
        <v>#REF!</v>
      </c>
    </row>
    <row r="96" spans="1:5" ht="38.25">
      <c r="A96" s="461">
        <v>74</v>
      </c>
      <c r="B96" s="459" t="s">
        <v>2560</v>
      </c>
      <c r="C96" s="459" t="s">
        <v>2561</v>
      </c>
      <c r="D96" s="460" t="s">
        <v>1769</v>
      </c>
      <c r="E96" s="456" t="e">
        <f>#REF!</f>
        <v>#REF!</v>
      </c>
    </row>
    <row r="97" spans="1:5" ht="38.25">
      <c r="A97" s="461">
        <v>75</v>
      </c>
      <c r="B97" s="459" t="s">
        <v>2562</v>
      </c>
      <c r="C97" s="459" t="s">
        <v>2563</v>
      </c>
      <c r="D97" s="460" t="s">
        <v>1769</v>
      </c>
      <c r="E97" s="456" t="e">
        <f>#REF!</f>
        <v>#REF!</v>
      </c>
    </row>
    <row r="98" spans="1:5" ht="38.25">
      <c r="A98" s="461">
        <v>76</v>
      </c>
      <c r="B98" s="459" t="s">
        <v>1741</v>
      </c>
      <c r="C98" s="459" t="s">
        <v>1742</v>
      </c>
      <c r="D98" s="460" t="s">
        <v>1769</v>
      </c>
      <c r="E98" s="456" t="e">
        <f>#REF!</f>
        <v>#REF!</v>
      </c>
    </row>
    <row r="99" spans="1:5" ht="38.25">
      <c r="A99" s="461">
        <v>77</v>
      </c>
      <c r="B99" s="459" t="s">
        <v>2578</v>
      </c>
      <c r="C99" s="459" t="s">
        <v>2579</v>
      </c>
      <c r="D99" s="460" t="s">
        <v>1769</v>
      </c>
      <c r="E99" s="456" t="e">
        <f>#REF!</f>
        <v>#REF!</v>
      </c>
    </row>
    <row r="100" spans="1:5" ht="25.5">
      <c r="A100" s="461">
        <v>78</v>
      </c>
      <c r="B100" s="459" t="s">
        <v>2580</v>
      </c>
      <c r="C100" s="459" t="s">
        <v>2581</v>
      </c>
      <c r="D100" s="460" t="s">
        <v>1769</v>
      </c>
      <c r="E100" s="456" t="e">
        <f>#REF!</f>
        <v>#REF!</v>
      </c>
    </row>
    <row r="101" spans="1:5" ht="51">
      <c r="A101" s="461">
        <v>79</v>
      </c>
      <c r="B101" s="459" t="s">
        <v>2582</v>
      </c>
      <c r="C101" s="459" t="s">
        <v>2583</v>
      </c>
      <c r="D101" s="460" t="s">
        <v>1769</v>
      </c>
      <c r="E101" s="456" t="e">
        <f>#REF!</f>
        <v>#REF!</v>
      </c>
    </row>
    <row r="102" spans="1:5" ht="51">
      <c r="A102" s="461">
        <v>80</v>
      </c>
      <c r="B102" s="459" t="s">
        <v>2584</v>
      </c>
      <c r="C102" s="459" t="s">
        <v>3144</v>
      </c>
      <c r="D102" s="460" t="s">
        <v>1769</v>
      </c>
      <c r="E102" s="456" t="e">
        <f>#REF!</f>
        <v>#REF!</v>
      </c>
    </row>
    <row r="103" spans="1:5" ht="25.5">
      <c r="A103" s="461">
        <v>81</v>
      </c>
      <c r="B103" s="459" t="s">
        <v>3145</v>
      </c>
      <c r="C103" s="459" t="s">
        <v>3145</v>
      </c>
      <c r="D103" s="460" t="s">
        <v>1769</v>
      </c>
      <c r="E103" s="456" t="e">
        <f>#REF!</f>
        <v>#REF!</v>
      </c>
    </row>
    <row r="104" spans="1:5" ht="33" customHeight="1">
      <c r="A104" s="461">
        <v>81.099999999999994</v>
      </c>
      <c r="B104" s="459" t="s">
        <v>3146</v>
      </c>
      <c r="C104" s="459" t="s">
        <v>3146</v>
      </c>
      <c r="D104" s="460" t="s">
        <v>1769</v>
      </c>
      <c r="E104" s="456" t="e">
        <f>#REF!</f>
        <v>#REF!</v>
      </c>
    </row>
    <row r="105" spans="1:5" ht="38.25">
      <c r="A105" s="461">
        <v>82</v>
      </c>
      <c r="B105" s="459" t="s">
        <v>3147</v>
      </c>
      <c r="C105" s="459" t="s">
        <v>3148</v>
      </c>
      <c r="D105" s="460" t="s">
        <v>1769</v>
      </c>
      <c r="E105" s="456" t="e">
        <f>#REF!</f>
        <v>#REF!</v>
      </c>
    </row>
    <row r="106" spans="1:5" ht="38.25">
      <c r="A106" s="461">
        <v>82.1</v>
      </c>
      <c r="B106" s="459" t="s">
        <v>3149</v>
      </c>
      <c r="C106" s="459" t="s">
        <v>3150</v>
      </c>
      <c r="D106" s="460" t="s">
        <v>1769</v>
      </c>
      <c r="E106" s="456" t="e">
        <f>#REF!</f>
        <v>#REF!</v>
      </c>
    </row>
    <row r="107" spans="1:5" ht="38.25">
      <c r="A107" s="461">
        <v>83</v>
      </c>
      <c r="B107" s="459" t="s">
        <v>3151</v>
      </c>
      <c r="C107" s="459" t="s">
        <v>3152</v>
      </c>
      <c r="D107" s="460" t="s">
        <v>1769</v>
      </c>
      <c r="E107" s="456" t="e">
        <f>#REF!</f>
        <v>#REF!</v>
      </c>
    </row>
    <row r="108" spans="1:5" ht="51">
      <c r="A108" s="461">
        <v>84</v>
      </c>
      <c r="B108" s="454" t="s">
        <v>91</v>
      </c>
      <c r="C108" s="454" t="s">
        <v>92</v>
      </c>
      <c r="D108" s="460" t="s">
        <v>1775</v>
      </c>
      <c r="E108" s="456" t="e">
        <f>#REF!</f>
        <v>#REF!</v>
      </c>
    </row>
    <row r="109" spans="1:5" ht="51">
      <c r="A109" s="461">
        <v>85</v>
      </c>
      <c r="B109" s="459" t="s">
        <v>93</v>
      </c>
      <c r="C109" s="459" t="s">
        <v>94</v>
      </c>
      <c r="D109" s="460" t="s">
        <v>1769</v>
      </c>
      <c r="E109" s="456" t="e">
        <f>#REF!</f>
        <v>#REF!</v>
      </c>
    </row>
    <row r="110" spans="1:5">
      <c r="A110" s="461">
        <v>86</v>
      </c>
      <c r="B110" s="459" t="s">
        <v>95</v>
      </c>
      <c r="C110" s="459" t="s">
        <v>1788</v>
      </c>
      <c r="D110" s="460" t="s">
        <v>2486</v>
      </c>
      <c r="E110" s="456" t="e">
        <f>#REF!</f>
        <v>#REF!</v>
      </c>
    </row>
    <row r="111" spans="1:5">
      <c r="A111" s="501"/>
      <c r="B111" s="504"/>
      <c r="C111" s="504"/>
      <c r="D111" s="503"/>
      <c r="E111" s="462"/>
    </row>
    <row r="112" spans="1:5" ht="63.75">
      <c r="A112" s="461">
        <v>87</v>
      </c>
      <c r="B112" s="459" t="s">
        <v>1789</v>
      </c>
      <c r="C112" s="459" t="s">
        <v>1790</v>
      </c>
      <c r="D112" s="460" t="s">
        <v>1769</v>
      </c>
      <c r="E112" s="475" t="e">
        <f>#REF!</f>
        <v>#REF!</v>
      </c>
    </row>
    <row r="113" spans="1:5" ht="63.75">
      <c r="A113" s="461">
        <v>88</v>
      </c>
      <c r="B113" s="459" t="s">
        <v>1791</v>
      </c>
      <c r="C113" s="459" t="s">
        <v>1792</v>
      </c>
      <c r="D113" s="460" t="s">
        <v>1769</v>
      </c>
      <c r="E113" s="475" t="e">
        <f>#REF!</f>
        <v>#REF!</v>
      </c>
    </row>
    <row r="114" spans="1:5" ht="63.75">
      <c r="A114" s="461">
        <v>89</v>
      </c>
      <c r="B114" s="459" t="s">
        <v>1793</v>
      </c>
      <c r="C114" s="459" t="s">
        <v>1794</v>
      </c>
      <c r="D114" s="460" t="s">
        <v>1769</v>
      </c>
      <c r="E114" s="475" t="e">
        <f>#REF!</f>
        <v>#REF!</v>
      </c>
    </row>
    <row r="115" spans="1:5" ht="51">
      <c r="A115" s="461">
        <v>90</v>
      </c>
      <c r="B115" s="459" t="s">
        <v>1795</v>
      </c>
      <c r="C115" s="459" t="s">
        <v>1796</v>
      </c>
      <c r="D115" s="460" t="s">
        <v>1769</v>
      </c>
      <c r="E115" s="475" t="e">
        <f>#REF!</f>
        <v>#REF!</v>
      </c>
    </row>
    <row r="116" spans="1:5" ht="51">
      <c r="A116" s="461">
        <v>91</v>
      </c>
      <c r="B116" s="459" t="s">
        <v>1803</v>
      </c>
      <c r="C116" s="459" t="s">
        <v>3117</v>
      </c>
      <c r="D116" s="460" t="s">
        <v>1769</v>
      </c>
      <c r="E116" s="475" t="e">
        <f>#REF!</f>
        <v>#REF!</v>
      </c>
    </row>
    <row r="117" spans="1:5" ht="25.5">
      <c r="A117" s="461">
        <v>92</v>
      </c>
      <c r="B117" s="459" t="s">
        <v>3118</v>
      </c>
      <c r="C117" s="459" t="s">
        <v>3118</v>
      </c>
      <c r="D117" s="460" t="s">
        <v>1769</v>
      </c>
      <c r="E117" s="475" t="e">
        <f>#REF!</f>
        <v>#REF!</v>
      </c>
    </row>
    <row r="118" spans="1:5" ht="51">
      <c r="A118" s="461">
        <v>93</v>
      </c>
      <c r="B118" s="459" t="s">
        <v>1804</v>
      </c>
      <c r="C118" s="459" t="s">
        <v>1807</v>
      </c>
      <c r="D118" s="460" t="s">
        <v>1769</v>
      </c>
      <c r="E118" s="475" t="e">
        <f>#REF!</f>
        <v>#REF!</v>
      </c>
    </row>
    <row r="119" spans="1:5" ht="51">
      <c r="A119" s="461">
        <v>94</v>
      </c>
      <c r="B119" s="459" t="s">
        <v>1259</v>
      </c>
      <c r="C119" s="459" t="s">
        <v>1260</v>
      </c>
      <c r="D119" s="460" t="s">
        <v>1769</v>
      </c>
      <c r="E119" s="475" t="e">
        <f>#REF!</f>
        <v>#REF!</v>
      </c>
    </row>
    <row r="120" spans="1:5" ht="51">
      <c r="A120" s="461">
        <v>95</v>
      </c>
      <c r="B120" s="459" t="s">
        <v>1284</v>
      </c>
      <c r="C120" s="459" t="s">
        <v>1285</v>
      </c>
      <c r="D120" s="460" t="s">
        <v>1769</v>
      </c>
      <c r="E120" s="475" t="e">
        <f>#REF!</f>
        <v>#REF!</v>
      </c>
    </row>
    <row r="121" spans="1:5" ht="51">
      <c r="A121" s="461">
        <v>96</v>
      </c>
      <c r="B121" s="459" t="s">
        <v>1286</v>
      </c>
      <c r="C121" s="459" t="s">
        <v>1287</v>
      </c>
      <c r="D121" s="460" t="s">
        <v>1769</v>
      </c>
      <c r="E121" s="475" t="e">
        <f>#REF!</f>
        <v>#REF!</v>
      </c>
    </row>
    <row r="122" spans="1:5" ht="25.5">
      <c r="A122" s="461">
        <v>97</v>
      </c>
      <c r="B122" s="459" t="s">
        <v>1288</v>
      </c>
      <c r="C122" s="459" t="s">
        <v>407</v>
      </c>
      <c r="D122" s="460" t="s">
        <v>1769</v>
      </c>
      <c r="E122" s="475" t="e">
        <f>#REF!</f>
        <v>#REF!</v>
      </c>
    </row>
    <row r="123" spans="1:5" ht="25.5">
      <c r="A123" s="461">
        <v>98</v>
      </c>
      <c r="B123" s="459" t="s">
        <v>408</v>
      </c>
      <c r="C123" s="459" t="s">
        <v>409</v>
      </c>
      <c r="D123" s="460" t="s">
        <v>1769</v>
      </c>
      <c r="E123" s="475" t="e">
        <f>#REF!</f>
        <v>#REF!</v>
      </c>
    </row>
    <row r="124" spans="1:5" ht="25.5">
      <c r="A124" s="461">
        <v>99</v>
      </c>
      <c r="B124" s="459" t="s">
        <v>410</v>
      </c>
      <c r="C124" s="459" t="s">
        <v>411</v>
      </c>
      <c r="D124" s="460" t="s">
        <v>1769</v>
      </c>
      <c r="E124" s="475" t="e">
        <f>#REF!</f>
        <v>#REF!</v>
      </c>
    </row>
    <row r="125" spans="1:5" ht="25.5">
      <c r="A125" s="461">
        <v>100</v>
      </c>
      <c r="B125" s="459" t="s">
        <v>412</v>
      </c>
      <c r="C125" s="459" t="s">
        <v>413</v>
      </c>
      <c r="D125" s="460" t="s">
        <v>1769</v>
      </c>
      <c r="E125" s="475" t="e">
        <f>#REF!</f>
        <v>#REF!</v>
      </c>
    </row>
    <row r="126" spans="1:5" ht="38.25">
      <c r="A126" s="461">
        <f t="shared" ref="A126:A145" si="0">A125+1</f>
        <v>101</v>
      </c>
      <c r="B126" s="459" t="s">
        <v>414</v>
      </c>
      <c r="C126" s="459" t="s">
        <v>415</v>
      </c>
      <c r="D126" s="460" t="s">
        <v>1769</v>
      </c>
      <c r="E126" s="475" t="e">
        <f>#REF!</f>
        <v>#REF!</v>
      </c>
    </row>
    <row r="127" spans="1:5" ht="38.25">
      <c r="A127" s="461">
        <f t="shared" si="0"/>
        <v>102</v>
      </c>
      <c r="B127" s="459" t="s">
        <v>416</v>
      </c>
      <c r="C127" s="459" t="s">
        <v>417</v>
      </c>
      <c r="D127" s="460" t="s">
        <v>1769</v>
      </c>
      <c r="E127" s="475" t="e">
        <f>#REF!</f>
        <v>#REF!</v>
      </c>
    </row>
    <row r="128" spans="1:5" ht="38.25">
      <c r="A128" s="461">
        <f t="shared" si="0"/>
        <v>103</v>
      </c>
      <c r="B128" s="459" t="s">
        <v>418</v>
      </c>
      <c r="C128" s="459" t="s">
        <v>418</v>
      </c>
      <c r="D128" s="460" t="s">
        <v>1769</v>
      </c>
      <c r="E128" s="475" t="e">
        <f>#REF!</f>
        <v>#REF!</v>
      </c>
    </row>
    <row r="129" spans="1:5" ht="38.25">
      <c r="A129" s="461">
        <f t="shared" si="0"/>
        <v>104</v>
      </c>
      <c r="B129" s="459" t="s">
        <v>419</v>
      </c>
      <c r="C129" s="459" t="s">
        <v>419</v>
      </c>
      <c r="D129" s="460" t="s">
        <v>1769</v>
      </c>
      <c r="E129" s="475" t="e">
        <f>#REF!</f>
        <v>#REF!</v>
      </c>
    </row>
    <row r="130" spans="1:5">
      <c r="A130" s="461">
        <f t="shared" si="0"/>
        <v>105</v>
      </c>
      <c r="B130" s="459" t="s">
        <v>420</v>
      </c>
      <c r="C130" s="459" t="s">
        <v>420</v>
      </c>
      <c r="D130" s="460" t="s">
        <v>1769</v>
      </c>
      <c r="E130" s="475" t="e">
        <f>#REF!</f>
        <v>#REF!</v>
      </c>
    </row>
    <row r="131" spans="1:5" ht="25.5">
      <c r="A131" s="461">
        <f t="shared" si="0"/>
        <v>106</v>
      </c>
      <c r="B131" s="459" t="s">
        <v>421</v>
      </c>
      <c r="C131" s="459" t="s">
        <v>421</v>
      </c>
      <c r="D131" s="460" t="s">
        <v>1769</v>
      </c>
      <c r="E131" s="475" t="e">
        <f>#REF!</f>
        <v>#REF!</v>
      </c>
    </row>
    <row r="132" spans="1:5" ht="38.25">
      <c r="A132" s="461">
        <f t="shared" si="0"/>
        <v>107</v>
      </c>
      <c r="B132" s="459" t="s">
        <v>422</v>
      </c>
      <c r="C132" s="459" t="s">
        <v>422</v>
      </c>
      <c r="D132" s="460" t="s">
        <v>1775</v>
      </c>
      <c r="E132" s="475" t="e">
        <f>#REF!</f>
        <v>#REF!</v>
      </c>
    </row>
    <row r="133" spans="1:5" ht="38.25">
      <c r="A133" s="461">
        <f t="shared" si="0"/>
        <v>108</v>
      </c>
      <c r="B133" s="459" t="s">
        <v>423</v>
      </c>
      <c r="C133" s="459" t="s">
        <v>1648</v>
      </c>
      <c r="D133" s="460" t="s">
        <v>1769</v>
      </c>
      <c r="E133" s="475" t="e">
        <f>#REF!</f>
        <v>#REF!</v>
      </c>
    </row>
    <row r="134" spans="1:5">
      <c r="A134" s="461">
        <f t="shared" si="0"/>
        <v>109</v>
      </c>
      <c r="B134" s="459" t="s">
        <v>1649</v>
      </c>
      <c r="C134" s="459" t="s">
        <v>1649</v>
      </c>
      <c r="D134" s="460" t="s">
        <v>1769</v>
      </c>
      <c r="E134" s="475" t="e">
        <f>#REF!</f>
        <v>#REF!</v>
      </c>
    </row>
    <row r="135" spans="1:5" ht="38.25">
      <c r="A135" s="461">
        <f t="shared" si="0"/>
        <v>110</v>
      </c>
      <c r="B135" s="459" t="s">
        <v>1650</v>
      </c>
      <c r="C135" s="459" t="s">
        <v>1651</v>
      </c>
      <c r="D135" s="460" t="s">
        <v>1775</v>
      </c>
      <c r="E135" s="475" t="e">
        <f>#REF!</f>
        <v>#REF!</v>
      </c>
    </row>
    <row r="136" spans="1:5">
      <c r="A136" s="461">
        <f t="shared" si="0"/>
        <v>111</v>
      </c>
      <c r="B136" s="459" t="s">
        <v>1652</v>
      </c>
      <c r="C136" s="459" t="s">
        <v>1652</v>
      </c>
      <c r="D136" s="460" t="s">
        <v>1775</v>
      </c>
      <c r="E136" s="475" t="e">
        <f>#REF!</f>
        <v>#REF!</v>
      </c>
    </row>
    <row r="137" spans="1:5" ht="51">
      <c r="A137" s="461">
        <f t="shared" si="0"/>
        <v>112</v>
      </c>
      <c r="B137" s="454" t="s">
        <v>821</v>
      </c>
      <c r="C137" s="454" t="s">
        <v>822</v>
      </c>
      <c r="D137" s="460" t="s">
        <v>1769</v>
      </c>
      <c r="E137" s="475" t="e">
        <f>#REF!</f>
        <v>#REF!</v>
      </c>
    </row>
    <row r="138" spans="1:5" ht="38.25">
      <c r="A138" s="461">
        <f t="shared" si="0"/>
        <v>113</v>
      </c>
      <c r="B138" s="454" t="s">
        <v>2245</v>
      </c>
      <c r="C138" s="454" t="s">
        <v>2246</v>
      </c>
      <c r="D138" s="460" t="s">
        <v>1769</v>
      </c>
      <c r="E138" s="475" t="e">
        <f>#REF!</f>
        <v>#REF!</v>
      </c>
    </row>
    <row r="139" spans="1:5" ht="38.25">
      <c r="A139" s="461">
        <f t="shared" si="0"/>
        <v>114</v>
      </c>
      <c r="B139" s="459" t="s">
        <v>2247</v>
      </c>
      <c r="C139" s="459" t="s">
        <v>1763</v>
      </c>
      <c r="D139" s="460" t="s">
        <v>1769</v>
      </c>
      <c r="E139" s="475" t="e">
        <f>#REF!</f>
        <v>#REF!</v>
      </c>
    </row>
    <row r="140" spans="1:5">
      <c r="A140" s="501"/>
      <c r="B140" s="504"/>
      <c r="C140" s="504"/>
      <c r="D140" s="503"/>
      <c r="E140" s="511"/>
    </row>
    <row r="141" spans="1:5" ht="51">
      <c r="A141" s="461">
        <f>A139+1</f>
        <v>115</v>
      </c>
      <c r="B141" s="459" t="s">
        <v>2597</v>
      </c>
      <c r="C141" s="459" t="s">
        <v>2598</v>
      </c>
      <c r="D141" s="460" t="s">
        <v>1769</v>
      </c>
      <c r="E141" s="456" t="e">
        <f>#REF!</f>
        <v>#REF!</v>
      </c>
    </row>
    <row r="142" spans="1:5" ht="51">
      <c r="A142" s="461">
        <f t="shared" si="0"/>
        <v>116</v>
      </c>
      <c r="B142" s="459" t="s">
        <v>1779</v>
      </c>
      <c r="C142" s="459" t="s">
        <v>1780</v>
      </c>
      <c r="D142" s="460" t="s">
        <v>1769</v>
      </c>
      <c r="E142" s="456" t="e">
        <f>#REF!</f>
        <v>#REF!</v>
      </c>
    </row>
    <row r="143" spans="1:5" ht="51">
      <c r="A143" s="461">
        <f t="shared" si="0"/>
        <v>117</v>
      </c>
      <c r="B143" s="459" t="s">
        <v>1800</v>
      </c>
      <c r="C143" s="459" t="s">
        <v>1801</v>
      </c>
      <c r="D143" s="460" t="s">
        <v>1769</v>
      </c>
      <c r="E143" s="456" t="e">
        <f>#REF!</f>
        <v>#REF!</v>
      </c>
    </row>
    <row r="144" spans="1:5" ht="51">
      <c r="A144" s="461">
        <f t="shared" si="0"/>
        <v>118</v>
      </c>
      <c r="B144" s="459" t="s">
        <v>1802</v>
      </c>
      <c r="C144" s="459" t="s">
        <v>342</v>
      </c>
      <c r="D144" s="460" t="s">
        <v>1769</v>
      </c>
      <c r="E144" s="456" t="e">
        <f>#REF!</f>
        <v>#REF!</v>
      </c>
    </row>
    <row r="145" spans="1:5" ht="51">
      <c r="A145" s="461">
        <f t="shared" si="0"/>
        <v>119</v>
      </c>
      <c r="B145" s="459" t="s">
        <v>1664</v>
      </c>
      <c r="C145" s="459" t="s">
        <v>365</v>
      </c>
      <c r="D145" s="460" t="s">
        <v>1769</v>
      </c>
      <c r="E145" s="456" t="e">
        <f>#REF!</f>
        <v>#REF!</v>
      </c>
    </row>
    <row r="146" spans="1:5" ht="51">
      <c r="A146" s="461">
        <v>120.1</v>
      </c>
      <c r="B146" s="459" t="s">
        <v>366</v>
      </c>
      <c r="C146" s="459" t="s">
        <v>367</v>
      </c>
      <c r="D146" s="460" t="s">
        <v>1769</v>
      </c>
      <c r="E146" s="456" t="e">
        <f>#REF!</f>
        <v>#REF!</v>
      </c>
    </row>
    <row r="147" spans="1:5" ht="51">
      <c r="A147" s="461">
        <v>120</v>
      </c>
      <c r="B147" s="459" t="s">
        <v>368</v>
      </c>
      <c r="C147" s="459" t="s">
        <v>369</v>
      </c>
      <c r="D147" s="460" t="s">
        <v>1769</v>
      </c>
      <c r="E147" s="456" t="e">
        <f>#REF!</f>
        <v>#REF!</v>
      </c>
    </row>
    <row r="148" spans="1:5" ht="51">
      <c r="A148" s="461">
        <f t="shared" ref="A148:A179" si="1">A147+1</f>
        <v>121</v>
      </c>
      <c r="B148" s="459" t="s">
        <v>1244</v>
      </c>
      <c r="C148" s="459" t="s">
        <v>288</v>
      </c>
      <c r="D148" s="460" t="s">
        <v>1769</v>
      </c>
      <c r="E148" s="456" t="e">
        <f>#REF!</f>
        <v>#REF!</v>
      </c>
    </row>
    <row r="149" spans="1:5" ht="51">
      <c r="A149" s="461">
        <f t="shared" si="1"/>
        <v>122</v>
      </c>
      <c r="B149" s="459" t="s">
        <v>289</v>
      </c>
      <c r="C149" s="459" t="s">
        <v>290</v>
      </c>
      <c r="D149" s="460" t="s">
        <v>1769</v>
      </c>
      <c r="E149" s="456" t="e">
        <f>#REF!</f>
        <v>#REF!</v>
      </c>
    </row>
    <row r="150" spans="1:5" ht="38.25">
      <c r="A150" s="461">
        <f t="shared" si="1"/>
        <v>123</v>
      </c>
      <c r="B150" s="459" t="s">
        <v>291</v>
      </c>
      <c r="C150" s="459" t="s">
        <v>292</v>
      </c>
      <c r="D150" s="460" t="s">
        <v>1769</v>
      </c>
      <c r="E150" s="456" t="e">
        <f>#REF!</f>
        <v>#REF!</v>
      </c>
    </row>
    <row r="151" spans="1:5" ht="38.25">
      <c r="A151" s="461">
        <f t="shared" si="1"/>
        <v>124</v>
      </c>
      <c r="B151" s="459" t="s">
        <v>293</v>
      </c>
      <c r="C151" s="459" t="s">
        <v>294</v>
      </c>
      <c r="D151" s="460" t="s">
        <v>1769</v>
      </c>
      <c r="E151" s="456" t="e">
        <f>#REF!</f>
        <v>#REF!</v>
      </c>
    </row>
    <row r="152" spans="1:5">
      <c r="A152" s="501"/>
      <c r="B152" s="504"/>
      <c r="C152" s="504"/>
      <c r="D152" s="503"/>
      <c r="E152" s="462"/>
    </row>
    <row r="153" spans="1:5" ht="38.25">
      <c r="A153" s="461">
        <f>A151+1</f>
        <v>125</v>
      </c>
      <c r="B153" s="459" t="s">
        <v>60</v>
      </c>
      <c r="C153" s="459" t="s">
        <v>61</v>
      </c>
      <c r="D153" s="460" t="s">
        <v>1769</v>
      </c>
      <c r="E153" s="475" t="e">
        <f>#REF!</f>
        <v>#REF!</v>
      </c>
    </row>
    <row r="154" spans="1:5" ht="38.25">
      <c r="A154" s="461">
        <f t="shared" si="1"/>
        <v>126</v>
      </c>
      <c r="B154" s="459" t="s">
        <v>2817</v>
      </c>
      <c r="C154" s="459" t="s">
        <v>2818</v>
      </c>
      <c r="D154" s="460" t="s">
        <v>1769</v>
      </c>
      <c r="E154" s="475" t="e">
        <f>#REF!</f>
        <v>#REF!</v>
      </c>
    </row>
    <row r="155" spans="1:5" ht="38.25">
      <c r="A155" s="461">
        <f t="shared" si="1"/>
        <v>127</v>
      </c>
      <c r="B155" s="459" t="s">
        <v>2819</v>
      </c>
      <c r="C155" s="459" t="s">
        <v>1655</v>
      </c>
      <c r="D155" s="460" t="s">
        <v>1769</v>
      </c>
      <c r="E155" s="475" t="e">
        <f>#REF!</f>
        <v>#REF!</v>
      </c>
    </row>
    <row r="156" spans="1:5" ht="38.25">
      <c r="A156" s="461">
        <f t="shared" si="1"/>
        <v>128</v>
      </c>
      <c r="B156" s="459" t="s">
        <v>1656</v>
      </c>
      <c r="C156" s="459" t="s">
        <v>1657</v>
      </c>
      <c r="D156" s="460" t="s">
        <v>1769</v>
      </c>
      <c r="E156" s="475" t="e">
        <f>#REF!</f>
        <v>#REF!</v>
      </c>
    </row>
    <row r="157" spans="1:5" ht="38.25">
      <c r="A157" s="461">
        <f t="shared" si="1"/>
        <v>129</v>
      </c>
      <c r="B157" s="459" t="s">
        <v>3236</v>
      </c>
      <c r="C157" s="459" t="s">
        <v>3237</v>
      </c>
      <c r="D157" s="460" t="s">
        <v>1769</v>
      </c>
      <c r="E157" s="475" t="e">
        <f>#REF!</f>
        <v>#REF!</v>
      </c>
    </row>
    <row r="158" spans="1:5" ht="38.25">
      <c r="A158" s="461">
        <f t="shared" si="1"/>
        <v>130</v>
      </c>
      <c r="B158" s="459" t="s">
        <v>3238</v>
      </c>
      <c r="C158" s="459" t="s">
        <v>3239</v>
      </c>
      <c r="D158" s="460" t="s">
        <v>1769</v>
      </c>
      <c r="E158" s="475" t="e">
        <f>#REF!</f>
        <v>#REF!</v>
      </c>
    </row>
    <row r="159" spans="1:5" ht="38.25">
      <c r="A159" s="461">
        <f t="shared" si="1"/>
        <v>131</v>
      </c>
      <c r="B159" s="459" t="s">
        <v>3250</v>
      </c>
      <c r="C159" s="459" t="s">
        <v>3251</v>
      </c>
      <c r="D159" s="460" t="s">
        <v>1769</v>
      </c>
      <c r="E159" s="475" t="e">
        <f>#REF!</f>
        <v>#REF!</v>
      </c>
    </row>
    <row r="160" spans="1:5" ht="51">
      <c r="A160" s="461">
        <f t="shared" si="1"/>
        <v>132</v>
      </c>
      <c r="B160" s="454" t="s">
        <v>1270</v>
      </c>
      <c r="C160" s="454" t="s">
        <v>1271</v>
      </c>
      <c r="D160" s="460" t="s">
        <v>1769</v>
      </c>
      <c r="E160" s="475" t="e">
        <f>#REF!</f>
        <v>#REF!</v>
      </c>
    </row>
    <row r="161" spans="1:5" ht="51">
      <c r="A161" s="461">
        <f t="shared" si="1"/>
        <v>133</v>
      </c>
      <c r="B161" s="454" t="s">
        <v>1272</v>
      </c>
      <c r="C161" s="454" t="s">
        <v>1273</v>
      </c>
      <c r="D161" s="460" t="s">
        <v>1769</v>
      </c>
      <c r="E161" s="475" t="e">
        <f>#REF!</f>
        <v>#REF!</v>
      </c>
    </row>
    <row r="162" spans="1:5" ht="51">
      <c r="A162" s="461">
        <f t="shared" si="1"/>
        <v>134</v>
      </c>
      <c r="B162" s="454" t="s">
        <v>1274</v>
      </c>
      <c r="C162" s="454" t="s">
        <v>1275</v>
      </c>
      <c r="D162" s="460" t="s">
        <v>1769</v>
      </c>
      <c r="E162" s="475" t="e">
        <f>#REF!</f>
        <v>#REF!</v>
      </c>
    </row>
    <row r="163" spans="1:5" ht="51">
      <c r="A163" s="461">
        <f t="shared" si="1"/>
        <v>135</v>
      </c>
      <c r="B163" s="454" t="s">
        <v>1276</v>
      </c>
      <c r="C163" s="454" t="s">
        <v>1277</v>
      </c>
      <c r="D163" s="460" t="s">
        <v>1769</v>
      </c>
      <c r="E163" s="475" t="e">
        <f>#REF!</f>
        <v>#REF!</v>
      </c>
    </row>
    <row r="164" spans="1:5" ht="51">
      <c r="A164" s="461">
        <f t="shared" si="1"/>
        <v>136</v>
      </c>
      <c r="B164" s="454" t="s">
        <v>2521</v>
      </c>
      <c r="C164" s="454" t="s">
        <v>1318</v>
      </c>
      <c r="D164" s="460" t="s">
        <v>1769</v>
      </c>
      <c r="E164" s="475" t="e">
        <f>#REF!</f>
        <v>#REF!</v>
      </c>
    </row>
    <row r="165" spans="1:5" ht="51">
      <c r="A165" s="461">
        <f t="shared" si="1"/>
        <v>137</v>
      </c>
      <c r="B165" s="454" t="s">
        <v>1319</v>
      </c>
      <c r="C165" s="454" t="s">
        <v>1320</v>
      </c>
      <c r="D165" s="460" t="s">
        <v>1769</v>
      </c>
      <c r="E165" s="475" t="e">
        <f>#REF!</f>
        <v>#REF!</v>
      </c>
    </row>
    <row r="166" spans="1:5" ht="51">
      <c r="A166" s="461">
        <f t="shared" si="1"/>
        <v>138</v>
      </c>
      <c r="B166" s="454" t="s">
        <v>1321</v>
      </c>
      <c r="C166" s="454" t="s">
        <v>1321</v>
      </c>
      <c r="D166" s="460" t="s">
        <v>1769</v>
      </c>
      <c r="E166" s="475" t="e">
        <f>#REF!</f>
        <v>#REF!</v>
      </c>
    </row>
    <row r="167" spans="1:5" ht="38.25">
      <c r="A167" s="461">
        <f t="shared" si="1"/>
        <v>139</v>
      </c>
      <c r="B167" s="454" t="s">
        <v>1322</v>
      </c>
      <c r="C167" s="454" t="s">
        <v>1322</v>
      </c>
      <c r="D167" s="460" t="s">
        <v>1769</v>
      </c>
      <c r="E167" s="475" t="e">
        <f>#REF!</f>
        <v>#REF!</v>
      </c>
    </row>
    <row r="168" spans="1:5" ht="38.25">
      <c r="A168" s="461">
        <f t="shared" si="1"/>
        <v>140</v>
      </c>
      <c r="B168" s="454" t="s">
        <v>1323</v>
      </c>
      <c r="C168" s="454" t="s">
        <v>1323</v>
      </c>
      <c r="D168" s="460" t="s">
        <v>1769</v>
      </c>
      <c r="E168" s="475" t="e">
        <f>#REF!</f>
        <v>#REF!</v>
      </c>
    </row>
    <row r="169" spans="1:5" ht="51">
      <c r="A169" s="461">
        <f t="shared" si="1"/>
        <v>141</v>
      </c>
      <c r="B169" s="454" t="s">
        <v>1324</v>
      </c>
      <c r="C169" s="454" t="s">
        <v>1325</v>
      </c>
      <c r="D169" s="460" t="s">
        <v>1769</v>
      </c>
      <c r="E169" s="475" t="e">
        <f>#REF!</f>
        <v>#REF!</v>
      </c>
    </row>
    <row r="170" spans="1:5" ht="38.25">
      <c r="A170" s="461">
        <f t="shared" si="1"/>
        <v>142</v>
      </c>
      <c r="B170" s="454" t="s">
        <v>1326</v>
      </c>
      <c r="C170" s="454" t="s">
        <v>1327</v>
      </c>
      <c r="D170" s="460" t="s">
        <v>1769</v>
      </c>
      <c r="E170" s="475" t="e">
        <f>#REF!</f>
        <v>#REF!</v>
      </c>
    </row>
    <row r="171" spans="1:5" ht="25.5">
      <c r="A171" s="461">
        <f t="shared" si="1"/>
        <v>143</v>
      </c>
      <c r="B171" s="454" t="s">
        <v>1328</v>
      </c>
      <c r="C171" s="454" t="s">
        <v>1328</v>
      </c>
      <c r="D171" s="460" t="s">
        <v>1769</v>
      </c>
      <c r="E171" s="475" t="e">
        <f>#REF!</f>
        <v>#REF!</v>
      </c>
    </row>
    <row r="172" spans="1:5" ht="25.5">
      <c r="A172" s="461">
        <f t="shared" si="1"/>
        <v>144</v>
      </c>
      <c r="B172" s="454" t="s">
        <v>1329</v>
      </c>
      <c r="C172" s="454" t="s">
        <v>1329</v>
      </c>
      <c r="D172" s="460" t="s">
        <v>1769</v>
      </c>
      <c r="E172" s="475" t="e">
        <f>#REF!</f>
        <v>#REF!</v>
      </c>
    </row>
    <row r="173" spans="1:5" ht="25.5">
      <c r="A173" s="461">
        <f t="shared" si="1"/>
        <v>145</v>
      </c>
      <c r="B173" s="454" t="s">
        <v>1330</v>
      </c>
      <c r="C173" s="454" t="s">
        <v>1330</v>
      </c>
      <c r="D173" s="460" t="s">
        <v>1769</v>
      </c>
      <c r="E173" s="475" t="e">
        <f>#REF!</f>
        <v>#REF!</v>
      </c>
    </row>
    <row r="174" spans="1:5" ht="25.5">
      <c r="A174" s="461">
        <f t="shared" si="1"/>
        <v>146</v>
      </c>
      <c r="B174" s="454" t="s">
        <v>1331</v>
      </c>
      <c r="C174" s="454" t="s">
        <v>1331</v>
      </c>
      <c r="D174" s="460" t="s">
        <v>1769</v>
      </c>
      <c r="E174" s="475" t="e">
        <f>#REF!</f>
        <v>#REF!</v>
      </c>
    </row>
    <row r="175" spans="1:5" ht="25.5">
      <c r="A175" s="461">
        <f t="shared" si="1"/>
        <v>147</v>
      </c>
      <c r="B175" s="454" t="s">
        <v>313</v>
      </c>
      <c r="C175" s="454" t="s">
        <v>313</v>
      </c>
      <c r="D175" s="460" t="s">
        <v>1769</v>
      </c>
      <c r="E175" s="475" t="e">
        <f>#REF!</f>
        <v>#REF!</v>
      </c>
    </row>
    <row r="176" spans="1:5" ht="25.5">
      <c r="A176" s="461">
        <f t="shared" si="1"/>
        <v>148</v>
      </c>
      <c r="B176" s="454" t="s">
        <v>314</v>
      </c>
      <c r="C176" s="454" t="s">
        <v>314</v>
      </c>
      <c r="D176" s="460" t="s">
        <v>1769</v>
      </c>
      <c r="E176" s="475" t="e">
        <f>#REF!</f>
        <v>#REF!</v>
      </c>
    </row>
    <row r="177" spans="1:5" ht="51">
      <c r="A177" s="461">
        <f t="shared" si="1"/>
        <v>149</v>
      </c>
      <c r="B177" s="454" t="s">
        <v>315</v>
      </c>
      <c r="C177" s="454" t="s">
        <v>315</v>
      </c>
      <c r="D177" s="460" t="s">
        <v>1769</v>
      </c>
      <c r="E177" s="475" t="e">
        <f>#REF!</f>
        <v>#REF!</v>
      </c>
    </row>
    <row r="178" spans="1:5" ht="25.5">
      <c r="A178" s="461">
        <f t="shared" si="1"/>
        <v>150</v>
      </c>
      <c r="B178" s="454" t="s">
        <v>316</v>
      </c>
      <c r="C178" s="454" t="s">
        <v>316</v>
      </c>
      <c r="D178" s="460" t="s">
        <v>1769</v>
      </c>
      <c r="E178" s="475" t="e">
        <f>#REF!</f>
        <v>#REF!</v>
      </c>
    </row>
    <row r="179" spans="1:5" ht="51">
      <c r="A179" s="461">
        <f t="shared" si="1"/>
        <v>151</v>
      </c>
      <c r="B179" s="454" t="s">
        <v>317</v>
      </c>
      <c r="C179" s="454" t="s">
        <v>318</v>
      </c>
      <c r="D179" s="460" t="s">
        <v>1769</v>
      </c>
      <c r="E179" s="475" t="e">
        <f>#REF!</f>
        <v>#REF!</v>
      </c>
    </row>
    <row r="180" spans="1:5">
      <c r="A180" s="501"/>
      <c r="B180" s="502"/>
      <c r="C180" s="502"/>
      <c r="D180" s="503"/>
      <c r="E180" s="511"/>
    </row>
    <row r="181" spans="1:5" ht="51">
      <c r="A181" s="461">
        <f>A179+1</f>
        <v>152</v>
      </c>
      <c r="B181" s="459" t="s">
        <v>319</v>
      </c>
      <c r="C181" s="459" t="s">
        <v>320</v>
      </c>
      <c r="D181" s="460" t="s">
        <v>1769</v>
      </c>
      <c r="E181" s="456" t="e">
        <f>#REF!</f>
        <v>#REF!</v>
      </c>
    </row>
    <row r="182" spans="1:5" ht="51">
      <c r="A182" s="461">
        <f t="shared" ref="A182:A213" si="2">A181+1</f>
        <v>153</v>
      </c>
      <c r="B182" s="459" t="s">
        <v>321</v>
      </c>
      <c r="C182" s="459" t="s">
        <v>322</v>
      </c>
      <c r="D182" s="460" t="s">
        <v>1769</v>
      </c>
      <c r="E182" s="456" t="e">
        <f>#REF!</f>
        <v>#REF!</v>
      </c>
    </row>
    <row r="183" spans="1:5" ht="51">
      <c r="A183" s="461">
        <f t="shared" si="2"/>
        <v>154</v>
      </c>
      <c r="B183" s="459" t="s">
        <v>340</v>
      </c>
      <c r="C183" s="459" t="s">
        <v>341</v>
      </c>
      <c r="D183" s="460" t="s">
        <v>1769</v>
      </c>
      <c r="E183" s="456" t="e">
        <f>#REF!</f>
        <v>#REF!</v>
      </c>
    </row>
    <row r="184" spans="1:5" ht="51">
      <c r="A184" s="461">
        <f t="shared" si="2"/>
        <v>155</v>
      </c>
      <c r="B184" s="459" t="s">
        <v>580</v>
      </c>
      <c r="C184" s="459" t="s">
        <v>581</v>
      </c>
      <c r="D184" s="460" t="s">
        <v>1769</v>
      </c>
      <c r="E184" s="456" t="e">
        <f>#REF!</f>
        <v>#REF!</v>
      </c>
    </row>
    <row r="185" spans="1:5" ht="51">
      <c r="A185" s="461">
        <f t="shared" si="2"/>
        <v>156</v>
      </c>
      <c r="B185" s="459" t="s">
        <v>582</v>
      </c>
      <c r="C185" s="459" t="s">
        <v>583</v>
      </c>
      <c r="D185" s="460" t="s">
        <v>1769</v>
      </c>
      <c r="E185" s="456" t="e">
        <f>#REF!</f>
        <v>#REF!</v>
      </c>
    </row>
    <row r="186" spans="1:5" ht="51">
      <c r="A186" s="461">
        <f t="shared" si="2"/>
        <v>157</v>
      </c>
      <c r="B186" s="459" t="s">
        <v>584</v>
      </c>
      <c r="C186" s="459" t="s">
        <v>585</v>
      </c>
      <c r="D186" s="460" t="s">
        <v>1769</v>
      </c>
      <c r="E186" s="456" t="e">
        <f>#REF!</f>
        <v>#REF!</v>
      </c>
    </row>
    <row r="187" spans="1:5" ht="51">
      <c r="A187" s="461">
        <f t="shared" si="2"/>
        <v>158</v>
      </c>
      <c r="B187" s="459" t="s">
        <v>586</v>
      </c>
      <c r="C187" s="459" t="s">
        <v>6</v>
      </c>
      <c r="D187" s="460" t="s">
        <v>1769</v>
      </c>
      <c r="E187" s="456" t="e">
        <f>#REF!</f>
        <v>#REF!</v>
      </c>
    </row>
    <row r="188" spans="1:5" ht="51">
      <c r="A188" s="461">
        <f t="shared" si="2"/>
        <v>159</v>
      </c>
      <c r="B188" s="459" t="s">
        <v>7</v>
      </c>
      <c r="C188" s="459" t="s">
        <v>8</v>
      </c>
      <c r="D188" s="460" t="s">
        <v>1769</v>
      </c>
      <c r="E188" s="456" t="e">
        <f>#REF!</f>
        <v>#REF!</v>
      </c>
    </row>
    <row r="189" spans="1:5" ht="51">
      <c r="A189" s="461">
        <f t="shared" si="2"/>
        <v>160</v>
      </c>
      <c r="B189" s="459" t="s">
        <v>9</v>
      </c>
      <c r="C189" s="459" t="s">
        <v>229</v>
      </c>
      <c r="D189" s="460" t="s">
        <v>1769</v>
      </c>
      <c r="E189" s="456" t="e">
        <f>#REF!</f>
        <v>#REF!</v>
      </c>
    </row>
    <row r="190" spans="1:5" ht="51">
      <c r="A190" s="461">
        <f t="shared" si="2"/>
        <v>161</v>
      </c>
      <c r="B190" s="459" t="s">
        <v>230</v>
      </c>
      <c r="C190" s="459" t="s">
        <v>231</v>
      </c>
      <c r="D190" s="460" t="s">
        <v>1769</v>
      </c>
      <c r="E190" s="456" t="e">
        <f>#REF!</f>
        <v>#REF!</v>
      </c>
    </row>
    <row r="191" spans="1:5" ht="51">
      <c r="A191" s="461">
        <f t="shared" si="2"/>
        <v>162</v>
      </c>
      <c r="B191" s="459" t="s">
        <v>896</v>
      </c>
      <c r="C191" s="459" t="s">
        <v>897</v>
      </c>
      <c r="D191" s="460" t="s">
        <v>1769</v>
      </c>
      <c r="E191" s="456" t="e">
        <f>#REF!</f>
        <v>#REF!</v>
      </c>
    </row>
    <row r="192" spans="1:5" ht="38.25">
      <c r="A192" s="461">
        <f t="shared" si="2"/>
        <v>163</v>
      </c>
      <c r="B192" s="459" t="s">
        <v>898</v>
      </c>
      <c r="C192" s="459" t="s">
        <v>899</v>
      </c>
      <c r="D192" s="460" t="s">
        <v>1769</v>
      </c>
      <c r="E192" s="456" t="e">
        <f>#REF!</f>
        <v>#REF!</v>
      </c>
    </row>
    <row r="193" spans="1:5" ht="63.75">
      <c r="A193" s="461">
        <f t="shared" si="2"/>
        <v>164</v>
      </c>
      <c r="B193" s="454" t="s">
        <v>900</v>
      </c>
      <c r="C193" s="454" t="s">
        <v>901</v>
      </c>
      <c r="D193" s="460" t="s">
        <v>1769</v>
      </c>
      <c r="E193" s="456" t="e">
        <f>#REF!</f>
        <v>#REF!</v>
      </c>
    </row>
    <row r="194" spans="1:5" ht="51">
      <c r="A194" s="461">
        <f t="shared" si="2"/>
        <v>165</v>
      </c>
      <c r="B194" s="454" t="s">
        <v>902</v>
      </c>
      <c r="C194" s="454" t="s">
        <v>903</v>
      </c>
      <c r="D194" s="460" t="s">
        <v>1769</v>
      </c>
      <c r="E194" s="456" t="e">
        <f>#REF!</f>
        <v>#REF!</v>
      </c>
    </row>
    <row r="195" spans="1:5" ht="51">
      <c r="A195" s="461">
        <f t="shared" si="2"/>
        <v>166</v>
      </c>
      <c r="B195" s="454" t="s">
        <v>904</v>
      </c>
      <c r="C195" s="454" t="s">
        <v>905</v>
      </c>
      <c r="D195" s="460" t="s">
        <v>1769</v>
      </c>
      <c r="E195" s="456" t="e">
        <f>#REF!</f>
        <v>#REF!</v>
      </c>
    </row>
    <row r="196" spans="1:5">
      <c r="A196" s="501"/>
      <c r="B196" s="502"/>
      <c r="C196" s="502"/>
      <c r="D196" s="503"/>
      <c r="E196" s="462"/>
    </row>
    <row r="197" spans="1:5" ht="63.75">
      <c r="A197" s="461">
        <f>A195+1</f>
        <v>167</v>
      </c>
      <c r="B197" s="454" t="s">
        <v>906</v>
      </c>
      <c r="C197" s="454" t="s">
        <v>907</v>
      </c>
      <c r="D197" s="460" t="s">
        <v>1769</v>
      </c>
      <c r="E197" s="456" t="e">
        <f>#REF!</f>
        <v>#REF!</v>
      </c>
    </row>
    <row r="198" spans="1:5" ht="63.75">
      <c r="A198" s="461">
        <f t="shared" si="2"/>
        <v>168</v>
      </c>
      <c r="B198" s="454" t="s">
        <v>908</v>
      </c>
      <c r="C198" s="454" t="s">
        <v>909</v>
      </c>
      <c r="D198" s="460" t="s">
        <v>1769</v>
      </c>
      <c r="E198" s="456" t="e">
        <f>#REF!</f>
        <v>#REF!</v>
      </c>
    </row>
    <row r="199" spans="1:5" ht="63.75">
      <c r="A199" s="461">
        <f t="shared" si="2"/>
        <v>169</v>
      </c>
      <c r="B199" s="454" t="s">
        <v>910</v>
      </c>
      <c r="C199" s="454" t="s">
        <v>911</v>
      </c>
      <c r="D199" s="460" t="s">
        <v>1769</v>
      </c>
      <c r="E199" s="456" t="e">
        <f>#REF!</f>
        <v>#REF!</v>
      </c>
    </row>
    <row r="200" spans="1:5" ht="38.25">
      <c r="A200" s="461">
        <f t="shared" si="2"/>
        <v>170</v>
      </c>
      <c r="B200" s="454" t="s">
        <v>912</v>
      </c>
      <c r="C200" s="454" t="s">
        <v>912</v>
      </c>
      <c r="D200" s="460" t="s">
        <v>1769</v>
      </c>
      <c r="E200" s="456" t="e">
        <f>#REF!</f>
        <v>#REF!</v>
      </c>
    </row>
    <row r="201" spans="1:5" ht="25.5">
      <c r="A201" s="461">
        <f t="shared" si="2"/>
        <v>171</v>
      </c>
      <c r="B201" s="454" t="s">
        <v>913</v>
      </c>
      <c r="C201" s="454" t="s">
        <v>913</v>
      </c>
      <c r="D201" s="460" t="s">
        <v>1769</v>
      </c>
      <c r="E201" s="456" t="e">
        <f>#REF!</f>
        <v>#REF!</v>
      </c>
    </row>
    <row r="202" spans="1:5" ht="38.25">
      <c r="A202" s="461">
        <f t="shared" si="2"/>
        <v>172</v>
      </c>
      <c r="B202" s="454" t="s">
        <v>2168</v>
      </c>
      <c r="C202" s="454" t="s">
        <v>2168</v>
      </c>
      <c r="D202" s="460" t="s">
        <v>1769</v>
      </c>
      <c r="E202" s="456" t="e">
        <f>#REF!</f>
        <v>#REF!</v>
      </c>
    </row>
    <row r="203" spans="1:5" ht="38.25">
      <c r="A203" s="461">
        <f t="shared" si="2"/>
        <v>173</v>
      </c>
      <c r="B203" s="454" t="s">
        <v>2169</v>
      </c>
      <c r="C203" s="454" t="s">
        <v>2169</v>
      </c>
      <c r="D203" s="460" t="s">
        <v>1769</v>
      </c>
      <c r="E203" s="456" t="e">
        <f>#REF!</f>
        <v>#REF!</v>
      </c>
    </row>
    <row r="204" spans="1:5" ht="38.25">
      <c r="A204" s="461">
        <f t="shared" si="2"/>
        <v>174</v>
      </c>
      <c r="B204" s="454" t="s">
        <v>640</v>
      </c>
      <c r="C204" s="454" t="s">
        <v>640</v>
      </c>
      <c r="D204" s="460" t="s">
        <v>1769</v>
      </c>
      <c r="E204" s="456" t="e">
        <f>#REF!</f>
        <v>#REF!</v>
      </c>
    </row>
    <row r="205" spans="1:5">
      <c r="A205" s="501"/>
      <c r="B205" s="502"/>
      <c r="C205" s="502"/>
      <c r="D205" s="503"/>
      <c r="E205" s="462"/>
    </row>
    <row r="206" spans="1:5" ht="25.5">
      <c r="A206" s="461">
        <f>A204+1</f>
        <v>175</v>
      </c>
      <c r="B206" s="454" t="s">
        <v>641</v>
      </c>
      <c r="C206" s="454" t="s">
        <v>641</v>
      </c>
      <c r="D206" s="460" t="s">
        <v>1775</v>
      </c>
      <c r="E206" s="456" t="e">
        <f>#REF!</f>
        <v>#REF!</v>
      </c>
    </row>
    <row r="207" spans="1:5" ht="25.5">
      <c r="A207" s="461">
        <f t="shared" si="2"/>
        <v>176</v>
      </c>
      <c r="B207" s="454" t="s">
        <v>767</v>
      </c>
      <c r="C207" s="454" t="s">
        <v>767</v>
      </c>
      <c r="D207" s="460" t="s">
        <v>1769</v>
      </c>
      <c r="E207" s="456" t="e">
        <f>#REF!</f>
        <v>#REF!</v>
      </c>
    </row>
    <row r="208" spans="1:5" ht="38.25">
      <c r="A208" s="461">
        <f t="shared" si="2"/>
        <v>177</v>
      </c>
      <c r="B208" s="459" t="s">
        <v>768</v>
      </c>
      <c r="C208" s="459" t="s">
        <v>768</v>
      </c>
      <c r="D208" s="460" t="s">
        <v>1769</v>
      </c>
      <c r="E208" s="456" t="e">
        <f>#REF!</f>
        <v>#REF!</v>
      </c>
    </row>
    <row r="209" spans="1:5" ht="25.5">
      <c r="A209" s="461">
        <f t="shared" si="2"/>
        <v>178</v>
      </c>
      <c r="B209" s="459" t="s">
        <v>769</v>
      </c>
      <c r="C209" s="459" t="s">
        <v>770</v>
      </c>
      <c r="D209" s="460" t="s">
        <v>1769</v>
      </c>
      <c r="E209" s="456" t="e">
        <f>#REF!</f>
        <v>#REF!</v>
      </c>
    </row>
    <row r="210" spans="1:5" ht="38.25">
      <c r="A210" s="461">
        <f t="shared" si="2"/>
        <v>179</v>
      </c>
      <c r="B210" s="459" t="s">
        <v>771</v>
      </c>
      <c r="C210" s="459" t="s">
        <v>772</v>
      </c>
      <c r="D210" s="460" t="s">
        <v>1775</v>
      </c>
      <c r="E210" s="456" t="e">
        <f>#REF!</f>
        <v>#REF!</v>
      </c>
    </row>
    <row r="211" spans="1:5" ht="38.25">
      <c r="A211" s="461">
        <f t="shared" si="2"/>
        <v>180</v>
      </c>
      <c r="B211" s="459" t="s">
        <v>773</v>
      </c>
      <c r="C211" s="459" t="s">
        <v>774</v>
      </c>
      <c r="D211" s="460" t="s">
        <v>1775</v>
      </c>
      <c r="E211" s="456" t="e">
        <f>#REF!</f>
        <v>#REF!</v>
      </c>
    </row>
    <row r="212" spans="1:5" ht="25.5">
      <c r="A212" s="461">
        <f t="shared" si="2"/>
        <v>181</v>
      </c>
      <c r="B212" s="459" t="s">
        <v>775</v>
      </c>
      <c r="C212" s="459" t="s">
        <v>776</v>
      </c>
      <c r="D212" s="460" t="s">
        <v>1775</v>
      </c>
      <c r="E212" s="456" t="e">
        <f>#REF!</f>
        <v>#REF!</v>
      </c>
    </row>
    <row r="213" spans="1:5" ht="25.5">
      <c r="A213" s="461">
        <f t="shared" si="2"/>
        <v>182</v>
      </c>
      <c r="B213" s="459" t="s">
        <v>803</v>
      </c>
      <c r="C213" s="459" t="s">
        <v>803</v>
      </c>
      <c r="D213" s="460" t="s">
        <v>1775</v>
      </c>
      <c r="E213" s="456" t="e">
        <f>#REF!</f>
        <v>#REF!</v>
      </c>
    </row>
    <row r="214" spans="1:5">
      <c r="A214" s="501"/>
      <c r="B214" s="504"/>
      <c r="C214" s="504"/>
      <c r="D214" s="503"/>
      <c r="E214" s="462"/>
    </row>
    <row r="215" spans="1:5" ht="25.5">
      <c r="A215" s="461">
        <v>183</v>
      </c>
      <c r="B215" s="459" t="s">
        <v>1358</v>
      </c>
      <c r="C215" s="459" t="s">
        <v>1358</v>
      </c>
      <c r="D215" s="460" t="s">
        <v>1359</v>
      </c>
      <c r="E215" s="456" t="e">
        <f>#REF!</f>
        <v>#REF!</v>
      </c>
    </row>
    <row r="216" spans="1:5" ht="25.5">
      <c r="A216" s="461">
        <f>A215+1</f>
        <v>184</v>
      </c>
      <c r="B216" s="459" t="s">
        <v>804</v>
      </c>
      <c r="C216" s="459" t="s">
        <v>805</v>
      </c>
      <c r="D216" s="460" t="s">
        <v>1769</v>
      </c>
      <c r="E216" s="456" t="e">
        <f>#REF!</f>
        <v>#REF!</v>
      </c>
    </row>
    <row r="217" spans="1:5" ht="38.25">
      <c r="A217" s="461">
        <f t="shared" ref="A217:A222" si="3">A216+1</f>
        <v>185</v>
      </c>
      <c r="B217" s="459" t="s">
        <v>3242</v>
      </c>
      <c r="C217" s="459" t="s">
        <v>3243</v>
      </c>
      <c r="D217" s="460" t="s">
        <v>1769</v>
      </c>
      <c r="E217" s="456" t="e">
        <f>#REF!</f>
        <v>#REF!</v>
      </c>
    </row>
    <row r="218" spans="1:5" ht="38.25">
      <c r="A218" s="461">
        <f t="shared" si="3"/>
        <v>186</v>
      </c>
      <c r="B218" s="459" t="s">
        <v>3244</v>
      </c>
      <c r="C218" s="459" t="s">
        <v>3245</v>
      </c>
      <c r="D218" s="460" t="s">
        <v>1769</v>
      </c>
      <c r="E218" s="456" t="e">
        <f>#REF!</f>
        <v>#REF!</v>
      </c>
    </row>
    <row r="219" spans="1:5" ht="38.25">
      <c r="A219" s="461">
        <f t="shared" si="3"/>
        <v>187</v>
      </c>
      <c r="B219" s="459" t="s">
        <v>71</v>
      </c>
      <c r="C219" s="459" t="s">
        <v>72</v>
      </c>
      <c r="D219" s="460" t="s">
        <v>1769</v>
      </c>
      <c r="E219" s="456" t="e">
        <f>#REF!</f>
        <v>#REF!</v>
      </c>
    </row>
    <row r="220" spans="1:5" ht="51">
      <c r="A220" s="461">
        <f t="shared" si="3"/>
        <v>188</v>
      </c>
      <c r="B220" s="459" t="s">
        <v>1113</v>
      </c>
      <c r="C220" s="459" t="s">
        <v>1114</v>
      </c>
      <c r="D220" s="460" t="s">
        <v>1359</v>
      </c>
      <c r="E220" s="456" t="e">
        <f>#REF!</f>
        <v>#REF!</v>
      </c>
    </row>
    <row r="221" spans="1:5">
      <c r="A221" s="461">
        <f t="shared" si="3"/>
        <v>189</v>
      </c>
      <c r="B221" s="459" t="s">
        <v>688</v>
      </c>
      <c r="C221" s="459" t="s">
        <v>688</v>
      </c>
      <c r="D221" s="460" t="s">
        <v>3062</v>
      </c>
      <c r="E221" s="456" t="e">
        <f>#REF!</f>
        <v>#REF!</v>
      </c>
    </row>
    <row r="222" spans="1:5" ht="25.5">
      <c r="A222" s="461">
        <f t="shared" si="3"/>
        <v>190</v>
      </c>
      <c r="B222" s="459" t="s">
        <v>689</v>
      </c>
      <c r="C222" s="459" t="s">
        <v>689</v>
      </c>
      <c r="D222" s="460" t="s">
        <v>3062</v>
      </c>
      <c r="E222" s="456" t="e">
        <f>#REF!</f>
        <v>#REF!</v>
      </c>
    </row>
    <row r="223" spans="1:5">
      <c r="A223" s="501"/>
      <c r="B223" s="504"/>
      <c r="C223" s="504"/>
      <c r="D223" s="503"/>
      <c r="E223" s="456" t="e">
        <f>#REF!</f>
        <v>#REF!</v>
      </c>
    </row>
    <row r="224" spans="1:5" ht="25.5">
      <c r="A224" s="461">
        <f>A222+1</f>
        <v>191</v>
      </c>
      <c r="B224" s="506" t="s">
        <v>2354</v>
      </c>
      <c r="C224" s="427" t="s">
        <v>2354</v>
      </c>
      <c r="D224" s="460" t="s">
        <v>1769</v>
      </c>
      <c r="E224" s="456" t="e">
        <f>#REF!</f>
        <v>#REF!</v>
      </c>
    </row>
    <row r="225" spans="1:5" ht="38.25">
      <c r="A225" s="461">
        <f>A224+1</f>
        <v>192</v>
      </c>
      <c r="B225" s="507" t="s">
        <v>2353</v>
      </c>
      <c r="C225" s="427" t="s">
        <v>2353</v>
      </c>
      <c r="D225" s="460" t="s">
        <v>1769</v>
      </c>
      <c r="E225" s="456" t="e">
        <f>#REF!</f>
        <v>#REF!</v>
      </c>
    </row>
    <row r="226" spans="1:5" ht="25.5">
      <c r="A226" s="461">
        <f t="shared" ref="A226:A289" si="4">A225+1</f>
        <v>193</v>
      </c>
      <c r="B226" s="507" t="s">
        <v>2352</v>
      </c>
      <c r="C226" s="427" t="s">
        <v>2352</v>
      </c>
      <c r="D226" s="460" t="s">
        <v>1769</v>
      </c>
      <c r="E226" s="456" t="e">
        <f>#REF!</f>
        <v>#REF!</v>
      </c>
    </row>
    <row r="227" spans="1:5" ht="25.5">
      <c r="A227" s="461">
        <f t="shared" si="4"/>
        <v>194</v>
      </c>
      <c r="B227" s="507" t="s">
        <v>2351</v>
      </c>
      <c r="C227" s="427" t="s">
        <v>2422</v>
      </c>
      <c r="D227" s="460" t="s">
        <v>1769</v>
      </c>
      <c r="E227" s="456" t="e">
        <f>#REF!</f>
        <v>#REF!</v>
      </c>
    </row>
    <row r="228" spans="1:5" ht="25.5">
      <c r="A228" s="461">
        <f t="shared" si="4"/>
        <v>195</v>
      </c>
      <c r="B228" s="507" t="s">
        <v>2350</v>
      </c>
      <c r="C228" s="427" t="s">
        <v>2350</v>
      </c>
      <c r="D228" s="460" t="s">
        <v>1769</v>
      </c>
      <c r="E228" s="456" t="e">
        <f>#REF!</f>
        <v>#REF!</v>
      </c>
    </row>
    <row r="229" spans="1:5">
      <c r="A229" s="461">
        <f t="shared" si="4"/>
        <v>196</v>
      </c>
      <c r="B229" s="507" t="s">
        <v>2349</v>
      </c>
      <c r="C229" s="427" t="s">
        <v>2349</v>
      </c>
      <c r="D229" s="460" t="s">
        <v>1769</v>
      </c>
      <c r="E229" s="456" t="e">
        <f>#REF!</f>
        <v>#REF!</v>
      </c>
    </row>
    <row r="230" spans="1:5" ht="25.5">
      <c r="A230" s="461">
        <f t="shared" si="4"/>
        <v>197</v>
      </c>
      <c r="B230" s="507" t="s">
        <v>2348</v>
      </c>
      <c r="C230" s="427" t="s">
        <v>2348</v>
      </c>
      <c r="D230" s="460" t="s">
        <v>1769</v>
      </c>
      <c r="E230" s="456" t="e">
        <f>#REF!</f>
        <v>#REF!</v>
      </c>
    </row>
    <row r="231" spans="1:5" ht="38.25">
      <c r="A231" s="461">
        <f t="shared" si="4"/>
        <v>198</v>
      </c>
      <c r="B231" s="507" t="s">
        <v>2347</v>
      </c>
      <c r="C231" s="427" t="s">
        <v>2347</v>
      </c>
      <c r="D231" s="460" t="s">
        <v>1769</v>
      </c>
      <c r="E231" s="456" t="e">
        <f>#REF!</f>
        <v>#REF!</v>
      </c>
    </row>
    <row r="232" spans="1:5" ht="38.25">
      <c r="A232" s="461">
        <f t="shared" si="4"/>
        <v>199</v>
      </c>
      <c r="B232" s="507" t="s">
        <v>2346</v>
      </c>
      <c r="C232" s="427" t="s">
        <v>2816</v>
      </c>
      <c r="D232" s="460"/>
      <c r="E232" s="456" t="e">
        <f>#REF!</f>
        <v>#REF!</v>
      </c>
    </row>
    <row r="233" spans="1:5" ht="76.5">
      <c r="A233" s="461">
        <f t="shared" si="4"/>
        <v>200</v>
      </c>
      <c r="B233" s="459" t="s">
        <v>690</v>
      </c>
      <c r="C233" s="505" t="s">
        <v>691</v>
      </c>
      <c r="D233" s="460" t="s">
        <v>2960</v>
      </c>
      <c r="E233" s="456" t="e">
        <f>#REF!</f>
        <v>#REF!</v>
      </c>
    </row>
    <row r="234" spans="1:5" ht="76.5">
      <c r="A234" s="461">
        <f t="shared" si="4"/>
        <v>201</v>
      </c>
      <c r="B234" s="459" t="s">
        <v>894</v>
      </c>
      <c r="C234" s="505" t="s">
        <v>895</v>
      </c>
      <c r="D234" s="460" t="s">
        <v>2960</v>
      </c>
      <c r="E234" s="456" t="e">
        <f>#REF!</f>
        <v>#REF!</v>
      </c>
    </row>
    <row r="235" spans="1:5" ht="38.25">
      <c r="A235" s="461">
        <f t="shared" si="4"/>
        <v>202</v>
      </c>
      <c r="B235" s="459" t="s">
        <v>14</v>
      </c>
      <c r="C235" s="505" t="s">
        <v>14</v>
      </c>
      <c r="D235" s="460" t="s">
        <v>3062</v>
      </c>
      <c r="E235" s="456" t="e">
        <f>#REF!</f>
        <v>#REF!</v>
      </c>
    </row>
    <row r="236" spans="1:5" ht="63.75">
      <c r="A236" s="461">
        <f t="shared" si="4"/>
        <v>203</v>
      </c>
      <c r="B236" s="459" t="s">
        <v>15</v>
      </c>
      <c r="C236" s="505" t="s">
        <v>16</v>
      </c>
      <c r="D236" s="460" t="s">
        <v>1769</v>
      </c>
      <c r="E236" s="456" t="e">
        <f>#REF!</f>
        <v>#REF!</v>
      </c>
    </row>
    <row r="237" spans="1:5" ht="63.75">
      <c r="A237" s="461">
        <f t="shared" si="4"/>
        <v>204</v>
      </c>
      <c r="B237" s="459" t="s">
        <v>17</v>
      </c>
      <c r="C237" s="505" t="s">
        <v>18</v>
      </c>
      <c r="D237" s="460" t="s">
        <v>1769</v>
      </c>
      <c r="E237" s="456" t="e">
        <f>#REF!</f>
        <v>#REF!</v>
      </c>
    </row>
    <row r="238" spans="1:5" ht="38.25">
      <c r="A238" s="461">
        <f t="shared" si="4"/>
        <v>205</v>
      </c>
      <c r="B238" s="454" t="s">
        <v>19</v>
      </c>
      <c r="C238" s="454" t="s">
        <v>19</v>
      </c>
      <c r="D238" s="460" t="s">
        <v>1769</v>
      </c>
      <c r="E238" s="456" t="e">
        <f>#REF!</f>
        <v>#REF!</v>
      </c>
    </row>
    <row r="239" spans="1:5" ht="38.25">
      <c r="A239" s="461">
        <f t="shared" si="4"/>
        <v>206</v>
      </c>
      <c r="B239" s="454" t="s">
        <v>20</v>
      </c>
      <c r="C239" s="454" t="s">
        <v>21</v>
      </c>
      <c r="D239" s="460" t="s">
        <v>1769</v>
      </c>
      <c r="E239" s="456" t="e">
        <f>#REF!</f>
        <v>#REF!</v>
      </c>
    </row>
    <row r="240" spans="1:5" ht="38.25">
      <c r="A240" s="461">
        <f t="shared" si="4"/>
        <v>207</v>
      </c>
      <c r="B240" s="454" t="s">
        <v>22</v>
      </c>
      <c r="C240" s="454" t="s">
        <v>23</v>
      </c>
      <c r="D240" s="460" t="s">
        <v>1769</v>
      </c>
      <c r="E240" s="456" t="e">
        <f>#REF!</f>
        <v>#REF!</v>
      </c>
    </row>
    <row r="241" spans="1:5" ht="38.25">
      <c r="A241" s="461">
        <f t="shared" si="4"/>
        <v>208</v>
      </c>
      <c r="B241" s="454" t="s">
        <v>24</v>
      </c>
      <c r="C241" s="454" t="s">
        <v>25</v>
      </c>
      <c r="D241" s="460" t="s">
        <v>1769</v>
      </c>
      <c r="E241" s="456" t="e">
        <f>#REF!</f>
        <v>#REF!</v>
      </c>
    </row>
    <row r="242" spans="1:5" ht="38.25">
      <c r="A242" s="461">
        <f t="shared" si="4"/>
        <v>209</v>
      </c>
      <c r="B242" s="454" t="s">
        <v>26</v>
      </c>
      <c r="C242" s="454" t="s">
        <v>27</v>
      </c>
      <c r="D242" s="460" t="s">
        <v>1769</v>
      </c>
      <c r="E242" s="456" t="e">
        <f>#REF!</f>
        <v>#REF!</v>
      </c>
    </row>
    <row r="243" spans="1:5" ht="38.25">
      <c r="A243" s="461">
        <f t="shared" si="4"/>
        <v>210</v>
      </c>
      <c r="B243" s="454" t="s">
        <v>28</v>
      </c>
      <c r="C243" s="454" t="s">
        <v>29</v>
      </c>
      <c r="D243" s="460" t="s">
        <v>1769</v>
      </c>
      <c r="E243" s="456" t="e">
        <f>#REF!</f>
        <v>#REF!</v>
      </c>
    </row>
    <row r="244" spans="1:5" ht="25.5">
      <c r="A244" s="461">
        <f t="shared" si="4"/>
        <v>211</v>
      </c>
      <c r="B244" s="454" t="s">
        <v>30</v>
      </c>
      <c r="C244" s="454" t="s">
        <v>30</v>
      </c>
      <c r="D244" s="460" t="s">
        <v>1769</v>
      </c>
      <c r="E244" s="456" t="e">
        <f>#REF!</f>
        <v>#REF!</v>
      </c>
    </row>
    <row r="245" spans="1:5" ht="25.5">
      <c r="A245" s="461">
        <f t="shared" si="4"/>
        <v>212</v>
      </c>
      <c r="B245" s="454" t="s">
        <v>2074</v>
      </c>
      <c r="C245" s="454" t="s">
        <v>2074</v>
      </c>
      <c r="D245" s="460" t="s">
        <v>1769</v>
      </c>
      <c r="E245" s="456" t="e">
        <f>#REF!</f>
        <v>#REF!</v>
      </c>
    </row>
    <row r="246" spans="1:5" ht="25.5">
      <c r="A246" s="461">
        <f t="shared" si="4"/>
        <v>213</v>
      </c>
      <c r="B246" s="454" t="s">
        <v>2075</v>
      </c>
      <c r="C246" s="454" t="s">
        <v>2076</v>
      </c>
      <c r="D246" s="460" t="s">
        <v>1769</v>
      </c>
      <c r="E246" s="456" t="e">
        <f>#REF!</f>
        <v>#REF!</v>
      </c>
    </row>
    <row r="247" spans="1:5" ht="25.5">
      <c r="A247" s="461">
        <f t="shared" si="4"/>
        <v>214</v>
      </c>
      <c r="B247" s="454" t="s">
        <v>2077</v>
      </c>
      <c r="C247" s="454" t="s">
        <v>2077</v>
      </c>
      <c r="D247" s="460" t="s">
        <v>1769</v>
      </c>
      <c r="E247" s="456" t="e">
        <f>#REF!</f>
        <v>#REF!</v>
      </c>
    </row>
    <row r="248" spans="1:5" ht="76.5">
      <c r="A248" s="461">
        <f t="shared" si="4"/>
        <v>215</v>
      </c>
      <c r="B248" s="459" t="s">
        <v>3228</v>
      </c>
      <c r="C248" s="459" t="s">
        <v>3229</v>
      </c>
      <c r="D248" s="460" t="s">
        <v>1769</v>
      </c>
      <c r="E248" s="456" t="e">
        <f>#REF!</f>
        <v>#REF!</v>
      </c>
    </row>
    <row r="249" spans="1:5" ht="76.5">
      <c r="A249" s="461">
        <f t="shared" si="4"/>
        <v>216</v>
      </c>
      <c r="B249" s="459" t="s">
        <v>226</v>
      </c>
      <c r="C249" s="459" t="s">
        <v>226</v>
      </c>
      <c r="D249" s="460" t="s">
        <v>1769</v>
      </c>
      <c r="E249" s="456" t="e">
        <f>#REF!</f>
        <v>#REF!</v>
      </c>
    </row>
    <row r="250" spans="1:5" ht="38.25">
      <c r="A250" s="461">
        <f t="shared" si="4"/>
        <v>217</v>
      </c>
      <c r="B250" s="459" t="s">
        <v>227</v>
      </c>
      <c r="C250" s="459" t="s">
        <v>228</v>
      </c>
      <c r="D250" s="460" t="s">
        <v>2960</v>
      </c>
      <c r="E250" s="456" t="e">
        <f>#REF!</f>
        <v>#REF!</v>
      </c>
    </row>
    <row r="251" spans="1:5" ht="63.75">
      <c r="A251" s="461">
        <f t="shared" si="4"/>
        <v>218</v>
      </c>
      <c r="B251" s="459" t="s">
        <v>758</v>
      </c>
      <c r="C251" s="459" t="s">
        <v>759</v>
      </c>
      <c r="D251" s="460" t="s">
        <v>1769</v>
      </c>
      <c r="E251" s="456" t="e">
        <f>#REF!</f>
        <v>#REF!</v>
      </c>
    </row>
    <row r="252" spans="1:5" ht="76.5">
      <c r="A252" s="461">
        <f>A251+1</f>
        <v>219</v>
      </c>
      <c r="B252" s="459" t="s">
        <v>1616</v>
      </c>
      <c r="C252" s="459" t="s">
        <v>1368</v>
      </c>
      <c r="D252" s="460" t="s">
        <v>1769</v>
      </c>
      <c r="E252" s="456" t="e">
        <f>#REF!</f>
        <v>#REF!</v>
      </c>
    </row>
    <row r="253" spans="1:5" ht="63.75">
      <c r="A253" s="461">
        <f>A251+1</f>
        <v>219</v>
      </c>
      <c r="B253" s="459" t="s">
        <v>863</v>
      </c>
      <c r="C253" s="459" t="s">
        <v>864</v>
      </c>
      <c r="D253" s="460" t="s">
        <v>865</v>
      </c>
      <c r="E253" s="456" t="e">
        <f>#REF!</f>
        <v>#REF!</v>
      </c>
    </row>
    <row r="254" spans="1:5" ht="63.75">
      <c r="A254" s="461">
        <f t="shared" si="4"/>
        <v>220</v>
      </c>
      <c r="B254" s="459" t="s">
        <v>863</v>
      </c>
      <c r="C254" s="459" t="s">
        <v>864</v>
      </c>
      <c r="D254" s="460" t="s">
        <v>1769</v>
      </c>
      <c r="E254" s="456" t="e">
        <f>#REF!</f>
        <v>#REF!</v>
      </c>
    </row>
    <row r="255" spans="1:5" ht="25.5">
      <c r="A255" s="461">
        <f t="shared" si="4"/>
        <v>221</v>
      </c>
      <c r="B255" s="459" t="s">
        <v>866</v>
      </c>
      <c r="C255" s="459" t="s">
        <v>866</v>
      </c>
      <c r="D255" s="460" t="s">
        <v>1769</v>
      </c>
      <c r="E255" s="456" t="e">
        <f>#REF!</f>
        <v>#REF!</v>
      </c>
    </row>
    <row r="256" spans="1:5">
      <c r="A256" s="461">
        <f t="shared" si="4"/>
        <v>222</v>
      </c>
      <c r="B256" s="459" t="s">
        <v>867</v>
      </c>
      <c r="C256" s="459" t="s">
        <v>867</v>
      </c>
      <c r="D256" s="460" t="s">
        <v>1769</v>
      </c>
      <c r="E256" s="456" t="e">
        <f>#REF!</f>
        <v>#REF!</v>
      </c>
    </row>
    <row r="257" spans="1:5" ht="25.5">
      <c r="A257" s="461">
        <f t="shared" si="4"/>
        <v>223</v>
      </c>
      <c r="B257" s="459" t="s">
        <v>868</v>
      </c>
      <c r="C257" s="459" t="s">
        <v>868</v>
      </c>
      <c r="D257" s="460" t="s">
        <v>1769</v>
      </c>
      <c r="E257" s="456" t="e">
        <f>#REF!</f>
        <v>#REF!</v>
      </c>
    </row>
    <row r="258" spans="1:5" ht="51">
      <c r="A258" s="461">
        <f t="shared" si="4"/>
        <v>224</v>
      </c>
      <c r="B258" s="459" t="s">
        <v>869</v>
      </c>
      <c r="C258" s="459" t="s">
        <v>870</v>
      </c>
      <c r="D258" s="460" t="s">
        <v>3062</v>
      </c>
      <c r="E258" s="456" t="e">
        <f>#REF!</f>
        <v>#REF!</v>
      </c>
    </row>
    <row r="259" spans="1:5" ht="25.5">
      <c r="A259" s="461">
        <f t="shared" si="4"/>
        <v>225</v>
      </c>
      <c r="B259" s="459" t="s">
        <v>871</v>
      </c>
      <c r="C259" s="459" t="s">
        <v>872</v>
      </c>
      <c r="D259" s="460" t="s">
        <v>1769</v>
      </c>
      <c r="E259" s="456" t="e">
        <f>#REF!</f>
        <v>#REF!</v>
      </c>
    </row>
    <row r="260" spans="1:5" ht="25.5">
      <c r="A260" s="461">
        <f t="shared" si="4"/>
        <v>226</v>
      </c>
      <c r="B260" s="459" t="s">
        <v>873</v>
      </c>
      <c r="C260" s="459" t="s">
        <v>873</v>
      </c>
      <c r="D260" s="460" t="s">
        <v>1769</v>
      </c>
      <c r="E260" s="456" t="e">
        <f>#REF!</f>
        <v>#REF!</v>
      </c>
    </row>
    <row r="261" spans="1:5" ht="51">
      <c r="A261" s="461">
        <f t="shared" si="4"/>
        <v>227</v>
      </c>
      <c r="B261" s="459" t="s">
        <v>874</v>
      </c>
      <c r="C261" s="459" t="s">
        <v>875</v>
      </c>
      <c r="D261" s="460" t="s">
        <v>1769</v>
      </c>
      <c r="E261" s="456" t="e">
        <f>#REF!</f>
        <v>#REF!</v>
      </c>
    </row>
    <row r="262" spans="1:5" ht="51">
      <c r="A262" s="461">
        <f t="shared" si="4"/>
        <v>228</v>
      </c>
      <c r="B262" s="459" t="s">
        <v>876</v>
      </c>
      <c r="C262" s="459" t="s">
        <v>877</v>
      </c>
      <c r="D262" s="460" t="s">
        <v>1769</v>
      </c>
      <c r="E262" s="456" t="e">
        <f>#REF!</f>
        <v>#REF!</v>
      </c>
    </row>
    <row r="263" spans="1:5" ht="38.25">
      <c r="A263" s="461">
        <f t="shared" si="4"/>
        <v>229</v>
      </c>
      <c r="B263" s="459" t="s">
        <v>2585</v>
      </c>
      <c r="C263" s="459" t="s">
        <v>2586</v>
      </c>
      <c r="D263" s="460" t="s">
        <v>1769</v>
      </c>
      <c r="E263" s="456" t="e">
        <f>#REF!</f>
        <v>#REF!</v>
      </c>
    </row>
    <row r="264" spans="1:5" ht="38.25">
      <c r="A264" s="461">
        <f t="shared" si="4"/>
        <v>230</v>
      </c>
      <c r="B264" s="459" t="s">
        <v>2587</v>
      </c>
      <c r="C264" s="459" t="s">
        <v>923</v>
      </c>
      <c r="D264" s="460" t="s">
        <v>1769</v>
      </c>
      <c r="E264" s="456" t="e">
        <f>#REF!</f>
        <v>#REF!</v>
      </c>
    </row>
    <row r="265" spans="1:5" ht="38.25">
      <c r="A265" s="461">
        <f t="shared" si="4"/>
        <v>231</v>
      </c>
      <c r="B265" s="459" t="s">
        <v>924</v>
      </c>
      <c r="C265" s="459" t="s">
        <v>924</v>
      </c>
      <c r="D265" s="460" t="s">
        <v>1769</v>
      </c>
      <c r="E265" s="456" t="e">
        <f>#REF!</f>
        <v>#REF!</v>
      </c>
    </row>
    <row r="266" spans="1:5" ht="38.25">
      <c r="A266" s="461">
        <f t="shared" si="4"/>
        <v>232</v>
      </c>
      <c r="B266" s="459" t="s">
        <v>925</v>
      </c>
      <c r="C266" s="459" t="s">
        <v>925</v>
      </c>
      <c r="D266" s="460" t="s">
        <v>1769</v>
      </c>
      <c r="E266" s="456" t="e">
        <f>#REF!</f>
        <v>#REF!</v>
      </c>
    </row>
    <row r="267" spans="1:5" ht="38.25">
      <c r="A267" s="461">
        <f t="shared" si="4"/>
        <v>233</v>
      </c>
      <c r="B267" s="459" t="s">
        <v>926</v>
      </c>
      <c r="C267" s="459" t="s">
        <v>926</v>
      </c>
      <c r="D267" s="460" t="s">
        <v>1769</v>
      </c>
      <c r="E267" s="456" t="e">
        <f>#REF!</f>
        <v>#REF!</v>
      </c>
    </row>
    <row r="268" spans="1:5" ht="38.25">
      <c r="A268" s="461">
        <f t="shared" si="4"/>
        <v>234</v>
      </c>
      <c r="B268" s="459" t="s">
        <v>927</v>
      </c>
      <c r="C268" s="459" t="s">
        <v>927</v>
      </c>
      <c r="D268" s="460" t="s">
        <v>1769</v>
      </c>
      <c r="E268" s="456" t="e">
        <f>#REF!</f>
        <v>#REF!</v>
      </c>
    </row>
    <row r="269" spans="1:5" ht="38.25">
      <c r="A269" s="461">
        <f t="shared" si="4"/>
        <v>235</v>
      </c>
      <c r="B269" s="459" t="s">
        <v>55</v>
      </c>
      <c r="C269" s="459" t="s">
        <v>55</v>
      </c>
      <c r="D269" s="460" t="s">
        <v>1769</v>
      </c>
      <c r="E269" s="456" t="e">
        <f>#REF!</f>
        <v>#REF!</v>
      </c>
    </row>
    <row r="270" spans="1:5" ht="51">
      <c r="A270" s="461">
        <f t="shared" si="4"/>
        <v>236</v>
      </c>
      <c r="B270" s="459" t="s">
        <v>56</v>
      </c>
      <c r="C270" s="459" t="s">
        <v>56</v>
      </c>
      <c r="D270" s="460" t="s">
        <v>1769</v>
      </c>
      <c r="E270" s="456" t="e">
        <f>#REF!</f>
        <v>#REF!</v>
      </c>
    </row>
    <row r="271" spans="1:5" ht="63.75">
      <c r="A271" s="461">
        <f t="shared" si="4"/>
        <v>237</v>
      </c>
      <c r="B271" s="459" t="s">
        <v>57</v>
      </c>
      <c r="C271" s="459" t="s">
        <v>58</v>
      </c>
      <c r="D271" s="460" t="s">
        <v>3062</v>
      </c>
      <c r="E271" s="456" t="e">
        <f>#REF!</f>
        <v>#REF!</v>
      </c>
    </row>
    <row r="272" spans="1:5" ht="25.5">
      <c r="A272" s="461">
        <f t="shared" si="4"/>
        <v>238</v>
      </c>
      <c r="B272" s="459" t="s">
        <v>2883</v>
      </c>
      <c r="C272" s="459" t="s">
        <v>2883</v>
      </c>
      <c r="D272" s="460" t="s">
        <v>1769</v>
      </c>
      <c r="E272" s="456" t="e">
        <f>#REF!</f>
        <v>#REF!</v>
      </c>
    </row>
    <row r="273" spans="1:5">
      <c r="A273" s="461">
        <f t="shared" si="4"/>
        <v>239</v>
      </c>
      <c r="B273" s="459" t="s">
        <v>2884</v>
      </c>
      <c r="C273" s="459" t="s">
        <v>2884</v>
      </c>
      <c r="D273" s="460" t="s">
        <v>1769</v>
      </c>
      <c r="E273" s="456" t="e">
        <f>#REF!</f>
        <v>#REF!</v>
      </c>
    </row>
    <row r="274" spans="1:5">
      <c r="A274" s="461">
        <f t="shared" si="4"/>
        <v>240</v>
      </c>
      <c r="B274" s="459" t="s">
        <v>2885</v>
      </c>
      <c r="C274" s="459" t="s">
        <v>2885</v>
      </c>
      <c r="D274" s="460" t="s">
        <v>1769</v>
      </c>
      <c r="E274" s="456" t="e">
        <f>#REF!</f>
        <v>#REF!</v>
      </c>
    </row>
    <row r="275" spans="1:5" ht="47.25">
      <c r="A275" s="461">
        <f t="shared" si="4"/>
        <v>241</v>
      </c>
      <c r="B275" s="268" t="s">
        <v>1987</v>
      </c>
      <c r="C275" s="268" t="s">
        <v>1987</v>
      </c>
      <c r="D275" s="460" t="s">
        <v>1769</v>
      </c>
      <c r="E275" s="456" t="e">
        <f>#REF!</f>
        <v>#REF!</v>
      </c>
    </row>
    <row r="276" spans="1:5" ht="47.25">
      <c r="A276" s="461">
        <f t="shared" si="4"/>
        <v>242</v>
      </c>
      <c r="B276" s="268" t="s">
        <v>1986</v>
      </c>
      <c r="C276" s="268" t="s">
        <v>1986</v>
      </c>
      <c r="D276" s="460" t="s">
        <v>1769</v>
      </c>
      <c r="E276" s="456" t="e">
        <f>#REF!</f>
        <v>#REF!</v>
      </c>
    </row>
    <row r="277" spans="1:5" ht="47.25">
      <c r="A277" s="461">
        <f t="shared" si="4"/>
        <v>243</v>
      </c>
      <c r="B277" s="268" t="s">
        <v>1985</v>
      </c>
      <c r="C277" s="268" t="s">
        <v>2355</v>
      </c>
      <c r="D277" s="460" t="s">
        <v>1769</v>
      </c>
      <c r="E277" s="456" t="e">
        <f>#REF!</f>
        <v>#REF!</v>
      </c>
    </row>
    <row r="278" spans="1:5" ht="47.25">
      <c r="A278" s="461">
        <f t="shared" si="4"/>
        <v>244</v>
      </c>
      <c r="B278" s="268" t="s">
        <v>1984</v>
      </c>
      <c r="C278" s="268" t="s">
        <v>1984</v>
      </c>
      <c r="D278" s="460" t="s">
        <v>1769</v>
      </c>
      <c r="E278" s="456" t="e">
        <f>#REF!</f>
        <v>#REF!</v>
      </c>
    </row>
    <row r="279" spans="1:5" ht="47.25">
      <c r="A279" s="461">
        <f t="shared" si="4"/>
        <v>245</v>
      </c>
      <c r="B279" s="268" t="s">
        <v>1983</v>
      </c>
      <c r="C279" s="268" t="s">
        <v>1983</v>
      </c>
      <c r="D279" s="460" t="s">
        <v>1769</v>
      </c>
      <c r="E279" s="456" t="e">
        <f>#REF!</f>
        <v>#REF!</v>
      </c>
    </row>
    <row r="280" spans="1:5" ht="47.25">
      <c r="A280" s="461">
        <f t="shared" si="4"/>
        <v>246</v>
      </c>
      <c r="B280" s="268" t="s">
        <v>1982</v>
      </c>
      <c r="C280" s="268" t="s">
        <v>1982</v>
      </c>
      <c r="D280" s="466" t="s">
        <v>1769</v>
      </c>
      <c r="E280" s="456" t="e">
        <f>#REF!</f>
        <v>#REF!</v>
      </c>
    </row>
    <row r="281" spans="1:5" ht="47.25">
      <c r="A281" s="461">
        <f t="shared" si="4"/>
        <v>247</v>
      </c>
      <c r="B281" s="268" t="s">
        <v>1981</v>
      </c>
      <c r="C281" s="268" t="s">
        <v>1981</v>
      </c>
      <c r="D281" s="466" t="s">
        <v>1769</v>
      </c>
      <c r="E281" s="456" t="e">
        <f>#REF!</f>
        <v>#REF!</v>
      </c>
    </row>
    <row r="282" spans="1:5" ht="47.25">
      <c r="A282" s="461">
        <f t="shared" si="4"/>
        <v>248</v>
      </c>
      <c r="B282" s="268" t="s">
        <v>1980</v>
      </c>
      <c r="C282" s="268" t="s">
        <v>1981</v>
      </c>
      <c r="D282" s="466" t="s">
        <v>1769</v>
      </c>
      <c r="E282" s="456" t="e">
        <f>#REF!</f>
        <v>#REF!</v>
      </c>
    </row>
    <row r="283" spans="1:5" ht="63.75">
      <c r="A283" s="461">
        <f t="shared" si="4"/>
        <v>249</v>
      </c>
      <c r="B283" s="508" t="s">
        <v>2539</v>
      </c>
      <c r="C283" s="467" t="s">
        <v>2540</v>
      </c>
      <c r="D283" s="466" t="s">
        <v>1769</v>
      </c>
      <c r="E283" s="456" t="e">
        <f>#REF!</f>
        <v>#REF!</v>
      </c>
    </row>
    <row r="284" spans="1:5" ht="63.75">
      <c r="A284" s="461">
        <f t="shared" si="4"/>
        <v>250</v>
      </c>
      <c r="B284" s="508" t="s">
        <v>402</v>
      </c>
      <c r="C284" s="467" t="s">
        <v>1278</v>
      </c>
      <c r="D284" s="466" t="s">
        <v>1769</v>
      </c>
      <c r="E284" s="456" t="e">
        <f>#REF!</f>
        <v>#REF!</v>
      </c>
    </row>
    <row r="285" spans="1:5" ht="63.75">
      <c r="A285" s="461">
        <f t="shared" si="4"/>
        <v>251</v>
      </c>
      <c r="B285" s="508" t="s">
        <v>1279</v>
      </c>
      <c r="C285" s="467" t="s">
        <v>1280</v>
      </c>
      <c r="D285" s="466" t="s">
        <v>1769</v>
      </c>
      <c r="E285" s="456" t="e">
        <f>#REF!</f>
        <v>#REF!</v>
      </c>
    </row>
    <row r="286" spans="1:5" ht="51">
      <c r="A286" s="461">
        <f t="shared" si="4"/>
        <v>252</v>
      </c>
      <c r="B286" s="427" t="s">
        <v>922</v>
      </c>
      <c r="C286" s="427" t="s">
        <v>922</v>
      </c>
      <c r="D286" s="466" t="s">
        <v>1769</v>
      </c>
      <c r="E286" s="456" t="e">
        <f>#REF!</f>
        <v>#REF!</v>
      </c>
    </row>
    <row r="287" spans="1:5" ht="51">
      <c r="A287" s="461">
        <f t="shared" si="4"/>
        <v>253</v>
      </c>
      <c r="B287" s="427" t="s">
        <v>179</v>
      </c>
      <c r="C287" s="427" t="s">
        <v>179</v>
      </c>
      <c r="D287" s="466" t="s">
        <v>1769</v>
      </c>
      <c r="E287" s="456" t="e">
        <f>#REF!</f>
        <v>#REF!</v>
      </c>
    </row>
    <row r="288" spans="1:5" ht="63.75">
      <c r="A288" s="461">
        <f t="shared" si="4"/>
        <v>254</v>
      </c>
      <c r="B288" s="427" t="s">
        <v>1978</v>
      </c>
      <c r="C288" s="427" t="s">
        <v>1978</v>
      </c>
      <c r="D288" s="466" t="s">
        <v>1769</v>
      </c>
      <c r="E288" s="456" t="e">
        <f>#REF!</f>
        <v>#REF!</v>
      </c>
    </row>
    <row r="289" spans="1:5" ht="63.75">
      <c r="A289" s="461">
        <f t="shared" si="4"/>
        <v>255</v>
      </c>
      <c r="B289" s="427" t="s">
        <v>1979</v>
      </c>
      <c r="C289" s="427" t="s">
        <v>1979</v>
      </c>
      <c r="D289" s="466" t="s">
        <v>1769</v>
      </c>
      <c r="E289" s="456" t="e">
        <f>#REF!</f>
        <v>#REF!</v>
      </c>
    </row>
    <row r="290" spans="1:5" ht="25.5">
      <c r="A290" s="461">
        <f t="shared" ref="A290:A320" si="5">A289+1</f>
        <v>256</v>
      </c>
      <c r="B290" s="508" t="s">
        <v>1281</v>
      </c>
      <c r="C290" s="469" t="s">
        <v>1282</v>
      </c>
      <c r="D290" s="466" t="s">
        <v>1769</v>
      </c>
      <c r="E290" s="456" t="e">
        <f>#REF!</f>
        <v>#REF!</v>
      </c>
    </row>
    <row r="291" spans="1:5" ht="25.5">
      <c r="A291" s="461">
        <f t="shared" si="5"/>
        <v>257</v>
      </c>
      <c r="B291" s="508" t="s">
        <v>1283</v>
      </c>
      <c r="C291" s="469" t="s">
        <v>2105</v>
      </c>
      <c r="D291" s="466" t="s">
        <v>1769</v>
      </c>
      <c r="E291" s="456" t="e">
        <f>#REF!</f>
        <v>#REF!</v>
      </c>
    </row>
    <row r="292" spans="1:5" ht="76.5">
      <c r="A292" s="461">
        <f t="shared" si="5"/>
        <v>258</v>
      </c>
      <c r="B292" s="508" t="s">
        <v>2106</v>
      </c>
      <c r="C292" s="468" t="s">
        <v>2107</v>
      </c>
      <c r="D292" s="466" t="s">
        <v>1769</v>
      </c>
      <c r="E292" s="456" t="e">
        <f>#REF!</f>
        <v>#REF!</v>
      </c>
    </row>
    <row r="293" spans="1:5" ht="76.5">
      <c r="A293" s="461">
        <f t="shared" si="5"/>
        <v>259</v>
      </c>
      <c r="B293" s="508" t="s">
        <v>97</v>
      </c>
      <c r="C293" s="468" t="s">
        <v>98</v>
      </c>
      <c r="D293" s="466" t="s">
        <v>1769</v>
      </c>
      <c r="E293" s="456" t="e">
        <f>#REF!</f>
        <v>#REF!</v>
      </c>
    </row>
    <row r="294" spans="1:5" ht="38.25">
      <c r="A294" s="461">
        <f t="shared" si="5"/>
        <v>260</v>
      </c>
      <c r="B294" s="464" t="s">
        <v>99</v>
      </c>
      <c r="C294" s="469" t="s">
        <v>100</v>
      </c>
      <c r="D294" s="466" t="s">
        <v>1769</v>
      </c>
      <c r="E294" s="456" t="e">
        <f>#REF!</f>
        <v>#REF!</v>
      </c>
    </row>
    <row r="295" spans="1:5" ht="76.5">
      <c r="A295" s="461">
        <f t="shared" si="5"/>
        <v>261</v>
      </c>
      <c r="B295" s="464" t="s">
        <v>101</v>
      </c>
      <c r="C295" s="469" t="s">
        <v>102</v>
      </c>
      <c r="D295" s="466" t="s">
        <v>1769</v>
      </c>
      <c r="E295" s="456" t="e">
        <f>#REF!</f>
        <v>#REF!</v>
      </c>
    </row>
    <row r="296" spans="1:5" ht="38.25">
      <c r="A296" s="461">
        <f t="shared" si="5"/>
        <v>262</v>
      </c>
      <c r="B296" s="454" t="s">
        <v>2301</v>
      </c>
      <c r="C296" s="454" t="s">
        <v>2356</v>
      </c>
      <c r="D296" s="474"/>
      <c r="E296" s="456" t="e">
        <f>#REF!</f>
        <v>#REF!</v>
      </c>
    </row>
    <row r="297" spans="1:5" ht="51">
      <c r="A297" s="461">
        <f t="shared" si="5"/>
        <v>263</v>
      </c>
      <c r="B297" s="454" t="s">
        <v>2300</v>
      </c>
      <c r="C297" s="454" t="s">
        <v>2357</v>
      </c>
      <c r="D297" s="474"/>
      <c r="E297" s="456" t="e">
        <f>#REF!</f>
        <v>#REF!</v>
      </c>
    </row>
    <row r="298" spans="1:5" ht="51">
      <c r="A298" s="461">
        <f t="shared" si="5"/>
        <v>264</v>
      </c>
      <c r="B298" s="459" t="s">
        <v>509</v>
      </c>
      <c r="C298" s="459" t="s">
        <v>2358</v>
      </c>
      <c r="D298" s="474"/>
      <c r="E298" s="456" t="e">
        <f>#REF!</f>
        <v>#REF!</v>
      </c>
    </row>
    <row r="299" spans="1:5" ht="51">
      <c r="A299" s="461">
        <f t="shared" si="5"/>
        <v>265</v>
      </c>
      <c r="B299" s="459" t="s">
        <v>510</v>
      </c>
      <c r="C299" s="459" t="s">
        <v>2359</v>
      </c>
      <c r="D299" s="474"/>
      <c r="E299" s="456" t="e">
        <f>#REF!</f>
        <v>#REF!</v>
      </c>
    </row>
    <row r="300" spans="1:5" ht="38.25">
      <c r="A300" s="461">
        <f t="shared" si="5"/>
        <v>266</v>
      </c>
      <c r="B300" s="454" t="s">
        <v>511</v>
      </c>
      <c r="C300" s="454" t="s">
        <v>2360</v>
      </c>
      <c r="D300" s="474"/>
      <c r="E300" s="456" t="e">
        <f>#REF!</f>
        <v>#REF!</v>
      </c>
    </row>
    <row r="301" spans="1:5" ht="38.25">
      <c r="A301" s="461">
        <f t="shared" si="5"/>
        <v>267</v>
      </c>
      <c r="B301" s="454" t="s">
        <v>512</v>
      </c>
      <c r="C301" s="454" t="s">
        <v>2367</v>
      </c>
      <c r="D301" s="474"/>
      <c r="E301" s="456" t="e">
        <f>#REF!</f>
        <v>#REF!</v>
      </c>
    </row>
    <row r="302" spans="1:5" ht="51">
      <c r="A302" s="461">
        <f t="shared" si="5"/>
        <v>268</v>
      </c>
      <c r="B302" s="454" t="s">
        <v>513</v>
      </c>
      <c r="C302" s="454" t="s">
        <v>2368</v>
      </c>
      <c r="D302" s="474"/>
      <c r="E302" s="456" t="e">
        <f>#REF!</f>
        <v>#REF!</v>
      </c>
    </row>
    <row r="303" spans="1:5" ht="81.75" customHeight="1">
      <c r="A303" s="461">
        <f t="shared" si="5"/>
        <v>269</v>
      </c>
      <c r="B303" s="268" t="s">
        <v>2602</v>
      </c>
      <c r="C303" s="268" t="s">
        <v>2369</v>
      </c>
      <c r="D303" s="474"/>
      <c r="E303" s="456" t="e">
        <f>#REF!</f>
        <v>#REF!</v>
      </c>
    </row>
    <row r="304" spans="1:5" s="476" customFormat="1" ht="38.25">
      <c r="A304" s="461">
        <f t="shared" si="5"/>
        <v>270</v>
      </c>
      <c r="B304" s="454" t="s">
        <v>2439</v>
      </c>
      <c r="C304" s="454" t="s">
        <v>1868</v>
      </c>
      <c r="D304" s="474"/>
      <c r="E304" s="456" t="e">
        <f>#REF!</f>
        <v>#REF!</v>
      </c>
    </row>
    <row r="305" spans="1:5" ht="38.25">
      <c r="A305" s="461">
        <f t="shared" si="5"/>
        <v>271</v>
      </c>
      <c r="B305" s="341" t="s">
        <v>1977</v>
      </c>
      <c r="C305" s="341" t="s">
        <v>1867</v>
      </c>
      <c r="D305" s="474"/>
      <c r="E305" s="456" t="e">
        <f>#REF!</f>
        <v>#REF!</v>
      </c>
    </row>
    <row r="306" spans="1:5" ht="38.25">
      <c r="A306" s="461">
        <f t="shared" si="5"/>
        <v>272</v>
      </c>
      <c r="B306" s="427" t="s">
        <v>1976</v>
      </c>
      <c r="C306" s="427" t="s">
        <v>2815</v>
      </c>
      <c r="D306" s="477"/>
      <c r="E306" s="456" t="e">
        <f>#REF!</f>
        <v>#REF!</v>
      </c>
    </row>
    <row r="307" spans="1:5" ht="38.25">
      <c r="A307" s="461">
        <f t="shared" si="5"/>
        <v>273</v>
      </c>
      <c r="B307" s="341" t="s">
        <v>2308</v>
      </c>
      <c r="C307" s="341" t="s">
        <v>2308</v>
      </c>
      <c r="D307" s="477"/>
      <c r="E307" s="456" t="e">
        <f>#REF!</f>
        <v>#REF!</v>
      </c>
    </row>
    <row r="308" spans="1:5" ht="38.25">
      <c r="A308" s="461">
        <f t="shared" si="5"/>
        <v>274</v>
      </c>
      <c r="B308" s="341" t="s">
        <v>3210</v>
      </c>
      <c r="C308" s="341" t="s">
        <v>3210</v>
      </c>
      <c r="D308" s="477"/>
      <c r="E308" s="456" t="e">
        <f>#REF!</f>
        <v>#REF!</v>
      </c>
    </row>
    <row r="309" spans="1:5" ht="38.25">
      <c r="A309" s="461">
        <f t="shared" si="5"/>
        <v>275</v>
      </c>
      <c r="B309" s="341" t="s">
        <v>3209</v>
      </c>
      <c r="C309" s="341" t="s">
        <v>3209</v>
      </c>
      <c r="D309" s="477"/>
      <c r="E309" s="456" t="e">
        <f>#REF!</f>
        <v>#REF!</v>
      </c>
    </row>
    <row r="310" spans="1:5" s="476" customFormat="1" ht="38.25">
      <c r="A310" s="461">
        <f t="shared" si="5"/>
        <v>276</v>
      </c>
      <c r="B310" s="341" t="s">
        <v>3208</v>
      </c>
      <c r="C310" s="341" t="s">
        <v>3208</v>
      </c>
      <c r="D310" s="477"/>
      <c r="E310" s="456" t="e">
        <f>#REF!</f>
        <v>#REF!</v>
      </c>
    </row>
    <row r="311" spans="1:5" s="476" customFormat="1" ht="38.25">
      <c r="A311" s="461">
        <f t="shared" si="5"/>
        <v>277</v>
      </c>
      <c r="B311" s="341" t="s">
        <v>3213</v>
      </c>
      <c r="C311" s="341" t="s">
        <v>3213</v>
      </c>
      <c r="D311" s="477"/>
      <c r="E311" s="456" t="e">
        <f>#REF!</f>
        <v>#REF!</v>
      </c>
    </row>
    <row r="312" spans="1:5" s="476" customFormat="1" ht="38.25">
      <c r="A312" s="461">
        <f t="shared" si="5"/>
        <v>278</v>
      </c>
      <c r="B312" s="341" t="s">
        <v>2364</v>
      </c>
      <c r="C312" s="341" t="s">
        <v>2364</v>
      </c>
      <c r="D312" s="477"/>
      <c r="E312" s="456" t="e">
        <f>#REF!</f>
        <v>#REF!</v>
      </c>
    </row>
    <row r="313" spans="1:5" s="476" customFormat="1" ht="38.25">
      <c r="A313" s="461">
        <f t="shared" si="5"/>
        <v>279</v>
      </c>
      <c r="B313" s="341" t="s">
        <v>2363</v>
      </c>
      <c r="C313" s="341" t="s">
        <v>2363</v>
      </c>
      <c r="D313" s="477"/>
      <c r="E313" s="456" t="e">
        <f>#REF!</f>
        <v>#REF!</v>
      </c>
    </row>
    <row r="314" spans="1:5" s="476" customFormat="1" ht="38.25">
      <c r="A314" s="461">
        <f t="shared" si="5"/>
        <v>280</v>
      </c>
      <c r="B314" s="341" t="s">
        <v>2362</v>
      </c>
      <c r="C314" s="341" t="s">
        <v>2362</v>
      </c>
      <c r="D314" s="477"/>
      <c r="E314" s="456" t="e">
        <f>#REF!</f>
        <v>#REF!</v>
      </c>
    </row>
    <row r="315" spans="1:5" s="476" customFormat="1" ht="38.25">
      <c r="A315" s="461">
        <f t="shared" si="5"/>
        <v>281</v>
      </c>
      <c r="B315" s="341" t="s">
        <v>2361</v>
      </c>
      <c r="C315" s="341" t="s">
        <v>2361</v>
      </c>
      <c r="D315" s="477"/>
      <c r="E315" s="456" t="e">
        <f>#REF!</f>
        <v>#REF!</v>
      </c>
    </row>
    <row r="316" spans="1:5" s="476" customFormat="1" ht="38.25">
      <c r="A316" s="461">
        <f t="shared" si="5"/>
        <v>282</v>
      </c>
      <c r="B316" s="341" t="s">
        <v>2441</v>
      </c>
      <c r="C316" s="341" t="s">
        <v>2441</v>
      </c>
      <c r="D316" s="477"/>
      <c r="E316" s="456" t="e">
        <f>#REF!</f>
        <v>#REF!</v>
      </c>
    </row>
    <row r="317" spans="1:5" s="476" customFormat="1" ht="38.25">
      <c r="A317" s="461">
        <f t="shared" si="5"/>
        <v>283</v>
      </c>
      <c r="B317" s="341" t="s">
        <v>882</v>
      </c>
      <c r="C317" s="341" t="s">
        <v>882</v>
      </c>
      <c r="D317" s="477"/>
      <c r="E317" s="456" t="e">
        <f>#REF!</f>
        <v>#REF!</v>
      </c>
    </row>
    <row r="318" spans="1:5" s="476" customFormat="1" ht="38.25">
      <c r="A318" s="461">
        <f t="shared" si="5"/>
        <v>284</v>
      </c>
      <c r="B318" s="454" t="s">
        <v>2440</v>
      </c>
      <c r="C318" s="454" t="s">
        <v>2440</v>
      </c>
      <c r="D318" s="477"/>
      <c r="E318" s="456" t="e">
        <f>#REF!</f>
        <v>#REF!</v>
      </c>
    </row>
    <row r="319" spans="1:5" s="476" customFormat="1" ht="25.5">
      <c r="A319" s="461">
        <f t="shared" si="5"/>
        <v>285</v>
      </c>
      <c r="B319" s="427" t="s">
        <v>2412</v>
      </c>
      <c r="C319" s="427" t="s">
        <v>2412</v>
      </c>
      <c r="D319" s="477"/>
      <c r="E319" s="456" t="e">
        <f>#REF!</f>
        <v>#REF!</v>
      </c>
    </row>
    <row r="320" spans="1:5" s="476" customFormat="1" ht="25.5">
      <c r="A320" s="461">
        <f t="shared" si="5"/>
        <v>286</v>
      </c>
      <c r="B320" s="509" t="s">
        <v>2413</v>
      </c>
      <c r="C320" s="509" t="s">
        <v>2413</v>
      </c>
      <c r="D320" s="477"/>
      <c r="E320" s="456" t="e">
        <f>#REF!</f>
        <v>#REF!</v>
      </c>
    </row>
    <row r="321" spans="1:5">
      <c r="A321" s="461"/>
      <c r="B321" s="459"/>
      <c r="C321" s="459"/>
      <c r="D321" s="460"/>
      <c r="E321" s="478"/>
    </row>
    <row r="322" spans="1:5">
      <c r="A322" s="461"/>
      <c r="B322" s="459"/>
      <c r="C322" s="459"/>
      <c r="D322" s="460"/>
      <c r="E322" s="478"/>
    </row>
    <row r="323" spans="1:5">
      <c r="A323" s="461"/>
      <c r="B323" s="473"/>
      <c r="C323" s="473"/>
      <c r="D323" s="474"/>
      <c r="E323" s="478"/>
    </row>
    <row r="324" spans="1:5">
      <c r="A324" s="461"/>
      <c r="B324" s="473"/>
      <c r="C324" s="473"/>
      <c r="D324" s="474"/>
      <c r="E324" s="478"/>
    </row>
    <row r="325" spans="1:5">
      <c r="A325" s="461"/>
      <c r="B325" s="459"/>
      <c r="C325" s="459"/>
      <c r="D325" s="460"/>
      <c r="E325" s="478"/>
    </row>
    <row r="326" spans="1:5">
      <c r="A326" s="461"/>
      <c r="B326" s="459"/>
      <c r="C326" s="459"/>
      <c r="D326" s="460"/>
      <c r="E326" s="478"/>
    </row>
    <row r="327" spans="1:5" s="483" customFormat="1">
      <c r="A327" s="479">
        <v>1000</v>
      </c>
      <c r="B327" s="480" t="s">
        <v>1237</v>
      </c>
      <c r="C327" s="480" t="s">
        <v>1237</v>
      </c>
      <c r="D327" s="481"/>
      <c r="E327" s="482"/>
    </row>
    <row r="328" spans="1:5" ht="63.75">
      <c r="A328" s="461">
        <v>1001</v>
      </c>
      <c r="B328" s="484" t="s">
        <v>1238</v>
      </c>
      <c r="C328" s="485" t="s">
        <v>3240</v>
      </c>
      <c r="D328" s="486" t="s">
        <v>3241</v>
      </c>
      <c r="E328" s="520">
        <v>8595.67</v>
      </c>
    </row>
    <row r="329" spans="1:5" ht="63.75">
      <c r="A329" s="461">
        <v>1002</v>
      </c>
      <c r="B329" s="484" t="s">
        <v>1701</v>
      </c>
      <c r="C329" s="485" t="s">
        <v>1702</v>
      </c>
      <c r="D329" s="486" t="s">
        <v>3241</v>
      </c>
      <c r="E329" s="520">
        <v>7746.36</v>
      </c>
    </row>
    <row r="330" spans="1:5" ht="63.75">
      <c r="A330" s="461">
        <v>1003</v>
      </c>
      <c r="B330" s="484" t="s">
        <v>840</v>
      </c>
      <c r="C330" s="485" t="s">
        <v>841</v>
      </c>
      <c r="D330" s="486" t="s">
        <v>3241</v>
      </c>
      <c r="E330" s="520">
        <v>7798.2</v>
      </c>
    </row>
    <row r="331" spans="1:5" ht="25.5">
      <c r="A331" s="461">
        <v>1004</v>
      </c>
      <c r="B331" s="484" t="s">
        <v>842</v>
      </c>
      <c r="C331" s="459" t="s">
        <v>843</v>
      </c>
      <c r="D331" s="486" t="s">
        <v>3241</v>
      </c>
      <c r="E331" s="520">
        <v>3496.05</v>
      </c>
    </row>
    <row r="332" spans="1:5" ht="25.5">
      <c r="A332" s="461">
        <v>1005</v>
      </c>
      <c r="B332" s="459" t="s">
        <v>844</v>
      </c>
      <c r="C332" s="459" t="s">
        <v>845</v>
      </c>
      <c r="D332" s="486" t="s">
        <v>3241</v>
      </c>
      <c r="E332" s="520">
        <v>5099.6099999999997</v>
      </c>
    </row>
    <row r="333" spans="1:5">
      <c r="A333" s="461">
        <v>1006</v>
      </c>
      <c r="B333" s="459" t="s">
        <v>846</v>
      </c>
      <c r="C333" s="459" t="s">
        <v>847</v>
      </c>
      <c r="D333" s="486" t="s">
        <v>3241</v>
      </c>
      <c r="E333" s="520">
        <v>3980.78</v>
      </c>
    </row>
    <row r="334" spans="1:5" ht="41.25" customHeight="1">
      <c r="A334" s="461">
        <v>1007</v>
      </c>
      <c r="B334" s="454" t="s">
        <v>848</v>
      </c>
      <c r="C334" s="454" t="s">
        <v>849</v>
      </c>
      <c r="D334" s="486" t="s">
        <v>3241</v>
      </c>
      <c r="E334" s="520">
        <v>7913.8450000000003</v>
      </c>
    </row>
    <row r="335" spans="1:5" ht="51">
      <c r="A335" s="461">
        <v>1008</v>
      </c>
      <c r="B335" s="454" t="s">
        <v>850</v>
      </c>
      <c r="C335" s="454" t="s">
        <v>860</v>
      </c>
      <c r="D335" s="486" t="s">
        <v>3241</v>
      </c>
      <c r="E335" s="520">
        <v>16809.759999999998</v>
      </c>
    </row>
    <row r="336" spans="1:5" ht="51">
      <c r="A336" s="461">
        <v>1009</v>
      </c>
      <c r="B336" s="454" t="s">
        <v>861</v>
      </c>
      <c r="C336" s="454" t="s">
        <v>862</v>
      </c>
      <c r="D336" s="486" t="s">
        <v>3241</v>
      </c>
      <c r="E336" s="520">
        <v>13115.23</v>
      </c>
    </row>
    <row r="337" spans="1:5" ht="38.25">
      <c r="A337" s="461">
        <v>1010</v>
      </c>
      <c r="B337" s="454" t="s">
        <v>766</v>
      </c>
      <c r="C337" s="454" t="s">
        <v>2109</v>
      </c>
      <c r="D337" s="486" t="s">
        <v>3241</v>
      </c>
      <c r="E337" s="520">
        <v>17360.86</v>
      </c>
    </row>
    <row r="338" spans="1:5" ht="38.25">
      <c r="A338" s="461">
        <v>1011</v>
      </c>
      <c r="B338" s="454" t="s">
        <v>2110</v>
      </c>
      <c r="C338" s="454" t="s">
        <v>2111</v>
      </c>
      <c r="D338" s="486" t="s">
        <v>3241</v>
      </c>
      <c r="E338" s="520">
        <v>35809.730000000003</v>
      </c>
    </row>
    <row r="339" spans="1:5" ht="63.75">
      <c r="A339" s="461">
        <v>1012</v>
      </c>
      <c r="B339" s="454" t="s">
        <v>2112</v>
      </c>
      <c r="C339" s="454" t="s">
        <v>3020</v>
      </c>
      <c r="D339" s="486" t="s">
        <v>3241</v>
      </c>
      <c r="E339" s="520">
        <v>6900.92</v>
      </c>
    </row>
    <row r="340" spans="1:5" ht="76.5">
      <c r="A340" s="461">
        <v>1013</v>
      </c>
      <c r="B340" s="454" t="s">
        <v>3021</v>
      </c>
      <c r="C340" s="454" t="s">
        <v>3022</v>
      </c>
      <c r="D340" s="486" t="s">
        <v>3241</v>
      </c>
      <c r="E340" s="520">
        <v>7210.38</v>
      </c>
    </row>
    <row r="341" spans="1:5" ht="76.5">
      <c r="A341" s="461">
        <v>1014</v>
      </c>
      <c r="B341" s="454" t="s">
        <v>2196</v>
      </c>
      <c r="C341" s="454" t="s">
        <v>2165</v>
      </c>
      <c r="D341" s="486" t="s">
        <v>3241</v>
      </c>
      <c r="E341" s="520">
        <v>8448.24</v>
      </c>
    </row>
    <row r="342" spans="1:5" ht="76.5">
      <c r="A342" s="461">
        <v>1015</v>
      </c>
      <c r="B342" s="454" t="s">
        <v>2166</v>
      </c>
      <c r="C342" s="454" t="s">
        <v>2167</v>
      </c>
      <c r="D342" s="486" t="s">
        <v>3241</v>
      </c>
      <c r="E342" s="520">
        <v>8259.69</v>
      </c>
    </row>
    <row r="343" spans="1:5" ht="76.5">
      <c r="A343" s="461">
        <v>1016</v>
      </c>
      <c r="B343" s="454" t="s">
        <v>1067</v>
      </c>
      <c r="C343" s="454" t="s">
        <v>1068</v>
      </c>
      <c r="D343" s="486" t="s">
        <v>3241</v>
      </c>
      <c r="E343" s="520">
        <v>8164.17</v>
      </c>
    </row>
    <row r="344" spans="1:5" ht="63.75">
      <c r="A344" s="461">
        <v>1017</v>
      </c>
      <c r="B344" s="454" t="s">
        <v>1069</v>
      </c>
      <c r="C344" s="454" t="s">
        <v>1070</v>
      </c>
      <c r="D344" s="486" t="s">
        <v>3241</v>
      </c>
      <c r="E344" s="520">
        <v>3947.91</v>
      </c>
    </row>
    <row r="345" spans="1:5" ht="63.75">
      <c r="A345" s="461">
        <v>1018</v>
      </c>
      <c r="B345" s="454" t="s">
        <v>1071</v>
      </c>
      <c r="C345" s="454" t="s">
        <v>1072</v>
      </c>
      <c r="D345" s="486" t="s">
        <v>3241</v>
      </c>
      <c r="E345" s="520">
        <v>4016.95</v>
      </c>
    </row>
    <row r="346" spans="1:5" ht="63.75">
      <c r="A346" s="461">
        <v>1019</v>
      </c>
      <c r="B346" s="454" t="s">
        <v>650</v>
      </c>
      <c r="C346" s="454" t="s">
        <v>651</v>
      </c>
      <c r="D346" s="486" t="s">
        <v>3241</v>
      </c>
      <c r="E346" s="520">
        <v>4696.3100000000004</v>
      </c>
    </row>
    <row r="347" spans="1:5" ht="63.75">
      <c r="A347" s="461">
        <v>1020</v>
      </c>
      <c r="B347" s="454" t="s">
        <v>652</v>
      </c>
      <c r="C347" s="454" t="s">
        <v>653</v>
      </c>
      <c r="D347" s="486" t="s">
        <v>3241</v>
      </c>
      <c r="E347" s="520">
        <v>5930.59</v>
      </c>
    </row>
    <row r="348" spans="1:5" ht="38.25">
      <c r="A348" s="461">
        <v>1021</v>
      </c>
      <c r="B348" s="454" t="s">
        <v>654</v>
      </c>
      <c r="C348" s="454" t="s">
        <v>655</v>
      </c>
      <c r="D348" s="486" t="s">
        <v>3241</v>
      </c>
      <c r="E348" s="520">
        <v>7199.41</v>
      </c>
    </row>
    <row r="349" spans="1:5" ht="25.5">
      <c r="A349" s="461">
        <v>1022</v>
      </c>
      <c r="B349" s="454" t="s">
        <v>656</v>
      </c>
      <c r="C349" s="454" t="s">
        <v>657</v>
      </c>
      <c r="D349" s="486" t="s">
        <v>3241</v>
      </c>
      <c r="E349" s="520">
        <v>3511.8</v>
      </c>
    </row>
    <row r="350" spans="1:5" ht="38.25">
      <c r="A350" s="461">
        <v>1023</v>
      </c>
      <c r="B350" s="454" t="s">
        <v>658</v>
      </c>
      <c r="C350" s="454" t="s">
        <v>659</v>
      </c>
      <c r="D350" s="486" t="s">
        <v>3241</v>
      </c>
      <c r="E350" s="520">
        <v>4535.41</v>
      </c>
    </row>
    <row r="351" spans="1:5" ht="25.5">
      <c r="A351" s="461">
        <v>1024</v>
      </c>
      <c r="B351" s="454" t="s">
        <v>660</v>
      </c>
      <c r="C351" s="454" t="s">
        <v>1081</v>
      </c>
      <c r="D351" s="486" t="s">
        <v>3241</v>
      </c>
      <c r="E351" s="520">
        <v>2466.96</v>
      </c>
    </row>
    <row r="352" spans="1:5" ht="25.5">
      <c r="A352" s="461">
        <v>1025</v>
      </c>
      <c r="B352" s="454" t="s">
        <v>1082</v>
      </c>
      <c r="C352" s="454" t="s">
        <v>1082</v>
      </c>
      <c r="D352" s="486" t="s">
        <v>3241</v>
      </c>
      <c r="E352" s="520">
        <v>7436.55</v>
      </c>
    </row>
    <row r="353" spans="1:5" ht="25.5">
      <c r="A353" s="461">
        <v>1026</v>
      </c>
      <c r="B353" s="454" t="s">
        <v>1083</v>
      </c>
      <c r="C353" s="454" t="s">
        <v>1084</v>
      </c>
      <c r="D353" s="486" t="s">
        <v>3241</v>
      </c>
      <c r="E353" s="520">
        <v>3415.5950000000003</v>
      </c>
    </row>
    <row r="354" spans="1:5" ht="25.5">
      <c r="A354" s="461">
        <v>1027</v>
      </c>
      <c r="B354" s="454" t="s">
        <v>1085</v>
      </c>
      <c r="C354" s="454" t="s">
        <v>1086</v>
      </c>
      <c r="D354" s="486" t="s">
        <v>3241</v>
      </c>
      <c r="E354" s="520">
        <v>2307.4699999999998</v>
      </c>
    </row>
    <row r="355" spans="1:5" ht="25.5">
      <c r="A355" s="461">
        <v>1028</v>
      </c>
      <c r="B355" s="454" t="s">
        <v>1087</v>
      </c>
      <c r="C355" s="454" t="s">
        <v>1087</v>
      </c>
      <c r="D355" s="486" t="s">
        <v>3241</v>
      </c>
      <c r="E355" s="520">
        <v>2406.6950000000002</v>
      </c>
    </row>
    <row r="356" spans="1:5" ht="25.5">
      <c r="A356" s="461">
        <v>1029</v>
      </c>
      <c r="B356" s="454" t="s">
        <v>1088</v>
      </c>
      <c r="C356" s="454" t="s">
        <v>1088</v>
      </c>
      <c r="D356" s="486" t="s">
        <v>3241</v>
      </c>
      <c r="E356" s="520">
        <v>60609.78</v>
      </c>
    </row>
    <row r="357" spans="1:5">
      <c r="A357" s="461">
        <v>1030</v>
      </c>
      <c r="B357" s="454" t="s">
        <v>1089</v>
      </c>
      <c r="C357" s="454" t="s">
        <v>1090</v>
      </c>
      <c r="D357" s="486" t="s">
        <v>1091</v>
      </c>
      <c r="E357" s="520">
        <v>17300.565000000002</v>
      </c>
    </row>
    <row r="358" spans="1:5">
      <c r="A358" s="461">
        <v>1031</v>
      </c>
      <c r="B358" s="454" t="s">
        <v>1092</v>
      </c>
      <c r="C358" s="454" t="s">
        <v>1093</v>
      </c>
      <c r="D358" s="486" t="s">
        <v>1091</v>
      </c>
      <c r="E358" s="520">
        <v>21434.184999999998</v>
      </c>
    </row>
    <row r="359" spans="1:5">
      <c r="A359" s="461">
        <v>1032</v>
      </c>
      <c r="B359" s="454" t="s">
        <v>1201</v>
      </c>
      <c r="C359" s="454" t="s">
        <v>1202</v>
      </c>
      <c r="D359" s="486" t="s">
        <v>1091</v>
      </c>
      <c r="E359" s="520">
        <v>25069.59</v>
      </c>
    </row>
    <row r="360" spans="1:5">
      <c r="A360" s="461">
        <v>1033</v>
      </c>
      <c r="B360" s="454" t="s">
        <v>1203</v>
      </c>
      <c r="C360" s="454" t="s">
        <v>1204</v>
      </c>
      <c r="D360" s="486" t="s">
        <v>1091</v>
      </c>
      <c r="E360" s="520">
        <v>30127.435000000001</v>
      </c>
    </row>
    <row r="361" spans="1:5" ht="25.5">
      <c r="A361" s="461">
        <v>1034</v>
      </c>
      <c r="B361" s="454" t="s">
        <v>1205</v>
      </c>
      <c r="C361" s="454" t="s">
        <v>1206</v>
      </c>
      <c r="D361" s="486" t="s">
        <v>1091</v>
      </c>
      <c r="E361" s="520">
        <v>10603</v>
      </c>
    </row>
    <row r="362" spans="1:5" ht="25.5">
      <c r="A362" s="461">
        <v>1035</v>
      </c>
      <c r="B362" s="454" t="s">
        <v>323</v>
      </c>
      <c r="C362" s="454" t="s">
        <v>324</v>
      </c>
      <c r="D362" s="486" t="s">
        <v>1091</v>
      </c>
      <c r="E362" s="520">
        <v>6379.62</v>
      </c>
    </row>
    <row r="363" spans="1:5" ht="25.5">
      <c r="A363" s="461">
        <v>1036</v>
      </c>
      <c r="B363" s="454" t="s">
        <v>325</v>
      </c>
      <c r="C363" s="454" t="s">
        <v>326</v>
      </c>
      <c r="D363" s="486" t="s">
        <v>1091</v>
      </c>
      <c r="E363" s="520">
        <v>19394.75</v>
      </c>
    </row>
    <row r="364" spans="1:5">
      <c r="A364" s="461">
        <v>1037</v>
      </c>
      <c r="B364" s="454" t="s">
        <v>327</v>
      </c>
      <c r="C364" s="454" t="s">
        <v>328</v>
      </c>
      <c r="D364" s="486" t="s">
        <v>1091</v>
      </c>
      <c r="E364" s="520">
        <v>5583.06</v>
      </c>
    </row>
    <row r="365" spans="1:5">
      <c r="A365" s="461">
        <v>1038</v>
      </c>
      <c r="B365" s="454" t="s">
        <v>1207</v>
      </c>
      <c r="C365" s="454" t="s">
        <v>1208</v>
      </c>
      <c r="D365" s="486" t="s">
        <v>1091</v>
      </c>
      <c r="E365" s="520">
        <v>12998.91</v>
      </c>
    </row>
    <row r="366" spans="1:5" ht="25.5">
      <c r="A366" s="461">
        <v>1039</v>
      </c>
      <c r="B366" s="454" t="s">
        <v>1209</v>
      </c>
      <c r="C366" s="454" t="s">
        <v>1209</v>
      </c>
      <c r="D366" s="486" t="s">
        <v>1091</v>
      </c>
      <c r="E366" s="520">
        <v>28083.63</v>
      </c>
    </row>
    <row r="367" spans="1:5" ht="25.5">
      <c r="A367" s="461">
        <v>1040</v>
      </c>
      <c r="B367" s="454" t="s">
        <v>1642</v>
      </c>
      <c r="C367" s="454" t="s">
        <v>1643</v>
      </c>
      <c r="D367" s="486" t="s">
        <v>1091</v>
      </c>
      <c r="E367" s="520">
        <v>8232.56</v>
      </c>
    </row>
    <row r="368" spans="1:5" ht="25.5">
      <c r="A368" s="461">
        <v>1041</v>
      </c>
      <c r="B368" s="454" t="s">
        <v>1644</v>
      </c>
      <c r="C368" s="454" t="s">
        <v>1645</v>
      </c>
      <c r="D368" s="486" t="s">
        <v>1091</v>
      </c>
      <c r="E368" s="520">
        <v>11453.37</v>
      </c>
    </row>
    <row r="369" spans="1:5" ht="25.5">
      <c r="A369" s="461">
        <v>1042</v>
      </c>
      <c r="B369" s="454" t="s">
        <v>1646</v>
      </c>
      <c r="C369" s="454" t="s">
        <v>1646</v>
      </c>
      <c r="D369" s="486" t="s">
        <v>1091</v>
      </c>
      <c r="E369" s="520">
        <v>16248.895</v>
      </c>
    </row>
    <row r="370" spans="1:5" ht="25.5">
      <c r="A370" s="461">
        <v>1043</v>
      </c>
      <c r="B370" s="454" t="s">
        <v>1647</v>
      </c>
      <c r="C370" s="454" t="s">
        <v>1647</v>
      </c>
      <c r="D370" s="486" t="s">
        <v>1091</v>
      </c>
      <c r="E370" s="520">
        <v>25905.07</v>
      </c>
    </row>
    <row r="371" spans="1:5" ht="25.5">
      <c r="A371" s="461">
        <v>1044</v>
      </c>
      <c r="B371" s="454" t="s">
        <v>750</v>
      </c>
      <c r="C371" s="454" t="s">
        <v>751</v>
      </c>
      <c r="D371" s="486" t="s">
        <v>1091</v>
      </c>
      <c r="E371" s="520">
        <v>27467.75</v>
      </c>
    </row>
    <row r="372" spans="1:5" ht="25.5">
      <c r="A372" s="461">
        <v>1045</v>
      </c>
      <c r="B372" s="454" t="s">
        <v>752</v>
      </c>
      <c r="C372" s="454" t="s">
        <v>63</v>
      </c>
      <c r="D372" s="486" t="s">
        <v>1091</v>
      </c>
      <c r="E372" s="520">
        <v>33267.455000000002</v>
      </c>
    </row>
    <row r="373" spans="1:5" ht="38.25">
      <c r="A373" s="461">
        <v>1046</v>
      </c>
      <c r="B373" s="454" t="s">
        <v>64</v>
      </c>
      <c r="C373" s="454" t="s">
        <v>65</v>
      </c>
      <c r="D373" s="486" t="s">
        <v>1091</v>
      </c>
      <c r="E373" s="520">
        <v>861.98</v>
      </c>
    </row>
    <row r="374" spans="1:5" ht="38.25">
      <c r="A374" s="461">
        <v>1047</v>
      </c>
      <c r="B374" s="454" t="s">
        <v>66</v>
      </c>
      <c r="C374" s="454" t="s">
        <v>1653</v>
      </c>
      <c r="D374" s="486" t="s">
        <v>1091</v>
      </c>
      <c r="E374" s="520">
        <v>567.98500000000001</v>
      </c>
    </row>
    <row r="375" spans="1:5" ht="27" customHeight="1">
      <c r="A375" s="461">
        <v>1048</v>
      </c>
      <c r="B375" s="454" t="s">
        <v>1654</v>
      </c>
      <c r="C375" s="454" t="s">
        <v>1654</v>
      </c>
      <c r="D375" s="486" t="s">
        <v>1091</v>
      </c>
      <c r="E375" s="520">
        <v>409.68</v>
      </c>
    </row>
    <row r="376" spans="1:5" ht="25.5">
      <c r="A376" s="461">
        <v>1049</v>
      </c>
      <c r="B376" s="454" t="s">
        <v>1094</v>
      </c>
      <c r="C376" s="454" t="s">
        <v>1094</v>
      </c>
      <c r="D376" s="486" t="s">
        <v>1091</v>
      </c>
      <c r="E376" s="520">
        <v>3365.0750000000003</v>
      </c>
    </row>
    <row r="377" spans="1:5" ht="38.25">
      <c r="A377" s="461">
        <v>1050</v>
      </c>
      <c r="B377" s="454" t="s">
        <v>1095</v>
      </c>
      <c r="C377" s="454" t="s">
        <v>1096</v>
      </c>
      <c r="D377" s="486" t="s">
        <v>1091</v>
      </c>
      <c r="E377" s="520">
        <v>635.83000000000004</v>
      </c>
    </row>
    <row r="378" spans="1:5" ht="27" customHeight="1">
      <c r="A378" s="461">
        <v>1051</v>
      </c>
      <c r="B378" s="454" t="s">
        <v>1097</v>
      </c>
      <c r="C378" s="454" t="s">
        <v>1097</v>
      </c>
      <c r="D378" s="486" t="s">
        <v>1091</v>
      </c>
      <c r="E378" s="520">
        <v>350.17</v>
      </c>
    </row>
    <row r="379" spans="1:5" ht="38.25">
      <c r="A379" s="461">
        <v>1052</v>
      </c>
      <c r="B379" s="454" t="s">
        <v>2004</v>
      </c>
      <c r="C379" s="454" t="s">
        <v>2004</v>
      </c>
      <c r="D379" s="486" t="s">
        <v>1091</v>
      </c>
      <c r="E379" s="520">
        <v>1841.8422222222223</v>
      </c>
    </row>
    <row r="380" spans="1:5" ht="25.5">
      <c r="A380" s="461">
        <v>1053</v>
      </c>
      <c r="B380" s="454" t="s">
        <v>2005</v>
      </c>
      <c r="C380" s="454" t="s">
        <v>2006</v>
      </c>
      <c r="D380" s="486" t="s">
        <v>1091</v>
      </c>
      <c r="E380" s="520">
        <v>607.91</v>
      </c>
    </row>
    <row r="381" spans="1:5" ht="25.5">
      <c r="A381" s="461">
        <v>1054</v>
      </c>
      <c r="B381" s="454" t="s">
        <v>823</v>
      </c>
      <c r="C381" s="454" t="s">
        <v>824</v>
      </c>
      <c r="D381" s="486" t="s">
        <v>1091</v>
      </c>
      <c r="E381" s="520">
        <v>480.11</v>
      </c>
    </row>
    <row r="382" spans="1:5">
      <c r="A382" s="461">
        <v>1055</v>
      </c>
      <c r="B382" s="454" t="s">
        <v>825</v>
      </c>
      <c r="C382" s="454" t="s">
        <v>826</v>
      </c>
      <c r="D382" s="486" t="s">
        <v>1091</v>
      </c>
      <c r="E382" s="520">
        <v>672.93</v>
      </c>
    </row>
    <row r="383" spans="1:5" ht="25.5">
      <c r="A383" s="461">
        <v>1056</v>
      </c>
      <c r="B383" s="454" t="s">
        <v>827</v>
      </c>
      <c r="C383" s="454" t="s">
        <v>827</v>
      </c>
      <c r="D383" s="486" t="s">
        <v>1091</v>
      </c>
      <c r="E383" s="520">
        <v>1439.5322222222221</v>
      </c>
    </row>
    <row r="384" spans="1:5" ht="25.5">
      <c r="A384" s="461">
        <v>1057</v>
      </c>
      <c r="B384" s="454" t="s">
        <v>828</v>
      </c>
      <c r="C384" s="454" t="s">
        <v>829</v>
      </c>
      <c r="D384" s="486" t="s">
        <v>1091</v>
      </c>
      <c r="E384" s="520">
        <v>729.96</v>
      </c>
    </row>
    <row r="385" spans="1:5" ht="25.5">
      <c r="A385" s="461">
        <v>1058</v>
      </c>
      <c r="B385" s="454" t="s">
        <v>830</v>
      </c>
      <c r="C385" s="454" t="s">
        <v>831</v>
      </c>
      <c r="D385" s="486" t="s">
        <v>1091</v>
      </c>
      <c r="E385" s="520">
        <v>1711.9733333333331</v>
      </c>
    </row>
    <row r="386" spans="1:5" ht="25.5">
      <c r="A386" s="461">
        <v>1059</v>
      </c>
      <c r="B386" s="454" t="s">
        <v>832</v>
      </c>
      <c r="C386" s="454" t="s">
        <v>833</v>
      </c>
      <c r="D386" s="486" t="s">
        <v>1091</v>
      </c>
      <c r="E386" s="520">
        <v>610.92999999999995</v>
      </c>
    </row>
    <row r="387" spans="1:5" ht="38.25">
      <c r="A387" s="461">
        <v>1060</v>
      </c>
      <c r="B387" s="454" t="s">
        <v>834</v>
      </c>
      <c r="C387" s="454" t="s">
        <v>834</v>
      </c>
      <c r="D387" s="486" t="s">
        <v>1091</v>
      </c>
      <c r="E387" s="520">
        <v>2278.5333333333333</v>
      </c>
    </row>
    <row r="388" spans="1:5" ht="27.75" customHeight="1">
      <c r="A388" s="461">
        <v>1061</v>
      </c>
      <c r="B388" s="454" t="s">
        <v>835</v>
      </c>
      <c r="C388" s="454" t="s">
        <v>836</v>
      </c>
      <c r="D388" s="486" t="s">
        <v>1091</v>
      </c>
      <c r="E388" s="520">
        <v>1063.6300000000001</v>
      </c>
    </row>
    <row r="389" spans="1:5">
      <c r="A389" s="461">
        <v>1062</v>
      </c>
      <c r="B389" s="454" t="s">
        <v>837</v>
      </c>
      <c r="C389" s="454" t="s">
        <v>837</v>
      </c>
      <c r="D389" s="486" t="s">
        <v>1091</v>
      </c>
      <c r="E389" s="520">
        <v>1628.9949999999999</v>
      </c>
    </row>
    <row r="390" spans="1:5" ht="16.5" customHeight="1">
      <c r="A390" s="461">
        <v>1063</v>
      </c>
      <c r="B390" s="454" t="s">
        <v>838</v>
      </c>
      <c r="C390" s="454" t="s">
        <v>838</v>
      </c>
      <c r="D390" s="486" t="s">
        <v>1091</v>
      </c>
      <c r="E390" s="520">
        <v>599.42999999999995</v>
      </c>
    </row>
    <row r="391" spans="1:5" ht="38.25">
      <c r="A391" s="461">
        <v>1064</v>
      </c>
      <c r="B391" s="454" t="s">
        <v>1698</v>
      </c>
      <c r="C391" s="454" t="s">
        <v>1698</v>
      </c>
      <c r="D391" s="486" t="s">
        <v>1091</v>
      </c>
      <c r="E391" s="520">
        <v>3100.2033333333334</v>
      </c>
    </row>
    <row r="392" spans="1:5" ht="30.75" customHeight="1">
      <c r="A392" s="461">
        <v>1065</v>
      </c>
      <c r="B392" s="454" t="s">
        <v>753</v>
      </c>
      <c r="C392" s="454" t="s">
        <v>753</v>
      </c>
      <c r="D392" s="486" t="s">
        <v>1091</v>
      </c>
      <c r="E392" s="520">
        <v>4199.84</v>
      </c>
    </row>
    <row r="393" spans="1:5" ht="25.5">
      <c r="A393" s="461">
        <v>1066</v>
      </c>
      <c r="B393" s="454" t="s">
        <v>754</v>
      </c>
      <c r="C393" s="454" t="s">
        <v>754</v>
      </c>
      <c r="D393" s="486" t="s">
        <v>1091</v>
      </c>
      <c r="E393" s="520">
        <v>19085.11</v>
      </c>
    </row>
    <row r="394" spans="1:5">
      <c r="A394" s="461">
        <v>1067</v>
      </c>
      <c r="B394" s="454" t="s">
        <v>755</v>
      </c>
      <c r="C394" s="454" t="s">
        <v>755</v>
      </c>
      <c r="D394" s="486" t="s">
        <v>1091</v>
      </c>
      <c r="E394" s="520">
        <v>1029.431111111111</v>
      </c>
    </row>
    <row r="395" spans="1:5" ht="18" customHeight="1">
      <c r="A395" s="461">
        <v>1068</v>
      </c>
      <c r="B395" s="454" t="s">
        <v>756</v>
      </c>
      <c r="C395" s="454" t="s">
        <v>756</v>
      </c>
      <c r="D395" s="486" t="s">
        <v>1091</v>
      </c>
      <c r="E395" s="520">
        <v>755.26</v>
      </c>
    </row>
    <row r="396" spans="1:5" ht="18" customHeight="1">
      <c r="A396" s="461">
        <v>1069</v>
      </c>
      <c r="B396" s="454" t="s">
        <v>1637</v>
      </c>
      <c r="C396" s="454" t="s">
        <v>1637</v>
      </c>
      <c r="D396" s="486" t="s">
        <v>1091</v>
      </c>
      <c r="E396" s="520">
        <v>2612.0500000000002</v>
      </c>
    </row>
    <row r="397" spans="1:5" ht="18" customHeight="1">
      <c r="A397" s="461">
        <v>1070</v>
      </c>
      <c r="B397" s="454" t="s">
        <v>1638</v>
      </c>
      <c r="C397" s="454" t="s">
        <v>1638</v>
      </c>
      <c r="D397" s="486" t="s">
        <v>1091</v>
      </c>
      <c r="E397" s="520">
        <v>2519.21</v>
      </c>
    </row>
    <row r="398" spans="1:5">
      <c r="A398" s="461">
        <v>1071</v>
      </c>
      <c r="B398" s="454" t="s">
        <v>1639</v>
      </c>
      <c r="C398" s="454" t="s">
        <v>1639</v>
      </c>
      <c r="D398" s="486" t="s">
        <v>1091</v>
      </c>
      <c r="E398" s="520">
        <v>1052.82</v>
      </c>
    </row>
    <row r="399" spans="1:5">
      <c r="A399" s="461">
        <v>1072</v>
      </c>
      <c r="B399" s="454" t="s">
        <v>1640</v>
      </c>
      <c r="C399" s="454" t="s">
        <v>1640</v>
      </c>
      <c r="D399" s="486" t="s">
        <v>1091</v>
      </c>
      <c r="E399" s="520">
        <v>755.26</v>
      </c>
    </row>
    <row r="400" spans="1:5">
      <c r="A400" s="461">
        <v>1073</v>
      </c>
      <c r="B400" s="454" t="s">
        <v>1641</v>
      </c>
      <c r="C400" s="454" t="s">
        <v>1641</v>
      </c>
      <c r="D400" s="486" t="s">
        <v>1091</v>
      </c>
      <c r="E400" s="520">
        <v>1409.9</v>
      </c>
    </row>
    <row r="401" spans="1:5">
      <c r="A401" s="461">
        <v>1074</v>
      </c>
      <c r="B401" s="454" t="s">
        <v>2481</v>
      </c>
      <c r="C401" s="454" t="s">
        <v>1179</v>
      </c>
      <c r="D401" s="486" t="s">
        <v>1091</v>
      </c>
      <c r="E401" s="520">
        <v>755.26</v>
      </c>
    </row>
    <row r="402" spans="1:5" ht="18" customHeight="1">
      <c r="A402" s="461">
        <v>1075</v>
      </c>
      <c r="B402" s="454" t="s">
        <v>1180</v>
      </c>
      <c r="C402" s="454" t="s">
        <v>1181</v>
      </c>
      <c r="D402" s="486" t="s">
        <v>1091</v>
      </c>
      <c r="E402" s="520">
        <v>949.26499999999999</v>
      </c>
    </row>
    <row r="403" spans="1:5" ht="18" customHeight="1">
      <c r="A403" s="461">
        <f>A402+1</f>
        <v>1076</v>
      </c>
      <c r="B403" s="454" t="s">
        <v>1182</v>
      </c>
      <c r="C403" s="454" t="s">
        <v>1183</v>
      </c>
      <c r="D403" s="486" t="s">
        <v>1091</v>
      </c>
      <c r="E403" s="520">
        <v>921.89</v>
      </c>
    </row>
    <row r="404" spans="1:5" ht="18" customHeight="1">
      <c r="A404" s="461">
        <f t="shared" ref="A404:A474" si="6">A403+1</f>
        <v>1077</v>
      </c>
      <c r="B404" s="454" t="s">
        <v>1184</v>
      </c>
      <c r="C404" s="454" t="s">
        <v>1185</v>
      </c>
      <c r="D404" s="486" t="s">
        <v>1091</v>
      </c>
      <c r="E404" s="520">
        <v>1171.8499999999999</v>
      </c>
    </row>
    <row r="405" spans="1:5" ht="18" customHeight="1">
      <c r="A405" s="461">
        <f t="shared" si="6"/>
        <v>1078</v>
      </c>
      <c r="B405" s="454" t="s">
        <v>1186</v>
      </c>
      <c r="C405" s="454" t="s">
        <v>1187</v>
      </c>
      <c r="D405" s="486" t="s">
        <v>1091</v>
      </c>
      <c r="E405" s="520">
        <v>1950.91</v>
      </c>
    </row>
    <row r="406" spans="1:5" ht="18" customHeight="1">
      <c r="A406" s="461">
        <f t="shared" si="6"/>
        <v>1079</v>
      </c>
      <c r="B406" s="454" t="s">
        <v>1188</v>
      </c>
      <c r="C406" s="454" t="s">
        <v>1189</v>
      </c>
      <c r="D406" s="486" t="s">
        <v>1091</v>
      </c>
      <c r="E406" s="520">
        <v>2841.22</v>
      </c>
    </row>
    <row r="407" spans="1:5" ht="18" customHeight="1">
      <c r="A407" s="461">
        <f t="shared" si="6"/>
        <v>1080</v>
      </c>
      <c r="B407" s="454" t="s">
        <v>1190</v>
      </c>
      <c r="C407" s="454" t="s">
        <v>1191</v>
      </c>
      <c r="D407" s="486" t="s">
        <v>1091</v>
      </c>
      <c r="E407" s="520">
        <v>3616.17</v>
      </c>
    </row>
    <row r="408" spans="1:5" ht="18" customHeight="1">
      <c r="A408" s="461">
        <f t="shared" si="6"/>
        <v>1081</v>
      </c>
      <c r="B408" s="454" t="s">
        <v>1192</v>
      </c>
      <c r="C408" s="454" t="s">
        <v>1193</v>
      </c>
      <c r="D408" s="486" t="s">
        <v>1091</v>
      </c>
      <c r="E408" s="520">
        <v>5472.96</v>
      </c>
    </row>
    <row r="409" spans="1:5" ht="18" customHeight="1">
      <c r="A409" s="461">
        <f t="shared" si="6"/>
        <v>1082</v>
      </c>
      <c r="B409" s="454" t="s">
        <v>1194</v>
      </c>
      <c r="C409" s="454" t="s">
        <v>1195</v>
      </c>
      <c r="D409" s="486" t="s">
        <v>1091</v>
      </c>
      <c r="E409" s="520">
        <v>9609.0750000000007</v>
      </c>
    </row>
    <row r="410" spans="1:5" ht="18" customHeight="1">
      <c r="A410" s="461">
        <f t="shared" si="6"/>
        <v>1083</v>
      </c>
      <c r="B410" s="454" t="s">
        <v>1196</v>
      </c>
      <c r="C410" s="454" t="s">
        <v>1197</v>
      </c>
      <c r="D410" s="486" t="s">
        <v>1091</v>
      </c>
      <c r="E410" s="520">
        <v>13742.865000000002</v>
      </c>
    </row>
    <row r="411" spans="1:5" ht="18" customHeight="1">
      <c r="A411" s="461">
        <f t="shared" si="6"/>
        <v>1084</v>
      </c>
      <c r="B411" s="454" t="s">
        <v>1198</v>
      </c>
      <c r="C411" s="454" t="s">
        <v>1199</v>
      </c>
      <c r="D411" s="486" t="s">
        <v>1091</v>
      </c>
      <c r="E411" s="520">
        <v>24389.66</v>
      </c>
    </row>
    <row r="412" spans="1:5" ht="18" customHeight="1">
      <c r="A412" s="461">
        <f t="shared" si="6"/>
        <v>1085</v>
      </c>
      <c r="B412" s="454" t="s">
        <v>1200</v>
      </c>
      <c r="C412" s="454" t="s">
        <v>1166</v>
      </c>
      <c r="D412" s="486" t="s">
        <v>1091</v>
      </c>
      <c r="E412" s="520">
        <v>731.45</v>
      </c>
    </row>
    <row r="413" spans="1:5" ht="18" customHeight="1">
      <c r="A413" s="461">
        <f t="shared" si="6"/>
        <v>1086</v>
      </c>
      <c r="B413" s="454" t="s">
        <v>1167</v>
      </c>
      <c r="C413" s="454" t="s">
        <v>1168</v>
      </c>
      <c r="D413" s="486" t="s">
        <v>1091</v>
      </c>
      <c r="E413" s="520">
        <v>1165.3499999999999</v>
      </c>
    </row>
    <row r="414" spans="1:5" ht="18" customHeight="1">
      <c r="A414" s="461">
        <f t="shared" si="6"/>
        <v>1087</v>
      </c>
      <c r="B414" s="454" t="s">
        <v>1169</v>
      </c>
      <c r="C414" s="454" t="s">
        <v>1170</v>
      </c>
      <c r="D414" s="486" t="s">
        <v>1091</v>
      </c>
      <c r="E414" s="520">
        <v>1564.085</v>
      </c>
    </row>
    <row r="415" spans="1:5" ht="18" customHeight="1">
      <c r="A415" s="461">
        <f t="shared" si="6"/>
        <v>1088</v>
      </c>
      <c r="B415" s="454" t="s">
        <v>1171</v>
      </c>
      <c r="C415" s="454" t="s">
        <v>1172</v>
      </c>
      <c r="D415" s="486" t="s">
        <v>1091</v>
      </c>
      <c r="E415" s="520">
        <v>2284.1799999999998</v>
      </c>
    </row>
    <row r="416" spans="1:5" ht="18" customHeight="1">
      <c r="A416" s="461">
        <f t="shared" si="6"/>
        <v>1089</v>
      </c>
      <c r="B416" s="454" t="s">
        <v>1173</v>
      </c>
      <c r="C416" s="454" t="s">
        <v>1174</v>
      </c>
      <c r="D416" s="486" t="s">
        <v>1091</v>
      </c>
      <c r="E416" s="520">
        <v>4634.38</v>
      </c>
    </row>
    <row r="417" spans="1:5" ht="18" customHeight="1">
      <c r="A417" s="461">
        <f t="shared" si="6"/>
        <v>1090</v>
      </c>
      <c r="B417" s="454" t="s">
        <v>1175</v>
      </c>
      <c r="C417" s="454" t="s">
        <v>1176</v>
      </c>
      <c r="D417" s="486" t="s">
        <v>1091</v>
      </c>
      <c r="E417" s="520">
        <v>7708.25</v>
      </c>
    </row>
    <row r="418" spans="1:5" ht="18" customHeight="1">
      <c r="A418" s="461">
        <f t="shared" si="6"/>
        <v>1091</v>
      </c>
      <c r="B418" s="454" t="s">
        <v>1177</v>
      </c>
      <c r="C418" s="454" t="s">
        <v>1178</v>
      </c>
      <c r="D418" s="486" t="s">
        <v>1091</v>
      </c>
      <c r="E418" s="520">
        <v>10727.915000000001</v>
      </c>
    </row>
    <row r="419" spans="1:5" ht="25.5">
      <c r="A419" s="461">
        <f>A418+1</f>
        <v>1092</v>
      </c>
      <c r="B419" s="454" t="s">
        <v>286</v>
      </c>
      <c r="C419" s="454" t="s">
        <v>286</v>
      </c>
      <c r="D419" s="486" t="s">
        <v>1091</v>
      </c>
      <c r="E419" s="520">
        <v>19180.349444444444</v>
      </c>
    </row>
    <row r="420" spans="1:5">
      <c r="A420" s="461">
        <f>A419+1</f>
        <v>1093</v>
      </c>
      <c r="B420" s="454" t="s">
        <v>287</v>
      </c>
      <c r="C420" s="454" t="s">
        <v>599</v>
      </c>
      <c r="D420" s="486" t="s">
        <v>1091</v>
      </c>
      <c r="E420" s="520">
        <v>265.32710000000003</v>
      </c>
    </row>
    <row r="421" spans="1:5">
      <c r="A421" s="461">
        <f>A420+1</f>
        <v>1094</v>
      </c>
      <c r="B421" s="454" t="s">
        <v>600</v>
      </c>
      <c r="C421" s="454" t="s">
        <v>600</v>
      </c>
      <c r="D421" s="486" t="s">
        <v>1091</v>
      </c>
      <c r="E421" s="520">
        <v>52.174999999999997</v>
      </c>
    </row>
    <row r="422" spans="1:5">
      <c r="A422" s="461">
        <f>A421+1</f>
        <v>1095</v>
      </c>
      <c r="B422" s="454" t="s">
        <v>601</v>
      </c>
      <c r="C422" s="454" t="s">
        <v>602</v>
      </c>
      <c r="D422" s="486" t="s">
        <v>1091</v>
      </c>
      <c r="E422" s="520">
        <v>87.885000000000005</v>
      </c>
    </row>
    <row r="423" spans="1:5">
      <c r="A423" s="461">
        <f t="shared" si="6"/>
        <v>1096</v>
      </c>
      <c r="B423" s="454" t="s">
        <v>603</v>
      </c>
      <c r="C423" s="454" t="s">
        <v>604</v>
      </c>
      <c r="D423" s="486" t="s">
        <v>1091</v>
      </c>
      <c r="E423" s="520">
        <v>74.790000000000006</v>
      </c>
    </row>
    <row r="424" spans="1:5" ht="25.5">
      <c r="A424" s="461">
        <f t="shared" si="6"/>
        <v>1097</v>
      </c>
      <c r="B424" s="454" t="s">
        <v>605</v>
      </c>
      <c r="C424" s="454" t="s">
        <v>606</v>
      </c>
      <c r="D424" s="486" t="s">
        <v>3062</v>
      </c>
      <c r="E424" s="520">
        <v>2559.7997999999998</v>
      </c>
    </row>
    <row r="425" spans="1:5" ht="25.5">
      <c r="A425" s="461">
        <f t="shared" si="6"/>
        <v>1098</v>
      </c>
      <c r="B425" s="454" t="s">
        <v>1582</v>
      </c>
      <c r="C425" s="454" t="s">
        <v>1583</v>
      </c>
      <c r="D425" s="486" t="s">
        <v>3062</v>
      </c>
      <c r="E425" s="520">
        <v>1409.9008000000001</v>
      </c>
    </row>
    <row r="426" spans="1:5" ht="25.5">
      <c r="A426" s="461">
        <f t="shared" si="6"/>
        <v>1099</v>
      </c>
      <c r="B426" s="454" t="s">
        <v>1584</v>
      </c>
      <c r="C426" s="454" t="s">
        <v>1585</v>
      </c>
      <c r="D426" s="486" t="s">
        <v>3062</v>
      </c>
      <c r="E426" s="520">
        <v>1095.09265</v>
      </c>
    </row>
    <row r="427" spans="1:5" ht="25.5">
      <c r="A427" s="461">
        <f t="shared" si="6"/>
        <v>1100</v>
      </c>
      <c r="B427" s="454" t="s">
        <v>1586</v>
      </c>
      <c r="C427" s="454" t="s">
        <v>1587</v>
      </c>
      <c r="D427" s="486" t="s">
        <v>3062</v>
      </c>
      <c r="E427" s="520">
        <v>854.94069999999999</v>
      </c>
    </row>
    <row r="428" spans="1:5" ht="38.25">
      <c r="A428" s="461">
        <f t="shared" si="6"/>
        <v>1101</v>
      </c>
      <c r="B428" s="454" t="s">
        <v>1588</v>
      </c>
      <c r="C428" s="454" t="s">
        <v>1589</v>
      </c>
      <c r="D428" s="486" t="s">
        <v>3062</v>
      </c>
      <c r="E428" s="520">
        <v>310.37094999999999</v>
      </c>
    </row>
    <row r="429" spans="1:5" ht="38.25">
      <c r="A429" s="461">
        <f t="shared" si="6"/>
        <v>1102</v>
      </c>
      <c r="B429" s="454" t="s">
        <v>1592</v>
      </c>
      <c r="C429" s="454" t="s">
        <v>1593</v>
      </c>
      <c r="D429" s="486" t="s">
        <v>3062</v>
      </c>
      <c r="E429" s="520">
        <v>361.35</v>
      </c>
    </row>
    <row r="430" spans="1:5" ht="38.25">
      <c r="A430" s="461">
        <f t="shared" si="6"/>
        <v>1103</v>
      </c>
      <c r="B430" s="454" t="s">
        <v>1594</v>
      </c>
      <c r="C430" s="454" t="s">
        <v>1595</v>
      </c>
      <c r="D430" s="486" t="s">
        <v>3062</v>
      </c>
      <c r="E430" s="520">
        <v>514.79</v>
      </c>
    </row>
    <row r="431" spans="1:5" ht="38.25">
      <c r="A431" s="461">
        <f t="shared" si="6"/>
        <v>1104</v>
      </c>
      <c r="B431" s="454" t="s">
        <v>1596</v>
      </c>
      <c r="C431" s="454" t="s">
        <v>630</v>
      </c>
      <c r="D431" s="486" t="s">
        <v>3062</v>
      </c>
      <c r="E431" s="520">
        <v>625.20000000000005</v>
      </c>
    </row>
    <row r="432" spans="1:5" ht="38.25">
      <c r="A432" s="461">
        <f t="shared" si="6"/>
        <v>1105</v>
      </c>
      <c r="B432" s="454" t="s">
        <v>631</v>
      </c>
      <c r="C432" s="454" t="s">
        <v>632</v>
      </c>
      <c r="D432" s="486" t="s">
        <v>3062</v>
      </c>
      <c r="E432" s="520">
        <v>724.30499999999995</v>
      </c>
    </row>
    <row r="433" spans="1:5" ht="38.25">
      <c r="A433" s="461">
        <f t="shared" si="6"/>
        <v>1106</v>
      </c>
      <c r="B433" s="454" t="s">
        <v>633</v>
      </c>
      <c r="C433" s="454" t="s">
        <v>634</v>
      </c>
      <c r="D433" s="486" t="s">
        <v>3062</v>
      </c>
      <c r="E433" s="520">
        <v>962.74655000000007</v>
      </c>
    </row>
    <row r="434" spans="1:5" ht="38.25">
      <c r="A434" s="461">
        <f t="shared" si="6"/>
        <v>1107</v>
      </c>
      <c r="B434" s="454" t="s">
        <v>635</v>
      </c>
      <c r="C434" s="454" t="s">
        <v>636</v>
      </c>
      <c r="D434" s="486" t="s">
        <v>3062</v>
      </c>
      <c r="E434" s="520">
        <v>1429.2025000000001</v>
      </c>
    </row>
    <row r="435" spans="1:5" ht="25.5">
      <c r="A435" s="461">
        <f t="shared" si="6"/>
        <v>1108</v>
      </c>
      <c r="B435" s="454" t="s">
        <v>637</v>
      </c>
      <c r="C435" s="454" t="s">
        <v>638</v>
      </c>
      <c r="D435" s="486" t="s">
        <v>1091</v>
      </c>
      <c r="E435" s="520">
        <v>445.48265306122448</v>
      </c>
    </row>
    <row r="436" spans="1:5" ht="25.5">
      <c r="A436" s="461">
        <f t="shared" si="6"/>
        <v>1109</v>
      </c>
      <c r="B436" s="454" t="s">
        <v>639</v>
      </c>
      <c r="C436" s="454" t="s">
        <v>1590</v>
      </c>
      <c r="D436" s="486" t="s">
        <v>1091</v>
      </c>
      <c r="E436" s="520">
        <v>467.91265306122443</v>
      </c>
    </row>
    <row r="437" spans="1:5" ht="25.5">
      <c r="A437" s="461">
        <f t="shared" si="6"/>
        <v>1110</v>
      </c>
      <c r="B437" s="454" t="s">
        <v>2990</v>
      </c>
      <c r="C437" s="454" t="s">
        <v>2991</v>
      </c>
      <c r="D437" s="486" t="s">
        <v>1091</v>
      </c>
      <c r="E437" s="520">
        <v>640.56020408163261</v>
      </c>
    </row>
    <row r="438" spans="1:5" ht="25.5">
      <c r="A438" s="461">
        <f t="shared" si="6"/>
        <v>1111</v>
      </c>
      <c r="B438" s="454" t="s">
        <v>2992</v>
      </c>
      <c r="C438" s="454" t="s">
        <v>2993</v>
      </c>
      <c r="D438" s="486" t="s">
        <v>1091</v>
      </c>
      <c r="E438" s="520">
        <v>646.31020408163261</v>
      </c>
    </row>
    <row r="439" spans="1:5" ht="25.5">
      <c r="A439" s="461">
        <f t="shared" si="6"/>
        <v>1112</v>
      </c>
      <c r="B439" s="454" t="s">
        <v>2994</v>
      </c>
      <c r="C439" s="454" t="s">
        <v>2115</v>
      </c>
      <c r="D439" s="486" t="s">
        <v>3062</v>
      </c>
      <c r="E439" s="520">
        <v>145.19499999999999</v>
      </c>
    </row>
    <row r="440" spans="1:5" ht="25.5">
      <c r="A440" s="461">
        <f t="shared" si="6"/>
        <v>1113</v>
      </c>
      <c r="B440" s="454" t="s">
        <v>2995</v>
      </c>
      <c r="C440" s="454" t="s">
        <v>2116</v>
      </c>
      <c r="D440" s="486" t="s">
        <v>3062</v>
      </c>
      <c r="E440" s="520">
        <v>223.315</v>
      </c>
    </row>
    <row r="441" spans="1:5" ht="25.5">
      <c r="A441" s="461">
        <f t="shared" si="6"/>
        <v>1114</v>
      </c>
      <c r="B441" s="454" t="s">
        <v>2996</v>
      </c>
      <c r="C441" s="454" t="s">
        <v>2117</v>
      </c>
      <c r="D441" s="486" t="s">
        <v>3062</v>
      </c>
      <c r="E441" s="520">
        <v>419.78405000000004</v>
      </c>
    </row>
    <row r="442" spans="1:5" ht="25.5">
      <c r="A442" s="461">
        <f>A441+1</f>
        <v>1115</v>
      </c>
      <c r="B442" s="454" t="s">
        <v>645</v>
      </c>
      <c r="C442" s="454" t="s">
        <v>645</v>
      </c>
      <c r="D442" s="486" t="s">
        <v>1091</v>
      </c>
      <c r="E442" s="520">
        <v>14985.785</v>
      </c>
    </row>
    <row r="443" spans="1:5" ht="25.5">
      <c r="A443" s="461">
        <f>A442+1</f>
        <v>1116</v>
      </c>
      <c r="B443" s="454" t="s">
        <v>646</v>
      </c>
      <c r="C443" s="454" t="s">
        <v>647</v>
      </c>
      <c r="D443" s="486" t="s">
        <v>1091</v>
      </c>
      <c r="E443" s="520">
        <v>14545.394999999999</v>
      </c>
    </row>
    <row r="444" spans="1:5" ht="25.5">
      <c r="A444" s="461">
        <f t="shared" si="6"/>
        <v>1117</v>
      </c>
      <c r="B444" s="454" t="s">
        <v>648</v>
      </c>
      <c r="C444" s="454" t="s">
        <v>649</v>
      </c>
      <c r="D444" s="486" t="s">
        <v>1091</v>
      </c>
      <c r="E444" s="520">
        <v>16611.95</v>
      </c>
    </row>
    <row r="445" spans="1:5" ht="25.5">
      <c r="A445" s="461">
        <f t="shared" si="6"/>
        <v>1118</v>
      </c>
      <c r="B445" s="454" t="s">
        <v>1591</v>
      </c>
      <c r="C445" s="454" t="s">
        <v>642</v>
      </c>
      <c r="D445" s="486" t="s">
        <v>1091</v>
      </c>
      <c r="E445" s="520">
        <v>19591.43</v>
      </c>
    </row>
    <row r="446" spans="1:5" ht="25.5">
      <c r="A446" s="461">
        <f t="shared" si="6"/>
        <v>1119</v>
      </c>
      <c r="B446" s="454" t="s">
        <v>806</v>
      </c>
      <c r="C446" s="454" t="s">
        <v>807</v>
      </c>
      <c r="D446" s="486" t="s">
        <v>1091</v>
      </c>
      <c r="E446" s="520">
        <v>12889.77</v>
      </c>
    </row>
    <row r="447" spans="1:5" ht="25.5">
      <c r="A447" s="461">
        <f t="shared" si="6"/>
        <v>1120</v>
      </c>
      <c r="B447" s="454" t="s">
        <v>808</v>
      </c>
      <c r="C447" s="454" t="s">
        <v>809</v>
      </c>
      <c r="D447" s="486" t="s">
        <v>1091</v>
      </c>
      <c r="E447" s="520">
        <v>4995.37</v>
      </c>
    </row>
    <row r="448" spans="1:5" ht="18.75" customHeight="1">
      <c r="A448" s="461">
        <f t="shared" si="6"/>
        <v>1121</v>
      </c>
      <c r="B448" s="454" t="s">
        <v>810</v>
      </c>
      <c r="C448" s="454" t="s">
        <v>811</v>
      </c>
      <c r="D448" s="486" t="s">
        <v>1091</v>
      </c>
      <c r="E448" s="520">
        <v>6332.94</v>
      </c>
    </row>
    <row r="449" spans="1:5" ht="25.5">
      <c r="A449" s="461">
        <f>A448+1</f>
        <v>1122</v>
      </c>
      <c r="B449" s="454" t="s">
        <v>1227</v>
      </c>
      <c r="C449" s="454" t="s">
        <v>1227</v>
      </c>
      <c r="D449" s="486" t="s">
        <v>1091</v>
      </c>
      <c r="E449" s="520">
        <v>1764.3883333333333</v>
      </c>
    </row>
    <row r="450" spans="1:5" ht="25.5">
      <c r="A450" s="461">
        <f>A449+1</f>
        <v>1123</v>
      </c>
      <c r="B450" s="454" t="s">
        <v>1228</v>
      </c>
      <c r="C450" s="454" t="s">
        <v>1228</v>
      </c>
      <c r="D450" s="486" t="s">
        <v>3241</v>
      </c>
      <c r="E450" s="520">
        <v>25466.75</v>
      </c>
    </row>
    <row r="451" spans="1:5">
      <c r="A451" s="461">
        <f>A450+1</f>
        <v>1124</v>
      </c>
      <c r="B451" s="454" t="s">
        <v>1229</v>
      </c>
      <c r="C451" s="454" t="s">
        <v>1230</v>
      </c>
      <c r="D451" s="486" t="s">
        <v>1091</v>
      </c>
      <c r="E451" s="520">
        <v>2593.15</v>
      </c>
    </row>
    <row r="452" spans="1:5" ht="25.5">
      <c r="A452" s="461">
        <f t="shared" si="6"/>
        <v>1125</v>
      </c>
      <c r="B452" s="454" t="s">
        <v>1231</v>
      </c>
      <c r="C452" s="454" t="s">
        <v>1232</v>
      </c>
      <c r="D452" s="486" t="s">
        <v>1091</v>
      </c>
      <c r="E452" s="520">
        <v>1908.71</v>
      </c>
    </row>
    <row r="453" spans="1:5" ht="15" customHeight="1">
      <c r="A453" s="461">
        <f t="shared" si="6"/>
        <v>1126</v>
      </c>
      <c r="B453" s="454" t="s">
        <v>1233</v>
      </c>
      <c r="C453" s="454" t="s">
        <v>1234</v>
      </c>
      <c r="D453" s="486" t="s">
        <v>1091</v>
      </c>
      <c r="E453" s="520">
        <v>2741.88</v>
      </c>
    </row>
    <row r="454" spans="1:5" ht="14.25" customHeight="1">
      <c r="A454" s="461">
        <f t="shared" si="6"/>
        <v>1127</v>
      </c>
      <c r="B454" s="454" t="s">
        <v>1141</v>
      </c>
      <c r="C454" s="454" t="s">
        <v>1142</v>
      </c>
      <c r="D454" s="486" t="s">
        <v>1091</v>
      </c>
      <c r="E454" s="520">
        <v>1658.615</v>
      </c>
    </row>
    <row r="455" spans="1:5">
      <c r="A455" s="461">
        <f>A454+1</f>
        <v>1128</v>
      </c>
      <c r="B455" s="454" t="s">
        <v>1143</v>
      </c>
      <c r="C455" s="454" t="s">
        <v>1143</v>
      </c>
      <c r="D455" s="486" t="s">
        <v>1091</v>
      </c>
      <c r="E455" s="520">
        <v>1641.221111111111</v>
      </c>
    </row>
    <row r="456" spans="1:5">
      <c r="A456" s="461">
        <f>A455+1</f>
        <v>1129</v>
      </c>
      <c r="B456" s="454" t="s">
        <v>1144</v>
      </c>
      <c r="C456" s="454" t="s">
        <v>1144</v>
      </c>
      <c r="D456" s="486" t="s">
        <v>1091</v>
      </c>
      <c r="E456" s="520">
        <v>1984.0111111111109</v>
      </c>
    </row>
    <row r="457" spans="1:5">
      <c r="A457" s="461">
        <f>A456+1</f>
        <v>1130</v>
      </c>
      <c r="B457" s="454" t="s">
        <v>1145</v>
      </c>
      <c r="C457" s="454" t="s">
        <v>1146</v>
      </c>
      <c r="D457" s="486" t="s">
        <v>1091</v>
      </c>
      <c r="E457" s="520">
        <v>4177</v>
      </c>
    </row>
    <row r="458" spans="1:5">
      <c r="A458" s="461">
        <f t="shared" si="6"/>
        <v>1131</v>
      </c>
      <c r="B458" s="454" t="s">
        <v>1147</v>
      </c>
      <c r="C458" s="454" t="s">
        <v>1148</v>
      </c>
      <c r="D458" s="486" t="s">
        <v>3241</v>
      </c>
      <c r="E458" s="520">
        <v>4506.7049999999999</v>
      </c>
    </row>
    <row r="459" spans="1:5">
      <c r="A459" s="461">
        <f t="shared" si="6"/>
        <v>1132</v>
      </c>
      <c r="B459" s="454" t="s">
        <v>1149</v>
      </c>
      <c r="C459" s="454" t="s">
        <v>1150</v>
      </c>
      <c r="D459" s="486" t="s">
        <v>3241</v>
      </c>
      <c r="E459" s="520">
        <v>34720.21</v>
      </c>
    </row>
    <row r="460" spans="1:5">
      <c r="A460" s="461">
        <f t="shared" si="6"/>
        <v>1133</v>
      </c>
      <c r="B460" s="454" t="s">
        <v>1151</v>
      </c>
      <c r="C460" s="454" t="s">
        <v>1152</v>
      </c>
      <c r="D460" s="486" t="s">
        <v>3241</v>
      </c>
      <c r="E460" s="520">
        <v>488784.5</v>
      </c>
    </row>
    <row r="461" spans="1:5">
      <c r="A461" s="461">
        <f t="shared" si="6"/>
        <v>1134</v>
      </c>
      <c r="B461" s="454" t="s">
        <v>1153</v>
      </c>
      <c r="C461" s="454" t="s">
        <v>1154</v>
      </c>
      <c r="D461" s="486" t="s">
        <v>3241</v>
      </c>
      <c r="E461" s="520">
        <v>25402.92</v>
      </c>
    </row>
    <row r="462" spans="1:5">
      <c r="A462" s="461">
        <f>A461+1</f>
        <v>1135</v>
      </c>
      <c r="B462" s="454" t="s">
        <v>1155</v>
      </c>
      <c r="C462" s="454" t="s">
        <v>1155</v>
      </c>
      <c r="D462" s="486" t="s">
        <v>3241</v>
      </c>
      <c r="E462" s="520">
        <v>1059.0522222222221</v>
      </c>
    </row>
    <row r="463" spans="1:5">
      <c r="A463" s="461">
        <f>A462+1</f>
        <v>1136</v>
      </c>
      <c r="B463" s="454" t="s">
        <v>1156</v>
      </c>
      <c r="C463" s="454" t="s">
        <v>1156</v>
      </c>
      <c r="D463" s="486" t="s">
        <v>3241</v>
      </c>
      <c r="E463" s="520">
        <v>5275.3072222222227</v>
      </c>
    </row>
    <row r="464" spans="1:5">
      <c r="A464" s="461">
        <f>A463+1</f>
        <v>1137</v>
      </c>
      <c r="B464" s="454" t="s">
        <v>1157</v>
      </c>
      <c r="C464" s="454" t="s">
        <v>812</v>
      </c>
      <c r="D464" s="486" t="s">
        <v>3241</v>
      </c>
      <c r="E464" s="520">
        <v>20938.285000000003</v>
      </c>
    </row>
    <row r="465" spans="1:5" ht="25.5">
      <c r="A465" s="461">
        <f>A464+1</f>
        <v>1138</v>
      </c>
      <c r="B465" s="454" t="s">
        <v>813</v>
      </c>
      <c r="C465" s="454" t="s">
        <v>814</v>
      </c>
      <c r="D465" s="486" t="s">
        <v>3241</v>
      </c>
      <c r="E465" s="520">
        <v>5261.67</v>
      </c>
    </row>
    <row r="466" spans="1:5" ht="25.5">
      <c r="A466" s="461">
        <f t="shared" si="6"/>
        <v>1139</v>
      </c>
      <c r="B466" s="454" t="s">
        <v>815</v>
      </c>
      <c r="C466" s="454" t="s">
        <v>816</v>
      </c>
      <c r="D466" s="486" t="s">
        <v>3241</v>
      </c>
      <c r="E466" s="520">
        <v>9614.7099999999991</v>
      </c>
    </row>
    <row r="467" spans="1:5">
      <c r="A467" s="461">
        <f t="shared" si="6"/>
        <v>1140</v>
      </c>
      <c r="B467" s="454" t="s">
        <v>1687</v>
      </c>
      <c r="C467" s="454" t="s">
        <v>1688</v>
      </c>
      <c r="D467" s="486" t="s">
        <v>1091</v>
      </c>
      <c r="E467" s="520">
        <v>1233.5150000000001</v>
      </c>
    </row>
    <row r="468" spans="1:5">
      <c r="A468" s="461">
        <f>A467+1</f>
        <v>1141</v>
      </c>
      <c r="B468" s="454" t="s">
        <v>1689</v>
      </c>
      <c r="C468" s="454" t="s">
        <v>1689</v>
      </c>
      <c r="D468" s="486" t="s">
        <v>1091</v>
      </c>
      <c r="E468" s="520">
        <v>7778.1511111111113</v>
      </c>
    </row>
    <row r="469" spans="1:5">
      <c r="A469" s="461">
        <f>A468+1</f>
        <v>1142</v>
      </c>
      <c r="B469" s="454" t="s">
        <v>1690</v>
      </c>
      <c r="C469" s="454" t="s">
        <v>1691</v>
      </c>
      <c r="D469" s="486" t="s">
        <v>3062</v>
      </c>
      <c r="E469" s="520">
        <v>215.25905</v>
      </c>
    </row>
    <row r="470" spans="1:5" ht="14.25">
      <c r="A470" s="461">
        <f>A469+1</f>
        <v>1143</v>
      </c>
      <c r="B470" s="454" t="s">
        <v>1692</v>
      </c>
      <c r="C470" s="454" t="s">
        <v>2118</v>
      </c>
      <c r="D470" s="486" t="s">
        <v>3062</v>
      </c>
      <c r="E470" s="520">
        <v>585.88734999999997</v>
      </c>
    </row>
    <row r="471" spans="1:5" ht="14.25">
      <c r="A471" s="461">
        <f t="shared" si="6"/>
        <v>1144</v>
      </c>
      <c r="B471" s="454" t="s">
        <v>1693</v>
      </c>
      <c r="C471" s="454" t="s">
        <v>2119</v>
      </c>
      <c r="D471" s="486" t="s">
        <v>3062</v>
      </c>
      <c r="E471" s="520">
        <v>749.78719999999987</v>
      </c>
    </row>
    <row r="472" spans="1:5" ht="14.25">
      <c r="A472" s="461">
        <f t="shared" si="6"/>
        <v>1145</v>
      </c>
      <c r="B472" s="454" t="s">
        <v>2522</v>
      </c>
      <c r="C472" s="454" t="s">
        <v>2120</v>
      </c>
      <c r="D472" s="486" t="s">
        <v>3062</v>
      </c>
      <c r="E472" s="520">
        <v>943.69090000000006</v>
      </c>
    </row>
    <row r="473" spans="1:5" ht="14.25">
      <c r="A473" s="461">
        <f t="shared" si="6"/>
        <v>1146</v>
      </c>
      <c r="B473" s="454" t="s">
        <v>2523</v>
      </c>
      <c r="C473" s="454" t="s">
        <v>2121</v>
      </c>
      <c r="D473" s="486" t="s">
        <v>3062</v>
      </c>
      <c r="E473" s="520">
        <v>1102.49</v>
      </c>
    </row>
    <row r="474" spans="1:5" ht="14.25">
      <c r="A474" s="461">
        <f t="shared" si="6"/>
        <v>1147</v>
      </c>
      <c r="B474" s="454" t="s">
        <v>2524</v>
      </c>
      <c r="C474" s="454" t="s">
        <v>2122</v>
      </c>
      <c r="D474" s="486" t="s">
        <v>3062</v>
      </c>
      <c r="E474" s="520">
        <v>1665.52745</v>
      </c>
    </row>
    <row r="475" spans="1:5" ht="14.25">
      <c r="A475" s="461">
        <f t="shared" ref="A475:A538" si="7">A474+1</f>
        <v>1148</v>
      </c>
      <c r="B475" s="454" t="s">
        <v>2525</v>
      </c>
      <c r="C475" s="454" t="s">
        <v>2123</v>
      </c>
      <c r="D475" s="486" t="s">
        <v>3062</v>
      </c>
      <c r="E475" s="520">
        <v>1949.3552500000001</v>
      </c>
    </row>
    <row r="476" spans="1:5">
      <c r="A476" s="461">
        <f t="shared" si="7"/>
        <v>1149</v>
      </c>
      <c r="B476" s="488" t="s">
        <v>2526</v>
      </c>
      <c r="C476" s="488" t="s">
        <v>2527</v>
      </c>
      <c r="D476" s="486" t="s">
        <v>1091</v>
      </c>
      <c r="E476" s="520">
        <v>6372.61</v>
      </c>
    </row>
    <row r="477" spans="1:5">
      <c r="A477" s="461">
        <f t="shared" si="7"/>
        <v>1150</v>
      </c>
      <c r="B477" s="488" t="s">
        <v>2528</v>
      </c>
      <c r="C477" s="488" t="s">
        <v>2529</v>
      </c>
      <c r="D477" s="486" t="s">
        <v>3241</v>
      </c>
      <c r="E477" s="520">
        <v>15983.525000000001</v>
      </c>
    </row>
    <row r="478" spans="1:5" ht="25.5">
      <c r="A478" s="461">
        <f t="shared" si="7"/>
        <v>1151</v>
      </c>
      <c r="B478" s="454" t="s">
        <v>2530</v>
      </c>
      <c r="C478" s="454" t="s">
        <v>2530</v>
      </c>
      <c r="D478" s="486" t="s">
        <v>3062</v>
      </c>
      <c r="E478" s="520">
        <v>141.09</v>
      </c>
    </row>
    <row r="479" spans="1:5" ht="25.5">
      <c r="A479" s="461">
        <f t="shared" si="7"/>
        <v>1152</v>
      </c>
      <c r="B479" s="454" t="s">
        <v>2531</v>
      </c>
      <c r="C479" s="454" t="s">
        <v>2531</v>
      </c>
      <c r="D479" s="486" t="s">
        <v>3062</v>
      </c>
      <c r="E479" s="520">
        <v>191.08</v>
      </c>
    </row>
    <row r="480" spans="1:5" ht="25.5">
      <c r="A480" s="461">
        <f t="shared" si="7"/>
        <v>1153</v>
      </c>
      <c r="B480" s="454" t="s">
        <v>2532</v>
      </c>
      <c r="C480" s="454" t="s">
        <v>2532</v>
      </c>
      <c r="D480" s="486" t="s">
        <v>3062</v>
      </c>
      <c r="E480" s="520">
        <v>229.17</v>
      </c>
    </row>
    <row r="481" spans="1:5" ht="38.25">
      <c r="A481" s="461">
        <f t="shared" si="7"/>
        <v>1154</v>
      </c>
      <c r="B481" s="454" t="s">
        <v>2533</v>
      </c>
      <c r="C481" s="454" t="s">
        <v>2534</v>
      </c>
      <c r="D481" s="486" t="s">
        <v>3062</v>
      </c>
      <c r="E481" s="520">
        <v>291.23500000000001</v>
      </c>
    </row>
    <row r="482" spans="1:5" ht="38.25">
      <c r="A482" s="461">
        <f t="shared" si="7"/>
        <v>1155</v>
      </c>
      <c r="B482" s="454" t="s">
        <v>2535</v>
      </c>
      <c r="C482" s="454" t="s">
        <v>2536</v>
      </c>
      <c r="D482" s="486" t="s">
        <v>3062</v>
      </c>
      <c r="E482" s="520">
        <v>359.08</v>
      </c>
    </row>
    <row r="483" spans="1:5" ht="38.25">
      <c r="A483" s="461">
        <f t="shared" si="7"/>
        <v>1156</v>
      </c>
      <c r="B483" s="454" t="s">
        <v>2537</v>
      </c>
      <c r="C483" s="454" t="s">
        <v>2538</v>
      </c>
      <c r="D483" s="486" t="s">
        <v>3062</v>
      </c>
      <c r="E483" s="520">
        <v>438.89</v>
      </c>
    </row>
    <row r="484" spans="1:5" ht="38.25">
      <c r="A484" s="461">
        <f t="shared" si="7"/>
        <v>1157</v>
      </c>
      <c r="B484" s="454" t="s">
        <v>2124</v>
      </c>
      <c r="C484" s="454" t="s">
        <v>2536</v>
      </c>
      <c r="D484" s="486" t="s">
        <v>3062</v>
      </c>
      <c r="E484" s="520">
        <v>494.83499999999998</v>
      </c>
    </row>
    <row r="485" spans="1:5" ht="38.25">
      <c r="A485" s="461">
        <f t="shared" si="7"/>
        <v>1158</v>
      </c>
      <c r="B485" s="454" t="s">
        <v>2125</v>
      </c>
      <c r="C485" s="454" t="s">
        <v>2126</v>
      </c>
      <c r="D485" s="486" t="s">
        <v>3062</v>
      </c>
      <c r="E485" s="520">
        <v>597.19500000000005</v>
      </c>
    </row>
    <row r="486" spans="1:5" ht="38.25">
      <c r="A486" s="461">
        <f t="shared" si="7"/>
        <v>1159</v>
      </c>
      <c r="B486" s="454" t="s">
        <v>2127</v>
      </c>
      <c r="C486" s="454" t="s">
        <v>1743</v>
      </c>
      <c r="D486" s="486" t="s">
        <v>3062</v>
      </c>
      <c r="E486" s="520">
        <v>805.49</v>
      </c>
    </row>
    <row r="487" spans="1:5" ht="25.5">
      <c r="A487" s="461">
        <f t="shared" si="7"/>
        <v>1160</v>
      </c>
      <c r="B487" s="454" t="s">
        <v>1744</v>
      </c>
      <c r="C487" s="454" t="s">
        <v>1744</v>
      </c>
      <c r="D487" s="486" t="s">
        <v>1745</v>
      </c>
      <c r="E487" s="520">
        <v>1068.2950000000001</v>
      </c>
    </row>
    <row r="488" spans="1:5" ht="25.5">
      <c r="A488" s="461">
        <f t="shared" si="7"/>
        <v>1161</v>
      </c>
      <c r="B488" s="454" t="s">
        <v>1746</v>
      </c>
      <c r="C488" s="454" t="s">
        <v>1746</v>
      </c>
      <c r="D488" s="486" t="s">
        <v>1745</v>
      </c>
      <c r="E488" s="520">
        <v>1292.0650000000001</v>
      </c>
    </row>
    <row r="489" spans="1:5" ht="25.5">
      <c r="A489" s="461">
        <f t="shared" si="7"/>
        <v>1162</v>
      </c>
      <c r="B489" s="454" t="s">
        <v>1747</v>
      </c>
      <c r="C489" s="454" t="s">
        <v>1747</v>
      </c>
      <c r="D489" s="486" t="s">
        <v>1745</v>
      </c>
      <c r="E489" s="520">
        <v>1471.79</v>
      </c>
    </row>
    <row r="490" spans="1:5" ht="25.5">
      <c r="A490" s="461">
        <f t="shared" si="7"/>
        <v>1163</v>
      </c>
      <c r="B490" s="454" t="s">
        <v>1748</v>
      </c>
      <c r="C490" s="454" t="s">
        <v>1748</v>
      </c>
      <c r="D490" s="486" t="s">
        <v>1745</v>
      </c>
      <c r="E490" s="520">
        <v>2959.6</v>
      </c>
    </row>
    <row r="491" spans="1:5" ht="25.5">
      <c r="A491" s="461">
        <f t="shared" si="7"/>
        <v>1164</v>
      </c>
      <c r="B491" s="454" t="s">
        <v>1749</v>
      </c>
      <c r="C491" s="454" t="s">
        <v>1749</v>
      </c>
      <c r="D491" s="486" t="s">
        <v>1745</v>
      </c>
      <c r="E491" s="520">
        <v>3754.69</v>
      </c>
    </row>
    <row r="492" spans="1:5" ht="25.5">
      <c r="A492" s="461">
        <f t="shared" si="7"/>
        <v>1165</v>
      </c>
      <c r="B492" s="454" t="s">
        <v>1750</v>
      </c>
      <c r="C492" s="454" t="s">
        <v>1750</v>
      </c>
      <c r="D492" s="486" t="s">
        <v>1745</v>
      </c>
      <c r="E492" s="520">
        <v>4817.585</v>
      </c>
    </row>
    <row r="493" spans="1:5" ht="38.25">
      <c r="A493" s="461">
        <f t="shared" si="7"/>
        <v>1166</v>
      </c>
      <c r="B493" s="454" t="s">
        <v>1751</v>
      </c>
      <c r="C493" s="454" t="s">
        <v>1752</v>
      </c>
      <c r="D493" s="486" t="s">
        <v>3062</v>
      </c>
      <c r="E493" s="520">
        <v>242.04</v>
      </c>
    </row>
    <row r="494" spans="1:5" ht="38.25">
      <c r="A494" s="461">
        <f t="shared" si="7"/>
        <v>1167</v>
      </c>
      <c r="B494" s="454" t="s">
        <v>1753</v>
      </c>
      <c r="C494" s="454" t="s">
        <v>1754</v>
      </c>
      <c r="D494" s="486" t="s">
        <v>3062</v>
      </c>
      <c r="E494" s="520">
        <v>262.26499999999999</v>
      </c>
    </row>
    <row r="495" spans="1:5" ht="38.25">
      <c r="A495" s="461">
        <f t="shared" si="7"/>
        <v>1168</v>
      </c>
      <c r="B495" s="454" t="s">
        <v>1755</v>
      </c>
      <c r="C495" s="454" t="s">
        <v>1756</v>
      </c>
      <c r="D495" s="486" t="s">
        <v>3062</v>
      </c>
      <c r="E495" s="520">
        <v>328.92500000000001</v>
      </c>
    </row>
    <row r="496" spans="1:5" ht="38.25">
      <c r="A496" s="461">
        <f t="shared" si="7"/>
        <v>1169</v>
      </c>
      <c r="B496" s="454" t="s">
        <v>1757</v>
      </c>
      <c r="C496" s="454" t="s">
        <v>1758</v>
      </c>
      <c r="D496" s="486" t="s">
        <v>3062</v>
      </c>
      <c r="E496" s="520">
        <v>439.62</v>
      </c>
    </row>
    <row r="497" spans="1:5" ht="38.25">
      <c r="A497" s="461">
        <f t="shared" si="7"/>
        <v>1170</v>
      </c>
      <c r="B497" s="454" t="s">
        <v>1759</v>
      </c>
      <c r="C497" s="454" t="s">
        <v>1760</v>
      </c>
      <c r="D497" s="486" t="s">
        <v>3062</v>
      </c>
      <c r="E497" s="520">
        <v>578.875</v>
      </c>
    </row>
    <row r="498" spans="1:5" ht="38.25">
      <c r="A498" s="461">
        <f t="shared" si="7"/>
        <v>1171</v>
      </c>
      <c r="B498" s="454" t="s">
        <v>1761</v>
      </c>
      <c r="C498" s="454" t="s">
        <v>1762</v>
      </c>
      <c r="D498" s="486" t="s">
        <v>3062</v>
      </c>
      <c r="E498" s="520">
        <v>906.2</v>
      </c>
    </row>
    <row r="499" spans="1:5" ht="39.75">
      <c r="A499" s="461">
        <f t="shared" si="7"/>
        <v>1172</v>
      </c>
      <c r="B499" s="488" t="s">
        <v>1806</v>
      </c>
      <c r="C499" s="488" t="s">
        <v>471</v>
      </c>
      <c r="D499" s="486" t="s">
        <v>3062</v>
      </c>
      <c r="E499" s="520">
        <v>721.19892812500007</v>
      </c>
    </row>
    <row r="500" spans="1:5" ht="39.75">
      <c r="A500" s="461">
        <f t="shared" si="7"/>
        <v>1173</v>
      </c>
      <c r="B500" s="488" t="s">
        <v>472</v>
      </c>
      <c r="C500" s="488" t="s">
        <v>1810</v>
      </c>
      <c r="D500" s="486" t="s">
        <v>3062</v>
      </c>
      <c r="E500" s="520">
        <v>945.59610750000002</v>
      </c>
    </row>
    <row r="501" spans="1:5" ht="39.75">
      <c r="A501" s="461">
        <f t="shared" si="7"/>
        <v>1174</v>
      </c>
      <c r="B501" s="488" t="s">
        <v>1811</v>
      </c>
      <c r="C501" s="488" t="s">
        <v>1812</v>
      </c>
      <c r="D501" s="486" t="s">
        <v>3062</v>
      </c>
      <c r="E501" s="520">
        <v>1506.1100456250001</v>
      </c>
    </row>
    <row r="502" spans="1:5" ht="39.75">
      <c r="A502" s="461">
        <f t="shared" si="7"/>
        <v>1175</v>
      </c>
      <c r="B502" s="488" t="s">
        <v>2197</v>
      </c>
      <c r="C502" s="488" t="s">
        <v>1813</v>
      </c>
      <c r="D502" s="486" t="s">
        <v>3062</v>
      </c>
      <c r="E502" s="520">
        <v>1986.4503581250001</v>
      </c>
    </row>
    <row r="503" spans="1:5" ht="39.75">
      <c r="A503" s="461">
        <f t="shared" si="7"/>
        <v>1176</v>
      </c>
      <c r="B503" s="488" t="s">
        <v>1827</v>
      </c>
      <c r="C503" s="488" t="s">
        <v>928</v>
      </c>
      <c r="D503" s="486" t="s">
        <v>3062</v>
      </c>
      <c r="E503" s="520">
        <v>3155.6322987499993</v>
      </c>
    </row>
    <row r="504" spans="1:5" ht="39.75">
      <c r="A504" s="461">
        <f t="shared" si="7"/>
        <v>1177</v>
      </c>
      <c r="B504" s="488" t="s">
        <v>1828</v>
      </c>
      <c r="C504" s="488" t="s">
        <v>929</v>
      </c>
      <c r="D504" s="486" t="s">
        <v>3062</v>
      </c>
      <c r="E504" s="520">
        <v>1409.646896875</v>
      </c>
    </row>
    <row r="505" spans="1:5" ht="39.75">
      <c r="A505" s="461">
        <f t="shared" si="7"/>
        <v>1178</v>
      </c>
      <c r="B505" s="488" t="s">
        <v>930</v>
      </c>
      <c r="C505" s="488" t="s">
        <v>931</v>
      </c>
      <c r="D505" s="486" t="s">
        <v>3062</v>
      </c>
      <c r="E505" s="520">
        <v>1882.6948575000001</v>
      </c>
    </row>
    <row r="506" spans="1:5" ht="39.75">
      <c r="A506" s="461">
        <f t="shared" si="7"/>
        <v>1179</v>
      </c>
      <c r="B506" s="488" t="s">
        <v>932</v>
      </c>
      <c r="C506" s="488" t="s">
        <v>933</v>
      </c>
      <c r="D506" s="486" t="s">
        <v>3062</v>
      </c>
      <c r="E506" s="520">
        <v>3263.5141081249994</v>
      </c>
    </row>
    <row r="507" spans="1:5" ht="39.75">
      <c r="A507" s="461">
        <f t="shared" si="7"/>
        <v>1180</v>
      </c>
      <c r="B507" s="488" t="s">
        <v>934</v>
      </c>
      <c r="C507" s="488" t="s">
        <v>935</v>
      </c>
      <c r="D507" s="486" t="s">
        <v>3062</v>
      </c>
      <c r="E507" s="520">
        <v>3627.7677018749996</v>
      </c>
    </row>
    <row r="508" spans="1:5" ht="39.75">
      <c r="A508" s="461">
        <f t="shared" si="7"/>
        <v>1181</v>
      </c>
      <c r="B508" s="488" t="s">
        <v>936</v>
      </c>
      <c r="C508" s="488" t="s">
        <v>937</v>
      </c>
      <c r="D508" s="486" t="s">
        <v>3062</v>
      </c>
      <c r="E508" s="520">
        <v>5248.9101112499993</v>
      </c>
    </row>
    <row r="509" spans="1:5" ht="38.25">
      <c r="A509" s="461">
        <f t="shared" si="7"/>
        <v>1182</v>
      </c>
      <c r="B509" s="488" t="s">
        <v>33</v>
      </c>
      <c r="C509" s="488" t="s">
        <v>34</v>
      </c>
      <c r="D509" s="486" t="s">
        <v>3062</v>
      </c>
      <c r="E509" s="520">
        <v>768.30899999999986</v>
      </c>
    </row>
    <row r="510" spans="1:5" ht="29.25" customHeight="1">
      <c r="A510" s="461">
        <f t="shared" si="7"/>
        <v>1183</v>
      </c>
      <c r="B510" s="488" t="s">
        <v>1829</v>
      </c>
      <c r="C510" s="488" t="s">
        <v>35</v>
      </c>
      <c r="D510" s="486" t="s">
        <v>3062</v>
      </c>
      <c r="E510" s="520">
        <v>886.50599999999997</v>
      </c>
    </row>
    <row r="511" spans="1:5" ht="27" customHeight="1">
      <c r="A511" s="461">
        <f t="shared" si="7"/>
        <v>1184</v>
      </c>
      <c r="B511" s="488" t="s">
        <v>2137</v>
      </c>
      <c r="C511" s="488" t="s">
        <v>2138</v>
      </c>
      <c r="D511" s="486" t="s">
        <v>3062</v>
      </c>
      <c r="E511" s="520">
        <v>1797.239</v>
      </c>
    </row>
    <row r="512" spans="1:5" ht="29.25" customHeight="1">
      <c r="A512" s="461">
        <f t="shared" si="7"/>
        <v>1185</v>
      </c>
      <c r="B512" s="488" t="s">
        <v>2139</v>
      </c>
      <c r="C512" s="488" t="s">
        <v>2140</v>
      </c>
      <c r="D512" s="486" t="s">
        <v>1091</v>
      </c>
      <c r="E512" s="521">
        <v>106.996</v>
      </c>
    </row>
    <row r="513" spans="1:11">
      <c r="A513" s="461">
        <f t="shared" si="7"/>
        <v>1186</v>
      </c>
      <c r="B513" s="488" t="s">
        <v>2141</v>
      </c>
      <c r="C513" s="488" t="s">
        <v>2142</v>
      </c>
      <c r="D513" s="486" t="s">
        <v>1091</v>
      </c>
      <c r="E513" s="521">
        <v>90.332499999999996</v>
      </c>
    </row>
    <row r="514" spans="1:11">
      <c r="A514" s="461">
        <f t="shared" si="7"/>
        <v>1187</v>
      </c>
      <c r="B514" s="488" t="s">
        <v>2143</v>
      </c>
      <c r="C514" s="488" t="s">
        <v>2143</v>
      </c>
      <c r="D514" s="486" t="s">
        <v>1091</v>
      </c>
      <c r="E514" s="521">
        <v>89.142250000000004</v>
      </c>
      <c r="K514" t="s">
        <v>1866</v>
      </c>
    </row>
    <row r="515" spans="1:11">
      <c r="A515" s="461">
        <f t="shared" si="7"/>
        <v>1188</v>
      </c>
      <c r="B515" s="488" t="s">
        <v>2144</v>
      </c>
      <c r="C515" s="488" t="s">
        <v>2144</v>
      </c>
      <c r="D515" s="486" t="s">
        <v>1091</v>
      </c>
      <c r="E515" s="521">
        <v>108.38071500000001</v>
      </c>
    </row>
    <row r="516" spans="1:11">
      <c r="A516" s="461">
        <f t="shared" si="7"/>
        <v>1189</v>
      </c>
      <c r="B516" s="488" t="s">
        <v>2145</v>
      </c>
      <c r="C516" s="488" t="s">
        <v>2145</v>
      </c>
      <c r="D516" s="486" t="s">
        <v>1091</v>
      </c>
      <c r="E516" s="521">
        <v>179.14107749999999</v>
      </c>
    </row>
    <row r="517" spans="1:11">
      <c r="A517" s="461">
        <f t="shared" si="7"/>
        <v>1190</v>
      </c>
      <c r="B517" s="488" t="s">
        <v>2146</v>
      </c>
      <c r="C517" s="488" t="s">
        <v>2146</v>
      </c>
      <c r="D517" s="486" t="s">
        <v>1091</v>
      </c>
      <c r="E517" s="521">
        <v>200.45845500000001</v>
      </c>
    </row>
    <row r="518" spans="1:11">
      <c r="A518" s="461">
        <f t="shared" si="7"/>
        <v>1191</v>
      </c>
      <c r="B518" s="488" t="s">
        <v>2147</v>
      </c>
      <c r="C518" s="488" t="s">
        <v>2147</v>
      </c>
      <c r="D518" s="486" t="s">
        <v>1091</v>
      </c>
      <c r="E518" s="521">
        <v>152.50328249999998</v>
      </c>
    </row>
    <row r="519" spans="1:11">
      <c r="A519" s="461">
        <f t="shared" si="7"/>
        <v>1192</v>
      </c>
      <c r="B519" s="488" t="s">
        <v>2148</v>
      </c>
      <c r="C519" s="488" t="s">
        <v>2148</v>
      </c>
      <c r="D519" s="486" t="s">
        <v>1091</v>
      </c>
      <c r="E519" s="521">
        <v>176.08213499999999</v>
      </c>
    </row>
    <row r="520" spans="1:11">
      <c r="A520" s="461">
        <f t="shared" si="7"/>
        <v>1193</v>
      </c>
      <c r="B520" s="488" t="s">
        <v>2149</v>
      </c>
      <c r="C520" s="488" t="s">
        <v>2149</v>
      </c>
      <c r="D520" s="486" t="s">
        <v>1091</v>
      </c>
      <c r="E520" s="521">
        <v>136.08973499999999</v>
      </c>
    </row>
    <row r="521" spans="1:11">
      <c r="A521" s="461">
        <f t="shared" si="7"/>
        <v>1194</v>
      </c>
      <c r="B521" s="488" t="s">
        <v>2150</v>
      </c>
      <c r="C521" s="488" t="s">
        <v>2150</v>
      </c>
      <c r="D521" s="486" t="s">
        <v>1091</v>
      </c>
      <c r="E521" s="521">
        <v>192.28143750000001</v>
      </c>
    </row>
    <row r="522" spans="1:11">
      <c r="A522" s="461">
        <f t="shared" si="7"/>
        <v>1195</v>
      </c>
      <c r="B522" s="488" t="s">
        <v>232</v>
      </c>
      <c r="C522" s="488" t="s">
        <v>232</v>
      </c>
      <c r="D522" s="486" t="s">
        <v>1091</v>
      </c>
      <c r="E522" s="521">
        <v>403.13422499999996</v>
      </c>
    </row>
    <row r="523" spans="1:11">
      <c r="A523" s="461">
        <f t="shared" si="7"/>
        <v>1196</v>
      </c>
      <c r="B523" s="488" t="s">
        <v>233</v>
      </c>
      <c r="C523" s="488" t="s">
        <v>233</v>
      </c>
      <c r="D523" s="486" t="s">
        <v>1091</v>
      </c>
      <c r="E523" s="521">
        <v>15.392749999999999</v>
      </c>
    </row>
    <row r="524" spans="1:11">
      <c r="A524" s="461">
        <f t="shared" si="7"/>
        <v>1197</v>
      </c>
      <c r="B524" s="488" t="s">
        <v>234</v>
      </c>
      <c r="C524" s="488" t="s">
        <v>234</v>
      </c>
      <c r="D524" s="486" t="s">
        <v>1091</v>
      </c>
      <c r="E524" s="521">
        <v>179.49838250000002</v>
      </c>
    </row>
    <row r="525" spans="1:11">
      <c r="A525" s="461">
        <f t="shared" si="7"/>
        <v>1198</v>
      </c>
      <c r="B525" s="488" t="s">
        <v>235</v>
      </c>
      <c r="C525" s="488" t="s">
        <v>235</v>
      </c>
      <c r="D525" s="486" t="s">
        <v>1091</v>
      </c>
      <c r="E525" s="521">
        <v>306.35522750000001</v>
      </c>
    </row>
    <row r="526" spans="1:11">
      <c r="A526" s="461">
        <f t="shared" si="7"/>
        <v>1199</v>
      </c>
      <c r="B526" s="488" t="s">
        <v>236</v>
      </c>
      <c r="C526" s="488" t="s">
        <v>236</v>
      </c>
      <c r="D526" s="486" t="s">
        <v>1091</v>
      </c>
      <c r="E526" s="521">
        <v>340.78915999999998</v>
      </c>
    </row>
    <row r="527" spans="1:11">
      <c r="A527" s="461">
        <f t="shared" si="7"/>
        <v>1200</v>
      </c>
      <c r="B527" s="488" t="s">
        <v>237</v>
      </c>
      <c r="C527" s="488" t="s">
        <v>237</v>
      </c>
      <c r="D527" s="486" t="s">
        <v>1091</v>
      </c>
      <c r="E527" s="521">
        <v>253.06773500000003</v>
      </c>
    </row>
    <row r="528" spans="1:11">
      <c r="A528" s="461">
        <f t="shared" si="7"/>
        <v>1201</v>
      </c>
      <c r="B528" s="488" t="s">
        <v>238</v>
      </c>
      <c r="C528" s="488" t="s">
        <v>238</v>
      </c>
      <c r="D528" s="486" t="s">
        <v>1091</v>
      </c>
      <c r="E528" s="521">
        <v>285.84722000000005</v>
      </c>
    </row>
    <row r="529" spans="1:5">
      <c r="A529" s="461">
        <f t="shared" si="7"/>
        <v>1202</v>
      </c>
      <c r="B529" s="488" t="s">
        <v>239</v>
      </c>
      <c r="C529" s="488" t="s">
        <v>239</v>
      </c>
      <c r="D529" s="486" t="s">
        <v>1091</v>
      </c>
      <c r="E529" s="521">
        <v>228.46526750000004</v>
      </c>
    </row>
    <row r="530" spans="1:5">
      <c r="A530" s="461">
        <f t="shared" si="7"/>
        <v>1203</v>
      </c>
      <c r="B530" s="488" t="s">
        <v>240</v>
      </c>
      <c r="C530" s="488" t="s">
        <v>240</v>
      </c>
      <c r="D530" s="486" t="s">
        <v>1091</v>
      </c>
      <c r="E530" s="521">
        <v>353.45341999999999</v>
      </c>
    </row>
    <row r="531" spans="1:5">
      <c r="A531" s="461">
        <f t="shared" si="7"/>
        <v>1204</v>
      </c>
      <c r="B531" s="488" t="s">
        <v>241</v>
      </c>
      <c r="C531" s="488" t="s">
        <v>241</v>
      </c>
      <c r="D531" s="486" t="s">
        <v>1091</v>
      </c>
      <c r="E531" s="521">
        <v>657.37185499999998</v>
      </c>
    </row>
    <row r="532" spans="1:5">
      <c r="A532" s="461">
        <f t="shared" si="7"/>
        <v>1205</v>
      </c>
      <c r="B532" s="488" t="s">
        <v>242</v>
      </c>
      <c r="C532" s="488" t="s">
        <v>242</v>
      </c>
      <c r="D532" s="486" t="s">
        <v>1091</v>
      </c>
      <c r="E532" s="521">
        <v>28.159417499999996</v>
      </c>
    </row>
    <row r="533" spans="1:5">
      <c r="A533" s="461">
        <f t="shared" si="7"/>
        <v>1206</v>
      </c>
      <c r="B533" s="488" t="s">
        <v>243</v>
      </c>
      <c r="C533" s="488" t="s">
        <v>243</v>
      </c>
      <c r="D533" s="486" t="s">
        <v>1091</v>
      </c>
      <c r="E533" s="521">
        <v>722.5737499999999</v>
      </c>
    </row>
    <row r="534" spans="1:5">
      <c r="A534" s="461">
        <f t="shared" si="7"/>
        <v>1207</v>
      </c>
      <c r="B534" s="488" t="s">
        <v>244</v>
      </c>
      <c r="C534" s="488" t="s">
        <v>244</v>
      </c>
      <c r="D534" s="486" t="s">
        <v>1091</v>
      </c>
      <c r="E534" s="521">
        <v>401.31550000000004</v>
      </c>
    </row>
    <row r="535" spans="1:5">
      <c r="A535" s="461">
        <f t="shared" si="7"/>
        <v>1208</v>
      </c>
      <c r="B535" s="488" t="s">
        <v>245</v>
      </c>
      <c r="C535" s="488" t="s">
        <v>245</v>
      </c>
      <c r="D535" s="486" t="s">
        <v>1091</v>
      </c>
      <c r="E535" s="521">
        <v>358.46650000000005</v>
      </c>
    </row>
    <row r="536" spans="1:5">
      <c r="A536" s="461">
        <f t="shared" si="7"/>
        <v>1209</v>
      </c>
      <c r="B536" s="488" t="s">
        <v>607</v>
      </c>
      <c r="C536" s="488" t="s">
        <v>607</v>
      </c>
      <c r="D536" s="486" t="s">
        <v>1091</v>
      </c>
      <c r="E536" s="521">
        <v>704.82925</v>
      </c>
    </row>
    <row r="537" spans="1:5">
      <c r="A537" s="461">
        <f t="shared" si="7"/>
        <v>1210</v>
      </c>
      <c r="B537" s="488" t="s">
        <v>608</v>
      </c>
      <c r="C537" s="488" t="s">
        <v>609</v>
      </c>
      <c r="D537" s="486" t="s">
        <v>1091</v>
      </c>
      <c r="E537" s="521">
        <v>459.63774999999998</v>
      </c>
    </row>
    <row r="538" spans="1:5">
      <c r="A538" s="461">
        <f t="shared" si="7"/>
        <v>1211</v>
      </c>
      <c r="B538" s="488" t="s">
        <v>610</v>
      </c>
      <c r="C538" s="488" t="s">
        <v>611</v>
      </c>
      <c r="D538" s="486" t="s">
        <v>1091</v>
      </c>
      <c r="E538" s="521">
        <v>328.71025000000003</v>
      </c>
    </row>
    <row r="539" spans="1:5">
      <c r="A539" s="461">
        <f t="shared" ref="A539:A559" si="8">A538+1</f>
        <v>1212</v>
      </c>
      <c r="B539" s="488" t="s">
        <v>612</v>
      </c>
      <c r="C539" s="488" t="s">
        <v>612</v>
      </c>
      <c r="D539" s="486" t="s">
        <v>1091</v>
      </c>
      <c r="E539" s="521">
        <v>586.99450000000002</v>
      </c>
    </row>
    <row r="540" spans="1:5">
      <c r="A540" s="461">
        <f t="shared" si="8"/>
        <v>1213</v>
      </c>
      <c r="B540" s="488" t="s">
        <v>613</v>
      </c>
      <c r="C540" s="488" t="s">
        <v>613</v>
      </c>
      <c r="D540" s="486" t="s">
        <v>1091</v>
      </c>
      <c r="E540" s="521">
        <v>553.66750000000002</v>
      </c>
    </row>
    <row r="541" spans="1:5">
      <c r="A541" s="461">
        <f t="shared" si="8"/>
        <v>1214</v>
      </c>
      <c r="B541" s="488" t="s">
        <v>614</v>
      </c>
      <c r="C541" s="488" t="s">
        <v>614</v>
      </c>
      <c r="D541" s="486" t="s">
        <v>1091</v>
      </c>
      <c r="E541" s="521">
        <v>535.55499999999995</v>
      </c>
    </row>
    <row r="542" spans="1:5">
      <c r="A542" s="461">
        <f t="shared" si="8"/>
        <v>1215</v>
      </c>
      <c r="B542" s="488" t="s">
        <v>615</v>
      </c>
      <c r="C542" s="488" t="s">
        <v>615</v>
      </c>
      <c r="D542" s="486" t="s">
        <v>1091</v>
      </c>
      <c r="E542" s="521">
        <v>434.38375000000002</v>
      </c>
    </row>
    <row r="543" spans="1:5">
      <c r="A543" s="461">
        <f t="shared" si="8"/>
        <v>1216</v>
      </c>
      <c r="B543" s="488" t="s">
        <v>616</v>
      </c>
      <c r="C543" s="488" t="s">
        <v>617</v>
      </c>
      <c r="D543" s="486" t="s">
        <v>1091</v>
      </c>
      <c r="E543" s="521">
        <v>931.90825000000007</v>
      </c>
    </row>
    <row r="544" spans="1:5">
      <c r="A544" s="461">
        <f t="shared" si="8"/>
        <v>1217</v>
      </c>
      <c r="B544" s="488" t="s">
        <v>618</v>
      </c>
      <c r="C544" s="488" t="s">
        <v>619</v>
      </c>
      <c r="D544" s="486" t="s">
        <v>1091</v>
      </c>
      <c r="E544" s="521">
        <v>551.02824999999996</v>
      </c>
    </row>
    <row r="545" spans="1:6">
      <c r="A545" s="461">
        <f t="shared" si="8"/>
        <v>1218</v>
      </c>
      <c r="B545" s="488" t="s">
        <v>620</v>
      </c>
      <c r="C545" s="488" t="s">
        <v>621</v>
      </c>
      <c r="D545" s="486" t="s">
        <v>1091</v>
      </c>
      <c r="E545" s="521">
        <v>771.22450000000003</v>
      </c>
    </row>
    <row r="546" spans="1:6">
      <c r="A546" s="461">
        <f t="shared" si="8"/>
        <v>1219</v>
      </c>
      <c r="B546" s="488" t="s">
        <v>622</v>
      </c>
      <c r="C546" s="488" t="s">
        <v>623</v>
      </c>
      <c r="D546" s="486" t="s">
        <v>1091</v>
      </c>
      <c r="E546" s="521">
        <v>898.58124999999995</v>
      </c>
    </row>
    <row r="547" spans="1:6">
      <c r="A547" s="461">
        <f t="shared" si="8"/>
        <v>1220</v>
      </c>
      <c r="B547" s="488" t="s">
        <v>624</v>
      </c>
      <c r="C547" s="488" t="s">
        <v>625</v>
      </c>
      <c r="D547" s="486" t="s">
        <v>1091</v>
      </c>
      <c r="E547" s="521">
        <v>712.90225000000009</v>
      </c>
    </row>
    <row r="548" spans="1:6">
      <c r="A548" s="461">
        <f t="shared" si="8"/>
        <v>1221</v>
      </c>
      <c r="B548" s="488" t="s">
        <v>626</v>
      </c>
      <c r="C548" s="488" t="s">
        <v>626</v>
      </c>
      <c r="D548" s="486" t="s">
        <v>1091</v>
      </c>
      <c r="E548" s="521">
        <v>814.90724999999998</v>
      </c>
    </row>
    <row r="549" spans="1:6">
      <c r="A549" s="461">
        <f t="shared" si="8"/>
        <v>1222</v>
      </c>
      <c r="B549" s="488" t="s">
        <v>627</v>
      </c>
      <c r="C549" s="488" t="s">
        <v>627</v>
      </c>
      <c r="D549" s="486" t="s">
        <v>1091</v>
      </c>
      <c r="E549" s="521">
        <v>597.0915</v>
      </c>
    </row>
    <row r="550" spans="1:6">
      <c r="A550" s="461">
        <f t="shared" si="8"/>
        <v>1223</v>
      </c>
      <c r="B550" s="488" t="s">
        <v>628</v>
      </c>
      <c r="C550" s="488" t="s">
        <v>628</v>
      </c>
      <c r="D550" s="486" t="s">
        <v>1091</v>
      </c>
      <c r="E550" s="521">
        <v>1229.1142500000001</v>
      </c>
    </row>
    <row r="551" spans="1:6">
      <c r="A551" s="461">
        <f t="shared" si="8"/>
        <v>1224</v>
      </c>
      <c r="B551" s="488" t="s">
        <v>629</v>
      </c>
      <c r="C551" s="488" t="s">
        <v>295</v>
      </c>
      <c r="D551" s="486" t="s">
        <v>1091</v>
      </c>
      <c r="E551" s="521">
        <v>725.63850000000002</v>
      </c>
    </row>
    <row r="552" spans="1:6">
      <c r="A552" s="461">
        <f t="shared" si="8"/>
        <v>1225</v>
      </c>
      <c r="B552" s="488" t="s">
        <v>296</v>
      </c>
      <c r="C552" s="488" t="s">
        <v>296</v>
      </c>
      <c r="D552" s="486" t="s">
        <v>1091</v>
      </c>
      <c r="E552" s="521">
        <v>1051.7670000000001</v>
      </c>
    </row>
    <row r="553" spans="1:6">
      <c r="A553" s="461">
        <f t="shared" si="8"/>
        <v>1226</v>
      </c>
      <c r="B553" s="488" t="s">
        <v>297</v>
      </c>
      <c r="C553" s="488" t="s">
        <v>297</v>
      </c>
      <c r="D553" s="486" t="s">
        <v>1091</v>
      </c>
      <c r="E553" s="521">
        <v>1252.9192499999999</v>
      </c>
    </row>
    <row r="554" spans="1:6">
      <c r="A554" s="461">
        <f t="shared" si="8"/>
        <v>1227</v>
      </c>
      <c r="B554" s="488" t="s">
        <v>298</v>
      </c>
      <c r="C554" s="488" t="s">
        <v>298</v>
      </c>
      <c r="D554" s="486" t="s">
        <v>1091</v>
      </c>
      <c r="E554" s="521">
        <v>866.08799999999997</v>
      </c>
    </row>
    <row r="555" spans="1:6">
      <c r="A555" s="461">
        <f t="shared" si="8"/>
        <v>1228</v>
      </c>
      <c r="B555" s="489" t="s">
        <v>299</v>
      </c>
      <c r="C555" s="489" t="s">
        <v>299</v>
      </c>
      <c r="D555" s="486" t="s">
        <v>300</v>
      </c>
      <c r="E555" s="521">
        <v>1018.67</v>
      </c>
    </row>
    <row r="556" spans="1:6">
      <c r="A556" s="461">
        <f t="shared" si="8"/>
        <v>1229</v>
      </c>
      <c r="B556" s="489" t="s">
        <v>301</v>
      </c>
      <c r="C556" s="489" t="s">
        <v>301</v>
      </c>
      <c r="D556" s="384" t="s">
        <v>3062</v>
      </c>
      <c r="E556" s="521">
        <v>5276.15</v>
      </c>
    </row>
    <row r="557" spans="1:6" s="470" customFormat="1" ht="15" customHeight="1">
      <c r="A557" s="461">
        <f t="shared" si="8"/>
        <v>1230</v>
      </c>
      <c r="B557" s="489" t="s">
        <v>302</v>
      </c>
      <c r="C557" s="489" t="s">
        <v>302</v>
      </c>
      <c r="D557" s="384" t="s">
        <v>3062</v>
      </c>
      <c r="E557" s="521">
        <v>4423.93</v>
      </c>
      <c r="F557" s="472"/>
    </row>
    <row r="558" spans="1:6">
      <c r="A558" s="461">
        <f t="shared" si="8"/>
        <v>1231</v>
      </c>
      <c r="B558" s="489" t="s">
        <v>303</v>
      </c>
      <c r="C558" s="489" t="s">
        <v>303</v>
      </c>
      <c r="D558" s="384" t="s">
        <v>3062</v>
      </c>
      <c r="E558" s="521">
        <v>3920.05</v>
      </c>
    </row>
    <row r="559" spans="1:6">
      <c r="A559" s="461">
        <f t="shared" si="8"/>
        <v>1232</v>
      </c>
      <c r="B559" s="489" t="s">
        <v>304</v>
      </c>
      <c r="C559" s="489" t="s">
        <v>304</v>
      </c>
      <c r="D559" s="384" t="s">
        <v>3062</v>
      </c>
      <c r="E559" s="521">
        <v>3200.94</v>
      </c>
    </row>
    <row r="560" spans="1:6" ht="15.75">
      <c r="A560" s="861" t="s">
        <v>103</v>
      </c>
      <c r="B560" s="861"/>
      <c r="C560" s="470"/>
      <c r="D560" s="470"/>
      <c r="E560" s="471"/>
    </row>
    <row r="561" spans="1:5">
      <c r="A561" s="461"/>
      <c r="B561" s="488" t="s">
        <v>305</v>
      </c>
      <c r="C561" s="488" t="s">
        <v>305</v>
      </c>
      <c r="D561" s="486" t="s">
        <v>1091</v>
      </c>
      <c r="E561" s="487"/>
    </row>
    <row r="562" spans="1:5" ht="25.5">
      <c r="A562" s="489"/>
      <c r="B562" s="490" t="s">
        <v>306</v>
      </c>
      <c r="C562" s="490" t="s">
        <v>307</v>
      </c>
      <c r="D562" s="486" t="s">
        <v>3241</v>
      </c>
      <c r="E562" s="491"/>
    </row>
    <row r="563" spans="1:5" ht="25.5">
      <c r="A563" s="489"/>
      <c r="B563" s="490" t="s">
        <v>308</v>
      </c>
      <c r="C563" s="490" t="s">
        <v>309</v>
      </c>
      <c r="D563" s="486" t="s">
        <v>3241</v>
      </c>
      <c r="E563" s="491"/>
    </row>
    <row r="564" spans="1:5">
      <c r="A564" s="489"/>
      <c r="B564" s="489" t="s">
        <v>310</v>
      </c>
      <c r="C564" s="489" t="s">
        <v>311</v>
      </c>
      <c r="D564" s="486" t="s">
        <v>1091</v>
      </c>
      <c r="E564" s="491"/>
    </row>
    <row r="565" spans="1:5" ht="25.5">
      <c r="A565" s="489"/>
      <c r="B565" s="490" t="s">
        <v>312</v>
      </c>
      <c r="C565" s="490" t="s">
        <v>1210</v>
      </c>
      <c r="D565" s="486" t="s">
        <v>1091</v>
      </c>
      <c r="E565" s="491"/>
    </row>
    <row r="566" spans="1:5">
      <c r="A566" s="489"/>
      <c r="B566" s="490" t="s">
        <v>1211</v>
      </c>
      <c r="C566" s="490" t="s">
        <v>1212</v>
      </c>
      <c r="D566" s="486" t="s">
        <v>1091</v>
      </c>
      <c r="E566" s="491"/>
    </row>
    <row r="567" spans="1:5">
      <c r="A567" s="489"/>
      <c r="B567" s="489" t="s">
        <v>1213</v>
      </c>
      <c r="C567" s="489" t="s">
        <v>1214</v>
      </c>
      <c r="D567" s="486" t="s">
        <v>1091</v>
      </c>
      <c r="E567" s="491"/>
    </row>
    <row r="568" spans="1:5">
      <c r="A568" s="489"/>
      <c r="B568" s="490" t="s">
        <v>1215</v>
      </c>
      <c r="C568" s="490" t="s">
        <v>1216</v>
      </c>
      <c r="D568" s="486" t="s">
        <v>1091</v>
      </c>
      <c r="E568" s="492"/>
    </row>
    <row r="569" spans="1:5">
      <c r="A569" s="489"/>
      <c r="B569" s="493" t="s">
        <v>1217</v>
      </c>
      <c r="C569" s="493" t="s">
        <v>1218</v>
      </c>
      <c r="D569" s="486" t="s">
        <v>1091</v>
      </c>
      <c r="E569" s="491"/>
    </row>
    <row r="570" spans="1:5">
      <c r="A570" s="489"/>
      <c r="B570" s="488" t="s">
        <v>1219</v>
      </c>
      <c r="C570" s="488" t="s">
        <v>1220</v>
      </c>
      <c r="D570" s="486" t="s">
        <v>1091</v>
      </c>
      <c r="E570" s="491"/>
    </row>
    <row r="571" spans="1:5">
      <c r="A571" s="489"/>
      <c r="B571" s="488" t="s">
        <v>1221</v>
      </c>
      <c r="C571" s="488" t="s">
        <v>1222</v>
      </c>
      <c r="D571" s="486" t="s">
        <v>1091</v>
      </c>
      <c r="E571" s="491"/>
    </row>
    <row r="572" spans="1:5">
      <c r="A572" s="489"/>
      <c r="B572" s="488" t="s">
        <v>1223</v>
      </c>
      <c r="C572" s="488" t="s">
        <v>1224</v>
      </c>
      <c r="D572" s="486" t="s">
        <v>1091</v>
      </c>
      <c r="E572" s="491"/>
    </row>
    <row r="573" spans="1:5">
      <c r="A573" s="489"/>
      <c r="B573" s="488" t="s">
        <v>1225</v>
      </c>
      <c r="C573" s="488" t="s">
        <v>1225</v>
      </c>
      <c r="D573" s="486" t="s">
        <v>1091</v>
      </c>
      <c r="E573" s="491"/>
    </row>
    <row r="574" spans="1:5">
      <c r="A574" s="489"/>
      <c r="B574" s="488" t="s">
        <v>1226</v>
      </c>
      <c r="C574" s="488" t="s">
        <v>1226</v>
      </c>
      <c r="D574" s="486" t="s">
        <v>1091</v>
      </c>
      <c r="E574" s="491"/>
    </row>
    <row r="575" spans="1:5">
      <c r="A575" s="489"/>
      <c r="B575" s="488" t="s">
        <v>778</v>
      </c>
      <c r="C575" s="488" t="s">
        <v>778</v>
      </c>
      <c r="D575" s="486" t="s">
        <v>1091</v>
      </c>
      <c r="E575" s="491"/>
    </row>
    <row r="576" spans="1:5">
      <c r="A576" s="489"/>
      <c r="B576" s="488" t="s">
        <v>779</v>
      </c>
      <c r="C576" s="488" t="s">
        <v>779</v>
      </c>
      <c r="D576" s="486" t="s">
        <v>1091</v>
      </c>
      <c r="E576" s="491"/>
    </row>
    <row r="577" spans="1:5">
      <c r="A577" s="489"/>
      <c r="B577" s="488" t="s">
        <v>780</v>
      </c>
      <c r="C577" s="488" t="s">
        <v>780</v>
      </c>
      <c r="D577" s="486" t="s">
        <v>1091</v>
      </c>
      <c r="E577" s="491"/>
    </row>
    <row r="578" spans="1:5" ht="27">
      <c r="A578" s="489"/>
      <c r="B578" s="488" t="s">
        <v>938</v>
      </c>
      <c r="C578" s="488" t="s">
        <v>938</v>
      </c>
      <c r="D578" s="486" t="s">
        <v>3062</v>
      </c>
      <c r="E578" s="491"/>
    </row>
    <row r="579" spans="1:5">
      <c r="A579" s="489"/>
      <c r="B579" s="488" t="s">
        <v>781</v>
      </c>
      <c r="C579" s="488" t="s">
        <v>781</v>
      </c>
      <c r="D579" s="486" t="s">
        <v>1091</v>
      </c>
      <c r="E579" s="491"/>
    </row>
    <row r="580" spans="1:5" ht="25.5">
      <c r="A580" s="489"/>
      <c r="B580" s="488" t="s">
        <v>782</v>
      </c>
      <c r="C580" s="488" t="s">
        <v>782</v>
      </c>
      <c r="D580" s="486" t="s">
        <v>3241</v>
      </c>
      <c r="E580" s="491"/>
    </row>
    <row r="581" spans="1:5" ht="27">
      <c r="A581" s="489"/>
      <c r="B581" s="488" t="s">
        <v>939</v>
      </c>
      <c r="C581" s="488" t="s">
        <v>939</v>
      </c>
      <c r="D581" s="486" t="s">
        <v>3062</v>
      </c>
      <c r="E581" s="491"/>
    </row>
    <row r="582" spans="1:5">
      <c r="A582" s="489"/>
      <c r="B582" s="488" t="s">
        <v>783</v>
      </c>
      <c r="C582" s="488" t="s">
        <v>783</v>
      </c>
      <c r="D582" s="486" t="s">
        <v>1091</v>
      </c>
      <c r="E582" s="491"/>
    </row>
    <row r="583" spans="1:5">
      <c r="A583" s="489"/>
      <c r="B583" s="488" t="s">
        <v>784</v>
      </c>
      <c r="C583" s="488" t="s">
        <v>784</v>
      </c>
      <c r="D583" s="486" t="s">
        <v>1091</v>
      </c>
      <c r="E583" s="491"/>
    </row>
    <row r="584" spans="1:5">
      <c r="A584" s="489"/>
      <c r="B584" s="488" t="s">
        <v>785</v>
      </c>
      <c r="C584" s="488" t="s">
        <v>785</v>
      </c>
      <c r="D584" s="486" t="s">
        <v>1091</v>
      </c>
      <c r="E584" s="491"/>
    </row>
    <row r="585" spans="1:5">
      <c r="A585" s="489"/>
      <c r="B585" s="488" t="s">
        <v>786</v>
      </c>
      <c r="C585" s="488" t="s">
        <v>786</v>
      </c>
      <c r="D585" s="486" t="s">
        <v>1091</v>
      </c>
      <c r="E585" s="491"/>
    </row>
    <row r="586" spans="1:5" ht="25.5">
      <c r="A586" s="489"/>
      <c r="B586" s="488" t="s">
        <v>787</v>
      </c>
      <c r="C586" s="488" t="s">
        <v>787</v>
      </c>
      <c r="D586" s="486" t="s">
        <v>1091</v>
      </c>
      <c r="E586" s="491"/>
    </row>
    <row r="587" spans="1:5" ht="27">
      <c r="A587" s="486"/>
      <c r="B587" s="488" t="s">
        <v>939</v>
      </c>
      <c r="C587" s="488" t="s">
        <v>939</v>
      </c>
      <c r="D587" s="486" t="s">
        <v>1091</v>
      </c>
      <c r="E587" s="491"/>
    </row>
    <row r="588" spans="1:5">
      <c r="A588" s="486"/>
      <c r="B588" s="488" t="s">
        <v>788</v>
      </c>
      <c r="C588" s="488" t="s">
        <v>788</v>
      </c>
      <c r="D588" s="486" t="s">
        <v>1091</v>
      </c>
      <c r="E588" s="491"/>
    </row>
    <row r="589" spans="1:5">
      <c r="A589" s="486"/>
      <c r="B589" s="488" t="s">
        <v>789</v>
      </c>
      <c r="C589" s="488" t="s">
        <v>789</v>
      </c>
      <c r="D589" s="486" t="s">
        <v>1091</v>
      </c>
      <c r="E589" s="491"/>
    </row>
    <row r="590" spans="1:5">
      <c r="A590" s="486"/>
      <c r="B590" s="488" t="s">
        <v>790</v>
      </c>
      <c r="C590" s="488" t="s">
        <v>790</v>
      </c>
      <c r="D590" s="486" t="s">
        <v>1091</v>
      </c>
      <c r="E590" s="491"/>
    </row>
    <row r="591" spans="1:5">
      <c r="A591" s="486"/>
      <c r="B591" s="488" t="s">
        <v>791</v>
      </c>
      <c r="C591" s="488" t="s">
        <v>791</v>
      </c>
      <c r="D591" s="486" t="s">
        <v>1091</v>
      </c>
      <c r="E591" s="491"/>
    </row>
    <row r="592" spans="1:5">
      <c r="A592" s="486"/>
      <c r="B592" s="488" t="s">
        <v>792</v>
      </c>
      <c r="C592" s="488" t="s">
        <v>792</v>
      </c>
      <c r="D592" s="486" t="s">
        <v>1091</v>
      </c>
      <c r="E592" s="491"/>
    </row>
    <row r="593" spans="1:5">
      <c r="A593" s="486"/>
      <c r="B593" s="488" t="s">
        <v>793</v>
      </c>
      <c r="C593" s="488" t="s">
        <v>793</v>
      </c>
      <c r="D593" s="486" t="s">
        <v>1091</v>
      </c>
      <c r="E593" s="491"/>
    </row>
    <row r="594" spans="1:5">
      <c r="A594" s="486"/>
      <c r="B594" s="488" t="s">
        <v>794</v>
      </c>
      <c r="C594" s="488" t="s">
        <v>794</v>
      </c>
      <c r="D594" s="486" t="s">
        <v>1091</v>
      </c>
      <c r="E594" s="491"/>
    </row>
    <row r="595" spans="1:5">
      <c r="A595" s="486"/>
      <c r="B595" s="488" t="s">
        <v>795</v>
      </c>
      <c r="C595" s="488" t="s">
        <v>795</v>
      </c>
      <c r="D595" s="486" t="s">
        <v>1091</v>
      </c>
      <c r="E595" s="491"/>
    </row>
    <row r="596" spans="1:5">
      <c r="A596" s="486"/>
      <c r="B596" s="488" t="s">
        <v>796</v>
      </c>
      <c r="C596" s="488" t="s">
        <v>796</v>
      </c>
      <c r="D596" s="486" t="s">
        <v>1091</v>
      </c>
      <c r="E596" s="491"/>
    </row>
    <row r="597" spans="1:5">
      <c r="A597" s="486"/>
      <c r="B597" s="488" t="s">
        <v>797</v>
      </c>
      <c r="C597" s="488" t="s">
        <v>797</v>
      </c>
      <c r="D597" s="486" t="s">
        <v>1091</v>
      </c>
      <c r="E597" s="491"/>
    </row>
    <row r="598" spans="1:5" ht="25.5">
      <c r="A598" s="486"/>
      <c r="B598" s="488" t="s">
        <v>2156</v>
      </c>
      <c r="C598" s="488" t="s">
        <v>2156</v>
      </c>
      <c r="D598" s="486" t="s">
        <v>1091</v>
      </c>
      <c r="E598" s="491"/>
    </row>
    <row r="599" spans="1:5" ht="25.5">
      <c r="A599" s="486"/>
      <c r="B599" s="488" t="s">
        <v>2157</v>
      </c>
      <c r="C599" s="488" t="s">
        <v>2157</v>
      </c>
      <c r="D599" s="486" t="s">
        <v>1091</v>
      </c>
      <c r="E599" s="491"/>
    </row>
    <row r="600" spans="1:5" ht="76.5">
      <c r="A600" s="486"/>
      <c r="B600" s="494" t="s">
        <v>2158</v>
      </c>
      <c r="C600" s="494" t="s">
        <v>2158</v>
      </c>
      <c r="D600" s="486" t="s">
        <v>1091</v>
      </c>
      <c r="E600" s="491"/>
    </row>
    <row r="601" spans="1:5" ht="38.25">
      <c r="A601" s="486"/>
      <c r="B601" s="454" t="s">
        <v>2159</v>
      </c>
      <c r="C601" s="454" t="s">
        <v>2160</v>
      </c>
      <c r="D601" s="486" t="s">
        <v>1091</v>
      </c>
      <c r="E601" s="491"/>
    </row>
    <row r="602" spans="1:5" ht="25.5">
      <c r="A602" s="486"/>
      <c r="B602" s="494" t="s">
        <v>2161</v>
      </c>
      <c r="C602" s="494" t="s">
        <v>2161</v>
      </c>
      <c r="D602" s="486" t="s">
        <v>1091</v>
      </c>
      <c r="E602" s="491"/>
    </row>
    <row r="603" spans="1:5" ht="25.5">
      <c r="A603" s="486"/>
      <c r="B603" s="494" t="s">
        <v>2162</v>
      </c>
      <c r="C603" s="494" t="s">
        <v>2162</v>
      </c>
      <c r="D603" s="486" t="s">
        <v>1091</v>
      </c>
      <c r="E603" s="491"/>
    </row>
    <row r="604" spans="1:5" ht="25.5">
      <c r="A604" s="486"/>
      <c r="B604" s="494" t="s">
        <v>2163</v>
      </c>
      <c r="C604" s="494" t="s">
        <v>2163</v>
      </c>
      <c r="D604" s="486" t="s">
        <v>1091</v>
      </c>
      <c r="E604" s="491"/>
    </row>
    <row r="605" spans="1:5" ht="25.5">
      <c r="A605" s="486"/>
      <c r="B605" s="494" t="s">
        <v>2164</v>
      </c>
      <c r="C605" s="494" t="s">
        <v>2164</v>
      </c>
      <c r="D605" s="486" t="s">
        <v>1091</v>
      </c>
      <c r="E605" s="491"/>
    </row>
    <row r="606" spans="1:5" ht="38.25">
      <c r="A606" s="486"/>
      <c r="B606" s="454" t="s">
        <v>253</v>
      </c>
      <c r="C606" s="454" t="s">
        <v>254</v>
      </c>
      <c r="D606" s="486" t="s">
        <v>1091</v>
      </c>
      <c r="E606" s="491"/>
    </row>
    <row r="607" spans="1:5" ht="38.25">
      <c r="A607" s="486"/>
      <c r="B607" s="454" t="s">
        <v>473</v>
      </c>
      <c r="C607" s="454" t="s">
        <v>474</v>
      </c>
      <c r="D607" s="486" t="s">
        <v>1091</v>
      </c>
      <c r="E607" s="491"/>
    </row>
    <row r="608" spans="1:5" ht="25.5">
      <c r="A608" s="486"/>
      <c r="B608" s="488" t="s">
        <v>475</v>
      </c>
      <c r="C608" s="488" t="s">
        <v>475</v>
      </c>
      <c r="D608" s="486" t="s">
        <v>1091</v>
      </c>
      <c r="E608" s="491"/>
    </row>
    <row r="609" spans="1:5" ht="25.5">
      <c r="A609" s="486"/>
      <c r="B609" s="454" t="s">
        <v>476</v>
      </c>
      <c r="C609" s="454" t="s">
        <v>940</v>
      </c>
      <c r="D609" s="486" t="s">
        <v>1091</v>
      </c>
      <c r="E609" s="491"/>
    </row>
    <row r="610" spans="1:5" ht="25.5">
      <c r="A610" s="486"/>
      <c r="B610" s="454" t="s">
        <v>477</v>
      </c>
      <c r="C610" s="454" t="s">
        <v>477</v>
      </c>
      <c r="D610" s="486" t="s">
        <v>1091</v>
      </c>
      <c r="E610" s="491"/>
    </row>
    <row r="611" spans="1:5" ht="25.5">
      <c r="A611" s="486"/>
      <c r="B611" s="488" t="s">
        <v>478</v>
      </c>
      <c r="C611" s="488" t="s">
        <v>478</v>
      </c>
      <c r="D611" s="486" t="s">
        <v>1091</v>
      </c>
      <c r="E611" s="491"/>
    </row>
    <row r="612" spans="1:5" ht="25.5">
      <c r="A612" s="486"/>
      <c r="B612" s="454" t="s">
        <v>479</v>
      </c>
      <c r="C612" s="454" t="s">
        <v>479</v>
      </c>
      <c r="D612" s="486" t="s">
        <v>1091</v>
      </c>
      <c r="E612" s="491"/>
    </row>
    <row r="613" spans="1:5" ht="25.5">
      <c r="A613" s="486"/>
      <c r="B613" s="454" t="s">
        <v>480</v>
      </c>
      <c r="C613" s="454" t="s">
        <v>480</v>
      </c>
      <c r="D613" s="486" t="s">
        <v>1091</v>
      </c>
      <c r="E613" s="491"/>
    </row>
    <row r="614" spans="1:5" ht="25.5">
      <c r="A614" s="486"/>
      <c r="B614" s="454" t="s">
        <v>481</v>
      </c>
      <c r="C614" s="454" t="s">
        <v>481</v>
      </c>
      <c r="D614" s="486" t="s">
        <v>1091</v>
      </c>
      <c r="E614" s="491"/>
    </row>
    <row r="615" spans="1:5" ht="25.5">
      <c r="A615" s="486"/>
      <c r="B615" s="454" t="s">
        <v>482</v>
      </c>
      <c r="C615" s="454" t="s">
        <v>482</v>
      </c>
      <c r="D615" s="486" t="s">
        <v>1091</v>
      </c>
      <c r="E615" s="491"/>
    </row>
    <row r="616" spans="1:5" ht="25.5">
      <c r="A616" s="486"/>
      <c r="B616" s="454" t="s">
        <v>260</v>
      </c>
      <c r="C616" s="454" t="s">
        <v>260</v>
      </c>
      <c r="D616" s="486" t="s">
        <v>1091</v>
      </c>
      <c r="E616" s="491"/>
    </row>
    <row r="617" spans="1:5" ht="25.5">
      <c r="A617" s="486"/>
      <c r="B617" s="454" t="s">
        <v>3081</v>
      </c>
      <c r="C617" s="454" t="s">
        <v>3081</v>
      </c>
      <c r="D617" s="486" t="s">
        <v>1091</v>
      </c>
      <c r="E617" s="491"/>
    </row>
    <row r="618" spans="1:5" ht="25.5">
      <c r="A618" s="486"/>
      <c r="B618" s="454" t="s">
        <v>3082</v>
      </c>
      <c r="C618" s="454" t="s">
        <v>3082</v>
      </c>
      <c r="D618" s="486" t="s">
        <v>1091</v>
      </c>
      <c r="E618" s="491"/>
    </row>
    <row r="619" spans="1:5" ht="25.5">
      <c r="A619" s="486"/>
      <c r="B619" s="488" t="s">
        <v>2157</v>
      </c>
      <c r="C619" s="488" t="s">
        <v>2157</v>
      </c>
      <c r="D619" s="486" t="s">
        <v>1091</v>
      </c>
      <c r="E619" s="491"/>
    </row>
    <row r="620" spans="1:5" ht="63.75">
      <c r="A620" s="486"/>
      <c r="B620" s="488" t="s">
        <v>1778</v>
      </c>
      <c r="C620" s="488" t="s">
        <v>1778</v>
      </c>
      <c r="D620" s="486" t="s">
        <v>1091</v>
      </c>
      <c r="E620" s="491"/>
    </row>
    <row r="621" spans="1:5" ht="25.5">
      <c r="A621" s="486"/>
      <c r="B621" s="488" t="s">
        <v>457</v>
      </c>
      <c r="C621" s="488" t="s">
        <v>457</v>
      </c>
      <c r="D621" s="486" t="s">
        <v>3062</v>
      </c>
      <c r="E621" s="491"/>
    </row>
    <row r="622" spans="1:5" ht="25.5">
      <c r="A622" s="486"/>
      <c r="B622" s="488" t="s">
        <v>458</v>
      </c>
      <c r="C622" s="488" t="s">
        <v>458</v>
      </c>
      <c r="D622" s="486" t="s">
        <v>1091</v>
      </c>
      <c r="E622" s="491"/>
    </row>
    <row r="623" spans="1:5" ht="25.5">
      <c r="A623" s="486"/>
      <c r="B623" s="488" t="s">
        <v>459</v>
      </c>
      <c r="C623" s="488" t="s">
        <v>459</v>
      </c>
      <c r="D623" s="486" t="s">
        <v>1091</v>
      </c>
      <c r="E623" s="491"/>
    </row>
    <row r="624" spans="1:5">
      <c r="A624" s="486"/>
      <c r="B624" s="488" t="s">
        <v>460</v>
      </c>
      <c r="C624" s="488" t="s">
        <v>460</v>
      </c>
      <c r="D624" s="486" t="s">
        <v>1091</v>
      </c>
      <c r="E624" s="491"/>
    </row>
    <row r="625" spans="1:5" ht="25.5">
      <c r="A625" s="486"/>
      <c r="B625" s="490" t="s">
        <v>2082</v>
      </c>
      <c r="C625" s="490" t="s">
        <v>2082</v>
      </c>
      <c r="D625" s="486" t="s">
        <v>1091</v>
      </c>
      <c r="E625" s="491"/>
    </row>
    <row r="626" spans="1:5">
      <c r="A626" s="486"/>
      <c r="B626" s="454" t="s">
        <v>2083</v>
      </c>
      <c r="C626" s="454" t="s">
        <v>2083</v>
      </c>
      <c r="D626" s="486" t="s">
        <v>1091</v>
      </c>
      <c r="E626" s="491"/>
    </row>
    <row r="627" spans="1:5" ht="25.5">
      <c r="A627" s="486"/>
      <c r="B627" s="488" t="s">
        <v>2084</v>
      </c>
      <c r="C627" s="488" t="s">
        <v>2084</v>
      </c>
      <c r="D627" s="486" t="s">
        <v>1091</v>
      </c>
      <c r="E627" s="491"/>
    </row>
    <row r="628" spans="1:5" ht="25.5">
      <c r="A628" s="486"/>
      <c r="B628" s="490" t="s">
        <v>2085</v>
      </c>
      <c r="C628" s="490" t="s">
        <v>2085</v>
      </c>
      <c r="D628" s="486" t="s">
        <v>1091</v>
      </c>
      <c r="E628" s="491"/>
    </row>
    <row r="629" spans="1:5">
      <c r="A629" s="486"/>
      <c r="B629" s="488" t="s">
        <v>2086</v>
      </c>
      <c r="C629" s="488" t="s">
        <v>2086</v>
      </c>
      <c r="D629" s="486" t="s">
        <v>3241</v>
      </c>
      <c r="E629" s="491"/>
    </row>
    <row r="630" spans="1:5" ht="38.25">
      <c r="A630" s="486"/>
      <c r="B630" s="494" t="s">
        <v>2087</v>
      </c>
      <c r="C630" s="494" t="s">
        <v>2087</v>
      </c>
      <c r="D630" s="486" t="s">
        <v>1091</v>
      </c>
      <c r="E630" s="491"/>
    </row>
    <row r="631" spans="1:5" ht="25.5">
      <c r="A631" s="486"/>
      <c r="B631" s="488" t="s">
        <v>2088</v>
      </c>
      <c r="C631" s="488" t="s">
        <v>2088</v>
      </c>
      <c r="D631" s="486" t="s">
        <v>1091</v>
      </c>
      <c r="E631" s="491"/>
    </row>
    <row r="632" spans="1:5" ht="38.25">
      <c r="A632" s="486"/>
      <c r="B632" s="454" t="s">
        <v>2089</v>
      </c>
      <c r="C632" s="454" t="s">
        <v>1679</v>
      </c>
      <c r="D632" s="486" t="s">
        <v>1091</v>
      </c>
      <c r="E632" s="491"/>
    </row>
    <row r="633" spans="1:5" ht="38.25">
      <c r="A633" s="486"/>
      <c r="B633" s="494" t="s">
        <v>1680</v>
      </c>
      <c r="C633" s="494" t="s">
        <v>1680</v>
      </c>
      <c r="D633" s="486" t="s">
        <v>1091</v>
      </c>
      <c r="E633" s="491"/>
    </row>
    <row r="634" spans="1:5" ht="38.25">
      <c r="A634" s="486"/>
      <c r="B634" s="494" t="s">
        <v>1681</v>
      </c>
      <c r="C634" s="494" t="s">
        <v>1681</v>
      </c>
      <c r="D634" s="486" t="s">
        <v>1091</v>
      </c>
      <c r="E634" s="491"/>
    </row>
    <row r="635" spans="1:5" ht="38.25">
      <c r="A635" s="486"/>
      <c r="B635" s="494" t="s">
        <v>1682</v>
      </c>
      <c r="C635" s="494" t="s">
        <v>1682</v>
      </c>
      <c r="D635" s="486" t="s">
        <v>1091</v>
      </c>
      <c r="E635" s="491"/>
    </row>
    <row r="636" spans="1:5" ht="25.5">
      <c r="A636" s="486"/>
      <c r="B636" s="494" t="s">
        <v>1683</v>
      </c>
      <c r="C636" s="494" t="s">
        <v>1683</v>
      </c>
      <c r="D636" s="486" t="s">
        <v>1091</v>
      </c>
      <c r="E636" s="491"/>
    </row>
    <row r="637" spans="1:5">
      <c r="A637" s="486"/>
      <c r="B637" s="495" t="s">
        <v>1684</v>
      </c>
      <c r="C637" s="495" t="s">
        <v>1685</v>
      </c>
      <c r="D637" s="486" t="s">
        <v>1091</v>
      </c>
      <c r="E637" s="496"/>
    </row>
    <row r="638" spans="1:5">
      <c r="A638" s="486"/>
      <c r="B638" s="495" t="s">
        <v>1686</v>
      </c>
      <c r="C638" s="495" t="s">
        <v>1115</v>
      </c>
      <c r="D638" s="486" t="s">
        <v>1091</v>
      </c>
      <c r="E638" s="496"/>
    </row>
    <row r="639" spans="1:5" ht="63.75">
      <c r="A639" s="486"/>
      <c r="B639" s="454" t="s">
        <v>1116</v>
      </c>
      <c r="C639" s="454" t="s">
        <v>1116</v>
      </c>
      <c r="D639" s="497" t="s">
        <v>3241</v>
      </c>
      <c r="E639" s="496"/>
    </row>
    <row r="640" spans="1:5" ht="25.5">
      <c r="A640" s="486"/>
      <c r="B640" s="454" t="s">
        <v>1117</v>
      </c>
      <c r="C640" s="454" t="s">
        <v>1118</v>
      </c>
      <c r="D640" s="497" t="s">
        <v>3241</v>
      </c>
      <c r="E640" s="496"/>
    </row>
    <row r="641" spans="1:6" ht="63.75">
      <c r="A641" s="486"/>
      <c r="B641" s="454" t="s">
        <v>1119</v>
      </c>
      <c r="C641" s="454" t="s">
        <v>1119</v>
      </c>
      <c r="D641" s="497" t="s">
        <v>3241</v>
      </c>
      <c r="E641" s="498"/>
    </row>
    <row r="642" spans="1:6" ht="63.75">
      <c r="A642" s="486"/>
      <c r="B642" s="454" t="s">
        <v>1120</v>
      </c>
      <c r="C642" s="454" t="s">
        <v>1120</v>
      </c>
      <c r="D642" s="497" t="s">
        <v>3241</v>
      </c>
      <c r="E642" s="498"/>
    </row>
    <row r="643" spans="1:6" ht="38.25">
      <c r="A643" s="486"/>
      <c r="B643" s="494" t="s">
        <v>1121</v>
      </c>
      <c r="C643" s="494" t="s">
        <v>1121</v>
      </c>
      <c r="D643" s="497" t="s">
        <v>1091</v>
      </c>
      <c r="E643" s="496"/>
    </row>
    <row r="644" spans="1:6">
      <c r="A644" s="486"/>
      <c r="B644" s="495" t="s">
        <v>1122</v>
      </c>
      <c r="C644" s="495" t="s">
        <v>1122</v>
      </c>
      <c r="D644" s="497" t="s">
        <v>1123</v>
      </c>
      <c r="E644" s="496"/>
    </row>
    <row r="645" spans="1:6" ht="25.5">
      <c r="A645" s="486"/>
      <c r="B645" s="495" t="s">
        <v>1124</v>
      </c>
      <c r="C645" s="495" t="s">
        <v>1124</v>
      </c>
      <c r="D645" s="497" t="s">
        <v>1125</v>
      </c>
      <c r="E645" s="496"/>
    </row>
    <row r="646" spans="1:6">
      <c r="A646" s="486"/>
      <c r="B646" s="495" t="s">
        <v>1126</v>
      </c>
      <c r="C646" s="495" t="s">
        <v>1126</v>
      </c>
      <c r="D646" s="497" t="s">
        <v>3062</v>
      </c>
      <c r="E646" s="496"/>
      <c r="F646">
        <v>1873.5</v>
      </c>
    </row>
    <row r="647" spans="1:6">
      <c r="A647" s="486"/>
      <c r="B647" s="495" t="s">
        <v>1127</v>
      </c>
      <c r="C647" s="495" t="s">
        <v>1127</v>
      </c>
      <c r="D647" s="497" t="s">
        <v>3062</v>
      </c>
      <c r="E647" s="496"/>
      <c r="F647">
        <v>1243.72</v>
      </c>
    </row>
    <row r="648" spans="1:6">
      <c r="A648" s="486"/>
      <c r="B648" s="495" t="s">
        <v>1128</v>
      </c>
      <c r="C648" s="495" t="s">
        <v>1128</v>
      </c>
      <c r="D648" s="497" t="s">
        <v>1091</v>
      </c>
      <c r="E648" s="496"/>
    </row>
    <row r="649" spans="1:6">
      <c r="A649" s="486"/>
      <c r="B649" s="495" t="s">
        <v>1129</v>
      </c>
      <c r="C649" s="495" t="s">
        <v>1129</v>
      </c>
      <c r="D649" s="497" t="s">
        <v>1091</v>
      </c>
      <c r="E649" s="496"/>
    </row>
    <row r="650" spans="1:6" ht="25.5">
      <c r="A650" s="486"/>
      <c r="B650" s="495" t="s">
        <v>1130</v>
      </c>
      <c r="C650" s="495" t="s">
        <v>1130</v>
      </c>
      <c r="D650" s="497" t="s">
        <v>1091</v>
      </c>
      <c r="E650" s="496"/>
    </row>
    <row r="651" spans="1:6">
      <c r="A651" s="486"/>
      <c r="B651" s="495" t="s">
        <v>1665</v>
      </c>
      <c r="C651" s="495" t="s">
        <v>1665</v>
      </c>
      <c r="D651" s="497" t="s">
        <v>3241</v>
      </c>
      <c r="E651" s="496"/>
    </row>
    <row r="652" spans="1:6" ht="38.25">
      <c r="A652" s="486"/>
      <c r="B652" s="494" t="s">
        <v>1666</v>
      </c>
      <c r="C652" s="494" t="s">
        <v>1666</v>
      </c>
      <c r="D652" s="497" t="s">
        <v>1091</v>
      </c>
      <c r="E652" s="496"/>
    </row>
    <row r="653" spans="1:6" ht="38.25">
      <c r="A653" s="486"/>
      <c r="B653" s="494" t="s">
        <v>1667</v>
      </c>
      <c r="C653" s="494" t="s">
        <v>1667</v>
      </c>
      <c r="D653" s="497" t="s">
        <v>1091</v>
      </c>
      <c r="E653" s="496"/>
    </row>
    <row r="654" spans="1:6" ht="25.5">
      <c r="A654" s="486"/>
      <c r="B654" s="454" t="s">
        <v>1668</v>
      </c>
      <c r="C654" s="454" t="s">
        <v>1668</v>
      </c>
      <c r="D654" s="497" t="s">
        <v>1091</v>
      </c>
      <c r="E654" s="496"/>
    </row>
    <row r="655" spans="1:6" ht="38.25">
      <c r="A655" s="486"/>
      <c r="B655" s="454" t="s">
        <v>1669</v>
      </c>
      <c r="C655" s="454" t="s">
        <v>1669</v>
      </c>
      <c r="D655" s="497" t="s">
        <v>3241</v>
      </c>
      <c r="E655" s="496"/>
    </row>
    <row r="656" spans="1:6" ht="25.5">
      <c r="A656" s="486"/>
      <c r="B656" s="454" t="s">
        <v>1670</v>
      </c>
      <c r="C656" s="454" t="s">
        <v>1670</v>
      </c>
      <c r="D656" s="497" t="s">
        <v>3241</v>
      </c>
      <c r="E656" s="496"/>
    </row>
    <row r="657" spans="1:5" ht="25.5">
      <c r="A657" s="486"/>
      <c r="B657" s="490" t="s">
        <v>1671</v>
      </c>
      <c r="C657" s="490" t="s">
        <v>1671</v>
      </c>
      <c r="D657" s="497" t="s">
        <v>3241</v>
      </c>
      <c r="E657" s="496"/>
    </row>
    <row r="658" spans="1:5" ht="38.25">
      <c r="A658" s="486"/>
      <c r="B658" s="494" t="s">
        <v>1672</v>
      </c>
      <c r="C658" s="494" t="s">
        <v>1672</v>
      </c>
      <c r="D658" s="497" t="s">
        <v>1091</v>
      </c>
      <c r="E658" s="496"/>
    </row>
    <row r="659" spans="1:5" ht="38.25">
      <c r="A659" s="486"/>
      <c r="B659" s="495" t="s">
        <v>1673</v>
      </c>
      <c r="C659" s="495" t="s">
        <v>1673</v>
      </c>
      <c r="D659" s="497" t="s">
        <v>1674</v>
      </c>
      <c r="E659" s="496"/>
    </row>
    <row r="660" spans="1:5" ht="25.5">
      <c r="A660" s="486"/>
      <c r="B660" s="495" t="s">
        <v>1675</v>
      </c>
      <c r="C660" s="495" t="s">
        <v>1675</v>
      </c>
      <c r="D660" s="497" t="s">
        <v>1091</v>
      </c>
      <c r="E660" s="496"/>
    </row>
    <row r="661" spans="1:5" ht="25.5">
      <c r="A661" s="486"/>
      <c r="B661" s="495" t="s">
        <v>1676</v>
      </c>
      <c r="C661" s="495" t="s">
        <v>1676</v>
      </c>
      <c r="D661" s="497" t="s">
        <v>1123</v>
      </c>
      <c r="E661" s="496"/>
    </row>
    <row r="662" spans="1:5" ht="38.25">
      <c r="A662" s="486"/>
      <c r="B662" s="454" t="s">
        <v>1677</v>
      </c>
      <c r="C662" s="454" t="s">
        <v>1677</v>
      </c>
      <c r="D662" s="497" t="s">
        <v>1678</v>
      </c>
      <c r="E662" s="496"/>
    </row>
    <row r="663" spans="1:5">
      <c r="A663" s="486"/>
      <c r="B663" s="495" t="s">
        <v>2492</v>
      </c>
      <c r="C663" s="495" t="s">
        <v>2492</v>
      </c>
      <c r="D663" s="497" t="s">
        <v>1678</v>
      </c>
      <c r="E663" s="496"/>
    </row>
    <row r="664" spans="1:5">
      <c r="A664" s="486"/>
      <c r="B664" s="495" t="s">
        <v>2493</v>
      </c>
      <c r="C664" s="495" t="s">
        <v>2493</v>
      </c>
      <c r="D664" s="497" t="s">
        <v>1091</v>
      </c>
      <c r="E664" s="496"/>
    </row>
    <row r="665" spans="1:5" ht="21">
      <c r="A665" s="486"/>
      <c r="B665" s="495" t="s">
        <v>1235</v>
      </c>
      <c r="C665" s="495" t="s">
        <v>1235</v>
      </c>
      <c r="D665" s="497" t="s">
        <v>2494</v>
      </c>
      <c r="E665" s="496"/>
    </row>
    <row r="666" spans="1:5" ht="38.25">
      <c r="A666" s="486"/>
      <c r="B666" s="495" t="s">
        <v>2495</v>
      </c>
      <c r="C666" s="495" t="s">
        <v>2495</v>
      </c>
      <c r="D666" s="497" t="s">
        <v>1678</v>
      </c>
      <c r="E666" s="496"/>
    </row>
    <row r="667" spans="1:5" ht="63.75">
      <c r="A667" s="486"/>
      <c r="B667" s="454" t="s">
        <v>2496</v>
      </c>
      <c r="C667" s="454" t="s">
        <v>760</v>
      </c>
      <c r="D667" s="497" t="s">
        <v>1678</v>
      </c>
      <c r="E667" s="496"/>
    </row>
    <row r="668" spans="1:5" ht="25.5">
      <c r="A668" s="486"/>
      <c r="B668" s="495" t="s">
        <v>761</v>
      </c>
      <c r="C668" s="495" t="s">
        <v>761</v>
      </c>
      <c r="D668" s="497" t="s">
        <v>1091</v>
      </c>
      <c r="E668" s="496"/>
    </row>
    <row r="669" spans="1:5">
      <c r="A669" s="486"/>
      <c r="B669" s="495" t="s">
        <v>762</v>
      </c>
      <c r="C669" s="495" t="s">
        <v>762</v>
      </c>
      <c r="D669" s="497" t="s">
        <v>1091</v>
      </c>
      <c r="E669" s="496"/>
    </row>
    <row r="670" spans="1:5">
      <c r="A670" s="486"/>
      <c r="B670" s="495" t="s">
        <v>763</v>
      </c>
      <c r="C670" s="495" t="s">
        <v>763</v>
      </c>
      <c r="D670" s="497" t="s">
        <v>1091</v>
      </c>
      <c r="E670" s="496"/>
    </row>
    <row r="671" spans="1:5" ht="25.5">
      <c r="A671" s="486"/>
      <c r="B671" s="454" t="s">
        <v>764</v>
      </c>
      <c r="C671" s="454" t="s">
        <v>764</v>
      </c>
      <c r="D671" s="497" t="s">
        <v>1091</v>
      </c>
      <c r="E671" s="496"/>
    </row>
    <row r="672" spans="1:5" ht="25.5">
      <c r="A672" s="486"/>
      <c r="B672" s="495" t="s">
        <v>765</v>
      </c>
      <c r="C672" s="495" t="s">
        <v>765</v>
      </c>
      <c r="D672" s="497" t="s">
        <v>3241</v>
      </c>
      <c r="E672" s="496"/>
    </row>
    <row r="673" spans="1:6" ht="25.5">
      <c r="A673" s="486"/>
      <c r="B673" s="495" t="s">
        <v>2383</v>
      </c>
      <c r="C673" s="495" t="s">
        <v>2383</v>
      </c>
      <c r="D673" s="497" t="s">
        <v>3062</v>
      </c>
      <c r="E673" s="496"/>
    </row>
    <row r="674" spans="1:6">
      <c r="A674" s="486"/>
      <c r="B674" s="495" t="s">
        <v>2384</v>
      </c>
      <c r="C674" s="495" t="s">
        <v>2384</v>
      </c>
      <c r="D674" s="497" t="s">
        <v>3241</v>
      </c>
      <c r="E674" s="496"/>
    </row>
    <row r="675" spans="1:6">
      <c r="A675" s="486"/>
      <c r="B675" s="495" t="s">
        <v>2385</v>
      </c>
      <c r="C675" s="495" t="s">
        <v>2385</v>
      </c>
      <c r="D675" s="497" t="s">
        <v>1674</v>
      </c>
      <c r="E675" s="496"/>
    </row>
    <row r="676" spans="1:6">
      <c r="A676" s="486"/>
      <c r="B676" s="495" t="s">
        <v>2386</v>
      </c>
      <c r="C676" s="495" t="s">
        <v>2386</v>
      </c>
      <c r="D676" s="497" t="s">
        <v>1678</v>
      </c>
      <c r="E676" s="496"/>
      <c r="F676" s="496"/>
    </row>
    <row r="677" spans="1:6" ht="76.5">
      <c r="A677" s="486"/>
      <c r="B677" s="494" t="s">
        <v>2158</v>
      </c>
      <c r="C677" s="494" t="s">
        <v>2158</v>
      </c>
      <c r="D677" s="497" t="s">
        <v>1091</v>
      </c>
      <c r="E677" s="496"/>
    </row>
    <row r="678" spans="1:6" ht="38.25">
      <c r="A678" s="486"/>
      <c r="B678" s="494" t="s">
        <v>2387</v>
      </c>
      <c r="C678" s="494" t="s">
        <v>2387</v>
      </c>
      <c r="D678" s="497" t="s">
        <v>1091</v>
      </c>
      <c r="E678" s="496"/>
    </row>
    <row r="679" spans="1:6" ht="38.25">
      <c r="A679" s="486"/>
      <c r="B679" s="494" t="s">
        <v>2497</v>
      </c>
      <c r="C679" s="494" t="s">
        <v>2497</v>
      </c>
      <c r="D679" s="497" t="s">
        <v>1091</v>
      </c>
      <c r="E679" s="496"/>
    </row>
    <row r="680" spans="1:6" ht="38.25">
      <c r="A680" s="486"/>
      <c r="B680" s="494" t="s">
        <v>1121</v>
      </c>
      <c r="C680" s="494" t="s">
        <v>1121</v>
      </c>
      <c r="D680" s="497" t="s">
        <v>1091</v>
      </c>
      <c r="E680" s="496"/>
    </row>
    <row r="681" spans="1:6" ht="38.25">
      <c r="A681" s="486"/>
      <c r="B681" s="494" t="s">
        <v>2498</v>
      </c>
      <c r="C681" s="494" t="s">
        <v>2498</v>
      </c>
      <c r="D681" s="497" t="s">
        <v>1091</v>
      </c>
      <c r="E681" s="496"/>
    </row>
    <row r="682" spans="1:6">
      <c r="A682" s="486"/>
      <c r="B682" s="495"/>
      <c r="C682" s="495"/>
      <c r="D682" s="497"/>
      <c r="E682" s="496"/>
    </row>
    <row r="683" spans="1:6">
      <c r="A683" s="486"/>
      <c r="B683" s="495"/>
      <c r="C683" s="495"/>
      <c r="D683" s="497"/>
      <c r="E683" s="496"/>
    </row>
    <row r="684" spans="1:6">
      <c r="A684" s="486"/>
      <c r="B684" s="495"/>
      <c r="C684" s="495"/>
      <c r="D684" s="497"/>
      <c r="E684" s="496"/>
    </row>
    <row r="685" spans="1:6">
      <c r="A685" s="486"/>
      <c r="B685" s="495"/>
      <c r="C685" s="495"/>
      <c r="D685" s="497"/>
      <c r="E685" s="496"/>
    </row>
    <row r="686" spans="1:6">
      <c r="A686" s="486"/>
      <c r="B686" s="495"/>
      <c r="C686" s="495"/>
      <c r="D686" s="497"/>
      <c r="E686" s="496"/>
    </row>
    <row r="687" spans="1:6">
      <c r="A687" s="486"/>
      <c r="B687" s="495"/>
      <c r="C687" s="495"/>
      <c r="D687" s="497"/>
      <c r="E687" s="496"/>
    </row>
    <row r="688" spans="1:6">
      <c r="A688" s="486"/>
      <c r="B688" s="495"/>
      <c r="C688" s="495"/>
      <c r="D688" s="497"/>
      <c r="E688" s="496"/>
    </row>
    <row r="689" spans="1:5">
      <c r="A689" s="486"/>
      <c r="B689" s="495"/>
      <c r="C689" s="495"/>
      <c r="D689" s="497"/>
      <c r="E689" s="496"/>
    </row>
    <row r="690" spans="1:5">
      <c r="A690" s="486"/>
      <c r="B690" s="495"/>
      <c r="C690" s="495"/>
      <c r="D690" s="497"/>
      <c r="E690" s="496"/>
    </row>
    <row r="691" spans="1:5">
      <c r="A691" s="486"/>
      <c r="B691" s="495"/>
      <c r="C691" s="495"/>
      <c r="D691" s="497"/>
      <c r="E691" s="496"/>
    </row>
    <row r="692" spans="1:5">
      <c r="A692" s="486"/>
      <c r="B692" s="495"/>
      <c r="C692" s="495"/>
      <c r="D692" s="497"/>
      <c r="E692" s="496"/>
    </row>
    <row r="693" spans="1:5">
      <c r="A693" s="486"/>
      <c r="B693" s="495"/>
      <c r="C693" s="495"/>
      <c r="D693" s="497"/>
      <c r="E693" s="496"/>
    </row>
    <row r="694" spans="1:5">
      <c r="A694" s="486"/>
      <c r="B694" s="495"/>
      <c r="C694" s="495"/>
      <c r="D694" s="497"/>
      <c r="E694" s="496"/>
    </row>
    <row r="695" spans="1:5">
      <c r="A695" s="486"/>
      <c r="B695" s="495"/>
      <c r="C695" s="495"/>
      <c r="D695" s="497"/>
      <c r="E695" s="496"/>
    </row>
    <row r="696" spans="1:5">
      <c r="A696" s="486"/>
      <c r="B696" s="495"/>
      <c r="C696" s="495"/>
      <c r="D696" s="497"/>
      <c r="E696" s="496"/>
    </row>
    <row r="697" spans="1:5">
      <c r="A697" s="499"/>
      <c r="B697" s="495"/>
      <c r="C697" s="495"/>
      <c r="D697" s="497"/>
      <c r="E697" s="496"/>
    </row>
    <row r="698" spans="1:5" s="483" customFormat="1">
      <c r="A698" s="479">
        <v>3000</v>
      </c>
      <c r="B698" s="480" t="s">
        <v>2499</v>
      </c>
      <c r="C698" s="480" t="s">
        <v>2499</v>
      </c>
      <c r="D698" s="481"/>
      <c r="E698" s="482"/>
    </row>
    <row r="699" spans="1:5" ht="25.5">
      <c r="A699" s="489">
        <v>3001</v>
      </c>
      <c r="B699" s="269" t="s">
        <v>424</v>
      </c>
      <c r="C699" s="269" t="s">
        <v>424</v>
      </c>
      <c r="D699" s="460" t="s">
        <v>3241</v>
      </c>
      <c r="E699" s="478">
        <v>690</v>
      </c>
    </row>
    <row r="700" spans="1:5" ht="25.5">
      <c r="A700" s="489">
        <v>3002</v>
      </c>
      <c r="B700" s="269" t="s">
        <v>425</v>
      </c>
      <c r="C700" s="269" t="s">
        <v>425</v>
      </c>
      <c r="D700" s="460" t="s">
        <v>3241</v>
      </c>
      <c r="E700" s="478">
        <v>809.02499999999998</v>
      </c>
    </row>
    <row r="701" spans="1:5" ht="25.5">
      <c r="A701" s="489">
        <v>3003</v>
      </c>
      <c r="B701" s="269" t="s">
        <v>426</v>
      </c>
      <c r="C701" s="269" t="s">
        <v>426</v>
      </c>
      <c r="D701" s="460" t="s">
        <v>3241</v>
      </c>
      <c r="E701" s="478">
        <v>1169.9639999999999</v>
      </c>
    </row>
    <row r="702" spans="1:5" ht="25.5">
      <c r="A702" s="489">
        <v>3004</v>
      </c>
      <c r="B702" s="269" t="s">
        <v>427</v>
      </c>
      <c r="C702" s="269" t="s">
        <v>427</v>
      </c>
      <c r="D702" s="460" t="s">
        <v>3241</v>
      </c>
      <c r="E702" s="478">
        <v>1527.039</v>
      </c>
    </row>
    <row r="703" spans="1:5" ht="25.5">
      <c r="A703" s="489">
        <v>3005</v>
      </c>
      <c r="B703" s="269" t="s">
        <v>428</v>
      </c>
      <c r="C703" s="269" t="s">
        <v>428</v>
      </c>
      <c r="D703" s="460" t="s">
        <v>3241</v>
      </c>
      <c r="E703" s="478">
        <v>3436.2</v>
      </c>
    </row>
    <row r="704" spans="1:5">
      <c r="A704" s="489">
        <v>3006</v>
      </c>
      <c r="B704" s="269" t="s">
        <v>429</v>
      </c>
      <c r="C704" s="269" t="s">
        <v>429</v>
      </c>
      <c r="D704" s="460" t="s">
        <v>3241</v>
      </c>
      <c r="E704" s="478">
        <v>2079.3150000000001</v>
      </c>
    </row>
    <row r="705" spans="1:5" ht="25.5">
      <c r="A705" s="489">
        <v>3007</v>
      </c>
      <c r="B705" s="269" t="s">
        <v>430</v>
      </c>
      <c r="C705" s="269" t="s">
        <v>430</v>
      </c>
      <c r="D705" s="460" t="s">
        <v>3241</v>
      </c>
      <c r="E705" s="478">
        <v>1591.2895000000001</v>
      </c>
    </row>
    <row r="706" spans="1:5" ht="25.5">
      <c r="A706" s="489">
        <v>3008</v>
      </c>
      <c r="B706" s="269" t="s">
        <v>2500</v>
      </c>
      <c r="C706" s="269" t="s">
        <v>2500</v>
      </c>
      <c r="D706" s="460" t="s">
        <v>3241</v>
      </c>
      <c r="E706" s="478">
        <v>2389.953</v>
      </c>
    </row>
    <row r="707" spans="1:5" ht="25.5">
      <c r="A707" s="489">
        <v>3009</v>
      </c>
      <c r="B707" s="269" t="s">
        <v>431</v>
      </c>
      <c r="C707" s="269" t="s">
        <v>431</v>
      </c>
      <c r="D707" s="460" t="s">
        <v>3241</v>
      </c>
      <c r="E707" s="478">
        <v>2570.3764999999999</v>
      </c>
    </row>
    <row r="708" spans="1:5" ht="25.5">
      <c r="A708" s="489">
        <v>3010</v>
      </c>
      <c r="B708" s="269" t="s">
        <v>432</v>
      </c>
      <c r="C708" s="269" t="s">
        <v>432</v>
      </c>
      <c r="D708" s="460" t="s">
        <v>3241</v>
      </c>
      <c r="E708" s="478">
        <v>3309.5159999999996</v>
      </c>
    </row>
    <row r="709" spans="1:5" ht="25.5">
      <c r="A709" s="489">
        <v>3011</v>
      </c>
      <c r="B709" s="269" t="s">
        <v>433</v>
      </c>
      <c r="C709" s="269" t="s">
        <v>433</v>
      </c>
      <c r="D709" s="460" t="s">
        <v>3241</v>
      </c>
      <c r="E709" s="478">
        <v>2451.3514999999998</v>
      </c>
    </row>
    <row r="710" spans="1:5" ht="25.5">
      <c r="A710" s="489">
        <v>3012</v>
      </c>
      <c r="B710" s="269" t="s">
        <v>434</v>
      </c>
      <c r="C710" s="269" t="s">
        <v>434</v>
      </c>
      <c r="D710" s="460" t="s">
        <v>3241</v>
      </c>
      <c r="E710" s="478">
        <v>3993.9155000000001</v>
      </c>
    </row>
    <row r="711" spans="1:5" ht="38.25">
      <c r="A711" s="489">
        <v>3013</v>
      </c>
      <c r="B711" s="269" t="s">
        <v>435</v>
      </c>
      <c r="C711" s="269" t="s">
        <v>435</v>
      </c>
      <c r="D711" s="460" t="s">
        <v>3241</v>
      </c>
      <c r="E711" s="478">
        <v>6819.2239999999993</v>
      </c>
    </row>
    <row r="712" spans="1:5" ht="25.5">
      <c r="A712" s="489">
        <v>3014</v>
      </c>
      <c r="B712" s="269" t="s">
        <v>798</v>
      </c>
      <c r="C712" s="269" t="s">
        <v>798</v>
      </c>
      <c r="D712" s="460" t="s">
        <v>3241</v>
      </c>
      <c r="E712" s="478">
        <v>4398.0140000000001</v>
      </c>
    </row>
    <row r="713" spans="1:5" ht="25.5">
      <c r="A713" s="489">
        <v>3015</v>
      </c>
      <c r="B713" s="269" t="s">
        <v>818</v>
      </c>
      <c r="C713" s="269" t="s">
        <v>818</v>
      </c>
      <c r="D713" s="460" t="s">
        <v>3241</v>
      </c>
      <c r="E713" s="478">
        <v>5422.2155000000002</v>
      </c>
    </row>
    <row r="714" spans="1:5" ht="25.5">
      <c r="A714" s="489">
        <v>3016</v>
      </c>
      <c r="B714" s="269" t="s">
        <v>819</v>
      </c>
      <c r="C714" s="269" t="s">
        <v>819</v>
      </c>
      <c r="D714" s="460" t="s">
        <v>3241</v>
      </c>
      <c r="E714" s="478">
        <v>1982.0250000000001</v>
      </c>
    </row>
    <row r="715" spans="1:5" ht="25.5">
      <c r="A715" s="489">
        <v>3017</v>
      </c>
      <c r="B715" s="269" t="s">
        <v>820</v>
      </c>
      <c r="C715" s="269" t="s">
        <v>820</v>
      </c>
      <c r="D715" s="460" t="s">
        <v>3241</v>
      </c>
      <c r="E715" s="478">
        <v>4064.9625000000001</v>
      </c>
    </row>
    <row r="716" spans="1:5" ht="25.5">
      <c r="A716" s="489">
        <v>3018</v>
      </c>
      <c r="B716" s="269" t="s">
        <v>1342</v>
      </c>
      <c r="C716" s="269" t="s">
        <v>1342</v>
      </c>
      <c r="D716" s="460" t="s">
        <v>3241</v>
      </c>
      <c r="E716" s="478">
        <v>12297.237499999999</v>
      </c>
    </row>
    <row r="717" spans="1:5" ht="25.5">
      <c r="A717" s="489">
        <v>3019</v>
      </c>
      <c r="B717" s="269" t="s">
        <v>1343</v>
      </c>
      <c r="C717" s="269" t="s">
        <v>1343</v>
      </c>
      <c r="D717" s="460" t="s">
        <v>3241</v>
      </c>
      <c r="E717" s="478">
        <v>13725.5375</v>
      </c>
    </row>
    <row r="718" spans="1:5">
      <c r="A718" s="516"/>
      <c r="B718" s="517"/>
      <c r="C718" s="517"/>
      <c r="D718" s="518"/>
      <c r="E718" s="519"/>
    </row>
    <row r="719" spans="1:5">
      <c r="A719" s="489">
        <v>3020</v>
      </c>
      <c r="B719" s="269" t="s">
        <v>181</v>
      </c>
      <c r="C719" s="269" t="s">
        <v>181</v>
      </c>
      <c r="D719" s="460" t="s">
        <v>3241</v>
      </c>
      <c r="E719" s="478">
        <v>114.26400000000001</v>
      </c>
    </row>
    <row r="720" spans="1:5">
      <c r="A720" s="489">
        <v>3021</v>
      </c>
      <c r="B720" s="269" t="s">
        <v>1344</v>
      </c>
      <c r="C720" s="269" t="s">
        <v>1344</v>
      </c>
      <c r="D720" s="460" t="s">
        <v>3241</v>
      </c>
      <c r="E720" s="478">
        <v>190.44</v>
      </c>
    </row>
    <row r="721" spans="1:5">
      <c r="A721" s="489">
        <v>3022</v>
      </c>
      <c r="B721" s="269" t="s">
        <v>1345</v>
      </c>
      <c r="C721" s="269" t="s">
        <v>1345</v>
      </c>
      <c r="D721" s="460" t="s">
        <v>3241</v>
      </c>
      <c r="E721" s="478">
        <v>297.5625</v>
      </c>
    </row>
    <row r="722" spans="1:5" ht="25.5">
      <c r="A722" s="489">
        <v>3023</v>
      </c>
      <c r="B722" s="269" t="s">
        <v>1346</v>
      </c>
      <c r="C722" s="269" t="s">
        <v>1346</v>
      </c>
      <c r="D722" s="460" t="s">
        <v>3241</v>
      </c>
      <c r="E722" s="478">
        <v>238.05</v>
      </c>
    </row>
    <row r="723" spans="1:5">
      <c r="A723" s="489">
        <v>3024</v>
      </c>
      <c r="B723" s="269" t="s">
        <v>182</v>
      </c>
      <c r="C723" s="269" t="s">
        <v>182</v>
      </c>
      <c r="D723" s="460" t="s">
        <v>1347</v>
      </c>
      <c r="E723" s="478">
        <v>2261.4749999999999</v>
      </c>
    </row>
    <row r="724" spans="1:5">
      <c r="A724" s="489">
        <v>3025</v>
      </c>
      <c r="B724" s="269" t="s">
        <v>183</v>
      </c>
      <c r="C724" s="269" t="s">
        <v>183</v>
      </c>
      <c r="D724" s="460" t="s">
        <v>1347</v>
      </c>
      <c r="E724" s="478">
        <v>2856.6</v>
      </c>
    </row>
    <row r="725" spans="1:5">
      <c r="A725" s="489">
        <v>3026</v>
      </c>
      <c r="B725" s="269" t="s">
        <v>184</v>
      </c>
      <c r="C725" s="269" t="s">
        <v>184</v>
      </c>
      <c r="D725" s="460" t="s">
        <v>1347</v>
      </c>
      <c r="E725" s="478">
        <v>166.63499999999999</v>
      </c>
    </row>
    <row r="726" spans="1:5">
      <c r="A726" s="489">
        <v>3027</v>
      </c>
      <c r="B726" s="269" t="s">
        <v>185</v>
      </c>
      <c r="C726" s="269" t="s">
        <v>185</v>
      </c>
      <c r="D726" s="460" t="s">
        <v>1347</v>
      </c>
      <c r="E726" s="478">
        <v>148.77550000000002</v>
      </c>
    </row>
    <row r="727" spans="1:5">
      <c r="A727" s="489">
        <v>3028</v>
      </c>
      <c r="B727" s="269" t="s">
        <v>186</v>
      </c>
      <c r="C727" s="269" t="s">
        <v>186</v>
      </c>
      <c r="D727" s="460" t="s">
        <v>1347</v>
      </c>
      <c r="E727" s="478">
        <v>53.555499999999995</v>
      </c>
    </row>
    <row r="728" spans="1:5">
      <c r="A728" s="489">
        <v>3029</v>
      </c>
      <c r="B728" s="269" t="s">
        <v>187</v>
      </c>
      <c r="C728" s="269" t="s">
        <v>187</v>
      </c>
      <c r="D728" s="460" t="s">
        <v>1347</v>
      </c>
      <c r="E728" s="478">
        <v>35.707500000000003</v>
      </c>
    </row>
    <row r="729" spans="1:5">
      <c r="A729" s="516"/>
      <c r="B729" s="517">
        <v>0</v>
      </c>
      <c r="C729" s="517">
        <v>0</v>
      </c>
      <c r="D729" s="518">
        <v>0</v>
      </c>
      <c r="E729" s="519">
        <v>0</v>
      </c>
    </row>
    <row r="730" spans="1:5">
      <c r="A730" s="489">
        <v>3030</v>
      </c>
      <c r="B730" s="269" t="s">
        <v>1348</v>
      </c>
      <c r="C730" s="269" t="s">
        <v>1348</v>
      </c>
      <c r="D730" s="460" t="s">
        <v>3241</v>
      </c>
      <c r="E730" s="478">
        <v>214.13</v>
      </c>
    </row>
    <row r="731" spans="1:5">
      <c r="A731" s="489">
        <v>3031</v>
      </c>
      <c r="B731" s="269" t="s">
        <v>1349</v>
      </c>
      <c r="C731" s="269" t="s">
        <v>1349</v>
      </c>
      <c r="D731" s="460" t="s">
        <v>3241</v>
      </c>
      <c r="E731" s="478">
        <v>223.70949999999999</v>
      </c>
    </row>
    <row r="732" spans="1:5">
      <c r="A732" s="489">
        <v>3032</v>
      </c>
      <c r="B732" s="269" t="s">
        <v>1350</v>
      </c>
      <c r="C732" s="269" t="s">
        <v>1350</v>
      </c>
      <c r="D732" s="460" t="s">
        <v>3241</v>
      </c>
      <c r="E732" s="478">
        <v>169.75149999999999</v>
      </c>
    </row>
    <row r="733" spans="1:5">
      <c r="A733" s="489">
        <v>3033</v>
      </c>
      <c r="B733" s="269" t="s">
        <v>1351</v>
      </c>
      <c r="C733" s="269" t="s">
        <v>1351</v>
      </c>
      <c r="D733" s="460" t="s">
        <v>3241</v>
      </c>
      <c r="E733" s="478">
        <v>227.91849999999999</v>
      </c>
    </row>
    <row r="734" spans="1:5">
      <c r="A734" s="489">
        <v>3034</v>
      </c>
      <c r="B734" s="269" t="s">
        <v>343</v>
      </c>
      <c r="C734" s="269" t="s">
        <v>343</v>
      </c>
      <c r="D734" s="460" t="s">
        <v>3241</v>
      </c>
      <c r="E734" s="478">
        <v>249.94099999999997</v>
      </c>
    </row>
    <row r="735" spans="1:5">
      <c r="A735" s="489">
        <v>3035</v>
      </c>
      <c r="B735" s="269" t="s">
        <v>344</v>
      </c>
      <c r="C735" s="269" t="s">
        <v>344</v>
      </c>
      <c r="D735" s="460"/>
      <c r="E735" s="478">
        <v>259.52049999999997</v>
      </c>
    </row>
    <row r="736" spans="1:5">
      <c r="A736" s="489">
        <v>3036</v>
      </c>
      <c r="B736" s="269" t="s">
        <v>345</v>
      </c>
      <c r="C736" s="269" t="s">
        <v>345</v>
      </c>
      <c r="D736" s="460" t="s">
        <v>3241</v>
      </c>
      <c r="E736" s="478">
        <v>281.12900000000002</v>
      </c>
    </row>
    <row r="737" spans="1:5">
      <c r="A737" s="489">
        <v>3037</v>
      </c>
      <c r="B737" s="269" t="s">
        <v>346</v>
      </c>
      <c r="C737" s="269" t="s">
        <v>346</v>
      </c>
      <c r="D737" s="460" t="s">
        <v>3241</v>
      </c>
      <c r="E737" s="478">
        <v>290.70850000000002</v>
      </c>
    </row>
    <row r="738" spans="1:5">
      <c r="A738" s="489">
        <v>3038</v>
      </c>
      <c r="B738" s="269" t="s">
        <v>347</v>
      </c>
      <c r="C738" s="269" t="s">
        <v>347</v>
      </c>
      <c r="D738" s="460" t="s">
        <v>3241</v>
      </c>
      <c r="E738" s="478">
        <v>300.31100000000004</v>
      </c>
    </row>
    <row r="739" spans="1:5">
      <c r="A739" s="489">
        <v>3039</v>
      </c>
      <c r="B739" s="269" t="s">
        <v>348</v>
      </c>
      <c r="C739" s="269" t="s">
        <v>348</v>
      </c>
      <c r="D739" s="460" t="s">
        <v>3241</v>
      </c>
      <c r="E739" s="478">
        <v>312.19049999999999</v>
      </c>
    </row>
    <row r="740" spans="1:5">
      <c r="A740" s="489">
        <v>3040</v>
      </c>
      <c r="B740" s="269" t="s">
        <v>349</v>
      </c>
      <c r="C740" s="269" t="s">
        <v>349</v>
      </c>
      <c r="D740" s="460" t="s">
        <v>3241</v>
      </c>
      <c r="E740" s="478">
        <v>518.27050000000008</v>
      </c>
    </row>
    <row r="741" spans="1:5">
      <c r="A741" s="489">
        <v>3041</v>
      </c>
      <c r="B741" s="269" t="s">
        <v>350</v>
      </c>
      <c r="C741" s="269" t="s">
        <v>350</v>
      </c>
      <c r="D741" s="460" t="s">
        <v>3241</v>
      </c>
      <c r="E741" s="478">
        <v>521.64</v>
      </c>
    </row>
    <row r="742" spans="1:5">
      <c r="A742" s="489">
        <v>3042</v>
      </c>
      <c r="B742" s="269" t="s">
        <v>351</v>
      </c>
      <c r="C742" s="269" t="s">
        <v>351</v>
      </c>
      <c r="D742" s="460" t="s">
        <v>3241</v>
      </c>
      <c r="E742" s="478">
        <v>529.85099999999989</v>
      </c>
    </row>
    <row r="743" spans="1:5">
      <c r="A743" s="489">
        <v>3043</v>
      </c>
      <c r="B743" s="269" t="s">
        <v>352</v>
      </c>
      <c r="C743" s="269" t="s">
        <v>352</v>
      </c>
      <c r="D743" s="460" t="s">
        <v>3241</v>
      </c>
      <c r="E743" s="478">
        <v>533.22050000000002</v>
      </c>
    </row>
    <row r="744" spans="1:5">
      <c r="A744" s="489">
        <v>3044</v>
      </c>
      <c r="B744" s="269" t="s">
        <v>353</v>
      </c>
      <c r="C744" s="269" t="s">
        <v>353</v>
      </c>
      <c r="D744" s="460" t="s">
        <v>3241</v>
      </c>
      <c r="E744" s="478">
        <v>221.51300000000001</v>
      </c>
    </row>
    <row r="745" spans="1:5">
      <c r="A745" s="489">
        <v>3045</v>
      </c>
      <c r="B745" s="269" t="s">
        <v>354</v>
      </c>
      <c r="C745" s="269" t="s">
        <v>354</v>
      </c>
      <c r="D745" s="460" t="s">
        <v>3241</v>
      </c>
      <c r="E745" s="478">
        <v>231.0925</v>
      </c>
    </row>
    <row r="746" spans="1:5" ht="25.5">
      <c r="A746" s="489">
        <v>3046</v>
      </c>
      <c r="B746" s="269" t="s">
        <v>188</v>
      </c>
      <c r="C746" s="269" t="s">
        <v>188</v>
      </c>
      <c r="D746" s="460" t="s">
        <v>3241</v>
      </c>
      <c r="E746" s="478">
        <v>337.39850000000001</v>
      </c>
    </row>
    <row r="747" spans="1:5">
      <c r="A747" s="489">
        <v>3047</v>
      </c>
      <c r="B747" s="269" t="s">
        <v>189</v>
      </c>
      <c r="C747" s="269" t="s">
        <v>189</v>
      </c>
      <c r="D747" s="460" t="s">
        <v>3241</v>
      </c>
      <c r="E747" s="478">
        <v>465.73850000000004</v>
      </c>
    </row>
    <row r="748" spans="1:5">
      <c r="A748" s="489">
        <v>3048</v>
      </c>
      <c r="B748" s="269" t="s">
        <v>190</v>
      </c>
      <c r="C748" s="269" t="s">
        <v>190</v>
      </c>
      <c r="D748" s="460" t="s">
        <v>3241</v>
      </c>
      <c r="E748" s="478">
        <v>554.21949999999993</v>
      </c>
    </row>
    <row r="749" spans="1:5" ht="25.5">
      <c r="A749" s="489">
        <v>3049</v>
      </c>
      <c r="B749" s="269" t="s">
        <v>355</v>
      </c>
      <c r="C749" s="269" t="s">
        <v>355</v>
      </c>
      <c r="D749" s="460" t="s">
        <v>3241</v>
      </c>
      <c r="E749" s="478">
        <v>366.666</v>
      </c>
    </row>
    <row r="750" spans="1:5" ht="25.5">
      <c r="A750" s="489">
        <v>3050</v>
      </c>
      <c r="B750" s="269" t="s">
        <v>356</v>
      </c>
      <c r="C750" s="269" t="s">
        <v>356</v>
      </c>
      <c r="D750" s="460" t="s">
        <v>3241</v>
      </c>
      <c r="E750" s="478">
        <v>318.07849999999996</v>
      </c>
    </row>
    <row r="751" spans="1:5">
      <c r="A751" s="489">
        <v>3051</v>
      </c>
      <c r="B751" s="269" t="s">
        <v>357</v>
      </c>
      <c r="C751" s="269" t="s">
        <v>357</v>
      </c>
      <c r="D751" s="460" t="s">
        <v>3241</v>
      </c>
      <c r="E751" s="478">
        <v>109.67550000000001</v>
      </c>
    </row>
    <row r="752" spans="1:5" ht="25.5">
      <c r="A752" s="489">
        <v>3052</v>
      </c>
      <c r="B752" s="269" t="s">
        <v>358</v>
      </c>
      <c r="C752" s="269" t="s">
        <v>358</v>
      </c>
      <c r="D752" s="460" t="s">
        <v>3241</v>
      </c>
      <c r="E752" s="478">
        <v>640.40049999999997</v>
      </c>
    </row>
    <row r="753" spans="1:5">
      <c r="A753" s="489">
        <v>3053</v>
      </c>
      <c r="B753" s="269" t="s">
        <v>191</v>
      </c>
      <c r="C753" s="269" t="s">
        <v>191</v>
      </c>
      <c r="D753" s="460" t="s">
        <v>3241</v>
      </c>
      <c r="E753" s="478">
        <v>357.19</v>
      </c>
    </row>
    <row r="754" spans="1:5">
      <c r="A754" s="489">
        <v>3054</v>
      </c>
      <c r="B754" s="269" t="s">
        <v>192</v>
      </c>
      <c r="C754" s="269" t="s">
        <v>192</v>
      </c>
      <c r="D754" s="460" t="s">
        <v>3241</v>
      </c>
      <c r="E754" s="478">
        <v>267.858</v>
      </c>
    </row>
    <row r="755" spans="1:5">
      <c r="A755" s="489">
        <v>3055</v>
      </c>
      <c r="B755" s="269" t="s">
        <v>193</v>
      </c>
      <c r="C755" s="269" t="s">
        <v>193</v>
      </c>
      <c r="D755" s="460" t="s">
        <v>3241</v>
      </c>
      <c r="E755" s="478">
        <v>151.16749999999999</v>
      </c>
    </row>
    <row r="756" spans="1:5">
      <c r="A756" s="489">
        <v>3056</v>
      </c>
      <c r="B756" s="269" t="s">
        <v>194</v>
      </c>
      <c r="C756" s="269" t="s">
        <v>194</v>
      </c>
      <c r="D756" s="460" t="s">
        <v>3241</v>
      </c>
      <c r="E756" s="478">
        <v>293.60649999999998</v>
      </c>
    </row>
    <row r="757" spans="1:5">
      <c r="A757" s="489">
        <v>3057</v>
      </c>
      <c r="B757" s="269" t="s">
        <v>195</v>
      </c>
      <c r="C757" s="269" t="s">
        <v>195</v>
      </c>
      <c r="D757" s="460" t="s">
        <v>3241</v>
      </c>
      <c r="E757" s="478">
        <v>62.979750000000003</v>
      </c>
    </row>
    <row r="758" spans="1:5">
      <c r="A758" s="516"/>
      <c r="B758" s="517">
        <v>0</v>
      </c>
      <c r="C758" s="517">
        <v>0</v>
      </c>
      <c r="D758" s="518">
        <v>0</v>
      </c>
      <c r="E758" s="519">
        <v>0</v>
      </c>
    </row>
    <row r="759" spans="1:5">
      <c r="A759" s="489">
        <v>3058</v>
      </c>
      <c r="B759" s="269" t="s">
        <v>359</v>
      </c>
      <c r="C759" s="269" t="s">
        <v>359</v>
      </c>
      <c r="D759" s="460" t="s">
        <v>3241</v>
      </c>
      <c r="E759" s="478">
        <v>476.50200000000007</v>
      </c>
    </row>
    <row r="760" spans="1:5">
      <c r="A760" s="489">
        <f>A759+1</f>
        <v>3059</v>
      </c>
      <c r="B760" s="269" t="s">
        <v>360</v>
      </c>
      <c r="C760" s="269" t="s">
        <v>360</v>
      </c>
      <c r="D760" s="460" t="s">
        <v>3241</v>
      </c>
      <c r="E760" s="478">
        <v>500.30699999999996</v>
      </c>
    </row>
    <row r="761" spans="1:5">
      <c r="A761" s="489">
        <f t="shared" ref="A761:A770" si="9">A760+1</f>
        <v>3060</v>
      </c>
      <c r="B761" s="269" t="s">
        <v>361</v>
      </c>
      <c r="C761" s="269" t="s">
        <v>361</v>
      </c>
      <c r="D761" s="460" t="s">
        <v>3241</v>
      </c>
      <c r="E761" s="478">
        <v>619.33249999999998</v>
      </c>
    </row>
    <row r="762" spans="1:5">
      <c r="A762" s="489">
        <f t="shared" si="9"/>
        <v>3061</v>
      </c>
      <c r="B762" s="269" t="s">
        <v>362</v>
      </c>
      <c r="C762" s="269" t="s">
        <v>362</v>
      </c>
      <c r="D762" s="460" t="s">
        <v>3241</v>
      </c>
      <c r="E762" s="478">
        <v>791.9129999999999</v>
      </c>
    </row>
    <row r="763" spans="1:5">
      <c r="A763" s="489">
        <f t="shared" si="9"/>
        <v>3062</v>
      </c>
      <c r="B763" s="269" t="s">
        <v>363</v>
      </c>
      <c r="C763" s="269" t="s">
        <v>363</v>
      </c>
      <c r="D763" s="460" t="s">
        <v>3241</v>
      </c>
      <c r="E763" s="478">
        <v>1037.1044999999999</v>
      </c>
    </row>
    <row r="764" spans="1:5">
      <c r="A764" s="489">
        <f t="shared" si="9"/>
        <v>3063</v>
      </c>
      <c r="B764" s="269" t="s">
        <v>364</v>
      </c>
      <c r="C764" s="269" t="s">
        <v>364</v>
      </c>
      <c r="D764" s="460" t="s">
        <v>3241</v>
      </c>
      <c r="E764" s="478">
        <v>1363.2330000000002</v>
      </c>
    </row>
    <row r="765" spans="1:5">
      <c r="A765" s="489">
        <f t="shared" si="9"/>
        <v>3064</v>
      </c>
      <c r="B765" s="269" t="s">
        <v>1360</v>
      </c>
      <c r="C765" s="269" t="s">
        <v>1360</v>
      </c>
      <c r="D765" s="460" t="s">
        <v>3241</v>
      </c>
      <c r="E765" s="478">
        <v>1538.2055</v>
      </c>
    </row>
    <row r="766" spans="1:5">
      <c r="A766" s="489">
        <f t="shared" si="9"/>
        <v>3065</v>
      </c>
      <c r="B766" s="269" t="s">
        <v>1361</v>
      </c>
      <c r="C766" s="269" t="s">
        <v>1361</v>
      </c>
      <c r="D766" s="460" t="s">
        <v>3241</v>
      </c>
      <c r="E766" s="478">
        <v>701.45400000000006</v>
      </c>
    </row>
    <row r="767" spans="1:5">
      <c r="A767" s="489">
        <f t="shared" si="9"/>
        <v>3066</v>
      </c>
      <c r="B767" s="269" t="s">
        <v>1362</v>
      </c>
      <c r="C767" s="269" t="s">
        <v>1362</v>
      </c>
      <c r="D767" s="460" t="s">
        <v>3241</v>
      </c>
      <c r="E767" s="478">
        <v>944.26499999999999</v>
      </c>
    </row>
    <row r="768" spans="1:5">
      <c r="A768" s="489">
        <f t="shared" si="9"/>
        <v>3067</v>
      </c>
      <c r="B768" s="269" t="s">
        <v>1363</v>
      </c>
      <c r="C768" s="269" t="s">
        <v>1363</v>
      </c>
      <c r="D768" s="460" t="s">
        <v>3241</v>
      </c>
      <c r="E768" s="478">
        <v>500.3075</v>
      </c>
    </row>
    <row r="769" spans="1:5">
      <c r="A769" s="489">
        <f t="shared" si="9"/>
        <v>3068</v>
      </c>
      <c r="B769" s="269" t="s">
        <v>1364</v>
      </c>
      <c r="C769" s="269" t="s">
        <v>1364</v>
      </c>
      <c r="D769" s="460" t="s">
        <v>3241</v>
      </c>
      <c r="E769" s="478">
        <v>500.3075</v>
      </c>
    </row>
    <row r="770" spans="1:5">
      <c r="A770" s="489">
        <f t="shared" si="9"/>
        <v>3069</v>
      </c>
      <c r="B770" s="269" t="s">
        <v>1365</v>
      </c>
      <c r="C770" s="269" t="s">
        <v>1365</v>
      </c>
      <c r="D770" s="460" t="s">
        <v>3241</v>
      </c>
      <c r="E770" s="478">
        <v>500.3075</v>
      </c>
    </row>
    <row r="771" spans="1:5">
      <c r="A771" s="516"/>
      <c r="B771" s="517">
        <v>0</v>
      </c>
      <c r="C771" s="517">
        <v>0</v>
      </c>
      <c r="D771" s="518">
        <v>0</v>
      </c>
      <c r="E771" s="519">
        <v>0</v>
      </c>
    </row>
    <row r="772" spans="1:5">
      <c r="A772" s="489">
        <v>3070</v>
      </c>
      <c r="B772" s="269" t="s">
        <v>196</v>
      </c>
      <c r="C772" s="269" t="s">
        <v>196</v>
      </c>
      <c r="D772" s="460" t="s">
        <v>3241</v>
      </c>
      <c r="E772" s="478">
        <v>915.65300000000002</v>
      </c>
    </row>
    <row r="773" spans="1:5">
      <c r="A773" s="489">
        <f>A772+1</f>
        <v>3071</v>
      </c>
      <c r="B773" s="269" t="s">
        <v>197</v>
      </c>
      <c r="C773" s="269" t="s">
        <v>197</v>
      </c>
      <c r="D773" s="460" t="s">
        <v>3241</v>
      </c>
      <c r="E773" s="478">
        <v>1528.6375</v>
      </c>
    </row>
    <row r="774" spans="1:5">
      <c r="A774" s="489">
        <f t="shared" ref="A774:A791" si="10">A773+1</f>
        <v>3072</v>
      </c>
      <c r="B774" s="269" t="s">
        <v>198</v>
      </c>
      <c r="C774" s="269" t="s">
        <v>198</v>
      </c>
      <c r="D774" s="460" t="s">
        <v>3241</v>
      </c>
      <c r="E774" s="478">
        <v>3254.5</v>
      </c>
    </row>
    <row r="775" spans="1:5">
      <c r="A775" s="489">
        <f t="shared" si="10"/>
        <v>3073</v>
      </c>
      <c r="B775" s="269" t="s">
        <v>199</v>
      </c>
      <c r="C775" s="269" t="s">
        <v>199</v>
      </c>
      <c r="D775" s="460" t="s">
        <v>3241</v>
      </c>
      <c r="E775" s="478">
        <v>5754.0249999999996</v>
      </c>
    </row>
    <row r="776" spans="1:5">
      <c r="A776" s="489">
        <f t="shared" si="10"/>
        <v>3074</v>
      </c>
      <c r="B776" s="269" t="s">
        <v>200</v>
      </c>
      <c r="C776" s="269" t="s">
        <v>200</v>
      </c>
      <c r="D776" s="460" t="s">
        <v>3241</v>
      </c>
      <c r="E776" s="478">
        <v>1695.2725</v>
      </c>
    </row>
    <row r="777" spans="1:5">
      <c r="A777" s="489">
        <f t="shared" si="10"/>
        <v>3075</v>
      </c>
      <c r="B777" s="269" t="s">
        <v>201</v>
      </c>
      <c r="C777" s="269" t="s">
        <v>201</v>
      </c>
      <c r="D777" s="460" t="s">
        <v>3241</v>
      </c>
      <c r="E777" s="478">
        <v>2218.9825000000001</v>
      </c>
    </row>
    <row r="778" spans="1:5">
      <c r="A778" s="489">
        <f t="shared" si="10"/>
        <v>3076</v>
      </c>
      <c r="B778" s="269" t="s">
        <v>202</v>
      </c>
      <c r="C778" s="269" t="s">
        <v>202</v>
      </c>
      <c r="D778" s="460" t="s">
        <v>3241</v>
      </c>
      <c r="E778" s="478">
        <v>4313.8225000000002</v>
      </c>
    </row>
    <row r="779" spans="1:5">
      <c r="A779" s="489">
        <f t="shared" si="10"/>
        <v>3077</v>
      </c>
      <c r="B779" s="269" t="s">
        <v>203</v>
      </c>
      <c r="C779" s="269" t="s">
        <v>203</v>
      </c>
      <c r="D779" s="460" t="s">
        <v>3241</v>
      </c>
      <c r="E779" s="478">
        <v>7836.9624999999996</v>
      </c>
    </row>
    <row r="780" spans="1:5">
      <c r="A780" s="489">
        <f t="shared" si="10"/>
        <v>3078</v>
      </c>
      <c r="B780" s="269" t="s">
        <v>204</v>
      </c>
      <c r="C780" s="269" t="s">
        <v>204</v>
      </c>
      <c r="D780" s="460" t="s">
        <v>3241</v>
      </c>
      <c r="E780" s="478">
        <v>1980.9324999999999</v>
      </c>
    </row>
    <row r="781" spans="1:5">
      <c r="A781" s="489">
        <f t="shared" si="10"/>
        <v>3079</v>
      </c>
      <c r="B781" s="269" t="s">
        <v>205</v>
      </c>
      <c r="C781" s="269" t="s">
        <v>205</v>
      </c>
      <c r="D781" s="460" t="s">
        <v>3241</v>
      </c>
      <c r="E781" s="478">
        <v>2611.7649999999999</v>
      </c>
    </row>
    <row r="782" spans="1:5">
      <c r="A782" s="489">
        <f t="shared" si="10"/>
        <v>3080</v>
      </c>
      <c r="B782" s="269" t="s">
        <v>206</v>
      </c>
      <c r="C782" s="269" t="s">
        <v>206</v>
      </c>
      <c r="D782" s="460" t="s">
        <v>3241</v>
      </c>
      <c r="E782" s="478">
        <v>6384.8575000000001</v>
      </c>
    </row>
    <row r="783" spans="1:5">
      <c r="A783" s="489">
        <f t="shared" si="10"/>
        <v>3081</v>
      </c>
      <c r="B783" s="269" t="s">
        <v>207</v>
      </c>
      <c r="C783" s="269" t="s">
        <v>207</v>
      </c>
      <c r="D783" s="460" t="s">
        <v>3241</v>
      </c>
      <c r="E783" s="478">
        <v>8896.2849999999999</v>
      </c>
    </row>
    <row r="784" spans="1:5">
      <c r="A784" s="489">
        <f t="shared" si="10"/>
        <v>3082</v>
      </c>
      <c r="B784" s="269" t="s">
        <v>208</v>
      </c>
      <c r="C784" s="269" t="s">
        <v>208</v>
      </c>
      <c r="D784" s="460" t="s">
        <v>3241</v>
      </c>
      <c r="E784" s="478">
        <v>12378.1975</v>
      </c>
    </row>
    <row r="785" spans="1:5">
      <c r="A785" s="489">
        <f t="shared" si="10"/>
        <v>3083</v>
      </c>
      <c r="B785" s="269" t="s">
        <v>209</v>
      </c>
      <c r="C785" s="269" t="s">
        <v>209</v>
      </c>
      <c r="D785" s="460" t="s">
        <v>3241</v>
      </c>
      <c r="E785" s="478">
        <v>1109.75</v>
      </c>
    </row>
    <row r="786" spans="1:5">
      <c r="A786" s="489">
        <f t="shared" si="10"/>
        <v>3084</v>
      </c>
      <c r="B786" s="269" t="s">
        <v>210</v>
      </c>
      <c r="C786" s="269" t="s">
        <v>210</v>
      </c>
      <c r="D786" s="460" t="s">
        <v>3241</v>
      </c>
      <c r="E786" s="478">
        <v>2002.4375</v>
      </c>
    </row>
    <row r="787" spans="1:5">
      <c r="A787" s="489">
        <f t="shared" si="10"/>
        <v>3085</v>
      </c>
      <c r="B787" s="269" t="s">
        <v>211</v>
      </c>
      <c r="C787" s="269" t="s">
        <v>211</v>
      </c>
      <c r="D787" s="460" t="s">
        <v>3241</v>
      </c>
      <c r="E787" s="478">
        <v>4323.4250000000002</v>
      </c>
    </row>
    <row r="788" spans="1:5">
      <c r="A788" s="489">
        <f t="shared" si="10"/>
        <v>3086</v>
      </c>
      <c r="B788" s="269" t="s">
        <v>212</v>
      </c>
      <c r="C788" s="269" t="s">
        <v>212</v>
      </c>
      <c r="D788" s="460" t="s">
        <v>3241</v>
      </c>
      <c r="E788" s="478">
        <v>8366.7099999999991</v>
      </c>
    </row>
    <row r="789" spans="1:5">
      <c r="A789" s="489">
        <f t="shared" si="10"/>
        <v>3087</v>
      </c>
      <c r="B789" s="269" t="s">
        <v>213</v>
      </c>
      <c r="C789" s="269" t="s">
        <v>213</v>
      </c>
      <c r="D789" s="460" t="s">
        <v>3241</v>
      </c>
      <c r="E789" s="478">
        <v>4242.1085000000003</v>
      </c>
    </row>
    <row r="790" spans="1:5">
      <c r="A790" s="489">
        <f t="shared" si="10"/>
        <v>3088</v>
      </c>
      <c r="B790" s="269" t="s">
        <v>214</v>
      </c>
      <c r="C790" s="269" t="s">
        <v>214</v>
      </c>
      <c r="D790" s="460" t="s">
        <v>3241</v>
      </c>
      <c r="E790" s="478">
        <v>5967.9709999999995</v>
      </c>
    </row>
    <row r="791" spans="1:5">
      <c r="A791" s="489">
        <f t="shared" si="10"/>
        <v>3089</v>
      </c>
      <c r="B791" s="269" t="s">
        <v>215</v>
      </c>
      <c r="C791" s="269" t="s">
        <v>215</v>
      </c>
      <c r="D791" s="460" t="s">
        <v>3241</v>
      </c>
      <c r="E791" s="478">
        <v>7130.69</v>
      </c>
    </row>
    <row r="792" spans="1:5">
      <c r="A792" s="516"/>
      <c r="B792" s="517">
        <v>0</v>
      </c>
      <c r="C792" s="517">
        <v>0</v>
      </c>
      <c r="D792" s="518">
        <v>0</v>
      </c>
      <c r="E792" s="519">
        <v>0</v>
      </c>
    </row>
    <row r="793" spans="1:5" ht="38.25">
      <c r="A793" s="489">
        <v>3090</v>
      </c>
      <c r="B793" s="269" t="s">
        <v>216</v>
      </c>
      <c r="C793" s="269" t="s">
        <v>216</v>
      </c>
      <c r="D793" s="460" t="s">
        <v>3241</v>
      </c>
      <c r="E793" s="478">
        <v>23520.375</v>
      </c>
    </row>
    <row r="794" spans="1:5" ht="38.25">
      <c r="A794" s="489">
        <f>A793+1</f>
        <v>3091</v>
      </c>
      <c r="B794" s="269" t="s">
        <v>217</v>
      </c>
      <c r="C794" s="269" t="s">
        <v>217</v>
      </c>
      <c r="D794" s="460" t="s">
        <v>3241</v>
      </c>
      <c r="E794" s="478">
        <v>24948.674999999999</v>
      </c>
    </row>
    <row r="795" spans="1:5" ht="38.25">
      <c r="A795" s="489">
        <f t="shared" ref="A795:A809" si="11">A794+1</f>
        <v>3092</v>
      </c>
      <c r="B795" s="269" t="s">
        <v>218</v>
      </c>
      <c r="C795" s="269" t="s">
        <v>218</v>
      </c>
      <c r="D795" s="460" t="s">
        <v>3241</v>
      </c>
      <c r="E795" s="478">
        <v>27219.924999999999</v>
      </c>
    </row>
    <row r="796" spans="1:5" ht="38.25">
      <c r="A796" s="489">
        <f t="shared" si="11"/>
        <v>3093</v>
      </c>
      <c r="B796" s="269" t="s">
        <v>219</v>
      </c>
      <c r="C796" s="269" t="s">
        <v>219</v>
      </c>
      <c r="D796" s="460" t="s">
        <v>3241</v>
      </c>
      <c r="E796" s="478">
        <v>41383.9</v>
      </c>
    </row>
    <row r="797" spans="1:5" ht="38.25">
      <c r="A797" s="489">
        <f t="shared" si="11"/>
        <v>3094</v>
      </c>
      <c r="B797" s="269" t="s">
        <v>220</v>
      </c>
      <c r="C797" s="269" t="s">
        <v>220</v>
      </c>
      <c r="D797" s="460" t="s">
        <v>3241</v>
      </c>
      <c r="E797" s="478">
        <v>49025.305000000008</v>
      </c>
    </row>
    <row r="798" spans="1:5">
      <c r="A798" s="489">
        <f t="shared" si="11"/>
        <v>3095</v>
      </c>
      <c r="B798" s="269" t="s">
        <v>221</v>
      </c>
      <c r="C798" s="269" t="s">
        <v>221</v>
      </c>
      <c r="D798" s="460" t="s">
        <v>3241</v>
      </c>
      <c r="E798" s="478">
        <v>5725.1025000000009</v>
      </c>
    </row>
    <row r="799" spans="1:5">
      <c r="A799" s="489">
        <f t="shared" si="11"/>
        <v>3096</v>
      </c>
      <c r="B799" s="269" t="s">
        <v>222</v>
      </c>
      <c r="C799" s="269" t="s">
        <v>222</v>
      </c>
      <c r="D799" s="460" t="s">
        <v>3241</v>
      </c>
      <c r="E799" s="478">
        <v>6320.2275000000009</v>
      </c>
    </row>
    <row r="800" spans="1:5">
      <c r="A800" s="489">
        <f t="shared" si="11"/>
        <v>3097</v>
      </c>
      <c r="B800" s="269" t="s">
        <v>223</v>
      </c>
      <c r="C800" s="269" t="s">
        <v>223</v>
      </c>
      <c r="D800" s="460" t="s">
        <v>3241</v>
      </c>
      <c r="E800" s="478">
        <v>12378.6</v>
      </c>
    </row>
    <row r="801" spans="1:5">
      <c r="A801" s="489">
        <f t="shared" si="11"/>
        <v>3098</v>
      </c>
      <c r="B801" s="269" t="s">
        <v>224</v>
      </c>
      <c r="C801" s="269" t="s">
        <v>224</v>
      </c>
      <c r="D801" s="460" t="s">
        <v>3241</v>
      </c>
      <c r="E801" s="478">
        <v>13925.924999999999</v>
      </c>
    </row>
    <row r="802" spans="1:5">
      <c r="A802" s="489">
        <f t="shared" si="11"/>
        <v>3099</v>
      </c>
      <c r="B802" s="269" t="s">
        <v>225</v>
      </c>
      <c r="C802" s="269" t="s">
        <v>225</v>
      </c>
      <c r="D802" s="460" t="s">
        <v>3241</v>
      </c>
      <c r="E802" s="478">
        <v>26304.525000000001</v>
      </c>
    </row>
    <row r="803" spans="1:5">
      <c r="A803" s="489">
        <f t="shared" si="11"/>
        <v>3100</v>
      </c>
      <c r="B803" s="269" t="s">
        <v>445</v>
      </c>
      <c r="C803" s="269" t="s">
        <v>445</v>
      </c>
      <c r="D803" s="460" t="s">
        <v>3241</v>
      </c>
      <c r="E803" s="478">
        <v>37135.800000000003</v>
      </c>
    </row>
    <row r="804" spans="1:5">
      <c r="A804" s="489">
        <f t="shared" si="11"/>
        <v>3101</v>
      </c>
      <c r="B804" s="269" t="s">
        <v>446</v>
      </c>
      <c r="C804" s="269" t="s">
        <v>446</v>
      </c>
      <c r="D804" s="460" t="s">
        <v>3241</v>
      </c>
      <c r="E804" s="478">
        <v>1181.9124999999999</v>
      </c>
    </row>
    <row r="805" spans="1:5">
      <c r="A805" s="489">
        <f t="shared" si="11"/>
        <v>3102</v>
      </c>
      <c r="B805" s="269" t="s">
        <v>111</v>
      </c>
      <c r="C805" s="269" t="s">
        <v>111</v>
      </c>
      <c r="D805" s="460" t="s">
        <v>3241</v>
      </c>
      <c r="E805" s="478">
        <v>1130.7375</v>
      </c>
    </row>
    <row r="806" spans="1:5">
      <c r="A806" s="489">
        <f t="shared" si="11"/>
        <v>3103</v>
      </c>
      <c r="B806" s="269" t="s">
        <v>447</v>
      </c>
      <c r="C806" s="269" t="s">
        <v>447</v>
      </c>
      <c r="D806" s="460" t="s">
        <v>3241</v>
      </c>
      <c r="E806" s="478">
        <v>273.75749999999999</v>
      </c>
    </row>
    <row r="807" spans="1:5">
      <c r="A807" s="489">
        <f t="shared" si="11"/>
        <v>3104</v>
      </c>
      <c r="B807" s="269" t="s">
        <v>448</v>
      </c>
      <c r="C807" s="269" t="s">
        <v>448</v>
      </c>
      <c r="D807" s="460" t="s">
        <v>3241</v>
      </c>
      <c r="E807" s="478">
        <v>821.27250000000004</v>
      </c>
    </row>
    <row r="808" spans="1:5">
      <c r="A808" s="489">
        <f t="shared" si="11"/>
        <v>3105</v>
      </c>
      <c r="B808" s="269" t="s">
        <v>449</v>
      </c>
      <c r="C808" s="269" t="s">
        <v>449</v>
      </c>
      <c r="D808" s="460" t="s">
        <v>3241</v>
      </c>
      <c r="E808" s="478">
        <v>1654.4475000000002</v>
      </c>
    </row>
    <row r="809" spans="1:5">
      <c r="A809" s="489">
        <f t="shared" si="11"/>
        <v>3106</v>
      </c>
      <c r="B809" s="269" t="s">
        <v>450</v>
      </c>
      <c r="C809" s="269" t="s">
        <v>450</v>
      </c>
      <c r="D809" s="460" t="s">
        <v>3241</v>
      </c>
      <c r="E809" s="478">
        <v>2624.4955</v>
      </c>
    </row>
    <row r="810" spans="1:5">
      <c r="A810" s="516"/>
      <c r="B810" s="517">
        <v>0</v>
      </c>
      <c r="C810" s="517">
        <v>0</v>
      </c>
      <c r="D810" s="518">
        <v>0</v>
      </c>
      <c r="E810" s="519">
        <v>0</v>
      </c>
    </row>
    <row r="811" spans="1:5">
      <c r="A811" s="489">
        <v>3107</v>
      </c>
      <c r="B811" s="269" t="s">
        <v>451</v>
      </c>
      <c r="C811" s="269" t="s">
        <v>451</v>
      </c>
      <c r="D811" s="460" t="s">
        <v>3241</v>
      </c>
      <c r="E811" s="478">
        <v>161.50600000000003</v>
      </c>
    </row>
    <row r="812" spans="1:5">
      <c r="A812" s="489">
        <f>A811+1</f>
        <v>3108</v>
      </c>
      <c r="B812" s="269" t="s">
        <v>452</v>
      </c>
      <c r="C812" s="269" t="s">
        <v>452</v>
      </c>
      <c r="D812" s="460" t="s">
        <v>3241</v>
      </c>
      <c r="E812" s="478">
        <v>192.93549999999999</v>
      </c>
    </row>
    <row r="813" spans="1:5">
      <c r="A813" s="489">
        <f>A812+1</f>
        <v>3109</v>
      </c>
      <c r="B813" s="269" t="s">
        <v>453</v>
      </c>
      <c r="C813" s="269" t="s">
        <v>453</v>
      </c>
      <c r="D813" s="460" t="s">
        <v>3241</v>
      </c>
      <c r="E813" s="478">
        <v>242.92600000000002</v>
      </c>
    </row>
    <row r="814" spans="1:5">
      <c r="A814" s="489">
        <f>A813+1</f>
        <v>3110</v>
      </c>
      <c r="B814" s="269" t="s">
        <v>454</v>
      </c>
      <c r="C814" s="269" t="s">
        <v>454</v>
      </c>
      <c r="D814" s="460" t="s">
        <v>3241</v>
      </c>
      <c r="E814" s="478">
        <v>206.55149999999998</v>
      </c>
    </row>
    <row r="815" spans="1:5">
      <c r="A815" s="489">
        <f>A814+1</f>
        <v>3111</v>
      </c>
      <c r="B815" s="269" t="s">
        <v>455</v>
      </c>
      <c r="C815" s="269" t="s">
        <v>455</v>
      </c>
      <c r="D815" s="460" t="s">
        <v>3241</v>
      </c>
      <c r="E815" s="478">
        <v>249.40049999999997</v>
      </c>
    </row>
    <row r="816" spans="1:5">
      <c r="A816" s="489">
        <f>A815+1</f>
        <v>3112</v>
      </c>
      <c r="B816" s="269" t="s">
        <v>456</v>
      </c>
      <c r="C816" s="269" t="s">
        <v>456</v>
      </c>
      <c r="D816" s="460" t="s">
        <v>3241</v>
      </c>
      <c r="E816" s="478">
        <v>458.8845</v>
      </c>
    </row>
    <row r="817" spans="1:5">
      <c r="A817" s="516"/>
      <c r="B817" s="517">
        <v>0</v>
      </c>
      <c r="C817" s="517">
        <v>0</v>
      </c>
      <c r="D817" s="518">
        <v>0</v>
      </c>
      <c r="E817" s="519">
        <v>0</v>
      </c>
    </row>
    <row r="818" spans="1:5">
      <c r="A818" s="489">
        <v>3113</v>
      </c>
      <c r="B818" s="269" t="s">
        <v>112</v>
      </c>
      <c r="C818" s="269" t="s">
        <v>112</v>
      </c>
      <c r="D818" s="460" t="s">
        <v>1745</v>
      </c>
      <c r="E818" s="478">
        <v>130.92750000000001</v>
      </c>
    </row>
    <row r="819" spans="1:5">
      <c r="A819" s="489">
        <f>A818+1</f>
        <v>3114</v>
      </c>
      <c r="B819" s="269" t="s">
        <v>113</v>
      </c>
      <c r="C819" s="269" t="s">
        <v>113</v>
      </c>
      <c r="D819" s="460" t="s">
        <v>1745</v>
      </c>
      <c r="E819" s="478">
        <v>428.49</v>
      </c>
    </row>
    <row r="820" spans="1:5">
      <c r="A820" s="489">
        <f t="shared" ref="A820:A825" si="12">A819+1</f>
        <v>3115</v>
      </c>
      <c r="B820" s="269" t="s">
        <v>114</v>
      </c>
      <c r="C820" s="269" t="s">
        <v>114</v>
      </c>
      <c r="D820" s="460" t="s">
        <v>1745</v>
      </c>
      <c r="E820" s="478">
        <v>797.46749999999997</v>
      </c>
    </row>
    <row r="821" spans="1:5">
      <c r="A821" s="489">
        <f t="shared" si="12"/>
        <v>3116</v>
      </c>
      <c r="B821" s="269" t="s">
        <v>115</v>
      </c>
      <c r="C821" s="269" t="s">
        <v>115</v>
      </c>
      <c r="D821" s="460" t="s">
        <v>1745</v>
      </c>
      <c r="E821" s="478">
        <v>1166.4449999999999</v>
      </c>
    </row>
    <row r="822" spans="1:5">
      <c r="A822" s="489">
        <f t="shared" si="12"/>
        <v>3117</v>
      </c>
      <c r="B822" s="269" t="s">
        <v>116</v>
      </c>
      <c r="C822" s="269" t="s">
        <v>116</v>
      </c>
      <c r="D822" s="460" t="s">
        <v>1745</v>
      </c>
      <c r="E822" s="478">
        <v>273.75749999999999</v>
      </c>
    </row>
    <row r="823" spans="1:5">
      <c r="A823" s="489">
        <f t="shared" si="12"/>
        <v>3118</v>
      </c>
      <c r="B823" s="269" t="s">
        <v>117</v>
      </c>
      <c r="C823" s="269" t="s">
        <v>117</v>
      </c>
      <c r="D823" s="460" t="s">
        <v>1745</v>
      </c>
      <c r="E823" s="478">
        <v>714.15</v>
      </c>
    </row>
    <row r="824" spans="1:5">
      <c r="A824" s="489">
        <f t="shared" si="12"/>
        <v>3119</v>
      </c>
      <c r="B824" s="269" t="s">
        <v>118</v>
      </c>
      <c r="C824" s="269" t="s">
        <v>118</v>
      </c>
      <c r="D824" s="460" t="s">
        <v>1745</v>
      </c>
      <c r="E824" s="478">
        <v>1309.2750000000001</v>
      </c>
    </row>
    <row r="825" spans="1:5">
      <c r="A825" s="489">
        <f t="shared" si="12"/>
        <v>3120</v>
      </c>
      <c r="B825" s="269" t="s">
        <v>119</v>
      </c>
      <c r="C825" s="269" t="s">
        <v>119</v>
      </c>
      <c r="D825" s="460" t="s">
        <v>1745</v>
      </c>
      <c r="E825" s="478">
        <v>1642.5450000000001</v>
      </c>
    </row>
    <row r="826" spans="1:5">
      <c r="A826" s="516"/>
      <c r="B826" s="517">
        <v>0</v>
      </c>
      <c r="C826" s="517">
        <v>0</v>
      </c>
      <c r="D826" s="518">
        <v>0</v>
      </c>
      <c r="E826" s="519">
        <v>0</v>
      </c>
    </row>
    <row r="827" spans="1:5">
      <c r="A827" s="489">
        <v>3121</v>
      </c>
      <c r="B827" s="269" t="s">
        <v>112</v>
      </c>
      <c r="C827" s="269" t="s">
        <v>112</v>
      </c>
      <c r="D827" s="460" t="s">
        <v>3241</v>
      </c>
      <c r="E827" s="478">
        <v>238.05</v>
      </c>
    </row>
    <row r="828" spans="1:5">
      <c r="A828" s="489">
        <f>A827+1</f>
        <v>3122</v>
      </c>
      <c r="B828" s="269" t="s">
        <v>113</v>
      </c>
      <c r="C828" s="269" t="s">
        <v>113</v>
      </c>
      <c r="D828" s="460" t="s">
        <v>3241</v>
      </c>
      <c r="E828" s="478">
        <v>964.10249999999996</v>
      </c>
    </row>
    <row r="829" spans="1:5">
      <c r="A829" s="489">
        <f t="shared" ref="A829:A835" si="13">A828+1</f>
        <v>3123</v>
      </c>
      <c r="B829" s="269" t="s">
        <v>114</v>
      </c>
      <c r="C829" s="269" t="s">
        <v>114</v>
      </c>
      <c r="D829" s="460" t="s">
        <v>3241</v>
      </c>
      <c r="E829" s="478">
        <v>1368.7874999999999</v>
      </c>
    </row>
    <row r="830" spans="1:5">
      <c r="A830" s="489">
        <f t="shared" si="13"/>
        <v>3124</v>
      </c>
      <c r="B830" s="269" t="s">
        <v>115</v>
      </c>
      <c r="C830" s="269" t="s">
        <v>115</v>
      </c>
      <c r="D830" s="460" t="s">
        <v>3241</v>
      </c>
      <c r="E830" s="478">
        <v>1666.35</v>
      </c>
    </row>
    <row r="831" spans="1:5">
      <c r="A831" s="489">
        <f t="shared" si="13"/>
        <v>3125</v>
      </c>
      <c r="B831" s="269" t="s">
        <v>120</v>
      </c>
      <c r="C831" s="269" t="s">
        <v>120</v>
      </c>
      <c r="D831" s="460" t="s">
        <v>3241</v>
      </c>
      <c r="E831" s="478">
        <v>1214.0550000000001</v>
      </c>
    </row>
    <row r="832" spans="1:5">
      <c r="A832" s="489">
        <f t="shared" si="13"/>
        <v>3126</v>
      </c>
      <c r="B832" s="269" t="s">
        <v>121</v>
      </c>
      <c r="C832" s="269" t="s">
        <v>121</v>
      </c>
      <c r="D832" s="460" t="s">
        <v>3241</v>
      </c>
      <c r="E832" s="478">
        <v>1487.8125</v>
      </c>
    </row>
    <row r="833" spans="1:5">
      <c r="A833" s="489">
        <f t="shared" si="13"/>
        <v>3127</v>
      </c>
      <c r="B833" s="269" t="s">
        <v>122</v>
      </c>
      <c r="C833" s="269" t="s">
        <v>122</v>
      </c>
      <c r="D833" s="460" t="s">
        <v>3241</v>
      </c>
      <c r="E833" s="478">
        <v>1904.4</v>
      </c>
    </row>
    <row r="834" spans="1:5">
      <c r="A834" s="489">
        <f t="shared" si="13"/>
        <v>3128</v>
      </c>
      <c r="B834" s="269" t="s">
        <v>123</v>
      </c>
      <c r="C834" s="269" t="s">
        <v>123</v>
      </c>
      <c r="D834" s="460" t="s">
        <v>3241</v>
      </c>
      <c r="E834" s="478">
        <v>2023.425</v>
      </c>
    </row>
    <row r="835" spans="1:5">
      <c r="A835" s="489">
        <f t="shared" si="13"/>
        <v>3129</v>
      </c>
      <c r="B835" s="269" t="s">
        <v>124</v>
      </c>
      <c r="C835" s="269" t="s">
        <v>124</v>
      </c>
      <c r="D835" s="460" t="s">
        <v>3241</v>
      </c>
      <c r="E835" s="478">
        <v>2142.4499999999998</v>
      </c>
    </row>
    <row r="836" spans="1:5">
      <c r="A836" s="516"/>
      <c r="B836" s="517">
        <v>0</v>
      </c>
      <c r="C836" s="517">
        <v>0</v>
      </c>
      <c r="D836" s="518">
        <v>0</v>
      </c>
      <c r="E836" s="519">
        <v>0</v>
      </c>
    </row>
    <row r="837" spans="1:5">
      <c r="A837" s="489">
        <v>3130</v>
      </c>
      <c r="B837" s="269" t="s">
        <v>125</v>
      </c>
      <c r="C837" s="269" t="s">
        <v>125</v>
      </c>
      <c r="D837" s="460" t="s">
        <v>3241</v>
      </c>
      <c r="E837" s="478">
        <v>1712.6375</v>
      </c>
    </row>
    <row r="838" spans="1:5">
      <c r="A838" s="489">
        <f>A837+1</f>
        <v>3131</v>
      </c>
      <c r="B838" s="269" t="s">
        <v>126</v>
      </c>
      <c r="C838" s="269" t="s">
        <v>126</v>
      </c>
      <c r="D838" s="460" t="s">
        <v>3241</v>
      </c>
      <c r="E838" s="478">
        <v>1775.002</v>
      </c>
    </row>
    <row r="839" spans="1:5">
      <c r="A839" s="489">
        <f t="shared" ref="A839:A845" si="14">A838+1</f>
        <v>3132</v>
      </c>
      <c r="B839" s="269" t="s">
        <v>127</v>
      </c>
      <c r="C839" s="269" t="s">
        <v>127</v>
      </c>
      <c r="D839" s="460" t="s">
        <v>3241</v>
      </c>
      <c r="E839" s="478">
        <v>2173.5</v>
      </c>
    </row>
    <row r="840" spans="1:5">
      <c r="A840" s="489">
        <f t="shared" si="14"/>
        <v>3133</v>
      </c>
      <c r="B840" s="269" t="s">
        <v>128</v>
      </c>
      <c r="C840" s="269" t="s">
        <v>128</v>
      </c>
      <c r="D840" s="460" t="s">
        <v>3241</v>
      </c>
      <c r="E840" s="478">
        <v>2478.2040000000002</v>
      </c>
    </row>
    <row r="841" spans="1:5">
      <c r="A841" s="489">
        <f t="shared" si="14"/>
        <v>3134</v>
      </c>
      <c r="B841" s="269" t="s">
        <v>129</v>
      </c>
      <c r="C841" s="269" t="s">
        <v>129</v>
      </c>
      <c r="D841" s="460" t="s">
        <v>3241</v>
      </c>
      <c r="E841" s="478">
        <v>2611.5120000000002</v>
      </c>
    </row>
    <row r="842" spans="1:5">
      <c r="A842" s="489">
        <f t="shared" si="14"/>
        <v>3135</v>
      </c>
      <c r="B842" s="269" t="s">
        <v>130</v>
      </c>
      <c r="C842" s="269" t="s">
        <v>130</v>
      </c>
      <c r="D842" s="460" t="s">
        <v>3241</v>
      </c>
      <c r="E842" s="478">
        <v>3546.0940000000001</v>
      </c>
    </row>
    <row r="843" spans="1:5">
      <c r="A843" s="489">
        <f t="shared" si="14"/>
        <v>3136</v>
      </c>
      <c r="B843" s="269" t="s">
        <v>131</v>
      </c>
      <c r="C843" s="269" t="s">
        <v>131</v>
      </c>
      <c r="D843" s="460" t="s">
        <v>3241</v>
      </c>
      <c r="E843" s="478">
        <v>3926.9740000000002</v>
      </c>
    </row>
    <row r="844" spans="1:5">
      <c r="A844" s="489">
        <f t="shared" si="14"/>
        <v>3137</v>
      </c>
      <c r="B844" s="269" t="s">
        <v>132</v>
      </c>
      <c r="C844" s="269" t="s">
        <v>132</v>
      </c>
      <c r="D844" s="460" t="s">
        <v>3241</v>
      </c>
      <c r="E844" s="478">
        <v>4354.9925000000003</v>
      </c>
    </row>
    <row r="845" spans="1:5">
      <c r="A845" s="489">
        <f t="shared" si="14"/>
        <v>3138</v>
      </c>
      <c r="B845" s="269" t="s">
        <v>133</v>
      </c>
      <c r="C845" s="269" t="s">
        <v>133</v>
      </c>
      <c r="D845" s="460" t="s">
        <v>3241</v>
      </c>
      <c r="E845" s="478">
        <v>6755.7209999999995</v>
      </c>
    </row>
    <row r="846" spans="1:5">
      <c r="A846" s="516"/>
      <c r="B846" s="517">
        <v>0</v>
      </c>
      <c r="C846" s="517">
        <v>0</v>
      </c>
      <c r="D846" s="518">
        <v>0</v>
      </c>
      <c r="E846" s="519">
        <v>0</v>
      </c>
    </row>
    <row r="847" spans="1:5">
      <c r="A847" s="489">
        <v>3139</v>
      </c>
      <c r="B847" s="269" t="s">
        <v>134</v>
      </c>
      <c r="C847" s="269" t="s">
        <v>134</v>
      </c>
      <c r="D847" s="460" t="s">
        <v>3241</v>
      </c>
      <c r="E847" s="478">
        <v>3368.2694999999999</v>
      </c>
    </row>
    <row r="848" spans="1:5">
      <c r="A848" s="489">
        <f>A847+1</f>
        <v>3140</v>
      </c>
      <c r="B848" s="269" t="s">
        <v>135</v>
      </c>
      <c r="C848" s="269" t="s">
        <v>135</v>
      </c>
      <c r="D848" s="460" t="s">
        <v>3241</v>
      </c>
      <c r="E848" s="478">
        <v>4212.1625000000004</v>
      </c>
    </row>
    <row r="849" spans="1:5">
      <c r="A849" s="489">
        <f t="shared" ref="A849:A854" si="15">A848+1</f>
        <v>3141</v>
      </c>
      <c r="B849" s="269" t="s">
        <v>136</v>
      </c>
      <c r="C849" s="269" t="s">
        <v>136</v>
      </c>
      <c r="D849" s="460" t="s">
        <v>3241</v>
      </c>
      <c r="E849" s="478">
        <v>5148.8834999999999</v>
      </c>
    </row>
    <row r="850" spans="1:5">
      <c r="A850" s="489">
        <f t="shared" si="15"/>
        <v>3142</v>
      </c>
      <c r="B850" s="269" t="s">
        <v>137</v>
      </c>
      <c r="C850" s="269" t="s">
        <v>137</v>
      </c>
      <c r="D850" s="460" t="s">
        <v>3241</v>
      </c>
      <c r="E850" s="478">
        <v>6190.3580000000002</v>
      </c>
    </row>
    <row r="851" spans="1:5">
      <c r="A851" s="489">
        <f t="shared" si="15"/>
        <v>3143</v>
      </c>
      <c r="B851" s="269" t="s">
        <v>138</v>
      </c>
      <c r="C851" s="269" t="s">
        <v>138</v>
      </c>
      <c r="D851" s="460" t="s">
        <v>3241</v>
      </c>
      <c r="E851" s="478">
        <v>7335.3784999999998</v>
      </c>
    </row>
    <row r="852" spans="1:5">
      <c r="A852" s="489">
        <f t="shared" si="15"/>
        <v>3144</v>
      </c>
      <c r="B852" s="269" t="s">
        <v>139</v>
      </c>
      <c r="C852" s="269" t="s">
        <v>139</v>
      </c>
      <c r="D852" s="460" t="s">
        <v>3241</v>
      </c>
      <c r="E852" s="478">
        <v>8585.1409999999996</v>
      </c>
    </row>
    <row r="853" spans="1:5">
      <c r="A853" s="489">
        <f t="shared" si="15"/>
        <v>3145</v>
      </c>
      <c r="B853" s="269" t="s">
        <v>40</v>
      </c>
      <c r="C853" s="269" t="s">
        <v>40</v>
      </c>
      <c r="D853" s="460" t="s">
        <v>3241</v>
      </c>
      <c r="E853" s="478">
        <v>469.93599999999998</v>
      </c>
    </row>
    <row r="854" spans="1:5">
      <c r="A854" s="489">
        <f t="shared" si="15"/>
        <v>3146</v>
      </c>
      <c r="B854" s="269" t="s">
        <v>140</v>
      </c>
      <c r="C854" s="269" t="s">
        <v>140</v>
      </c>
      <c r="D854" s="460" t="s">
        <v>3241</v>
      </c>
      <c r="E854" s="478">
        <v>544.31799999999998</v>
      </c>
    </row>
    <row r="855" spans="1:5">
      <c r="A855" s="516"/>
      <c r="B855" s="517">
        <v>0</v>
      </c>
      <c r="C855" s="517">
        <v>0</v>
      </c>
      <c r="D855" s="518">
        <v>0</v>
      </c>
      <c r="E855" s="519">
        <v>0</v>
      </c>
    </row>
    <row r="856" spans="1:5">
      <c r="A856" s="489">
        <v>3147</v>
      </c>
      <c r="B856" s="269" t="s">
        <v>141</v>
      </c>
      <c r="C856" s="269" t="s">
        <v>141</v>
      </c>
      <c r="D856" s="460" t="s">
        <v>3241</v>
      </c>
      <c r="E856" s="478">
        <v>3320.625</v>
      </c>
    </row>
    <row r="857" spans="1:5">
      <c r="A857" s="489">
        <f>A856+1</f>
        <v>3148</v>
      </c>
      <c r="B857" s="269" t="s">
        <v>142</v>
      </c>
      <c r="C857" s="269" t="s">
        <v>142</v>
      </c>
      <c r="D857" s="460" t="s">
        <v>3241</v>
      </c>
      <c r="E857" s="478">
        <v>3380.1374999999998</v>
      </c>
    </row>
    <row r="858" spans="1:5">
      <c r="A858" s="489">
        <f t="shared" ref="A858:A863" si="16">A857+1</f>
        <v>3149</v>
      </c>
      <c r="B858" s="269" t="s">
        <v>143</v>
      </c>
      <c r="C858" s="269" t="s">
        <v>143</v>
      </c>
      <c r="D858" s="460" t="s">
        <v>3241</v>
      </c>
      <c r="E858" s="478">
        <v>3499.1624999999999</v>
      </c>
    </row>
    <row r="859" spans="1:5">
      <c r="A859" s="489">
        <f t="shared" si="16"/>
        <v>3150</v>
      </c>
      <c r="B859" s="269" t="s">
        <v>144</v>
      </c>
      <c r="C859" s="269" t="s">
        <v>144</v>
      </c>
      <c r="D859" s="460" t="s">
        <v>3241</v>
      </c>
      <c r="E859" s="478">
        <v>3677.7</v>
      </c>
    </row>
    <row r="860" spans="1:5">
      <c r="A860" s="489">
        <f t="shared" si="16"/>
        <v>3151</v>
      </c>
      <c r="B860" s="269" t="s">
        <v>145</v>
      </c>
      <c r="C860" s="269" t="s">
        <v>145</v>
      </c>
      <c r="D860" s="460" t="s">
        <v>3241</v>
      </c>
      <c r="E860" s="478">
        <v>4295.25</v>
      </c>
    </row>
    <row r="861" spans="1:5">
      <c r="A861" s="489">
        <f t="shared" si="16"/>
        <v>3152</v>
      </c>
      <c r="B861" s="269" t="s">
        <v>146</v>
      </c>
      <c r="C861" s="269" t="s">
        <v>146</v>
      </c>
      <c r="D861" s="460" t="s">
        <v>3241</v>
      </c>
      <c r="E861" s="478">
        <v>2614.8125</v>
      </c>
    </row>
    <row r="862" spans="1:5">
      <c r="A862" s="489">
        <f t="shared" si="16"/>
        <v>3153</v>
      </c>
      <c r="B862" s="269" t="s">
        <v>147</v>
      </c>
      <c r="C862" s="269" t="s">
        <v>147</v>
      </c>
      <c r="D862" s="460" t="s">
        <v>3241</v>
      </c>
      <c r="E862" s="478">
        <v>2971.8874999999998</v>
      </c>
    </row>
    <row r="863" spans="1:5">
      <c r="A863" s="489">
        <f t="shared" si="16"/>
        <v>3154</v>
      </c>
      <c r="B863" s="269" t="s">
        <v>148</v>
      </c>
      <c r="C863" s="269" t="s">
        <v>148</v>
      </c>
      <c r="D863" s="460" t="s">
        <v>3241</v>
      </c>
      <c r="E863" s="478">
        <v>3328.9625000000001</v>
      </c>
    </row>
    <row r="864" spans="1:5">
      <c r="A864" s="516"/>
      <c r="B864" s="517">
        <v>0</v>
      </c>
      <c r="C864" s="517">
        <v>0</v>
      </c>
      <c r="D864" s="518">
        <v>0</v>
      </c>
      <c r="E864" s="519">
        <v>0</v>
      </c>
    </row>
    <row r="865" spans="1:5" ht="25.5">
      <c r="A865" s="489">
        <v>3155</v>
      </c>
      <c r="B865" s="269" t="s">
        <v>41</v>
      </c>
      <c r="C865" s="269" t="s">
        <v>41</v>
      </c>
      <c r="D865" s="460" t="s">
        <v>3241</v>
      </c>
      <c r="E865" s="478">
        <v>278.72549999999995</v>
      </c>
    </row>
    <row r="866" spans="1:5">
      <c r="A866" s="489">
        <f>A865+1</f>
        <v>3156</v>
      </c>
      <c r="B866" s="269" t="s">
        <v>42</v>
      </c>
      <c r="C866" s="269" t="s">
        <v>42</v>
      </c>
      <c r="D866" s="460" t="s">
        <v>3241</v>
      </c>
      <c r="E866" s="478">
        <v>955.09800000000018</v>
      </c>
    </row>
    <row r="867" spans="1:5">
      <c r="A867" s="489">
        <f t="shared" ref="A867:A887" si="17">A866+1</f>
        <v>3157</v>
      </c>
      <c r="B867" s="269" t="s">
        <v>43</v>
      </c>
      <c r="C867" s="269" t="s">
        <v>43</v>
      </c>
      <c r="D867" s="460" t="s">
        <v>3241</v>
      </c>
      <c r="E867" s="478">
        <v>332.29250000000002</v>
      </c>
    </row>
    <row r="868" spans="1:5">
      <c r="A868" s="489">
        <f t="shared" si="17"/>
        <v>3158</v>
      </c>
      <c r="B868" s="269" t="s">
        <v>149</v>
      </c>
      <c r="C868" s="269" t="s">
        <v>149</v>
      </c>
      <c r="D868" s="460" t="s">
        <v>3241</v>
      </c>
      <c r="E868" s="478">
        <v>1082.1500000000001</v>
      </c>
    </row>
    <row r="869" spans="1:5">
      <c r="A869" s="489">
        <f t="shared" si="17"/>
        <v>3159</v>
      </c>
      <c r="B869" s="269" t="s">
        <v>150</v>
      </c>
      <c r="C869" s="269" t="s">
        <v>150</v>
      </c>
      <c r="D869" s="460" t="s">
        <v>3241</v>
      </c>
      <c r="E869" s="478">
        <v>1651.4</v>
      </c>
    </row>
    <row r="870" spans="1:5" ht="25.5">
      <c r="A870" s="489">
        <f t="shared" si="17"/>
        <v>3160</v>
      </c>
      <c r="B870" s="269" t="s">
        <v>151</v>
      </c>
      <c r="C870" s="269" t="s">
        <v>151</v>
      </c>
      <c r="D870" s="460" t="s">
        <v>3241</v>
      </c>
      <c r="E870" s="478">
        <v>338.23799999999994</v>
      </c>
    </row>
    <row r="871" spans="1:5">
      <c r="A871" s="489">
        <f t="shared" si="17"/>
        <v>3161</v>
      </c>
      <c r="B871" s="269" t="s">
        <v>152</v>
      </c>
      <c r="C871" s="269" t="s">
        <v>152</v>
      </c>
      <c r="D871" s="460" t="s">
        <v>3241</v>
      </c>
      <c r="E871" s="478">
        <v>487.02499999999998</v>
      </c>
    </row>
    <row r="872" spans="1:5" ht="25.5">
      <c r="A872" s="489">
        <f t="shared" si="17"/>
        <v>3162</v>
      </c>
      <c r="B872" s="269" t="s">
        <v>1245</v>
      </c>
      <c r="C872" s="269" t="s">
        <v>1245</v>
      </c>
      <c r="D872" s="460" t="s">
        <v>3241</v>
      </c>
      <c r="E872" s="478">
        <v>1022.6375</v>
      </c>
    </row>
    <row r="873" spans="1:5" ht="25.5">
      <c r="A873" s="489">
        <f t="shared" si="17"/>
        <v>3163</v>
      </c>
      <c r="B873" s="269" t="s">
        <v>1246</v>
      </c>
      <c r="C873" s="269" t="s">
        <v>1246</v>
      </c>
      <c r="D873" s="460" t="s">
        <v>3241</v>
      </c>
      <c r="E873" s="478">
        <v>1349.9505000000001</v>
      </c>
    </row>
    <row r="874" spans="1:5" ht="25.5">
      <c r="A874" s="489">
        <f t="shared" si="17"/>
        <v>3164</v>
      </c>
      <c r="B874" s="269" t="s">
        <v>1247</v>
      </c>
      <c r="C874" s="269" t="s">
        <v>1247</v>
      </c>
      <c r="D874" s="460" t="s">
        <v>3241</v>
      </c>
      <c r="E874" s="478">
        <v>725.07500000000005</v>
      </c>
    </row>
    <row r="875" spans="1:5" ht="25.5">
      <c r="A875" s="489">
        <f t="shared" si="17"/>
        <v>3165</v>
      </c>
      <c r="B875" s="269" t="s">
        <v>1248</v>
      </c>
      <c r="C875" s="269" t="s">
        <v>1248</v>
      </c>
      <c r="D875" s="460" t="s">
        <v>3241</v>
      </c>
      <c r="E875" s="478">
        <v>3758.7750000000001</v>
      </c>
    </row>
    <row r="876" spans="1:5" ht="25.5">
      <c r="A876" s="489">
        <f t="shared" si="17"/>
        <v>3166</v>
      </c>
      <c r="B876" s="269" t="s">
        <v>1249</v>
      </c>
      <c r="C876" s="269" t="s">
        <v>1249</v>
      </c>
      <c r="D876" s="460" t="s">
        <v>3241</v>
      </c>
      <c r="E876" s="478">
        <v>4205.1129999999994</v>
      </c>
    </row>
    <row r="877" spans="1:5" ht="25.5">
      <c r="A877" s="489">
        <f t="shared" si="17"/>
        <v>3167</v>
      </c>
      <c r="B877" s="269" t="s">
        <v>483</v>
      </c>
      <c r="C877" s="269" t="s">
        <v>483</v>
      </c>
      <c r="D877" s="460" t="s">
        <v>3241</v>
      </c>
      <c r="E877" s="478">
        <v>1765.1005</v>
      </c>
    </row>
    <row r="878" spans="1:5" ht="25.5">
      <c r="A878" s="489">
        <f t="shared" si="17"/>
        <v>3168</v>
      </c>
      <c r="B878" s="269" t="s">
        <v>484</v>
      </c>
      <c r="C878" s="269" t="s">
        <v>484</v>
      </c>
      <c r="D878" s="460" t="s">
        <v>3241</v>
      </c>
      <c r="E878" s="478">
        <v>3312.4254999999998</v>
      </c>
    </row>
    <row r="879" spans="1:5">
      <c r="A879" s="489">
        <f t="shared" si="17"/>
        <v>3169</v>
      </c>
      <c r="B879" s="269" t="s">
        <v>485</v>
      </c>
      <c r="C879" s="269" t="s">
        <v>485</v>
      </c>
      <c r="D879" s="460" t="s">
        <v>3241</v>
      </c>
      <c r="E879" s="478">
        <v>1022.6375</v>
      </c>
    </row>
    <row r="880" spans="1:5">
      <c r="A880" s="489">
        <f t="shared" si="17"/>
        <v>3170</v>
      </c>
      <c r="B880" s="269" t="s">
        <v>44</v>
      </c>
      <c r="C880" s="269" t="s">
        <v>44</v>
      </c>
      <c r="D880" s="460" t="s">
        <v>3241</v>
      </c>
      <c r="E880" s="478">
        <v>2151.9375</v>
      </c>
    </row>
    <row r="881" spans="1:5">
      <c r="A881" s="489">
        <f t="shared" si="17"/>
        <v>3171</v>
      </c>
      <c r="B881" s="269" t="s">
        <v>45</v>
      </c>
      <c r="C881" s="269" t="s">
        <v>45</v>
      </c>
      <c r="D881" s="460" t="s">
        <v>3241</v>
      </c>
      <c r="E881" s="478">
        <v>12626.137500000001</v>
      </c>
    </row>
    <row r="882" spans="1:5">
      <c r="A882" s="489">
        <f t="shared" si="17"/>
        <v>3172</v>
      </c>
      <c r="B882" s="269" t="s">
        <v>46</v>
      </c>
      <c r="C882" s="269" t="s">
        <v>46</v>
      </c>
      <c r="D882" s="460" t="s">
        <v>3241</v>
      </c>
      <c r="E882" s="478">
        <v>17625.1875</v>
      </c>
    </row>
    <row r="883" spans="1:5">
      <c r="A883" s="489">
        <f t="shared" si="17"/>
        <v>3173</v>
      </c>
      <c r="B883" s="269" t="s">
        <v>486</v>
      </c>
      <c r="C883" s="269" t="s">
        <v>486</v>
      </c>
      <c r="D883" s="460" t="s">
        <v>3241</v>
      </c>
      <c r="E883" s="478">
        <v>9563.6990000000005</v>
      </c>
    </row>
    <row r="884" spans="1:5">
      <c r="A884" s="489">
        <f t="shared" si="17"/>
        <v>3174</v>
      </c>
      <c r="B884" s="269" t="s">
        <v>487</v>
      </c>
      <c r="C884" s="269" t="s">
        <v>487</v>
      </c>
      <c r="D884" s="460" t="s">
        <v>3241</v>
      </c>
      <c r="E884" s="478">
        <v>7705.7129999999997</v>
      </c>
    </row>
    <row r="885" spans="1:5">
      <c r="A885" s="489">
        <f t="shared" si="17"/>
        <v>3175</v>
      </c>
      <c r="B885" s="269" t="s">
        <v>488</v>
      </c>
      <c r="C885" s="269" t="s">
        <v>488</v>
      </c>
      <c r="D885" s="460" t="s">
        <v>3062</v>
      </c>
      <c r="E885" s="478">
        <v>179.45750000000001</v>
      </c>
    </row>
    <row r="886" spans="1:5">
      <c r="A886" s="489">
        <f t="shared" si="17"/>
        <v>3176</v>
      </c>
      <c r="B886" s="269" t="s">
        <v>47</v>
      </c>
      <c r="C886" s="269" t="s">
        <v>47</v>
      </c>
      <c r="D886" s="460" t="s">
        <v>3241</v>
      </c>
      <c r="E886" s="478">
        <v>38.478999999999999</v>
      </c>
    </row>
    <row r="887" spans="1:5">
      <c r="A887" s="489">
        <f t="shared" si="17"/>
        <v>3177</v>
      </c>
      <c r="B887" s="269" t="s">
        <v>48</v>
      </c>
      <c r="C887" s="269" t="s">
        <v>48</v>
      </c>
      <c r="D887" s="460" t="s">
        <v>3241</v>
      </c>
      <c r="E887" s="478">
        <v>148.49950000000001</v>
      </c>
    </row>
    <row r="888" spans="1:5">
      <c r="A888" s="516"/>
      <c r="B888" s="517">
        <v>0</v>
      </c>
      <c r="C888" s="517">
        <v>0</v>
      </c>
      <c r="D888" s="518">
        <v>0</v>
      </c>
      <c r="E888" s="519">
        <v>0</v>
      </c>
    </row>
    <row r="889" spans="1:5">
      <c r="A889" s="489">
        <v>3178</v>
      </c>
      <c r="B889" s="269" t="s">
        <v>49</v>
      </c>
      <c r="C889" s="269" t="s">
        <v>49</v>
      </c>
      <c r="D889" s="460" t="s">
        <v>3241</v>
      </c>
      <c r="E889" s="478">
        <v>1918.1885000000002</v>
      </c>
    </row>
    <row r="890" spans="1:5">
      <c r="A890" s="489">
        <v>3179</v>
      </c>
      <c r="B890" s="269" t="s">
        <v>50</v>
      </c>
      <c r="C890" s="269" t="s">
        <v>50</v>
      </c>
      <c r="D890" s="460" t="s">
        <v>1091</v>
      </c>
      <c r="E890" s="478">
        <v>2835.9919999999997</v>
      </c>
    </row>
    <row r="891" spans="1:5">
      <c r="A891" s="516"/>
      <c r="B891" s="517">
        <v>0</v>
      </c>
      <c r="C891" s="517">
        <v>0</v>
      </c>
      <c r="D891" s="518">
        <v>0</v>
      </c>
      <c r="E891" s="519">
        <v>0</v>
      </c>
    </row>
    <row r="892" spans="1:5" ht="63.75">
      <c r="A892" s="489">
        <v>3180</v>
      </c>
      <c r="B892" s="269" t="s">
        <v>489</v>
      </c>
      <c r="C892" s="269" t="s">
        <v>489</v>
      </c>
      <c r="D892" s="460" t="s">
        <v>3241</v>
      </c>
      <c r="E892" s="478">
        <v>15980.4</v>
      </c>
    </row>
    <row r="893" spans="1:5" ht="51">
      <c r="A893" s="489">
        <f>A892+1</f>
        <v>3181</v>
      </c>
      <c r="B893" s="269" t="s">
        <v>490</v>
      </c>
      <c r="C893" s="269" t="s">
        <v>490</v>
      </c>
      <c r="D893" s="460" t="s">
        <v>3241</v>
      </c>
      <c r="E893" s="478">
        <v>14916.316500000001</v>
      </c>
    </row>
    <row r="894" spans="1:5" ht="38.25">
      <c r="A894" s="489">
        <f>A893+1</f>
        <v>3182</v>
      </c>
      <c r="B894" s="269" t="s">
        <v>491</v>
      </c>
      <c r="C894" s="269" t="s">
        <v>491</v>
      </c>
      <c r="D894" s="460" t="s">
        <v>1091</v>
      </c>
      <c r="E894" s="478">
        <v>15409.08</v>
      </c>
    </row>
    <row r="895" spans="1:5">
      <c r="A895" s="516"/>
      <c r="B895" s="517">
        <v>0</v>
      </c>
      <c r="C895" s="517">
        <v>0</v>
      </c>
      <c r="D895" s="518">
        <v>0</v>
      </c>
      <c r="E895" s="519">
        <v>0</v>
      </c>
    </row>
    <row r="896" spans="1:5">
      <c r="A896" s="489"/>
      <c r="B896" s="269" t="s">
        <v>492</v>
      </c>
      <c r="C896" s="269" t="s">
        <v>492</v>
      </c>
      <c r="D896" s="460"/>
      <c r="E896" s="478"/>
    </row>
    <row r="897" spans="1:5">
      <c r="A897" s="489">
        <v>3183</v>
      </c>
      <c r="B897" s="269" t="s">
        <v>51</v>
      </c>
      <c r="C897" s="269" t="s">
        <v>51</v>
      </c>
      <c r="D897" s="460" t="s">
        <v>3062</v>
      </c>
      <c r="E897" s="478">
        <v>29.782125000000001</v>
      </c>
    </row>
    <row r="898" spans="1:5">
      <c r="A898" s="489">
        <f>A897+1</f>
        <v>3184</v>
      </c>
      <c r="B898" s="269" t="s">
        <v>914</v>
      </c>
      <c r="C898" s="269" t="s">
        <v>914</v>
      </c>
      <c r="D898" s="460" t="s">
        <v>3062</v>
      </c>
      <c r="E898" s="478">
        <v>36.946624999999997</v>
      </c>
    </row>
    <row r="899" spans="1:5">
      <c r="A899" s="489">
        <f>A898+1</f>
        <v>3185</v>
      </c>
      <c r="B899" s="269" t="s">
        <v>915</v>
      </c>
      <c r="C899" s="269" t="s">
        <v>915</v>
      </c>
      <c r="D899" s="460" t="s">
        <v>3062</v>
      </c>
      <c r="E899" s="478">
        <v>48.170625000000001</v>
      </c>
    </row>
    <row r="900" spans="1:5">
      <c r="A900" s="489">
        <f>A899+1</f>
        <v>3186</v>
      </c>
      <c r="B900" s="269" t="s">
        <v>916</v>
      </c>
      <c r="C900" s="269" t="s">
        <v>916</v>
      </c>
      <c r="D900" s="460" t="s">
        <v>3062</v>
      </c>
      <c r="E900" s="478">
        <v>68.471000000000004</v>
      </c>
    </row>
    <row r="901" spans="1:5">
      <c r="A901" s="489">
        <f>A900+1</f>
        <v>3187</v>
      </c>
      <c r="B901" s="269" t="s">
        <v>917</v>
      </c>
      <c r="C901" s="269" t="s">
        <v>917</v>
      </c>
      <c r="D901" s="460" t="s">
        <v>3062</v>
      </c>
      <c r="E901" s="478">
        <v>95.277500000000003</v>
      </c>
    </row>
    <row r="902" spans="1:5">
      <c r="A902" s="489">
        <f>A901+1</f>
        <v>3188</v>
      </c>
      <c r="B902" s="269" t="s">
        <v>918</v>
      </c>
      <c r="C902" s="269" t="s">
        <v>918</v>
      </c>
      <c r="D902" s="460" t="s">
        <v>3062</v>
      </c>
      <c r="E902" s="478">
        <v>171.17750000000001</v>
      </c>
    </row>
    <row r="903" spans="1:5">
      <c r="A903" s="516"/>
      <c r="B903" s="517">
        <v>0</v>
      </c>
      <c r="C903" s="517">
        <v>0</v>
      </c>
      <c r="D903" s="518">
        <v>0</v>
      </c>
      <c r="E903" s="519">
        <v>0</v>
      </c>
    </row>
    <row r="904" spans="1:5">
      <c r="A904" s="489"/>
      <c r="B904" s="269" t="s">
        <v>492</v>
      </c>
      <c r="C904" s="269" t="s">
        <v>492</v>
      </c>
      <c r="D904" s="460">
        <v>0</v>
      </c>
      <c r="E904" s="478">
        <v>0</v>
      </c>
    </row>
    <row r="905" spans="1:5">
      <c r="A905" s="489">
        <v>3189</v>
      </c>
      <c r="B905" s="269" t="s">
        <v>493</v>
      </c>
      <c r="C905" s="269" t="s">
        <v>493</v>
      </c>
      <c r="D905" s="460" t="s">
        <v>3062</v>
      </c>
      <c r="E905" s="478">
        <v>35.187125000000002</v>
      </c>
    </row>
    <row r="906" spans="1:5">
      <c r="A906" s="489">
        <f>A905+1</f>
        <v>3190</v>
      </c>
      <c r="B906" s="269" t="s">
        <v>494</v>
      </c>
      <c r="C906" s="269" t="s">
        <v>494</v>
      </c>
      <c r="D906" s="460" t="s">
        <v>3062</v>
      </c>
      <c r="E906" s="478">
        <v>45.732624999999999</v>
      </c>
    </row>
    <row r="907" spans="1:5">
      <c r="A907" s="489">
        <f>A906+1</f>
        <v>3191</v>
      </c>
      <c r="B907" s="269" t="s">
        <v>495</v>
      </c>
      <c r="C907" s="269" t="s">
        <v>495</v>
      </c>
      <c r="D907" s="460" t="s">
        <v>3062</v>
      </c>
      <c r="E907" s="478">
        <v>62.499624999999995</v>
      </c>
    </row>
    <row r="908" spans="1:5">
      <c r="A908" s="489">
        <f>A907+1</f>
        <v>3192</v>
      </c>
      <c r="B908" s="269" t="s">
        <v>496</v>
      </c>
      <c r="C908" s="269" t="s">
        <v>496</v>
      </c>
      <c r="D908" s="460" t="s">
        <v>3062</v>
      </c>
      <c r="E908" s="478">
        <v>90.597000000000008</v>
      </c>
    </row>
    <row r="909" spans="1:5">
      <c r="A909" s="489">
        <f>A908+1</f>
        <v>3193</v>
      </c>
      <c r="B909" s="269" t="s">
        <v>497</v>
      </c>
      <c r="C909" s="269" t="s">
        <v>497</v>
      </c>
      <c r="D909" s="460" t="s">
        <v>3062</v>
      </c>
      <c r="E909" s="478">
        <v>136.79249999999999</v>
      </c>
    </row>
    <row r="910" spans="1:5">
      <c r="A910" s="516"/>
      <c r="B910" s="517">
        <v>0</v>
      </c>
      <c r="C910" s="517">
        <v>0</v>
      </c>
      <c r="D910" s="518">
        <v>0</v>
      </c>
      <c r="E910" s="519">
        <v>0</v>
      </c>
    </row>
    <row r="911" spans="1:5">
      <c r="A911" s="489"/>
      <c r="B911" s="269" t="s">
        <v>498</v>
      </c>
      <c r="C911" s="269" t="s">
        <v>498</v>
      </c>
      <c r="D911" s="460">
        <v>0</v>
      </c>
      <c r="E911" s="478">
        <v>0</v>
      </c>
    </row>
    <row r="912" spans="1:5">
      <c r="A912" s="489">
        <v>3194</v>
      </c>
      <c r="B912" s="269" t="s">
        <v>919</v>
      </c>
      <c r="C912" s="269" t="s">
        <v>919</v>
      </c>
      <c r="D912" s="460" t="s">
        <v>3062</v>
      </c>
      <c r="E912" s="478">
        <v>30.929250000000003</v>
      </c>
    </row>
    <row r="913" spans="1:5">
      <c r="A913" s="489">
        <f t="shared" ref="A913:A918" si="18">A912+1</f>
        <v>3195</v>
      </c>
      <c r="B913" s="269" t="s">
        <v>51</v>
      </c>
      <c r="C913" s="269" t="s">
        <v>51</v>
      </c>
      <c r="D913" s="460" t="s">
        <v>3062</v>
      </c>
      <c r="E913" s="478">
        <v>32.941749999999999</v>
      </c>
    </row>
    <row r="914" spans="1:5">
      <c r="A914" s="489">
        <f t="shared" si="18"/>
        <v>3196</v>
      </c>
      <c r="B914" s="269" t="s">
        <v>914</v>
      </c>
      <c r="C914" s="269" t="s">
        <v>914</v>
      </c>
      <c r="D914" s="460" t="s">
        <v>3062</v>
      </c>
      <c r="E914" s="478">
        <v>40.106250000000003</v>
      </c>
    </row>
    <row r="915" spans="1:5">
      <c r="A915" s="489">
        <f t="shared" si="18"/>
        <v>3197</v>
      </c>
      <c r="B915" s="269" t="s">
        <v>915</v>
      </c>
      <c r="C915" s="269" t="s">
        <v>915</v>
      </c>
      <c r="D915" s="460" t="s">
        <v>3062</v>
      </c>
      <c r="E915" s="478">
        <v>54.714125000000003</v>
      </c>
    </row>
    <row r="916" spans="1:5">
      <c r="A916" s="489">
        <f t="shared" si="18"/>
        <v>3198</v>
      </c>
      <c r="B916" s="269" t="s">
        <v>916</v>
      </c>
      <c r="C916" s="269" t="s">
        <v>916</v>
      </c>
      <c r="D916" s="460" t="s">
        <v>3062</v>
      </c>
      <c r="E916" s="478">
        <v>71.642124999999993</v>
      </c>
    </row>
    <row r="917" spans="1:5">
      <c r="A917" s="489">
        <f t="shared" si="18"/>
        <v>3199</v>
      </c>
      <c r="B917" s="269" t="s">
        <v>917</v>
      </c>
      <c r="C917" s="269" t="s">
        <v>917</v>
      </c>
      <c r="D917" s="460" t="s">
        <v>3062</v>
      </c>
      <c r="E917" s="478">
        <v>96.700625000000002</v>
      </c>
    </row>
    <row r="918" spans="1:5">
      <c r="A918" s="489">
        <f t="shared" si="18"/>
        <v>3200</v>
      </c>
      <c r="B918" s="269" t="s">
        <v>918</v>
      </c>
      <c r="C918" s="269" t="s">
        <v>918</v>
      </c>
      <c r="D918" s="460" t="s">
        <v>3062</v>
      </c>
      <c r="E918" s="478">
        <v>185.863</v>
      </c>
    </row>
    <row r="919" spans="1:5">
      <c r="A919" s="489"/>
      <c r="B919" s="269" t="s">
        <v>499</v>
      </c>
      <c r="C919" s="269" t="s">
        <v>499</v>
      </c>
      <c r="D919" s="460">
        <v>0</v>
      </c>
      <c r="E919" s="478">
        <v>0</v>
      </c>
    </row>
    <row r="920" spans="1:5">
      <c r="A920" s="489"/>
      <c r="B920" s="269" t="s">
        <v>498</v>
      </c>
      <c r="C920" s="269" t="s">
        <v>498</v>
      </c>
      <c r="D920" s="460">
        <v>0</v>
      </c>
      <c r="E920" s="478">
        <v>0</v>
      </c>
    </row>
    <row r="921" spans="1:5">
      <c r="A921" s="489">
        <v>3201</v>
      </c>
      <c r="B921" s="269" t="s">
        <v>493</v>
      </c>
      <c r="C921" s="269" t="s">
        <v>493</v>
      </c>
      <c r="D921" s="460" t="s">
        <v>3062</v>
      </c>
      <c r="E921" s="478">
        <v>38.34675</v>
      </c>
    </row>
    <row r="922" spans="1:5">
      <c r="A922" s="489">
        <f>A921+1</f>
        <v>3202</v>
      </c>
      <c r="B922" s="269" t="s">
        <v>494</v>
      </c>
      <c r="C922" s="269" t="s">
        <v>494</v>
      </c>
      <c r="D922" s="460" t="s">
        <v>3062</v>
      </c>
      <c r="E922" s="478">
        <v>48.892250000000004</v>
      </c>
    </row>
    <row r="923" spans="1:5">
      <c r="A923" s="489">
        <f>A922+1</f>
        <v>3203</v>
      </c>
      <c r="B923" s="269" t="s">
        <v>495</v>
      </c>
      <c r="C923" s="269" t="s">
        <v>495</v>
      </c>
      <c r="D923" s="460" t="s">
        <v>3062</v>
      </c>
      <c r="E923" s="478">
        <v>69.043125000000003</v>
      </c>
    </row>
    <row r="924" spans="1:5">
      <c r="A924" s="489">
        <f>A923+1</f>
        <v>3204</v>
      </c>
      <c r="B924" s="269" t="s">
        <v>496</v>
      </c>
      <c r="C924" s="269" t="s">
        <v>496</v>
      </c>
      <c r="D924" s="460" t="s">
        <v>3062</v>
      </c>
      <c r="E924" s="478">
        <v>93.768124999999998</v>
      </c>
    </row>
    <row r="925" spans="1:5">
      <c r="A925" s="489">
        <f>A924+1</f>
        <v>3205</v>
      </c>
      <c r="B925" s="269" t="s">
        <v>497</v>
      </c>
      <c r="C925" s="269" t="s">
        <v>497</v>
      </c>
      <c r="D925" s="460" t="s">
        <v>3062</v>
      </c>
      <c r="E925" s="478">
        <v>138.21562499999999</v>
      </c>
    </row>
    <row r="926" spans="1:5">
      <c r="A926" s="516"/>
      <c r="B926" s="517">
        <v>0</v>
      </c>
      <c r="C926" s="517">
        <v>0</v>
      </c>
      <c r="D926" s="518">
        <v>0</v>
      </c>
      <c r="E926" s="519">
        <v>0</v>
      </c>
    </row>
    <row r="927" spans="1:5">
      <c r="A927" s="489">
        <v>3206</v>
      </c>
      <c r="B927" s="269" t="s">
        <v>500</v>
      </c>
      <c r="C927" s="269" t="s">
        <v>500</v>
      </c>
      <c r="D927" s="460" t="s">
        <v>3062</v>
      </c>
      <c r="E927" s="478">
        <v>294.224625</v>
      </c>
    </row>
    <row r="928" spans="1:5">
      <c r="A928" s="489">
        <f t="shared" ref="A928:A933" si="19">A927+1</f>
        <v>3207</v>
      </c>
      <c r="B928" s="269" t="s">
        <v>501</v>
      </c>
      <c r="C928" s="269" t="s">
        <v>501</v>
      </c>
      <c r="D928" s="460" t="s">
        <v>3062</v>
      </c>
      <c r="E928" s="478">
        <v>402.339</v>
      </c>
    </row>
    <row r="929" spans="1:5">
      <c r="A929" s="489">
        <f t="shared" si="19"/>
        <v>3208</v>
      </c>
      <c r="B929" s="269" t="s">
        <v>502</v>
      </c>
      <c r="C929" s="269" t="s">
        <v>502</v>
      </c>
      <c r="D929" s="460" t="s">
        <v>3062</v>
      </c>
      <c r="E929" s="478">
        <v>561.83249999999998</v>
      </c>
    </row>
    <row r="930" spans="1:5">
      <c r="A930" s="489">
        <f t="shared" si="19"/>
        <v>3209</v>
      </c>
      <c r="B930" s="269" t="s">
        <v>503</v>
      </c>
      <c r="C930" s="269" t="s">
        <v>503</v>
      </c>
      <c r="D930" s="460" t="s">
        <v>3062</v>
      </c>
      <c r="E930" s="478">
        <v>842.28300000000002</v>
      </c>
    </row>
    <row r="931" spans="1:5">
      <c r="A931" s="489">
        <f t="shared" si="19"/>
        <v>3210</v>
      </c>
      <c r="B931" s="269" t="s">
        <v>504</v>
      </c>
      <c r="C931" s="269" t="s">
        <v>504</v>
      </c>
      <c r="D931" s="460" t="s">
        <v>3062</v>
      </c>
      <c r="E931" s="478">
        <v>1255.3054999999999</v>
      </c>
    </row>
    <row r="932" spans="1:5">
      <c r="A932" s="489">
        <f t="shared" si="19"/>
        <v>3211</v>
      </c>
      <c r="B932" s="269" t="s">
        <v>505</v>
      </c>
      <c r="C932" s="269" t="s">
        <v>505</v>
      </c>
      <c r="D932" s="460" t="s">
        <v>3062</v>
      </c>
      <c r="E932" s="478">
        <v>201.38512500000002</v>
      </c>
    </row>
    <row r="933" spans="1:5">
      <c r="A933" s="489">
        <f t="shared" si="19"/>
        <v>3212</v>
      </c>
      <c r="B933" s="269" t="s">
        <v>506</v>
      </c>
      <c r="C933" s="269" t="s">
        <v>506</v>
      </c>
      <c r="D933" s="460" t="s">
        <v>3062</v>
      </c>
      <c r="E933" s="478">
        <v>67.125500000000002</v>
      </c>
    </row>
    <row r="934" spans="1:5">
      <c r="A934" s="516"/>
      <c r="B934" s="517">
        <v>0</v>
      </c>
      <c r="C934" s="517">
        <v>0</v>
      </c>
      <c r="D934" s="518">
        <v>0</v>
      </c>
      <c r="E934" s="519">
        <v>0</v>
      </c>
    </row>
    <row r="935" spans="1:5">
      <c r="A935" s="489">
        <v>3213</v>
      </c>
      <c r="B935" s="269" t="s">
        <v>500</v>
      </c>
      <c r="C935" s="269" t="s">
        <v>500</v>
      </c>
      <c r="D935" s="460" t="s">
        <v>3062</v>
      </c>
      <c r="E935" s="478">
        <v>241.85362499999999</v>
      </c>
    </row>
    <row r="936" spans="1:5">
      <c r="A936" s="489">
        <f>A935+1</f>
        <v>3214</v>
      </c>
      <c r="B936" s="269" t="s">
        <v>501</v>
      </c>
      <c r="C936" s="269" t="s">
        <v>501</v>
      </c>
      <c r="D936" s="460" t="s">
        <v>3062</v>
      </c>
      <c r="E936" s="478">
        <v>329.935</v>
      </c>
    </row>
    <row r="937" spans="1:5">
      <c r="A937" s="489">
        <f>A936+1</f>
        <v>3215</v>
      </c>
      <c r="B937" s="269" t="s">
        <v>502</v>
      </c>
      <c r="C937" s="269" t="s">
        <v>502</v>
      </c>
      <c r="D937" s="460" t="s">
        <v>3062</v>
      </c>
      <c r="E937" s="478">
        <v>514.22249999999997</v>
      </c>
    </row>
    <row r="938" spans="1:5">
      <c r="A938" s="489">
        <f>A937+1</f>
        <v>3216</v>
      </c>
      <c r="B938" s="269" t="s">
        <v>503</v>
      </c>
      <c r="C938" s="269" t="s">
        <v>503</v>
      </c>
      <c r="D938" s="460" t="s">
        <v>3062</v>
      </c>
      <c r="E938" s="478">
        <v>794.673</v>
      </c>
    </row>
    <row r="939" spans="1:5">
      <c r="A939" s="489">
        <f>A938+1</f>
        <v>3217</v>
      </c>
      <c r="B939" s="269" t="s">
        <v>504</v>
      </c>
      <c r="C939" s="269" t="s">
        <v>504</v>
      </c>
      <c r="D939" s="460" t="s">
        <v>3062</v>
      </c>
      <c r="E939" s="478">
        <v>1203.153</v>
      </c>
    </row>
    <row r="940" spans="1:5">
      <c r="A940" s="516"/>
      <c r="B940" s="517">
        <v>0</v>
      </c>
      <c r="C940" s="517">
        <v>0</v>
      </c>
      <c r="D940" s="518">
        <v>0</v>
      </c>
      <c r="E940" s="519">
        <v>0</v>
      </c>
    </row>
    <row r="941" spans="1:5">
      <c r="A941" s="489">
        <v>3218</v>
      </c>
      <c r="B941" s="269" t="s">
        <v>920</v>
      </c>
      <c r="C941" s="269" t="s">
        <v>920</v>
      </c>
      <c r="D941" s="460" t="s">
        <v>3241</v>
      </c>
      <c r="E941" s="478">
        <v>469.93599999999998</v>
      </c>
    </row>
    <row r="942" spans="1:5">
      <c r="A942" s="489">
        <f>A941+1</f>
        <v>3219</v>
      </c>
      <c r="B942" s="269" t="s">
        <v>921</v>
      </c>
      <c r="C942" s="269" t="s">
        <v>921</v>
      </c>
      <c r="D942" s="460" t="s">
        <v>3062</v>
      </c>
      <c r="E942" s="478">
        <v>1709.0150000000001</v>
      </c>
    </row>
    <row r="943" spans="1:5">
      <c r="A943" s="489">
        <f>A942+1</f>
        <v>3220</v>
      </c>
      <c r="B943" s="269" t="s">
        <v>661</v>
      </c>
      <c r="C943" s="269" t="s">
        <v>661</v>
      </c>
      <c r="D943" s="460" t="s">
        <v>3062</v>
      </c>
      <c r="E943" s="478">
        <v>2458.1178125000001</v>
      </c>
    </row>
    <row r="944" spans="1:5">
      <c r="A944" s="516"/>
      <c r="B944" s="517">
        <v>0</v>
      </c>
      <c r="C944" s="517">
        <v>0</v>
      </c>
      <c r="D944" s="518">
        <v>0</v>
      </c>
      <c r="E944" s="519">
        <v>0</v>
      </c>
    </row>
    <row r="945" spans="1:5">
      <c r="A945" s="489">
        <v>3221</v>
      </c>
      <c r="B945" s="269" t="s">
        <v>359</v>
      </c>
      <c r="C945" s="269" t="s">
        <v>359</v>
      </c>
      <c r="D945" s="460" t="s">
        <v>3241</v>
      </c>
      <c r="E945" s="478">
        <v>287.40800000000002</v>
      </c>
    </row>
    <row r="946" spans="1:5">
      <c r="A946" s="489">
        <f>A945+1</f>
        <v>3222</v>
      </c>
      <c r="B946" s="269" t="s">
        <v>507</v>
      </c>
      <c r="C946" s="269" t="s">
        <v>507</v>
      </c>
      <c r="D946" s="460" t="s">
        <v>3241</v>
      </c>
      <c r="E946" s="478">
        <v>255.56450000000004</v>
      </c>
    </row>
    <row r="947" spans="1:5">
      <c r="A947" s="489">
        <f t="shared" ref="A947:A988" si="20">A946+1</f>
        <v>3223</v>
      </c>
      <c r="B947" s="269" t="s">
        <v>343</v>
      </c>
      <c r="C947" s="269" t="s">
        <v>343</v>
      </c>
      <c r="D947" s="460" t="s">
        <v>3241</v>
      </c>
      <c r="E947" s="478">
        <v>355.24649999999997</v>
      </c>
    </row>
    <row r="948" spans="1:5">
      <c r="A948" s="489">
        <f t="shared" si="20"/>
        <v>3224</v>
      </c>
      <c r="B948" s="269" t="s">
        <v>508</v>
      </c>
      <c r="C948" s="269" t="s">
        <v>508</v>
      </c>
      <c r="D948" s="460" t="s">
        <v>3241</v>
      </c>
      <c r="E948" s="478">
        <v>374.58950000000004</v>
      </c>
    </row>
    <row r="949" spans="1:5">
      <c r="A949" s="489">
        <f t="shared" si="20"/>
        <v>3225</v>
      </c>
      <c r="B949" s="269" t="s">
        <v>347</v>
      </c>
      <c r="C949" s="269" t="s">
        <v>347</v>
      </c>
      <c r="D949" s="460" t="s">
        <v>3241</v>
      </c>
      <c r="E949" s="478">
        <v>461.18450000000001</v>
      </c>
    </row>
    <row r="950" spans="1:5">
      <c r="A950" s="489">
        <f t="shared" si="20"/>
        <v>3226</v>
      </c>
      <c r="B950" s="269" t="s">
        <v>349</v>
      </c>
      <c r="C950" s="269" t="s">
        <v>349</v>
      </c>
      <c r="D950" s="460" t="s">
        <v>3241</v>
      </c>
      <c r="E950" s="478">
        <v>565.02949999999987</v>
      </c>
    </row>
    <row r="951" spans="1:5">
      <c r="A951" s="489">
        <f t="shared" si="20"/>
        <v>3227</v>
      </c>
      <c r="B951" s="269" t="s">
        <v>403</v>
      </c>
      <c r="C951" s="269" t="s">
        <v>403</v>
      </c>
      <c r="D951" s="460" t="s">
        <v>3241</v>
      </c>
      <c r="E951" s="478">
        <v>568.38750000000005</v>
      </c>
    </row>
    <row r="952" spans="1:5">
      <c r="A952" s="489">
        <f t="shared" si="20"/>
        <v>3228</v>
      </c>
      <c r="B952" s="269" t="s">
        <v>404</v>
      </c>
      <c r="C952" s="269" t="s">
        <v>404</v>
      </c>
      <c r="D952" s="460" t="s">
        <v>3241</v>
      </c>
      <c r="E952" s="478">
        <v>446.00450000000001</v>
      </c>
    </row>
    <row r="953" spans="1:5">
      <c r="A953" s="489">
        <f t="shared" si="20"/>
        <v>3229</v>
      </c>
      <c r="B953" s="269" t="s">
        <v>405</v>
      </c>
      <c r="C953" s="269" t="s">
        <v>405</v>
      </c>
      <c r="D953" s="460" t="s">
        <v>3241</v>
      </c>
      <c r="E953" s="478">
        <v>545.88199999999995</v>
      </c>
    </row>
    <row r="954" spans="1:5">
      <c r="A954" s="489">
        <f t="shared" si="20"/>
        <v>3230</v>
      </c>
      <c r="B954" s="269" t="s">
        <v>406</v>
      </c>
      <c r="C954" s="269" t="s">
        <v>406</v>
      </c>
      <c r="D954" s="460" t="s">
        <v>3241</v>
      </c>
      <c r="E954" s="478">
        <v>601.1395</v>
      </c>
    </row>
    <row r="955" spans="1:5">
      <c r="A955" s="489">
        <f t="shared" si="20"/>
        <v>3231</v>
      </c>
      <c r="B955" s="269" t="s">
        <v>1251</v>
      </c>
      <c r="C955" s="269" t="s">
        <v>1251</v>
      </c>
      <c r="D955" s="460" t="s">
        <v>3241</v>
      </c>
      <c r="E955" s="478">
        <v>672.15200000000004</v>
      </c>
    </row>
    <row r="956" spans="1:5">
      <c r="A956" s="489">
        <f t="shared" si="20"/>
        <v>3232</v>
      </c>
      <c r="B956" s="269" t="s">
        <v>1252</v>
      </c>
      <c r="C956" s="269" t="s">
        <v>1252</v>
      </c>
      <c r="D956" s="460" t="s">
        <v>3241</v>
      </c>
      <c r="E956" s="478">
        <v>1284.8375000000001</v>
      </c>
    </row>
    <row r="957" spans="1:5">
      <c r="A957" s="489">
        <f t="shared" si="20"/>
        <v>3233</v>
      </c>
      <c r="B957" s="269" t="s">
        <v>662</v>
      </c>
      <c r="C957" s="269" t="s">
        <v>662</v>
      </c>
      <c r="D957" s="460" t="s">
        <v>3241</v>
      </c>
      <c r="E957" s="478">
        <v>922.10450000000003</v>
      </c>
    </row>
    <row r="958" spans="1:5">
      <c r="A958" s="489">
        <f t="shared" si="20"/>
        <v>3234</v>
      </c>
      <c r="B958" s="269" t="s">
        <v>663</v>
      </c>
      <c r="C958" s="269" t="s">
        <v>663</v>
      </c>
      <c r="D958" s="460" t="s">
        <v>3241</v>
      </c>
      <c r="E958" s="478">
        <v>361.28399999999999</v>
      </c>
    </row>
    <row r="959" spans="1:5">
      <c r="A959" s="489">
        <f t="shared" si="20"/>
        <v>3235</v>
      </c>
      <c r="B959" s="269" t="s">
        <v>664</v>
      </c>
      <c r="C959" s="269" t="s">
        <v>664</v>
      </c>
      <c r="D959" s="460" t="s">
        <v>3241</v>
      </c>
      <c r="E959" s="478">
        <v>304.35899999999998</v>
      </c>
    </row>
    <row r="960" spans="1:5">
      <c r="A960" s="489">
        <f t="shared" si="20"/>
        <v>3236</v>
      </c>
      <c r="B960" s="269" t="s">
        <v>665</v>
      </c>
      <c r="C960" s="269" t="s">
        <v>665</v>
      </c>
      <c r="D960" s="460" t="s">
        <v>3241</v>
      </c>
      <c r="E960" s="478">
        <v>612.53599999999994</v>
      </c>
    </row>
    <row r="961" spans="1:5">
      <c r="A961" s="489">
        <f t="shared" si="20"/>
        <v>3237</v>
      </c>
      <c r="B961" s="269" t="s">
        <v>666</v>
      </c>
      <c r="C961" s="269" t="s">
        <v>666</v>
      </c>
      <c r="D961" s="460" t="s">
        <v>3241</v>
      </c>
      <c r="E961" s="478">
        <v>579.71500000000003</v>
      </c>
    </row>
    <row r="962" spans="1:5">
      <c r="A962" s="489">
        <f t="shared" si="20"/>
        <v>3238</v>
      </c>
      <c r="B962" s="269" t="s">
        <v>667</v>
      </c>
      <c r="C962" s="269" t="s">
        <v>667</v>
      </c>
      <c r="D962" s="460" t="s">
        <v>3241</v>
      </c>
      <c r="E962" s="478">
        <v>762.61099999999999</v>
      </c>
    </row>
    <row r="963" spans="1:5">
      <c r="A963" s="489">
        <f t="shared" si="20"/>
        <v>3239</v>
      </c>
      <c r="B963" s="269" t="s">
        <v>668</v>
      </c>
      <c r="C963" s="269" t="s">
        <v>668</v>
      </c>
      <c r="D963" s="460" t="s">
        <v>3241</v>
      </c>
      <c r="E963" s="478">
        <v>980.13349999999991</v>
      </c>
    </row>
    <row r="964" spans="1:5">
      <c r="A964" s="489">
        <f t="shared" si="20"/>
        <v>3240</v>
      </c>
      <c r="B964" s="269" t="s">
        <v>669</v>
      </c>
      <c r="C964" s="269" t="s">
        <v>669</v>
      </c>
      <c r="D964" s="460" t="s">
        <v>3241</v>
      </c>
      <c r="E964" s="478">
        <v>1407.7265000000002</v>
      </c>
    </row>
    <row r="965" spans="1:5">
      <c r="A965" s="489">
        <f t="shared" si="20"/>
        <v>3241</v>
      </c>
      <c r="B965" s="269" t="s">
        <v>670</v>
      </c>
      <c r="C965" s="269" t="s">
        <v>670</v>
      </c>
      <c r="D965" s="460" t="s">
        <v>3241</v>
      </c>
      <c r="E965" s="478">
        <v>1833.3875</v>
      </c>
    </row>
    <row r="966" spans="1:5">
      <c r="A966" s="489">
        <f t="shared" si="20"/>
        <v>3242</v>
      </c>
      <c r="B966" s="269" t="s">
        <v>671</v>
      </c>
      <c r="C966" s="269" t="s">
        <v>671</v>
      </c>
      <c r="D966" s="460" t="s">
        <v>3241</v>
      </c>
      <c r="E966" s="478">
        <v>1023.04</v>
      </c>
    </row>
    <row r="967" spans="1:5">
      <c r="A967" s="489">
        <f t="shared" si="20"/>
        <v>3243</v>
      </c>
      <c r="B967" s="269" t="s">
        <v>672</v>
      </c>
      <c r="C967" s="269" t="s">
        <v>672</v>
      </c>
      <c r="D967" s="460" t="s">
        <v>3241</v>
      </c>
      <c r="E967" s="478">
        <v>2908.12</v>
      </c>
    </row>
    <row r="968" spans="1:5">
      <c r="A968" s="489">
        <f t="shared" si="20"/>
        <v>3244</v>
      </c>
      <c r="B968" s="269" t="s">
        <v>673</v>
      </c>
      <c r="C968" s="269" t="s">
        <v>673</v>
      </c>
      <c r="D968" s="460" t="s">
        <v>3241</v>
      </c>
      <c r="E968" s="478">
        <v>1654.85</v>
      </c>
    </row>
    <row r="969" spans="1:5">
      <c r="A969" s="489">
        <f t="shared" si="20"/>
        <v>3245</v>
      </c>
      <c r="B969" s="269" t="s">
        <v>674</v>
      </c>
      <c r="C969" s="269" t="s">
        <v>674</v>
      </c>
      <c r="D969" s="460" t="s">
        <v>3241</v>
      </c>
      <c r="E969" s="478">
        <v>3867.7375000000002</v>
      </c>
    </row>
    <row r="970" spans="1:5">
      <c r="A970" s="489">
        <f t="shared" si="20"/>
        <v>3246</v>
      </c>
      <c r="B970" s="269" t="s">
        <v>675</v>
      </c>
      <c r="C970" s="269" t="s">
        <v>675</v>
      </c>
      <c r="D970" s="460" t="s">
        <v>3241</v>
      </c>
      <c r="E970" s="478">
        <v>2752.18</v>
      </c>
    </row>
    <row r="971" spans="1:5">
      <c r="A971" s="489">
        <f t="shared" si="20"/>
        <v>3247</v>
      </c>
      <c r="B971" s="269" t="s">
        <v>676</v>
      </c>
      <c r="C971" s="269" t="s">
        <v>676</v>
      </c>
      <c r="D971" s="460" t="s">
        <v>3241</v>
      </c>
      <c r="E971" s="478">
        <v>1308.7</v>
      </c>
    </row>
    <row r="972" spans="1:5">
      <c r="A972" s="489">
        <f t="shared" si="20"/>
        <v>3248</v>
      </c>
      <c r="B972" s="269" t="s">
        <v>677</v>
      </c>
      <c r="C972" s="269" t="s">
        <v>677</v>
      </c>
      <c r="D972" s="460" t="s">
        <v>3241</v>
      </c>
      <c r="E972" s="478">
        <v>3273.59</v>
      </c>
    </row>
    <row r="973" spans="1:5">
      <c r="A973" s="489">
        <f t="shared" si="20"/>
        <v>3249</v>
      </c>
      <c r="B973" s="269" t="s">
        <v>678</v>
      </c>
      <c r="C973" s="269" t="s">
        <v>678</v>
      </c>
      <c r="D973" s="460" t="s">
        <v>3241</v>
      </c>
      <c r="E973" s="478">
        <v>1558.664</v>
      </c>
    </row>
    <row r="974" spans="1:5">
      <c r="A974" s="489">
        <f t="shared" si="20"/>
        <v>3250</v>
      </c>
      <c r="B974" s="269" t="s">
        <v>679</v>
      </c>
      <c r="C974" s="269" t="s">
        <v>679</v>
      </c>
      <c r="D974" s="460" t="s">
        <v>3241</v>
      </c>
      <c r="E974" s="478">
        <v>2387.078</v>
      </c>
    </row>
    <row r="975" spans="1:5">
      <c r="A975" s="489">
        <f t="shared" si="20"/>
        <v>3251</v>
      </c>
      <c r="B975" s="269" t="s">
        <v>680</v>
      </c>
      <c r="C975" s="269" t="s">
        <v>680</v>
      </c>
      <c r="D975" s="460" t="s">
        <v>3241</v>
      </c>
      <c r="E975" s="478">
        <v>4593.8014999999996</v>
      </c>
    </row>
    <row r="976" spans="1:5">
      <c r="A976" s="489">
        <f t="shared" si="20"/>
        <v>3252</v>
      </c>
      <c r="B976" s="269" t="s">
        <v>681</v>
      </c>
      <c r="C976" s="269" t="s">
        <v>681</v>
      </c>
      <c r="D976" s="460" t="s">
        <v>3241</v>
      </c>
      <c r="E976" s="478">
        <v>5422.2155000000002</v>
      </c>
    </row>
    <row r="977" spans="1:5">
      <c r="A977" s="489">
        <f t="shared" si="20"/>
        <v>3253</v>
      </c>
      <c r="B977" s="269" t="s">
        <v>883</v>
      </c>
      <c r="C977" s="269" t="s">
        <v>883</v>
      </c>
      <c r="D977" s="460" t="s">
        <v>3241</v>
      </c>
      <c r="E977" s="478">
        <v>7678.9295000000002</v>
      </c>
    </row>
    <row r="978" spans="1:5">
      <c r="A978" s="489">
        <f t="shared" si="20"/>
        <v>3254</v>
      </c>
      <c r="B978" s="269" t="s">
        <v>884</v>
      </c>
      <c r="C978" s="269" t="s">
        <v>884</v>
      </c>
      <c r="D978" s="460" t="s">
        <v>3241</v>
      </c>
      <c r="E978" s="478">
        <v>13100.8</v>
      </c>
    </row>
    <row r="979" spans="1:5">
      <c r="A979" s="489">
        <f t="shared" si="20"/>
        <v>3255</v>
      </c>
      <c r="B979" s="269" t="s">
        <v>885</v>
      </c>
      <c r="C979" s="269" t="s">
        <v>885</v>
      </c>
      <c r="D979" s="460" t="s">
        <v>3241</v>
      </c>
      <c r="E979" s="478">
        <v>356.5</v>
      </c>
    </row>
    <row r="980" spans="1:5">
      <c r="A980" s="489">
        <f t="shared" si="20"/>
        <v>3256</v>
      </c>
      <c r="B980" s="269" t="s">
        <v>886</v>
      </c>
      <c r="C980" s="269" t="s">
        <v>886</v>
      </c>
      <c r="D980" s="460" t="s">
        <v>3241</v>
      </c>
      <c r="E980" s="478">
        <v>6537.1750000000002</v>
      </c>
    </row>
    <row r="981" spans="1:5">
      <c r="A981" s="489">
        <f t="shared" si="20"/>
        <v>3257</v>
      </c>
      <c r="B981" s="269" t="s">
        <v>887</v>
      </c>
      <c r="C981" s="269" t="s">
        <v>887</v>
      </c>
      <c r="D981" s="460" t="s">
        <v>3241</v>
      </c>
      <c r="E981" s="478">
        <v>8152.6374999999998</v>
      </c>
    </row>
    <row r="982" spans="1:5">
      <c r="A982" s="489">
        <f t="shared" si="20"/>
        <v>3258</v>
      </c>
      <c r="B982" s="269" t="s">
        <v>888</v>
      </c>
      <c r="C982" s="269" t="s">
        <v>888</v>
      </c>
      <c r="D982" s="460" t="s">
        <v>3241</v>
      </c>
      <c r="E982" s="478">
        <v>17366.150000000001</v>
      </c>
    </row>
    <row r="983" spans="1:5">
      <c r="A983" s="489">
        <f t="shared" si="20"/>
        <v>3259</v>
      </c>
      <c r="B983" s="269" t="s">
        <v>889</v>
      </c>
      <c r="C983" s="269" t="s">
        <v>889</v>
      </c>
      <c r="D983" s="460" t="s">
        <v>3241</v>
      </c>
      <c r="E983" s="478">
        <v>29220.0625</v>
      </c>
    </row>
    <row r="984" spans="1:5" ht="25.5">
      <c r="A984" s="489">
        <f t="shared" si="20"/>
        <v>3260</v>
      </c>
      <c r="B984" s="269" t="s">
        <v>1253</v>
      </c>
      <c r="C984" s="269" t="s">
        <v>1253</v>
      </c>
      <c r="D984" s="460" t="s">
        <v>3241</v>
      </c>
      <c r="E984" s="478">
        <v>422.18799999999999</v>
      </c>
    </row>
    <row r="985" spans="1:5" ht="25.5">
      <c r="A985" s="489">
        <f t="shared" si="20"/>
        <v>3261</v>
      </c>
      <c r="B985" s="269" t="s">
        <v>1254</v>
      </c>
      <c r="C985" s="269" t="s">
        <v>1254</v>
      </c>
      <c r="D985" s="460" t="s">
        <v>3241</v>
      </c>
      <c r="E985" s="478">
        <v>445.99299999999994</v>
      </c>
    </row>
    <row r="986" spans="1:5" ht="25.5">
      <c r="A986" s="489">
        <f t="shared" si="20"/>
        <v>3262</v>
      </c>
      <c r="B986" s="269" t="s">
        <v>890</v>
      </c>
      <c r="C986" s="269" t="s">
        <v>890</v>
      </c>
      <c r="D986" s="460" t="s">
        <v>3241</v>
      </c>
      <c r="E986" s="478">
        <v>652.19949999999994</v>
      </c>
    </row>
    <row r="987" spans="1:5" ht="25.5">
      <c r="A987" s="489">
        <f t="shared" si="20"/>
        <v>3263</v>
      </c>
      <c r="B987" s="269" t="s">
        <v>1255</v>
      </c>
      <c r="C987" s="269" t="s">
        <v>1255</v>
      </c>
      <c r="D987" s="460" t="s">
        <v>3241</v>
      </c>
      <c r="E987" s="478">
        <v>640.29700000000003</v>
      </c>
    </row>
    <row r="988" spans="1:5" ht="38.25">
      <c r="A988" s="489">
        <f t="shared" si="20"/>
        <v>3264</v>
      </c>
      <c r="B988" s="269" t="s">
        <v>1256</v>
      </c>
      <c r="C988" s="269" t="s">
        <v>1256</v>
      </c>
      <c r="D988" s="460" t="s">
        <v>3241</v>
      </c>
      <c r="E988" s="478">
        <v>9064.2999999999993</v>
      </c>
    </row>
    <row r="989" spans="1:5">
      <c r="A989" s="489"/>
      <c r="B989" s="269"/>
      <c r="C989" s="269"/>
      <c r="D989" s="460"/>
      <c r="E989" s="478"/>
    </row>
    <row r="990" spans="1:5">
      <c r="B990" s="509"/>
      <c r="C990" s="509"/>
    </row>
    <row r="991" spans="1:5">
      <c r="B991" s="509"/>
      <c r="C991" s="509"/>
    </row>
  </sheetData>
  <mergeCells count="1">
    <mergeCell ref="A560:B560"/>
  </mergeCells>
  <phoneticPr fontId="0" type="noConversion"/>
  <printOptions horizontalCentered="1"/>
  <pageMargins left="0.38" right="0.17" top="0.43" bottom="0.56999999999999995" header="0.27" footer="0.19"/>
  <pageSetup paperSize="9" scale="87" orientation="portrait" verticalDpi="300" r:id="rId1"/>
  <headerFooter alignWithMargins="0">
    <oddFooter>&amp;R&amp;P</oddFooter>
  </headerFooter>
  <rowBreaks count="2" manualBreakCount="2">
    <brk id="326" max="4" man="1"/>
    <brk id="798" max="4"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G1211"/>
  <sheetViews>
    <sheetView workbookViewId="0">
      <selection activeCell="G9" sqref="G9"/>
    </sheetView>
  </sheetViews>
  <sheetFormatPr defaultColWidth="9.140625" defaultRowHeight="18.75"/>
  <cols>
    <col min="1" max="1" width="6.140625" style="385" customWidth="1"/>
    <col min="2" max="2" width="40.7109375" style="280" customWidth="1"/>
    <col min="3" max="3" width="7.85546875" style="386" customWidth="1"/>
    <col min="4" max="4" width="12.140625" style="387" customWidth="1"/>
    <col min="5" max="5" width="6.42578125" style="387" customWidth="1"/>
    <col min="6" max="6" width="14.140625" style="280" bestFit="1" customWidth="1"/>
    <col min="7" max="7" width="12" style="280" customWidth="1"/>
    <col min="8" max="16384" width="9.140625" style="280"/>
  </cols>
  <sheetData>
    <row r="2" spans="1:7" ht="26.25">
      <c r="A2" s="866" t="s">
        <v>1104</v>
      </c>
      <c r="B2" s="866"/>
      <c r="C2" s="867"/>
      <c r="D2" s="867"/>
      <c r="E2" s="867"/>
      <c r="F2" s="867"/>
      <c r="G2" s="419"/>
    </row>
    <row r="3" spans="1:7" s="2" customFormat="1" ht="23.25" thickBot="1">
      <c r="B3" s="266" t="s">
        <v>2171</v>
      </c>
      <c r="C3" s="175"/>
      <c r="D3" s="175"/>
      <c r="E3" s="175"/>
      <c r="F3" s="175"/>
      <c r="G3" s="175"/>
    </row>
    <row r="4" spans="1:7" s="2" customFormat="1" ht="23.25" thickBot="1">
      <c r="A4" s="175"/>
      <c r="B4" s="264" t="s">
        <v>3215</v>
      </c>
      <c r="C4" s="265">
        <v>3.5</v>
      </c>
      <c r="D4" s="175"/>
      <c r="E4" s="175"/>
      <c r="F4" s="175"/>
      <c r="G4" s="175"/>
    </row>
    <row r="5" spans="1:7" s="281" customFormat="1" ht="19.5">
      <c r="A5" s="868" t="s">
        <v>1469</v>
      </c>
      <c r="B5" s="868" t="s">
        <v>2967</v>
      </c>
      <c r="C5" s="863" t="s">
        <v>2571</v>
      </c>
      <c r="D5" s="865"/>
      <c r="E5" s="863" t="s">
        <v>2573</v>
      </c>
      <c r="F5" s="864"/>
      <c r="G5" s="865"/>
    </row>
    <row r="6" spans="1:7" s="281" customFormat="1" ht="18" customHeight="1">
      <c r="A6" s="869"/>
      <c r="B6" s="869"/>
      <c r="C6" s="873" t="s">
        <v>2969</v>
      </c>
      <c r="D6" s="871" t="s">
        <v>2170</v>
      </c>
      <c r="E6" s="873" t="s">
        <v>2969</v>
      </c>
      <c r="F6" s="871" t="s">
        <v>2970</v>
      </c>
      <c r="G6" s="862" t="s">
        <v>2572</v>
      </c>
    </row>
    <row r="7" spans="1:7" s="281" customFormat="1" ht="18">
      <c r="A7" s="870"/>
      <c r="B7" s="870"/>
      <c r="C7" s="874"/>
      <c r="D7" s="872"/>
      <c r="E7" s="874"/>
      <c r="F7" s="872"/>
      <c r="G7" s="862"/>
    </row>
    <row r="8" spans="1:7" s="281" customFormat="1" ht="19.5">
      <c r="A8" s="388"/>
      <c r="B8" s="174" t="s">
        <v>2206</v>
      </c>
      <c r="C8" s="284" t="s">
        <v>1490</v>
      </c>
      <c r="D8" s="228">
        <v>275</v>
      </c>
      <c r="E8" s="285"/>
      <c r="F8" s="228">
        <v>275</v>
      </c>
      <c r="G8" s="421">
        <v>275</v>
      </c>
    </row>
    <row r="9" spans="1:7" s="281" customFormat="1" ht="19.5">
      <c r="A9" s="388"/>
      <c r="B9" s="174" t="s">
        <v>686</v>
      </c>
      <c r="C9" s="420" t="s">
        <v>1490</v>
      </c>
      <c r="D9" s="228">
        <v>400</v>
      </c>
      <c r="E9" s="285"/>
      <c r="F9" s="228">
        <v>400</v>
      </c>
      <c r="G9" s="421">
        <v>400</v>
      </c>
    </row>
    <row r="10" spans="1:7">
      <c r="A10" s="282">
        <v>1</v>
      </c>
      <c r="B10" s="283" t="s">
        <v>998</v>
      </c>
      <c r="C10" s="284"/>
      <c r="D10" s="228"/>
      <c r="E10" s="285"/>
      <c r="F10" s="389"/>
      <c r="G10" s="421"/>
    </row>
    <row r="11" spans="1:7" ht="36.75">
      <c r="A11" s="282"/>
      <c r="B11" s="286" t="s">
        <v>2438</v>
      </c>
      <c r="C11" s="284"/>
      <c r="D11" s="228"/>
      <c r="E11" s="285"/>
      <c r="F11" s="391"/>
      <c r="G11" s="422"/>
    </row>
    <row r="12" spans="1:7">
      <c r="A12" s="282"/>
      <c r="B12" s="286" t="s">
        <v>999</v>
      </c>
      <c r="C12" s="284" t="s">
        <v>1000</v>
      </c>
      <c r="D12" s="228">
        <v>12995</v>
      </c>
      <c r="E12" s="93" t="s">
        <v>2418</v>
      </c>
      <c r="F12" s="424">
        <f>FLOOR(D12/1000,0.01)</f>
        <v>12.99</v>
      </c>
      <c r="G12" s="422">
        <f>FLOOR(F12*1.035,0.01)</f>
        <v>13.44</v>
      </c>
    </row>
    <row r="13" spans="1:7">
      <c r="A13" s="282"/>
      <c r="B13" s="286" t="s">
        <v>1001</v>
      </c>
      <c r="C13" s="284" t="s">
        <v>1002</v>
      </c>
      <c r="D13" s="228">
        <v>10000</v>
      </c>
      <c r="E13" s="93" t="s">
        <v>2418</v>
      </c>
      <c r="F13" s="424">
        <f>FLOOR(D13/1000,0.01)</f>
        <v>10</v>
      </c>
      <c r="G13" s="422">
        <f t="shared" ref="G13:G76" si="0">FLOOR(F13*1.035,0.01)</f>
        <v>10.35</v>
      </c>
    </row>
    <row r="14" spans="1:7">
      <c r="A14" s="282"/>
      <c r="B14" s="286" t="s">
        <v>1003</v>
      </c>
      <c r="C14" s="284" t="s">
        <v>1002</v>
      </c>
      <c r="D14" s="228">
        <v>9000</v>
      </c>
      <c r="E14" s="93" t="s">
        <v>2418</v>
      </c>
      <c r="F14" s="390">
        <f>FLOOR(D14/1000,0.01)</f>
        <v>9</v>
      </c>
      <c r="G14" s="421">
        <f t="shared" si="0"/>
        <v>9.31</v>
      </c>
    </row>
    <row r="15" spans="1:7">
      <c r="A15" s="282">
        <v>2</v>
      </c>
      <c r="B15" s="283" t="s">
        <v>1004</v>
      </c>
      <c r="C15" s="288"/>
      <c r="D15" s="228"/>
      <c r="E15" s="285"/>
      <c r="F15" s="391"/>
      <c r="G15" s="421"/>
    </row>
    <row r="16" spans="1:7">
      <c r="A16" s="282"/>
      <c r="B16" s="286" t="s">
        <v>1005</v>
      </c>
      <c r="C16" s="284" t="s">
        <v>1006</v>
      </c>
      <c r="D16" s="228">
        <v>16</v>
      </c>
      <c r="E16" s="285"/>
      <c r="F16" s="391"/>
      <c r="G16" s="421"/>
    </row>
    <row r="17" spans="1:7">
      <c r="A17" s="282"/>
      <c r="B17" s="286" t="s">
        <v>1007</v>
      </c>
      <c r="C17" s="284" t="s">
        <v>1008</v>
      </c>
      <c r="D17" s="228">
        <v>14</v>
      </c>
      <c r="E17" s="284" t="s">
        <v>1006</v>
      </c>
      <c r="F17" s="390">
        <f>D17</f>
        <v>14</v>
      </c>
      <c r="G17" s="421">
        <f t="shared" si="0"/>
        <v>14.49</v>
      </c>
    </row>
    <row r="18" spans="1:7">
      <c r="A18" s="282"/>
      <c r="B18" s="286" t="s">
        <v>1009</v>
      </c>
      <c r="C18" s="284" t="s">
        <v>1008</v>
      </c>
      <c r="D18" s="228">
        <v>28</v>
      </c>
      <c r="E18" s="284" t="s">
        <v>1006</v>
      </c>
      <c r="F18" s="390">
        <f>D18</f>
        <v>28</v>
      </c>
      <c r="G18" s="421">
        <f t="shared" si="0"/>
        <v>28.98</v>
      </c>
    </row>
    <row r="19" spans="1:7">
      <c r="A19" s="282"/>
      <c r="B19" s="286" t="s">
        <v>1010</v>
      </c>
      <c r="C19" s="284" t="s">
        <v>1008</v>
      </c>
      <c r="D19" s="228">
        <v>23</v>
      </c>
      <c r="E19" s="284" t="s">
        <v>1006</v>
      </c>
      <c r="F19" s="390">
        <f>D19</f>
        <v>23</v>
      </c>
      <c r="G19" s="421">
        <f t="shared" si="0"/>
        <v>23.8</v>
      </c>
    </row>
    <row r="20" spans="1:7">
      <c r="A20" s="289">
        <v>3</v>
      </c>
      <c r="B20" s="283" t="s">
        <v>1011</v>
      </c>
      <c r="C20" s="64"/>
      <c r="D20" s="228"/>
      <c r="E20" s="285"/>
      <c r="F20" s="391"/>
      <c r="G20" s="421"/>
    </row>
    <row r="21" spans="1:7">
      <c r="A21" s="282"/>
      <c r="B21" s="286" t="s">
        <v>2739</v>
      </c>
      <c r="C21" s="284" t="s">
        <v>1006</v>
      </c>
      <c r="D21" s="228">
        <v>6</v>
      </c>
      <c r="E21" s="284" t="s">
        <v>1006</v>
      </c>
      <c r="F21" s="390">
        <f>D21</f>
        <v>6</v>
      </c>
      <c r="G21" s="421">
        <f t="shared" si="0"/>
        <v>6.21</v>
      </c>
    </row>
    <row r="22" spans="1:7">
      <c r="A22" s="282"/>
      <c r="B22" s="286" t="s">
        <v>2740</v>
      </c>
      <c r="C22" s="284" t="s">
        <v>1008</v>
      </c>
      <c r="D22" s="228">
        <v>7.5</v>
      </c>
      <c r="E22" s="284" t="s">
        <v>1006</v>
      </c>
      <c r="F22" s="390">
        <f>D22</f>
        <v>7.5</v>
      </c>
      <c r="G22" s="421">
        <f t="shared" si="0"/>
        <v>7.76</v>
      </c>
    </row>
    <row r="23" spans="1:7">
      <c r="A23" s="282"/>
      <c r="B23" s="262" t="s">
        <v>2741</v>
      </c>
      <c r="C23" s="284" t="s">
        <v>1008</v>
      </c>
      <c r="D23" s="228"/>
      <c r="E23" s="284" t="s">
        <v>1870</v>
      </c>
      <c r="F23" s="391">
        <f>FLOOR(D23/0.09,0.01)</f>
        <v>0</v>
      </c>
      <c r="G23" s="421">
        <f t="shared" si="0"/>
        <v>0</v>
      </c>
    </row>
    <row r="24" spans="1:7">
      <c r="A24" s="282"/>
      <c r="B24" s="262" t="s">
        <v>2742</v>
      </c>
      <c r="C24" s="284" t="s">
        <v>1008</v>
      </c>
      <c r="D24" s="228"/>
      <c r="E24" s="284" t="s">
        <v>1870</v>
      </c>
      <c r="F24" s="391">
        <f>FLOOR(D24/0.45/0.45,0.01)</f>
        <v>0</v>
      </c>
      <c r="G24" s="421">
        <f t="shared" si="0"/>
        <v>0</v>
      </c>
    </row>
    <row r="25" spans="1:7">
      <c r="A25" s="289">
        <v>4</v>
      </c>
      <c r="B25" s="283" t="s">
        <v>1105</v>
      </c>
      <c r="C25" s="290"/>
      <c r="D25" s="228"/>
      <c r="E25" s="291"/>
      <c r="F25" s="393">
        <f>(F26+F27)/2</f>
        <v>1262.33</v>
      </c>
      <c r="G25" s="421">
        <f t="shared" si="0"/>
        <v>1306.51</v>
      </c>
    </row>
    <row r="26" spans="1:7" ht="33.75">
      <c r="A26" s="282"/>
      <c r="B26" s="286" t="s">
        <v>1106</v>
      </c>
      <c r="C26" s="290" t="s">
        <v>2743</v>
      </c>
      <c r="D26" s="228">
        <v>35</v>
      </c>
      <c r="E26" s="290" t="s">
        <v>2692</v>
      </c>
      <c r="F26" s="423">
        <f>FLOOR(D26*35.31,0.01)</f>
        <v>1235.8500000000001</v>
      </c>
      <c r="G26" s="422">
        <f t="shared" si="0"/>
        <v>1279.1000000000001</v>
      </c>
    </row>
    <row r="27" spans="1:7">
      <c r="A27" s="282"/>
      <c r="B27" s="286" t="s">
        <v>1107</v>
      </c>
      <c r="C27" s="290" t="s">
        <v>2319</v>
      </c>
      <c r="D27" s="228">
        <v>36.5</v>
      </c>
      <c r="E27" s="290" t="s">
        <v>2692</v>
      </c>
      <c r="F27" s="423">
        <f>FLOOR(D27*35.31,0.01)</f>
        <v>1288.81</v>
      </c>
      <c r="G27" s="422">
        <f t="shared" si="0"/>
        <v>1333.91</v>
      </c>
    </row>
    <row r="28" spans="1:7">
      <c r="A28" s="282"/>
      <c r="B28" s="286" t="s">
        <v>1108</v>
      </c>
      <c r="C28" s="290" t="s">
        <v>2319</v>
      </c>
      <c r="D28" s="228">
        <v>32</v>
      </c>
      <c r="E28" s="290" t="s">
        <v>2692</v>
      </c>
      <c r="F28" s="393">
        <f>FLOOR(D28*35.31,0.01)</f>
        <v>1129.92</v>
      </c>
      <c r="G28" s="421">
        <f t="shared" si="0"/>
        <v>1169.46</v>
      </c>
    </row>
    <row r="29" spans="1:7" ht="39.75">
      <c r="A29" s="289">
        <v>5</v>
      </c>
      <c r="B29" s="283" t="s">
        <v>1109</v>
      </c>
      <c r="C29" s="283"/>
      <c r="D29" s="228"/>
      <c r="E29" s="294"/>
      <c r="F29" s="394"/>
      <c r="G29" s="421"/>
    </row>
    <row r="30" spans="1:7">
      <c r="A30" s="282"/>
      <c r="B30" s="295" t="s">
        <v>1110</v>
      </c>
      <c r="C30" s="290" t="s">
        <v>2743</v>
      </c>
      <c r="D30" s="228"/>
      <c r="E30" s="285"/>
      <c r="F30" s="393"/>
      <c r="G30" s="421"/>
    </row>
    <row r="31" spans="1:7">
      <c r="A31" s="282"/>
      <c r="B31" s="295" t="s">
        <v>2744</v>
      </c>
      <c r="C31" s="290" t="s">
        <v>1975</v>
      </c>
      <c r="D31" s="228"/>
      <c r="E31" s="285"/>
      <c r="F31" s="393"/>
      <c r="G31" s="421"/>
    </row>
    <row r="32" spans="1:7">
      <c r="A32" s="282"/>
      <c r="B32" s="295" t="s">
        <v>2745</v>
      </c>
      <c r="C32" s="290" t="s">
        <v>1975</v>
      </c>
      <c r="D32" s="228"/>
      <c r="E32" s="285"/>
      <c r="F32" s="393"/>
      <c r="G32" s="421"/>
    </row>
    <row r="33" spans="1:7">
      <c r="A33" s="282"/>
      <c r="B33" s="295" t="s">
        <v>2746</v>
      </c>
      <c r="C33" s="290" t="s">
        <v>1975</v>
      </c>
      <c r="D33" s="228">
        <v>25</v>
      </c>
      <c r="E33" s="290" t="s">
        <v>2692</v>
      </c>
      <c r="F33" s="393">
        <f>FLOOR(D33*35.31,0.01)</f>
        <v>882.75</v>
      </c>
      <c r="G33" s="421">
        <f t="shared" si="0"/>
        <v>913.64</v>
      </c>
    </row>
    <row r="34" spans="1:7">
      <c r="A34" s="282"/>
      <c r="B34" s="295" t="s">
        <v>1111</v>
      </c>
      <c r="C34" s="290" t="s">
        <v>1975</v>
      </c>
      <c r="D34" s="228">
        <v>32</v>
      </c>
      <c r="E34" s="290" t="s">
        <v>2692</v>
      </c>
      <c r="F34" s="393">
        <f>FLOOR(D34*35.31,0.01)</f>
        <v>1129.92</v>
      </c>
      <c r="G34" s="421">
        <f t="shared" si="0"/>
        <v>1169.46</v>
      </c>
    </row>
    <row r="35" spans="1:7" ht="36.75">
      <c r="A35" s="282"/>
      <c r="B35" s="286" t="s">
        <v>2591</v>
      </c>
      <c r="C35" s="290" t="s">
        <v>2743</v>
      </c>
      <c r="D35" s="228">
        <v>36</v>
      </c>
      <c r="E35" s="290" t="s">
        <v>2692</v>
      </c>
      <c r="F35" s="393">
        <f>FLOOR(D35*35.31,0.01)</f>
        <v>1271.1600000000001</v>
      </c>
      <c r="G35" s="421">
        <f t="shared" si="0"/>
        <v>1315.65</v>
      </c>
    </row>
    <row r="36" spans="1:7">
      <c r="A36" s="289"/>
      <c r="B36" s="286" t="s">
        <v>2592</v>
      </c>
      <c r="C36" s="290" t="s">
        <v>2743</v>
      </c>
      <c r="D36" s="228">
        <v>18</v>
      </c>
      <c r="E36" s="290" t="s">
        <v>2692</v>
      </c>
      <c r="F36" s="393">
        <f>FLOOR(D36*35.31,0.01)</f>
        <v>635.58000000000004</v>
      </c>
      <c r="G36" s="421">
        <f t="shared" si="0"/>
        <v>657.82</v>
      </c>
    </row>
    <row r="37" spans="1:7">
      <c r="A37" s="289">
        <v>6</v>
      </c>
      <c r="B37" s="283" t="s">
        <v>2747</v>
      </c>
      <c r="C37" s="283"/>
      <c r="D37" s="228"/>
      <c r="E37" s="290"/>
      <c r="F37" s="393"/>
      <c r="G37" s="421"/>
    </row>
    <row r="38" spans="1:7">
      <c r="A38" s="282"/>
      <c r="B38" s="286" t="s">
        <v>2576</v>
      </c>
      <c r="C38" s="290" t="s">
        <v>2743</v>
      </c>
      <c r="D38" s="228">
        <v>45</v>
      </c>
      <c r="E38" s="290" t="s">
        <v>2692</v>
      </c>
      <c r="F38" s="423">
        <f>FLOOR(D38*35.31,0.01)</f>
        <v>1588.95</v>
      </c>
      <c r="G38" s="422">
        <f t="shared" si="0"/>
        <v>1644.56</v>
      </c>
    </row>
    <row r="39" spans="1:7">
      <c r="A39" s="282"/>
      <c r="B39" s="286" t="s">
        <v>2577</v>
      </c>
      <c r="C39" s="290" t="s">
        <v>2743</v>
      </c>
      <c r="D39" s="228">
        <v>50</v>
      </c>
      <c r="E39" s="290" t="s">
        <v>2692</v>
      </c>
      <c r="F39" s="423">
        <f>FLOOR(D39*35.31,0.01)</f>
        <v>1765.5</v>
      </c>
      <c r="G39" s="422">
        <f t="shared" si="0"/>
        <v>1827.29</v>
      </c>
    </row>
    <row r="40" spans="1:7">
      <c r="A40" s="282"/>
      <c r="B40" s="286" t="s">
        <v>2751</v>
      </c>
      <c r="C40" s="290" t="s">
        <v>2743</v>
      </c>
      <c r="D40" s="228">
        <v>48</v>
      </c>
      <c r="E40" s="290" t="s">
        <v>2692</v>
      </c>
      <c r="F40" s="423">
        <f>FLOOR(D40*35.31,0.01)</f>
        <v>1694.88</v>
      </c>
      <c r="G40" s="422">
        <f t="shared" si="0"/>
        <v>1754.2</v>
      </c>
    </row>
    <row r="41" spans="1:7">
      <c r="A41" s="282"/>
      <c r="B41" s="286" t="s">
        <v>2593</v>
      </c>
      <c r="C41" s="290" t="s">
        <v>2743</v>
      </c>
      <c r="D41" s="228">
        <v>40</v>
      </c>
      <c r="E41" s="290" t="s">
        <v>2692</v>
      </c>
      <c r="F41" s="423">
        <f>FLOOR(D41*35.31,0.01)</f>
        <v>1412.4</v>
      </c>
      <c r="G41" s="422">
        <f t="shared" si="0"/>
        <v>1461.83</v>
      </c>
    </row>
    <row r="42" spans="1:7">
      <c r="A42" s="282"/>
      <c r="B42" s="286" t="s">
        <v>2752</v>
      </c>
      <c r="C42" s="290" t="s">
        <v>2743</v>
      </c>
      <c r="D42" s="228"/>
      <c r="E42" s="285"/>
      <c r="F42" s="393"/>
      <c r="G42" s="421"/>
    </row>
    <row r="43" spans="1:7" ht="37.5">
      <c r="A43" s="289">
        <v>7</v>
      </c>
      <c r="B43" s="283" t="s">
        <v>2594</v>
      </c>
      <c r="C43" s="284"/>
      <c r="D43" s="228"/>
      <c r="E43" s="285"/>
      <c r="F43" s="393"/>
      <c r="G43" s="421"/>
    </row>
    <row r="44" spans="1:7">
      <c r="A44" s="282"/>
      <c r="B44" s="286" t="s">
        <v>2753</v>
      </c>
      <c r="C44" s="284" t="s">
        <v>2754</v>
      </c>
      <c r="D44" s="228">
        <v>33</v>
      </c>
      <c r="E44" s="290" t="s">
        <v>2692</v>
      </c>
      <c r="F44" s="423">
        <f>FLOOR(D44*35.31,0.01)</f>
        <v>1165.23</v>
      </c>
      <c r="G44" s="422">
        <f t="shared" si="0"/>
        <v>1206.01</v>
      </c>
    </row>
    <row r="45" spans="1:7">
      <c r="A45" s="282"/>
      <c r="B45" s="286" t="s">
        <v>2755</v>
      </c>
      <c r="C45" s="284" t="s">
        <v>1008</v>
      </c>
      <c r="D45" s="228">
        <v>35</v>
      </c>
      <c r="E45" s="290" t="s">
        <v>2692</v>
      </c>
      <c r="F45" s="423">
        <f>FLOOR(D45*35.31,0.01)</f>
        <v>1235.8500000000001</v>
      </c>
      <c r="G45" s="422">
        <f t="shared" si="0"/>
        <v>1279.1000000000001</v>
      </c>
    </row>
    <row r="46" spans="1:7">
      <c r="A46" s="282"/>
      <c r="B46" s="286" t="s">
        <v>2756</v>
      </c>
      <c r="C46" s="284" t="s">
        <v>1008</v>
      </c>
      <c r="D46" s="228">
        <v>36</v>
      </c>
      <c r="E46" s="290" t="s">
        <v>2692</v>
      </c>
      <c r="F46" s="423">
        <f>FLOOR(D46*35.31,0.01)</f>
        <v>1271.1600000000001</v>
      </c>
      <c r="G46" s="422">
        <f t="shared" si="0"/>
        <v>1315.65</v>
      </c>
    </row>
    <row r="47" spans="1:7">
      <c r="A47" s="282"/>
      <c r="B47" s="286" t="s">
        <v>2757</v>
      </c>
      <c r="C47" s="284" t="s">
        <v>1008</v>
      </c>
      <c r="D47" s="228">
        <v>37</v>
      </c>
      <c r="E47" s="290" t="s">
        <v>2692</v>
      </c>
      <c r="F47" s="423">
        <f>FLOOR(D47*35.31,0.01)</f>
        <v>1306.47</v>
      </c>
      <c r="G47" s="422">
        <f t="shared" si="0"/>
        <v>1352.19</v>
      </c>
    </row>
    <row r="48" spans="1:7">
      <c r="A48" s="282">
        <v>8</v>
      </c>
      <c r="B48" s="283" t="s">
        <v>2758</v>
      </c>
      <c r="C48" s="284"/>
      <c r="D48" s="228"/>
      <c r="E48" s="285"/>
      <c r="F48" s="393"/>
      <c r="G48" s="421"/>
    </row>
    <row r="49" spans="1:7">
      <c r="A49" s="282"/>
      <c r="B49" s="286" t="s">
        <v>2233</v>
      </c>
      <c r="C49" s="284" t="s">
        <v>2234</v>
      </c>
      <c r="D49" s="228"/>
      <c r="E49" s="287"/>
      <c r="F49" s="393"/>
      <c r="G49" s="421"/>
    </row>
    <row r="50" spans="1:7">
      <c r="A50" s="282"/>
      <c r="B50" s="286" t="s">
        <v>2235</v>
      </c>
      <c r="C50" s="284" t="s">
        <v>1002</v>
      </c>
      <c r="D50" s="228"/>
      <c r="E50" s="287"/>
      <c r="F50" s="393"/>
      <c r="G50" s="421"/>
    </row>
    <row r="51" spans="1:7">
      <c r="A51" s="282"/>
      <c r="B51" s="286" t="s">
        <v>2236</v>
      </c>
      <c r="C51" s="284" t="s">
        <v>1002</v>
      </c>
      <c r="D51" s="228"/>
      <c r="E51" s="287"/>
      <c r="F51" s="393"/>
      <c r="G51" s="421"/>
    </row>
    <row r="52" spans="1:7">
      <c r="A52" s="282"/>
      <c r="B52" s="286" t="s">
        <v>2237</v>
      </c>
      <c r="C52" s="284" t="s">
        <v>1002</v>
      </c>
      <c r="D52" s="228">
        <v>42</v>
      </c>
      <c r="E52" s="290" t="s">
        <v>2692</v>
      </c>
      <c r="F52" s="393">
        <f>FLOOR(D52*35.31,0.01)</f>
        <v>1483.02</v>
      </c>
      <c r="G52" s="421">
        <f t="shared" si="0"/>
        <v>1534.92</v>
      </c>
    </row>
    <row r="53" spans="1:7">
      <c r="A53" s="289">
        <v>9</v>
      </c>
      <c r="B53" s="283" t="s">
        <v>2238</v>
      </c>
      <c r="C53" s="290"/>
      <c r="D53" s="228"/>
      <c r="E53" s="291"/>
      <c r="F53" s="393"/>
      <c r="G53" s="421"/>
    </row>
    <row r="54" spans="1:7" ht="36.75">
      <c r="A54" s="282"/>
      <c r="B54" s="286" t="s">
        <v>2666</v>
      </c>
      <c r="C54" s="290" t="s">
        <v>2743</v>
      </c>
      <c r="D54" s="228">
        <v>47</v>
      </c>
      <c r="E54" s="297"/>
      <c r="F54" s="393">
        <f>FLOOR(D54*35.31,0.01)</f>
        <v>1659.57</v>
      </c>
      <c r="G54" s="421">
        <f t="shared" si="0"/>
        <v>1717.65</v>
      </c>
    </row>
    <row r="55" spans="1:7">
      <c r="A55" s="282">
        <v>10</v>
      </c>
      <c r="B55" s="283" t="s">
        <v>2595</v>
      </c>
      <c r="C55" s="5"/>
      <c r="D55" s="228"/>
      <c r="E55" s="285"/>
      <c r="F55" s="391"/>
      <c r="G55" s="421"/>
    </row>
    <row r="56" spans="1:7">
      <c r="A56" s="282"/>
      <c r="B56" s="286" t="s">
        <v>2972</v>
      </c>
      <c r="C56" s="284" t="s">
        <v>2973</v>
      </c>
      <c r="D56" s="228">
        <v>42</v>
      </c>
      <c r="E56" s="284" t="s">
        <v>1870</v>
      </c>
      <c r="F56" s="393">
        <f t="shared" ref="F56:F61" si="1">FLOOR(D56*10.76,0.01)</f>
        <v>451.92</v>
      </c>
      <c r="G56" s="421">
        <f t="shared" si="0"/>
        <v>467.73</v>
      </c>
    </row>
    <row r="57" spans="1:7" ht="23.25">
      <c r="A57" s="282"/>
      <c r="B57" s="286" t="s">
        <v>1781</v>
      </c>
      <c r="C57" s="298" t="s">
        <v>1002</v>
      </c>
      <c r="D57" s="228">
        <v>50</v>
      </c>
      <c r="E57" s="284" t="s">
        <v>1870</v>
      </c>
      <c r="F57" s="393">
        <f t="shared" si="1"/>
        <v>538</v>
      </c>
      <c r="G57" s="421">
        <f t="shared" si="0"/>
        <v>556.83000000000004</v>
      </c>
    </row>
    <row r="58" spans="1:7">
      <c r="A58" s="282"/>
      <c r="B58" s="286" t="s">
        <v>2974</v>
      </c>
      <c r="C58" s="284" t="s">
        <v>2973</v>
      </c>
      <c r="D58" s="228">
        <v>65</v>
      </c>
      <c r="E58" s="284" t="s">
        <v>1870</v>
      </c>
      <c r="F58" s="400">
        <f t="shared" si="1"/>
        <v>699.4</v>
      </c>
      <c r="G58" s="421">
        <f t="shared" si="0"/>
        <v>723.87</v>
      </c>
    </row>
    <row r="59" spans="1:7" ht="22.5">
      <c r="A59" s="282"/>
      <c r="B59" s="286" t="s">
        <v>1782</v>
      </c>
      <c r="C59" s="284" t="s">
        <v>1002</v>
      </c>
      <c r="D59" s="228">
        <v>72</v>
      </c>
      <c r="E59" s="284" t="s">
        <v>1870</v>
      </c>
      <c r="F59" s="393">
        <f t="shared" si="1"/>
        <v>774.72</v>
      </c>
      <c r="G59" s="421">
        <f t="shared" si="0"/>
        <v>801.83</v>
      </c>
    </row>
    <row r="60" spans="1:7" ht="22.5">
      <c r="A60" s="282"/>
      <c r="B60" s="286" t="s">
        <v>62</v>
      </c>
      <c r="C60" s="284" t="s">
        <v>1002</v>
      </c>
      <c r="D60" s="228">
        <v>90</v>
      </c>
      <c r="E60" s="284" t="s">
        <v>1870</v>
      </c>
      <c r="F60" s="393">
        <f t="shared" si="1"/>
        <v>968.4</v>
      </c>
      <c r="G60" s="421">
        <f t="shared" si="0"/>
        <v>1002.2900000000001</v>
      </c>
    </row>
    <row r="61" spans="1:7" ht="41.25">
      <c r="A61" s="282"/>
      <c r="B61" s="286" t="s">
        <v>1336</v>
      </c>
      <c r="C61" s="284" t="s">
        <v>1002</v>
      </c>
      <c r="D61" s="228">
        <v>105</v>
      </c>
      <c r="E61" s="284" t="s">
        <v>1870</v>
      </c>
      <c r="F61" s="393">
        <f t="shared" si="1"/>
        <v>1129.8</v>
      </c>
      <c r="G61" s="421">
        <f t="shared" si="0"/>
        <v>1169.3399999999999</v>
      </c>
    </row>
    <row r="62" spans="1:7">
      <c r="A62" s="282"/>
      <c r="B62" s="286"/>
      <c r="C62" s="284"/>
      <c r="D62" s="228"/>
      <c r="E62" s="285"/>
      <c r="F62" s="393"/>
      <c r="G62" s="421"/>
    </row>
    <row r="63" spans="1:7">
      <c r="A63" s="282">
        <v>11</v>
      </c>
      <c r="B63" s="283" t="s">
        <v>2975</v>
      </c>
      <c r="C63" s="284"/>
      <c r="D63" s="228"/>
      <c r="E63" s="285"/>
      <c r="F63" s="393"/>
      <c r="G63" s="421"/>
    </row>
    <row r="64" spans="1:7">
      <c r="A64" s="282"/>
      <c r="B64" s="286" t="s">
        <v>2976</v>
      </c>
      <c r="C64" s="284" t="s">
        <v>2234</v>
      </c>
      <c r="D64" s="228"/>
      <c r="E64" s="287"/>
      <c r="F64" s="393">
        <f>FLOOR(D64*10.76,0.01)</f>
        <v>0</v>
      </c>
      <c r="G64" s="421">
        <f t="shared" si="0"/>
        <v>0</v>
      </c>
    </row>
    <row r="65" spans="1:7">
      <c r="A65" s="282"/>
      <c r="B65" s="286" t="s">
        <v>2977</v>
      </c>
      <c r="C65" s="284" t="s">
        <v>1008</v>
      </c>
      <c r="D65" s="228"/>
      <c r="E65" s="287"/>
      <c r="F65" s="393"/>
      <c r="G65" s="421"/>
    </row>
    <row r="66" spans="1:7">
      <c r="A66" s="282"/>
      <c r="B66" s="286" t="s">
        <v>2978</v>
      </c>
      <c r="C66" s="284" t="s">
        <v>1002</v>
      </c>
      <c r="D66" s="228"/>
      <c r="E66" s="287"/>
      <c r="F66" s="391"/>
      <c r="G66" s="421"/>
    </row>
    <row r="67" spans="1:7" ht="45">
      <c r="A67" s="282"/>
      <c r="B67" s="286" t="s">
        <v>1337</v>
      </c>
      <c r="C67" s="284" t="s">
        <v>1002</v>
      </c>
      <c r="D67" s="228">
        <v>45</v>
      </c>
      <c r="E67" s="290" t="s">
        <v>2692</v>
      </c>
      <c r="F67" s="400">
        <f>FLOOR(D67*35.31,0.01)</f>
        <v>1588.95</v>
      </c>
      <c r="G67" s="421">
        <f t="shared" si="0"/>
        <v>1644.56</v>
      </c>
    </row>
    <row r="68" spans="1:7" ht="37.5">
      <c r="A68" s="282"/>
      <c r="B68" s="286" t="s">
        <v>1338</v>
      </c>
      <c r="C68" s="284" t="s">
        <v>1002</v>
      </c>
      <c r="D68" s="228">
        <v>25</v>
      </c>
      <c r="E68" s="290" t="s">
        <v>2692</v>
      </c>
      <c r="F68" s="393">
        <f>FLOOR(D68*35.31,0.01)</f>
        <v>882.75</v>
      </c>
      <c r="G68" s="421">
        <f t="shared" si="0"/>
        <v>913.64</v>
      </c>
    </row>
    <row r="69" spans="1:7">
      <c r="A69" s="282">
        <v>12</v>
      </c>
      <c r="B69" s="283" t="s">
        <v>2979</v>
      </c>
      <c r="C69" s="299"/>
      <c r="D69" s="228"/>
      <c r="E69" s="300"/>
      <c r="F69" s="393"/>
      <c r="G69" s="421"/>
    </row>
    <row r="70" spans="1:7">
      <c r="A70" s="282"/>
      <c r="B70" s="262" t="s">
        <v>1339</v>
      </c>
      <c r="C70" s="301" t="s">
        <v>2637</v>
      </c>
      <c r="D70" s="228">
        <v>65.5</v>
      </c>
      <c r="E70" s="301" t="s">
        <v>2637</v>
      </c>
      <c r="F70" s="390">
        <f t="shared" ref="F70:F81" si="2">D70</f>
        <v>65.5</v>
      </c>
      <c r="G70" s="421">
        <f t="shared" si="0"/>
        <v>67.790000000000006</v>
      </c>
    </row>
    <row r="71" spans="1:7" ht="36.75">
      <c r="A71" s="282"/>
      <c r="B71" s="262" t="s">
        <v>90</v>
      </c>
      <c r="C71" s="301" t="s">
        <v>1008</v>
      </c>
      <c r="D71" s="228">
        <v>320</v>
      </c>
      <c r="E71" s="301" t="s">
        <v>2637</v>
      </c>
      <c r="F71" s="390">
        <f t="shared" si="2"/>
        <v>320</v>
      </c>
      <c r="G71" s="421">
        <f t="shared" si="0"/>
        <v>331.2</v>
      </c>
    </row>
    <row r="72" spans="1:7" ht="36.75">
      <c r="A72" s="282"/>
      <c r="B72" s="262" t="s">
        <v>2274</v>
      </c>
      <c r="C72" s="301" t="s">
        <v>1002</v>
      </c>
      <c r="D72" s="228"/>
      <c r="E72" s="301" t="s">
        <v>2637</v>
      </c>
      <c r="F72" s="390">
        <f t="shared" si="2"/>
        <v>0</v>
      </c>
      <c r="G72" s="421">
        <f t="shared" si="0"/>
        <v>0</v>
      </c>
    </row>
    <row r="73" spans="1:7">
      <c r="A73" s="282"/>
      <c r="B73" s="262" t="s">
        <v>2275</v>
      </c>
      <c r="C73" s="301"/>
      <c r="D73" s="228"/>
      <c r="E73" s="291"/>
      <c r="F73" s="390"/>
      <c r="G73" s="421"/>
    </row>
    <row r="74" spans="1:7">
      <c r="A74" s="282"/>
      <c r="B74" s="286" t="s">
        <v>2276</v>
      </c>
      <c r="C74" s="290" t="s">
        <v>2637</v>
      </c>
      <c r="D74" s="228">
        <v>54.54</v>
      </c>
      <c r="E74" s="301" t="s">
        <v>2637</v>
      </c>
      <c r="F74" s="390">
        <f t="shared" si="2"/>
        <v>54.54</v>
      </c>
      <c r="G74" s="421">
        <f t="shared" si="0"/>
        <v>56.44</v>
      </c>
    </row>
    <row r="75" spans="1:7">
      <c r="A75" s="282"/>
      <c r="B75" s="302" t="s">
        <v>2277</v>
      </c>
      <c r="C75" s="290" t="s">
        <v>2980</v>
      </c>
      <c r="D75" s="228">
        <v>58.48</v>
      </c>
      <c r="E75" s="301" t="s">
        <v>2637</v>
      </c>
      <c r="F75" s="390">
        <f t="shared" si="2"/>
        <v>58.48</v>
      </c>
      <c r="G75" s="421">
        <f t="shared" si="0"/>
        <v>60.52</v>
      </c>
    </row>
    <row r="76" spans="1:7">
      <c r="A76" s="282"/>
      <c r="B76" s="302" t="s">
        <v>2278</v>
      </c>
      <c r="C76" s="290" t="s">
        <v>1002</v>
      </c>
      <c r="D76" s="228">
        <v>56.13</v>
      </c>
      <c r="E76" s="301" t="s">
        <v>2637</v>
      </c>
      <c r="F76" s="390">
        <f t="shared" si="2"/>
        <v>56.13</v>
      </c>
      <c r="G76" s="421">
        <f t="shared" si="0"/>
        <v>58.09</v>
      </c>
    </row>
    <row r="77" spans="1:7" ht="36.75">
      <c r="A77" s="282"/>
      <c r="B77" s="303" t="s">
        <v>2925</v>
      </c>
      <c r="C77" s="301" t="s">
        <v>2981</v>
      </c>
      <c r="D77" s="228">
        <v>33</v>
      </c>
      <c r="E77" s="301" t="s">
        <v>2637</v>
      </c>
      <c r="F77" s="390">
        <f t="shared" si="2"/>
        <v>33</v>
      </c>
      <c r="G77" s="421">
        <f t="shared" ref="G77:G140" si="3">FLOOR(F77*1.035,0.01)</f>
        <v>34.15</v>
      </c>
    </row>
    <row r="78" spans="1:7" ht="36.75">
      <c r="A78" s="282"/>
      <c r="B78" s="304" t="s">
        <v>2926</v>
      </c>
      <c r="C78" s="305"/>
      <c r="D78" s="228"/>
      <c r="E78" s="291"/>
      <c r="F78" s="390"/>
      <c r="G78" s="421"/>
    </row>
    <row r="79" spans="1:7">
      <c r="A79" s="282"/>
      <c r="B79" s="303" t="s">
        <v>2982</v>
      </c>
      <c r="C79" s="290" t="s">
        <v>2983</v>
      </c>
      <c r="D79" s="228">
        <v>189</v>
      </c>
      <c r="E79" s="301" t="s">
        <v>2637</v>
      </c>
      <c r="F79" s="390">
        <f t="shared" si="2"/>
        <v>189</v>
      </c>
      <c r="G79" s="421">
        <f t="shared" si="3"/>
        <v>195.61</v>
      </c>
    </row>
    <row r="80" spans="1:7">
      <c r="A80" s="282"/>
      <c r="B80" s="262" t="s">
        <v>2984</v>
      </c>
      <c r="C80" s="290" t="s">
        <v>2319</v>
      </c>
      <c r="D80" s="228">
        <v>209</v>
      </c>
      <c r="E80" s="301" t="s">
        <v>2637</v>
      </c>
      <c r="F80" s="390">
        <f t="shared" si="2"/>
        <v>209</v>
      </c>
      <c r="G80" s="421">
        <f t="shared" si="3"/>
        <v>216.31</v>
      </c>
    </row>
    <row r="81" spans="1:7">
      <c r="A81" s="282"/>
      <c r="B81" s="262" t="s">
        <v>2985</v>
      </c>
      <c r="C81" s="290" t="s">
        <v>2319</v>
      </c>
      <c r="D81" s="228">
        <v>171</v>
      </c>
      <c r="E81" s="301" t="s">
        <v>2637</v>
      </c>
      <c r="F81" s="390">
        <f t="shared" si="2"/>
        <v>171</v>
      </c>
      <c r="G81" s="421">
        <f t="shared" si="3"/>
        <v>176.98</v>
      </c>
    </row>
    <row r="82" spans="1:7">
      <c r="A82" s="282">
        <v>13</v>
      </c>
      <c r="B82" s="283" t="s">
        <v>2986</v>
      </c>
      <c r="C82" s="288"/>
      <c r="D82" s="228"/>
      <c r="E82" s="301" t="s">
        <v>700</v>
      </c>
      <c r="F82" s="416">
        <f>FLOOR((F83+F84+F85+F86)/4,0.01)</f>
        <v>12342.800000000001</v>
      </c>
      <c r="G82" s="421">
        <f t="shared" si="3"/>
        <v>12774.79</v>
      </c>
    </row>
    <row r="83" spans="1:7">
      <c r="A83" s="282"/>
      <c r="B83" s="286" t="s">
        <v>2987</v>
      </c>
      <c r="C83" s="284" t="s">
        <v>2988</v>
      </c>
      <c r="D83" s="228">
        <v>626.54999999999995</v>
      </c>
      <c r="E83" s="301" t="s">
        <v>700</v>
      </c>
      <c r="F83" s="425">
        <f>FLOOR(D83*20,0.01)</f>
        <v>12531</v>
      </c>
      <c r="G83" s="422">
        <f t="shared" si="3"/>
        <v>12969.58</v>
      </c>
    </row>
    <row r="84" spans="1:7">
      <c r="A84" s="282"/>
      <c r="B84" s="286" t="s">
        <v>2989</v>
      </c>
      <c r="C84" s="284" t="s">
        <v>2319</v>
      </c>
      <c r="D84" s="228">
        <v>667.26</v>
      </c>
      <c r="E84" s="301" t="s">
        <v>700</v>
      </c>
      <c r="F84" s="425">
        <f>FLOOR(D84*20,0.01)</f>
        <v>13345.2</v>
      </c>
      <c r="G84" s="422">
        <f t="shared" si="3"/>
        <v>13812.28</v>
      </c>
    </row>
    <row r="85" spans="1:7">
      <c r="A85" s="282"/>
      <c r="B85" s="286" t="s">
        <v>3096</v>
      </c>
      <c r="C85" s="284" t="s">
        <v>2319</v>
      </c>
      <c r="D85" s="228">
        <v>564.75</v>
      </c>
      <c r="E85" s="301" t="s">
        <v>700</v>
      </c>
      <c r="F85" s="425">
        <f>FLOOR(D85*20,0.01)</f>
        <v>11295</v>
      </c>
      <c r="G85" s="422">
        <f t="shared" si="3"/>
        <v>11690.32</v>
      </c>
    </row>
    <row r="86" spans="1:7">
      <c r="A86" s="282"/>
      <c r="B86" s="286" t="s">
        <v>2179</v>
      </c>
      <c r="C86" s="284" t="s">
        <v>2319</v>
      </c>
      <c r="D86" s="228">
        <v>610</v>
      </c>
      <c r="E86" s="301" t="s">
        <v>700</v>
      </c>
      <c r="F86" s="425">
        <f>FLOOR(D86*20,0.01)</f>
        <v>12200</v>
      </c>
      <c r="G86" s="422">
        <f t="shared" si="3"/>
        <v>12627</v>
      </c>
    </row>
    <row r="87" spans="1:7">
      <c r="A87" s="566" t="s">
        <v>717</v>
      </c>
      <c r="B87" s="286" t="s">
        <v>2180</v>
      </c>
      <c r="C87" s="284" t="s">
        <v>2319</v>
      </c>
      <c r="D87" s="228">
        <v>900</v>
      </c>
      <c r="E87" s="301" t="s">
        <v>700</v>
      </c>
      <c r="F87" s="418">
        <f>FLOOR(D87*20,0.01)</f>
        <v>18000</v>
      </c>
      <c r="G87" s="421">
        <f t="shared" si="3"/>
        <v>18630</v>
      </c>
    </row>
    <row r="88" spans="1:7">
      <c r="A88" s="282">
        <v>14</v>
      </c>
      <c r="B88" s="306" t="s">
        <v>2181</v>
      </c>
      <c r="C88" s="296"/>
      <c r="D88" s="228"/>
      <c r="E88" s="285"/>
      <c r="F88" s="391"/>
      <c r="G88" s="421">
        <f t="shared" si="3"/>
        <v>0</v>
      </c>
    </row>
    <row r="89" spans="1:7">
      <c r="A89" s="282"/>
      <c r="B89" s="307" t="s">
        <v>2927</v>
      </c>
      <c r="C89" s="296"/>
      <c r="D89" s="228"/>
      <c r="E89" s="301" t="s">
        <v>700</v>
      </c>
      <c r="F89" s="417"/>
      <c r="G89" s="421">
        <f t="shared" si="3"/>
        <v>0</v>
      </c>
    </row>
    <row r="90" spans="1:7">
      <c r="A90" s="282"/>
      <c r="B90" s="262" t="s">
        <v>2182</v>
      </c>
      <c r="C90" s="290" t="s">
        <v>2637</v>
      </c>
      <c r="D90" s="228">
        <v>68.400000000000006</v>
      </c>
      <c r="E90" s="301" t="s">
        <v>700</v>
      </c>
      <c r="F90" s="424">
        <f>FLOOR(D90*1000,0.01)</f>
        <v>68400</v>
      </c>
      <c r="G90" s="422">
        <f t="shared" si="3"/>
        <v>70794</v>
      </c>
    </row>
    <row r="91" spans="1:7">
      <c r="A91" s="282"/>
      <c r="B91" s="262" t="s">
        <v>2183</v>
      </c>
      <c r="C91" s="290" t="s">
        <v>2637</v>
      </c>
      <c r="D91" s="228">
        <v>61.9</v>
      </c>
      <c r="E91" s="301" t="s">
        <v>700</v>
      </c>
      <c r="F91" s="424">
        <f>FLOOR(D91*1000,0.01)</f>
        <v>61900</v>
      </c>
      <c r="G91" s="422">
        <f t="shared" si="3"/>
        <v>64066.5</v>
      </c>
    </row>
    <row r="92" spans="1:7">
      <c r="A92" s="282"/>
      <c r="B92" s="262" t="s">
        <v>2184</v>
      </c>
      <c r="C92" s="290" t="s">
        <v>2980</v>
      </c>
      <c r="D92" s="228">
        <v>59.9</v>
      </c>
      <c r="E92" s="301" t="s">
        <v>700</v>
      </c>
      <c r="F92" s="424">
        <f>FLOOR(D92*1000,0.01)</f>
        <v>59900</v>
      </c>
      <c r="G92" s="422">
        <f t="shared" si="3"/>
        <v>61996.5</v>
      </c>
    </row>
    <row r="93" spans="1:7">
      <c r="A93" s="282"/>
      <c r="B93" s="262" t="s">
        <v>2185</v>
      </c>
      <c r="C93" s="290" t="s">
        <v>2980</v>
      </c>
      <c r="D93" s="228">
        <v>61.9</v>
      </c>
      <c r="E93" s="301" t="s">
        <v>700</v>
      </c>
      <c r="F93" s="424">
        <f>FLOOR(D93*1000,0.01)</f>
        <v>61900</v>
      </c>
      <c r="G93" s="422">
        <f t="shared" si="3"/>
        <v>64066.5</v>
      </c>
    </row>
    <row r="94" spans="1:7">
      <c r="A94" s="282"/>
      <c r="B94" s="307" t="s">
        <v>2928</v>
      </c>
      <c r="C94" s="296"/>
      <c r="D94" s="228"/>
      <c r="E94" s="301" t="s">
        <v>700</v>
      </c>
      <c r="F94" s="417"/>
      <c r="G94" s="421">
        <f t="shared" si="3"/>
        <v>0</v>
      </c>
    </row>
    <row r="95" spans="1:7">
      <c r="A95" s="282"/>
      <c r="B95" s="262" t="s">
        <v>2929</v>
      </c>
      <c r="C95" s="290" t="s">
        <v>1002</v>
      </c>
      <c r="D95" s="228">
        <v>59.85</v>
      </c>
      <c r="E95" s="301" t="s">
        <v>700</v>
      </c>
      <c r="F95" s="424">
        <f>FLOOR(D95*1000,0.01)</f>
        <v>59850</v>
      </c>
      <c r="G95" s="422">
        <f t="shared" si="3"/>
        <v>61944.75</v>
      </c>
    </row>
    <row r="96" spans="1:7">
      <c r="A96" s="282"/>
      <c r="B96" s="262" t="s">
        <v>2186</v>
      </c>
      <c r="C96" s="290" t="s">
        <v>1002</v>
      </c>
      <c r="D96" s="228">
        <v>57.55</v>
      </c>
      <c r="E96" s="301" t="s">
        <v>700</v>
      </c>
      <c r="F96" s="424">
        <f>FLOOR(D96*1000,0.01)</f>
        <v>57550</v>
      </c>
      <c r="G96" s="422">
        <f t="shared" si="3"/>
        <v>59564.25</v>
      </c>
    </row>
    <row r="97" spans="1:7">
      <c r="A97" s="282"/>
      <c r="B97" s="262" t="s">
        <v>2187</v>
      </c>
      <c r="C97" s="308" t="s">
        <v>1002</v>
      </c>
      <c r="D97" s="228">
        <v>60.35</v>
      </c>
      <c r="E97" s="301" t="s">
        <v>700</v>
      </c>
      <c r="F97" s="424">
        <f>FLOOR(D97*1000,0.01)</f>
        <v>60350</v>
      </c>
      <c r="G97" s="422">
        <f t="shared" si="3"/>
        <v>62462.25</v>
      </c>
    </row>
    <row r="98" spans="1:7">
      <c r="A98" s="282"/>
      <c r="B98" s="283" t="s">
        <v>1988</v>
      </c>
      <c r="C98" s="290"/>
      <c r="D98" s="228"/>
      <c r="E98" s="285"/>
      <c r="F98" s="391"/>
      <c r="G98" s="421"/>
    </row>
    <row r="99" spans="1:7">
      <c r="A99" s="282"/>
      <c r="B99" s="262" t="s">
        <v>2182</v>
      </c>
      <c r="C99" s="290" t="s">
        <v>2980</v>
      </c>
      <c r="D99" s="228">
        <v>59.15</v>
      </c>
      <c r="E99" s="290" t="s">
        <v>2980</v>
      </c>
      <c r="F99" s="390">
        <f>D99</f>
        <v>59.15</v>
      </c>
      <c r="G99" s="421">
        <f t="shared" si="3"/>
        <v>61.22</v>
      </c>
    </row>
    <row r="100" spans="1:7">
      <c r="A100" s="282"/>
      <c r="B100" s="283" t="s">
        <v>1989</v>
      </c>
      <c r="C100" s="290" t="s">
        <v>1002</v>
      </c>
      <c r="D100" s="228">
        <v>76.400000000000006</v>
      </c>
      <c r="E100" s="290" t="s">
        <v>2980</v>
      </c>
      <c r="F100" s="390">
        <f>D100</f>
        <v>76.400000000000006</v>
      </c>
      <c r="G100" s="421">
        <f t="shared" si="3"/>
        <v>79.070000000000007</v>
      </c>
    </row>
    <row r="101" spans="1:7" ht="56.25">
      <c r="A101" s="282">
        <v>15</v>
      </c>
      <c r="B101" s="282" t="s">
        <v>1822</v>
      </c>
      <c r="C101" s="290"/>
      <c r="D101" s="228"/>
      <c r="E101" s="285"/>
      <c r="F101" s="391"/>
      <c r="G101" s="421"/>
    </row>
    <row r="102" spans="1:7">
      <c r="A102" s="282"/>
      <c r="B102" s="262" t="s">
        <v>1823</v>
      </c>
      <c r="C102" s="290" t="s">
        <v>2980</v>
      </c>
      <c r="D102" s="228">
        <v>54</v>
      </c>
      <c r="E102" s="290" t="s">
        <v>2980</v>
      </c>
      <c r="F102" s="390">
        <f t="shared" ref="F102:F119" si="4">D102</f>
        <v>54</v>
      </c>
      <c r="G102" s="421">
        <f t="shared" si="3"/>
        <v>55.89</v>
      </c>
    </row>
    <row r="103" spans="1:7">
      <c r="A103" s="282"/>
      <c r="B103" s="262" t="s">
        <v>1990</v>
      </c>
      <c r="C103" s="290" t="s">
        <v>2980</v>
      </c>
      <c r="D103" s="228">
        <v>57</v>
      </c>
      <c r="E103" s="290" t="s">
        <v>2980</v>
      </c>
      <c r="F103" s="390">
        <f t="shared" si="4"/>
        <v>57</v>
      </c>
      <c r="G103" s="421">
        <f t="shared" si="3"/>
        <v>58.99</v>
      </c>
    </row>
    <row r="104" spans="1:7">
      <c r="A104" s="282"/>
      <c r="B104" s="262" t="s">
        <v>1991</v>
      </c>
      <c r="C104" s="290" t="s">
        <v>2980</v>
      </c>
      <c r="D104" s="228">
        <v>58</v>
      </c>
      <c r="E104" s="290" t="s">
        <v>2980</v>
      </c>
      <c r="F104" s="390">
        <f t="shared" si="4"/>
        <v>58</v>
      </c>
      <c r="G104" s="421">
        <f t="shared" si="3"/>
        <v>60.03</v>
      </c>
    </row>
    <row r="105" spans="1:7">
      <c r="A105" s="282"/>
      <c r="B105" s="262" t="s">
        <v>1992</v>
      </c>
      <c r="C105" s="290" t="s">
        <v>2980</v>
      </c>
      <c r="D105" s="228">
        <v>61</v>
      </c>
      <c r="E105" s="290" t="s">
        <v>2980</v>
      </c>
      <c r="F105" s="390">
        <f t="shared" si="4"/>
        <v>61</v>
      </c>
      <c r="G105" s="421">
        <f t="shared" si="3"/>
        <v>63.13</v>
      </c>
    </row>
    <row r="106" spans="1:7">
      <c r="A106" s="282"/>
      <c r="B106" s="262" t="s">
        <v>1993</v>
      </c>
      <c r="C106" s="290" t="s">
        <v>2980</v>
      </c>
      <c r="D106" s="228">
        <v>61</v>
      </c>
      <c r="E106" s="290" t="s">
        <v>2980</v>
      </c>
      <c r="F106" s="390">
        <f t="shared" si="4"/>
        <v>61</v>
      </c>
      <c r="G106" s="421">
        <f t="shared" si="3"/>
        <v>63.13</v>
      </c>
    </row>
    <row r="107" spans="1:7">
      <c r="A107" s="282"/>
      <c r="B107" s="262" t="s">
        <v>1994</v>
      </c>
      <c r="C107" s="290" t="s">
        <v>2980</v>
      </c>
      <c r="D107" s="228">
        <v>61</v>
      </c>
      <c r="E107" s="290" t="s">
        <v>2980</v>
      </c>
      <c r="F107" s="390">
        <f t="shared" si="4"/>
        <v>61</v>
      </c>
      <c r="G107" s="421">
        <f t="shared" si="3"/>
        <v>63.13</v>
      </c>
    </row>
    <row r="108" spans="1:7" ht="32.25">
      <c r="A108" s="282"/>
      <c r="B108" s="262" t="s">
        <v>1995</v>
      </c>
      <c r="C108" s="290" t="s">
        <v>2980</v>
      </c>
      <c r="D108" s="228">
        <v>61</v>
      </c>
      <c r="E108" s="290" t="s">
        <v>2980</v>
      </c>
      <c r="F108" s="390">
        <f t="shared" si="4"/>
        <v>61</v>
      </c>
      <c r="G108" s="421">
        <f t="shared" si="3"/>
        <v>63.13</v>
      </c>
    </row>
    <row r="109" spans="1:7">
      <c r="A109" s="282"/>
      <c r="B109" s="262" t="s">
        <v>1996</v>
      </c>
      <c r="C109" s="290" t="s">
        <v>2980</v>
      </c>
      <c r="D109" s="228">
        <v>66</v>
      </c>
      <c r="E109" s="290" t="s">
        <v>2980</v>
      </c>
      <c r="F109" s="390">
        <f t="shared" si="4"/>
        <v>66</v>
      </c>
      <c r="G109" s="421">
        <f t="shared" si="3"/>
        <v>68.31</v>
      </c>
    </row>
    <row r="110" spans="1:7">
      <c r="A110" s="282">
        <v>16</v>
      </c>
      <c r="B110" s="282" t="s">
        <v>1824</v>
      </c>
      <c r="C110" s="299"/>
      <c r="D110" s="228"/>
      <c r="E110" s="300"/>
      <c r="F110" s="390">
        <f t="shared" si="4"/>
        <v>0</v>
      </c>
      <c r="G110" s="421">
        <f t="shared" si="3"/>
        <v>0</v>
      </c>
    </row>
    <row r="111" spans="1:7">
      <c r="A111" s="282"/>
      <c r="B111" s="262" t="s">
        <v>1825</v>
      </c>
      <c r="C111" s="290" t="s">
        <v>2637</v>
      </c>
      <c r="D111" s="228">
        <v>68</v>
      </c>
      <c r="E111" s="290" t="s">
        <v>2980</v>
      </c>
      <c r="F111" s="390">
        <f t="shared" si="4"/>
        <v>68</v>
      </c>
      <c r="G111" s="421">
        <f t="shared" si="3"/>
        <v>70.38</v>
      </c>
    </row>
    <row r="112" spans="1:7">
      <c r="A112" s="282"/>
      <c r="B112" s="262" t="s">
        <v>1826</v>
      </c>
      <c r="C112" s="290" t="s">
        <v>1008</v>
      </c>
      <c r="D112" s="228">
        <v>72</v>
      </c>
      <c r="E112" s="290" t="s">
        <v>2980</v>
      </c>
      <c r="F112" s="390">
        <f t="shared" si="4"/>
        <v>72</v>
      </c>
      <c r="G112" s="421">
        <f t="shared" si="3"/>
        <v>74.52</v>
      </c>
    </row>
    <row r="113" spans="1:7">
      <c r="A113" s="282"/>
      <c r="B113" s="262" t="s">
        <v>2331</v>
      </c>
      <c r="C113" s="290" t="s">
        <v>1008</v>
      </c>
      <c r="D113" s="228">
        <v>75</v>
      </c>
      <c r="E113" s="290" t="s">
        <v>2980</v>
      </c>
      <c r="F113" s="390">
        <f t="shared" si="4"/>
        <v>75</v>
      </c>
      <c r="G113" s="421">
        <f t="shared" si="3"/>
        <v>77.62</v>
      </c>
    </row>
    <row r="114" spans="1:7">
      <c r="A114" s="282"/>
      <c r="B114" s="262" t="s">
        <v>2332</v>
      </c>
      <c r="C114" s="290" t="s">
        <v>2637</v>
      </c>
      <c r="D114" s="228">
        <v>68</v>
      </c>
      <c r="E114" s="290" t="s">
        <v>2980</v>
      </c>
      <c r="F114" s="390">
        <f t="shared" si="4"/>
        <v>68</v>
      </c>
      <c r="G114" s="421">
        <f t="shared" si="3"/>
        <v>70.38</v>
      </c>
    </row>
    <row r="115" spans="1:7">
      <c r="A115" s="282"/>
      <c r="B115" s="262" t="s">
        <v>2333</v>
      </c>
      <c r="C115" s="290" t="s">
        <v>1002</v>
      </c>
      <c r="D115" s="228">
        <v>72</v>
      </c>
      <c r="E115" s="290" t="s">
        <v>2980</v>
      </c>
      <c r="F115" s="390">
        <f t="shared" si="4"/>
        <v>72</v>
      </c>
      <c r="G115" s="421">
        <f t="shared" si="3"/>
        <v>74.52</v>
      </c>
    </row>
    <row r="116" spans="1:7">
      <c r="A116" s="282"/>
      <c r="B116" s="262" t="s">
        <v>2334</v>
      </c>
      <c r="C116" s="290" t="s">
        <v>1008</v>
      </c>
      <c r="D116" s="228">
        <v>75</v>
      </c>
      <c r="E116" s="290" t="s">
        <v>2980</v>
      </c>
      <c r="F116" s="390">
        <f t="shared" si="4"/>
        <v>75</v>
      </c>
      <c r="G116" s="421">
        <f t="shared" si="3"/>
        <v>77.62</v>
      </c>
    </row>
    <row r="117" spans="1:7">
      <c r="A117" s="282"/>
      <c r="B117" s="262" t="s">
        <v>2335</v>
      </c>
      <c r="C117" s="290" t="s">
        <v>2637</v>
      </c>
      <c r="D117" s="228">
        <v>69</v>
      </c>
      <c r="E117" s="290" t="s">
        <v>2980</v>
      </c>
      <c r="F117" s="390">
        <f t="shared" si="4"/>
        <v>69</v>
      </c>
      <c r="G117" s="421">
        <f t="shared" si="3"/>
        <v>71.41</v>
      </c>
    </row>
    <row r="118" spans="1:7">
      <c r="A118" s="282"/>
      <c r="B118" s="262" t="s">
        <v>2336</v>
      </c>
      <c r="C118" s="290" t="s">
        <v>1002</v>
      </c>
      <c r="D118" s="228">
        <v>73</v>
      </c>
      <c r="E118" s="290" t="s">
        <v>2980</v>
      </c>
      <c r="F118" s="390">
        <f t="shared" si="4"/>
        <v>73</v>
      </c>
      <c r="G118" s="421">
        <f t="shared" si="3"/>
        <v>75.55</v>
      </c>
    </row>
    <row r="119" spans="1:7">
      <c r="A119" s="282"/>
      <c r="B119" s="262" t="s">
        <v>2337</v>
      </c>
      <c r="C119" s="290" t="s">
        <v>1008</v>
      </c>
      <c r="D119" s="228">
        <v>76</v>
      </c>
      <c r="E119" s="290" t="s">
        <v>2980</v>
      </c>
      <c r="F119" s="390">
        <f t="shared" si="4"/>
        <v>76</v>
      </c>
      <c r="G119" s="421">
        <f t="shared" si="3"/>
        <v>78.66</v>
      </c>
    </row>
    <row r="120" spans="1:7">
      <c r="A120" s="309">
        <v>17</v>
      </c>
      <c r="B120" s="309" t="s">
        <v>1997</v>
      </c>
      <c r="C120" s="310"/>
      <c r="D120" s="228"/>
      <c r="E120" s="285"/>
      <c r="F120" s="390"/>
      <c r="G120" s="421">
        <f t="shared" si="3"/>
        <v>0</v>
      </c>
    </row>
    <row r="121" spans="1:7">
      <c r="A121" s="309"/>
      <c r="B121" s="262" t="s">
        <v>1998</v>
      </c>
      <c r="C121" s="290" t="s">
        <v>2637</v>
      </c>
      <c r="D121" s="228">
        <v>85</v>
      </c>
      <c r="E121" s="290" t="s">
        <v>2980</v>
      </c>
      <c r="F121" s="390">
        <f>D121</f>
        <v>85</v>
      </c>
      <c r="G121" s="421">
        <f t="shared" si="3"/>
        <v>87.97</v>
      </c>
    </row>
    <row r="122" spans="1:7">
      <c r="A122" s="309"/>
      <c r="B122" s="262" t="s">
        <v>2172</v>
      </c>
      <c r="C122" s="284" t="s">
        <v>1006</v>
      </c>
      <c r="D122" s="228">
        <v>0.5</v>
      </c>
      <c r="E122" s="290" t="s">
        <v>2980</v>
      </c>
      <c r="F122" s="390">
        <f>D122</f>
        <v>0.5</v>
      </c>
      <c r="G122" s="421">
        <f t="shared" si="3"/>
        <v>0.51</v>
      </c>
    </row>
    <row r="123" spans="1:7" ht="22.5">
      <c r="A123" s="309">
        <v>18</v>
      </c>
      <c r="B123" s="306" t="s">
        <v>1999</v>
      </c>
      <c r="C123" s="311"/>
      <c r="D123" s="312"/>
      <c r="E123" s="312"/>
      <c r="F123" s="395"/>
      <c r="G123" s="421">
        <f t="shared" si="3"/>
        <v>0</v>
      </c>
    </row>
    <row r="124" spans="1:7" ht="22.5">
      <c r="A124" s="282"/>
      <c r="B124" s="306" t="s">
        <v>2000</v>
      </c>
      <c r="C124" s="284"/>
      <c r="D124" s="313"/>
      <c r="E124" s="313"/>
      <c r="F124" s="396"/>
      <c r="G124" s="421">
        <f t="shared" si="3"/>
        <v>0</v>
      </c>
    </row>
    <row r="125" spans="1:7">
      <c r="A125" s="282"/>
      <c r="B125" s="262" t="s">
        <v>2001</v>
      </c>
      <c r="C125" s="290" t="s">
        <v>2338</v>
      </c>
      <c r="D125" s="228">
        <v>3260.18</v>
      </c>
      <c r="E125" s="284" t="s">
        <v>1870</v>
      </c>
      <c r="F125" s="390">
        <f t="shared" ref="F125:F136" si="5">FLOOR(D125/17.56,0.01)</f>
        <v>185.65</v>
      </c>
      <c r="G125" s="421">
        <f t="shared" si="3"/>
        <v>192.14000000000001</v>
      </c>
    </row>
    <row r="126" spans="1:7">
      <c r="A126" s="282"/>
      <c r="B126" s="262" t="s">
        <v>2002</v>
      </c>
      <c r="C126" s="290" t="s">
        <v>1002</v>
      </c>
      <c r="D126" s="228">
        <v>3523.01</v>
      </c>
      <c r="E126" s="284" t="s">
        <v>1870</v>
      </c>
      <c r="F126" s="390">
        <f t="shared" si="5"/>
        <v>200.62</v>
      </c>
      <c r="G126" s="421">
        <f t="shared" si="3"/>
        <v>207.64000000000001</v>
      </c>
    </row>
    <row r="127" spans="1:7">
      <c r="A127" s="282"/>
      <c r="B127" s="262" t="s">
        <v>2003</v>
      </c>
      <c r="C127" s="290" t="s">
        <v>1002</v>
      </c>
      <c r="D127" s="228">
        <v>3810.62</v>
      </c>
      <c r="E127" s="284" t="s">
        <v>1870</v>
      </c>
      <c r="F127" s="390">
        <f t="shared" si="5"/>
        <v>217</v>
      </c>
      <c r="G127" s="421">
        <f t="shared" si="3"/>
        <v>224.59</v>
      </c>
    </row>
    <row r="128" spans="1:7">
      <c r="A128" s="282"/>
      <c r="B128" s="262" t="s">
        <v>2606</v>
      </c>
      <c r="C128" s="290" t="s">
        <v>1002</v>
      </c>
      <c r="D128" s="228">
        <v>4015.04</v>
      </c>
      <c r="E128" s="284" t="s">
        <v>1870</v>
      </c>
      <c r="F128" s="390">
        <f t="shared" si="5"/>
        <v>228.64000000000001</v>
      </c>
      <c r="G128" s="421">
        <f t="shared" si="3"/>
        <v>236.64000000000001</v>
      </c>
    </row>
    <row r="129" spans="1:7">
      <c r="A129" s="282"/>
      <c r="B129" s="262" t="s">
        <v>2607</v>
      </c>
      <c r="C129" s="290" t="s">
        <v>1002</v>
      </c>
      <c r="D129" s="228">
        <v>4212.3900000000003</v>
      </c>
      <c r="E129" s="284" t="s">
        <v>1870</v>
      </c>
      <c r="F129" s="390">
        <f t="shared" si="5"/>
        <v>239.88</v>
      </c>
      <c r="G129" s="421">
        <f t="shared" si="3"/>
        <v>248.27</v>
      </c>
    </row>
    <row r="130" spans="1:7">
      <c r="A130" s="282"/>
      <c r="B130" s="262" t="s">
        <v>2173</v>
      </c>
      <c r="C130" s="290" t="s">
        <v>1002</v>
      </c>
      <c r="D130" s="228">
        <v>4226.55</v>
      </c>
      <c r="E130" s="284" t="s">
        <v>1870</v>
      </c>
      <c r="F130" s="390">
        <f t="shared" si="5"/>
        <v>240.69</v>
      </c>
      <c r="G130" s="421">
        <f t="shared" si="3"/>
        <v>249.11</v>
      </c>
    </row>
    <row r="131" spans="1:7">
      <c r="A131" s="282"/>
      <c r="B131" s="262" t="s">
        <v>2609</v>
      </c>
      <c r="C131" s="290" t="s">
        <v>1002</v>
      </c>
      <c r="D131" s="228">
        <v>5069.03</v>
      </c>
      <c r="E131" s="284" t="s">
        <v>1870</v>
      </c>
      <c r="F131" s="390">
        <f t="shared" si="5"/>
        <v>288.66000000000003</v>
      </c>
      <c r="G131" s="421">
        <f t="shared" si="3"/>
        <v>298.76</v>
      </c>
    </row>
    <row r="132" spans="1:7">
      <c r="A132" s="282"/>
      <c r="B132" s="262" t="s">
        <v>2174</v>
      </c>
      <c r="C132" s="290" t="s">
        <v>1002</v>
      </c>
      <c r="D132" s="228">
        <v>5484.07</v>
      </c>
      <c r="E132" s="284" t="s">
        <v>1870</v>
      </c>
      <c r="F132" s="390">
        <f t="shared" si="5"/>
        <v>312.3</v>
      </c>
      <c r="G132" s="421">
        <f t="shared" si="3"/>
        <v>323.23</v>
      </c>
    </row>
    <row r="133" spans="1:7">
      <c r="A133" s="282"/>
      <c r="B133" s="262" t="s">
        <v>2611</v>
      </c>
      <c r="C133" s="290" t="s">
        <v>1002</v>
      </c>
      <c r="D133" s="228">
        <v>5849.56</v>
      </c>
      <c r="E133" s="284" t="s">
        <v>1870</v>
      </c>
      <c r="F133" s="390">
        <f t="shared" si="5"/>
        <v>333.11</v>
      </c>
      <c r="G133" s="421">
        <f t="shared" si="3"/>
        <v>344.76</v>
      </c>
    </row>
    <row r="134" spans="1:7">
      <c r="A134" s="282"/>
      <c r="B134" s="262" t="s">
        <v>2612</v>
      </c>
      <c r="C134" s="290" t="s">
        <v>1002</v>
      </c>
      <c r="D134" s="228">
        <v>6407.96</v>
      </c>
      <c r="E134" s="284" t="s">
        <v>1870</v>
      </c>
      <c r="F134" s="390">
        <f t="shared" si="5"/>
        <v>364.91</v>
      </c>
      <c r="G134" s="421">
        <f t="shared" si="3"/>
        <v>377.68</v>
      </c>
    </row>
    <row r="135" spans="1:7">
      <c r="A135" s="282"/>
      <c r="B135" s="262" t="s">
        <v>2613</v>
      </c>
      <c r="C135" s="290" t="s">
        <v>1002</v>
      </c>
      <c r="D135" s="228">
        <v>7019.47</v>
      </c>
      <c r="E135" s="284" t="s">
        <v>1870</v>
      </c>
      <c r="F135" s="390">
        <f t="shared" si="5"/>
        <v>399.74</v>
      </c>
      <c r="G135" s="421">
        <f t="shared" si="3"/>
        <v>413.73</v>
      </c>
    </row>
    <row r="136" spans="1:7">
      <c r="A136" s="282"/>
      <c r="B136" s="262" t="s">
        <v>2614</v>
      </c>
      <c r="C136" s="290" t="s">
        <v>1002</v>
      </c>
      <c r="D136" s="228">
        <v>7323.89</v>
      </c>
      <c r="E136" s="284" t="s">
        <v>1870</v>
      </c>
      <c r="F136" s="390">
        <f t="shared" si="5"/>
        <v>417.07</v>
      </c>
      <c r="G136" s="421">
        <f t="shared" si="3"/>
        <v>431.66</v>
      </c>
    </row>
    <row r="137" spans="1:7" ht="22.5">
      <c r="A137" s="282"/>
      <c r="B137" s="283" t="s">
        <v>2339</v>
      </c>
      <c r="C137" s="283"/>
      <c r="D137" s="228"/>
      <c r="E137" s="294"/>
      <c r="F137" s="394"/>
      <c r="G137" s="421">
        <f t="shared" si="3"/>
        <v>0</v>
      </c>
    </row>
    <row r="138" spans="1:7">
      <c r="A138" s="282"/>
      <c r="B138" s="262" t="s">
        <v>2001</v>
      </c>
      <c r="C138" s="290" t="s">
        <v>2338</v>
      </c>
      <c r="D138" s="228">
        <v>4476.1099999999997</v>
      </c>
      <c r="E138" s="284" t="s">
        <v>1870</v>
      </c>
      <c r="F138" s="390">
        <f t="shared" ref="F138:F149" si="6">FLOOR(D138/17.56,0.01)</f>
        <v>254.9</v>
      </c>
      <c r="G138" s="421">
        <f t="shared" si="3"/>
        <v>263.82</v>
      </c>
    </row>
    <row r="139" spans="1:7">
      <c r="A139" s="282"/>
      <c r="B139" s="262" t="s">
        <v>2002</v>
      </c>
      <c r="C139" s="290" t="s">
        <v>1002</v>
      </c>
      <c r="D139" s="228">
        <v>4738.05</v>
      </c>
      <c r="E139" s="284" t="s">
        <v>1870</v>
      </c>
      <c r="F139" s="390">
        <f t="shared" si="6"/>
        <v>269.82</v>
      </c>
      <c r="G139" s="421">
        <f t="shared" si="3"/>
        <v>279.26</v>
      </c>
    </row>
    <row r="140" spans="1:7">
      <c r="A140" s="282"/>
      <c r="B140" s="262" t="s">
        <v>2003</v>
      </c>
      <c r="C140" s="290" t="s">
        <v>1002</v>
      </c>
      <c r="D140" s="228">
        <v>4984.96</v>
      </c>
      <c r="E140" s="284" t="s">
        <v>1870</v>
      </c>
      <c r="F140" s="390">
        <f t="shared" si="6"/>
        <v>283.88</v>
      </c>
      <c r="G140" s="421">
        <f t="shared" si="3"/>
        <v>293.81</v>
      </c>
    </row>
    <row r="141" spans="1:7">
      <c r="A141" s="282"/>
      <c r="B141" s="262" t="s">
        <v>2606</v>
      </c>
      <c r="C141" s="290" t="s">
        <v>1002</v>
      </c>
      <c r="D141" s="228">
        <v>5255.75</v>
      </c>
      <c r="E141" s="284" t="s">
        <v>1870</v>
      </c>
      <c r="F141" s="390">
        <f t="shared" si="6"/>
        <v>299.3</v>
      </c>
      <c r="G141" s="421">
        <f t="shared" ref="G141:G204" si="7">FLOOR(F141*1.035,0.01)</f>
        <v>309.77</v>
      </c>
    </row>
    <row r="142" spans="1:7">
      <c r="A142" s="282"/>
      <c r="B142" s="262" t="s">
        <v>2607</v>
      </c>
      <c r="C142" s="290" t="s">
        <v>1002</v>
      </c>
      <c r="D142" s="228">
        <v>5568.14</v>
      </c>
      <c r="E142" s="284" t="s">
        <v>1870</v>
      </c>
      <c r="F142" s="390">
        <f t="shared" si="6"/>
        <v>317.09000000000003</v>
      </c>
      <c r="G142" s="421">
        <f t="shared" si="7"/>
        <v>328.18</v>
      </c>
    </row>
    <row r="143" spans="1:7">
      <c r="A143" s="282"/>
      <c r="B143" s="262" t="s">
        <v>2608</v>
      </c>
      <c r="C143" s="290" t="s">
        <v>1002</v>
      </c>
      <c r="D143" s="228">
        <v>5933.63</v>
      </c>
      <c r="E143" s="284" t="s">
        <v>1870</v>
      </c>
      <c r="F143" s="390">
        <f t="shared" si="6"/>
        <v>337.90000000000003</v>
      </c>
      <c r="G143" s="421">
        <f t="shared" si="7"/>
        <v>349.72</v>
      </c>
    </row>
    <row r="144" spans="1:7">
      <c r="A144" s="282"/>
      <c r="B144" s="262" t="s">
        <v>2609</v>
      </c>
      <c r="C144" s="290" t="s">
        <v>1002</v>
      </c>
      <c r="D144" s="228">
        <v>6549.56</v>
      </c>
      <c r="E144" s="284" t="s">
        <v>1870</v>
      </c>
      <c r="F144" s="390">
        <f t="shared" si="6"/>
        <v>372.98</v>
      </c>
      <c r="G144" s="421">
        <f t="shared" si="7"/>
        <v>386.03000000000003</v>
      </c>
    </row>
    <row r="145" spans="1:7">
      <c r="A145" s="282"/>
      <c r="B145" s="262" t="s">
        <v>2610</v>
      </c>
      <c r="C145" s="290" t="s">
        <v>1002</v>
      </c>
      <c r="D145" s="228">
        <v>7014.95</v>
      </c>
      <c r="E145" s="284" t="s">
        <v>1870</v>
      </c>
      <c r="F145" s="390">
        <f t="shared" si="6"/>
        <v>399.48</v>
      </c>
      <c r="G145" s="421">
        <f t="shared" si="7"/>
        <v>413.46000000000004</v>
      </c>
    </row>
    <row r="146" spans="1:7">
      <c r="A146" s="282"/>
      <c r="B146" s="262" t="s">
        <v>2611</v>
      </c>
      <c r="C146" s="290" t="s">
        <v>1002</v>
      </c>
      <c r="D146" s="228">
        <v>7461.95</v>
      </c>
      <c r="E146" s="284" t="s">
        <v>1870</v>
      </c>
      <c r="F146" s="390">
        <f t="shared" si="6"/>
        <v>424.94</v>
      </c>
      <c r="G146" s="421">
        <f t="shared" si="7"/>
        <v>439.81</v>
      </c>
    </row>
    <row r="147" spans="1:7">
      <c r="A147" s="282"/>
      <c r="B147" s="262" t="s">
        <v>2612</v>
      </c>
      <c r="C147" s="290" t="s">
        <v>1002</v>
      </c>
      <c r="D147" s="228">
        <v>8021.24</v>
      </c>
      <c r="E147" s="284" t="s">
        <v>1870</v>
      </c>
      <c r="F147" s="390">
        <f t="shared" si="6"/>
        <v>456.79</v>
      </c>
      <c r="G147" s="421">
        <f t="shared" si="7"/>
        <v>472.77</v>
      </c>
    </row>
    <row r="148" spans="1:7">
      <c r="A148" s="282"/>
      <c r="B148" s="262" t="s">
        <v>2613</v>
      </c>
      <c r="C148" s="290" t="s">
        <v>1002</v>
      </c>
      <c r="D148" s="228">
        <v>8747.7900000000009</v>
      </c>
      <c r="E148" s="284" t="s">
        <v>1870</v>
      </c>
      <c r="F148" s="390">
        <f t="shared" si="6"/>
        <v>498.16</v>
      </c>
      <c r="G148" s="421">
        <f t="shared" si="7"/>
        <v>515.59</v>
      </c>
    </row>
    <row r="149" spans="1:7">
      <c r="A149" s="282"/>
      <c r="B149" s="262" t="s">
        <v>2614</v>
      </c>
      <c r="C149" s="290" t="s">
        <v>1002</v>
      </c>
      <c r="D149" s="228">
        <v>9043.36</v>
      </c>
      <c r="E149" s="284" t="s">
        <v>1870</v>
      </c>
      <c r="F149" s="390">
        <f t="shared" si="6"/>
        <v>514.99</v>
      </c>
      <c r="G149" s="421">
        <f t="shared" si="7"/>
        <v>533.01</v>
      </c>
    </row>
    <row r="150" spans="1:7" ht="39">
      <c r="A150" s="282"/>
      <c r="B150" s="283" t="s">
        <v>2615</v>
      </c>
      <c r="C150" s="283"/>
      <c r="D150" s="228"/>
      <c r="E150" s="294"/>
      <c r="F150" s="394"/>
      <c r="G150" s="421">
        <f t="shared" si="7"/>
        <v>0</v>
      </c>
    </row>
    <row r="151" spans="1:7">
      <c r="A151" s="282"/>
      <c r="B151" s="262" t="s">
        <v>2001</v>
      </c>
      <c r="C151" s="290" t="s">
        <v>2338</v>
      </c>
      <c r="D151" s="228">
        <v>3260.18</v>
      </c>
      <c r="E151" s="284" t="s">
        <v>1870</v>
      </c>
      <c r="F151" s="390">
        <f t="shared" ref="F151:F162" si="8">FLOOR(D151/17.56,0.01)</f>
        <v>185.65</v>
      </c>
      <c r="G151" s="421">
        <f t="shared" si="7"/>
        <v>192.14000000000001</v>
      </c>
    </row>
    <row r="152" spans="1:7">
      <c r="A152" s="282"/>
      <c r="B152" s="262" t="s">
        <v>2002</v>
      </c>
      <c r="C152" s="290" t="s">
        <v>1002</v>
      </c>
      <c r="D152" s="228">
        <v>3481.42</v>
      </c>
      <c r="E152" s="284" t="s">
        <v>1870</v>
      </c>
      <c r="F152" s="390">
        <f t="shared" si="8"/>
        <v>198.25</v>
      </c>
      <c r="G152" s="421">
        <f t="shared" si="7"/>
        <v>205.18</v>
      </c>
    </row>
    <row r="153" spans="1:7">
      <c r="A153" s="282"/>
      <c r="B153" s="262" t="s">
        <v>2003</v>
      </c>
      <c r="C153" s="290" t="s">
        <v>1002</v>
      </c>
      <c r="D153" s="228">
        <v>3769.03</v>
      </c>
      <c r="E153" s="284" t="s">
        <v>1870</v>
      </c>
      <c r="F153" s="390">
        <f t="shared" si="8"/>
        <v>214.63</v>
      </c>
      <c r="G153" s="421">
        <f t="shared" si="7"/>
        <v>222.14000000000001</v>
      </c>
    </row>
    <row r="154" spans="1:7">
      <c r="A154" s="282"/>
      <c r="B154" s="262" t="s">
        <v>2606</v>
      </c>
      <c r="C154" s="290" t="s">
        <v>1002</v>
      </c>
      <c r="D154" s="228">
        <v>3965.49</v>
      </c>
      <c r="E154" s="284" t="s">
        <v>1870</v>
      </c>
      <c r="F154" s="390">
        <f t="shared" si="8"/>
        <v>225.82</v>
      </c>
      <c r="G154" s="421">
        <f t="shared" si="7"/>
        <v>233.72</v>
      </c>
    </row>
    <row r="155" spans="1:7">
      <c r="A155" s="282"/>
      <c r="B155" s="262" t="s">
        <v>2607</v>
      </c>
      <c r="C155" s="290" t="s">
        <v>1002</v>
      </c>
      <c r="D155" s="228">
        <v>4161.95</v>
      </c>
      <c r="E155" s="284" t="s">
        <v>1870</v>
      </c>
      <c r="F155" s="390">
        <f t="shared" si="8"/>
        <v>237.01</v>
      </c>
      <c r="G155" s="421">
        <f t="shared" si="7"/>
        <v>245.3</v>
      </c>
    </row>
    <row r="156" spans="1:7">
      <c r="A156" s="282"/>
      <c r="B156" s="262" t="s">
        <v>2608</v>
      </c>
      <c r="C156" s="290" t="s">
        <v>1002</v>
      </c>
      <c r="D156" s="228">
        <v>4569.03</v>
      </c>
      <c r="E156" s="284" t="s">
        <v>1870</v>
      </c>
      <c r="F156" s="390">
        <f t="shared" si="8"/>
        <v>260.19</v>
      </c>
      <c r="G156" s="421">
        <f t="shared" si="7"/>
        <v>269.29000000000002</v>
      </c>
    </row>
    <row r="157" spans="1:7">
      <c r="A157" s="282"/>
      <c r="B157" s="262" t="s">
        <v>2609</v>
      </c>
      <c r="C157" s="290" t="s">
        <v>1002</v>
      </c>
      <c r="D157" s="228">
        <v>5019.47</v>
      </c>
      <c r="E157" s="284" t="s">
        <v>1870</v>
      </c>
      <c r="F157" s="390">
        <f t="shared" si="8"/>
        <v>285.84000000000003</v>
      </c>
      <c r="G157" s="421">
        <f t="shared" si="7"/>
        <v>295.84000000000003</v>
      </c>
    </row>
    <row r="158" spans="1:7">
      <c r="A158" s="282"/>
      <c r="B158" s="262" t="s">
        <v>2610</v>
      </c>
      <c r="C158" s="290" t="s">
        <v>1002</v>
      </c>
      <c r="D158" s="228">
        <v>5426.55</v>
      </c>
      <c r="E158" s="284" t="s">
        <v>1870</v>
      </c>
      <c r="F158" s="390">
        <f t="shared" si="8"/>
        <v>309.02</v>
      </c>
      <c r="G158" s="421">
        <f t="shared" si="7"/>
        <v>319.83</v>
      </c>
    </row>
    <row r="159" spans="1:7">
      <c r="A159" s="282"/>
      <c r="B159" s="262" t="s">
        <v>2611</v>
      </c>
      <c r="C159" s="290" t="s">
        <v>1002</v>
      </c>
      <c r="D159" s="228">
        <v>5791.15</v>
      </c>
      <c r="E159" s="284" t="s">
        <v>1870</v>
      </c>
      <c r="F159" s="390">
        <f t="shared" si="8"/>
        <v>329.79</v>
      </c>
      <c r="G159" s="421">
        <f t="shared" si="7"/>
        <v>341.33</v>
      </c>
    </row>
    <row r="160" spans="1:7">
      <c r="A160" s="282"/>
      <c r="B160" s="262" t="s">
        <v>2612</v>
      </c>
      <c r="C160" s="290" t="s">
        <v>1002</v>
      </c>
      <c r="D160" s="228">
        <v>6358.41</v>
      </c>
      <c r="E160" s="284" t="s">
        <v>1870</v>
      </c>
      <c r="F160" s="390">
        <f t="shared" si="8"/>
        <v>362.09000000000003</v>
      </c>
      <c r="G160" s="421">
        <f t="shared" si="7"/>
        <v>374.76</v>
      </c>
    </row>
    <row r="161" spans="1:7">
      <c r="A161" s="282"/>
      <c r="B161" s="262" t="s">
        <v>2613</v>
      </c>
      <c r="C161" s="290" t="s">
        <v>1002</v>
      </c>
      <c r="D161" s="228">
        <v>6961.95</v>
      </c>
      <c r="E161" s="284" t="s">
        <v>1870</v>
      </c>
      <c r="F161" s="390">
        <f t="shared" si="8"/>
        <v>396.46000000000004</v>
      </c>
      <c r="G161" s="421">
        <f t="shared" si="7"/>
        <v>410.33</v>
      </c>
    </row>
    <row r="162" spans="1:7">
      <c r="A162" s="282"/>
      <c r="B162" s="262" t="s">
        <v>2614</v>
      </c>
      <c r="C162" s="290" t="s">
        <v>1002</v>
      </c>
      <c r="D162" s="228">
        <v>7265.49</v>
      </c>
      <c r="E162" s="284" t="s">
        <v>1870</v>
      </c>
      <c r="F162" s="390">
        <f t="shared" si="8"/>
        <v>413.75</v>
      </c>
      <c r="G162" s="421">
        <f t="shared" si="7"/>
        <v>428.23</v>
      </c>
    </row>
    <row r="163" spans="1:7" ht="58.5">
      <c r="A163" s="309"/>
      <c r="B163" s="283" t="s">
        <v>2616</v>
      </c>
      <c r="C163" s="283"/>
      <c r="D163" s="228"/>
      <c r="E163" s="294"/>
      <c r="F163" s="394"/>
      <c r="G163" s="421">
        <f t="shared" si="7"/>
        <v>0</v>
      </c>
    </row>
    <row r="164" spans="1:7" ht="22.5">
      <c r="A164" s="282"/>
      <c r="B164" s="283" t="s">
        <v>2340</v>
      </c>
      <c r="C164" s="283"/>
      <c r="D164" s="228"/>
      <c r="E164" s="294"/>
      <c r="F164" s="394"/>
      <c r="G164" s="421">
        <f t="shared" si="7"/>
        <v>0</v>
      </c>
    </row>
    <row r="165" spans="1:7">
      <c r="A165" s="282"/>
      <c r="B165" s="314" t="s">
        <v>2617</v>
      </c>
      <c r="C165" s="397" t="s">
        <v>2338</v>
      </c>
      <c r="D165" s="228">
        <v>1354.87</v>
      </c>
      <c r="E165" s="398"/>
      <c r="F165" s="399"/>
      <c r="G165" s="421">
        <f t="shared" si="7"/>
        <v>0</v>
      </c>
    </row>
    <row r="166" spans="1:7">
      <c r="A166" s="282"/>
      <c r="B166" s="314" t="s">
        <v>2618</v>
      </c>
      <c r="C166" s="397" t="s">
        <v>1002</v>
      </c>
      <c r="D166" s="228">
        <v>1420.35</v>
      </c>
      <c r="E166" s="398"/>
      <c r="F166" s="399"/>
      <c r="G166" s="421">
        <f t="shared" si="7"/>
        <v>0</v>
      </c>
    </row>
    <row r="167" spans="1:7">
      <c r="A167" s="282"/>
      <c r="B167" s="262" t="s">
        <v>2619</v>
      </c>
      <c r="C167" s="397" t="s">
        <v>1002</v>
      </c>
      <c r="D167" s="228">
        <v>1555.75</v>
      </c>
      <c r="E167" s="398"/>
      <c r="F167" s="399"/>
      <c r="G167" s="421">
        <f t="shared" si="7"/>
        <v>0</v>
      </c>
    </row>
    <row r="168" spans="1:7">
      <c r="A168" s="282"/>
      <c r="B168" s="262" t="s">
        <v>2620</v>
      </c>
      <c r="C168" s="397" t="s">
        <v>1002</v>
      </c>
      <c r="D168" s="228">
        <v>1706.19</v>
      </c>
      <c r="E168" s="398"/>
      <c r="F168" s="399"/>
      <c r="G168" s="421">
        <f t="shared" si="7"/>
        <v>0</v>
      </c>
    </row>
    <row r="169" spans="1:7">
      <c r="A169" s="282"/>
      <c r="B169" s="262" t="s">
        <v>2621</v>
      </c>
      <c r="C169" s="397" t="s">
        <v>1002</v>
      </c>
      <c r="D169" s="228">
        <v>1842.48</v>
      </c>
      <c r="E169" s="398"/>
      <c r="F169" s="399"/>
      <c r="G169" s="421">
        <f t="shared" si="7"/>
        <v>0</v>
      </c>
    </row>
    <row r="170" spans="1:7">
      <c r="A170" s="282"/>
      <c r="B170" s="262" t="s">
        <v>68</v>
      </c>
      <c r="C170" s="397" t="s">
        <v>1002</v>
      </c>
      <c r="D170" s="228">
        <v>1963.72</v>
      </c>
      <c r="E170" s="398"/>
      <c r="F170" s="399"/>
      <c r="G170" s="421">
        <f t="shared" si="7"/>
        <v>0</v>
      </c>
    </row>
    <row r="171" spans="1:7" ht="22.5">
      <c r="A171" s="309"/>
      <c r="B171" s="283" t="s">
        <v>69</v>
      </c>
      <c r="C171" s="283"/>
      <c r="D171" s="228"/>
      <c r="E171" s="294"/>
      <c r="F171" s="394"/>
      <c r="G171" s="421">
        <f t="shared" si="7"/>
        <v>0</v>
      </c>
    </row>
    <row r="172" spans="1:7">
      <c r="A172" s="282"/>
      <c r="B172" s="286" t="s">
        <v>2031</v>
      </c>
      <c r="C172" s="290" t="s">
        <v>2341</v>
      </c>
      <c r="D172" s="228">
        <v>1038.94</v>
      </c>
      <c r="E172" s="284" t="s">
        <v>978</v>
      </c>
      <c r="F172" s="393">
        <f t="shared" ref="F172:F177" si="9">FLOOR(D172/8*3.28,0.01)</f>
        <v>425.96000000000004</v>
      </c>
      <c r="G172" s="421">
        <f t="shared" si="7"/>
        <v>440.86</v>
      </c>
    </row>
    <row r="173" spans="1:7">
      <c r="A173" s="282"/>
      <c r="B173" s="286" t="s">
        <v>1450</v>
      </c>
      <c r="C173" s="290" t="s">
        <v>1002</v>
      </c>
      <c r="D173" s="228">
        <v>1130.94</v>
      </c>
      <c r="E173" s="284" t="s">
        <v>978</v>
      </c>
      <c r="F173" s="393">
        <f t="shared" si="9"/>
        <v>463.68</v>
      </c>
      <c r="G173" s="421">
        <f t="shared" si="7"/>
        <v>479.90000000000003</v>
      </c>
    </row>
    <row r="174" spans="1:7">
      <c r="A174" s="282"/>
      <c r="B174" s="286" t="s">
        <v>1451</v>
      </c>
      <c r="C174" s="290" t="s">
        <v>1002</v>
      </c>
      <c r="D174" s="228">
        <v>1270.8</v>
      </c>
      <c r="E174" s="284" t="s">
        <v>978</v>
      </c>
      <c r="F174" s="393">
        <f t="shared" si="9"/>
        <v>521.02</v>
      </c>
      <c r="G174" s="421">
        <f t="shared" si="7"/>
        <v>539.25</v>
      </c>
    </row>
    <row r="175" spans="1:7">
      <c r="A175" s="282"/>
      <c r="B175" s="286" t="s">
        <v>1452</v>
      </c>
      <c r="C175" s="290" t="s">
        <v>1002</v>
      </c>
      <c r="D175" s="228">
        <v>1515.93</v>
      </c>
      <c r="E175" s="284" t="s">
        <v>978</v>
      </c>
      <c r="F175" s="393">
        <f>FLOOR(D175/8*3.28,0.01)</f>
        <v>621.53</v>
      </c>
      <c r="G175" s="421">
        <f t="shared" si="7"/>
        <v>643.28</v>
      </c>
    </row>
    <row r="176" spans="1:7">
      <c r="A176" s="282"/>
      <c r="B176" s="286" t="s">
        <v>1453</v>
      </c>
      <c r="C176" s="290" t="s">
        <v>1002</v>
      </c>
      <c r="D176" s="228">
        <v>1615.04</v>
      </c>
      <c r="E176" s="284" t="s">
        <v>978</v>
      </c>
      <c r="F176" s="393">
        <f t="shared" si="9"/>
        <v>662.16</v>
      </c>
      <c r="G176" s="421">
        <f t="shared" si="7"/>
        <v>685.33</v>
      </c>
    </row>
    <row r="177" spans="1:7">
      <c r="A177" s="282"/>
      <c r="B177" s="286" t="s">
        <v>1454</v>
      </c>
      <c r="C177" s="290" t="s">
        <v>1002</v>
      </c>
      <c r="D177" s="228">
        <v>1795.58</v>
      </c>
      <c r="E177" s="284" t="s">
        <v>978</v>
      </c>
      <c r="F177" s="393">
        <f t="shared" si="9"/>
        <v>736.18000000000006</v>
      </c>
      <c r="G177" s="421">
        <f t="shared" si="7"/>
        <v>761.94</v>
      </c>
    </row>
    <row r="178" spans="1:7" ht="22.5">
      <c r="A178" s="282"/>
      <c r="B178" s="283" t="s">
        <v>2032</v>
      </c>
      <c r="C178" s="283"/>
      <c r="D178" s="228"/>
      <c r="E178" s="294"/>
      <c r="F178" s="394"/>
      <c r="G178" s="421">
        <f t="shared" si="7"/>
        <v>0</v>
      </c>
    </row>
    <row r="179" spans="1:7">
      <c r="A179" s="282"/>
      <c r="B179" s="286" t="s">
        <v>1455</v>
      </c>
      <c r="C179" s="290" t="s">
        <v>2341</v>
      </c>
      <c r="D179" s="228">
        <v>1262.83</v>
      </c>
      <c r="E179" s="284" t="s">
        <v>978</v>
      </c>
      <c r="F179" s="393">
        <f t="shared" ref="F179:F184" si="10">FLOOR(D179/8*3.28,0.01)</f>
        <v>517.76</v>
      </c>
      <c r="G179" s="421">
        <f t="shared" si="7"/>
        <v>535.88</v>
      </c>
    </row>
    <row r="180" spans="1:7">
      <c r="A180" s="282"/>
      <c r="B180" s="286" t="s">
        <v>1450</v>
      </c>
      <c r="C180" s="290" t="s">
        <v>1002</v>
      </c>
      <c r="D180" s="228">
        <v>1369.91</v>
      </c>
      <c r="E180" s="284" t="s">
        <v>978</v>
      </c>
      <c r="F180" s="393">
        <f t="shared" si="10"/>
        <v>561.66</v>
      </c>
      <c r="G180" s="421">
        <f t="shared" si="7"/>
        <v>581.31000000000006</v>
      </c>
    </row>
    <row r="181" spans="1:7">
      <c r="A181" s="282"/>
      <c r="B181" s="286" t="s">
        <v>1456</v>
      </c>
      <c r="C181" s="290" t="s">
        <v>1002</v>
      </c>
      <c r="D181" s="228">
        <v>1524.78</v>
      </c>
      <c r="E181" s="284" t="s">
        <v>978</v>
      </c>
      <c r="F181" s="393">
        <f t="shared" si="10"/>
        <v>625.15</v>
      </c>
      <c r="G181" s="421">
        <f t="shared" si="7"/>
        <v>647.03</v>
      </c>
    </row>
    <row r="182" spans="1:7">
      <c r="A182" s="282"/>
      <c r="B182" s="286" t="s">
        <v>1452</v>
      </c>
      <c r="C182" s="290" t="s">
        <v>1002</v>
      </c>
      <c r="D182" s="228">
        <v>1786.73</v>
      </c>
      <c r="E182" s="284" t="s">
        <v>978</v>
      </c>
      <c r="F182" s="393">
        <f t="shared" si="10"/>
        <v>732.55000000000007</v>
      </c>
      <c r="G182" s="421">
        <f t="shared" si="7"/>
        <v>758.18000000000006</v>
      </c>
    </row>
    <row r="183" spans="1:7">
      <c r="A183" s="282"/>
      <c r="B183" s="286" t="s">
        <v>1453</v>
      </c>
      <c r="C183" s="290" t="s">
        <v>1002</v>
      </c>
      <c r="D183" s="228">
        <v>1878.76</v>
      </c>
      <c r="E183" s="284" t="s">
        <v>978</v>
      </c>
      <c r="F183" s="393">
        <f t="shared" si="10"/>
        <v>770.29</v>
      </c>
      <c r="G183" s="421">
        <f t="shared" si="7"/>
        <v>797.25</v>
      </c>
    </row>
    <row r="184" spans="1:7">
      <c r="A184" s="282"/>
      <c r="B184" s="286" t="s">
        <v>1946</v>
      </c>
      <c r="C184" s="290" t="s">
        <v>1002</v>
      </c>
      <c r="D184" s="228">
        <v>2090.27</v>
      </c>
      <c r="E184" s="284" t="s">
        <v>978</v>
      </c>
      <c r="F184" s="393">
        <f t="shared" si="10"/>
        <v>857.01</v>
      </c>
      <c r="G184" s="421">
        <f t="shared" si="7"/>
        <v>887</v>
      </c>
    </row>
    <row r="185" spans="1:7" ht="22.5">
      <c r="A185" s="309">
        <v>19</v>
      </c>
      <c r="B185" s="283" t="s">
        <v>1947</v>
      </c>
      <c r="C185" s="290"/>
      <c r="D185" s="228"/>
      <c r="E185" s="285"/>
      <c r="F185" s="392"/>
      <c r="G185" s="421">
        <f t="shared" si="7"/>
        <v>0</v>
      </c>
    </row>
    <row r="186" spans="1:7">
      <c r="A186" s="282"/>
      <c r="B186" s="286" t="s">
        <v>1948</v>
      </c>
      <c r="C186" s="290" t="s">
        <v>1949</v>
      </c>
      <c r="D186" s="228">
        <v>25</v>
      </c>
      <c r="E186" s="284" t="s">
        <v>1870</v>
      </c>
      <c r="F186" s="393">
        <f>FLOOR(D186*10.76,0.01)</f>
        <v>269</v>
      </c>
      <c r="G186" s="421">
        <f t="shared" si="7"/>
        <v>278.41000000000003</v>
      </c>
    </row>
    <row r="187" spans="1:7">
      <c r="A187" s="282"/>
      <c r="B187" s="286" t="s">
        <v>1950</v>
      </c>
      <c r="C187" s="290" t="s">
        <v>2319</v>
      </c>
      <c r="D187" s="228">
        <v>24</v>
      </c>
      <c r="E187" s="284" t="s">
        <v>1870</v>
      </c>
      <c r="F187" s="393">
        <f>FLOOR(D187*10.76,0.01)</f>
        <v>258.24</v>
      </c>
      <c r="G187" s="421">
        <f t="shared" si="7"/>
        <v>267.27</v>
      </c>
    </row>
    <row r="188" spans="1:7" ht="36.75">
      <c r="A188" s="309"/>
      <c r="B188" s="316" t="s">
        <v>2033</v>
      </c>
      <c r="C188" s="290" t="s">
        <v>2319</v>
      </c>
      <c r="D188" s="228"/>
      <c r="E188" s="284" t="s">
        <v>1870</v>
      </c>
      <c r="F188" s="393">
        <f>FLOOR(D188*10.76,0.01)</f>
        <v>0</v>
      </c>
      <c r="G188" s="421">
        <f t="shared" si="7"/>
        <v>0</v>
      </c>
    </row>
    <row r="189" spans="1:7" ht="22.5">
      <c r="A189" s="309">
        <v>20</v>
      </c>
      <c r="B189" s="283" t="s">
        <v>2034</v>
      </c>
      <c r="C189" s="317"/>
      <c r="D189" s="228"/>
      <c r="E189" s="291"/>
      <c r="F189" s="392"/>
      <c r="G189" s="421">
        <f t="shared" si="7"/>
        <v>0</v>
      </c>
    </row>
    <row r="190" spans="1:7" ht="37.5">
      <c r="A190" s="282"/>
      <c r="B190" s="286" t="s">
        <v>2035</v>
      </c>
      <c r="C190" s="290" t="s">
        <v>2063</v>
      </c>
      <c r="D190" s="228">
        <v>105</v>
      </c>
      <c r="E190" s="284" t="s">
        <v>1870</v>
      </c>
      <c r="F190" s="400">
        <f>D190</f>
        <v>105</v>
      </c>
      <c r="G190" s="421">
        <f t="shared" si="7"/>
        <v>108.67</v>
      </c>
    </row>
    <row r="191" spans="1:7">
      <c r="A191" s="282"/>
      <c r="B191" s="286" t="s">
        <v>1951</v>
      </c>
      <c r="C191" s="290" t="s">
        <v>1975</v>
      </c>
      <c r="D191" s="228">
        <v>110</v>
      </c>
      <c r="E191" s="284" t="s">
        <v>1870</v>
      </c>
      <c r="F191" s="400">
        <f>D191</f>
        <v>110</v>
      </c>
      <c r="G191" s="421">
        <f t="shared" si="7"/>
        <v>113.85000000000001</v>
      </c>
    </row>
    <row r="192" spans="1:7">
      <c r="A192" s="282"/>
      <c r="B192" s="286" t="s">
        <v>2036</v>
      </c>
      <c r="C192" s="290" t="s">
        <v>1975</v>
      </c>
      <c r="D192" s="228">
        <v>100</v>
      </c>
      <c r="E192" s="284" t="s">
        <v>1870</v>
      </c>
      <c r="F192" s="400">
        <f>D192</f>
        <v>100</v>
      </c>
      <c r="G192" s="421">
        <f t="shared" si="7"/>
        <v>103.5</v>
      </c>
    </row>
    <row r="193" spans="1:7">
      <c r="A193" s="282"/>
      <c r="B193" s="286" t="s">
        <v>1952</v>
      </c>
      <c r="C193" s="290" t="s">
        <v>1975</v>
      </c>
      <c r="D193" s="228">
        <v>150</v>
      </c>
      <c r="E193" s="284" t="s">
        <v>1870</v>
      </c>
      <c r="F193" s="400">
        <f>D193</f>
        <v>150</v>
      </c>
      <c r="G193" s="421">
        <f t="shared" si="7"/>
        <v>155.25</v>
      </c>
    </row>
    <row r="194" spans="1:7" ht="22.5">
      <c r="A194" s="309">
        <v>21</v>
      </c>
      <c r="B194" s="283" t="s">
        <v>1953</v>
      </c>
      <c r="C194" s="290"/>
      <c r="D194" s="228"/>
      <c r="E194" s="291"/>
      <c r="F194" s="392"/>
      <c r="G194" s="421">
        <f t="shared" si="7"/>
        <v>0</v>
      </c>
    </row>
    <row r="195" spans="1:7">
      <c r="A195" s="282"/>
      <c r="B195" s="318" t="s">
        <v>2037</v>
      </c>
      <c r="C195" s="290" t="s">
        <v>1954</v>
      </c>
      <c r="D195" s="228">
        <v>90</v>
      </c>
      <c r="E195" s="290" t="s">
        <v>1954</v>
      </c>
      <c r="F195" s="400">
        <f>D195</f>
        <v>90</v>
      </c>
      <c r="G195" s="421">
        <f t="shared" si="7"/>
        <v>93.15</v>
      </c>
    </row>
    <row r="196" spans="1:7" ht="27">
      <c r="A196" s="282"/>
      <c r="B196" s="318" t="s">
        <v>2038</v>
      </c>
      <c r="C196" s="290" t="s">
        <v>1954</v>
      </c>
      <c r="D196" s="228"/>
      <c r="E196" s="290" t="s">
        <v>1954</v>
      </c>
      <c r="F196" s="400">
        <f>D196</f>
        <v>0</v>
      </c>
      <c r="G196" s="421">
        <f t="shared" si="7"/>
        <v>0</v>
      </c>
    </row>
    <row r="197" spans="1:7" ht="27">
      <c r="A197" s="282"/>
      <c r="B197" s="318" t="s">
        <v>2039</v>
      </c>
      <c r="C197" s="319" t="s">
        <v>1955</v>
      </c>
      <c r="D197" s="228"/>
      <c r="E197" s="319" t="s">
        <v>1955</v>
      </c>
      <c r="F197" s="400">
        <f>D197</f>
        <v>0</v>
      </c>
      <c r="G197" s="421">
        <f t="shared" si="7"/>
        <v>0</v>
      </c>
    </row>
    <row r="198" spans="1:7">
      <c r="A198" s="282"/>
      <c r="B198" s="262" t="s">
        <v>2040</v>
      </c>
      <c r="C198" s="290" t="s">
        <v>1949</v>
      </c>
      <c r="D198" s="228">
        <v>325</v>
      </c>
      <c r="E198" s="284" t="s">
        <v>1870</v>
      </c>
      <c r="F198" s="393">
        <f>FLOOR(D198*10.76,0.01)</f>
        <v>3497</v>
      </c>
      <c r="G198" s="421">
        <f t="shared" si="7"/>
        <v>3619.39</v>
      </c>
    </row>
    <row r="199" spans="1:7" ht="32.25">
      <c r="A199" s="282"/>
      <c r="B199" s="262" t="s">
        <v>2041</v>
      </c>
      <c r="C199" s="290" t="s">
        <v>2807</v>
      </c>
      <c r="D199" s="228"/>
      <c r="E199" s="284" t="s">
        <v>1870</v>
      </c>
      <c r="F199" s="400">
        <f>D199</f>
        <v>0</v>
      </c>
      <c r="G199" s="421">
        <f t="shared" si="7"/>
        <v>0</v>
      </c>
    </row>
    <row r="200" spans="1:7" ht="32.25">
      <c r="A200" s="282"/>
      <c r="B200" s="262" t="s">
        <v>2042</v>
      </c>
      <c r="C200" s="290" t="s">
        <v>2063</v>
      </c>
      <c r="D200" s="228"/>
      <c r="E200" s="284" t="s">
        <v>1870</v>
      </c>
      <c r="F200" s="400">
        <f>D200</f>
        <v>0</v>
      </c>
      <c r="G200" s="421">
        <f t="shared" si="7"/>
        <v>0</v>
      </c>
    </row>
    <row r="201" spans="1:7">
      <c r="A201" s="282"/>
      <c r="B201" s="262" t="s">
        <v>2043</v>
      </c>
      <c r="C201" s="284" t="s">
        <v>1949</v>
      </c>
      <c r="D201" s="228">
        <v>200</v>
      </c>
      <c r="E201" s="284" t="s">
        <v>1870</v>
      </c>
      <c r="F201" s="393">
        <f>FLOOR(D201*10.76,0.01)</f>
        <v>2152</v>
      </c>
      <c r="G201" s="421">
        <f t="shared" si="7"/>
        <v>2227.3200000000002</v>
      </c>
    </row>
    <row r="202" spans="1:7" ht="32.25">
      <c r="A202" s="282"/>
      <c r="B202" s="262" t="s">
        <v>2044</v>
      </c>
      <c r="C202" s="284" t="s">
        <v>2319</v>
      </c>
      <c r="D202" s="228">
        <v>250</v>
      </c>
      <c r="E202" s="284" t="s">
        <v>1870</v>
      </c>
      <c r="F202" s="393">
        <f>FLOOR(D202*10.76,0.01)</f>
        <v>2690</v>
      </c>
      <c r="G202" s="421">
        <f t="shared" si="7"/>
        <v>2784.15</v>
      </c>
    </row>
    <row r="203" spans="1:7" ht="32.25">
      <c r="A203" s="282"/>
      <c r="B203" s="262" t="s">
        <v>1877</v>
      </c>
      <c r="C203" s="284" t="s">
        <v>2319</v>
      </c>
      <c r="D203" s="228">
        <v>310</v>
      </c>
      <c r="E203" s="284" t="s">
        <v>1870</v>
      </c>
      <c r="F203" s="393">
        <f>FLOOR(D203*10.76,0.01)</f>
        <v>3335.6</v>
      </c>
      <c r="G203" s="421">
        <f t="shared" si="7"/>
        <v>3452.34</v>
      </c>
    </row>
    <row r="204" spans="1:7">
      <c r="A204" s="282"/>
      <c r="B204" s="320" t="s">
        <v>1878</v>
      </c>
      <c r="C204" s="284" t="s">
        <v>2319</v>
      </c>
      <c r="D204" s="228"/>
      <c r="E204" s="321"/>
      <c r="F204" s="401"/>
      <c r="G204" s="421">
        <f t="shared" si="7"/>
        <v>0</v>
      </c>
    </row>
    <row r="205" spans="1:7">
      <c r="A205" s="282"/>
      <c r="B205" s="262" t="s">
        <v>1873</v>
      </c>
      <c r="C205" s="284" t="s">
        <v>1956</v>
      </c>
      <c r="D205" s="228"/>
      <c r="E205" s="321"/>
      <c r="F205" s="401"/>
      <c r="G205" s="421">
        <f t="shared" ref="G205:G268" si="11">FLOOR(F205*1.035,0.01)</f>
        <v>0</v>
      </c>
    </row>
    <row r="206" spans="1:7" ht="32.25">
      <c r="A206" s="282"/>
      <c r="B206" s="262" t="s">
        <v>1874</v>
      </c>
      <c r="C206" s="284" t="s">
        <v>2319</v>
      </c>
      <c r="D206" s="228"/>
      <c r="E206" s="321"/>
      <c r="F206" s="401"/>
      <c r="G206" s="421">
        <f t="shared" si="11"/>
        <v>0</v>
      </c>
    </row>
    <row r="207" spans="1:7" ht="32.25">
      <c r="A207" s="566" t="s">
        <v>717</v>
      </c>
      <c r="B207" s="262" t="s">
        <v>1875</v>
      </c>
      <c r="C207" s="290" t="s">
        <v>1954</v>
      </c>
      <c r="D207" s="228">
        <v>400</v>
      </c>
      <c r="E207" s="290" t="s">
        <v>1954</v>
      </c>
      <c r="F207" s="400">
        <f>D207</f>
        <v>400</v>
      </c>
      <c r="G207" s="421">
        <f t="shared" si="11"/>
        <v>414</v>
      </c>
    </row>
    <row r="208" spans="1:7" ht="63.75">
      <c r="A208" s="282"/>
      <c r="B208" s="303" t="s">
        <v>1876</v>
      </c>
      <c r="C208" s="290" t="s">
        <v>1957</v>
      </c>
      <c r="D208" s="228"/>
      <c r="E208" s="284" t="s">
        <v>978</v>
      </c>
      <c r="F208" s="393">
        <f>FLOOR(D208*3.28,0.01)</f>
        <v>0</v>
      </c>
      <c r="G208" s="421">
        <f t="shared" si="11"/>
        <v>0</v>
      </c>
    </row>
    <row r="209" spans="1:7" ht="66.75" customHeight="1">
      <c r="A209" s="309"/>
      <c r="B209" s="568" t="s">
        <v>1497</v>
      </c>
      <c r="C209" s="290" t="s">
        <v>2973</v>
      </c>
      <c r="D209" s="228"/>
      <c r="E209" s="291"/>
      <c r="F209" s="392"/>
      <c r="G209" s="421"/>
    </row>
    <row r="210" spans="1:7" ht="34.5">
      <c r="A210" s="282"/>
      <c r="B210" s="262" t="s">
        <v>1438</v>
      </c>
      <c r="C210" s="290" t="s">
        <v>699</v>
      </c>
      <c r="D210" s="228"/>
      <c r="E210" s="291"/>
      <c r="F210" s="392"/>
      <c r="G210" s="421"/>
    </row>
    <row r="211" spans="1:7" ht="22.5">
      <c r="A211" s="309"/>
      <c r="B211" s="262" t="s">
        <v>1439</v>
      </c>
      <c r="C211" s="290" t="s">
        <v>2748</v>
      </c>
      <c r="D211" s="228"/>
      <c r="E211" s="291"/>
      <c r="F211" s="392"/>
      <c r="G211" s="421"/>
    </row>
    <row r="212" spans="1:7">
      <c r="A212" s="309">
        <v>22</v>
      </c>
      <c r="B212" s="283" t="s">
        <v>1440</v>
      </c>
      <c r="C212" s="296"/>
      <c r="D212" s="228"/>
      <c r="E212" s="285"/>
      <c r="F212" s="391"/>
      <c r="G212" s="421"/>
    </row>
    <row r="213" spans="1:7">
      <c r="A213" s="309"/>
      <c r="B213" s="295" t="s">
        <v>1441</v>
      </c>
      <c r="C213" s="301" t="s">
        <v>1442</v>
      </c>
      <c r="D213" s="228">
        <v>2700</v>
      </c>
      <c r="E213" s="290" t="s">
        <v>2692</v>
      </c>
      <c r="F213" s="393">
        <f t="shared" ref="F213:F220" si="12">FLOOR(D213*35.31,0.01)</f>
        <v>95337</v>
      </c>
      <c r="G213" s="421">
        <f t="shared" si="11"/>
        <v>98673.790000000008</v>
      </c>
    </row>
    <row r="214" spans="1:7">
      <c r="A214" s="309"/>
      <c r="B214" s="295" t="s">
        <v>1443</v>
      </c>
      <c r="C214" s="290" t="s">
        <v>1008</v>
      </c>
      <c r="D214" s="228">
        <v>2950</v>
      </c>
      <c r="E214" s="290" t="s">
        <v>2692</v>
      </c>
      <c r="F214" s="393">
        <f t="shared" si="12"/>
        <v>104164.5</v>
      </c>
      <c r="G214" s="421">
        <f t="shared" si="11"/>
        <v>107810.25</v>
      </c>
    </row>
    <row r="215" spans="1:7">
      <c r="A215" s="309"/>
      <c r="B215" s="295" t="s">
        <v>1444</v>
      </c>
      <c r="C215" s="290" t="s">
        <v>1008</v>
      </c>
      <c r="D215" s="228">
        <v>3100</v>
      </c>
      <c r="E215" s="290" t="s">
        <v>2692</v>
      </c>
      <c r="F215" s="393">
        <f t="shared" si="12"/>
        <v>109461</v>
      </c>
      <c r="G215" s="421">
        <f t="shared" si="11"/>
        <v>113292.13</v>
      </c>
    </row>
    <row r="216" spans="1:7">
      <c r="A216" s="309"/>
      <c r="B216" s="295" t="s">
        <v>1445</v>
      </c>
      <c r="C216" s="290" t="s">
        <v>1002</v>
      </c>
      <c r="D216" s="228">
        <v>1400</v>
      </c>
      <c r="E216" s="290" t="s">
        <v>2692</v>
      </c>
      <c r="F216" s="393">
        <f t="shared" si="12"/>
        <v>49434</v>
      </c>
      <c r="G216" s="421">
        <f t="shared" si="11"/>
        <v>51164.19</v>
      </c>
    </row>
    <row r="217" spans="1:7">
      <c r="A217" s="309"/>
      <c r="B217" s="295" t="s">
        <v>1446</v>
      </c>
      <c r="C217" s="290" t="s">
        <v>1008</v>
      </c>
      <c r="D217" s="228">
        <v>1300</v>
      </c>
      <c r="E217" s="290" t="s">
        <v>2692</v>
      </c>
      <c r="F217" s="393">
        <f t="shared" si="12"/>
        <v>45903</v>
      </c>
      <c r="G217" s="421">
        <f t="shared" si="11"/>
        <v>47509.599999999999</v>
      </c>
    </row>
    <row r="218" spans="1:7">
      <c r="A218" s="309"/>
      <c r="B218" s="295" t="s">
        <v>1447</v>
      </c>
      <c r="C218" s="290" t="s">
        <v>1008</v>
      </c>
      <c r="D218" s="228">
        <v>700</v>
      </c>
      <c r="E218" s="290" t="s">
        <v>2692</v>
      </c>
      <c r="F218" s="393">
        <f t="shared" si="12"/>
        <v>24717</v>
      </c>
      <c r="G218" s="421">
        <f t="shared" si="11"/>
        <v>25582.09</v>
      </c>
    </row>
    <row r="219" spans="1:7">
      <c r="A219" s="309"/>
      <c r="B219" s="295" t="s">
        <v>3098</v>
      </c>
      <c r="C219" s="290" t="s">
        <v>1008</v>
      </c>
      <c r="D219" s="228">
        <v>1400</v>
      </c>
      <c r="E219" s="290" t="s">
        <v>2692</v>
      </c>
      <c r="F219" s="393">
        <f t="shared" si="12"/>
        <v>49434</v>
      </c>
      <c r="G219" s="421">
        <f t="shared" si="11"/>
        <v>51164.19</v>
      </c>
    </row>
    <row r="220" spans="1:7">
      <c r="A220" s="567" t="s">
        <v>717</v>
      </c>
      <c r="B220" s="295" t="s">
        <v>3099</v>
      </c>
      <c r="C220" s="290" t="s">
        <v>1008</v>
      </c>
      <c r="D220" s="228">
        <v>390</v>
      </c>
      <c r="E220" s="290" t="s">
        <v>2692</v>
      </c>
      <c r="F220" s="393">
        <f t="shared" si="12"/>
        <v>13770.9</v>
      </c>
      <c r="G220" s="421">
        <f t="shared" si="11"/>
        <v>14252.880000000001</v>
      </c>
    </row>
    <row r="221" spans="1:7">
      <c r="A221" s="309"/>
      <c r="B221" s="295" t="s">
        <v>3100</v>
      </c>
      <c r="C221" s="290" t="s">
        <v>2637</v>
      </c>
      <c r="D221" s="228">
        <v>13</v>
      </c>
      <c r="E221" s="290" t="s">
        <v>2637</v>
      </c>
      <c r="F221" s="390">
        <f>D221</f>
        <v>13</v>
      </c>
      <c r="G221" s="421">
        <f t="shared" si="11"/>
        <v>13.450000000000001</v>
      </c>
    </row>
    <row r="222" spans="1:7">
      <c r="A222" s="309">
        <v>23</v>
      </c>
      <c r="B222" s="283" t="s">
        <v>3101</v>
      </c>
      <c r="C222" s="283"/>
      <c r="D222" s="228"/>
      <c r="E222" s="285"/>
      <c r="F222" s="391"/>
      <c r="G222" s="421">
        <f t="shared" si="11"/>
        <v>0</v>
      </c>
    </row>
    <row r="223" spans="1:7">
      <c r="A223" s="309"/>
      <c r="B223" s="282" t="s">
        <v>3102</v>
      </c>
      <c r="C223" s="282"/>
      <c r="D223" s="228"/>
      <c r="E223" s="285"/>
      <c r="F223" s="391"/>
      <c r="G223" s="421">
        <f t="shared" si="11"/>
        <v>0</v>
      </c>
    </row>
    <row r="224" spans="1:7">
      <c r="A224" s="309"/>
      <c r="B224" s="295" t="s">
        <v>3103</v>
      </c>
      <c r="C224" s="290" t="s">
        <v>2973</v>
      </c>
      <c r="D224" s="228">
        <v>13.75</v>
      </c>
      <c r="E224" s="284" t="s">
        <v>1870</v>
      </c>
      <c r="F224" s="393">
        <f t="shared" ref="F224:F229" si="13">FLOOR(D224*10.76,0.01)</f>
        <v>147.95000000000002</v>
      </c>
      <c r="G224" s="421">
        <f t="shared" si="11"/>
        <v>153.12</v>
      </c>
    </row>
    <row r="225" spans="1:7">
      <c r="A225" s="309"/>
      <c r="B225" s="295" t="s">
        <v>3104</v>
      </c>
      <c r="C225" s="290" t="s">
        <v>1008</v>
      </c>
      <c r="D225" s="228">
        <v>17</v>
      </c>
      <c r="E225" s="284" t="s">
        <v>1870</v>
      </c>
      <c r="F225" s="393">
        <f t="shared" si="13"/>
        <v>182.92000000000002</v>
      </c>
      <c r="G225" s="421">
        <f t="shared" si="11"/>
        <v>189.32</v>
      </c>
    </row>
    <row r="226" spans="1:7">
      <c r="A226" s="309"/>
      <c r="B226" s="295" t="s">
        <v>3105</v>
      </c>
      <c r="C226" s="290" t="s">
        <v>1008</v>
      </c>
      <c r="D226" s="228">
        <v>28</v>
      </c>
      <c r="E226" s="284" t="s">
        <v>1870</v>
      </c>
      <c r="F226" s="393">
        <f t="shared" si="13"/>
        <v>301.28000000000003</v>
      </c>
      <c r="G226" s="421">
        <f t="shared" si="11"/>
        <v>311.82</v>
      </c>
    </row>
    <row r="227" spans="1:7">
      <c r="A227" s="309"/>
      <c r="B227" s="295" t="s">
        <v>2820</v>
      </c>
      <c r="C227" s="290" t="s">
        <v>1008</v>
      </c>
      <c r="D227" s="228">
        <v>30</v>
      </c>
      <c r="E227" s="284" t="s">
        <v>1870</v>
      </c>
      <c r="F227" s="393">
        <f t="shared" si="13"/>
        <v>322.8</v>
      </c>
      <c r="G227" s="421">
        <f t="shared" si="11"/>
        <v>334.09000000000003</v>
      </c>
    </row>
    <row r="228" spans="1:7">
      <c r="A228" s="309"/>
      <c r="B228" s="295" t="s">
        <v>2821</v>
      </c>
      <c r="C228" s="290" t="s">
        <v>1008</v>
      </c>
      <c r="D228" s="228">
        <v>42</v>
      </c>
      <c r="E228" s="284" t="s">
        <v>1870</v>
      </c>
      <c r="F228" s="393">
        <f t="shared" si="13"/>
        <v>451.92</v>
      </c>
      <c r="G228" s="421">
        <f t="shared" si="11"/>
        <v>467.73</v>
      </c>
    </row>
    <row r="229" spans="1:7">
      <c r="A229" s="567" t="s">
        <v>717</v>
      </c>
      <c r="B229" s="295" t="s">
        <v>2822</v>
      </c>
      <c r="C229" s="290" t="s">
        <v>1008</v>
      </c>
      <c r="D229" s="228">
        <v>66</v>
      </c>
      <c r="E229" s="284" t="s">
        <v>1870</v>
      </c>
      <c r="F229" s="393">
        <f t="shared" si="13"/>
        <v>710.16</v>
      </c>
      <c r="G229" s="421">
        <f t="shared" si="11"/>
        <v>735.01</v>
      </c>
    </row>
    <row r="230" spans="1:7" ht="22.5">
      <c r="A230" s="282"/>
      <c r="B230" s="282" t="s">
        <v>2823</v>
      </c>
      <c r="C230" s="282"/>
      <c r="D230" s="228"/>
      <c r="E230" s="293"/>
      <c r="F230" s="394"/>
      <c r="G230" s="421">
        <f t="shared" si="11"/>
        <v>0</v>
      </c>
    </row>
    <row r="231" spans="1:7">
      <c r="A231" s="282"/>
      <c r="B231" s="286" t="s">
        <v>2824</v>
      </c>
      <c r="C231" s="290" t="s">
        <v>2973</v>
      </c>
      <c r="D231" s="228">
        <v>30</v>
      </c>
      <c r="E231" s="284" t="s">
        <v>1870</v>
      </c>
      <c r="F231" s="393">
        <f>FLOOR(D231*10.76,0.01)</f>
        <v>322.8</v>
      </c>
      <c r="G231" s="421">
        <f t="shared" si="11"/>
        <v>334.09000000000003</v>
      </c>
    </row>
    <row r="232" spans="1:7">
      <c r="A232" s="282"/>
      <c r="B232" s="286" t="s">
        <v>2825</v>
      </c>
      <c r="C232" s="290" t="s">
        <v>2973</v>
      </c>
      <c r="D232" s="228">
        <v>38.5</v>
      </c>
      <c r="E232" s="284" t="s">
        <v>1870</v>
      </c>
      <c r="F232" s="393">
        <f>FLOOR(D232*10.76,0.01)</f>
        <v>414.26</v>
      </c>
      <c r="G232" s="421">
        <f t="shared" si="11"/>
        <v>428.75</v>
      </c>
    </row>
    <row r="233" spans="1:7">
      <c r="A233" s="566" t="s">
        <v>717</v>
      </c>
      <c r="B233" s="286" t="s">
        <v>2826</v>
      </c>
      <c r="C233" s="290" t="s">
        <v>1008</v>
      </c>
      <c r="D233" s="228">
        <v>46.5</v>
      </c>
      <c r="E233" s="284" t="s">
        <v>1870</v>
      </c>
      <c r="F233" s="393">
        <f>FLOOR(D233*10.76,0.01)</f>
        <v>500.34000000000003</v>
      </c>
      <c r="G233" s="421">
        <f t="shared" si="11"/>
        <v>517.85</v>
      </c>
    </row>
    <row r="234" spans="1:7">
      <c r="A234" s="282"/>
      <c r="B234" s="286" t="s">
        <v>2827</v>
      </c>
      <c r="C234" s="290" t="s">
        <v>1008</v>
      </c>
      <c r="D234" s="228">
        <v>58</v>
      </c>
      <c r="E234" s="284" t="s">
        <v>1870</v>
      </c>
      <c r="F234" s="393">
        <f>FLOOR(D234*10.76,0.01)</f>
        <v>624.08000000000004</v>
      </c>
      <c r="G234" s="421">
        <f t="shared" si="11"/>
        <v>645.91999999999996</v>
      </c>
    </row>
    <row r="235" spans="1:7">
      <c r="A235" s="282"/>
      <c r="B235" s="286" t="s">
        <v>2828</v>
      </c>
      <c r="C235" s="290" t="s">
        <v>1002</v>
      </c>
      <c r="D235" s="228">
        <v>75</v>
      </c>
      <c r="E235" s="284" t="s">
        <v>1870</v>
      </c>
      <c r="F235" s="393">
        <f>FLOOR(D235*10.76,0.01)</f>
        <v>807</v>
      </c>
      <c r="G235" s="421">
        <f t="shared" si="11"/>
        <v>835.24</v>
      </c>
    </row>
    <row r="236" spans="1:7" ht="22.5">
      <c r="A236" s="282"/>
      <c r="B236" s="282" t="s">
        <v>2829</v>
      </c>
      <c r="C236" s="282"/>
      <c r="D236" s="228"/>
      <c r="E236" s="293"/>
      <c r="F236" s="394"/>
      <c r="G236" s="421">
        <f t="shared" si="11"/>
        <v>0</v>
      </c>
    </row>
    <row r="237" spans="1:7" ht="22.5">
      <c r="A237" s="282"/>
      <c r="B237" s="322" t="s">
        <v>2830</v>
      </c>
      <c r="C237" s="282"/>
      <c r="D237" s="228"/>
      <c r="E237" s="293"/>
      <c r="F237" s="394"/>
      <c r="G237" s="421">
        <f t="shared" si="11"/>
        <v>0</v>
      </c>
    </row>
    <row r="238" spans="1:7">
      <c r="A238" s="282"/>
      <c r="B238" s="286" t="s">
        <v>1498</v>
      </c>
      <c r="C238" s="290" t="s">
        <v>2973</v>
      </c>
      <c r="D238" s="228"/>
      <c r="E238" s="284" t="s">
        <v>1870</v>
      </c>
      <c r="F238" s="393">
        <f>FLOOR(D238*10.76,0.01)</f>
        <v>0</v>
      </c>
      <c r="G238" s="421">
        <f t="shared" si="11"/>
        <v>0</v>
      </c>
    </row>
    <row r="239" spans="1:7">
      <c r="A239" s="282"/>
      <c r="B239" s="286" t="s">
        <v>2831</v>
      </c>
      <c r="C239" s="290" t="s">
        <v>1002</v>
      </c>
      <c r="D239" s="228">
        <v>39.22</v>
      </c>
      <c r="E239" s="284" t="s">
        <v>1870</v>
      </c>
      <c r="F239" s="393">
        <f>FLOOR(D239*10.76,0.01)</f>
        <v>422</v>
      </c>
      <c r="G239" s="421">
        <f t="shared" si="11"/>
        <v>436.77</v>
      </c>
    </row>
    <row r="240" spans="1:7">
      <c r="A240" s="282"/>
      <c r="B240" s="286" t="s">
        <v>2832</v>
      </c>
      <c r="C240" s="290" t="s">
        <v>1002</v>
      </c>
      <c r="D240" s="228"/>
      <c r="E240" s="284" t="s">
        <v>1870</v>
      </c>
      <c r="F240" s="393">
        <f>FLOOR(D240*10.76,0.01)</f>
        <v>0</v>
      </c>
      <c r="G240" s="421">
        <f t="shared" si="11"/>
        <v>0</v>
      </c>
    </row>
    <row r="241" spans="1:7">
      <c r="A241" s="282"/>
      <c r="B241" s="295" t="s">
        <v>2820</v>
      </c>
      <c r="C241" s="290" t="s">
        <v>1002</v>
      </c>
      <c r="D241" s="228"/>
      <c r="E241" s="285"/>
      <c r="F241" s="393"/>
      <c r="G241" s="421">
        <f t="shared" si="11"/>
        <v>0</v>
      </c>
    </row>
    <row r="242" spans="1:7">
      <c r="A242" s="282"/>
      <c r="B242" s="295" t="s">
        <v>2821</v>
      </c>
      <c r="C242" s="290" t="s">
        <v>1002</v>
      </c>
      <c r="D242" s="228"/>
      <c r="E242" s="285"/>
      <c r="F242" s="393"/>
      <c r="G242" s="421">
        <f t="shared" si="11"/>
        <v>0</v>
      </c>
    </row>
    <row r="243" spans="1:7">
      <c r="A243" s="282"/>
      <c r="B243" s="295" t="s">
        <v>2822</v>
      </c>
      <c r="C243" s="290" t="s">
        <v>1002</v>
      </c>
      <c r="D243" s="228"/>
      <c r="E243" s="285"/>
      <c r="F243" s="393"/>
      <c r="G243" s="421">
        <f t="shared" si="11"/>
        <v>0</v>
      </c>
    </row>
    <row r="244" spans="1:7">
      <c r="A244" s="282"/>
      <c r="B244" s="322" t="s">
        <v>2833</v>
      </c>
      <c r="C244" s="282"/>
      <c r="D244" s="228"/>
      <c r="E244" s="285"/>
      <c r="F244" s="393"/>
      <c r="G244" s="421">
        <f t="shared" si="11"/>
        <v>0</v>
      </c>
    </row>
    <row r="245" spans="1:7">
      <c r="A245" s="282"/>
      <c r="B245" s="286" t="s">
        <v>2834</v>
      </c>
      <c r="C245" s="290" t="s">
        <v>2973</v>
      </c>
      <c r="D245" s="228"/>
      <c r="E245" s="285"/>
      <c r="F245" s="393"/>
      <c r="G245" s="421">
        <f t="shared" si="11"/>
        <v>0</v>
      </c>
    </row>
    <row r="246" spans="1:7">
      <c r="A246" s="282"/>
      <c r="B246" s="286" t="s">
        <v>2835</v>
      </c>
      <c r="C246" s="290" t="s">
        <v>1002</v>
      </c>
      <c r="D246" s="228"/>
      <c r="E246" s="285"/>
      <c r="F246" s="393"/>
      <c r="G246" s="421">
        <f t="shared" si="11"/>
        <v>0</v>
      </c>
    </row>
    <row r="247" spans="1:7">
      <c r="A247" s="282"/>
      <c r="B247" s="286" t="s">
        <v>2836</v>
      </c>
      <c r="C247" s="290" t="s">
        <v>1002</v>
      </c>
      <c r="D247" s="285"/>
      <c r="E247" s="285"/>
      <c r="F247" s="393"/>
      <c r="G247" s="421">
        <f t="shared" si="11"/>
        <v>0</v>
      </c>
    </row>
    <row r="248" spans="1:7">
      <c r="A248" s="282"/>
      <c r="B248" s="295" t="s">
        <v>2837</v>
      </c>
      <c r="C248" s="290" t="s">
        <v>1002</v>
      </c>
      <c r="D248" s="285"/>
      <c r="E248" s="285"/>
      <c r="F248" s="393"/>
      <c r="G248" s="421">
        <f t="shared" si="11"/>
        <v>0</v>
      </c>
    </row>
    <row r="249" spans="1:7">
      <c r="A249" s="282"/>
      <c r="B249" s="295" t="s">
        <v>2838</v>
      </c>
      <c r="C249" s="290" t="s">
        <v>1002</v>
      </c>
      <c r="D249" s="285"/>
      <c r="E249" s="285"/>
      <c r="F249" s="393"/>
      <c r="G249" s="421">
        <f t="shared" si="11"/>
        <v>0</v>
      </c>
    </row>
    <row r="250" spans="1:7" ht="22.5">
      <c r="A250" s="309">
        <v>24</v>
      </c>
      <c r="B250" s="282" t="s">
        <v>2839</v>
      </c>
      <c r="C250" s="282"/>
      <c r="D250" s="293"/>
      <c r="E250" s="293"/>
      <c r="F250" s="394"/>
      <c r="G250" s="421">
        <f t="shared" si="11"/>
        <v>0</v>
      </c>
    </row>
    <row r="251" spans="1:7" ht="22.5">
      <c r="A251" s="309"/>
      <c r="B251" s="322" t="s">
        <v>2840</v>
      </c>
      <c r="C251" s="282"/>
      <c r="D251" s="293"/>
      <c r="E251" s="293"/>
      <c r="F251" s="394"/>
      <c r="G251" s="421">
        <f t="shared" si="11"/>
        <v>0</v>
      </c>
    </row>
    <row r="252" spans="1:7">
      <c r="A252" s="309"/>
      <c r="B252" s="286" t="s">
        <v>2841</v>
      </c>
      <c r="C252" s="290" t="s">
        <v>2973</v>
      </c>
      <c r="D252" s="228">
        <v>32.42</v>
      </c>
      <c r="E252" s="284" t="s">
        <v>1870</v>
      </c>
      <c r="F252" s="393">
        <f>FLOOR(D252*10.76,0.01)</f>
        <v>348.83</v>
      </c>
      <c r="G252" s="421">
        <f t="shared" si="11"/>
        <v>361.03000000000003</v>
      </c>
    </row>
    <row r="253" spans="1:7">
      <c r="A253" s="309"/>
      <c r="B253" s="286" t="s">
        <v>2842</v>
      </c>
      <c r="C253" s="290" t="s">
        <v>1002</v>
      </c>
      <c r="D253" s="228">
        <v>36.32</v>
      </c>
      <c r="E253" s="284" t="s">
        <v>1870</v>
      </c>
      <c r="F253" s="393">
        <f>FLOOR(D253*10.76,0.01)</f>
        <v>390.8</v>
      </c>
      <c r="G253" s="421">
        <f t="shared" si="11"/>
        <v>404.47</v>
      </c>
    </row>
    <row r="254" spans="1:7">
      <c r="A254" s="309"/>
      <c r="B254" s="286" t="s">
        <v>2843</v>
      </c>
      <c r="C254" s="290" t="s">
        <v>1002</v>
      </c>
      <c r="D254" s="228">
        <v>47.1</v>
      </c>
      <c r="E254" s="284" t="s">
        <v>1870</v>
      </c>
      <c r="F254" s="393">
        <f>FLOOR(D254*10.76,0.01)</f>
        <v>506.79</v>
      </c>
      <c r="G254" s="421">
        <f t="shared" si="11"/>
        <v>524.52</v>
      </c>
    </row>
    <row r="255" spans="1:7">
      <c r="A255" s="309"/>
      <c r="B255" s="295" t="s">
        <v>2844</v>
      </c>
      <c r="C255" s="290" t="s">
        <v>1002</v>
      </c>
      <c r="D255" s="228">
        <v>62.89</v>
      </c>
      <c r="E255" s="284" t="s">
        <v>1870</v>
      </c>
      <c r="F255" s="393">
        <f>FLOOR(D255*10.76,0.01)</f>
        <v>676.69</v>
      </c>
      <c r="G255" s="421">
        <f t="shared" si="11"/>
        <v>700.37</v>
      </c>
    </row>
    <row r="256" spans="1:7" ht="34.5">
      <c r="A256" s="282"/>
      <c r="B256" s="322" t="s">
        <v>1713</v>
      </c>
      <c r="C256" s="282"/>
      <c r="D256" s="228"/>
      <c r="E256" s="293"/>
      <c r="F256" s="394"/>
      <c r="G256" s="421">
        <f t="shared" si="11"/>
        <v>0</v>
      </c>
    </row>
    <row r="257" spans="1:7">
      <c r="A257" s="282"/>
      <c r="B257" s="286" t="s">
        <v>2841</v>
      </c>
      <c r="C257" s="290" t="s">
        <v>2973</v>
      </c>
      <c r="D257" s="228">
        <v>65.03</v>
      </c>
      <c r="E257" s="284" t="s">
        <v>1870</v>
      </c>
      <c r="F257" s="393">
        <f>FLOOR(D257*10.76,0.01)</f>
        <v>699.72</v>
      </c>
      <c r="G257" s="421">
        <f t="shared" si="11"/>
        <v>724.21</v>
      </c>
    </row>
    <row r="258" spans="1:7">
      <c r="A258" s="282"/>
      <c r="B258" s="286" t="s">
        <v>2842</v>
      </c>
      <c r="C258" s="290" t="s">
        <v>1002</v>
      </c>
      <c r="D258" s="228">
        <v>73.3</v>
      </c>
      <c r="E258" s="284" t="s">
        <v>1870</v>
      </c>
      <c r="F258" s="393">
        <f>FLOOR(D258*10.76,0.01)</f>
        <v>788.7</v>
      </c>
      <c r="G258" s="421">
        <f t="shared" si="11"/>
        <v>816.30000000000007</v>
      </c>
    </row>
    <row r="259" spans="1:7">
      <c r="A259" s="282"/>
      <c r="B259" s="286" t="s">
        <v>2843</v>
      </c>
      <c r="C259" s="290" t="s">
        <v>1002</v>
      </c>
      <c r="D259" s="228">
        <v>86.49</v>
      </c>
      <c r="E259" s="284" t="s">
        <v>1870</v>
      </c>
      <c r="F259" s="393">
        <f>FLOOR(D259*10.76,0.01)</f>
        <v>930.63</v>
      </c>
      <c r="G259" s="421">
        <f t="shared" si="11"/>
        <v>963.2</v>
      </c>
    </row>
    <row r="260" spans="1:7">
      <c r="A260" s="282"/>
      <c r="B260" s="295" t="s">
        <v>2844</v>
      </c>
      <c r="C260" s="290" t="s">
        <v>1002</v>
      </c>
      <c r="D260" s="228">
        <v>112.23</v>
      </c>
      <c r="E260" s="284" t="s">
        <v>1870</v>
      </c>
      <c r="F260" s="393">
        <f>FLOOR(D260*10.76,0.01)</f>
        <v>1207.5899999999999</v>
      </c>
      <c r="G260" s="421">
        <f t="shared" si="11"/>
        <v>1249.8500000000001</v>
      </c>
    </row>
    <row r="261" spans="1:7" ht="32.25">
      <c r="A261" s="282"/>
      <c r="B261" s="322" t="s">
        <v>1714</v>
      </c>
      <c r="C261" s="282"/>
      <c r="D261" s="228"/>
      <c r="E261" s="285"/>
      <c r="F261" s="393"/>
      <c r="G261" s="421">
        <f t="shared" si="11"/>
        <v>0</v>
      </c>
    </row>
    <row r="262" spans="1:7">
      <c r="A262" s="282"/>
      <c r="B262" s="286" t="s">
        <v>2841</v>
      </c>
      <c r="C262" s="290" t="s">
        <v>2973</v>
      </c>
      <c r="D262" s="228">
        <v>73.3</v>
      </c>
      <c r="E262" s="284" t="s">
        <v>1870</v>
      </c>
      <c r="F262" s="393">
        <f>FLOOR(D262*10.76,0.01)</f>
        <v>788.7</v>
      </c>
      <c r="G262" s="421">
        <f t="shared" si="11"/>
        <v>816.30000000000007</v>
      </c>
    </row>
    <row r="263" spans="1:7">
      <c r="A263" s="282"/>
      <c r="B263" s="286" t="s">
        <v>2842</v>
      </c>
      <c r="C263" s="290" t="s">
        <v>1002</v>
      </c>
      <c r="D263" s="228">
        <v>83.89</v>
      </c>
      <c r="E263" s="284" t="s">
        <v>1870</v>
      </c>
      <c r="F263" s="393">
        <f>FLOOR(D263*10.76,0.01)</f>
        <v>902.65</v>
      </c>
      <c r="G263" s="421">
        <f t="shared" si="11"/>
        <v>934.24</v>
      </c>
    </row>
    <row r="264" spans="1:7">
      <c r="A264" s="282"/>
      <c r="B264" s="286" t="s">
        <v>2843</v>
      </c>
      <c r="C264" s="290" t="s">
        <v>1002</v>
      </c>
      <c r="D264" s="228">
        <v>96.99</v>
      </c>
      <c r="E264" s="284" t="s">
        <v>1870</v>
      </c>
      <c r="F264" s="393">
        <f>FLOOR(D264*10.76,0.01)</f>
        <v>1043.6100000000001</v>
      </c>
      <c r="G264" s="421">
        <f t="shared" si="11"/>
        <v>1080.1300000000001</v>
      </c>
    </row>
    <row r="265" spans="1:7">
      <c r="A265" s="282"/>
      <c r="B265" s="295" t="s">
        <v>2844</v>
      </c>
      <c r="C265" s="290" t="s">
        <v>1002</v>
      </c>
      <c r="D265" s="228">
        <v>122.63</v>
      </c>
      <c r="E265" s="284" t="s">
        <v>1870</v>
      </c>
      <c r="F265" s="393">
        <f>FLOOR(D265*10.76,0.01)</f>
        <v>1319.49</v>
      </c>
      <c r="G265" s="421">
        <f t="shared" si="11"/>
        <v>1365.67</v>
      </c>
    </row>
    <row r="266" spans="1:7" ht="22.5">
      <c r="A266" s="309"/>
      <c r="B266" s="322" t="s">
        <v>3187</v>
      </c>
      <c r="C266" s="282"/>
      <c r="D266" s="228"/>
      <c r="E266" s="293"/>
      <c r="F266" s="394"/>
      <c r="G266" s="421">
        <f t="shared" si="11"/>
        <v>0</v>
      </c>
    </row>
    <row r="267" spans="1:7">
      <c r="A267" s="309"/>
      <c r="B267" s="286" t="s">
        <v>2841</v>
      </c>
      <c r="C267" s="290" t="s">
        <v>2973</v>
      </c>
      <c r="D267" s="228">
        <v>24.15</v>
      </c>
      <c r="E267" s="284" t="s">
        <v>1870</v>
      </c>
      <c r="F267" s="393">
        <f>FLOOR(D267*10.76,0.01)</f>
        <v>259.85000000000002</v>
      </c>
      <c r="G267" s="421">
        <f t="shared" si="11"/>
        <v>268.94</v>
      </c>
    </row>
    <row r="268" spans="1:7">
      <c r="A268" s="309"/>
      <c r="B268" s="286" t="s">
        <v>2842</v>
      </c>
      <c r="C268" s="290" t="s">
        <v>1002</v>
      </c>
      <c r="D268" s="228">
        <v>27.22</v>
      </c>
      <c r="E268" s="284" t="s">
        <v>1870</v>
      </c>
      <c r="F268" s="393">
        <f>FLOOR(D268*10.76,0.01)</f>
        <v>292.88</v>
      </c>
      <c r="G268" s="421">
        <f t="shared" si="11"/>
        <v>303.13</v>
      </c>
    </row>
    <row r="269" spans="1:7">
      <c r="A269" s="309"/>
      <c r="B269" s="286" t="s">
        <v>2843</v>
      </c>
      <c r="C269" s="290" t="s">
        <v>1002</v>
      </c>
      <c r="D269" s="228">
        <v>40.32</v>
      </c>
      <c r="E269" s="284" t="s">
        <v>1870</v>
      </c>
      <c r="F269" s="393">
        <f>FLOOR(D269*10.76,0.01)</f>
        <v>433.84000000000003</v>
      </c>
      <c r="G269" s="421">
        <f t="shared" ref="G269:G332" si="14">FLOOR(F269*1.035,0.01)</f>
        <v>449.02</v>
      </c>
    </row>
    <row r="270" spans="1:7">
      <c r="A270" s="309"/>
      <c r="B270" s="295" t="s">
        <v>2844</v>
      </c>
      <c r="C270" s="290" t="s">
        <v>1002</v>
      </c>
      <c r="D270" s="228">
        <v>52.4</v>
      </c>
      <c r="E270" s="284" t="s">
        <v>1870</v>
      </c>
      <c r="F270" s="393">
        <f>FLOOR(D270*10.76,0.01)</f>
        <v>563.82000000000005</v>
      </c>
      <c r="G270" s="421">
        <f t="shared" si="14"/>
        <v>583.55000000000007</v>
      </c>
    </row>
    <row r="271" spans="1:7" ht="34.5">
      <c r="A271" s="282"/>
      <c r="B271" s="322" t="s">
        <v>2472</v>
      </c>
      <c r="C271" s="282"/>
      <c r="D271" s="228"/>
      <c r="E271" s="293"/>
      <c r="F271" s="394"/>
      <c r="G271" s="421">
        <f t="shared" si="14"/>
        <v>0</v>
      </c>
    </row>
    <row r="272" spans="1:7">
      <c r="A272" s="282"/>
      <c r="B272" s="286" t="s">
        <v>1918</v>
      </c>
      <c r="C272" s="290" t="s">
        <v>2973</v>
      </c>
      <c r="D272" s="228">
        <v>35.299999999999997</v>
      </c>
      <c r="E272" s="284" t="s">
        <v>1870</v>
      </c>
      <c r="F272" s="393">
        <f t="shared" ref="F272:F277" si="15">FLOOR(D272*10.76,0.01)</f>
        <v>379.82</v>
      </c>
      <c r="G272" s="421">
        <f t="shared" si="14"/>
        <v>393.11</v>
      </c>
    </row>
    <row r="273" spans="1:7">
      <c r="A273" s="282"/>
      <c r="B273" s="286" t="s">
        <v>1919</v>
      </c>
      <c r="C273" s="290" t="s">
        <v>1002</v>
      </c>
      <c r="D273" s="228">
        <v>50.35</v>
      </c>
      <c r="E273" s="284" t="s">
        <v>1870</v>
      </c>
      <c r="F273" s="393">
        <f t="shared" si="15"/>
        <v>541.76</v>
      </c>
      <c r="G273" s="421">
        <f t="shared" si="14"/>
        <v>560.72</v>
      </c>
    </row>
    <row r="274" spans="1:7">
      <c r="A274" s="282"/>
      <c r="B274" s="286" t="s">
        <v>3246</v>
      </c>
      <c r="C274" s="290" t="s">
        <v>1002</v>
      </c>
      <c r="D274" s="228">
        <v>57.69</v>
      </c>
      <c r="E274" s="284" t="s">
        <v>1870</v>
      </c>
      <c r="F274" s="393">
        <f t="shared" si="15"/>
        <v>620.74</v>
      </c>
      <c r="G274" s="421">
        <f t="shared" si="14"/>
        <v>642.46</v>
      </c>
    </row>
    <row r="275" spans="1:7">
      <c r="A275" s="282"/>
      <c r="B275" s="286" t="s">
        <v>3247</v>
      </c>
      <c r="C275" s="290" t="s">
        <v>1002</v>
      </c>
      <c r="D275" s="228">
        <v>65.59</v>
      </c>
      <c r="E275" s="284" t="s">
        <v>1870</v>
      </c>
      <c r="F275" s="393">
        <f t="shared" si="15"/>
        <v>705.74</v>
      </c>
      <c r="G275" s="421">
        <f t="shared" si="14"/>
        <v>730.44</v>
      </c>
    </row>
    <row r="276" spans="1:7">
      <c r="A276" s="282"/>
      <c r="B276" s="286" t="s">
        <v>3248</v>
      </c>
      <c r="C276" s="290" t="s">
        <v>1002</v>
      </c>
      <c r="D276" s="228">
        <v>75.62</v>
      </c>
      <c r="E276" s="284" t="s">
        <v>1870</v>
      </c>
      <c r="F276" s="393">
        <f t="shared" si="15"/>
        <v>813.67000000000007</v>
      </c>
      <c r="G276" s="421">
        <f t="shared" si="14"/>
        <v>842.14</v>
      </c>
    </row>
    <row r="277" spans="1:7">
      <c r="A277" s="282"/>
      <c r="B277" s="295" t="s">
        <v>3249</v>
      </c>
      <c r="C277" s="290" t="s">
        <v>1002</v>
      </c>
      <c r="D277" s="228">
        <v>94.39</v>
      </c>
      <c r="E277" s="284" t="s">
        <v>1870</v>
      </c>
      <c r="F277" s="393">
        <f t="shared" si="15"/>
        <v>1015.63</v>
      </c>
      <c r="G277" s="421">
        <f t="shared" si="14"/>
        <v>1051.17</v>
      </c>
    </row>
    <row r="278" spans="1:7" ht="32.25">
      <c r="A278" s="282"/>
      <c r="B278" s="322" t="s">
        <v>3107</v>
      </c>
      <c r="C278" s="282"/>
      <c r="D278" s="228"/>
      <c r="E278" s="285"/>
      <c r="F278" s="393"/>
      <c r="G278" s="421">
        <f t="shared" si="14"/>
        <v>0</v>
      </c>
    </row>
    <row r="279" spans="1:7">
      <c r="A279" s="282"/>
      <c r="B279" s="286" t="s">
        <v>1918</v>
      </c>
      <c r="C279" s="290" t="s">
        <v>2973</v>
      </c>
      <c r="D279" s="228">
        <v>40.32</v>
      </c>
      <c r="E279" s="284" t="s">
        <v>1870</v>
      </c>
      <c r="F279" s="393">
        <f>FLOOR(D279*10.76,0.01)</f>
        <v>433.84000000000003</v>
      </c>
      <c r="G279" s="421">
        <f t="shared" si="14"/>
        <v>449.02</v>
      </c>
    </row>
    <row r="280" spans="1:7">
      <c r="A280" s="282"/>
      <c r="B280" s="286" t="s">
        <v>1919</v>
      </c>
      <c r="C280" s="290" t="s">
        <v>1002</v>
      </c>
      <c r="D280" s="228">
        <v>54.44</v>
      </c>
      <c r="E280" s="284" t="s">
        <v>1870</v>
      </c>
      <c r="F280" s="393">
        <f>FLOOR(D280*10.76,0.01)</f>
        <v>585.77</v>
      </c>
      <c r="G280" s="421">
        <f t="shared" si="14"/>
        <v>606.27</v>
      </c>
    </row>
    <row r="281" spans="1:7">
      <c r="A281" s="282"/>
      <c r="B281" s="286" t="s">
        <v>3246</v>
      </c>
      <c r="C281" s="290" t="s">
        <v>1002</v>
      </c>
      <c r="D281" s="228">
        <v>65.03</v>
      </c>
      <c r="E281" s="284" t="s">
        <v>1870</v>
      </c>
      <c r="F281" s="393">
        <f>FLOOR(D281*10.76,0.01)</f>
        <v>699.72</v>
      </c>
      <c r="G281" s="421">
        <f t="shared" si="14"/>
        <v>724.21</v>
      </c>
    </row>
    <row r="282" spans="1:7" ht="34.5">
      <c r="A282" s="282"/>
      <c r="B282" s="322" t="s">
        <v>3108</v>
      </c>
      <c r="C282" s="282"/>
      <c r="D282" s="228"/>
      <c r="E282" s="293"/>
      <c r="F282" s="394"/>
      <c r="G282" s="421">
        <f t="shared" si="14"/>
        <v>0</v>
      </c>
    </row>
    <row r="283" spans="1:7">
      <c r="A283" s="282"/>
      <c r="B283" s="286" t="s">
        <v>1918</v>
      </c>
      <c r="C283" s="290" t="s">
        <v>2973</v>
      </c>
      <c r="D283" s="228">
        <v>40.78</v>
      </c>
      <c r="E283" s="284" t="s">
        <v>1870</v>
      </c>
      <c r="F283" s="393">
        <f>FLOOR(D283*10.76,0.01)</f>
        <v>438.79</v>
      </c>
      <c r="G283" s="421">
        <f t="shared" si="14"/>
        <v>454.14</v>
      </c>
    </row>
    <row r="284" spans="1:7">
      <c r="A284" s="282"/>
      <c r="B284" s="286" t="s">
        <v>3109</v>
      </c>
      <c r="C284" s="290" t="s">
        <v>1002</v>
      </c>
      <c r="D284" s="228">
        <v>46.36</v>
      </c>
      <c r="E284" s="284" t="s">
        <v>1870</v>
      </c>
      <c r="F284" s="393">
        <f>FLOOR(D284*10.76,0.01)</f>
        <v>498.83</v>
      </c>
      <c r="G284" s="421">
        <f t="shared" si="14"/>
        <v>516.28</v>
      </c>
    </row>
    <row r="285" spans="1:7">
      <c r="A285" s="282"/>
      <c r="B285" s="286" t="s">
        <v>3110</v>
      </c>
      <c r="C285" s="290" t="s">
        <v>1002</v>
      </c>
      <c r="D285" s="228">
        <v>57.23</v>
      </c>
      <c r="E285" s="284" t="s">
        <v>1870</v>
      </c>
      <c r="F285" s="393">
        <f>FLOOR(D285*10.76,0.01)</f>
        <v>615.79</v>
      </c>
      <c r="G285" s="421">
        <f t="shared" si="14"/>
        <v>637.34</v>
      </c>
    </row>
    <row r="286" spans="1:7">
      <c r="A286" s="282"/>
      <c r="B286" s="286" t="s">
        <v>3111</v>
      </c>
      <c r="C286" s="290" t="s">
        <v>1002</v>
      </c>
      <c r="D286" s="228">
        <v>75.069999999999993</v>
      </c>
      <c r="E286" s="284" t="s">
        <v>1870</v>
      </c>
      <c r="F286" s="393">
        <f>FLOOR(D286*10.76,0.01)</f>
        <v>807.75</v>
      </c>
      <c r="G286" s="421">
        <f t="shared" si="14"/>
        <v>836.02</v>
      </c>
    </row>
    <row r="287" spans="1:7" ht="32.25">
      <c r="A287" s="282"/>
      <c r="B287" s="322" t="s">
        <v>1920</v>
      </c>
      <c r="C287" s="282"/>
      <c r="D287" s="228"/>
      <c r="E287" s="285"/>
      <c r="F287" s="393"/>
      <c r="G287" s="421">
        <f t="shared" si="14"/>
        <v>0</v>
      </c>
    </row>
    <row r="288" spans="1:7">
      <c r="A288" s="282"/>
      <c r="B288" s="286" t="s">
        <v>1918</v>
      </c>
      <c r="C288" s="290" t="s">
        <v>2973</v>
      </c>
      <c r="D288" s="228">
        <v>46.36</v>
      </c>
      <c r="E288" s="284" t="s">
        <v>1870</v>
      </c>
      <c r="F288" s="393">
        <f>FLOOR(D288*10.76,0.01)</f>
        <v>498.83</v>
      </c>
      <c r="G288" s="421">
        <f t="shared" si="14"/>
        <v>516.28</v>
      </c>
    </row>
    <row r="289" spans="1:7">
      <c r="A289" s="282"/>
      <c r="B289" s="286" t="s">
        <v>3109</v>
      </c>
      <c r="C289" s="290" t="s">
        <v>1002</v>
      </c>
      <c r="D289" s="228">
        <v>51.93</v>
      </c>
      <c r="E289" s="284" t="s">
        <v>1870</v>
      </c>
      <c r="F289" s="393">
        <f>FLOOR(D289*10.76,0.01)</f>
        <v>558.76</v>
      </c>
      <c r="G289" s="421">
        <f t="shared" si="14"/>
        <v>578.31000000000006</v>
      </c>
    </row>
    <row r="290" spans="1:7">
      <c r="A290" s="282"/>
      <c r="B290" s="286" t="s">
        <v>3110</v>
      </c>
      <c r="C290" s="290" t="s">
        <v>1002</v>
      </c>
      <c r="D290" s="228">
        <v>62.99</v>
      </c>
      <c r="E290" s="284" t="s">
        <v>1870</v>
      </c>
      <c r="F290" s="393">
        <f>FLOOR(D290*10.76,0.01)</f>
        <v>677.77</v>
      </c>
      <c r="G290" s="421">
        <f t="shared" si="14"/>
        <v>701.49</v>
      </c>
    </row>
    <row r="291" spans="1:7">
      <c r="A291" s="282"/>
      <c r="B291" s="286" t="s">
        <v>3111</v>
      </c>
      <c r="C291" s="290" t="s">
        <v>1002</v>
      </c>
      <c r="D291" s="228">
        <v>80.64</v>
      </c>
      <c r="E291" s="284" t="s">
        <v>1870</v>
      </c>
      <c r="F291" s="393">
        <f>FLOOR(D291*10.76,0.01)</f>
        <v>867.68000000000006</v>
      </c>
      <c r="G291" s="421">
        <f t="shared" si="14"/>
        <v>898.04</v>
      </c>
    </row>
    <row r="292" spans="1:7" ht="37.5">
      <c r="A292" s="309">
        <v>25</v>
      </c>
      <c r="B292" s="323" t="s">
        <v>1921</v>
      </c>
      <c r="C292" s="290"/>
      <c r="D292" s="228"/>
      <c r="E292" s="285"/>
      <c r="F292" s="393"/>
      <c r="G292" s="421">
        <f t="shared" si="14"/>
        <v>0</v>
      </c>
    </row>
    <row r="293" spans="1:7">
      <c r="A293" s="282"/>
      <c r="B293" s="286" t="s">
        <v>1499</v>
      </c>
      <c r="C293" s="290" t="s">
        <v>1922</v>
      </c>
      <c r="D293" s="228">
        <v>387</v>
      </c>
      <c r="E293" s="284" t="s">
        <v>1870</v>
      </c>
      <c r="F293" s="393">
        <v>387</v>
      </c>
      <c r="G293" s="421">
        <f t="shared" si="14"/>
        <v>400.54</v>
      </c>
    </row>
    <row r="294" spans="1:7">
      <c r="A294" s="282"/>
      <c r="B294" s="286" t="s">
        <v>1923</v>
      </c>
      <c r="C294" s="290" t="s">
        <v>2973</v>
      </c>
      <c r="D294" s="228">
        <v>55</v>
      </c>
      <c r="E294" s="284" t="s">
        <v>1870</v>
      </c>
      <c r="F294" s="393">
        <f>FLOOR(D294*10.76,0.01)</f>
        <v>591.80000000000007</v>
      </c>
      <c r="G294" s="421">
        <f t="shared" si="14"/>
        <v>612.51</v>
      </c>
    </row>
    <row r="295" spans="1:7">
      <c r="A295" s="282"/>
      <c r="B295" s="286" t="s">
        <v>1500</v>
      </c>
      <c r="C295" s="290" t="s">
        <v>2319</v>
      </c>
      <c r="D295" s="228">
        <v>30</v>
      </c>
      <c r="E295" s="284" t="s">
        <v>1870</v>
      </c>
      <c r="F295" s="393">
        <f>FLOOR(D295*10.76,0.01)</f>
        <v>322.8</v>
      </c>
      <c r="G295" s="421">
        <f t="shared" si="14"/>
        <v>334.09000000000003</v>
      </c>
    </row>
    <row r="296" spans="1:7" ht="22.5">
      <c r="A296" s="309">
        <v>26</v>
      </c>
      <c r="B296" s="282" t="s">
        <v>1501</v>
      </c>
      <c r="C296" s="283"/>
      <c r="D296" s="228"/>
      <c r="E296" s="293"/>
      <c r="F296" s="394"/>
      <c r="G296" s="421">
        <f t="shared" si="14"/>
        <v>0</v>
      </c>
    </row>
    <row r="297" spans="1:7" ht="22.5">
      <c r="A297" s="282"/>
      <c r="B297" s="282" t="s">
        <v>1502</v>
      </c>
      <c r="C297" s="283"/>
      <c r="D297" s="228"/>
      <c r="E297" s="293"/>
      <c r="F297" s="394"/>
      <c r="G297" s="421">
        <f t="shared" si="14"/>
        <v>0</v>
      </c>
    </row>
    <row r="298" spans="1:7">
      <c r="A298" s="282"/>
      <c r="B298" s="286" t="s">
        <v>1924</v>
      </c>
      <c r="C298" s="290" t="s">
        <v>1925</v>
      </c>
      <c r="D298" s="228">
        <v>36</v>
      </c>
      <c r="E298" s="284" t="s">
        <v>1870</v>
      </c>
      <c r="F298" s="393">
        <f>FLOOR(D298*10.76,0.01)</f>
        <v>387.36</v>
      </c>
      <c r="G298" s="421">
        <f t="shared" si="14"/>
        <v>400.91</v>
      </c>
    </row>
    <row r="299" spans="1:7">
      <c r="A299" s="282"/>
      <c r="B299" s="286" t="s">
        <v>1926</v>
      </c>
      <c r="C299" s="290" t="s">
        <v>1949</v>
      </c>
      <c r="D299" s="228">
        <v>46</v>
      </c>
      <c r="E299" s="284" t="s">
        <v>1870</v>
      </c>
      <c r="F299" s="393">
        <f>FLOOR(D299*10.76,0.01)</f>
        <v>494.96000000000004</v>
      </c>
      <c r="G299" s="421">
        <f t="shared" si="14"/>
        <v>512.28</v>
      </c>
    </row>
    <row r="300" spans="1:7">
      <c r="A300" s="282"/>
      <c r="B300" s="286" t="s">
        <v>1927</v>
      </c>
      <c r="C300" s="290" t="s">
        <v>2319</v>
      </c>
      <c r="D300" s="228">
        <v>63</v>
      </c>
      <c r="E300" s="284" t="s">
        <v>1870</v>
      </c>
      <c r="F300" s="393">
        <f>FLOOR(D300*10.76,0.01)</f>
        <v>677.88</v>
      </c>
      <c r="G300" s="421">
        <f t="shared" si="14"/>
        <v>701.6</v>
      </c>
    </row>
    <row r="301" spans="1:7">
      <c r="A301" s="282"/>
      <c r="B301" s="286" t="s">
        <v>1928</v>
      </c>
      <c r="C301" s="290" t="s">
        <v>2319</v>
      </c>
      <c r="D301" s="228">
        <v>78</v>
      </c>
      <c r="E301" s="284" t="s">
        <v>1870</v>
      </c>
      <c r="F301" s="393">
        <f>FLOOR(D301*10.76,0.01)</f>
        <v>839.28</v>
      </c>
      <c r="G301" s="421">
        <f t="shared" si="14"/>
        <v>868.65</v>
      </c>
    </row>
    <row r="302" spans="1:7">
      <c r="A302" s="282"/>
      <c r="B302" s="282" t="s">
        <v>1503</v>
      </c>
      <c r="C302" s="290"/>
      <c r="D302" s="228"/>
      <c r="E302" s="285"/>
      <c r="F302" s="393"/>
      <c r="G302" s="421">
        <f t="shared" si="14"/>
        <v>0</v>
      </c>
    </row>
    <row r="303" spans="1:7">
      <c r="A303" s="282"/>
      <c r="B303" s="286" t="s">
        <v>1924</v>
      </c>
      <c r="C303" s="290" t="s">
        <v>2319</v>
      </c>
      <c r="D303" s="228">
        <v>30</v>
      </c>
      <c r="E303" s="284" t="s">
        <v>1870</v>
      </c>
      <c r="F303" s="393">
        <f>FLOOR(D303*10.76,0.01)</f>
        <v>322.8</v>
      </c>
      <c r="G303" s="421">
        <f t="shared" si="14"/>
        <v>334.09000000000003</v>
      </c>
    </row>
    <row r="304" spans="1:7">
      <c r="A304" s="282"/>
      <c r="B304" s="286" t="s">
        <v>2389</v>
      </c>
      <c r="C304" s="290" t="s">
        <v>2319</v>
      </c>
      <c r="D304" s="228">
        <v>35</v>
      </c>
      <c r="E304" s="284" t="s">
        <v>1870</v>
      </c>
      <c r="F304" s="393">
        <f>FLOOR(D304*10.76,0.01)</f>
        <v>376.6</v>
      </c>
      <c r="G304" s="421">
        <f t="shared" si="14"/>
        <v>389.78000000000003</v>
      </c>
    </row>
    <row r="305" spans="1:7">
      <c r="A305" s="282"/>
      <c r="B305" s="282" t="s">
        <v>2390</v>
      </c>
      <c r="C305" s="290"/>
      <c r="D305" s="228"/>
      <c r="E305" s="285"/>
      <c r="F305" s="393"/>
      <c r="G305" s="421">
        <f t="shared" si="14"/>
        <v>0</v>
      </c>
    </row>
    <row r="306" spans="1:7">
      <c r="A306" s="282"/>
      <c r="B306" s="286" t="s">
        <v>2391</v>
      </c>
      <c r="C306" s="290" t="s">
        <v>2319</v>
      </c>
      <c r="D306" s="228">
        <v>100</v>
      </c>
      <c r="E306" s="284" t="s">
        <v>1870</v>
      </c>
      <c r="F306" s="393">
        <f>FLOOR(D306*10.76,0.01)</f>
        <v>1076</v>
      </c>
      <c r="G306" s="421">
        <f t="shared" si="14"/>
        <v>1113.6600000000001</v>
      </c>
    </row>
    <row r="307" spans="1:7" ht="22.5">
      <c r="A307" s="282"/>
      <c r="B307" s="282" t="s">
        <v>2392</v>
      </c>
      <c r="C307" s="282"/>
      <c r="D307" s="228"/>
      <c r="E307" s="293"/>
      <c r="F307" s="394"/>
      <c r="G307" s="421">
        <f t="shared" si="14"/>
        <v>0</v>
      </c>
    </row>
    <row r="308" spans="1:7">
      <c r="A308" s="282"/>
      <c r="B308" s="286" t="s">
        <v>2393</v>
      </c>
      <c r="C308" s="290" t="s">
        <v>1925</v>
      </c>
      <c r="D308" s="228">
        <v>60</v>
      </c>
      <c r="E308" s="284" t="s">
        <v>1870</v>
      </c>
      <c r="F308" s="393">
        <f t="shared" ref="F308:F314" si="16">FLOOR(D308*10.76,0.01)</f>
        <v>645.6</v>
      </c>
      <c r="G308" s="421">
        <f t="shared" si="14"/>
        <v>668.19</v>
      </c>
    </row>
    <row r="309" spans="1:7">
      <c r="A309" s="282"/>
      <c r="B309" s="286" t="s">
        <v>2394</v>
      </c>
      <c r="C309" s="290" t="s">
        <v>1949</v>
      </c>
      <c r="D309" s="228">
        <v>65</v>
      </c>
      <c r="E309" s="284" t="s">
        <v>1870</v>
      </c>
      <c r="F309" s="393">
        <f t="shared" si="16"/>
        <v>699.4</v>
      </c>
      <c r="G309" s="421">
        <f t="shared" si="14"/>
        <v>723.87</v>
      </c>
    </row>
    <row r="310" spans="1:7">
      <c r="A310" s="282"/>
      <c r="B310" s="286" t="s">
        <v>2395</v>
      </c>
      <c r="C310" s="290" t="s">
        <v>2319</v>
      </c>
      <c r="D310" s="228">
        <v>90</v>
      </c>
      <c r="E310" s="284" t="s">
        <v>1870</v>
      </c>
      <c r="F310" s="393">
        <f t="shared" si="16"/>
        <v>968.4</v>
      </c>
      <c r="G310" s="421">
        <f t="shared" si="14"/>
        <v>1002.2900000000001</v>
      </c>
    </row>
    <row r="311" spans="1:7">
      <c r="A311" s="282"/>
      <c r="B311" s="286" t="s">
        <v>2396</v>
      </c>
      <c r="C311" s="290" t="s">
        <v>2319</v>
      </c>
      <c r="D311" s="228">
        <v>105</v>
      </c>
      <c r="E311" s="284" t="s">
        <v>1870</v>
      </c>
      <c r="F311" s="393">
        <f t="shared" si="16"/>
        <v>1129.8</v>
      </c>
      <c r="G311" s="421">
        <f t="shared" si="14"/>
        <v>1169.3399999999999</v>
      </c>
    </row>
    <row r="312" spans="1:7">
      <c r="A312" s="282"/>
      <c r="B312" s="286" t="s">
        <v>2397</v>
      </c>
      <c r="C312" s="290" t="s">
        <v>2319</v>
      </c>
      <c r="D312" s="228">
        <v>180</v>
      </c>
      <c r="E312" s="284" t="s">
        <v>1870</v>
      </c>
      <c r="F312" s="393">
        <f t="shared" si="16"/>
        <v>1936.8</v>
      </c>
      <c r="G312" s="421">
        <f t="shared" si="14"/>
        <v>2004.5800000000002</v>
      </c>
    </row>
    <row r="313" spans="1:7">
      <c r="A313" s="282"/>
      <c r="B313" s="286" t="s">
        <v>2398</v>
      </c>
      <c r="C313" s="290" t="s">
        <v>2319</v>
      </c>
      <c r="D313" s="228">
        <v>220</v>
      </c>
      <c r="E313" s="284" t="s">
        <v>1870</v>
      </c>
      <c r="F313" s="393">
        <f t="shared" si="16"/>
        <v>2367.2000000000003</v>
      </c>
      <c r="G313" s="421">
        <f t="shared" si="14"/>
        <v>2450.0500000000002</v>
      </c>
    </row>
    <row r="314" spans="1:7">
      <c r="A314" s="282"/>
      <c r="B314" s="286" t="s">
        <v>2399</v>
      </c>
      <c r="C314" s="290" t="s">
        <v>1002</v>
      </c>
      <c r="D314" s="228">
        <v>250</v>
      </c>
      <c r="E314" s="284" t="s">
        <v>1870</v>
      </c>
      <c r="F314" s="393">
        <f t="shared" si="16"/>
        <v>2690</v>
      </c>
      <c r="G314" s="421">
        <f t="shared" si="14"/>
        <v>2784.15</v>
      </c>
    </row>
    <row r="315" spans="1:7" ht="37.5">
      <c r="A315" s="282"/>
      <c r="B315" s="282" t="s">
        <v>1504</v>
      </c>
      <c r="C315" s="290"/>
      <c r="D315" s="228"/>
      <c r="E315" s="285"/>
      <c r="F315" s="393"/>
      <c r="G315" s="421">
        <f t="shared" si="14"/>
        <v>0</v>
      </c>
    </row>
    <row r="316" spans="1:7">
      <c r="A316" s="282"/>
      <c r="B316" s="286" t="s">
        <v>2400</v>
      </c>
      <c r="C316" s="290" t="s">
        <v>1949</v>
      </c>
      <c r="D316" s="228">
        <v>85</v>
      </c>
      <c r="E316" s="284" t="s">
        <v>1870</v>
      </c>
      <c r="F316" s="393">
        <f>FLOOR(D316*10.76,0.01)</f>
        <v>914.6</v>
      </c>
      <c r="G316" s="421">
        <f t="shared" si="14"/>
        <v>946.61</v>
      </c>
    </row>
    <row r="317" spans="1:7" ht="36.75">
      <c r="A317" s="282"/>
      <c r="B317" s="283" t="s">
        <v>1505</v>
      </c>
      <c r="C317" s="290"/>
      <c r="D317" s="228"/>
      <c r="E317" s="285"/>
      <c r="F317" s="392"/>
      <c r="G317" s="421">
        <f t="shared" si="14"/>
        <v>0</v>
      </c>
    </row>
    <row r="318" spans="1:7">
      <c r="A318" s="282"/>
      <c r="B318" s="286" t="s">
        <v>2401</v>
      </c>
      <c r="C318" s="290" t="s">
        <v>2402</v>
      </c>
      <c r="D318" s="228">
        <v>4172</v>
      </c>
      <c r="E318" s="284" t="s">
        <v>1870</v>
      </c>
      <c r="F318" s="400">
        <f>D318</f>
        <v>4172</v>
      </c>
      <c r="G318" s="421">
        <f t="shared" si="14"/>
        <v>4318.0200000000004</v>
      </c>
    </row>
    <row r="319" spans="1:7" ht="26.25" customHeight="1">
      <c r="A319" s="282"/>
      <c r="B319" s="283" t="s">
        <v>1506</v>
      </c>
      <c r="C319" s="290"/>
      <c r="D319" s="228"/>
      <c r="E319" s="285"/>
      <c r="F319" s="392"/>
      <c r="G319" s="421">
        <f t="shared" si="14"/>
        <v>0</v>
      </c>
    </row>
    <row r="320" spans="1:7">
      <c r="A320" s="282"/>
      <c r="B320" s="286" t="s">
        <v>2403</v>
      </c>
      <c r="C320" s="290" t="s">
        <v>1949</v>
      </c>
      <c r="D320" s="228">
        <v>120</v>
      </c>
      <c r="E320" s="284" t="s">
        <v>1870</v>
      </c>
      <c r="F320" s="393">
        <f>FLOOR(D320*10.76,0.01)</f>
        <v>1291.2</v>
      </c>
      <c r="G320" s="421">
        <f t="shared" si="14"/>
        <v>1336.39</v>
      </c>
    </row>
    <row r="321" spans="1:7" ht="22.5">
      <c r="A321" s="309"/>
      <c r="B321" s="324" t="s">
        <v>1507</v>
      </c>
      <c r="C321" s="325"/>
      <c r="D321" s="228"/>
      <c r="E321" s="313"/>
      <c r="F321" s="396"/>
      <c r="G321" s="421">
        <f t="shared" si="14"/>
        <v>0</v>
      </c>
    </row>
    <row r="322" spans="1:7" ht="42.75" customHeight="1">
      <c r="A322" s="309">
        <v>27</v>
      </c>
      <c r="B322" s="282" t="s">
        <v>2404</v>
      </c>
      <c r="C322" s="290"/>
      <c r="D322" s="228"/>
      <c r="E322" s="312"/>
      <c r="F322" s="395"/>
      <c r="G322" s="421">
        <f t="shared" si="14"/>
        <v>0</v>
      </c>
    </row>
    <row r="323" spans="1:7">
      <c r="A323" s="309"/>
      <c r="B323" s="286" t="s">
        <v>1508</v>
      </c>
      <c r="C323" s="290" t="s">
        <v>1949</v>
      </c>
      <c r="D323" s="228">
        <v>90</v>
      </c>
      <c r="E323" s="284" t="s">
        <v>1870</v>
      </c>
      <c r="F323" s="393">
        <f>FLOOR(D323*10.76,0.01)</f>
        <v>968.4</v>
      </c>
      <c r="G323" s="421">
        <f t="shared" si="14"/>
        <v>1002.2900000000001</v>
      </c>
    </row>
    <row r="324" spans="1:7">
      <c r="A324" s="282"/>
      <c r="B324" s="286" t="s">
        <v>2405</v>
      </c>
      <c r="C324" s="290" t="s">
        <v>2406</v>
      </c>
      <c r="D324" s="228">
        <v>100</v>
      </c>
      <c r="E324" s="284" t="s">
        <v>1870</v>
      </c>
      <c r="F324" s="393">
        <f>FLOOR(D324*10.76,0.01)</f>
        <v>1076</v>
      </c>
      <c r="G324" s="421">
        <f t="shared" si="14"/>
        <v>1113.6600000000001</v>
      </c>
    </row>
    <row r="325" spans="1:7">
      <c r="A325" s="282"/>
      <c r="B325" s="286" t="s">
        <v>3060</v>
      </c>
      <c r="C325" s="290" t="s">
        <v>2406</v>
      </c>
      <c r="D325" s="228">
        <v>170</v>
      </c>
      <c r="E325" s="284" t="s">
        <v>1870</v>
      </c>
      <c r="F325" s="393">
        <f>FLOOR(D325*10.76,0.01)</f>
        <v>1829.2</v>
      </c>
      <c r="G325" s="421">
        <f t="shared" si="14"/>
        <v>1893.22</v>
      </c>
    </row>
    <row r="326" spans="1:7">
      <c r="A326" s="282"/>
      <c r="B326" s="286" t="s">
        <v>3061</v>
      </c>
      <c r="C326" s="290" t="s">
        <v>2406</v>
      </c>
      <c r="D326" s="228">
        <v>230</v>
      </c>
      <c r="E326" s="284" t="s">
        <v>1870</v>
      </c>
      <c r="F326" s="393">
        <f>FLOOR(D326*10.76,0.01)</f>
        <v>2474.8000000000002</v>
      </c>
      <c r="G326" s="421">
        <f t="shared" si="14"/>
        <v>2561.41</v>
      </c>
    </row>
    <row r="327" spans="1:7" ht="32.25">
      <c r="A327" s="282"/>
      <c r="B327" s="326" t="s">
        <v>1509</v>
      </c>
      <c r="C327" s="308" t="s">
        <v>3062</v>
      </c>
      <c r="D327" s="228">
        <v>55</v>
      </c>
      <c r="E327" s="284" t="s">
        <v>978</v>
      </c>
      <c r="F327" s="390">
        <f>D327</f>
        <v>55</v>
      </c>
      <c r="G327" s="421">
        <f t="shared" si="14"/>
        <v>56.92</v>
      </c>
    </row>
    <row r="328" spans="1:7">
      <c r="A328" s="282"/>
      <c r="B328" s="326" t="s">
        <v>1510</v>
      </c>
      <c r="C328" s="308" t="s">
        <v>3063</v>
      </c>
      <c r="D328" s="228">
        <v>5.5</v>
      </c>
      <c r="E328" s="284" t="s">
        <v>699</v>
      </c>
      <c r="F328" s="390">
        <f>D328</f>
        <v>5.5</v>
      </c>
      <c r="G328" s="421">
        <f t="shared" si="14"/>
        <v>5.69</v>
      </c>
    </row>
    <row r="329" spans="1:7" ht="22.5">
      <c r="A329" s="309">
        <v>28</v>
      </c>
      <c r="B329" s="283" t="s">
        <v>1511</v>
      </c>
      <c r="C329" s="283"/>
      <c r="D329" s="228"/>
      <c r="E329" s="294"/>
      <c r="F329" s="394"/>
      <c r="G329" s="421">
        <f t="shared" si="14"/>
        <v>0</v>
      </c>
    </row>
    <row r="330" spans="1:7" ht="22.5">
      <c r="A330" s="309"/>
      <c r="B330" s="282" t="s">
        <v>1512</v>
      </c>
      <c r="C330" s="327"/>
      <c r="D330" s="228"/>
      <c r="E330" s="300"/>
      <c r="F330" s="402"/>
      <c r="G330" s="421">
        <f t="shared" si="14"/>
        <v>0</v>
      </c>
    </row>
    <row r="331" spans="1:7" ht="22.5">
      <c r="A331" s="309"/>
      <c r="B331" s="322" t="s">
        <v>1513</v>
      </c>
      <c r="C331" s="327"/>
      <c r="D331" s="228"/>
      <c r="E331" s="300"/>
      <c r="F331" s="402"/>
      <c r="G331" s="421">
        <f t="shared" si="14"/>
        <v>0</v>
      </c>
    </row>
    <row r="332" spans="1:7">
      <c r="A332" s="282"/>
      <c r="B332" s="286" t="s">
        <v>3064</v>
      </c>
      <c r="C332" s="290" t="s">
        <v>699</v>
      </c>
      <c r="D332" s="228">
        <v>13</v>
      </c>
      <c r="E332" s="290" t="s">
        <v>699</v>
      </c>
      <c r="F332" s="390">
        <f>D332</f>
        <v>13</v>
      </c>
      <c r="G332" s="421">
        <f t="shared" si="14"/>
        <v>13.450000000000001</v>
      </c>
    </row>
    <row r="333" spans="1:7">
      <c r="A333" s="282"/>
      <c r="B333" s="286" t="s">
        <v>3065</v>
      </c>
      <c r="C333" s="290" t="s">
        <v>2406</v>
      </c>
      <c r="D333" s="228">
        <v>25</v>
      </c>
      <c r="E333" s="290" t="s">
        <v>699</v>
      </c>
      <c r="F333" s="390">
        <f>D333</f>
        <v>25</v>
      </c>
      <c r="G333" s="421">
        <f t="shared" ref="G333:G396" si="17">FLOOR(F333*1.035,0.01)</f>
        <v>25.87</v>
      </c>
    </row>
    <row r="334" spans="1:7">
      <c r="A334" s="282"/>
      <c r="B334" s="286" t="s">
        <v>3066</v>
      </c>
      <c r="C334" s="290" t="s">
        <v>2406</v>
      </c>
      <c r="D334" s="228">
        <v>36</v>
      </c>
      <c r="E334" s="290" t="s">
        <v>699</v>
      </c>
      <c r="F334" s="390">
        <f>D334</f>
        <v>36</v>
      </c>
      <c r="G334" s="421">
        <f t="shared" si="17"/>
        <v>37.26</v>
      </c>
    </row>
    <row r="335" spans="1:7">
      <c r="A335" s="282"/>
      <c r="B335" s="286" t="s">
        <v>3067</v>
      </c>
      <c r="C335" s="290" t="s">
        <v>2406</v>
      </c>
      <c r="D335" s="228">
        <v>48</v>
      </c>
      <c r="E335" s="290" t="s">
        <v>699</v>
      </c>
      <c r="F335" s="390">
        <f>D335</f>
        <v>48</v>
      </c>
      <c r="G335" s="421">
        <f t="shared" si="17"/>
        <v>49.68</v>
      </c>
    </row>
    <row r="336" spans="1:7">
      <c r="A336" s="282"/>
      <c r="B336" s="322" t="s">
        <v>3068</v>
      </c>
      <c r="C336" s="290"/>
      <c r="D336" s="228"/>
      <c r="E336" s="285"/>
      <c r="F336" s="391"/>
      <c r="G336" s="421">
        <f t="shared" si="17"/>
        <v>0</v>
      </c>
    </row>
    <row r="337" spans="1:7">
      <c r="A337" s="282"/>
      <c r="B337" s="262" t="s">
        <v>3069</v>
      </c>
      <c r="C337" s="290" t="s">
        <v>699</v>
      </c>
      <c r="D337" s="228">
        <v>220</v>
      </c>
      <c r="E337" s="290" t="s">
        <v>699</v>
      </c>
      <c r="F337" s="390">
        <f>D337</f>
        <v>220</v>
      </c>
      <c r="G337" s="421">
        <f t="shared" si="17"/>
        <v>227.70000000000002</v>
      </c>
    </row>
    <row r="338" spans="1:7">
      <c r="A338" s="282"/>
      <c r="B338" s="262" t="s">
        <v>3070</v>
      </c>
      <c r="C338" s="290"/>
      <c r="D338" s="228">
        <v>190</v>
      </c>
      <c r="E338" s="290" t="s">
        <v>699</v>
      </c>
      <c r="F338" s="390">
        <f>D338</f>
        <v>190</v>
      </c>
      <c r="G338" s="421">
        <f t="shared" si="17"/>
        <v>196.65</v>
      </c>
    </row>
    <row r="339" spans="1:7">
      <c r="A339" s="282"/>
      <c r="B339" s="262" t="s">
        <v>3071</v>
      </c>
      <c r="C339" s="290"/>
      <c r="D339" s="228">
        <v>160</v>
      </c>
      <c r="E339" s="290" t="s">
        <v>699</v>
      </c>
      <c r="F339" s="390">
        <f>D339</f>
        <v>160</v>
      </c>
      <c r="G339" s="421">
        <f t="shared" si="17"/>
        <v>165.6</v>
      </c>
    </row>
    <row r="340" spans="1:7" ht="22.5">
      <c r="A340" s="309"/>
      <c r="B340" s="282" t="s">
        <v>1514</v>
      </c>
      <c r="C340" s="327"/>
      <c r="D340" s="228"/>
      <c r="E340" s="300"/>
      <c r="F340" s="402"/>
      <c r="G340" s="421">
        <f t="shared" si="17"/>
        <v>0</v>
      </c>
    </row>
    <row r="341" spans="1:7" ht="22.5">
      <c r="A341" s="282"/>
      <c r="B341" s="322" t="s">
        <v>1515</v>
      </c>
      <c r="C341" s="290"/>
      <c r="D341" s="228"/>
      <c r="E341" s="291"/>
      <c r="F341" s="392"/>
      <c r="G341" s="421">
        <f t="shared" si="17"/>
        <v>0</v>
      </c>
    </row>
    <row r="342" spans="1:7">
      <c r="A342" s="282"/>
      <c r="B342" s="286" t="s">
        <v>3072</v>
      </c>
      <c r="C342" s="290" t="s">
        <v>699</v>
      </c>
      <c r="D342" s="228">
        <v>27</v>
      </c>
      <c r="E342" s="290" t="s">
        <v>699</v>
      </c>
      <c r="F342" s="390">
        <f t="shared" ref="F342:F347" si="18">D342</f>
        <v>27</v>
      </c>
      <c r="G342" s="421">
        <f t="shared" si="17"/>
        <v>27.94</v>
      </c>
    </row>
    <row r="343" spans="1:7">
      <c r="A343" s="282"/>
      <c r="B343" s="286" t="s">
        <v>3073</v>
      </c>
      <c r="C343" s="290" t="s">
        <v>2406</v>
      </c>
      <c r="D343" s="228">
        <v>35</v>
      </c>
      <c r="E343" s="290" t="s">
        <v>699</v>
      </c>
      <c r="F343" s="390">
        <f t="shared" si="18"/>
        <v>35</v>
      </c>
      <c r="G343" s="421">
        <f t="shared" si="17"/>
        <v>36.22</v>
      </c>
    </row>
    <row r="344" spans="1:7">
      <c r="A344" s="282"/>
      <c r="B344" s="286" t="s">
        <v>3074</v>
      </c>
      <c r="C344" s="290" t="s">
        <v>2406</v>
      </c>
      <c r="D344" s="228">
        <v>48</v>
      </c>
      <c r="E344" s="290" t="s">
        <v>699</v>
      </c>
      <c r="F344" s="390">
        <f t="shared" si="18"/>
        <v>48</v>
      </c>
      <c r="G344" s="421">
        <f t="shared" si="17"/>
        <v>49.68</v>
      </c>
    </row>
    <row r="345" spans="1:7">
      <c r="A345" s="282"/>
      <c r="B345" s="286" t="s">
        <v>2845</v>
      </c>
      <c r="C345" s="290" t="s">
        <v>2406</v>
      </c>
      <c r="D345" s="228">
        <v>52</v>
      </c>
      <c r="E345" s="290" t="s">
        <v>699</v>
      </c>
      <c r="F345" s="390">
        <f t="shared" si="18"/>
        <v>52</v>
      </c>
      <c r="G345" s="421">
        <f t="shared" si="17"/>
        <v>53.82</v>
      </c>
    </row>
    <row r="346" spans="1:7">
      <c r="A346" s="282"/>
      <c r="B346" s="286" t="s">
        <v>2846</v>
      </c>
      <c r="C346" s="290" t="s">
        <v>2406</v>
      </c>
      <c r="D346" s="228">
        <v>58</v>
      </c>
      <c r="E346" s="290" t="s">
        <v>699</v>
      </c>
      <c r="F346" s="390">
        <f t="shared" si="18"/>
        <v>58</v>
      </c>
      <c r="G346" s="421">
        <f t="shared" si="17"/>
        <v>60.03</v>
      </c>
    </row>
    <row r="347" spans="1:7">
      <c r="A347" s="282"/>
      <c r="B347" s="286" t="s">
        <v>2847</v>
      </c>
      <c r="C347" s="290" t="s">
        <v>2406</v>
      </c>
      <c r="D347" s="228">
        <v>75</v>
      </c>
      <c r="E347" s="290" t="s">
        <v>699</v>
      </c>
      <c r="F347" s="390">
        <f t="shared" si="18"/>
        <v>75</v>
      </c>
      <c r="G347" s="421">
        <f t="shared" si="17"/>
        <v>77.62</v>
      </c>
    </row>
    <row r="348" spans="1:7">
      <c r="A348" s="282"/>
      <c r="B348" s="322" t="s">
        <v>1516</v>
      </c>
      <c r="C348" s="290"/>
      <c r="D348" s="228"/>
      <c r="E348" s="285"/>
      <c r="F348" s="391"/>
      <c r="G348" s="421">
        <f t="shared" si="17"/>
        <v>0</v>
      </c>
    </row>
    <row r="349" spans="1:7">
      <c r="A349" s="282"/>
      <c r="B349" s="262" t="s">
        <v>2848</v>
      </c>
      <c r="C349" s="290" t="s">
        <v>699</v>
      </c>
      <c r="D349" s="228">
        <v>26</v>
      </c>
      <c r="E349" s="290" t="s">
        <v>699</v>
      </c>
      <c r="F349" s="390">
        <f>D349</f>
        <v>26</v>
      </c>
      <c r="G349" s="421">
        <f t="shared" si="17"/>
        <v>26.91</v>
      </c>
    </row>
    <row r="350" spans="1:7">
      <c r="A350" s="282"/>
      <c r="B350" s="262" t="s">
        <v>2849</v>
      </c>
      <c r="C350" s="290" t="s">
        <v>2406</v>
      </c>
      <c r="D350" s="228">
        <v>45</v>
      </c>
      <c r="E350" s="290" t="s">
        <v>699</v>
      </c>
      <c r="F350" s="390">
        <f>D350</f>
        <v>45</v>
      </c>
      <c r="G350" s="421">
        <f t="shared" si="17"/>
        <v>46.57</v>
      </c>
    </row>
    <row r="351" spans="1:7" ht="22.5">
      <c r="A351" s="309"/>
      <c r="B351" s="282" t="s">
        <v>1517</v>
      </c>
      <c r="C351" s="327"/>
      <c r="D351" s="228"/>
      <c r="E351" s="300"/>
      <c r="F351" s="402"/>
      <c r="G351" s="421">
        <f t="shared" si="17"/>
        <v>0</v>
      </c>
    </row>
    <row r="352" spans="1:7" ht="22.5">
      <c r="A352" s="309"/>
      <c r="B352" s="322" t="s">
        <v>1513</v>
      </c>
      <c r="C352" s="327"/>
      <c r="D352" s="228"/>
      <c r="E352" s="300"/>
      <c r="F352" s="402"/>
      <c r="G352" s="421">
        <f t="shared" si="17"/>
        <v>0</v>
      </c>
    </row>
    <row r="353" spans="1:7" ht="20.25">
      <c r="A353" s="309"/>
      <c r="B353" s="328" t="s">
        <v>1518</v>
      </c>
      <c r="C353" s="290" t="s">
        <v>699</v>
      </c>
      <c r="D353" s="228">
        <v>40</v>
      </c>
      <c r="E353" s="290" t="s">
        <v>699</v>
      </c>
      <c r="F353" s="390">
        <f t="shared" ref="F353:F361" si="19">D353</f>
        <v>40</v>
      </c>
      <c r="G353" s="421">
        <f t="shared" si="17"/>
        <v>41.4</v>
      </c>
    </row>
    <row r="354" spans="1:7" ht="20.25">
      <c r="A354" s="309"/>
      <c r="B354" s="328" t="s">
        <v>1519</v>
      </c>
      <c r="C354" s="290" t="s">
        <v>2319</v>
      </c>
      <c r="D354" s="228">
        <v>45</v>
      </c>
      <c r="E354" s="290" t="s">
        <v>699</v>
      </c>
      <c r="F354" s="390">
        <f t="shared" si="19"/>
        <v>45</v>
      </c>
      <c r="G354" s="421">
        <f t="shared" si="17"/>
        <v>46.57</v>
      </c>
    </row>
    <row r="355" spans="1:7" ht="20.25">
      <c r="A355" s="309"/>
      <c r="B355" s="328" t="s">
        <v>1520</v>
      </c>
      <c r="C355" s="290" t="s">
        <v>2319</v>
      </c>
      <c r="D355" s="228">
        <v>90</v>
      </c>
      <c r="E355" s="290" t="s">
        <v>699</v>
      </c>
      <c r="F355" s="390">
        <f t="shared" si="19"/>
        <v>90</v>
      </c>
      <c r="G355" s="421">
        <f t="shared" si="17"/>
        <v>93.15</v>
      </c>
    </row>
    <row r="356" spans="1:7" ht="20.25">
      <c r="A356" s="309"/>
      <c r="B356" s="328" t="s">
        <v>1521</v>
      </c>
      <c r="C356" s="290" t="s">
        <v>2319</v>
      </c>
      <c r="D356" s="228">
        <v>40</v>
      </c>
      <c r="E356" s="290" t="s">
        <v>699</v>
      </c>
      <c r="F356" s="390">
        <f t="shared" si="19"/>
        <v>40</v>
      </c>
      <c r="G356" s="421">
        <f t="shared" si="17"/>
        <v>41.4</v>
      </c>
    </row>
    <row r="357" spans="1:7" ht="20.25">
      <c r="A357" s="309"/>
      <c r="B357" s="328" t="s">
        <v>1522</v>
      </c>
      <c r="C357" s="290" t="s">
        <v>2319</v>
      </c>
      <c r="D357" s="228">
        <v>55</v>
      </c>
      <c r="E357" s="290" t="s">
        <v>699</v>
      </c>
      <c r="F357" s="390">
        <f t="shared" si="19"/>
        <v>55</v>
      </c>
      <c r="G357" s="421">
        <f t="shared" si="17"/>
        <v>56.92</v>
      </c>
    </row>
    <row r="358" spans="1:7" ht="20.25">
      <c r="A358" s="309"/>
      <c r="B358" s="328" t="s">
        <v>1523</v>
      </c>
      <c r="C358" s="290" t="s">
        <v>2319</v>
      </c>
      <c r="D358" s="228">
        <v>80</v>
      </c>
      <c r="E358" s="290" t="s">
        <v>699</v>
      </c>
      <c r="F358" s="390">
        <f t="shared" si="19"/>
        <v>80</v>
      </c>
      <c r="G358" s="421">
        <f t="shared" si="17"/>
        <v>82.8</v>
      </c>
    </row>
    <row r="359" spans="1:7">
      <c r="A359" s="309"/>
      <c r="B359" s="328" t="s">
        <v>2850</v>
      </c>
      <c r="C359" s="290" t="s">
        <v>2319</v>
      </c>
      <c r="D359" s="228">
        <v>110</v>
      </c>
      <c r="E359" s="290" t="s">
        <v>699</v>
      </c>
      <c r="F359" s="390">
        <f t="shared" si="19"/>
        <v>110</v>
      </c>
      <c r="G359" s="421">
        <f t="shared" si="17"/>
        <v>113.85000000000001</v>
      </c>
    </row>
    <row r="360" spans="1:7">
      <c r="A360" s="309"/>
      <c r="B360" s="328" t="s">
        <v>2851</v>
      </c>
      <c r="C360" s="290" t="s">
        <v>2319</v>
      </c>
      <c r="D360" s="228">
        <v>150</v>
      </c>
      <c r="E360" s="290" t="s">
        <v>699</v>
      </c>
      <c r="F360" s="390">
        <f t="shared" si="19"/>
        <v>150</v>
      </c>
      <c r="G360" s="421">
        <f t="shared" si="17"/>
        <v>155.25</v>
      </c>
    </row>
    <row r="361" spans="1:7">
      <c r="A361" s="282"/>
      <c r="B361" s="328" t="s">
        <v>2852</v>
      </c>
      <c r="C361" s="290" t="s">
        <v>2319</v>
      </c>
      <c r="D361" s="228">
        <v>235</v>
      </c>
      <c r="E361" s="290" t="s">
        <v>699</v>
      </c>
      <c r="F361" s="390">
        <f t="shared" si="19"/>
        <v>235</v>
      </c>
      <c r="G361" s="421">
        <f t="shared" si="17"/>
        <v>243.22</v>
      </c>
    </row>
    <row r="362" spans="1:7" ht="22.5">
      <c r="A362" s="282"/>
      <c r="B362" s="322" t="s">
        <v>1515</v>
      </c>
      <c r="C362" s="290"/>
      <c r="D362" s="228"/>
      <c r="E362" s="291"/>
      <c r="F362" s="392"/>
      <c r="G362" s="421">
        <f t="shared" si="17"/>
        <v>0</v>
      </c>
    </row>
    <row r="363" spans="1:7">
      <c r="A363" s="282"/>
      <c r="B363" s="286" t="s">
        <v>3072</v>
      </c>
      <c r="C363" s="290" t="s">
        <v>1006</v>
      </c>
      <c r="D363" s="228">
        <v>84</v>
      </c>
      <c r="E363" s="290" t="s">
        <v>699</v>
      </c>
      <c r="F363" s="390">
        <f t="shared" ref="F363:F368" si="20">D363</f>
        <v>84</v>
      </c>
      <c r="G363" s="421">
        <f t="shared" si="17"/>
        <v>86.94</v>
      </c>
    </row>
    <row r="364" spans="1:7">
      <c r="A364" s="282"/>
      <c r="B364" s="286" t="s">
        <v>3073</v>
      </c>
      <c r="C364" s="290" t="s">
        <v>1008</v>
      </c>
      <c r="D364" s="228">
        <v>112</v>
      </c>
      <c r="E364" s="290" t="s">
        <v>699</v>
      </c>
      <c r="F364" s="390">
        <f t="shared" si="20"/>
        <v>112</v>
      </c>
      <c r="G364" s="421">
        <f t="shared" si="17"/>
        <v>115.92</v>
      </c>
    </row>
    <row r="365" spans="1:7">
      <c r="A365" s="282"/>
      <c r="B365" s="286" t="s">
        <v>3074</v>
      </c>
      <c r="C365" s="290" t="s">
        <v>1002</v>
      </c>
      <c r="D365" s="228">
        <v>168</v>
      </c>
      <c r="E365" s="290" t="s">
        <v>699</v>
      </c>
      <c r="F365" s="390">
        <f t="shared" si="20"/>
        <v>168</v>
      </c>
      <c r="G365" s="421">
        <f t="shared" si="17"/>
        <v>173.88</v>
      </c>
    </row>
    <row r="366" spans="1:7">
      <c r="A366" s="282"/>
      <c r="B366" s="286" t="s">
        <v>2845</v>
      </c>
      <c r="C366" s="290" t="s">
        <v>1002</v>
      </c>
      <c r="D366" s="228">
        <v>324</v>
      </c>
      <c r="E366" s="290" t="s">
        <v>699</v>
      </c>
      <c r="F366" s="390">
        <f t="shared" si="20"/>
        <v>324</v>
      </c>
      <c r="G366" s="421">
        <f t="shared" si="17"/>
        <v>335.34000000000003</v>
      </c>
    </row>
    <row r="367" spans="1:7">
      <c r="A367" s="282"/>
      <c r="B367" s="286" t="s">
        <v>2846</v>
      </c>
      <c r="C367" s="290" t="s">
        <v>1002</v>
      </c>
      <c r="D367" s="228">
        <v>280</v>
      </c>
      <c r="E367" s="290" t="s">
        <v>699</v>
      </c>
      <c r="F367" s="390">
        <f t="shared" si="20"/>
        <v>280</v>
      </c>
      <c r="G367" s="421">
        <f t="shared" si="17"/>
        <v>289.8</v>
      </c>
    </row>
    <row r="368" spans="1:7">
      <c r="A368" s="282"/>
      <c r="B368" s="286" t="s">
        <v>2847</v>
      </c>
      <c r="C368" s="290" t="s">
        <v>2319</v>
      </c>
      <c r="D368" s="228">
        <v>336</v>
      </c>
      <c r="E368" s="290" t="s">
        <v>699</v>
      </c>
      <c r="F368" s="390">
        <f t="shared" si="20"/>
        <v>336</v>
      </c>
      <c r="G368" s="421">
        <f t="shared" si="17"/>
        <v>347.76</v>
      </c>
    </row>
    <row r="369" spans="1:7">
      <c r="A369" s="282"/>
      <c r="B369" s="322" t="s">
        <v>1516</v>
      </c>
      <c r="C369" s="290"/>
      <c r="D369" s="228"/>
      <c r="E369" s="285"/>
      <c r="F369" s="391"/>
      <c r="G369" s="421">
        <f t="shared" si="17"/>
        <v>0</v>
      </c>
    </row>
    <row r="370" spans="1:7">
      <c r="A370" s="282"/>
      <c r="B370" s="328" t="s">
        <v>2853</v>
      </c>
      <c r="C370" s="290" t="s">
        <v>699</v>
      </c>
      <c r="D370" s="228">
        <v>90</v>
      </c>
      <c r="E370" s="290" t="s">
        <v>699</v>
      </c>
      <c r="F370" s="390">
        <f>D370</f>
        <v>90</v>
      </c>
      <c r="G370" s="421">
        <f t="shared" si="17"/>
        <v>93.15</v>
      </c>
    </row>
    <row r="371" spans="1:7">
      <c r="A371" s="282"/>
      <c r="B371" s="328" t="s">
        <v>2854</v>
      </c>
      <c r="C371" s="290" t="s">
        <v>2319</v>
      </c>
      <c r="D371" s="228">
        <v>260</v>
      </c>
      <c r="E371" s="290" t="s">
        <v>699</v>
      </c>
      <c r="F371" s="390">
        <f>D371</f>
        <v>260</v>
      </c>
      <c r="G371" s="421">
        <f t="shared" si="17"/>
        <v>269.10000000000002</v>
      </c>
    </row>
    <row r="372" spans="1:7">
      <c r="A372" s="282"/>
      <c r="B372" s="328" t="s">
        <v>2855</v>
      </c>
      <c r="C372" s="290" t="s">
        <v>2319</v>
      </c>
      <c r="D372" s="228">
        <v>575</v>
      </c>
      <c r="E372" s="290" t="s">
        <v>699</v>
      </c>
      <c r="F372" s="390">
        <f>D372</f>
        <v>575</v>
      </c>
      <c r="G372" s="421">
        <f t="shared" si="17"/>
        <v>595.12</v>
      </c>
    </row>
    <row r="373" spans="1:7">
      <c r="A373" s="282"/>
      <c r="B373" s="328" t="s">
        <v>2856</v>
      </c>
      <c r="C373" s="290" t="s">
        <v>2319</v>
      </c>
      <c r="D373" s="228"/>
      <c r="E373" s="290" t="s">
        <v>699</v>
      </c>
      <c r="F373" s="390">
        <f>D373</f>
        <v>0</v>
      </c>
      <c r="G373" s="421">
        <f t="shared" si="17"/>
        <v>0</v>
      </c>
    </row>
    <row r="374" spans="1:7">
      <c r="A374" s="282"/>
      <c r="B374" s="322" t="s">
        <v>3068</v>
      </c>
      <c r="C374" s="290"/>
      <c r="D374" s="228"/>
      <c r="E374" s="285"/>
      <c r="F374" s="391"/>
      <c r="G374" s="421">
        <f t="shared" si="17"/>
        <v>0</v>
      </c>
    </row>
    <row r="375" spans="1:7">
      <c r="A375" s="282"/>
      <c r="B375" s="286" t="s">
        <v>2857</v>
      </c>
      <c r="C375" s="290" t="s">
        <v>699</v>
      </c>
      <c r="D375" s="228">
        <v>550</v>
      </c>
      <c r="E375" s="290" t="s">
        <v>699</v>
      </c>
      <c r="F375" s="391"/>
      <c r="G375" s="421">
        <f t="shared" si="17"/>
        <v>0</v>
      </c>
    </row>
    <row r="376" spans="1:7">
      <c r="A376" s="282"/>
      <c r="B376" s="286" t="s">
        <v>2858</v>
      </c>
      <c r="C376" s="290" t="s">
        <v>2319</v>
      </c>
      <c r="D376" s="228">
        <v>900</v>
      </c>
      <c r="E376" s="290" t="s">
        <v>699</v>
      </c>
      <c r="F376" s="391"/>
      <c r="G376" s="421">
        <f t="shared" si="17"/>
        <v>0</v>
      </c>
    </row>
    <row r="377" spans="1:7">
      <c r="A377" s="282"/>
      <c r="B377" s="286" t="s">
        <v>2859</v>
      </c>
      <c r="C377" s="290" t="s">
        <v>2319</v>
      </c>
      <c r="D377" s="228">
        <v>1050</v>
      </c>
      <c r="E377" s="290" t="s">
        <v>699</v>
      </c>
      <c r="F377" s="391"/>
      <c r="G377" s="421">
        <f t="shared" si="17"/>
        <v>0</v>
      </c>
    </row>
    <row r="378" spans="1:7" ht="19.5">
      <c r="A378" s="282"/>
      <c r="B378" s="282" t="s">
        <v>2860</v>
      </c>
      <c r="C378" s="322"/>
      <c r="D378" s="228"/>
      <c r="E378" s="329"/>
      <c r="F378" s="403"/>
      <c r="G378" s="421">
        <f t="shared" si="17"/>
        <v>0</v>
      </c>
    </row>
    <row r="379" spans="1:7" ht="22.5">
      <c r="A379" s="282"/>
      <c r="B379" s="306" t="s">
        <v>2861</v>
      </c>
      <c r="C379" s="284"/>
      <c r="D379" s="228"/>
      <c r="E379" s="313"/>
      <c r="F379" s="396"/>
      <c r="G379" s="421">
        <f t="shared" si="17"/>
        <v>0</v>
      </c>
    </row>
    <row r="380" spans="1:7" ht="22.5">
      <c r="A380" s="282"/>
      <c r="B380" s="325" t="s">
        <v>2862</v>
      </c>
      <c r="C380" s="284" t="s">
        <v>699</v>
      </c>
      <c r="D380" s="228">
        <v>850</v>
      </c>
      <c r="E380" s="285"/>
      <c r="F380" s="396"/>
      <c r="G380" s="421">
        <f t="shared" si="17"/>
        <v>0</v>
      </c>
    </row>
    <row r="381" spans="1:7" ht="22.5">
      <c r="A381" s="282"/>
      <c r="B381" s="325" t="s">
        <v>2863</v>
      </c>
      <c r="C381" s="284" t="s">
        <v>2319</v>
      </c>
      <c r="D381" s="228">
        <v>960</v>
      </c>
      <c r="E381" s="285"/>
      <c r="F381" s="396"/>
      <c r="G381" s="421">
        <f t="shared" si="17"/>
        <v>0</v>
      </c>
    </row>
    <row r="382" spans="1:7" ht="22.5">
      <c r="A382" s="282"/>
      <c r="B382" s="325" t="s">
        <v>2864</v>
      </c>
      <c r="C382" s="284" t="s">
        <v>2319</v>
      </c>
      <c r="D382" s="228">
        <v>1050</v>
      </c>
      <c r="E382" s="285"/>
      <c r="F382" s="396"/>
      <c r="G382" s="421">
        <f t="shared" si="17"/>
        <v>0</v>
      </c>
    </row>
    <row r="383" spans="1:7" ht="22.5">
      <c r="A383" s="282"/>
      <c r="B383" s="306" t="s">
        <v>2865</v>
      </c>
      <c r="C383" s="284"/>
      <c r="D383" s="228"/>
      <c r="E383" s="313"/>
      <c r="F383" s="396"/>
      <c r="G383" s="421">
        <f t="shared" si="17"/>
        <v>0</v>
      </c>
    </row>
    <row r="384" spans="1:7" ht="22.5">
      <c r="A384" s="282"/>
      <c r="B384" s="325" t="s">
        <v>2866</v>
      </c>
      <c r="C384" s="284" t="s">
        <v>2319</v>
      </c>
      <c r="D384" s="228">
        <v>1050</v>
      </c>
      <c r="E384" s="285"/>
      <c r="F384" s="396"/>
      <c r="G384" s="421">
        <f t="shared" si="17"/>
        <v>0</v>
      </c>
    </row>
    <row r="385" spans="1:7" ht="22.5">
      <c r="A385" s="282"/>
      <c r="B385" s="306" t="s">
        <v>2867</v>
      </c>
      <c r="C385" s="284"/>
      <c r="D385" s="228"/>
      <c r="E385" s="313"/>
      <c r="F385" s="396"/>
      <c r="G385" s="421">
        <f t="shared" si="17"/>
        <v>0</v>
      </c>
    </row>
    <row r="386" spans="1:7" ht="22.5">
      <c r="A386" s="282"/>
      <c r="B386" s="325" t="s">
        <v>2868</v>
      </c>
      <c r="C386" s="284" t="s">
        <v>2319</v>
      </c>
      <c r="D386" s="228">
        <v>180</v>
      </c>
      <c r="E386" s="285"/>
      <c r="F386" s="396"/>
      <c r="G386" s="421">
        <f t="shared" si="17"/>
        <v>0</v>
      </c>
    </row>
    <row r="387" spans="1:7" ht="22.5">
      <c r="A387" s="282"/>
      <c r="B387" s="325" t="s">
        <v>2866</v>
      </c>
      <c r="C387" s="284" t="s">
        <v>2319</v>
      </c>
      <c r="D387" s="228">
        <v>240</v>
      </c>
      <c r="E387" s="285"/>
      <c r="F387" s="396"/>
      <c r="G387" s="421">
        <f t="shared" si="17"/>
        <v>0</v>
      </c>
    </row>
    <row r="388" spans="1:7" ht="22.5">
      <c r="A388" s="282"/>
      <c r="B388" s="325" t="s">
        <v>2863</v>
      </c>
      <c r="C388" s="284" t="s">
        <v>2319</v>
      </c>
      <c r="D388" s="228">
        <v>300</v>
      </c>
      <c r="E388" s="285"/>
      <c r="F388" s="396"/>
      <c r="G388" s="421">
        <f t="shared" si="17"/>
        <v>0</v>
      </c>
    </row>
    <row r="389" spans="1:7">
      <c r="A389" s="282"/>
      <c r="B389" s="306" t="s">
        <v>2869</v>
      </c>
      <c r="C389" s="284"/>
      <c r="D389" s="228"/>
      <c r="E389" s="313"/>
      <c r="F389" s="404"/>
      <c r="G389" s="421">
        <f t="shared" si="17"/>
        <v>0</v>
      </c>
    </row>
    <row r="390" spans="1:7">
      <c r="A390" s="282"/>
      <c r="B390" s="306" t="s">
        <v>2861</v>
      </c>
      <c r="C390" s="284"/>
      <c r="D390" s="228"/>
      <c r="E390" s="313"/>
      <c r="F390" s="404"/>
      <c r="G390" s="421">
        <f t="shared" si="17"/>
        <v>0</v>
      </c>
    </row>
    <row r="391" spans="1:7">
      <c r="A391" s="282"/>
      <c r="B391" s="325" t="s">
        <v>2862</v>
      </c>
      <c r="C391" s="284" t="s">
        <v>699</v>
      </c>
      <c r="D391" s="228">
        <v>750</v>
      </c>
      <c r="E391" s="285"/>
      <c r="F391" s="405"/>
      <c r="G391" s="421">
        <f t="shared" si="17"/>
        <v>0</v>
      </c>
    </row>
    <row r="392" spans="1:7">
      <c r="A392" s="282"/>
      <c r="B392" s="325" t="s">
        <v>2863</v>
      </c>
      <c r="C392" s="284" t="s">
        <v>2319</v>
      </c>
      <c r="D392" s="228">
        <v>950</v>
      </c>
      <c r="E392" s="285"/>
      <c r="F392" s="405"/>
      <c r="G392" s="421">
        <f t="shared" si="17"/>
        <v>0</v>
      </c>
    </row>
    <row r="393" spans="1:7">
      <c r="A393" s="282"/>
      <c r="B393" s="325" t="s">
        <v>2864</v>
      </c>
      <c r="C393" s="284" t="s">
        <v>2319</v>
      </c>
      <c r="D393" s="228">
        <v>1050</v>
      </c>
      <c r="E393" s="285"/>
      <c r="F393" s="405"/>
      <c r="G393" s="421">
        <f t="shared" si="17"/>
        <v>0</v>
      </c>
    </row>
    <row r="394" spans="1:7">
      <c r="A394" s="282"/>
      <c r="B394" s="306" t="s">
        <v>2865</v>
      </c>
      <c r="C394" s="284"/>
      <c r="D394" s="228"/>
      <c r="E394" s="313"/>
      <c r="F394" s="391"/>
      <c r="G394" s="421">
        <f t="shared" si="17"/>
        <v>0</v>
      </c>
    </row>
    <row r="395" spans="1:7">
      <c r="A395" s="282"/>
      <c r="B395" s="325" t="s">
        <v>2868</v>
      </c>
      <c r="C395" s="284" t="s">
        <v>2319</v>
      </c>
      <c r="D395" s="228">
        <v>200</v>
      </c>
      <c r="E395" s="285"/>
      <c r="F395" s="405"/>
      <c r="G395" s="421">
        <f t="shared" si="17"/>
        <v>0</v>
      </c>
    </row>
    <row r="396" spans="1:7">
      <c r="A396" s="282"/>
      <c r="B396" s="325" t="s">
        <v>2866</v>
      </c>
      <c r="C396" s="284" t="s">
        <v>2319</v>
      </c>
      <c r="D396" s="228">
        <v>300</v>
      </c>
      <c r="E396" s="285"/>
      <c r="F396" s="405"/>
      <c r="G396" s="421">
        <f t="shared" si="17"/>
        <v>0</v>
      </c>
    </row>
    <row r="397" spans="1:7">
      <c r="A397" s="282"/>
      <c r="B397" s="323" t="s">
        <v>2870</v>
      </c>
      <c r="C397" s="290"/>
      <c r="D397" s="228"/>
      <c r="E397" s="285"/>
      <c r="F397" s="391"/>
      <c r="G397" s="421">
        <f t="shared" ref="G397:G460" si="21">FLOOR(F397*1.035,0.01)</f>
        <v>0</v>
      </c>
    </row>
    <row r="398" spans="1:7">
      <c r="A398" s="282"/>
      <c r="B398" s="262" t="s">
        <v>2871</v>
      </c>
      <c r="C398" s="290" t="s">
        <v>699</v>
      </c>
      <c r="D398" s="228">
        <v>425</v>
      </c>
      <c r="E398" s="290" t="s">
        <v>699</v>
      </c>
      <c r="F398" s="390">
        <f>D398</f>
        <v>425</v>
      </c>
      <c r="G398" s="421">
        <f t="shared" si="21"/>
        <v>439.87</v>
      </c>
    </row>
    <row r="399" spans="1:7">
      <c r="A399" s="282"/>
      <c r="B399" s="262" t="s">
        <v>2872</v>
      </c>
      <c r="C399" s="290" t="s">
        <v>2319</v>
      </c>
      <c r="D399" s="228">
        <v>475</v>
      </c>
      <c r="E399" s="290" t="s">
        <v>699</v>
      </c>
      <c r="F399" s="390">
        <f>D399</f>
        <v>475</v>
      </c>
      <c r="G399" s="421">
        <f t="shared" si="21"/>
        <v>491.62</v>
      </c>
    </row>
    <row r="400" spans="1:7">
      <c r="A400" s="282"/>
      <c r="B400" s="262" t="s">
        <v>2541</v>
      </c>
      <c r="C400" s="290" t="s">
        <v>2319</v>
      </c>
      <c r="D400" s="228">
        <v>2150</v>
      </c>
      <c r="E400" s="290" t="s">
        <v>699</v>
      </c>
      <c r="F400" s="390">
        <f>D400</f>
        <v>2150</v>
      </c>
      <c r="G400" s="421">
        <f t="shared" si="21"/>
        <v>2225.25</v>
      </c>
    </row>
    <row r="401" spans="1:7">
      <c r="A401" s="282"/>
      <c r="B401" s="323" t="s">
        <v>2542</v>
      </c>
      <c r="C401" s="290"/>
      <c r="D401" s="228"/>
      <c r="E401" s="285"/>
      <c r="F401" s="391"/>
      <c r="G401" s="421">
        <f t="shared" si="21"/>
        <v>0</v>
      </c>
    </row>
    <row r="402" spans="1:7">
      <c r="A402" s="282"/>
      <c r="B402" s="262" t="s">
        <v>2871</v>
      </c>
      <c r="C402" s="290" t="s">
        <v>699</v>
      </c>
      <c r="D402" s="228">
        <v>475</v>
      </c>
      <c r="E402" s="290" t="s">
        <v>699</v>
      </c>
      <c r="F402" s="390">
        <f>D402</f>
        <v>475</v>
      </c>
      <c r="G402" s="421">
        <f t="shared" si="21"/>
        <v>491.62</v>
      </c>
    </row>
    <row r="403" spans="1:7">
      <c r="A403" s="282"/>
      <c r="B403" s="262" t="s">
        <v>2543</v>
      </c>
      <c r="C403" s="290" t="s">
        <v>2319</v>
      </c>
      <c r="D403" s="228">
        <v>1500</v>
      </c>
      <c r="E403" s="290" t="s">
        <v>699</v>
      </c>
      <c r="F403" s="390">
        <f>D403</f>
        <v>1500</v>
      </c>
      <c r="G403" s="421">
        <f t="shared" si="21"/>
        <v>1552.5</v>
      </c>
    </row>
    <row r="404" spans="1:7">
      <c r="A404" s="282"/>
      <c r="B404" s="323" t="s">
        <v>2544</v>
      </c>
      <c r="C404" s="290"/>
      <c r="D404" s="228"/>
      <c r="E404" s="285"/>
      <c r="F404" s="393"/>
      <c r="G404" s="421">
        <f t="shared" si="21"/>
        <v>0</v>
      </c>
    </row>
    <row r="405" spans="1:7">
      <c r="A405" s="282"/>
      <c r="B405" s="322" t="s">
        <v>2545</v>
      </c>
      <c r="C405" s="290" t="s">
        <v>1006</v>
      </c>
      <c r="D405" s="228">
        <v>15</v>
      </c>
      <c r="E405" s="290" t="s">
        <v>699</v>
      </c>
      <c r="F405" s="390">
        <f>D405</f>
        <v>15</v>
      </c>
      <c r="G405" s="421">
        <f t="shared" si="21"/>
        <v>15.52</v>
      </c>
    </row>
    <row r="406" spans="1:7">
      <c r="A406" s="282"/>
      <c r="B406" s="322" t="s">
        <v>2546</v>
      </c>
      <c r="C406" s="290"/>
      <c r="D406" s="228"/>
      <c r="E406" s="285"/>
      <c r="F406" s="393"/>
      <c r="G406" s="421">
        <f t="shared" si="21"/>
        <v>0</v>
      </c>
    </row>
    <row r="407" spans="1:7">
      <c r="A407" s="282"/>
      <c r="B407" s="328" t="s">
        <v>2547</v>
      </c>
      <c r="C407" s="290" t="s">
        <v>1006</v>
      </c>
      <c r="D407" s="228">
        <v>24</v>
      </c>
      <c r="E407" s="290" t="s">
        <v>699</v>
      </c>
      <c r="F407" s="390">
        <f>D407</f>
        <v>24</v>
      </c>
      <c r="G407" s="421">
        <f t="shared" si="21"/>
        <v>24.84</v>
      </c>
    </row>
    <row r="408" spans="1:7">
      <c r="A408" s="282"/>
      <c r="B408" s="328" t="s">
        <v>2548</v>
      </c>
      <c r="C408" s="290" t="s">
        <v>1008</v>
      </c>
      <c r="D408" s="228">
        <v>26</v>
      </c>
      <c r="E408" s="290" t="s">
        <v>699</v>
      </c>
      <c r="F408" s="390">
        <f>D408</f>
        <v>26</v>
      </c>
      <c r="G408" s="421">
        <f t="shared" si="21"/>
        <v>26.91</v>
      </c>
    </row>
    <row r="409" spans="1:7">
      <c r="A409" s="282"/>
      <c r="B409" s="328" t="s">
        <v>2853</v>
      </c>
      <c r="C409" s="290" t="s">
        <v>1002</v>
      </c>
      <c r="D409" s="228">
        <v>29</v>
      </c>
      <c r="E409" s="290" t="s">
        <v>699</v>
      </c>
      <c r="F409" s="390">
        <f>D409</f>
        <v>29</v>
      </c>
      <c r="G409" s="421">
        <f t="shared" si="21"/>
        <v>30.01</v>
      </c>
    </row>
    <row r="410" spans="1:7" ht="22.5">
      <c r="A410" s="282"/>
      <c r="B410" s="323" t="s">
        <v>2549</v>
      </c>
      <c r="C410" s="290"/>
      <c r="D410" s="228"/>
      <c r="E410" s="315"/>
      <c r="F410" s="392"/>
      <c r="G410" s="421">
        <f t="shared" si="21"/>
        <v>0</v>
      </c>
    </row>
    <row r="411" spans="1:7">
      <c r="A411" s="282"/>
      <c r="B411" s="328" t="s">
        <v>2550</v>
      </c>
      <c r="C411" s="290" t="s">
        <v>699</v>
      </c>
      <c r="D411" s="228">
        <v>36</v>
      </c>
      <c r="E411" s="290" t="s">
        <v>699</v>
      </c>
      <c r="F411" s="390">
        <f>D411</f>
        <v>36</v>
      </c>
      <c r="G411" s="421">
        <f t="shared" si="21"/>
        <v>37.26</v>
      </c>
    </row>
    <row r="412" spans="1:7">
      <c r="A412" s="282"/>
      <c r="B412" s="328" t="s">
        <v>2551</v>
      </c>
      <c r="C412" s="290" t="s">
        <v>2319</v>
      </c>
      <c r="D412" s="228">
        <v>125</v>
      </c>
      <c r="E412" s="290" t="s">
        <v>699</v>
      </c>
      <c r="F412" s="390">
        <f>D412</f>
        <v>125</v>
      </c>
      <c r="G412" s="421">
        <f t="shared" si="21"/>
        <v>129.37</v>
      </c>
    </row>
    <row r="413" spans="1:7" ht="22.5">
      <c r="A413" s="282"/>
      <c r="B413" s="262"/>
      <c r="C413" s="290"/>
      <c r="D413" s="228"/>
      <c r="E413" s="291"/>
      <c r="F413" s="392"/>
      <c r="G413" s="421">
        <f t="shared" si="21"/>
        <v>0</v>
      </c>
    </row>
    <row r="414" spans="1:7">
      <c r="A414" s="282"/>
      <c r="B414" s="262" t="s">
        <v>2552</v>
      </c>
      <c r="C414" s="290" t="s">
        <v>2319</v>
      </c>
      <c r="D414" s="228">
        <v>165</v>
      </c>
      <c r="E414" s="290" t="s">
        <v>699</v>
      </c>
      <c r="F414" s="390">
        <f t="shared" ref="F414:F419" si="22">D414</f>
        <v>165</v>
      </c>
      <c r="G414" s="421">
        <f t="shared" si="21"/>
        <v>170.77</v>
      </c>
    </row>
    <row r="415" spans="1:7">
      <c r="A415" s="282"/>
      <c r="B415" s="314" t="s">
        <v>2553</v>
      </c>
      <c r="C415" s="290" t="s">
        <v>2319</v>
      </c>
      <c r="D415" s="228">
        <v>358</v>
      </c>
      <c r="E415" s="290" t="s">
        <v>699</v>
      </c>
      <c r="F415" s="390">
        <f t="shared" si="22"/>
        <v>358</v>
      </c>
      <c r="G415" s="421">
        <f t="shared" si="21"/>
        <v>370.53000000000003</v>
      </c>
    </row>
    <row r="416" spans="1:7">
      <c r="A416" s="282"/>
      <c r="B416" s="314" t="s">
        <v>2554</v>
      </c>
      <c r="C416" s="290" t="s">
        <v>2319</v>
      </c>
      <c r="D416" s="228">
        <v>341</v>
      </c>
      <c r="E416" s="290" t="s">
        <v>699</v>
      </c>
      <c r="F416" s="390">
        <f t="shared" si="22"/>
        <v>341</v>
      </c>
      <c r="G416" s="421">
        <f t="shared" si="21"/>
        <v>352.93</v>
      </c>
    </row>
    <row r="417" spans="1:7">
      <c r="A417" s="282"/>
      <c r="B417" s="314" t="s">
        <v>2667</v>
      </c>
      <c r="C417" s="290" t="s">
        <v>2319</v>
      </c>
      <c r="D417" s="228">
        <v>700</v>
      </c>
      <c r="E417" s="290" t="s">
        <v>699</v>
      </c>
      <c r="F417" s="390">
        <f t="shared" si="22"/>
        <v>700</v>
      </c>
      <c r="G417" s="421">
        <f t="shared" si="21"/>
        <v>724.5</v>
      </c>
    </row>
    <row r="418" spans="1:7">
      <c r="A418" s="282"/>
      <c r="B418" s="314" t="s">
        <v>2668</v>
      </c>
      <c r="C418" s="290" t="s">
        <v>1956</v>
      </c>
      <c r="D418" s="228">
        <v>55</v>
      </c>
      <c r="E418" s="290" t="s">
        <v>1956</v>
      </c>
      <c r="F418" s="390">
        <f t="shared" si="22"/>
        <v>55</v>
      </c>
      <c r="G418" s="421">
        <f t="shared" si="21"/>
        <v>56.92</v>
      </c>
    </row>
    <row r="419" spans="1:7">
      <c r="A419" s="282"/>
      <c r="B419" s="314" t="s">
        <v>2669</v>
      </c>
      <c r="C419" s="290" t="s">
        <v>2319</v>
      </c>
      <c r="D419" s="228">
        <v>125</v>
      </c>
      <c r="E419" s="290" t="s">
        <v>2574</v>
      </c>
      <c r="F419" s="390">
        <f t="shared" si="22"/>
        <v>125</v>
      </c>
      <c r="G419" s="421">
        <f t="shared" si="21"/>
        <v>129.37</v>
      </c>
    </row>
    <row r="420" spans="1:7" ht="24.75" customHeight="1">
      <c r="A420" s="309">
        <v>29</v>
      </c>
      <c r="B420" s="283" t="s">
        <v>2670</v>
      </c>
      <c r="C420" s="290"/>
      <c r="D420" s="228"/>
      <c r="E420" s="291"/>
      <c r="F420" s="392"/>
      <c r="G420" s="421">
        <f t="shared" si="21"/>
        <v>0</v>
      </c>
    </row>
    <row r="421" spans="1:7">
      <c r="A421" s="282"/>
      <c r="B421" s="262" t="s">
        <v>2671</v>
      </c>
      <c r="C421" s="290" t="s">
        <v>2748</v>
      </c>
      <c r="D421" s="228">
        <v>110</v>
      </c>
      <c r="E421" s="290" t="s">
        <v>699</v>
      </c>
      <c r="F421" s="390">
        <v>15.71</v>
      </c>
      <c r="G421" s="421">
        <f t="shared" si="21"/>
        <v>16.25</v>
      </c>
    </row>
    <row r="422" spans="1:7">
      <c r="A422" s="282"/>
      <c r="B422" s="262" t="s">
        <v>2672</v>
      </c>
      <c r="C422" s="290" t="s">
        <v>2748</v>
      </c>
      <c r="D422" s="228">
        <v>75</v>
      </c>
      <c r="E422" s="290" t="s">
        <v>2748</v>
      </c>
      <c r="F422" s="390">
        <f>D422</f>
        <v>75</v>
      </c>
      <c r="G422" s="421">
        <f t="shared" si="21"/>
        <v>77.62</v>
      </c>
    </row>
    <row r="423" spans="1:7">
      <c r="A423" s="282"/>
      <c r="B423" s="262" t="s">
        <v>2673</v>
      </c>
      <c r="C423" s="290" t="s">
        <v>699</v>
      </c>
      <c r="D423" s="228">
        <v>19</v>
      </c>
      <c r="E423" s="290" t="s">
        <v>699</v>
      </c>
      <c r="F423" s="390">
        <f>D423</f>
        <v>19</v>
      </c>
      <c r="G423" s="421">
        <f t="shared" si="21"/>
        <v>19.66</v>
      </c>
    </row>
    <row r="424" spans="1:7">
      <c r="A424" s="282"/>
      <c r="B424" s="262" t="s">
        <v>2674</v>
      </c>
      <c r="C424" s="290" t="s">
        <v>2748</v>
      </c>
      <c r="D424" s="228">
        <v>105</v>
      </c>
      <c r="E424" s="290" t="s">
        <v>2748</v>
      </c>
      <c r="F424" s="390">
        <f>D424</f>
        <v>105</v>
      </c>
      <c r="G424" s="421">
        <f t="shared" si="21"/>
        <v>108.67</v>
      </c>
    </row>
    <row r="425" spans="1:7">
      <c r="A425" s="282"/>
      <c r="B425" s="262" t="s">
        <v>2675</v>
      </c>
      <c r="C425" s="290" t="s">
        <v>1957</v>
      </c>
      <c r="D425" s="228">
        <v>12</v>
      </c>
      <c r="E425" s="290" t="s">
        <v>978</v>
      </c>
      <c r="F425" s="393">
        <f>FLOOR(D425*3.28,0.01)</f>
        <v>39.36</v>
      </c>
      <c r="G425" s="421">
        <f t="shared" si="21"/>
        <v>40.730000000000004</v>
      </c>
    </row>
    <row r="426" spans="1:7">
      <c r="A426" s="282"/>
      <c r="B426" s="262" t="s">
        <v>2676</v>
      </c>
      <c r="C426" s="290" t="s">
        <v>1957</v>
      </c>
      <c r="D426" s="228">
        <v>25</v>
      </c>
      <c r="E426" s="290" t="s">
        <v>978</v>
      </c>
      <c r="F426" s="393">
        <f>FLOOR(D426*3.28,0.01)</f>
        <v>82</v>
      </c>
      <c r="G426" s="421">
        <f t="shared" si="21"/>
        <v>84.87</v>
      </c>
    </row>
    <row r="427" spans="1:7">
      <c r="A427" s="282"/>
      <c r="B427" s="262" t="s">
        <v>1524</v>
      </c>
      <c r="C427" s="290" t="s">
        <v>699</v>
      </c>
      <c r="D427" s="228">
        <v>5</v>
      </c>
      <c r="E427" s="290" t="s">
        <v>699</v>
      </c>
      <c r="F427" s="390">
        <f>D427</f>
        <v>5</v>
      </c>
      <c r="G427" s="421">
        <f t="shared" si="21"/>
        <v>5.17</v>
      </c>
    </row>
    <row r="428" spans="1:7" ht="36.75">
      <c r="A428" s="282"/>
      <c r="B428" s="286" t="s">
        <v>2575</v>
      </c>
      <c r="C428" s="290" t="s">
        <v>2677</v>
      </c>
      <c r="D428" s="228">
        <v>95</v>
      </c>
      <c r="E428" s="290" t="s">
        <v>699</v>
      </c>
      <c r="F428" s="390">
        <v>6.78</v>
      </c>
      <c r="G428" s="421">
        <f t="shared" si="21"/>
        <v>7.01</v>
      </c>
    </row>
    <row r="429" spans="1:7">
      <c r="A429" s="282"/>
      <c r="B429" s="286" t="s">
        <v>2678</v>
      </c>
      <c r="C429" s="290" t="s">
        <v>699</v>
      </c>
      <c r="D429" s="228">
        <v>4</v>
      </c>
      <c r="E429" s="290" t="s">
        <v>699</v>
      </c>
      <c r="F429" s="390">
        <f>D429</f>
        <v>4</v>
      </c>
      <c r="G429" s="421">
        <f t="shared" si="21"/>
        <v>4.1399999999999997</v>
      </c>
    </row>
    <row r="430" spans="1:7">
      <c r="A430" s="282"/>
      <c r="B430" s="286" t="s">
        <v>2679</v>
      </c>
      <c r="C430" s="290" t="s">
        <v>1975</v>
      </c>
      <c r="D430" s="228">
        <v>6</v>
      </c>
      <c r="E430" s="290" t="s">
        <v>699</v>
      </c>
      <c r="F430" s="390">
        <f>D430</f>
        <v>6</v>
      </c>
      <c r="G430" s="421">
        <f t="shared" si="21"/>
        <v>6.21</v>
      </c>
    </row>
    <row r="431" spans="1:7" ht="22.5">
      <c r="A431" s="282"/>
      <c r="B431" s="322" t="s">
        <v>2680</v>
      </c>
      <c r="C431" s="290"/>
      <c r="D431" s="228"/>
      <c r="E431" s="291"/>
      <c r="F431" s="392"/>
      <c r="G431" s="421">
        <f t="shared" si="21"/>
        <v>0</v>
      </c>
    </row>
    <row r="432" spans="1:7">
      <c r="A432" s="282"/>
      <c r="B432" s="328" t="s">
        <v>2681</v>
      </c>
      <c r="C432" s="290"/>
      <c r="D432" s="228">
        <v>1.25</v>
      </c>
      <c r="E432" s="290" t="s">
        <v>699</v>
      </c>
      <c r="F432" s="390">
        <f>D432</f>
        <v>1.25</v>
      </c>
      <c r="G432" s="421">
        <f t="shared" si="21"/>
        <v>1.29</v>
      </c>
    </row>
    <row r="433" spans="1:7">
      <c r="A433" s="282"/>
      <c r="B433" s="328" t="s">
        <v>2682</v>
      </c>
      <c r="C433" s="290"/>
      <c r="D433" s="228">
        <v>1.75</v>
      </c>
      <c r="E433" s="290" t="s">
        <v>699</v>
      </c>
      <c r="F433" s="390">
        <f>D433</f>
        <v>1.75</v>
      </c>
      <c r="G433" s="421">
        <f t="shared" si="21"/>
        <v>1.81</v>
      </c>
    </row>
    <row r="434" spans="1:7">
      <c r="A434" s="282"/>
      <c r="B434" s="328" t="s">
        <v>2683</v>
      </c>
      <c r="C434" s="290"/>
      <c r="D434" s="228">
        <v>2.75</v>
      </c>
      <c r="E434" s="290" t="s">
        <v>699</v>
      </c>
      <c r="F434" s="390">
        <f>D434</f>
        <v>2.75</v>
      </c>
      <c r="G434" s="421">
        <f t="shared" si="21"/>
        <v>2.84</v>
      </c>
    </row>
    <row r="435" spans="1:7">
      <c r="A435" s="282"/>
      <c r="B435" s="328" t="s">
        <v>2684</v>
      </c>
      <c r="C435" s="290"/>
      <c r="D435" s="228">
        <v>8</v>
      </c>
      <c r="E435" s="290" t="s">
        <v>699</v>
      </c>
      <c r="F435" s="390">
        <f>D435</f>
        <v>8</v>
      </c>
      <c r="G435" s="421">
        <f t="shared" si="21"/>
        <v>8.2799999999999994</v>
      </c>
    </row>
    <row r="436" spans="1:7">
      <c r="A436" s="282"/>
      <c r="B436" s="328" t="s">
        <v>2685</v>
      </c>
      <c r="C436" s="290"/>
      <c r="D436" s="228">
        <v>10</v>
      </c>
      <c r="E436" s="290" t="s">
        <v>699</v>
      </c>
      <c r="F436" s="390">
        <f>D436</f>
        <v>10</v>
      </c>
      <c r="G436" s="421">
        <f t="shared" si="21"/>
        <v>10.35</v>
      </c>
    </row>
    <row r="437" spans="1:7" ht="22.5">
      <c r="A437" s="282"/>
      <c r="B437" s="322" t="s">
        <v>2686</v>
      </c>
      <c r="C437" s="290"/>
      <c r="D437" s="228"/>
      <c r="E437" s="291"/>
      <c r="F437" s="392"/>
      <c r="G437" s="421">
        <f t="shared" si="21"/>
        <v>0</v>
      </c>
    </row>
    <row r="438" spans="1:7">
      <c r="A438" s="282"/>
      <c r="B438" s="328" t="s">
        <v>2681</v>
      </c>
      <c r="C438" s="290"/>
      <c r="D438" s="228">
        <v>0.75</v>
      </c>
      <c r="E438" s="290" t="s">
        <v>699</v>
      </c>
      <c r="F438" s="390">
        <f t="shared" ref="F438:F444" si="23">D438</f>
        <v>0.75</v>
      </c>
      <c r="G438" s="421">
        <f t="shared" si="21"/>
        <v>0.77</v>
      </c>
    </row>
    <row r="439" spans="1:7">
      <c r="A439" s="282"/>
      <c r="B439" s="328" t="s">
        <v>2682</v>
      </c>
      <c r="C439" s="290"/>
      <c r="D439" s="228">
        <v>1.25</v>
      </c>
      <c r="E439" s="290" t="s">
        <v>699</v>
      </c>
      <c r="F439" s="390">
        <f t="shared" si="23"/>
        <v>1.25</v>
      </c>
      <c r="G439" s="421">
        <f t="shared" si="21"/>
        <v>1.29</v>
      </c>
    </row>
    <row r="440" spans="1:7">
      <c r="A440" s="282"/>
      <c r="B440" s="328" t="s">
        <v>2683</v>
      </c>
      <c r="C440" s="290"/>
      <c r="D440" s="228">
        <v>1.5</v>
      </c>
      <c r="E440" s="290" t="s">
        <v>699</v>
      </c>
      <c r="F440" s="390">
        <f t="shared" si="23"/>
        <v>1.5</v>
      </c>
      <c r="G440" s="421">
        <f t="shared" si="21"/>
        <v>1.55</v>
      </c>
    </row>
    <row r="441" spans="1:7">
      <c r="A441" s="282"/>
      <c r="B441" s="328" t="s">
        <v>2684</v>
      </c>
      <c r="C441" s="290"/>
      <c r="D441" s="228">
        <v>4.75</v>
      </c>
      <c r="E441" s="290" t="s">
        <v>699</v>
      </c>
      <c r="F441" s="390">
        <f t="shared" si="23"/>
        <v>4.75</v>
      </c>
      <c r="G441" s="421">
        <f t="shared" si="21"/>
        <v>4.91</v>
      </c>
    </row>
    <row r="442" spans="1:7">
      <c r="A442" s="282"/>
      <c r="B442" s="328" t="s">
        <v>2685</v>
      </c>
      <c r="C442" s="290"/>
      <c r="D442" s="228">
        <v>5</v>
      </c>
      <c r="E442" s="290" t="s">
        <v>699</v>
      </c>
      <c r="F442" s="390">
        <f t="shared" si="23"/>
        <v>5</v>
      </c>
      <c r="G442" s="421">
        <f t="shared" si="21"/>
        <v>5.17</v>
      </c>
    </row>
    <row r="443" spans="1:7">
      <c r="A443" s="282"/>
      <c r="B443" s="302" t="s">
        <v>1525</v>
      </c>
      <c r="C443" s="290" t="s">
        <v>699</v>
      </c>
      <c r="D443" s="228">
        <v>2.5</v>
      </c>
      <c r="E443" s="290" t="s">
        <v>699</v>
      </c>
      <c r="F443" s="390">
        <f t="shared" si="23"/>
        <v>2.5</v>
      </c>
      <c r="G443" s="421">
        <f t="shared" si="21"/>
        <v>2.58</v>
      </c>
    </row>
    <row r="444" spans="1:7">
      <c r="A444" s="282"/>
      <c r="B444" s="302" t="s">
        <v>1526</v>
      </c>
      <c r="C444" s="290" t="s">
        <v>2748</v>
      </c>
      <c r="D444" s="228">
        <v>80</v>
      </c>
      <c r="E444" s="290" t="s">
        <v>2748</v>
      </c>
      <c r="F444" s="390">
        <f t="shared" si="23"/>
        <v>80</v>
      </c>
      <c r="G444" s="421">
        <f t="shared" si="21"/>
        <v>82.8</v>
      </c>
    </row>
    <row r="445" spans="1:7">
      <c r="A445" s="282"/>
      <c r="B445" s="302" t="s">
        <v>1527</v>
      </c>
      <c r="C445" s="290" t="s">
        <v>1949</v>
      </c>
      <c r="D445" s="228">
        <v>18</v>
      </c>
      <c r="E445" s="290" t="s">
        <v>1870</v>
      </c>
      <c r="F445" s="393">
        <f>FLOOR(D445*10.76,0.01)</f>
        <v>193.68</v>
      </c>
      <c r="G445" s="421">
        <f t="shared" si="21"/>
        <v>200.45000000000002</v>
      </c>
    </row>
    <row r="446" spans="1:7">
      <c r="A446" s="282"/>
      <c r="B446" s="302" t="s">
        <v>1528</v>
      </c>
      <c r="C446" s="290" t="s">
        <v>2687</v>
      </c>
      <c r="D446" s="228">
        <v>2200</v>
      </c>
      <c r="E446" s="290" t="s">
        <v>1870</v>
      </c>
      <c r="F446" s="393">
        <f>D446/20</f>
        <v>110</v>
      </c>
      <c r="G446" s="421">
        <f t="shared" si="21"/>
        <v>113.85000000000001</v>
      </c>
    </row>
    <row r="447" spans="1:7">
      <c r="A447" s="282"/>
      <c r="B447" s="302" t="s">
        <v>1529</v>
      </c>
      <c r="C447" s="290" t="s">
        <v>1975</v>
      </c>
      <c r="D447" s="228">
        <v>2150</v>
      </c>
      <c r="E447" s="290" t="s">
        <v>1870</v>
      </c>
      <c r="F447" s="393">
        <f>D447/20</f>
        <v>107.5</v>
      </c>
      <c r="G447" s="421">
        <f t="shared" si="21"/>
        <v>111.26</v>
      </c>
    </row>
    <row r="448" spans="1:7">
      <c r="A448" s="282"/>
      <c r="B448" s="286" t="s">
        <v>2688</v>
      </c>
      <c r="C448" s="290" t="s">
        <v>699</v>
      </c>
      <c r="D448" s="228">
        <v>150</v>
      </c>
      <c r="E448" s="290" t="s">
        <v>699</v>
      </c>
      <c r="F448" s="390">
        <f>D448</f>
        <v>150</v>
      </c>
      <c r="G448" s="421">
        <f t="shared" si="21"/>
        <v>155.25</v>
      </c>
    </row>
    <row r="449" spans="1:7">
      <c r="A449" s="282"/>
      <c r="B449" s="286" t="s">
        <v>2051</v>
      </c>
      <c r="C449" s="290" t="s">
        <v>2981</v>
      </c>
      <c r="D449" s="228">
        <v>300</v>
      </c>
      <c r="E449" s="290" t="s">
        <v>2981</v>
      </c>
      <c r="F449" s="390">
        <f>D449</f>
        <v>300</v>
      </c>
      <c r="G449" s="421">
        <f t="shared" si="21"/>
        <v>310.5</v>
      </c>
    </row>
    <row r="450" spans="1:7">
      <c r="A450" s="282"/>
      <c r="B450" s="286" t="s">
        <v>1562</v>
      </c>
      <c r="C450" s="290" t="s">
        <v>2406</v>
      </c>
      <c r="D450" s="228">
        <v>100</v>
      </c>
      <c r="E450" s="290" t="s">
        <v>2981</v>
      </c>
      <c r="F450" s="390">
        <f>D450</f>
        <v>100</v>
      </c>
      <c r="G450" s="421">
        <f t="shared" si="21"/>
        <v>103.5</v>
      </c>
    </row>
    <row r="451" spans="1:7">
      <c r="A451" s="282"/>
      <c r="B451" s="286" t="s">
        <v>2689</v>
      </c>
      <c r="C451" s="290" t="s">
        <v>2690</v>
      </c>
      <c r="D451" s="228">
        <v>12</v>
      </c>
      <c r="E451" s="290" t="s">
        <v>699</v>
      </c>
      <c r="F451" s="390">
        <f>D451</f>
        <v>12</v>
      </c>
      <c r="G451" s="421">
        <f t="shared" si="21"/>
        <v>12.42</v>
      </c>
    </row>
    <row r="452" spans="1:7">
      <c r="A452" s="282"/>
      <c r="B452" s="286" t="s">
        <v>2691</v>
      </c>
      <c r="C452" s="290" t="s">
        <v>2692</v>
      </c>
      <c r="D452" s="228">
        <v>195</v>
      </c>
      <c r="E452" s="290" t="s">
        <v>2692</v>
      </c>
      <c r="F452" s="393">
        <f>FLOOR(D452*35.31,0.01)</f>
        <v>6885.45</v>
      </c>
      <c r="G452" s="421">
        <f t="shared" si="21"/>
        <v>7126.4400000000005</v>
      </c>
    </row>
    <row r="453" spans="1:7">
      <c r="A453" s="282"/>
      <c r="B453" s="286" t="s">
        <v>2693</v>
      </c>
      <c r="C453" s="290" t="s">
        <v>2981</v>
      </c>
      <c r="D453" s="228">
        <v>4</v>
      </c>
      <c r="E453" s="290" t="s">
        <v>2981</v>
      </c>
      <c r="F453" s="390">
        <f>D453</f>
        <v>4</v>
      </c>
      <c r="G453" s="421">
        <f t="shared" si="21"/>
        <v>4.1399999999999997</v>
      </c>
    </row>
    <row r="454" spans="1:7">
      <c r="A454" s="282"/>
      <c r="B454" s="286" t="s">
        <v>2694</v>
      </c>
      <c r="C454" s="290" t="s">
        <v>2981</v>
      </c>
      <c r="D454" s="228">
        <v>3.6</v>
      </c>
      <c r="E454" s="290" t="s">
        <v>2981</v>
      </c>
      <c r="F454" s="390">
        <f>D454</f>
        <v>3.6</v>
      </c>
      <c r="G454" s="421">
        <f t="shared" si="21"/>
        <v>3.72</v>
      </c>
    </row>
    <row r="455" spans="1:7" ht="32.25">
      <c r="A455" s="282"/>
      <c r="B455" s="262" t="s">
        <v>2789</v>
      </c>
      <c r="C455" s="290" t="s">
        <v>699</v>
      </c>
      <c r="D455" s="228">
        <v>75</v>
      </c>
      <c r="E455" s="290" t="s">
        <v>699</v>
      </c>
      <c r="F455" s="390">
        <f>D455</f>
        <v>75</v>
      </c>
      <c r="G455" s="421">
        <f t="shared" si="21"/>
        <v>77.62</v>
      </c>
    </row>
    <row r="456" spans="1:7" ht="32.25">
      <c r="A456" s="282"/>
      <c r="B456" s="262" t="s">
        <v>2790</v>
      </c>
      <c r="C456" s="290" t="s">
        <v>699</v>
      </c>
      <c r="D456" s="228">
        <v>80</v>
      </c>
      <c r="E456" s="290" t="s">
        <v>699</v>
      </c>
      <c r="F456" s="390">
        <f>D456</f>
        <v>80</v>
      </c>
      <c r="G456" s="421">
        <f t="shared" si="21"/>
        <v>82.8</v>
      </c>
    </row>
    <row r="457" spans="1:7">
      <c r="A457" s="282"/>
      <c r="B457" s="262" t="s">
        <v>2791</v>
      </c>
      <c r="C457" s="290" t="s">
        <v>1949</v>
      </c>
      <c r="D457" s="228">
        <v>8</v>
      </c>
      <c r="E457" s="290" t="s">
        <v>1870</v>
      </c>
      <c r="F457" s="393">
        <f>FLOOR(D457*10.76,0.01)</f>
        <v>86.08</v>
      </c>
      <c r="G457" s="421">
        <f t="shared" si="21"/>
        <v>89.09</v>
      </c>
    </row>
    <row r="458" spans="1:7" ht="22.5">
      <c r="A458" s="309">
        <v>30</v>
      </c>
      <c r="B458" s="282" t="s">
        <v>2695</v>
      </c>
      <c r="C458" s="283"/>
      <c r="D458" s="228"/>
      <c r="E458" s="294"/>
      <c r="F458" s="394">
        <f>FLOOR(D458*10.76,0.01)</f>
        <v>0</v>
      </c>
      <c r="G458" s="421">
        <f t="shared" si="21"/>
        <v>0</v>
      </c>
    </row>
    <row r="459" spans="1:7">
      <c r="A459" s="282"/>
      <c r="B459" s="326" t="s">
        <v>2696</v>
      </c>
      <c r="C459" s="290" t="s">
        <v>2697</v>
      </c>
      <c r="D459" s="228">
        <v>100</v>
      </c>
      <c r="E459" s="290" t="s">
        <v>2981</v>
      </c>
      <c r="F459" s="393">
        <v>4880</v>
      </c>
      <c r="G459" s="421">
        <f t="shared" si="21"/>
        <v>5050.8</v>
      </c>
    </row>
    <row r="460" spans="1:7">
      <c r="A460" s="282"/>
      <c r="B460" s="326" t="s">
        <v>2698</v>
      </c>
      <c r="C460" s="290" t="s">
        <v>2319</v>
      </c>
      <c r="D460" s="228">
        <v>100</v>
      </c>
      <c r="E460" s="290" t="s">
        <v>2981</v>
      </c>
      <c r="F460" s="393">
        <f>D460/25</f>
        <v>4</v>
      </c>
      <c r="G460" s="421">
        <f t="shared" si="21"/>
        <v>4.1399999999999997</v>
      </c>
    </row>
    <row r="461" spans="1:7">
      <c r="A461" s="282"/>
      <c r="B461" s="326" t="s">
        <v>2699</v>
      </c>
      <c r="C461" s="290" t="s">
        <v>2319</v>
      </c>
      <c r="D461" s="228">
        <v>110</v>
      </c>
      <c r="E461" s="290" t="s">
        <v>1870</v>
      </c>
      <c r="F461" s="393">
        <f>D461/6</f>
        <v>18.333333333333332</v>
      </c>
      <c r="G461" s="421">
        <f t="shared" ref="G461:G524" si="24">FLOOR(F461*1.035,0.01)</f>
        <v>18.97</v>
      </c>
    </row>
    <row r="462" spans="1:7">
      <c r="A462" s="282"/>
      <c r="B462" s="326" t="s">
        <v>2700</v>
      </c>
      <c r="C462" s="290" t="s">
        <v>2701</v>
      </c>
      <c r="D462" s="228">
        <v>90</v>
      </c>
      <c r="E462" s="290" t="s">
        <v>2981</v>
      </c>
      <c r="F462" s="393">
        <f>D462/25</f>
        <v>3.6</v>
      </c>
      <c r="G462" s="421">
        <f t="shared" si="24"/>
        <v>3.72</v>
      </c>
    </row>
    <row r="463" spans="1:7" ht="39.75">
      <c r="A463" s="309">
        <v>31</v>
      </c>
      <c r="B463" s="282" t="s">
        <v>2702</v>
      </c>
      <c r="C463" s="283"/>
      <c r="D463" s="228"/>
      <c r="E463" s="294"/>
      <c r="F463" s="394"/>
      <c r="G463" s="421">
        <f t="shared" si="24"/>
        <v>0</v>
      </c>
    </row>
    <row r="464" spans="1:7" ht="22.5">
      <c r="A464" s="282"/>
      <c r="B464" s="283" t="s">
        <v>2703</v>
      </c>
      <c r="C464" s="330"/>
      <c r="D464" s="228"/>
      <c r="E464" s="293"/>
      <c r="F464" s="394"/>
      <c r="G464" s="421">
        <f t="shared" si="24"/>
        <v>0</v>
      </c>
    </row>
    <row r="465" spans="1:7">
      <c r="A465" s="282"/>
      <c r="B465" s="326" t="s">
        <v>2792</v>
      </c>
      <c r="C465" s="290" t="s">
        <v>1949</v>
      </c>
      <c r="D465" s="228">
        <v>48</v>
      </c>
      <c r="E465" s="290" t="s">
        <v>1870</v>
      </c>
      <c r="F465" s="393">
        <f t="shared" ref="F465:F477" si="25">FLOOR(D465*10.76,0.01)</f>
        <v>516.48</v>
      </c>
      <c r="G465" s="421">
        <f t="shared" si="24"/>
        <v>534.54999999999995</v>
      </c>
    </row>
    <row r="466" spans="1:7">
      <c r="A466" s="282"/>
      <c r="B466" s="326" t="s">
        <v>2793</v>
      </c>
      <c r="C466" s="290" t="s">
        <v>1002</v>
      </c>
      <c r="D466" s="228">
        <v>57</v>
      </c>
      <c r="E466" s="290" t="s">
        <v>1870</v>
      </c>
      <c r="F466" s="393">
        <f t="shared" si="25"/>
        <v>613.32000000000005</v>
      </c>
      <c r="G466" s="421">
        <f t="shared" si="24"/>
        <v>634.78</v>
      </c>
    </row>
    <row r="467" spans="1:7">
      <c r="A467" s="282"/>
      <c r="B467" s="326" t="s">
        <v>2794</v>
      </c>
      <c r="C467" s="290" t="s">
        <v>1002</v>
      </c>
      <c r="D467" s="228">
        <v>76</v>
      </c>
      <c r="E467" s="290" t="s">
        <v>1870</v>
      </c>
      <c r="F467" s="393">
        <f t="shared" si="25"/>
        <v>817.76</v>
      </c>
      <c r="G467" s="421">
        <f t="shared" si="24"/>
        <v>846.38</v>
      </c>
    </row>
    <row r="468" spans="1:7">
      <c r="A468" s="282"/>
      <c r="B468" s="326" t="s">
        <v>2795</v>
      </c>
      <c r="C468" s="290" t="s">
        <v>1002</v>
      </c>
      <c r="D468" s="228">
        <v>76</v>
      </c>
      <c r="E468" s="290" t="s">
        <v>1870</v>
      </c>
      <c r="F468" s="393">
        <f t="shared" si="25"/>
        <v>817.76</v>
      </c>
      <c r="G468" s="421">
        <f t="shared" si="24"/>
        <v>846.38</v>
      </c>
    </row>
    <row r="469" spans="1:7">
      <c r="A469" s="282"/>
      <c r="B469" s="326" t="s">
        <v>2704</v>
      </c>
      <c r="C469" s="290" t="s">
        <v>1002</v>
      </c>
      <c r="D469" s="228">
        <v>76</v>
      </c>
      <c r="E469" s="290" t="s">
        <v>1870</v>
      </c>
      <c r="F469" s="393">
        <f t="shared" si="25"/>
        <v>817.76</v>
      </c>
      <c r="G469" s="421">
        <f t="shared" si="24"/>
        <v>846.38</v>
      </c>
    </row>
    <row r="470" spans="1:7">
      <c r="A470" s="282"/>
      <c r="B470" s="326" t="s">
        <v>2796</v>
      </c>
      <c r="C470" s="290" t="s">
        <v>1002</v>
      </c>
      <c r="D470" s="228">
        <v>81</v>
      </c>
      <c r="E470" s="290" t="s">
        <v>1870</v>
      </c>
      <c r="F470" s="393">
        <f t="shared" si="25"/>
        <v>871.56000000000006</v>
      </c>
      <c r="G470" s="421">
        <f t="shared" si="24"/>
        <v>902.06000000000006</v>
      </c>
    </row>
    <row r="471" spans="1:7">
      <c r="A471" s="282"/>
      <c r="B471" s="326" t="s">
        <v>2797</v>
      </c>
      <c r="C471" s="290" t="s">
        <v>1002</v>
      </c>
      <c r="D471" s="228">
        <v>81</v>
      </c>
      <c r="E471" s="290" t="s">
        <v>1870</v>
      </c>
      <c r="F471" s="393">
        <f t="shared" si="25"/>
        <v>871.56000000000006</v>
      </c>
      <c r="G471" s="421">
        <f t="shared" si="24"/>
        <v>902.06000000000006</v>
      </c>
    </row>
    <row r="472" spans="1:7">
      <c r="A472" s="282"/>
      <c r="B472" s="326" t="s">
        <v>2798</v>
      </c>
      <c r="C472" s="290" t="s">
        <v>1002</v>
      </c>
      <c r="D472" s="228">
        <v>81</v>
      </c>
      <c r="E472" s="290" t="s">
        <v>1870</v>
      </c>
      <c r="F472" s="393">
        <f t="shared" si="25"/>
        <v>871.56000000000006</v>
      </c>
      <c r="G472" s="421">
        <f t="shared" si="24"/>
        <v>902.06000000000006</v>
      </c>
    </row>
    <row r="473" spans="1:7">
      <c r="A473" s="282"/>
      <c r="B473" s="326" t="s">
        <v>2799</v>
      </c>
      <c r="C473" s="290" t="s">
        <v>1002</v>
      </c>
      <c r="D473" s="228">
        <v>94</v>
      </c>
      <c r="E473" s="290" t="s">
        <v>1870</v>
      </c>
      <c r="F473" s="393">
        <f t="shared" si="25"/>
        <v>1011.44</v>
      </c>
      <c r="G473" s="421">
        <f t="shared" si="24"/>
        <v>1046.8399999999999</v>
      </c>
    </row>
    <row r="474" spans="1:7">
      <c r="A474" s="282"/>
      <c r="B474" s="326" t="s">
        <v>1936</v>
      </c>
      <c r="C474" s="290" t="s">
        <v>1002</v>
      </c>
      <c r="D474" s="228">
        <v>113</v>
      </c>
      <c r="E474" s="290" t="s">
        <v>1870</v>
      </c>
      <c r="F474" s="393">
        <f t="shared" si="25"/>
        <v>1215.8800000000001</v>
      </c>
      <c r="G474" s="421">
        <f t="shared" si="24"/>
        <v>1258.43</v>
      </c>
    </row>
    <row r="475" spans="1:7">
      <c r="A475" s="282"/>
      <c r="B475" s="326" t="s">
        <v>1937</v>
      </c>
      <c r="C475" s="290" t="s">
        <v>1002</v>
      </c>
      <c r="D475" s="228">
        <v>120</v>
      </c>
      <c r="E475" s="290" t="s">
        <v>1870</v>
      </c>
      <c r="F475" s="393">
        <f t="shared" si="25"/>
        <v>1291.2</v>
      </c>
      <c r="G475" s="421">
        <f t="shared" si="24"/>
        <v>1336.39</v>
      </c>
    </row>
    <row r="476" spans="1:7">
      <c r="A476" s="282"/>
      <c r="B476" s="326" t="s">
        <v>1938</v>
      </c>
      <c r="C476" s="290" t="s">
        <v>1002</v>
      </c>
      <c r="D476" s="228">
        <v>143</v>
      </c>
      <c r="E476" s="290" t="s">
        <v>1870</v>
      </c>
      <c r="F476" s="393">
        <f t="shared" si="25"/>
        <v>1538.68</v>
      </c>
      <c r="G476" s="421">
        <f t="shared" si="24"/>
        <v>1592.53</v>
      </c>
    </row>
    <row r="477" spans="1:7">
      <c r="A477" s="282"/>
      <c r="B477" s="326" t="s">
        <v>1261</v>
      </c>
      <c r="C477" s="290" t="s">
        <v>1002</v>
      </c>
      <c r="D477" s="228">
        <v>160</v>
      </c>
      <c r="E477" s="290" t="s">
        <v>1870</v>
      </c>
      <c r="F477" s="393">
        <f t="shared" si="25"/>
        <v>1721.6000000000001</v>
      </c>
      <c r="G477" s="421">
        <f t="shared" si="24"/>
        <v>1781.8500000000001</v>
      </c>
    </row>
    <row r="478" spans="1:7" ht="22.5">
      <c r="A478" s="282"/>
      <c r="B478" s="283" t="s">
        <v>2705</v>
      </c>
      <c r="C478" s="290"/>
      <c r="D478" s="228"/>
      <c r="E478" s="285"/>
      <c r="F478" s="392"/>
      <c r="G478" s="421">
        <f t="shared" si="24"/>
        <v>0</v>
      </c>
    </row>
    <row r="479" spans="1:7">
      <c r="A479" s="282"/>
      <c r="B479" s="326" t="s">
        <v>2792</v>
      </c>
      <c r="C479" s="290" t="s">
        <v>1949</v>
      </c>
      <c r="D479" s="228">
        <v>36</v>
      </c>
      <c r="E479" s="290" t="s">
        <v>1870</v>
      </c>
      <c r="F479" s="393">
        <f t="shared" ref="F479:F491" si="26">FLOOR(D479*10.76,0.01)</f>
        <v>387.36</v>
      </c>
      <c r="G479" s="421">
        <f t="shared" si="24"/>
        <v>400.91</v>
      </c>
    </row>
    <row r="480" spans="1:7">
      <c r="A480" s="282"/>
      <c r="B480" s="326" t="s">
        <v>2793</v>
      </c>
      <c r="C480" s="290" t="s">
        <v>1002</v>
      </c>
      <c r="D480" s="228">
        <v>38</v>
      </c>
      <c r="E480" s="290" t="s">
        <v>1870</v>
      </c>
      <c r="F480" s="393">
        <f t="shared" si="26"/>
        <v>408.88</v>
      </c>
      <c r="G480" s="421">
        <f t="shared" si="24"/>
        <v>423.19</v>
      </c>
    </row>
    <row r="481" spans="1:7">
      <c r="A481" s="282"/>
      <c r="B481" s="326" t="s">
        <v>2794</v>
      </c>
      <c r="C481" s="290" t="s">
        <v>1002</v>
      </c>
      <c r="D481" s="228">
        <v>44</v>
      </c>
      <c r="E481" s="290" t="s">
        <v>1870</v>
      </c>
      <c r="F481" s="393">
        <f t="shared" si="26"/>
        <v>473.44</v>
      </c>
      <c r="G481" s="421">
        <f t="shared" si="24"/>
        <v>490.01</v>
      </c>
    </row>
    <row r="482" spans="1:7">
      <c r="A482" s="282"/>
      <c r="B482" s="326" t="s">
        <v>2795</v>
      </c>
      <c r="C482" s="290" t="s">
        <v>1002</v>
      </c>
      <c r="D482" s="228">
        <v>44</v>
      </c>
      <c r="E482" s="290" t="s">
        <v>1870</v>
      </c>
      <c r="F482" s="393">
        <f t="shared" si="26"/>
        <v>473.44</v>
      </c>
      <c r="G482" s="421">
        <f t="shared" si="24"/>
        <v>490.01</v>
      </c>
    </row>
    <row r="483" spans="1:7">
      <c r="A483" s="282"/>
      <c r="B483" s="326" t="s">
        <v>2704</v>
      </c>
      <c r="C483" s="290" t="s">
        <v>1002</v>
      </c>
      <c r="D483" s="228">
        <v>44</v>
      </c>
      <c r="E483" s="290" t="s">
        <v>1870</v>
      </c>
      <c r="F483" s="393">
        <f t="shared" si="26"/>
        <v>473.44</v>
      </c>
      <c r="G483" s="421">
        <f t="shared" si="24"/>
        <v>490.01</v>
      </c>
    </row>
    <row r="484" spans="1:7">
      <c r="A484" s="282"/>
      <c r="B484" s="326" t="s">
        <v>2796</v>
      </c>
      <c r="C484" s="290" t="s">
        <v>1002</v>
      </c>
      <c r="D484" s="228">
        <v>49</v>
      </c>
      <c r="E484" s="290" t="s">
        <v>1870</v>
      </c>
      <c r="F484" s="393">
        <f t="shared" si="26"/>
        <v>527.24</v>
      </c>
      <c r="G484" s="421">
        <f t="shared" si="24"/>
        <v>545.69000000000005</v>
      </c>
    </row>
    <row r="485" spans="1:7">
      <c r="A485" s="282"/>
      <c r="B485" s="326" t="s">
        <v>2797</v>
      </c>
      <c r="C485" s="290" t="s">
        <v>1002</v>
      </c>
      <c r="D485" s="228">
        <v>49</v>
      </c>
      <c r="E485" s="290" t="s">
        <v>1870</v>
      </c>
      <c r="F485" s="393">
        <f t="shared" si="26"/>
        <v>527.24</v>
      </c>
      <c r="G485" s="421">
        <f t="shared" si="24"/>
        <v>545.69000000000005</v>
      </c>
    </row>
    <row r="486" spans="1:7">
      <c r="A486" s="282"/>
      <c r="B486" s="326" t="s">
        <v>2798</v>
      </c>
      <c r="C486" s="290" t="s">
        <v>1002</v>
      </c>
      <c r="D486" s="228">
        <v>49</v>
      </c>
      <c r="E486" s="290" t="s">
        <v>1870</v>
      </c>
      <c r="F486" s="393">
        <f t="shared" si="26"/>
        <v>527.24</v>
      </c>
      <c r="G486" s="421">
        <f t="shared" si="24"/>
        <v>545.69000000000005</v>
      </c>
    </row>
    <row r="487" spans="1:7">
      <c r="A487" s="282"/>
      <c r="B487" s="326" t="s">
        <v>2799</v>
      </c>
      <c r="C487" s="290" t="s">
        <v>1002</v>
      </c>
      <c r="D487" s="228">
        <v>54</v>
      </c>
      <c r="E487" s="290" t="s">
        <v>1870</v>
      </c>
      <c r="F487" s="393">
        <f t="shared" si="26"/>
        <v>581.04</v>
      </c>
      <c r="G487" s="421">
        <f t="shared" si="24"/>
        <v>601.37</v>
      </c>
    </row>
    <row r="488" spans="1:7">
      <c r="A488" s="282"/>
      <c r="B488" s="326" t="s">
        <v>1936</v>
      </c>
      <c r="C488" s="290" t="s">
        <v>1002</v>
      </c>
      <c r="D488" s="228">
        <v>62</v>
      </c>
      <c r="E488" s="290" t="s">
        <v>1870</v>
      </c>
      <c r="F488" s="393">
        <f t="shared" si="26"/>
        <v>667.12</v>
      </c>
      <c r="G488" s="421">
        <f t="shared" si="24"/>
        <v>690.46</v>
      </c>
    </row>
    <row r="489" spans="1:7">
      <c r="A489" s="282"/>
      <c r="B489" s="326" t="s">
        <v>1937</v>
      </c>
      <c r="C489" s="290" t="s">
        <v>1002</v>
      </c>
      <c r="D489" s="228">
        <v>67</v>
      </c>
      <c r="E489" s="290" t="s">
        <v>1870</v>
      </c>
      <c r="F489" s="393">
        <f t="shared" si="26"/>
        <v>720.92</v>
      </c>
      <c r="G489" s="421">
        <f t="shared" si="24"/>
        <v>746.15</v>
      </c>
    </row>
    <row r="490" spans="1:7">
      <c r="A490" s="282"/>
      <c r="B490" s="326" t="s">
        <v>1938</v>
      </c>
      <c r="C490" s="290" t="s">
        <v>1002</v>
      </c>
      <c r="D490" s="228">
        <v>81</v>
      </c>
      <c r="E490" s="290" t="s">
        <v>1870</v>
      </c>
      <c r="F490" s="393">
        <f t="shared" si="26"/>
        <v>871.56000000000006</v>
      </c>
      <c r="G490" s="421">
        <f t="shared" si="24"/>
        <v>902.06000000000006</v>
      </c>
    </row>
    <row r="491" spans="1:7">
      <c r="A491" s="282"/>
      <c r="B491" s="326" t="s">
        <v>1261</v>
      </c>
      <c r="C491" s="290" t="s">
        <v>1002</v>
      </c>
      <c r="D491" s="228">
        <v>87</v>
      </c>
      <c r="E491" s="290" t="s">
        <v>1870</v>
      </c>
      <c r="F491" s="393">
        <f t="shared" si="26"/>
        <v>936.12</v>
      </c>
      <c r="G491" s="421">
        <f t="shared" si="24"/>
        <v>968.88</v>
      </c>
    </row>
    <row r="492" spans="1:7" ht="22.5">
      <c r="A492" s="309">
        <v>32</v>
      </c>
      <c r="B492" s="309" t="s">
        <v>2706</v>
      </c>
      <c r="C492" s="290"/>
      <c r="D492" s="228"/>
      <c r="E492" s="291"/>
      <c r="F492" s="392"/>
      <c r="G492" s="421">
        <f t="shared" si="24"/>
        <v>0</v>
      </c>
    </row>
    <row r="493" spans="1:7">
      <c r="A493" s="282"/>
      <c r="B493" s="286" t="s">
        <v>2707</v>
      </c>
      <c r="C493" s="290" t="s">
        <v>2708</v>
      </c>
      <c r="D493" s="228">
        <v>125</v>
      </c>
      <c r="E493" s="290" t="s">
        <v>1870</v>
      </c>
      <c r="F493" s="393">
        <f>FLOOR(D493*10.76,0.01)</f>
        <v>1345</v>
      </c>
      <c r="G493" s="421">
        <f t="shared" si="24"/>
        <v>1392.07</v>
      </c>
    </row>
    <row r="494" spans="1:7">
      <c r="A494" s="282"/>
      <c r="B494" s="286" t="s">
        <v>1262</v>
      </c>
      <c r="C494" s="290" t="s">
        <v>2708</v>
      </c>
      <c r="D494" s="228">
        <v>125</v>
      </c>
      <c r="E494" s="290" t="s">
        <v>1870</v>
      </c>
      <c r="F494" s="393">
        <f>FLOOR(D494*10.76,0.01)</f>
        <v>1345</v>
      </c>
      <c r="G494" s="421">
        <f t="shared" si="24"/>
        <v>1392.07</v>
      </c>
    </row>
    <row r="495" spans="1:7">
      <c r="A495" s="282"/>
      <c r="B495" s="286" t="s">
        <v>2709</v>
      </c>
      <c r="C495" s="290" t="s">
        <v>2708</v>
      </c>
      <c r="D495" s="228">
        <v>255</v>
      </c>
      <c r="E495" s="290" t="s">
        <v>1870</v>
      </c>
      <c r="F495" s="393">
        <f>FLOOR(D495*10.76,0.01)</f>
        <v>2743.8</v>
      </c>
      <c r="G495" s="421">
        <f t="shared" si="24"/>
        <v>2839.83</v>
      </c>
    </row>
    <row r="496" spans="1:7">
      <c r="A496" s="282"/>
      <c r="B496" s="286" t="s">
        <v>2710</v>
      </c>
      <c r="C496" s="290" t="s">
        <v>2708</v>
      </c>
      <c r="D496" s="228">
        <v>290</v>
      </c>
      <c r="E496" s="290" t="s">
        <v>1870</v>
      </c>
      <c r="F496" s="393">
        <f>FLOOR(D496*10.76,0.01)</f>
        <v>3120.4</v>
      </c>
      <c r="G496" s="421">
        <f t="shared" si="24"/>
        <v>3229.61</v>
      </c>
    </row>
    <row r="497" spans="1:7" ht="39.75">
      <c r="A497" s="309">
        <v>33</v>
      </c>
      <c r="B497" s="282" t="s">
        <v>2711</v>
      </c>
      <c r="C497" s="290"/>
      <c r="D497" s="228"/>
      <c r="E497" s="291"/>
      <c r="F497" s="392"/>
      <c r="G497" s="421">
        <f t="shared" si="24"/>
        <v>0</v>
      </c>
    </row>
    <row r="498" spans="1:7">
      <c r="A498" s="309"/>
      <c r="B498" s="262" t="s">
        <v>2712</v>
      </c>
      <c r="C498" s="290" t="s">
        <v>2708</v>
      </c>
      <c r="D498" s="228"/>
      <c r="E498" s="290" t="s">
        <v>1870</v>
      </c>
      <c r="F498" s="393">
        <f>FLOOR(D498*10.76,0.01)</f>
        <v>0</v>
      </c>
      <c r="G498" s="421">
        <f t="shared" si="24"/>
        <v>0</v>
      </c>
    </row>
    <row r="499" spans="1:7" ht="27.75">
      <c r="A499" s="309"/>
      <c r="B499" s="322" t="s">
        <v>2713</v>
      </c>
      <c r="C499" s="290"/>
      <c r="D499" s="228"/>
      <c r="E499" s="291"/>
      <c r="F499" s="406"/>
      <c r="G499" s="421">
        <f t="shared" si="24"/>
        <v>0</v>
      </c>
    </row>
    <row r="500" spans="1:7">
      <c r="A500" s="309"/>
      <c r="B500" s="326" t="s">
        <v>1263</v>
      </c>
      <c r="C500" s="290" t="s">
        <v>2708</v>
      </c>
      <c r="D500" s="228">
        <v>35</v>
      </c>
      <c r="E500" s="290" t="s">
        <v>1870</v>
      </c>
      <c r="F500" s="393">
        <f t="shared" ref="F500:F506" si="27">FLOOR(D500*10.76,0.01)</f>
        <v>376.6</v>
      </c>
      <c r="G500" s="421">
        <f t="shared" si="24"/>
        <v>389.78000000000003</v>
      </c>
    </row>
    <row r="501" spans="1:7">
      <c r="A501" s="309"/>
      <c r="B501" s="326" t="s">
        <v>1264</v>
      </c>
      <c r="C501" s="290" t="s">
        <v>2708</v>
      </c>
      <c r="D501" s="228">
        <v>50</v>
      </c>
      <c r="E501" s="290" t="s">
        <v>1870</v>
      </c>
      <c r="F501" s="393">
        <f t="shared" si="27"/>
        <v>538</v>
      </c>
      <c r="G501" s="421">
        <f t="shared" si="24"/>
        <v>556.83000000000004</v>
      </c>
    </row>
    <row r="502" spans="1:7">
      <c r="A502" s="309"/>
      <c r="B502" s="262" t="s">
        <v>1265</v>
      </c>
      <c r="C502" s="290" t="s">
        <v>1957</v>
      </c>
      <c r="D502" s="228">
        <v>30</v>
      </c>
      <c r="E502" s="290" t="s">
        <v>978</v>
      </c>
      <c r="F502" s="393">
        <f t="shared" si="27"/>
        <v>322.8</v>
      </c>
      <c r="G502" s="421">
        <f t="shared" si="24"/>
        <v>334.09000000000003</v>
      </c>
    </row>
    <row r="503" spans="1:7">
      <c r="A503" s="282"/>
      <c r="B503" s="262" t="s">
        <v>1265</v>
      </c>
      <c r="C503" s="290" t="s">
        <v>1949</v>
      </c>
      <c r="D503" s="228">
        <v>140</v>
      </c>
      <c r="E503" s="290" t="s">
        <v>1870</v>
      </c>
      <c r="F503" s="393">
        <f t="shared" si="27"/>
        <v>1506.4</v>
      </c>
      <c r="G503" s="421">
        <f t="shared" si="24"/>
        <v>1559.1200000000001</v>
      </c>
    </row>
    <row r="504" spans="1:7">
      <c r="A504" s="282"/>
      <c r="B504" s="262" t="s">
        <v>2714</v>
      </c>
      <c r="C504" s="290" t="s">
        <v>1949</v>
      </c>
      <c r="D504" s="228"/>
      <c r="E504" s="290" t="s">
        <v>1870</v>
      </c>
      <c r="F504" s="393">
        <f t="shared" si="27"/>
        <v>0</v>
      </c>
      <c r="G504" s="421">
        <f t="shared" si="24"/>
        <v>0</v>
      </c>
    </row>
    <row r="505" spans="1:7">
      <c r="A505" s="282"/>
      <c r="B505" s="262" t="s">
        <v>2715</v>
      </c>
      <c r="C505" s="290" t="s">
        <v>1949</v>
      </c>
      <c r="D505" s="228"/>
      <c r="E505" s="290" t="s">
        <v>1870</v>
      </c>
      <c r="F505" s="393">
        <f t="shared" si="27"/>
        <v>0</v>
      </c>
      <c r="G505" s="421">
        <f t="shared" si="24"/>
        <v>0</v>
      </c>
    </row>
    <row r="506" spans="1:7">
      <c r="A506" s="282"/>
      <c r="B506" s="262" t="s">
        <v>2716</v>
      </c>
      <c r="C506" s="290" t="s">
        <v>1949</v>
      </c>
      <c r="D506" s="228"/>
      <c r="E506" s="290" t="s">
        <v>1870</v>
      </c>
      <c r="F506" s="393">
        <f t="shared" si="27"/>
        <v>0</v>
      </c>
      <c r="G506" s="421">
        <f t="shared" si="24"/>
        <v>0</v>
      </c>
    </row>
    <row r="507" spans="1:7" ht="22.5">
      <c r="A507" s="309">
        <v>34</v>
      </c>
      <c r="B507" s="283" t="s">
        <v>2717</v>
      </c>
      <c r="C507" s="331"/>
      <c r="D507" s="228"/>
      <c r="E507" s="291"/>
      <c r="F507" s="392"/>
      <c r="G507" s="421">
        <f t="shared" si="24"/>
        <v>0</v>
      </c>
    </row>
    <row r="508" spans="1:7">
      <c r="A508" s="282"/>
      <c r="B508" s="286" t="s">
        <v>2718</v>
      </c>
      <c r="C508" s="290" t="s">
        <v>2981</v>
      </c>
      <c r="D508" s="228">
        <v>15</v>
      </c>
      <c r="E508" s="290" t="s">
        <v>2981</v>
      </c>
      <c r="F508" s="400">
        <f t="shared" ref="F508:F541" si="28">D508</f>
        <v>15</v>
      </c>
      <c r="G508" s="421">
        <f t="shared" si="24"/>
        <v>15.52</v>
      </c>
    </row>
    <row r="509" spans="1:7">
      <c r="A509" s="282"/>
      <c r="B509" s="286" t="s">
        <v>2719</v>
      </c>
      <c r="C509" s="290" t="s">
        <v>1975</v>
      </c>
      <c r="D509" s="228">
        <v>15</v>
      </c>
      <c r="E509" s="290" t="s">
        <v>2981</v>
      </c>
      <c r="F509" s="400">
        <f t="shared" si="28"/>
        <v>15</v>
      </c>
      <c r="G509" s="421">
        <f t="shared" si="24"/>
        <v>15.52</v>
      </c>
    </row>
    <row r="510" spans="1:7">
      <c r="A510" s="282"/>
      <c r="B510" s="286" t="s">
        <v>2720</v>
      </c>
      <c r="C510" s="290" t="s">
        <v>1975</v>
      </c>
      <c r="D510" s="228">
        <v>20</v>
      </c>
      <c r="E510" s="290" t="s">
        <v>2981</v>
      </c>
      <c r="F510" s="400">
        <f t="shared" si="28"/>
        <v>20</v>
      </c>
      <c r="G510" s="421">
        <f t="shared" si="24"/>
        <v>20.7</v>
      </c>
    </row>
    <row r="511" spans="1:7">
      <c r="A511" s="282"/>
      <c r="B511" s="286" t="s">
        <v>1958</v>
      </c>
      <c r="C511" s="290" t="s">
        <v>2981</v>
      </c>
      <c r="D511" s="228">
        <v>45</v>
      </c>
      <c r="E511" s="290" t="s">
        <v>2981</v>
      </c>
      <c r="F511" s="400">
        <f t="shared" si="28"/>
        <v>45</v>
      </c>
      <c r="G511" s="421">
        <f t="shared" si="24"/>
        <v>46.57</v>
      </c>
    </row>
    <row r="512" spans="1:7">
      <c r="A512" s="282"/>
      <c r="B512" s="286" t="s">
        <v>2721</v>
      </c>
      <c r="C512" s="290" t="s">
        <v>2722</v>
      </c>
      <c r="D512" s="228">
        <v>360</v>
      </c>
      <c r="E512" s="290" t="s">
        <v>2722</v>
      </c>
      <c r="F512" s="400">
        <f t="shared" si="28"/>
        <v>360</v>
      </c>
      <c r="G512" s="421">
        <f t="shared" si="24"/>
        <v>372.6</v>
      </c>
    </row>
    <row r="513" spans="1:7">
      <c r="A513" s="282"/>
      <c r="B513" s="286" t="s">
        <v>2723</v>
      </c>
      <c r="C513" s="290" t="s">
        <v>2722</v>
      </c>
      <c r="D513" s="228">
        <v>390</v>
      </c>
      <c r="E513" s="290" t="s">
        <v>2722</v>
      </c>
      <c r="F513" s="400">
        <f t="shared" si="28"/>
        <v>390</v>
      </c>
      <c r="G513" s="421">
        <f t="shared" si="24"/>
        <v>403.65000000000003</v>
      </c>
    </row>
    <row r="514" spans="1:7">
      <c r="A514" s="282"/>
      <c r="B514" s="286" t="s">
        <v>1959</v>
      </c>
      <c r="C514" s="290" t="s">
        <v>2722</v>
      </c>
      <c r="D514" s="228">
        <v>275</v>
      </c>
      <c r="E514" s="290" t="s">
        <v>2722</v>
      </c>
      <c r="F514" s="400">
        <f t="shared" si="28"/>
        <v>275</v>
      </c>
      <c r="G514" s="421">
        <f t="shared" si="24"/>
        <v>284.62</v>
      </c>
    </row>
    <row r="515" spans="1:7">
      <c r="A515" s="282"/>
      <c r="B515" s="286" t="s">
        <v>1960</v>
      </c>
      <c r="C515" s="290" t="s">
        <v>1975</v>
      </c>
      <c r="D515" s="228">
        <v>366</v>
      </c>
      <c r="E515" s="290" t="s">
        <v>2722</v>
      </c>
      <c r="F515" s="400">
        <f t="shared" si="28"/>
        <v>366</v>
      </c>
      <c r="G515" s="421">
        <f t="shared" si="24"/>
        <v>378.81</v>
      </c>
    </row>
    <row r="516" spans="1:7">
      <c r="A516" s="282"/>
      <c r="B516" s="286" t="s">
        <v>2724</v>
      </c>
      <c r="C516" s="290" t="s">
        <v>1975</v>
      </c>
      <c r="D516" s="228">
        <v>342</v>
      </c>
      <c r="E516" s="290" t="s">
        <v>2722</v>
      </c>
      <c r="F516" s="400">
        <f t="shared" si="28"/>
        <v>342</v>
      </c>
      <c r="G516" s="421">
        <f t="shared" si="24"/>
        <v>353.97</v>
      </c>
    </row>
    <row r="517" spans="1:7">
      <c r="A517" s="282"/>
      <c r="B517" s="286" t="s">
        <v>2725</v>
      </c>
      <c r="C517" s="290" t="s">
        <v>1975</v>
      </c>
      <c r="D517" s="228">
        <v>350</v>
      </c>
      <c r="E517" s="290" t="s">
        <v>2722</v>
      </c>
      <c r="F517" s="400">
        <f t="shared" si="28"/>
        <v>350</v>
      </c>
      <c r="G517" s="421">
        <f t="shared" si="24"/>
        <v>362.25</v>
      </c>
    </row>
    <row r="518" spans="1:7">
      <c r="A518" s="282"/>
      <c r="B518" s="286" t="s">
        <v>2726</v>
      </c>
      <c r="C518" s="290" t="s">
        <v>1975</v>
      </c>
      <c r="D518" s="228">
        <v>275</v>
      </c>
      <c r="E518" s="290" t="s">
        <v>2722</v>
      </c>
      <c r="F518" s="400">
        <f t="shared" si="28"/>
        <v>275</v>
      </c>
      <c r="G518" s="421">
        <f t="shared" si="24"/>
        <v>284.62</v>
      </c>
    </row>
    <row r="519" spans="1:7">
      <c r="A519" s="282"/>
      <c r="B519" s="286" t="s">
        <v>2727</v>
      </c>
      <c r="C519" s="290" t="s">
        <v>1975</v>
      </c>
      <c r="D519" s="228">
        <v>132</v>
      </c>
      <c r="E519" s="290" t="s">
        <v>2722</v>
      </c>
      <c r="F519" s="400">
        <f t="shared" si="28"/>
        <v>132</v>
      </c>
      <c r="G519" s="421">
        <f t="shared" si="24"/>
        <v>136.62</v>
      </c>
    </row>
    <row r="520" spans="1:7">
      <c r="A520" s="282"/>
      <c r="B520" s="286" t="s">
        <v>2728</v>
      </c>
      <c r="C520" s="290" t="s">
        <v>2980</v>
      </c>
      <c r="D520" s="228">
        <v>100</v>
      </c>
      <c r="E520" s="290" t="s">
        <v>2980</v>
      </c>
      <c r="F520" s="400">
        <f t="shared" si="28"/>
        <v>100</v>
      </c>
      <c r="G520" s="421">
        <f t="shared" si="24"/>
        <v>103.5</v>
      </c>
    </row>
    <row r="521" spans="1:7">
      <c r="A521" s="282"/>
      <c r="B521" s="286" t="s">
        <v>2729</v>
      </c>
      <c r="C521" s="290" t="s">
        <v>1002</v>
      </c>
      <c r="D521" s="228">
        <v>120</v>
      </c>
      <c r="E521" s="290" t="s">
        <v>2980</v>
      </c>
      <c r="F521" s="400">
        <f t="shared" si="28"/>
        <v>120</v>
      </c>
      <c r="G521" s="421">
        <f t="shared" si="24"/>
        <v>124.2</v>
      </c>
    </row>
    <row r="522" spans="1:7">
      <c r="A522" s="282"/>
      <c r="B522" s="286" t="s">
        <v>2248</v>
      </c>
      <c r="C522" s="290" t="s">
        <v>1002</v>
      </c>
      <c r="D522" s="228">
        <v>160</v>
      </c>
      <c r="E522" s="290" t="s">
        <v>2980</v>
      </c>
      <c r="F522" s="400">
        <f t="shared" si="28"/>
        <v>160</v>
      </c>
      <c r="G522" s="421">
        <f t="shared" si="24"/>
        <v>165.6</v>
      </c>
    </row>
    <row r="523" spans="1:7">
      <c r="A523" s="282"/>
      <c r="B523" s="286" t="s">
        <v>2249</v>
      </c>
      <c r="C523" s="290" t="s">
        <v>2722</v>
      </c>
      <c r="D523" s="228">
        <v>120</v>
      </c>
      <c r="E523" s="290" t="s">
        <v>2722</v>
      </c>
      <c r="F523" s="400">
        <f t="shared" si="28"/>
        <v>120</v>
      </c>
      <c r="G523" s="421">
        <f t="shared" si="24"/>
        <v>124.2</v>
      </c>
    </row>
    <row r="524" spans="1:7">
      <c r="A524" s="282"/>
      <c r="B524" s="286" t="s">
        <v>2250</v>
      </c>
      <c r="C524" s="290" t="s">
        <v>2319</v>
      </c>
      <c r="D524" s="228">
        <v>225</v>
      </c>
      <c r="E524" s="290" t="s">
        <v>2722</v>
      </c>
      <c r="F524" s="400">
        <f t="shared" si="28"/>
        <v>225</v>
      </c>
      <c r="G524" s="421">
        <f t="shared" si="24"/>
        <v>232.87</v>
      </c>
    </row>
    <row r="525" spans="1:7">
      <c r="A525" s="282"/>
      <c r="B525" s="286" t="s">
        <v>2251</v>
      </c>
      <c r="C525" s="290" t="s">
        <v>2319</v>
      </c>
      <c r="D525" s="228">
        <v>170</v>
      </c>
      <c r="E525" s="290" t="s">
        <v>2722</v>
      </c>
      <c r="F525" s="400">
        <f t="shared" si="28"/>
        <v>170</v>
      </c>
      <c r="G525" s="421">
        <f t="shared" ref="G525:G588" si="29">FLOOR(F525*1.035,0.01)</f>
        <v>175.95000000000002</v>
      </c>
    </row>
    <row r="526" spans="1:7">
      <c r="A526" s="282"/>
      <c r="B526" s="286" t="s">
        <v>1961</v>
      </c>
      <c r="C526" s="290" t="s">
        <v>1975</v>
      </c>
      <c r="D526" s="228">
        <v>200</v>
      </c>
      <c r="E526" s="290" t="s">
        <v>2722</v>
      </c>
      <c r="F526" s="400">
        <f t="shared" si="28"/>
        <v>200</v>
      </c>
      <c r="G526" s="421">
        <f t="shared" si="29"/>
        <v>207</v>
      </c>
    </row>
    <row r="527" spans="1:7">
      <c r="A527" s="282"/>
      <c r="B527" s="286" t="s">
        <v>2252</v>
      </c>
      <c r="C527" s="290" t="s">
        <v>2253</v>
      </c>
      <c r="D527" s="228">
        <v>175</v>
      </c>
      <c r="E527" s="290" t="s">
        <v>2722</v>
      </c>
      <c r="F527" s="400">
        <f t="shared" si="28"/>
        <v>175</v>
      </c>
      <c r="G527" s="421">
        <f t="shared" si="29"/>
        <v>181.12</v>
      </c>
    </row>
    <row r="528" spans="1:7">
      <c r="A528" s="282"/>
      <c r="B528" s="286" t="s">
        <v>1962</v>
      </c>
      <c r="C528" s="290" t="s">
        <v>2319</v>
      </c>
      <c r="D528" s="228">
        <v>235</v>
      </c>
      <c r="E528" s="290" t="s">
        <v>2722</v>
      </c>
      <c r="F528" s="400">
        <f t="shared" si="28"/>
        <v>235</v>
      </c>
      <c r="G528" s="421">
        <f t="shared" si="29"/>
        <v>243.22</v>
      </c>
    </row>
    <row r="529" spans="1:7">
      <c r="A529" s="282"/>
      <c r="B529" s="286" t="s">
        <v>2254</v>
      </c>
      <c r="C529" s="290" t="s">
        <v>2981</v>
      </c>
      <c r="D529" s="228">
        <v>40</v>
      </c>
      <c r="E529" s="290" t="s">
        <v>2981</v>
      </c>
      <c r="F529" s="400">
        <f t="shared" si="28"/>
        <v>40</v>
      </c>
      <c r="G529" s="421">
        <f t="shared" si="29"/>
        <v>41.4</v>
      </c>
    </row>
    <row r="530" spans="1:7">
      <c r="A530" s="282"/>
      <c r="B530" s="286" t="s">
        <v>75</v>
      </c>
      <c r="C530" s="290" t="s">
        <v>2981</v>
      </c>
      <c r="D530" s="228">
        <v>110</v>
      </c>
      <c r="E530" s="290" t="s">
        <v>2981</v>
      </c>
      <c r="F530" s="400">
        <f t="shared" si="28"/>
        <v>110</v>
      </c>
      <c r="G530" s="421">
        <f t="shared" si="29"/>
        <v>113.85000000000001</v>
      </c>
    </row>
    <row r="531" spans="1:7">
      <c r="A531" s="282"/>
      <c r="B531" s="286" t="s">
        <v>76</v>
      </c>
      <c r="C531" s="290" t="s">
        <v>2981</v>
      </c>
      <c r="D531" s="228">
        <v>700</v>
      </c>
      <c r="E531" s="290" t="s">
        <v>2981</v>
      </c>
      <c r="F531" s="400">
        <f t="shared" si="28"/>
        <v>700</v>
      </c>
      <c r="G531" s="421">
        <f t="shared" si="29"/>
        <v>724.5</v>
      </c>
    </row>
    <row r="532" spans="1:7">
      <c r="A532" s="282"/>
      <c r="B532" s="286" t="s">
        <v>77</v>
      </c>
      <c r="C532" s="290" t="s">
        <v>2787</v>
      </c>
      <c r="D532" s="228">
        <v>135</v>
      </c>
      <c r="E532" s="290" t="s">
        <v>2722</v>
      </c>
      <c r="F532" s="400">
        <f t="shared" si="28"/>
        <v>135</v>
      </c>
      <c r="G532" s="421">
        <f t="shared" si="29"/>
        <v>139.72</v>
      </c>
    </row>
    <row r="533" spans="1:7">
      <c r="A533" s="282"/>
      <c r="B533" s="286" t="s">
        <v>78</v>
      </c>
      <c r="C533" s="290" t="s">
        <v>2787</v>
      </c>
      <c r="D533" s="228">
        <v>495</v>
      </c>
      <c r="E533" s="290" t="s">
        <v>2722</v>
      </c>
      <c r="F533" s="400">
        <f t="shared" si="28"/>
        <v>495</v>
      </c>
      <c r="G533" s="421">
        <f t="shared" si="29"/>
        <v>512.32000000000005</v>
      </c>
    </row>
    <row r="534" spans="1:7">
      <c r="A534" s="282"/>
      <c r="B534" s="286" t="s">
        <v>1963</v>
      </c>
      <c r="C534" s="290" t="s">
        <v>2319</v>
      </c>
      <c r="D534" s="228">
        <v>450</v>
      </c>
      <c r="E534" s="290" t="s">
        <v>2722</v>
      </c>
      <c r="F534" s="400">
        <f t="shared" si="28"/>
        <v>450</v>
      </c>
      <c r="G534" s="421">
        <f t="shared" si="29"/>
        <v>465.75</v>
      </c>
    </row>
    <row r="535" spans="1:7">
      <c r="A535" s="282"/>
      <c r="B535" s="286" t="s">
        <v>1964</v>
      </c>
      <c r="C535" s="290" t="s">
        <v>1975</v>
      </c>
      <c r="D535" s="228">
        <v>150</v>
      </c>
      <c r="E535" s="290" t="s">
        <v>2722</v>
      </c>
      <c r="F535" s="400">
        <f t="shared" si="28"/>
        <v>150</v>
      </c>
      <c r="G535" s="421">
        <f t="shared" si="29"/>
        <v>155.25</v>
      </c>
    </row>
    <row r="536" spans="1:7">
      <c r="A536" s="282"/>
      <c r="B536" s="286" t="s">
        <v>79</v>
      </c>
      <c r="C536" s="290" t="s">
        <v>2787</v>
      </c>
      <c r="D536" s="228">
        <v>90</v>
      </c>
      <c r="E536" s="290" t="s">
        <v>2722</v>
      </c>
      <c r="F536" s="400">
        <f t="shared" si="28"/>
        <v>90</v>
      </c>
      <c r="G536" s="421">
        <f t="shared" si="29"/>
        <v>93.15</v>
      </c>
    </row>
    <row r="537" spans="1:7">
      <c r="A537" s="282"/>
      <c r="B537" s="286" t="s">
        <v>80</v>
      </c>
      <c r="C537" s="290" t="s">
        <v>2981</v>
      </c>
      <c r="D537" s="228">
        <v>200</v>
      </c>
      <c r="E537" s="290" t="s">
        <v>2981</v>
      </c>
      <c r="F537" s="400">
        <f t="shared" si="28"/>
        <v>200</v>
      </c>
      <c r="G537" s="421">
        <f t="shared" si="29"/>
        <v>207</v>
      </c>
    </row>
    <row r="538" spans="1:7">
      <c r="A538" s="282"/>
      <c r="B538" s="286" t="s">
        <v>1965</v>
      </c>
      <c r="C538" s="290" t="s">
        <v>1975</v>
      </c>
      <c r="D538" s="228">
        <v>200</v>
      </c>
      <c r="E538" s="290" t="s">
        <v>2981</v>
      </c>
      <c r="F538" s="400">
        <f t="shared" si="28"/>
        <v>200</v>
      </c>
      <c r="G538" s="421">
        <f t="shared" si="29"/>
        <v>207</v>
      </c>
    </row>
    <row r="539" spans="1:7">
      <c r="A539" s="282"/>
      <c r="B539" s="286" t="s">
        <v>81</v>
      </c>
      <c r="C539" s="290" t="s">
        <v>1975</v>
      </c>
      <c r="D539" s="228">
        <v>15</v>
      </c>
      <c r="E539" s="290" t="s">
        <v>2981</v>
      </c>
      <c r="F539" s="400">
        <f t="shared" si="28"/>
        <v>15</v>
      </c>
      <c r="G539" s="421">
        <f t="shared" si="29"/>
        <v>15.52</v>
      </c>
    </row>
    <row r="540" spans="1:7">
      <c r="A540" s="566" t="s">
        <v>717</v>
      </c>
      <c r="B540" s="286" t="s">
        <v>1966</v>
      </c>
      <c r="C540" s="290" t="s">
        <v>2973</v>
      </c>
      <c r="D540" s="228">
        <v>65</v>
      </c>
      <c r="E540" s="290" t="s">
        <v>1870</v>
      </c>
      <c r="F540" s="400">
        <f t="shared" si="28"/>
        <v>65</v>
      </c>
      <c r="G540" s="421">
        <f t="shared" si="29"/>
        <v>67.27</v>
      </c>
    </row>
    <row r="541" spans="1:7">
      <c r="A541" s="282"/>
      <c r="B541" s="262" t="s">
        <v>1967</v>
      </c>
      <c r="C541" s="290" t="s">
        <v>2981</v>
      </c>
      <c r="D541" s="228">
        <v>17</v>
      </c>
      <c r="E541" s="290" t="s">
        <v>2981</v>
      </c>
      <c r="F541" s="400">
        <f t="shared" si="28"/>
        <v>17</v>
      </c>
      <c r="G541" s="421">
        <f t="shared" si="29"/>
        <v>17.59</v>
      </c>
    </row>
    <row r="542" spans="1:7" ht="22.5">
      <c r="A542" s="309">
        <v>35</v>
      </c>
      <c r="B542" s="309" t="s">
        <v>82</v>
      </c>
      <c r="C542" s="296"/>
      <c r="D542" s="228"/>
      <c r="E542" s="285"/>
      <c r="F542" s="392"/>
      <c r="G542" s="421">
        <f t="shared" si="29"/>
        <v>0</v>
      </c>
    </row>
    <row r="543" spans="1:7">
      <c r="A543" s="282"/>
      <c r="B543" s="314" t="s">
        <v>83</v>
      </c>
      <c r="C543" s="301" t="s">
        <v>84</v>
      </c>
      <c r="D543" s="228"/>
      <c r="E543" s="301" t="s">
        <v>84</v>
      </c>
      <c r="F543" s="400">
        <f t="shared" ref="F543:F549" si="30">D543</f>
        <v>0</v>
      </c>
      <c r="G543" s="421">
        <f t="shared" si="29"/>
        <v>0</v>
      </c>
    </row>
    <row r="544" spans="1:7">
      <c r="A544" s="282"/>
      <c r="B544" s="332" t="s">
        <v>1968</v>
      </c>
      <c r="C544" s="301" t="s">
        <v>84</v>
      </c>
      <c r="D544" s="228"/>
      <c r="E544" s="301" t="s">
        <v>84</v>
      </c>
      <c r="F544" s="400">
        <f t="shared" si="30"/>
        <v>0</v>
      </c>
      <c r="G544" s="421">
        <f t="shared" si="29"/>
        <v>0</v>
      </c>
    </row>
    <row r="545" spans="1:7">
      <c r="A545" s="282"/>
      <c r="B545" s="314" t="s">
        <v>85</v>
      </c>
      <c r="C545" s="301" t="s">
        <v>84</v>
      </c>
      <c r="D545" s="228"/>
      <c r="E545" s="301" t="s">
        <v>84</v>
      </c>
      <c r="F545" s="400">
        <f t="shared" si="30"/>
        <v>0</v>
      </c>
      <c r="G545" s="421">
        <f t="shared" si="29"/>
        <v>0</v>
      </c>
    </row>
    <row r="546" spans="1:7">
      <c r="A546" s="282"/>
      <c r="B546" s="314" t="s">
        <v>86</v>
      </c>
      <c r="C546" s="301" t="s">
        <v>84</v>
      </c>
      <c r="D546" s="228"/>
      <c r="E546" s="301" t="s">
        <v>84</v>
      </c>
      <c r="F546" s="400">
        <f t="shared" si="30"/>
        <v>0</v>
      </c>
      <c r="G546" s="421">
        <f t="shared" si="29"/>
        <v>0</v>
      </c>
    </row>
    <row r="547" spans="1:7">
      <c r="A547" s="282"/>
      <c r="B547" s="314" t="s">
        <v>87</v>
      </c>
      <c r="C547" s="301" t="s">
        <v>84</v>
      </c>
      <c r="D547" s="228"/>
      <c r="E547" s="301" t="s">
        <v>84</v>
      </c>
      <c r="F547" s="400">
        <f t="shared" si="30"/>
        <v>0</v>
      </c>
      <c r="G547" s="421">
        <f t="shared" si="29"/>
        <v>0</v>
      </c>
    </row>
    <row r="548" spans="1:7">
      <c r="A548" s="282"/>
      <c r="B548" s="314" t="s">
        <v>88</v>
      </c>
      <c r="C548" s="301" t="s">
        <v>84</v>
      </c>
      <c r="D548" s="228"/>
      <c r="E548" s="301" t="s">
        <v>84</v>
      </c>
      <c r="F548" s="400">
        <f t="shared" si="30"/>
        <v>0</v>
      </c>
      <c r="G548" s="421">
        <f t="shared" si="29"/>
        <v>0</v>
      </c>
    </row>
    <row r="549" spans="1:7" ht="35.25">
      <c r="A549" s="282"/>
      <c r="B549" s="302" t="s">
        <v>1969</v>
      </c>
      <c r="C549" s="310" t="s">
        <v>89</v>
      </c>
      <c r="D549" s="228"/>
      <c r="E549" s="310" t="s">
        <v>89</v>
      </c>
      <c r="F549" s="400">
        <f t="shared" si="30"/>
        <v>0</v>
      </c>
      <c r="G549" s="421">
        <f t="shared" si="29"/>
        <v>0</v>
      </c>
    </row>
    <row r="550" spans="1:7" ht="37.5">
      <c r="A550" s="309">
        <v>36</v>
      </c>
      <c r="B550" s="333" t="s">
        <v>1970</v>
      </c>
      <c r="C550" s="333"/>
      <c r="D550" s="228"/>
      <c r="E550" s="334"/>
      <c r="F550" s="407"/>
      <c r="G550" s="421">
        <f t="shared" si="29"/>
        <v>0</v>
      </c>
    </row>
    <row r="551" spans="1:7">
      <c r="A551" s="282"/>
      <c r="B551" s="262" t="s">
        <v>1971</v>
      </c>
      <c r="C551" s="290" t="s">
        <v>2973</v>
      </c>
      <c r="D551" s="228">
        <v>20</v>
      </c>
      <c r="E551" s="290" t="s">
        <v>1870</v>
      </c>
      <c r="F551" s="393">
        <f>FLOOR(D551*10.76,0.01)</f>
        <v>215.20000000000002</v>
      </c>
      <c r="G551" s="421">
        <f t="shared" si="29"/>
        <v>222.73000000000002</v>
      </c>
    </row>
    <row r="552" spans="1:7">
      <c r="A552" s="282"/>
      <c r="B552" s="262" t="s">
        <v>1805</v>
      </c>
      <c r="C552" s="290" t="s">
        <v>1002</v>
      </c>
      <c r="D552" s="228">
        <v>28</v>
      </c>
      <c r="E552" s="290" t="s">
        <v>1870</v>
      </c>
      <c r="F552" s="393">
        <f>FLOOR(D552*10.76,0.01)</f>
        <v>301.28000000000003</v>
      </c>
      <c r="G552" s="421">
        <f t="shared" si="29"/>
        <v>311.82</v>
      </c>
    </row>
    <row r="553" spans="1:7">
      <c r="A553" s="282"/>
      <c r="B553" s="262" t="s">
        <v>965</v>
      </c>
      <c r="C553" s="290" t="s">
        <v>1002</v>
      </c>
      <c r="D553" s="228">
        <v>110</v>
      </c>
      <c r="E553" s="290" t="s">
        <v>1870</v>
      </c>
      <c r="F553" s="393">
        <f>FLOOR(D553*10.76,0.01)</f>
        <v>1183.6000000000001</v>
      </c>
      <c r="G553" s="421">
        <f t="shared" si="29"/>
        <v>1225.02</v>
      </c>
    </row>
    <row r="554" spans="1:7">
      <c r="A554" s="282"/>
      <c r="B554" s="262" t="s">
        <v>966</v>
      </c>
      <c r="C554" s="290" t="s">
        <v>1002</v>
      </c>
      <c r="D554" s="228">
        <v>73</v>
      </c>
      <c r="E554" s="290" t="s">
        <v>1870</v>
      </c>
      <c r="F554" s="393">
        <f>FLOOR(D554*10.76,0.01)</f>
        <v>785.48</v>
      </c>
      <c r="G554" s="421">
        <f t="shared" si="29"/>
        <v>812.97</v>
      </c>
    </row>
    <row r="555" spans="1:7" ht="32.25">
      <c r="A555" s="309"/>
      <c r="B555" s="262" t="s">
        <v>972</v>
      </c>
      <c r="C555" s="290" t="s">
        <v>1002</v>
      </c>
      <c r="D555" s="228">
        <v>65</v>
      </c>
      <c r="E555" s="290" t="s">
        <v>1870</v>
      </c>
      <c r="F555" s="393">
        <f>FLOOR(D555*10.76,0.01)</f>
        <v>699.4</v>
      </c>
      <c r="G555" s="421">
        <f t="shared" si="29"/>
        <v>723.87</v>
      </c>
    </row>
    <row r="556" spans="1:7" ht="22.5">
      <c r="A556" s="309">
        <v>37</v>
      </c>
      <c r="B556" s="306" t="s">
        <v>973</v>
      </c>
      <c r="C556" s="306"/>
      <c r="D556" s="228"/>
      <c r="E556" s="336"/>
      <c r="F556" s="408"/>
      <c r="G556" s="421"/>
    </row>
    <row r="557" spans="1:7">
      <c r="A557" s="309"/>
      <c r="B557" s="325" t="s">
        <v>329</v>
      </c>
      <c r="C557" s="284" t="s">
        <v>2881</v>
      </c>
      <c r="D557" s="228">
        <v>132.75</v>
      </c>
      <c r="E557" s="285"/>
      <c r="F557" s="401"/>
      <c r="G557" s="421"/>
    </row>
    <row r="558" spans="1:7">
      <c r="A558" s="309"/>
      <c r="B558" s="325" t="s">
        <v>330</v>
      </c>
      <c r="C558" s="284" t="s">
        <v>2881</v>
      </c>
      <c r="D558" s="228">
        <v>194.69</v>
      </c>
      <c r="E558" s="285"/>
      <c r="F558" s="401"/>
      <c r="G558" s="421"/>
    </row>
    <row r="559" spans="1:7">
      <c r="A559" s="309"/>
      <c r="B559" s="325" t="s">
        <v>331</v>
      </c>
      <c r="C559" s="284" t="s">
        <v>2881</v>
      </c>
      <c r="D559" s="228">
        <v>250.74</v>
      </c>
      <c r="E559" s="285"/>
      <c r="F559" s="401"/>
      <c r="G559" s="421"/>
    </row>
    <row r="560" spans="1:7">
      <c r="A560" s="309"/>
      <c r="B560" s="325" t="s">
        <v>332</v>
      </c>
      <c r="C560" s="284" t="s">
        <v>2881</v>
      </c>
      <c r="D560" s="228">
        <v>339.23</v>
      </c>
      <c r="E560" s="285"/>
      <c r="F560" s="401"/>
      <c r="G560" s="421"/>
    </row>
    <row r="561" spans="1:7">
      <c r="A561" s="309"/>
      <c r="B561" s="325" t="s">
        <v>333</v>
      </c>
      <c r="C561" s="284" t="s">
        <v>2881</v>
      </c>
      <c r="D561" s="228">
        <v>412.98</v>
      </c>
      <c r="E561" s="285"/>
      <c r="F561" s="401"/>
      <c r="G561" s="421"/>
    </row>
    <row r="562" spans="1:7">
      <c r="A562" s="309"/>
      <c r="B562" s="325" t="s">
        <v>334</v>
      </c>
      <c r="C562" s="284" t="s">
        <v>2881</v>
      </c>
      <c r="D562" s="228"/>
      <c r="E562" s="284" t="s">
        <v>2881</v>
      </c>
      <c r="F562" s="393">
        <f>FLOOR(D562*3.28,0.01)</f>
        <v>0</v>
      </c>
      <c r="G562" s="421">
        <f t="shared" si="29"/>
        <v>0</v>
      </c>
    </row>
    <row r="563" spans="1:7">
      <c r="A563" s="309"/>
      <c r="B563" s="325" t="s">
        <v>335</v>
      </c>
      <c r="C563" s="284" t="s">
        <v>2881</v>
      </c>
      <c r="D563" s="228"/>
      <c r="E563" s="284" t="s">
        <v>2881</v>
      </c>
      <c r="F563" s="393">
        <f>FLOOR(D563*3.28,0.01)</f>
        <v>0</v>
      </c>
      <c r="G563" s="421">
        <f t="shared" si="29"/>
        <v>0</v>
      </c>
    </row>
    <row r="564" spans="1:7">
      <c r="A564" s="309"/>
      <c r="B564" s="325" t="s">
        <v>336</v>
      </c>
      <c r="C564" s="284" t="s">
        <v>2881</v>
      </c>
      <c r="D564" s="228"/>
      <c r="E564" s="284" t="s">
        <v>2881</v>
      </c>
      <c r="F564" s="393">
        <f>FLOOR(D564*3.28,0.01)</f>
        <v>0</v>
      </c>
      <c r="G564" s="421">
        <f t="shared" si="29"/>
        <v>0</v>
      </c>
    </row>
    <row r="565" spans="1:7">
      <c r="A565" s="309"/>
      <c r="B565" s="325" t="s">
        <v>337</v>
      </c>
      <c r="C565" s="284" t="s">
        <v>2881</v>
      </c>
      <c r="D565" s="228"/>
      <c r="E565" s="284" t="s">
        <v>2881</v>
      </c>
      <c r="F565" s="393">
        <f>FLOOR(D565*3.28,0.01)</f>
        <v>0</v>
      </c>
      <c r="G565" s="421">
        <f t="shared" si="29"/>
        <v>0</v>
      </c>
    </row>
    <row r="566" spans="1:7">
      <c r="A566" s="309"/>
      <c r="B566" s="325" t="s">
        <v>338</v>
      </c>
      <c r="C566" s="284" t="s">
        <v>2881</v>
      </c>
      <c r="D566" s="228"/>
      <c r="E566" s="284" t="s">
        <v>2881</v>
      </c>
      <c r="F566" s="393">
        <f>FLOOR(D566*3.28,0.01)</f>
        <v>0</v>
      </c>
      <c r="G566" s="421">
        <f t="shared" si="29"/>
        <v>0</v>
      </c>
    </row>
    <row r="567" spans="1:7" ht="23.25" customHeight="1">
      <c r="A567" s="309">
        <v>38</v>
      </c>
      <c r="B567" s="306" t="s">
        <v>339</v>
      </c>
      <c r="C567" s="296"/>
      <c r="D567" s="228"/>
      <c r="E567" s="285"/>
      <c r="F567" s="391"/>
      <c r="G567" s="421">
        <f t="shared" si="29"/>
        <v>0</v>
      </c>
    </row>
    <row r="568" spans="1:7" ht="46.5">
      <c r="A568" s="309"/>
      <c r="B568" s="326" t="s">
        <v>1869</v>
      </c>
      <c r="C568" s="290" t="s">
        <v>1870</v>
      </c>
      <c r="D568" s="228">
        <v>550</v>
      </c>
      <c r="E568" s="290" t="s">
        <v>1870</v>
      </c>
      <c r="F568" s="393">
        <v>500</v>
      </c>
      <c r="G568" s="421">
        <f t="shared" si="29"/>
        <v>517.5</v>
      </c>
    </row>
    <row r="569" spans="1:7" ht="31.5">
      <c r="A569" s="309"/>
      <c r="B569" s="326" t="s">
        <v>974</v>
      </c>
      <c r="C569" s="290" t="s">
        <v>975</v>
      </c>
      <c r="D569" s="228">
        <v>66</v>
      </c>
      <c r="E569" s="290" t="s">
        <v>975</v>
      </c>
      <c r="F569" s="393">
        <v>60</v>
      </c>
      <c r="G569" s="421">
        <f t="shared" si="29"/>
        <v>62.1</v>
      </c>
    </row>
    <row r="570" spans="1:7">
      <c r="A570" s="309"/>
      <c r="B570" s="337" t="s">
        <v>1972</v>
      </c>
      <c r="C570" s="338"/>
      <c r="D570" s="228"/>
      <c r="E570" s="285"/>
      <c r="F570" s="391"/>
      <c r="G570" s="421">
        <f t="shared" si="29"/>
        <v>0</v>
      </c>
    </row>
    <row r="571" spans="1:7" ht="51.75">
      <c r="A571" s="309"/>
      <c r="B571" s="318" t="s">
        <v>1045</v>
      </c>
      <c r="C571" s="290" t="s">
        <v>976</v>
      </c>
      <c r="D571" s="228"/>
      <c r="E571" s="339"/>
      <c r="F571" s="391"/>
      <c r="G571" s="421">
        <f t="shared" si="29"/>
        <v>0</v>
      </c>
    </row>
    <row r="572" spans="1:7" ht="30.75">
      <c r="A572" s="309"/>
      <c r="B572" s="318" t="s">
        <v>1046</v>
      </c>
      <c r="C572" s="290" t="s">
        <v>1002</v>
      </c>
      <c r="D572" s="228"/>
      <c r="E572" s="340"/>
      <c r="F572" s="391"/>
      <c r="G572" s="421">
        <f t="shared" si="29"/>
        <v>0</v>
      </c>
    </row>
    <row r="573" spans="1:7" ht="51.75">
      <c r="A573" s="309"/>
      <c r="B573" s="318" t="s">
        <v>1047</v>
      </c>
      <c r="C573" s="290" t="s">
        <v>1002</v>
      </c>
      <c r="D573" s="228"/>
      <c r="E573" s="340"/>
      <c r="F573" s="391"/>
      <c r="G573" s="421">
        <f t="shared" si="29"/>
        <v>0</v>
      </c>
    </row>
    <row r="574" spans="1:7" ht="30.75">
      <c r="A574" s="309"/>
      <c r="B574" s="318" t="s">
        <v>1048</v>
      </c>
      <c r="C574" s="290" t="s">
        <v>1002</v>
      </c>
      <c r="D574" s="228"/>
      <c r="E574" s="340"/>
      <c r="F574" s="391"/>
      <c r="G574" s="421">
        <f t="shared" si="29"/>
        <v>0</v>
      </c>
    </row>
    <row r="575" spans="1:7">
      <c r="A575" s="309"/>
      <c r="B575" s="341" t="s">
        <v>977</v>
      </c>
      <c r="C575" s="290" t="s">
        <v>978</v>
      </c>
      <c r="D575" s="228">
        <v>900</v>
      </c>
      <c r="E575" s="291"/>
      <c r="F575" s="393">
        <f>FLOOR(D575*3.28,0.01)</f>
        <v>2952</v>
      </c>
      <c r="G575" s="421">
        <f t="shared" si="29"/>
        <v>3055.32</v>
      </c>
    </row>
    <row r="576" spans="1:7">
      <c r="A576" s="309"/>
      <c r="B576" s="337" t="s">
        <v>979</v>
      </c>
      <c r="C576" s="338"/>
      <c r="D576" s="228"/>
      <c r="E576" s="291"/>
      <c r="F576" s="391"/>
      <c r="G576" s="421">
        <f t="shared" si="29"/>
        <v>0</v>
      </c>
    </row>
    <row r="577" spans="1:7">
      <c r="A577" s="309"/>
      <c r="B577" s="342" t="s">
        <v>980</v>
      </c>
      <c r="C577" s="338" t="s">
        <v>2893</v>
      </c>
      <c r="D577" s="228">
        <v>38</v>
      </c>
      <c r="E577" s="290" t="s">
        <v>1870</v>
      </c>
      <c r="F577" s="393">
        <f>FLOOR(D577*10.76,0.01)</f>
        <v>408.88</v>
      </c>
      <c r="G577" s="421">
        <f t="shared" si="29"/>
        <v>423.19</v>
      </c>
    </row>
    <row r="578" spans="1:7">
      <c r="A578" s="309"/>
      <c r="B578" s="342" t="s">
        <v>2894</v>
      </c>
      <c r="C578" s="338" t="s">
        <v>1002</v>
      </c>
      <c r="D578" s="228">
        <v>38</v>
      </c>
      <c r="E578" s="290" t="s">
        <v>1870</v>
      </c>
      <c r="F578" s="393">
        <f>FLOOR(D578*10.76,0.01)</f>
        <v>408.88</v>
      </c>
      <c r="G578" s="421">
        <f t="shared" si="29"/>
        <v>423.19</v>
      </c>
    </row>
    <row r="579" spans="1:7">
      <c r="A579" s="309"/>
      <c r="B579" s="342" t="s">
        <v>2895</v>
      </c>
      <c r="C579" s="338" t="s">
        <v>1002</v>
      </c>
      <c r="D579" s="228">
        <v>38</v>
      </c>
      <c r="E579" s="290" t="s">
        <v>1870</v>
      </c>
      <c r="F579" s="393">
        <f>FLOOR(D579*10.76,0.01)</f>
        <v>408.88</v>
      </c>
      <c r="G579" s="421">
        <f t="shared" si="29"/>
        <v>423.19</v>
      </c>
    </row>
    <row r="580" spans="1:7">
      <c r="A580" s="309"/>
      <c r="B580" s="337" t="s">
        <v>2896</v>
      </c>
      <c r="C580" s="338"/>
      <c r="D580" s="228"/>
      <c r="E580" s="291"/>
      <c r="F580" s="393"/>
      <c r="G580" s="421">
        <f t="shared" si="29"/>
        <v>0</v>
      </c>
    </row>
    <row r="581" spans="1:7">
      <c r="A581" s="309"/>
      <c r="B581" s="342" t="s">
        <v>980</v>
      </c>
      <c r="C581" s="338" t="s">
        <v>2893</v>
      </c>
      <c r="D581" s="228">
        <v>40</v>
      </c>
      <c r="E581" s="290" t="s">
        <v>1870</v>
      </c>
      <c r="F581" s="393">
        <f>FLOOR(D581*10.76,0.01)</f>
        <v>430.40000000000003</v>
      </c>
      <c r="G581" s="421">
        <f t="shared" si="29"/>
        <v>445.46000000000004</v>
      </c>
    </row>
    <row r="582" spans="1:7">
      <c r="A582" s="309"/>
      <c r="B582" s="342" t="s">
        <v>2894</v>
      </c>
      <c r="C582" s="338" t="s">
        <v>1002</v>
      </c>
      <c r="D582" s="228">
        <v>40</v>
      </c>
      <c r="E582" s="290" t="s">
        <v>1870</v>
      </c>
      <c r="F582" s="393">
        <f>FLOOR(D582*10.76,0.01)</f>
        <v>430.40000000000003</v>
      </c>
      <c r="G582" s="421">
        <f t="shared" si="29"/>
        <v>445.46000000000004</v>
      </c>
    </row>
    <row r="583" spans="1:7">
      <c r="A583" s="309"/>
      <c r="B583" s="342" t="s">
        <v>2895</v>
      </c>
      <c r="C583" s="338" t="s">
        <v>1002</v>
      </c>
      <c r="D583" s="228">
        <v>40</v>
      </c>
      <c r="E583" s="290" t="s">
        <v>1870</v>
      </c>
      <c r="F583" s="393">
        <f>FLOOR(D583*10.76,0.01)</f>
        <v>430.40000000000003</v>
      </c>
      <c r="G583" s="421">
        <f t="shared" si="29"/>
        <v>445.46000000000004</v>
      </c>
    </row>
    <row r="584" spans="1:7">
      <c r="A584" s="309"/>
      <c r="B584" s="337" t="s">
        <v>2897</v>
      </c>
      <c r="C584" s="338"/>
      <c r="D584" s="228"/>
      <c r="E584" s="291"/>
      <c r="F584" s="393"/>
      <c r="G584" s="421">
        <f t="shared" si="29"/>
        <v>0</v>
      </c>
    </row>
    <row r="585" spans="1:7">
      <c r="A585" s="309"/>
      <c r="B585" s="342" t="s">
        <v>2898</v>
      </c>
      <c r="C585" s="338" t="s">
        <v>2893</v>
      </c>
      <c r="D585" s="228">
        <v>46</v>
      </c>
      <c r="E585" s="290" t="s">
        <v>1870</v>
      </c>
      <c r="F585" s="393">
        <f t="shared" ref="F585:F590" si="31">FLOOR(D585*10.76,0.01)</f>
        <v>494.96000000000004</v>
      </c>
      <c r="G585" s="421">
        <f t="shared" si="29"/>
        <v>512.28</v>
      </c>
    </row>
    <row r="586" spans="1:7">
      <c r="A586" s="309"/>
      <c r="B586" s="342" t="s">
        <v>2899</v>
      </c>
      <c r="C586" s="338" t="s">
        <v>1002</v>
      </c>
      <c r="D586" s="228">
        <v>46</v>
      </c>
      <c r="E586" s="290" t="s">
        <v>1870</v>
      </c>
      <c r="F586" s="393">
        <f t="shared" si="31"/>
        <v>494.96000000000004</v>
      </c>
      <c r="G586" s="421">
        <f t="shared" si="29"/>
        <v>512.28</v>
      </c>
    </row>
    <row r="587" spans="1:7">
      <c r="A587" s="309"/>
      <c r="B587" s="342" t="s">
        <v>2900</v>
      </c>
      <c r="C587" s="338" t="s">
        <v>1002</v>
      </c>
      <c r="D587" s="228">
        <v>46</v>
      </c>
      <c r="E587" s="290" t="s">
        <v>1870</v>
      </c>
      <c r="F587" s="393">
        <f t="shared" si="31"/>
        <v>494.96000000000004</v>
      </c>
      <c r="G587" s="421">
        <f t="shared" si="29"/>
        <v>512.28</v>
      </c>
    </row>
    <row r="588" spans="1:7">
      <c r="A588" s="309"/>
      <c r="B588" s="342" t="s">
        <v>2901</v>
      </c>
      <c r="C588" s="338" t="s">
        <v>1002</v>
      </c>
      <c r="D588" s="228">
        <v>46</v>
      </c>
      <c r="E588" s="290" t="s">
        <v>1870</v>
      </c>
      <c r="F588" s="393">
        <f t="shared" si="31"/>
        <v>494.96000000000004</v>
      </c>
      <c r="G588" s="421">
        <f t="shared" si="29"/>
        <v>512.28</v>
      </c>
    </row>
    <row r="589" spans="1:7">
      <c r="A589" s="309"/>
      <c r="B589" s="342" t="s">
        <v>2902</v>
      </c>
      <c r="C589" s="338" t="s">
        <v>1002</v>
      </c>
      <c r="D589" s="228">
        <v>46</v>
      </c>
      <c r="E589" s="290" t="s">
        <v>1870</v>
      </c>
      <c r="F589" s="393">
        <f t="shared" si="31"/>
        <v>494.96000000000004</v>
      </c>
      <c r="G589" s="421">
        <f t="shared" ref="G589:G652" si="32">FLOOR(F589*1.035,0.01)</f>
        <v>512.28</v>
      </c>
    </row>
    <row r="590" spans="1:7">
      <c r="A590" s="309"/>
      <c r="B590" s="342" t="s">
        <v>2903</v>
      </c>
      <c r="C590" s="338" t="s">
        <v>1002</v>
      </c>
      <c r="D590" s="228">
        <v>46</v>
      </c>
      <c r="E590" s="290" t="s">
        <v>1870</v>
      </c>
      <c r="F590" s="393">
        <f t="shared" si="31"/>
        <v>494.96000000000004</v>
      </c>
      <c r="G590" s="421">
        <f t="shared" si="32"/>
        <v>512.28</v>
      </c>
    </row>
    <row r="591" spans="1:7">
      <c r="A591" s="309"/>
      <c r="B591" s="337" t="s">
        <v>2904</v>
      </c>
      <c r="C591" s="338"/>
      <c r="D591" s="228"/>
      <c r="E591" s="291"/>
      <c r="F591" s="393"/>
      <c r="G591" s="421">
        <f t="shared" si="32"/>
        <v>0</v>
      </c>
    </row>
    <row r="592" spans="1:7">
      <c r="A592" s="309"/>
      <c r="B592" s="342" t="s">
        <v>2898</v>
      </c>
      <c r="C592" s="338" t="s">
        <v>2893</v>
      </c>
      <c r="D592" s="228">
        <v>47</v>
      </c>
      <c r="E592" s="290" t="s">
        <v>1870</v>
      </c>
      <c r="F592" s="393">
        <f t="shared" ref="F592:F597" si="33">FLOOR(D592*10.76,0.01)</f>
        <v>505.72</v>
      </c>
      <c r="G592" s="421">
        <f t="shared" si="32"/>
        <v>523.41999999999996</v>
      </c>
    </row>
    <row r="593" spans="1:7">
      <c r="A593" s="309"/>
      <c r="B593" s="342" t="s">
        <v>2899</v>
      </c>
      <c r="C593" s="338" t="s">
        <v>1002</v>
      </c>
      <c r="D593" s="228">
        <v>47</v>
      </c>
      <c r="E593" s="290" t="s">
        <v>1870</v>
      </c>
      <c r="F593" s="393">
        <f t="shared" si="33"/>
        <v>505.72</v>
      </c>
      <c r="G593" s="421">
        <f t="shared" si="32"/>
        <v>523.41999999999996</v>
      </c>
    </row>
    <row r="594" spans="1:7">
      <c r="A594" s="309"/>
      <c r="B594" s="342" t="s">
        <v>2900</v>
      </c>
      <c r="C594" s="338" t="s">
        <v>1002</v>
      </c>
      <c r="D594" s="228">
        <v>47</v>
      </c>
      <c r="E594" s="290" t="s">
        <v>1870</v>
      </c>
      <c r="F594" s="393">
        <f t="shared" si="33"/>
        <v>505.72</v>
      </c>
      <c r="G594" s="421">
        <f t="shared" si="32"/>
        <v>523.41999999999996</v>
      </c>
    </row>
    <row r="595" spans="1:7">
      <c r="A595" s="309"/>
      <c r="B595" s="342" t="s">
        <v>2901</v>
      </c>
      <c r="C595" s="338" t="s">
        <v>1002</v>
      </c>
      <c r="D595" s="228">
        <v>47</v>
      </c>
      <c r="E595" s="290" t="s">
        <v>1870</v>
      </c>
      <c r="F595" s="393">
        <f t="shared" si="33"/>
        <v>505.72</v>
      </c>
      <c r="G595" s="421">
        <f t="shared" si="32"/>
        <v>523.41999999999996</v>
      </c>
    </row>
    <row r="596" spans="1:7">
      <c r="A596" s="309"/>
      <c r="B596" s="342" t="s">
        <v>2902</v>
      </c>
      <c r="C596" s="338" t="s">
        <v>1002</v>
      </c>
      <c r="D596" s="228">
        <v>47</v>
      </c>
      <c r="E596" s="290" t="s">
        <v>1870</v>
      </c>
      <c r="F596" s="393">
        <f t="shared" si="33"/>
        <v>505.72</v>
      </c>
      <c r="G596" s="421">
        <f t="shared" si="32"/>
        <v>523.41999999999996</v>
      </c>
    </row>
    <row r="597" spans="1:7">
      <c r="A597" s="309"/>
      <c r="B597" s="342" t="s">
        <v>2903</v>
      </c>
      <c r="C597" s="338" t="s">
        <v>1002</v>
      </c>
      <c r="D597" s="228"/>
      <c r="E597" s="290" t="s">
        <v>1870</v>
      </c>
      <c r="F597" s="393">
        <f t="shared" si="33"/>
        <v>0</v>
      </c>
      <c r="G597" s="421">
        <f t="shared" si="32"/>
        <v>0</v>
      </c>
    </row>
    <row r="598" spans="1:7">
      <c r="A598" s="309"/>
      <c r="B598" s="337" t="s">
        <v>2905</v>
      </c>
      <c r="C598" s="338"/>
      <c r="D598" s="228"/>
      <c r="E598" s="291"/>
      <c r="F598" s="393"/>
      <c r="G598" s="421">
        <f t="shared" si="32"/>
        <v>0</v>
      </c>
    </row>
    <row r="599" spans="1:7">
      <c r="A599" s="309"/>
      <c r="B599" s="342" t="s">
        <v>2898</v>
      </c>
      <c r="C599" s="338" t="s">
        <v>2893</v>
      </c>
      <c r="D599" s="228">
        <v>48</v>
      </c>
      <c r="E599" s="290" t="s">
        <v>1870</v>
      </c>
      <c r="F599" s="393">
        <f t="shared" ref="F599:F604" si="34">FLOOR(D599*10.76,0.01)</f>
        <v>516.48</v>
      </c>
      <c r="G599" s="421">
        <f t="shared" si="32"/>
        <v>534.54999999999995</v>
      </c>
    </row>
    <row r="600" spans="1:7">
      <c r="A600" s="309"/>
      <c r="B600" s="342" t="s">
        <v>2899</v>
      </c>
      <c r="C600" s="338" t="s">
        <v>1002</v>
      </c>
      <c r="D600" s="228">
        <v>48</v>
      </c>
      <c r="E600" s="290" t="s">
        <v>1870</v>
      </c>
      <c r="F600" s="393">
        <f t="shared" si="34"/>
        <v>516.48</v>
      </c>
      <c r="G600" s="421">
        <f t="shared" si="32"/>
        <v>534.54999999999995</v>
      </c>
    </row>
    <row r="601" spans="1:7">
      <c r="A601" s="309"/>
      <c r="B601" s="342" t="s">
        <v>2900</v>
      </c>
      <c r="C601" s="338" t="s">
        <v>1002</v>
      </c>
      <c r="D601" s="228">
        <v>48</v>
      </c>
      <c r="E601" s="290" t="s">
        <v>1870</v>
      </c>
      <c r="F601" s="393">
        <f t="shared" si="34"/>
        <v>516.48</v>
      </c>
      <c r="G601" s="421">
        <f t="shared" si="32"/>
        <v>534.54999999999995</v>
      </c>
    </row>
    <row r="602" spans="1:7">
      <c r="A602" s="309"/>
      <c r="B602" s="342" t="s">
        <v>2901</v>
      </c>
      <c r="C602" s="338" t="s">
        <v>1002</v>
      </c>
      <c r="D602" s="228">
        <v>48</v>
      </c>
      <c r="E602" s="290" t="s">
        <v>1870</v>
      </c>
      <c r="F602" s="393">
        <f t="shared" si="34"/>
        <v>516.48</v>
      </c>
      <c r="G602" s="421">
        <f t="shared" si="32"/>
        <v>534.54999999999995</v>
      </c>
    </row>
    <row r="603" spans="1:7">
      <c r="A603" s="309"/>
      <c r="B603" s="342" t="s">
        <v>2902</v>
      </c>
      <c r="C603" s="338" t="s">
        <v>1002</v>
      </c>
      <c r="D603" s="228">
        <v>48</v>
      </c>
      <c r="E603" s="290" t="s">
        <v>1870</v>
      </c>
      <c r="F603" s="393">
        <f t="shared" si="34"/>
        <v>516.48</v>
      </c>
      <c r="G603" s="421">
        <f t="shared" si="32"/>
        <v>534.54999999999995</v>
      </c>
    </row>
    <row r="604" spans="1:7">
      <c r="A604" s="309"/>
      <c r="B604" s="342" t="s">
        <v>2903</v>
      </c>
      <c r="C604" s="338" t="s">
        <v>1002</v>
      </c>
      <c r="D604" s="228">
        <v>48</v>
      </c>
      <c r="E604" s="290" t="s">
        <v>1870</v>
      </c>
      <c r="F604" s="393">
        <f t="shared" si="34"/>
        <v>516.48</v>
      </c>
      <c r="G604" s="421">
        <f t="shared" si="32"/>
        <v>534.54999999999995</v>
      </c>
    </row>
    <row r="605" spans="1:7">
      <c r="A605" s="309"/>
      <c r="B605" s="337" t="s">
        <v>2906</v>
      </c>
      <c r="C605" s="338"/>
      <c r="D605" s="228"/>
      <c r="E605" s="291"/>
      <c r="F605" s="393"/>
      <c r="G605" s="421">
        <f t="shared" si="32"/>
        <v>0</v>
      </c>
    </row>
    <row r="606" spans="1:7">
      <c r="A606" s="309"/>
      <c r="B606" s="342" t="s">
        <v>2898</v>
      </c>
      <c r="C606" s="338" t="s">
        <v>2893</v>
      </c>
      <c r="D606" s="228">
        <v>49</v>
      </c>
      <c r="E606" s="290" t="s">
        <v>1870</v>
      </c>
      <c r="F606" s="393">
        <f t="shared" ref="F606:F611" si="35">FLOOR(D606*10.76,0.01)</f>
        <v>527.24</v>
      </c>
      <c r="G606" s="421">
        <f t="shared" si="32"/>
        <v>545.69000000000005</v>
      </c>
    </row>
    <row r="607" spans="1:7">
      <c r="A607" s="309"/>
      <c r="B607" s="342" t="s">
        <v>2899</v>
      </c>
      <c r="C607" s="338" t="s">
        <v>1002</v>
      </c>
      <c r="D607" s="228">
        <v>49</v>
      </c>
      <c r="E607" s="290" t="s">
        <v>1870</v>
      </c>
      <c r="F607" s="393">
        <f t="shared" si="35"/>
        <v>527.24</v>
      </c>
      <c r="G607" s="421">
        <f t="shared" si="32"/>
        <v>545.69000000000005</v>
      </c>
    </row>
    <row r="608" spans="1:7">
      <c r="A608" s="309"/>
      <c r="B608" s="342" t="s">
        <v>2900</v>
      </c>
      <c r="C608" s="338" t="s">
        <v>1002</v>
      </c>
      <c r="D608" s="228">
        <v>49</v>
      </c>
      <c r="E608" s="290" t="s">
        <v>1870</v>
      </c>
      <c r="F608" s="393">
        <f t="shared" si="35"/>
        <v>527.24</v>
      </c>
      <c r="G608" s="421">
        <f t="shared" si="32"/>
        <v>545.69000000000005</v>
      </c>
    </row>
    <row r="609" spans="1:7">
      <c r="A609" s="309"/>
      <c r="B609" s="342" t="s">
        <v>2901</v>
      </c>
      <c r="C609" s="338" t="s">
        <v>1002</v>
      </c>
      <c r="D609" s="228">
        <v>49</v>
      </c>
      <c r="E609" s="290" t="s">
        <v>1870</v>
      </c>
      <c r="F609" s="393">
        <f t="shared" si="35"/>
        <v>527.24</v>
      </c>
      <c r="G609" s="421">
        <f t="shared" si="32"/>
        <v>545.69000000000005</v>
      </c>
    </row>
    <row r="610" spans="1:7">
      <c r="A610" s="309"/>
      <c r="B610" s="342" t="s">
        <v>2902</v>
      </c>
      <c r="C610" s="338" t="s">
        <v>1002</v>
      </c>
      <c r="D610" s="228">
        <v>49</v>
      </c>
      <c r="E610" s="290" t="s">
        <v>1870</v>
      </c>
      <c r="F610" s="393">
        <f t="shared" si="35"/>
        <v>527.24</v>
      </c>
      <c r="G610" s="421">
        <f t="shared" si="32"/>
        <v>545.69000000000005</v>
      </c>
    </row>
    <row r="611" spans="1:7">
      <c r="A611" s="309"/>
      <c r="B611" s="342" t="s">
        <v>2903</v>
      </c>
      <c r="C611" s="338" t="s">
        <v>1002</v>
      </c>
      <c r="D611" s="228">
        <v>49</v>
      </c>
      <c r="E611" s="290" t="s">
        <v>1870</v>
      </c>
      <c r="F611" s="393">
        <f t="shared" si="35"/>
        <v>527.24</v>
      </c>
      <c r="G611" s="421">
        <f t="shared" si="32"/>
        <v>545.69000000000005</v>
      </c>
    </row>
    <row r="612" spans="1:7">
      <c r="A612" s="309"/>
      <c r="B612" s="337" t="s">
        <v>2907</v>
      </c>
      <c r="C612" s="338"/>
      <c r="D612" s="228"/>
      <c r="E612" s="291"/>
      <c r="F612" s="393"/>
      <c r="G612" s="421">
        <f t="shared" si="32"/>
        <v>0</v>
      </c>
    </row>
    <row r="613" spans="1:7">
      <c r="A613" s="309"/>
      <c r="B613" s="342" t="s">
        <v>2898</v>
      </c>
      <c r="C613" s="338" t="s">
        <v>2893</v>
      </c>
      <c r="D613" s="228">
        <v>54</v>
      </c>
      <c r="E613" s="290" t="s">
        <v>1870</v>
      </c>
      <c r="F613" s="393">
        <f t="shared" ref="F613:F618" si="36">FLOOR(D613*10.76,0.01)</f>
        <v>581.04</v>
      </c>
      <c r="G613" s="421">
        <f t="shared" si="32"/>
        <v>601.37</v>
      </c>
    </row>
    <row r="614" spans="1:7">
      <c r="A614" s="309"/>
      <c r="B614" s="342" t="s">
        <v>2899</v>
      </c>
      <c r="C614" s="338" t="s">
        <v>1002</v>
      </c>
      <c r="D614" s="228">
        <v>54</v>
      </c>
      <c r="E614" s="290" t="s">
        <v>1870</v>
      </c>
      <c r="F614" s="393">
        <f t="shared" si="36"/>
        <v>581.04</v>
      </c>
      <c r="G614" s="421">
        <f t="shared" si="32"/>
        <v>601.37</v>
      </c>
    </row>
    <row r="615" spans="1:7">
      <c r="A615" s="309"/>
      <c r="B615" s="342" t="s">
        <v>2900</v>
      </c>
      <c r="C615" s="338" t="s">
        <v>1002</v>
      </c>
      <c r="D615" s="228">
        <v>54</v>
      </c>
      <c r="E615" s="290" t="s">
        <v>1870</v>
      </c>
      <c r="F615" s="393">
        <f t="shared" si="36"/>
        <v>581.04</v>
      </c>
      <c r="G615" s="421">
        <f t="shared" si="32"/>
        <v>601.37</v>
      </c>
    </row>
    <row r="616" spans="1:7">
      <c r="A616" s="309"/>
      <c r="B616" s="342" t="s">
        <v>2901</v>
      </c>
      <c r="C616" s="338" t="s">
        <v>1002</v>
      </c>
      <c r="D616" s="228">
        <v>54</v>
      </c>
      <c r="E616" s="290" t="s">
        <v>1870</v>
      </c>
      <c r="F616" s="393">
        <f t="shared" si="36"/>
        <v>581.04</v>
      </c>
      <c r="G616" s="421">
        <f t="shared" si="32"/>
        <v>601.37</v>
      </c>
    </row>
    <row r="617" spans="1:7">
      <c r="A617" s="309"/>
      <c r="B617" s="342" t="s">
        <v>2902</v>
      </c>
      <c r="C617" s="338" t="s">
        <v>1002</v>
      </c>
      <c r="D617" s="228">
        <v>54</v>
      </c>
      <c r="E617" s="290" t="s">
        <v>1870</v>
      </c>
      <c r="F617" s="393">
        <f t="shared" si="36"/>
        <v>581.04</v>
      </c>
      <c r="G617" s="421">
        <f t="shared" si="32"/>
        <v>601.37</v>
      </c>
    </row>
    <row r="618" spans="1:7">
      <c r="A618" s="309"/>
      <c r="B618" s="342" t="s">
        <v>2903</v>
      </c>
      <c r="C618" s="338" t="s">
        <v>1002</v>
      </c>
      <c r="D618" s="228">
        <v>54</v>
      </c>
      <c r="E618" s="290" t="s">
        <v>1870</v>
      </c>
      <c r="F618" s="393">
        <f t="shared" si="36"/>
        <v>581.04</v>
      </c>
      <c r="G618" s="421">
        <f t="shared" si="32"/>
        <v>601.37</v>
      </c>
    </row>
    <row r="619" spans="1:7">
      <c r="A619" s="309"/>
      <c r="B619" s="337" t="s">
        <v>2908</v>
      </c>
      <c r="C619" s="338"/>
      <c r="D619" s="228"/>
      <c r="E619" s="291"/>
      <c r="F619" s="393"/>
      <c r="G619" s="421">
        <f t="shared" si="32"/>
        <v>0</v>
      </c>
    </row>
    <row r="620" spans="1:7">
      <c r="A620" s="309"/>
      <c r="B620" s="342" t="s">
        <v>2898</v>
      </c>
      <c r="C620" s="338" t="s">
        <v>2893</v>
      </c>
      <c r="D620" s="228">
        <v>55</v>
      </c>
      <c r="E620" s="290" t="s">
        <v>1870</v>
      </c>
      <c r="F620" s="393">
        <f t="shared" ref="F620:F625" si="37">FLOOR(D620*10.76,0.01)</f>
        <v>591.80000000000007</v>
      </c>
      <c r="G620" s="421">
        <f t="shared" si="32"/>
        <v>612.51</v>
      </c>
    </row>
    <row r="621" spans="1:7">
      <c r="A621" s="309"/>
      <c r="B621" s="342" t="s">
        <v>2899</v>
      </c>
      <c r="C621" s="338" t="s">
        <v>1002</v>
      </c>
      <c r="D621" s="228">
        <v>55</v>
      </c>
      <c r="E621" s="290" t="s">
        <v>1870</v>
      </c>
      <c r="F621" s="393">
        <f t="shared" si="37"/>
        <v>591.80000000000007</v>
      </c>
      <c r="G621" s="421">
        <f t="shared" si="32"/>
        <v>612.51</v>
      </c>
    </row>
    <row r="622" spans="1:7">
      <c r="A622" s="309"/>
      <c r="B622" s="342" t="s">
        <v>2900</v>
      </c>
      <c r="C622" s="338" t="s">
        <v>1002</v>
      </c>
      <c r="D622" s="228">
        <v>55</v>
      </c>
      <c r="E622" s="290" t="s">
        <v>1870</v>
      </c>
      <c r="F622" s="393">
        <f t="shared" si="37"/>
        <v>591.80000000000007</v>
      </c>
      <c r="G622" s="421">
        <f t="shared" si="32"/>
        <v>612.51</v>
      </c>
    </row>
    <row r="623" spans="1:7">
      <c r="A623" s="309"/>
      <c r="B623" s="342" t="s">
        <v>2901</v>
      </c>
      <c r="C623" s="338" t="s">
        <v>1002</v>
      </c>
      <c r="D623" s="228">
        <v>55</v>
      </c>
      <c r="E623" s="290" t="s">
        <v>1870</v>
      </c>
      <c r="F623" s="393">
        <f t="shared" si="37"/>
        <v>591.80000000000007</v>
      </c>
      <c r="G623" s="421">
        <f t="shared" si="32"/>
        <v>612.51</v>
      </c>
    </row>
    <row r="624" spans="1:7">
      <c r="A624" s="309"/>
      <c r="B624" s="342" t="s">
        <v>2902</v>
      </c>
      <c r="C624" s="338" t="s">
        <v>1002</v>
      </c>
      <c r="D624" s="228">
        <v>55</v>
      </c>
      <c r="E624" s="290" t="s">
        <v>1870</v>
      </c>
      <c r="F624" s="393">
        <f t="shared" si="37"/>
        <v>591.80000000000007</v>
      </c>
      <c r="G624" s="421">
        <f t="shared" si="32"/>
        <v>612.51</v>
      </c>
    </row>
    <row r="625" spans="1:7">
      <c r="A625" s="309"/>
      <c r="B625" s="342" t="s">
        <v>2903</v>
      </c>
      <c r="C625" s="338" t="s">
        <v>1002</v>
      </c>
      <c r="D625" s="228">
        <v>55</v>
      </c>
      <c r="E625" s="290" t="s">
        <v>1870</v>
      </c>
      <c r="F625" s="393">
        <f t="shared" si="37"/>
        <v>591.80000000000007</v>
      </c>
      <c r="G625" s="421">
        <f t="shared" si="32"/>
        <v>612.51</v>
      </c>
    </row>
    <row r="626" spans="1:7" ht="58.5">
      <c r="A626" s="309">
        <v>39</v>
      </c>
      <c r="B626" s="343" t="s">
        <v>2909</v>
      </c>
      <c r="C626" s="286"/>
      <c r="D626" s="228"/>
      <c r="E626" s="291"/>
      <c r="F626" s="392"/>
      <c r="G626" s="421">
        <f t="shared" si="32"/>
        <v>0</v>
      </c>
    </row>
    <row r="627" spans="1:7">
      <c r="A627" s="282"/>
      <c r="B627" s="314" t="s">
        <v>2910</v>
      </c>
      <c r="C627" s="286" t="s">
        <v>2973</v>
      </c>
      <c r="D627" s="228">
        <v>75</v>
      </c>
      <c r="E627" s="290" t="s">
        <v>1870</v>
      </c>
      <c r="F627" s="393">
        <f>FLOOR(D627*10.76,0.01)</f>
        <v>807</v>
      </c>
      <c r="G627" s="421">
        <f t="shared" si="32"/>
        <v>835.24</v>
      </c>
    </row>
    <row r="628" spans="1:7">
      <c r="A628" s="282"/>
      <c r="B628" s="314" t="s">
        <v>2911</v>
      </c>
      <c r="C628" s="286" t="s">
        <v>2973</v>
      </c>
      <c r="D628" s="228">
        <v>95</v>
      </c>
      <c r="E628" s="290" t="s">
        <v>1870</v>
      </c>
      <c r="F628" s="393">
        <f>FLOOR(D628*10.76,0.01)</f>
        <v>1022.2</v>
      </c>
      <c r="G628" s="421">
        <f t="shared" si="32"/>
        <v>1057.97</v>
      </c>
    </row>
    <row r="629" spans="1:7">
      <c r="A629" s="282"/>
      <c r="B629" s="314" t="s">
        <v>2912</v>
      </c>
      <c r="C629" s="286" t="s">
        <v>1002</v>
      </c>
      <c r="D629" s="228">
        <v>135</v>
      </c>
      <c r="E629" s="290" t="s">
        <v>1870</v>
      </c>
      <c r="F629" s="393">
        <f>FLOOR(D629*10.76,0.01)</f>
        <v>1452.6000000000001</v>
      </c>
      <c r="G629" s="421">
        <f t="shared" si="32"/>
        <v>1503.44</v>
      </c>
    </row>
    <row r="630" spans="1:7">
      <c r="A630" s="282"/>
      <c r="B630" s="314" t="s">
        <v>2913</v>
      </c>
      <c r="C630" s="286" t="s">
        <v>1002</v>
      </c>
      <c r="D630" s="228"/>
      <c r="E630" s="290" t="s">
        <v>1870</v>
      </c>
      <c r="F630" s="393">
        <f>FLOOR(D630*10.76,0.01)</f>
        <v>0</v>
      </c>
      <c r="G630" s="421">
        <f t="shared" si="32"/>
        <v>0</v>
      </c>
    </row>
    <row r="631" spans="1:7">
      <c r="A631" s="282"/>
      <c r="B631" s="314" t="s">
        <v>2914</v>
      </c>
      <c r="C631" s="286" t="s">
        <v>1002</v>
      </c>
      <c r="D631" s="228">
        <v>20</v>
      </c>
      <c r="E631" s="290" t="s">
        <v>1870</v>
      </c>
      <c r="F631" s="393">
        <f>FLOOR(D631*10.76,0.01)</f>
        <v>215.20000000000002</v>
      </c>
      <c r="G631" s="421">
        <f t="shared" si="32"/>
        <v>222.73000000000002</v>
      </c>
    </row>
    <row r="632" spans="1:7">
      <c r="A632" s="309">
        <v>40</v>
      </c>
      <c r="B632" s="282" t="s">
        <v>2915</v>
      </c>
      <c r="C632" s="286"/>
      <c r="D632" s="228"/>
      <c r="E632" s="291"/>
      <c r="F632" s="393"/>
      <c r="G632" s="421"/>
    </row>
    <row r="633" spans="1:7">
      <c r="A633" s="282"/>
      <c r="B633" s="314" t="s">
        <v>2916</v>
      </c>
      <c r="C633" s="290" t="s">
        <v>2973</v>
      </c>
      <c r="D633" s="228"/>
      <c r="E633" s="344"/>
      <c r="F633" s="393"/>
      <c r="G633" s="421"/>
    </row>
    <row r="634" spans="1:7" ht="20.25">
      <c r="A634" s="282"/>
      <c r="B634" s="314" t="s">
        <v>1049</v>
      </c>
      <c r="C634" s="290" t="s">
        <v>1002</v>
      </c>
      <c r="D634" s="228"/>
      <c r="E634" s="344"/>
      <c r="F634" s="393"/>
      <c r="G634" s="421"/>
    </row>
    <row r="635" spans="1:7" ht="20.25">
      <c r="A635" s="282"/>
      <c r="B635" s="314" t="s">
        <v>1050</v>
      </c>
      <c r="C635" s="290" t="s">
        <v>1002</v>
      </c>
      <c r="D635" s="228"/>
      <c r="E635" s="344"/>
      <c r="F635" s="393"/>
      <c r="G635" s="421"/>
    </row>
    <row r="636" spans="1:7">
      <c r="A636" s="282"/>
      <c r="B636" s="314" t="s">
        <v>2917</v>
      </c>
      <c r="C636" s="290" t="s">
        <v>1002</v>
      </c>
      <c r="D636" s="228"/>
      <c r="E636" s="344"/>
      <c r="F636" s="393"/>
      <c r="G636" s="421"/>
    </row>
    <row r="637" spans="1:7" ht="36.75">
      <c r="A637" s="282"/>
      <c r="B637" s="314" t="s">
        <v>1051</v>
      </c>
      <c r="C637" s="290" t="s">
        <v>1002</v>
      </c>
      <c r="D637" s="228"/>
      <c r="E637" s="344"/>
      <c r="F637" s="393"/>
      <c r="G637" s="421"/>
    </row>
    <row r="638" spans="1:7">
      <c r="A638" s="282"/>
      <c r="B638" s="320" t="s">
        <v>2918</v>
      </c>
      <c r="C638" s="290" t="s">
        <v>1002</v>
      </c>
      <c r="D638" s="228">
        <v>120</v>
      </c>
      <c r="E638" s="290" t="s">
        <v>1870</v>
      </c>
      <c r="F638" s="393">
        <f>FLOOR(D638*10.76,0.01)</f>
        <v>1291.2</v>
      </c>
      <c r="G638" s="421">
        <f t="shared" si="32"/>
        <v>1336.39</v>
      </c>
    </row>
    <row r="639" spans="1:7" ht="27">
      <c r="A639" s="282"/>
      <c r="B639" s="345" t="s">
        <v>2473</v>
      </c>
      <c r="C639" s="290" t="s">
        <v>1002</v>
      </c>
      <c r="D639" s="228">
        <v>420</v>
      </c>
      <c r="E639" s="290" t="s">
        <v>1870</v>
      </c>
      <c r="F639" s="393">
        <f>FLOOR(D639*10.76,0.01)</f>
        <v>4519.2</v>
      </c>
      <c r="G639" s="421">
        <f t="shared" si="32"/>
        <v>4677.37</v>
      </c>
    </row>
    <row r="640" spans="1:7" ht="22.5">
      <c r="A640" s="309">
        <v>41</v>
      </c>
      <c r="B640" s="282" t="s">
        <v>2474</v>
      </c>
      <c r="C640" s="286"/>
      <c r="D640" s="228"/>
      <c r="E640" s="291"/>
      <c r="F640" s="392"/>
      <c r="G640" s="421">
        <f t="shared" si="32"/>
        <v>0</v>
      </c>
    </row>
    <row r="641" spans="1:7">
      <c r="A641" s="282"/>
      <c r="B641" s="262" t="s">
        <v>2741</v>
      </c>
      <c r="C641" s="290" t="s">
        <v>2690</v>
      </c>
      <c r="D641" s="228">
        <v>65</v>
      </c>
      <c r="E641" s="290" t="s">
        <v>1870</v>
      </c>
      <c r="F641" s="393">
        <f>FLOOR(D641/0.09,0.01)</f>
        <v>722.22</v>
      </c>
      <c r="G641" s="421">
        <f t="shared" si="32"/>
        <v>747.49</v>
      </c>
    </row>
    <row r="642" spans="1:7">
      <c r="A642" s="282"/>
      <c r="B642" s="262" t="s">
        <v>2742</v>
      </c>
      <c r="C642" s="284" t="s">
        <v>1008</v>
      </c>
      <c r="D642" s="228">
        <v>270</v>
      </c>
      <c r="E642" s="290" t="s">
        <v>1870</v>
      </c>
      <c r="F642" s="393">
        <f>FLOOR(D642/0.2025,0.01)</f>
        <v>1333.33</v>
      </c>
      <c r="G642" s="421">
        <f t="shared" si="32"/>
        <v>1379.99</v>
      </c>
    </row>
    <row r="643" spans="1:7">
      <c r="A643" s="282"/>
      <c r="B643" s="262" t="s">
        <v>2475</v>
      </c>
      <c r="C643" s="284" t="s">
        <v>1008</v>
      </c>
      <c r="D643" s="228">
        <v>100</v>
      </c>
      <c r="E643" s="290" t="s">
        <v>1870</v>
      </c>
      <c r="F643" s="393">
        <f>FLOOR(D643/0.92,0.01)</f>
        <v>108.69</v>
      </c>
      <c r="G643" s="421">
        <f t="shared" si="32"/>
        <v>112.49000000000001</v>
      </c>
    </row>
    <row r="644" spans="1:7">
      <c r="A644" s="282"/>
      <c r="B644" s="262" t="s">
        <v>2476</v>
      </c>
      <c r="C644" s="286" t="s">
        <v>2973</v>
      </c>
      <c r="D644" s="228">
        <v>10</v>
      </c>
      <c r="E644" s="290" t="s">
        <v>1870</v>
      </c>
      <c r="F644" s="393">
        <f>FLOOR(D644*10.76,0.01)</f>
        <v>107.60000000000001</v>
      </c>
      <c r="G644" s="421">
        <f t="shared" si="32"/>
        <v>111.36</v>
      </c>
    </row>
    <row r="645" spans="1:7">
      <c r="A645" s="282"/>
      <c r="B645" s="262" t="s">
        <v>265</v>
      </c>
      <c r="C645" s="286" t="s">
        <v>2973</v>
      </c>
      <c r="D645" s="228">
        <v>12</v>
      </c>
      <c r="E645" s="290" t="s">
        <v>1870</v>
      </c>
      <c r="F645" s="393">
        <f>FLOOR(D645*10.76,0.01)</f>
        <v>129.12</v>
      </c>
      <c r="G645" s="421">
        <f t="shared" si="32"/>
        <v>133.63</v>
      </c>
    </row>
    <row r="646" spans="1:7">
      <c r="A646" s="282"/>
      <c r="B646" s="262" t="s">
        <v>266</v>
      </c>
      <c r="C646" s="290" t="s">
        <v>2787</v>
      </c>
      <c r="D646" s="228">
        <v>325</v>
      </c>
      <c r="E646" s="290" t="s">
        <v>2787</v>
      </c>
      <c r="F646" s="400">
        <f>D646</f>
        <v>325</v>
      </c>
      <c r="G646" s="421">
        <f t="shared" si="32"/>
        <v>336.37</v>
      </c>
    </row>
    <row r="647" spans="1:7" ht="22.5">
      <c r="A647" s="309">
        <v>42</v>
      </c>
      <c r="B647" s="282" t="s">
        <v>267</v>
      </c>
      <c r="C647" s="286"/>
      <c r="D647" s="228"/>
      <c r="E647" s="291"/>
      <c r="F647" s="392"/>
      <c r="G647" s="421">
        <f t="shared" si="32"/>
        <v>0</v>
      </c>
    </row>
    <row r="648" spans="1:7">
      <c r="A648" s="282"/>
      <c r="B648" s="262" t="s">
        <v>268</v>
      </c>
      <c r="C648" s="290" t="s">
        <v>269</v>
      </c>
      <c r="D648" s="228">
        <v>1200</v>
      </c>
      <c r="E648" s="290" t="s">
        <v>1870</v>
      </c>
      <c r="F648" s="393">
        <v>226.41</v>
      </c>
      <c r="G648" s="421">
        <f t="shared" si="32"/>
        <v>234.33</v>
      </c>
    </row>
    <row r="649" spans="1:7">
      <c r="A649" s="282"/>
      <c r="B649" s="262" t="s">
        <v>270</v>
      </c>
      <c r="C649" s="290" t="s">
        <v>2973</v>
      </c>
      <c r="D649" s="228">
        <v>7</v>
      </c>
      <c r="E649" s="290" t="s">
        <v>1870</v>
      </c>
      <c r="F649" s="393">
        <f>FLOOR(D649*10.76,0.01)</f>
        <v>75.320000000000007</v>
      </c>
      <c r="G649" s="421">
        <f t="shared" si="32"/>
        <v>77.95</v>
      </c>
    </row>
    <row r="650" spans="1:7">
      <c r="A650" s="282"/>
      <c r="B650" s="262" t="s">
        <v>271</v>
      </c>
      <c r="C650" s="290" t="s">
        <v>2787</v>
      </c>
      <c r="D650" s="228">
        <v>105</v>
      </c>
      <c r="E650" s="290" t="s">
        <v>2787</v>
      </c>
      <c r="F650" s="400">
        <f>D650</f>
        <v>105</v>
      </c>
      <c r="G650" s="421">
        <f t="shared" si="32"/>
        <v>108.67</v>
      </c>
    </row>
    <row r="651" spans="1:7" ht="22.5">
      <c r="A651" s="309">
        <v>43</v>
      </c>
      <c r="B651" s="282" t="s">
        <v>272</v>
      </c>
      <c r="C651" s="286"/>
      <c r="D651" s="228"/>
      <c r="E651" s="291"/>
      <c r="F651" s="392"/>
      <c r="G651" s="421">
        <f t="shared" si="32"/>
        <v>0</v>
      </c>
    </row>
    <row r="652" spans="1:7" ht="22.5">
      <c r="A652" s="282"/>
      <c r="B652" s="314" t="s">
        <v>273</v>
      </c>
      <c r="C652" s="286" t="s">
        <v>2973</v>
      </c>
      <c r="D652" s="228"/>
      <c r="E652" s="291"/>
      <c r="F652" s="392"/>
      <c r="G652" s="421">
        <f t="shared" si="32"/>
        <v>0</v>
      </c>
    </row>
    <row r="653" spans="1:7" ht="22.5">
      <c r="A653" s="282"/>
      <c r="B653" s="314" t="s">
        <v>274</v>
      </c>
      <c r="C653" s="286" t="s">
        <v>1002</v>
      </c>
      <c r="D653" s="228"/>
      <c r="E653" s="291"/>
      <c r="F653" s="392"/>
      <c r="G653" s="421">
        <f t="shared" ref="G653:G716" si="38">FLOOR(F653*1.035,0.01)</f>
        <v>0</v>
      </c>
    </row>
    <row r="654" spans="1:7" ht="22.5">
      <c r="A654" s="282"/>
      <c r="B654" s="314" t="s">
        <v>275</v>
      </c>
      <c r="C654" s="286" t="s">
        <v>1002</v>
      </c>
      <c r="D654" s="228"/>
      <c r="E654" s="291"/>
      <c r="F654" s="392"/>
      <c r="G654" s="421">
        <f t="shared" si="38"/>
        <v>0</v>
      </c>
    </row>
    <row r="655" spans="1:7" ht="22.5">
      <c r="A655" s="282"/>
      <c r="B655" s="314" t="s">
        <v>276</v>
      </c>
      <c r="C655" s="286" t="s">
        <v>1002</v>
      </c>
      <c r="D655" s="228"/>
      <c r="E655" s="291"/>
      <c r="F655" s="392"/>
      <c r="G655" s="421">
        <f t="shared" si="38"/>
        <v>0</v>
      </c>
    </row>
    <row r="656" spans="1:7" ht="22.5">
      <c r="A656" s="309">
        <v>44</v>
      </c>
      <c r="B656" s="282" t="s">
        <v>277</v>
      </c>
      <c r="C656" s="286"/>
      <c r="D656" s="228"/>
      <c r="E656" s="291"/>
      <c r="F656" s="392"/>
      <c r="G656" s="421">
        <f t="shared" si="38"/>
        <v>0</v>
      </c>
    </row>
    <row r="657" spans="1:7" ht="22.5">
      <c r="A657" s="282"/>
      <c r="B657" s="314" t="s">
        <v>278</v>
      </c>
      <c r="C657" s="286" t="s">
        <v>2973</v>
      </c>
      <c r="D657" s="228">
        <v>31</v>
      </c>
      <c r="E657" s="291"/>
      <c r="F657" s="392"/>
      <c r="G657" s="421">
        <f t="shared" si="38"/>
        <v>0</v>
      </c>
    </row>
    <row r="658" spans="1:7" ht="22.5">
      <c r="A658" s="282"/>
      <c r="B658" s="314" t="s">
        <v>279</v>
      </c>
      <c r="C658" s="286" t="s">
        <v>1002</v>
      </c>
      <c r="D658" s="228"/>
      <c r="E658" s="291"/>
      <c r="F658" s="392"/>
      <c r="G658" s="421">
        <f t="shared" si="38"/>
        <v>0</v>
      </c>
    </row>
    <row r="659" spans="1:7" ht="34.5">
      <c r="A659" s="282"/>
      <c r="B659" s="314" t="s">
        <v>280</v>
      </c>
      <c r="C659" s="286" t="s">
        <v>1002</v>
      </c>
      <c r="D659" s="228"/>
      <c r="E659" s="291"/>
      <c r="F659" s="392"/>
      <c r="G659" s="421">
        <f t="shared" si="38"/>
        <v>0</v>
      </c>
    </row>
    <row r="660" spans="1:7" ht="18" customHeight="1">
      <c r="A660" s="282"/>
      <c r="B660" s="314" t="s">
        <v>281</v>
      </c>
      <c r="C660" s="286" t="s">
        <v>1002</v>
      </c>
      <c r="D660" s="228"/>
      <c r="E660" s="290" t="s">
        <v>1870</v>
      </c>
      <c r="F660" s="393">
        <f>FLOOR(D660*10.76,0.01)</f>
        <v>0</v>
      </c>
      <c r="G660" s="421">
        <f t="shared" si="38"/>
        <v>0</v>
      </c>
    </row>
    <row r="661" spans="1:7" ht="22.5">
      <c r="A661" s="309">
        <v>45</v>
      </c>
      <c r="B661" s="283" t="s">
        <v>282</v>
      </c>
      <c r="C661" s="283"/>
      <c r="D661" s="228"/>
      <c r="E661" s="294"/>
      <c r="F661" s="394"/>
      <c r="G661" s="421">
        <f t="shared" si="38"/>
        <v>0</v>
      </c>
    </row>
    <row r="662" spans="1:7" ht="35.25">
      <c r="A662" s="309"/>
      <c r="B662" s="262" t="s">
        <v>587</v>
      </c>
      <c r="C662" s="305" t="s">
        <v>1006</v>
      </c>
      <c r="D662" s="228">
        <v>550</v>
      </c>
      <c r="E662" s="305" t="s">
        <v>1006</v>
      </c>
      <c r="F662" s="409">
        <f>D662</f>
        <v>550</v>
      </c>
      <c r="G662" s="421">
        <f t="shared" si="38"/>
        <v>569.25</v>
      </c>
    </row>
    <row r="663" spans="1:7" ht="35.25">
      <c r="A663" s="309"/>
      <c r="B663" s="262" t="s">
        <v>588</v>
      </c>
      <c r="C663" s="305" t="s">
        <v>1006</v>
      </c>
      <c r="D663" s="228">
        <v>600</v>
      </c>
      <c r="E663" s="305" t="s">
        <v>1006</v>
      </c>
      <c r="F663" s="409">
        <f>D663</f>
        <v>600</v>
      </c>
      <c r="G663" s="421">
        <f t="shared" si="38"/>
        <v>621</v>
      </c>
    </row>
    <row r="664" spans="1:7" ht="35.25">
      <c r="A664" s="309"/>
      <c r="B664" s="262" t="s">
        <v>589</v>
      </c>
      <c r="C664" s="305" t="s">
        <v>1957</v>
      </c>
      <c r="D664" s="228">
        <v>500</v>
      </c>
      <c r="E664" s="290" t="s">
        <v>978</v>
      </c>
      <c r="F664" s="409">
        <f>FLOOR(D664*3.28,0.01)</f>
        <v>1640</v>
      </c>
      <c r="G664" s="421">
        <f t="shared" si="38"/>
        <v>1697.4</v>
      </c>
    </row>
    <row r="665" spans="1:7" ht="35.25">
      <c r="A665" s="309"/>
      <c r="B665" s="262" t="s">
        <v>590</v>
      </c>
      <c r="C665" s="305" t="s">
        <v>1006</v>
      </c>
      <c r="D665" s="228">
        <v>2200</v>
      </c>
      <c r="E665" s="305" t="s">
        <v>1006</v>
      </c>
      <c r="F665" s="409">
        <f>D665</f>
        <v>2200</v>
      </c>
      <c r="G665" s="421">
        <f t="shared" si="38"/>
        <v>2277</v>
      </c>
    </row>
    <row r="666" spans="1:7" ht="34.5">
      <c r="A666" s="309"/>
      <c r="B666" s="262" t="s">
        <v>591</v>
      </c>
      <c r="C666" s="305" t="s">
        <v>1002</v>
      </c>
      <c r="D666" s="228">
        <v>7000</v>
      </c>
      <c r="E666" s="305" t="s">
        <v>1006</v>
      </c>
      <c r="F666" s="409">
        <f>D666</f>
        <v>7000</v>
      </c>
      <c r="G666" s="421">
        <f t="shared" si="38"/>
        <v>7245</v>
      </c>
    </row>
    <row r="667" spans="1:7" ht="34.5">
      <c r="A667" s="309"/>
      <c r="B667" s="262" t="s">
        <v>2936</v>
      </c>
      <c r="C667" s="305" t="s">
        <v>1002</v>
      </c>
      <c r="D667" s="228">
        <v>8000</v>
      </c>
      <c r="E667" s="305" t="s">
        <v>1006</v>
      </c>
      <c r="F667" s="409">
        <f>D667</f>
        <v>8000</v>
      </c>
      <c r="G667" s="421">
        <f t="shared" si="38"/>
        <v>8280</v>
      </c>
    </row>
    <row r="668" spans="1:7" ht="49.5">
      <c r="A668" s="309"/>
      <c r="B668" s="262" t="s">
        <v>2937</v>
      </c>
      <c r="C668" s="305" t="s">
        <v>1949</v>
      </c>
      <c r="D668" s="228">
        <v>1500</v>
      </c>
      <c r="E668" s="290" t="s">
        <v>1870</v>
      </c>
      <c r="F668" s="393">
        <f>FLOOR(D668*10.76,0.01)</f>
        <v>16140</v>
      </c>
      <c r="G668" s="421">
        <f t="shared" si="38"/>
        <v>16704.900000000001</v>
      </c>
    </row>
    <row r="669" spans="1:7" ht="34.5">
      <c r="A669" s="309"/>
      <c r="B669" s="262" t="s">
        <v>2938</v>
      </c>
      <c r="C669" s="305" t="s">
        <v>699</v>
      </c>
      <c r="D669" s="228">
        <v>3500</v>
      </c>
      <c r="E669" s="305" t="s">
        <v>699</v>
      </c>
      <c r="F669" s="409">
        <f>D669</f>
        <v>3500</v>
      </c>
      <c r="G669" s="421">
        <f t="shared" si="38"/>
        <v>3622.5</v>
      </c>
    </row>
    <row r="670" spans="1:7" ht="34.5">
      <c r="A670" s="309"/>
      <c r="B670" s="262" t="s">
        <v>1808</v>
      </c>
      <c r="C670" s="305" t="s">
        <v>1949</v>
      </c>
      <c r="D670" s="228">
        <v>500</v>
      </c>
      <c r="E670" s="290" t="s">
        <v>1870</v>
      </c>
      <c r="F670" s="393">
        <f>FLOOR(D670*10.76,0.01)</f>
        <v>5380</v>
      </c>
      <c r="G670" s="421">
        <f t="shared" si="38"/>
        <v>5568.3</v>
      </c>
    </row>
    <row r="671" spans="1:7" ht="34.5">
      <c r="A671" s="309"/>
      <c r="B671" s="262" t="s">
        <v>1809</v>
      </c>
      <c r="C671" s="305" t="s">
        <v>1949</v>
      </c>
      <c r="D671" s="228">
        <v>700</v>
      </c>
      <c r="E671" s="290" t="s">
        <v>1870</v>
      </c>
      <c r="F671" s="393">
        <f>FLOOR(D671*10.76,0.01)</f>
        <v>7532</v>
      </c>
      <c r="G671" s="421">
        <f t="shared" si="38"/>
        <v>7795.62</v>
      </c>
    </row>
    <row r="672" spans="1:7" ht="34.5">
      <c r="A672" s="309"/>
      <c r="B672" s="262" t="s">
        <v>2648</v>
      </c>
      <c r="C672" s="305" t="s">
        <v>1949</v>
      </c>
      <c r="D672" s="228">
        <v>1500</v>
      </c>
      <c r="E672" s="290" t="s">
        <v>1870</v>
      </c>
      <c r="F672" s="393">
        <f>FLOOR(D672*10.76,0.01)</f>
        <v>16140</v>
      </c>
      <c r="G672" s="421">
        <f t="shared" si="38"/>
        <v>16704.900000000001</v>
      </c>
    </row>
    <row r="673" spans="1:7" ht="34.5">
      <c r="A673" s="309"/>
      <c r="B673" s="262" t="s">
        <v>851</v>
      </c>
      <c r="C673" s="305" t="s">
        <v>1957</v>
      </c>
      <c r="D673" s="228">
        <v>950</v>
      </c>
      <c r="E673" s="290" t="s">
        <v>978</v>
      </c>
      <c r="F673" s="409">
        <f>FLOOR(D673*3.28,0.01)</f>
        <v>3116</v>
      </c>
      <c r="G673" s="421">
        <f t="shared" si="38"/>
        <v>3225.06</v>
      </c>
    </row>
    <row r="674" spans="1:7" ht="35.25">
      <c r="A674" s="309"/>
      <c r="B674" s="262" t="s">
        <v>852</v>
      </c>
      <c r="C674" s="305" t="s">
        <v>1957</v>
      </c>
      <c r="D674" s="228">
        <v>600</v>
      </c>
      <c r="E674" s="290" t="s">
        <v>978</v>
      </c>
      <c r="F674" s="409">
        <f>FLOOR(D674*3.28,0.01)</f>
        <v>1968</v>
      </c>
      <c r="G674" s="421">
        <f t="shared" si="38"/>
        <v>2036.88</v>
      </c>
    </row>
    <row r="675" spans="1:7" ht="35.25">
      <c r="A675" s="309"/>
      <c r="B675" s="262" t="s">
        <v>2279</v>
      </c>
      <c r="C675" s="305" t="s">
        <v>1957</v>
      </c>
      <c r="D675" s="228">
        <v>500</v>
      </c>
      <c r="E675" s="290" t="s">
        <v>978</v>
      </c>
      <c r="F675" s="409">
        <f>FLOOR(D675*3.28,0.01)</f>
        <v>1640</v>
      </c>
      <c r="G675" s="421">
        <f t="shared" si="38"/>
        <v>1697.4</v>
      </c>
    </row>
    <row r="676" spans="1:7" ht="22.5">
      <c r="A676" s="309">
        <v>46</v>
      </c>
      <c r="B676" s="283" t="s">
        <v>283</v>
      </c>
      <c r="C676" s="283"/>
      <c r="D676" s="228"/>
      <c r="E676" s="294"/>
      <c r="F676" s="394"/>
      <c r="G676" s="421">
        <f t="shared" si="38"/>
        <v>0</v>
      </c>
    </row>
    <row r="677" spans="1:7">
      <c r="A677" s="282"/>
      <c r="B677" s="286" t="s">
        <v>2280</v>
      </c>
      <c r="C677" s="290" t="s">
        <v>1006</v>
      </c>
      <c r="D677" s="228">
        <v>15</v>
      </c>
      <c r="E677" s="290" t="s">
        <v>1006</v>
      </c>
      <c r="F677" s="409">
        <f t="shared" ref="F677:F689" si="39">D677</f>
        <v>15</v>
      </c>
      <c r="G677" s="421">
        <f t="shared" si="38"/>
        <v>15.52</v>
      </c>
    </row>
    <row r="678" spans="1:7" ht="36.75">
      <c r="A678" s="282"/>
      <c r="B678" s="286" t="s">
        <v>2281</v>
      </c>
      <c r="C678" s="290" t="s">
        <v>1002</v>
      </c>
      <c r="D678" s="228">
        <v>15</v>
      </c>
      <c r="E678" s="290" t="s">
        <v>1006</v>
      </c>
      <c r="F678" s="409">
        <f t="shared" si="39"/>
        <v>15</v>
      </c>
      <c r="G678" s="421">
        <f t="shared" si="38"/>
        <v>15.52</v>
      </c>
    </row>
    <row r="679" spans="1:7">
      <c r="A679" s="282"/>
      <c r="B679" s="286" t="s">
        <v>284</v>
      </c>
      <c r="C679" s="290" t="s">
        <v>1002</v>
      </c>
      <c r="D679" s="228">
        <v>20</v>
      </c>
      <c r="E679" s="290" t="s">
        <v>1006</v>
      </c>
      <c r="F679" s="409">
        <f t="shared" si="39"/>
        <v>20</v>
      </c>
      <c r="G679" s="421">
        <f t="shared" si="38"/>
        <v>20.7</v>
      </c>
    </row>
    <row r="680" spans="1:7">
      <c r="A680" s="282"/>
      <c r="B680" s="286" t="s">
        <v>285</v>
      </c>
      <c r="C680" s="290" t="s">
        <v>1002</v>
      </c>
      <c r="D680" s="228">
        <v>20</v>
      </c>
      <c r="E680" s="290" t="s">
        <v>1006</v>
      </c>
      <c r="F680" s="409">
        <f t="shared" si="39"/>
        <v>20</v>
      </c>
      <c r="G680" s="421">
        <f t="shared" si="38"/>
        <v>20.7</v>
      </c>
    </row>
    <row r="681" spans="1:7">
      <c r="A681" s="282"/>
      <c r="B681" s="286" t="s">
        <v>2282</v>
      </c>
      <c r="C681" s="290" t="s">
        <v>1002</v>
      </c>
      <c r="D681" s="228">
        <v>7</v>
      </c>
      <c r="E681" s="290" t="s">
        <v>1006</v>
      </c>
      <c r="F681" s="409">
        <f t="shared" si="39"/>
        <v>7</v>
      </c>
      <c r="G681" s="421">
        <f t="shared" si="38"/>
        <v>7.24</v>
      </c>
    </row>
    <row r="682" spans="1:7">
      <c r="A682" s="282"/>
      <c r="B682" s="286" t="s">
        <v>2283</v>
      </c>
      <c r="C682" s="290" t="s">
        <v>1002</v>
      </c>
      <c r="D682" s="228">
        <v>7</v>
      </c>
      <c r="E682" s="290" t="s">
        <v>1006</v>
      </c>
      <c r="F682" s="409">
        <f t="shared" si="39"/>
        <v>7</v>
      </c>
      <c r="G682" s="421">
        <f t="shared" si="38"/>
        <v>7.24</v>
      </c>
    </row>
    <row r="683" spans="1:7">
      <c r="A683" s="282"/>
      <c r="B683" s="286" t="s">
        <v>2284</v>
      </c>
      <c r="C683" s="290" t="s">
        <v>1002</v>
      </c>
      <c r="D683" s="228">
        <v>14</v>
      </c>
      <c r="E683" s="290" t="s">
        <v>1006</v>
      </c>
      <c r="F683" s="409">
        <f t="shared" si="39"/>
        <v>14</v>
      </c>
      <c r="G683" s="421">
        <f t="shared" si="38"/>
        <v>14.49</v>
      </c>
    </row>
    <row r="684" spans="1:7">
      <c r="A684" s="282"/>
      <c r="B684" s="286" t="s">
        <v>2285</v>
      </c>
      <c r="C684" s="290" t="s">
        <v>1002</v>
      </c>
      <c r="D684" s="228">
        <v>6.5</v>
      </c>
      <c r="E684" s="290" t="s">
        <v>1006</v>
      </c>
      <c r="F684" s="409">
        <f t="shared" si="39"/>
        <v>6.5</v>
      </c>
      <c r="G684" s="421">
        <f t="shared" si="38"/>
        <v>6.72</v>
      </c>
    </row>
    <row r="685" spans="1:7">
      <c r="A685" s="282"/>
      <c r="B685" s="286" t="s">
        <v>2286</v>
      </c>
      <c r="C685" s="290" t="s">
        <v>1002</v>
      </c>
      <c r="D685" s="228">
        <v>50</v>
      </c>
      <c r="E685" s="290" t="s">
        <v>1006</v>
      </c>
      <c r="F685" s="409">
        <f t="shared" si="39"/>
        <v>50</v>
      </c>
      <c r="G685" s="421">
        <f t="shared" si="38"/>
        <v>51.75</v>
      </c>
    </row>
    <row r="686" spans="1:7">
      <c r="A686" s="282"/>
      <c r="B686" s="286" t="s">
        <v>1297</v>
      </c>
      <c r="C686" s="290" t="s">
        <v>1002</v>
      </c>
      <c r="D686" s="228">
        <v>5.5</v>
      </c>
      <c r="E686" s="290" t="s">
        <v>1006</v>
      </c>
      <c r="F686" s="409">
        <f t="shared" si="39"/>
        <v>5.5</v>
      </c>
      <c r="G686" s="421">
        <f t="shared" si="38"/>
        <v>5.69</v>
      </c>
    </row>
    <row r="687" spans="1:7">
      <c r="A687" s="282"/>
      <c r="B687" s="346" t="s">
        <v>1298</v>
      </c>
      <c r="C687" s="290" t="s">
        <v>699</v>
      </c>
      <c r="D687" s="228">
        <v>7</v>
      </c>
      <c r="E687" s="290" t="s">
        <v>1006</v>
      </c>
      <c r="F687" s="409">
        <f t="shared" si="39"/>
        <v>7</v>
      </c>
      <c r="G687" s="421">
        <f t="shared" si="38"/>
        <v>7.24</v>
      </c>
    </row>
    <row r="688" spans="1:7">
      <c r="A688" s="282"/>
      <c r="B688" s="286" t="s">
        <v>1299</v>
      </c>
      <c r="C688" s="290" t="s">
        <v>699</v>
      </c>
      <c r="D688" s="228">
        <v>3</v>
      </c>
      <c r="E688" s="290" t="s">
        <v>1006</v>
      </c>
      <c r="F688" s="409">
        <f t="shared" si="39"/>
        <v>3</v>
      </c>
      <c r="G688" s="421">
        <f t="shared" si="38"/>
        <v>3.1</v>
      </c>
    </row>
    <row r="689" spans="1:7">
      <c r="A689" s="282"/>
      <c r="B689" s="286" t="s">
        <v>1300</v>
      </c>
      <c r="C689" s="290" t="s">
        <v>699</v>
      </c>
      <c r="D689" s="228">
        <v>35</v>
      </c>
      <c r="E689" s="290" t="s">
        <v>1006</v>
      </c>
      <c r="F689" s="409">
        <f t="shared" si="39"/>
        <v>35</v>
      </c>
      <c r="G689" s="421">
        <f t="shared" si="38"/>
        <v>36.22</v>
      </c>
    </row>
    <row r="690" spans="1:7">
      <c r="A690" s="282"/>
      <c r="B690" s="286" t="s">
        <v>1335</v>
      </c>
      <c r="C690" s="290" t="s">
        <v>1002</v>
      </c>
      <c r="D690" s="228"/>
      <c r="E690" s="290" t="s">
        <v>1006</v>
      </c>
      <c r="F690" s="409"/>
      <c r="G690" s="421">
        <f t="shared" si="38"/>
        <v>0</v>
      </c>
    </row>
    <row r="691" spans="1:7">
      <c r="A691" s="282"/>
      <c r="B691" s="286" t="s">
        <v>991</v>
      </c>
      <c r="C691" s="290" t="s">
        <v>1002</v>
      </c>
      <c r="D691" s="228"/>
      <c r="E691" s="290" t="s">
        <v>1006</v>
      </c>
      <c r="F691" s="409"/>
      <c r="G691" s="421">
        <f t="shared" si="38"/>
        <v>0</v>
      </c>
    </row>
    <row r="692" spans="1:7">
      <c r="A692" s="282"/>
      <c r="B692" s="286" t="s">
        <v>992</v>
      </c>
      <c r="C692" s="290"/>
      <c r="D692" s="228"/>
      <c r="E692" s="290" t="s">
        <v>1006</v>
      </c>
      <c r="F692" s="409"/>
      <c r="G692" s="421">
        <f t="shared" si="38"/>
        <v>0</v>
      </c>
    </row>
    <row r="693" spans="1:7">
      <c r="A693" s="282"/>
      <c r="B693" s="347" t="s">
        <v>993</v>
      </c>
      <c r="C693" s="290" t="s">
        <v>1002</v>
      </c>
      <c r="D693" s="228">
        <v>100</v>
      </c>
      <c r="E693" s="290" t="s">
        <v>1006</v>
      </c>
      <c r="F693" s="409">
        <f>D693</f>
        <v>100</v>
      </c>
      <c r="G693" s="421">
        <f t="shared" si="38"/>
        <v>103.5</v>
      </c>
    </row>
    <row r="694" spans="1:7">
      <c r="A694" s="282"/>
      <c r="B694" s="347" t="s">
        <v>994</v>
      </c>
      <c r="C694" s="290" t="s">
        <v>1002</v>
      </c>
      <c r="D694" s="228">
        <v>200</v>
      </c>
      <c r="E694" s="290" t="s">
        <v>1006</v>
      </c>
      <c r="F694" s="409">
        <f>D694</f>
        <v>200</v>
      </c>
      <c r="G694" s="421">
        <f t="shared" si="38"/>
        <v>207</v>
      </c>
    </row>
    <row r="695" spans="1:7">
      <c r="A695" s="282"/>
      <c r="B695" s="286" t="s">
        <v>995</v>
      </c>
      <c r="C695" s="286"/>
      <c r="D695" s="228"/>
      <c r="E695" s="292"/>
      <c r="F695" s="409"/>
      <c r="G695" s="421">
        <f t="shared" si="38"/>
        <v>0</v>
      </c>
    </row>
    <row r="696" spans="1:7">
      <c r="A696" s="282"/>
      <c r="B696" s="347" t="s">
        <v>2287</v>
      </c>
      <c r="C696" s="290" t="s">
        <v>1002</v>
      </c>
      <c r="D696" s="228"/>
      <c r="E696" s="285"/>
      <c r="F696" s="409"/>
      <c r="G696" s="421">
        <f t="shared" si="38"/>
        <v>0</v>
      </c>
    </row>
    <row r="697" spans="1:7">
      <c r="A697" s="282"/>
      <c r="B697" s="347" t="s">
        <v>2288</v>
      </c>
      <c r="C697" s="290"/>
      <c r="D697" s="228">
        <v>600</v>
      </c>
      <c r="E697" s="285"/>
      <c r="F697" s="409"/>
      <c r="G697" s="421">
        <f t="shared" si="38"/>
        <v>0</v>
      </c>
    </row>
    <row r="698" spans="1:7">
      <c r="A698" s="282"/>
      <c r="B698" s="286" t="s">
        <v>996</v>
      </c>
      <c r="C698" s="290" t="s">
        <v>699</v>
      </c>
      <c r="D698" s="228">
        <v>17</v>
      </c>
      <c r="E698" s="290" t="s">
        <v>1006</v>
      </c>
      <c r="F698" s="409">
        <f>D698</f>
        <v>17</v>
      </c>
      <c r="G698" s="421">
        <f t="shared" si="38"/>
        <v>17.59</v>
      </c>
    </row>
    <row r="699" spans="1:7">
      <c r="A699" s="282"/>
      <c r="B699" s="286" t="s">
        <v>2289</v>
      </c>
      <c r="C699" s="290" t="s">
        <v>1002</v>
      </c>
      <c r="D699" s="228"/>
      <c r="E699" s="290" t="s">
        <v>1006</v>
      </c>
      <c r="F699" s="409"/>
      <c r="G699" s="421">
        <f t="shared" si="38"/>
        <v>0</v>
      </c>
    </row>
    <row r="700" spans="1:7">
      <c r="A700" s="282"/>
      <c r="B700" s="286" t="s">
        <v>2290</v>
      </c>
      <c r="C700" s="290" t="s">
        <v>1002</v>
      </c>
      <c r="D700" s="228">
        <v>150</v>
      </c>
      <c r="E700" s="290" t="s">
        <v>1006</v>
      </c>
      <c r="F700" s="409">
        <f t="shared" ref="F700:F722" si="40">D700</f>
        <v>150</v>
      </c>
      <c r="G700" s="421">
        <f t="shared" si="38"/>
        <v>155.25</v>
      </c>
    </row>
    <row r="701" spans="1:7">
      <c r="A701" s="282"/>
      <c r="B701" s="286" t="s">
        <v>2291</v>
      </c>
      <c r="C701" s="290" t="s">
        <v>1002</v>
      </c>
      <c r="D701" s="228">
        <v>125</v>
      </c>
      <c r="E701" s="290" t="s">
        <v>1006</v>
      </c>
      <c r="F701" s="409">
        <f t="shared" si="40"/>
        <v>125</v>
      </c>
      <c r="G701" s="421">
        <f t="shared" si="38"/>
        <v>129.37</v>
      </c>
    </row>
    <row r="702" spans="1:7">
      <c r="A702" s="282"/>
      <c r="B702" s="286" t="s">
        <v>2292</v>
      </c>
      <c r="C702" s="290" t="s">
        <v>1002</v>
      </c>
      <c r="D702" s="228">
        <v>12</v>
      </c>
      <c r="E702" s="290" t="s">
        <v>1006</v>
      </c>
      <c r="F702" s="409">
        <f t="shared" si="40"/>
        <v>12</v>
      </c>
      <c r="G702" s="421">
        <f t="shared" si="38"/>
        <v>12.42</v>
      </c>
    </row>
    <row r="703" spans="1:7">
      <c r="A703" s="282"/>
      <c r="B703" s="286" t="s">
        <v>2293</v>
      </c>
      <c r="C703" s="290" t="s">
        <v>1002</v>
      </c>
      <c r="D703" s="228">
        <v>9</v>
      </c>
      <c r="E703" s="290" t="s">
        <v>1006</v>
      </c>
      <c r="F703" s="409">
        <f t="shared" si="40"/>
        <v>9</v>
      </c>
      <c r="G703" s="421">
        <f t="shared" si="38"/>
        <v>9.31</v>
      </c>
    </row>
    <row r="704" spans="1:7">
      <c r="A704" s="282"/>
      <c r="B704" s="286" t="s">
        <v>2294</v>
      </c>
      <c r="C704" s="290" t="s">
        <v>1002</v>
      </c>
      <c r="D704" s="228">
        <v>17</v>
      </c>
      <c r="E704" s="290" t="s">
        <v>1006</v>
      </c>
      <c r="F704" s="409">
        <f t="shared" si="40"/>
        <v>17</v>
      </c>
      <c r="G704" s="421">
        <f t="shared" si="38"/>
        <v>17.59</v>
      </c>
    </row>
    <row r="705" spans="1:7">
      <c r="A705" s="282"/>
      <c r="B705" s="286" t="s">
        <v>2295</v>
      </c>
      <c r="C705" s="290" t="s">
        <v>1002</v>
      </c>
      <c r="D705" s="228">
        <v>12</v>
      </c>
      <c r="E705" s="290" t="s">
        <v>1006</v>
      </c>
      <c r="F705" s="409">
        <f t="shared" si="40"/>
        <v>12</v>
      </c>
      <c r="G705" s="421">
        <f t="shared" si="38"/>
        <v>12.42</v>
      </c>
    </row>
    <row r="706" spans="1:7">
      <c r="A706" s="282"/>
      <c r="B706" s="286" t="s">
        <v>997</v>
      </c>
      <c r="C706" s="290" t="s">
        <v>1002</v>
      </c>
      <c r="D706" s="228">
        <v>25</v>
      </c>
      <c r="E706" s="290" t="s">
        <v>1006</v>
      </c>
      <c r="F706" s="409">
        <f t="shared" si="40"/>
        <v>25</v>
      </c>
      <c r="G706" s="421">
        <f t="shared" si="38"/>
        <v>25.87</v>
      </c>
    </row>
    <row r="707" spans="1:7">
      <c r="A707" s="282"/>
      <c r="B707" s="286" t="s">
        <v>3023</v>
      </c>
      <c r="C707" s="290" t="s">
        <v>1002</v>
      </c>
      <c r="D707" s="228">
        <v>37</v>
      </c>
      <c r="E707" s="290" t="s">
        <v>1006</v>
      </c>
      <c r="F707" s="409">
        <f t="shared" si="40"/>
        <v>37</v>
      </c>
      <c r="G707" s="421">
        <f t="shared" si="38"/>
        <v>38.29</v>
      </c>
    </row>
    <row r="708" spans="1:7">
      <c r="A708" s="282"/>
      <c r="B708" s="326" t="s">
        <v>3196</v>
      </c>
      <c r="C708" s="290" t="s">
        <v>1002</v>
      </c>
      <c r="D708" s="228">
        <v>150</v>
      </c>
      <c r="E708" s="290" t="s">
        <v>1006</v>
      </c>
      <c r="F708" s="409">
        <f t="shared" si="40"/>
        <v>150</v>
      </c>
      <c r="G708" s="421">
        <f t="shared" si="38"/>
        <v>155.25</v>
      </c>
    </row>
    <row r="709" spans="1:7">
      <c r="A709" s="282"/>
      <c r="B709" s="286" t="s">
        <v>3024</v>
      </c>
      <c r="C709" s="290" t="s">
        <v>1002</v>
      </c>
      <c r="D709" s="228">
        <v>30</v>
      </c>
      <c r="E709" s="290" t="s">
        <v>1006</v>
      </c>
      <c r="F709" s="409">
        <f t="shared" si="40"/>
        <v>30</v>
      </c>
      <c r="G709" s="421">
        <f t="shared" si="38"/>
        <v>31.05</v>
      </c>
    </row>
    <row r="710" spans="1:7">
      <c r="A710" s="282"/>
      <c r="B710" s="286" t="s">
        <v>3197</v>
      </c>
      <c r="C710" s="290" t="s">
        <v>1002</v>
      </c>
      <c r="D710" s="228">
        <v>50</v>
      </c>
      <c r="E710" s="290" t="s">
        <v>1006</v>
      </c>
      <c r="F710" s="409">
        <f t="shared" si="40"/>
        <v>50</v>
      </c>
      <c r="G710" s="421">
        <f t="shared" si="38"/>
        <v>51.75</v>
      </c>
    </row>
    <row r="711" spans="1:7">
      <c r="A711" s="282"/>
      <c r="B711" s="286" t="s">
        <v>3198</v>
      </c>
      <c r="C711" s="290" t="s">
        <v>1002</v>
      </c>
      <c r="D711" s="228">
        <v>1400</v>
      </c>
      <c r="E711" s="290" t="s">
        <v>1006</v>
      </c>
      <c r="F711" s="409">
        <f t="shared" si="40"/>
        <v>1400</v>
      </c>
      <c r="G711" s="421">
        <f t="shared" si="38"/>
        <v>1449</v>
      </c>
    </row>
    <row r="712" spans="1:7">
      <c r="A712" s="282"/>
      <c r="B712" s="286" t="s">
        <v>3199</v>
      </c>
      <c r="C712" s="290" t="s">
        <v>1002</v>
      </c>
      <c r="D712" s="228">
        <v>950</v>
      </c>
      <c r="E712" s="290" t="s">
        <v>1006</v>
      </c>
      <c r="F712" s="409">
        <f t="shared" si="40"/>
        <v>950</v>
      </c>
      <c r="G712" s="421">
        <f t="shared" si="38"/>
        <v>983.25</v>
      </c>
    </row>
    <row r="713" spans="1:7">
      <c r="A713" s="282"/>
      <c r="B713" s="286" t="s">
        <v>3200</v>
      </c>
      <c r="C713" s="290" t="s">
        <v>1002</v>
      </c>
      <c r="D713" s="228">
        <v>700</v>
      </c>
      <c r="E713" s="290" t="s">
        <v>1006</v>
      </c>
      <c r="F713" s="409">
        <f t="shared" si="40"/>
        <v>700</v>
      </c>
      <c r="G713" s="421">
        <f t="shared" si="38"/>
        <v>724.5</v>
      </c>
    </row>
    <row r="714" spans="1:7">
      <c r="A714" s="282"/>
      <c r="B714" s="286" t="s">
        <v>3025</v>
      </c>
      <c r="C714" s="290" t="s">
        <v>699</v>
      </c>
      <c r="D714" s="228">
        <v>200</v>
      </c>
      <c r="E714" s="290" t="s">
        <v>1006</v>
      </c>
      <c r="F714" s="409">
        <f t="shared" si="40"/>
        <v>200</v>
      </c>
      <c r="G714" s="421">
        <f t="shared" si="38"/>
        <v>207</v>
      </c>
    </row>
    <row r="715" spans="1:7">
      <c r="A715" s="282"/>
      <c r="B715" s="286" t="s">
        <v>3026</v>
      </c>
      <c r="C715" s="290" t="s">
        <v>3027</v>
      </c>
      <c r="D715" s="228">
        <v>850</v>
      </c>
      <c r="E715" s="290" t="s">
        <v>3027</v>
      </c>
      <c r="F715" s="409">
        <f t="shared" si="40"/>
        <v>850</v>
      </c>
      <c r="G715" s="421">
        <f t="shared" si="38"/>
        <v>879.75</v>
      </c>
    </row>
    <row r="716" spans="1:7">
      <c r="A716" s="282"/>
      <c r="B716" s="286" t="s">
        <v>3028</v>
      </c>
      <c r="C716" s="290" t="s">
        <v>3027</v>
      </c>
      <c r="D716" s="228">
        <v>900</v>
      </c>
      <c r="E716" s="290" t="s">
        <v>3027</v>
      </c>
      <c r="F716" s="409">
        <f t="shared" si="40"/>
        <v>900</v>
      </c>
      <c r="G716" s="421">
        <f t="shared" si="38"/>
        <v>931.5</v>
      </c>
    </row>
    <row r="717" spans="1:7">
      <c r="A717" s="282"/>
      <c r="B717" s="286" t="s">
        <v>3029</v>
      </c>
      <c r="C717" s="290" t="s">
        <v>3030</v>
      </c>
      <c r="D717" s="228">
        <v>40</v>
      </c>
      <c r="E717" s="285"/>
      <c r="F717" s="409">
        <f t="shared" si="40"/>
        <v>40</v>
      </c>
      <c r="G717" s="421">
        <f t="shared" ref="G717:G780" si="41">FLOOR(F717*1.035,0.01)</f>
        <v>41.4</v>
      </c>
    </row>
    <row r="718" spans="1:7">
      <c r="A718" s="282"/>
      <c r="B718" s="286" t="s">
        <v>3031</v>
      </c>
      <c r="C718" s="290" t="s">
        <v>3032</v>
      </c>
      <c r="D718" s="228">
        <v>2000</v>
      </c>
      <c r="E718" s="290" t="s">
        <v>3032</v>
      </c>
      <c r="F718" s="409">
        <f t="shared" si="40"/>
        <v>2000</v>
      </c>
      <c r="G718" s="421">
        <f t="shared" si="41"/>
        <v>2070</v>
      </c>
    </row>
    <row r="719" spans="1:7">
      <c r="A719" s="282"/>
      <c r="B719" s="286" t="s">
        <v>3201</v>
      </c>
      <c r="C719" s="290" t="s">
        <v>699</v>
      </c>
      <c r="D719" s="228">
        <v>412</v>
      </c>
      <c r="E719" s="290" t="s">
        <v>699</v>
      </c>
      <c r="F719" s="409">
        <f t="shared" si="40"/>
        <v>412</v>
      </c>
      <c r="G719" s="421">
        <f t="shared" si="41"/>
        <v>426.42</v>
      </c>
    </row>
    <row r="720" spans="1:7">
      <c r="A720" s="282"/>
      <c r="B720" s="262" t="s">
        <v>3202</v>
      </c>
      <c r="C720" s="290" t="s">
        <v>699</v>
      </c>
      <c r="D720" s="228">
        <v>22</v>
      </c>
      <c r="E720" s="290" t="s">
        <v>699</v>
      </c>
      <c r="F720" s="409">
        <f t="shared" si="40"/>
        <v>22</v>
      </c>
      <c r="G720" s="421">
        <f t="shared" si="41"/>
        <v>22.77</v>
      </c>
    </row>
    <row r="721" spans="1:7">
      <c r="A721" s="282"/>
      <c r="B721" s="326" t="s">
        <v>3203</v>
      </c>
      <c r="C721" s="290" t="s">
        <v>699</v>
      </c>
      <c r="D721" s="228">
        <v>65</v>
      </c>
      <c r="E721" s="290" t="s">
        <v>699</v>
      </c>
      <c r="F721" s="409">
        <f t="shared" si="40"/>
        <v>65</v>
      </c>
      <c r="G721" s="421">
        <f t="shared" si="41"/>
        <v>67.27</v>
      </c>
    </row>
    <row r="722" spans="1:7">
      <c r="A722" s="282"/>
      <c r="B722" s="326" t="s">
        <v>3204</v>
      </c>
      <c r="C722" s="290" t="s">
        <v>699</v>
      </c>
      <c r="D722" s="228">
        <v>128</v>
      </c>
      <c r="E722" s="290" t="s">
        <v>699</v>
      </c>
      <c r="F722" s="409">
        <f t="shared" si="40"/>
        <v>128</v>
      </c>
      <c r="G722" s="421">
        <f t="shared" si="41"/>
        <v>132.47999999999999</v>
      </c>
    </row>
    <row r="723" spans="1:7">
      <c r="A723" s="282"/>
      <c r="B723" s="326" t="s">
        <v>3205</v>
      </c>
      <c r="C723" s="290" t="s">
        <v>2232</v>
      </c>
      <c r="D723" s="228"/>
      <c r="E723" s="290" t="s">
        <v>2232</v>
      </c>
      <c r="F723" s="393">
        <v>1000</v>
      </c>
      <c r="G723" s="421">
        <f t="shared" si="41"/>
        <v>1035</v>
      </c>
    </row>
    <row r="724" spans="1:7">
      <c r="A724" s="282"/>
      <c r="B724" s="326" t="s">
        <v>2028</v>
      </c>
      <c r="C724" s="290" t="s">
        <v>3027</v>
      </c>
      <c r="D724" s="228"/>
      <c r="E724" s="290" t="s">
        <v>3027</v>
      </c>
      <c r="F724" s="409">
        <f>D724</f>
        <v>0</v>
      </c>
      <c r="G724" s="421">
        <f t="shared" si="41"/>
        <v>0</v>
      </c>
    </row>
    <row r="725" spans="1:7" ht="37.5">
      <c r="A725" s="309">
        <v>47</v>
      </c>
      <c r="B725" s="343" t="s">
        <v>1397</v>
      </c>
      <c r="C725" s="290"/>
      <c r="D725" s="228"/>
      <c r="E725" s="291"/>
      <c r="F725" s="393"/>
      <c r="G725" s="421">
        <f t="shared" si="41"/>
        <v>0</v>
      </c>
    </row>
    <row r="726" spans="1:7" ht="78">
      <c r="A726" s="282"/>
      <c r="B726" s="348" t="s">
        <v>3175</v>
      </c>
      <c r="C726" s="290"/>
      <c r="D726" s="228"/>
      <c r="E726" s="285"/>
      <c r="F726" s="393"/>
      <c r="G726" s="421">
        <f t="shared" si="41"/>
        <v>0</v>
      </c>
    </row>
    <row r="727" spans="1:7">
      <c r="A727" s="282"/>
      <c r="B727" s="333" t="s">
        <v>3176</v>
      </c>
      <c r="C727" s="308"/>
      <c r="D727" s="228"/>
      <c r="E727" s="285"/>
      <c r="F727" s="393"/>
      <c r="G727" s="421">
        <f t="shared" si="41"/>
        <v>0</v>
      </c>
    </row>
    <row r="728" spans="1:7">
      <c r="A728" s="282"/>
      <c r="B728" s="303" t="s">
        <v>3177</v>
      </c>
      <c r="C728" s="308" t="s">
        <v>3178</v>
      </c>
      <c r="D728" s="228"/>
      <c r="E728" s="290" t="s">
        <v>1870</v>
      </c>
      <c r="F728" s="409">
        <f t="shared" ref="F728:F734" si="42">D728</f>
        <v>0</v>
      </c>
      <c r="G728" s="421">
        <f t="shared" si="41"/>
        <v>0</v>
      </c>
    </row>
    <row r="729" spans="1:7">
      <c r="A729" s="282"/>
      <c r="B729" s="303" t="s">
        <v>3179</v>
      </c>
      <c r="C729" s="308" t="s">
        <v>1002</v>
      </c>
      <c r="D729" s="228"/>
      <c r="E729" s="290" t="s">
        <v>1870</v>
      </c>
      <c r="F729" s="409">
        <f t="shared" si="42"/>
        <v>0</v>
      </c>
      <c r="G729" s="421">
        <f t="shared" si="41"/>
        <v>0</v>
      </c>
    </row>
    <row r="730" spans="1:7">
      <c r="A730" s="282"/>
      <c r="B730" s="303" t="s">
        <v>3180</v>
      </c>
      <c r="C730" s="308" t="s">
        <v>1002</v>
      </c>
      <c r="D730" s="228"/>
      <c r="E730" s="290" t="s">
        <v>1870</v>
      </c>
      <c r="F730" s="409">
        <f t="shared" si="42"/>
        <v>0</v>
      </c>
      <c r="G730" s="421">
        <f t="shared" si="41"/>
        <v>0</v>
      </c>
    </row>
    <row r="731" spans="1:7" ht="32.25">
      <c r="A731" s="282"/>
      <c r="B731" s="303" t="s">
        <v>3181</v>
      </c>
      <c r="C731" s="308" t="s">
        <v>1002</v>
      </c>
      <c r="D731" s="228"/>
      <c r="E731" s="290" t="s">
        <v>1870</v>
      </c>
      <c r="F731" s="409">
        <f t="shared" si="42"/>
        <v>0</v>
      </c>
      <c r="G731" s="421">
        <f t="shared" si="41"/>
        <v>0</v>
      </c>
    </row>
    <row r="732" spans="1:7">
      <c r="A732" s="282"/>
      <c r="B732" s="303" t="s">
        <v>3182</v>
      </c>
      <c r="C732" s="308" t="s">
        <v>1002</v>
      </c>
      <c r="D732" s="228"/>
      <c r="E732" s="290" t="s">
        <v>1870</v>
      </c>
      <c r="F732" s="409">
        <f t="shared" si="42"/>
        <v>0</v>
      </c>
      <c r="G732" s="421">
        <f t="shared" si="41"/>
        <v>0</v>
      </c>
    </row>
    <row r="733" spans="1:7" ht="32.25">
      <c r="A733" s="282"/>
      <c r="B733" s="303" t="s">
        <v>3183</v>
      </c>
      <c r="C733" s="308" t="s">
        <v>1002</v>
      </c>
      <c r="D733" s="228"/>
      <c r="E733" s="290" t="s">
        <v>1870</v>
      </c>
      <c r="F733" s="409">
        <f t="shared" si="42"/>
        <v>0</v>
      </c>
      <c r="G733" s="421">
        <f t="shared" si="41"/>
        <v>0</v>
      </c>
    </row>
    <row r="734" spans="1:7">
      <c r="A734" s="282"/>
      <c r="B734" s="303" t="s">
        <v>3184</v>
      </c>
      <c r="C734" s="308" t="s">
        <v>1002</v>
      </c>
      <c r="D734" s="228"/>
      <c r="E734" s="290" t="s">
        <v>1870</v>
      </c>
      <c r="F734" s="409">
        <f t="shared" si="42"/>
        <v>0</v>
      </c>
      <c r="G734" s="421">
        <f t="shared" si="41"/>
        <v>0</v>
      </c>
    </row>
    <row r="735" spans="1:7">
      <c r="A735" s="282"/>
      <c r="B735" s="333" t="s">
        <v>3185</v>
      </c>
      <c r="C735" s="308"/>
      <c r="D735" s="228"/>
      <c r="E735" s="285"/>
      <c r="F735" s="393"/>
      <c r="G735" s="421">
        <f t="shared" si="41"/>
        <v>0</v>
      </c>
    </row>
    <row r="736" spans="1:7">
      <c r="A736" s="282"/>
      <c r="B736" s="303" t="s">
        <v>3177</v>
      </c>
      <c r="C736" s="308" t="s">
        <v>3178</v>
      </c>
      <c r="D736" s="228"/>
      <c r="E736" s="290" t="s">
        <v>1870</v>
      </c>
      <c r="F736" s="409">
        <f t="shared" ref="F736:F742" si="43">D736</f>
        <v>0</v>
      </c>
      <c r="G736" s="421">
        <f t="shared" si="41"/>
        <v>0</v>
      </c>
    </row>
    <row r="737" spans="1:7">
      <c r="A737" s="282"/>
      <c r="B737" s="303" t="s">
        <v>3179</v>
      </c>
      <c r="C737" s="308" t="s">
        <v>1002</v>
      </c>
      <c r="D737" s="228"/>
      <c r="E737" s="290" t="s">
        <v>1870</v>
      </c>
      <c r="F737" s="409">
        <f t="shared" si="43"/>
        <v>0</v>
      </c>
      <c r="G737" s="421">
        <f t="shared" si="41"/>
        <v>0</v>
      </c>
    </row>
    <row r="738" spans="1:7">
      <c r="A738" s="282"/>
      <c r="B738" s="303" t="s">
        <v>3180</v>
      </c>
      <c r="C738" s="308" t="s">
        <v>1002</v>
      </c>
      <c r="D738" s="228"/>
      <c r="E738" s="290" t="s">
        <v>1870</v>
      </c>
      <c r="F738" s="409">
        <f t="shared" si="43"/>
        <v>0</v>
      </c>
      <c r="G738" s="421">
        <f t="shared" si="41"/>
        <v>0</v>
      </c>
    </row>
    <row r="739" spans="1:7" ht="32.25">
      <c r="A739" s="282"/>
      <c r="B739" s="303" t="s">
        <v>3181</v>
      </c>
      <c r="C739" s="308" t="s">
        <v>1002</v>
      </c>
      <c r="D739" s="228"/>
      <c r="E739" s="290" t="s">
        <v>1870</v>
      </c>
      <c r="F739" s="409">
        <f t="shared" si="43"/>
        <v>0</v>
      </c>
      <c r="G739" s="421">
        <f t="shared" si="41"/>
        <v>0</v>
      </c>
    </row>
    <row r="740" spans="1:7">
      <c r="A740" s="282"/>
      <c r="B740" s="303" t="s">
        <v>3182</v>
      </c>
      <c r="C740" s="308" t="s">
        <v>1002</v>
      </c>
      <c r="D740" s="228"/>
      <c r="E740" s="290" t="s">
        <v>1870</v>
      </c>
      <c r="F740" s="409">
        <f t="shared" si="43"/>
        <v>0</v>
      </c>
      <c r="G740" s="421">
        <f t="shared" si="41"/>
        <v>0</v>
      </c>
    </row>
    <row r="741" spans="1:7" ht="32.25">
      <c r="A741" s="282"/>
      <c r="B741" s="303" t="s">
        <v>3183</v>
      </c>
      <c r="C741" s="308" t="s">
        <v>1002</v>
      </c>
      <c r="D741" s="228"/>
      <c r="E741" s="290" t="s">
        <v>1870</v>
      </c>
      <c r="F741" s="409">
        <f t="shared" si="43"/>
        <v>0</v>
      </c>
      <c r="G741" s="421">
        <f t="shared" si="41"/>
        <v>0</v>
      </c>
    </row>
    <row r="742" spans="1:7">
      <c r="A742" s="282"/>
      <c r="B742" s="303" t="s">
        <v>3184</v>
      </c>
      <c r="C742" s="308" t="s">
        <v>1002</v>
      </c>
      <c r="D742" s="228"/>
      <c r="E742" s="290" t="s">
        <v>1870</v>
      </c>
      <c r="F742" s="409">
        <f t="shared" si="43"/>
        <v>0</v>
      </c>
      <c r="G742" s="421">
        <f t="shared" si="41"/>
        <v>0</v>
      </c>
    </row>
    <row r="743" spans="1:7" ht="78">
      <c r="A743" s="282"/>
      <c r="B743" s="348" t="s">
        <v>3186</v>
      </c>
      <c r="C743" s="308"/>
      <c r="D743" s="228"/>
      <c r="E743" s="285"/>
      <c r="F743" s="393"/>
      <c r="G743" s="421">
        <f t="shared" si="41"/>
        <v>0</v>
      </c>
    </row>
    <row r="744" spans="1:7">
      <c r="A744" s="282"/>
      <c r="B744" s="333" t="s">
        <v>3176</v>
      </c>
      <c r="C744" s="308"/>
      <c r="D744" s="228"/>
      <c r="E744" s="285"/>
      <c r="F744" s="393"/>
      <c r="G744" s="421">
        <f t="shared" si="41"/>
        <v>0</v>
      </c>
    </row>
    <row r="745" spans="1:7">
      <c r="A745" s="282"/>
      <c r="B745" s="303" t="s">
        <v>1448</v>
      </c>
      <c r="C745" s="308" t="s">
        <v>3178</v>
      </c>
      <c r="D745" s="228">
        <v>7995</v>
      </c>
      <c r="E745" s="290" t="s">
        <v>1870</v>
      </c>
      <c r="F745" s="409">
        <f>D745</f>
        <v>7995</v>
      </c>
      <c r="G745" s="421">
        <f t="shared" si="41"/>
        <v>8274.82</v>
      </c>
    </row>
    <row r="746" spans="1:7">
      <c r="A746" s="282"/>
      <c r="B746" s="303" t="s">
        <v>1449</v>
      </c>
      <c r="C746" s="308" t="s">
        <v>1002</v>
      </c>
      <c r="D746" s="228">
        <v>7995</v>
      </c>
      <c r="E746" s="290" t="s">
        <v>1870</v>
      </c>
      <c r="F746" s="409">
        <f>D746</f>
        <v>7995</v>
      </c>
      <c r="G746" s="421">
        <f t="shared" si="41"/>
        <v>8274.82</v>
      </c>
    </row>
    <row r="747" spans="1:7">
      <c r="A747" s="282"/>
      <c r="B747" s="333" t="s">
        <v>3185</v>
      </c>
      <c r="C747" s="308"/>
      <c r="D747" s="228"/>
      <c r="E747" s="285"/>
      <c r="F747" s="409">
        <f>D747</f>
        <v>0</v>
      </c>
      <c r="G747" s="421">
        <f t="shared" si="41"/>
        <v>0</v>
      </c>
    </row>
    <row r="748" spans="1:7">
      <c r="A748" s="282"/>
      <c r="B748" s="303" t="s">
        <v>1448</v>
      </c>
      <c r="C748" s="308" t="s">
        <v>3178</v>
      </c>
      <c r="D748" s="228">
        <v>9745</v>
      </c>
      <c r="E748" s="290" t="s">
        <v>1870</v>
      </c>
      <c r="F748" s="409">
        <f>D748</f>
        <v>9745</v>
      </c>
      <c r="G748" s="421">
        <f t="shared" si="41"/>
        <v>10086.07</v>
      </c>
    </row>
    <row r="749" spans="1:7">
      <c r="A749" s="282"/>
      <c r="B749" s="303" t="s">
        <v>1449</v>
      </c>
      <c r="C749" s="308" t="s">
        <v>1002</v>
      </c>
      <c r="D749" s="228">
        <v>9745</v>
      </c>
      <c r="E749" s="290" t="s">
        <v>1870</v>
      </c>
      <c r="F749" s="409">
        <f>D749</f>
        <v>9745</v>
      </c>
      <c r="G749" s="421">
        <f t="shared" si="41"/>
        <v>10086.07</v>
      </c>
    </row>
    <row r="750" spans="1:7" ht="105" customHeight="1">
      <c r="A750" s="282"/>
      <c r="B750" s="348" t="s">
        <v>1699</v>
      </c>
      <c r="C750" s="308"/>
      <c r="D750" s="228"/>
      <c r="E750" s="285"/>
      <c r="F750" s="393"/>
      <c r="G750" s="421">
        <f t="shared" si="41"/>
        <v>0</v>
      </c>
    </row>
    <row r="751" spans="1:7">
      <c r="A751" s="282"/>
      <c r="B751" s="333" t="s">
        <v>3176</v>
      </c>
      <c r="C751" s="308"/>
      <c r="D751" s="228"/>
      <c r="E751" s="285"/>
      <c r="F751" s="393"/>
      <c r="G751" s="421">
        <f t="shared" si="41"/>
        <v>0</v>
      </c>
    </row>
    <row r="752" spans="1:7">
      <c r="A752" s="282"/>
      <c r="B752" s="303" t="s">
        <v>1700</v>
      </c>
      <c r="C752" s="308" t="s">
        <v>3178</v>
      </c>
      <c r="D752" s="228">
        <v>8470</v>
      </c>
      <c r="E752" s="290" t="s">
        <v>1870</v>
      </c>
      <c r="F752" s="409">
        <f t="shared" ref="F752:F759" si="44">D752</f>
        <v>8470</v>
      </c>
      <c r="G752" s="421">
        <f t="shared" si="41"/>
        <v>8766.4500000000007</v>
      </c>
    </row>
    <row r="753" spans="1:7">
      <c r="A753" s="282"/>
      <c r="B753" s="303" t="s">
        <v>3084</v>
      </c>
      <c r="C753" s="308" t="s">
        <v>1002</v>
      </c>
      <c r="D753" s="228">
        <v>8470</v>
      </c>
      <c r="E753" s="290" t="s">
        <v>1870</v>
      </c>
      <c r="F753" s="409">
        <f t="shared" si="44"/>
        <v>8470</v>
      </c>
      <c r="G753" s="421">
        <f t="shared" si="41"/>
        <v>8766.4500000000007</v>
      </c>
    </row>
    <row r="754" spans="1:7">
      <c r="A754" s="282"/>
      <c r="B754" s="303" t="s">
        <v>3085</v>
      </c>
      <c r="C754" s="308" t="s">
        <v>1002</v>
      </c>
      <c r="D754" s="228">
        <v>8470</v>
      </c>
      <c r="E754" s="290" t="s">
        <v>1870</v>
      </c>
      <c r="F754" s="409">
        <f t="shared" si="44"/>
        <v>8470</v>
      </c>
      <c r="G754" s="421">
        <f t="shared" si="41"/>
        <v>8766.4500000000007</v>
      </c>
    </row>
    <row r="755" spans="1:7">
      <c r="A755" s="282"/>
      <c r="B755" s="303" t="s">
        <v>3086</v>
      </c>
      <c r="C755" s="308" t="s">
        <v>1002</v>
      </c>
      <c r="D755" s="228">
        <v>8470</v>
      </c>
      <c r="E755" s="290" t="s">
        <v>1870</v>
      </c>
      <c r="F755" s="409">
        <f t="shared" si="44"/>
        <v>8470</v>
      </c>
      <c r="G755" s="421">
        <f t="shared" si="41"/>
        <v>8766.4500000000007</v>
      </c>
    </row>
    <row r="756" spans="1:7">
      <c r="A756" s="282"/>
      <c r="B756" s="303" t="s">
        <v>461</v>
      </c>
      <c r="C756" s="308" t="s">
        <v>1002</v>
      </c>
      <c r="D756" s="228">
        <v>8470</v>
      </c>
      <c r="E756" s="290" t="s">
        <v>1870</v>
      </c>
      <c r="F756" s="409">
        <f t="shared" si="44"/>
        <v>8470</v>
      </c>
      <c r="G756" s="421">
        <f t="shared" si="41"/>
        <v>8766.4500000000007</v>
      </c>
    </row>
    <row r="757" spans="1:7">
      <c r="A757" s="282"/>
      <c r="B757" s="303" t="s">
        <v>3087</v>
      </c>
      <c r="C757" s="308" t="s">
        <v>1002</v>
      </c>
      <c r="D757" s="228">
        <v>8470</v>
      </c>
      <c r="E757" s="290" t="s">
        <v>1870</v>
      </c>
      <c r="F757" s="409">
        <f t="shared" si="44"/>
        <v>8470</v>
      </c>
      <c r="G757" s="421">
        <f t="shared" si="41"/>
        <v>8766.4500000000007</v>
      </c>
    </row>
    <row r="758" spans="1:7" ht="32.25">
      <c r="A758" s="282"/>
      <c r="B758" s="303" t="s">
        <v>466</v>
      </c>
      <c r="C758" s="308" t="s">
        <v>1002</v>
      </c>
      <c r="D758" s="228">
        <v>8470</v>
      </c>
      <c r="E758" s="290" t="s">
        <v>1870</v>
      </c>
      <c r="F758" s="409">
        <f t="shared" si="44"/>
        <v>8470</v>
      </c>
      <c r="G758" s="421">
        <f t="shared" si="41"/>
        <v>8766.4500000000007</v>
      </c>
    </row>
    <row r="759" spans="1:7">
      <c r="A759" s="282"/>
      <c r="B759" s="303" t="s">
        <v>467</v>
      </c>
      <c r="C759" s="308" t="s">
        <v>1002</v>
      </c>
      <c r="D759" s="228">
        <v>8470</v>
      </c>
      <c r="E759" s="290" t="s">
        <v>1870</v>
      </c>
      <c r="F759" s="409">
        <f t="shared" si="44"/>
        <v>8470</v>
      </c>
      <c r="G759" s="421">
        <f t="shared" si="41"/>
        <v>8766.4500000000007</v>
      </c>
    </row>
    <row r="760" spans="1:7">
      <c r="A760" s="282"/>
      <c r="B760" s="333" t="s">
        <v>3185</v>
      </c>
      <c r="C760" s="308"/>
      <c r="D760" s="228"/>
      <c r="E760" s="285"/>
      <c r="F760" s="393"/>
      <c r="G760" s="421">
        <f t="shared" si="41"/>
        <v>0</v>
      </c>
    </row>
    <row r="761" spans="1:7">
      <c r="A761" s="282"/>
      <c r="B761" s="303" t="s">
        <v>1700</v>
      </c>
      <c r="C761" s="308" t="s">
        <v>3178</v>
      </c>
      <c r="D761" s="228">
        <v>10200</v>
      </c>
      <c r="E761" s="290" t="s">
        <v>1870</v>
      </c>
      <c r="F761" s="409">
        <f t="shared" ref="F761:F768" si="45">D761</f>
        <v>10200</v>
      </c>
      <c r="G761" s="421">
        <f t="shared" si="41"/>
        <v>10557</v>
      </c>
    </row>
    <row r="762" spans="1:7">
      <c r="A762" s="282"/>
      <c r="B762" s="303" t="s">
        <v>3084</v>
      </c>
      <c r="C762" s="308" t="s">
        <v>1002</v>
      </c>
      <c r="D762" s="228">
        <v>10200</v>
      </c>
      <c r="E762" s="290" t="s">
        <v>1870</v>
      </c>
      <c r="F762" s="409">
        <f t="shared" si="45"/>
        <v>10200</v>
      </c>
      <c r="G762" s="421">
        <f t="shared" si="41"/>
        <v>10557</v>
      </c>
    </row>
    <row r="763" spans="1:7">
      <c r="A763" s="282"/>
      <c r="B763" s="303" t="s">
        <v>3085</v>
      </c>
      <c r="C763" s="308" t="s">
        <v>1002</v>
      </c>
      <c r="D763" s="228">
        <v>10200</v>
      </c>
      <c r="E763" s="290" t="s">
        <v>1870</v>
      </c>
      <c r="F763" s="409">
        <f t="shared" si="45"/>
        <v>10200</v>
      </c>
      <c r="G763" s="421">
        <f t="shared" si="41"/>
        <v>10557</v>
      </c>
    </row>
    <row r="764" spans="1:7">
      <c r="A764" s="282"/>
      <c r="B764" s="303" t="s">
        <v>3086</v>
      </c>
      <c r="C764" s="308" t="s">
        <v>1002</v>
      </c>
      <c r="D764" s="228">
        <v>10200</v>
      </c>
      <c r="E764" s="290" t="s">
        <v>1870</v>
      </c>
      <c r="F764" s="409">
        <f t="shared" si="45"/>
        <v>10200</v>
      </c>
      <c r="G764" s="421">
        <f t="shared" si="41"/>
        <v>10557</v>
      </c>
    </row>
    <row r="765" spans="1:7">
      <c r="A765" s="282"/>
      <c r="B765" s="303" t="s">
        <v>461</v>
      </c>
      <c r="C765" s="308" t="s">
        <v>1002</v>
      </c>
      <c r="D765" s="228">
        <v>10200</v>
      </c>
      <c r="E765" s="290" t="s">
        <v>1870</v>
      </c>
      <c r="F765" s="409">
        <f t="shared" si="45"/>
        <v>10200</v>
      </c>
      <c r="G765" s="421">
        <f t="shared" si="41"/>
        <v>10557</v>
      </c>
    </row>
    <row r="766" spans="1:7">
      <c r="A766" s="282"/>
      <c r="B766" s="303" t="s">
        <v>3087</v>
      </c>
      <c r="C766" s="308" t="s">
        <v>1002</v>
      </c>
      <c r="D766" s="228">
        <v>10200</v>
      </c>
      <c r="E766" s="290" t="s">
        <v>1870</v>
      </c>
      <c r="F766" s="409">
        <f t="shared" si="45"/>
        <v>10200</v>
      </c>
      <c r="G766" s="421">
        <f t="shared" si="41"/>
        <v>10557</v>
      </c>
    </row>
    <row r="767" spans="1:7" ht="32.25">
      <c r="A767" s="282"/>
      <c r="B767" s="303" t="s">
        <v>466</v>
      </c>
      <c r="C767" s="308" t="s">
        <v>1002</v>
      </c>
      <c r="D767" s="228">
        <v>10200</v>
      </c>
      <c r="E767" s="290" t="s">
        <v>1870</v>
      </c>
      <c r="F767" s="409">
        <f t="shared" si="45"/>
        <v>10200</v>
      </c>
      <c r="G767" s="421">
        <f t="shared" si="41"/>
        <v>10557</v>
      </c>
    </row>
    <row r="768" spans="1:7">
      <c r="A768" s="282"/>
      <c r="B768" s="303" t="s">
        <v>467</v>
      </c>
      <c r="C768" s="308" t="s">
        <v>1002</v>
      </c>
      <c r="D768" s="228">
        <v>10200</v>
      </c>
      <c r="E768" s="290" t="s">
        <v>1870</v>
      </c>
      <c r="F768" s="409">
        <f t="shared" si="45"/>
        <v>10200</v>
      </c>
      <c r="G768" s="421">
        <f t="shared" si="41"/>
        <v>10557</v>
      </c>
    </row>
    <row r="769" spans="1:7" ht="105" customHeight="1">
      <c r="A769" s="282"/>
      <c r="B769" s="348" t="s">
        <v>468</v>
      </c>
      <c r="C769" s="308"/>
      <c r="D769" s="228"/>
      <c r="E769" s="285"/>
      <c r="F769" s="393"/>
      <c r="G769" s="421">
        <f t="shared" si="41"/>
        <v>0</v>
      </c>
    </row>
    <row r="770" spans="1:7">
      <c r="A770" s="282"/>
      <c r="B770" s="333" t="s">
        <v>3176</v>
      </c>
      <c r="C770" s="308"/>
      <c r="D770" s="228"/>
      <c r="E770" s="285"/>
      <c r="F770" s="393"/>
      <c r="G770" s="421">
        <f t="shared" si="41"/>
        <v>0</v>
      </c>
    </row>
    <row r="771" spans="1:7">
      <c r="A771" s="282"/>
      <c r="B771" s="303" t="s">
        <v>469</v>
      </c>
      <c r="C771" s="308" t="s">
        <v>3178</v>
      </c>
      <c r="D771" s="228">
        <v>8750</v>
      </c>
      <c r="E771" s="290" t="s">
        <v>1870</v>
      </c>
      <c r="F771" s="409">
        <f t="shared" ref="F771:F791" si="46">D771</f>
        <v>8750</v>
      </c>
      <c r="G771" s="421">
        <f t="shared" si="41"/>
        <v>9056.25</v>
      </c>
    </row>
    <row r="772" spans="1:7">
      <c r="A772" s="282"/>
      <c r="B772" s="303" t="s">
        <v>2217</v>
      </c>
      <c r="C772" s="308" t="s">
        <v>1002</v>
      </c>
      <c r="D772" s="228">
        <v>8750</v>
      </c>
      <c r="E772" s="290" t="s">
        <v>1870</v>
      </c>
      <c r="F772" s="409">
        <f t="shared" si="46"/>
        <v>8750</v>
      </c>
      <c r="G772" s="421">
        <f t="shared" si="41"/>
        <v>9056.25</v>
      </c>
    </row>
    <row r="773" spans="1:7" ht="32.25">
      <c r="A773" s="282"/>
      <c r="B773" s="303" t="s">
        <v>2218</v>
      </c>
      <c r="C773" s="308" t="s">
        <v>1002</v>
      </c>
      <c r="D773" s="228">
        <v>8750</v>
      </c>
      <c r="E773" s="290" t="s">
        <v>1870</v>
      </c>
      <c r="F773" s="409">
        <f t="shared" si="46"/>
        <v>8750</v>
      </c>
      <c r="G773" s="421">
        <f t="shared" si="41"/>
        <v>9056.25</v>
      </c>
    </row>
    <row r="774" spans="1:7">
      <c r="A774" s="282"/>
      <c r="B774" s="303" t="s">
        <v>2219</v>
      </c>
      <c r="C774" s="308" t="s">
        <v>1002</v>
      </c>
      <c r="D774" s="228">
        <v>8750</v>
      </c>
      <c r="E774" s="290" t="s">
        <v>1870</v>
      </c>
      <c r="F774" s="409">
        <f t="shared" si="46"/>
        <v>8750</v>
      </c>
      <c r="G774" s="421">
        <f t="shared" si="41"/>
        <v>9056.25</v>
      </c>
    </row>
    <row r="775" spans="1:7">
      <c r="A775" s="282"/>
      <c r="B775" s="303" t="s">
        <v>2220</v>
      </c>
      <c r="C775" s="308" t="s">
        <v>1002</v>
      </c>
      <c r="D775" s="228">
        <v>8750</v>
      </c>
      <c r="E775" s="290" t="s">
        <v>1870</v>
      </c>
      <c r="F775" s="409">
        <f t="shared" si="46"/>
        <v>8750</v>
      </c>
      <c r="G775" s="421">
        <f t="shared" si="41"/>
        <v>9056.25</v>
      </c>
    </row>
    <row r="776" spans="1:7" ht="32.25">
      <c r="A776" s="282"/>
      <c r="B776" s="303" t="s">
        <v>2221</v>
      </c>
      <c r="C776" s="308" t="s">
        <v>1002</v>
      </c>
      <c r="D776" s="228">
        <v>8750</v>
      </c>
      <c r="E776" s="290" t="s">
        <v>1870</v>
      </c>
      <c r="F776" s="409">
        <f t="shared" si="46"/>
        <v>8750</v>
      </c>
      <c r="G776" s="421">
        <f t="shared" si="41"/>
        <v>9056.25</v>
      </c>
    </row>
    <row r="777" spans="1:7">
      <c r="A777" s="282"/>
      <c r="B777" s="303" t="s">
        <v>2222</v>
      </c>
      <c r="C777" s="308" t="s">
        <v>1002</v>
      </c>
      <c r="D777" s="228">
        <v>8750</v>
      </c>
      <c r="E777" s="290" t="s">
        <v>1870</v>
      </c>
      <c r="F777" s="409">
        <f t="shared" si="46"/>
        <v>8750</v>
      </c>
      <c r="G777" s="421">
        <f t="shared" si="41"/>
        <v>9056.25</v>
      </c>
    </row>
    <row r="778" spans="1:7" ht="32.25">
      <c r="A778" s="282"/>
      <c r="B778" s="303" t="s">
        <v>1703</v>
      </c>
      <c r="C778" s="308" t="s">
        <v>1002</v>
      </c>
      <c r="D778" s="228">
        <v>8750</v>
      </c>
      <c r="E778" s="290" t="s">
        <v>1870</v>
      </c>
      <c r="F778" s="409">
        <f t="shared" si="46"/>
        <v>8750</v>
      </c>
      <c r="G778" s="421">
        <f t="shared" si="41"/>
        <v>9056.25</v>
      </c>
    </row>
    <row r="779" spans="1:7">
      <c r="A779" s="282"/>
      <c r="B779" s="303" t="s">
        <v>1704</v>
      </c>
      <c r="C779" s="308" t="s">
        <v>1002</v>
      </c>
      <c r="D779" s="228">
        <v>8750</v>
      </c>
      <c r="E779" s="290" t="s">
        <v>1870</v>
      </c>
      <c r="F779" s="409">
        <f t="shared" si="46"/>
        <v>8750</v>
      </c>
      <c r="G779" s="421">
        <f t="shared" si="41"/>
        <v>9056.25</v>
      </c>
    </row>
    <row r="780" spans="1:7" ht="32.25">
      <c r="A780" s="282"/>
      <c r="B780" s="303" t="s">
        <v>1705</v>
      </c>
      <c r="C780" s="308" t="s">
        <v>1002</v>
      </c>
      <c r="D780" s="228">
        <v>8750</v>
      </c>
      <c r="E780" s="290" t="s">
        <v>1870</v>
      </c>
      <c r="F780" s="409">
        <f t="shared" si="46"/>
        <v>8750</v>
      </c>
      <c r="G780" s="421">
        <f t="shared" si="41"/>
        <v>9056.25</v>
      </c>
    </row>
    <row r="781" spans="1:7">
      <c r="A781" s="282"/>
      <c r="B781" s="333" t="s">
        <v>1706</v>
      </c>
      <c r="C781" s="308"/>
      <c r="D781" s="228"/>
      <c r="E781" s="285"/>
      <c r="F781" s="409"/>
      <c r="G781" s="421">
        <f t="shared" ref="G781:G844" si="47">FLOOR(F781*1.035,0.01)</f>
        <v>0</v>
      </c>
    </row>
    <row r="782" spans="1:7">
      <c r="A782" s="282"/>
      <c r="B782" s="303" t="s">
        <v>469</v>
      </c>
      <c r="C782" s="308" t="s">
        <v>3178</v>
      </c>
      <c r="D782" s="228">
        <v>10835</v>
      </c>
      <c r="E782" s="290" t="s">
        <v>1870</v>
      </c>
      <c r="F782" s="409">
        <f t="shared" si="46"/>
        <v>10835</v>
      </c>
      <c r="G782" s="421">
        <f t="shared" si="47"/>
        <v>11214.22</v>
      </c>
    </row>
    <row r="783" spans="1:7">
      <c r="A783" s="282"/>
      <c r="B783" s="303" t="s">
        <v>2217</v>
      </c>
      <c r="C783" s="308" t="s">
        <v>1002</v>
      </c>
      <c r="D783" s="228">
        <v>10835</v>
      </c>
      <c r="E783" s="290" t="s">
        <v>1870</v>
      </c>
      <c r="F783" s="409">
        <f t="shared" si="46"/>
        <v>10835</v>
      </c>
      <c r="G783" s="421">
        <f t="shared" si="47"/>
        <v>11214.22</v>
      </c>
    </row>
    <row r="784" spans="1:7" ht="32.25">
      <c r="A784" s="282"/>
      <c r="B784" s="303" t="s">
        <v>2218</v>
      </c>
      <c r="C784" s="308" t="s">
        <v>1002</v>
      </c>
      <c r="D784" s="228">
        <v>10835</v>
      </c>
      <c r="E784" s="290" t="s">
        <v>1870</v>
      </c>
      <c r="F784" s="409">
        <f t="shared" si="46"/>
        <v>10835</v>
      </c>
      <c r="G784" s="421">
        <f t="shared" si="47"/>
        <v>11214.22</v>
      </c>
    </row>
    <row r="785" spans="1:7">
      <c r="A785" s="282"/>
      <c r="B785" s="303" t="s">
        <v>2219</v>
      </c>
      <c r="C785" s="308" t="s">
        <v>1002</v>
      </c>
      <c r="D785" s="228">
        <v>10835</v>
      </c>
      <c r="E785" s="290" t="s">
        <v>1870</v>
      </c>
      <c r="F785" s="409">
        <f t="shared" si="46"/>
        <v>10835</v>
      </c>
      <c r="G785" s="421">
        <f t="shared" si="47"/>
        <v>11214.22</v>
      </c>
    </row>
    <row r="786" spans="1:7">
      <c r="A786" s="282"/>
      <c r="B786" s="303" t="s">
        <v>2220</v>
      </c>
      <c r="C786" s="308" t="s">
        <v>1002</v>
      </c>
      <c r="D786" s="228">
        <v>10835</v>
      </c>
      <c r="E786" s="290" t="s">
        <v>1870</v>
      </c>
      <c r="F786" s="409">
        <f t="shared" si="46"/>
        <v>10835</v>
      </c>
      <c r="G786" s="421">
        <f t="shared" si="47"/>
        <v>11214.22</v>
      </c>
    </row>
    <row r="787" spans="1:7" ht="32.25">
      <c r="A787" s="282"/>
      <c r="B787" s="303" t="s">
        <v>2221</v>
      </c>
      <c r="C787" s="308" t="s">
        <v>1002</v>
      </c>
      <c r="D787" s="228">
        <v>10835</v>
      </c>
      <c r="E787" s="290" t="s">
        <v>1870</v>
      </c>
      <c r="F787" s="409">
        <f t="shared" si="46"/>
        <v>10835</v>
      </c>
      <c r="G787" s="421">
        <f t="shared" si="47"/>
        <v>11214.22</v>
      </c>
    </row>
    <row r="788" spans="1:7">
      <c r="A788" s="282"/>
      <c r="B788" s="303" t="s">
        <v>2222</v>
      </c>
      <c r="C788" s="308" t="s">
        <v>1002</v>
      </c>
      <c r="D788" s="228">
        <v>10835</v>
      </c>
      <c r="E788" s="290" t="s">
        <v>1870</v>
      </c>
      <c r="F788" s="409">
        <f t="shared" si="46"/>
        <v>10835</v>
      </c>
      <c r="G788" s="421">
        <f t="shared" si="47"/>
        <v>11214.22</v>
      </c>
    </row>
    <row r="789" spans="1:7" ht="32.25">
      <c r="A789" s="282"/>
      <c r="B789" s="303" t="s">
        <v>1703</v>
      </c>
      <c r="C789" s="308" t="s">
        <v>1002</v>
      </c>
      <c r="D789" s="228">
        <v>10835</v>
      </c>
      <c r="E789" s="290" t="s">
        <v>1870</v>
      </c>
      <c r="F789" s="409">
        <f t="shared" si="46"/>
        <v>10835</v>
      </c>
      <c r="G789" s="421">
        <f t="shared" si="47"/>
        <v>11214.22</v>
      </c>
    </row>
    <row r="790" spans="1:7">
      <c r="A790" s="282"/>
      <c r="B790" s="303" t="s">
        <v>1704</v>
      </c>
      <c r="C790" s="308" t="s">
        <v>1002</v>
      </c>
      <c r="D790" s="228">
        <v>10835</v>
      </c>
      <c r="E790" s="290" t="s">
        <v>1870</v>
      </c>
      <c r="F790" s="409">
        <f t="shared" si="46"/>
        <v>10835</v>
      </c>
      <c r="G790" s="421">
        <f t="shared" si="47"/>
        <v>11214.22</v>
      </c>
    </row>
    <row r="791" spans="1:7" ht="32.25">
      <c r="A791" s="282"/>
      <c r="B791" s="303" t="s">
        <v>1705</v>
      </c>
      <c r="C791" s="308" t="s">
        <v>1002</v>
      </c>
      <c r="D791" s="228">
        <v>10835</v>
      </c>
      <c r="E791" s="290" t="s">
        <v>1870</v>
      </c>
      <c r="F791" s="409">
        <f t="shared" si="46"/>
        <v>10835</v>
      </c>
      <c r="G791" s="421">
        <f t="shared" si="47"/>
        <v>11214.22</v>
      </c>
    </row>
    <row r="792" spans="1:7" ht="105.75" customHeight="1">
      <c r="A792" s="282"/>
      <c r="B792" s="348" t="s">
        <v>1292</v>
      </c>
      <c r="C792" s="308"/>
      <c r="D792" s="228"/>
      <c r="E792" s="285"/>
      <c r="F792" s="409"/>
      <c r="G792" s="421">
        <f t="shared" si="47"/>
        <v>0</v>
      </c>
    </row>
    <row r="793" spans="1:7">
      <c r="A793" s="282"/>
      <c r="B793" s="333" t="s">
        <v>3176</v>
      </c>
      <c r="C793" s="308"/>
      <c r="D793" s="228"/>
      <c r="E793" s="285"/>
      <c r="F793" s="409"/>
      <c r="G793" s="421">
        <f t="shared" si="47"/>
        <v>0</v>
      </c>
    </row>
    <row r="794" spans="1:7">
      <c r="A794" s="282"/>
      <c r="B794" s="303" t="s">
        <v>1293</v>
      </c>
      <c r="C794" s="308" t="s">
        <v>3178</v>
      </c>
      <c r="D794" s="228">
        <v>7855</v>
      </c>
      <c r="E794" s="290" t="s">
        <v>1870</v>
      </c>
      <c r="F794" s="409">
        <f>D794</f>
        <v>7855</v>
      </c>
      <c r="G794" s="421">
        <f t="shared" si="47"/>
        <v>8129.92</v>
      </c>
    </row>
    <row r="795" spans="1:7">
      <c r="A795" s="282"/>
      <c r="B795" s="303" t="s">
        <v>1294</v>
      </c>
      <c r="C795" s="308" t="s">
        <v>1002</v>
      </c>
      <c r="D795" s="228">
        <v>7855</v>
      </c>
      <c r="E795" s="290" t="s">
        <v>1870</v>
      </c>
      <c r="F795" s="409">
        <f>D795</f>
        <v>7855</v>
      </c>
      <c r="G795" s="421">
        <f t="shared" si="47"/>
        <v>8129.92</v>
      </c>
    </row>
    <row r="796" spans="1:7">
      <c r="A796" s="282"/>
      <c r="B796" s="303" t="s">
        <v>1295</v>
      </c>
      <c r="C796" s="308" t="s">
        <v>1002</v>
      </c>
      <c r="D796" s="228">
        <v>7855</v>
      </c>
      <c r="E796" s="290" t="s">
        <v>1870</v>
      </c>
      <c r="F796" s="409">
        <f>D796</f>
        <v>7855</v>
      </c>
      <c r="G796" s="421">
        <f t="shared" si="47"/>
        <v>8129.92</v>
      </c>
    </row>
    <row r="797" spans="1:7">
      <c r="A797" s="282"/>
      <c r="B797" s="303" t="s">
        <v>1296</v>
      </c>
      <c r="C797" s="308" t="s">
        <v>1002</v>
      </c>
      <c r="D797" s="228">
        <v>7855</v>
      </c>
      <c r="E797" s="290" t="s">
        <v>1870</v>
      </c>
      <c r="F797" s="409">
        <f>D797</f>
        <v>7855</v>
      </c>
      <c r="G797" s="421">
        <f t="shared" si="47"/>
        <v>8129.92</v>
      </c>
    </row>
    <row r="798" spans="1:7">
      <c r="A798" s="282"/>
      <c r="B798" s="333" t="s">
        <v>3185</v>
      </c>
      <c r="C798" s="308"/>
      <c r="D798" s="228"/>
      <c r="E798" s="285"/>
      <c r="F798" s="409"/>
      <c r="G798" s="421">
        <f t="shared" si="47"/>
        <v>0</v>
      </c>
    </row>
    <row r="799" spans="1:7">
      <c r="A799" s="282"/>
      <c r="B799" s="303" t="s">
        <v>1293</v>
      </c>
      <c r="C799" s="308" t="s">
        <v>3178</v>
      </c>
      <c r="D799" s="228">
        <v>9015</v>
      </c>
      <c r="E799" s="290" t="s">
        <v>1870</v>
      </c>
      <c r="F799" s="409">
        <f>D799</f>
        <v>9015</v>
      </c>
      <c r="G799" s="421">
        <f t="shared" si="47"/>
        <v>9330.52</v>
      </c>
    </row>
    <row r="800" spans="1:7">
      <c r="A800" s="282"/>
      <c r="B800" s="303" t="s">
        <v>1294</v>
      </c>
      <c r="C800" s="308" t="s">
        <v>1002</v>
      </c>
      <c r="D800" s="228">
        <v>9015</v>
      </c>
      <c r="E800" s="290" t="s">
        <v>1870</v>
      </c>
      <c r="F800" s="409">
        <f>D800</f>
        <v>9015</v>
      </c>
      <c r="G800" s="421">
        <f t="shared" si="47"/>
        <v>9330.52</v>
      </c>
    </row>
    <row r="801" spans="1:7">
      <c r="A801" s="282"/>
      <c r="B801" s="303" t="s">
        <v>1295</v>
      </c>
      <c r="C801" s="308" t="s">
        <v>1002</v>
      </c>
      <c r="D801" s="228">
        <v>9015</v>
      </c>
      <c r="E801" s="290" t="s">
        <v>1870</v>
      </c>
      <c r="F801" s="409">
        <f>D801</f>
        <v>9015</v>
      </c>
      <c r="G801" s="421">
        <f t="shared" si="47"/>
        <v>9330.52</v>
      </c>
    </row>
    <row r="802" spans="1:7">
      <c r="A802" s="282"/>
      <c r="B802" s="303" t="s">
        <v>1296</v>
      </c>
      <c r="C802" s="308" t="s">
        <v>1002</v>
      </c>
      <c r="D802" s="228">
        <v>9015</v>
      </c>
      <c r="E802" s="290" t="s">
        <v>1870</v>
      </c>
      <c r="F802" s="409">
        <f>D802</f>
        <v>9015</v>
      </c>
      <c r="G802" s="421">
        <f t="shared" si="47"/>
        <v>9330.52</v>
      </c>
    </row>
    <row r="803" spans="1:7" ht="54" customHeight="1">
      <c r="A803" s="282"/>
      <c r="B803" s="348" t="s">
        <v>2198</v>
      </c>
      <c r="C803" s="290"/>
      <c r="D803" s="228"/>
      <c r="E803" s="285"/>
      <c r="F803" s="409"/>
      <c r="G803" s="421">
        <f t="shared" si="47"/>
        <v>0</v>
      </c>
    </row>
    <row r="804" spans="1:7">
      <c r="A804" s="282"/>
      <c r="B804" s="333" t="s">
        <v>3176</v>
      </c>
      <c r="C804" s="290"/>
      <c r="D804" s="228"/>
      <c r="E804" s="285"/>
      <c r="F804" s="409"/>
      <c r="G804" s="421">
        <f t="shared" si="47"/>
        <v>0</v>
      </c>
    </row>
    <row r="805" spans="1:7">
      <c r="A805" s="282"/>
      <c r="B805" s="348" t="s">
        <v>2199</v>
      </c>
      <c r="C805" s="308" t="s">
        <v>3178</v>
      </c>
      <c r="D805" s="228">
        <v>5510</v>
      </c>
      <c r="E805" s="290" t="s">
        <v>1870</v>
      </c>
      <c r="F805" s="409">
        <f>D805</f>
        <v>5510</v>
      </c>
      <c r="G805" s="421">
        <f t="shared" si="47"/>
        <v>5702.85</v>
      </c>
    </row>
    <row r="806" spans="1:7" ht="27">
      <c r="A806" s="282"/>
      <c r="B806" s="348" t="s">
        <v>2200</v>
      </c>
      <c r="C806" s="308" t="s">
        <v>1002</v>
      </c>
      <c r="D806" s="228">
        <v>5510</v>
      </c>
      <c r="E806" s="290" t="s">
        <v>1870</v>
      </c>
      <c r="F806" s="409">
        <f>D806</f>
        <v>5510</v>
      </c>
      <c r="G806" s="421">
        <f t="shared" si="47"/>
        <v>5702.85</v>
      </c>
    </row>
    <row r="807" spans="1:7" ht="27">
      <c r="A807" s="282"/>
      <c r="B807" s="348" t="s">
        <v>2201</v>
      </c>
      <c r="C807" s="308" t="s">
        <v>1002</v>
      </c>
      <c r="D807" s="228">
        <v>5510</v>
      </c>
      <c r="E807" s="290" t="s">
        <v>1870</v>
      </c>
      <c r="F807" s="409">
        <f>D807</f>
        <v>5510</v>
      </c>
      <c r="G807" s="421">
        <f t="shared" si="47"/>
        <v>5702.85</v>
      </c>
    </row>
    <row r="808" spans="1:7" ht="32.25">
      <c r="A808" s="282"/>
      <c r="B808" s="303" t="s">
        <v>2202</v>
      </c>
      <c r="C808" s="308" t="s">
        <v>1002</v>
      </c>
      <c r="D808" s="228">
        <v>5510</v>
      </c>
      <c r="E808" s="290" t="s">
        <v>1870</v>
      </c>
      <c r="F808" s="409">
        <f>D808</f>
        <v>5510</v>
      </c>
      <c r="G808" s="421">
        <f t="shared" si="47"/>
        <v>5702.85</v>
      </c>
    </row>
    <row r="809" spans="1:7" ht="95.25">
      <c r="A809" s="282"/>
      <c r="B809" s="349" t="s">
        <v>1398</v>
      </c>
      <c r="C809" s="350"/>
      <c r="D809" s="228"/>
      <c r="E809" s="285"/>
      <c r="F809" s="409"/>
      <c r="G809" s="421">
        <f t="shared" si="47"/>
        <v>0</v>
      </c>
    </row>
    <row r="810" spans="1:7" ht="27">
      <c r="A810" s="309"/>
      <c r="B810" s="318" t="s">
        <v>2203</v>
      </c>
      <c r="C810" s="296" t="s">
        <v>3178</v>
      </c>
      <c r="D810" s="228">
        <v>7203</v>
      </c>
      <c r="E810" s="290" t="s">
        <v>1870</v>
      </c>
      <c r="F810" s="409">
        <f t="shared" ref="F810:F821" si="48">D810</f>
        <v>7203</v>
      </c>
      <c r="G810" s="421">
        <f t="shared" si="47"/>
        <v>7455.1</v>
      </c>
    </row>
    <row r="811" spans="1:7" ht="27">
      <c r="A811" s="309"/>
      <c r="B811" s="318" t="s">
        <v>1785</v>
      </c>
      <c r="C811" s="296" t="s">
        <v>1002</v>
      </c>
      <c r="D811" s="228">
        <v>9895</v>
      </c>
      <c r="E811" s="290" t="s">
        <v>1870</v>
      </c>
      <c r="F811" s="409">
        <f t="shared" si="48"/>
        <v>9895</v>
      </c>
      <c r="G811" s="421">
        <f t="shared" si="47"/>
        <v>10241.32</v>
      </c>
    </row>
    <row r="812" spans="1:7" ht="39.75">
      <c r="A812" s="309"/>
      <c r="B812" s="318" t="s">
        <v>1786</v>
      </c>
      <c r="C812" s="296" t="s">
        <v>1002</v>
      </c>
      <c r="D812" s="228">
        <v>6705</v>
      </c>
      <c r="E812" s="290" t="s">
        <v>1870</v>
      </c>
      <c r="F812" s="409">
        <f t="shared" si="48"/>
        <v>6705</v>
      </c>
      <c r="G812" s="421">
        <f t="shared" si="47"/>
        <v>6939.67</v>
      </c>
    </row>
    <row r="813" spans="1:7" ht="33" customHeight="1">
      <c r="A813" s="309"/>
      <c r="B813" s="318" t="s">
        <v>1787</v>
      </c>
      <c r="C813" s="296" t="s">
        <v>1002</v>
      </c>
      <c r="D813" s="228">
        <v>6705</v>
      </c>
      <c r="E813" s="290" t="s">
        <v>1870</v>
      </c>
      <c r="F813" s="409">
        <f t="shared" si="48"/>
        <v>6705</v>
      </c>
      <c r="G813" s="421">
        <f t="shared" si="47"/>
        <v>6939.67</v>
      </c>
    </row>
    <row r="814" spans="1:7" ht="39.75">
      <c r="A814" s="309"/>
      <c r="B814" s="318" t="s">
        <v>2264</v>
      </c>
      <c r="C814" s="296" t="s">
        <v>1002</v>
      </c>
      <c r="D814" s="228">
        <v>6700</v>
      </c>
      <c r="E814" s="290" t="s">
        <v>1870</v>
      </c>
      <c r="F814" s="409">
        <f t="shared" si="48"/>
        <v>6700</v>
      </c>
      <c r="G814" s="421">
        <f t="shared" si="47"/>
        <v>6934.5</v>
      </c>
    </row>
    <row r="815" spans="1:7" ht="39.75">
      <c r="A815" s="309"/>
      <c r="B815" s="318" t="s">
        <v>2265</v>
      </c>
      <c r="C815" s="296" t="s">
        <v>1002</v>
      </c>
      <c r="D815" s="228">
        <v>7100</v>
      </c>
      <c r="E815" s="290" t="s">
        <v>1870</v>
      </c>
      <c r="F815" s="409">
        <f t="shared" si="48"/>
        <v>7100</v>
      </c>
      <c r="G815" s="421">
        <f t="shared" si="47"/>
        <v>7348.5</v>
      </c>
    </row>
    <row r="816" spans="1:7" ht="39.75">
      <c r="A816" s="309"/>
      <c r="B816" s="318" t="s">
        <v>2265</v>
      </c>
      <c r="C816" s="296" t="s">
        <v>1002</v>
      </c>
      <c r="D816" s="228">
        <v>6705</v>
      </c>
      <c r="E816" s="290" t="s">
        <v>1870</v>
      </c>
      <c r="F816" s="409">
        <f t="shared" si="48"/>
        <v>6705</v>
      </c>
      <c r="G816" s="421">
        <f t="shared" si="47"/>
        <v>6939.67</v>
      </c>
    </row>
    <row r="817" spans="1:7" ht="27">
      <c r="A817" s="309"/>
      <c r="B817" s="318" t="s">
        <v>2266</v>
      </c>
      <c r="C817" s="296" t="s">
        <v>1002</v>
      </c>
      <c r="D817" s="228">
        <v>6315</v>
      </c>
      <c r="E817" s="290" t="s">
        <v>1870</v>
      </c>
      <c r="F817" s="409">
        <f t="shared" si="48"/>
        <v>6315</v>
      </c>
      <c r="G817" s="421">
        <f t="shared" si="47"/>
        <v>6536.02</v>
      </c>
    </row>
    <row r="818" spans="1:7" ht="27">
      <c r="A818" s="309"/>
      <c r="B818" s="318" t="s">
        <v>2267</v>
      </c>
      <c r="C818" s="296" t="s">
        <v>1002</v>
      </c>
      <c r="D818" s="228">
        <v>6275</v>
      </c>
      <c r="E818" s="290" t="s">
        <v>1870</v>
      </c>
      <c r="F818" s="409">
        <f t="shared" si="48"/>
        <v>6275</v>
      </c>
      <c r="G818" s="421">
        <f t="shared" si="47"/>
        <v>6494.62</v>
      </c>
    </row>
    <row r="819" spans="1:7" ht="27">
      <c r="A819" s="309"/>
      <c r="B819" s="318" t="s">
        <v>2268</v>
      </c>
      <c r="C819" s="296" t="s">
        <v>1002</v>
      </c>
      <c r="D819" s="228">
        <v>6575</v>
      </c>
      <c r="E819" s="290" t="s">
        <v>1870</v>
      </c>
      <c r="F819" s="409">
        <f t="shared" si="48"/>
        <v>6575</v>
      </c>
      <c r="G819" s="421">
        <f t="shared" si="47"/>
        <v>6805.12</v>
      </c>
    </row>
    <row r="820" spans="1:7" ht="27">
      <c r="A820" s="309"/>
      <c r="B820" s="318" t="s">
        <v>2269</v>
      </c>
      <c r="C820" s="296" t="s">
        <v>1002</v>
      </c>
      <c r="D820" s="228">
        <v>5663</v>
      </c>
      <c r="E820" s="290" t="s">
        <v>1870</v>
      </c>
      <c r="F820" s="409">
        <f t="shared" si="48"/>
        <v>5663</v>
      </c>
      <c r="G820" s="421">
        <f t="shared" si="47"/>
        <v>5861.2</v>
      </c>
    </row>
    <row r="821" spans="1:7" ht="27">
      <c r="A821" s="309"/>
      <c r="B821" s="318" t="s">
        <v>2270</v>
      </c>
      <c r="C821" s="296" t="s">
        <v>1002</v>
      </c>
      <c r="D821" s="228">
        <v>8050</v>
      </c>
      <c r="E821" s="290" t="s">
        <v>1870</v>
      </c>
      <c r="F821" s="409">
        <f t="shared" si="48"/>
        <v>8050</v>
      </c>
      <c r="G821" s="421">
        <f t="shared" si="47"/>
        <v>8331.75</v>
      </c>
    </row>
    <row r="822" spans="1:7" ht="36.75">
      <c r="A822" s="309">
        <v>48</v>
      </c>
      <c r="B822" s="351" t="s">
        <v>2271</v>
      </c>
      <c r="C822" s="290"/>
      <c r="D822" s="228"/>
      <c r="E822" s="285"/>
      <c r="F822" s="393"/>
      <c r="G822" s="421">
        <f t="shared" si="47"/>
        <v>0</v>
      </c>
    </row>
    <row r="823" spans="1:7" ht="32.25">
      <c r="A823" s="282"/>
      <c r="B823" s="303" t="s">
        <v>2272</v>
      </c>
      <c r="C823" s="290"/>
      <c r="D823" s="228"/>
      <c r="E823" s="285"/>
      <c r="F823" s="393"/>
      <c r="G823" s="421">
        <f t="shared" si="47"/>
        <v>0</v>
      </c>
    </row>
    <row r="824" spans="1:7" ht="19.5">
      <c r="A824" s="282"/>
      <c r="B824" s="303" t="s">
        <v>1399</v>
      </c>
      <c r="C824" s="290" t="s">
        <v>2973</v>
      </c>
      <c r="D824" s="228">
        <v>189.56</v>
      </c>
      <c r="E824" s="285"/>
      <c r="F824" s="393"/>
      <c r="G824" s="421">
        <f t="shared" si="47"/>
        <v>0</v>
      </c>
    </row>
    <row r="825" spans="1:7" ht="19.5">
      <c r="A825" s="282"/>
      <c r="B825" s="303" t="s">
        <v>1400</v>
      </c>
      <c r="C825" s="290" t="s">
        <v>1008</v>
      </c>
      <c r="D825" s="228"/>
      <c r="E825" s="285"/>
      <c r="F825" s="393"/>
      <c r="G825" s="421">
        <f t="shared" si="47"/>
        <v>0</v>
      </c>
    </row>
    <row r="826" spans="1:7" ht="19.5">
      <c r="A826" s="282"/>
      <c r="B826" s="303" t="s">
        <v>2296</v>
      </c>
      <c r="C826" s="290" t="s">
        <v>1008</v>
      </c>
      <c r="D826" s="228"/>
      <c r="E826" s="285"/>
      <c r="F826" s="393"/>
      <c r="G826" s="421">
        <f t="shared" si="47"/>
        <v>0</v>
      </c>
    </row>
    <row r="827" spans="1:7" ht="19.5">
      <c r="A827" s="282"/>
      <c r="B827" s="303" t="s">
        <v>2297</v>
      </c>
      <c r="C827" s="308" t="s">
        <v>1002</v>
      </c>
      <c r="D827" s="228"/>
      <c r="E827" s="285"/>
      <c r="F827" s="393"/>
      <c r="G827" s="421">
        <f t="shared" si="47"/>
        <v>0</v>
      </c>
    </row>
    <row r="828" spans="1:7" ht="32.25">
      <c r="A828" s="282"/>
      <c r="B828" s="303" t="s">
        <v>2273</v>
      </c>
      <c r="C828" s="308"/>
      <c r="D828" s="228"/>
      <c r="E828" s="285"/>
      <c r="F828" s="393"/>
      <c r="G828" s="421">
        <f t="shared" si="47"/>
        <v>0</v>
      </c>
    </row>
    <row r="829" spans="1:7" ht="19.5">
      <c r="A829" s="282"/>
      <c r="B829" s="303" t="s">
        <v>2298</v>
      </c>
      <c r="C829" s="290" t="s">
        <v>2973</v>
      </c>
      <c r="D829" s="228">
        <v>157.44</v>
      </c>
      <c r="E829" s="285"/>
      <c r="F829" s="393"/>
      <c r="G829" s="421">
        <f t="shared" si="47"/>
        <v>0</v>
      </c>
    </row>
    <row r="830" spans="1:7" ht="19.5">
      <c r="A830" s="282"/>
      <c r="B830" s="303" t="s">
        <v>2299</v>
      </c>
      <c r="C830" s="290" t="s">
        <v>1008</v>
      </c>
      <c r="D830" s="228"/>
      <c r="E830" s="285"/>
      <c r="F830" s="393"/>
      <c r="G830" s="421">
        <f t="shared" si="47"/>
        <v>0</v>
      </c>
    </row>
    <row r="831" spans="1:7" ht="19.5">
      <c r="A831" s="282"/>
      <c r="B831" s="303" t="s">
        <v>2961</v>
      </c>
      <c r="C831" s="308" t="s">
        <v>1002</v>
      </c>
      <c r="D831" s="228"/>
      <c r="E831" s="285"/>
      <c r="F831" s="393"/>
      <c r="G831" s="421">
        <f t="shared" si="47"/>
        <v>0</v>
      </c>
    </row>
    <row r="832" spans="1:7" ht="19.5">
      <c r="A832" s="282"/>
      <c r="B832" s="303" t="s">
        <v>2962</v>
      </c>
      <c r="C832" s="290" t="s">
        <v>1008</v>
      </c>
      <c r="D832" s="228"/>
      <c r="E832" s="285"/>
      <c r="F832" s="393"/>
      <c r="G832" s="421">
        <f t="shared" si="47"/>
        <v>0</v>
      </c>
    </row>
    <row r="833" spans="1:7" ht="32.25">
      <c r="A833" s="282"/>
      <c r="B833" s="303" t="s">
        <v>2477</v>
      </c>
      <c r="C833" s="290"/>
      <c r="D833" s="228"/>
      <c r="E833" s="285"/>
      <c r="F833" s="393"/>
      <c r="G833" s="421">
        <f t="shared" si="47"/>
        <v>0</v>
      </c>
    </row>
    <row r="834" spans="1:7" ht="19.5">
      <c r="A834" s="282"/>
      <c r="B834" s="303" t="s">
        <v>955</v>
      </c>
      <c r="C834" s="290" t="s">
        <v>976</v>
      </c>
      <c r="D834" s="228">
        <v>248.75</v>
      </c>
      <c r="E834" s="285"/>
      <c r="F834" s="393"/>
      <c r="G834" s="421">
        <f t="shared" si="47"/>
        <v>0</v>
      </c>
    </row>
    <row r="835" spans="1:7" ht="19.5">
      <c r="A835" s="282"/>
      <c r="B835" s="303" t="s">
        <v>853</v>
      </c>
      <c r="C835" s="290" t="s">
        <v>1008</v>
      </c>
      <c r="D835" s="228"/>
      <c r="E835" s="285"/>
      <c r="F835" s="393"/>
      <c r="G835" s="421">
        <f t="shared" si="47"/>
        <v>0</v>
      </c>
    </row>
    <row r="836" spans="1:7" ht="19.5">
      <c r="A836" s="282"/>
      <c r="B836" s="303" t="s">
        <v>854</v>
      </c>
      <c r="C836" s="308" t="s">
        <v>1002</v>
      </c>
      <c r="D836" s="228"/>
      <c r="E836" s="285"/>
      <c r="F836" s="393"/>
      <c r="G836" s="421">
        <f t="shared" si="47"/>
        <v>0</v>
      </c>
    </row>
    <row r="837" spans="1:7" ht="19.5">
      <c r="A837" s="282"/>
      <c r="B837" s="303" t="s">
        <v>855</v>
      </c>
      <c r="C837" s="290" t="s">
        <v>1008</v>
      </c>
      <c r="D837" s="228"/>
      <c r="E837" s="285"/>
      <c r="F837" s="393"/>
      <c r="G837" s="421">
        <f t="shared" si="47"/>
        <v>0</v>
      </c>
    </row>
    <row r="838" spans="1:7" ht="32.25">
      <c r="A838" s="282"/>
      <c r="B838" s="303" t="s">
        <v>2478</v>
      </c>
      <c r="C838" s="290"/>
      <c r="D838" s="228"/>
      <c r="E838" s="285"/>
      <c r="F838" s="393"/>
      <c r="G838" s="421">
        <f t="shared" si="47"/>
        <v>0</v>
      </c>
    </row>
    <row r="839" spans="1:7" ht="35.25">
      <c r="A839" s="282"/>
      <c r="B839" s="303" t="s">
        <v>856</v>
      </c>
      <c r="C839" s="290" t="s">
        <v>976</v>
      </c>
      <c r="D839" s="228"/>
      <c r="E839" s="285"/>
      <c r="F839" s="393"/>
      <c r="G839" s="421">
        <f t="shared" si="47"/>
        <v>0</v>
      </c>
    </row>
    <row r="840" spans="1:7" ht="19.5">
      <c r="A840" s="282"/>
      <c r="B840" s="303" t="s">
        <v>2299</v>
      </c>
      <c r="C840" s="308" t="s">
        <v>1002</v>
      </c>
      <c r="D840" s="228">
        <v>167.05</v>
      </c>
      <c r="E840" s="285"/>
      <c r="F840" s="393"/>
      <c r="G840" s="421">
        <f t="shared" si="47"/>
        <v>0</v>
      </c>
    </row>
    <row r="841" spans="1:7" ht="19.5">
      <c r="A841" s="282"/>
      <c r="B841" s="303" t="s">
        <v>2961</v>
      </c>
      <c r="C841" s="290" t="s">
        <v>1008</v>
      </c>
      <c r="D841" s="228"/>
      <c r="E841" s="285"/>
      <c r="F841" s="393"/>
      <c r="G841" s="421">
        <f t="shared" si="47"/>
        <v>0</v>
      </c>
    </row>
    <row r="842" spans="1:7" ht="19.5">
      <c r="A842" s="282"/>
      <c r="B842" s="303" t="s">
        <v>857</v>
      </c>
      <c r="C842" s="290" t="s">
        <v>1002</v>
      </c>
      <c r="D842" s="228"/>
      <c r="E842" s="285"/>
      <c r="F842" s="393"/>
      <c r="G842" s="421">
        <f t="shared" si="47"/>
        <v>0</v>
      </c>
    </row>
    <row r="843" spans="1:7" ht="48">
      <c r="A843" s="282"/>
      <c r="B843" s="303" t="s">
        <v>2622</v>
      </c>
      <c r="C843" s="290"/>
      <c r="D843" s="228"/>
      <c r="E843" s="285"/>
      <c r="F843" s="393"/>
      <c r="G843" s="421">
        <f t="shared" si="47"/>
        <v>0</v>
      </c>
    </row>
    <row r="844" spans="1:7" ht="32.25">
      <c r="A844" s="282"/>
      <c r="B844" s="303" t="s">
        <v>2623</v>
      </c>
      <c r="C844" s="290" t="s">
        <v>2973</v>
      </c>
      <c r="D844" s="228"/>
      <c r="E844" s="285"/>
      <c r="F844" s="393"/>
      <c r="G844" s="421">
        <f t="shared" si="47"/>
        <v>0</v>
      </c>
    </row>
    <row r="845" spans="1:7" ht="32.25">
      <c r="A845" s="282"/>
      <c r="B845" s="322" t="s">
        <v>2624</v>
      </c>
      <c r="C845" s="296"/>
      <c r="D845" s="228"/>
      <c r="E845" s="285"/>
      <c r="F845" s="393"/>
      <c r="G845" s="421">
        <f t="shared" ref="G845:G908" si="49">FLOOR(F845*1.035,0.01)</f>
        <v>0</v>
      </c>
    </row>
    <row r="846" spans="1:7">
      <c r="A846" s="282"/>
      <c r="B846" s="352" t="s">
        <v>2625</v>
      </c>
      <c r="C846" s="296" t="s">
        <v>2893</v>
      </c>
      <c r="D846" s="228">
        <v>248.75</v>
      </c>
      <c r="E846" s="290" t="s">
        <v>1870</v>
      </c>
      <c r="F846" s="393">
        <f>FLOOR(D846*10.76,0.01)</f>
        <v>2676.55</v>
      </c>
      <c r="G846" s="421">
        <f t="shared" si="49"/>
        <v>2770.2200000000003</v>
      </c>
    </row>
    <row r="847" spans="1:7">
      <c r="A847" s="282"/>
      <c r="B847" s="352" t="s">
        <v>2626</v>
      </c>
      <c r="C847" s="296" t="s">
        <v>2893</v>
      </c>
      <c r="D847" s="228">
        <v>189.56</v>
      </c>
      <c r="E847" s="290" t="s">
        <v>1870</v>
      </c>
      <c r="F847" s="393">
        <f>FLOOR(D847*10.76,0.01)</f>
        <v>2039.66</v>
      </c>
      <c r="G847" s="421">
        <f t="shared" si="49"/>
        <v>2111.04</v>
      </c>
    </row>
    <row r="848" spans="1:7">
      <c r="A848" s="282"/>
      <c r="B848" s="352" t="s">
        <v>2627</v>
      </c>
      <c r="C848" s="296" t="s">
        <v>2893</v>
      </c>
      <c r="D848" s="228">
        <v>157.44</v>
      </c>
      <c r="E848" s="290" t="s">
        <v>1870</v>
      </c>
      <c r="F848" s="393">
        <f>FLOOR(D848*10.76,0.01)</f>
        <v>1694.05</v>
      </c>
      <c r="G848" s="421">
        <f t="shared" si="49"/>
        <v>1753.3400000000001</v>
      </c>
    </row>
    <row r="849" spans="1:7" ht="48">
      <c r="A849" s="282"/>
      <c r="B849" s="322" t="s">
        <v>2628</v>
      </c>
      <c r="C849" s="296"/>
      <c r="D849" s="228"/>
      <c r="E849" s="285"/>
      <c r="F849" s="393"/>
      <c r="G849" s="421">
        <f t="shared" si="49"/>
        <v>0</v>
      </c>
    </row>
    <row r="850" spans="1:7">
      <c r="A850" s="282"/>
      <c r="B850" s="352" t="s">
        <v>2627</v>
      </c>
      <c r="C850" s="296" t="s">
        <v>2893</v>
      </c>
      <c r="D850" s="228">
        <v>167.05</v>
      </c>
      <c r="E850" s="290" t="s">
        <v>1870</v>
      </c>
      <c r="F850" s="393">
        <f>FLOOR(D850*10.76,0.01)</f>
        <v>1797.45</v>
      </c>
      <c r="G850" s="421">
        <f t="shared" si="49"/>
        <v>1860.3600000000001</v>
      </c>
    </row>
    <row r="851" spans="1:7" ht="48">
      <c r="A851" s="282"/>
      <c r="B851" s="322" t="s">
        <v>1973</v>
      </c>
      <c r="C851" s="296" t="s">
        <v>2893</v>
      </c>
      <c r="D851" s="228">
        <v>32</v>
      </c>
      <c r="E851" s="290" t="s">
        <v>1870</v>
      </c>
      <c r="F851" s="393">
        <f>FLOOR(D851*10.76,0.01)</f>
        <v>344.32</v>
      </c>
      <c r="G851" s="421">
        <f t="shared" si="49"/>
        <v>356.37</v>
      </c>
    </row>
    <row r="852" spans="1:7" ht="77.25">
      <c r="A852" s="309">
        <v>49</v>
      </c>
      <c r="B852" s="343" t="s">
        <v>2018</v>
      </c>
      <c r="C852" s="290"/>
      <c r="D852" s="228"/>
      <c r="E852" s="291"/>
      <c r="F852" s="392"/>
      <c r="G852" s="421"/>
    </row>
    <row r="853" spans="1:7" ht="66">
      <c r="A853" s="282"/>
      <c r="B853" s="353" t="s">
        <v>2649</v>
      </c>
      <c r="C853" s="290"/>
      <c r="D853" s="228"/>
      <c r="E853" s="291"/>
      <c r="F853" s="392"/>
      <c r="G853" s="421"/>
    </row>
    <row r="854" spans="1:7" ht="79.5">
      <c r="A854" s="282"/>
      <c r="B854" s="303" t="s">
        <v>2019</v>
      </c>
      <c r="C854" s="290" t="s">
        <v>2973</v>
      </c>
      <c r="D854" s="228">
        <v>47</v>
      </c>
      <c r="E854" s="290" t="s">
        <v>1870</v>
      </c>
      <c r="F854" s="393">
        <f t="shared" ref="F854:F860" si="50">FLOOR(D854*10.76,0.01)</f>
        <v>505.72</v>
      </c>
      <c r="G854" s="421">
        <f t="shared" si="49"/>
        <v>523.41999999999996</v>
      </c>
    </row>
    <row r="855" spans="1:7" ht="63.75">
      <c r="A855" s="282"/>
      <c r="B855" s="303" t="s">
        <v>2020</v>
      </c>
      <c r="C855" s="290" t="s">
        <v>2973</v>
      </c>
      <c r="D855" s="228">
        <v>51</v>
      </c>
      <c r="E855" s="290" t="s">
        <v>1870</v>
      </c>
      <c r="F855" s="393">
        <f t="shared" si="50"/>
        <v>548.76</v>
      </c>
      <c r="G855" s="421">
        <f t="shared" si="49"/>
        <v>567.96</v>
      </c>
    </row>
    <row r="856" spans="1:7" ht="63.75">
      <c r="A856" s="282"/>
      <c r="B856" s="303" t="s">
        <v>2021</v>
      </c>
      <c r="C856" s="290" t="s">
        <v>2973</v>
      </c>
      <c r="D856" s="228">
        <v>50</v>
      </c>
      <c r="E856" s="290" t="s">
        <v>1870</v>
      </c>
      <c r="F856" s="393">
        <f t="shared" si="50"/>
        <v>538</v>
      </c>
      <c r="G856" s="421">
        <f t="shared" si="49"/>
        <v>556.83000000000004</v>
      </c>
    </row>
    <row r="857" spans="1:7" ht="48">
      <c r="A857" s="282"/>
      <c r="B857" s="303" t="s">
        <v>2022</v>
      </c>
      <c r="C857" s="290" t="s">
        <v>2973</v>
      </c>
      <c r="D857" s="228">
        <v>51.25</v>
      </c>
      <c r="E857" s="290" t="s">
        <v>1870</v>
      </c>
      <c r="F857" s="393">
        <f t="shared" si="50"/>
        <v>551.45000000000005</v>
      </c>
      <c r="G857" s="421">
        <f t="shared" si="49"/>
        <v>570.75</v>
      </c>
    </row>
    <row r="858" spans="1:7" ht="63.75">
      <c r="A858" s="282"/>
      <c r="B858" s="303" t="s">
        <v>1352</v>
      </c>
      <c r="C858" s="290" t="s">
        <v>1353</v>
      </c>
      <c r="D858" s="228">
        <v>200</v>
      </c>
      <c r="E858" s="290" t="s">
        <v>1870</v>
      </c>
      <c r="F858" s="393">
        <f t="shared" si="50"/>
        <v>2152</v>
      </c>
      <c r="G858" s="421">
        <f t="shared" si="49"/>
        <v>2227.3200000000002</v>
      </c>
    </row>
    <row r="859" spans="1:7" ht="32.25">
      <c r="A859" s="282"/>
      <c r="B859" s="303" t="s">
        <v>2023</v>
      </c>
      <c r="C859" s="290" t="s">
        <v>1353</v>
      </c>
      <c r="D859" s="228">
        <v>400</v>
      </c>
      <c r="E859" s="290" t="s">
        <v>1870</v>
      </c>
      <c r="F859" s="393">
        <f t="shared" si="50"/>
        <v>4304</v>
      </c>
      <c r="G859" s="421">
        <f t="shared" si="49"/>
        <v>4454.6400000000003</v>
      </c>
    </row>
    <row r="860" spans="1:7" ht="79.5">
      <c r="A860" s="282"/>
      <c r="B860" s="303" t="s">
        <v>1016</v>
      </c>
      <c r="C860" s="290" t="s">
        <v>2973</v>
      </c>
      <c r="D860" s="228">
        <v>21</v>
      </c>
      <c r="E860" s="290" t="s">
        <v>1870</v>
      </c>
      <c r="F860" s="393">
        <f t="shared" si="50"/>
        <v>225.96</v>
      </c>
      <c r="G860" s="421">
        <f t="shared" si="49"/>
        <v>233.86</v>
      </c>
    </row>
    <row r="861" spans="1:7" ht="62.25">
      <c r="A861" s="309"/>
      <c r="B861" s="350" t="s">
        <v>2243</v>
      </c>
      <c r="C861" s="290" t="s">
        <v>1353</v>
      </c>
      <c r="D861" s="228">
        <v>1890</v>
      </c>
      <c r="E861" s="290" t="s">
        <v>978</v>
      </c>
      <c r="F861" s="393">
        <f>FLOOR(D861*3.28,0.01)</f>
        <v>6199.2</v>
      </c>
      <c r="G861" s="421">
        <f t="shared" si="49"/>
        <v>6416.17</v>
      </c>
    </row>
    <row r="862" spans="1:7" ht="22.5">
      <c r="A862" s="309"/>
      <c r="B862" s="303" t="s">
        <v>1354</v>
      </c>
      <c r="C862" s="290" t="s">
        <v>2973</v>
      </c>
      <c r="D862" s="228"/>
      <c r="E862" s="285"/>
      <c r="F862" s="392"/>
      <c r="G862" s="421">
        <f t="shared" si="49"/>
        <v>0</v>
      </c>
    </row>
    <row r="863" spans="1:7" ht="63.75">
      <c r="A863" s="309"/>
      <c r="B863" s="303" t="s">
        <v>1355</v>
      </c>
      <c r="C863" s="290" t="s">
        <v>2973</v>
      </c>
      <c r="D863" s="228">
        <v>340</v>
      </c>
      <c r="E863" s="290" t="s">
        <v>1870</v>
      </c>
      <c r="F863" s="393">
        <f>FLOOR(D863*10.76,0.01)</f>
        <v>3658.4</v>
      </c>
      <c r="G863" s="421">
        <f t="shared" si="49"/>
        <v>3786.44</v>
      </c>
    </row>
    <row r="864" spans="1:7" ht="48">
      <c r="A864" s="309"/>
      <c r="B864" s="303" t="s">
        <v>1080</v>
      </c>
      <c r="C864" s="290" t="s">
        <v>2973</v>
      </c>
      <c r="D864" s="228">
        <v>160</v>
      </c>
      <c r="E864" s="290" t="s">
        <v>1870</v>
      </c>
      <c r="F864" s="393">
        <f>FLOOR(D864*10.76,0.01)</f>
        <v>1721.6000000000001</v>
      </c>
      <c r="G864" s="421">
        <f t="shared" si="49"/>
        <v>1781.8500000000001</v>
      </c>
    </row>
    <row r="865" spans="1:7" ht="63.75">
      <c r="A865" s="309"/>
      <c r="B865" s="303" t="s">
        <v>2664</v>
      </c>
      <c r="C865" s="290" t="s">
        <v>2973</v>
      </c>
      <c r="D865" s="228">
        <v>134</v>
      </c>
      <c r="E865" s="290" t="s">
        <v>1870</v>
      </c>
      <c r="F865" s="393">
        <f>FLOOR(D865*10.76,0.01)</f>
        <v>1441.84</v>
      </c>
      <c r="G865" s="421">
        <f t="shared" si="49"/>
        <v>1492.3</v>
      </c>
    </row>
    <row r="866" spans="1:7">
      <c r="A866" s="309"/>
      <c r="B866" s="333" t="s">
        <v>2244</v>
      </c>
      <c r="C866" s="290" t="s">
        <v>1353</v>
      </c>
      <c r="D866" s="228"/>
      <c r="E866" s="290" t="s">
        <v>978</v>
      </c>
      <c r="F866" s="393">
        <f>FLOOR(D866*3.28,0.01)</f>
        <v>0</v>
      </c>
      <c r="G866" s="421">
        <f t="shared" si="49"/>
        <v>0</v>
      </c>
    </row>
    <row r="867" spans="1:7" ht="32.25">
      <c r="A867" s="309"/>
      <c r="B867" s="303" t="s">
        <v>1340</v>
      </c>
      <c r="C867" s="290" t="s">
        <v>1353</v>
      </c>
      <c r="D867" s="228">
        <v>120</v>
      </c>
      <c r="E867" s="285"/>
      <c r="F867" s="393"/>
      <c r="G867" s="421">
        <f t="shared" si="49"/>
        <v>0</v>
      </c>
    </row>
    <row r="868" spans="1:7" ht="34.5">
      <c r="A868" s="309"/>
      <c r="B868" s="303" t="s">
        <v>1341</v>
      </c>
      <c r="C868" s="290" t="s">
        <v>1353</v>
      </c>
      <c r="D868" s="228"/>
      <c r="E868" s="285"/>
      <c r="F868" s="392"/>
      <c r="G868" s="421">
        <f t="shared" si="49"/>
        <v>0</v>
      </c>
    </row>
    <row r="869" spans="1:7" ht="34.5">
      <c r="A869" s="309"/>
      <c r="B869" s="303" t="s">
        <v>2886</v>
      </c>
      <c r="C869" s="290" t="s">
        <v>2973</v>
      </c>
      <c r="D869" s="228"/>
      <c r="E869" s="285"/>
      <c r="F869" s="392"/>
      <c r="G869" s="421">
        <f t="shared" si="49"/>
        <v>0</v>
      </c>
    </row>
    <row r="870" spans="1:7" ht="48">
      <c r="A870" s="309"/>
      <c r="B870" s="303" t="s">
        <v>1462</v>
      </c>
      <c r="C870" s="290" t="s">
        <v>2973</v>
      </c>
      <c r="D870" s="228">
        <v>39</v>
      </c>
      <c r="E870" s="290" t="s">
        <v>1870</v>
      </c>
      <c r="F870" s="393">
        <f>FLOOR(D870*10.76,0.01)</f>
        <v>419.64</v>
      </c>
      <c r="G870" s="421">
        <f t="shared" si="49"/>
        <v>434.32</v>
      </c>
    </row>
    <row r="871" spans="1:7" ht="48">
      <c r="A871" s="309"/>
      <c r="B871" s="303" t="s">
        <v>1463</v>
      </c>
      <c r="C871" s="290" t="s">
        <v>2973</v>
      </c>
      <c r="D871" s="228">
        <v>39</v>
      </c>
      <c r="E871" s="290" t="s">
        <v>1870</v>
      </c>
      <c r="F871" s="393">
        <f>FLOOR(D871*10.76,0.01)</f>
        <v>419.64</v>
      </c>
      <c r="G871" s="421">
        <f t="shared" si="49"/>
        <v>434.32</v>
      </c>
    </row>
    <row r="872" spans="1:7" ht="95.25">
      <c r="A872" s="309"/>
      <c r="B872" s="303" t="s">
        <v>1464</v>
      </c>
      <c r="C872" s="290" t="s">
        <v>2973</v>
      </c>
      <c r="D872" s="228">
        <v>122</v>
      </c>
      <c r="E872" s="290" t="s">
        <v>1870</v>
      </c>
      <c r="F872" s="393">
        <f>FLOOR(D872*10.76,0.01)</f>
        <v>1312.72</v>
      </c>
      <c r="G872" s="421">
        <f t="shared" si="49"/>
        <v>1358.66</v>
      </c>
    </row>
    <row r="873" spans="1:7" ht="39.75">
      <c r="A873" s="309">
        <v>50</v>
      </c>
      <c r="B873" s="354" t="s">
        <v>2887</v>
      </c>
      <c r="C873" s="290"/>
      <c r="D873" s="228"/>
      <c r="E873" s="285"/>
      <c r="F873" s="392"/>
      <c r="G873" s="421">
        <f t="shared" si="49"/>
        <v>0</v>
      </c>
    </row>
    <row r="874" spans="1:7" ht="79.5">
      <c r="A874" s="309"/>
      <c r="B874" s="333" t="s">
        <v>1410</v>
      </c>
      <c r="C874" s="290" t="s">
        <v>2973</v>
      </c>
      <c r="D874" s="228"/>
      <c r="E874" s="290" t="s">
        <v>1870</v>
      </c>
      <c r="F874" s="393">
        <f>FLOOR(D874*10.76,0.01)</f>
        <v>0</v>
      </c>
      <c r="G874" s="421">
        <f t="shared" si="49"/>
        <v>0</v>
      </c>
    </row>
    <row r="875" spans="1:7" ht="79.5">
      <c r="A875" s="309"/>
      <c r="B875" s="333" t="s">
        <v>1411</v>
      </c>
      <c r="C875" s="290" t="s">
        <v>2973</v>
      </c>
      <c r="D875" s="228"/>
      <c r="E875" s="290" t="s">
        <v>1870</v>
      </c>
      <c r="F875" s="393">
        <f>FLOOR(D875*10.76,0.01)</f>
        <v>0</v>
      </c>
      <c r="G875" s="421">
        <f t="shared" si="49"/>
        <v>0</v>
      </c>
    </row>
    <row r="876" spans="1:7" ht="111">
      <c r="A876" s="309"/>
      <c r="B876" s="333" t="s">
        <v>1412</v>
      </c>
      <c r="C876" s="290" t="s">
        <v>2973</v>
      </c>
      <c r="D876" s="228"/>
      <c r="E876" s="290" t="s">
        <v>1870</v>
      </c>
      <c r="F876" s="393">
        <f>FLOOR(D876*10.76,0.01)</f>
        <v>0</v>
      </c>
      <c r="G876" s="421">
        <f t="shared" si="49"/>
        <v>0</v>
      </c>
    </row>
    <row r="877" spans="1:7" ht="95.25">
      <c r="A877" s="309"/>
      <c r="B877" s="303" t="s">
        <v>2108</v>
      </c>
      <c r="C877" s="290" t="s">
        <v>978</v>
      </c>
      <c r="D877" s="228"/>
      <c r="E877" s="290" t="s">
        <v>978</v>
      </c>
      <c r="F877" s="400">
        <f>D877</f>
        <v>0</v>
      </c>
      <c r="G877" s="421">
        <f t="shared" si="49"/>
        <v>0</v>
      </c>
    </row>
    <row r="878" spans="1:7" ht="51">
      <c r="A878" s="309"/>
      <c r="B878" s="355" t="s">
        <v>1413</v>
      </c>
      <c r="C878" s="290" t="s">
        <v>2748</v>
      </c>
      <c r="D878" s="228">
        <v>1450</v>
      </c>
      <c r="E878" s="290" t="s">
        <v>2748</v>
      </c>
      <c r="F878" s="400">
        <f>D878</f>
        <v>1450</v>
      </c>
      <c r="G878" s="421">
        <f t="shared" si="49"/>
        <v>1500.75</v>
      </c>
    </row>
    <row r="879" spans="1:7">
      <c r="A879" s="309"/>
      <c r="B879" s="355" t="s">
        <v>2437</v>
      </c>
      <c r="C879" s="290"/>
      <c r="D879" s="228"/>
      <c r="E879" s="285"/>
      <c r="F879" s="400"/>
      <c r="G879" s="421">
        <f t="shared" si="49"/>
        <v>0</v>
      </c>
    </row>
    <row r="880" spans="1:7" ht="32.25">
      <c r="A880" s="309"/>
      <c r="B880" s="303" t="s">
        <v>1939</v>
      </c>
      <c r="C880" s="290" t="s">
        <v>2748</v>
      </c>
      <c r="D880" s="228">
        <v>110</v>
      </c>
      <c r="E880" s="290" t="s">
        <v>2748</v>
      </c>
      <c r="F880" s="400">
        <f>D880</f>
        <v>110</v>
      </c>
      <c r="G880" s="421">
        <f t="shared" si="49"/>
        <v>113.85000000000001</v>
      </c>
    </row>
    <row r="881" spans="1:7" ht="48">
      <c r="A881" s="309"/>
      <c r="B881" s="303" t="s">
        <v>1940</v>
      </c>
      <c r="C881" s="290" t="s">
        <v>2748</v>
      </c>
      <c r="D881" s="228"/>
      <c r="E881" s="290" t="s">
        <v>2748</v>
      </c>
      <c r="F881" s="400">
        <f>D881</f>
        <v>0</v>
      </c>
      <c r="G881" s="421">
        <f t="shared" si="49"/>
        <v>0</v>
      </c>
    </row>
    <row r="882" spans="1:7" ht="32.25">
      <c r="A882" s="309"/>
      <c r="B882" s="303" t="s">
        <v>1941</v>
      </c>
      <c r="C882" s="290" t="s">
        <v>2748</v>
      </c>
      <c r="D882" s="228">
        <v>150</v>
      </c>
      <c r="E882" s="290" t="s">
        <v>2748</v>
      </c>
      <c r="F882" s="400">
        <f>D882</f>
        <v>150</v>
      </c>
      <c r="G882" s="421">
        <f t="shared" si="49"/>
        <v>155.25</v>
      </c>
    </row>
    <row r="883" spans="1:7" ht="63.75">
      <c r="A883" s="309"/>
      <c r="B883" s="303" t="s">
        <v>1414</v>
      </c>
      <c r="C883" s="290" t="s">
        <v>2748</v>
      </c>
      <c r="D883" s="228">
        <v>390</v>
      </c>
      <c r="E883" s="290" t="s">
        <v>2748</v>
      </c>
      <c r="F883" s="400">
        <f>D883</f>
        <v>390</v>
      </c>
      <c r="G883" s="421">
        <f t="shared" si="49"/>
        <v>403.65000000000003</v>
      </c>
    </row>
    <row r="884" spans="1:7" ht="48">
      <c r="A884" s="309"/>
      <c r="B884" s="303" t="s">
        <v>1415</v>
      </c>
      <c r="C884" s="290" t="s">
        <v>2748</v>
      </c>
      <c r="D884" s="228">
        <v>220</v>
      </c>
      <c r="E884" s="290" t="s">
        <v>2748</v>
      </c>
      <c r="F884" s="400">
        <f>D884</f>
        <v>220</v>
      </c>
      <c r="G884" s="421">
        <f t="shared" si="49"/>
        <v>227.70000000000002</v>
      </c>
    </row>
    <row r="885" spans="1:7" ht="39">
      <c r="A885" s="309">
        <v>51</v>
      </c>
      <c r="B885" s="356" t="s">
        <v>1416</v>
      </c>
      <c r="C885" s="308"/>
      <c r="D885" s="228"/>
      <c r="E885" s="357"/>
      <c r="F885" s="410"/>
      <c r="G885" s="421">
        <f t="shared" si="49"/>
        <v>0</v>
      </c>
    </row>
    <row r="886" spans="1:7" ht="40.5" customHeight="1">
      <c r="A886" s="282"/>
      <c r="B886" s="358" t="s">
        <v>2649</v>
      </c>
      <c r="C886" s="308"/>
      <c r="D886" s="228"/>
      <c r="E886" s="357"/>
      <c r="F886" s="410"/>
      <c r="G886" s="421">
        <f t="shared" si="49"/>
        <v>0</v>
      </c>
    </row>
    <row r="887" spans="1:7" ht="22.5">
      <c r="A887" s="282"/>
      <c r="B887" s="359" t="s">
        <v>1942</v>
      </c>
      <c r="C887" s="308"/>
      <c r="D887" s="228"/>
      <c r="E887" s="357"/>
      <c r="F887" s="410"/>
      <c r="G887" s="421">
        <f t="shared" si="49"/>
        <v>0</v>
      </c>
    </row>
    <row r="888" spans="1:7" ht="65.25">
      <c r="A888" s="282"/>
      <c r="B888" s="348" t="s">
        <v>1908</v>
      </c>
      <c r="C888" s="308" t="s">
        <v>1909</v>
      </c>
      <c r="D888" s="228">
        <v>35.4</v>
      </c>
      <c r="E888" s="290" t="s">
        <v>1870</v>
      </c>
      <c r="F888" s="393">
        <f>FLOOR(D888*10.76,0.01)</f>
        <v>380.90000000000003</v>
      </c>
      <c r="G888" s="421">
        <f t="shared" si="49"/>
        <v>394.23</v>
      </c>
    </row>
    <row r="889" spans="1:7" ht="22.5">
      <c r="A889" s="282"/>
      <c r="B889" s="359" t="s">
        <v>1910</v>
      </c>
      <c r="C889" s="308"/>
      <c r="D889" s="228"/>
      <c r="E889" s="291"/>
      <c r="F889" s="410"/>
      <c r="G889" s="421">
        <f t="shared" si="49"/>
        <v>0</v>
      </c>
    </row>
    <row r="890" spans="1:7" ht="78">
      <c r="A890" s="282"/>
      <c r="B890" s="348" t="s">
        <v>2737</v>
      </c>
      <c r="C890" s="308" t="s">
        <v>1909</v>
      </c>
      <c r="D890" s="228">
        <v>37.200000000000003</v>
      </c>
      <c r="E890" s="290" t="s">
        <v>1870</v>
      </c>
      <c r="F890" s="393">
        <f>FLOOR(D890*10.76,0.01)</f>
        <v>400.27</v>
      </c>
      <c r="G890" s="421">
        <f t="shared" si="49"/>
        <v>414.27</v>
      </c>
    </row>
    <row r="891" spans="1:7">
      <c r="A891" s="282"/>
      <c r="B891" s="359" t="s">
        <v>2738</v>
      </c>
      <c r="C891" s="308"/>
      <c r="D891" s="228"/>
      <c r="E891" s="291"/>
      <c r="F891" s="393"/>
      <c r="G891" s="421">
        <f t="shared" si="49"/>
        <v>0</v>
      </c>
    </row>
    <row r="892" spans="1:7" ht="52.5">
      <c r="A892" s="282"/>
      <c r="B892" s="348" t="s">
        <v>1914</v>
      </c>
      <c r="C892" s="308" t="s">
        <v>1909</v>
      </c>
      <c r="D892" s="228">
        <v>43.2</v>
      </c>
      <c r="E892" s="290" t="s">
        <v>1870</v>
      </c>
      <c r="F892" s="393">
        <f>FLOOR(D892*10.76,0.01)</f>
        <v>464.83</v>
      </c>
      <c r="G892" s="421">
        <f t="shared" si="49"/>
        <v>481.09000000000003</v>
      </c>
    </row>
    <row r="893" spans="1:7">
      <c r="A893" s="282"/>
      <c r="B893" s="359" t="s">
        <v>1915</v>
      </c>
      <c r="C893" s="296"/>
      <c r="D893" s="228"/>
      <c r="E893" s="291"/>
      <c r="F893" s="393"/>
      <c r="G893" s="421">
        <f t="shared" si="49"/>
        <v>0</v>
      </c>
    </row>
    <row r="894" spans="1:7" ht="39.75">
      <c r="A894" s="282"/>
      <c r="B894" s="348" t="s">
        <v>1916</v>
      </c>
      <c r="C894" s="308" t="s">
        <v>1909</v>
      </c>
      <c r="D894" s="228">
        <v>35</v>
      </c>
      <c r="E894" s="290" t="s">
        <v>1870</v>
      </c>
      <c r="F894" s="393">
        <f>FLOOR(D894*10.76,0.01)</f>
        <v>376.6</v>
      </c>
      <c r="G894" s="421">
        <f t="shared" si="49"/>
        <v>389.78000000000003</v>
      </c>
    </row>
    <row r="895" spans="1:7">
      <c r="A895" s="282"/>
      <c r="B895" s="359" t="s">
        <v>1917</v>
      </c>
      <c r="C895" s="308"/>
      <c r="D895" s="228"/>
      <c r="E895" s="291"/>
      <c r="F895" s="393"/>
      <c r="G895" s="421">
        <f t="shared" si="49"/>
        <v>0</v>
      </c>
    </row>
    <row r="896" spans="1:7" ht="52.5">
      <c r="A896" s="282"/>
      <c r="B896" s="348" t="s">
        <v>564</v>
      </c>
      <c r="C896" s="308" t="s">
        <v>565</v>
      </c>
      <c r="D896" s="228">
        <v>36.6</v>
      </c>
      <c r="E896" s="290" t="s">
        <v>1870</v>
      </c>
      <c r="F896" s="393">
        <f>FLOOR(D896*10.76,0.01)</f>
        <v>393.81</v>
      </c>
      <c r="G896" s="421">
        <f t="shared" si="49"/>
        <v>407.59000000000003</v>
      </c>
    </row>
    <row r="897" spans="1:7" ht="22.5">
      <c r="A897" s="282"/>
      <c r="B897" s="359" t="s">
        <v>566</v>
      </c>
      <c r="C897" s="308"/>
      <c r="D897" s="228"/>
      <c r="E897" s="291"/>
      <c r="F897" s="410"/>
      <c r="G897" s="421">
        <f t="shared" si="49"/>
        <v>0</v>
      </c>
    </row>
    <row r="898" spans="1:7" ht="52.5">
      <c r="A898" s="282"/>
      <c r="B898" s="348" t="s">
        <v>567</v>
      </c>
      <c r="C898" s="308" t="s">
        <v>1909</v>
      </c>
      <c r="D898" s="228">
        <v>13</v>
      </c>
      <c r="E898" s="290" t="s">
        <v>1870</v>
      </c>
      <c r="F898" s="393">
        <f>FLOOR(D898*10.76,0.01)</f>
        <v>139.88</v>
      </c>
      <c r="G898" s="421">
        <f t="shared" si="49"/>
        <v>144.77000000000001</v>
      </c>
    </row>
    <row r="899" spans="1:7">
      <c r="A899" s="282"/>
      <c r="B899" s="359" t="s">
        <v>568</v>
      </c>
      <c r="C899" s="308"/>
      <c r="D899" s="228"/>
      <c r="E899" s="291"/>
      <c r="F899" s="393"/>
      <c r="G899" s="421">
        <f t="shared" si="49"/>
        <v>0</v>
      </c>
    </row>
    <row r="900" spans="1:7" ht="52.5">
      <c r="A900" s="282"/>
      <c r="B900" s="348" t="s">
        <v>569</v>
      </c>
      <c r="C900" s="308" t="s">
        <v>1909</v>
      </c>
      <c r="D900" s="228">
        <v>35</v>
      </c>
      <c r="E900" s="290" t="s">
        <v>1870</v>
      </c>
      <c r="F900" s="393">
        <f>FLOOR(D900*10.76,0.01)</f>
        <v>376.6</v>
      </c>
      <c r="G900" s="421">
        <f t="shared" si="49"/>
        <v>389.78000000000003</v>
      </c>
    </row>
    <row r="901" spans="1:7" ht="22.5">
      <c r="A901" s="282"/>
      <c r="B901" s="359" t="s">
        <v>570</v>
      </c>
      <c r="C901" s="308"/>
      <c r="D901" s="228"/>
      <c r="E901" s="291"/>
      <c r="F901" s="410"/>
      <c r="G901" s="421">
        <f t="shared" si="49"/>
        <v>0</v>
      </c>
    </row>
    <row r="902" spans="1:7" ht="39.75">
      <c r="A902" s="282"/>
      <c r="B902" s="348" t="s">
        <v>571</v>
      </c>
      <c r="C902" s="308" t="s">
        <v>572</v>
      </c>
      <c r="D902" s="228">
        <v>300</v>
      </c>
      <c r="E902" s="290" t="s">
        <v>2722</v>
      </c>
      <c r="F902" s="411">
        <f>D902</f>
        <v>300</v>
      </c>
      <c r="G902" s="421">
        <f t="shared" si="49"/>
        <v>310.5</v>
      </c>
    </row>
    <row r="903" spans="1:7">
      <c r="A903" s="282"/>
      <c r="B903" s="359" t="s">
        <v>573</v>
      </c>
      <c r="C903" s="308"/>
      <c r="D903" s="228"/>
      <c r="E903" s="291"/>
      <c r="F903" s="411"/>
      <c r="G903" s="421">
        <f t="shared" si="49"/>
        <v>0</v>
      </c>
    </row>
    <row r="904" spans="1:7" ht="65.25">
      <c r="A904" s="282"/>
      <c r="B904" s="348" t="s">
        <v>2445</v>
      </c>
      <c r="C904" s="308" t="s">
        <v>2446</v>
      </c>
      <c r="D904" s="228">
        <v>250</v>
      </c>
      <c r="E904" s="290" t="s">
        <v>2722</v>
      </c>
      <c r="F904" s="411">
        <f>D904</f>
        <v>250</v>
      </c>
      <c r="G904" s="421">
        <f t="shared" si="49"/>
        <v>258.75</v>
      </c>
    </row>
    <row r="905" spans="1:7">
      <c r="A905" s="282"/>
      <c r="B905" s="359" t="s">
        <v>2447</v>
      </c>
      <c r="C905" s="308"/>
      <c r="D905" s="228"/>
      <c r="E905" s="291"/>
      <c r="F905" s="411"/>
      <c r="G905" s="421">
        <f t="shared" si="49"/>
        <v>0</v>
      </c>
    </row>
    <row r="906" spans="1:7" ht="48">
      <c r="A906" s="282"/>
      <c r="B906" s="303" t="s">
        <v>2448</v>
      </c>
      <c r="C906" s="308" t="s">
        <v>2446</v>
      </c>
      <c r="D906" s="228">
        <v>375</v>
      </c>
      <c r="E906" s="290" t="s">
        <v>2722</v>
      </c>
      <c r="F906" s="411">
        <f>D906</f>
        <v>375</v>
      </c>
      <c r="G906" s="421">
        <f t="shared" si="49"/>
        <v>388.12</v>
      </c>
    </row>
    <row r="907" spans="1:7">
      <c r="A907" s="282"/>
      <c r="B907" s="359" t="s">
        <v>2449</v>
      </c>
      <c r="C907" s="308"/>
      <c r="D907" s="228"/>
      <c r="E907" s="291"/>
      <c r="F907" s="411"/>
      <c r="G907" s="421">
        <f t="shared" si="49"/>
        <v>0</v>
      </c>
    </row>
    <row r="908" spans="1:7" ht="78">
      <c r="A908" s="282"/>
      <c r="B908" s="348" t="s">
        <v>2029</v>
      </c>
      <c r="C908" s="308" t="s">
        <v>2446</v>
      </c>
      <c r="D908" s="228">
        <v>250</v>
      </c>
      <c r="E908" s="290" t="s">
        <v>2722</v>
      </c>
      <c r="F908" s="411">
        <f>D908</f>
        <v>250</v>
      </c>
      <c r="G908" s="421">
        <f t="shared" si="49"/>
        <v>258.75</v>
      </c>
    </row>
    <row r="909" spans="1:7" ht="22.5">
      <c r="A909" s="282"/>
      <c r="B909" s="359" t="s">
        <v>2030</v>
      </c>
      <c r="C909" s="296"/>
      <c r="D909" s="228"/>
      <c r="E909" s="291"/>
      <c r="F909" s="410"/>
      <c r="G909" s="421">
        <f t="shared" ref="G909:G972" si="51">FLOOR(F909*1.035,0.01)</f>
        <v>0</v>
      </c>
    </row>
    <row r="910" spans="1:7" ht="52.5">
      <c r="A910" s="282"/>
      <c r="B910" s="348" t="s">
        <v>2773</v>
      </c>
      <c r="C910" s="308" t="s">
        <v>2774</v>
      </c>
      <c r="D910" s="228">
        <v>250</v>
      </c>
      <c r="E910" s="290" t="s">
        <v>1870</v>
      </c>
      <c r="F910" s="393">
        <f>FLOOR(D910*10.76,0.01)</f>
        <v>2690</v>
      </c>
      <c r="G910" s="421">
        <f t="shared" si="51"/>
        <v>2784.15</v>
      </c>
    </row>
    <row r="911" spans="1:7" ht="22.5">
      <c r="A911" s="282"/>
      <c r="B911" s="359" t="s">
        <v>2775</v>
      </c>
      <c r="C911" s="296"/>
      <c r="D911" s="228"/>
      <c r="E911" s="291"/>
      <c r="F911" s="410"/>
      <c r="G911" s="421">
        <f t="shared" si="51"/>
        <v>0</v>
      </c>
    </row>
    <row r="912" spans="1:7" ht="52.5">
      <c r="A912" s="282"/>
      <c r="B912" s="348" t="s">
        <v>2776</v>
      </c>
      <c r="C912" s="308" t="s">
        <v>2446</v>
      </c>
      <c r="D912" s="228">
        <v>8.6</v>
      </c>
      <c r="E912" s="290" t="s">
        <v>2722</v>
      </c>
      <c r="F912" s="411">
        <f>D912</f>
        <v>8.6</v>
      </c>
      <c r="G912" s="421">
        <f t="shared" si="51"/>
        <v>8.9</v>
      </c>
    </row>
    <row r="913" spans="1:7">
      <c r="A913" s="282"/>
      <c r="B913" s="359" t="s">
        <v>2777</v>
      </c>
      <c r="C913" s="296"/>
      <c r="D913" s="228"/>
      <c r="E913" s="291"/>
      <c r="F913" s="411"/>
      <c r="G913" s="421">
        <f t="shared" si="51"/>
        <v>0</v>
      </c>
    </row>
    <row r="914" spans="1:7" ht="27">
      <c r="A914" s="282"/>
      <c r="B914" s="318" t="s">
        <v>2778</v>
      </c>
      <c r="C914" s="308" t="s">
        <v>2446</v>
      </c>
      <c r="D914" s="228">
        <v>400</v>
      </c>
      <c r="E914" s="290" t="s">
        <v>2722</v>
      </c>
      <c r="F914" s="411">
        <f>D914</f>
        <v>400</v>
      </c>
      <c r="G914" s="421">
        <f t="shared" si="51"/>
        <v>414</v>
      </c>
    </row>
    <row r="915" spans="1:7">
      <c r="A915" s="282"/>
      <c r="B915" s="359" t="s">
        <v>2779</v>
      </c>
      <c r="C915" s="296"/>
      <c r="D915" s="228"/>
      <c r="E915" s="291"/>
      <c r="F915" s="411"/>
      <c r="G915" s="421">
        <f t="shared" si="51"/>
        <v>0</v>
      </c>
    </row>
    <row r="916" spans="1:7" ht="52.5">
      <c r="A916" s="282"/>
      <c r="B916" s="348" t="s">
        <v>1871</v>
      </c>
      <c r="C916" s="308" t="s">
        <v>2446</v>
      </c>
      <c r="D916" s="228">
        <v>375</v>
      </c>
      <c r="E916" s="290" t="s">
        <v>2722</v>
      </c>
      <c r="F916" s="411">
        <f>D916</f>
        <v>375</v>
      </c>
      <c r="G916" s="421">
        <f t="shared" si="51"/>
        <v>388.12</v>
      </c>
    </row>
    <row r="917" spans="1:7">
      <c r="A917" s="282"/>
      <c r="B917" s="359" t="s">
        <v>1872</v>
      </c>
      <c r="C917" s="308"/>
      <c r="D917" s="228"/>
      <c r="E917" s="291"/>
      <c r="F917" s="411"/>
      <c r="G917" s="421">
        <f t="shared" si="51"/>
        <v>0</v>
      </c>
    </row>
    <row r="918" spans="1:7" ht="78">
      <c r="A918" s="282"/>
      <c r="B918" s="348" t="s">
        <v>2642</v>
      </c>
      <c r="C918" s="308" t="s">
        <v>2446</v>
      </c>
      <c r="D918" s="228">
        <v>375</v>
      </c>
      <c r="E918" s="290" t="s">
        <v>2722</v>
      </c>
      <c r="F918" s="411">
        <f>D918</f>
        <v>375</v>
      </c>
      <c r="G918" s="421">
        <f t="shared" si="51"/>
        <v>388.12</v>
      </c>
    </row>
    <row r="919" spans="1:7" ht="22.5">
      <c r="A919" s="282"/>
      <c r="B919" s="359" t="s">
        <v>2643</v>
      </c>
      <c r="C919" s="308"/>
      <c r="D919" s="228"/>
      <c r="E919" s="291"/>
      <c r="F919" s="410"/>
      <c r="G919" s="421">
        <f t="shared" si="51"/>
        <v>0</v>
      </c>
    </row>
    <row r="920" spans="1:7" ht="65.25">
      <c r="A920" s="282"/>
      <c r="B920" s="348" t="s">
        <v>2644</v>
      </c>
      <c r="C920" s="308" t="s">
        <v>2774</v>
      </c>
      <c r="D920" s="228">
        <v>26</v>
      </c>
      <c r="E920" s="290" t="s">
        <v>1870</v>
      </c>
      <c r="F920" s="393">
        <f>FLOOR(D920*10.76,0.01)</f>
        <v>279.76</v>
      </c>
      <c r="G920" s="421">
        <f t="shared" si="51"/>
        <v>289.55</v>
      </c>
    </row>
    <row r="921" spans="1:7" ht="22.5">
      <c r="A921" s="282"/>
      <c r="B921" s="359" t="s">
        <v>2645</v>
      </c>
      <c r="C921" s="308"/>
      <c r="D921" s="228"/>
      <c r="E921" s="291"/>
      <c r="F921" s="410"/>
      <c r="G921" s="421">
        <f t="shared" si="51"/>
        <v>0</v>
      </c>
    </row>
    <row r="922" spans="1:7" ht="22.5">
      <c r="A922" s="282"/>
      <c r="B922" s="262" t="s">
        <v>2646</v>
      </c>
      <c r="C922" s="308"/>
      <c r="D922" s="228"/>
      <c r="E922" s="291"/>
      <c r="F922" s="410"/>
      <c r="G922" s="421">
        <f t="shared" si="51"/>
        <v>0</v>
      </c>
    </row>
    <row r="923" spans="1:7" ht="78">
      <c r="A923" s="282"/>
      <c r="B923" s="348" t="s">
        <v>2959</v>
      </c>
      <c r="C923" s="308" t="s">
        <v>2960</v>
      </c>
      <c r="D923" s="228">
        <v>1500</v>
      </c>
      <c r="E923" s="290" t="s">
        <v>2748</v>
      </c>
      <c r="F923" s="411">
        <f>D923</f>
        <v>1500</v>
      </c>
      <c r="G923" s="421">
        <f t="shared" si="51"/>
        <v>1552.5</v>
      </c>
    </row>
    <row r="924" spans="1:7">
      <c r="A924" s="282"/>
      <c r="B924" s="359" t="s">
        <v>1783</v>
      </c>
      <c r="C924" s="308"/>
      <c r="D924" s="228"/>
      <c r="E924" s="291"/>
      <c r="F924" s="411"/>
      <c r="G924" s="421">
        <f t="shared" si="51"/>
        <v>0</v>
      </c>
    </row>
    <row r="925" spans="1:7" ht="52.5">
      <c r="A925" s="282"/>
      <c r="B925" s="348" t="s">
        <v>1784</v>
      </c>
      <c r="C925" s="308" t="s">
        <v>2446</v>
      </c>
      <c r="D925" s="228">
        <v>1350</v>
      </c>
      <c r="E925" s="290" t="s">
        <v>2722</v>
      </c>
      <c r="F925" s="411">
        <f>D925</f>
        <v>1350</v>
      </c>
      <c r="G925" s="421">
        <f t="shared" si="51"/>
        <v>1397.25</v>
      </c>
    </row>
    <row r="926" spans="1:7">
      <c r="A926" s="282"/>
      <c r="B926" s="359" t="s">
        <v>1158</v>
      </c>
      <c r="C926" s="308"/>
      <c r="D926" s="228"/>
      <c r="E926" s="291"/>
      <c r="F926" s="411"/>
      <c r="G926" s="421">
        <f t="shared" si="51"/>
        <v>0</v>
      </c>
    </row>
    <row r="927" spans="1:7">
      <c r="A927" s="282"/>
      <c r="B927" s="359" t="s">
        <v>1159</v>
      </c>
      <c r="C927" s="308"/>
      <c r="D927" s="228"/>
      <c r="E927" s="291"/>
      <c r="F927" s="411"/>
      <c r="G927" s="421">
        <f t="shared" si="51"/>
        <v>0</v>
      </c>
    </row>
    <row r="928" spans="1:7" ht="52.5">
      <c r="A928" s="282"/>
      <c r="B928" s="348" t="s">
        <v>1160</v>
      </c>
      <c r="C928" s="308" t="s">
        <v>2446</v>
      </c>
      <c r="D928" s="228">
        <v>375</v>
      </c>
      <c r="E928" s="290" t="s">
        <v>2722</v>
      </c>
      <c r="F928" s="411">
        <f>D928</f>
        <v>375</v>
      </c>
      <c r="G928" s="421">
        <f t="shared" si="51"/>
        <v>388.12</v>
      </c>
    </row>
    <row r="929" spans="1:7" ht="22.5">
      <c r="A929" s="309">
        <v>52</v>
      </c>
      <c r="B929" s="322" t="s">
        <v>1161</v>
      </c>
      <c r="C929" s="330"/>
      <c r="D929" s="228"/>
      <c r="E929" s="360"/>
      <c r="F929" s="394"/>
      <c r="G929" s="421">
        <f t="shared" si="51"/>
        <v>0</v>
      </c>
    </row>
    <row r="930" spans="1:7" ht="63" customHeight="1">
      <c r="A930" s="282"/>
      <c r="B930" s="361" t="s">
        <v>1162</v>
      </c>
      <c r="C930" s="330"/>
      <c r="D930" s="228"/>
      <c r="E930" s="360"/>
      <c r="F930" s="394"/>
      <c r="G930" s="421">
        <f t="shared" si="51"/>
        <v>0</v>
      </c>
    </row>
    <row r="931" spans="1:7" ht="50.25">
      <c r="A931" s="289"/>
      <c r="B931" s="303" t="s">
        <v>1163</v>
      </c>
      <c r="C931" s="290" t="s">
        <v>2973</v>
      </c>
      <c r="D931" s="228">
        <v>380</v>
      </c>
      <c r="E931" s="285"/>
      <c r="F931" s="392"/>
      <c r="G931" s="421">
        <f t="shared" si="51"/>
        <v>0</v>
      </c>
    </row>
    <row r="932" spans="1:7" ht="34.5">
      <c r="A932" s="282"/>
      <c r="B932" s="303" t="s">
        <v>1623</v>
      </c>
      <c r="C932" s="290" t="s">
        <v>1002</v>
      </c>
      <c r="D932" s="228">
        <v>425</v>
      </c>
      <c r="E932" s="285"/>
      <c r="F932" s="392"/>
      <c r="G932" s="421">
        <f t="shared" si="51"/>
        <v>0</v>
      </c>
    </row>
    <row r="933" spans="1:7" ht="50.25">
      <c r="A933" s="354"/>
      <c r="B933" s="303" t="s">
        <v>1624</v>
      </c>
      <c r="C933" s="290" t="s">
        <v>1002</v>
      </c>
      <c r="D933" s="228">
        <v>319</v>
      </c>
      <c r="E933" s="285"/>
      <c r="F933" s="392"/>
      <c r="G933" s="421">
        <f t="shared" si="51"/>
        <v>0</v>
      </c>
    </row>
    <row r="934" spans="1:7" ht="34.5">
      <c r="A934" s="354"/>
      <c r="B934" s="303" t="s">
        <v>1625</v>
      </c>
      <c r="C934" s="290" t="s">
        <v>1002</v>
      </c>
      <c r="D934" s="228">
        <v>440</v>
      </c>
      <c r="E934" s="285"/>
      <c r="F934" s="392"/>
      <c r="G934" s="421">
        <f t="shared" si="51"/>
        <v>0</v>
      </c>
    </row>
    <row r="935" spans="1:7" ht="50.25">
      <c r="A935" s="354"/>
      <c r="B935" s="303" t="s">
        <v>1626</v>
      </c>
      <c r="C935" s="290" t="s">
        <v>1002</v>
      </c>
      <c r="D935" s="228">
        <v>470</v>
      </c>
      <c r="E935" s="285"/>
      <c r="F935" s="392"/>
      <c r="G935" s="421">
        <f t="shared" si="51"/>
        <v>0</v>
      </c>
    </row>
    <row r="936" spans="1:7" ht="66.75">
      <c r="A936" s="354"/>
      <c r="B936" s="303" t="s">
        <v>3218</v>
      </c>
      <c r="C936" s="290" t="s">
        <v>1002</v>
      </c>
      <c r="D936" s="228">
        <v>380</v>
      </c>
      <c r="E936" s="285"/>
      <c r="F936" s="412"/>
      <c r="G936" s="421">
        <f t="shared" si="51"/>
        <v>0</v>
      </c>
    </row>
    <row r="937" spans="1:7" ht="51">
      <c r="A937" s="354"/>
      <c r="B937" s="303" t="s">
        <v>3219</v>
      </c>
      <c r="C937" s="319" t="s">
        <v>2973</v>
      </c>
      <c r="D937" s="228">
        <v>470</v>
      </c>
      <c r="E937" s="285"/>
      <c r="F937" s="413"/>
      <c r="G937" s="421">
        <f t="shared" si="51"/>
        <v>0</v>
      </c>
    </row>
    <row r="938" spans="1:7" ht="51">
      <c r="A938" s="354"/>
      <c r="B938" s="303" t="s">
        <v>3220</v>
      </c>
      <c r="C938" s="319" t="s">
        <v>2973</v>
      </c>
      <c r="D938" s="228">
        <v>470</v>
      </c>
      <c r="E938" s="285"/>
      <c r="F938" s="413"/>
      <c r="G938" s="421">
        <f t="shared" si="51"/>
        <v>0</v>
      </c>
    </row>
    <row r="939" spans="1:7" ht="51">
      <c r="A939" s="354"/>
      <c r="B939" s="303" t="s">
        <v>3221</v>
      </c>
      <c r="C939" s="319" t="s">
        <v>2973</v>
      </c>
      <c r="D939" s="228">
        <v>380</v>
      </c>
      <c r="E939" s="285"/>
      <c r="F939" s="413"/>
      <c r="G939" s="421">
        <f t="shared" si="51"/>
        <v>0</v>
      </c>
    </row>
    <row r="940" spans="1:7" ht="51">
      <c r="A940" s="354"/>
      <c r="B940" s="303" t="s">
        <v>3222</v>
      </c>
      <c r="C940" s="319" t="s">
        <v>2973</v>
      </c>
      <c r="D940" s="228">
        <v>365</v>
      </c>
      <c r="E940" s="285"/>
      <c r="F940" s="413"/>
      <c r="G940" s="421">
        <f t="shared" si="51"/>
        <v>0</v>
      </c>
    </row>
    <row r="941" spans="1:7" ht="31.5">
      <c r="A941" s="362"/>
      <c r="B941" s="326" t="s">
        <v>3055</v>
      </c>
      <c r="C941" s="319" t="s">
        <v>2973</v>
      </c>
      <c r="D941" s="228">
        <v>395</v>
      </c>
      <c r="E941" s="285"/>
      <c r="F941" s="401"/>
      <c r="G941" s="421">
        <f t="shared" si="51"/>
        <v>0</v>
      </c>
    </row>
    <row r="942" spans="1:7" ht="31.5">
      <c r="A942" s="362"/>
      <c r="B942" s="326" t="s">
        <v>3056</v>
      </c>
      <c r="C942" s="319" t="s">
        <v>2973</v>
      </c>
      <c r="D942" s="228">
        <v>435</v>
      </c>
      <c r="E942" s="285"/>
      <c r="F942" s="401"/>
      <c r="G942" s="421">
        <f t="shared" si="51"/>
        <v>0</v>
      </c>
    </row>
    <row r="943" spans="1:7" ht="46.5">
      <c r="A943" s="362"/>
      <c r="B943" s="326" t="s">
        <v>3057</v>
      </c>
      <c r="C943" s="319" t="s">
        <v>2973</v>
      </c>
      <c r="D943" s="228">
        <v>395</v>
      </c>
      <c r="E943" s="285"/>
      <c r="F943" s="401"/>
      <c r="G943" s="421">
        <f t="shared" si="51"/>
        <v>0</v>
      </c>
    </row>
    <row r="944" spans="1:7" ht="46.5">
      <c r="A944" s="362"/>
      <c r="B944" s="326" t="s">
        <v>3058</v>
      </c>
      <c r="C944" s="319" t="s">
        <v>2973</v>
      </c>
      <c r="D944" s="228">
        <v>435</v>
      </c>
      <c r="E944" s="285"/>
      <c r="F944" s="401"/>
      <c r="G944" s="421">
        <f t="shared" si="51"/>
        <v>0</v>
      </c>
    </row>
    <row r="945" spans="1:7" ht="31.5">
      <c r="A945" s="362"/>
      <c r="B945" s="326" t="s">
        <v>3059</v>
      </c>
      <c r="C945" s="284" t="s">
        <v>1870</v>
      </c>
      <c r="D945" s="228"/>
      <c r="E945" s="285"/>
      <c r="F945" s="401"/>
      <c r="G945" s="421">
        <f t="shared" si="51"/>
        <v>0</v>
      </c>
    </row>
    <row r="946" spans="1:7" ht="31.5">
      <c r="A946" s="362"/>
      <c r="B946" s="326" t="s">
        <v>2152</v>
      </c>
      <c r="C946" s="284" t="s">
        <v>1870</v>
      </c>
      <c r="D946" s="228"/>
      <c r="E946" s="285"/>
      <c r="F946" s="401"/>
      <c r="G946" s="421">
        <f t="shared" si="51"/>
        <v>0</v>
      </c>
    </row>
    <row r="947" spans="1:7" ht="31.5">
      <c r="A947" s="362"/>
      <c r="B947" s="326" t="s">
        <v>1814</v>
      </c>
      <c r="C947" s="284" t="s">
        <v>1870</v>
      </c>
      <c r="D947" s="228"/>
      <c r="E947" s="285"/>
      <c r="F947" s="401"/>
      <c r="G947" s="421">
        <f t="shared" si="51"/>
        <v>0</v>
      </c>
    </row>
    <row r="948" spans="1:7" ht="31.5">
      <c r="A948" s="362"/>
      <c r="B948" s="326" t="s">
        <v>1815</v>
      </c>
      <c r="C948" s="284" t="s">
        <v>1870</v>
      </c>
      <c r="D948" s="228"/>
      <c r="E948" s="285"/>
      <c r="F948" s="401"/>
      <c r="G948" s="421">
        <f t="shared" si="51"/>
        <v>0</v>
      </c>
    </row>
    <row r="949" spans="1:7" ht="31.5">
      <c r="A949" s="362"/>
      <c r="B949" s="326" t="s">
        <v>1816</v>
      </c>
      <c r="C949" s="284" t="s">
        <v>1870</v>
      </c>
      <c r="D949" s="228"/>
      <c r="E949" s="285"/>
      <c r="F949" s="401"/>
      <c r="G949" s="421">
        <f t="shared" si="51"/>
        <v>0</v>
      </c>
    </row>
    <row r="950" spans="1:7" ht="31.5">
      <c r="A950" s="362"/>
      <c r="B950" s="326" t="s">
        <v>1817</v>
      </c>
      <c r="C950" s="284" t="s">
        <v>1870</v>
      </c>
      <c r="D950" s="228"/>
      <c r="E950" s="285"/>
      <c r="F950" s="401"/>
      <c r="G950" s="421">
        <f t="shared" si="51"/>
        <v>0</v>
      </c>
    </row>
    <row r="951" spans="1:7" ht="31.5">
      <c r="A951" s="362"/>
      <c r="B951" s="326" t="s">
        <v>1818</v>
      </c>
      <c r="C951" s="284" t="s">
        <v>1870</v>
      </c>
      <c r="D951" s="228"/>
      <c r="E951" s="285"/>
      <c r="F951" s="401"/>
      <c r="G951" s="421">
        <f t="shared" si="51"/>
        <v>0</v>
      </c>
    </row>
    <row r="952" spans="1:7" ht="31.5">
      <c r="A952" s="362"/>
      <c r="B952" s="326" t="s">
        <v>1819</v>
      </c>
      <c r="C952" s="284" t="s">
        <v>1870</v>
      </c>
      <c r="D952" s="228"/>
      <c r="E952" s="285"/>
      <c r="F952" s="401"/>
      <c r="G952" s="421">
        <f t="shared" si="51"/>
        <v>0</v>
      </c>
    </row>
    <row r="953" spans="1:7" ht="31.5">
      <c r="A953" s="362"/>
      <c r="B953" s="326" t="s">
        <v>1457</v>
      </c>
      <c r="C953" s="284" t="s">
        <v>1870</v>
      </c>
      <c r="D953" s="228"/>
      <c r="E953" s="285"/>
      <c r="F953" s="401"/>
      <c r="G953" s="421">
        <f t="shared" si="51"/>
        <v>0</v>
      </c>
    </row>
    <row r="954" spans="1:7" ht="31.5">
      <c r="A954" s="362"/>
      <c r="B954" s="326" t="s">
        <v>1458</v>
      </c>
      <c r="C954" s="284" t="s">
        <v>1870</v>
      </c>
      <c r="D954" s="228"/>
      <c r="E954" s="285"/>
      <c r="F954" s="401"/>
      <c r="G954" s="421">
        <f t="shared" si="51"/>
        <v>0</v>
      </c>
    </row>
    <row r="955" spans="1:7" ht="31.5">
      <c r="A955" s="362"/>
      <c r="B955" s="326" t="s">
        <v>1459</v>
      </c>
      <c r="C955" s="284" t="s">
        <v>1870</v>
      </c>
      <c r="D955" s="228"/>
      <c r="E955" s="285"/>
      <c r="F955" s="401"/>
      <c r="G955" s="421">
        <f t="shared" si="51"/>
        <v>0</v>
      </c>
    </row>
    <row r="956" spans="1:7" ht="27">
      <c r="A956" s="362"/>
      <c r="B956" s="345" t="s">
        <v>3223</v>
      </c>
      <c r="C956" s="319" t="s">
        <v>2973</v>
      </c>
      <c r="D956" s="228"/>
      <c r="E956" s="284" t="s">
        <v>1870</v>
      </c>
      <c r="F956" s="393">
        <f t="shared" ref="F956:F964" si="52">FLOOR(D956*10.76,0.01)</f>
        <v>0</v>
      </c>
      <c r="G956" s="421">
        <f t="shared" si="51"/>
        <v>0</v>
      </c>
    </row>
    <row r="957" spans="1:7" ht="39.75">
      <c r="A957" s="362"/>
      <c r="B957" s="345" t="s">
        <v>3224</v>
      </c>
      <c r="C957" s="319" t="s">
        <v>1008</v>
      </c>
      <c r="D957" s="228"/>
      <c r="E957" s="284" t="s">
        <v>1870</v>
      </c>
      <c r="F957" s="393">
        <f t="shared" si="52"/>
        <v>0</v>
      </c>
      <c r="G957" s="421">
        <f t="shared" si="51"/>
        <v>0</v>
      </c>
    </row>
    <row r="958" spans="1:7" ht="27">
      <c r="A958" s="362"/>
      <c r="B958" s="345" t="s">
        <v>3225</v>
      </c>
      <c r="C958" s="319" t="s">
        <v>1008</v>
      </c>
      <c r="D958" s="228"/>
      <c r="E958" s="284" t="s">
        <v>1870</v>
      </c>
      <c r="F958" s="393">
        <f t="shared" si="52"/>
        <v>0</v>
      </c>
      <c r="G958" s="421">
        <f t="shared" si="51"/>
        <v>0</v>
      </c>
    </row>
    <row r="959" spans="1:7" ht="27">
      <c r="A959" s="362"/>
      <c r="B959" s="345" t="s">
        <v>3226</v>
      </c>
      <c r="C959" s="319" t="s">
        <v>1008</v>
      </c>
      <c r="D959" s="228"/>
      <c r="E959" s="284" t="s">
        <v>1870</v>
      </c>
      <c r="F959" s="393">
        <f t="shared" si="52"/>
        <v>0</v>
      </c>
      <c r="G959" s="421">
        <f t="shared" si="51"/>
        <v>0</v>
      </c>
    </row>
    <row r="960" spans="1:7" ht="27">
      <c r="A960" s="362"/>
      <c r="B960" s="345" t="s">
        <v>3227</v>
      </c>
      <c r="C960" s="319" t="s">
        <v>1008</v>
      </c>
      <c r="D960" s="228"/>
      <c r="E960" s="284" t="s">
        <v>1870</v>
      </c>
      <c r="F960" s="393">
        <f t="shared" si="52"/>
        <v>0</v>
      </c>
      <c r="G960" s="421">
        <f t="shared" si="51"/>
        <v>0</v>
      </c>
    </row>
    <row r="961" spans="1:7" ht="27">
      <c r="A961" s="362"/>
      <c r="B961" s="345" t="s">
        <v>2329</v>
      </c>
      <c r="C961" s="319" t="s">
        <v>1008</v>
      </c>
      <c r="D961" s="228"/>
      <c r="E961" s="284" t="s">
        <v>1870</v>
      </c>
      <c r="F961" s="393">
        <f t="shared" si="52"/>
        <v>0</v>
      </c>
      <c r="G961" s="421">
        <f t="shared" si="51"/>
        <v>0</v>
      </c>
    </row>
    <row r="962" spans="1:7" ht="27">
      <c r="A962" s="362"/>
      <c r="B962" s="345" t="s">
        <v>2330</v>
      </c>
      <c r="C962" s="319" t="s">
        <v>1008</v>
      </c>
      <c r="D962" s="228"/>
      <c r="E962" s="284" t="s">
        <v>1870</v>
      </c>
      <c r="F962" s="393">
        <f t="shared" si="52"/>
        <v>0</v>
      </c>
      <c r="G962" s="421">
        <f t="shared" si="51"/>
        <v>0</v>
      </c>
    </row>
    <row r="963" spans="1:7" ht="39.75">
      <c r="A963" s="362"/>
      <c r="B963" s="345" t="s">
        <v>1821</v>
      </c>
      <c r="C963" s="319" t="s">
        <v>1008</v>
      </c>
      <c r="D963" s="228">
        <v>500</v>
      </c>
      <c r="E963" s="284" t="s">
        <v>1870</v>
      </c>
      <c r="F963" s="393">
        <f t="shared" si="52"/>
        <v>5380</v>
      </c>
      <c r="G963" s="421">
        <f t="shared" si="51"/>
        <v>5568.3</v>
      </c>
    </row>
    <row r="964" spans="1:7" ht="39.75">
      <c r="A964" s="362"/>
      <c r="B964" s="345" t="s">
        <v>1607</v>
      </c>
      <c r="C964" s="319" t="s">
        <v>1008</v>
      </c>
      <c r="D964" s="228">
        <v>400</v>
      </c>
      <c r="E964" s="284" t="s">
        <v>1870</v>
      </c>
      <c r="F964" s="393">
        <f t="shared" si="52"/>
        <v>4304</v>
      </c>
      <c r="G964" s="421">
        <f t="shared" si="51"/>
        <v>4454.6400000000003</v>
      </c>
    </row>
    <row r="965" spans="1:7" ht="33">
      <c r="A965" s="309">
        <v>53</v>
      </c>
      <c r="B965" s="322" t="s">
        <v>1460</v>
      </c>
      <c r="C965" s="363"/>
      <c r="D965" s="228"/>
      <c r="E965" s="329"/>
      <c r="F965" s="403"/>
      <c r="G965" s="421">
        <f t="shared" si="51"/>
        <v>0</v>
      </c>
    </row>
    <row r="966" spans="1:7" ht="82.5">
      <c r="A966" s="282"/>
      <c r="B966" s="262" t="s">
        <v>956</v>
      </c>
      <c r="C966" s="364" t="s">
        <v>2973</v>
      </c>
      <c r="D966" s="228"/>
      <c r="E966" s="285"/>
      <c r="F966" s="413"/>
      <c r="G966" s="421">
        <f t="shared" si="51"/>
        <v>0</v>
      </c>
    </row>
    <row r="967" spans="1:7" ht="24.75">
      <c r="A967" s="282"/>
      <c r="B967" s="262" t="s">
        <v>957</v>
      </c>
      <c r="C967" s="364" t="s">
        <v>2973</v>
      </c>
      <c r="D967" s="228"/>
      <c r="E967" s="285"/>
      <c r="F967" s="413"/>
      <c r="G967" s="421">
        <f t="shared" si="51"/>
        <v>0</v>
      </c>
    </row>
    <row r="968" spans="1:7" ht="33">
      <c r="A968" s="282"/>
      <c r="B968" s="322" t="s">
        <v>839</v>
      </c>
      <c r="C968" s="363"/>
      <c r="D968" s="228"/>
      <c r="E968" s="285"/>
      <c r="F968" s="403"/>
      <c r="G968" s="421">
        <f t="shared" si="51"/>
        <v>0</v>
      </c>
    </row>
    <row r="969" spans="1:7" ht="82.5">
      <c r="A969" s="282"/>
      <c r="B969" s="262" t="s">
        <v>1820</v>
      </c>
      <c r="C969" s="364" t="s">
        <v>2973</v>
      </c>
      <c r="D969" s="228"/>
      <c r="E969" s="285"/>
      <c r="F969" s="413"/>
      <c r="G969" s="421">
        <f t="shared" si="51"/>
        <v>0</v>
      </c>
    </row>
    <row r="970" spans="1:7" ht="24.75">
      <c r="A970" s="282"/>
      <c r="B970" s="262" t="s">
        <v>2750</v>
      </c>
      <c r="C970" s="364" t="s">
        <v>1002</v>
      </c>
      <c r="D970" s="228"/>
      <c r="E970" s="285"/>
      <c r="F970" s="413"/>
      <c r="G970" s="421">
        <f t="shared" si="51"/>
        <v>0</v>
      </c>
    </row>
    <row r="971" spans="1:7" ht="19.5">
      <c r="A971" s="282"/>
      <c r="B971" s="322" t="s">
        <v>1495</v>
      </c>
      <c r="C971" s="363"/>
      <c r="D971" s="228"/>
      <c r="E971" s="285"/>
      <c r="F971" s="403"/>
      <c r="G971" s="421">
        <f t="shared" si="51"/>
        <v>0</v>
      </c>
    </row>
    <row r="972" spans="1:7" ht="98.25">
      <c r="A972" s="282"/>
      <c r="B972" s="262" t="s">
        <v>592</v>
      </c>
      <c r="C972" s="290" t="s">
        <v>2973</v>
      </c>
      <c r="D972" s="228"/>
      <c r="E972" s="285"/>
      <c r="F972" s="413"/>
      <c r="G972" s="421">
        <f t="shared" si="51"/>
        <v>0</v>
      </c>
    </row>
    <row r="973" spans="1:7" ht="85.5">
      <c r="A973" s="309">
        <v>54</v>
      </c>
      <c r="B973" s="282" t="s">
        <v>3112</v>
      </c>
      <c r="C973" s="290"/>
      <c r="D973" s="228"/>
      <c r="E973" s="285"/>
      <c r="F973" s="413"/>
      <c r="G973" s="421">
        <f t="shared" ref="G973:G1036" si="53">FLOOR(F973*1.035,0.01)</f>
        <v>0</v>
      </c>
    </row>
    <row r="974" spans="1:7">
      <c r="A974" s="282"/>
      <c r="B974" s="314" t="s">
        <v>3113</v>
      </c>
      <c r="C974" s="290" t="s">
        <v>963</v>
      </c>
      <c r="D974" s="228">
        <v>210</v>
      </c>
      <c r="E974" s="290" t="s">
        <v>963</v>
      </c>
      <c r="F974" s="400">
        <f>D974</f>
        <v>210</v>
      </c>
      <c r="G974" s="421">
        <f t="shared" si="53"/>
        <v>217.35</v>
      </c>
    </row>
    <row r="975" spans="1:7">
      <c r="A975" s="282"/>
      <c r="B975" s="314" t="s">
        <v>3114</v>
      </c>
      <c r="C975" s="290" t="s">
        <v>963</v>
      </c>
      <c r="D975" s="228">
        <v>252</v>
      </c>
      <c r="E975" s="290" t="s">
        <v>963</v>
      </c>
      <c r="F975" s="400">
        <f>D975</f>
        <v>252</v>
      </c>
      <c r="G975" s="421">
        <f t="shared" si="53"/>
        <v>260.82</v>
      </c>
    </row>
    <row r="976" spans="1:7">
      <c r="A976" s="282"/>
      <c r="B976" s="314" t="s">
        <v>3115</v>
      </c>
      <c r="C976" s="290" t="s">
        <v>963</v>
      </c>
      <c r="D976" s="228">
        <v>347</v>
      </c>
      <c r="E976" s="290" t="s">
        <v>963</v>
      </c>
      <c r="F976" s="400">
        <f>D976</f>
        <v>347</v>
      </c>
      <c r="G976" s="421">
        <f t="shared" si="53"/>
        <v>359.14</v>
      </c>
    </row>
    <row r="977" spans="1:7">
      <c r="A977" s="282"/>
      <c r="B977" s="314" t="s">
        <v>3116</v>
      </c>
      <c r="C977" s="290" t="s">
        <v>963</v>
      </c>
      <c r="D977" s="228">
        <v>142</v>
      </c>
      <c r="E977" s="290" t="s">
        <v>963</v>
      </c>
      <c r="F977" s="400">
        <f>D977</f>
        <v>142</v>
      </c>
      <c r="G977" s="421">
        <f t="shared" si="53"/>
        <v>146.97</v>
      </c>
    </row>
    <row r="978" spans="1:7" ht="24.75">
      <c r="A978" s="309">
        <v>55</v>
      </c>
      <c r="B978" s="282" t="s">
        <v>593</v>
      </c>
      <c r="C978" s="290"/>
      <c r="D978" s="228"/>
      <c r="E978" s="291"/>
      <c r="F978" s="413"/>
      <c r="G978" s="421">
        <f t="shared" si="53"/>
        <v>0</v>
      </c>
    </row>
    <row r="979" spans="1:7" ht="32.25">
      <c r="A979" s="309"/>
      <c r="B979" s="303" t="s">
        <v>594</v>
      </c>
      <c r="C979" s="290" t="s">
        <v>2973</v>
      </c>
      <c r="D979" s="228">
        <v>35</v>
      </c>
      <c r="E979" s="284" t="s">
        <v>1870</v>
      </c>
      <c r="F979" s="393">
        <f>FLOOR(D979*10.76,0.01)</f>
        <v>376.6</v>
      </c>
      <c r="G979" s="421">
        <f t="shared" si="53"/>
        <v>389.78000000000003</v>
      </c>
    </row>
    <row r="980" spans="1:7" ht="17.25" customHeight="1">
      <c r="A980" s="282"/>
      <c r="B980" s="303" t="s">
        <v>1533</v>
      </c>
      <c r="C980" s="290" t="s">
        <v>1949</v>
      </c>
      <c r="D980" s="228">
        <v>44</v>
      </c>
      <c r="E980" s="284" t="s">
        <v>1870</v>
      </c>
      <c r="F980" s="393">
        <f>FLOOR(D980*10.76,0.01)</f>
        <v>473.44</v>
      </c>
      <c r="G980" s="421">
        <f t="shared" si="53"/>
        <v>490.01</v>
      </c>
    </row>
    <row r="981" spans="1:7" ht="46.5" customHeight="1">
      <c r="A981" s="282"/>
      <c r="B981" s="303" t="s">
        <v>1534</v>
      </c>
      <c r="C981" s="290" t="s">
        <v>1002</v>
      </c>
      <c r="D981" s="228">
        <v>44</v>
      </c>
      <c r="E981" s="284" t="s">
        <v>1870</v>
      </c>
      <c r="F981" s="393">
        <f>FLOOR(D981*10.76,0.01)</f>
        <v>473.44</v>
      </c>
      <c r="G981" s="421">
        <f t="shared" si="53"/>
        <v>490.01</v>
      </c>
    </row>
    <row r="982" spans="1:7">
      <c r="A982" s="282"/>
      <c r="B982" s="303" t="s">
        <v>1535</v>
      </c>
      <c r="C982" s="290" t="s">
        <v>2973</v>
      </c>
      <c r="D982" s="228">
        <v>52</v>
      </c>
      <c r="E982" s="284" t="s">
        <v>1870</v>
      </c>
      <c r="F982" s="393">
        <f>FLOOR(D982*10.76,0.01)</f>
        <v>559.52</v>
      </c>
      <c r="G982" s="421">
        <f t="shared" si="53"/>
        <v>579.1</v>
      </c>
    </row>
    <row r="983" spans="1:7">
      <c r="A983" s="282"/>
      <c r="B983" s="303" t="s">
        <v>1536</v>
      </c>
      <c r="C983" s="365" t="s">
        <v>1537</v>
      </c>
      <c r="D983" s="228">
        <v>325</v>
      </c>
      <c r="E983" s="365" t="s">
        <v>1537</v>
      </c>
      <c r="F983" s="400">
        <f>D983</f>
        <v>325</v>
      </c>
      <c r="G983" s="421">
        <f t="shared" si="53"/>
        <v>336.37</v>
      </c>
    </row>
    <row r="984" spans="1:7" ht="19.5">
      <c r="A984" s="309">
        <v>56</v>
      </c>
      <c r="B984" s="322" t="s">
        <v>1538</v>
      </c>
      <c r="C984" s="366"/>
      <c r="D984" s="228"/>
      <c r="E984" s="367"/>
      <c r="F984" s="414"/>
      <c r="G984" s="421">
        <f t="shared" si="53"/>
        <v>0</v>
      </c>
    </row>
    <row r="985" spans="1:7">
      <c r="A985" s="282"/>
      <c r="B985" s="314" t="s">
        <v>1598</v>
      </c>
      <c r="C985" s="290" t="s">
        <v>699</v>
      </c>
      <c r="D985" s="228">
        <v>369</v>
      </c>
      <c r="E985" s="290" t="s">
        <v>699</v>
      </c>
      <c r="F985" s="400">
        <f>D985</f>
        <v>369</v>
      </c>
      <c r="G985" s="421">
        <f t="shared" si="53"/>
        <v>381.91</v>
      </c>
    </row>
    <row r="986" spans="1:7">
      <c r="A986" s="282"/>
      <c r="B986" s="314" t="s">
        <v>1599</v>
      </c>
      <c r="C986" s="290" t="s">
        <v>1975</v>
      </c>
      <c r="D986" s="228">
        <v>669</v>
      </c>
      <c r="E986" s="290" t="s">
        <v>699</v>
      </c>
      <c r="F986" s="400">
        <f>D986</f>
        <v>669</v>
      </c>
      <c r="G986" s="421">
        <f t="shared" si="53"/>
        <v>692.41</v>
      </c>
    </row>
    <row r="987" spans="1:7">
      <c r="A987" s="282"/>
      <c r="B987" s="314" t="s">
        <v>1600</v>
      </c>
      <c r="C987" s="290" t="s">
        <v>1975</v>
      </c>
      <c r="D987" s="228">
        <v>1270</v>
      </c>
      <c r="E987" s="290" t="s">
        <v>699</v>
      </c>
      <c r="F987" s="400">
        <f>D987</f>
        <v>1270</v>
      </c>
      <c r="G987" s="421">
        <f t="shared" si="53"/>
        <v>1314.45</v>
      </c>
    </row>
    <row r="988" spans="1:7">
      <c r="A988" s="282"/>
      <c r="B988" s="314" t="s">
        <v>1601</v>
      </c>
      <c r="C988" s="290" t="s">
        <v>1975</v>
      </c>
      <c r="D988" s="228">
        <v>1458</v>
      </c>
      <c r="E988" s="290" t="s">
        <v>699</v>
      </c>
      <c r="F988" s="400">
        <f>D988</f>
        <v>1458</v>
      </c>
      <c r="G988" s="421">
        <f t="shared" si="53"/>
        <v>1509.03</v>
      </c>
    </row>
    <row r="989" spans="1:7" ht="22.5">
      <c r="A989" s="282">
        <v>57</v>
      </c>
      <c r="B989" s="343" t="s">
        <v>1539</v>
      </c>
      <c r="C989" s="290"/>
      <c r="D989" s="228"/>
      <c r="E989" s="285"/>
      <c r="F989" s="392"/>
      <c r="G989" s="421">
        <f t="shared" si="53"/>
        <v>0</v>
      </c>
    </row>
    <row r="990" spans="1:7" ht="22.5">
      <c r="A990" s="282"/>
      <c r="B990" s="322" t="s">
        <v>1540</v>
      </c>
      <c r="C990" s="368"/>
      <c r="D990" s="228"/>
      <c r="E990" s="367"/>
      <c r="F990" s="392"/>
      <c r="G990" s="421">
        <f t="shared" si="53"/>
        <v>0</v>
      </c>
    </row>
    <row r="991" spans="1:7" ht="48">
      <c r="A991" s="282"/>
      <c r="B991" s="262" t="s">
        <v>1541</v>
      </c>
      <c r="C991" s="290" t="s">
        <v>2807</v>
      </c>
      <c r="D991" s="228">
        <v>733</v>
      </c>
      <c r="E991" s="290" t="s">
        <v>2807</v>
      </c>
      <c r="F991" s="400">
        <v>733</v>
      </c>
      <c r="G991" s="421">
        <f t="shared" si="53"/>
        <v>758.65</v>
      </c>
    </row>
    <row r="992" spans="1:7" ht="50.25">
      <c r="A992" s="309"/>
      <c r="B992" s="262" t="s">
        <v>3050</v>
      </c>
      <c r="C992" s="290" t="s">
        <v>1949</v>
      </c>
      <c r="D992" s="228"/>
      <c r="E992" s="291"/>
      <c r="F992" s="392"/>
      <c r="G992" s="421">
        <f t="shared" si="53"/>
        <v>0</v>
      </c>
    </row>
    <row r="993" spans="1:7" ht="50.25">
      <c r="A993" s="309"/>
      <c r="B993" s="262" t="s">
        <v>3051</v>
      </c>
      <c r="C993" s="290" t="s">
        <v>1949</v>
      </c>
      <c r="D993" s="228"/>
      <c r="E993" s="291"/>
      <c r="F993" s="415"/>
      <c r="G993" s="421">
        <f t="shared" si="53"/>
        <v>0</v>
      </c>
    </row>
    <row r="994" spans="1:7" ht="34.5">
      <c r="A994" s="309"/>
      <c r="B994" s="262" t="s">
        <v>3052</v>
      </c>
      <c r="C994" s="290" t="s">
        <v>2973</v>
      </c>
      <c r="D994" s="228"/>
      <c r="E994" s="291"/>
      <c r="F994" s="392"/>
      <c r="G994" s="421">
        <f t="shared" si="53"/>
        <v>0</v>
      </c>
    </row>
    <row r="995" spans="1:7" ht="21" customHeight="1">
      <c r="A995" s="309"/>
      <c r="B995" s="286" t="s">
        <v>3053</v>
      </c>
      <c r="C995" s="290" t="s">
        <v>1002</v>
      </c>
      <c r="D995" s="228"/>
      <c r="E995" s="291"/>
      <c r="F995" s="392"/>
      <c r="G995" s="421">
        <f t="shared" si="53"/>
        <v>0</v>
      </c>
    </row>
    <row r="996" spans="1:7" ht="22.5">
      <c r="A996" s="309"/>
      <c r="B996" s="286" t="s">
        <v>3092</v>
      </c>
      <c r="C996" s="305" t="s">
        <v>1002</v>
      </c>
      <c r="D996" s="228"/>
      <c r="E996" s="291"/>
      <c r="F996" s="392"/>
      <c r="G996" s="421">
        <f t="shared" si="53"/>
        <v>0</v>
      </c>
    </row>
    <row r="997" spans="1:7" ht="100.5">
      <c r="A997" s="309"/>
      <c r="B997" s="314" t="s">
        <v>3093</v>
      </c>
      <c r="C997" s="290" t="s">
        <v>1542</v>
      </c>
      <c r="D997" s="228"/>
      <c r="E997" s="291"/>
      <c r="F997" s="392"/>
      <c r="G997" s="421">
        <f t="shared" si="53"/>
        <v>0</v>
      </c>
    </row>
    <row r="998" spans="1:7">
      <c r="A998" s="309"/>
      <c r="B998" s="322" t="s">
        <v>1543</v>
      </c>
      <c r="C998" s="290" t="s">
        <v>2807</v>
      </c>
      <c r="D998" s="228">
        <v>455</v>
      </c>
      <c r="E998" s="290" t="s">
        <v>2807</v>
      </c>
      <c r="F998" s="400">
        <f>D998</f>
        <v>455</v>
      </c>
      <c r="G998" s="421">
        <f t="shared" si="53"/>
        <v>470.92</v>
      </c>
    </row>
    <row r="999" spans="1:7" ht="39">
      <c r="A999" s="309"/>
      <c r="B999" s="286" t="s">
        <v>3094</v>
      </c>
      <c r="C999" s="290"/>
      <c r="D999" s="228"/>
      <c r="E999" s="291"/>
      <c r="F999" s="392"/>
      <c r="G999" s="421">
        <f t="shared" si="53"/>
        <v>0</v>
      </c>
    </row>
    <row r="1000" spans="1:7" ht="22.5">
      <c r="A1000" s="309"/>
      <c r="B1000" s="332" t="s">
        <v>3095</v>
      </c>
      <c r="C1000" s="290" t="s">
        <v>2973</v>
      </c>
      <c r="D1000" s="228"/>
      <c r="E1000" s="291"/>
      <c r="F1000" s="392"/>
      <c r="G1000" s="421">
        <f t="shared" si="53"/>
        <v>0</v>
      </c>
    </row>
    <row r="1001" spans="1:7" ht="22.5">
      <c r="A1001" s="309"/>
      <c r="B1001" s="332" t="s">
        <v>1289</v>
      </c>
      <c r="C1001" s="290" t="s">
        <v>2319</v>
      </c>
      <c r="D1001" s="228"/>
      <c r="E1001" s="291"/>
      <c r="F1001" s="392"/>
      <c r="G1001" s="421">
        <f t="shared" si="53"/>
        <v>0</v>
      </c>
    </row>
    <row r="1002" spans="1:7" ht="22.5">
      <c r="A1002" s="309">
        <v>58</v>
      </c>
      <c r="B1002" s="354" t="s">
        <v>1544</v>
      </c>
      <c r="C1002" s="290"/>
      <c r="D1002" s="228"/>
      <c r="E1002" s="285"/>
      <c r="F1002" s="392"/>
      <c r="G1002" s="421">
        <f t="shared" si="53"/>
        <v>0</v>
      </c>
    </row>
    <row r="1003" spans="1:7" ht="66">
      <c r="A1003" s="309"/>
      <c r="B1003" s="262" t="s">
        <v>1545</v>
      </c>
      <c r="C1003" s="290" t="s">
        <v>1949</v>
      </c>
      <c r="D1003" s="228"/>
      <c r="E1003" s="285"/>
      <c r="F1003" s="392"/>
      <c r="G1003" s="421">
        <f t="shared" si="53"/>
        <v>0</v>
      </c>
    </row>
    <row r="1004" spans="1:7" ht="50.25">
      <c r="A1004" s="309"/>
      <c r="B1004" s="262" t="s">
        <v>1546</v>
      </c>
      <c r="C1004" s="290" t="s">
        <v>1949</v>
      </c>
      <c r="D1004" s="228"/>
      <c r="E1004" s="285"/>
      <c r="F1004" s="392"/>
      <c r="G1004" s="421">
        <f t="shared" si="53"/>
        <v>0</v>
      </c>
    </row>
    <row r="1005" spans="1:7" ht="22.5">
      <c r="A1005" s="309">
        <v>59</v>
      </c>
      <c r="B1005" s="323" t="s">
        <v>1547</v>
      </c>
      <c r="C1005" s="290"/>
      <c r="D1005" s="228"/>
      <c r="E1005" s="285"/>
      <c r="F1005" s="392"/>
      <c r="G1005" s="421">
        <f t="shared" si="53"/>
        <v>0</v>
      </c>
    </row>
    <row r="1006" spans="1:7" ht="36.75">
      <c r="A1006" s="309"/>
      <c r="B1006" s="262" t="s">
        <v>1290</v>
      </c>
      <c r="C1006" s="290" t="s">
        <v>1949</v>
      </c>
      <c r="D1006" s="228"/>
      <c r="E1006" s="285"/>
      <c r="F1006" s="392"/>
      <c r="G1006" s="421">
        <f t="shared" si="53"/>
        <v>0</v>
      </c>
    </row>
    <row r="1007" spans="1:7" ht="50.25">
      <c r="A1007" s="309"/>
      <c r="B1007" s="262" t="s">
        <v>1548</v>
      </c>
      <c r="C1007" s="296"/>
      <c r="D1007" s="228"/>
      <c r="E1007" s="285"/>
      <c r="F1007" s="392"/>
      <c r="G1007" s="421">
        <f t="shared" si="53"/>
        <v>0</v>
      </c>
    </row>
    <row r="1008" spans="1:7">
      <c r="A1008" s="309"/>
      <c r="B1008" s="369" t="s">
        <v>1549</v>
      </c>
      <c r="C1008" s="296" t="s">
        <v>2893</v>
      </c>
      <c r="D1008" s="228">
        <v>123.36</v>
      </c>
      <c r="E1008" s="290" t="s">
        <v>2807</v>
      </c>
      <c r="F1008" s="393">
        <f>FLOOR(D1008*10.76,0.01)</f>
        <v>1327.3500000000001</v>
      </c>
      <c r="G1008" s="421">
        <f t="shared" si="53"/>
        <v>1373.8</v>
      </c>
    </row>
    <row r="1009" spans="1:7">
      <c r="A1009" s="309"/>
      <c r="B1009" s="369" t="s">
        <v>1550</v>
      </c>
      <c r="C1009" s="296" t="s">
        <v>2893</v>
      </c>
      <c r="D1009" s="228"/>
      <c r="E1009" s="290" t="s">
        <v>2807</v>
      </c>
      <c r="F1009" s="393">
        <f>FLOOR(D1009*10.76,0.01)</f>
        <v>0</v>
      </c>
      <c r="G1009" s="421">
        <f t="shared" si="53"/>
        <v>0</v>
      </c>
    </row>
    <row r="1010" spans="1:7" ht="22.5">
      <c r="A1010" s="309">
        <v>60</v>
      </c>
      <c r="B1010" s="282" t="s">
        <v>1551</v>
      </c>
      <c r="C1010" s="290"/>
      <c r="D1010" s="228"/>
      <c r="E1010" s="285"/>
      <c r="F1010" s="392"/>
      <c r="G1010" s="421">
        <f t="shared" si="53"/>
        <v>0</v>
      </c>
    </row>
    <row r="1011" spans="1:7" ht="22.5">
      <c r="A1011" s="309"/>
      <c r="B1011" s="262" t="s">
        <v>1552</v>
      </c>
      <c r="C1011" s="290" t="s">
        <v>2973</v>
      </c>
      <c r="D1011" s="228">
        <v>215</v>
      </c>
      <c r="E1011" s="285"/>
      <c r="F1011" s="392"/>
      <c r="G1011" s="421">
        <f t="shared" si="53"/>
        <v>0</v>
      </c>
    </row>
    <row r="1012" spans="1:7" ht="22.5">
      <c r="A1012" s="309"/>
      <c r="B1012" s="262" t="s">
        <v>1553</v>
      </c>
      <c r="C1012" s="290" t="s">
        <v>1002</v>
      </c>
      <c r="D1012" s="228">
        <v>192</v>
      </c>
      <c r="E1012" s="285"/>
      <c r="F1012" s="392"/>
      <c r="G1012" s="421">
        <f t="shared" si="53"/>
        <v>0</v>
      </c>
    </row>
    <row r="1013" spans="1:7" ht="46.5">
      <c r="A1013" s="309"/>
      <c r="B1013" s="370" t="s">
        <v>1291</v>
      </c>
      <c r="C1013" s="371"/>
      <c r="D1013" s="228"/>
      <c r="E1013" s="372"/>
      <c r="F1013" s="392"/>
      <c r="G1013" s="421">
        <f t="shared" si="53"/>
        <v>0</v>
      </c>
    </row>
    <row r="1014" spans="1:7">
      <c r="A1014" s="309"/>
      <c r="B1014" s="373" t="s">
        <v>1554</v>
      </c>
      <c r="C1014" s="296" t="s">
        <v>2893</v>
      </c>
      <c r="D1014" s="228"/>
      <c r="E1014" s="290" t="s">
        <v>2807</v>
      </c>
      <c r="F1014" s="393">
        <f>FLOOR(D1014*10.76,0.01)</f>
        <v>0</v>
      </c>
      <c r="G1014" s="421">
        <f t="shared" si="53"/>
        <v>0</v>
      </c>
    </row>
    <row r="1015" spans="1:7">
      <c r="A1015" s="309"/>
      <c r="B1015" s="373" t="s">
        <v>3153</v>
      </c>
      <c r="C1015" s="296" t="s">
        <v>2893</v>
      </c>
      <c r="D1015" s="228"/>
      <c r="E1015" s="290" t="s">
        <v>2807</v>
      </c>
      <c r="F1015" s="393">
        <f>FLOOR(D1015*10.76,0.01)</f>
        <v>0</v>
      </c>
      <c r="G1015" s="421">
        <f t="shared" si="53"/>
        <v>0</v>
      </c>
    </row>
    <row r="1016" spans="1:7">
      <c r="A1016" s="309"/>
      <c r="B1016" s="374" t="s">
        <v>3154</v>
      </c>
      <c r="C1016" s="296"/>
      <c r="D1016" s="228"/>
      <c r="E1016" s="285"/>
      <c r="F1016" s="393">
        <f>FLOOR(D1016*10.76,0.01)</f>
        <v>0</v>
      </c>
      <c r="G1016" s="421">
        <f t="shared" si="53"/>
        <v>0</v>
      </c>
    </row>
    <row r="1017" spans="1:7">
      <c r="A1017" s="309"/>
      <c r="B1017" s="373" t="s">
        <v>1554</v>
      </c>
      <c r="C1017" s="296" t="s">
        <v>2893</v>
      </c>
      <c r="D1017" s="228"/>
      <c r="E1017" s="290" t="s">
        <v>2807</v>
      </c>
      <c r="F1017" s="393">
        <f>FLOOR(D1017*10.76,0.01)</f>
        <v>0</v>
      </c>
      <c r="G1017" s="421">
        <f t="shared" si="53"/>
        <v>0</v>
      </c>
    </row>
    <row r="1018" spans="1:7">
      <c r="A1018" s="309"/>
      <c r="B1018" s="373" t="s">
        <v>3153</v>
      </c>
      <c r="C1018" s="296" t="s">
        <v>2893</v>
      </c>
      <c r="D1018" s="228"/>
      <c r="E1018" s="290" t="s">
        <v>2807</v>
      </c>
      <c r="F1018" s="393">
        <f>FLOOR(D1018*10.76,0.01)</f>
        <v>0</v>
      </c>
      <c r="G1018" s="421">
        <f t="shared" si="53"/>
        <v>0</v>
      </c>
    </row>
    <row r="1019" spans="1:7" ht="54.75">
      <c r="A1019" s="309">
        <v>61</v>
      </c>
      <c r="B1019" s="283" t="s">
        <v>1017</v>
      </c>
      <c r="C1019" s="283"/>
      <c r="D1019" s="228"/>
      <c r="E1019" s="294"/>
      <c r="F1019" s="394"/>
      <c r="G1019" s="421">
        <f t="shared" si="53"/>
        <v>0</v>
      </c>
    </row>
    <row r="1020" spans="1:7" ht="22.5">
      <c r="A1020" s="282"/>
      <c r="B1020" s="283" t="s">
        <v>1018</v>
      </c>
      <c r="C1020" s="283"/>
      <c r="D1020" s="228"/>
      <c r="E1020" s="294"/>
      <c r="F1020" s="394"/>
      <c r="G1020" s="421">
        <f t="shared" si="53"/>
        <v>0</v>
      </c>
    </row>
    <row r="1021" spans="1:7">
      <c r="A1021" s="282"/>
      <c r="B1021" s="286" t="s">
        <v>1019</v>
      </c>
      <c r="C1021" s="290" t="s">
        <v>699</v>
      </c>
      <c r="D1021" s="228">
        <v>1362</v>
      </c>
      <c r="E1021" s="290" t="s">
        <v>699</v>
      </c>
      <c r="F1021" s="400">
        <f t="shared" ref="F1021:F1028" si="54">D1021</f>
        <v>1362</v>
      </c>
      <c r="G1021" s="421">
        <f t="shared" si="53"/>
        <v>1409.67</v>
      </c>
    </row>
    <row r="1022" spans="1:7">
      <c r="A1022" s="282"/>
      <c r="B1022" s="286" t="s">
        <v>1020</v>
      </c>
      <c r="C1022" s="290" t="s">
        <v>1002</v>
      </c>
      <c r="D1022" s="228">
        <v>1839</v>
      </c>
      <c r="E1022" s="290" t="s">
        <v>699</v>
      </c>
      <c r="F1022" s="400">
        <f t="shared" si="54"/>
        <v>1839</v>
      </c>
      <c r="G1022" s="421">
        <f t="shared" si="53"/>
        <v>1903.3600000000001</v>
      </c>
    </row>
    <row r="1023" spans="1:7">
      <c r="A1023" s="282"/>
      <c r="B1023" s="286" t="s">
        <v>1021</v>
      </c>
      <c r="C1023" s="290" t="s">
        <v>1002</v>
      </c>
      <c r="D1023" s="228">
        <v>2696</v>
      </c>
      <c r="E1023" s="290" t="s">
        <v>699</v>
      </c>
      <c r="F1023" s="400">
        <f t="shared" si="54"/>
        <v>2696</v>
      </c>
      <c r="G1023" s="421">
        <f t="shared" si="53"/>
        <v>2790.36</v>
      </c>
    </row>
    <row r="1024" spans="1:7">
      <c r="A1024" s="282"/>
      <c r="B1024" s="302" t="s">
        <v>1022</v>
      </c>
      <c r="C1024" s="290" t="s">
        <v>1002</v>
      </c>
      <c r="D1024" s="228">
        <v>3554</v>
      </c>
      <c r="E1024" s="290" t="s">
        <v>699</v>
      </c>
      <c r="F1024" s="400">
        <f t="shared" si="54"/>
        <v>3554</v>
      </c>
      <c r="G1024" s="421">
        <f t="shared" si="53"/>
        <v>3678.39</v>
      </c>
    </row>
    <row r="1025" spans="1:7">
      <c r="A1025" s="282"/>
      <c r="B1025" s="302" t="s">
        <v>1023</v>
      </c>
      <c r="C1025" s="290" t="s">
        <v>1002</v>
      </c>
      <c r="D1025" s="228">
        <v>1980</v>
      </c>
      <c r="E1025" s="290" t="s">
        <v>699</v>
      </c>
      <c r="F1025" s="400">
        <f t="shared" si="54"/>
        <v>1980</v>
      </c>
      <c r="G1025" s="421">
        <f t="shared" si="53"/>
        <v>2049.3000000000002</v>
      </c>
    </row>
    <row r="1026" spans="1:7">
      <c r="A1026" s="282"/>
      <c r="B1026" s="302" t="s">
        <v>1024</v>
      </c>
      <c r="C1026" s="290" t="s">
        <v>1002</v>
      </c>
      <c r="D1026" s="228">
        <v>2696</v>
      </c>
      <c r="E1026" s="290" t="s">
        <v>699</v>
      </c>
      <c r="F1026" s="400">
        <f t="shared" si="54"/>
        <v>2696</v>
      </c>
      <c r="G1026" s="421">
        <f t="shared" si="53"/>
        <v>2790.36</v>
      </c>
    </row>
    <row r="1027" spans="1:7">
      <c r="A1027" s="282"/>
      <c r="B1027" s="302" t="s">
        <v>1025</v>
      </c>
      <c r="C1027" s="290" t="s">
        <v>1002</v>
      </c>
      <c r="D1027" s="228">
        <v>3842</v>
      </c>
      <c r="E1027" s="290" t="s">
        <v>699</v>
      </c>
      <c r="F1027" s="400">
        <f t="shared" si="54"/>
        <v>3842</v>
      </c>
      <c r="G1027" s="421">
        <f t="shared" si="53"/>
        <v>3976.4700000000003</v>
      </c>
    </row>
    <row r="1028" spans="1:7">
      <c r="A1028" s="282"/>
      <c r="B1028" s="302" t="s">
        <v>1026</v>
      </c>
      <c r="C1028" s="290" t="s">
        <v>1002</v>
      </c>
      <c r="D1028" s="228">
        <v>4938</v>
      </c>
      <c r="E1028" s="290" t="s">
        <v>699</v>
      </c>
      <c r="F1028" s="400">
        <f t="shared" si="54"/>
        <v>4938</v>
      </c>
      <c r="G1028" s="421">
        <f t="shared" si="53"/>
        <v>5110.83</v>
      </c>
    </row>
    <row r="1029" spans="1:7">
      <c r="A1029" s="282"/>
      <c r="B1029" s="283" t="s">
        <v>1027</v>
      </c>
      <c r="C1029" s="283"/>
      <c r="D1029" s="228"/>
      <c r="E1029" s="290"/>
      <c r="F1029" s="400"/>
      <c r="G1029" s="421">
        <f t="shared" si="53"/>
        <v>0</v>
      </c>
    </row>
    <row r="1030" spans="1:7">
      <c r="A1030" s="282"/>
      <c r="B1030" s="295" t="s">
        <v>1028</v>
      </c>
      <c r="C1030" s="290" t="s">
        <v>699</v>
      </c>
      <c r="D1030" s="228">
        <v>11203</v>
      </c>
      <c r="E1030" s="290" t="s">
        <v>699</v>
      </c>
      <c r="F1030" s="400">
        <f t="shared" ref="F1030:F1037" si="55">D1030</f>
        <v>11203</v>
      </c>
      <c r="G1030" s="421">
        <f t="shared" si="53"/>
        <v>11595.1</v>
      </c>
    </row>
    <row r="1031" spans="1:7">
      <c r="A1031" s="282"/>
      <c r="B1031" s="295" t="s">
        <v>1029</v>
      </c>
      <c r="C1031" s="290" t="s">
        <v>1002</v>
      </c>
      <c r="D1031" s="228">
        <v>1504</v>
      </c>
      <c r="E1031" s="290" t="s">
        <v>699</v>
      </c>
      <c r="F1031" s="400">
        <f t="shared" si="55"/>
        <v>1504</v>
      </c>
      <c r="G1031" s="421">
        <f t="shared" si="53"/>
        <v>1556.64</v>
      </c>
    </row>
    <row r="1032" spans="1:7">
      <c r="A1032" s="282"/>
      <c r="B1032" s="332" t="s">
        <v>1030</v>
      </c>
      <c r="C1032" s="290" t="s">
        <v>1002</v>
      </c>
      <c r="D1032" s="228">
        <v>2202</v>
      </c>
      <c r="E1032" s="290" t="s">
        <v>699</v>
      </c>
      <c r="F1032" s="400">
        <f t="shared" si="55"/>
        <v>2202</v>
      </c>
      <c r="G1032" s="421">
        <f t="shared" si="53"/>
        <v>2279.0700000000002</v>
      </c>
    </row>
    <row r="1033" spans="1:7">
      <c r="A1033" s="282"/>
      <c r="B1033" s="332" t="s">
        <v>1031</v>
      </c>
      <c r="C1033" s="290" t="s">
        <v>1002</v>
      </c>
      <c r="D1033" s="228">
        <v>2905</v>
      </c>
      <c r="E1033" s="290" t="s">
        <v>699</v>
      </c>
      <c r="F1033" s="400">
        <f t="shared" si="55"/>
        <v>2905</v>
      </c>
      <c r="G1033" s="421">
        <f t="shared" si="53"/>
        <v>3006.67</v>
      </c>
    </row>
    <row r="1034" spans="1:7">
      <c r="A1034" s="282"/>
      <c r="B1034" s="332" t="s">
        <v>1032</v>
      </c>
      <c r="C1034" s="290" t="s">
        <v>1002</v>
      </c>
      <c r="D1034" s="228">
        <v>1604</v>
      </c>
      <c r="E1034" s="290" t="s">
        <v>699</v>
      </c>
      <c r="F1034" s="400">
        <f t="shared" si="55"/>
        <v>1604</v>
      </c>
      <c r="G1034" s="421">
        <f t="shared" si="53"/>
        <v>1660.14</v>
      </c>
    </row>
    <row r="1035" spans="1:7">
      <c r="A1035" s="282"/>
      <c r="B1035" s="332" t="s">
        <v>1033</v>
      </c>
      <c r="C1035" s="290" t="s">
        <v>1002</v>
      </c>
      <c r="D1035" s="228">
        <v>2182</v>
      </c>
      <c r="E1035" s="290" t="s">
        <v>699</v>
      </c>
      <c r="F1035" s="400">
        <f t="shared" si="55"/>
        <v>2182</v>
      </c>
      <c r="G1035" s="421">
        <f t="shared" si="53"/>
        <v>2258.37</v>
      </c>
    </row>
    <row r="1036" spans="1:7">
      <c r="A1036" s="282"/>
      <c r="B1036" s="332" t="s">
        <v>1034</v>
      </c>
      <c r="C1036" s="290" t="s">
        <v>1002</v>
      </c>
      <c r="D1036" s="228">
        <v>3110</v>
      </c>
      <c r="E1036" s="290" t="s">
        <v>699</v>
      </c>
      <c r="F1036" s="400">
        <f t="shared" si="55"/>
        <v>3110</v>
      </c>
      <c r="G1036" s="421">
        <f t="shared" si="53"/>
        <v>3218.85</v>
      </c>
    </row>
    <row r="1037" spans="1:7">
      <c r="A1037" s="282"/>
      <c r="B1037" s="332" t="s">
        <v>1035</v>
      </c>
      <c r="C1037" s="290" t="s">
        <v>1002</v>
      </c>
      <c r="D1037" s="228">
        <v>4076</v>
      </c>
      <c r="E1037" s="290" t="s">
        <v>699</v>
      </c>
      <c r="F1037" s="400">
        <f t="shared" si="55"/>
        <v>4076</v>
      </c>
      <c r="G1037" s="421">
        <f t="shared" ref="G1037:G1100" si="56">FLOOR(F1037*1.035,0.01)</f>
        <v>4218.66</v>
      </c>
    </row>
    <row r="1038" spans="1:7">
      <c r="A1038" s="282"/>
      <c r="B1038" s="283" t="s">
        <v>1036</v>
      </c>
      <c r="C1038" s="283"/>
      <c r="D1038" s="228"/>
      <c r="E1038" s="290"/>
      <c r="F1038" s="400"/>
      <c r="G1038" s="421">
        <f t="shared" si="56"/>
        <v>0</v>
      </c>
    </row>
    <row r="1039" spans="1:7">
      <c r="A1039" s="282"/>
      <c r="B1039" s="295" t="s">
        <v>1037</v>
      </c>
      <c r="C1039" s="290" t="s">
        <v>699</v>
      </c>
      <c r="D1039" s="228">
        <v>4620</v>
      </c>
      <c r="E1039" s="290" t="s">
        <v>699</v>
      </c>
      <c r="F1039" s="400">
        <f t="shared" ref="F1039:F1046" si="57">D1039</f>
        <v>4620</v>
      </c>
      <c r="G1039" s="421">
        <f t="shared" si="56"/>
        <v>4781.7</v>
      </c>
    </row>
    <row r="1040" spans="1:7">
      <c r="A1040" s="282"/>
      <c r="B1040" s="295" t="s">
        <v>1465</v>
      </c>
      <c r="C1040" s="290" t="s">
        <v>1002</v>
      </c>
      <c r="D1040" s="228">
        <v>6020</v>
      </c>
      <c r="E1040" s="290" t="s">
        <v>699</v>
      </c>
      <c r="F1040" s="400">
        <f t="shared" si="57"/>
        <v>6020</v>
      </c>
      <c r="G1040" s="421">
        <f t="shared" si="56"/>
        <v>6230.7</v>
      </c>
    </row>
    <row r="1041" spans="1:7">
      <c r="A1041" s="282"/>
      <c r="B1041" s="302" t="s">
        <v>1466</v>
      </c>
      <c r="C1041" s="290" t="s">
        <v>1002</v>
      </c>
      <c r="D1041" s="228">
        <v>7280</v>
      </c>
      <c r="E1041" s="290" t="s">
        <v>699</v>
      </c>
      <c r="F1041" s="400">
        <f t="shared" si="57"/>
        <v>7280</v>
      </c>
      <c r="G1041" s="421">
        <f t="shared" si="56"/>
        <v>7534.8</v>
      </c>
    </row>
    <row r="1042" spans="1:7">
      <c r="A1042" s="282"/>
      <c r="B1042" s="302" t="s">
        <v>1467</v>
      </c>
      <c r="C1042" s="290" t="s">
        <v>1002</v>
      </c>
      <c r="D1042" s="228">
        <v>8680</v>
      </c>
      <c r="E1042" s="290" t="s">
        <v>699</v>
      </c>
      <c r="F1042" s="400">
        <f t="shared" si="57"/>
        <v>8680</v>
      </c>
      <c r="G1042" s="421">
        <f t="shared" si="56"/>
        <v>8983.8000000000011</v>
      </c>
    </row>
    <row r="1043" spans="1:7">
      <c r="A1043" s="282"/>
      <c r="B1043" s="302" t="s">
        <v>1555</v>
      </c>
      <c r="C1043" s="290" t="s">
        <v>1002</v>
      </c>
      <c r="D1043" s="228">
        <v>6300</v>
      </c>
      <c r="E1043" s="290" t="s">
        <v>699</v>
      </c>
      <c r="F1043" s="400">
        <f t="shared" si="57"/>
        <v>6300</v>
      </c>
      <c r="G1043" s="421">
        <f t="shared" si="56"/>
        <v>6520.5</v>
      </c>
    </row>
    <row r="1044" spans="1:7">
      <c r="A1044" s="282"/>
      <c r="B1044" s="302" t="s">
        <v>1556</v>
      </c>
      <c r="C1044" s="290" t="s">
        <v>1002</v>
      </c>
      <c r="D1044" s="228">
        <v>8187</v>
      </c>
      <c r="E1044" s="290" t="s">
        <v>699</v>
      </c>
      <c r="F1044" s="400">
        <f t="shared" si="57"/>
        <v>8187</v>
      </c>
      <c r="G1044" s="421">
        <f t="shared" si="56"/>
        <v>8473.5400000000009</v>
      </c>
    </row>
    <row r="1045" spans="1:7">
      <c r="A1045" s="282"/>
      <c r="B1045" s="302" t="s">
        <v>1557</v>
      </c>
      <c r="C1045" s="290" t="s">
        <v>1002</v>
      </c>
      <c r="D1045" s="228">
        <v>9864</v>
      </c>
      <c r="E1045" s="290" t="s">
        <v>699</v>
      </c>
      <c r="F1045" s="400">
        <f t="shared" si="57"/>
        <v>9864</v>
      </c>
      <c r="G1045" s="421">
        <f t="shared" si="56"/>
        <v>10209.24</v>
      </c>
    </row>
    <row r="1046" spans="1:7">
      <c r="A1046" s="282"/>
      <c r="B1046" s="302" t="s">
        <v>2596</v>
      </c>
      <c r="C1046" s="290" t="s">
        <v>1002</v>
      </c>
      <c r="D1046" s="228">
        <v>11690</v>
      </c>
      <c r="E1046" s="290" t="s">
        <v>699</v>
      </c>
      <c r="F1046" s="400">
        <f t="shared" si="57"/>
        <v>11690</v>
      </c>
      <c r="G1046" s="421">
        <f t="shared" si="56"/>
        <v>12099.15</v>
      </c>
    </row>
    <row r="1047" spans="1:7">
      <c r="A1047" s="282"/>
      <c r="B1047" s="283" t="s">
        <v>1830</v>
      </c>
      <c r="C1047" s="283"/>
      <c r="D1047" s="228"/>
      <c r="E1047" s="290"/>
      <c r="F1047" s="400"/>
      <c r="G1047" s="421">
        <f t="shared" si="56"/>
        <v>0</v>
      </c>
    </row>
    <row r="1048" spans="1:7">
      <c r="A1048" s="282"/>
      <c r="B1048" s="295" t="s">
        <v>1037</v>
      </c>
      <c r="C1048" s="290" t="s">
        <v>699</v>
      </c>
      <c r="D1048" s="228">
        <v>3732</v>
      </c>
      <c r="E1048" s="290" t="s">
        <v>699</v>
      </c>
      <c r="F1048" s="400">
        <f t="shared" ref="F1048:F1055" si="58">D1048</f>
        <v>3732</v>
      </c>
      <c r="G1048" s="421">
        <f t="shared" si="56"/>
        <v>3862.62</v>
      </c>
    </row>
    <row r="1049" spans="1:7">
      <c r="A1049" s="282"/>
      <c r="B1049" s="295" t="s">
        <v>1465</v>
      </c>
      <c r="C1049" s="290" t="s">
        <v>1002</v>
      </c>
      <c r="D1049" s="228">
        <v>4880</v>
      </c>
      <c r="E1049" s="290" t="s">
        <v>699</v>
      </c>
      <c r="F1049" s="400">
        <f t="shared" si="58"/>
        <v>4880</v>
      </c>
      <c r="G1049" s="421">
        <f t="shared" si="56"/>
        <v>5050.8</v>
      </c>
    </row>
    <row r="1050" spans="1:7">
      <c r="A1050" s="282"/>
      <c r="B1050" s="302" t="s">
        <v>1466</v>
      </c>
      <c r="C1050" s="290" t="s">
        <v>1002</v>
      </c>
      <c r="D1050" s="228">
        <v>5884</v>
      </c>
      <c r="E1050" s="290" t="s">
        <v>699</v>
      </c>
      <c r="F1050" s="400">
        <f t="shared" si="58"/>
        <v>5884</v>
      </c>
      <c r="G1050" s="421">
        <f t="shared" si="56"/>
        <v>6089.9400000000005</v>
      </c>
    </row>
    <row r="1051" spans="1:7">
      <c r="A1051" s="282"/>
      <c r="B1051" s="302" t="s">
        <v>1467</v>
      </c>
      <c r="C1051" s="290" t="s">
        <v>1002</v>
      </c>
      <c r="D1051" s="228">
        <v>6889</v>
      </c>
      <c r="E1051" s="290" t="s">
        <v>699</v>
      </c>
      <c r="F1051" s="400">
        <f t="shared" si="58"/>
        <v>6889</v>
      </c>
      <c r="G1051" s="421">
        <f t="shared" si="56"/>
        <v>7130.1100000000006</v>
      </c>
    </row>
    <row r="1052" spans="1:7">
      <c r="A1052" s="282"/>
      <c r="B1052" s="302" t="s">
        <v>1831</v>
      </c>
      <c r="C1052" s="290" t="s">
        <v>1002</v>
      </c>
      <c r="D1052" s="228">
        <v>5167</v>
      </c>
      <c r="E1052" s="290" t="s">
        <v>699</v>
      </c>
      <c r="F1052" s="400">
        <f t="shared" si="58"/>
        <v>5167</v>
      </c>
      <c r="G1052" s="421">
        <f t="shared" si="56"/>
        <v>5347.84</v>
      </c>
    </row>
    <row r="1053" spans="1:7">
      <c r="A1053" s="282"/>
      <c r="B1053" s="302" t="s">
        <v>1556</v>
      </c>
      <c r="C1053" s="290" t="s">
        <v>1002</v>
      </c>
      <c r="D1053" s="228">
        <v>6674</v>
      </c>
      <c r="E1053" s="290" t="s">
        <v>699</v>
      </c>
      <c r="F1053" s="400">
        <f t="shared" si="58"/>
        <v>6674</v>
      </c>
      <c r="G1053" s="421">
        <f t="shared" si="56"/>
        <v>6907.59</v>
      </c>
    </row>
    <row r="1054" spans="1:7">
      <c r="A1054" s="282"/>
      <c r="B1054" s="302" t="s">
        <v>1832</v>
      </c>
      <c r="C1054" s="290" t="s">
        <v>1002</v>
      </c>
      <c r="D1054" s="228">
        <v>8253</v>
      </c>
      <c r="E1054" s="290" t="s">
        <v>699</v>
      </c>
      <c r="F1054" s="400">
        <f t="shared" si="58"/>
        <v>8253</v>
      </c>
      <c r="G1054" s="421">
        <f t="shared" si="56"/>
        <v>8541.85</v>
      </c>
    </row>
    <row r="1055" spans="1:7">
      <c r="A1055" s="282"/>
      <c r="B1055" s="302" t="s">
        <v>2596</v>
      </c>
      <c r="C1055" s="290" t="s">
        <v>1002</v>
      </c>
      <c r="D1055" s="228">
        <v>9830</v>
      </c>
      <c r="E1055" s="290" t="s">
        <v>699</v>
      </c>
      <c r="F1055" s="400">
        <f t="shared" si="58"/>
        <v>9830</v>
      </c>
      <c r="G1055" s="421">
        <f t="shared" si="56"/>
        <v>10174.050000000001</v>
      </c>
    </row>
    <row r="1056" spans="1:7">
      <c r="A1056" s="282"/>
      <c r="B1056" s="283" t="s">
        <v>1833</v>
      </c>
      <c r="C1056" s="283"/>
      <c r="D1056" s="228"/>
      <c r="E1056" s="290"/>
      <c r="F1056" s="400"/>
      <c r="G1056" s="421">
        <f t="shared" si="56"/>
        <v>0</v>
      </c>
    </row>
    <row r="1057" spans="1:7">
      <c r="A1057" s="282"/>
      <c r="B1057" s="286" t="s">
        <v>1834</v>
      </c>
      <c r="C1057" s="290" t="s">
        <v>699</v>
      </c>
      <c r="D1057" s="228">
        <v>2642</v>
      </c>
      <c r="E1057" s="290" t="s">
        <v>699</v>
      </c>
      <c r="F1057" s="400">
        <f t="shared" ref="F1057:F1068" si="59">D1057</f>
        <v>2642</v>
      </c>
      <c r="G1057" s="421">
        <f t="shared" si="56"/>
        <v>2734.4700000000003</v>
      </c>
    </row>
    <row r="1058" spans="1:7">
      <c r="A1058" s="282"/>
      <c r="B1058" s="295" t="s">
        <v>1835</v>
      </c>
      <c r="C1058" s="290" t="s">
        <v>1002</v>
      </c>
      <c r="D1058" s="228">
        <v>3463</v>
      </c>
      <c r="E1058" s="290" t="s">
        <v>699</v>
      </c>
      <c r="F1058" s="400">
        <f t="shared" si="59"/>
        <v>3463</v>
      </c>
      <c r="G1058" s="421">
        <f t="shared" si="56"/>
        <v>3584.2000000000003</v>
      </c>
    </row>
    <row r="1059" spans="1:7">
      <c r="A1059" s="282"/>
      <c r="B1059" s="332" t="s">
        <v>1836</v>
      </c>
      <c r="C1059" s="290" t="s">
        <v>1002</v>
      </c>
      <c r="D1059" s="228">
        <v>4286</v>
      </c>
      <c r="E1059" s="290" t="s">
        <v>699</v>
      </c>
      <c r="F1059" s="400">
        <f t="shared" si="59"/>
        <v>4286</v>
      </c>
      <c r="G1059" s="421">
        <f t="shared" si="56"/>
        <v>4436.01</v>
      </c>
    </row>
    <row r="1060" spans="1:7">
      <c r="A1060" s="282"/>
      <c r="B1060" s="332" t="s">
        <v>1837</v>
      </c>
      <c r="C1060" s="290" t="s">
        <v>1002</v>
      </c>
      <c r="D1060" s="228">
        <v>5106</v>
      </c>
      <c r="E1060" s="290" t="s">
        <v>699</v>
      </c>
      <c r="F1060" s="400">
        <f t="shared" si="59"/>
        <v>5106</v>
      </c>
      <c r="G1060" s="421">
        <f t="shared" si="56"/>
        <v>5284.71</v>
      </c>
    </row>
    <row r="1061" spans="1:7">
      <c r="A1061" s="282"/>
      <c r="B1061" s="332" t="s">
        <v>1838</v>
      </c>
      <c r="C1061" s="290" t="s">
        <v>1002</v>
      </c>
      <c r="D1061" s="228">
        <v>2802</v>
      </c>
      <c r="E1061" s="290" t="s">
        <v>699</v>
      </c>
      <c r="F1061" s="400">
        <f t="shared" si="59"/>
        <v>2802</v>
      </c>
      <c r="G1061" s="421">
        <f t="shared" si="56"/>
        <v>2900.07</v>
      </c>
    </row>
    <row r="1062" spans="1:7">
      <c r="A1062" s="282"/>
      <c r="B1062" s="332" t="s">
        <v>1839</v>
      </c>
      <c r="C1062" s="290" t="s">
        <v>1002</v>
      </c>
      <c r="D1062" s="228">
        <v>3664</v>
      </c>
      <c r="E1062" s="290" t="s">
        <v>699</v>
      </c>
      <c r="F1062" s="400">
        <f t="shared" si="59"/>
        <v>3664</v>
      </c>
      <c r="G1062" s="421">
        <f t="shared" si="56"/>
        <v>3792.2400000000002</v>
      </c>
    </row>
    <row r="1063" spans="1:7">
      <c r="A1063" s="282"/>
      <c r="B1063" s="332" t="s">
        <v>1840</v>
      </c>
      <c r="C1063" s="290" t="s">
        <v>1002</v>
      </c>
      <c r="D1063" s="228">
        <v>4525</v>
      </c>
      <c r="E1063" s="290" t="s">
        <v>699</v>
      </c>
      <c r="F1063" s="400">
        <f t="shared" si="59"/>
        <v>4525</v>
      </c>
      <c r="G1063" s="421">
        <f t="shared" si="56"/>
        <v>4683.37</v>
      </c>
    </row>
    <row r="1064" spans="1:7">
      <c r="A1064" s="282"/>
      <c r="B1064" s="332" t="s">
        <v>1841</v>
      </c>
      <c r="C1064" s="290" t="s">
        <v>1002</v>
      </c>
      <c r="D1064" s="228">
        <v>5388</v>
      </c>
      <c r="E1064" s="290" t="s">
        <v>699</v>
      </c>
      <c r="F1064" s="400">
        <f t="shared" si="59"/>
        <v>5388</v>
      </c>
      <c r="G1064" s="421">
        <f t="shared" si="56"/>
        <v>5576.58</v>
      </c>
    </row>
    <row r="1065" spans="1:7">
      <c r="A1065" s="282"/>
      <c r="B1065" s="332" t="s">
        <v>1842</v>
      </c>
      <c r="C1065" s="290" t="s">
        <v>1002</v>
      </c>
      <c r="D1065" s="228">
        <v>2994</v>
      </c>
      <c r="E1065" s="290" t="s">
        <v>699</v>
      </c>
      <c r="F1065" s="400">
        <f t="shared" si="59"/>
        <v>2994</v>
      </c>
      <c r="G1065" s="421">
        <f t="shared" si="56"/>
        <v>3098.79</v>
      </c>
    </row>
    <row r="1066" spans="1:7">
      <c r="A1066" s="282"/>
      <c r="B1066" s="332" t="s">
        <v>1843</v>
      </c>
      <c r="C1066" s="290" t="s">
        <v>1002</v>
      </c>
      <c r="D1066" s="228">
        <v>3904</v>
      </c>
      <c r="E1066" s="290" t="s">
        <v>699</v>
      </c>
      <c r="F1066" s="400">
        <f t="shared" si="59"/>
        <v>3904</v>
      </c>
      <c r="G1066" s="421">
        <f t="shared" si="56"/>
        <v>4040.64</v>
      </c>
    </row>
    <row r="1067" spans="1:7">
      <c r="A1067" s="282"/>
      <c r="B1067" s="332" t="s">
        <v>1844</v>
      </c>
      <c r="C1067" s="290" t="s">
        <v>1002</v>
      </c>
      <c r="D1067" s="228">
        <v>4812</v>
      </c>
      <c r="E1067" s="290" t="s">
        <v>699</v>
      </c>
      <c r="F1067" s="400">
        <f t="shared" si="59"/>
        <v>4812</v>
      </c>
      <c r="G1067" s="421">
        <f t="shared" si="56"/>
        <v>4980.42</v>
      </c>
    </row>
    <row r="1068" spans="1:7">
      <c r="A1068" s="282"/>
      <c r="B1068" s="332" t="s">
        <v>1845</v>
      </c>
      <c r="C1068" s="290" t="s">
        <v>1002</v>
      </c>
      <c r="D1068" s="228">
        <v>5722</v>
      </c>
      <c r="E1068" s="290" t="s">
        <v>699</v>
      </c>
      <c r="F1068" s="400">
        <f t="shared" si="59"/>
        <v>5722</v>
      </c>
      <c r="G1068" s="421">
        <f t="shared" si="56"/>
        <v>5922.27</v>
      </c>
    </row>
    <row r="1069" spans="1:7">
      <c r="A1069" s="282"/>
      <c r="B1069" s="283" t="s">
        <v>1846</v>
      </c>
      <c r="C1069" s="283"/>
      <c r="D1069" s="228"/>
      <c r="E1069" s="294"/>
      <c r="F1069" s="400"/>
      <c r="G1069" s="421">
        <f t="shared" si="56"/>
        <v>0</v>
      </c>
    </row>
    <row r="1070" spans="1:7">
      <c r="A1070" s="282"/>
      <c r="B1070" s="295" t="s">
        <v>1847</v>
      </c>
      <c r="C1070" s="290" t="s">
        <v>1870</v>
      </c>
      <c r="D1070" s="228">
        <v>1910</v>
      </c>
      <c r="E1070" s="290" t="s">
        <v>1870</v>
      </c>
      <c r="F1070" s="400">
        <f t="shared" ref="F1070:F1075" si="60">D1070</f>
        <v>1910</v>
      </c>
      <c r="G1070" s="421">
        <f t="shared" si="56"/>
        <v>1976.8500000000001</v>
      </c>
    </row>
    <row r="1071" spans="1:7">
      <c r="A1071" s="282"/>
      <c r="B1071" s="295" t="s">
        <v>176</v>
      </c>
      <c r="C1071" s="290" t="s">
        <v>1002</v>
      </c>
      <c r="D1071" s="228">
        <v>201</v>
      </c>
      <c r="E1071" s="290" t="s">
        <v>1870</v>
      </c>
      <c r="F1071" s="400">
        <f t="shared" si="60"/>
        <v>201</v>
      </c>
      <c r="G1071" s="421">
        <f t="shared" si="56"/>
        <v>208.03</v>
      </c>
    </row>
    <row r="1072" spans="1:7">
      <c r="A1072" s="282"/>
      <c r="B1072" s="302" t="s">
        <v>177</v>
      </c>
      <c r="C1072" s="290" t="s">
        <v>1002</v>
      </c>
      <c r="D1072" s="228">
        <v>226</v>
      </c>
      <c r="E1072" s="290" t="s">
        <v>1870</v>
      </c>
      <c r="F1072" s="400">
        <f t="shared" si="60"/>
        <v>226</v>
      </c>
      <c r="G1072" s="421">
        <f t="shared" si="56"/>
        <v>233.91</v>
      </c>
    </row>
    <row r="1073" spans="1:7">
      <c r="A1073" s="282"/>
      <c r="B1073" s="283" t="s">
        <v>178</v>
      </c>
      <c r="C1073" s="283"/>
      <c r="D1073" s="228"/>
      <c r="E1073" s="294"/>
      <c r="F1073" s="400">
        <f t="shared" si="60"/>
        <v>0</v>
      </c>
      <c r="G1073" s="421">
        <f t="shared" si="56"/>
        <v>0</v>
      </c>
    </row>
    <row r="1074" spans="1:7">
      <c r="A1074" s="282"/>
      <c r="B1074" s="295" t="s">
        <v>1847</v>
      </c>
      <c r="C1074" s="290" t="s">
        <v>1870</v>
      </c>
      <c r="D1074" s="228">
        <v>304</v>
      </c>
      <c r="E1074" s="290" t="s">
        <v>1870</v>
      </c>
      <c r="F1074" s="400">
        <f t="shared" si="60"/>
        <v>304</v>
      </c>
      <c r="G1074" s="421">
        <f t="shared" si="56"/>
        <v>314.64</v>
      </c>
    </row>
    <row r="1075" spans="1:7">
      <c r="A1075" s="282"/>
      <c r="B1075" s="295" t="s">
        <v>176</v>
      </c>
      <c r="C1075" s="290" t="s">
        <v>1002</v>
      </c>
      <c r="D1075" s="228">
        <v>273</v>
      </c>
      <c r="E1075" s="290" t="s">
        <v>1870</v>
      </c>
      <c r="F1075" s="400">
        <f t="shared" si="60"/>
        <v>273</v>
      </c>
      <c r="G1075" s="421">
        <f t="shared" si="56"/>
        <v>282.55</v>
      </c>
    </row>
    <row r="1076" spans="1:7">
      <c r="A1076" s="309"/>
      <c r="B1076" s="375" t="s">
        <v>3155</v>
      </c>
      <c r="C1076" s="375"/>
      <c r="D1076" s="228"/>
      <c r="E1076" s="376"/>
      <c r="F1076" s="400"/>
      <c r="G1076" s="421">
        <f t="shared" si="56"/>
        <v>0</v>
      </c>
    </row>
    <row r="1077" spans="1:7">
      <c r="A1077" s="309"/>
      <c r="B1077" s="373" t="s">
        <v>3156</v>
      </c>
      <c r="C1077" s="373"/>
      <c r="D1077" s="228"/>
      <c r="E1077" s="285"/>
      <c r="F1077" s="400"/>
      <c r="G1077" s="421">
        <f t="shared" si="56"/>
        <v>0</v>
      </c>
    </row>
    <row r="1078" spans="1:7">
      <c r="A1078" s="309"/>
      <c r="B1078" s="373" t="s">
        <v>3157</v>
      </c>
      <c r="C1078" s="373"/>
      <c r="D1078" s="228"/>
      <c r="E1078" s="285"/>
      <c r="F1078" s="400"/>
      <c r="G1078" s="421">
        <f t="shared" si="56"/>
        <v>0</v>
      </c>
    </row>
    <row r="1079" spans="1:7">
      <c r="A1079" s="309"/>
      <c r="B1079" s="373" t="s">
        <v>3158</v>
      </c>
      <c r="C1079" s="373"/>
      <c r="D1079" s="228"/>
      <c r="E1079" s="285"/>
      <c r="F1079" s="400"/>
      <c r="G1079" s="421">
        <f t="shared" si="56"/>
        <v>0</v>
      </c>
    </row>
    <row r="1080" spans="1:7">
      <c r="A1080" s="309"/>
      <c r="B1080" s="373" t="s">
        <v>3159</v>
      </c>
      <c r="C1080" s="373"/>
      <c r="D1080" s="228"/>
      <c r="E1080" s="285"/>
      <c r="F1080" s="400"/>
      <c r="G1080" s="421">
        <f t="shared" si="56"/>
        <v>0</v>
      </c>
    </row>
    <row r="1081" spans="1:7">
      <c r="A1081" s="309"/>
      <c r="B1081" s="373" t="s">
        <v>3160</v>
      </c>
      <c r="C1081" s="373"/>
      <c r="D1081" s="228"/>
      <c r="E1081" s="285"/>
      <c r="F1081" s="400"/>
      <c r="G1081" s="421">
        <f t="shared" si="56"/>
        <v>0</v>
      </c>
    </row>
    <row r="1082" spans="1:7">
      <c r="A1082" s="309"/>
      <c r="B1082" s="373" t="s">
        <v>3161</v>
      </c>
      <c r="C1082" s="373"/>
      <c r="D1082" s="228"/>
      <c r="E1082" s="285"/>
      <c r="F1082" s="400"/>
      <c r="G1082" s="421">
        <f t="shared" si="56"/>
        <v>0</v>
      </c>
    </row>
    <row r="1083" spans="1:7">
      <c r="A1083" s="309"/>
      <c r="B1083" s="373" t="s">
        <v>3162</v>
      </c>
      <c r="C1083" s="373"/>
      <c r="D1083" s="228"/>
      <c r="E1083" s="285"/>
      <c r="F1083" s="400"/>
      <c r="G1083" s="421">
        <f t="shared" si="56"/>
        <v>0</v>
      </c>
    </row>
    <row r="1084" spans="1:7">
      <c r="A1084" s="309">
        <v>62</v>
      </c>
      <c r="B1084" s="377" t="s">
        <v>3163</v>
      </c>
      <c r="C1084" s="362"/>
      <c r="D1084" s="228"/>
      <c r="E1084" s="335"/>
      <c r="F1084" s="400"/>
      <c r="G1084" s="421">
        <f t="shared" si="56"/>
        <v>0</v>
      </c>
    </row>
    <row r="1085" spans="1:7">
      <c r="A1085" s="309"/>
      <c r="B1085" s="378" t="s">
        <v>2414</v>
      </c>
      <c r="C1085" s="296"/>
      <c r="D1085" s="228"/>
      <c r="E1085" s="285"/>
      <c r="F1085" s="400"/>
      <c r="G1085" s="421">
        <f t="shared" si="56"/>
        <v>0</v>
      </c>
    </row>
    <row r="1086" spans="1:7">
      <c r="A1086" s="309"/>
      <c r="B1086" s="320" t="s">
        <v>3164</v>
      </c>
      <c r="C1086" s="5" t="s">
        <v>699</v>
      </c>
      <c r="D1086" s="228">
        <v>16500</v>
      </c>
      <c r="E1086" s="5" t="s">
        <v>699</v>
      </c>
      <c r="F1086" s="400">
        <f t="shared" ref="F1086:F1095" si="61">D1086</f>
        <v>16500</v>
      </c>
      <c r="G1086" s="421">
        <f t="shared" si="56"/>
        <v>17077.5</v>
      </c>
    </row>
    <row r="1087" spans="1:7">
      <c r="A1087" s="309"/>
      <c r="B1087" s="320" t="s">
        <v>3165</v>
      </c>
      <c r="C1087" s="5" t="s">
        <v>699</v>
      </c>
      <c r="D1087" s="228">
        <v>382000</v>
      </c>
      <c r="E1087" s="5" t="s">
        <v>699</v>
      </c>
      <c r="F1087" s="400">
        <f t="shared" si="61"/>
        <v>382000</v>
      </c>
      <c r="G1087" s="421">
        <f t="shared" si="56"/>
        <v>395370</v>
      </c>
    </row>
    <row r="1088" spans="1:7">
      <c r="A1088" s="309"/>
      <c r="B1088" s="320" t="s">
        <v>3166</v>
      </c>
      <c r="C1088" s="5" t="s">
        <v>699</v>
      </c>
      <c r="D1088" s="228">
        <v>276000</v>
      </c>
      <c r="E1088" s="5" t="s">
        <v>699</v>
      </c>
      <c r="F1088" s="400">
        <f t="shared" si="61"/>
        <v>276000</v>
      </c>
      <c r="G1088" s="421">
        <f t="shared" si="56"/>
        <v>285660</v>
      </c>
    </row>
    <row r="1089" spans="1:7">
      <c r="A1089" s="309"/>
      <c r="B1089" s="320" t="s">
        <v>3167</v>
      </c>
      <c r="C1089" s="5" t="s">
        <v>699</v>
      </c>
      <c r="D1089" s="228">
        <v>215000</v>
      </c>
      <c r="E1089" s="5" t="s">
        <v>699</v>
      </c>
      <c r="F1089" s="400">
        <f t="shared" si="61"/>
        <v>215000</v>
      </c>
      <c r="G1089" s="421">
        <f t="shared" si="56"/>
        <v>222525</v>
      </c>
    </row>
    <row r="1090" spans="1:7">
      <c r="A1090" s="309"/>
      <c r="B1090" s="320" t="s">
        <v>3168</v>
      </c>
      <c r="C1090" s="5" t="s">
        <v>699</v>
      </c>
      <c r="D1090" s="228">
        <v>28000</v>
      </c>
      <c r="E1090" s="5" t="s">
        <v>699</v>
      </c>
      <c r="F1090" s="400">
        <f t="shared" si="61"/>
        <v>28000</v>
      </c>
      <c r="G1090" s="421">
        <f t="shared" si="56"/>
        <v>28980</v>
      </c>
    </row>
    <row r="1091" spans="1:7">
      <c r="A1091" s="309"/>
      <c r="B1091" s="320" t="s">
        <v>3169</v>
      </c>
      <c r="C1091" s="5" t="s">
        <v>699</v>
      </c>
      <c r="D1091" s="228">
        <v>13500</v>
      </c>
      <c r="E1091" s="5" t="s">
        <v>699</v>
      </c>
      <c r="F1091" s="400">
        <f t="shared" si="61"/>
        <v>13500</v>
      </c>
      <c r="G1091" s="421">
        <f t="shared" si="56"/>
        <v>13972.5</v>
      </c>
    </row>
    <row r="1092" spans="1:7">
      <c r="A1092" s="309"/>
      <c r="B1092" s="378" t="s">
        <v>3170</v>
      </c>
      <c r="C1092" s="296"/>
      <c r="D1092" s="228"/>
      <c r="E1092" s="285"/>
      <c r="F1092" s="400">
        <f t="shared" si="61"/>
        <v>0</v>
      </c>
      <c r="G1092" s="421">
        <f t="shared" si="56"/>
        <v>0</v>
      </c>
    </row>
    <row r="1093" spans="1:7">
      <c r="A1093" s="379"/>
      <c r="B1093" s="345" t="s">
        <v>3171</v>
      </c>
      <c r="C1093" s="296" t="s">
        <v>3178</v>
      </c>
      <c r="D1093" s="228">
        <v>8430</v>
      </c>
      <c r="E1093" s="290" t="s">
        <v>1870</v>
      </c>
      <c r="F1093" s="400">
        <f t="shared" si="61"/>
        <v>8430</v>
      </c>
      <c r="G1093" s="421">
        <f t="shared" si="56"/>
        <v>8725.0499999999993</v>
      </c>
    </row>
    <row r="1094" spans="1:7">
      <c r="A1094" s="379"/>
      <c r="B1094" s="345" t="s">
        <v>3172</v>
      </c>
      <c r="C1094" s="296" t="s">
        <v>3178</v>
      </c>
      <c r="D1094" s="228">
        <v>9641</v>
      </c>
      <c r="E1094" s="290" t="s">
        <v>1870</v>
      </c>
      <c r="F1094" s="400">
        <f t="shared" si="61"/>
        <v>9641</v>
      </c>
      <c r="G1094" s="421">
        <f t="shared" si="56"/>
        <v>9978.43</v>
      </c>
    </row>
    <row r="1095" spans="1:7">
      <c r="A1095" s="379"/>
      <c r="B1095" s="345" t="s">
        <v>3173</v>
      </c>
      <c r="C1095" s="296" t="s">
        <v>3178</v>
      </c>
      <c r="D1095" s="228">
        <v>10116</v>
      </c>
      <c r="E1095" s="290" t="s">
        <v>1870</v>
      </c>
      <c r="F1095" s="400">
        <f t="shared" si="61"/>
        <v>10116</v>
      </c>
      <c r="G1095" s="421">
        <f t="shared" si="56"/>
        <v>10470.06</v>
      </c>
    </row>
    <row r="1096" spans="1:7">
      <c r="A1096" s="309"/>
      <c r="B1096" s="378" t="s">
        <v>3163</v>
      </c>
      <c r="C1096" s="380"/>
      <c r="D1096" s="228"/>
      <c r="E1096" s="335"/>
      <c r="F1096" s="400"/>
      <c r="G1096" s="421">
        <f t="shared" si="56"/>
        <v>0</v>
      </c>
    </row>
    <row r="1097" spans="1:7" ht="57">
      <c r="A1097" s="309"/>
      <c r="B1097" s="345" t="s">
        <v>2415</v>
      </c>
      <c r="C1097" s="5" t="s">
        <v>699</v>
      </c>
      <c r="D1097" s="228">
        <v>33333</v>
      </c>
      <c r="E1097" s="5" t="s">
        <v>699</v>
      </c>
      <c r="F1097" s="400">
        <f t="shared" ref="F1097:F1103" si="62">D1097</f>
        <v>33333</v>
      </c>
      <c r="G1097" s="421">
        <f t="shared" si="56"/>
        <v>34499.65</v>
      </c>
    </row>
    <row r="1098" spans="1:7" ht="57">
      <c r="A1098" s="309"/>
      <c r="B1098" s="345" t="s">
        <v>2416</v>
      </c>
      <c r="C1098" s="5" t="s">
        <v>699</v>
      </c>
      <c r="D1098" s="228">
        <v>89999</v>
      </c>
      <c r="E1098" s="5" t="s">
        <v>699</v>
      </c>
      <c r="F1098" s="400">
        <f t="shared" si="62"/>
        <v>89999</v>
      </c>
      <c r="G1098" s="421">
        <f t="shared" si="56"/>
        <v>93148.96</v>
      </c>
    </row>
    <row r="1099" spans="1:7" ht="27">
      <c r="A1099" s="309"/>
      <c r="B1099" s="345" t="s">
        <v>3174</v>
      </c>
      <c r="C1099" s="5" t="s">
        <v>699</v>
      </c>
      <c r="D1099" s="228">
        <v>20000</v>
      </c>
      <c r="E1099" s="5" t="s">
        <v>699</v>
      </c>
      <c r="F1099" s="400">
        <f t="shared" si="62"/>
        <v>20000</v>
      </c>
      <c r="G1099" s="421">
        <f t="shared" si="56"/>
        <v>20700</v>
      </c>
    </row>
    <row r="1100" spans="1:7" ht="27">
      <c r="A1100" s="309"/>
      <c r="B1100" s="345" t="s">
        <v>1531</v>
      </c>
      <c r="C1100" s="5" t="s">
        <v>699</v>
      </c>
      <c r="D1100" s="228">
        <v>12500</v>
      </c>
      <c r="E1100" s="5" t="s">
        <v>699</v>
      </c>
      <c r="F1100" s="400">
        <f t="shared" si="62"/>
        <v>12500</v>
      </c>
      <c r="G1100" s="421">
        <f t="shared" si="56"/>
        <v>12937.5</v>
      </c>
    </row>
    <row r="1101" spans="1:7">
      <c r="A1101" s="309"/>
      <c r="B1101" s="345" t="s">
        <v>1532</v>
      </c>
      <c r="C1101" s="5" t="s">
        <v>699</v>
      </c>
      <c r="D1101" s="228">
        <v>35000</v>
      </c>
      <c r="E1101" s="5" t="s">
        <v>699</v>
      </c>
      <c r="F1101" s="400">
        <f t="shared" si="62"/>
        <v>35000</v>
      </c>
      <c r="G1101" s="421">
        <f t="shared" ref="G1101:G1164" si="63">FLOOR(F1101*1.035,0.01)</f>
        <v>36225</v>
      </c>
    </row>
    <row r="1102" spans="1:7">
      <c r="A1102" s="309"/>
      <c r="B1102" s="345" t="s">
        <v>3132</v>
      </c>
      <c r="C1102" s="5" t="s">
        <v>699</v>
      </c>
      <c r="D1102" s="228">
        <v>35000</v>
      </c>
      <c r="E1102" s="5" t="s">
        <v>699</v>
      </c>
      <c r="F1102" s="400">
        <f t="shared" si="62"/>
        <v>35000</v>
      </c>
      <c r="G1102" s="421">
        <f t="shared" si="63"/>
        <v>36225</v>
      </c>
    </row>
    <row r="1103" spans="1:7" ht="27">
      <c r="A1103" s="309"/>
      <c r="B1103" s="345" t="s">
        <v>3133</v>
      </c>
      <c r="C1103" s="5" t="s">
        <v>699</v>
      </c>
      <c r="D1103" s="228">
        <v>24999</v>
      </c>
      <c r="E1103" s="5" t="s">
        <v>699</v>
      </c>
      <c r="F1103" s="400">
        <f t="shared" si="62"/>
        <v>24999</v>
      </c>
      <c r="G1103" s="421">
        <f t="shared" si="63"/>
        <v>25873.96</v>
      </c>
    </row>
    <row r="1104" spans="1:7" ht="45">
      <c r="A1104" s="309"/>
      <c r="B1104" s="345" t="s">
        <v>2417</v>
      </c>
      <c r="C1104" s="5"/>
      <c r="D1104" s="228"/>
      <c r="E1104" s="5"/>
      <c r="F1104" s="400"/>
      <c r="G1104" s="421">
        <f t="shared" si="63"/>
        <v>0</v>
      </c>
    </row>
    <row r="1105" spans="1:7">
      <c r="A1105" s="309"/>
      <c r="B1105" s="352" t="s">
        <v>3134</v>
      </c>
      <c r="C1105" s="5" t="s">
        <v>699</v>
      </c>
      <c r="D1105" s="228">
        <v>4000</v>
      </c>
      <c r="E1105" s="5" t="s">
        <v>699</v>
      </c>
      <c r="F1105" s="400">
        <f>D1105</f>
        <v>4000</v>
      </c>
      <c r="G1105" s="421">
        <f t="shared" si="63"/>
        <v>4140</v>
      </c>
    </row>
    <row r="1106" spans="1:7">
      <c r="A1106" s="309"/>
      <c r="B1106" s="352" t="s">
        <v>3135</v>
      </c>
      <c r="C1106" s="5" t="s">
        <v>699</v>
      </c>
      <c r="D1106" s="228">
        <v>5500</v>
      </c>
      <c r="E1106" s="5" t="s">
        <v>699</v>
      </c>
      <c r="F1106" s="400">
        <f>D1106</f>
        <v>5500</v>
      </c>
      <c r="G1106" s="421">
        <f t="shared" si="63"/>
        <v>5692.5</v>
      </c>
    </row>
    <row r="1107" spans="1:7">
      <c r="A1107" s="309"/>
      <c r="B1107" s="352" t="s">
        <v>3136</v>
      </c>
      <c r="C1107" s="5" t="s">
        <v>699</v>
      </c>
      <c r="D1107" s="228">
        <v>9000</v>
      </c>
      <c r="E1107" s="5" t="s">
        <v>699</v>
      </c>
      <c r="F1107" s="400">
        <f>D1107</f>
        <v>9000</v>
      </c>
      <c r="G1107" s="421">
        <f t="shared" si="63"/>
        <v>9315</v>
      </c>
    </row>
    <row r="1108" spans="1:7">
      <c r="A1108" s="309">
        <v>63</v>
      </c>
      <c r="B1108" s="309" t="s">
        <v>3188</v>
      </c>
      <c r="C1108" s="381"/>
      <c r="D1108" s="228"/>
      <c r="E1108" s="285"/>
      <c r="F1108" s="400"/>
      <c r="G1108" s="421">
        <f t="shared" si="63"/>
        <v>0</v>
      </c>
    </row>
    <row r="1109" spans="1:7">
      <c r="A1109" s="362"/>
      <c r="B1109" s="318" t="s">
        <v>3189</v>
      </c>
      <c r="C1109" s="296" t="s">
        <v>3190</v>
      </c>
      <c r="D1109" s="228">
        <v>400</v>
      </c>
      <c r="E1109" s="5" t="s">
        <v>2471</v>
      </c>
      <c r="F1109" s="400">
        <f t="shared" ref="F1109:F1140" si="64">D1109</f>
        <v>400</v>
      </c>
      <c r="G1109" s="421">
        <f t="shared" si="63"/>
        <v>414</v>
      </c>
    </row>
    <row r="1110" spans="1:7">
      <c r="A1110" s="362"/>
      <c r="B1110" s="318" t="s">
        <v>3191</v>
      </c>
      <c r="C1110" s="296" t="s">
        <v>1002</v>
      </c>
      <c r="D1110" s="228"/>
      <c r="E1110" s="5" t="s">
        <v>2471</v>
      </c>
      <c r="F1110" s="400">
        <f t="shared" si="64"/>
        <v>0</v>
      </c>
      <c r="G1110" s="421">
        <f t="shared" si="63"/>
        <v>0</v>
      </c>
    </row>
    <row r="1111" spans="1:7">
      <c r="A1111" s="362"/>
      <c r="B1111" s="318" t="s">
        <v>3192</v>
      </c>
      <c r="C1111" s="296" t="s">
        <v>1002</v>
      </c>
      <c r="D1111" s="228">
        <v>1400</v>
      </c>
      <c r="E1111" s="5" t="s">
        <v>2471</v>
      </c>
      <c r="F1111" s="400">
        <f t="shared" si="64"/>
        <v>1400</v>
      </c>
      <c r="G1111" s="421">
        <f t="shared" si="63"/>
        <v>1449</v>
      </c>
    </row>
    <row r="1112" spans="1:7">
      <c r="A1112" s="362"/>
      <c r="B1112" s="318" t="s">
        <v>3193</v>
      </c>
      <c r="C1112" s="296" t="s">
        <v>1002</v>
      </c>
      <c r="D1112" s="228">
        <v>1000</v>
      </c>
      <c r="E1112" s="5" t="s">
        <v>2471</v>
      </c>
      <c r="F1112" s="400">
        <f t="shared" si="64"/>
        <v>1000</v>
      </c>
      <c r="G1112" s="421">
        <f t="shared" si="63"/>
        <v>1035</v>
      </c>
    </row>
    <row r="1113" spans="1:7">
      <c r="A1113" s="362"/>
      <c r="B1113" s="318" t="s">
        <v>3194</v>
      </c>
      <c r="C1113" s="296" t="s">
        <v>1002</v>
      </c>
      <c r="D1113" s="228">
        <v>260</v>
      </c>
      <c r="E1113" s="5" t="s">
        <v>2471</v>
      </c>
      <c r="F1113" s="400">
        <f t="shared" si="64"/>
        <v>260</v>
      </c>
      <c r="G1113" s="421">
        <f t="shared" si="63"/>
        <v>269.10000000000002</v>
      </c>
    </row>
    <row r="1114" spans="1:7">
      <c r="A1114" s="362"/>
      <c r="B1114" s="318" t="s">
        <v>3195</v>
      </c>
      <c r="C1114" s="296" t="s">
        <v>1002</v>
      </c>
      <c r="D1114" s="228">
        <v>1200</v>
      </c>
      <c r="E1114" s="5" t="s">
        <v>2471</v>
      </c>
      <c r="F1114" s="400">
        <f t="shared" si="64"/>
        <v>1200</v>
      </c>
      <c r="G1114" s="421">
        <f t="shared" si="63"/>
        <v>1242</v>
      </c>
    </row>
    <row r="1115" spans="1:7">
      <c r="A1115" s="362"/>
      <c r="B1115" s="318" t="s">
        <v>2224</v>
      </c>
      <c r="C1115" s="296" t="s">
        <v>1002</v>
      </c>
      <c r="D1115" s="228">
        <v>250</v>
      </c>
      <c r="E1115" s="5" t="s">
        <v>2471</v>
      </c>
      <c r="F1115" s="400">
        <f t="shared" si="64"/>
        <v>250</v>
      </c>
      <c r="G1115" s="421">
        <f t="shared" si="63"/>
        <v>258.75</v>
      </c>
    </row>
    <row r="1116" spans="1:7">
      <c r="A1116" s="362"/>
      <c r="B1116" s="318" t="s">
        <v>2225</v>
      </c>
      <c r="C1116" s="296" t="s">
        <v>1002</v>
      </c>
      <c r="D1116" s="228">
        <v>3100</v>
      </c>
      <c r="E1116" s="5" t="s">
        <v>2471</v>
      </c>
      <c r="F1116" s="400">
        <f t="shared" si="64"/>
        <v>3100</v>
      </c>
      <c r="G1116" s="421">
        <f t="shared" si="63"/>
        <v>3208.5</v>
      </c>
    </row>
    <row r="1117" spans="1:7">
      <c r="A1117" s="362"/>
      <c r="B1117" s="318" t="s">
        <v>2226</v>
      </c>
      <c r="C1117" s="296" t="s">
        <v>1002</v>
      </c>
      <c r="D1117" s="228">
        <v>3500</v>
      </c>
      <c r="E1117" s="5" t="s">
        <v>2471</v>
      </c>
      <c r="F1117" s="400">
        <f t="shared" si="64"/>
        <v>3500</v>
      </c>
      <c r="G1117" s="421">
        <f t="shared" si="63"/>
        <v>3622.5</v>
      </c>
    </row>
    <row r="1118" spans="1:7">
      <c r="A1118" s="362"/>
      <c r="B1118" s="318" t="s">
        <v>2227</v>
      </c>
      <c r="C1118" s="296" t="s">
        <v>1002</v>
      </c>
      <c r="D1118" s="228"/>
      <c r="E1118" s="5" t="s">
        <v>2471</v>
      </c>
      <c r="F1118" s="400">
        <f t="shared" si="64"/>
        <v>0</v>
      </c>
      <c r="G1118" s="421">
        <f t="shared" si="63"/>
        <v>0</v>
      </c>
    </row>
    <row r="1119" spans="1:7">
      <c r="A1119" s="362"/>
      <c r="B1119" s="318" t="s">
        <v>2228</v>
      </c>
      <c r="C1119" s="296" t="s">
        <v>1002</v>
      </c>
      <c r="D1119" s="228">
        <v>250</v>
      </c>
      <c r="E1119" s="5" t="s">
        <v>2471</v>
      </c>
      <c r="F1119" s="400">
        <f t="shared" si="64"/>
        <v>250</v>
      </c>
      <c r="G1119" s="421">
        <f t="shared" si="63"/>
        <v>258.75</v>
      </c>
    </row>
    <row r="1120" spans="1:7">
      <c r="A1120" s="362"/>
      <c r="B1120" s="318" t="s">
        <v>2229</v>
      </c>
      <c r="C1120" s="296" t="s">
        <v>1002</v>
      </c>
      <c r="D1120" s="228"/>
      <c r="E1120" s="5" t="s">
        <v>2471</v>
      </c>
      <c r="F1120" s="400">
        <f t="shared" si="64"/>
        <v>0</v>
      </c>
      <c r="G1120" s="421">
        <f t="shared" si="63"/>
        <v>0</v>
      </c>
    </row>
    <row r="1121" spans="1:7">
      <c r="A1121" s="362"/>
      <c r="B1121" s="318" t="s">
        <v>2230</v>
      </c>
      <c r="C1121" s="296" t="s">
        <v>1002</v>
      </c>
      <c r="D1121" s="228"/>
      <c r="E1121" s="5" t="s">
        <v>2471</v>
      </c>
      <c r="F1121" s="400">
        <f t="shared" si="64"/>
        <v>0</v>
      </c>
      <c r="G1121" s="421">
        <f t="shared" si="63"/>
        <v>0</v>
      </c>
    </row>
    <row r="1122" spans="1:7">
      <c r="A1122" s="362"/>
      <c r="B1122" s="318" t="s">
        <v>3124</v>
      </c>
      <c r="C1122" s="296" t="s">
        <v>1002</v>
      </c>
      <c r="D1122" s="228"/>
      <c r="E1122" s="5" t="s">
        <v>2471</v>
      </c>
      <c r="F1122" s="400">
        <f t="shared" si="64"/>
        <v>0</v>
      </c>
      <c r="G1122" s="421">
        <f t="shared" si="63"/>
        <v>0</v>
      </c>
    </row>
    <row r="1123" spans="1:7">
      <c r="A1123" s="362"/>
      <c r="B1123" s="318" t="s">
        <v>3125</v>
      </c>
      <c r="C1123" s="296" t="s">
        <v>1002</v>
      </c>
      <c r="D1123" s="228">
        <v>1300</v>
      </c>
      <c r="E1123" s="5" t="s">
        <v>2471</v>
      </c>
      <c r="F1123" s="400">
        <f t="shared" si="64"/>
        <v>1300</v>
      </c>
      <c r="G1123" s="421">
        <f t="shared" si="63"/>
        <v>1345.5</v>
      </c>
    </row>
    <row r="1124" spans="1:7">
      <c r="A1124" s="362"/>
      <c r="B1124" s="318" t="s">
        <v>3126</v>
      </c>
      <c r="C1124" s="296" t="s">
        <v>1002</v>
      </c>
      <c r="D1124" s="228"/>
      <c r="E1124" s="5" t="s">
        <v>2471</v>
      </c>
      <c r="F1124" s="400">
        <f t="shared" si="64"/>
        <v>0</v>
      </c>
      <c r="G1124" s="421">
        <f t="shared" si="63"/>
        <v>0</v>
      </c>
    </row>
    <row r="1125" spans="1:7">
      <c r="A1125" s="362"/>
      <c r="B1125" s="318" t="s">
        <v>3127</v>
      </c>
      <c r="C1125" s="296" t="s">
        <v>1002</v>
      </c>
      <c r="D1125" s="228">
        <v>130</v>
      </c>
      <c r="E1125" s="5" t="s">
        <v>2471</v>
      </c>
      <c r="F1125" s="400">
        <f t="shared" si="64"/>
        <v>130</v>
      </c>
      <c r="G1125" s="421">
        <f t="shared" si="63"/>
        <v>134.55000000000001</v>
      </c>
    </row>
    <row r="1126" spans="1:7">
      <c r="A1126" s="362"/>
      <c r="B1126" s="318" t="s">
        <v>3128</v>
      </c>
      <c r="C1126" s="296" t="s">
        <v>1002</v>
      </c>
      <c r="D1126" s="228">
        <v>550</v>
      </c>
      <c r="E1126" s="5" t="s">
        <v>2471</v>
      </c>
      <c r="F1126" s="400">
        <f t="shared" si="64"/>
        <v>550</v>
      </c>
      <c r="G1126" s="421">
        <f t="shared" si="63"/>
        <v>569.25</v>
      </c>
    </row>
    <row r="1127" spans="1:7">
      <c r="A1127" s="362"/>
      <c r="B1127" s="318" t="s">
        <v>944</v>
      </c>
      <c r="C1127" s="296" t="s">
        <v>1002</v>
      </c>
      <c r="D1127" s="228"/>
      <c r="E1127" s="5" t="s">
        <v>2471</v>
      </c>
      <c r="F1127" s="400">
        <f t="shared" si="64"/>
        <v>0</v>
      </c>
      <c r="G1127" s="421">
        <f t="shared" si="63"/>
        <v>0</v>
      </c>
    </row>
    <row r="1128" spans="1:7">
      <c r="A1128" s="362"/>
      <c r="B1128" s="318" t="s">
        <v>945</v>
      </c>
      <c r="C1128" s="296" t="s">
        <v>1002</v>
      </c>
      <c r="D1128" s="228"/>
      <c r="E1128" s="5" t="s">
        <v>2471</v>
      </c>
      <c r="F1128" s="400">
        <f t="shared" si="64"/>
        <v>0</v>
      </c>
      <c r="G1128" s="421">
        <f t="shared" si="63"/>
        <v>0</v>
      </c>
    </row>
    <row r="1129" spans="1:7">
      <c r="A1129" s="362"/>
      <c r="B1129" s="318" t="s">
        <v>946</v>
      </c>
      <c r="C1129" s="296" t="s">
        <v>1002</v>
      </c>
      <c r="D1129" s="228">
        <v>1200</v>
      </c>
      <c r="E1129" s="5" t="s">
        <v>2471</v>
      </c>
      <c r="F1129" s="400">
        <f t="shared" si="64"/>
        <v>1200</v>
      </c>
      <c r="G1129" s="421">
        <f t="shared" si="63"/>
        <v>1242</v>
      </c>
    </row>
    <row r="1130" spans="1:7">
      <c r="A1130" s="362"/>
      <c r="B1130" s="318" t="s">
        <v>947</v>
      </c>
      <c r="C1130" s="296" t="s">
        <v>1002</v>
      </c>
      <c r="D1130" s="228">
        <v>400</v>
      </c>
      <c r="E1130" s="5" t="s">
        <v>2471</v>
      </c>
      <c r="F1130" s="400">
        <f t="shared" si="64"/>
        <v>400</v>
      </c>
      <c r="G1130" s="421">
        <f t="shared" si="63"/>
        <v>414</v>
      </c>
    </row>
    <row r="1131" spans="1:7">
      <c r="A1131" s="362"/>
      <c r="B1131" s="318" t="s">
        <v>2175</v>
      </c>
      <c r="C1131" s="296" t="s">
        <v>1002</v>
      </c>
      <c r="D1131" s="228">
        <v>150</v>
      </c>
      <c r="E1131" s="5" t="s">
        <v>2471</v>
      </c>
      <c r="F1131" s="400">
        <f t="shared" si="64"/>
        <v>150</v>
      </c>
      <c r="G1131" s="421">
        <f t="shared" si="63"/>
        <v>155.25</v>
      </c>
    </row>
    <row r="1132" spans="1:7">
      <c r="A1132" s="362"/>
      <c r="B1132" s="318" t="s">
        <v>948</v>
      </c>
      <c r="C1132" s="296" t="s">
        <v>1002</v>
      </c>
      <c r="D1132" s="228">
        <v>150</v>
      </c>
      <c r="E1132" s="5" t="s">
        <v>2471</v>
      </c>
      <c r="F1132" s="400">
        <f t="shared" si="64"/>
        <v>150</v>
      </c>
      <c r="G1132" s="421">
        <f t="shared" si="63"/>
        <v>155.25</v>
      </c>
    </row>
    <row r="1133" spans="1:7">
      <c r="A1133" s="362"/>
      <c r="B1133" s="318" t="s">
        <v>949</v>
      </c>
      <c r="C1133" s="296" t="s">
        <v>1002</v>
      </c>
      <c r="D1133" s="228"/>
      <c r="E1133" s="5" t="s">
        <v>2471</v>
      </c>
      <c r="F1133" s="400">
        <f t="shared" si="64"/>
        <v>0</v>
      </c>
      <c r="G1133" s="421">
        <f t="shared" si="63"/>
        <v>0</v>
      </c>
    </row>
    <row r="1134" spans="1:7">
      <c r="A1134" s="362"/>
      <c r="B1134" s="318" t="s">
        <v>950</v>
      </c>
      <c r="C1134" s="296" t="s">
        <v>1002</v>
      </c>
      <c r="D1134" s="228"/>
      <c r="E1134" s="5" t="s">
        <v>2471</v>
      </c>
      <c r="F1134" s="400">
        <f t="shared" si="64"/>
        <v>0</v>
      </c>
      <c r="G1134" s="421">
        <f t="shared" si="63"/>
        <v>0</v>
      </c>
    </row>
    <row r="1135" spans="1:7">
      <c r="A1135" s="362"/>
      <c r="B1135" s="318" t="s">
        <v>951</v>
      </c>
      <c r="C1135" s="296" t="s">
        <v>1002</v>
      </c>
      <c r="D1135" s="228">
        <v>1600</v>
      </c>
      <c r="E1135" s="5" t="s">
        <v>2471</v>
      </c>
      <c r="F1135" s="400">
        <f t="shared" si="64"/>
        <v>1600</v>
      </c>
      <c r="G1135" s="421">
        <f t="shared" si="63"/>
        <v>1656</v>
      </c>
    </row>
    <row r="1136" spans="1:7">
      <c r="A1136" s="362"/>
      <c r="B1136" s="318" t="s">
        <v>952</v>
      </c>
      <c r="C1136" s="296" t="s">
        <v>1002</v>
      </c>
      <c r="D1136" s="228"/>
      <c r="E1136" s="5" t="s">
        <v>2471</v>
      </c>
      <c r="F1136" s="400">
        <f t="shared" si="64"/>
        <v>0</v>
      </c>
      <c r="G1136" s="421">
        <f t="shared" si="63"/>
        <v>0</v>
      </c>
    </row>
    <row r="1137" spans="1:7">
      <c r="A1137" s="362"/>
      <c r="B1137" s="318" t="s">
        <v>953</v>
      </c>
      <c r="C1137" s="296" t="s">
        <v>1002</v>
      </c>
      <c r="D1137" s="228">
        <v>300</v>
      </c>
      <c r="E1137" s="5" t="s">
        <v>2471</v>
      </c>
      <c r="F1137" s="400">
        <f t="shared" si="64"/>
        <v>300</v>
      </c>
      <c r="G1137" s="421">
        <f t="shared" si="63"/>
        <v>310.5</v>
      </c>
    </row>
    <row r="1138" spans="1:7">
      <c r="A1138" s="362"/>
      <c r="B1138" s="318" t="s">
        <v>954</v>
      </c>
      <c r="C1138" s="296" t="s">
        <v>1002</v>
      </c>
      <c r="D1138" s="228">
        <v>1260</v>
      </c>
      <c r="E1138" s="5" t="s">
        <v>2471</v>
      </c>
      <c r="F1138" s="400">
        <f t="shared" si="64"/>
        <v>1260</v>
      </c>
      <c r="G1138" s="421">
        <f t="shared" si="63"/>
        <v>1304.1000000000001</v>
      </c>
    </row>
    <row r="1139" spans="1:7">
      <c r="A1139" s="362"/>
      <c r="B1139" s="318" t="s">
        <v>2188</v>
      </c>
      <c r="C1139" s="296" t="s">
        <v>1002</v>
      </c>
      <c r="D1139" s="228">
        <v>1000</v>
      </c>
      <c r="E1139" s="5" t="s">
        <v>2471</v>
      </c>
      <c r="F1139" s="400">
        <f t="shared" si="64"/>
        <v>1000</v>
      </c>
      <c r="G1139" s="421">
        <f t="shared" si="63"/>
        <v>1035</v>
      </c>
    </row>
    <row r="1140" spans="1:7">
      <c r="A1140" s="362"/>
      <c r="B1140" s="318" t="s">
        <v>2189</v>
      </c>
      <c r="C1140" s="296" t="s">
        <v>1002</v>
      </c>
      <c r="D1140" s="228">
        <v>1500</v>
      </c>
      <c r="E1140" s="5" t="s">
        <v>2471</v>
      </c>
      <c r="F1140" s="400">
        <f t="shared" si="64"/>
        <v>1500</v>
      </c>
      <c r="G1140" s="421">
        <f t="shared" si="63"/>
        <v>1552.5</v>
      </c>
    </row>
    <row r="1141" spans="1:7">
      <c r="A1141" s="362"/>
      <c r="B1141" s="318" t="s">
        <v>2190</v>
      </c>
      <c r="C1141" s="296" t="s">
        <v>1002</v>
      </c>
      <c r="D1141" s="228"/>
      <c r="E1141" s="5" t="s">
        <v>2471</v>
      </c>
      <c r="F1141" s="400">
        <f t="shared" ref="F1141:F1168" si="65">D1141</f>
        <v>0</v>
      </c>
      <c r="G1141" s="421">
        <f t="shared" si="63"/>
        <v>0</v>
      </c>
    </row>
    <row r="1142" spans="1:7">
      <c r="A1142" s="362"/>
      <c r="B1142" s="318" t="s">
        <v>2191</v>
      </c>
      <c r="C1142" s="296" t="s">
        <v>1002</v>
      </c>
      <c r="D1142" s="228"/>
      <c r="E1142" s="5" t="s">
        <v>2471</v>
      </c>
      <c r="F1142" s="400">
        <f t="shared" si="65"/>
        <v>0</v>
      </c>
      <c r="G1142" s="421">
        <f t="shared" si="63"/>
        <v>0</v>
      </c>
    </row>
    <row r="1143" spans="1:7">
      <c r="A1143" s="362"/>
      <c r="B1143" s="318" t="s">
        <v>2192</v>
      </c>
      <c r="C1143" s="296" t="s">
        <v>1002</v>
      </c>
      <c r="D1143" s="228"/>
      <c r="E1143" s="5" t="s">
        <v>2471</v>
      </c>
      <c r="F1143" s="400">
        <f t="shared" si="65"/>
        <v>0</v>
      </c>
      <c r="G1143" s="421">
        <f t="shared" si="63"/>
        <v>0</v>
      </c>
    </row>
    <row r="1144" spans="1:7">
      <c r="A1144" s="362"/>
      <c r="B1144" s="318" t="s">
        <v>2176</v>
      </c>
      <c r="C1144" s="296" t="s">
        <v>1002</v>
      </c>
      <c r="D1144" s="228">
        <v>150</v>
      </c>
      <c r="E1144" s="5" t="s">
        <v>2471</v>
      </c>
      <c r="F1144" s="400">
        <f t="shared" si="65"/>
        <v>150</v>
      </c>
      <c r="G1144" s="421">
        <f t="shared" si="63"/>
        <v>155.25</v>
      </c>
    </row>
    <row r="1145" spans="1:7">
      <c r="A1145" s="362"/>
      <c r="B1145" s="318" t="s">
        <v>2193</v>
      </c>
      <c r="C1145" s="296" t="s">
        <v>1002</v>
      </c>
      <c r="D1145" s="228">
        <v>3000</v>
      </c>
      <c r="E1145" s="5" t="s">
        <v>2471</v>
      </c>
      <c r="F1145" s="400">
        <f t="shared" si="65"/>
        <v>3000</v>
      </c>
      <c r="G1145" s="421">
        <f t="shared" si="63"/>
        <v>3105</v>
      </c>
    </row>
    <row r="1146" spans="1:7">
      <c r="A1146" s="362"/>
      <c r="B1146" s="318" t="s">
        <v>2194</v>
      </c>
      <c r="C1146" s="296" t="s">
        <v>1002</v>
      </c>
      <c r="D1146" s="228">
        <v>500</v>
      </c>
      <c r="E1146" s="5" t="s">
        <v>2471</v>
      </c>
      <c r="F1146" s="400">
        <f t="shared" si="65"/>
        <v>500</v>
      </c>
      <c r="G1146" s="421">
        <f t="shared" si="63"/>
        <v>517.5</v>
      </c>
    </row>
    <row r="1147" spans="1:7">
      <c r="A1147" s="362"/>
      <c r="B1147" s="318" t="s">
        <v>2195</v>
      </c>
      <c r="C1147" s="296" t="s">
        <v>1002</v>
      </c>
      <c r="D1147" s="228">
        <v>1200</v>
      </c>
      <c r="E1147" s="5" t="s">
        <v>2471</v>
      </c>
      <c r="F1147" s="400">
        <f t="shared" si="65"/>
        <v>1200</v>
      </c>
      <c r="G1147" s="421">
        <f t="shared" si="63"/>
        <v>1242</v>
      </c>
    </row>
    <row r="1148" spans="1:7">
      <c r="A1148" s="362"/>
      <c r="B1148" s="318" t="s">
        <v>1888</v>
      </c>
      <c r="C1148" s="296" t="s">
        <v>1002</v>
      </c>
      <c r="D1148" s="228">
        <v>400</v>
      </c>
      <c r="E1148" s="5" t="s">
        <v>2471</v>
      </c>
      <c r="F1148" s="400">
        <f t="shared" si="65"/>
        <v>400</v>
      </c>
      <c r="G1148" s="421">
        <f t="shared" si="63"/>
        <v>414</v>
      </c>
    </row>
    <row r="1149" spans="1:7">
      <c r="A1149" s="362"/>
      <c r="B1149" s="318" t="s">
        <v>1889</v>
      </c>
      <c r="C1149" s="296" t="s">
        <v>1002</v>
      </c>
      <c r="D1149" s="228">
        <v>700</v>
      </c>
      <c r="E1149" s="5" t="s">
        <v>2471</v>
      </c>
      <c r="F1149" s="400">
        <f t="shared" si="65"/>
        <v>700</v>
      </c>
      <c r="G1149" s="421">
        <f t="shared" si="63"/>
        <v>724.5</v>
      </c>
    </row>
    <row r="1150" spans="1:7">
      <c r="A1150" s="362"/>
      <c r="B1150" s="318" t="s">
        <v>1890</v>
      </c>
      <c r="C1150" s="296" t="s">
        <v>1002</v>
      </c>
      <c r="D1150" s="228">
        <v>550</v>
      </c>
      <c r="E1150" s="5" t="s">
        <v>2471</v>
      </c>
      <c r="F1150" s="400">
        <f t="shared" si="65"/>
        <v>550</v>
      </c>
      <c r="G1150" s="421">
        <f t="shared" si="63"/>
        <v>569.25</v>
      </c>
    </row>
    <row r="1151" spans="1:7">
      <c r="A1151" s="362"/>
      <c r="B1151" s="318" t="s">
        <v>1891</v>
      </c>
      <c r="C1151" s="296" t="s">
        <v>1002</v>
      </c>
      <c r="D1151" s="228">
        <v>800</v>
      </c>
      <c r="E1151" s="5" t="s">
        <v>2471</v>
      </c>
      <c r="F1151" s="400">
        <f t="shared" si="65"/>
        <v>800</v>
      </c>
      <c r="G1151" s="421">
        <f t="shared" si="63"/>
        <v>828</v>
      </c>
    </row>
    <row r="1152" spans="1:7">
      <c r="A1152" s="362"/>
      <c r="B1152" s="318" t="s">
        <v>1892</v>
      </c>
      <c r="C1152" s="296" t="s">
        <v>1002</v>
      </c>
      <c r="D1152" s="228"/>
      <c r="E1152" s="5" t="s">
        <v>2471</v>
      </c>
      <c r="F1152" s="400">
        <f t="shared" si="65"/>
        <v>0</v>
      </c>
      <c r="G1152" s="421">
        <f t="shared" si="63"/>
        <v>0</v>
      </c>
    </row>
    <row r="1153" spans="1:7">
      <c r="A1153" s="362"/>
      <c r="B1153" s="318" t="s">
        <v>1893</v>
      </c>
      <c r="C1153" s="296" t="s">
        <v>1002</v>
      </c>
      <c r="D1153" s="228">
        <v>1500</v>
      </c>
      <c r="E1153" s="5" t="s">
        <v>2471</v>
      </c>
      <c r="F1153" s="400">
        <f t="shared" si="65"/>
        <v>1500</v>
      </c>
      <c r="G1153" s="421">
        <f t="shared" si="63"/>
        <v>1552.5</v>
      </c>
    </row>
    <row r="1154" spans="1:7">
      <c r="A1154" s="362"/>
      <c r="B1154" s="318" t="s">
        <v>1894</v>
      </c>
      <c r="C1154" s="296" t="s">
        <v>1002</v>
      </c>
      <c r="D1154" s="228">
        <v>260</v>
      </c>
      <c r="E1154" s="5" t="s">
        <v>2471</v>
      </c>
      <c r="F1154" s="400">
        <f t="shared" si="65"/>
        <v>260</v>
      </c>
      <c r="G1154" s="421">
        <f t="shared" si="63"/>
        <v>269.10000000000002</v>
      </c>
    </row>
    <row r="1155" spans="1:7">
      <c r="A1155" s="362"/>
      <c r="B1155" s="318" t="s">
        <v>1895</v>
      </c>
      <c r="C1155" s="296" t="s">
        <v>1002</v>
      </c>
      <c r="D1155" s="228">
        <v>800</v>
      </c>
      <c r="E1155" s="5" t="s">
        <v>2471</v>
      </c>
      <c r="F1155" s="400">
        <f t="shared" si="65"/>
        <v>800</v>
      </c>
      <c r="G1155" s="421">
        <f t="shared" si="63"/>
        <v>828</v>
      </c>
    </row>
    <row r="1156" spans="1:7">
      <c r="A1156" s="362"/>
      <c r="B1156" s="318" t="s">
        <v>1896</v>
      </c>
      <c r="C1156" s="296" t="s">
        <v>1002</v>
      </c>
      <c r="D1156" s="228">
        <v>450</v>
      </c>
      <c r="E1156" s="5" t="s">
        <v>2471</v>
      </c>
      <c r="F1156" s="400">
        <f t="shared" si="65"/>
        <v>450</v>
      </c>
      <c r="G1156" s="421">
        <f t="shared" si="63"/>
        <v>465.75</v>
      </c>
    </row>
    <row r="1157" spans="1:7">
      <c r="A1157" s="362"/>
      <c r="B1157" s="318" t="s">
        <v>1897</v>
      </c>
      <c r="C1157" s="296" t="s">
        <v>1002</v>
      </c>
      <c r="D1157" s="228">
        <v>450</v>
      </c>
      <c r="E1157" s="5" t="s">
        <v>2471</v>
      </c>
      <c r="F1157" s="400">
        <f t="shared" si="65"/>
        <v>450</v>
      </c>
      <c r="G1157" s="421">
        <f t="shared" si="63"/>
        <v>465.75</v>
      </c>
    </row>
    <row r="1158" spans="1:7">
      <c r="A1158" s="362"/>
      <c r="B1158" s="318" t="s">
        <v>1898</v>
      </c>
      <c r="C1158" s="296" t="s">
        <v>1002</v>
      </c>
      <c r="D1158" s="228">
        <v>1100</v>
      </c>
      <c r="E1158" s="5" t="s">
        <v>2471</v>
      </c>
      <c r="F1158" s="400">
        <f t="shared" si="65"/>
        <v>1100</v>
      </c>
      <c r="G1158" s="421">
        <f t="shared" si="63"/>
        <v>1138.5</v>
      </c>
    </row>
    <row r="1159" spans="1:7">
      <c r="A1159" s="362"/>
      <c r="B1159" s="318" t="s">
        <v>1899</v>
      </c>
      <c r="C1159" s="296" t="s">
        <v>1002</v>
      </c>
      <c r="D1159" s="228">
        <v>300</v>
      </c>
      <c r="E1159" s="5" t="s">
        <v>2471</v>
      </c>
      <c r="F1159" s="400">
        <f t="shared" si="65"/>
        <v>300</v>
      </c>
      <c r="G1159" s="421">
        <f t="shared" si="63"/>
        <v>310.5</v>
      </c>
    </row>
    <row r="1160" spans="1:7">
      <c r="A1160" s="362"/>
      <c r="B1160" s="318" t="s">
        <v>2177</v>
      </c>
      <c r="C1160" s="296" t="s">
        <v>1002</v>
      </c>
      <c r="D1160" s="228">
        <v>2200</v>
      </c>
      <c r="E1160" s="5" t="s">
        <v>2471</v>
      </c>
      <c r="F1160" s="400">
        <f t="shared" si="65"/>
        <v>2200</v>
      </c>
      <c r="G1160" s="421">
        <f t="shared" si="63"/>
        <v>2277</v>
      </c>
    </row>
    <row r="1161" spans="1:7">
      <c r="A1161" s="362"/>
      <c r="B1161" s="318" t="s">
        <v>2178</v>
      </c>
      <c r="C1161" s="296" t="s">
        <v>1002</v>
      </c>
      <c r="D1161" s="228">
        <v>2700</v>
      </c>
      <c r="E1161" s="5" t="s">
        <v>2471</v>
      </c>
      <c r="F1161" s="400">
        <f t="shared" si="65"/>
        <v>2700</v>
      </c>
      <c r="G1161" s="421">
        <f t="shared" si="63"/>
        <v>2794.5</v>
      </c>
    </row>
    <row r="1162" spans="1:7">
      <c r="A1162" s="362"/>
      <c r="B1162" s="318" t="s">
        <v>1900</v>
      </c>
      <c r="C1162" s="296" t="s">
        <v>1002</v>
      </c>
      <c r="D1162" s="228"/>
      <c r="E1162" s="5" t="s">
        <v>2471</v>
      </c>
      <c r="F1162" s="400">
        <f t="shared" si="65"/>
        <v>0</v>
      </c>
      <c r="G1162" s="421">
        <f t="shared" si="63"/>
        <v>0</v>
      </c>
    </row>
    <row r="1163" spans="1:7">
      <c r="A1163" s="362"/>
      <c r="B1163" s="318" t="s">
        <v>1901</v>
      </c>
      <c r="C1163" s="296" t="s">
        <v>1002</v>
      </c>
      <c r="D1163" s="228">
        <v>140</v>
      </c>
      <c r="E1163" s="5" t="s">
        <v>2471</v>
      </c>
      <c r="F1163" s="400">
        <f t="shared" si="65"/>
        <v>140</v>
      </c>
      <c r="G1163" s="421">
        <f t="shared" si="63"/>
        <v>144.9</v>
      </c>
    </row>
    <row r="1164" spans="1:7">
      <c r="A1164" s="362"/>
      <c r="B1164" s="318" t="s">
        <v>1902</v>
      </c>
      <c r="C1164" s="296" t="s">
        <v>1002</v>
      </c>
      <c r="D1164" s="228">
        <v>300</v>
      </c>
      <c r="E1164" s="5" t="s">
        <v>2471</v>
      </c>
      <c r="F1164" s="400">
        <f t="shared" si="65"/>
        <v>300</v>
      </c>
      <c r="G1164" s="421">
        <f t="shared" si="63"/>
        <v>310.5</v>
      </c>
    </row>
    <row r="1165" spans="1:7">
      <c r="A1165" s="362"/>
      <c r="B1165" s="318" t="s">
        <v>1903</v>
      </c>
      <c r="C1165" s="296" t="s">
        <v>1002</v>
      </c>
      <c r="D1165" s="228">
        <v>120</v>
      </c>
      <c r="E1165" s="5" t="s">
        <v>2471</v>
      </c>
      <c r="F1165" s="400">
        <f t="shared" si="65"/>
        <v>120</v>
      </c>
      <c r="G1165" s="421">
        <f t="shared" ref="G1165:G1211" si="66">FLOOR(F1165*1.035,0.01)</f>
        <v>124.2</v>
      </c>
    </row>
    <row r="1166" spans="1:7">
      <c r="A1166" s="362"/>
      <c r="B1166" s="318" t="s">
        <v>1904</v>
      </c>
      <c r="C1166" s="296" t="s">
        <v>1002</v>
      </c>
      <c r="D1166" s="228"/>
      <c r="E1166" s="5" t="s">
        <v>2471</v>
      </c>
      <c r="F1166" s="400">
        <f t="shared" si="65"/>
        <v>0</v>
      </c>
      <c r="G1166" s="421">
        <f t="shared" si="66"/>
        <v>0</v>
      </c>
    </row>
    <row r="1167" spans="1:7">
      <c r="A1167" s="362"/>
      <c r="B1167" s="318" t="s">
        <v>1905</v>
      </c>
      <c r="C1167" s="296" t="s">
        <v>1002</v>
      </c>
      <c r="D1167" s="228">
        <v>130</v>
      </c>
      <c r="E1167" s="5" t="s">
        <v>2471</v>
      </c>
      <c r="F1167" s="400">
        <f t="shared" si="65"/>
        <v>130</v>
      </c>
      <c r="G1167" s="421">
        <f t="shared" si="66"/>
        <v>134.55000000000001</v>
      </c>
    </row>
    <row r="1168" spans="1:7">
      <c r="A1168" s="362"/>
      <c r="B1168" s="318" t="s">
        <v>1906</v>
      </c>
      <c r="C1168" s="296" t="s">
        <v>1002</v>
      </c>
      <c r="D1168" s="228">
        <v>1150</v>
      </c>
      <c r="E1168" s="5" t="s">
        <v>2471</v>
      </c>
      <c r="F1168" s="400">
        <f t="shared" si="65"/>
        <v>1150</v>
      </c>
      <c r="G1168" s="421">
        <f t="shared" si="66"/>
        <v>1190.25</v>
      </c>
    </row>
    <row r="1169" spans="1:7">
      <c r="A1169" s="309">
        <v>64</v>
      </c>
      <c r="B1169" s="309" t="s">
        <v>1907</v>
      </c>
      <c r="C1169" s="296"/>
      <c r="D1169" s="228"/>
      <c r="E1169" s="285"/>
      <c r="F1169" s="400"/>
      <c r="G1169" s="421">
        <f t="shared" si="66"/>
        <v>0</v>
      </c>
    </row>
    <row r="1170" spans="1:7">
      <c r="A1170" s="309"/>
      <c r="B1170" s="381" t="s">
        <v>2302</v>
      </c>
      <c r="C1170" s="296" t="s">
        <v>3178</v>
      </c>
      <c r="D1170" s="228">
        <v>21310</v>
      </c>
      <c r="E1170" s="290" t="s">
        <v>1870</v>
      </c>
      <c r="F1170" s="400">
        <f t="shared" ref="F1170:F1186" si="67">D1170</f>
        <v>21310</v>
      </c>
      <c r="G1170" s="421">
        <f t="shared" si="66"/>
        <v>22055.850000000002</v>
      </c>
    </row>
    <row r="1171" spans="1:7">
      <c r="A1171" s="309"/>
      <c r="B1171" s="381" t="s">
        <v>2303</v>
      </c>
      <c r="C1171" s="296" t="s">
        <v>1002</v>
      </c>
      <c r="D1171" s="228">
        <v>6242</v>
      </c>
      <c r="E1171" s="290" t="s">
        <v>1870</v>
      </c>
      <c r="F1171" s="400">
        <f t="shared" si="67"/>
        <v>6242</v>
      </c>
      <c r="G1171" s="421">
        <f t="shared" si="66"/>
        <v>6460.47</v>
      </c>
    </row>
    <row r="1172" spans="1:7">
      <c r="A1172" s="309"/>
      <c r="B1172" s="381" t="s">
        <v>2304</v>
      </c>
      <c r="C1172" s="296" t="s">
        <v>3063</v>
      </c>
      <c r="D1172" s="228">
        <v>1085</v>
      </c>
      <c r="E1172" s="5" t="s">
        <v>699</v>
      </c>
      <c r="F1172" s="400">
        <f t="shared" si="67"/>
        <v>1085</v>
      </c>
      <c r="G1172" s="421">
        <f t="shared" si="66"/>
        <v>1122.97</v>
      </c>
    </row>
    <row r="1173" spans="1:7">
      <c r="A1173" s="309"/>
      <c r="B1173" s="381" t="s">
        <v>2305</v>
      </c>
      <c r="C1173" s="296" t="s">
        <v>1002</v>
      </c>
      <c r="D1173" s="228">
        <v>4320</v>
      </c>
      <c r="E1173" s="5" t="s">
        <v>699</v>
      </c>
      <c r="F1173" s="400">
        <f t="shared" si="67"/>
        <v>4320</v>
      </c>
      <c r="G1173" s="421">
        <f t="shared" si="66"/>
        <v>4471.2</v>
      </c>
    </row>
    <row r="1174" spans="1:7">
      <c r="A1174" s="309"/>
      <c r="B1174" s="381" t="s">
        <v>2306</v>
      </c>
      <c r="C1174" s="296" t="s">
        <v>1002</v>
      </c>
      <c r="D1174" s="228">
        <v>48212</v>
      </c>
      <c r="E1174" s="5" t="s">
        <v>699</v>
      </c>
      <c r="F1174" s="400">
        <f t="shared" si="67"/>
        <v>48212</v>
      </c>
      <c r="G1174" s="421">
        <f t="shared" si="66"/>
        <v>49899.42</v>
      </c>
    </row>
    <row r="1175" spans="1:7">
      <c r="A1175" s="309"/>
      <c r="B1175" s="381" t="s">
        <v>2307</v>
      </c>
      <c r="C1175" s="296" t="s">
        <v>1002</v>
      </c>
      <c r="D1175" s="228">
        <v>297716</v>
      </c>
      <c r="E1175" s="5" t="s">
        <v>699</v>
      </c>
      <c r="F1175" s="400">
        <f t="shared" si="67"/>
        <v>297716</v>
      </c>
      <c r="G1175" s="421">
        <f t="shared" si="66"/>
        <v>308136.06</v>
      </c>
    </row>
    <row r="1176" spans="1:7">
      <c r="A1176" s="309"/>
      <c r="B1176" s="381" t="s">
        <v>1401</v>
      </c>
      <c r="C1176" s="296" t="s">
        <v>1402</v>
      </c>
      <c r="D1176" s="228">
        <v>2480</v>
      </c>
      <c r="E1176" s="5" t="s">
        <v>2981</v>
      </c>
      <c r="F1176" s="400">
        <f t="shared" si="67"/>
        <v>2480</v>
      </c>
      <c r="G1176" s="421">
        <f t="shared" si="66"/>
        <v>2566.8000000000002</v>
      </c>
    </row>
    <row r="1177" spans="1:7">
      <c r="A1177" s="309"/>
      <c r="B1177" s="381" t="s">
        <v>1403</v>
      </c>
      <c r="C1177" s="296" t="s">
        <v>1402</v>
      </c>
      <c r="D1177" s="228">
        <v>239</v>
      </c>
      <c r="E1177" s="5" t="s">
        <v>2981</v>
      </c>
      <c r="F1177" s="400">
        <f t="shared" si="67"/>
        <v>239</v>
      </c>
      <c r="G1177" s="421">
        <f t="shared" si="66"/>
        <v>247.36</v>
      </c>
    </row>
    <row r="1178" spans="1:7">
      <c r="A1178" s="309"/>
      <c r="B1178" s="381" t="s">
        <v>1404</v>
      </c>
      <c r="C1178" s="296" t="s">
        <v>3178</v>
      </c>
      <c r="D1178" s="228">
        <v>98</v>
      </c>
      <c r="E1178" s="290" t="s">
        <v>1870</v>
      </c>
      <c r="F1178" s="400">
        <f t="shared" si="67"/>
        <v>98</v>
      </c>
      <c r="G1178" s="421">
        <f t="shared" si="66"/>
        <v>101.43</v>
      </c>
    </row>
    <row r="1179" spans="1:7">
      <c r="A1179" s="309"/>
      <c r="B1179" s="381" t="s">
        <v>1405</v>
      </c>
      <c r="C1179" s="296" t="s">
        <v>3063</v>
      </c>
      <c r="D1179" s="228">
        <v>3000</v>
      </c>
      <c r="E1179" s="5" t="s">
        <v>699</v>
      </c>
      <c r="F1179" s="400">
        <f t="shared" si="67"/>
        <v>3000</v>
      </c>
      <c r="G1179" s="421">
        <f t="shared" si="66"/>
        <v>3105</v>
      </c>
    </row>
    <row r="1180" spans="1:7">
      <c r="A1180" s="309"/>
      <c r="B1180" s="381" t="s">
        <v>1406</v>
      </c>
      <c r="C1180" s="296" t="s">
        <v>3063</v>
      </c>
      <c r="D1180" s="228">
        <v>1500</v>
      </c>
      <c r="E1180" s="5" t="s">
        <v>699</v>
      </c>
      <c r="F1180" s="400">
        <f t="shared" si="67"/>
        <v>1500</v>
      </c>
      <c r="G1180" s="421">
        <f t="shared" si="66"/>
        <v>1552.5</v>
      </c>
    </row>
    <row r="1181" spans="1:7">
      <c r="A1181" s="309"/>
      <c r="B1181" s="381" t="s">
        <v>1407</v>
      </c>
      <c r="C1181" s="296" t="s">
        <v>3178</v>
      </c>
      <c r="D1181" s="228">
        <v>500</v>
      </c>
      <c r="E1181" s="290" t="s">
        <v>1870</v>
      </c>
      <c r="F1181" s="400">
        <f t="shared" si="67"/>
        <v>500</v>
      </c>
      <c r="G1181" s="421">
        <f t="shared" si="66"/>
        <v>517.5</v>
      </c>
    </row>
    <row r="1182" spans="1:7" ht="27">
      <c r="A1182" s="309"/>
      <c r="B1182" s="345" t="s">
        <v>1408</v>
      </c>
      <c r="C1182" s="296" t="s">
        <v>3178</v>
      </c>
      <c r="D1182" s="228">
        <v>16415</v>
      </c>
      <c r="E1182" s="290" t="s">
        <v>1870</v>
      </c>
      <c r="F1182" s="400">
        <f t="shared" si="67"/>
        <v>16415</v>
      </c>
      <c r="G1182" s="421">
        <f t="shared" si="66"/>
        <v>16989.52</v>
      </c>
    </row>
    <row r="1183" spans="1:7">
      <c r="A1183" s="309"/>
      <c r="B1183" s="381" t="s">
        <v>2888</v>
      </c>
      <c r="C1183" s="296" t="s">
        <v>1402</v>
      </c>
      <c r="D1183" s="228">
        <v>600</v>
      </c>
      <c r="E1183" s="5" t="s">
        <v>2981</v>
      </c>
      <c r="F1183" s="400">
        <f t="shared" si="67"/>
        <v>600</v>
      </c>
      <c r="G1183" s="421">
        <f t="shared" si="66"/>
        <v>621</v>
      </c>
    </row>
    <row r="1184" spans="1:7">
      <c r="A1184" s="309"/>
      <c r="B1184" s="381" t="s">
        <v>526</v>
      </c>
      <c r="C1184" s="296" t="s">
        <v>1402</v>
      </c>
      <c r="D1184" s="228">
        <v>710</v>
      </c>
      <c r="E1184" s="5" t="s">
        <v>2981</v>
      </c>
      <c r="F1184" s="400">
        <f t="shared" si="67"/>
        <v>710</v>
      </c>
      <c r="G1184" s="421">
        <f t="shared" si="66"/>
        <v>734.85</v>
      </c>
    </row>
    <row r="1185" spans="1:7">
      <c r="A1185" s="309">
        <v>65</v>
      </c>
      <c r="B1185" s="382" t="s">
        <v>527</v>
      </c>
      <c r="C1185" s="296"/>
      <c r="D1185" s="228"/>
      <c r="E1185" s="285"/>
      <c r="F1185" s="400">
        <f t="shared" si="67"/>
        <v>0</v>
      </c>
      <c r="G1185" s="421"/>
    </row>
    <row r="1186" spans="1:7">
      <c r="A1186" s="362"/>
      <c r="B1186" s="383" t="s">
        <v>528</v>
      </c>
      <c r="C1186" s="384" t="s">
        <v>529</v>
      </c>
      <c r="D1186" s="228"/>
      <c r="E1186" s="5" t="s">
        <v>2981</v>
      </c>
      <c r="F1186" s="400">
        <f t="shared" si="67"/>
        <v>0</v>
      </c>
      <c r="G1186" s="421">
        <f t="shared" si="66"/>
        <v>0</v>
      </c>
    </row>
    <row r="1187" spans="1:7">
      <c r="A1187" s="362"/>
      <c r="B1187" s="383" t="s">
        <v>530</v>
      </c>
      <c r="C1187" s="384" t="s">
        <v>529</v>
      </c>
      <c r="D1187" s="228"/>
      <c r="E1187" s="5" t="s">
        <v>2981</v>
      </c>
      <c r="F1187" s="400"/>
      <c r="G1187" s="421">
        <f t="shared" si="66"/>
        <v>0</v>
      </c>
    </row>
    <row r="1188" spans="1:7">
      <c r="A1188" s="362"/>
      <c r="B1188" s="383" t="s">
        <v>531</v>
      </c>
      <c r="C1188" s="384" t="s">
        <v>529</v>
      </c>
      <c r="D1188" s="228"/>
      <c r="E1188" s="5" t="s">
        <v>2981</v>
      </c>
      <c r="F1188" s="400">
        <f t="shared" ref="F1188:F1198" si="68">D1188</f>
        <v>0</v>
      </c>
      <c r="G1188" s="421">
        <f t="shared" si="66"/>
        <v>0</v>
      </c>
    </row>
    <row r="1189" spans="1:7">
      <c r="A1189" s="362"/>
      <c r="B1189" s="383" t="s">
        <v>532</v>
      </c>
      <c r="C1189" s="384" t="s">
        <v>533</v>
      </c>
      <c r="D1189" s="228">
        <v>50</v>
      </c>
      <c r="E1189" s="5" t="s">
        <v>699</v>
      </c>
      <c r="F1189" s="400">
        <f t="shared" si="68"/>
        <v>50</v>
      </c>
      <c r="G1189" s="421">
        <f t="shared" si="66"/>
        <v>51.75</v>
      </c>
    </row>
    <row r="1190" spans="1:7">
      <c r="A1190" s="362"/>
      <c r="B1190" s="383" t="s">
        <v>534</v>
      </c>
      <c r="C1190" s="384" t="s">
        <v>533</v>
      </c>
      <c r="D1190" s="228">
        <v>220</v>
      </c>
      <c r="E1190" s="5" t="s">
        <v>699</v>
      </c>
      <c r="F1190" s="400">
        <f t="shared" si="68"/>
        <v>220</v>
      </c>
      <c r="G1190" s="421">
        <f t="shared" si="66"/>
        <v>227.70000000000002</v>
      </c>
    </row>
    <row r="1191" spans="1:7">
      <c r="A1191" s="362"/>
      <c r="B1191" s="383" t="s">
        <v>535</v>
      </c>
      <c r="C1191" s="384" t="s">
        <v>533</v>
      </c>
      <c r="D1191" s="228">
        <v>300</v>
      </c>
      <c r="E1191" s="5" t="s">
        <v>699</v>
      </c>
      <c r="F1191" s="400">
        <f t="shared" si="68"/>
        <v>300</v>
      </c>
      <c r="G1191" s="421">
        <f t="shared" si="66"/>
        <v>310.5</v>
      </c>
    </row>
    <row r="1192" spans="1:7">
      <c r="A1192" s="362"/>
      <c r="B1192" s="383" t="s">
        <v>536</v>
      </c>
      <c r="C1192" s="384" t="s">
        <v>533</v>
      </c>
      <c r="D1192" s="228">
        <v>730</v>
      </c>
      <c r="E1192" s="5" t="s">
        <v>699</v>
      </c>
      <c r="F1192" s="400">
        <f t="shared" si="68"/>
        <v>730</v>
      </c>
      <c r="G1192" s="421">
        <f t="shared" si="66"/>
        <v>755.55000000000007</v>
      </c>
    </row>
    <row r="1193" spans="1:7">
      <c r="A1193" s="362"/>
      <c r="B1193" s="383" t="s">
        <v>537</v>
      </c>
      <c r="C1193" s="384" t="s">
        <v>533</v>
      </c>
      <c r="D1193" s="228">
        <v>1050</v>
      </c>
      <c r="E1193" s="5" t="s">
        <v>699</v>
      </c>
      <c r="F1193" s="400">
        <f t="shared" si="68"/>
        <v>1050</v>
      </c>
      <c r="G1193" s="421">
        <f t="shared" si="66"/>
        <v>1086.75</v>
      </c>
    </row>
    <row r="1194" spans="1:7">
      <c r="A1194" s="362"/>
      <c r="B1194" s="383" t="s">
        <v>538</v>
      </c>
      <c r="C1194" s="384" t="s">
        <v>533</v>
      </c>
      <c r="D1194" s="228">
        <v>50</v>
      </c>
      <c r="E1194" s="5" t="s">
        <v>699</v>
      </c>
      <c r="F1194" s="400">
        <f t="shared" si="68"/>
        <v>50</v>
      </c>
      <c r="G1194" s="421">
        <f t="shared" si="66"/>
        <v>51.75</v>
      </c>
    </row>
    <row r="1195" spans="1:7">
      <c r="A1195" s="362"/>
      <c r="B1195" s="383" t="s">
        <v>539</v>
      </c>
      <c r="C1195" s="384" t="s">
        <v>533</v>
      </c>
      <c r="D1195" s="228">
        <v>200</v>
      </c>
      <c r="E1195" s="5" t="s">
        <v>699</v>
      </c>
      <c r="F1195" s="400">
        <f t="shared" si="68"/>
        <v>200</v>
      </c>
      <c r="G1195" s="421">
        <f t="shared" si="66"/>
        <v>207</v>
      </c>
    </row>
    <row r="1196" spans="1:7">
      <c r="A1196" s="362"/>
      <c r="B1196" s="383" t="s">
        <v>540</v>
      </c>
      <c r="C1196" s="384" t="s">
        <v>533</v>
      </c>
      <c r="D1196" s="228">
        <v>270</v>
      </c>
      <c r="E1196" s="5" t="s">
        <v>699</v>
      </c>
      <c r="F1196" s="400">
        <f t="shared" si="68"/>
        <v>270</v>
      </c>
      <c r="G1196" s="421">
        <f t="shared" si="66"/>
        <v>279.45</v>
      </c>
    </row>
    <row r="1197" spans="1:7">
      <c r="A1197" s="362"/>
      <c r="B1197" s="383" t="s">
        <v>541</v>
      </c>
      <c r="C1197" s="384" t="s">
        <v>533</v>
      </c>
      <c r="D1197" s="228">
        <v>320</v>
      </c>
      <c r="E1197" s="5" t="s">
        <v>699</v>
      </c>
      <c r="F1197" s="400">
        <f t="shared" si="68"/>
        <v>320</v>
      </c>
      <c r="G1197" s="421">
        <f t="shared" si="66"/>
        <v>331.2</v>
      </c>
    </row>
    <row r="1198" spans="1:7">
      <c r="A1198" s="362"/>
      <c r="B1198" s="383" t="s">
        <v>542</v>
      </c>
      <c r="C1198" s="384" t="s">
        <v>533</v>
      </c>
      <c r="D1198" s="228">
        <v>490</v>
      </c>
      <c r="E1198" s="5" t="s">
        <v>699</v>
      </c>
      <c r="F1198" s="400">
        <f t="shared" si="68"/>
        <v>490</v>
      </c>
      <c r="G1198" s="421">
        <f t="shared" si="66"/>
        <v>507.15000000000003</v>
      </c>
    </row>
    <row r="1199" spans="1:7" ht="66.75">
      <c r="A1199" s="362"/>
      <c r="B1199" s="341" t="s">
        <v>73</v>
      </c>
      <c r="C1199" s="384"/>
      <c r="D1199" s="228"/>
      <c r="E1199" s="285"/>
      <c r="F1199" s="400"/>
      <c r="G1199" s="421"/>
    </row>
    <row r="1200" spans="1:7">
      <c r="A1200" s="362"/>
      <c r="B1200" s="383" t="s">
        <v>543</v>
      </c>
      <c r="C1200" s="384" t="s">
        <v>544</v>
      </c>
      <c r="D1200" s="228"/>
      <c r="E1200" s="290" t="s">
        <v>978</v>
      </c>
      <c r="F1200" s="400">
        <f t="shared" ref="F1200:F1211" si="69">D1200</f>
        <v>0</v>
      </c>
      <c r="G1200" s="421">
        <f t="shared" si="66"/>
        <v>0</v>
      </c>
    </row>
    <row r="1201" spans="1:7">
      <c r="A1201" s="362"/>
      <c r="B1201" s="383" t="s">
        <v>2424</v>
      </c>
      <c r="C1201" s="384" t="s">
        <v>544</v>
      </c>
      <c r="D1201" s="228"/>
      <c r="E1201" s="290" t="s">
        <v>978</v>
      </c>
      <c r="F1201" s="400">
        <f t="shared" si="69"/>
        <v>0</v>
      </c>
      <c r="G1201" s="421">
        <f t="shared" si="66"/>
        <v>0</v>
      </c>
    </row>
    <row r="1202" spans="1:7">
      <c r="A1202" s="362"/>
      <c r="B1202" s="383" t="s">
        <v>2425</v>
      </c>
      <c r="C1202" s="384" t="s">
        <v>544</v>
      </c>
      <c r="D1202" s="228"/>
      <c r="E1202" s="290" t="s">
        <v>978</v>
      </c>
      <c r="F1202" s="400">
        <f t="shared" si="69"/>
        <v>0</v>
      </c>
      <c r="G1202" s="421">
        <f t="shared" si="66"/>
        <v>0</v>
      </c>
    </row>
    <row r="1203" spans="1:7">
      <c r="A1203" s="362"/>
      <c r="B1203" s="383" t="s">
        <v>2426</v>
      </c>
      <c r="C1203" s="384" t="s">
        <v>544</v>
      </c>
      <c r="D1203" s="228"/>
      <c r="E1203" s="290" t="s">
        <v>978</v>
      </c>
      <c r="F1203" s="400">
        <f t="shared" si="69"/>
        <v>0</v>
      </c>
      <c r="G1203" s="421">
        <f t="shared" si="66"/>
        <v>0</v>
      </c>
    </row>
    <row r="1204" spans="1:7">
      <c r="A1204" s="362"/>
      <c r="B1204" s="383" t="s">
        <v>2427</v>
      </c>
      <c r="C1204" s="384" t="s">
        <v>544</v>
      </c>
      <c r="D1204" s="228"/>
      <c r="E1204" s="290" t="s">
        <v>978</v>
      </c>
      <c r="F1204" s="400">
        <f t="shared" si="69"/>
        <v>0</v>
      </c>
      <c r="G1204" s="421">
        <f t="shared" si="66"/>
        <v>0</v>
      </c>
    </row>
    <row r="1205" spans="1:7">
      <c r="A1205" s="362"/>
      <c r="B1205" s="383" t="s">
        <v>2428</v>
      </c>
      <c r="C1205" s="384" t="s">
        <v>74</v>
      </c>
      <c r="D1205" s="228">
        <v>300</v>
      </c>
      <c r="E1205" s="290" t="s">
        <v>1870</v>
      </c>
      <c r="F1205" s="400">
        <f t="shared" si="69"/>
        <v>300</v>
      </c>
      <c r="G1205" s="421">
        <f t="shared" si="66"/>
        <v>310.5</v>
      </c>
    </row>
    <row r="1206" spans="1:7" ht="27">
      <c r="A1206" s="362"/>
      <c r="B1206" s="341" t="s">
        <v>2429</v>
      </c>
      <c r="C1206" s="384" t="s">
        <v>533</v>
      </c>
      <c r="D1206" s="228">
        <v>6000</v>
      </c>
      <c r="E1206" s="5" t="s">
        <v>699</v>
      </c>
      <c r="F1206" s="400">
        <f t="shared" si="69"/>
        <v>6000</v>
      </c>
      <c r="G1206" s="421">
        <f t="shared" si="66"/>
        <v>6210</v>
      </c>
    </row>
    <row r="1207" spans="1:7">
      <c r="A1207" s="362"/>
      <c r="B1207" s="383" t="s">
        <v>2430</v>
      </c>
      <c r="C1207" s="384" t="s">
        <v>529</v>
      </c>
      <c r="D1207" s="228">
        <v>230</v>
      </c>
      <c r="E1207" s="5" t="s">
        <v>2981</v>
      </c>
      <c r="F1207" s="400">
        <f t="shared" si="69"/>
        <v>230</v>
      </c>
      <c r="G1207" s="421">
        <f t="shared" si="66"/>
        <v>238.05</v>
      </c>
    </row>
    <row r="1208" spans="1:7">
      <c r="A1208" s="362"/>
      <c r="B1208" s="383" t="s">
        <v>2431</v>
      </c>
      <c r="C1208" s="384" t="s">
        <v>529</v>
      </c>
      <c r="D1208" s="228"/>
      <c r="E1208" s="5" t="s">
        <v>2981</v>
      </c>
      <c r="F1208" s="400">
        <f t="shared" si="69"/>
        <v>0</v>
      </c>
      <c r="G1208" s="421">
        <f t="shared" si="66"/>
        <v>0</v>
      </c>
    </row>
    <row r="1209" spans="1:7">
      <c r="A1209" s="362"/>
      <c r="B1209" s="383" t="s">
        <v>2432</v>
      </c>
      <c r="C1209" s="384" t="s">
        <v>2433</v>
      </c>
      <c r="D1209" s="228"/>
      <c r="E1209" s="285"/>
      <c r="F1209" s="400">
        <f t="shared" si="69"/>
        <v>0</v>
      </c>
      <c r="G1209" s="421">
        <f t="shared" si="66"/>
        <v>0</v>
      </c>
    </row>
    <row r="1210" spans="1:7">
      <c r="A1210" s="362"/>
      <c r="B1210" s="383" t="s">
        <v>2434</v>
      </c>
      <c r="C1210" s="384" t="s">
        <v>2433</v>
      </c>
      <c r="D1210" s="228"/>
      <c r="E1210" s="285"/>
      <c r="F1210" s="400">
        <f t="shared" si="69"/>
        <v>0</v>
      </c>
      <c r="G1210" s="421">
        <f t="shared" si="66"/>
        <v>0</v>
      </c>
    </row>
    <row r="1211" spans="1:7">
      <c r="A1211" s="362"/>
      <c r="B1211" s="383" t="s">
        <v>2435</v>
      </c>
      <c r="C1211" s="384" t="s">
        <v>2436</v>
      </c>
      <c r="D1211" s="228"/>
      <c r="E1211" s="5" t="s">
        <v>2722</v>
      </c>
      <c r="F1211" s="400">
        <f t="shared" si="69"/>
        <v>0</v>
      </c>
      <c r="G1211" s="421">
        <f t="shared" si="66"/>
        <v>0</v>
      </c>
    </row>
  </sheetData>
  <mergeCells count="10">
    <mergeCell ref="G6:G7"/>
    <mergeCell ref="E5:G5"/>
    <mergeCell ref="A2:F2"/>
    <mergeCell ref="A5:A7"/>
    <mergeCell ref="B5:B7"/>
    <mergeCell ref="D6:D7"/>
    <mergeCell ref="C6:C7"/>
    <mergeCell ref="C5:D5"/>
    <mergeCell ref="E6:E7"/>
    <mergeCell ref="F6:F7"/>
  </mergeCells>
  <phoneticPr fontId="54" type="noConversion"/>
  <pageMargins left="1" right="0.25" top="1" bottom="1.25" header="0.5" footer="0.1"/>
  <pageSetup paperSize="9" scale="89" orientation="portrait" horizontalDpi="300" verticalDpi="300" r:id="rId1"/>
  <headerFooter alignWithMargins="0">
    <oddHeader>&amp;L&amp;"Arial,Italic"&amp;6Kathmandu District material Rate 065-066</oddHeader>
    <oddFooter>&amp;C&amp;P</oddFooter>
  </headerFooter>
  <rowBreaks count="6" manualBreakCount="6">
    <brk id="193" max="16383" man="1"/>
    <brk id="215" max="6" man="1"/>
    <brk id="249" max="16383" man="1"/>
    <brk id="373" max="6" man="1"/>
    <brk id="406" max="16383" man="1"/>
    <brk id="470"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A4974"/>
  <sheetViews>
    <sheetView view="pageBreakPreview" zoomScale="60" workbookViewId="0">
      <selection activeCell="F7" sqref="F7"/>
    </sheetView>
  </sheetViews>
  <sheetFormatPr defaultRowHeight="12.75"/>
  <cols>
    <col min="1" max="1" width="7" customWidth="1"/>
    <col min="2" max="2" width="13.28515625" customWidth="1"/>
    <col min="3" max="3" width="15.140625" customWidth="1"/>
    <col min="4" max="4" width="9" customWidth="1"/>
    <col min="5" max="5" width="10.42578125" customWidth="1"/>
    <col min="6" max="6" width="14.5703125" customWidth="1"/>
    <col min="7" max="7" width="11.5703125" customWidth="1"/>
    <col min="8" max="8" width="13.140625" customWidth="1"/>
    <col min="9" max="9" width="8.7109375" customWidth="1"/>
    <col min="10" max="10" width="10.28515625" customWidth="1"/>
    <col min="11" max="11" width="16.85546875" customWidth="1"/>
    <col min="12" max="12" width="14.7109375" customWidth="1"/>
    <col min="13" max="14" width="11.85546875" customWidth="1"/>
    <col min="16" max="16" width="9.28515625" customWidth="1"/>
    <col min="17" max="17" width="0.28515625" hidden="1" customWidth="1"/>
    <col min="18" max="18" width="10.42578125" customWidth="1"/>
    <col min="20" max="20" width="8.28515625" customWidth="1"/>
    <col min="21" max="21" width="5" customWidth="1"/>
  </cols>
  <sheetData>
    <row r="1" spans="1:8" ht="18">
      <c r="A1" s="1"/>
      <c r="B1" s="892"/>
      <c r="C1" s="891"/>
      <c r="D1" s="891"/>
      <c r="E1" s="891"/>
      <c r="F1" s="891"/>
      <c r="G1" s="891"/>
      <c r="H1" s="891"/>
    </row>
    <row r="2" spans="1:8" ht="18">
      <c r="A2" s="1"/>
      <c r="B2" s="892" t="s">
        <v>2211</v>
      </c>
      <c r="C2" s="891"/>
      <c r="D2" s="891"/>
      <c r="E2" s="891"/>
      <c r="F2" s="891"/>
      <c r="G2" s="891"/>
      <c r="H2" s="891"/>
    </row>
    <row r="3" spans="1:8" ht="18.75">
      <c r="A3" s="260">
        <v>1</v>
      </c>
      <c r="B3" s="893" t="s">
        <v>3253</v>
      </c>
      <c r="C3" s="891"/>
      <c r="D3" s="891"/>
      <c r="E3" s="891"/>
      <c r="F3" s="891"/>
      <c r="G3" s="891"/>
      <c r="H3" s="891"/>
    </row>
    <row r="4" spans="1:8" ht="15.75">
      <c r="A4" s="648" t="s">
        <v>3557</v>
      </c>
      <c r="B4" s="1"/>
      <c r="C4" s="67"/>
      <c r="D4" s="67"/>
      <c r="E4" s="67"/>
      <c r="F4" s="67"/>
      <c r="G4" s="67"/>
      <c r="H4" s="67"/>
    </row>
    <row r="5" spans="1:8" ht="15">
      <c r="A5" s="1"/>
      <c r="B5" s="885" t="s">
        <v>2098</v>
      </c>
      <c r="C5" s="885"/>
      <c r="D5" s="885"/>
      <c r="E5" s="885"/>
      <c r="F5" s="885"/>
      <c r="G5" s="885"/>
      <c r="H5" s="885"/>
    </row>
    <row r="6" spans="1:8" ht="31.5">
      <c r="A6" s="1"/>
      <c r="B6" s="68" t="s">
        <v>2966</v>
      </c>
      <c r="C6" s="68" t="s">
        <v>2967</v>
      </c>
      <c r="D6" s="68" t="s">
        <v>2968</v>
      </c>
      <c r="E6" s="68" t="s">
        <v>2969</v>
      </c>
      <c r="F6" s="68" t="s">
        <v>2970</v>
      </c>
      <c r="G6" s="68" t="s">
        <v>2971</v>
      </c>
      <c r="H6" s="68" t="s">
        <v>1487</v>
      </c>
    </row>
    <row r="7" spans="1:8" ht="17.25">
      <c r="A7" s="1"/>
      <c r="B7" s="64" t="s">
        <v>1488</v>
      </c>
      <c r="C7" s="64" t="s">
        <v>1489</v>
      </c>
      <c r="D7" s="248">
        <v>0.13</v>
      </c>
      <c r="E7" s="64" t="s">
        <v>1490</v>
      </c>
      <c r="F7" s="99" t="e">
        <f>#REF!</f>
        <v>#REF!</v>
      </c>
      <c r="G7" s="99" t="e">
        <f>FLOOR(D7*F7,0.01)</f>
        <v>#REF!</v>
      </c>
      <c r="H7" s="99" t="e">
        <f>(G7)</f>
        <v>#REF!</v>
      </c>
    </row>
    <row r="8" spans="1:8" ht="15.75">
      <c r="A8" s="1"/>
      <c r="B8" s="1"/>
      <c r="C8" s="1"/>
      <c r="D8" s="1"/>
      <c r="E8" s="1"/>
      <c r="F8" s="40" t="s">
        <v>1491</v>
      </c>
      <c r="G8" s="40"/>
      <c r="H8" s="100" t="e">
        <f>SUM(G7)</f>
        <v>#REF!</v>
      </c>
    </row>
    <row r="9" spans="1:8" ht="17.25">
      <c r="A9" s="1"/>
      <c r="B9" s="1"/>
      <c r="C9" s="1"/>
      <c r="D9" s="1"/>
      <c r="E9" s="1"/>
      <c r="F9" s="40" t="s">
        <v>1492</v>
      </c>
      <c r="G9" s="40"/>
      <c r="H9" s="99" t="e">
        <f>FLOOR(H8*0.15,0.01)</f>
        <v>#REF!</v>
      </c>
    </row>
    <row r="10" spans="1:8" ht="17.25">
      <c r="A10" s="1"/>
      <c r="B10" s="1" t="s">
        <v>968</v>
      </c>
      <c r="C10" s="1"/>
      <c r="D10" s="1"/>
      <c r="E10" s="1"/>
      <c r="F10" s="40" t="s">
        <v>1494</v>
      </c>
      <c r="G10" s="40"/>
      <c r="H10" s="99" t="e">
        <f>SUM(H8:H9)</f>
        <v>#REF!</v>
      </c>
    </row>
    <row r="11" spans="1:8" ht="16.5">
      <c r="A11" s="27" t="s">
        <v>3005</v>
      </c>
      <c r="B11" s="99" t="e">
        <f>+H10</f>
        <v>#REF!</v>
      </c>
      <c r="C11" s="1" t="s">
        <v>3006</v>
      </c>
      <c r="D11" s="1"/>
      <c r="E11" s="1"/>
      <c r="F11" s="1"/>
      <c r="G11" s="1"/>
      <c r="H11" s="1"/>
    </row>
    <row r="12" spans="1:8" ht="16.5">
      <c r="A12" s="27"/>
      <c r="B12" s="141"/>
      <c r="C12" s="1"/>
      <c r="D12" s="1"/>
      <c r="E12" s="1"/>
      <c r="F12" s="1"/>
      <c r="G12" s="1"/>
      <c r="H12" s="1"/>
    </row>
    <row r="13" spans="1:8" ht="16.5">
      <c r="A13" s="27"/>
      <c r="B13" s="141"/>
      <c r="C13" s="1"/>
      <c r="D13" s="1"/>
      <c r="E13" s="1"/>
      <c r="F13" s="1"/>
      <c r="G13" s="1"/>
      <c r="H13" s="1"/>
    </row>
    <row r="14" spans="1:8" ht="16.5">
      <c r="A14" s="27"/>
      <c r="B14" s="141"/>
      <c r="C14" s="1"/>
      <c r="D14" s="1"/>
      <c r="E14" s="1"/>
      <c r="F14" s="1"/>
      <c r="G14" s="1"/>
      <c r="H14" s="1"/>
    </row>
    <row r="15" spans="1:8" ht="16.5">
      <c r="A15" s="27"/>
      <c r="B15" s="141"/>
      <c r="C15" s="1"/>
      <c r="D15" s="1"/>
      <c r="E15" s="1"/>
      <c r="F15" s="1"/>
      <c r="G15" s="1"/>
      <c r="H15" s="1"/>
    </row>
    <row r="16" spans="1:8" ht="15">
      <c r="A16" s="1"/>
      <c r="B16" s="1"/>
      <c r="C16" s="1"/>
      <c r="D16" s="1"/>
      <c r="E16" s="1"/>
      <c r="F16" s="1"/>
      <c r="G16" s="1"/>
      <c r="H16" s="1"/>
    </row>
    <row r="17" spans="1:8" ht="18">
      <c r="A17" s="1"/>
      <c r="B17" s="892" t="s">
        <v>3254</v>
      </c>
      <c r="C17" s="891"/>
      <c r="D17" s="891"/>
      <c r="E17" s="891"/>
      <c r="F17" s="891"/>
      <c r="G17" s="891"/>
      <c r="H17" s="891"/>
    </row>
    <row r="18" spans="1:8" ht="18.75">
      <c r="A18" s="260">
        <v>2</v>
      </c>
      <c r="B18" s="893" t="s">
        <v>3253</v>
      </c>
      <c r="C18" s="891"/>
      <c r="D18" s="891"/>
      <c r="E18" s="891"/>
      <c r="F18" s="891"/>
      <c r="G18" s="891"/>
      <c r="H18" s="891"/>
    </row>
    <row r="19" spans="1:8" ht="15.75">
      <c r="A19" s="648" t="s">
        <v>3557</v>
      </c>
      <c r="B19" s="1"/>
      <c r="C19" s="67"/>
      <c r="D19" s="67"/>
      <c r="E19" s="67"/>
      <c r="F19" s="67"/>
      <c r="G19" s="67"/>
      <c r="H19" s="67"/>
    </row>
    <row r="20" spans="1:8" ht="15">
      <c r="A20" s="1"/>
      <c r="B20" s="885" t="s">
        <v>2098</v>
      </c>
      <c r="C20" s="885"/>
      <c r="D20" s="885"/>
      <c r="E20" s="885"/>
      <c r="F20" s="885"/>
      <c r="G20" s="885"/>
      <c r="H20" s="885"/>
    </row>
    <row r="21" spans="1:8" ht="31.5">
      <c r="A21" s="1"/>
      <c r="B21" s="68" t="s">
        <v>2966</v>
      </c>
      <c r="C21" s="68" t="s">
        <v>2967</v>
      </c>
      <c r="D21" s="68" t="s">
        <v>2968</v>
      </c>
      <c r="E21" s="68" t="s">
        <v>2969</v>
      </c>
      <c r="F21" s="68" t="s">
        <v>2970</v>
      </c>
      <c r="G21" s="68" t="s">
        <v>2971</v>
      </c>
      <c r="H21" s="68" t="s">
        <v>1487</v>
      </c>
    </row>
    <row r="22" spans="1:8" ht="17.25">
      <c r="A22" s="1"/>
      <c r="B22" s="64" t="s">
        <v>1488</v>
      </c>
      <c r="C22" s="64" t="s">
        <v>1489</v>
      </c>
      <c r="D22" s="248">
        <v>0.98</v>
      </c>
      <c r="E22" s="64" t="s">
        <v>1490</v>
      </c>
      <c r="F22" s="99" t="e">
        <f>#REF!</f>
        <v>#REF!</v>
      </c>
      <c r="G22" s="99" t="e">
        <f>FLOOR(D22*F22,0.01)</f>
        <v>#REF!</v>
      </c>
      <c r="H22" s="99" t="e">
        <f>(G22)</f>
        <v>#REF!</v>
      </c>
    </row>
    <row r="23" spans="1:8" ht="15.75">
      <c r="A23" s="1"/>
      <c r="B23" s="1"/>
      <c r="C23" s="1"/>
      <c r="D23" s="1"/>
      <c r="E23" s="1"/>
      <c r="F23" s="40" t="s">
        <v>1491</v>
      </c>
      <c r="G23" s="40"/>
      <c r="H23" s="100" t="e">
        <f>SUM(G22)</f>
        <v>#REF!</v>
      </c>
    </row>
    <row r="24" spans="1:8" ht="17.25">
      <c r="A24" s="1"/>
      <c r="B24" s="1"/>
      <c r="C24" s="1"/>
      <c r="D24" s="1"/>
      <c r="E24" s="1"/>
      <c r="F24" s="40" t="s">
        <v>1492</v>
      </c>
      <c r="G24" s="40"/>
      <c r="H24" s="99" t="e">
        <f>FLOOR(H23*0.15,0.01)</f>
        <v>#REF!</v>
      </c>
    </row>
    <row r="25" spans="1:8" ht="17.25">
      <c r="A25" s="1"/>
      <c r="B25" s="1" t="s">
        <v>968</v>
      </c>
      <c r="C25" s="1"/>
      <c r="D25" s="1"/>
      <c r="E25" s="1"/>
      <c r="F25" s="40" t="s">
        <v>1494</v>
      </c>
      <c r="G25" s="40"/>
      <c r="H25" s="99" t="e">
        <f>SUM(H23:H24)</f>
        <v>#REF!</v>
      </c>
    </row>
    <row r="26" spans="1:8" ht="16.5">
      <c r="A26" s="27" t="s">
        <v>3005</v>
      </c>
      <c r="B26" s="99" t="e">
        <f>+H25</f>
        <v>#REF!</v>
      </c>
      <c r="C26" s="1" t="s">
        <v>3006</v>
      </c>
      <c r="D26" s="1"/>
      <c r="E26" s="1"/>
      <c r="F26" s="1"/>
      <c r="G26" s="1"/>
      <c r="H26" s="1"/>
    </row>
    <row r="27" spans="1:8" ht="16.5">
      <c r="A27" s="27"/>
      <c r="B27" s="141"/>
      <c r="C27" s="1"/>
      <c r="D27" s="1"/>
      <c r="E27" s="1"/>
      <c r="F27" s="1"/>
      <c r="G27" s="1"/>
      <c r="H27" s="1"/>
    </row>
    <row r="28" spans="1:8" ht="16.5">
      <c r="A28" s="27"/>
      <c r="B28" s="141"/>
      <c r="C28" s="1"/>
      <c r="D28" s="1"/>
      <c r="E28" s="1"/>
      <c r="F28" s="1"/>
      <c r="G28" s="1"/>
      <c r="H28" s="1"/>
    </row>
    <row r="29" spans="1:8" ht="16.5">
      <c r="A29" s="27"/>
      <c r="B29" s="141"/>
      <c r="C29" s="1"/>
      <c r="D29" s="1"/>
      <c r="E29" s="1"/>
      <c r="F29" s="1"/>
      <c r="G29" s="1"/>
      <c r="H29" s="1"/>
    </row>
    <row r="30" spans="1:8" ht="16.5">
      <c r="A30" s="27"/>
      <c r="B30" s="141"/>
      <c r="C30" s="1"/>
      <c r="D30" s="1"/>
      <c r="E30" s="1"/>
      <c r="F30" s="1"/>
      <c r="G30" s="1"/>
      <c r="H30" s="1"/>
    </row>
    <row r="31" spans="1:8" ht="16.5">
      <c r="A31" s="27"/>
      <c r="B31" s="141"/>
      <c r="C31" s="1"/>
      <c r="D31" s="1"/>
      <c r="E31" s="1"/>
      <c r="F31" s="1"/>
      <c r="G31" s="1"/>
      <c r="H31" s="1"/>
    </row>
    <row r="32" spans="1:8" ht="15">
      <c r="A32" s="1"/>
      <c r="B32" s="1"/>
      <c r="C32" s="1"/>
      <c r="D32" s="1"/>
      <c r="E32" s="1"/>
      <c r="F32" s="1"/>
      <c r="G32" s="1"/>
      <c r="H32" s="1"/>
    </row>
    <row r="33" spans="1:8" ht="18">
      <c r="A33" s="1"/>
      <c r="B33" s="891" t="s">
        <v>2212</v>
      </c>
      <c r="C33" s="891"/>
      <c r="D33" s="891"/>
      <c r="E33" s="891"/>
      <c r="F33" s="891"/>
      <c r="G33" s="891"/>
      <c r="H33" s="891"/>
    </row>
    <row r="34" spans="1:8" ht="18.75">
      <c r="A34" s="260">
        <v>3</v>
      </c>
      <c r="B34" s="891" t="s">
        <v>2100</v>
      </c>
      <c r="C34" s="891"/>
      <c r="D34" s="891"/>
      <c r="E34" s="891"/>
      <c r="F34" s="891"/>
      <c r="G34" s="891"/>
      <c r="H34" s="891"/>
    </row>
    <row r="35" spans="1:8" ht="15">
      <c r="A35" s="648" t="s">
        <v>3558</v>
      </c>
      <c r="B35" s="1"/>
      <c r="C35" s="1"/>
      <c r="D35" s="1"/>
      <c r="E35" s="1"/>
      <c r="F35" s="1"/>
      <c r="G35" s="1"/>
      <c r="H35" s="1"/>
    </row>
    <row r="36" spans="1:8" ht="15">
      <c r="A36" s="1"/>
      <c r="B36" s="879" t="s">
        <v>2098</v>
      </c>
      <c r="C36" s="879"/>
      <c r="D36" s="879"/>
      <c r="E36" s="879"/>
      <c r="F36" s="879"/>
      <c r="G36" s="879"/>
      <c r="H36" s="879"/>
    </row>
    <row r="37" spans="1:8" ht="31.5">
      <c r="A37" s="1"/>
      <c r="B37" s="68" t="s">
        <v>2966</v>
      </c>
      <c r="C37" s="68" t="s">
        <v>2967</v>
      </c>
      <c r="D37" s="68" t="s">
        <v>2968</v>
      </c>
      <c r="E37" s="68" t="s">
        <v>2969</v>
      </c>
      <c r="F37" s="68" t="s">
        <v>2970</v>
      </c>
      <c r="G37" s="68" t="s">
        <v>2971</v>
      </c>
      <c r="H37" s="68" t="s">
        <v>1487</v>
      </c>
    </row>
    <row r="38" spans="1:8" ht="17.25">
      <c r="A38" s="1"/>
      <c r="B38" s="64" t="s">
        <v>1488</v>
      </c>
      <c r="C38" s="64" t="s">
        <v>1489</v>
      </c>
      <c r="D38" s="249">
        <v>0.4</v>
      </c>
      <c r="E38" s="64" t="s">
        <v>1490</v>
      </c>
      <c r="F38" s="99" t="e">
        <f>#REF!</f>
        <v>#REF!</v>
      </c>
      <c r="G38" s="99" t="e">
        <f>FLOOR(D38*F38,0.01)</f>
        <v>#REF!</v>
      </c>
      <c r="H38" s="99" t="e">
        <f>(G38)</f>
        <v>#REF!</v>
      </c>
    </row>
    <row r="39" spans="1:8" ht="15.75">
      <c r="A39" s="1"/>
      <c r="B39" s="1"/>
      <c r="C39" s="1"/>
      <c r="D39" s="1"/>
      <c r="E39" s="1"/>
      <c r="F39" s="40" t="s">
        <v>1491</v>
      </c>
      <c r="G39" s="40"/>
      <c r="H39" s="100" t="e">
        <f>SUM(G38)</f>
        <v>#REF!</v>
      </c>
    </row>
    <row r="40" spans="1:8" ht="17.25">
      <c r="A40" s="1"/>
      <c r="B40" s="1"/>
      <c r="C40" s="1"/>
      <c r="D40" s="1"/>
      <c r="E40" s="1"/>
      <c r="F40" s="40" t="s">
        <v>1492</v>
      </c>
      <c r="G40" s="40"/>
      <c r="H40" s="99" t="e">
        <f>FLOOR(H39*0.15,0.01)</f>
        <v>#REF!</v>
      </c>
    </row>
    <row r="41" spans="1:8" ht="17.25">
      <c r="A41" s="1"/>
      <c r="B41" s="1" t="s">
        <v>968</v>
      </c>
      <c r="C41" s="1"/>
      <c r="D41" s="1"/>
      <c r="E41" s="1"/>
      <c r="F41" s="40" t="s">
        <v>1494</v>
      </c>
      <c r="G41" s="40"/>
      <c r="H41" s="99" t="e">
        <f>SUM(H39:H40)</f>
        <v>#REF!</v>
      </c>
    </row>
    <row r="42" spans="1:8" ht="16.5">
      <c r="A42" s="27" t="s">
        <v>3005</v>
      </c>
      <c r="B42" s="99" t="e">
        <f>+H41</f>
        <v>#REF!</v>
      </c>
      <c r="C42" s="1" t="s">
        <v>3006</v>
      </c>
      <c r="D42" s="1"/>
      <c r="E42" s="1"/>
      <c r="F42" s="1"/>
      <c r="G42" s="1"/>
      <c r="H42" s="1"/>
    </row>
    <row r="43" spans="1:8" ht="16.5">
      <c r="A43" s="27"/>
      <c r="B43" s="141"/>
      <c r="C43" s="1"/>
      <c r="D43" s="1"/>
      <c r="E43" s="1"/>
      <c r="F43" s="1"/>
      <c r="G43" s="1"/>
      <c r="H43" s="1"/>
    </row>
    <row r="44" spans="1:8" ht="18">
      <c r="A44" s="1"/>
      <c r="B44" s="891" t="s">
        <v>3255</v>
      </c>
      <c r="C44" s="891"/>
      <c r="D44" s="891"/>
      <c r="E44" s="891"/>
      <c r="F44" s="891"/>
      <c r="G44" s="891"/>
      <c r="H44" s="891"/>
    </row>
    <row r="45" spans="1:8" ht="18.75">
      <c r="A45" s="260">
        <v>4</v>
      </c>
      <c r="B45" s="891" t="s">
        <v>2100</v>
      </c>
      <c r="C45" s="891"/>
      <c r="D45" s="891"/>
      <c r="E45" s="891"/>
      <c r="F45" s="891"/>
      <c r="G45" s="891"/>
      <c r="H45" s="891"/>
    </row>
    <row r="46" spans="1:8" ht="15">
      <c r="A46" s="648" t="s">
        <v>3558</v>
      </c>
      <c r="B46" s="1"/>
      <c r="C46" s="1"/>
      <c r="D46" s="1"/>
      <c r="E46" s="1"/>
      <c r="F46" s="1"/>
      <c r="G46" s="1"/>
      <c r="H46" s="1"/>
    </row>
    <row r="47" spans="1:8" ht="15">
      <c r="A47" s="1"/>
      <c r="B47" s="879" t="s">
        <v>2098</v>
      </c>
      <c r="C47" s="879"/>
      <c r="D47" s="879"/>
      <c r="E47" s="879"/>
      <c r="F47" s="879"/>
      <c r="G47" s="879"/>
      <c r="H47" s="879"/>
    </row>
    <row r="48" spans="1:8" ht="31.5">
      <c r="A48" s="1"/>
      <c r="B48" s="68" t="s">
        <v>2966</v>
      </c>
      <c r="C48" s="68" t="s">
        <v>2967</v>
      </c>
      <c r="D48" s="68" t="s">
        <v>2968</v>
      </c>
      <c r="E48" s="68" t="s">
        <v>2969</v>
      </c>
      <c r="F48" s="68" t="s">
        <v>2970</v>
      </c>
      <c r="G48" s="68" t="s">
        <v>2971</v>
      </c>
      <c r="H48" s="68" t="s">
        <v>1487</v>
      </c>
    </row>
    <row r="49" spans="1:8" ht="17.25">
      <c r="A49" s="1"/>
      <c r="B49" s="64" t="s">
        <v>1488</v>
      </c>
      <c r="C49" s="64" t="s">
        <v>1489</v>
      </c>
      <c r="D49" s="249">
        <v>2.52</v>
      </c>
      <c r="E49" s="64" t="s">
        <v>1490</v>
      </c>
      <c r="F49" s="99" t="e">
        <f>#REF!</f>
        <v>#REF!</v>
      </c>
      <c r="G49" s="99" t="e">
        <f>FLOOR(D49*F49,0.01)</f>
        <v>#REF!</v>
      </c>
      <c r="H49" s="99" t="e">
        <f>(G49)</f>
        <v>#REF!</v>
      </c>
    </row>
    <row r="50" spans="1:8" ht="15.75">
      <c r="A50" s="1"/>
      <c r="B50" s="1"/>
      <c r="C50" s="1"/>
      <c r="D50" s="1"/>
      <c r="E50" s="1"/>
      <c r="F50" s="40" t="s">
        <v>1491</v>
      </c>
      <c r="G50" s="40"/>
      <c r="H50" s="100" t="e">
        <f>SUM(G49)</f>
        <v>#REF!</v>
      </c>
    </row>
    <row r="51" spans="1:8" ht="17.25">
      <c r="A51" s="1"/>
      <c r="B51" s="1"/>
      <c r="C51" s="1"/>
      <c r="D51" s="1"/>
      <c r="E51" s="1"/>
      <c r="F51" s="40" t="s">
        <v>1492</v>
      </c>
      <c r="G51" s="40"/>
      <c r="H51" s="99" t="e">
        <f>FLOOR(H50*0.15,0.01)</f>
        <v>#REF!</v>
      </c>
    </row>
    <row r="52" spans="1:8" ht="17.25">
      <c r="A52" s="1"/>
      <c r="B52" s="1" t="s">
        <v>968</v>
      </c>
      <c r="C52" s="1"/>
      <c r="D52" s="1"/>
      <c r="E52" s="1"/>
      <c r="F52" s="40" t="s">
        <v>1494</v>
      </c>
      <c r="G52" s="40"/>
      <c r="H52" s="99" t="e">
        <f>SUM(H50:H51)</f>
        <v>#REF!</v>
      </c>
    </row>
    <row r="53" spans="1:8" ht="16.5">
      <c r="A53" s="27" t="s">
        <v>3005</v>
      </c>
      <c r="B53" s="99" t="e">
        <f>+H52</f>
        <v>#REF!</v>
      </c>
      <c r="C53" s="1" t="s">
        <v>3006</v>
      </c>
      <c r="D53" s="1"/>
      <c r="E53" s="1"/>
      <c r="F53" s="1"/>
      <c r="G53" s="1"/>
      <c r="H53" s="1"/>
    </row>
    <row r="54" spans="1:8" ht="15">
      <c r="A54" s="1"/>
      <c r="B54" s="1"/>
      <c r="C54" s="1"/>
      <c r="D54" s="1"/>
      <c r="E54" s="1"/>
      <c r="F54" s="1"/>
      <c r="G54" s="1"/>
      <c r="H54" s="1"/>
    </row>
    <row r="55" spans="1:8" ht="15">
      <c r="A55" s="1"/>
      <c r="B55" s="1"/>
      <c r="C55" s="1"/>
      <c r="D55" s="1"/>
      <c r="E55" s="1"/>
      <c r="F55" s="1"/>
      <c r="G55" s="1"/>
      <c r="H55" s="1"/>
    </row>
    <row r="56" spans="1:8" ht="15">
      <c r="A56" s="1"/>
      <c r="B56" s="1"/>
      <c r="C56" s="1"/>
      <c r="D56" s="1"/>
      <c r="E56" s="1"/>
      <c r="F56" s="1"/>
      <c r="G56" s="1"/>
      <c r="H56" s="1"/>
    </row>
    <row r="57" spans="1:8" ht="15">
      <c r="A57" s="1"/>
      <c r="B57" s="1"/>
      <c r="C57" s="1"/>
      <c r="D57" s="1"/>
      <c r="E57" s="1"/>
      <c r="F57" s="1"/>
      <c r="G57" s="1"/>
      <c r="H57" s="1"/>
    </row>
    <row r="58" spans="1:8" ht="15">
      <c r="A58" s="1"/>
      <c r="B58" s="1"/>
      <c r="C58" s="1"/>
      <c r="D58" s="1"/>
      <c r="E58" s="1"/>
      <c r="F58" s="1"/>
      <c r="G58" s="1"/>
      <c r="H58" s="1"/>
    </row>
    <row r="59" spans="1:8" ht="18.75">
      <c r="A59" s="260">
        <v>5</v>
      </c>
      <c r="B59" s="891" t="s">
        <v>3256</v>
      </c>
      <c r="C59" s="891"/>
      <c r="D59" s="891"/>
      <c r="E59" s="891"/>
      <c r="F59" s="891"/>
      <c r="G59" s="891"/>
      <c r="H59" s="891"/>
    </row>
    <row r="60" spans="1:8" ht="18">
      <c r="A60" s="582" t="s">
        <v>3269</v>
      </c>
      <c r="B60" s="891"/>
      <c r="C60" s="891"/>
      <c r="D60" s="891"/>
      <c r="E60" s="891"/>
      <c r="F60" s="891"/>
      <c r="G60" s="891"/>
      <c r="H60" s="891"/>
    </row>
    <row r="61" spans="1:8" ht="15">
      <c r="A61" s="1"/>
      <c r="B61" s="879" t="s">
        <v>2318</v>
      </c>
      <c r="C61" s="879"/>
      <c r="D61" s="879"/>
      <c r="E61" s="879"/>
      <c r="F61" s="879"/>
      <c r="G61" s="879"/>
      <c r="H61" s="879"/>
    </row>
    <row r="62" spans="1:8" ht="31.5">
      <c r="A62" s="1"/>
      <c r="B62" s="68" t="s">
        <v>2966</v>
      </c>
      <c r="C62" s="68" t="s">
        <v>2967</v>
      </c>
      <c r="D62" s="68" t="s">
        <v>2968</v>
      </c>
      <c r="E62" s="68" t="s">
        <v>2969</v>
      </c>
      <c r="F62" s="68" t="s">
        <v>2970</v>
      </c>
      <c r="G62" s="68" t="s">
        <v>2971</v>
      </c>
      <c r="H62" s="68" t="s">
        <v>1487</v>
      </c>
    </row>
    <row r="63" spans="1:8" ht="17.25">
      <c r="A63" s="1"/>
      <c r="B63" s="64" t="s">
        <v>1488</v>
      </c>
      <c r="C63" s="64" t="s">
        <v>1489</v>
      </c>
      <c r="D63" s="248">
        <v>2.3E-2</v>
      </c>
      <c r="E63" s="64" t="s">
        <v>1490</v>
      </c>
      <c r="F63" s="171" t="e">
        <f>#REF!</f>
        <v>#REF!</v>
      </c>
      <c r="G63" s="99" t="e">
        <f>FLOOR(D63*F63,0.01)</f>
        <v>#REF!</v>
      </c>
      <c r="H63" s="99" t="e">
        <f>(G63)</f>
        <v>#REF!</v>
      </c>
    </row>
    <row r="64" spans="1:8" ht="17.25">
      <c r="A64" s="1"/>
      <c r="B64" s="1"/>
      <c r="C64" s="1"/>
      <c r="D64" s="1"/>
      <c r="E64" s="1"/>
      <c r="F64" s="40" t="s">
        <v>1491</v>
      </c>
      <c r="G64" s="40"/>
      <c r="H64" s="7" t="e">
        <f>SUM(G63)</f>
        <v>#REF!</v>
      </c>
    </row>
    <row r="65" spans="1:8" ht="17.25">
      <c r="A65" s="1"/>
      <c r="B65" s="1"/>
      <c r="C65" s="1"/>
      <c r="D65" s="1"/>
      <c r="E65" s="1"/>
      <c r="F65" s="40" t="s">
        <v>1492</v>
      </c>
      <c r="G65" s="40"/>
      <c r="H65" s="7" t="e">
        <f>FLOOR((H64*0.15*100)/100,0.01)</f>
        <v>#REF!</v>
      </c>
    </row>
    <row r="66" spans="1:8" ht="17.25">
      <c r="A66" s="1"/>
      <c r="B66" s="1" t="s">
        <v>1493</v>
      </c>
      <c r="C66" s="1"/>
      <c r="D66" s="1"/>
      <c r="E66" s="1"/>
      <c r="F66" s="40" t="s">
        <v>1494</v>
      </c>
      <c r="G66" s="40"/>
      <c r="H66" s="99" t="e">
        <f>SUM(H64:H65)</f>
        <v>#REF!</v>
      </c>
    </row>
    <row r="67" spans="1:8" ht="16.5">
      <c r="A67" s="27" t="s">
        <v>3005</v>
      </c>
      <c r="B67" s="99" t="e">
        <f>+H66</f>
        <v>#REF!</v>
      </c>
      <c r="C67" s="1" t="s">
        <v>3006</v>
      </c>
      <c r="D67" s="1"/>
      <c r="E67" s="1"/>
      <c r="F67" s="1"/>
      <c r="G67" s="1"/>
      <c r="H67" s="1"/>
    </row>
    <row r="68" spans="1:8" ht="16.5">
      <c r="A68" s="27"/>
      <c r="B68" s="141"/>
      <c r="C68" s="1"/>
      <c r="D68" s="1"/>
      <c r="E68" s="1"/>
      <c r="F68" s="1"/>
      <c r="G68" s="1"/>
      <c r="H68" s="1"/>
    </row>
    <row r="69" spans="1:8" ht="16.5">
      <c r="A69" s="27"/>
      <c r="B69" s="141"/>
      <c r="C69" s="1"/>
      <c r="D69" s="1"/>
      <c r="E69" s="1"/>
      <c r="F69" s="1"/>
      <c r="G69" s="1"/>
      <c r="H69" s="1"/>
    </row>
    <row r="70" spans="1:8" ht="16.5">
      <c r="A70" s="27"/>
      <c r="B70" s="141"/>
      <c r="C70" s="1"/>
      <c r="D70" s="1"/>
      <c r="E70" s="1"/>
      <c r="F70" s="1"/>
      <c r="G70" s="1"/>
      <c r="H70" s="1"/>
    </row>
    <row r="71" spans="1:8" ht="16.5">
      <c r="A71" s="27"/>
      <c r="B71" s="141"/>
      <c r="C71" s="1"/>
      <c r="D71" s="1"/>
      <c r="E71" s="1"/>
      <c r="F71" s="1"/>
      <c r="G71" s="1"/>
      <c r="H71" s="1"/>
    </row>
    <row r="72" spans="1:8" ht="15">
      <c r="A72" s="1"/>
      <c r="B72" s="1"/>
      <c r="C72" s="1"/>
      <c r="D72" s="1"/>
      <c r="E72" s="1"/>
      <c r="F72" s="1"/>
      <c r="G72" s="1"/>
      <c r="H72" s="1"/>
    </row>
    <row r="73" spans="1:8" ht="15">
      <c r="A73" s="1"/>
      <c r="B73" s="1"/>
      <c r="C73" s="1"/>
      <c r="D73" s="1"/>
      <c r="E73" s="1"/>
      <c r="F73" s="1"/>
      <c r="G73" s="1"/>
      <c r="H73" s="1"/>
    </row>
    <row r="74" spans="1:8" ht="18.75">
      <c r="A74" s="260">
        <v>6</v>
      </c>
      <c r="B74" s="891" t="s">
        <v>3130</v>
      </c>
      <c r="C74" s="891"/>
      <c r="D74" s="891"/>
      <c r="E74" s="891"/>
      <c r="F74" s="891"/>
      <c r="G74" s="891"/>
      <c r="H74" s="891"/>
    </row>
    <row r="75" spans="1:8" ht="18">
      <c r="A75" s="582" t="s">
        <v>3270</v>
      </c>
      <c r="B75" s="891" t="s">
        <v>3131</v>
      </c>
      <c r="C75" s="891"/>
      <c r="D75" s="891"/>
      <c r="E75" s="891"/>
      <c r="F75" s="891"/>
      <c r="G75" s="891"/>
      <c r="H75" s="891"/>
    </row>
    <row r="76" spans="1:8" ht="15">
      <c r="A76" s="1"/>
      <c r="B76" s="879" t="s">
        <v>2318</v>
      </c>
      <c r="C76" s="879"/>
      <c r="D76" s="879"/>
      <c r="E76" s="879"/>
      <c r="F76" s="879"/>
      <c r="G76" s="879"/>
      <c r="H76" s="879"/>
    </row>
    <row r="77" spans="1:8" ht="31.5">
      <c r="A77" s="1"/>
      <c r="B77" s="68" t="s">
        <v>2966</v>
      </c>
      <c r="C77" s="68" t="s">
        <v>2967</v>
      </c>
      <c r="D77" s="68" t="s">
        <v>2968</v>
      </c>
      <c r="E77" s="68" t="s">
        <v>2969</v>
      </c>
      <c r="F77" s="68" t="s">
        <v>2970</v>
      </c>
      <c r="G77" s="68" t="s">
        <v>2971</v>
      </c>
      <c r="H77" s="68" t="s">
        <v>1487</v>
      </c>
    </row>
    <row r="78" spans="1:8" ht="17.25">
      <c r="A78" s="1"/>
      <c r="B78" s="64" t="s">
        <v>1488</v>
      </c>
      <c r="C78" s="64" t="s">
        <v>1489</v>
      </c>
      <c r="D78" s="248">
        <v>0.01</v>
      </c>
      <c r="E78" s="64" t="s">
        <v>1490</v>
      </c>
      <c r="F78" s="577" t="e">
        <f>#REF!</f>
        <v>#REF!</v>
      </c>
      <c r="G78" s="99" t="e">
        <f>FLOOR(D78*F78,0.01)</f>
        <v>#REF!</v>
      </c>
      <c r="H78" s="99" t="e">
        <f>(G78)</f>
        <v>#REF!</v>
      </c>
    </row>
    <row r="79" spans="1:8" ht="17.25">
      <c r="A79" s="1"/>
      <c r="B79" s="1"/>
      <c r="C79" s="1"/>
      <c r="D79" s="1"/>
      <c r="E79" s="1"/>
      <c r="F79" s="40" t="s">
        <v>1491</v>
      </c>
      <c r="G79" s="40"/>
      <c r="H79" s="7" t="e">
        <f>SUM(G78)</f>
        <v>#REF!</v>
      </c>
    </row>
    <row r="80" spans="1:8" ht="17.25">
      <c r="A80" s="1"/>
      <c r="B80" s="1"/>
      <c r="C80" s="1"/>
      <c r="D80" s="1"/>
      <c r="E80" s="1"/>
      <c r="F80" s="40" t="s">
        <v>1492</v>
      </c>
      <c r="G80" s="40"/>
      <c r="H80" s="7" t="e">
        <f>FLOOR((H79*0.15*100)/100,0.01)</f>
        <v>#REF!</v>
      </c>
    </row>
    <row r="81" spans="1:8" ht="17.25">
      <c r="A81" s="1"/>
      <c r="B81" s="1" t="s">
        <v>1493</v>
      </c>
      <c r="C81" s="1"/>
      <c r="D81" s="1"/>
      <c r="E81" s="1"/>
      <c r="F81" s="40" t="s">
        <v>1494</v>
      </c>
      <c r="G81" s="40"/>
      <c r="H81" s="99" t="e">
        <f>SUM(H79:H80)</f>
        <v>#REF!</v>
      </c>
    </row>
    <row r="82" spans="1:8" ht="16.5">
      <c r="A82" s="27" t="s">
        <v>3005</v>
      </c>
      <c r="B82" s="99" t="e">
        <f>+H81</f>
        <v>#REF!</v>
      </c>
      <c r="C82" s="1" t="s">
        <v>3006</v>
      </c>
      <c r="D82" s="1"/>
      <c r="E82" s="1"/>
      <c r="F82" s="1"/>
      <c r="G82" s="1"/>
      <c r="H82" s="1"/>
    </row>
    <row r="83" spans="1:8" ht="15">
      <c r="A83" s="1"/>
      <c r="B83" s="1"/>
      <c r="C83" s="1"/>
      <c r="D83" s="1"/>
      <c r="E83" s="1"/>
      <c r="F83" s="1"/>
      <c r="G83" s="1"/>
      <c r="H83" s="1"/>
    </row>
    <row r="84" spans="1:8" ht="18.75">
      <c r="A84" s="260">
        <v>7</v>
      </c>
      <c r="B84" s="891" t="s">
        <v>3257</v>
      </c>
      <c r="C84" s="891"/>
      <c r="D84" s="891"/>
      <c r="E84" s="891"/>
      <c r="F84" s="891"/>
      <c r="G84" s="891"/>
      <c r="H84" s="891"/>
    </row>
    <row r="85" spans="1:8" ht="18">
      <c r="A85" s="582" t="s">
        <v>3271</v>
      </c>
      <c r="B85" s="891" t="s">
        <v>3258</v>
      </c>
      <c r="C85" s="891"/>
      <c r="D85" s="891"/>
      <c r="E85" s="891"/>
      <c r="F85" s="891"/>
      <c r="G85" s="891"/>
      <c r="H85" s="891"/>
    </row>
    <row r="86" spans="1:8" ht="15">
      <c r="A86" s="1"/>
      <c r="B86" s="879" t="s">
        <v>2803</v>
      </c>
      <c r="C86" s="879"/>
      <c r="D86" s="879"/>
      <c r="E86" s="879"/>
      <c r="F86" s="879"/>
      <c r="G86" s="879"/>
      <c r="H86" s="879"/>
    </row>
    <row r="87" spans="1:8" ht="31.5">
      <c r="A87" s="1"/>
      <c r="B87" s="68" t="s">
        <v>2966</v>
      </c>
      <c r="C87" s="68" t="s">
        <v>2967</v>
      </c>
      <c r="D87" s="68" t="s">
        <v>2968</v>
      </c>
      <c r="E87" s="68" t="s">
        <v>2969</v>
      </c>
      <c r="F87" s="68" t="s">
        <v>2970</v>
      </c>
      <c r="G87" s="68" t="s">
        <v>2971</v>
      </c>
      <c r="H87" s="68" t="s">
        <v>1487</v>
      </c>
    </row>
    <row r="88" spans="1:8" ht="17.25">
      <c r="A88" s="1"/>
      <c r="B88" s="64" t="s">
        <v>1488</v>
      </c>
      <c r="C88" s="64" t="s">
        <v>1489</v>
      </c>
      <c r="D88" s="248">
        <v>5.04</v>
      </c>
      <c r="E88" s="64" t="s">
        <v>1490</v>
      </c>
      <c r="F88" s="577" t="e">
        <f>#REF!</f>
        <v>#REF!</v>
      </c>
      <c r="G88" s="99" t="e">
        <f>FLOOR(D88*F88,0.01)</f>
        <v>#REF!</v>
      </c>
      <c r="H88" s="99" t="e">
        <f>(G88)</f>
        <v>#REF!</v>
      </c>
    </row>
    <row r="89" spans="1:8" ht="17.25">
      <c r="A89" s="1"/>
      <c r="B89" s="886" t="s">
        <v>2055</v>
      </c>
      <c r="C89" s="55" t="s">
        <v>3559</v>
      </c>
      <c r="D89" s="45">
        <v>100</v>
      </c>
      <c r="E89" s="55" t="s">
        <v>2807</v>
      </c>
      <c r="F89" s="178" t="e">
        <f>#REF!</f>
        <v>#REF!</v>
      </c>
      <c r="G89" s="110" t="e">
        <f>FLOOR(F89*D89,0.01)</f>
        <v>#REF!</v>
      </c>
      <c r="H89" s="110"/>
    </row>
    <row r="90" spans="1:8" ht="17.25">
      <c r="A90" s="1"/>
      <c r="B90" s="887"/>
      <c r="C90" s="135" t="s">
        <v>3259</v>
      </c>
      <c r="D90" s="43">
        <v>7</v>
      </c>
      <c r="E90" s="56" t="s">
        <v>2748</v>
      </c>
      <c r="F90" s="179" t="e">
        <f>#REF!</f>
        <v>#REF!</v>
      </c>
      <c r="G90" s="63" t="e">
        <f>FLOOR(D90*F90,0.01)</f>
        <v>#REF!</v>
      </c>
      <c r="H90" s="63" t="e">
        <f>+G90+G89</f>
        <v>#REF!</v>
      </c>
    </row>
    <row r="91" spans="1:8" ht="17.25">
      <c r="A91" s="1"/>
      <c r="B91" s="1"/>
      <c r="C91" s="1"/>
      <c r="D91" s="1"/>
      <c r="E91" s="1"/>
      <c r="F91" s="40" t="s">
        <v>1491</v>
      </c>
      <c r="G91" s="578"/>
      <c r="H91" s="63" t="e">
        <f>SUM(H88:H90)</f>
        <v>#REF!</v>
      </c>
    </row>
    <row r="92" spans="1:8" ht="17.25">
      <c r="A92" s="1"/>
      <c r="B92" s="1" t="s">
        <v>1493</v>
      </c>
      <c r="C92" s="1"/>
      <c r="D92" s="1"/>
      <c r="E92" s="1"/>
      <c r="F92" s="40" t="s">
        <v>1472</v>
      </c>
      <c r="G92" s="67"/>
      <c r="H92" s="99" t="e">
        <f>FLOOR(H91*0.15,0.01)</f>
        <v>#REF!</v>
      </c>
    </row>
    <row r="93" spans="1:8" ht="17.25">
      <c r="A93" s="27" t="s">
        <v>3005</v>
      </c>
      <c r="B93" s="99" t="e">
        <f>+H93/100</f>
        <v>#REF!</v>
      </c>
      <c r="C93" s="1" t="s">
        <v>3006</v>
      </c>
      <c r="D93" s="1"/>
      <c r="E93" s="1"/>
      <c r="F93" s="40" t="s">
        <v>1494</v>
      </c>
      <c r="G93" s="67"/>
      <c r="H93" s="99" t="e">
        <f>SUM(H91:H92)</f>
        <v>#REF!</v>
      </c>
    </row>
    <row r="94" spans="1:8" ht="15">
      <c r="A94" s="1"/>
      <c r="B94" s="1"/>
      <c r="C94" s="1"/>
      <c r="D94" s="1"/>
      <c r="E94" s="1"/>
      <c r="F94" s="1"/>
      <c r="G94" s="1"/>
      <c r="H94" s="3"/>
    </row>
    <row r="95" spans="1:8" ht="18.75">
      <c r="A95" s="260">
        <f>+A84+1</f>
        <v>8</v>
      </c>
      <c r="B95" s="891" t="s">
        <v>3561</v>
      </c>
      <c r="C95" s="891"/>
      <c r="D95" s="891"/>
      <c r="E95" s="891"/>
      <c r="F95" s="891"/>
      <c r="G95" s="891"/>
      <c r="H95" s="891"/>
    </row>
    <row r="96" spans="1:8" ht="18">
      <c r="A96" s="582" t="s">
        <v>3272</v>
      </c>
      <c r="B96" s="891" t="s">
        <v>3260</v>
      </c>
      <c r="C96" s="891"/>
      <c r="D96" s="891"/>
      <c r="E96" s="891"/>
      <c r="F96" s="891"/>
      <c r="G96" s="891"/>
      <c r="H96" s="891"/>
    </row>
    <row r="97" spans="1:8" ht="15">
      <c r="A97" s="1"/>
      <c r="B97" s="879" t="s">
        <v>3261</v>
      </c>
      <c r="C97" s="879"/>
      <c r="D97" s="879"/>
      <c r="E97" s="879"/>
      <c r="F97" s="879"/>
      <c r="G97" s="879"/>
      <c r="H97" s="879"/>
    </row>
    <row r="98" spans="1:8" ht="31.5">
      <c r="A98" s="1"/>
      <c r="B98" s="68" t="s">
        <v>2966</v>
      </c>
      <c r="C98" s="68" t="s">
        <v>2967</v>
      </c>
      <c r="D98" s="68" t="s">
        <v>2968</v>
      </c>
      <c r="E98" s="68" t="s">
        <v>2969</v>
      </c>
      <c r="F98" s="68" t="s">
        <v>2970</v>
      </c>
      <c r="G98" s="68" t="s">
        <v>2971</v>
      </c>
      <c r="H98" s="68" t="s">
        <v>1487</v>
      </c>
    </row>
    <row r="99" spans="1:8" ht="17.25">
      <c r="A99" s="1"/>
      <c r="B99" s="886" t="s">
        <v>1488</v>
      </c>
      <c r="C99" s="58" t="s">
        <v>686</v>
      </c>
      <c r="D99" s="679">
        <v>4</v>
      </c>
      <c r="E99" s="55" t="s">
        <v>1490</v>
      </c>
      <c r="F99" s="579" t="e">
        <f>#REF!</f>
        <v>#REF!</v>
      </c>
      <c r="G99" s="110" t="e">
        <f>FLOOR(D99*F99,0.01)</f>
        <v>#REF!</v>
      </c>
      <c r="H99" s="110"/>
    </row>
    <row r="100" spans="1:8" ht="17.25">
      <c r="A100" s="1"/>
      <c r="B100" s="895"/>
      <c r="C100" s="56" t="s">
        <v>1489</v>
      </c>
      <c r="D100" s="664">
        <v>3</v>
      </c>
      <c r="E100" s="56" t="s">
        <v>1490</v>
      </c>
      <c r="F100" s="580" t="e">
        <f>#REF!</f>
        <v>#REF!</v>
      </c>
      <c r="G100" s="63" t="e">
        <f>FLOOR(D100*F100,0.01)</f>
        <v>#REF!</v>
      </c>
      <c r="H100" s="63" t="e">
        <f>+G100+G99</f>
        <v>#REF!</v>
      </c>
    </row>
    <row r="101" spans="1:8" ht="17.25">
      <c r="A101" s="1"/>
      <c r="B101" s="886" t="s">
        <v>2055</v>
      </c>
      <c r="C101" s="55" t="s">
        <v>3262</v>
      </c>
      <c r="D101" s="45">
        <v>10</v>
      </c>
      <c r="E101" s="55" t="s">
        <v>699</v>
      </c>
      <c r="F101" s="178" t="e">
        <f>#REF!</f>
        <v>#REF!</v>
      </c>
      <c r="G101" s="110" t="e">
        <f>FLOOR(F101*D101,0.01)</f>
        <v>#REF!</v>
      </c>
      <c r="H101" s="110"/>
    </row>
    <row r="102" spans="1:8" ht="17.25">
      <c r="A102" s="1"/>
      <c r="B102" s="894"/>
      <c r="C102" s="54" t="s">
        <v>3259</v>
      </c>
      <c r="D102" s="42">
        <v>3</v>
      </c>
      <c r="E102" s="53" t="s">
        <v>2748</v>
      </c>
      <c r="F102" s="177" t="e">
        <f>#REF!</f>
        <v>#REF!</v>
      </c>
      <c r="G102" s="109" t="e">
        <f>FLOOR(D102*F102,0.01)</f>
        <v>#REF!</v>
      </c>
      <c r="H102" s="109"/>
    </row>
    <row r="103" spans="1:8" ht="17.25">
      <c r="A103" s="1"/>
      <c r="B103" s="894"/>
      <c r="C103" s="54" t="s">
        <v>3263</v>
      </c>
      <c r="D103" s="42">
        <v>1.98</v>
      </c>
      <c r="E103" s="53" t="s">
        <v>2748</v>
      </c>
      <c r="F103" s="177" t="e">
        <f>#REF!</f>
        <v>#REF!</v>
      </c>
      <c r="G103" s="109" t="e">
        <f>FLOOR(D103*F103,0.01)</f>
        <v>#REF!</v>
      </c>
      <c r="H103" s="109"/>
    </row>
    <row r="104" spans="1:8" ht="17.25">
      <c r="A104" s="1"/>
      <c r="B104" s="887"/>
      <c r="C104" s="135" t="s">
        <v>3562</v>
      </c>
      <c r="D104" s="43">
        <v>1.57</v>
      </c>
      <c r="E104" s="56" t="s">
        <v>2807</v>
      </c>
      <c r="F104" s="179" t="e">
        <f>#REF!</f>
        <v>#REF!</v>
      </c>
      <c r="G104" s="63" t="e">
        <f>FLOOR(D104*F104,0.01)</f>
        <v>#REF!</v>
      </c>
      <c r="H104" s="63" t="e">
        <f>+G104+G103+G102+G101</f>
        <v>#REF!</v>
      </c>
    </row>
    <row r="105" spans="1:8" ht="17.25">
      <c r="A105" s="1"/>
      <c r="B105" s="56" t="s">
        <v>1879</v>
      </c>
      <c r="C105" s="678" t="s">
        <v>3560</v>
      </c>
      <c r="D105" s="44">
        <v>2</v>
      </c>
      <c r="E105" s="64" t="s">
        <v>2471</v>
      </c>
      <c r="F105" s="64" t="s">
        <v>3443</v>
      </c>
      <c r="G105" s="99">
        <v>100</v>
      </c>
      <c r="H105" s="63">
        <f>SUM(G105)</f>
        <v>100</v>
      </c>
    </row>
    <row r="106" spans="1:8" ht="17.25">
      <c r="A106" s="1"/>
      <c r="B106" s="1"/>
      <c r="C106" s="1"/>
      <c r="D106" s="1"/>
      <c r="E106" s="1"/>
      <c r="F106" s="40" t="s">
        <v>1491</v>
      </c>
      <c r="G106" s="578"/>
      <c r="H106" s="63" t="e">
        <f>SUM(H100:H105)</f>
        <v>#REF!</v>
      </c>
    </row>
    <row r="107" spans="1:8" ht="17.25">
      <c r="A107" s="1"/>
      <c r="B107" s="1" t="s">
        <v>3756</v>
      </c>
      <c r="C107" s="1"/>
      <c r="D107" s="1"/>
      <c r="E107" s="1"/>
      <c r="F107" s="40" t="s">
        <v>1472</v>
      </c>
      <c r="G107" s="67"/>
      <c r="H107" s="99" t="e">
        <f>FLOOR(H106*0.15,0.01)</f>
        <v>#REF!</v>
      </c>
    </row>
    <row r="108" spans="1:8" ht="17.25">
      <c r="A108" s="27" t="s">
        <v>3005</v>
      </c>
      <c r="B108" s="99" t="e">
        <f>+H108/10</f>
        <v>#REF!</v>
      </c>
      <c r="C108" s="1" t="s">
        <v>3006</v>
      </c>
      <c r="D108" s="1"/>
      <c r="E108" s="1"/>
      <c r="F108" s="40" t="s">
        <v>1494</v>
      </c>
      <c r="G108" s="67"/>
      <c r="H108" s="99" t="e">
        <f>SUM(H106:H107)</f>
        <v>#REF!</v>
      </c>
    </row>
    <row r="109" spans="1:8" ht="17.25">
      <c r="A109" s="27"/>
      <c r="B109" s="141"/>
      <c r="C109" s="1"/>
      <c r="D109" s="1"/>
      <c r="E109" s="1"/>
      <c r="F109" s="40"/>
      <c r="G109" s="67"/>
      <c r="H109" s="141"/>
    </row>
    <row r="110" spans="1:8" ht="17.25">
      <c r="A110" s="27"/>
      <c r="B110" s="141"/>
      <c r="C110" s="1"/>
      <c r="D110" s="1"/>
      <c r="E110" s="1"/>
      <c r="F110" s="40"/>
      <c r="G110" s="67"/>
      <c r="H110" s="141"/>
    </row>
    <row r="111" spans="1:8" ht="18.75">
      <c r="A111" s="260">
        <f>+A95+1</f>
        <v>9</v>
      </c>
      <c r="B111" s="891" t="s">
        <v>3265</v>
      </c>
      <c r="C111" s="891"/>
      <c r="D111" s="891"/>
      <c r="E111" s="891"/>
      <c r="F111" s="891"/>
      <c r="G111" s="891"/>
      <c r="H111" s="891"/>
    </row>
    <row r="112" spans="1:8" ht="18">
      <c r="A112" s="582" t="s">
        <v>3273</v>
      </c>
      <c r="B112" s="897" t="s">
        <v>3264</v>
      </c>
      <c r="C112" s="891"/>
      <c r="D112" s="891"/>
      <c r="E112" s="891"/>
      <c r="F112" s="891"/>
      <c r="G112" s="891"/>
      <c r="H112" s="891"/>
    </row>
    <row r="113" spans="1:8" ht="15">
      <c r="A113" s="1"/>
      <c r="B113" s="879" t="s">
        <v>3266</v>
      </c>
      <c r="C113" s="879"/>
      <c r="D113" s="879"/>
      <c r="E113" s="879"/>
      <c r="F113" s="879"/>
      <c r="G113" s="879"/>
      <c r="H113" s="879"/>
    </row>
    <row r="114" spans="1:8" ht="31.5">
      <c r="A114" s="1"/>
      <c r="B114" s="68" t="s">
        <v>2966</v>
      </c>
      <c r="C114" s="68" t="s">
        <v>2967</v>
      </c>
      <c r="D114" s="68" t="s">
        <v>2968</v>
      </c>
      <c r="E114" s="68" t="s">
        <v>2969</v>
      </c>
      <c r="F114" s="68" t="s">
        <v>2970</v>
      </c>
      <c r="G114" s="68" t="s">
        <v>2971</v>
      </c>
      <c r="H114" s="68" t="s">
        <v>1487</v>
      </c>
    </row>
    <row r="115" spans="1:8" ht="17.25">
      <c r="A115" s="1"/>
      <c r="B115" s="886" t="s">
        <v>1488</v>
      </c>
      <c r="C115" s="58" t="s">
        <v>3267</v>
      </c>
      <c r="D115" s="663">
        <v>4</v>
      </c>
      <c r="E115" s="53" t="s">
        <v>1490</v>
      </c>
      <c r="F115" s="654">
        <v>829.33</v>
      </c>
      <c r="G115" s="109">
        <f>D115*F115</f>
        <v>3317.32</v>
      </c>
      <c r="H115" s="109"/>
    </row>
    <row r="116" spans="1:8" ht="17.25">
      <c r="A116" s="1"/>
      <c r="B116" s="894"/>
      <c r="C116" s="80" t="s">
        <v>3268</v>
      </c>
      <c r="D116" s="663">
        <v>1</v>
      </c>
      <c r="E116" s="53" t="s">
        <v>1490</v>
      </c>
      <c r="F116" s="654" t="e">
        <f>#REF!</f>
        <v>#REF!</v>
      </c>
      <c r="G116" s="109" t="e">
        <f>FLOOR(D116*F116,0.01)</f>
        <v>#REF!</v>
      </c>
      <c r="H116" s="109"/>
    </row>
    <row r="117" spans="1:8" ht="17.25">
      <c r="A117" s="1"/>
      <c r="B117" s="894"/>
      <c r="C117" s="80" t="s">
        <v>686</v>
      </c>
      <c r="D117" s="663">
        <v>1</v>
      </c>
      <c r="E117" s="53" t="s">
        <v>1490</v>
      </c>
      <c r="F117" s="581" t="e">
        <f>#REF!</f>
        <v>#REF!</v>
      </c>
      <c r="G117" s="109" t="e">
        <f>FLOOR(D117*F117,0.01)</f>
        <v>#REF!</v>
      </c>
      <c r="H117" s="109"/>
    </row>
    <row r="118" spans="1:8" ht="17.25">
      <c r="A118" s="1"/>
      <c r="B118" s="895"/>
      <c r="C118" s="56" t="s">
        <v>1489</v>
      </c>
      <c r="D118" s="664">
        <v>2</v>
      </c>
      <c r="E118" s="56" t="s">
        <v>1490</v>
      </c>
      <c r="F118" s="580" t="e">
        <f>#REF!</f>
        <v>#REF!</v>
      </c>
      <c r="G118" s="63" t="e">
        <f>FLOOR(D118*F118,0.01)</f>
        <v>#REF!</v>
      </c>
      <c r="H118" s="63" t="e">
        <f>+G118+G117+G116+G115</f>
        <v>#REF!</v>
      </c>
    </row>
    <row r="119" spans="1:8" ht="17.25">
      <c r="A119" s="1"/>
      <c r="B119" s="886" t="s">
        <v>2055</v>
      </c>
      <c r="C119" s="64" t="s">
        <v>3507</v>
      </c>
      <c r="D119" s="44">
        <v>15</v>
      </c>
      <c r="E119" s="64" t="s">
        <v>1429</v>
      </c>
      <c r="F119" s="64" t="s">
        <v>3443</v>
      </c>
      <c r="G119" s="99">
        <v>300</v>
      </c>
      <c r="H119" s="109"/>
    </row>
    <row r="120" spans="1:8" ht="382.5">
      <c r="A120" s="1"/>
      <c r="B120" s="894"/>
      <c r="C120" s="661" t="s">
        <v>3508</v>
      </c>
      <c r="D120" s="644" t="s">
        <v>2810</v>
      </c>
      <c r="E120" s="56" t="s">
        <v>2808</v>
      </c>
      <c r="F120" s="64" t="s">
        <v>3443</v>
      </c>
      <c r="G120" s="63">
        <v>20000</v>
      </c>
      <c r="H120" s="109"/>
    </row>
    <row r="121" spans="1:8" ht="25.5">
      <c r="A121" s="1"/>
      <c r="B121" s="65"/>
      <c r="C121" s="660" t="s">
        <v>3525</v>
      </c>
      <c r="D121" s="662" t="s">
        <v>2810</v>
      </c>
      <c r="E121" s="64" t="s">
        <v>2808</v>
      </c>
      <c r="F121" s="64" t="s">
        <v>3443</v>
      </c>
      <c r="G121" s="99">
        <v>5000</v>
      </c>
      <c r="H121" s="63">
        <f>SUM(G119:G121)</f>
        <v>25300</v>
      </c>
    </row>
    <row r="122" spans="1:8" ht="17.25">
      <c r="A122" s="1"/>
      <c r="B122" s="889" t="s">
        <v>1879</v>
      </c>
      <c r="C122" s="53" t="s">
        <v>3526</v>
      </c>
      <c r="D122" s="42"/>
      <c r="E122" s="53"/>
      <c r="F122" s="177"/>
      <c r="G122" s="109"/>
      <c r="H122" s="109"/>
    </row>
    <row r="123" spans="1:8" ht="17.25">
      <c r="A123" s="1"/>
      <c r="B123" s="896"/>
      <c r="C123" s="56" t="s">
        <v>3509</v>
      </c>
      <c r="D123" s="43">
        <v>8</v>
      </c>
      <c r="E123" s="56" t="s">
        <v>2471</v>
      </c>
      <c r="F123" s="64" t="s">
        <v>3443</v>
      </c>
      <c r="G123" s="63">
        <v>16000</v>
      </c>
      <c r="H123" s="63">
        <f>G123</f>
        <v>16000</v>
      </c>
    </row>
    <row r="124" spans="1:8" ht="17.25">
      <c r="A124" s="1"/>
      <c r="B124" s="1"/>
      <c r="C124" s="1"/>
      <c r="D124" s="1"/>
      <c r="E124" s="1"/>
      <c r="F124" s="40" t="s">
        <v>1491</v>
      </c>
      <c r="G124" s="578"/>
      <c r="H124" s="99" t="e">
        <f>SUM(H118:H123)</f>
        <v>#REF!</v>
      </c>
    </row>
    <row r="125" spans="1:8" ht="17.25">
      <c r="A125" s="1"/>
      <c r="B125" s="1" t="s">
        <v>3555</v>
      </c>
      <c r="C125" s="1"/>
      <c r="D125" s="1"/>
      <c r="E125" s="1"/>
      <c r="F125" s="40" t="s">
        <v>1472</v>
      </c>
      <c r="G125" s="67"/>
      <c r="H125" s="99" t="e">
        <f>FLOOR(H124*0.15,0.01)</f>
        <v>#REF!</v>
      </c>
    </row>
    <row r="126" spans="1:8" ht="17.25">
      <c r="A126" s="27" t="s">
        <v>3005</v>
      </c>
      <c r="B126" s="99" t="e">
        <f>+H126</f>
        <v>#REF!</v>
      </c>
      <c r="C126" s="1" t="s">
        <v>3006</v>
      </c>
      <c r="D126" s="1"/>
      <c r="E126" s="1"/>
      <c r="F126" s="40" t="s">
        <v>1494</v>
      </c>
      <c r="G126" s="67"/>
      <c r="H126" s="655" t="e">
        <f>SUM(H124:H125)</f>
        <v>#REF!</v>
      </c>
    </row>
    <row r="127" spans="1:8" ht="17.25">
      <c r="A127" s="27"/>
      <c r="B127" s="141"/>
      <c r="C127" s="1"/>
      <c r="D127" s="1"/>
      <c r="E127" s="1"/>
      <c r="F127" s="40"/>
      <c r="G127" s="67"/>
      <c r="H127" s="141"/>
    </row>
    <row r="128" spans="1:8" ht="17.25">
      <c r="A128" s="27"/>
      <c r="B128" s="141"/>
      <c r="C128" s="1"/>
      <c r="D128" s="1"/>
      <c r="E128" s="1"/>
      <c r="F128" s="40"/>
      <c r="G128" s="67"/>
      <c r="H128" s="141"/>
    </row>
    <row r="129" spans="1:8" ht="17.25">
      <c r="A129" s="27"/>
      <c r="B129" s="141"/>
      <c r="C129" s="1"/>
      <c r="D129" s="1"/>
      <c r="E129" s="1"/>
      <c r="F129" s="40"/>
      <c r="G129" s="67"/>
      <c r="H129" s="141"/>
    </row>
    <row r="130" spans="1:8" ht="17.25">
      <c r="A130" s="27"/>
      <c r="B130" s="141"/>
      <c r="C130" s="1"/>
      <c r="D130" s="1"/>
      <c r="E130" s="1"/>
      <c r="F130" s="40"/>
      <c r="G130" s="67"/>
      <c r="H130" s="141"/>
    </row>
    <row r="131" spans="1:8" ht="17.25">
      <c r="A131" s="27"/>
      <c r="B131" s="141"/>
      <c r="C131" s="1"/>
      <c r="D131" s="1"/>
      <c r="E131" s="1"/>
      <c r="F131" s="40"/>
      <c r="G131" s="67"/>
      <c r="H131" s="141"/>
    </row>
    <row r="132" spans="1:8" ht="17.25">
      <c r="A132" s="27"/>
      <c r="B132" s="141"/>
      <c r="C132" s="1"/>
      <c r="D132" s="1"/>
      <c r="E132" s="1"/>
      <c r="F132" s="40"/>
      <c r="G132" s="67"/>
      <c r="H132" s="141"/>
    </row>
    <row r="133" spans="1:8" ht="17.25">
      <c r="A133" s="27"/>
      <c r="B133" s="141"/>
      <c r="C133" s="1"/>
      <c r="D133" s="1"/>
      <c r="E133" s="1"/>
      <c r="F133" s="40"/>
      <c r="G133" s="67"/>
      <c r="H133" s="141"/>
    </row>
    <row r="134" spans="1:8" ht="17.25">
      <c r="A134" s="27"/>
      <c r="B134" s="141"/>
      <c r="C134" s="1"/>
      <c r="D134" s="1"/>
      <c r="E134" s="1"/>
      <c r="F134" s="40"/>
      <c r="G134" s="67"/>
      <c r="H134" s="141"/>
    </row>
    <row r="135" spans="1:8" ht="18.75">
      <c r="A135" s="260">
        <f>+A111+1</f>
        <v>10</v>
      </c>
      <c r="B135" s="891" t="s">
        <v>1572</v>
      </c>
      <c r="C135" s="891"/>
      <c r="D135" s="891"/>
      <c r="E135" s="891"/>
      <c r="F135" s="891"/>
      <c r="G135" s="891"/>
      <c r="H135" s="891"/>
    </row>
    <row r="136" spans="1:8" ht="18">
      <c r="A136" s="582" t="s">
        <v>3605</v>
      </c>
      <c r="B136" s="891" t="s">
        <v>1573</v>
      </c>
      <c r="C136" s="891"/>
      <c r="D136" s="891"/>
      <c r="E136" s="891"/>
      <c r="F136" s="891"/>
      <c r="G136" s="891"/>
      <c r="H136" s="891"/>
    </row>
    <row r="137" spans="1:8" ht="15">
      <c r="A137" s="1"/>
      <c r="B137" s="879" t="s">
        <v>2231</v>
      </c>
      <c r="C137" s="879"/>
      <c r="D137" s="879"/>
      <c r="E137" s="879"/>
      <c r="F137" s="879"/>
      <c r="G137" s="879"/>
      <c r="H137" s="879"/>
    </row>
    <row r="138" spans="1:8" ht="31.5">
      <c r="A138" s="1"/>
      <c r="B138" s="68" t="s">
        <v>2966</v>
      </c>
      <c r="C138" s="68" t="s">
        <v>2967</v>
      </c>
      <c r="D138" s="68" t="s">
        <v>2968</v>
      </c>
      <c r="E138" s="68" t="s">
        <v>2969</v>
      </c>
      <c r="F138" s="68" t="s">
        <v>2970</v>
      </c>
      <c r="G138" s="68" t="s">
        <v>2971</v>
      </c>
      <c r="H138" s="68" t="s">
        <v>1487</v>
      </c>
    </row>
    <row r="139" spans="1:8" ht="16.5">
      <c r="A139" s="1"/>
      <c r="B139" s="68" t="s">
        <v>1488</v>
      </c>
      <c r="C139" s="68" t="s">
        <v>1489</v>
      </c>
      <c r="D139" s="246">
        <v>0.7</v>
      </c>
      <c r="E139" s="68" t="s">
        <v>1490</v>
      </c>
      <c r="F139" s="101" t="e">
        <f>#REF!</f>
        <v>#REF!</v>
      </c>
      <c r="G139" s="99" t="e">
        <f>FLOOR(D139*F139,0.01)</f>
        <v>#REF!</v>
      </c>
      <c r="H139" s="99" t="e">
        <f>(G139)</f>
        <v>#REF!</v>
      </c>
    </row>
    <row r="140" spans="1:8" ht="15.75">
      <c r="A140" s="1"/>
      <c r="B140" s="70" t="s">
        <v>1879</v>
      </c>
      <c r="C140" s="71" t="s">
        <v>1880</v>
      </c>
      <c r="D140" s="25"/>
      <c r="E140" s="25"/>
      <c r="F140" s="105"/>
      <c r="G140" s="104"/>
      <c r="H140" s="101" t="e">
        <f>INT(H139*0.03*100)/100</f>
        <v>#REF!</v>
      </c>
    </row>
    <row r="141" spans="1:8" ht="15.75">
      <c r="A141" s="1"/>
      <c r="B141" s="1"/>
      <c r="C141" s="1"/>
      <c r="D141" s="1"/>
      <c r="E141" s="1"/>
      <c r="F141" s="40" t="s">
        <v>1491</v>
      </c>
      <c r="G141" s="40"/>
      <c r="H141" s="101" t="e">
        <f>SUM(H139:H140)</f>
        <v>#REF!</v>
      </c>
    </row>
    <row r="142" spans="1:8" ht="17.25">
      <c r="A142" s="1"/>
      <c r="B142" s="1"/>
      <c r="C142" s="1"/>
      <c r="D142" s="1"/>
      <c r="E142" s="1"/>
      <c r="F142" s="40" t="s">
        <v>1472</v>
      </c>
      <c r="G142" s="40"/>
      <c r="H142" s="99" t="e">
        <f>FLOOR(H141*0.15,0.01)</f>
        <v>#REF!</v>
      </c>
    </row>
    <row r="143" spans="1:8" ht="17.25">
      <c r="A143" s="1"/>
      <c r="B143" s="1" t="s">
        <v>3233</v>
      </c>
      <c r="C143" s="1"/>
      <c r="D143" s="1"/>
      <c r="E143" s="1"/>
      <c r="F143" s="40" t="s">
        <v>1494</v>
      </c>
      <c r="G143" s="40"/>
      <c r="H143" s="99" t="e">
        <f>SUM(H141:H142)</f>
        <v>#REF!</v>
      </c>
    </row>
    <row r="144" spans="1:8" ht="16.5">
      <c r="A144" s="27" t="s">
        <v>3005</v>
      </c>
      <c r="B144" s="99" t="e">
        <f>+H143</f>
        <v>#REF!</v>
      </c>
      <c r="C144" s="1" t="s">
        <v>3006</v>
      </c>
      <c r="D144" s="1"/>
      <c r="E144" s="1"/>
      <c r="F144" s="1"/>
      <c r="G144" s="1"/>
      <c r="H144" s="1"/>
    </row>
    <row r="145" spans="1:8" ht="15">
      <c r="A145" s="1"/>
      <c r="B145" s="1"/>
      <c r="C145" s="1"/>
      <c r="D145" s="1"/>
      <c r="E145" s="1"/>
      <c r="F145" s="1"/>
      <c r="G145" s="1"/>
      <c r="H145" s="1"/>
    </row>
    <row r="146" spans="1:8" ht="15">
      <c r="A146" s="1"/>
      <c r="B146" s="1"/>
      <c r="C146" s="1"/>
      <c r="D146" s="1"/>
      <c r="E146" s="1"/>
      <c r="F146" s="1"/>
      <c r="G146" s="1"/>
      <c r="H146" s="1"/>
    </row>
    <row r="147" spans="1:8" ht="18.75">
      <c r="A147" s="260">
        <f>+A135+1</f>
        <v>11</v>
      </c>
      <c r="B147" s="891" t="s">
        <v>1369</v>
      </c>
      <c r="C147" s="891"/>
      <c r="D147" s="891"/>
      <c r="E147" s="891"/>
      <c r="F147" s="891"/>
      <c r="G147" s="891"/>
      <c r="H147" s="891"/>
    </row>
    <row r="148" spans="1:8" ht="18">
      <c r="A148" s="582" t="s">
        <v>3605</v>
      </c>
      <c r="B148" s="891" t="s">
        <v>2444</v>
      </c>
      <c r="C148" s="891"/>
      <c r="D148" s="891"/>
      <c r="E148" s="891"/>
      <c r="F148" s="891"/>
      <c r="G148" s="891"/>
      <c r="H148" s="891"/>
    </row>
    <row r="149" spans="1:8" ht="15">
      <c r="A149" s="1"/>
      <c r="B149" s="879" t="s">
        <v>2231</v>
      </c>
      <c r="C149" s="879"/>
      <c r="D149" s="879"/>
      <c r="E149" s="879"/>
      <c r="F149" s="879"/>
      <c r="G149" s="879"/>
      <c r="H149" s="879"/>
    </row>
    <row r="150" spans="1:8" ht="31.5">
      <c r="A150" s="1"/>
      <c r="B150" s="68" t="s">
        <v>2966</v>
      </c>
      <c r="C150" s="68" t="s">
        <v>2967</v>
      </c>
      <c r="D150" s="68" t="s">
        <v>2968</v>
      </c>
      <c r="E150" s="68" t="s">
        <v>2969</v>
      </c>
      <c r="F150" s="68" t="s">
        <v>2970</v>
      </c>
      <c r="G150" s="68" t="s">
        <v>2971</v>
      </c>
      <c r="H150" s="68" t="s">
        <v>1487</v>
      </c>
    </row>
    <row r="151" spans="1:8" ht="16.5">
      <c r="A151" s="1"/>
      <c r="B151" s="68" t="s">
        <v>1488</v>
      </c>
      <c r="C151" s="68" t="s">
        <v>1489</v>
      </c>
      <c r="D151" s="246">
        <v>0.8</v>
      </c>
      <c r="E151" s="68" t="s">
        <v>1490</v>
      </c>
      <c r="F151" s="101" t="e">
        <f>#REF!</f>
        <v>#REF!</v>
      </c>
      <c r="G151" s="99" t="e">
        <f>FLOOR(D151*F151,0.01)</f>
        <v>#REF!</v>
      </c>
      <c r="H151" s="99" t="e">
        <f>(G151)</f>
        <v>#REF!</v>
      </c>
    </row>
    <row r="152" spans="1:8" ht="31.5">
      <c r="A152" s="1"/>
      <c r="B152" s="68" t="s">
        <v>1879</v>
      </c>
      <c r="C152" s="898" t="s">
        <v>1880</v>
      </c>
      <c r="D152" s="899"/>
      <c r="E152" s="899"/>
      <c r="F152" s="899"/>
      <c r="G152" s="112"/>
      <c r="H152" s="101" t="e">
        <f>INT(H151*0.03*100)/100</f>
        <v>#REF!</v>
      </c>
    </row>
    <row r="153" spans="1:8" ht="15.75">
      <c r="A153" s="1"/>
      <c r="B153" s="1"/>
      <c r="C153" s="1"/>
      <c r="D153" s="1"/>
      <c r="E153" s="40"/>
      <c r="F153" s="40" t="s">
        <v>1491</v>
      </c>
      <c r="G153" s="72"/>
      <c r="H153" s="101" t="e">
        <f>SUM(H151:H152)</f>
        <v>#REF!</v>
      </c>
    </row>
    <row r="154" spans="1:8" ht="17.25">
      <c r="A154" s="1"/>
      <c r="B154" s="1"/>
      <c r="C154" s="1"/>
      <c r="D154" s="1"/>
      <c r="E154" s="40"/>
      <c r="F154" s="40" t="s">
        <v>1472</v>
      </c>
      <c r="G154" s="40"/>
      <c r="H154" s="99" t="e">
        <f>FLOOR(H153*0.15,0.01)</f>
        <v>#REF!</v>
      </c>
    </row>
    <row r="155" spans="1:8" ht="15.75">
      <c r="A155" s="1"/>
      <c r="B155" s="1" t="s">
        <v>3233</v>
      </c>
      <c r="C155" s="1"/>
      <c r="D155" s="1"/>
      <c r="E155" s="40"/>
      <c r="F155" s="40" t="s">
        <v>1494</v>
      </c>
      <c r="G155" s="40"/>
      <c r="H155" s="101" t="e">
        <f>SUM(H153:H154)</f>
        <v>#REF!</v>
      </c>
    </row>
    <row r="156" spans="1:8" ht="16.5">
      <c r="A156" s="27" t="s">
        <v>3005</v>
      </c>
      <c r="B156" s="99" t="e">
        <f>+H155</f>
        <v>#REF!</v>
      </c>
      <c r="C156" s="1" t="s">
        <v>3006</v>
      </c>
      <c r="D156" s="1"/>
      <c r="E156" s="1"/>
      <c r="F156" s="1"/>
      <c r="G156" s="1"/>
      <c r="H156" s="1"/>
    </row>
    <row r="157" spans="1:8" ht="16.5">
      <c r="A157" s="27"/>
      <c r="B157" s="141"/>
      <c r="C157" s="1"/>
      <c r="D157" s="1"/>
      <c r="E157" s="1"/>
      <c r="F157" s="1"/>
      <c r="G157" s="1"/>
      <c r="H157" s="1"/>
    </row>
    <row r="158" spans="1:8" ht="16.5">
      <c r="A158" s="27"/>
      <c r="B158" s="141"/>
      <c r="C158" s="1"/>
      <c r="D158" s="1"/>
      <c r="E158" s="1"/>
      <c r="F158" s="1"/>
      <c r="G158" s="1"/>
      <c r="H158" s="1"/>
    </row>
    <row r="159" spans="1:8" ht="16.5">
      <c r="A159" s="27"/>
      <c r="B159" s="141"/>
      <c r="C159" s="1"/>
      <c r="D159" s="1"/>
      <c r="E159" s="1"/>
      <c r="F159" s="1"/>
      <c r="G159" s="1"/>
      <c r="H159" s="1"/>
    </row>
    <row r="160" spans="1:8" ht="16.5">
      <c r="A160" s="27"/>
      <c r="B160" s="141"/>
      <c r="C160" s="1"/>
      <c r="D160" s="1"/>
      <c r="E160" s="1"/>
      <c r="F160" s="1"/>
      <c r="G160" s="1"/>
      <c r="H160" s="1"/>
    </row>
    <row r="161" spans="1:8" ht="16.5">
      <c r="A161" s="27"/>
      <c r="B161" s="141"/>
      <c r="C161" s="1"/>
      <c r="D161" s="1"/>
      <c r="E161" s="1"/>
      <c r="F161" s="1"/>
      <c r="G161" s="1"/>
      <c r="H161" s="1"/>
    </row>
    <row r="162" spans="1:8" ht="18.75">
      <c r="A162" s="260">
        <f>+A147+1</f>
        <v>12</v>
      </c>
      <c r="B162" s="891" t="s">
        <v>3274</v>
      </c>
      <c r="C162" s="891"/>
      <c r="D162" s="891"/>
      <c r="E162" s="891"/>
      <c r="F162" s="891"/>
      <c r="G162" s="891"/>
      <c r="H162" s="891"/>
    </row>
    <row r="163" spans="1:8" ht="18">
      <c r="A163" s="582" t="s">
        <v>3605</v>
      </c>
      <c r="B163" s="891" t="s">
        <v>2444</v>
      </c>
      <c r="C163" s="891"/>
      <c r="D163" s="891"/>
      <c r="E163" s="891"/>
      <c r="F163" s="891"/>
      <c r="G163" s="891"/>
      <c r="H163" s="891"/>
    </row>
    <row r="164" spans="1:8" ht="15">
      <c r="A164" s="1"/>
      <c r="B164" s="879" t="s">
        <v>2231</v>
      </c>
      <c r="C164" s="879"/>
      <c r="D164" s="879"/>
      <c r="E164" s="879"/>
      <c r="F164" s="879"/>
      <c r="G164" s="879"/>
      <c r="H164" s="879"/>
    </row>
    <row r="165" spans="1:8" ht="31.5">
      <c r="A165" s="1"/>
      <c r="B165" s="68" t="s">
        <v>2966</v>
      </c>
      <c r="C165" s="68" t="s">
        <v>2967</v>
      </c>
      <c r="D165" s="68" t="s">
        <v>2968</v>
      </c>
      <c r="E165" s="68" t="s">
        <v>2969</v>
      </c>
      <c r="F165" s="68" t="s">
        <v>2970</v>
      </c>
      <c r="G165" s="68" t="s">
        <v>2971</v>
      </c>
      <c r="H165" s="68" t="s">
        <v>1487</v>
      </c>
    </row>
    <row r="166" spans="1:8" ht="16.5">
      <c r="A166" s="1"/>
      <c r="B166" s="68" t="s">
        <v>1488</v>
      </c>
      <c r="C166" s="68" t="s">
        <v>1489</v>
      </c>
      <c r="D166" s="246">
        <v>3</v>
      </c>
      <c r="E166" s="68" t="s">
        <v>1490</v>
      </c>
      <c r="F166" s="101" t="e">
        <f>#REF!</f>
        <v>#REF!</v>
      </c>
      <c r="G166" s="99" t="e">
        <f>FLOOR(D166*F166,0.01)</f>
        <v>#REF!</v>
      </c>
      <c r="H166" s="99" t="e">
        <f>(G166)</f>
        <v>#REF!</v>
      </c>
    </row>
    <row r="167" spans="1:8" ht="31.5">
      <c r="A167" s="1"/>
      <c r="B167" s="68" t="s">
        <v>1879</v>
      </c>
      <c r="C167" s="898" t="s">
        <v>1880</v>
      </c>
      <c r="D167" s="899"/>
      <c r="E167" s="899"/>
      <c r="F167" s="899"/>
      <c r="G167" s="112"/>
      <c r="H167" s="101" t="e">
        <f>INT(H166*0.03*100)/100</f>
        <v>#REF!</v>
      </c>
    </row>
    <row r="168" spans="1:8" ht="15.75">
      <c r="A168" s="1"/>
      <c r="B168" s="1"/>
      <c r="C168" s="1"/>
      <c r="D168" s="1"/>
      <c r="E168" s="40"/>
      <c r="F168" s="40" t="s">
        <v>1491</v>
      </c>
      <c r="G168" s="72"/>
      <c r="H168" s="101" t="e">
        <f>SUM(H166:H167)</f>
        <v>#REF!</v>
      </c>
    </row>
    <row r="169" spans="1:8" ht="17.25">
      <c r="A169" s="1"/>
      <c r="B169" s="1"/>
      <c r="C169" s="1"/>
      <c r="D169" s="1"/>
      <c r="E169" s="40"/>
      <c r="F169" s="40" t="s">
        <v>1472</v>
      </c>
      <c r="G169" s="40"/>
      <c r="H169" s="99" t="e">
        <f>FLOOR(H168*0.15,0.01)</f>
        <v>#REF!</v>
      </c>
    </row>
    <row r="170" spans="1:8" ht="15.75">
      <c r="A170" s="1"/>
      <c r="B170" s="1" t="s">
        <v>3233</v>
      </c>
      <c r="C170" s="1"/>
      <c r="D170" s="1"/>
      <c r="E170" s="40"/>
      <c r="F170" s="40" t="s">
        <v>1494</v>
      </c>
      <c r="G170" s="40"/>
      <c r="H170" s="101" t="e">
        <f>SUM(H168:H169)</f>
        <v>#REF!</v>
      </c>
    </row>
    <row r="171" spans="1:8" ht="16.5">
      <c r="A171" s="27" t="s">
        <v>3005</v>
      </c>
      <c r="B171" s="99" t="e">
        <f>+H170</f>
        <v>#REF!</v>
      </c>
      <c r="C171" s="1" t="s">
        <v>3006</v>
      </c>
      <c r="D171" s="1"/>
      <c r="E171" s="1"/>
      <c r="F171" s="1"/>
      <c r="G171" s="1"/>
      <c r="H171" s="1"/>
    </row>
    <row r="172" spans="1:8" ht="15">
      <c r="A172" s="1"/>
      <c r="B172" s="1"/>
      <c r="C172" s="1"/>
      <c r="D172" s="1"/>
      <c r="E172" s="1"/>
      <c r="F172" s="1"/>
      <c r="G172" s="1"/>
      <c r="H172" s="3"/>
    </row>
    <row r="173" spans="1:8" ht="15">
      <c r="A173" s="1"/>
      <c r="B173" s="1"/>
      <c r="C173" s="1"/>
      <c r="D173" s="1"/>
      <c r="E173" s="1"/>
      <c r="F173" s="1"/>
      <c r="G173" s="1"/>
      <c r="H173" s="3"/>
    </row>
    <row r="174" spans="1:8" ht="15">
      <c r="A174" s="1"/>
      <c r="B174" s="1"/>
      <c r="C174" s="1"/>
      <c r="D174" s="1"/>
      <c r="E174" s="1"/>
      <c r="F174" s="1"/>
      <c r="G174" s="1"/>
      <c r="H174" s="3"/>
    </row>
    <row r="175" spans="1:8" ht="18.75">
      <c r="A175" s="260">
        <f>+A162+1</f>
        <v>13</v>
      </c>
      <c r="B175" s="891" t="s">
        <v>2469</v>
      </c>
      <c r="C175" s="891"/>
      <c r="D175" s="891"/>
      <c r="E175" s="891"/>
      <c r="F175" s="891"/>
      <c r="G175" s="891"/>
      <c r="H175" s="891"/>
    </row>
    <row r="176" spans="1:8" ht="18">
      <c r="A176" s="582" t="s">
        <v>3606</v>
      </c>
      <c r="B176" s="891" t="s">
        <v>2768</v>
      </c>
      <c r="C176" s="891"/>
      <c r="D176" s="891"/>
      <c r="E176" s="891"/>
      <c r="F176" s="891"/>
      <c r="G176" s="891"/>
      <c r="H176" s="891"/>
    </row>
    <row r="177" spans="1:8" ht="15">
      <c r="A177" s="1"/>
      <c r="B177" s="879" t="s">
        <v>2231</v>
      </c>
      <c r="C177" s="879"/>
      <c r="D177" s="879"/>
      <c r="E177" s="879"/>
      <c r="F177" s="879"/>
      <c r="G177" s="879"/>
      <c r="H177" s="879"/>
    </row>
    <row r="178" spans="1:8" ht="31.5">
      <c r="A178" s="1"/>
      <c r="B178" s="68" t="s">
        <v>2966</v>
      </c>
      <c r="C178" s="68" t="s">
        <v>2967</v>
      </c>
      <c r="D178" s="68" t="s">
        <v>2968</v>
      </c>
      <c r="E178" s="68" t="s">
        <v>2969</v>
      </c>
      <c r="F178" s="68" t="s">
        <v>2970</v>
      </c>
      <c r="G178" s="68" t="s">
        <v>2971</v>
      </c>
      <c r="H178" s="68" t="s">
        <v>1487</v>
      </c>
    </row>
    <row r="179" spans="1:8" ht="16.5">
      <c r="A179" s="1"/>
      <c r="B179" s="58" t="s">
        <v>1488</v>
      </c>
      <c r="C179" s="58" t="s">
        <v>1489</v>
      </c>
      <c r="D179" s="85">
        <v>0.5</v>
      </c>
      <c r="E179" s="58" t="s">
        <v>1490</v>
      </c>
      <c r="F179" s="107" t="e">
        <f>#REF!</f>
        <v>#REF!</v>
      </c>
      <c r="G179" s="110" t="e">
        <f>FLOOR(D179*F179,0.01)</f>
        <v>#REF!</v>
      </c>
      <c r="H179" s="110" t="e">
        <f>+G179</f>
        <v>#REF!</v>
      </c>
    </row>
    <row r="180" spans="1:8" ht="17.25">
      <c r="A180" s="1"/>
      <c r="B180" s="886" t="s">
        <v>2055</v>
      </c>
      <c r="C180" s="55" t="s">
        <v>1853</v>
      </c>
      <c r="D180" s="85">
        <v>1.5</v>
      </c>
      <c r="E180" s="55" t="s">
        <v>2232</v>
      </c>
      <c r="F180" s="107" t="e">
        <f>#REF!</f>
        <v>#REF!</v>
      </c>
      <c r="G180" s="110" t="e">
        <f>FLOOR(D180*F180,0.01)</f>
        <v>#REF!</v>
      </c>
      <c r="H180" s="110"/>
    </row>
    <row r="181" spans="1:8" ht="17.25">
      <c r="A181" s="1"/>
      <c r="B181" s="895"/>
      <c r="C181" s="56" t="s">
        <v>3275</v>
      </c>
      <c r="D181" s="250">
        <v>5</v>
      </c>
      <c r="E181" s="56" t="s">
        <v>3276</v>
      </c>
      <c r="F181" s="122" t="e">
        <f>#REF!</f>
        <v>#REF!</v>
      </c>
      <c r="G181" s="63" t="e">
        <f>FLOOR(D181*F181,0.01)</f>
        <v>#REF!</v>
      </c>
      <c r="H181" s="63" t="e">
        <f>+G181+G180</f>
        <v>#REF!</v>
      </c>
    </row>
    <row r="182" spans="1:8" ht="17.25">
      <c r="A182" s="1"/>
      <c r="B182" s="1"/>
      <c r="C182" s="1"/>
      <c r="D182" s="1"/>
      <c r="E182" s="1"/>
      <c r="F182" s="40" t="s">
        <v>1491</v>
      </c>
      <c r="G182" s="113"/>
      <c r="H182" s="99" t="e">
        <f>SUM(H179:H181)</f>
        <v>#REF!</v>
      </c>
    </row>
    <row r="183" spans="1:8" ht="17.25">
      <c r="A183" s="1"/>
      <c r="B183" s="1" t="s">
        <v>3233</v>
      </c>
      <c r="C183" s="1"/>
      <c r="D183" s="1"/>
      <c r="E183" s="1"/>
      <c r="F183" s="40" t="s">
        <v>1472</v>
      </c>
      <c r="G183" s="113"/>
      <c r="H183" s="99" t="e">
        <f>FLOOR(H182*0.15,0.01)</f>
        <v>#REF!</v>
      </c>
    </row>
    <row r="184" spans="1:8" ht="17.25">
      <c r="A184" s="27" t="s">
        <v>3005</v>
      </c>
      <c r="B184" s="99" t="e">
        <f>+H184</f>
        <v>#REF!</v>
      </c>
      <c r="C184" s="1" t="s">
        <v>3006</v>
      </c>
      <c r="D184" s="1"/>
      <c r="E184" s="1"/>
      <c r="F184" s="40" t="s">
        <v>1494</v>
      </c>
      <c r="G184" s="113"/>
      <c r="H184" s="99" t="e">
        <f>SUM(H182:H183)</f>
        <v>#REF!</v>
      </c>
    </row>
    <row r="185" spans="1:8" ht="15">
      <c r="A185" s="1"/>
      <c r="B185" s="1"/>
      <c r="C185" s="1"/>
      <c r="D185" s="1"/>
      <c r="E185" s="1"/>
      <c r="F185" s="1"/>
      <c r="G185" s="1"/>
      <c r="H185" s="3"/>
    </row>
    <row r="186" spans="1:8" ht="18.75">
      <c r="A186" s="260" t="s">
        <v>3788</v>
      </c>
      <c r="B186" s="891" t="s">
        <v>2469</v>
      </c>
      <c r="C186" s="891"/>
      <c r="D186" s="891"/>
      <c r="E186" s="891"/>
      <c r="F186" s="891"/>
      <c r="G186" s="891"/>
      <c r="H186" s="891"/>
    </row>
    <row r="187" spans="1:8" ht="18">
      <c r="A187" s="582" t="s">
        <v>3606</v>
      </c>
      <c r="B187" s="891" t="s">
        <v>2768</v>
      </c>
      <c r="C187" s="891"/>
      <c r="D187" s="891"/>
      <c r="E187" s="891"/>
      <c r="F187" s="891"/>
      <c r="G187" s="891"/>
      <c r="H187" s="891"/>
    </row>
    <row r="188" spans="1:8" ht="15">
      <c r="A188" s="1"/>
      <c r="B188" s="879" t="s">
        <v>2231</v>
      </c>
      <c r="C188" s="879"/>
      <c r="D188" s="879"/>
      <c r="E188" s="879"/>
      <c r="F188" s="879"/>
      <c r="G188" s="879"/>
      <c r="H188" s="879"/>
    </row>
    <row r="189" spans="1:8" ht="31.5">
      <c r="A189" s="1"/>
      <c r="B189" s="68" t="s">
        <v>2966</v>
      </c>
      <c r="C189" s="68" t="s">
        <v>2967</v>
      </c>
      <c r="D189" s="68" t="s">
        <v>2968</v>
      </c>
      <c r="E189" s="68" t="s">
        <v>2969</v>
      </c>
      <c r="F189" s="68" t="s">
        <v>2970</v>
      </c>
      <c r="G189" s="68" t="s">
        <v>2971</v>
      </c>
      <c r="H189" s="68" t="s">
        <v>1487</v>
      </c>
    </row>
    <row r="190" spans="1:8" ht="16.5">
      <c r="A190" s="1"/>
      <c r="B190" s="58" t="s">
        <v>1488</v>
      </c>
      <c r="C190" s="58" t="s">
        <v>1489</v>
      </c>
      <c r="D190" s="85">
        <v>0.5</v>
      </c>
      <c r="E190" s="58" t="s">
        <v>1490</v>
      </c>
      <c r="F190" s="107" t="e">
        <f>#REF!</f>
        <v>#REF!</v>
      </c>
      <c r="G190" s="110" t="e">
        <f>FLOOR(D190*F190,0.01)</f>
        <v>#REF!</v>
      </c>
      <c r="H190" s="110" t="e">
        <f>+G190</f>
        <v>#REF!</v>
      </c>
    </row>
    <row r="191" spans="1:8" ht="17.25">
      <c r="A191" s="1"/>
      <c r="B191" s="886" t="s">
        <v>2055</v>
      </c>
      <c r="C191" s="55"/>
      <c r="D191" s="85"/>
      <c r="E191" s="55"/>
      <c r="F191" s="107"/>
      <c r="G191" s="110"/>
      <c r="H191" s="110"/>
    </row>
    <row r="192" spans="1:8" ht="17.25">
      <c r="A192" s="1"/>
      <c r="B192" s="895"/>
      <c r="C192" s="56" t="s">
        <v>3275</v>
      </c>
      <c r="D192" s="250">
        <v>5</v>
      </c>
      <c r="E192" s="56" t="s">
        <v>3276</v>
      </c>
      <c r="F192" s="122" t="e">
        <f>#REF!</f>
        <v>#REF!</v>
      </c>
      <c r="G192" s="63" t="e">
        <f>FLOOR(D192*F192,0.01)</f>
        <v>#REF!</v>
      </c>
      <c r="H192" s="63" t="e">
        <f>+G192+G191</f>
        <v>#REF!</v>
      </c>
    </row>
    <row r="193" spans="1:8" ht="17.25">
      <c r="A193" s="1"/>
      <c r="B193" s="1"/>
      <c r="C193" s="1"/>
      <c r="D193" s="1"/>
      <c r="E193" s="1"/>
      <c r="F193" s="40" t="s">
        <v>1491</v>
      </c>
      <c r="G193" s="113"/>
      <c r="H193" s="99" t="e">
        <f>SUM(H190:H192)</f>
        <v>#REF!</v>
      </c>
    </row>
    <row r="194" spans="1:8" ht="17.25">
      <c r="A194" s="1"/>
      <c r="B194" s="1" t="s">
        <v>3233</v>
      </c>
      <c r="C194" s="1"/>
      <c r="D194" s="1"/>
      <c r="E194" s="1"/>
      <c r="F194" s="40" t="s">
        <v>1472</v>
      </c>
      <c r="G194" s="113"/>
      <c r="H194" s="99" t="e">
        <f>FLOOR(H193*0.15,0.01)</f>
        <v>#REF!</v>
      </c>
    </row>
    <row r="195" spans="1:8" ht="17.25">
      <c r="A195" s="27" t="s">
        <v>3005</v>
      </c>
      <c r="B195" s="99" t="e">
        <f>+H195</f>
        <v>#REF!</v>
      </c>
      <c r="C195" s="1" t="s">
        <v>3006</v>
      </c>
      <c r="D195" s="1"/>
      <c r="E195" s="1"/>
      <c r="F195" s="40" t="s">
        <v>1494</v>
      </c>
      <c r="G195" s="113"/>
      <c r="H195" s="99" t="e">
        <f>SUM(H193:H194)</f>
        <v>#REF!</v>
      </c>
    </row>
    <row r="196" spans="1:8" ht="15">
      <c r="A196" s="1"/>
      <c r="B196" s="1"/>
      <c r="C196" s="1"/>
      <c r="D196" s="1"/>
      <c r="E196" s="1"/>
      <c r="F196" s="1"/>
      <c r="G196" s="1"/>
      <c r="H196" s="3"/>
    </row>
    <row r="197" spans="1:8" ht="15">
      <c r="A197" s="1"/>
      <c r="B197" s="1"/>
      <c r="C197" s="1"/>
      <c r="D197" s="1"/>
      <c r="E197" s="1"/>
      <c r="F197" s="1"/>
      <c r="G197" s="1"/>
      <c r="H197" s="3"/>
    </row>
    <row r="198" spans="1:8" ht="15">
      <c r="A198" s="1"/>
      <c r="B198" s="1"/>
      <c r="C198" s="1"/>
      <c r="D198" s="1"/>
      <c r="E198" s="1"/>
      <c r="F198" s="1"/>
      <c r="G198" s="1"/>
      <c r="H198" s="3"/>
    </row>
    <row r="199" spans="1:8" ht="20.25">
      <c r="A199" s="260">
        <f>+A175+1</f>
        <v>14</v>
      </c>
      <c r="B199" s="878" t="s">
        <v>2470</v>
      </c>
      <c r="C199" s="878"/>
      <c r="D199" s="878"/>
      <c r="E199" s="878"/>
      <c r="F199" s="878"/>
      <c r="G199" s="878"/>
      <c r="H199" s="878"/>
    </row>
    <row r="200" spans="1:8" ht="15.75">
      <c r="A200" s="582" t="s">
        <v>3606</v>
      </c>
      <c r="B200" s="879" t="s">
        <v>2231</v>
      </c>
      <c r="C200" s="879"/>
      <c r="D200" s="879"/>
      <c r="E200" s="879"/>
      <c r="F200" s="879"/>
      <c r="G200" s="879"/>
      <c r="H200" s="879"/>
    </row>
    <row r="201" spans="1:8" ht="31.5">
      <c r="A201" s="1"/>
      <c r="B201" s="68" t="s">
        <v>2966</v>
      </c>
      <c r="C201" s="68" t="s">
        <v>2967</v>
      </c>
      <c r="D201" s="68" t="s">
        <v>2968</v>
      </c>
      <c r="E201" s="68" t="s">
        <v>2969</v>
      </c>
      <c r="F201" s="68" t="s">
        <v>2970</v>
      </c>
      <c r="G201" s="68" t="s">
        <v>2971</v>
      </c>
      <c r="H201" s="68" t="s">
        <v>1487</v>
      </c>
    </row>
    <row r="202" spans="1:8" ht="16.5">
      <c r="A202" s="1"/>
      <c r="B202" s="68" t="s">
        <v>1488</v>
      </c>
      <c r="C202" s="68" t="s">
        <v>1489</v>
      </c>
      <c r="D202" s="247">
        <v>0.25</v>
      </c>
      <c r="E202" s="68" t="s">
        <v>1490</v>
      </c>
      <c r="F202" s="101" t="e">
        <f>#REF!</f>
        <v>#REF!</v>
      </c>
      <c r="G202" s="99" t="e">
        <f>FLOOR(D202*F202,0.01)</f>
        <v>#REF!</v>
      </c>
      <c r="H202" s="99" t="e">
        <f>(G202)</f>
        <v>#REF!</v>
      </c>
    </row>
    <row r="203" spans="1:8" ht="17.25">
      <c r="A203" s="1"/>
      <c r="B203" s="585" t="s">
        <v>2055</v>
      </c>
      <c r="C203" s="583" t="s">
        <v>1853</v>
      </c>
      <c r="D203" s="246">
        <v>1.3</v>
      </c>
      <c r="E203" s="64" t="s">
        <v>2232</v>
      </c>
      <c r="F203" s="101" t="e">
        <f>#REF!</f>
        <v>#REF!</v>
      </c>
      <c r="G203" s="99" t="e">
        <f>FLOOR(D203*F203,0.01)</f>
        <v>#REF!</v>
      </c>
      <c r="H203" s="99" t="e">
        <f>+G203</f>
        <v>#REF!</v>
      </c>
    </row>
    <row r="204" spans="1:8" ht="17.25">
      <c r="A204" s="1"/>
      <c r="B204" s="584"/>
      <c r="C204" s="1"/>
      <c r="D204" s="1"/>
      <c r="E204" s="1"/>
      <c r="F204" s="40" t="s">
        <v>1491</v>
      </c>
      <c r="G204" s="40"/>
      <c r="H204" s="63" t="e">
        <f>SUM(H202:H203)</f>
        <v>#REF!</v>
      </c>
    </row>
    <row r="205" spans="1:8" ht="17.25">
      <c r="A205" s="1"/>
      <c r="B205" s="1" t="s">
        <v>3233</v>
      </c>
      <c r="C205" s="1"/>
      <c r="D205" s="1"/>
      <c r="E205" s="1"/>
      <c r="F205" s="40" t="s">
        <v>1472</v>
      </c>
      <c r="G205" s="40"/>
      <c r="H205" s="99" t="e">
        <f>FLOOR(H204*0.15,0.01)</f>
        <v>#REF!</v>
      </c>
    </row>
    <row r="206" spans="1:8" ht="17.25">
      <c r="A206" s="27" t="s">
        <v>3005</v>
      </c>
      <c r="B206" s="99" t="e">
        <f>+H206</f>
        <v>#REF!</v>
      </c>
      <c r="C206" s="1" t="s">
        <v>3006</v>
      </c>
      <c r="D206" s="1"/>
      <c r="E206" s="1"/>
      <c r="F206" s="40" t="s">
        <v>1494</v>
      </c>
      <c r="G206" s="40"/>
      <c r="H206" s="93" t="e">
        <f>SUM(H204:H205)</f>
        <v>#REF!</v>
      </c>
    </row>
    <row r="207" spans="1:8" ht="17.25">
      <c r="A207" s="27"/>
      <c r="B207" s="141"/>
      <c r="C207" s="1"/>
      <c r="D207" s="1"/>
      <c r="E207" s="1"/>
      <c r="F207" s="40"/>
      <c r="G207" s="40"/>
      <c r="H207" s="117"/>
    </row>
    <row r="208" spans="1:8" ht="17.25">
      <c r="A208" s="27"/>
      <c r="B208" s="141"/>
      <c r="C208" s="1"/>
      <c r="D208" s="1"/>
      <c r="E208" s="1"/>
      <c r="F208" s="40"/>
      <c r="G208" s="40"/>
      <c r="H208" s="117"/>
    </row>
    <row r="209" spans="1:8" ht="18.75">
      <c r="A209" s="260">
        <f>+A199+1</f>
        <v>15</v>
      </c>
      <c r="B209" s="891" t="s">
        <v>3277</v>
      </c>
      <c r="C209" s="891"/>
      <c r="D209" s="891"/>
      <c r="E209" s="891"/>
      <c r="F209" s="891"/>
      <c r="G209" s="891"/>
      <c r="H209" s="891"/>
    </row>
    <row r="210" spans="1:8" ht="18">
      <c r="A210" s="582" t="s">
        <v>3607</v>
      </c>
      <c r="B210" s="897" t="s">
        <v>3278</v>
      </c>
      <c r="C210" s="891"/>
      <c r="D210" s="891"/>
      <c r="E210" s="891"/>
      <c r="F210" s="891"/>
      <c r="G210" s="891"/>
      <c r="H210" s="891"/>
    </row>
    <row r="211" spans="1:8" ht="15">
      <c r="A211" s="1"/>
      <c r="B211" s="879" t="s">
        <v>3279</v>
      </c>
      <c r="C211" s="879"/>
      <c r="D211" s="879"/>
      <c r="E211" s="879"/>
      <c r="F211" s="879"/>
      <c r="G211" s="879"/>
      <c r="H211" s="879"/>
    </row>
    <row r="212" spans="1:8" ht="31.5">
      <c r="A212" s="1"/>
      <c r="B212" s="68" t="s">
        <v>2966</v>
      </c>
      <c r="C212" s="68" t="s">
        <v>2967</v>
      </c>
      <c r="D212" s="68" t="s">
        <v>2968</v>
      </c>
      <c r="E212" s="68" t="s">
        <v>2969</v>
      </c>
      <c r="F212" s="68" t="s">
        <v>2970</v>
      </c>
      <c r="G212" s="68" t="s">
        <v>2971</v>
      </c>
      <c r="H212" s="68" t="s">
        <v>1487</v>
      </c>
    </row>
    <row r="213" spans="1:8" ht="17.25">
      <c r="A213" s="1"/>
      <c r="B213" s="64" t="s">
        <v>1488</v>
      </c>
      <c r="C213" s="64" t="s">
        <v>1489</v>
      </c>
      <c r="D213" s="248">
        <v>0.7</v>
      </c>
      <c r="E213" s="64" t="s">
        <v>1490</v>
      </c>
      <c r="F213" s="577" t="e">
        <f>#REF!</f>
        <v>#REF!</v>
      </c>
      <c r="G213" s="99" t="e">
        <f>FLOOR(D213*F213,0.01)</f>
        <v>#REF!</v>
      </c>
      <c r="H213" s="99" t="e">
        <f>(G213)</f>
        <v>#REF!</v>
      </c>
    </row>
    <row r="214" spans="1:8" ht="17.25">
      <c r="A214" s="1"/>
      <c r="B214" s="886" t="s">
        <v>2055</v>
      </c>
      <c r="C214" s="55" t="s">
        <v>1305</v>
      </c>
      <c r="D214" s="48">
        <v>1.1000000000000001</v>
      </c>
      <c r="E214" s="55" t="s">
        <v>2232</v>
      </c>
      <c r="F214" s="579" t="e">
        <f>#REF!</f>
        <v>#REF!</v>
      </c>
      <c r="G214" s="110" t="e">
        <f>FLOOR(F214*D214,0.01)</f>
        <v>#REF!</v>
      </c>
      <c r="H214" s="110"/>
    </row>
    <row r="215" spans="1:8" ht="17.25">
      <c r="A215" s="1"/>
      <c r="B215" s="887"/>
      <c r="C215" s="56" t="s">
        <v>3275</v>
      </c>
      <c r="D215" s="43">
        <v>5</v>
      </c>
      <c r="E215" s="56" t="s">
        <v>3276</v>
      </c>
      <c r="F215" s="580" t="e">
        <f>#REF!</f>
        <v>#REF!</v>
      </c>
      <c r="G215" s="63" t="e">
        <f>FLOOR(D215*F215,0.01)</f>
        <v>#REF!</v>
      </c>
      <c r="H215" s="63" t="e">
        <f>+G215+G214</f>
        <v>#REF!</v>
      </c>
    </row>
    <row r="216" spans="1:8" ht="17.25">
      <c r="A216" s="1"/>
      <c r="B216" s="1"/>
      <c r="C216" s="1"/>
      <c r="D216" s="1"/>
      <c r="E216" s="1"/>
      <c r="F216" s="40" t="s">
        <v>1491</v>
      </c>
      <c r="G216" s="578"/>
      <c r="H216" s="63" t="e">
        <f>SUM(H213:H215)</f>
        <v>#REF!</v>
      </c>
    </row>
    <row r="217" spans="1:8" ht="17.25">
      <c r="A217" s="1"/>
      <c r="B217" s="1" t="s">
        <v>3233</v>
      </c>
      <c r="C217" s="1"/>
      <c r="D217" s="1"/>
      <c r="E217" s="1"/>
      <c r="F217" s="40" t="s">
        <v>1472</v>
      </c>
      <c r="G217" s="67"/>
      <c r="H217" s="99" t="e">
        <f>FLOOR(H216*0.15,0.01)</f>
        <v>#REF!</v>
      </c>
    </row>
    <row r="218" spans="1:8" ht="17.25">
      <c r="A218" s="27" t="s">
        <v>3005</v>
      </c>
      <c r="B218" s="99" t="e">
        <f>+H218</f>
        <v>#REF!</v>
      </c>
      <c r="C218" s="1" t="s">
        <v>3006</v>
      </c>
      <c r="D218" s="1"/>
      <c r="E218" s="1"/>
      <c r="F218" s="40" t="s">
        <v>1494</v>
      </c>
      <c r="G218" s="67"/>
      <c r="H218" s="99" t="e">
        <f>SUM(H216:H217)</f>
        <v>#REF!</v>
      </c>
    </row>
    <row r="219" spans="1:8" ht="17.25">
      <c r="A219" s="27"/>
      <c r="B219" s="141"/>
      <c r="C219" s="1"/>
      <c r="D219" s="1"/>
      <c r="E219" s="1"/>
      <c r="F219" s="40"/>
      <c r="G219" s="67"/>
      <c r="H219" s="141"/>
    </row>
    <row r="220" spans="1:8" ht="17.25">
      <c r="A220" s="27"/>
      <c r="B220" s="141"/>
      <c r="C220" s="1"/>
      <c r="D220" s="1"/>
      <c r="E220" s="1"/>
      <c r="F220" s="40"/>
      <c r="G220" s="67"/>
      <c r="H220" s="141"/>
    </row>
    <row r="221" spans="1:8" ht="18.75">
      <c r="A221" s="260">
        <f>+A209+1</f>
        <v>16</v>
      </c>
      <c r="B221" s="891" t="s">
        <v>3280</v>
      </c>
      <c r="C221" s="891"/>
      <c r="D221" s="891"/>
      <c r="E221" s="891"/>
      <c r="F221" s="891"/>
      <c r="G221" s="891"/>
      <c r="H221" s="891"/>
    </row>
    <row r="222" spans="1:8" ht="18">
      <c r="A222" s="582" t="s">
        <v>3607</v>
      </c>
      <c r="B222" s="897" t="s">
        <v>3278</v>
      </c>
      <c r="C222" s="891"/>
      <c r="D222" s="891"/>
      <c r="E222" s="891"/>
      <c r="F222" s="891"/>
      <c r="G222" s="891"/>
      <c r="H222" s="891"/>
    </row>
    <row r="223" spans="1:8" ht="15">
      <c r="A223" s="1"/>
      <c r="B223" s="879" t="s">
        <v>3279</v>
      </c>
      <c r="C223" s="879"/>
      <c r="D223" s="879"/>
      <c r="E223" s="879"/>
      <c r="F223" s="879"/>
      <c r="G223" s="879"/>
      <c r="H223" s="879"/>
    </row>
    <row r="224" spans="1:8" ht="31.5">
      <c r="A224" s="1"/>
      <c r="B224" s="68" t="s">
        <v>2966</v>
      </c>
      <c r="C224" s="68" t="s">
        <v>2967</v>
      </c>
      <c r="D224" s="68" t="s">
        <v>2968</v>
      </c>
      <c r="E224" s="68" t="s">
        <v>2969</v>
      </c>
      <c r="F224" s="68" t="s">
        <v>2970</v>
      </c>
      <c r="G224" s="68" t="s">
        <v>2971</v>
      </c>
      <c r="H224" s="68" t="s">
        <v>1487</v>
      </c>
    </row>
    <row r="225" spans="1:8" ht="17.25">
      <c r="A225" s="1"/>
      <c r="B225" s="64" t="s">
        <v>1488</v>
      </c>
      <c r="C225" s="64" t="s">
        <v>1489</v>
      </c>
      <c r="D225" s="248">
        <v>0.75</v>
      </c>
      <c r="E225" s="64" t="s">
        <v>1490</v>
      </c>
      <c r="F225" s="577" t="e">
        <f>#REF!</f>
        <v>#REF!</v>
      </c>
      <c r="G225" s="99" t="e">
        <f>FLOOR(D225*F225,0.01)</f>
        <v>#REF!</v>
      </c>
      <c r="H225" s="99" t="e">
        <f>(G225)</f>
        <v>#REF!</v>
      </c>
    </row>
    <row r="226" spans="1:8" ht="17.25">
      <c r="A226" s="1"/>
      <c r="B226" s="66" t="s">
        <v>2055</v>
      </c>
      <c r="C226" s="64" t="s">
        <v>3444</v>
      </c>
      <c r="D226" s="586">
        <v>1.1000000000000001</v>
      </c>
      <c r="E226" s="64" t="s">
        <v>2232</v>
      </c>
      <c r="F226" s="656" t="e">
        <f>#REF!</f>
        <v>#REF!</v>
      </c>
      <c r="G226" s="99" t="e">
        <f>FLOOR(F226*D226,0.01)</f>
        <v>#REF!</v>
      </c>
      <c r="H226" s="99" t="e">
        <f>(G226)</f>
        <v>#REF!</v>
      </c>
    </row>
    <row r="227" spans="1:8" ht="17.25">
      <c r="A227" s="1"/>
      <c r="B227" s="1"/>
      <c r="C227" s="1"/>
      <c r="D227" s="1"/>
      <c r="E227" s="1"/>
      <c r="F227" s="40" t="s">
        <v>1491</v>
      </c>
      <c r="G227" s="578"/>
      <c r="H227" s="63" t="e">
        <f>SUM(H225:H226)</f>
        <v>#REF!</v>
      </c>
    </row>
    <row r="228" spans="1:8" ht="17.25">
      <c r="A228" s="1"/>
      <c r="B228" s="1" t="s">
        <v>3233</v>
      </c>
      <c r="C228" s="1"/>
      <c r="D228" s="1"/>
      <c r="E228" s="1"/>
      <c r="F228" s="40" t="s">
        <v>1472</v>
      </c>
      <c r="G228" s="67"/>
      <c r="H228" s="99" t="e">
        <f>FLOOR(H227*0.15,0.01)</f>
        <v>#REF!</v>
      </c>
    </row>
    <row r="229" spans="1:8" ht="17.25">
      <c r="A229" s="27" t="s">
        <v>3005</v>
      </c>
      <c r="B229" s="99" t="e">
        <f>+H229</f>
        <v>#REF!</v>
      </c>
      <c r="C229" s="1" t="s">
        <v>3006</v>
      </c>
      <c r="D229" s="1"/>
      <c r="E229" s="1"/>
      <c r="F229" s="40" t="s">
        <v>1494</v>
      </c>
      <c r="G229" s="67"/>
      <c r="H229" s="99" t="e">
        <f>SUM(H227:H228)</f>
        <v>#REF!</v>
      </c>
    </row>
    <row r="230" spans="1:8" ht="15">
      <c r="A230" s="1"/>
      <c r="B230" s="1"/>
      <c r="C230" s="1"/>
      <c r="D230" s="1"/>
      <c r="E230" s="1"/>
      <c r="F230" s="1"/>
      <c r="G230" s="1"/>
      <c r="H230" s="1"/>
    </row>
    <row r="231" spans="1:8" ht="15">
      <c r="A231" s="1"/>
      <c r="B231" s="1"/>
      <c r="C231" s="1"/>
      <c r="D231" s="1"/>
      <c r="E231" s="1"/>
      <c r="F231" s="1"/>
      <c r="G231" s="1"/>
      <c r="H231" s="1"/>
    </row>
    <row r="232" spans="1:8" ht="18.75">
      <c r="A232" s="260">
        <f>+A221+1</f>
        <v>17</v>
      </c>
      <c r="B232" s="891" t="s">
        <v>2450</v>
      </c>
      <c r="C232" s="891"/>
      <c r="D232" s="891"/>
      <c r="E232" s="891"/>
      <c r="F232" s="891"/>
      <c r="G232" s="891"/>
      <c r="H232" s="891"/>
    </row>
    <row r="233" spans="1:8" ht="15.75">
      <c r="A233" s="582" t="s">
        <v>3608</v>
      </c>
      <c r="B233" s="879" t="s">
        <v>3143</v>
      </c>
      <c r="C233" s="879"/>
      <c r="D233" s="879"/>
      <c r="E233" s="879"/>
      <c r="F233" s="879"/>
      <c r="G233" s="879"/>
      <c r="H233" s="879"/>
    </row>
    <row r="234" spans="1:8" ht="31.5">
      <c r="A234" s="1"/>
      <c r="B234" s="68" t="s">
        <v>2966</v>
      </c>
      <c r="C234" s="68" t="s">
        <v>2967</v>
      </c>
      <c r="D234" s="68" t="s">
        <v>2968</v>
      </c>
      <c r="E234" s="68" t="s">
        <v>2969</v>
      </c>
      <c r="F234" s="68" t="s">
        <v>2970</v>
      </c>
      <c r="G234" s="68" t="s">
        <v>2971</v>
      </c>
      <c r="H234" s="68" t="s">
        <v>1487</v>
      </c>
    </row>
    <row r="235" spans="1:8" ht="16.5">
      <c r="A235" s="1"/>
      <c r="B235" s="68" t="s">
        <v>1488</v>
      </c>
      <c r="C235" s="68" t="s">
        <v>2213</v>
      </c>
      <c r="D235" s="101">
        <v>0.5</v>
      </c>
      <c r="E235" s="68" t="s">
        <v>2471</v>
      </c>
      <c r="F235" s="101" t="e">
        <f>#REF!</f>
        <v>#REF!</v>
      </c>
      <c r="G235" s="101" t="e">
        <f>FLOOR(D235*F235,0.01)</f>
        <v>#REF!</v>
      </c>
      <c r="H235" s="99" t="e">
        <f>(G235)</f>
        <v>#REF!</v>
      </c>
    </row>
    <row r="236" spans="1:8" ht="17.25">
      <c r="A236" s="1"/>
      <c r="B236" s="1" t="s">
        <v>695</v>
      </c>
      <c r="C236" s="1"/>
      <c r="D236" s="114">
        <v>0.5</v>
      </c>
      <c r="E236" s="1"/>
      <c r="F236" s="40" t="s">
        <v>1491</v>
      </c>
      <c r="G236" s="106"/>
      <c r="H236" s="93" t="e">
        <f>SUM(G235)</f>
        <v>#REF!</v>
      </c>
    </row>
    <row r="237" spans="1:8" ht="17.25">
      <c r="A237" s="1"/>
      <c r="B237" s="140" t="e">
        <f>H238</f>
        <v>#REF!</v>
      </c>
      <c r="C237" s="27" t="s">
        <v>3005</v>
      </c>
      <c r="D237" s="99" t="e">
        <f>B237/B238</f>
        <v>#REF!</v>
      </c>
      <c r="E237" s="1" t="s">
        <v>3006</v>
      </c>
      <c r="F237" s="40" t="s">
        <v>1472</v>
      </c>
      <c r="G237" s="106"/>
      <c r="H237" s="99" t="e">
        <f>FLOOR(H236*0.15,0.01)</f>
        <v>#REF!</v>
      </c>
    </row>
    <row r="238" spans="1:8" ht="17.25">
      <c r="A238" s="1"/>
      <c r="B238" s="222">
        <v>5</v>
      </c>
      <c r="C238" s="1"/>
      <c r="D238" s="1"/>
      <c r="E238" s="1"/>
      <c r="F238" s="40" t="s">
        <v>1494</v>
      </c>
      <c r="G238" s="106"/>
      <c r="H238" s="99" t="e">
        <f>SUM(H236:H237)</f>
        <v>#REF!</v>
      </c>
    </row>
    <row r="239" spans="1:8" ht="15">
      <c r="A239" s="1"/>
      <c r="B239" s="3" t="s">
        <v>696</v>
      </c>
      <c r="C239" s="1"/>
      <c r="D239" s="1"/>
      <c r="E239" s="1"/>
      <c r="F239" s="1"/>
      <c r="G239" s="1"/>
      <c r="H239" s="1"/>
    </row>
    <row r="240" spans="1:8" ht="16.5">
      <c r="A240" s="1"/>
      <c r="B240" s="141" t="e">
        <f>H238</f>
        <v>#REF!</v>
      </c>
      <c r="C240" s="27" t="s">
        <v>3005</v>
      </c>
      <c r="D240" s="99" t="e">
        <f>B240*2</f>
        <v>#REF!</v>
      </c>
      <c r="E240" s="1" t="s">
        <v>3006</v>
      </c>
      <c r="F240" s="1"/>
      <c r="G240" s="1"/>
      <c r="H240" s="1"/>
    </row>
    <row r="241" spans="1:8" ht="15">
      <c r="A241" s="106"/>
      <c r="B241" s="1"/>
      <c r="C241" s="1"/>
      <c r="D241" s="1"/>
      <c r="E241" s="1"/>
      <c r="F241" s="1"/>
      <c r="G241" s="1"/>
      <c r="H241" s="1"/>
    </row>
    <row r="242" spans="1:8" ht="15">
      <c r="A242" s="106" t="s">
        <v>2451</v>
      </c>
      <c r="B242" s="1"/>
      <c r="C242" s="1"/>
      <c r="D242" s="1"/>
      <c r="E242" s="1"/>
      <c r="F242" s="1"/>
      <c r="G242" s="1"/>
      <c r="H242" s="1"/>
    </row>
    <row r="243" spans="1:8" ht="15">
      <c r="A243" s="106"/>
      <c r="B243" s="1"/>
      <c r="C243" s="1"/>
      <c r="D243" s="1"/>
      <c r="E243" s="1"/>
      <c r="F243" s="1"/>
      <c r="G243" s="1"/>
      <c r="H243" s="1"/>
    </row>
    <row r="244" spans="1:8" ht="18.75">
      <c r="A244" s="260">
        <f>+A232+1</f>
        <v>18</v>
      </c>
      <c r="B244" s="897" t="s">
        <v>3281</v>
      </c>
      <c r="C244" s="891"/>
      <c r="D244" s="891"/>
      <c r="E244" s="891"/>
      <c r="F244" s="891"/>
      <c r="G244" s="891"/>
      <c r="H244" s="891"/>
    </row>
    <row r="245" spans="1:8" ht="15.75">
      <c r="A245" s="582" t="s">
        <v>3289</v>
      </c>
      <c r="B245" s="879" t="s">
        <v>3282</v>
      </c>
      <c r="C245" s="879"/>
      <c r="D245" s="879"/>
      <c r="E245" s="879"/>
      <c r="F245" s="879"/>
      <c r="G245" s="879"/>
      <c r="H245" s="879"/>
    </row>
    <row r="246" spans="1:8" ht="31.5">
      <c r="A246" s="1"/>
      <c r="B246" s="68" t="s">
        <v>2966</v>
      </c>
      <c r="C246" s="68" t="s">
        <v>2967</v>
      </c>
      <c r="D246" s="68" t="s">
        <v>2968</v>
      </c>
      <c r="E246" s="68" t="s">
        <v>2969</v>
      </c>
      <c r="F246" s="68" t="s">
        <v>2970</v>
      </c>
      <c r="G246" s="68" t="s">
        <v>2971</v>
      </c>
      <c r="H246" s="68" t="s">
        <v>1487</v>
      </c>
    </row>
    <row r="247" spans="1:8" ht="31.5">
      <c r="A247" s="1"/>
      <c r="B247" s="68" t="s">
        <v>1879</v>
      </c>
      <c r="C247" s="587" t="s">
        <v>3283</v>
      </c>
      <c r="D247" s="246">
        <v>1.67</v>
      </c>
      <c r="E247" s="68" t="s">
        <v>2471</v>
      </c>
      <c r="F247" s="101" t="e">
        <f>#REF!</f>
        <v>#REF!</v>
      </c>
      <c r="G247" s="99" t="e">
        <f>FLOOR(D247*F247,0.01)</f>
        <v>#REF!</v>
      </c>
      <c r="H247" s="99" t="e">
        <f>(G247)</f>
        <v>#REF!</v>
      </c>
    </row>
    <row r="248" spans="1:8" ht="17.25">
      <c r="A248" s="1"/>
      <c r="B248" s="1"/>
      <c r="C248" s="1"/>
      <c r="D248" s="1"/>
      <c r="E248" s="1"/>
      <c r="F248" s="40" t="s">
        <v>1491</v>
      </c>
      <c r="G248" s="115"/>
      <c r="H248" s="99" t="e">
        <f>SUM(H247:H247)</f>
        <v>#REF!</v>
      </c>
    </row>
    <row r="249" spans="1:8" ht="17.25">
      <c r="A249" s="1"/>
      <c r="B249" s="1"/>
      <c r="C249" s="1"/>
      <c r="D249" s="1"/>
      <c r="E249" s="1"/>
      <c r="F249" s="40" t="s">
        <v>1472</v>
      </c>
      <c r="G249" s="115"/>
      <c r="H249" s="99" t="e">
        <f>FLOOR(H248*0.15,0.01)</f>
        <v>#REF!</v>
      </c>
    </row>
    <row r="250" spans="1:8" ht="17.25">
      <c r="A250" s="1"/>
      <c r="B250" s="1" t="s">
        <v>3233</v>
      </c>
      <c r="C250" s="1"/>
      <c r="D250" s="1"/>
      <c r="E250" s="1"/>
      <c r="F250" s="40" t="s">
        <v>1494</v>
      </c>
      <c r="G250" s="115"/>
      <c r="H250" s="99" t="e">
        <f>SUM(H248:H249)</f>
        <v>#REF!</v>
      </c>
    </row>
    <row r="251" spans="1:8" ht="16.5">
      <c r="A251" s="27" t="s">
        <v>3005</v>
      </c>
      <c r="B251" s="99" t="e">
        <f>+H250/100</f>
        <v>#REF!</v>
      </c>
      <c r="C251" s="1" t="s">
        <v>3006</v>
      </c>
      <c r="D251" s="1"/>
      <c r="E251" s="1"/>
      <c r="F251" s="1"/>
      <c r="G251" s="1"/>
      <c r="H251" s="1"/>
    </row>
    <row r="252" spans="1:8" ht="16.5">
      <c r="A252" s="27"/>
      <c r="B252" s="141"/>
      <c r="C252" s="1"/>
      <c r="D252" s="1"/>
      <c r="E252" s="1"/>
      <c r="F252" s="1"/>
      <c r="G252" s="1"/>
      <c r="H252" s="1"/>
    </row>
    <row r="253" spans="1:8" ht="16.5">
      <c r="A253" s="27"/>
      <c r="B253" s="141"/>
      <c r="C253" s="1"/>
      <c r="D253" s="1"/>
      <c r="E253" s="1"/>
      <c r="F253" s="1"/>
      <c r="G253" s="1"/>
      <c r="H253" s="1"/>
    </row>
    <row r="254" spans="1:8" ht="18.75">
      <c r="A254" s="260">
        <f>+A244+1</f>
        <v>19</v>
      </c>
      <c r="B254" s="897" t="s">
        <v>3284</v>
      </c>
      <c r="C254" s="891"/>
      <c r="D254" s="891"/>
      <c r="E254" s="891"/>
      <c r="F254" s="891"/>
      <c r="G254" s="891"/>
      <c r="H254" s="891"/>
    </row>
    <row r="255" spans="1:8" ht="15.75">
      <c r="A255" s="582" t="s">
        <v>3290</v>
      </c>
      <c r="B255" s="879" t="s">
        <v>3285</v>
      </c>
      <c r="C255" s="879"/>
      <c r="D255" s="879"/>
      <c r="E255" s="879"/>
      <c r="F255" s="879"/>
      <c r="G255" s="879"/>
      <c r="H255" s="879"/>
    </row>
    <row r="256" spans="1:8" ht="15">
      <c r="A256" s="1"/>
      <c r="B256" s="1"/>
      <c r="C256" s="1"/>
      <c r="D256" s="1"/>
      <c r="E256" s="1"/>
      <c r="F256" s="1"/>
      <c r="G256" s="1"/>
      <c r="H256" s="1"/>
    </row>
    <row r="257" spans="1:8" ht="31.5">
      <c r="A257" s="1"/>
      <c r="B257" s="68" t="s">
        <v>2966</v>
      </c>
      <c r="C257" s="68" t="s">
        <v>2967</v>
      </c>
      <c r="D257" s="68" t="s">
        <v>2968</v>
      </c>
      <c r="E257" s="68" t="s">
        <v>2969</v>
      </c>
      <c r="F257" s="68" t="s">
        <v>2970</v>
      </c>
      <c r="G257" s="68" t="s">
        <v>2971</v>
      </c>
      <c r="H257" s="68" t="s">
        <v>1487</v>
      </c>
    </row>
    <row r="258" spans="1:8" ht="17.25">
      <c r="A258" s="1"/>
      <c r="B258" s="64" t="s">
        <v>1488</v>
      </c>
      <c r="C258" s="64" t="s">
        <v>1489</v>
      </c>
      <c r="D258" s="248">
        <v>53</v>
      </c>
      <c r="E258" s="64" t="s">
        <v>1490</v>
      </c>
      <c r="F258" s="577" t="e">
        <f>#REF!</f>
        <v>#REF!</v>
      </c>
      <c r="G258" s="99" t="e">
        <f>FLOOR(D258*F258,0.01)</f>
        <v>#REF!</v>
      </c>
      <c r="H258" s="99" t="e">
        <f>(G258)</f>
        <v>#REF!</v>
      </c>
    </row>
    <row r="259" spans="1:8" ht="31.5">
      <c r="A259" s="1"/>
      <c r="B259" s="68" t="s">
        <v>1879</v>
      </c>
      <c r="C259" s="587" t="s">
        <v>3286</v>
      </c>
      <c r="D259" s="657">
        <v>1.67</v>
      </c>
      <c r="E259" s="66" t="s">
        <v>2471</v>
      </c>
      <c r="F259" s="656" t="e">
        <f>#REF!</f>
        <v>#REF!</v>
      </c>
      <c r="G259" s="99" t="e">
        <f>FLOOR(F259*D259,0.01)</f>
        <v>#REF!</v>
      </c>
      <c r="H259" s="99" t="e">
        <f>(G259)</f>
        <v>#REF!</v>
      </c>
    </row>
    <row r="260" spans="1:8" ht="17.25">
      <c r="A260" s="1"/>
      <c r="B260" s="1"/>
      <c r="C260" s="1"/>
      <c r="D260" s="1"/>
      <c r="E260" s="1"/>
      <c r="F260" s="40" t="s">
        <v>1491</v>
      </c>
      <c r="G260" s="578"/>
      <c r="H260" s="63" t="e">
        <f>SUM(H258:H259)</f>
        <v>#REF!</v>
      </c>
    </row>
    <row r="261" spans="1:8" ht="17.25">
      <c r="A261" s="1"/>
      <c r="B261" s="1" t="s">
        <v>3233</v>
      </c>
      <c r="C261" s="1"/>
      <c r="D261" s="1"/>
      <c r="E261" s="1"/>
      <c r="F261" s="40" t="s">
        <v>1472</v>
      </c>
      <c r="G261" s="67"/>
      <c r="H261" s="99" t="e">
        <f>FLOOR(H260*0.15,0.01)</f>
        <v>#REF!</v>
      </c>
    </row>
    <row r="262" spans="1:8" ht="17.25">
      <c r="A262" s="27" t="s">
        <v>3005</v>
      </c>
      <c r="B262" s="99" t="e">
        <f>+H262/100</f>
        <v>#REF!</v>
      </c>
      <c r="C262" s="1" t="s">
        <v>3006</v>
      </c>
      <c r="D262" s="1"/>
      <c r="E262" s="1"/>
      <c r="F262" s="40" t="s">
        <v>1494</v>
      </c>
      <c r="G262" s="67"/>
      <c r="H262" s="99" t="e">
        <f>SUM(H260:H261)</f>
        <v>#REF!</v>
      </c>
    </row>
    <row r="263" spans="1:8" ht="17.25">
      <c r="A263" s="27"/>
      <c r="B263" s="141"/>
      <c r="C263" s="1"/>
      <c r="D263" s="1"/>
      <c r="E263" s="1"/>
      <c r="F263" s="40"/>
      <c r="G263" s="67"/>
      <c r="H263" s="141"/>
    </row>
    <row r="264" spans="1:8" ht="15">
      <c r="A264" s="1"/>
      <c r="B264" s="1"/>
      <c r="C264" s="1"/>
      <c r="D264" s="1"/>
      <c r="E264" s="1"/>
      <c r="F264" s="1"/>
      <c r="G264" s="1"/>
      <c r="H264" s="1"/>
    </row>
    <row r="265" spans="1:8" ht="18.75">
      <c r="A265" s="260">
        <f>+A254+1</f>
        <v>20</v>
      </c>
      <c r="B265" s="891" t="s">
        <v>3761</v>
      </c>
      <c r="C265" s="891"/>
      <c r="D265" s="891"/>
      <c r="E265" s="891"/>
      <c r="F265" s="891"/>
      <c r="G265" s="891"/>
      <c r="H265" s="891"/>
    </row>
    <row r="266" spans="1:8" ht="15.75">
      <c r="A266" s="582" t="s">
        <v>3291</v>
      </c>
      <c r="B266" s="879" t="s">
        <v>3279</v>
      </c>
      <c r="C266" s="879"/>
      <c r="D266" s="879"/>
      <c r="E266" s="879"/>
      <c r="F266" s="879"/>
      <c r="G266" s="879"/>
      <c r="H266" s="879"/>
    </row>
    <row r="267" spans="1:8" ht="15">
      <c r="A267" s="1"/>
      <c r="B267" s="1"/>
      <c r="C267" s="1"/>
      <c r="D267" s="1"/>
      <c r="E267" s="1"/>
      <c r="F267" s="1"/>
      <c r="G267" s="1"/>
      <c r="H267" s="1"/>
    </row>
    <row r="268" spans="1:8" ht="31.5">
      <c r="A268" s="1"/>
      <c r="B268" s="68" t="s">
        <v>2966</v>
      </c>
      <c r="C268" s="68" t="s">
        <v>2967</v>
      </c>
      <c r="D268" s="68" t="s">
        <v>2968</v>
      </c>
      <c r="E268" s="68" t="s">
        <v>2969</v>
      </c>
      <c r="F268" s="68" t="s">
        <v>2970</v>
      </c>
      <c r="G268" s="68" t="s">
        <v>2971</v>
      </c>
      <c r="H268" s="68" t="s">
        <v>1487</v>
      </c>
    </row>
    <row r="269" spans="1:8" ht="17.25">
      <c r="A269" s="1"/>
      <c r="B269" s="64" t="s">
        <v>2055</v>
      </c>
      <c r="C269" s="64" t="s">
        <v>3287</v>
      </c>
      <c r="D269" s="248">
        <v>0.12479999999999999</v>
      </c>
      <c r="E269" s="64" t="s">
        <v>3276</v>
      </c>
      <c r="F269" s="656" t="e">
        <f>#REF!</f>
        <v>#REF!</v>
      </c>
      <c r="G269" s="99" t="e">
        <f>FLOOR(D269*F269,0.01)</f>
        <v>#REF!</v>
      </c>
      <c r="H269" s="99" t="e">
        <f>(G269)</f>
        <v>#REF!</v>
      </c>
    </row>
    <row r="270" spans="1:8" ht="31.5">
      <c r="A270" s="1"/>
      <c r="B270" s="68" t="s">
        <v>1879</v>
      </c>
      <c r="C270" s="68" t="s">
        <v>3288</v>
      </c>
      <c r="D270" s="588">
        <v>1.04E-2</v>
      </c>
      <c r="E270" s="66" t="s">
        <v>2471</v>
      </c>
      <c r="F270" s="656" t="e">
        <f>#REF!</f>
        <v>#REF!</v>
      </c>
      <c r="G270" s="99" t="e">
        <f>FLOOR(D270*F270,0.01)</f>
        <v>#REF!</v>
      </c>
      <c r="H270" s="99" t="e">
        <f>(G270)</f>
        <v>#REF!</v>
      </c>
    </row>
    <row r="271" spans="1:8" ht="17.25">
      <c r="A271" s="1"/>
      <c r="B271" s="1"/>
      <c r="C271" s="1"/>
      <c r="D271" s="1"/>
      <c r="E271" s="1"/>
      <c r="F271" s="40" t="s">
        <v>1491</v>
      </c>
      <c r="G271" s="578"/>
      <c r="H271" s="63" t="e">
        <f>SUM(H269:H270)</f>
        <v>#REF!</v>
      </c>
    </row>
    <row r="272" spans="1:8" ht="17.25">
      <c r="A272" s="1"/>
      <c r="B272" s="1" t="s">
        <v>3233</v>
      </c>
      <c r="C272" s="1"/>
      <c r="D272" s="1"/>
      <c r="E272" s="1"/>
      <c r="F272" s="40" t="s">
        <v>1472</v>
      </c>
      <c r="G272" s="67"/>
      <c r="H272" s="99" t="e">
        <f>FLOOR(H271*0.15,0.01)</f>
        <v>#REF!</v>
      </c>
    </row>
    <row r="273" spans="1:8" ht="17.25">
      <c r="A273" s="27" t="s">
        <v>3005</v>
      </c>
      <c r="B273" s="99" t="e">
        <f>+H273/1</f>
        <v>#REF!</v>
      </c>
      <c r="C273" s="1" t="s">
        <v>3006</v>
      </c>
      <c r="D273" s="1"/>
      <c r="E273" s="1"/>
      <c r="F273" s="40" t="s">
        <v>1494</v>
      </c>
      <c r="G273" s="67"/>
      <c r="H273" s="99" t="e">
        <f>SUM(H271:H272)</f>
        <v>#REF!</v>
      </c>
    </row>
    <row r="274" spans="1:8" ht="17.25">
      <c r="A274" s="27"/>
      <c r="B274" s="124"/>
      <c r="C274" s="1"/>
      <c r="D274" s="1"/>
      <c r="E274" s="1"/>
      <c r="F274" s="40"/>
      <c r="G274" s="67"/>
      <c r="H274" s="141"/>
    </row>
    <row r="275" spans="1:8" ht="17.25">
      <c r="A275" s="27"/>
      <c r="B275" s="141"/>
      <c r="C275" s="1"/>
      <c r="D275" s="1"/>
      <c r="E275" s="1"/>
      <c r="F275" s="40"/>
      <c r="G275" s="67"/>
      <c r="H275" s="141"/>
    </row>
    <row r="276" spans="1:8" ht="18.75">
      <c r="A276" s="260">
        <f>+A265+1</f>
        <v>21</v>
      </c>
      <c r="B276" s="891" t="s">
        <v>3762</v>
      </c>
      <c r="C276" s="891"/>
      <c r="D276" s="891"/>
      <c r="E276" s="891"/>
      <c r="F276" s="891"/>
      <c r="G276" s="891"/>
      <c r="H276" s="891"/>
    </row>
    <row r="277" spans="1:8" ht="15.75">
      <c r="A277" s="582" t="s">
        <v>3291</v>
      </c>
      <c r="B277" s="879" t="s">
        <v>3279</v>
      </c>
      <c r="C277" s="879"/>
      <c r="D277" s="879"/>
      <c r="E277" s="879"/>
      <c r="F277" s="879"/>
      <c r="G277" s="879"/>
      <c r="H277" s="879"/>
    </row>
    <row r="278" spans="1:8" ht="15">
      <c r="A278" s="1"/>
      <c r="B278" s="1"/>
      <c r="C278" s="1"/>
      <c r="D278" s="1"/>
      <c r="E278" s="1"/>
      <c r="F278" s="1"/>
      <c r="G278" s="1"/>
      <c r="H278" s="1"/>
    </row>
    <row r="279" spans="1:8" ht="31.5">
      <c r="A279" s="1"/>
      <c r="B279" s="68" t="s">
        <v>2966</v>
      </c>
      <c r="C279" s="68" t="s">
        <v>2967</v>
      </c>
      <c r="D279" s="68" t="s">
        <v>2968</v>
      </c>
      <c r="E279" s="68" t="s">
        <v>2969</v>
      </c>
      <c r="F279" s="68" t="s">
        <v>2970</v>
      </c>
      <c r="G279" s="68" t="s">
        <v>2971</v>
      </c>
      <c r="H279" s="68" t="s">
        <v>1487</v>
      </c>
    </row>
    <row r="280" spans="1:8" ht="17.25">
      <c r="A280" s="1"/>
      <c r="B280" s="64" t="s">
        <v>2055</v>
      </c>
      <c r="C280" s="64" t="s">
        <v>3287</v>
      </c>
      <c r="D280" s="248">
        <v>0.15</v>
      </c>
      <c r="E280" s="64" t="s">
        <v>3276</v>
      </c>
      <c r="F280" s="656" t="e">
        <f>#REF!</f>
        <v>#REF!</v>
      </c>
      <c r="G280" s="99" t="e">
        <f>FLOOR(D280*F280,0.01)</f>
        <v>#REF!</v>
      </c>
      <c r="H280" s="99" t="e">
        <f>(G280)</f>
        <v>#REF!</v>
      </c>
    </row>
    <row r="281" spans="1:8" ht="31.5">
      <c r="A281" s="1"/>
      <c r="B281" s="68" t="s">
        <v>1879</v>
      </c>
      <c r="C281" s="68" t="s">
        <v>3288</v>
      </c>
      <c r="D281" s="588">
        <v>1.2500000000000001E-2</v>
      </c>
      <c r="E281" s="66" t="s">
        <v>2471</v>
      </c>
      <c r="F281" s="656" t="e">
        <f>#REF!</f>
        <v>#REF!</v>
      </c>
      <c r="G281" s="99" t="e">
        <f>FLOOR(D281*F281,0.01)</f>
        <v>#REF!</v>
      </c>
      <c r="H281" s="99" t="e">
        <f>(G281)</f>
        <v>#REF!</v>
      </c>
    </row>
    <row r="282" spans="1:8" ht="17.25">
      <c r="A282" s="1"/>
      <c r="B282" s="1"/>
      <c r="C282" s="1"/>
      <c r="D282" s="1"/>
      <c r="E282" s="1"/>
      <c r="F282" s="40" t="s">
        <v>1491</v>
      </c>
      <c r="G282" s="578"/>
      <c r="H282" s="63" t="e">
        <f>SUM(H280:H281)</f>
        <v>#REF!</v>
      </c>
    </row>
    <row r="283" spans="1:8" ht="17.25">
      <c r="A283" s="1"/>
      <c r="B283" s="1" t="s">
        <v>3233</v>
      </c>
      <c r="C283" s="1"/>
      <c r="D283" s="1"/>
      <c r="E283" s="1"/>
      <c r="F283" s="40" t="s">
        <v>1472</v>
      </c>
      <c r="G283" s="67"/>
      <c r="H283" s="99" t="e">
        <f>FLOOR(H282*0.15,0.01)</f>
        <v>#REF!</v>
      </c>
    </row>
    <row r="284" spans="1:8" ht="17.25">
      <c r="A284" s="27" t="s">
        <v>3005</v>
      </c>
      <c r="B284" s="99" t="e">
        <f>+H284/1</f>
        <v>#REF!</v>
      </c>
      <c r="C284" s="1" t="s">
        <v>3006</v>
      </c>
      <c r="D284" s="1"/>
      <c r="E284" s="1"/>
      <c r="F284" s="40" t="s">
        <v>1494</v>
      </c>
      <c r="G284" s="67"/>
      <c r="H284" s="99" t="e">
        <f>SUM(H282:H283)</f>
        <v>#REF!</v>
      </c>
    </row>
    <row r="285" spans="1:8" ht="17.25">
      <c r="A285" s="27"/>
      <c r="B285" s="124"/>
      <c r="C285" s="1"/>
      <c r="D285" s="1"/>
      <c r="E285" s="1"/>
      <c r="F285" s="40"/>
      <c r="G285" s="67"/>
      <c r="H285" s="141"/>
    </row>
    <row r="286" spans="1:8" ht="20.25">
      <c r="A286" s="260">
        <f>+A276+1</f>
        <v>22</v>
      </c>
      <c r="B286" s="877" t="s">
        <v>1332</v>
      </c>
      <c r="C286" s="878"/>
      <c r="D286" s="878"/>
      <c r="E286" s="878"/>
      <c r="F286" s="878"/>
      <c r="G286" s="878"/>
      <c r="H286" s="878"/>
    </row>
    <row r="287" spans="1:8" ht="19.5">
      <c r="A287" s="582" t="s">
        <v>3609</v>
      </c>
      <c r="B287" s="877" t="s">
        <v>514</v>
      </c>
      <c r="C287" s="878"/>
      <c r="D287" s="878"/>
      <c r="E287" s="878"/>
      <c r="F287" s="878"/>
      <c r="G287" s="878"/>
      <c r="H287" s="878"/>
    </row>
    <row r="288" spans="1:8" ht="19.5">
      <c r="A288" s="589"/>
      <c r="B288" s="878" t="s">
        <v>515</v>
      </c>
      <c r="C288" s="878"/>
      <c r="D288" s="878"/>
      <c r="E288" s="878"/>
      <c r="F288" s="878"/>
      <c r="G288" s="878"/>
      <c r="H288" s="878"/>
    </row>
    <row r="289" spans="1:8" ht="15">
      <c r="A289" s="1"/>
      <c r="B289" s="885" t="s">
        <v>2231</v>
      </c>
      <c r="C289" s="885"/>
      <c r="D289" s="885"/>
      <c r="E289" s="885"/>
      <c r="F289" s="885"/>
      <c r="G289" s="885"/>
      <c r="H289" s="885"/>
    </row>
    <row r="290" spans="1:8" ht="31.5">
      <c r="A290" s="1"/>
      <c r="B290" s="68" t="s">
        <v>2966</v>
      </c>
      <c r="C290" s="68" t="s">
        <v>2967</v>
      </c>
      <c r="D290" s="68" t="s">
        <v>2968</v>
      </c>
      <c r="E290" s="68" t="s">
        <v>2969</v>
      </c>
      <c r="F290" s="68" t="s">
        <v>2970</v>
      </c>
      <c r="G290" s="58" t="s">
        <v>2971</v>
      </c>
      <c r="H290" s="68" t="s">
        <v>1487</v>
      </c>
    </row>
    <row r="291" spans="1:8" ht="17.25">
      <c r="A291" s="1"/>
      <c r="B291" s="889" t="s">
        <v>1488</v>
      </c>
      <c r="C291" s="58" t="s">
        <v>516</v>
      </c>
      <c r="D291" s="41">
        <v>1.5</v>
      </c>
      <c r="E291" s="55" t="s">
        <v>1490</v>
      </c>
      <c r="F291" s="176" t="e">
        <f>#REF!</f>
        <v>#REF!</v>
      </c>
      <c r="G291" s="110" t="e">
        <f t="shared" ref="G291:G297" si="0">FLOOR(D291*F291,0.01)</f>
        <v>#REF!</v>
      </c>
      <c r="H291" s="180"/>
    </row>
    <row r="292" spans="1:8" ht="17.25">
      <c r="A292" s="1"/>
      <c r="B292" s="890"/>
      <c r="C292" s="53" t="s">
        <v>1433</v>
      </c>
      <c r="D292" s="42">
        <v>2.2000000000000002</v>
      </c>
      <c r="E292" s="53" t="s">
        <v>1490</v>
      </c>
      <c r="F292" s="177" t="e">
        <f>#REF!</f>
        <v>#REF!</v>
      </c>
      <c r="G292" s="109" t="e">
        <f t="shared" si="0"/>
        <v>#REF!</v>
      </c>
      <c r="H292" s="142"/>
    </row>
    <row r="293" spans="1:8" ht="17.25">
      <c r="A293" s="1"/>
      <c r="B293" s="887"/>
      <c r="C293" s="56" t="s">
        <v>1434</v>
      </c>
      <c r="D293" s="43">
        <v>0.2</v>
      </c>
      <c r="E293" s="56" t="s">
        <v>1490</v>
      </c>
      <c r="F293" s="177" t="e">
        <f>#REF!</f>
        <v>#REF!</v>
      </c>
      <c r="G293" s="63" t="e">
        <f t="shared" si="0"/>
        <v>#REF!</v>
      </c>
      <c r="H293" s="181" t="e">
        <f>SUM(G291:G293)</f>
        <v>#REF!</v>
      </c>
    </row>
    <row r="294" spans="1:8" ht="17.25">
      <c r="A294" s="1"/>
      <c r="B294" s="886" t="s">
        <v>2055</v>
      </c>
      <c r="C294" s="55" t="s">
        <v>1435</v>
      </c>
      <c r="D294" s="45">
        <v>530</v>
      </c>
      <c r="E294" s="55" t="s">
        <v>699</v>
      </c>
      <c r="F294" s="178" t="e">
        <f>#REF!</f>
        <v>#REF!</v>
      </c>
      <c r="G294" s="110" t="e">
        <f t="shared" si="0"/>
        <v>#REF!</v>
      </c>
      <c r="H294" s="125"/>
    </row>
    <row r="295" spans="1:8" ht="17.25">
      <c r="A295" s="1"/>
      <c r="B295" s="890"/>
      <c r="C295" s="53" t="s">
        <v>1436</v>
      </c>
      <c r="D295" s="42">
        <v>0.13</v>
      </c>
      <c r="E295" s="53" t="s">
        <v>700</v>
      </c>
      <c r="F295" s="177" t="e">
        <f>#REF!</f>
        <v>#REF!</v>
      </c>
      <c r="G295" s="109" t="e">
        <f t="shared" si="0"/>
        <v>#REF!</v>
      </c>
      <c r="H295" s="142"/>
    </row>
    <row r="296" spans="1:8" ht="17.25">
      <c r="A296" s="1"/>
      <c r="B296" s="890"/>
      <c r="C296" s="53" t="s">
        <v>1426</v>
      </c>
      <c r="D296" s="42">
        <v>0.27</v>
      </c>
      <c r="E296" s="53" t="s">
        <v>2232</v>
      </c>
      <c r="F296" s="177" t="e">
        <f>#REF!</f>
        <v>#REF!</v>
      </c>
      <c r="G296" s="109" t="e">
        <f t="shared" si="0"/>
        <v>#REF!</v>
      </c>
      <c r="H296" s="142"/>
    </row>
    <row r="297" spans="1:8" ht="17.25">
      <c r="A297" s="1"/>
      <c r="B297" s="890"/>
      <c r="C297" s="56" t="s">
        <v>3275</v>
      </c>
      <c r="D297" s="43">
        <v>150</v>
      </c>
      <c r="E297" s="53" t="s">
        <v>3276</v>
      </c>
      <c r="F297" s="179" t="e">
        <f>#REF!</f>
        <v>#REF!</v>
      </c>
      <c r="G297" s="63" t="e">
        <f t="shared" si="0"/>
        <v>#REF!</v>
      </c>
      <c r="H297" s="182" t="e">
        <f>SUM(G294:G297)</f>
        <v>#REF!</v>
      </c>
    </row>
    <row r="298" spans="1:8" ht="17.25">
      <c r="A298" s="1"/>
      <c r="B298" s="62"/>
      <c r="C298" s="64" t="s">
        <v>698</v>
      </c>
      <c r="D298" s="94" t="s">
        <v>3230</v>
      </c>
      <c r="E298" s="13"/>
      <c r="F298" s="13"/>
      <c r="G298" s="183"/>
      <c r="H298" s="109" t="e">
        <f>SUM(G293*3%)</f>
        <v>#REF!</v>
      </c>
    </row>
    <row r="299" spans="1:8" ht="17.25">
      <c r="A299" s="1"/>
      <c r="B299" s="1"/>
      <c r="C299" s="1"/>
      <c r="D299" s="1"/>
      <c r="E299" s="1"/>
      <c r="F299" s="40" t="s">
        <v>1491</v>
      </c>
      <c r="G299" s="118"/>
      <c r="H299" s="99" t="e">
        <f>SUM(H293:H298)</f>
        <v>#REF!</v>
      </c>
    </row>
    <row r="300" spans="1:8" ht="17.25">
      <c r="A300" s="1"/>
      <c r="B300" s="1" t="s">
        <v>3233</v>
      </c>
      <c r="C300" s="1"/>
      <c r="D300" s="1"/>
      <c r="E300" s="1"/>
      <c r="F300" s="40" t="s">
        <v>1472</v>
      </c>
      <c r="G300" s="67"/>
      <c r="H300" s="99" t="e">
        <f>FLOOR(H299*0.15,0.01)</f>
        <v>#REF!</v>
      </c>
    </row>
    <row r="301" spans="1:8" ht="17.25">
      <c r="A301" s="27" t="s">
        <v>3005</v>
      </c>
      <c r="B301" s="99" t="e">
        <f>+H301</f>
        <v>#REF!</v>
      </c>
      <c r="C301" s="1" t="s">
        <v>3006</v>
      </c>
      <c r="D301" s="1"/>
      <c r="E301" s="1"/>
      <c r="F301" s="40" t="s">
        <v>1494</v>
      </c>
      <c r="G301" s="67"/>
      <c r="H301" s="99" t="e">
        <f>SUM(H299:H300)</f>
        <v>#REF!</v>
      </c>
    </row>
    <row r="302" spans="1:8" ht="15">
      <c r="A302" s="1"/>
      <c r="B302" s="1"/>
      <c r="C302" s="1"/>
      <c r="D302" s="1"/>
      <c r="E302" s="1"/>
      <c r="F302" s="1"/>
      <c r="G302" s="1"/>
      <c r="H302" s="1"/>
    </row>
    <row r="303" spans="1:8" ht="15">
      <c r="A303" s="1"/>
      <c r="B303" s="1"/>
      <c r="C303" s="1"/>
      <c r="D303" s="1"/>
      <c r="E303" s="1"/>
      <c r="F303" s="1"/>
      <c r="G303" s="1"/>
      <c r="H303" s="1"/>
    </row>
    <row r="304" spans="1:8" ht="15">
      <c r="A304" s="1"/>
      <c r="B304" s="1"/>
      <c r="C304" s="1"/>
      <c r="D304" s="1"/>
      <c r="E304" s="1"/>
      <c r="F304" s="1"/>
      <c r="G304" s="1"/>
      <c r="H304" s="1"/>
    </row>
    <row r="305" spans="1:8" ht="15">
      <c r="A305" s="1"/>
      <c r="B305" s="1"/>
      <c r="C305" s="1"/>
      <c r="D305" s="1"/>
      <c r="E305" s="1"/>
      <c r="F305" s="1"/>
      <c r="G305" s="1"/>
      <c r="H305" s="1"/>
    </row>
    <row r="306" spans="1:8" ht="15">
      <c r="A306" s="1"/>
      <c r="B306" s="1"/>
      <c r="C306" s="1"/>
      <c r="D306" s="1"/>
      <c r="E306" s="1"/>
      <c r="F306" s="1"/>
      <c r="G306" s="1"/>
      <c r="H306" s="1"/>
    </row>
    <row r="307" spans="1:8" ht="15">
      <c r="A307" s="1"/>
      <c r="B307" s="1"/>
      <c r="C307" s="1"/>
      <c r="D307" s="1"/>
      <c r="E307" s="1"/>
      <c r="F307" s="1"/>
      <c r="G307" s="1"/>
      <c r="H307" s="1"/>
    </row>
    <row r="308" spans="1:8" ht="15">
      <c r="A308" s="1"/>
      <c r="B308" s="1"/>
      <c r="C308" s="1"/>
      <c r="D308" s="1"/>
      <c r="E308" s="1"/>
      <c r="F308" s="1"/>
      <c r="G308" s="1"/>
      <c r="H308" s="1"/>
    </row>
    <row r="309" spans="1:8" ht="15">
      <c r="A309" s="1"/>
      <c r="B309" s="1"/>
      <c r="C309" s="1"/>
      <c r="D309" s="1"/>
      <c r="E309" s="1"/>
      <c r="F309" s="1"/>
      <c r="G309" s="1"/>
      <c r="H309" s="1"/>
    </row>
    <row r="310" spans="1:8" ht="15">
      <c r="A310" s="1"/>
      <c r="B310" s="1"/>
      <c r="C310" s="1"/>
      <c r="D310" s="1"/>
      <c r="E310" s="1"/>
      <c r="F310" s="1"/>
      <c r="G310" s="1"/>
      <c r="H310" s="1"/>
    </row>
    <row r="311" spans="1:8" ht="15">
      <c r="A311" s="1"/>
      <c r="B311" s="1"/>
      <c r="C311" s="1"/>
      <c r="D311" s="1"/>
      <c r="E311" s="1"/>
      <c r="F311" s="1"/>
      <c r="G311" s="1"/>
      <c r="H311" s="1"/>
    </row>
    <row r="312" spans="1:8" ht="15">
      <c r="A312" s="1"/>
      <c r="B312" s="1"/>
      <c r="C312" s="1"/>
      <c r="D312" s="1"/>
      <c r="E312" s="1"/>
      <c r="F312" s="1"/>
      <c r="G312" s="1"/>
      <c r="H312" s="1"/>
    </row>
    <row r="313" spans="1:8" ht="20.25">
      <c r="A313" s="260">
        <f>+A286+1</f>
        <v>23</v>
      </c>
      <c r="B313" s="878" t="s">
        <v>981</v>
      </c>
      <c r="C313" s="878"/>
      <c r="D313" s="878"/>
      <c r="E313" s="878"/>
      <c r="F313" s="878"/>
      <c r="G313" s="878"/>
      <c r="H313" s="878"/>
    </row>
    <row r="314" spans="1:8" ht="19.5">
      <c r="A314" s="582" t="s">
        <v>3609</v>
      </c>
      <c r="B314" s="877" t="s">
        <v>385</v>
      </c>
      <c r="C314" s="878"/>
      <c r="D314" s="878"/>
      <c r="E314" s="878"/>
      <c r="F314" s="878"/>
      <c r="G314" s="878"/>
      <c r="H314" s="878"/>
    </row>
    <row r="315" spans="1:8" ht="19.5">
      <c r="A315" s="589"/>
      <c r="B315" s="878" t="s">
        <v>2214</v>
      </c>
      <c r="C315" s="878"/>
      <c r="D315" s="878"/>
      <c r="E315" s="878"/>
      <c r="F315" s="878"/>
      <c r="G315" s="878"/>
      <c r="H315" s="878"/>
    </row>
    <row r="316" spans="1:8" ht="15">
      <c r="A316" s="1"/>
      <c r="B316" s="879" t="s">
        <v>2231</v>
      </c>
      <c r="C316" s="879"/>
      <c r="D316" s="879"/>
      <c r="E316" s="879"/>
      <c r="F316" s="879"/>
      <c r="G316" s="879"/>
      <c r="H316" s="879"/>
    </row>
    <row r="317" spans="1:8" ht="31.5">
      <c r="A317" s="1"/>
      <c r="B317" s="68" t="s">
        <v>2966</v>
      </c>
      <c r="C317" s="68" t="s">
        <v>2967</v>
      </c>
      <c r="D317" s="68" t="s">
        <v>2968</v>
      </c>
      <c r="E317" s="68" t="s">
        <v>2969</v>
      </c>
      <c r="F317" s="68" t="s">
        <v>2970</v>
      </c>
      <c r="G317" s="68" t="s">
        <v>2971</v>
      </c>
      <c r="H317" s="68" t="s">
        <v>1487</v>
      </c>
    </row>
    <row r="318" spans="1:8" ht="17.25">
      <c r="A318" s="1"/>
      <c r="B318" s="886" t="s">
        <v>1488</v>
      </c>
      <c r="C318" s="58" t="s">
        <v>516</v>
      </c>
      <c r="D318" s="41">
        <v>1.5</v>
      </c>
      <c r="E318" s="55" t="s">
        <v>1490</v>
      </c>
      <c r="F318" s="107" t="e">
        <f>#REF!</f>
        <v>#REF!</v>
      </c>
      <c r="G318" s="110" t="e">
        <f t="shared" ref="G318:G324" si="1">FLOOR(D318*F318,0.01)</f>
        <v>#REF!</v>
      </c>
      <c r="H318" s="108"/>
    </row>
    <row r="319" spans="1:8" ht="17.25">
      <c r="A319" s="1"/>
      <c r="B319" s="890"/>
      <c r="C319" s="53" t="s">
        <v>1433</v>
      </c>
      <c r="D319" s="42">
        <v>2.2000000000000002</v>
      </c>
      <c r="E319" s="53" t="s">
        <v>1490</v>
      </c>
      <c r="F319" s="109" t="e">
        <f>#REF!</f>
        <v>#REF!</v>
      </c>
      <c r="G319" s="109" t="e">
        <f t="shared" si="1"/>
        <v>#REF!</v>
      </c>
      <c r="H319" s="9"/>
    </row>
    <row r="320" spans="1:8" ht="17.25">
      <c r="A320" s="1"/>
      <c r="B320" s="887"/>
      <c r="C320" s="56" t="s">
        <v>1434</v>
      </c>
      <c r="D320" s="43">
        <v>0.7</v>
      </c>
      <c r="E320" s="56" t="s">
        <v>1490</v>
      </c>
      <c r="F320" s="63" t="e">
        <f>#REF!</f>
        <v>#REF!</v>
      </c>
      <c r="G320" s="63" t="e">
        <f t="shared" si="1"/>
        <v>#REF!</v>
      </c>
      <c r="H320" s="123" t="e">
        <f>SUM(G318+G319+G320)</f>
        <v>#REF!</v>
      </c>
    </row>
    <row r="321" spans="1:8" ht="17.25">
      <c r="A321" s="1"/>
      <c r="B321" s="886" t="s">
        <v>2055</v>
      </c>
      <c r="C321" s="55" t="s">
        <v>1435</v>
      </c>
      <c r="D321" s="45">
        <v>530</v>
      </c>
      <c r="E321" s="55" t="s">
        <v>699</v>
      </c>
      <c r="F321" s="110" t="e">
        <f>#REF!</f>
        <v>#REF!</v>
      </c>
      <c r="G321" s="110" t="e">
        <f t="shared" si="1"/>
        <v>#REF!</v>
      </c>
      <c r="H321" s="110"/>
    </row>
    <row r="322" spans="1:8" ht="17.25">
      <c r="A322" s="1"/>
      <c r="B322" s="890"/>
      <c r="C322" s="53" t="s">
        <v>1436</v>
      </c>
      <c r="D322" s="42">
        <v>0.13</v>
      </c>
      <c r="E322" s="53" t="s">
        <v>700</v>
      </c>
      <c r="F322" s="109" t="e">
        <f>#REF!</f>
        <v>#REF!</v>
      </c>
      <c r="G322" s="109" t="e">
        <f t="shared" si="1"/>
        <v>#REF!</v>
      </c>
      <c r="H322" s="9"/>
    </row>
    <row r="323" spans="1:8" ht="17.25">
      <c r="A323" s="1"/>
      <c r="B323" s="890"/>
      <c r="C323" s="53" t="s">
        <v>697</v>
      </c>
      <c r="D323" s="42">
        <v>0.27</v>
      </c>
      <c r="E323" s="53" t="s">
        <v>2232</v>
      </c>
      <c r="F323" s="109" t="e">
        <f>#REF!</f>
        <v>#REF!</v>
      </c>
      <c r="G323" s="109" t="e">
        <f t="shared" si="1"/>
        <v>#REF!</v>
      </c>
      <c r="H323" s="9"/>
    </row>
    <row r="324" spans="1:8" ht="17.25">
      <c r="A324" s="1"/>
      <c r="B324" s="890"/>
      <c r="C324" s="56" t="s">
        <v>3275</v>
      </c>
      <c r="D324" s="43">
        <v>150</v>
      </c>
      <c r="E324" s="56" t="s">
        <v>3276</v>
      </c>
      <c r="F324" s="63" t="e">
        <f>#REF!</f>
        <v>#REF!</v>
      </c>
      <c r="G324" s="63" t="e">
        <f t="shared" si="1"/>
        <v>#REF!</v>
      </c>
      <c r="H324" s="63" t="e">
        <f>SUM(G321:G324)</f>
        <v>#REF!</v>
      </c>
    </row>
    <row r="325" spans="1:8" ht="17.25">
      <c r="A325" s="1"/>
      <c r="B325" s="62"/>
      <c r="C325" s="64" t="s">
        <v>698</v>
      </c>
      <c r="D325" s="94" t="s">
        <v>3230</v>
      </c>
      <c r="E325" s="95"/>
      <c r="F325" s="95"/>
      <c r="G325" s="120"/>
      <c r="H325" s="63" t="e">
        <f>INT(G320*0.03*100)/100</f>
        <v>#REF!</v>
      </c>
    </row>
    <row r="326" spans="1:8" ht="17.25">
      <c r="A326" s="1"/>
      <c r="B326" s="1"/>
      <c r="C326" s="1"/>
      <c r="D326" s="1"/>
      <c r="E326" s="1"/>
      <c r="F326" s="40" t="s">
        <v>1491</v>
      </c>
      <c r="G326" s="119"/>
      <c r="H326" s="99" t="e">
        <f>SUM(H320:H325)</f>
        <v>#REF!</v>
      </c>
    </row>
    <row r="327" spans="1:8" ht="17.25">
      <c r="A327" s="1"/>
      <c r="B327" s="1" t="s">
        <v>3233</v>
      </c>
      <c r="C327" s="1"/>
      <c r="D327" s="1"/>
      <c r="E327" s="1"/>
      <c r="F327" s="40" t="s">
        <v>1472</v>
      </c>
      <c r="G327" s="117"/>
      <c r="H327" s="99" t="e">
        <f>FLOOR(H326*0.15,0.01)</f>
        <v>#REF!</v>
      </c>
    </row>
    <row r="328" spans="1:8" ht="17.25">
      <c r="A328" s="27" t="s">
        <v>3005</v>
      </c>
      <c r="B328" s="99" t="e">
        <f>+H328</f>
        <v>#REF!</v>
      </c>
      <c r="C328" s="1" t="s">
        <v>3006</v>
      </c>
      <c r="D328" s="1"/>
      <c r="E328" s="1"/>
      <c r="F328" s="40" t="s">
        <v>1494</v>
      </c>
      <c r="G328" s="117"/>
      <c r="H328" s="99" t="e">
        <f>SUM(H326:H327)</f>
        <v>#REF!</v>
      </c>
    </row>
    <row r="329" spans="1:8" ht="15">
      <c r="A329" s="1"/>
      <c r="B329" s="1"/>
      <c r="C329" s="1"/>
      <c r="D329" s="1"/>
      <c r="E329" s="1"/>
      <c r="F329" s="1"/>
      <c r="G329" s="1"/>
      <c r="H329" s="1"/>
    </row>
    <row r="330" spans="1:8" ht="15">
      <c r="A330" s="1"/>
      <c r="B330" s="1"/>
      <c r="C330" s="1"/>
      <c r="D330" s="1"/>
      <c r="E330" s="1"/>
      <c r="F330" s="1"/>
      <c r="G330" s="1"/>
      <c r="H330" s="1"/>
    </row>
    <row r="331" spans="1:8" ht="20.25">
      <c r="A331" s="260">
        <f>+A313+1</f>
        <v>24</v>
      </c>
      <c r="B331" s="878" t="s">
        <v>702</v>
      </c>
      <c r="C331" s="878"/>
      <c r="D331" s="878"/>
      <c r="E331" s="878"/>
      <c r="F331" s="878"/>
      <c r="G331" s="878"/>
      <c r="H331" s="878"/>
    </row>
    <row r="332" spans="1:8" ht="19.5">
      <c r="A332" s="582" t="s">
        <v>3609</v>
      </c>
      <c r="B332" s="878" t="s">
        <v>2215</v>
      </c>
      <c r="C332" s="878"/>
      <c r="D332" s="878"/>
      <c r="E332" s="878"/>
      <c r="F332" s="878"/>
      <c r="G332" s="878"/>
      <c r="H332" s="878"/>
    </row>
    <row r="333" spans="1:8" ht="19.5">
      <c r="A333" s="589"/>
      <c r="B333" s="878" t="s">
        <v>2216</v>
      </c>
      <c r="C333" s="878"/>
      <c r="D333" s="878"/>
      <c r="E333" s="878"/>
      <c r="F333" s="878"/>
      <c r="G333" s="878"/>
      <c r="H333" s="878"/>
    </row>
    <row r="334" spans="1:8" ht="15">
      <c r="A334" s="1"/>
      <c r="B334" s="879" t="s">
        <v>2231</v>
      </c>
      <c r="C334" s="879"/>
      <c r="D334" s="879"/>
      <c r="E334" s="879"/>
      <c r="F334" s="879"/>
      <c r="G334" s="879"/>
      <c r="H334" s="879"/>
    </row>
    <row r="335" spans="1:8" ht="31.5">
      <c r="A335" s="1"/>
      <c r="B335" s="68" t="s">
        <v>2966</v>
      </c>
      <c r="C335" s="68" t="s">
        <v>2967</v>
      </c>
      <c r="D335" s="68" t="s">
        <v>2968</v>
      </c>
      <c r="E335" s="68" t="s">
        <v>2969</v>
      </c>
      <c r="F335" s="68" t="s">
        <v>2970</v>
      </c>
      <c r="G335" s="68" t="s">
        <v>2971</v>
      </c>
      <c r="H335" s="68" t="s">
        <v>1487</v>
      </c>
    </row>
    <row r="336" spans="1:8" ht="17.25">
      <c r="A336" s="1"/>
      <c r="B336" s="886" t="s">
        <v>1488</v>
      </c>
      <c r="C336" s="58" t="s">
        <v>516</v>
      </c>
      <c r="D336" s="41">
        <v>1.5</v>
      </c>
      <c r="E336" s="55" t="s">
        <v>1490</v>
      </c>
      <c r="F336" s="107" t="e">
        <f>#REF!</f>
        <v>#REF!</v>
      </c>
      <c r="G336" s="110" t="e">
        <f t="shared" ref="G336:G342" si="2">FLOOR(D336*F336,0.01)</f>
        <v>#REF!</v>
      </c>
      <c r="H336" s="107"/>
    </row>
    <row r="337" spans="1:8" ht="17.25">
      <c r="A337" s="1"/>
      <c r="B337" s="890"/>
      <c r="C337" s="53" t="s">
        <v>1433</v>
      </c>
      <c r="D337" s="42">
        <v>2.2000000000000002</v>
      </c>
      <c r="E337" s="53" t="s">
        <v>1490</v>
      </c>
      <c r="F337" s="109" t="e">
        <f>#REF!</f>
        <v>#REF!</v>
      </c>
      <c r="G337" s="109" t="e">
        <f t="shared" si="2"/>
        <v>#REF!</v>
      </c>
      <c r="H337" s="9"/>
    </row>
    <row r="338" spans="1:8" ht="17.25">
      <c r="A338" s="1"/>
      <c r="B338" s="887"/>
      <c r="C338" s="56" t="s">
        <v>1434</v>
      </c>
      <c r="D338" s="43">
        <v>0.2</v>
      </c>
      <c r="E338" s="56" t="s">
        <v>1490</v>
      </c>
      <c r="F338" s="63" t="e">
        <f>#REF!</f>
        <v>#REF!</v>
      </c>
      <c r="G338" s="63" t="e">
        <f t="shared" si="2"/>
        <v>#REF!</v>
      </c>
      <c r="H338" s="122" t="e">
        <f>SUM(G336+G337+G338)</f>
        <v>#REF!</v>
      </c>
    </row>
    <row r="339" spans="1:8" ht="17.25">
      <c r="A339" s="1"/>
      <c r="B339" s="74"/>
      <c r="C339" s="55" t="s">
        <v>1435</v>
      </c>
      <c r="D339" s="45">
        <v>530</v>
      </c>
      <c r="E339" s="55" t="s">
        <v>699</v>
      </c>
      <c r="F339" s="110" t="e">
        <f>#REF!</f>
        <v>#REF!</v>
      </c>
      <c r="G339" s="110" t="e">
        <f t="shared" si="2"/>
        <v>#REF!</v>
      </c>
      <c r="H339" s="110"/>
    </row>
    <row r="340" spans="1:8" ht="17.25">
      <c r="A340" s="1"/>
      <c r="B340" s="53" t="s">
        <v>2055</v>
      </c>
      <c r="C340" s="53" t="s">
        <v>1436</v>
      </c>
      <c r="D340" s="42">
        <v>0.1</v>
      </c>
      <c r="E340" s="53" t="s">
        <v>700</v>
      </c>
      <c r="F340" s="109" t="e">
        <f>#REF!</f>
        <v>#REF!</v>
      </c>
      <c r="G340" s="109" t="e">
        <f t="shared" si="2"/>
        <v>#REF!</v>
      </c>
      <c r="H340" s="9"/>
    </row>
    <row r="341" spans="1:8" ht="17.25">
      <c r="A341" s="1"/>
      <c r="B341" s="53"/>
      <c r="C341" s="53" t="s">
        <v>697</v>
      </c>
      <c r="D341" s="42">
        <v>0.27</v>
      </c>
      <c r="E341" s="53" t="s">
        <v>2232</v>
      </c>
      <c r="F341" s="109" t="e">
        <f>#REF!</f>
        <v>#REF!</v>
      </c>
      <c r="G341" s="109" t="e">
        <f t="shared" si="2"/>
        <v>#REF!</v>
      </c>
      <c r="H341" s="9"/>
    </row>
    <row r="342" spans="1:8" ht="17.25">
      <c r="A342" s="1"/>
      <c r="B342" s="73"/>
      <c r="C342" s="56" t="s">
        <v>3275</v>
      </c>
      <c r="D342" s="43">
        <v>120</v>
      </c>
      <c r="E342" s="56" t="s">
        <v>3276</v>
      </c>
      <c r="F342" s="63" t="e">
        <f>#REF!</f>
        <v>#REF!</v>
      </c>
      <c r="G342" s="63" t="e">
        <f t="shared" si="2"/>
        <v>#REF!</v>
      </c>
      <c r="H342" s="63" t="e">
        <f>SUM(G339:G342)</f>
        <v>#REF!</v>
      </c>
    </row>
    <row r="343" spans="1:8" ht="17.25">
      <c r="A343" s="1"/>
      <c r="B343" s="62"/>
      <c r="C343" s="147" t="s">
        <v>698</v>
      </c>
      <c r="D343" s="95" t="s">
        <v>3230</v>
      </c>
      <c r="E343" s="95"/>
      <c r="F343" s="95"/>
      <c r="G343" s="148"/>
      <c r="H343" s="111" t="e">
        <f>INT(G338*0.03*100)/100</f>
        <v>#REF!</v>
      </c>
    </row>
    <row r="344" spans="1:8" ht="17.25">
      <c r="A344" s="1"/>
      <c r="B344" s="1"/>
      <c r="C344" s="1"/>
      <c r="D344" s="1"/>
      <c r="E344" s="1"/>
      <c r="F344" s="40" t="s">
        <v>1491</v>
      </c>
      <c r="G344" s="40"/>
      <c r="H344" s="99" t="e">
        <f>SUM(H338:H343)</f>
        <v>#REF!</v>
      </c>
    </row>
    <row r="345" spans="1:8" ht="17.25">
      <c r="A345" s="1"/>
      <c r="B345" s="1" t="s">
        <v>3233</v>
      </c>
      <c r="C345" s="1"/>
      <c r="D345" s="1"/>
      <c r="E345" s="1"/>
      <c r="F345" s="40" t="s">
        <v>1472</v>
      </c>
      <c r="G345" s="40"/>
      <c r="H345" s="99" t="e">
        <f>FLOOR(H344*0.15,0.01)</f>
        <v>#REF!</v>
      </c>
    </row>
    <row r="346" spans="1:8" ht="17.25">
      <c r="A346" s="27" t="s">
        <v>3005</v>
      </c>
      <c r="B346" s="99" t="e">
        <f>+H346</f>
        <v>#REF!</v>
      </c>
      <c r="C346" s="1" t="s">
        <v>3006</v>
      </c>
      <c r="D346" s="1"/>
      <c r="E346" s="1"/>
      <c r="F346" s="40" t="s">
        <v>1494</v>
      </c>
      <c r="G346" s="40"/>
      <c r="H346" s="99" t="e">
        <f>SUM(H344:H345)</f>
        <v>#REF!</v>
      </c>
    </row>
    <row r="347" spans="1:8" ht="17.25">
      <c r="A347" s="27"/>
      <c r="B347" s="141"/>
      <c r="C347" s="1"/>
      <c r="D347" s="1"/>
      <c r="E347" s="1"/>
      <c r="F347" s="40"/>
      <c r="G347" s="40"/>
      <c r="H347" s="141"/>
    </row>
    <row r="348" spans="1:8" ht="17.25">
      <c r="A348" s="27"/>
      <c r="B348" s="141"/>
      <c r="C348" s="1"/>
      <c r="D348" s="1"/>
      <c r="E348" s="1"/>
      <c r="F348" s="40"/>
      <c r="G348" s="40"/>
      <c r="H348" s="141"/>
    </row>
    <row r="349" spans="1:8" ht="17.25">
      <c r="A349" s="27"/>
      <c r="B349" s="141"/>
      <c r="C349" s="1"/>
      <c r="D349" s="1"/>
      <c r="E349" s="1"/>
      <c r="F349" s="40"/>
      <c r="G349" s="40"/>
      <c r="H349" s="141"/>
    </row>
    <row r="350" spans="1:8" ht="17.25">
      <c r="A350" s="27"/>
      <c r="B350" s="141"/>
      <c r="C350" s="1"/>
      <c r="D350" s="1"/>
      <c r="E350" s="1"/>
      <c r="F350" s="40"/>
      <c r="G350" s="40"/>
      <c r="H350" s="141"/>
    </row>
    <row r="351" spans="1:8" ht="17.25">
      <c r="A351" s="27"/>
      <c r="B351" s="141"/>
      <c r="C351" s="1"/>
      <c r="D351" s="1"/>
      <c r="E351" s="1"/>
      <c r="F351" s="40"/>
      <c r="G351" s="40"/>
      <c r="H351" s="141"/>
    </row>
    <row r="352" spans="1:8" ht="17.25">
      <c r="A352" s="27"/>
      <c r="B352" s="141"/>
      <c r="C352" s="1"/>
      <c r="D352" s="1"/>
      <c r="E352" s="1"/>
      <c r="F352" s="40"/>
      <c r="G352" s="40"/>
      <c r="H352" s="141"/>
    </row>
    <row r="353" spans="1:8" ht="17.25">
      <c r="A353" s="27"/>
      <c r="B353" s="141"/>
      <c r="C353" s="1"/>
      <c r="D353" s="1"/>
      <c r="E353" s="1"/>
      <c r="F353" s="40"/>
      <c r="G353" s="40"/>
      <c r="H353" s="141"/>
    </row>
    <row r="354" spans="1:8" ht="15">
      <c r="A354" s="1"/>
      <c r="B354" s="1"/>
      <c r="C354" s="1"/>
      <c r="D354" s="1"/>
      <c r="E354" s="1"/>
      <c r="F354" s="1"/>
      <c r="G354" s="1"/>
      <c r="H354" s="1"/>
    </row>
    <row r="355" spans="1:8" ht="15">
      <c r="A355" s="1"/>
      <c r="B355" s="1"/>
      <c r="C355" s="1"/>
      <c r="D355" s="1"/>
      <c r="E355" s="1"/>
      <c r="F355" s="1"/>
      <c r="G355" s="1"/>
      <c r="H355" s="1"/>
    </row>
    <row r="356" spans="1:8" ht="20.25">
      <c r="A356" s="260">
        <f>+A331+1</f>
        <v>25</v>
      </c>
      <c r="B356" s="878" t="s">
        <v>1430</v>
      </c>
      <c r="C356" s="878"/>
      <c r="D356" s="878"/>
      <c r="E356" s="878"/>
      <c r="F356" s="878"/>
      <c r="G356" s="878"/>
      <c r="H356" s="878"/>
    </row>
    <row r="357" spans="1:8" ht="19.5">
      <c r="A357" s="582" t="s">
        <v>3609</v>
      </c>
      <c r="B357" s="878" t="s">
        <v>2215</v>
      </c>
      <c r="C357" s="878"/>
      <c r="D357" s="878"/>
      <c r="E357" s="878"/>
      <c r="F357" s="878"/>
      <c r="G357" s="878"/>
      <c r="H357" s="878"/>
    </row>
    <row r="358" spans="1:8" ht="19.5">
      <c r="A358" s="589"/>
      <c r="B358" s="878" t="s">
        <v>2216</v>
      </c>
      <c r="C358" s="878"/>
      <c r="D358" s="878"/>
      <c r="E358" s="878"/>
      <c r="F358" s="878"/>
      <c r="G358" s="878"/>
      <c r="H358" s="878"/>
    </row>
    <row r="359" spans="1:8" ht="15">
      <c r="A359" s="1"/>
      <c r="B359" s="879" t="s">
        <v>2231</v>
      </c>
      <c r="C359" s="879"/>
      <c r="D359" s="879"/>
      <c r="E359" s="879"/>
      <c r="F359" s="879"/>
      <c r="G359" s="879"/>
      <c r="H359" s="879"/>
    </row>
    <row r="360" spans="1:8" ht="31.5">
      <c r="A360" s="1"/>
      <c r="B360" s="68" t="s">
        <v>2966</v>
      </c>
      <c r="C360" s="68" t="s">
        <v>2967</v>
      </c>
      <c r="D360" s="68" t="s">
        <v>2968</v>
      </c>
      <c r="E360" s="68" t="s">
        <v>2969</v>
      </c>
      <c r="F360" s="68" t="s">
        <v>2970</v>
      </c>
      <c r="G360" s="68" t="s">
        <v>2971</v>
      </c>
      <c r="H360" s="68" t="s">
        <v>1487</v>
      </c>
    </row>
    <row r="361" spans="1:8" ht="17.25">
      <c r="A361" s="1"/>
      <c r="B361" s="886" t="s">
        <v>1488</v>
      </c>
      <c r="C361" s="58" t="s">
        <v>516</v>
      </c>
      <c r="D361" s="41">
        <v>1.5</v>
      </c>
      <c r="E361" s="55" t="s">
        <v>1490</v>
      </c>
      <c r="F361" s="107" t="e">
        <f>#REF!</f>
        <v>#REF!</v>
      </c>
      <c r="G361" s="110" t="e">
        <f t="shared" ref="G361:G367" si="3">FLOOR(D361*F361,0.01)</f>
        <v>#REF!</v>
      </c>
      <c r="H361" s="108"/>
    </row>
    <row r="362" spans="1:8" ht="17.25">
      <c r="A362" s="1"/>
      <c r="B362" s="890"/>
      <c r="C362" s="53" t="s">
        <v>1433</v>
      </c>
      <c r="D362" s="42">
        <v>2.2000000000000002</v>
      </c>
      <c r="E362" s="53" t="s">
        <v>1490</v>
      </c>
      <c r="F362" s="109" t="e">
        <f>#REF!</f>
        <v>#REF!</v>
      </c>
      <c r="G362" s="109" t="e">
        <f t="shared" si="3"/>
        <v>#REF!</v>
      </c>
      <c r="H362" s="9"/>
    </row>
    <row r="363" spans="1:8" ht="17.25">
      <c r="A363" s="1"/>
      <c r="B363" s="887"/>
      <c r="C363" s="56" t="s">
        <v>1434</v>
      </c>
      <c r="D363" s="43">
        <v>0.7</v>
      </c>
      <c r="E363" s="56" t="s">
        <v>1490</v>
      </c>
      <c r="F363" s="63" t="e">
        <f>#REF!</f>
        <v>#REF!</v>
      </c>
      <c r="G363" s="63" t="e">
        <f t="shared" si="3"/>
        <v>#REF!</v>
      </c>
      <c r="H363" s="123" t="e">
        <f>SUM(G361+G362+G363)</f>
        <v>#REF!</v>
      </c>
    </row>
    <row r="364" spans="1:8" ht="17.25">
      <c r="A364" s="1"/>
      <c r="B364" s="886" t="s">
        <v>2055</v>
      </c>
      <c r="C364" s="55" t="s">
        <v>1435</v>
      </c>
      <c r="D364" s="45">
        <v>530</v>
      </c>
      <c r="E364" s="55" t="s">
        <v>699</v>
      </c>
      <c r="F364" s="110" t="e">
        <f>#REF!</f>
        <v>#REF!</v>
      </c>
      <c r="G364" s="110" t="e">
        <f t="shared" si="3"/>
        <v>#REF!</v>
      </c>
      <c r="H364" s="110"/>
    </row>
    <row r="365" spans="1:8" ht="17.25">
      <c r="A365" s="1"/>
      <c r="B365" s="890"/>
      <c r="C365" s="53" t="s">
        <v>1436</v>
      </c>
      <c r="D365" s="42">
        <v>0.1</v>
      </c>
      <c r="E365" s="53" t="s">
        <v>700</v>
      </c>
      <c r="F365" s="109" t="e">
        <f>#REF!</f>
        <v>#REF!</v>
      </c>
      <c r="G365" s="109" t="e">
        <f t="shared" si="3"/>
        <v>#REF!</v>
      </c>
      <c r="H365" s="9"/>
    </row>
    <row r="366" spans="1:8" ht="17.25">
      <c r="A366" s="1"/>
      <c r="B366" s="890"/>
      <c r="C366" s="53" t="s">
        <v>697</v>
      </c>
      <c r="D366" s="42">
        <v>0.27</v>
      </c>
      <c r="E366" s="53" t="s">
        <v>2232</v>
      </c>
      <c r="F366" s="109" t="e">
        <f>#REF!</f>
        <v>#REF!</v>
      </c>
      <c r="G366" s="109" t="e">
        <f t="shared" si="3"/>
        <v>#REF!</v>
      </c>
      <c r="H366" s="109"/>
    </row>
    <row r="367" spans="1:8" ht="17.25">
      <c r="A367" s="1"/>
      <c r="B367" s="576"/>
      <c r="C367" s="56" t="s">
        <v>3275</v>
      </c>
      <c r="D367" s="43">
        <v>120</v>
      </c>
      <c r="E367" s="39" t="s">
        <v>3276</v>
      </c>
      <c r="F367" s="63" t="e">
        <f>#REF!</f>
        <v>#REF!</v>
      </c>
      <c r="G367" s="63" t="e">
        <f t="shared" si="3"/>
        <v>#REF!</v>
      </c>
      <c r="H367" s="63" t="e">
        <f>SUM(G364:G367)</f>
        <v>#REF!</v>
      </c>
    </row>
    <row r="368" spans="1:8" ht="17.25">
      <c r="A368" s="1"/>
      <c r="B368" s="62"/>
      <c r="C368" s="64" t="s">
        <v>698</v>
      </c>
      <c r="D368" s="94" t="s">
        <v>3230</v>
      </c>
      <c r="E368" s="95"/>
      <c r="F368" s="95"/>
      <c r="G368" s="148"/>
      <c r="H368" s="63" t="e">
        <f>INT(G363*0.03*100)/100</f>
        <v>#REF!</v>
      </c>
    </row>
    <row r="369" spans="1:8" ht="17.25">
      <c r="A369" s="1"/>
      <c r="B369" s="1"/>
      <c r="C369" s="1"/>
      <c r="D369" s="1"/>
      <c r="E369" s="1"/>
      <c r="F369" s="40" t="s">
        <v>1491</v>
      </c>
      <c r="G369" s="40"/>
      <c r="H369" s="99" t="e">
        <f>SUM(H363:H368)</f>
        <v>#REF!</v>
      </c>
    </row>
    <row r="370" spans="1:8" ht="17.25">
      <c r="A370" s="1"/>
      <c r="B370" s="1" t="s">
        <v>3233</v>
      </c>
      <c r="C370" s="1"/>
      <c r="D370" s="1"/>
      <c r="E370" s="1"/>
      <c r="F370" s="40" t="s">
        <v>1472</v>
      </c>
      <c r="G370" s="40"/>
      <c r="H370" s="99" t="e">
        <f>FLOOR(H369*0.15,0.01)</f>
        <v>#REF!</v>
      </c>
    </row>
    <row r="371" spans="1:8" ht="17.25">
      <c r="A371" s="27" t="s">
        <v>3005</v>
      </c>
      <c r="B371" s="99" t="e">
        <f>+H371</f>
        <v>#REF!</v>
      </c>
      <c r="C371" s="1" t="s">
        <v>3006</v>
      </c>
      <c r="D371" s="1"/>
      <c r="E371" s="1"/>
      <c r="F371" s="40" t="s">
        <v>1494</v>
      </c>
      <c r="G371" s="40"/>
      <c r="H371" s="99" t="e">
        <f>SUM(H369:H370)</f>
        <v>#REF!</v>
      </c>
    </row>
    <row r="372" spans="1:8" ht="15">
      <c r="A372" s="1"/>
      <c r="B372" s="1"/>
      <c r="C372" s="1"/>
      <c r="D372" s="1"/>
      <c r="E372" s="1"/>
      <c r="F372" s="1"/>
      <c r="G372" s="1"/>
      <c r="H372" s="1"/>
    </row>
    <row r="373" spans="1:8" ht="20.25">
      <c r="A373" s="260">
        <f>A356+1</f>
        <v>26</v>
      </c>
      <c r="B373" s="878" t="s">
        <v>702</v>
      </c>
      <c r="C373" s="878"/>
      <c r="D373" s="878"/>
      <c r="E373" s="878"/>
      <c r="F373" s="878"/>
      <c r="G373" s="878"/>
      <c r="H373" s="878"/>
    </row>
    <row r="374" spans="1:8" ht="19.5">
      <c r="A374" s="582" t="s">
        <v>3609</v>
      </c>
      <c r="B374" s="877" t="s">
        <v>2603</v>
      </c>
      <c r="C374" s="878"/>
      <c r="D374" s="878"/>
      <c r="E374" s="878"/>
      <c r="F374" s="878"/>
      <c r="G374" s="878"/>
      <c r="H374" s="878"/>
    </row>
    <row r="375" spans="1:8" ht="19.5">
      <c r="A375" s="589"/>
      <c r="B375" s="878" t="s">
        <v>2216</v>
      </c>
      <c r="C375" s="878"/>
      <c r="D375" s="878"/>
      <c r="E375" s="878"/>
      <c r="F375" s="878"/>
      <c r="G375" s="878"/>
      <c r="H375" s="878"/>
    </row>
    <row r="376" spans="1:8" ht="15">
      <c r="A376" s="1"/>
      <c r="B376" s="879" t="s">
        <v>2231</v>
      </c>
      <c r="C376" s="879"/>
      <c r="D376" s="879"/>
      <c r="E376" s="879"/>
      <c r="F376" s="879"/>
      <c r="G376" s="879"/>
      <c r="H376" s="879"/>
    </row>
    <row r="377" spans="1:8" ht="31.5">
      <c r="A377" s="1"/>
      <c r="B377" s="68" t="s">
        <v>2966</v>
      </c>
      <c r="C377" s="68" t="s">
        <v>2967</v>
      </c>
      <c r="D377" s="68" t="s">
        <v>2968</v>
      </c>
      <c r="E377" s="68" t="s">
        <v>2969</v>
      </c>
      <c r="F377" s="68" t="s">
        <v>2970</v>
      </c>
      <c r="G377" s="68" t="s">
        <v>2971</v>
      </c>
      <c r="H377" s="68" t="s">
        <v>1487</v>
      </c>
    </row>
    <row r="378" spans="1:8" ht="17.25">
      <c r="A378" s="1"/>
      <c r="B378" s="886" t="s">
        <v>1488</v>
      </c>
      <c r="C378" s="58" t="s">
        <v>516</v>
      </c>
      <c r="D378" s="41">
        <v>1.5</v>
      </c>
      <c r="E378" s="55" t="s">
        <v>1490</v>
      </c>
      <c r="F378" s="107" t="e">
        <f>#REF!</f>
        <v>#REF!</v>
      </c>
      <c r="G378" s="110" t="e">
        <f t="shared" ref="G378:G384" si="4">FLOOR(D378*F378,0.01)</f>
        <v>#REF!</v>
      </c>
      <c r="H378" s="108"/>
    </row>
    <row r="379" spans="1:8" ht="17.25">
      <c r="A379" s="1"/>
      <c r="B379" s="890"/>
      <c r="C379" s="53" t="s">
        <v>1433</v>
      </c>
      <c r="D379" s="42">
        <v>2.2000000000000002</v>
      </c>
      <c r="E379" s="53" t="s">
        <v>1490</v>
      </c>
      <c r="F379" s="109" t="e">
        <f>#REF!</f>
        <v>#REF!</v>
      </c>
      <c r="G379" s="109" t="e">
        <f t="shared" si="4"/>
        <v>#REF!</v>
      </c>
      <c r="H379" s="9"/>
    </row>
    <row r="380" spans="1:8" ht="17.25">
      <c r="A380" s="1"/>
      <c r="B380" s="887"/>
      <c r="C380" s="56" t="s">
        <v>1434</v>
      </c>
      <c r="D380" s="43">
        <v>0.2</v>
      </c>
      <c r="E380" s="56" t="s">
        <v>1490</v>
      </c>
      <c r="F380" s="63" t="e">
        <f>#REF!</f>
        <v>#REF!</v>
      </c>
      <c r="G380" s="63" t="e">
        <f t="shared" si="4"/>
        <v>#REF!</v>
      </c>
      <c r="H380" s="123" t="e">
        <f>SUM(G378+G379+G380)</f>
        <v>#REF!</v>
      </c>
    </row>
    <row r="381" spans="1:8" ht="17.25">
      <c r="A381" s="1"/>
      <c r="B381" s="886" t="s">
        <v>2055</v>
      </c>
      <c r="C381" s="55" t="s">
        <v>1435</v>
      </c>
      <c r="D381" s="45">
        <v>530</v>
      </c>
      <c r="E381" s="55" t="s">
        <v>699</v>
      </c>
      <c r="F381" s="110" t="e">
        <f>#REF!</f>
        <v>#REF!</v>
      </c>
      <c r="G381" s="110" t="e">
        <f t="shared" si="4"/>
        <v>#REF!</v>
      </c>
      <c r="H381" s="108"/>
    </row>
    <row r="382" spans="1:8" ht="17.25">
      <c r="A382" s="1"/>
      <c r="B382" s="890"/>
      <c r="C382" s="53" t="s">
        <v>1436</v>
      </c>
      <c r="D382" s="42">
        <v>7.0000000000000007E-2</v>
      </c>
      <c r="E382" s="53" t="s">
        <v>700</v>
      </c>
      <c r="F382" s="109" t="e">
        <f>#REF!</f>
        <v>#REF!</v>
      </c>
      <c r="G382" s="109" t="e">
        <f t="shared" si="4"/>
        <v>#REF!</v>
      </c>
      <c r="H382" s="9"/>
    </row>
    <row r="383" spans="1:8" ht="17.25">
      <c r="A383" s="1"/>
      <c r="B383" s="890"/>
      <c r="C383" s="53" t="s">
        <v>697</v>
      </c>
      <c r="D383" s="42">
        <v>0.3</v>
      </c>
      <c r="E383" s="53" t="s">
        <v>2232</v>
      </c>
      <c r="F383" s="109" t="e">
        <f>#REF!</f>
        <v>#REF!</v>
      </c>
      <c r="G383" s="109" t="e">
        <f t="shared" si="4"/>
        <v>#REF!</v>
      </c>
      <c r="H383" s="9"/>
    </row>
    <row r="384" spans="1:8" ht="17.25">
      <c r="A384" s="1"/>
      <c r="B384" s="890"/>
      <c r="C384" s="56" t="s">
        <v>3275</v>
      </c>
      <c r="D384" s="43">
        <v>100</v>
      </c>
      <c r="E384" s="56" t="s">
        <v>3276</v>
      </c>
      <c r="F384" s="63" t="e">
        <f>#REF!</f>
        <v>#REF!</v>
      </c>
      <c r="G384" s="63" t="e">
        <f t="shared" si="4"/>
        <v>#REF!</v>
      </c>
      <c r="H384" s="63" t="e">
        <f>SUM(G381:G384)</f>
        <v>#REF!</v>
      </c>
    </row>
    <row r="385" spans="1:8" ht="17.25">
      <c r="A385" s="1"/>
      <c r="B385" s="62"/>
      <c r="C385" s="64" t="s">
        <v>698</v>
      </c>
      <c r="D385" s="94" t="s">
        <v>3230</v>
      </c>
      <c r="E385" s="95"/>
      <c r="F385" s="95"/>
      <c r="G385" s="149"/>
      <c r="H385" s="123" t="e">
        <f>INT(G380*0.03*100)/100</f>
        <v>#REF!</v>
      </c>
    </row>
    <row r="386" spans="1:8" ht="17.25">
      <c r="A386" s="1"/>
      <c r="B386" s="1"/>
      <c r="C386" s="1"/>
      <c r="D386" s="1"/>
      <c r="E386" s="1"/>
      <c r="F386" s="40" t="s">
        <v>1491</v>
      </c>
      <c r="G386" s="103"/>
      <c r="H386" s="99" t="e">
        <f>SUM(H380:H385)</f>
        <v>#REF!</v>
      </c>
    </row>
    <row r="387" spans="1:8" ht="17.25">
      <c r="A387" s="1"/>
      <c r="B387" s="1" t="s">
        <v>3233</v>
      </c>
      <c r="C387" s="1"/>
      <c r="D387" s="1"/>
      <c r="E387" s="1"/>
      <c r="F387" s="40" t="s">
        <v>1472</v>
      </c>
      <c r="G387" s="103"/>
      <c r="H387" s="99" t="e">
        <f>FLOOR(H386*0.15,0.01)</f>
        <v>#REF!</v>
      </c>
    </row>
    <row r="388" spans="1:8" ht="17.25">
      <c r="A388" s="27" t="s">
        <v>3005</v>
      </c>
      <c r="B388" s="99" t="e">
        <f>+H388</f>
        <v>#REF!</v>
      </c>
      <c r="C388" s="1" t="s">
        <v>3006</v>
      </c>
      <c r="D388" s="1"/>
      <c r="E388" s="1"/>
      <c r="F388" s="40" t="s">
        <v>1494</v>
      </c>
      <c r="G388" s="103"/>
      <c r="H388" s="99" t="e">
        <f>SUM(H386:H387)</f>
        <v>#REF!</v>
      </c>
    </row>
    <row r="389" spans="1:8" ht="17.25">
      <c r="A389" s="27"/>
      <c r="B389" s="141"/>
      <c r="C389" s="1"/>
      <c r="D389" s="1"/>
      <c r="E389" s="1"/>
      <c r="F389" s="40"/>
      <c r="G389" s="103"/>
      <c r="H389" s="141"/>
    </row>
    <row r="390" spans="1:8" ht="17.25">
      <c r="A390" s="27"/>
      <c r="B390" s="141"/>
      <c r="C390" s="1"/>
      <c r="D390" s="1"/>
      <c r="E390" s="1"/>
      <c r="F390" s="40"/>
      <c r="G390" s="103"/>
      <c r="H390" s="141"/>
    </row>
    <row r="391" spans="1:8" ht="17.25">
      <c r="A391" s="27"/>
      <c r="B391" s="141"/>
      <c r="C391" s="1"/>
      <c r="D391" s="1"/>
      <c r="E391" s="1"/>
      <c r="F391" s="40"/>
      <c r="G391" s="103"/>
      <c r="H391" s="141"/>
    </row>
    <row r="392" spans="1:8" ht="17.25">
      <c r="A392" s="27"/>
      <c r="B392" s="141"/>
      <c r="C392" s="1"/>
      <c r="D392" s="1"/>
      <c r="E392" s="1"/>
      <c r="F392" s="40"/>
      <c r="G392" s="103"/>
      <c r="H392" s="141"/>
    </row>
    <row r="393" spans="1:8" ht="17.25">
      <c r="A393" s="27"/>
      <c r="B393" s="141"/>
      <c r="C393" s="1"/>
      <c r="D393" s="1"/>
      <c r="E393" s="1"/>
      <c r="F393" s="40"/>
      <c r="G393" s="103"/>
      <c r="H393" s="141"/>
    </row>
    <row r="394" spans="1:8" ht="17.25">
      <c r="A394" s="27"/>
      <c r="B394" s="141"/>
      <c r="C394" s="1"/>
      <c r="D394" s="1"/>
      <c r="E394" s="1"/>
      <c r="F394" s="40"/>
      <c r="G394" s="103"/>
      <c r="H394" s="141"/>
    </row>
    <row r="395" spans="1:8" ht="17.25">
      <c r="A395" s="27"/>
      <c r="B395" s="141"/>
      <c r="C395" s="1"/>
      <c r="D395" s="1"/>
      <c r="E395" s="1"/>
      <c r="F395" s="40"/>
      <c r="G395" s="103"/>
      <c r="H395" s="141"/>
    </row>
    <row r="396" spans="1:8" ht="16.5">
      <c r="A396" s="1"/>
      <c r="B396" s="1"/>
      <c r="C396" s="1"/>
      <c r="D396" s="1"/>
      <c r="E396" s="1"/>
      <c r="F396" s="1"/>
      <c r="G396" s="1"/>
      <c r="H396" s="19"/>
    </row>
    <row r="397" spans="1:8" ht="16.5">
      <c r="A397" s="1"/>
      <c r="B397" s="1"/>
      <c r="C397" s="1"/>
      <c r="D397" s="1"/>
      <c r="E397" s="1"/>
      <c r="F397" s="1"/>
      <c r="G397" s="1"/>
      <c r="H397" s="19"/>
    </row>
    <row r="398" spans="1:8" ht="20.25">
      <c r="A398" s="260">
        <f>+A373+1</f>
        <v>27</v>
      </c>
      <c r="B398" s="878" t="s">
        <v>2223</v>
      </c>
      <c r="C398" s="878"/>
      <c r="D398" s="878"/>
      <c r="E398" s="878"/>
      <c r="F398" s="878"/>
      <c r="G398" s="878"/>
      <c r="H398" s="878"/>
    </row>
    <row r="399" spans="1:8" ht="19.5">
      <c r="A399" s="582" t="s">
        <v>3609</v>
      </c>
      <c r="B399" s="878" t="s">
        <v>2603</v>
      </c>
      <c r="C399" s="878"/>
      <c r="D399" s="878"/>
      <c r="E399" s="878"/>
      <c r="F399" s="878"/>
      <c r="G399" s="878"/>
      <c r="H399" s="878"/>
    </row>
    <row r="400" spans="1:8" ht="19.5">
      <c r="A400" s="589"/>
      <c r="B400" s="878" t="s">
        <v>2216</v>
      </c>
      <c r="C400" s="878"/>
      <c r="D400" s="878"/>
      <c r="E400" s="878"/>
      <c r="F400" s="878"/>
      <c r="G400" s="878"/>
      <c r="H400" s="878"/>
    </row>
    <row r="401" spans="1:8" ht="15">
      <c r="A401" s="1"/>
      <c r="B401" s="879" t="s">
        <v>2231</v>
      </c>
      <c r="C401" s="879"/>
      <c r="D401" s="879"/>
      <c r="E401" s="879"/>
      <c r="F401" s="879"/>
      <c r="G401" s="879"/>
      <c r="H401" s="879"/>
    </row>
    <row r="402" spans="1:8" ht="31.5">
      <c r="A402" s="1"/>
      <c r="B402" s="68" t="s">
        <v>2966</v>
      </c>
      <c r="C402" s="68" t="s">
        <v>2967</v>
      </c>
      <c r="D402" s="68" t="s">
        <v>2968</v>
      </c>
      <c r="E402" s="68" t="s">
        <v>2969</v>
      </c>
      <c r="F402" s="68" t="s">
        <v>2970</v>
      </c>
      <c r="G402" s="68" t="s">
        <v>2971</v>
      </c>
      <c r="H402" s="68" t="s">
        <v>1487</v>
      </c>
    </row>
    <row r="403" spans="1:8" ht="17.25">
      <c r="A403" s="1"/>
      <c r="B403" s="886" t="s">
        <v>1488</v>
      </c>
      <c r="C403" s="58" t="s">
        <v>516</v>
      </c>
      <c r="D403" s="41">
        <v>1.5</v>
      </c>
      <c r="E403" s="55" t="s">
        <v>1490</v>
      </c>
      <c r="F403" s="107" t="e">
        <f>#REF!</f>
        <v>#REF!</v>
      </c>
      <c r="G403" s="110" t="e">
        <f t="shared" ref="G403:G409" si="5">FLOOR(D403*F403,0.01)</f>
        <v>#REF!</v>
      </c>
      <c r="H403" s="108"/>
    </row>
    <row r="404" spans="1:8" ht="17.25">
      <c r="A404" s="1"/>
      <c r="B404" s="890"/>
      <c r="C404" s="53" t="s">
        <v>1433</v>
      </c>
      <c r="D404" s="42">
        <v>2.2000000000000002</v>
      </c>
      <c r="E404" s="53" t="s">
        <v>1490</v>
      </c>
      <c r="F404" s="109" t="e">
        <f>#REF!</f>
        <v>#REF!</v>
      </c>
      <c r="G404" s="109" t="e">
        <f t="shared" si="5"/>
        <v>#REF!</v>
      </c>
      <c r="H404" s="9"/>
    </row>
    <row r="405" spans="1:8" ht="17.25">
      <c r="A405" s="1"/>
      <c r="B405" s="887"/>
      <c r="C405" s="56" t="s">
        <v>1434</v>
      </c>
      <c r="D405" s="43">
        <v>0.7</v>
      </c>
      <c r="E405" s="56" t="s">
        <v>1490</v>
      </c>
      <c r="F405" s="63" t="e">
        <f>#REF!</f>
        <v>#REF!</v>
      </c>
      <c r="G405" s="63" t="e">
        <f t="shared" si="5"/>
        <v>#REF!</v>
      </c>
      <c r="H405" s="123" t="e">
        <f>SUM(G403+G404+G405)</f>
        <v>#REF!</v>
      </c>
    </row>
    <row r="406" spans="1:8" ht="17.25">
      <c r="A406" s="1"/>
      <c r="B406" s="886" t="s">
        <v>2055</v>
      </c>
      <c r="C406" s="55" t="s">
        <v>1435</v>
      </c>
      <c r="D406" s="45">
        <v>530</v>
      </c>
      <c r="E406" s="55" t="s">
        <v>699</v>
      </c>
      <c r="F406" s="110" t="e">
        <f>#REF!</f>
        <v>#REF!</v>
      </c>
      <c r="G406" s="110" t="e">
        <f t="shared" si="5"/>
        <v>#REF!</v>
      </c>
      <c r="H406" s="108"/>
    </row>
    <row r="407" spans="1:8" ht="17.25">
      <c r="A407" s="1"/>
      <c r="B407" s="890"/>
      <c r="C407" s="53" t="s">
        <v>1436</v>
      </c>
      <c r="D407" s="42">
        <v>7.0000000000000007E-2</v>
      </c>
      <c r="E407" s="53" t="s">
        <v>700</v>
      </c>
      <c r="F407" s="109" t="e">
        <f>#REF!</f>
        <v>#REF!</v>
      </c>
      <c r="G407" s="109" t="e">
        <f t="shared" si="5"/>
        <v>#REF!</v>
      </c>
      <c r="H407" s="9"/>
    </row>
    <row r="408" spans="1:8" ht="17.25">
      <c r="A408" s="1"/>
      <c r="B408" s="890"/>
      <c r="C408" s="53" t="s">
        <v>697</v>
      </c>
      <c r="D408" s="42">
        <v>0.3</v>
      </c>
      <c r="E408" s="53" t="s">
        <v>2232</v>
      </c>
      <c r="F408" s="109" t="e">
        <f>#REF!</f>
        <v>#REF!</v>
      </c>
      <c r="G408" s="109" t="e">
        <f t="shared" si="5"/>
        <v>#REF!</v>
      </c>
      <c r="H408" s="9"/>
    </row>
    <row r="409" spans="1:8" ht="17.25">
      <c r="A409" s="1"/>
      <c r="B409" s="890"/>
      <c r="C409" s="56" t="s">
        <v>3275</v>
      </c>
      <c r="D409" s="43">
        <v>100</v>
      </c>
      <c r="E409" s="56" t="s">
        <v>3276</v>
      </c>
      <c r="F409" s="63" t="e">
        <f>#REF!</f>
        <v>#REF!</v>
      </c>
      <c r="G409" s="63" t="e">
        <f t="shared" si="5"/>
        <v>#REF!</v>
      </c>
      <c r="H409" s="123" t="e">
        <f>SUM(G406:G409)</f>
        <v>#REF!</v>
      </c>
    </row>
    <row r="410" spans="1:8" ht="17.25">
      <c r="A410" s="1"/>
      <c r="B410" s="10"/>
      <c r="C410" s="5" t="s">
        <v>698</v>
      </c>
      <c r="D410" s="94" t="s">
        <v>3230</v>
      </c>
      <c r="E410" s="95"/>
      <c r="F410" s="95"/>
      <c r="G410" s="149"/>
      <c r="H410" s="123" t="e">
        <f>INT(G405*0.03*100)/100</f>
        <v>#REF!</v>
      </c>
    </row>
    <row r="411" spans="1:8" ht="17.25">
      <c r="A411" s="1"/>
      <c r="B411" s="1"/>
      <c r="C411" s="1"/>
      <c r="D411" s="1"/>
      <c r="E411" s="1"/>
      <c r="F411" s="40" t="s">
        <v>1491</v>
      </c>
      <c r="G411" s="103"/>
      <c r="H411" s="99" t="e">
        <f>SUM(H405:H410)</f>
        <v>#REF!</v>
      </c>
    </row>
    <row r="412" spans="1:8" ht="17.25">
      <c r="A412" s="1"/>
      <c r="B412" s="1" t="s">
        <v>3233</v>
      </c>
      <c r="C412" s="1"/>
      <c r="D412" s="1"/>
      <c r="E412" s="1"/>
      <c r="F412" s="40" t="s">
        <v>1472</v>
      </c>
      <c r="G412" s="103"/>
      <c r="H412" s="99" t="e">
        <f>FLOOR(H411*0.15,0.01)</f>
        <v>#REF!</v>
      </c>
    </row>
    <row r="413" spans="1:8" ht="17.25">
      <c r="A413" s="27" t="s">
        <v>3005</v>
      </c>
      <c r="B413" s="99" t="e">
        <f>+H413</f>
        <v>#REF!</v>
      </c>
      <c r="C413" s="1" t="s">
        <v>3006</v>
      </c>
      <c r="D413" s="1"/>
      <c r="E413" s="1"/>
      <c r="F413" s="40" t="s">
        <v>1494</v>
      </c>
      <c r="G413" s="103"/>
      <c r="H413" s="99" t="e">
        <f>SUM(H411:H412)</f>
        <v>#REF!</v>
      </c>
    </row>
    <row r="414" spans="1:8" ht="17.25">
      <c r="A414" s="27"/>
      <c r="B414" s="141"/>
      <c r="C414" s="1"/>
      <c r="D414" s="1"/>
      <c r="E414" s="1"/>
      <c r="F414" s="40"/>
      <c r="G414" s="103"/>
      <c r="H414" s="141"/>
    </row>
    <row r="415" spans="1:8" ht="20.25">
      <c r="A415" s="260">
        <f>+A398+1</f>
        <v>28</v>
      </c>
      <c r="B415" s="878" t="s">
        <v>2651</v>
      </c>
      <c r="C415" s="878"/>
      <c r="D415" s="878"/>
      <c r="E415" s="878"/>
      <c r="F415" s="878"/>
      <c r="G415" s="878"/>
      <c r="H415" s="878"/>
    </row>
    <row r="416" spans="1:8" ht="19.5">
      <c r="A416" s="582" t="s">
        <v>3613</v>
      </c>
      <c r="B416" s="878" t="s">
        <v>2652</v>
      </c>
      <c r="C416" s="878"/>
      <c r="D416" s="878"/>
      <c r="E416" s="878"/>
      <c r="F416" s="878"/>
      <c r="G416" s="878"/>
      <c r="H416" s="878"/>
    </row>
    <row r="417" spans="1:8" ht="19.5">
      <c r="A417" s="22" t="s">
        <v>1432</v>
      </c>
      <c r="B417" s="878" t="s">
        <v>2216</v>
      </c>
      <c r="C417" s="878"/>
      <c r="D417" s="878"/>
      <c r="E417" s="878"/>
      <c r="F417" s="878"/>
      <c r="G417" s="878"/>
      <c r="H417" s="878"/>
    </row>
    <row r="418" spans="1:8" ht="15">
      <c r="A418" s="1"/>
      <c r="B418" s="879" t="s">
        <v>2231</v>
      </c>
      <c r="C418" s="879"/>
      <c r="D418" s="879"/>
      <c r="E418" s="879"/>
      <c r="F418" s="879"/>
      <c r="G418" s="879"/>
      <c r="H418" s="879"/>
    </row>
    <row r="419" spans="1:8" ht="31.5">
      <c r="A419" s="1"/>
      <c r="B419" s="68" t="s">
        <v>2966</v>
      </c>
      <c r="C419" s="68" t="s">
        <v>2967</v>
      </c>
      <c r="D419" s="68" t="s">
        <v>2968</v>
      </c>
      <c r="E419" s="68" t="s">
        <v>2969</v>
      </c>
      <c r="F419" s="68" t="s">
        <v>2970</v>
      </c>
      <c r="G419" s="68" t="s">
        <v>2971</v>
      </c>
      <c r="H419" s="68" t="s">
        <v>1487</v>
      </c>
    </row>
    <row r="420" spans="1:8" ht="17.25">
      <c r="A420" s="1"/>
      <c r="B420" s="886" t="s">
        <v>1488</v>
      </c>
      <c r="C420" s="58" t="s">
        <v>516</v>
      </c>
      <c r="D420" s="41">
        <v>1.5</v>
      </c>
      <c r="E420" s="55" t="s">
        <v>1490</v>
      </c>
      <c r="F420" s="107" t="e">
        <f>#REF!</f>
        <v>#REF!</v>
      </c>
      <c r="G420" s="110" t="e">
        <f t="shared" ref="G420:G426" si="6">FLOOR(D420*F420,0.01)</f>
        <v>#REF!</v>
      </c>
      <c r="H420" s="108"/>
    </row>
    <row r="421" spans="1:8" ht="17.25">
      <c r="A421" s="1"/>
      <c r="B421" s="890"/>
      <c r="C421" s="53" t="s">
        <v>1433</v>
      </c>
      <c r="D421" s="42">
        <v>2.2000000000000002</v>
      </c>
      <c r="E421" s="53" t="s">
        <v>1490</v>
      </c>
      <c r="F421" s="109" t="e">
        <f>#REF!</f>
        <v>#REF!</v>
      </c>
      <c r="G421" s="109" t="e">
        <f t="shared" si="6"/>
        <v>#REF!</v>
      </c>
      <c r="H421" s="9"/>
    </row>
    <row r="422" spans="1:8" ht="17.25">
      <c r="A422" s="1"/>
      <c r="B422" s="887"/>
      <c r="C422" s="56" t="s">
        <v>1434</v>
      </c>
      <c r="D422" s="43">
        <v>0.2</v>
      </c>
      <c r="E422" s="56" t="s">
        <v>1490</v>
      </c>
      <c r="F422" s="63" t="e">
        <f>#REF!</f>
        <v>#REF!</v>
      </c>
      <c r="G422" s="63" t="e">
        <f t="shared" si="6"/>
        <v>#REF!</v>
      </c>
      <c r="H422" s="123" t="e">
        <f>SUM(G420+G421+G422)</f>
        <v>#REF!</v>
      </c>
    </row>
    <row r="423" spans="1:8" ht="17.25">
      <c r="A423" s="1"/>
      <c r="B423" s="74"/>
      <c r="C423" s="55" t="s">
        <v>1435</v>
      </c>
      <c r="D423" s="45">
        <v>560</v>
      </c>
      <c r="E423" s="55" t="s">
        <v>699</v>
      </c>
      <c r="F423" s="110" t="e">
        <f>#REF!</f>
        <v>#REF!</v>
      </c>
      <c r="G423" s="110" t="e">
        <f t="shared" si="6"/>
        <v>#REF!</v>
      </c>
      <c r="H423" s="108"/>
    </row>
    <row r="424" spans="1:8" ht="17.25">
      <c r="A424" s="1"/>
      <c r="B424" s="73" t="s">
        <v>2055</v>
      </c>
      <c r="C424" s="53" t="s">
        <v>1436</v>
      </c>
      <c r="D424" s="42">
        <v>0.13</v>
      </c>
      <c r="E424" s="53" t="s">
        <v>700</v>
      </c>
      <c r="F424" s="109" t="e">
        <f>#REF!</f>
        <v>#REF!</v>
      </c>
      <c r="G424" s="109" t="e">
        <f t="shared" si="6"/>
        <v>#REF!</v>
      </c>
      <c r="H424" s="9"/>
    </row>
    <row r="425" spans="1:8" ht="17.25">
      <c r="A425" s="1"/>
      <c r="B425" s="73"/>
      <c r="C425" s="53" t="s">
        <v>697</v>
      </c>
      <c r="D425" s="42">
        <v>0.27</v>
      </c>
      <c r="E425" s="53" t="s">
        <v>2232</v>
      </c>
      <c r="F425" s="109" t="e">
        <f>#REF!</f>
        <v>#REF!</v>
      </c>
      <c r="G425" s="109" t="e">
        <f t="shared" si="6"/>
        <v>#REF!</v>
      </c>
      <c r="H425" s="9"/>
    </row>
    <row r="426" spans="1:8" ht="17.25">
      <c r="A426" s="1"/>
      <c r="B426" s="73"/>
      <c r="C426" s="56" t="s">
        <v>3275</v>
      </c>
      <c r="D426" s="43">
        <v>150</v>
      </c>
      <c r="E426" s="56" t="s">
        <v>3276</v>
      </c>
      <c r="F426" s="63" t="e">
        <f>#REF!</f>
        <v>#REF!</v>
      </c>
      <c r="G426" s="63" t="e">
        <f t="shared" si="6"/>
        <v>#REF!</v>
      </c>
      <c r="H426" s="123" t="e">
        <f>SUM(G423:G426)</f>
        <v>#REF!</v>
      </c>
    </row>
    <row r="427" spans="1:8" ht="17.25">
      <c r="A427" s="1"/>
      <c r="B427" s="62"/>
      <c r="C427" s="64" t="s">
        <v>698</v>
      </c>
      <c r="D427" s="900" t="s">
        <v>3230</v>
      </c>
      <c r="E427" s="901"/>
      <c r="F427" s="16"/>
      <c r="G427" s="149"/>
      <c r="H427" s="123" t="e">
        <f>INT(G422*0.03*100)/100</f>
        <v>#REF!</v>
      </c>
    </row>
    <row r="428" spans="1:8" ht="17.25">
      <c r="A428" s="1"/>
      <c r="B428" s="1"/>
      <c r="C428" s="1"/>
      <c r="D428" s="1"/>
      <c r="E428" s="1"/>
      <c r="F428" s="40" t="s">
        <v>1491</v>
      </c>
      <c r="G428" s="103"/>
      <c r="H428" s="99" t="e">
        <f>SUM(H422:H427)</f>
        <v>#REF!</v>
      </c>
    </row>
    <row r="429" spans="1:8" ht="17.25">
      <c r="A429" s="1"/>
      <c r="B429" s="1" t="s">
        <v>3233</v>
      </c>
      <c r="C429" s="1"/>
      <c r="D429" s="1"/>
      <c r="E429" s="1"/>
      <c r="F429" s="40" t="s">
        <v>1472</v>
      </c>
      <c r="G429" s="103"/>
      <c r="H429" s="99" t="e">
        <f>FLOOR(H428*0.15,0.01)</f>
        <v>#REF!</v>
      </c>
    </row>
    <row r="430" spans="1:8" ht="17.25">
      <c r="A430" s="27" t="s">
        <v>3005</v>
      </c>
      <c r="B430" s="99" t="e">
        <f>+H430</f>
        <v>#REF!</v>
      </c>
      <c r="C430" s="1" t="s">
        <v>3006</v>
      </c>
      <c r="D430" s="1"/>
      <c r="E430" s="1"/>
      <c r="F430" s="40" t="s">
        <v>1494</v>
      </c>
      <c r="G430" s="103"/>
      <c r="H430" s="99" t="e">
        <f>SUM(H428:H429)</f>
        <v>#REF!</v>
      </c>
    </row>
    <row r="431" spans="1:8" ht="17.25">
      <c r="A431" s="27"/>
      <c r="B431" s="141"/>
      <c r="C431" s="1"/>
      <c r="D431" s="1"/>
      <c r="E431" s="1"/>
      <c r="F431" s="40"/>
      <c r="G431" s="103"/>
      <c r="H431" s="141"/>
    </row>
    <row r="432" spans="1:8" ht="17.25">
      <c r="A432" s="27"/>
      <c r="B432" s="141"/>
      <c r="C432" s="1"/>
      <c r="D432" s="1"/>
      <c r="E432" s="1"/>
      <c r="F432" s="40"/>
      <c r="G432" s="103"/>
      <c r="H432" s="141"/>
    </row>
    <row r="433" spans="1:8" ht="17.25">
      <c r="A433" s="27"/>
      <c r="B433" s="141"/>
      <c r="C433" s="1"/>
      <c r="D433" s="1"/>
      <c r="E433" s="1"/>
      <c r="F433" s="40"/>
      <c r="G433" s="103"/>
      <c r="H433" s="141"/>
    </row>
    <row r="434" spans="1:8" ht="17.25">
      <c r="A434" s="27"/>
      <c r="B434" s="141"/>
      <c r="C434" s="1"/>
      <c r="D434" s="1"/>
      <c r="E434" s="1"/>
      <c r="F434" s="40"/>
      <c r="G434" s="103"/>
      <c r="H434" s="141"/>
    </row>
    <row r="435" spans="1:8" ht="17.25">
      <c r="A435" s="27"/>
      <c r="B435" s="141"/>
      <c r="C435" s="1"/>
      <c r="D435" s="1"/>
      <c r="E435" s="1"/>
      <c r="F435" s="40"/>
      <c r="G435" s="103"/>
      <c r="H435" s="141"/>
    </row>
    <row r="436" spans="1:8" ht="17.25">
      <c r="A436" s="27"/>
      <c r="B436" s="141"/>
      <c r="C436" s="1"/>
      <c r="D436" s="1"/>
      <c r="E436" s="1"/>
      <c r="F436" s="40"/>
      <c r="G436" s="103"/>
      <c r="H436" s="141"/>
    </row>
    <row r="437" spans="1:8" ht="15">
      <c r="A437" s="1"/>
      <c r="B437" s="1"/>
      <c r="C437" s="1"/>
      <c r="D437" s="1"/>
      <c r="E437" s="1"/>
      <c r="F437" s="1"/>
      <c r="G437" s="1"/>
      <c r="H437" s="1"/>
    </row>
    <row r="438" spans="1:8" ht="20.25">
      <c r="A438" s="260">
        <f>+A415+1</f>
        <v>29</v>
      </c>
      <c r="B438" s="878" t="s">
        <v>1848</v>
      </c>
      <c r="C438" s="878"/>
      <c r="D438" s="878"/>
      <c r="E438" s="878"/>
      <c r="F438" s="878"/>
      <c r="G438" s="878"/>
      <c r="H438" s="878"/>
    </row>
    <row r="439" spans="1:8" ht="19.5">
      <c r="A439" s="582" t="s">
        <v>3613</v>
      </c>
      <c r="B439" s="878" t="s">
        <v>2652</v>
      </c>
      <c r="C439" s="878"/>
      <c r="D439" s="878"/>
      <c r="E439" s="878"/>
      <c r="F439" s="878"/>
      <c r="G439" s="878"/>
      <c r="H439" s="878"/>
    </row>
    <row r="440" spans="1:8" ht="19.5">
      <c r="A440" s="22" t="s">
        <v>1431</v>
      </c>
      <c r="B440" s="878" t="s">
        <v>2216</v>
      </c>
      <c r="C440" s="878"/>
      <c r="D440" s="878"/>
      <c r="E440" s="878"/>
      <c r="F440" s="878"/>
      <c r="G440" s="878"/>
      <c r="H440" s="878"/>
    </row>
    <row r="441" spans="1:8" ht="15">
      <c r="A441" s="1"/>
      <c r="B441" s="879" t="s">
        <v>2231</v>
      </c>
      <c r="C441" s="879"/>
      <c r="D441" s="879"/>
      <c r="E441" s="879"/>
      <c r="F441" s="879"/>
      <c r="G441" s="879"/>
      <c r="H441" s="879"/>
    </row>
    <row r="442" spans="1:8" ht="31.5">
      <c r="A442" s="1"/>
      <c r="B442" s="68" t="s">
        <v>2966</v>
      </c>
      <c r="C442" s="68" t="s">
        <v>2967</v>
      </c>
      <c r="D442" s="68" t="s">
        <v>2968</v>
      </c>
      <c r="E442" s="68" t="s">
        <v>2969</v>
      </c>
      <c r="F442" s="68" t="s">
        <v>2970</v>
      </c>
      <c r="G442" s="68" t="s">
        <v>2971</v>
      </c>
      <c r="H442" s="68" t="s">
        <v>1487</v>
      </c>
    </row>
    <row r="443" spans="1:8" ht="17.25">
      <c r="A443" s="1"/>
      <c r="B443" s="886" t="s">
        <v>1488</v>
      </c>
      <c r="C443" s="58" t="s">
        <v>516</v>
      </c>
      <c r="D443" s="41">
        <v>1.5</v>
      </c>
      <c r="E443" s="55" t="s">
        <v>1490</v>
      </c>
      <c r="F443" s="107" t="e">
        <f>#REF!</f>
        <v>#REF!</v>
      </c>
      <c r="G443" s="110" t="e">
        <f t="shared" ref="G443:G449" si="7">FLOOR(D443*F443,0.01)</f>
        <v>#REF!</v>
      </c>
      <c r="H443" s="108"/>
    </row>
    <row r="444" spans="1:8" ht="17.25">
      <c r="A444" s="1"/>
      <c r="B444" s="890"/>
      <c r="C444" s="53" t="s">
        <v>1433</v>
      </c>
      <c r="D444" s="42">
        <v>2.2000000000000002</v>
      </c>
      <c r="E444" s="53" t="s">
        <v>1490</v>
      </c>
      <c r="F444" s="109" t="e">
        <f>#REF!</f>
        <v>#REF!</v>
      </c>
      <c r="G444" s="109" t="e">
        <f t="shared" si="7"/>
        <v>#REF!</v>
      </c>
      <c r="H444" s="9"/>
    </row>
    <row r="445" spans="1:8" ht="17.25">
      <c r="A445" s="1"/>
      <c r="B445" s="887"/>
      <c r="C445" s="56" t="s">
        <v>1434</v>
      </c>
      <c r="D445" s="43">
        <v>0.7</v>
      </c>
      <c r="E445" s="56" t="s">
        <v>1490</v>
      </c>
      <c r="F445" s="63" t="e">
        <f>#REF!</f>
        <v>#REF!</v>
      </c>
      <c r="G445" s="63" t="e">
        <f t="shared" si="7"/>
        <v>#REF!</v>
      </c>
      <c r="H445" s="121" t="e">
        <f>SUM(G443+G444+G445)</f>
        <v>#REF!</v>
      </c>
    </row>
    <row r="446" spans="1:8" ht="17.25">
      <c r="A446" s="1"/>
      <c r="B446" s="74"/>
      <c r="C446" s="55" t="s">
        <v>1435</v>
      </c>
      <c r="D446" s="45">
        <v>560</v>
      </c>
      <c r="E446" s="55" t="s">
        <v>699</v>
      </c>
      <c r="F446" s="110" t="e">
        <f>#REF!</f>
        <v>#REF!</v>
      </c>
      <c r="G446" s="110" t="e">
        <f t="shared" si="7"/>
        <v>#REF!</v>
      </c>
      <c r="H446" s="108"/>
    </row>
    <row r="447" spans="1:8" ht="17.25">
      <c r="A447" s="1"/>
      <c r="B447" s="53" t="s">
        <v>2055</v>
      </c>
      <c r="C447" s="53" t="s">
        <v>1436</v>
      </c>
      <c r="D447" s="42">
        <v>0.13</v>
      </c>
      <c r="E447" s="53" t="s">
        <v>700</v>
      </c>
      <c r="F447" s="109" t="e">
        <f>#REF!</f>
        <v>#REF!</v>
      </c>
      <c r="G447" s="109" t="e">
        <f t="shared" si="7"/>
        <v>#REF!</v>
      </c>
      <c r="H447" s="9"/>
    </row>
    <row r="448" spans="1:8" ht="17.25">
      <c r="A448" s="1"/>
      <c r="B448" s="53"/>
      <c r="C448" s="53" t="s">
        <v>697</v>
      </c>
      <c r="D448" s="42">
        <v>0.27</v>
      </c>
      <c r="E448" s="53" t="s">
        <v>2232</v>
      </c>
      <c r="F448" s="109" t="e">
        <f>#REF!</f>
        <v>#REF!</v>
      </c>
      <c r="G448" s="109" t="e">
        <f t="shared" si="7"/>
        <v>#REF!</v>
      </c>
      <c r="H448" s="9"/>
    </row>
    <row r="449" spans="1:8" ht="17.25">
      <c r="A449" s="1"/>
      <c r="B449" s="73"/>
      <c r="C449" s="56" t="s">
        <v>3275</v>
      </c>
      <c r="D449" s="43">
        <v>150</v>
      </c>
      <c r="E449" s="56" t="s">
        <v>3276</v>
      </c>
      <c r="F449" s="63" t="e">
        <f>#REF!</f>
        <v>#REF!</v>
      </c>
      <c r="G449" s="63" t="e">
        <f t="shared" si="7"/>
        <v>#REF!</v>
      </c>
      <c r="H449" s="123" t="e">
        <f>SUM(G446:G449)</f>
        <v>#REF!</v>
      </c>
    </row>
    <row r="450" spans="1:8" ht="17.25">
      <c r="A450" s="1"/>
      <c r="B450" s="62"/>
      <c r="C450" s="64" t="s">
        <v>698</v>
      </c>
      <c r="D450" s="900" t="s">
        <v>3230</v>
      </c>
      <c r="E450" s="901"/>
      <c r="F450" s="16"/>
      <c r="G450" s="149"/>
      <c r="H450" s="123" t="e">
        <f>INT(G445*0.03*100)/100</f>
        <v>#REF!</v>
      </c>
    </row>
    <row r="451" spans="1:8" ht="17.25">
      <c r="A451" s="1"/>
      <c r="B451" s="1"/>
      <c r="C451" s="1"/>
      <c r="D451" s="1"/>
      <c r="E451" s="40"/>
      <c r="F451" s="40" t="s">
        <v>1491</v>
      </c>
      <c r="G451" s="103"/>
      <c r="H451" s="99" t="e">
        <f>SUM(H445:H450)</f>
        <v>#REF!</v>
      </c>
    </row>
    <row r="452" spans="1:8" ht="17.25">
      <c r="A452" s="1"/>
      <c r="B452" s="1" t="s">
        <v>3233</v>
      </c>
      <c r="C452" s="1"/>
      <c r="D452" s="1"/>
      <c r="E452" s="40"/>
      <c r="F452" s="40" t="s">
        <v>1472</v>
      </c>
      <c r="G452" s="103"/>
      <c r="H452" s="99" t="e">
        <f>FLOOR(H451*0.15,0.01)</f>
        <v>#REF!</v>
      </c>
    </row>
    <row r="453" spans="1:8" ht="17.25">
      <c r="A453" s="27" t="s">
        <v>3005</v>
      </c>
      <c r="B453" s="99" t="e">
        <f>+H453</f>
        <v>#REF!</v>
      </c>
      <c r="C453" s="1" t="s">
        <v>3006</v>
      </c>
      <c r="D453" s="1"/>
      <c r="E453" s="40"/>
      <c r="F453" s="40" t="s">
        <v>1494</v>
      </c>
      <c r="G453" s="103"/>
      <c r="H453" s="99" t="e">
        <f>SUM(H451:H452)</f>
        <v>#REF!</v>
      </c>
    </row>
    <row r="454" spans="1:8" ht="15.75">
      <c r="A454" s="1"/>
      <c r="B454" s="1"/>
      <c r="C454" s="1"/>
      <c r="D454" s="1"/>
      <c r="E454" s="40"/>
      <c r="F454" s="40"/>
      <c r="G454" s="40"/>
      <c r="H454" s="1"/>
    </row>
    <row r="455" spans="1:8" ht="20.25">
      <c r="A455" s="260">
        <f>+A438+1</f>
        <v>30</v>
      </c>
      <c r="B455" s="878" t="s">
        <v>2651</v>
      </c>
      <c r="C455" s="878"/>
      <c r="D455" s="878"/>
      <c r="E455" s="878"/>
      <c r="F455" s="878"/>
      <c r="G455" s="878"/>
      <c r="H455" s="878"/>
    </row>
    <row r="456" spans="1:8" ht="19.5">
      <c r="A456" s="582" t="s">
        <v>3613</v>
      </c>
      <c r="B456" s="878" t="s">
        <v>2215</v>
      </c>
      <c r="C456" s="878"/>
      <c r="D456" s="878"/>
      <c r="E456" s="878"/>
      <c r="F456" s="878"/>
      <c r="G456" s="878"/>
      <c r="H456" s="878"/>
    </row>
    <row r="457" spans="1:8" ht="19.5">
      <c r="A457" s="22" t="s">
        <v>1432</v>
      </c>
      <c r="B457" s="878" t="s">
        <v>2216</v>
      </c>
      <c r="C457" s="878"/>
      <c r="D457" s="878"/>
      <c r="E457" s="878"/>
      <c r="F457" s="878"/>
      <c r="G457" s="878"/>
      <c r="H457" s="878"/>
    </row>
    <row r="458" spans="1:8" ht="15">
      <c r="A458" s="1"/>
      <c r="B458" s="879" t="s">
        <v>2231</v>
      </c>
      <c r="C458" s="879"/>
      <c r="D458" s="879"/>
      <c r="E458" s="879"/>
      <c r="F458" s="879"/>
      <c r="G458" s="879"/>
      <c r="H458" s="879"/>
    </row>
    <row r="459" spans="1:8" ht="31.5">
      <c r="A459" s="1"/>
      <c r="B459" s="68" t="s">
        <v>2966</v>
      </c>
      <c r="C459" s="68" t="s">
        <v>2967</v>
      </c>
      <c r="D459" s="68" t="s">
        <v>2968</v>
      </c>
      <c r="E459" s="68" t="s">
        <v>2969</v>
      </c>
      <c r="F459" s="68" t="s">
        <v>2970</v>
      </c>
      <c r="G459" s="68" t="s">
        <v>2971</v>
      </c>
      <c r="H459" s="68" t="s">
        <v>1487</v>
      </c>
    </row>
    <row r="460" spans="1:8" ht="17.25">
      <c r="A460" s="1"/>
      <c r="B460" s="886" t="s">
        <v>1488</v>
      </c>
      <c r="C460" s="58" t="s">
        <v>516</v>
      </c>
      <c r="D460" s="41">
        <v>1.5</v>
      </c>
      <c r="E460" s="55" t="s">
        <v>1490</v>
      </c>
      <c r="F460" s="107" t="e">
        <f>#REF!</f>
        <v>#REF!</v>
      </c>
      <c r="G460" s="110" t="e">
        <f t="shared" ref="G460:G466" si="8">FLOOR(D460*F460,0.01)</f>
        <v>#REF!</v>
      </c>
      <c r="H460" s="108"/>
    </row>
    <row r="461" spans="1:8" ht="17.25">
      <c r="A461" s="1"/>
      <c r="B461" s="890"/>
      <c r="C461" s="53" t="s">
        <v>1433</v>
      </c>
      <c r="D461" s="42">
        <v>2.2000000000000002</v>
      </c>
      <c r="E461" s="53" t="s">
        <v>1490</v>
      </c>
      <c r="F461" s="109" t="e">
        <f>#REF!</f>
        <v>#REF!</v>
      </c>
      <c r="G461" s="109" t="e">
        <f t="shared" si="8"/>
        <v>#REF!</v>
      </c>
      <c r="H461" s="9"/>
    </row>
    <row r="462" spans="1:8" ht="17.25">
      <c r="A462" s="1"/>
      <c r="B462" s="887"/>
      <c r="C462" s="56" t="s">
        <v>1434</v>
      </c>
      <c r="D462" s="43">
        <v>0.2</v>
      </c>
      <c r="E462" s="56" t="s">
        <v>1490</v>
      </c>
      <c r="F462" s="63" t="e">
        <f>#REF!</f>
        <v>#REF!</v>
      </c>
      <c r="G462" s="63" t="e">
        <f t="shared" si="8"/>
        <v>#REF!</v>
      </c>
      <c r="H462" s="121" t="e">
        <f>SUM(G460+G461+G462)</f>
        <v>#REF!</v>
      </c>
    </row>
    <row r="463" spans="1:8" ht="17.25">
      <c r="A463" s="1"/>
      <c r="B463" s="74"/>
      <c r="C463" s="55" t="s">
        <v>1435</v>
      </c>
      <c r="D463" s="45">
        <v>560</v>
      </c>
      <c r="E463" s="55" t="s">
        <v>699</v>
      </c>
      <c r="F463" s="110" t="e">
        <f>#REF!</f>
        <v>#REF!</v>
      </c>
      <c r="G463" s="110" t="e">
        <f t="shared" si="8"/>
        <v>#REF!</v>
      </c>
      <c r="H463" s="108"/>
    </row>
    <row r="464" spans="1:8" ht="17.25">
      <c r="A464" s="1"/>
      <c r="B464" s="53" t="s">
        <v>2055</v>
      </c>
      <c r="C464" s="53" t="s">
        <v>1436</v>
      </c>
      <c r="D464" s="42">
        <v>0.1</v>
      </c>
      <c r="E464" s="53" t="s">
        <v>700</v>
      </c>
      <c r="F464" s="109" t="e">
        <f>#REF!</f>
        <v>#REF!</v>
      </c>
      <c r="G464" s="109" t="e">
        <f t="shared" si="8"/>
        <v>#REF!</v>
      </c>
      <c r="H464" s="9"/>
    </row>
    <row r="465" spans="1:8" ht="17.25">
      <c r="A465" s="1"/>
      <c r="B465" s="53"/>
      <c r="C465" s="53" t="s">
        <v>697</v>
      </c>
      <c r="D465" s="42">
        <v>0.28000000000000003</v>
      </c>
      <c r="E465" s="53" t="s">
        <v>2232</v>
      </c>
      <c r="F465" s="109" t="e">
        <f>#REF!</f>
        <v>#REF!</v>
      </c>
      <c r="G465" s="109" t="e">
        <f t="shared" si="8"/>
        <v>#REF!</v>
      </c>
      <c r="H465" s="9"/>
    </row>
    <row r="466" spans="1:8" ht="17.25">
      <c r="A466" s="1"/>
      <c r="B466" s="73"/>
      <c r="C466" s="56" t="s">
        <v>3275</v>
      </c>
      <c r="D466" s="43">
        <v>130</v>
      </c>
      <c r="E466" s="56" t="s">
        <v>3276</v>
      </c>
      <c r="F466" s="63" t="e">
        <f>#REF!</f>
        <v>#REF!</v>
      </c>
      <c r="G466" s="63" t="e">
        <f t="shared" si="8"/>
        <v>#REF!</v>
      </c>
      <c r="H466" s="123" t="e">
        <f>SUM(G463:G466)</f>
        <v>#REF!</v>
      </c>
    </row>
    <row r="467" spans="1:8" ht="17.25">
      <c r="A467" s="1"/>
      <c r="B467" s="62"/>
      <c r="C467" s="64" t="s">
        <v>698</v>
      </c>
      <c r="D467" s="900" t="s">
        <v>3230</v>
      </c>
      <c r="E467" s="901"/>
      <c r="F467" s="16"/>
      <c r="G467" s="149"/>
      <c r="H467" s="123" t="e">
        <f>INT(G462*0.03*100)/100</f>
        <v>#REF!</v>
      </c>
    </row>
    <row r="468" spans="1:8" ht="17.25">
      <c r="A468" s="1"/>
      <c r="B468" s="1"/>
      <c r="C468" s="1"/>
      <c r="D468" s="1"/>
      <c r="E468" s="1"/>
      <c r="F468" s="40" t="s">
        <v>1491</v>
      </c>
      <c r="G468" s="103"/>
      <c r="H468" s="99" t="e">
        <f>SUM(H462:H467)</f>
        <v>#REF!</v>
      </c>
    </row>
    <row r="469" spans="1:8" ht="17.25">
      <c r="A469" s="1"/>
      <c r="B469" s="1" t="s">
        <v>3233</v>
      </c>
      <c r="C469" s="1"/>
      <c r="D469" s="1"/>
      <c r="E469" s="1"/>
      <c r="F469" s="40" t="s">
        <v>1472</v>
      </c>
      <c r="G469" s="103"/>
      <c r="H469" s="99" t="e">
        <f>FLOOR(H468*0.15,0.01)</f>
        <v>#REF!</v>
      </c>
    </row>
    <row r="470" spans="1:8" ht="17.25">
      <c r="A470" s="27" t="s">
        <v>3005</v>
      </c>
      <c r="B470" s="99" t="e">
        <f>+H470</f>
        <v>#REF!</v>
      </c>
      <c r="C470" s="1" t="s">
        <v>3006</v>
      </c>
      <c r="D470" s="1"/>
      <c r="E470" s="1"/>
      <c r="F470" s="40" t="s">
        <v>1494</v>
      </c>
      <c r="G470" s="103"/>
      <c r="H470" s="99" t="e">
        <f>SUM(H468:H469)</f>
        <v>#REF!</v>
      </c>
    </row>
    <row r="471" spans="1:8" ht="17.25">
      <c r="A471" s="27"/>
      <c r="B471" s="141"/>
      <c r="C471" s="1"/>
      <c r="D471" s="1"/>
      <c r="E471" s="1"/>
      <c r="F471" s="40"/>
      <c r="G471" s="103"/>
      <c r="H471" s="141"/>
    </row>
    <row r="472" spans="1:8" ht="17.25">
      <c r="A472" s="27"/>
      <c r="B472" s="141"/>
      <c r="C472" s="1"/>
      <c r="D472" s="1"/>
      <c r="E472" s="1"/>
      <c r="F472" s="40"/>
      <c r="G472" s="103"/>
      <c r="H472" s="141"/>
    </row>
    <row r="473" spans="1:8" ht="17.25">
      <c r="A473" s="27"/>
      <c r="B473" s="141"/>
      <c r="C473" s="1"/>
      <c r="D473" s="1"/>
      <c r="E473" s="1"/>
      <c r="F473" s="40"/>
      <c r="G473" s="103"/>
      <c r="H473" s="141"/>
    </row>
    <row r="474" spans="1:8" ht="17.25">
      <c r="A474" s="27"/>
      <c r="B474" s="141"/>
      <c r="C474" s="1"/>
      <c r="D474" s="1"/>
      <c r="E474" s="1"/>
      <c r="F474" s="40"/>
      <c r="G474" s="103"/>
      <c r="H474" s="141"/>
    </row>
    <row r="475" spans="1:8" ht="17.25">
      <c r="A475" s="27"/>
      <c r="B475" s="141"/>
      <c r="C475" s="1"/>
      <c r="D475" s="1"/>
      <c r="E475" s="1"/>
      <c r="F475" s="40"/>
      <c r="G475" s="103"/>
      <c r="H475" s="141"/>
    </row>
    <row r="476" spans="1:8" ht="17.25">
      <c r="A476" s="27"/>
      <c r="B476" s="141"/>
      <c r="C476" s="1"/>
      <c r="D476" s="1"/>
      <c r="E476" s="1"/>
      <c r="F476" s="40"/>
      <c r="G476" s="103"/>
      <c r="H476" s="141"/>
    </row>
    <row r="477" spans="1:8" ht="16.5">
      <c r="A477" s="1"/>
      <c r="B477" s="1"/>
      <c r="C477" s="1"/>
      <c r="D477" s="1"/>
      <c r="E477" s="1"/>
      <c r="F477" s="1"/>
      <c r="G477" s="1"/>
      <c r="H477" s="19"/>
    </row>
    <row r="478" spans="1:8" ht="15">
      <c r="A478" s="1"/>
      <c r="B478" s="1"/>
      <c r="C478" s="1"/>
      <c r="D478" s="1"/>
      <c r="E478" s="1"/>
      <c r="F478" s="1"/>
      <c r="G478" s="1"/>
      <c r="H478" s="1"/>
    </row>
    <row r="479" spans="1:8" ht="20.25">
      <c r="A479" s="260">
        <f>+A455+1</f>
        <v>31</v>
      </c>
      <c r="B479" s="878" t="s">
        <v>1848</v>
      </c>
      <c r="C479" s="878"/>
      <c r="D479" s="878"/>
      <c r="E479" s="878"/>
      <c r="F479" s="878"/>
      <c r="G479" s="878"/>
      <c r="H479" s="878"/>
    </row>
    <row r="480" spans="1:8" ht="19.5">
      <c r="A480" s="582" t="s">
        <v>3613</v>
      </c>
      <c r="B480" s="877" t="s">
        <v>2215</v>
      </c>
      <c r="C480" s="878"/>
      <c r="D480" s="878"/>
      <c r="E480" s="878"/>
      <c r="F480" s="878"/>
      <c r="G480" s="878"/>
      <c r="H480" s="878"/>
    </row>
    <row r="481" spans="1:8" ht="19.5">
      <c r="A481" s="22" t="s">
        <v>1431</v>
      </c>
      <c r="B481" s="877" t="s">
        <v>2216</v>
      </c>
      <c r="C481" s="878"/>
      <c r="D481" s="878"/>
      <c r="E481" s="878"/>
      <c r="F481" s="878"/>
      <c r="G481" s="878"/>
      <c r="H481" s="878"/>
    </row>
    <row r="482" spans="1:8" ht="15">
      <c r="A482" s="1"/>
      <c r="B482" s="885" t="s">
        <v>2231</v>
      </c>
      <c r="C482" s="885"/>
      <c r="D482" s="885"/>
      <c r="E482" s="885"/>
      <c r="F482" s="885"/>
      <c r="G482" s="885"/>
      <c r="H482" s="885"/>
    </row>
    <row r="483" spans="1:8" ht="31.5">
      <c r="A483" s="1"/>
      <c r="B483" s="68" t="s">
        <v>2966</v>
      </c>
      <c r="C483" s="68" t="s">
        <v>2967</v>
      </c>
      <c r="D483" s="68" t="s">
        <v>2968</v>
      </c>
      <c r="E483" s="68" t="s">
        <v>2969</v>
      </c>
      <c r="F483" s="68" t="s">
        <v>2970</v>
      </c>
      <c r="G483" s="68" t="s">
        <v>2971</v>
      </c>
      <c r="H483" s="68" t="s">
        <v>1487</v>
      </c>
    </row>
    <row r="484" spans="1:8" ht="17.25">
      <c r="A484" s="1"/>
      <c r="B484" s="886" t="s">
        <v>1488</v>
      </c>
      <c r="C484" s="58" t="s">
        <v>516</v>
      </c>
      <c r="D484" s="41">
        <v>1.5</v>
      </c>
      <c r="E484" s="55" t="s">
        <v>1490</v>
      </c>
      <c r="F484" s="107" t="e">
        <f>#REF!</f>
        <v>#REF!</v>
      </c>
      <c r="G484" s="110" t="e">
        <f t="shared" ref="G484:G490" si="9">FLOOR(D484*F484,0.01)</f>
        <v>#REF!</v>
      </c>
      <c r="H484" s="108"/>
    </row>
    <row r="485" spans="1:8" ht="17.25">
      <c r="A485" s="1"/>
      <c r="B485" s="890"/>
      <c r="C485" s="53" t="s">
        <v>1433</v>
      </c>
      <c r="D485" s="42">
        <v>2.2000000000000002</v>
      </c>
      <c r="E485" s="53" t="s">
        <v>1490</v>
      </c>
      <c r="F485" s="109" t="e">
        <f>#REF!</f>
        <v>#REF!</v>
      </c>
      <c r="G485" s="109" t="e">
        <f t="shared" si="9"/>
        <v>#REF!</v>
      </c>
      <c r="H485" s="9"/>
    </row>
    <row r="486" spans="1:8" ht="17.25">
      <c r="A486" s="1"/>
      <c r="B486" s="887"/>
      <c r="C486" s="56" t="s">
        <v>1434</v>
      </c>
      <c r="D486" s="43">
        <v>0.7</v>
      </c>
      <c r="E486" s="56" t="s">
        <v>1490</v>
      </c>
      <c r="F486" s="63" t="e">
        <f>#REF!</f>
        <v>#REF!</v>
      </c>
      <c r="G486" s="63" t="e">
        <f t="shared" si="9"/>
        <v>#REF!</v>
      </c>
      <c r="H486" s="123" t="e">
        <f>SUM(G484+G485+G486)</f>
        <v>#REF!</v>
      </c>
    </row>
    <row r="487" spans="1:8" ht="17.25">
      <c r="A487" s="1"/>
      <c r="B487" s="55"/>
      <c r="C487" s="55" t="s">
        <v>1435</v>
      </c>
      <c r="D487" s="45">
        <v>560</v>
      </c>
      <c r="E487" s="55" t="s">
        <v>699</v>
      </c>
      <c r="F487" s="110" t="e">
        <f>#REF!</f>
        <v>#REF!</v>
      </c>
      <c r="G487" s="110" t="e">
        <f t="shared" si="9"/>
        <v>#REF!</v>
      </c>
      <c r="H487" s="108"/>
    </row>
    <row r="488" spans="1:8" ht="17.25">
      <c r="A488" s="1"/>
      <c r="B488" s="53" t="s">
        <v>2055</v>
      </c>
      <c r="C488" s="53" t="s">
        <v>1436</v>
      </c>
      <c r="D488" s="42">
        <v>0.1</v>
      </c>
      <c r="E488" s="53" t="s">
        <v>700</v>
      </c>
      <c r="F488" s="109" t="e">
        <f>#REF!</f>
        <v>#REF!</v>
      </c>
      <c r="G488" s="109" t="e">
        <f t="shared" si="9"/>
        <v>#REF!</v>
      </c>
      <c r="H488" s="9"/>
    </row>
    <row r="489" spans="1:8" ht="17.25">
      <c r="A489" s="1"/>
      <c r="B489" s="53"/>
      <c r="C489" s="53" t="s">
        <v>697</v>
      </c>
      <c r="D489" s="42">
        <v>0.28000000000000003</v>
      </c>
      <c r="E489" s="53" t="s">
        <v>2232</v>
      </c>
      <c r="F489" s="109" t="e">
        <f>#REF!</f>
        <v>#REF!</v>
      </c>
      <c r="G489" s="109" t="e">
        <f t="shared" si="9"/>
        <v>#REF!</v>
      </c>
      <c r="H489" s="9"/>
    </row>
    <row r="490" spans="1:8" ht="17.25">
      <c r="A490" s="1"/>
      <c r="B490" s="53"/>
      <c r="C490" s="56" t="s">
        <v>3275</v>
      </c>
      <c r="D490" s="43">
        <v>130</v>
      </c>
      <c r="E490" s="56" t="s">
        <v>3276</v>
      </c>
      <c r="F490" s="63" t="e">
        <f>#REF!</f>
        <v>#REF!</v>
      </c>
      <c r="G490" s="63" t="e">
        <f t="shared" si="9"/>
        <v>#REF!</v>
      </c>
      <c r="H490" s="123" t="e">
        <f>SUM(G487:G490)</f>
        <v>#REF!</v>
      </c>
    </row>
    <row r="491" spans="1:8" ht="17.25">
      <c r="A491" s="1"/>
      <c r="B491" s="62"/>
      <c r="C491" s="64" t="s">
        <v>698</v>
      </c>
      <c r="D491" s="900" t="s">
        <v>3230</v>
      </c>
      <c r="E491" s="901"/>
      <c r="F491" s="16"/>
      <c r="G491" s="149"/>
      <c r="H491" s="123" t="e">
        <f>INT(G486*0.03*100)/100</f>
        <v>#REF!</v>
      </c>
    </row>
    <row r="492" spans="1:8" ht="17.25">
      <c r="A492" s="1"/>
      <c r="B492" s="1"/>
      <c r="C492" s="1"/>
      <c r="D492" s="1"/>
      <c r="E492" s="1"/>
      <c r="F492" s="40" t="s">
        <v>1491</v>
      </c>
      <c r="G492" s="103"/>
      <c r="H492" s="99" t="e">
        <f>SUM(H486:H491)</f>
        <v>#REF!</v>
      </c>
    </row>
    <row r="493" spans="1:8" ht="17.25">
      <c r="A493" s="1"/>
      <c r="B493" s="1" t="s">
        <v>3233</v>
      </c>
      <c r="C493" s="1"/>
      <c r="D493" s="1"/>
      <c r="E493" s="1"/>
      <c r="F493" s="40" t="s">
        <v>1472</v>
      </c>
      <c r="G493" s="103"/>
      <c r="H493" s="99" t="e">
        <f>FLOOR(H492*0.15,0.01)</f>
        <v>#REF!</v>
      </c>
    </row>
    <row r="494" spans="1:8" ht="17.25">
      <c r="A494" s="27" t="s">
        <v>3005</v>
      </c>
      <c r="B494" s="99" t="e">
        <f>+H494</f>
        <v>#REF!</v>
      </c>
      <c r="C494" s="1" t="s">
        <v>3006</v>
      </c>
      <c r="D494" s="1"/>
      <c r="E494" s="1"/>
      <c r="F494" s="40" t="s">
        <v>1494</v>
      </c>
      <c r="G494" s="103"/>
      <c r="H494" s="99" t="e">
        <f>SUM(H492:H493)</f>
        <v>#REF!</v>
      </c>
    </row>
    <row r="495" spans="1:8" ht="15">
      <c r="A495" s="1"/>
      <c r="B495" s="1"/>
      <c r="C495" s="1"/>
      <c r="D495" s="1"/>
      <c r="E495" s="1"/>
      <c r="F495" s="1"/>
      <c r="G495" s="1"/>
      <c r="H495" s="1"/>
    </row>
    <row r="496" spans="1:8" ht="20.25">
      <c r="A496" s="260">
        <f>+A479+1</f>
        <v>32</v>
      </c>
      <c r="B496" s="878" t="s">
        <v>2651</v>
      </c>
      <c r="C496" s="878"/>
      <c r="D496" s="878"/>
      <c r="E496" s="878"/>
      <c r="F496" s="878"/>
      <c r="G496" s="878"/>
      <c r="H496" s="878"/>
    </row>
    <row r="497" spans="1:8" ht="19.5">
      <c r="A497" s="582" t="s">
        <v>3613</v>
      </c>
      <c r="B497" s="877" t="s">
        <v>2603</v>
      </c>
      <c r="C497" s="878"/>
      <c r="D497" s="878"/>
      <c r="E497" s="878"/>
      <c r="F497" s="878"/>
      <c r="G497" s="878"/>
      <c r="H497" s="878"/>
    </row>
    <row r="498" spans="1:8" ht="19.5">
      <c r="A498" s="22" t="s">
        <v>1432</v>
      </c>
      <c r="B498" s="877" t="s">
        <v>2216</v>
      </c>
      <c r="C498" s="878"/>
      <c r="D498" s="878"/>
      <c r="E498" s="878"/>
      <c r="F498" s="878"/>
      <c r="G498" s="878"/>
      <c r="H498" s="878"/>
    </row>
    <row r="499" spans="1:8" ht="15">
      <c r="A499" s="1"/>
      <c r="B499" s="885" t="s">
        <v>2231</v>
      </c>
      <c r="C499" s="885"/>
      <c r="D499" s="885"/>
      <c r="E499" s="885"/>
      <c r="F499" s="885"/>
      <c r="G499" s="885"/>
      <c r="H499" s="885"/>
    </row>
    <row r="500" spans="1:8" ht="31.5">
      <c r="A500" s="1"/>
      <c r="B500" s="68" t="s">
        <v>2966</v>
      </c>
      <c r="C500" s="68" t="s">
        <v>2967</v>
      </c>
      <c r="D500" s="68" t="s">
        <v>2968</v>
      </c>
      <c r="E500" s="68" t="s">
        <v>2969</v>
      </c>
      <c r="F500" s="68" t="s">
        <v>2970</v>
      </c>
      <c r="G500" s="68" t="s">
        <v>2971</v>
      </c>
      <c r="H500" s="68" t="s">
        <v>1487</v>
      </c>
    </row>
    <row r="501" spans="1:8" ht="17.25">
      <c r="A501" s="1"/>
      <c r="B501" s="886" t="s">
        <v>1488</v>
      </c>
      <c r="C501" s="58" t="s">
        <v>516</v>
      </c>
      <c r="D501" s="41">
        <v>1.5</v>
      </c>
      <c r="E501" s="55" t="s">
        <v>1490</v>
      </c>
      <c r="F501" s="107" t="e">
        <f>#REF!</f>
        <v>#REF!</v>
      </c>
      <c r="G501" s="110" t="e">
        <f t="shared" ref="G501:G507" si="10">FLOOR(D501*F501,0.01)</f>
        <v>#REF!</v>
      </c>
      <c r="H501" s="108"/>
    </row>
    <row r="502" spans="1:8" ht="17.25">
      <c r="A502" s="1"/>
      <c r="B502" s="890"/>
      <c r="C502" s="53" t="s">
        <v>1433</v>
      </c>
      <c r="D502" s="42">
        <v>2.2000000000000002</v>
      </c>
      <c r="E502" s="53" t="s">
        <v>1490</v>
      </c>
      <c r="F502" s="109" t="e">
        <f>#REF!</f>
        <v>#REF!</v>
      </c>
      <c r="G502" s="109" t="e">
        <f t="shared" si="10"/>
        <v>#REF!</v>
      </c>
      <c r="H502" s="9"/>
    </row>
    <row r="503" spans="1:8" ht="17.25">
      <c r="A503" s="1"/>
      <c r="B503" s="887"/>
      <c r="C503" s="56" t="s">
        <v>1434</v>
      </c>
      <c r="D503" s="43">
        <v>0.2</v>
      </c>
      <c r="E503" s="56" t="s">
        <v>1490</v>
      </c>
      <c r="F503" s="63" t="e">
        <f>#REF!</f>
        <v>#REF!</v>
      </c>
      <c r="G503" s="63" t="e">
        <f t="shared" si="10"/>
        <v>#REF!</v>
      </c>
      <c r="H503" s="123" t="e">
        <f>SUM(G501+G502+G503)</f>
        <v>#REF!</v>
      </c>
    </row>
    <row r="504" spans="1:8" ht="17.25">
      <c r="A504" s="1"/>
      <c r="B504" s="74"/>
      <c r="C504" s="55" t="s">
        <v>1435</v>
      </c>
      <c r="D504" s="45">
        <v>560</v>
      </c>
      <c r="E504" s="55" t="s">
        <v>699</v>
      </c>
      <c r="F504" s="110" t="e">
        <f>#REF!</f>
        <v>#REF!</v>
      </c>
      <c r="G504" s="110" t="e">
        <f t="shared" si="10"/>
        <v>#REF!</v>
      </c>
      <c r="H504" s="108"/>
    </row>
    <row r="505" spans="1:8" ht="17.25">
      <c r="A505" s="1"/>
      <c r="B505" s="53" t="s">
        <v>2055</v>
      </c>
      <c r="C505" s="53" t="s">
        <v>1436</v>
      </c>
      <c r="D505" s="42">
        <v>7.0000000000000007E-2</v>
      </c>
      <c r="E505" s="53" t="s">
        <v>700</v>
      </c>
      <c r="F505" s="109" t="e">
        <f>#REF!</f>
        <v>#REF!</v>
      </c>
      <c r="G505" s="109" t="e">
        <f t="shared" si="10"/>
        <v>#REF!</v>
      </c>
      <c r="H505" s="9"/>
    </row>
    <row r="506" spans="1:8" ht="17.25">
      <c r="A506" s="1"/>
      <c r="B506" s="53"/>
      <c r="C506" s="53" t="s">
        <v>697</v>
      </c>
      <c r="D506" s="42">
        <v>0.3</v>
      </c>
      <c r="E506" s="53" t="s">
        <v>2232</v>
      </c>
      <c r="F506" s="109" t="e">
        <f>#REF!</f>
        <v>#REF!</v>
      </c>
      <c r="G506" s="109" t="e">
        <f t="shared" si="10"/>
        <v>#REF!</v>
      </c>
      <c r="H506" s="9"/>
    </row>
    <row r="507" spans="1:8" ht="17.25">
      <c r="A507" s="1"/>
      <c r="B507" s="73"/>
      <c r="C507" s="56" t="s">
        <v>3275</v>
      </c>
      <c r="D507" s="43">
        <v>100</v>
      </c>
      <c r="E507" s="56" t="s">
        <v>3276</v>
      </c>
      <c r="F507" s="63" t="e">
        <f>#REF!</f>
        <v>#REF!</v>
      </c>
      <c r="G507" s="63" t="e">
        <f t="shared" si="10"/>
        <v>#REF!</v>
      </c>
      <c r="H507" s="123" t="e">
        <f>SUM(G504:G507)</f>
        <v>#REF!</v>
      </c>
    </row>
    <row r="508" spans="1:8" ht="17.25">
      <c r="A508" s="1"/>
      <c r="B508" s="62"/>
      <c r="C508" s="64" t="s">
        <v>698</v>
      </c>
      <c r="D508" s="900" t="s">
        <v>3230</v>
      </c>
      <c r="E508" s="901"/>
      <c r="F508" s="16"/>
      <c r="G508" s="149"/>
      <c r="H508" s="123" t="e">
        <f>INT(G503*0.03*100)/100</f>
        <v>#REF!</v>
      </c>
    </row>
    <row r="509" spans="1:8" ht="17.25">
      <c r="A509" s="1"/>
      <c r="B509" s="1"/>
      <c r="C509" s="1"/>
      <c r="D509" s="1"/>
      <c r="E509" s="40"/>
      <c r="F509" s="40" t="s">
        <v>1491</v>
      </c>
      <c r="G509" s="103"/>
      <c r="H509" s="99" t="e">
        <f>SUM(H503:H508)</f>
        <v>#REF!</v>
      </c>
    </row>
    <row r="510" spans="1:8" ht="17.25">
      <c r="A510" s="1"/>
      <c r="B510" s="1" t="s">
        <v>3233</v>
      </c>
      <c r="C510" s="1"/>
      <c r="D510" s="1"/>
      <c r="E510" s="40"/>
      <c r="F510" s="40" t="s">
        <v>1472</v>
      </c>
      <c r="G510" s="103"/>
      <c r="H510" s="99" t="e">
        <f>FLOOR(H509*0.15,0.01)</f>
        <v>#REF!</v>
      </c>
    </row>
    <row r="511" spans="1:8" ht="17.25">
      <c r="A511" s="27" t="s">
        <v>3005</v>
      </c>
      <c r="B511" s="99" t="e">
        <f>+H511</f>
        <v>#REF!</v>
      </c>
      <c r="C511" s="1" t="s">
        <v>3006</v>
      </c>
      <c r="D511" s="1"/>
      <c r="E511" s="40"/>
      <c r="F511" s="40" t="s">
        <v>1494</v>
      </c>
      <c r="G511" s="103"/>
      <c r="H511" s="99" t="e">
        <f>SUM(H509:H510)</f>
        <v>#REF!</v>
      </c>
    </row>
    <row r="512" spans="1:8" ht="17.25">
      <c r="A512" s="27"/>
      <c r="B512" s="141"/>
      <c r="C512" s="1"/>
      <c r="D512" s="1"/>
      <c r="E512" s="40"/>
      <c r="F512" s="40"/>
      <c r="G512" s="103"/>
      <c r="H512" s="141"/>
    </row>
    <row r="513" spans="1:8" ht="17.25">
      <c r="A513" s="27"/>
      <c r="B513" s="141"/>
      <c r="C513" s="1"/>
      <c r="D513" s="1"/>
      <c r="E513" s="40"/>
      <c r="F513" s="40"/>
      <c r="G513" s="103"/>
      <c r="H513" s="141"/>
    </row>
    <row r="514" spans="1:8" ht="17.25">
      <c r="A514" s="27"/>
      <c r="B514" s="141"/>
      <c r="C514" s="1"/>
      <c r="D514" s="1"/>
      <c r="E514" s="40"/>
      <c r="F514" s="40"/>
      <c r="G514" s="103"/>
      <c r="H514" s="141"/>
    </row>
    <row r="515" spans="1:8" ht="17.25">
      <c r="A515" s="27"/>
      <c r="B515" s="141"/>
      <c r="C515" s="1"/>
      <c r="D515" s="1"/>
      <c r="E515" s="40"/>
      <c r="F515" s="40"/>
      <c r="G515" s="103"/>
      <c r="H515" s="141"/>
    </row>
    <row r="516" spans="1:8" ht="17.25">
      <c r="A516" s="27"/>
      <c r="B516" s="141"/>
      <c r="C516" s="1"/>
      <c r="D516" s="1"/>
      <c r="E516" s="40"/>
      <c r="F516" s="40"/>
      <c r="G516" s="103"/>
      <c r="H516" s="141"/>
    </row>
    <row r="517" spans="1:8" ht="17.25">
      <c r="A517" s="27"/>
      <c r="B517" s="141"/>
      <c r="C517" s="1"/>
      <c r="D517" s="1"/>
      <c r="E517" s="40"/>
      <c r="F517" s="40"/>
      <c r="G517" s="103"/>
      <c r="H517" s="141"/>
    </row>
    <row r="518" spans="1:8" ht="17.25">
      <c r="A518" s="27"/>
      <c r="B518" s="141"/>
      <c r="C518" s="1"/>
      <c r="D518" s="1"/>
      <c r="E518" s="40"/>
      <c r="F518" s="40"/>
      <c r="G518" s="103"/>
      <c r="H518" s="141"/>
    </row>
    <row r="519" spans="1:8" ht="17.25">
      <c r="A519" s="1"/>
      <c r="B519" s="1"/>
      <c r="C519" s="1"/>
      <c r="D519" s="1"/>
      <c r="E519" s="40"/>
      <c r="F519" s="40"/>
      <c r="G519" s="40"/>
      <c r="H519" s="19"/>
    </row>
    <row r="520" spans="1:8" ht="15">
      <c r="A520" s="1"/>
      <c r="B520" s="1"/>
      <c r="C520" s="1"/>
      <c r="D520" s="1"/>
      <c r="E520" s="1"/>
      <c r="F520" s="1"/>
      <c r="G520" s="1"/>
      <c r="H520" s="1"/>
    </row>
    <row r="521" spans="1:8" ht="20.25">
      <c r="A521" s="260">
        <f>+A496+1</f>
        <v>33</v>
      </c>
      <c r="B521" s="878" t="s">
        <v>1848</v>
      </c>
      <c r="C521" s="878"/>
      <c r="D521" s="878"/>
      <c r="E521" s="878"/>
      <c r="F521" s="878"/>
      <c r="G521" s="878"/>
      <c r="H521" s="878"/>
    </row>
    <row r="522" spans="1:8" ht="19.5">
      <c r="A522" s="582" t="s">
        <v>3613</v>
      </c>
      <c r="B522" s="878" t="s">
        <v>2603</v>
      </c>
      <c r="C522" s="878"/>
      <c r="D522" s="878"/>
      <c r="E522" s="878"/>
      <c r="F522" s="878"/>
      <c r="G522" s="878"/>
      <c r="H522" s="878"/>
    </row>
    <row r="523" spans="1:8" ht="19.5">
      <c r="A523" s="22" t="s">
        <v>1431</v>
      </c>
      <c r="B523" s="878" t="s">
        <v>2216</v>
      </c>
      <c r="C523" s="878"/>
      <c r="D523" s="878"/>
      <c r="E523" s="878"/>
      <c r="F523" s="878"/>
      <c r="G523" s="878"/>
      <c r="H523" s="878"/>
    </row>
    <row r="524" spans="1:8" ht="15">
      <c r="A524" s="1"/>
      <c r="B524" s="879" t="s">
        <v>2231</v>
      </c>
      <c r="C524" s="879"/>
      <c r="D524" s="879"/>
      <c r="E524" s="879"/>
      <c r="F524" s="879"/>
      <c r="G524" s="879"/>
      <c r="H524" s="879"/>
    </row>
    <row r="525" spans="1:8" ht="31.5">
      <c r="A525" s="1"/>
      <c r="B525" s="68" t="s">
        <v>2966</v>
      </c>
      <c r="C525" s="68" t="s">
        <v>2967</v>
      </c>
      <c r="D525" s="68" t="s">
        <v>2968</v>
      </c>
      <c r="E525" s="68" t="s">
        <v>2969</v>
      </c>
      <c r="F525" s="68" t="s">
        <v>2970</v>
      </c>
      <c r="G525" s="68" t="s">
        <v>2971</v>
      </c>
      <c r="H525" s="68" t="s">
        <v>1487</v>
      </c>
    </row>
    <row r="526" spans="1:8" ht="17.25">
      <c r="A526" s="1"/>
      <c r="B526" s="886" t="s">
        <v>1488</v>
      </c>
      <c r="C526" s="58" t="s">
        <v>516</v>
      </c>
      <c r="D526" s="41">
        <v>1.5</v>
      </c>
      <c r="E526" s="55" t="s">
        <v>1490</v>
      </c>
      <c r="F526" s="107" t="e">
        <f>#REF!</f>
        <v>#REF!</v>
      </c>
      <c r="G526" s="110" t="e">
        <f t="shared" ref="G526:G532" si="11">FLOOR(D526*F526,0.01)</f>
        <v>#REF!</v>
      </c>
      <c r="H526" s="108"/>
    </row>
    <row r="527" spans="1:8" ht="17.25">
      <c r="A527" s="1"/>
      <c r="B527" s="890"/>
      <c r="C527" s="53" t="s">
        <v>1433</v>
      </c>
      <c r="D527" s="42">
        <v>2.2000000000000002</v>
      </c>
      <c r="E527" s="53" t="s">
        <v>1490</v>
      </c>
      <c r="F527" s="109" t="e">
        <f>#REF!</f>
        <v>#REF!</v>
      </c>
      <c r="G527" s="109" t="e">
        <f t="shared" si="11"/>
        <v>#REF!</v>
      </c>
      <c r="H527" s="9"/>
    </row>
    <row r="528" spans="1:8" ht="17.25">
      <c r="A528" s="1"/>
      <c r="B528" s="887"/>
      <c r="C528" s="56" t="s">
        <v>1434</v>
      </c>
      <c r="D528" s="43">
        <v>0.7</v>
      </c>
      <c r="E528" s="56" t="s">
        <v>1490</v>
      </c>
      <c r="F528" s="63" t="e">
        <f>#REF!</f>
        <v>#REF!</v>
      </c>
      <c r="G528" s="63" t="e">
        <f t="shared" si="11"/>
        <v>#REF!</v>
      </c>
      <c r="H528" s="121" t="e">
        <f>SUM(G526+G527+G528)</f>
        <v>#REF!</v>
      </c>
    </row>
    <row r="529" spans="1:8" ht="17.25">
      <c r="A529" s="1"/>
      <c r="B529" s="74"/>
      <c r="C529" s="55" t="s">
        <v>1435</v>
      </c>
      <c r="D529" s="45">
        <v>560</v>
      </c>
      <c r="E529" s="55" t="s">
        <v>699</v>
      </c>
      <c r="F529" s="110" t="e">
        <f>#REF!</f>
        <v>#REF!</v>
      </c>
      <c r="G529" s="110" t="e">
        <f t="shared" si="11"/>
        <v>#REF!</v>
      </c>
      <c r="H529" s="108"/>
    </row>
    <row r="530" spans="1:8" ht="17.25">
      <c r="A530" s="1"/>
      <c r="B530" s="53" t="s">
        <v>2055</v>
      </c>
      <c r="C530" s="53" t="s">
        <v>1436</v>
      </c>
      <c r="D530" s="42">
        <v>7.0000000000000007E-2</v>
      </c>
      <c r="E530" s="53" t="s">
        <v>700</v>
      </c>
      <c r="F530" s="109" t="e">
        <f>#REF!</f>
        <v>#REF!</v>
      </c>
      <c r="G530" s="109" t="e">
        <f t="shared" si="11"/>
        <v>#REF!</v>
      </c>
      <c r="H530" s="9"/>
    </row>
    <row r="531" spans="1:8" ht="17.25">
      <c r="A531" s="1"/>
      <c r="B531" s="53"/>
      <c r="C531" s="53" t="s">
        <v>697</v>
      </c>
      <c r="D531" s="42">
        <v>0.3</v>
      </c>
      <c r="E531" s="53" t="s">
        <v>2232</v>
      </c>
      <c r="F531" s="109" t="e">
        <f>#REF!</f>
        <v>#REF!</v>
      </c>
      <c r="G531" s="109" t="e">
        <f t="shared" si="11"/>
        <v>#REF!</v>
      </c>
      <c r="H531" s="9"/>
    </row>
    <row r="532" spans="1:8" ht="17.25">
      <c r="A532" s="1"/>
      <c r="B532" s="73"/>
      <c r="C532" s="56" t="s">
        <v>3275</v>
      </c>
      <c r="D532" s="43">
        <v>100</v>
      </c>
      <c r="E532" s="56" t="s">
        <v>3276</v>
      </c>
      <c r="F532" s="63" t="e">
        <f>#REF!</f>
        <v>#REF!</v>
      </c>
      <c r="G532" s="63" t="e">
        <f t="shared" si="11"/>
        <v>#REF!</v>
      </c>
      <c r="H532" s="123" t="e">
        <f>SUM(G529:G532)</f>
        <v>#REF!</v>
      </c>
    </row>
    <row r="533" spans="1:8" ht="17.25">
      <c r="A533" s="1"/>
      <c r="B533" s="62"/>
      <c r="C533" s="64" t="s">
        <v>698</v>
      </c>
      <c r="D533" s="75" t="s">
        <v>3230</v>
      </c>
      <c r="E533" s="13"/>
      <c r="F533" s="16"/>
      <c r="G533" s="149"/>
      <c r="H533" s="123" t="e">
        <f>INT(G528*0.03*100)/100</f>
        <v>#REF!</v>
      </c>
    </row>
    <row r="534" spans="1:8" ht="17.25">
      <c r="A534" s="1"/>
      <c r="B534" s="1"/>
      <c r="C534" s="1"/>
      <c r="D534" s="1"/>
      <c r="E534" s="1"/>
      <c r="F534" s="40" t="s">
        <v>1491</v>
      </c>
      <c r="G534" s="103"/>
      <c r="H534" s="99" t="e">
        <f>SUM(H528:H533)</f>
        <v>#REF!</v>
      </c>
    </row>
    <row r="535" spans="1:8" ht="17.25">
      <c r="A535" s="1"/>
      <c r="B535" s="1" t="s">
        <v>3233</v>
      </c>
      <c r="C535" s="1"/>
      <c r="D535" s="1"/>
      <c r="E535" s="1"/>
      <c r="F535" s="40" t="s">
        <v>1472</v>
      </c>
      <c r="G535" s="103"/>
      <c r="H535" s="99" t="e">
        <f>FLOOR((H534*0.15*100)/100,0.01)</f>
        <v>#REF!</v>
      </c>
    </row>
    <row r="536" spans="1:8" ht="17.25">
      <c r="A536" s="27" t="s">
        <v>3005</v>
      </c>
      <c r="B536" s="99" t="e">
        <f>+H536</f>
        <v>#REF!</v>
      </c>
      <c r="C536" s="1" t="s">
        <v>3006</v>
      </c>
      <c r="D536" s="1"/>
      <c r="E536" s="1"/>
      <c r="F536" s="40" t="s">
        <v>1494</v>
      </c>
      <c r="G536" s="103"/>
      <c r="H536" s="99" t="e">
        <f>SUM(H534:H535)</f>
        <v>#REF!</v>
      </c>
    </row>
    <row r="537" spans="1:8" ht="16.5">
      <c r="A537" s="1"/>
      <c r="B537" s="1"/>
      <c r="C537" s="1"/>
      <c r="D537" s="1"/>
      <c r="E537" s="1"/>
      <c r="F537" s="1"/>
      <c r="G537" s="1"/>
      <c r="H537" s="19"/>
    </row>
    <row r="538" spans="1:8" ht="20.25">
      <c r="A538" s="260">
        <f>+A521+1</f>
        <v>34</v>
      </c>
      <c r="B538" s="878" t="s">
        <v>2651</v>
      </c>
      <c r="C538" s="878"/>
      <c r="D538" s="878"/>
      <c r="E538" s="878"/>
      <c r="F538" s="878"/>
      <c r="G538" s="878"/>
      <c r="H538" s="878"/>
    </row>
    <row r="539" spans="1:8" ht="19.5">
      <c r="A539" s="582" t="s">
        <v>3613</v>
      </c>
      <c r="B539" s="878" t="s">
        <v>1851</v>
      </c>
      <c r="C539" s="878"/>
      <c r="D539" s="878"/>
      <c r="E539" s="878"/>
      <c r="F539" s="878"/>
      <c r="G539" s="878"/>
      <c r="H539" s="878"/>
    </row>
    <row r="540" spans="1:8" ht="19.5">
      <c r="A540" s="22" t="s">
        <v>1432</v>
      </c>
      <c r="B540" s="878" t="s">
        <v>1852</v>
      </c>
      <c r="C540" s="878"/>
      <c r="D540" s="878"/>
      <c r="E540" s="878"/>
      <c r="F540" s="878"/>
      <c r="G540" s="878"/>
      <c r="H540" s="878"/>
    </row>
    <row r="541" spans="1:8" ht="15">
      <c r="A541" s="1"/>
      <c r="B541" s="879" t="s">
        <v>2231</v>
      </c>
      <c r="C541" s="879"/>
      <c r="D541" s="879"/>
      <c r="E541" s="879"/>
      <c r="F541" s="879"/>
      <c r="G541" s="879"/>
      <c r="H541" s="879"/>
    </row>
    <row r="542" spans="1:8" ht="31.5">
      <c r="A542" s="1"/>
      <c r="B542" s="68" t="s">
        <v>2966</v>
      </c>
      <c r="C542" s="68" t="s">
        <v>2967</v>
      </c>
      <c r="D542" s="68" t="s">
        <v>2968</v>
      </c>
      <c r="E542" s="68" t="s">
        <v>2969</v>
      </c>
      <c r="F542" s="68" t="s">
        <v>2970</v>
      </c>
      <c r="G542" s="68" t="s">
        <v>2971</v>
      </c>
      <c r="H542" s="68" t="s">
        <v>1487</v>
      </c>
    </row>
    <row r="543" spans="1:8" ht="16.5">
      <c r="A543" s="1"/>
      <c r="B543" s="886" t="s">
        <v>1488</v>
      </c>
      <c r="C543" s="58" t="s">
        <v>516</v>
      </c>
      <c r="D543" s="45">
        <v>1</v>
      </c>
      <c r="E543" s="11" t="s">
        <v>1490</v>
      </c>
      <c r="F543" s="107" t="e">
        <f>#REF!</f>
        <v>#REF!</v>
      </c>
      <c r="G543" s="110" t="e">
        <f t="shared" ref="G543:G548" si="12">FLOOR(D543*F543,0.01)</f>
        <v>#REF!</v>
      </c>
      <c r="H543" s="108"/>
    </row>
    <row r="544" spans="1:8" ht="17.25">
      <c r="A544" s="1"/>
      <c r="B544" s="890"/>
      <c r="C544" s="53" t="s">
        <v>1433</v>
      </c>
      <c r="D544" s="42">
        <v>1.7</v>
      </c>
      <c r="E544" s="53" t="s">
        <v>1490</v>
      </c>
      <c r="F544" s="109" t="e">
        <f>#REF!</f>
        <v>#REF!</v>
      </c>
      <c r="G544" s="109" t="e">
        <f t="shared" si="12"/>
        <v>#REF!</v>
      </c>
      <c r="H544" s="9"/>
    </row>
    <row r="545" spans="1:8" ht="17.25">
      <c r="A545" s="1"/>
      <c r="B545" s="887"/>
      <c r="C545" s="56" t="s">
        <v>1434</v>
      </c>
      <c r="D545" s="43">
        <v>0.2</v>
      </c>
      <c r="E545" s="56" t="s">
        <v>1490</v>
      </c>
      <c r="F545" s="109" t="e">
        <f>#REF!</f>
        <v>#REF!</v>
      </c>
      <c r="G545" s="63" t="e">
        <f t="shared" si="12"/>
        <v>#REF!</v>
      </c>
      <c r="H545" s="123" t="e">
        <f>SUM(G543+G544+G545)</f>
        <v>#REF!</v>
      </c>
    </row>
    <row r="546" spans="1:8" ht="17.25">
      <c r="A546" s="1"/>
      <c r="B546" s="74"/>
      <c r="C546" s="55" t="s">
        <v>1435</v>
      </c>
      <c r="D546" s="45">
        <v>560</v>
      </c>
      <c r="E546" s="55" t="s">
        <v>699</v>
      </c>
      <c r="F546" s="110" t="e">
        <f>#REF!</f>
        <v>#REF!</v>
      </c>
      <c r="G546" s="110" t="e">
        <f t="shared" si="12"/>
        <v>#REF!</v>
      </c>
      <c r="H546" s="108"/>
    </row>
    <row r="547" spans="1:8" ht="17.25">
      <c r="A547" s="1"/>
      <c r="B547" s="73"/>
      <c r="C547" s="53" t="s">
        <v>1853</v>
      </c>
      <c r="D547" s="42">
        <v>0.42</v>
      </c>
      <c r="E547" s="53" t="s">
        <v>2232</v>
      </c>
      <c r="F547" s="109" t="e">
        <f>#REF!</f>
        <v>#REF!</v>
      </c>
      <c r="G547" s="109" t="e">
        <f t="shared" si="12"/>
        <v>#REF!</v>
      </c>
      <c r="H547" s="121"/>
    </row>
    <row r="548" spans="1:8" ht="17.25">
      <c r="A548" s="1"/>
      <c r="B548" s="53" t="s">
        <v>2055</v>
      </c>
      <c r="C548" s="53" t="s">
        <v>3275</v>
      </c>
      <c r="D548" s="42">
        <v>100</v>
      </c>
      <c r="E548" s="53" t="s">
        <v>3276</v>
      </c>
      <c r="F548" s="63" t="e">
        <f>#REF!</f>
        <v>#REF!</v>
      </c>
      <c r="G548" s="109" t="e">
        <f t="shared" si="12"/>
        <v>#REF!</v>
      </c>
      <c r="H548" s="123" t="e">
        <f>SUM(G546:G548)</f>
        <v>#REF!</v>
      </c>
    </row>
    <row r="549" spans="1:8" ht="17.25">
      <c r="A549" s="1"/>
      <c r="B549" s="62"/>
      <c r="C549" s="64" t="s">
        <v>698</v>
      </c>
      <c r="D549" s="904" t="s">
        <v>3799</v>
      </c>
      <c r="E549" s="905"/>
      <c r="F549" s="16"/>
      <c r="G549" s="149"/>
      <c r="H549" s="123" t="e">
        <f>INT(G545*0.03*100)/100</f>
        <v>#REF!</v>
      </c>
    </row>
    <row r="550" spans="1:8" ht="17.25">
      <c r="A550" s="1"/>
      <c r="B550" s="1"/>
      <c r="C550" s="1"/>
      <c r="D550" s="1"/>
      <c r="E550" s="1"/>
      <c r="F550" s="40" t="s">
        <v>1491</v>
      </c>
      <c r="G550" s="125"/>
      <c r="H550" s="99" t="e">
        <f>SUM(H545:H549)</f>
        <v>#REF!</v>
      </c>
    </row>
    <row r="551" spans="1:8" ht="17.25">
      <c r="A551" s="1"/>
      <c r="B551" s="1" t="s">
        <v>3233</v>
      </c>
      <c r="C551" s="1"/>
      <c r="D551" s="1"/>
      <c r="E551" s="1"/>
      <c r="F551" s="40" t="s">
        <v>1472</v>
      </c>
      <c r="G551" s="103"/>
      <c r="H551" s="99" t="e">
        <f>FLOOR(H550*0.15,0.01)</f>
        <v>#REF!</v>
      </c>
    </row>
    <row r="552" spans="1:8" ht="17.25">
      <c r="A552" s="27" t="s">
        <v>3005</v>
      </c>
      <c r="B552" s="99" t="e">
        <f>+H552</f>
        <v>#REF!</v>
      </c>
      <c r="C552" s="1" t="s">
        <v>3006</v>
      </c>
      <c r="D552" s="1"/>
      <c r="E552" s="1"/>
      <c r="F552" s="40" t="s">
        <v>1494</v>
      </c>
      <c r="G552" s="103"/>
      <c r="H552" s="99" t="e">
        <f>SUM(H550:H551)</f>
        <v>#REF!</v>
      </c>
    </row>
    <row r="553" spans="1:8" ht="17.25">
      <c r="A553" s="27"/>
      <c r="B553" s="141"/>
      <c r="C553" s="1"/>
      <c r="D553" s="1"/>
      <c r="E553" s="1"/>
      <c r="F553" s="40"/>
      <c r="G553" s="103"/>
      <c r="H553" s="141"/>
    </row>
    <row r="554" spans="1:8" ht="17.25">
      <c r="A554" s="27"/>
      <c r="B554" s="141"/>
      <c r="C554" s="1"/>
      <c r="D554" s="1"/>
      <c r="E554" s="1"/>
      <c r="F554" s="40"/>
      <c r="G554" s="103"/>
      <c r="H554" s="141"/>
    </row>
    <row r="555" spans="1:8" ht="17.25">
      <c r="A555" s="27"/>
      <c r="B555" s="141"/>
      <c r="C555" s="1"/>
      <c r="D555" s="1"/>
      <c r="E555" s="1"/>
      <c r="F555" s="40"/>
      <c r="G555" s="103"/>
      <c r="H555" s="141"/>
    </row>
    <row r="556" spans="1:8" ht="17.25">
      <c r="A556" s="27"/>
      <c r="B556" s="141"/>
      <c r="C556" s="1"/>
      <c r="D556" s="1"/>
      <c r="E556" s="1"/>
      <c r="F556" s="40"/>
      <c r="G556" s="103"/>
      <c r="H556" s="141"/>
    </row>
    <row r="557" spans="1:8" ht="16.5">
      <c r="A557" s="1"/>
      <c r="B557" s="1"/>
      <c r="C557" s="1"/>
      <c r="D557" s="1"/>
      <c r="E557" s="1"/>
      <c r="F557" s="1"/>
      <c r="G557" s="103"/>
      <c r="H557" s="1"/>
    </row>
    <row r="558" spans="1:8" ht="20.25">
      <c r="A558" s="260">
        <f>+A538+1</f>
        <v>35</v>
      </c>
      <c r="B558" s="878" t="s">
        <v>3293</v>
      </c>
      <c r="C558" s="878"/>
      <c r="D558" s="878"/>
      <c r="E558" s="878"/>
      <c r="F558" s="878"/>
      <c r="G558" s="878"/>
      <c r="H558" s="878"/>
    </row>
    <row r="559" spans="1:8" ht="19.5">
      <c r="A559" s="582" t="s">
        <v>3292</v>
      </c>
      <c r="B559" s="878" t="s">
        <v>3294</v>
      </c>
      <c r="C559" s="878"/>
      <c r="D559" s="878"/>
      <c r="E559" s="878"/>
      <c r="F559" s="878"/>
      <c r="G559" s="878"/>
      <c r="H559" s="878"/>
    </row>
    <row r="560" spans="1:8" ht="19.5">
      <c r="A560" s="589"/>
      <c r="B560" s="878" t="s">
        <v>1852</v>
      </c>
      <c r="C560" s="878"/>
      <c r="D560" s="878"/>
      <c r="E560" s="878"/>
      <c r="F560" s="878"/>
      <c r="G560" s="878"/>
      <c r="H560" s="878"/>
    </row>
    <row r="561" spans="1:8" ht="15">
      <c r="A561" s="1"/>
      <c r="B561" s="879" t="s">
        <v>2454</v>
      </c>
      <c r="C561" s="879"/>
      <c r="D561" s="879"/>
      <c r="E561" s="879"/>
      <c r="F561" s="879"/>
      <c r="G561" s="879"/>
      <c r="H561" s="879"/>
    </row>
    <row r="562" spans="1:8" ht="31.5">
      <c r="A562" s="1"/>
      <c r="B562" s="68" t="s">
        <v>2966</v>
      </c>
      <c r="C562" s="68" t="s">
        <v>2967</v>
      </c>
      <c r="D562" s="68" t="s">
        <v>2968</v>
      </c>
      <c r="E562" s="68" t="s">
        <v>2969</v>
      </c>
      <c r="F562" s="68" t="s">
        <v>2970</v>
      </c>
      <c r="G562" s="68" t="s">
        <v>2971</v>
      </c>
      <c r="H562" s="68" t="s">
        <v>1487</v>
      </c>
    </row>
    <row r="563" spans="1:8" ht="16.5">
      <c r="A563" s="1"/>
      <c r="B563" s="886" t="s">
        <v>1488</v>
      </c>
      <c r="C563" s="58" t="s">
        <v>516</v>
      </c>
      <c r="D563" s="41">
        <v>1.91</v>
      </c>
      <c r="E563" s="11" t="s">
        <v>1490</v>
      </c>
      <c r="F563" s="107" t="e">
        <f>#REF!</f>
        <v>#REF!</v>
      </c>
      <c r="G563" s="110" t="e">
        <f t="shared" ref="G563:G571" si="13">FLOOR(D563*F563,0.01)</f>
        <v>#REF!</v>
      </c>
      <c r="H563" s="108"/>
    </row>
    <row r="564" spans="1:8" ht="17.25">
      <c r="A564" s="1"/>
      <c r="B564" s="890"/>
      <c r="C564" s="53" t="s">
        <v>1433</v>
      </c>
      <c r="D564" s="42">
        <v>2.4500000000000002</v>
      </c>
      <c r="E564" s="53" t="s">
        <v>1490</v>
      </c>
      <c r="F564" s="109" t="e">
        <f>#REF!</f>
        <v>#REF!</v>
      </c>
      <c r="G564" s="109" t="e">
        <f t="shared" si="13"/>
        <v>#REF!</v>
      </c>
      <c r="H564" s="9"/>
    </row>
    <row r="565" spans="1:8" ht="17.25">
      <c r="A565" s="1"/>
      <c r="B565" s="887"/>
      <c r="C565" s="56" t="s">
        <v>1434</v>
      </c>
      <c r="D565" s="43">
        <v>0.2</v>
      </c>
      <c r="E565" s="56" t="s">
        <v>1490</v>
      </c>
      <c r="F565" s="109" t="e">
        <f>#REF!</f>
        <v>#REF!</v>
      </c>
      <c r="G565" s="63" t="e">
        <f t="shared" si="13"/>
        <v>#REF!</v>
      </c>
      <c r="H565" s="123" t="e">
        <f>SUM(G563+G564+G565)</f>
        <v>#REF!</v>
      </c>
    </row>
    <row r="566" spans="1:8" ht="17.25">
      <c r="A566" s="1"/>
      <c r="B566" s="576"/>
      <c r="C566" s="55" t="s">
        <v>3295</v>
      </c>
      <c r="D566" s="48">
        <v>79.7</v>
      </c>
      <c r="E566" s="55" t="s">
        <v>699</v>
      </c>
      <c r="F566" s="110" t="e">
        <f>#REF!</f>
        <v>#REF!</v>
      </c>
      <c r="G566" s="110" t="e">
        <f t="shared" si="13"/>
        <v>#REF!</v>
      </c>
      <c r="H566" s="121"/>
    </row>
    <row r="567" spans="1:8" ht="17.25">
      <c r="A567" s="1"/>
      <c r="B567" s="894" t="s">
        <v>2055</v>
      </c>
      <c r="C567" s="53" t="s">
        <v>1436</v>
      </c>
      <c r="D567" s="42">
        <v>0.04</v>
      </c>
      <c r="E567" s="53" t="s">
        <v>700</v>
      </c>
      <c r="F567" s="109" t="e">
        <f>#REF!</f>
        <v>#REF!</v>
      </c>
      <c r="G567" s="109" t="e">
        <f t="shared" si="13"/>
        <v>#REF!</v>
      </c>
      <c r="H567" s="121"/>
    </row>
    <row r="568" spans="1:8" ht="17.25">
      <c r="A568" s="1"/>
      <c r="B568" s="894"/>
      <c r="C568" s="53" t="s">
        <v>1305</v>
      </c>
      <c r="D568" s="42">
        <v>0.17</v>
      </c>
      <c r="E568" s="53" t="s">
        <v>2232</v>
      </c>
      <c r="F568" s="109" t="e">
        <f>#REF!</f>
        <v>#REF!</v>
      </c>
      <c r="G568" s="109" t="e">
        <f t="shared" si="13"/>
        <v>#REF!</v>
      </c>
      <c r="H568" s="121"/>
    </row>
    <row r="569" spans="1:8" ht="18.75">
      <c r="A569" s="1"/>
      <c r="B569" s="894"/>
      <c r="C569" s="53" t="s">
        <v>1849</v>
      </c>
      <c r="D569" s="52">
        <v>2.1999999999999999E-2</v>
      </c>
      <c r="E569" s="685" t="s">
        <v>3027</v>
      </c>
      <c r="F569" s="109" t="e">
        <f>#REF!</f>
        <v>#REF!</v>
      </c>
      <c r="G569" s="109" t="e">
        <f t="shared" si="13"/>
        <v>#REF!</v>
      </c>
      <c r="H569" s="121"/>
    </row>
    <row r="570" spans="1:8" ht="17.25">
      <c r="A570" s="1"/>
      <c r="B570" s="894"/>
      <c r="C570" s="53" t="s">
        <v>988</v>
      </c>
      <c r="D570" s="52">
        <v>2.1999999999999999E-2</v>
      </c>
      <c r="E570" s="53" t="s">
        <v>2232</v>
      </c>
      <c r="F570" s="109" t="e">
        <f>#REF!</f>
        <v>#REF!</v>
      </c>
      <c r="G570" s="109" t="e">
        <f t="shared" si="13"/>
        <v>#REF!</v>
      </c>
      <c r="H570" s="121"/>
    </row>
    <row r="571" spans="1:8" ht="17.25">
      <c r="A571" s="1"/>
      <c r="B571" s="894"/>
      <c r="C571" s="53" t="s">
        <v>3275</v>
      </c>
      <c r="D571" s="42">
        <v>78</v>
      </c>
      <c r="E571" s="53" t="s">
        <v>3276</v>
      </c>
      <c r="F571" s="63" t="e">
        <f>#REF!</f>
        <v>#REF!</v>
      </c>
      <c r="G571" s="109" t="e">
        <f t="shared" si="13"/>
        <v>#REF!</v>
      </c>
      <c r="H571" s="123" t="e">
        <f>G571+G570+G569+G568+G567+G566</f>
        <v>#REF!</v>
      </c>
    </row>
    <row r="572" spans="1:8" ht="17.25">
      <c r="A572" s="1"/>
      <c r="B572" s="62"/>
      <c r="C572" s="64" t="s">
        <v>698</v>
      </c>
      <c r="D572" s="902" t="s">
        <v>2882</v>
      </c>
      <c r="E572" s="903"/>
      <c r="F572" s="16"/>
      <c r="G572" s="149"/>
      <c r="H572" s="123" t="e">
        <f>INT(G565*0.03*100)/100</f>
        <v>#REF!</v>
      </c>
    </row>
    <row r="573" spans="1:8" ht="17.25">
      <c r="A573" s="1"/>
      <c r="B573" s="1"/>
      <c r="C573" s="1"/>
      <c r="D573" s="1"/>
      <c r="E573" s="1"/>
      <c r="F573" s="40" t="s">
        <v>1491</v>
      </c>
      <c r="G573" s="125"/>
      <c r="H573" s="99" t="e">
        <f>SUM(H565:H572)</f>
        <v>#REF!</v>
      </c>
    </row>
    <row r="574" spans="1:8" ht="17.25">
      <c r="A574" s="1"/>
      <c r="B574" s="1" t="s">
        <v>1493</v>
      </c>
      <c r="C574" s="1"/>
      <c r="D574" s="1"/>
      <c r="E574" s="1"/>
      <c r="F574" s="40" t="s">
        <v>1472</v>
      </c>
      <c r="G574" s="103"/>
      <c r="H574" s="99" t="e">
        <f>FLOOR(H573*0.15,0.01)</f>
        <v>#REF!</v>
      </c>
    </row>
    <row r="575" spans="1:8" ht="17.25">
      <c r="A575" s="27" t="s">
        <v>3005</v>
      </c>
      <c r="B575" s="99" t="e">
        <f>+H575/10</f>
        <v>#REF!</v>
      </c>
      <c r="C575" s="1" t="s">
        <v>3006</v>
      </c>
      <c r="D575" s="1"/>
      <c r="E575" s="1"/>
      <c r="F575" s="40" t="s">
        <v>1494</v>
      </c>
      <c r="G575" s="103"/>
      <c r="H575" s="99" t="e">
        <f>SUM(H573:H574)</f>
        <v>#REF!</v>
      </c>
    </row>
    <row r="576" spans="1:8" ht="16.5">
      <c r="A576" s="1"/>
      <c r="B576" s="1"/>
      <c r="C576" s="1"/>
      <c r="D576" s="1"/>
      <c r="E576" s="1"/>
      <c r="F576" s="1"/>
      <c r="G576" s="103"/>
      <c r="H576" s="124"/>
    </row>
    <row r="577" spans="1:8" ht="20.25">
      <c r="A577" s="260">
        <f>+A558+1</f>
        <v>36</v>
      </c>
      <c r="B577" s="878" t="s">
        <v>3297</v>
      </c>
      <c r="C577" s="878"/>
      <c r="D577" s="878"/>
      <c r="E577" s="878"/>
      <c r="F577" s="878"/>
      <c r="G577" s="878"/>
      <c r="H577" s="878"/>
    </row>
    <row r="578" spans="1:8" ht="19.5">
      <c r="A578" s="582" t="s">
        <v>3296</v>
      </c>
      <c r="B578" s="878" t="s">
        <v>3298</v>
      </c>
      <c r="C578" s="878"/>
      <c r="D578" s="878"/>
      <c r="E578" s="878"/>
      <c r="F578" s="878"/>
      <c r="G578" s="878"/>
      <c r="H578" s="878"/>
    </row>
    <row r="579" spans="1:8" ht="19.5">
      <c r="A579" s="589"/>
      <c r="B579" s="878" t="s">
        <v>1852</v>
      </c>
      <c r="C579" s="878"/>
      <c r="D579" s="878"/>
      <c r="E579" s="878"/>
      <c r="F579" s="878"/>
      <c r="G579" s="878"/>
      <c r="H579" s="878"/>
    </row>
    <row r="580" spans="1:8" ht="15">
      <c r="A580" s="1"/>
      <c r="B580" s="879" t="s">
        <v>2231</v>
      </c>
      <c r="C580" s="879"/>
      <c r="D580" s="879"/>
      <c r="E580" s="879"/>
      <c r="F580" s="879"/>
      <c r="G580" s="879"/>
      <c r="H580" s="879"/>
    </row>
    <row r="581" spans="1:8" ht="31.5">
      <c r="A581" s="1"/>
      <c r="B581" s="68" t="s">
        <v>2966</v>
      </c>
      <c r="C581" s="68" t="s">
        <v>2967</v>
      </c>
      <c r="D581" s="68" t="s">
        <v>2968</v>
      </c>
      <c r="E581" s="68" t="s">
        <v>2969</v>
      </c>
      <c r="F581" s="68" t="s">
        <v>2970</v>
      </c>
      <c r="G581" s="68" t="s">
        <v>2971</v>
      </c>
      <c r="H581" s="68" t="s">
        <v>1487</v>
      </c>
    </row>
    <row r="582" spans="1:8" ht="16.5">
      <c r="A582" s="1"/>
      <c r="B582" s="886" t="s">
        <v>1488</v>
      </c>
      <c r="C582" s="58" t="s">
        <v>516</v>
      </c>
      <c r="D582" s="41">
        <v>1.6</v>
      </c>
      <c r="E582" s="11" t="s">
        <v>1490</v>
      </c>
      <c r="F582" s="107" t="e">
        <f>#REF!</f>
        <v>#REF!</v>
      </c>
      <c r="G582" s="110" t="e">
        <f t="shared" ref="G582:G588" si="14">FLOOR(D582*F582,0.01)</f>
        <v>#REF!</v>
      </c>
      <c r="H582" s="108"/>
    </row>
    <row r="583" spans="1:8" ht="17.25">
      <c r="A583" s="1"/>
      <c r="B583" s="890"/>
      <c r="C583" s="53" t="s">
        <v>1433</v>
      </c>
      <c r="D583" s="42">
        <v>2.2000000000000002</v>
      </c>
      <c r="E583" s="53" t="s">
        <v>1490</v>
      </c>
      <c r="F583" s="109" t="e">
        <f>#REF!</f>
        <v>#REF!</v>
      </c>
      <c r="G583" s="109" t="e">
        <f t="shared" si="14"/>
        <v>#REF!</v>
      </c>
      <c r="H583" s="9"/>
    </row>
    <row r="584" spans="1:8" ht="17.25">
      <c r="A584" s="1"/>
      <c r="B584" s="887"/>
      <c r="C584" s="56" t="s">
        <v>1434</v>
      </c>
      <c r="D584" s="43">
        <v>0.2</v>
      </c>
      <c r="E584" s="56" t="s">
        <v>1490</v>
      </c>
      <c r="F584" s="109" t="e">
        <f>#REF!</f>
        <v>#REF!</v>
      </c>
      <c r="G584" s="63" t="e">
        <f t="shared" si="14"/>
        <v>#REF!</v>
      </c>
      <c r="H584" s="123" t="e">
        <f>SUM(G582+G583+G584)</f>
        <v>#REF!</v>
      </c>
    </row>
    <row r="585" spans="1:8" ht="17.25">
      <c r="A585" s="1"/>
      <c r="B585" s="576"/>
      <c r="C585" s="55" t="s">
        <v>2321</v>
      </c>
      <c r="D585" s="48">
        <v>400</v>
      </c>
      <c r="E585" s="55" t="s">
        <v>699</v>
      </c>
      <c r="F585" s="110" t="e">
        <f>#REF!</f>
        <v>#REF!</v>
      </c>
      <c r="G585" s="110" t="e">
        <f t="shared" si="14"/>
        <v>#REF!</v>
      </c>
      <c r="H585" s="121"/>
    </row>
    <row r="586" spans="1:8" ht="17.25">
      <c r="A586" s="1"/>
      <c r="B586" s="894" t="s">
        <v>2055</v>
      </c>
      <c r="C586" s="53" t="s">
        <v>1436</v>
      </c>
      <c r="D586" s="52">
        <v>3.5999999999999997E-2</v>
      </c>
      <c r="E586" s="53" t="s">
        <v>700</v>
      </c>
      <c r="F586" s="109" t="e">
        <f>#REF!</f>
        <v>#REF!</v>
      </c>
      <c r="G586" s="109" t="e">
        <f t="shared" si="14"/>
        <v>#REF!</v>
      </c>
      <c r="H586" s="121"/>
    </row>
    <row r="587" spans="1:8" ht="17.25">
      <c r="A587" s="1"/>
      <c r="B587" s="894"/>
      <c r="C587" s="53" t="s">
        <v>1305</v>
      </c>
      <c r="D587" s="42">
        <v>0.15</v>
      </c>
      <c r="E587" s="53" t="s">
        <v>2232</v>
      </c>
      <c r="F587" s="109" t="e">
        <f>#REF!</f>
        <v>#REF!</v>
      </c>
      <c r="G587" s="109" t="e">
        <f t="shared" si="14"/>
        <v>#REF!</v>
      </c>
      <c r="H587" s="121"/>
    </row>
    <row r="588" spans="1:8" ht="17.25">
      <c r="A588" s="1"/>
      <c r="B588" s="894"/>
      <c r="C588" s="53" t="s">
        <v>3275</v>
      </c>
      <c r="D588" s="42">
        <v>60</v>
      </c>
      <c r="E588" s="53" t="s">
        <v>3276</v>
      </c>
      <c r="F588" s="63" t="e">
        <f>#REF!</f>
        <v>#REF!</v>
      </c>
      <c r="G588" s="109" t="e">
        <f t="shared" si="14"/>
        <v>#REF!</v>
      </c>
      <c r="H588" s="123" t="e">
        <f>SUM(G585:G588)</f>
        <v>#REF!</v>
      </c>
    </row>
    <row r="589" spans="1:8" ht="17.25">
      <c r="A589" s="1"/>
      <c r="B589" s="62"/>
      <c r="C589" s="64" t="s">
        <v>698</v>
      </c>
      <c r="D589" s="902" t="s">
        <v>3799</v>
      </c>
      <c r="E589" s="903"/>
      <c r="F589" s="16"/>
      <c r="G589" s="149"/>
      <c r="H589" s="123" t="e">
        <f>INT(G584*0.03*100)/100</f>
        <v>#REF!</v>
      </c>
    </row>
    <row r="590" spans="1:8" ht="17.25">
      <c r="A590" s="1"/>
      <c r="B590" s="1"/>
      <c r="C590" s="1"/>
      <c r="D590" s="1"/>
      <c r="E590" s="1"/>
      <c r="F590" s="40" t="s">
        <v>1491</v>
      </c>
      <c r="G590" s="125"/>
      <c r="H590" s="99" t="e">
        <f>SUM(H584:H589)</f>
        <v>#REF!</v>
      </c>
    </row>
    <row r="591" spans="1:8" ht="17.25">
      <c r="A591" s="1"/>
      <c r="B591" s="1" t="s">
        <v>3233</v>
      </c>
      <c r="C591" s="1"/>
      <c r="D591" s="1"/>
      <c r="E591" s="1"/>
      <c r="F591" s="40" t="s">
        <v>1472</v>
      </c>
      <c r="G591" s="103"/>
      <c r="H591" s="99" t="e">
        <f>FLOOR(H590*0.15,0.01)</f>
        <v>#REF!</v>
      </c>
    </row>
    <row r="592" spans="1:8" ht="17.25">
      <c r="A592" s="27" t="s">
        <v>3005</v>
      </c>
      <c r="B592" s="99" t="e">
        <f>+H592</f>
        <v>#REF!</v>
      </c>
      <c r="C592" s="1" t="s">
        <v>3006</v>
      </c>
      <c r="D592" s="1"/>
      <c r="E592" s="1"/>
      <c r="F592" s="40" t="s">
        <v>1494</v>
      </c>
      <c r="G592" s="103"/>
      <c r="H592" s="99" t="e">
        <f>SUM(H590:H591)</f>
        <v>#REF!</v>
      </c>
    </row>
    <row r="593" spans="1:8" ht="17.25">
      <c r="A593" s="27"/>
      <c r="B593" s="141"/>
      <c r="C593" s="1"/>
      <c r="D593" s="1"/>
      <c r="E593" s="1"/>
      <c r="F593" s="40"/>
      <c r="G593" s="103"/>
      <c r="H593" s="141"/>
    </row>
    <row r="594" spans="1:8" ht="17.25">
      <c r="A594" s="27"/>
      <c r="B594" s="141"/>
      <c r="C594" s="1"/>
      <c r="D594" s="1"/>
      <c r="E594" s="1"/>
      <c r="F594" s="40"/>
      <c r="G594" s="103"/>
      <c r="H594" s="141"/>
    </row>
    <row r="595" spans="1:8" ht="17.25">
      <c r="A595" s="27"/>
      <c r="B595" s="141"/>
      <c r="C595" s="1"/>
      <c r="D595" s="1"/>
      <c r="E595" s="1"/>
      <c r="F595" s="40"/>
      <c r="G595" s="103"/>
      <c r="H595" s="141"/>
    </row>
    <row r="596" spans="1:8" ht="17.25">
      <c r="A596" s="27"/>
      <c r="B596" s="141"/>
      <c r="C596" s="1"/>
      <c r="D596" s="1"/>
      <c r="E596" s="1"/>
      <c r="F596" s="40"/>
      <c r="G596" s="103"/>
      <c r="H596" s="141"/>
    </row>
    <row r="597" spans="1:8" ht="17.25">
      <c r="A597" s="27"/>
      <c r="B597" s="141"/>
      <c r="C597" s="1"/>
      <c r="D597" s="1"/>
      <c r="E597" s="1"/>
      <c r="F597" s="40"/>
      <c r="G597" s="103"/>
      <c r="H597" s="141"/>
    </row>
    <row r="598" spans="1:8" ht="17.25">
      <c r="A598" s="27"/>
      <c r="B598" s="141"/>
      <c r="C598" s="1"/>
      <c r="D598" s="1"/>
      <c r="E598" s="1"/>
      <c r="F598" s="40"/>
      <c r="G598" s="103"/>
      <c r="H598" s="141"/>
    </row>
    <row r="599" spans="1:8" ht="17.25">
      <c r="A599" s="27"/>
      <c r="B599" s="141"/>
      <c r="C599" s="1"/>
      <c r="D599" s="1"/>
      <c r="E599" s="1"/>
      <c r="F599" s="40"/>
      <c r="G599" s="103"/>
      <c r="H599" s="141"/>
    </row>
    <row r="600" spans="1:8" ht="17.25">
      <c r="A600" s="27"/>
      <c r="B600" s="141"/>
      <c r="C600" s="1"/>
      <c r="D600" s="1"/>
      <c r="E600" s="1"/>
      <c r="F600" s="40"/>
      <c r="G600" s="103"/>
      <c r="H600" s="141"/>
    </row>
    <row r="601" spans="1:8" ht="17.25">
      <c r="A601" s="27"/>
      <c r="B601" s="141"/>
      <c r="C601" s="1"/>
      <c r="D601" s="1"/>
      <c r="E601" s="1"/>
      <c r="F601" s="40"/>
      <c r="G601" s="103"/>
      <c r="H601" s="141"/>
    </row>
    <row r="602" spans="1:8" ht="19.5">
      <c r="A602" s="1"/>
      <c r="B602" s="878" t="s">
        <v>1855</v>
      </c>
      <c r="C602" s="878"/>
      <c r="D602" s="878"/>
      <c r="E602" s="878"/>
      <c r="F602" s="878"/>
      <c r="G602" s="878"/>
      <c r="H602" s="878"/>
    </row>
    <row r="603" spans="1:8" ht="20.25">
      <c r="A603" s="260">
        <f>+A577+1</f>
        <v>37</v>
      </c>
      <c r="B603" s="877" t="s">
        <v>1856</v>
      </c>
      <c r="C603" s="878"/>
      <c r="D603" s="878"/>
      <c r="E603" s="878"/>
      <c r="F603" s="878"/>
      <c r="G603" s="878"/>
      <c r="H603" s="878"/>
    </row>
    <row r="604" spans="1:8" ht="19.5">
      <c r="A604" s="582" t="s">
        <v>3614</v>
      </c>
      <c r="B604" s="877" t="s">
        <v>2090</v>
      </c>
      <c r="C604" s="878"/>
      <c r="D604" s="878"/>
      <c r="E604" s="878"/>
      <c r="F604" s="878"/>
      <c r="G604" s="878"/>
      <c r="H604" s="878"/>
    </row>
    <row r="605" spans="1:8" ht="15">
      <c r="A605" s="1"/>
      <c r="B605" s="885" t="s">
        <v>2231</v>
      </c>
      <c r="C605" s="885"/>
      <c r="D605" s="885"/>
      <c r="E605" s="885"/>
      <c r="F605" s="885"/>
      <c r="G605" s="885"/>
      <c r="H605" s="885"/>
    </row>
    <row r="606" spans="1:8" ht="31.5">
      <c r="A606" s="1"/>
      <c r="B606" s="68" t="s">
        <v>2966</v>
      </c>
      <c r="C606" s="68" t="s">
        <v>2967</v>
      </c>
      <c r="D606" s="68" t="s">
        <v>2968</v>
      </c>
      <c r="E606" s="68" t="s">
        <v>2969</v>
      </c>
      <c r="F606" s="68" t="s">
        <v>2970</v>
      </c>
      <c r="G606" s="68" t="s">
        <v>2971</v>
      </c>
      <c r="H606" s="68" t="s">
        <v>1487</v>
      </c>
    </row>
    <row r="607" spans="1:8" ht="17.25">
      <c r="A607" s="1"/>
      <c r="B607" s="886" t="s">
        <v>1488</v>
      </c>
      <c r="C607" s="58" t="s">
        <v>516</v>
      </c>
      <c r="D607" s="41">
        <v>1.5</v>
      </c>
      <c r="E607" s="55" t="s">
        <v>1490</v>
      </c>
      <c r="F607" s="107" t="e">
        <f>#REF!</f>
        <v>#REF!</v>
      </c>
      <c r="G607" s="110" t="e">
        <f t="shared" ref="G607:G613" si="15">FLOOR(D607*F607,0.01)</f>
        <v>#REF!</v>
      </c>
      <c r="H607" s="108"/>
    </row>
    <row r="608" spans="1:8" ht="17.25">
      <c r="A608" s="1"/>
      <c r="B608" s="895"/>
      <c r="C608" s="53" t="s">
        <v>1433</v>
      </c>
      <c r="D608" s="42">
        <v>5</v>
      </c>
      <c r="E608" s="53" t="s">
        <v>1490</v>
      </c>
      <c r="F608" s="109" t="e">
        <f>#REF!</f>
        <v>#REF!</v>
      </c>
      <c r="G608" s="109" t="e">
        <f t="shared" si="15"/>
        <v>#REF!</v>
      </c>
      <c r="H608" s="121" t="e">
        <f>SUM(G607+G608)</f>
        <v>#REF!</v>
      </c>
    </row>
    <row r="609" spans="1:8" ht="17.25">
      <c r="A609" s="1"/>
      <c r="B609" s="886" t="s">
        <v>2055</v>
      </c>
      <c r="C609" s="55" t="s">
        <v>1436</v>
      </c>
      <c r="D609" s="238">
        <v>0.19400000000000001</v>
      </c>
      <c r="E609" s="55" t="s">
        <v>700</v>
      </c>
      <c r="F609" s="110" t="e">
        <f>#REF!</f>
        <v>#REF!</v>
      </c>
      <c r="G609" s="110" t="e">
        <f t="shared" si="15"/>
        <v>#REF!</v>
      </c>
      <c r="H609" s="108"/>
    </row>
    <row r="610" spans="1:8" ht="17.25">
      <c r="A610" s="1"/>
      <c r="B610" s="894"/>
      <c r="C610" s="53" t="s">
        <v>697</v>
      </c>
      <c r="D610" s="239">
        <v>0.42</v>
      </c>
      <c r="E610" s="53" t="s">
        <v>2232</v>
      </c>
      <c r="F610" s="109" t="e">
        <f>#REF!</f>
        <v>#REF!</v>
      </c>
      <c r="G610" s="109" t="e">
        <f t="shared" si="15"/>
        <v>#REF!</v>
      </c>
      <c r="H610" s="121"/>
    </row>
    <row r="611" spans="1:8" ht="17.25">
      <c r="A611" s="1"/>
      <c r="B611" s="894"/>
      <c r="C611" s="53" t="s">
        <v>2092</v>
      </c>
      <c r="D611" s="42">
        <v>1</v>
      </c>
      <c r="E611" s="53" t="s">
        <v>2232</v>
      </c>
      <c r="F611" s="109" t="e">
        <f>#REF!</f>
        <v>#REF!</v>
      </c>
      <c r="G611" s="109" t="e">
        <f t="shared" si="15"/>
        <v>#REF!</v>
      </c>
      <c r="H611" s="9"/>
    </row>
    <row r="612" spans="1:8" ht="17.25">
      <c r="A612" s="1"/>
      <c r="B612" s="894"/>
      <c r="C612" s="53" t="s">
        <v>2093</v>
      </c>
      <c r="D612" s="42">
        <v>0.1</v>
      </c>
      <c r="E612" s="53" t="s">
        <v>2232</v>
      </c>
      <c r="F612" s="109" t="e">
        <f>#REF!</f>
        <v>#REF!</v>
      </c>
      <c r="G612" s="109" t="e">
        <f t="shared" si="15"/>
        <v>#REF!</v>
      </c>
      <c r="H612" s="9"/>
    </row>
    <row r="613" spans="1:8" ht="17.25">
      <c r="A613" s="1"/>
      <c r="B613" s="895"/>
      <c r="C613" s="56" t="s">
        <v>3275</v>
      </c>
      <c r="D613" s="43">
        <v>120</v>
      </c>
      <c r="E613" s="56" t="s">
        <v>3276</v>
      </c>
      <c r="F613" s="63" t="e">
        <f>#REF!</f>
        <v>#REF!</v>
      </c>
      <c r="G613" s="63" t="e">
        <f t="shared" si="15"/>
        <v>#REF!</v>
      </c>
      <c r="H613" s="123" t="e">
        <f>SUM(G609:G613)</f>
        <v>#REF!</v>
      </c>
    </row>
    <row r="614" spans="1:8" ht="17.25">
      <c r="A614" s="1"/>
      <c r="B614" s="1"/>
      <c r="C614" s="1"/>
      <c r="D614" s="1"/>
      <c r="E614" s="1"/>
      <c r="F614" s="40" t="s">
        <v>1491</v>
      </c>
      <c r="G614" s="125"/>
      <c r="H614" s="123" t="e">
        <f>SUM(H613,H608)</f>
        <v>#REF!</v>
      </c>
    </row>
    <row r="615" spans="1:8" ht="17.25">
      <c r="A615" s="1"/>
      <c r="B615" s="1" t="s">
        <v>3233</v>
      </c>
      <c r="C615" s="1"/>
      <c r="D615" s="1"/>
      <c r="E615" s="1"/>
      <c r="F615" s="40" t="s">
        <v>1472</v>
      </c>
      <c r="G615" s="103"/>
      <c r="H615" s="99" t="e">
        <f>FLOOR(H614*0.15,0.01)</f>
        <v>#REF!</v>
      </c>
    </row>
    <row r="616" spans="1:8" ht="17.25">
      <c r="A616" s="27" t="s">
        <v>3005</v>
      </c>
      <c r="B616" s="99" t="e">
        <f>+H616</f>
        <v>#REF!</v>
      </c>
      <c r="C616" s="1" t="s">
        <v>3006</v>
      </c>
      <c r="D616" s="1"/>
      <c r="E616" s="1"/>
      <c r="F616" s="40" t="s">
        <v>1494</v>
      </c>
      <c r="G616" s="103"/>
      <c r="H616" s="99" t="e">
        <f>SUM(H614:H615)</f>
        <v>#REF!</v>
      </c>
    </row>
    <row r="617" spans="1:8" ht="17.25">
      <c r="A617" s="1"/>
      <c r="B617" s="1"/>
      <c r="C617" s="1"/>
      <c r="D617" s="1"/>
      <c r="E617" s="1"/>
      <c r="F617" s="40"/>
      <c r="G617" s="103"/>
      <c r="H617" s="141"/>
    </row>
    <row r="618" spans="1:8" ht="16.5">
      <c r="A618" s="1"/>
      <c r="B618" s="1"/>
      <c r="C618" s="1"/>
      <c r="D618" s="1"/>
      <c r="E618" s="1"/>
      <c r="F618" s="1"/>
      <c r="G618" s="1"/>
      <c r="H618" s="19"/>
    </row>
    <row r="619" spans="1:8" ht="19.5">
      <c r="A619" s="1"/>
      <c r="B619" s="878" t="s">
        <v>1855</v>
      </c>
      <c r="C619" s="878"/>
      <c r="D619" s="878"/>
      <c r="E619" s="878"/>
      <c r="F619" s="878"/>
      <c r="G619" s="878"/>
      <c r="H619" s="878"/>
    </row>
    <row r="620" spans="1:8" ht="20.25">
      <c r="A620" s="260">
        <f>+A603+1</f>
        <v>38</v>
      </c>
      <c r="B620" s="877" t="s">
        <v>3206</v>
      </c>
      <c r="C620" s="878"/>
      <c r="D620" s="878"/>
      <c r="E620" s="878"/>
      <c r="F620" s="878"/>
      <c r="G620" s="878"/>
      <c r="H620" s="878"/>
    </row>
    <row r="621" spans="1:8" ht="19.5">
      <c r="A621" s="582" t="s">
        <v>3614</v>
      </c>
      <c r="B621" s="878" t="s">
        <v>2090</v>
      </c>
      <c r="C621" s="878"/>
      <c r="D621" s="878"/>
      <c r="E621" s="878"/>
      <c r="F621" s="878"/>
      <c r="G621" s="878"/>
      <c r="H621" s="878"/>
    </row>
    <row r="622" spans="1:8" ht="15">
      <c r="A622" s="1"/>
      <c r="B622" s="879" t="s">
        <v>2231</v>
      </c>
      <c r="C622" s="879"/>
      <c r="D622" s="879"/>
      <c r="E622" s="879"/>
      <c r="F622" s="879"/>
      <c r="G622" s="879"/>
      <c r="H622" s="879"/>
    </row>
    <row r="623" spans="1:8" ht="31.5">
      <c r="A623" s="1"/>
      <c r="B623" s="68" t="s">
        <v>2966</v>
      </c>
      <c r="C623" s="68" t="s">
        <v>2967</v>
      </c>
      <c r="D623" s="68" t="s">
        <v>2968</v>
      </c>
      <c r="E623" s="68" t="s">
        <v>2969</v>
      </c>
      <c r="F623" s="68" t="s">
        <v>2970</v>
      </c>
      <c r="G623" s="68" t="s">
        <v>2971</v>
      </c>
      <c r="H623" s="68" t="s">
        <v>1487</v>
      </c>
    </row>
    <row r="624" spans="1:8" ht="17.25">
      <c r="A624" s="1"/>
      <c r="B624" s="906" t="s">
        <v>1488</v>
      </c>
      <c r="C624" s="14" t="s">
        <v>516</v>
      </c>
      <c r="D624" s="41">
        <v>1.5</v>
      </c>
      <c r="E624" s="55" t="s">
        <v>1490</v>
      </c>
      <c r="F624" s="107" t="e">
        <f>#REF!</f>
        <v>#REF!</v>
      </c>
      <c r="G624" s="110" t="e">
        <f t="shared" ref="G624:G630" si="16">FLOOR(D624*F624,0.01)</f>
        <v>#REF!</v>
      </c>
      <c r="H624" s="108"/>
    </row>
    <row r="625" spans="1:8" ht="17.25">
      <c r="A625" s="1"/>
      <c r="B625" s="887"/>
      <c r="C625" s="12" t="s">
        <v>1433</v>
      </c>
      <c r="D625" s="42">
        <v>5</v>
      </c>
      <c r="E625" s="53" t="s">
        <v>1490</v>
      </c>
      <c r="F625" s="109" t="e">
        <f>#REF!</f>
        <v>#REF!</v>
      </c>
      <c r="G625" s="109" t="e">
        <f t="shared" si="16"/>
        <v>#REF!</v>
      </c>
      <c r="H625" s="123" t="e">
        <f>SUM(G624:G625)</f>
        <v>#REF!</v>
      </c>
    </row>
    <row r="626" spans="1:8" ht="17.25">
      <c r="A626" s="1"/>
      <c r="B626" s="906" t="s">
        <v>2055</v>
      </c>
      <c r="C626" s="11" t="s">
        <v>1436</v>
      </c>
      <c r="D626" s="238">
        <v>0.159</v>
      </c>
      <c r="E626" s="55" t="s">
        <v>700</v>
      </c>
      <c r="F626" s="110" t="e">
        <f>#REF!</f>
        <v>#REF!</v>
      </c>
      <c r="G626" s="110" t="e">
        <f t="shared" si="16"/>
        <v>#REF!</v>
      </c>
      <c r="H626" s="108"/>
    </row>
    <row r="627" spans="1:8" ht="17.25">
      <c r="A627" s="1"/>
      <c r="B627" s="907"/>
      <c r="C627" s="12" t="s">
        <v>697</v>
      </c>
      <c r="D627" s="239">
        <v>0.45</v>
      </c>
      <c r="E627" s="53" t="s">
        <v>2232</v>
      </c>
      <c r="F627" s="109" t="e">
        <f>#REF!</f>
        <v>#REF!</v>
      </c>
      <c r="G627" s="109" t="e">
        <f t="shared" si="16"/>
        <v>#REF!</v>
      </c>
      <c r="H627" s="121"/>
    </row>
    <row r="628" spans="1:8" ht="17.25">
      <c r="A628" s="1"/>
      <c r="B628" s="907"/>
      <c r="C628" s="12" t="s">
        <v>2092</v>
      </c>
      <c r="D628" s="42">
        <v>1</v>
      </c>
      <c r="E628" s="53" t="s">
        <v>2232</v>
      </c>
      <c r="F628" s="109" t="e">
        <f>#REF!</f>
        <v>#REF!</v>
      </c>
      <c r="G628" s="109" t="e">
        <f t="shared" si="16"/>
        <v>#REF!</v>
      </c>
      <c r="H628" s="9"/>
    </row>
    <row r="629" spans="1:8" ht="17.25">
      <c r="A629" s="1"/>
      <c r="B629" s="907"/>
      <c r="C629" s="12" t="s">
        <v>2093</v>
      </c>
      <c r="D629" s="42">
        <v>0.1</v>
      </c>
      <c r="E629" s="53" t="s">
        <v>2232</v>
      </c>
      <c r="F629" s="109" t="e">
        <f>#REF!</f>
        <v>#REF!</v>
      </c>
      <c r="G629" s="109" t="e">
        <f t="shared" si="16"/>
        <v>#REF!</v>
      </c>
      <c r="H629" s="9"/>
    </row>
    <row r="630" spans="1:8" ht="17.25">
      <c r="A630" s="1"/>
      <c r="B630" s="908"/>
      <c r="C630" s="15" t="s">
        <v>3275</v>
      </c>
      <c r="D630" s="43">
        <v>100</v>
      </c>
      <c r="E630" s="56" t="s">
        <v>3276</v>
      </c>
      <c r="F630" s="63" t="e">
        <f>#REF!</f>
        <v>#REF!</v>
      </c>
      <c r="G630" s="63" t="e">
        <f t="shared" si="16"/>
        <v>#REF!</v>
      </c>
      <c r="H630" s="123" t="e">
        <f>SUM(G626:G630)</f>
        <v>#REF!</v>
      </c>
    </row>
    <row r="631" spans="1:8" ht="17.25">
      <c r="A631" s="1"/>
      <c r="B631" s="1"/>
      <c r="C631" s="1"/>
      <c r="D631" s="1"/>
      <c r="E631" s="1"/>
      <c r="F631" s="40" t="s">
        <v>1491</v>
      </c>
      <c r="G631" s="113"/>
      <c r="H631" s="63" t="e">
        <f>SUM(H630,H625)</f>
        <v>#REF!</v>
      </c>
    </row>
    <row r="632" spans="1:8" ht="17.25">
      <c r="A632" s="1"/>
      <c r="B632" s="1" t="s">
        <v>3233</v>
      </c>
      <c r="C632" s="1"/>
      <c r="D632" s="1"/>
      <c r="E632" s="1"/>
      <c r="F632" s="40" t="s">
        <v>1472</v>
      </c>
      <c r="G632" s="113"/>
      <c r="H632" s="99" t="e">
        <f>FLOOR(H631*0.15,0.01)</f>
        <v>#REF!</v>
      </c>
    </row>
    <row r="633" spans="1:8" ht="17.25">
      <c r="A633" s="27" t="s">
        <v>3005</v>
      </c>
      <c r="B633" s="99" t="e">
        <f>+H633</f>
        <v>#REF!</v>
      </c>
      <c r="C633" s="1" t="s">
        <v>3006</v>
      </c>
      <c r="D633" s="1"/>
      <c r="E633" s="1"/>
      <c r="F633" s="40" t="s">
        <v>1494</v>
      </c>
      <c r="G633" s="113"/>
      <c r="H633" s="99" t="e">
        <f>SUM(H631:H632)</f>
        <v>#REF!</v>
      </c>
    </row>
    <row r="634" spans="1:8" ht="17.25">
      <c r="A634" s="27"/>
      <c r="B634" s="141"/>
      <c r="C634" s="1"/>
      <c r="D634" s="1"/>
      <c r="E634" s="1"/>
      <c r="F634" s="40"/>
      <c r="G634" s="113"/>
      <c r="H634" s="141"/>
    </row>
    <row r="635" spans="1:8" ht="19.5">
      <c r="A635" s="1"/>
      <c r="B635" s="878" t="s">
        <v>1855</v>
      </c>
      <c r="C635" s="878"/>
      <c r="D635" s="878"/>
      <c r="E635" s="878"/>
      <c r="F635" s="878"/>
      <c r="G635" s="878"/>
      <c r="H635" s="878"/>
    </row>
    <row r="636" spans="1:8" ht="20.25">
      <c r="A636" s="260">
        <f>+A620+1</f>
        <v>39</v>
      </c>
      <c r="B636" s="878" t="s">
        <v>3207</v>
      </c>
      <c r="C636" s="878"/>
      <c r="D636" s="878"/>
      <c r="E636" s="878"/>
      <c r="F636" s="878"/>
      <c r="G636" s="878"/>
      <c r="H636" s="878"/>
    </row>
    <row r="637" spans="1:8" ht="19.5">
      <c r="A637" s="582" t="s">
        <v>3614</v>
      </c>
      <c r="B637" s="878" t="s">
        <v>2090</v>
      </c>
      <c r="C637" s="878"/>
      <c r="D637" s="878"/>
      <c r="E637" s="878"/>
      <c r="F637" s="878"/>
      <c r="G637" s="878"/>
      <c r="H637" s="878"/>
    </row>
    <row r="638" spans="1:8" ht="15">
      <c r="A638" s="1"/>
      <c r="B638" s="879" t="s">
        <v>2231</v>
      </c>
      <c r="C638" s="879"/>
      <c r="D638" s="879"/>
      <c r="E638" s="879"/>
      <c r="F638" s="879"/>
      <c r="G638" s="879"/>
      <c r="H638" s="879"/>
    </row>
    <row r="639" spans="1:8" ht="31.5">
      <c r="A639" s="1"/>
      <c r="B639" s="68" t="s">
        <v>2966</v>
      </c>
      <c r="C639" s="68" t="s">
        <v>2967</v>
      </c>
      <c r="D639" s="68" t="s">
        <v>2968</v>
      </c>
      <c r="E639" s="68" t="s">
        <v>2969</v>
      </c>
      <c r="F639" s="68" t="s">
        <v>2970</v>
      </c>
      <c r="G639" s="68" t="s">
        <v>2971</v>
      </c>
      <c r="H639" s="68" t="s">
        <v>1487</v>
      </c>
    </row>
    <row r="640" spans="1:8" ht="17.25">
      <c r="A640" s="1"/>
      <c r="B640" s="886" t="s">
        <v>1488</v>
      </c>
      <c r="C640" s="58" t="s">
        <v>516</v>
      </c>
      <c r="D640" s="41">
        <v>1.5</v>
      </c>
      <c r="E640" s="55" t="s">
        <v>1490</v>
      </c>
      <c r="F640" s="107" t="e">
        <f>#REF!</f>
        <v>#REF!</v>
      </c>
      <c r="G640" s="110" t="e">
        <f t="shared" ref="G640:G646" si="17">FLOOR(D640*F640,0.01)</f>
        <v>#REF!</v>
      </c>
      <c r="H640" s="108"/>
    </row>
    <row r="641" spans="1:8" ht="17.25">
      <c r="A641" s="1"/>
      <c r="B641" s="887"/>
      <c r="C641" s="53" t="s">
        <v>1433</v>
      </c>
      <c r="D641" s="42">
        <v>5</v>
      </c>
      <c r="E641" s="53" t="s">
        <v>1490</v>
      </c>
      <c r="F641" s="109" t="e">
        <f>#REF!</f>
        <v>#REF!</v>
      </c>
      <c r="G641" s="109" t="e">
        <f t="shared" si="17"/>
        <v>#REF!</v>
      </c>
      <c r="H641" s="123" t="e">
        <f>SUM(G640+G641)</f>
        <v>#REF!</v>
      </c>
    </row>
    <row r="642" spans="1:8" ht="17.25">
      <c r="A642" s="1"/>
      <c r="B642" s="886" t="s">
        <v>2055</v>
      </c>
      <c r="C642" s="55" t="s">
        <v>1436</v>
      </c>
      <c r="D642" s="238">
        <v>0.106</v>
      </c>
      <c r="E642" s="55" t="s">
        <v>700</v>
      </c>
      <c r="F642" s="110" t="e">
        <f>#REF!</f>
        <v>#REF!</v>
      </c>
      <c r="G642" s="110" t="e">
        <f t="shared" si="17"/>
        <v>#REF!</v>
      </c>
      <c r="H642" s="108"/>
    </row>
    <row r="643" spans="1:8" ht="17.25">
      <c r="A643" s="1"/>
      <c r="B643" s="894"/>
      <c r="C643" s="53" t="s">
        <v>697</v>
      </c>
      <c r="D643" s="239">
        <v>0.47</v>
      </c>
      <c r="E643" s="53" t="s">
        <v>2232</v>
      </c>
      <c r="F643" s="109" t="e">
        <f>#REF!</f>
        <v>#REF!</v>
      </c>
      <c r="G643" s="109" t="e">
        <f t="shared" si="17"/>
        <v>#REF!</v>
      </c>
      <c r="H643" s="121"/>
    </row>
    <row r="644" spans="1:8" ht="17.25">
      <c r="A644" s="1"/>
      <c r="B644" s="894"/>
      <c r="C644" s="53" t="s">
        <v>2092</v>
      </c>
      <c r="D644" s="42">
        <v>1</v>
      </c>
      <c r="E644" s="53" t="s">
        <v>2232</v>
      </c>
      <c r="F644" s="109" t="e">
        <f>#REF!</f>
        <v>#REF!</v>
      </c>
      <c r="G644" s="109" t="e">
        <f t="shared" si="17"/>
        <v>#REF!</v>
      </c>
      <c r="H644" s="9"/>
    </row>
    <row r="645" spans="1:8" ht="17.25">
      <c r="A645" s="1"/>
      <c r="B645" s="894"/>
      <c r="C645" s="53" t="s">
        <v>2093</v>
      </c>
      <c r="D645" s="42">
        <v>0.1</v>
      </c>
      <c r="E645" s="53" t="s">
        <v>2232</v>
      </c>
      <c r="F645" s="109" t="e">
        <f>#REF!</f>
        <v>#REF!</v>
      </c>
      <c r="G645" s="109" t="e">
        <f t="shared" si="17"/>
        <v>#REF!</v>
      </c>
      <c r="H645" s="9"/>
    </row>
    <row r="646" spans="1:8" ht="17.25">
      <c r="A646" s="1"/>
      <c r="B646" s="895"/>
      <c r="C646" s="56" t="s">
        <v>3275</v>
      </c>
      <c r="D646" s="43">
        <v>70</v>
      </c>
      <c r="E646" s="56" t="s">
        <v>3276</v>
      </c>
      <c r="F646" s="63" t="e">
        <f>#REF!</f>
        <v>#REF!</v>
      </c>
      <c r="G646" s="63" t="e">
        <f t="shared" si="17"/>
        <v>#REF!</v>
      </c>
      <c r="H646" s="123" t="e">
        <f>SUM(G642:G646)</f>
        <v>#REF!</v>
      </c>
    </row>
    <row r="647" spans="1:8" ht="17.25">
      <c r="A647" s="1"/>
      <c r="B647" s="1"/>
      <c r="C647" s="1"/>
      <c r="D647" s="1"/>
      <c r="E647" s="1"/>
      <c r="F647" s="1" t="s">
        <v>1491</v>
      </c>
      <c r="G647" s="113"/>
      <c r="H647" s="63" t="e">
        <f>SUM(H646,H641)</f>
        <v>#REF!</v>
      </c>
    </row>
    <row r="648" spans="1:8" ht="17.25">
      <c r="A648" s="1"/>
      <c r="B648" s="1" t="s">
        <v>3233</v>
      </c>
      <c r="C648" s="1"/>
      <c r="D648" s="1"/>
      <c r="E648" s="1"/>
      <c r="F648" s="1" t="s">
        <v>1472</v>
      </c>
      <c r="G648" s="113"/>
      <c r="H648" s="99" t="e">
        <f>FLOOR(H647*0.15,0.01)</f>
        <v>#REF!</v>
      </c>
    </row>
    <row r="649" spans="1:8" ht="17.25">
      <c r="A649" s="27" t="s">
        <v>3005</v>
      </c>
      <c r="B649" s="99" t="e">
        <f>+H649</f>
        <v>#REF!</v>
      </c>
      <c r="C649" s="1" t="s">
        <v>3006</v>
      </c>
      <c r="D649" s="1"/>
      <c r="E649" s="1"/>
      <c r="F649" s="1" t="s">
        <v>1494</v>
      </c>
      <c r="G649" s="113"/>
      <c r="H649" s="99" t="e">
        <f>SUM(H647:H648)</f>
        <v>#REF!</v>
      </c>
    </row>
    <row r="650" spans="1:8" ht="17.25">
      <c r="A650" s="27"/>
      <c r="B650" s="141"/>
      <c r="C650" s="1"/>
      <c r="D650" s="1"/>
      <c r="E650" s="1"/>
      <c r="F650" s="1"/>
      <c r="G650" s="113"/>
      <c r="H650" s="141"/>
    </row>
    <row r="651" spans="1:8" ht="19.5">
      <c r="A651" s="1"/>
      <c r="B651" s="878"/>
      <c r="C651" s="878"/>
      <c r="D651" s="878"/>
      <c r="E651" s="878"/>
      <c r="F651" s="878"/>
      <c r="G651" s="878"/>
      <c r="H651" s="878"/>
    </row>
    <row r="652" spans="1:8" ht="20.25">
      <c r="A652" s="260">
        <f>+A636+1</f>
        <v>40</v>
      </c>
      <c r="B652" s="878" t="s">
        <v>3604</v>
      </c>
      <c r="C652" s="878"/>
      <c r="D652" s="878"/>
      <c r="E652" s="878"/>
      <c r="F652" s="878"/>
      <c r="G652" s="878"/>
      <c r="H652" s="878"/>
    </row>
    <row r="653" spans="1:8" ht="19.5">
      <c r="A653" s="582" t="s">
        <v>3614</v>
      </c>
      <c r="B653" s="878" t="s">
        <v>3054</v>
      </c>
      <c r="C653" s="878"/>
      <c r="D653" s="878"/>
      <c r="E653" s="878"/>
      <c r="F653" s="878"/>
      <c r="G653" s="878"/>
      <c r="H653" s="878"/>
    </row>
    <row r="654" spans="1:8" ht="15">
      <c r="A654" s="1"/>
      <c r="B654" s="879" t="s">
        <v>2231</v>
      </c>
      <c r="C654" s="879"/>
      <c r="D654" s="879"/>
      <c r="E654" s="879"/>
      <c r="F654" s="879"/>
      <c r="G654" s="879"/>
      <c r="H654" s="879"/>
    </row>
    <row r="655" spans="1:8" ht="31.5">
      <c r="A655" s="1"/>
      <c r="B655" s="68" t="s">
        <v>2966</v>
      </c>
      <c r="C655" s="68" t="s">
        <v>2967</v>
      </c>
      <c r="D655" s="68" t="s">
        <v>2968</v>
      </c>
      <c r="E655" s="68" t="s">
        <v>2969</v>
      </c>
      <c r="F655" s="68" t="s">
        <v>2970</v>
      </c>
      <c r="G655" s="68" t="s">
        <v>2971</v>
      </c>
      <c r="H655" s="68" t="s">
        <v>1487</v>
      </c>
    </row>
    <row r="656" spans="1:8" ht="17.25">
      <c r="A656" s="1"/>
      <c r="B656" s="886" t="s">
        <v>1488</v>
      </c>
      <c r="C656" s="58" t="s">
        <v>516</v>
      </c>
      <c r="D656" s="41">
        <v>1</v>
      </c>
      <c r="E656" s="55" t="s">
        <v>1490</v>
      </c>
      <c r="F656" s="107" t="e">
        <f>#REF!</f>
        <v>#REF!</v>
      </c>
      <c r="G656" s="110" t="e">
        <f>FLOOR(D656*F656,0.01)</f>
        <v>#REF!</v>
      </c>
      <c r="H656" s="108"/>
    </row>
    <row r="657" spans="1:8" ht="17.25">
      <c r="A657" s="1"/>
      <c r="B657" s="887"/>
      <c r="C657" s="56" t="s">
        <v>1433</v>
      </c>
      <c r="D657" s="42">
        <v>2</v>
      </c>
      <c r="E657" s="56" t="s">
        <v>1490</v>
      </c>
      <c r="F657" s="63" t="e">
        <f>#REF!</f>
        <v>#REF!</v>
      </c>
      <c r="G657" s="109" t="e">
        <f>FLOOR(D657*F657,0.01)</f>
        <v>#REF!</v>
      </c>
      <c r="H657" s="123" t="e">
        <f>SUM(G656+G657)</f>
        <v>#REF!</v>
      </c>
    </row>
    <row r="658" spans="1:8" ht="17.25">
      <c r="A658" s="1"/>
      <c r="B658" s="894" t="s">
        <v>2055</v>
      </c>
      <c r="C658" s="53" t="s">
        <v>2092</v>
      </c>
      <c r="D658" s="41">
        <v>1</v>
      </c>
      <c r="E658" s="53" t="s">
        <v>2232</v>
      </c>
      <c r="F658" s="109" t="e">
        <f>#REF!</f>
        <v>#REF!</v>
      </c>
      <c r="G658" s="107" t="e">
        <f>FLOOR(D658*F658,0.01)</f>
        <v>#REF!</v>
      </c>
      <c r="H658" s="108"/>
    </row>
    <row r="659" spans="1:8" ht="17.25">
      <c r="A659" s="1"/>
      <c r="B659" s="895"/>
      <c r="C659" s="56" t="s">
        <v>2093</v>
      </c>
      <c r="D659" s="43">
        <v>0.1</v>
      </c>
      <c r="E659" s="56" t="s">
        <v>2232</v>
      </c>
      <c r="F659" s="63" t="e">
        <f>#REF!</f>
        <v>#REF!</v>
      </c>
      <c r="G659" s="63" t="e">
        <f>FLOOR(D659*F659,0.01)</f>
        <v>#REF!</v>
      </c>
      <c r="H659" s="123" t="e">
        <f>SUM(G658+G659)</f>
        <v>#REF!</v>
      </c>
    </row>
    <row r="660" spans="1:8" ht="17.25">
      <c r="A660" s="1"/>
      <c r="B660" s="1"/>
      <c r="C660" s="1"/>
      <c r="D660" s="1"/>
      <c r="E660" s="1"/>
      <c r="F660" s="40" t="s">
        <v>1491</v>
      </c>
      <c r="G660" s="40"/>
      <c r="H660" s="63" t="e">
        <f>SUM(H656:H659)</f>
        <v>#REF!</v>
      </c>
    </row>
    <row r="661" spans="1:8" ht="17.25">
      <c r="A661" s="1"/>
      <c r="B661" s="1" t="s">
        <v>3233</v>
      </c>
      <c r="C661" s="1"/>
      <c r="D661" s="1"/>
      <c r="E661" s="1"/>
      <c r="F661" s="40" t="s">
        <v>1472</v>
      </c>
      <c r="G661" s="40"/>
      <c r="H661" s="99" t="e">
        <f>FLOOR(H660*0.15,0.01)</f>
        <v>#REF!</v>
      </c>
    </row>
    <row r="662" spans="1:8" ht="17.25">
      <c r="A662" s="27" t="s">
        <v>3005</v>
      </c>
      <c r="B662" s="99" t="e">
        <f>+H662</f>
        <v>#REF!</v>
      </c>
      <c r="C662" s="1" t="s">
        <v>3006</v>
      </c>
      <c r="D662" s="1"/>
      <c r="E662" s="1"/>
      <c r="F662" s="40" t="s">
        <v>1494</v>
      </c>
      <c r="G662" s="40"/>
      <c r="H662" s="99" t="e">
        <f>SUM(H660:H661)</f>
        <v>#REF!</v>
      </c>
    </row>
    <row r="663" spans="1:8" ht="15">
      <c r="A663" s="1"/>
      <c r="B663" s="1"/>
      <c r="C663" s="1"/>
      <c r="D663" s="1"/>
      <c r="E663" s="1"/>
      <c r="F663" s="1"/>
      <c r="G663" s="1"/>
      <c r="H663" s="1"/>
    </row>
    <row r="664" spans="1:8" ht="19.5">
      <c r="A664" s="1"/>
      <c r="B664" s="878" t="s">
        <v>1855</v>
      </c>
      <c r="C664" s="878"/>
      <c r="D664" s="878"/>
      <c r="E664" s="878"/>
      <c r="F664" s="878"/>
      <c r="G664" s="878"/>
      <c r="H664" s="878"/>
    </row>
    <row r="665" spans="1:8" ht="20.25">
      <c r="A665" s="260">
        <f>+A652+1</f>
        <v>41</v>
      </c>
      <c r="B665" s="878" t="s">
        <v>1854</v>
      </c>
      <c r="C665" s="878"/>
      <c r="D665" s="878"/>
      <c r="E665" s="878"/>
      <c r="F665" s="878"/>
      <c r="G665" s="878"/>
      <c r="H665" s="878"/>
    </row>
    <row r="666" spans="1:8" ht="19.5">
      <c r="A666" s="582" t="s">
        <v>3614</v>
      </c>
      <c r="B666" s="878" t="s">
        <v>3054</v>
      </c>
      <c r="C666" s="878"/>
      <c r="D666" s="878"/>
      <c r="E666" s="878"/>
      <c r="F666" s="878"/>
      <c r="G666" s="878"/>
      <c r="H666" s="878"/>
    </row>
    <row r="667" spans="1:8" ht="15">
      <c r="A667" s="1"/>
      <c r="B667" s="879" t="s">
        <v>2231</v>
      </c>
      <c r="C667" s="879"/>
      <c r="D667" s="879"/>
      <c r="E667" s="879"/>
      <c r="F667" s="879"/>
      <c r="G667" s="879"/>
      <c r="H667" s="879"/>
    </row>
    <row r="668" spans="1:8" ht="31.5">
      <c r="A668" s="1"/>
      <c r="B668" s="68" t="s">
        <v>2966</v>
      </c>
      <c r="C668" s="68" t="s">
        <v>2967</v>
      </c>
      <c r="D668" s="68" t="s">
        <v>2968</v>
      </c>
      <c r="E668" s="68" t="s">
        <v>2969</v>
      </c>
      <c r="F668" s="68" t="s">
        <v>2970</v>
      </c>
      <c r="G668" s="68" t="s">
        <v>2971</v>
      </c>
      <c r="H668" s="68" t="s">
        <v>1487</v>
      </c>
    </row>
    <row r="669" spans="1:8" ht="17.25">
      <c r="A669" s="1"/>
      <c r="B669" s="886" t="s">
        <v>1488</v>
      </c>
      <c r="C669" s="58" t="s">
        <v>516</v>
      </c>
      <c r="D669" s="41">
        <v>1</v>
      </c>
      <c r="E669" s="55" t="s">
        <v>1490</v>
      </c>
      <c r="F669" s="110" t="e">
        <f>#REF!</f>
        <v>#REF!</v>
      </c>
      <c r="G669" s="110" t="e">
        <f t="shared" ref="G669:G674" si="18">FLOOR(D669*F669,0.01)</f>
        <v>#REF!</v>
      </c>
      <c r="H669" s="108"/>
    </row>
    <row r="670" spans="1:8" ht="17.25">
      <c r="A670" s="1"/>
      <c r="B670" s="887"/>
      <c r="C670" s="56" t="s">
        <v>1433</v>
      </c>
      <c r="D670" s="42">
        <v>2.25</v>
      </c>
      <c r="E670" s="53" t="s">
        <v>1490</v>
      </c>
      <c r="F670" s="109" t="e">
        <f>#REF!</f>
        <v>#REF!</v>
      </c>
      <c r="G670" s="109" t="e">
        <f t="shared" si="18"/>
        <v>#REF!</v>
      </c>
      <c r="H670" s="121" t="e">
        <f>SUM(G669+G670)</f>
        <v>#REF!</v>
      </c>
    </row>
    <row r="671" spans="1:8" ht="17.25">
      <c r="A671" s="1"/>
      <c r="B671" s="886" t="s">
        <v>2055</v>
      </c>
      <c r="C671" s="53" t="s">
        <v>2092</v>
      </c>
      <c r="D671" s="41">
        <v>1</v>
      </c>
      <c r="E671" s="55" t="s">
        <v>2232</v>
      </c>
      <c r="F671" s="110" t="e">
        <f>#REF!</f>
        <v>#REF!</v>
      </c>
      <c r="G671" s="110" t="e">
        <f t="shared" si="18"/>
        <v>#REF!</v>
      </c>
      <c r="H671" s="108"/>
    </row>
    <row r="672" spans="1:8" ht="17.25">
      <c r="A672" s="1"/>
      <c r="B672" s="894"/>
      <c r="C672" s="53" t="s">
        <v>2093</v>
      </c>
      <c r="D672" s="42">
        <v>0.1</v>
      </c>
      <c r="E672" s="53" t="s">
        <v>2232</v>
      </c>
      <c r="F672" s="109" t="e">
        <f>#REF!</f>
        <v>#REF!</v>
      </c>
      <c r="G672" s="109" t="e">
        <f t="shared" si="18"/>
        <v>#REF!</v>
      </c>
      <c r="H672" s="121"/>
    </row>
    <row r="673" spans="1:8" ht="17.25">
      <c r="A673" s="1"/>
      <c r="B673" s="894"/>
      <c r="C673" s="53" t="s">
        <v>1853</v>
      </c>
      <c r="D673" s="42">
        <v>0.42</v>
      </c>
      <c r="E673" s="53" t="s">
        <v>2232</v>
      </c>
      <c r="F673" s="109" t="e">
        <f>#REF!</f>
        <v>#REF!</v>
      </c>
      <c r="G673" s="109" t="e">
        <f t="shared" si="18"/>
        <v>#REF!</v>
      </c>
      <c r="H673" s="121"/>
    </row>
    <row r="674" spans="1:8" ht="17.25">
      <c r="A674" s="1"/>
      <c r="B674" s="895"/>
      <c r="C674" s="56" t="s">
        <v>3275</v>
      </c>
      <c r="D674" s="43">
        <v>70</v>
      </c>
      <c r="E674" s="56" t="s">
        <v>3276</v>
      </c>
      <c r="F674" s="63" t="e">
        <f>#REF!</f>
        <v>#REF!</v>
      </c>
      <c r="G674" s="63" t="e">
        <f t="shared" si="18"/>
        <v>#REF!</v>
      </c>
      <c r="H674" s="123" t="e">
        <f>SUM(G671:G674)</f>
        <v>#REF!</v>
      </c>
    </row>
    <row r="675" spans="1:8" ht="17.25">
      <c r="A675" s="1"/>
      <c r="B675" s="1"/>
      <c r="C675" s="1"/>
      <c r="D675" s="1"/>
      <c r="E675" s="1"/>
      <c r="F675" s="40" t="s">
        <v>1491</v>
      </c>
      <c r="G675" s="40"/>
      <c r="H675" s="63" t="e">
        <f>SUM(H670:H674)</f>
        <v>#REF!</v>
      </c>
    </row>
    <row r="676" spans="1:8" ht="17.25">
      <c r="A676" s="1"/>
      <c r="B676" s="1" t="s">
        <v>3233</v>
      </c>
      <c r="C676" s="1"/>
      <c r="D676" s="1"/>
      <c r="E676" s="1"/>
      <c r="F676" s="40" t="s">
        <v>1472</v>
      </c>
      <c r="G676" s="40"/>
      <c r="H676" s="99" t="e">
        <f>FLOOR(H675*0.15,0.01)</f>
        <v>#REF!</v>
      </c>
    </row>
    <row r="677" spans="1:8" ht="17.25">
      <c r="A677" s="27" t="s">
        <v>3005</v>
      </c>
      <c r="B677" s="99" t="e">
        <f>+H677</f>
        <v>#REF!</v>
      </c>
      <c r="C677" s="1" t="s">
        <v>3006</v>
      </c>
      <c r="D677" s="1"/>
      <c r="E677" s="1"/>
      <c r="F677" s="40" t="s">
        <v>1494</v>
      </c>
      <c r="G677" s="40"/>
      <c r="H677" s="99" t="e">
        <f>SUM(H675:H676)</f>
        <v>#REF!</v>
      </c>
    </row>
    <row r="678" spans="1:8" ht="17.25">
      <c r="A678" s="1"/>
      <c r="B678" s="1"/>
      <c r="C678" s="1"/>
      <c r="D678" s="1"/>
      <c r="E678" s="1"/>
      <c r="F678" s="40"/>
      <c r="G678" s="40"/>
      <c r="H678" s="88"/>
    </row>
    <row r="679" spans="1:8" ht="16.5">
      <c r="A679" s="1"/>
      <c r="B679" s="1"/>
      <c r="C679" s="1"/>
      <c r="D679" s="1"/>
      <c r="E679" s="1"/>
      <c r="F679" s="1"/>
      <c r="G679" s="1"/>
      <c r="H679" s="19"/>
    </row>
    <row r="680" spans="1:8" ht="16.5">
      <c r="A680" s="1"/>
      <c r="B680" s="1"/>
      <c r="C680" s="1"/>
      <c r="D680" s="1"/>
      <c r="E680" s="1"/>
      <c r="F680" s="1"/>
      <c r="G680" s="1"/>
      <c r="H680" s="19"/>
    </row>
    <row r="681" spans="1:8" ht="20.25">
      <c r="A681" s="260">
        <f>A665+1</f>
        <v>42</v>
      </c>
      <c r="B681" s="878" t="s">
        <v>3234</v>
      </c>
      <c r="C681" s="878"/>
      <c r="D681" s="878"/>
      <c r="E681" s="878"/>
      <c r="F681" s="878"/>
      <c r="G681" s="878"/>
      <c r="H681" s="878"/>
    </row>
    <row r="682" spans="1:8" ht="15.75">
      <c r="A682" s="582" t="s">
        <v>3615</v>
      </c>
      <c r="B682" s="879" t="s">
        <v>2923</v>
      </c>
      <c r="C682" s="879"/>
      <c r="D682" s="879"/>
      <c r="E682" s="879"/>
      <c r="F682" s="879"/>
      <c r="G682" s="879"/>
      <c r="H682" s="879"/>
    </row>
    <row r="683" spans="1:8" ht="15">
      <c r="A683" s="1"/>
      <c r="B683" s="3"/>
      <c r="C683" s="3"/>
      <c r="D683" s="3"/>
      <c r="E683" s="3"/>
      <c r="F683" s="3"/>
      <c r="G683" s="3"/>
      <c r="H683" s="3"/>
    </row>
    <row r="684" spans="1:8" ht="31.5">
      <c r="A684" s="1"/>
      <c r="B684" s="68" t="s">
        <v>2966</v>
      </c>
      <c r="C684" s="68" t="s">
        <v>2967</v>
      </c>
      <c r="D684" s="68" t="s">
        <v>2968</v>
      </c>
      <c r="E684" s="68" t="s">
        <v>2969</v>
      </c>
      <c r="F684" s="68" t="s">
        <v>2970</v>
      </c>
      <c r="G684" s="68" t="s">
        <v>2971</v>
      </c>
      <c r="H684" s="68" t="s">
        <v>1487</v>
      </c>
    </row>
    <row r="685" spans="1:8" ht="17.25">
      <c r="A685" s="1"/>
      <c r="B685" s="886" t="s">
        <v>1488</v>
      </c>
      <c r="C685" s="58" t="s">
        <v>516</v>
      </c>
      <c r="D685" s="41">
        <v>15</v>
      </c>
      <c r="E685" s="55" t="s">
        <v>1490</v>
      </c>
      <c r="F685" s="107"/>
      <c r="G685" s="110"/>
      <c r="H685" s="108"/>
    </row>
    <row r="686" spans="1:8" ht="17.25">
      <c r="A686" s="1"/>
      <c r="B686" s="887"/>
      <c r="C686" s="53" t="s">
        <v>1433</v>
      </c>
      <c r="D686" s="42">
        <v>30</v>
      </c>
      <c r="E686" s="53" t="s">
        <v>1490</v>
      </c>
      <c r="F686" s="109"/>
      <c r="G686" s="109"/>
      <c r="H686" s="121"/>
    </row>
    <row r="687" spans="1:8" ht="17.25">
      <c r="A687" s="1"/>
      <c r="B687" s="886" t="s">
        <v>2055</v>
      </c>
      <c r="C687" s="55" t="s">
        <v>3235</v>
      </c>
      <c r="D687" s="41">
        <v>11</v>
      </c>
      <c r="E687" s="55" t="s">
        <v>2232</v>
      </c>
      <c r="F687" s="110"/>
      <c r="G687" s="110"/>
      <c r="H687" s="108"/>
    </row>
    <row r="688" spans="1:8" ht="17.25">
      <c r="A688" s="1"/>
      <c r="B688" s="894"/>
      <c r="C688" s="53" t="s">
        <v>1436</v>
      </c>
      <c r="D688" s="42">
        <v>1.4</v>
      </c>
      <c r="E688" s="53" t="s">
        <v>700</v>
      </c>
      <c r="F688" s="109"/>
      <c r="G688" s="109"/>
      <c r="H688" s="9"/>
    </row>
    <row r="689" spans="1:8" ht="17.25">
      <c r="A689" s="1"/>
      <c r="B689" s="894"/>
      <c r="C689" s="53" t="s">
        <v>1850</v>
      </c>
      <c r="D689" s="42">
        <v>4.2</v>
      </c>
      <c r="E689" s="53" t="s">
        <v>2232</v>
      </c>
      <c r="F689" s="109"/>
      <c r="G689" s="109"/>
      <c r="H689" s="9"/>
    </row>
    <row r="690" spans="1:8" ht="17.25">
      <c r="A690" s="1"/>
      <c r="B690" s="895"/>
      <c r="C690" s="56" t="s">
        <v>3275</v>
      </c>
      <c r="D690" s="43">
        <v>900</v>
      </c>
      <c r="E690" s="56" t="s">
        <v>3276</v>
      </c>
      <c r="F690" s="63"/>
      <c r="G690" s="63"/>
      <c r="H690" s="123"/>
    </row>
    <row r="691" spans="1:8" ht="17.25">
      <c r="A691" s="1"/>
      <c r="B691" s="1"/>
      <c r="C691" s="1"/>
      <c r="D691" s="1"/>
      <c r="E691" s="1"/>
      <c r="F691" s="40"/>
      <c r="G691" s="103"/>
      <c r="H691" s="63"/>
    </row>
    <row r="692" spans="1:8" ht="17.25">
      <c r="B692" s="3" t="s">
        <v>3233</v>
      </c>
      <c r="E692" s="1"/>
      <c r="F692" s="40"/>
      <c r="G692" s="103"/>
      <c r="H692" s="99"/>
    </row>
    <row r="693" spans="1:8" ht="17.25">
      <c r="B693" s="140"/>
      <c r="C693" s="708" t="s">
        <v>3005</v>
      </c>
      <c r="D693" s="99"/>
      <c r="E693" s="1" t="s">
        <v>3006</v>
      </c>
      <c r="F693" s="40"/>
      <c r="G693" s="103"/>
      <c r="H693" s="99"/>
    </row>
    <row r="694" spans="1:8" ht="16.5">
      <c r="B694" s="117">
        <v>10</v>
      </c>
      <c r="C694" s="92"/>
      <c r="D694" s="92"/>
      <c r="E694" s="1"/>
      <c r="F694" s="1"/>
      <c r="G694" s="1"/>
      <c r="H694" s="1"/>
    </row>
    <row r="695" spans="1:8" ht="16.5">
      <c r="B695" s="117"/>
      <c r="C695" s="92"/>
      <c r="D695" s="92"/>
      <c r="E695" s="1"/>
      <c r="F695" s="1"/>
      <c r="G695" s="1"/>
      <c r="H695" s="1"/>
    </row>
    <row r="696" spans="1:8" ht="18">
      <c r="A696" s="1"/>
      <c r="B696" s="139"/>
      <c r="C696" s="2"/>
      <c r="D696" s="2"/>
      <c r="E696" s="1"/>
      <c r="F696" s="1"/>
      <c r="G696" s="1"/>
      <c r="H696" s="1"/>
    </row>
    <row r="697" spans="1:8" ht="15">
      <c r="A697" s="1"/>
      <c r="B697" s="3"/>
      <c r="C697" s="1"/>
      <c r="D697" s="1"/>
      <c r="E697" s="1"/>
      <c r="F697" s="1"/>
      <c r="G697" s="1"/>
      <c r="H697" s="1"/>
    </row>
    <row r="698" spans="1:8" ht="20.25">
      <c r="A698" s="260">
        <f>+A681+1</f>
        <v>43</v>
      </c>
      <c r="B698" s="878" t="s">
        <v>1929</v>
      </c>
      <c r="C698" s="878"/>
      <c r="D698" s="878"/>
      <c r="E698" s="878"/>
      <c r="F698" s="878"/>
      <c r="G698" s="878"/>
      <c r="H698" s="878"/>
    </row>
    <row r="699" spans="1:8" ht="19.5">
      <c r="A699" s="582" t="s">
        <v>3616</v>
      </c>
      <c r="B699" s="878" t="s">
        <v>1852</v>
      </c>
      <c r="C699" s="878"/>
      <c r="D699" s="878"/>
      <c r="E699" s="878"/>
      <c r="F699" s="878"/>
      <c r="G699" s="878"/>
      <c r="H699" s="878"/>
    </row>
    <row r="700" spans="1:8" ht="15">
      <c r="A700" s="1"/>
      <c r="B700" s="879" t="s">
        <v>2231</v>
      </c>
      <c r="C700" s="879"/>
      <c r="D700" s="879"/>
      <c r="E700" s="879"/>
      <c r="F700" s="879"/>
      <c r="G700" s="879"/>
      <c r="H700" s="879"/>
    </row>
    <row r="701" spans="1:8" ht="31.5">
      <c r="A701" s="1"/>
      <c r="B701" s="68" t="s">
        <v>2966</v>
      </c>
      <c r="C701" s="68" t="s">
        <v>2967</v>
      </c>
      <c r="D701" s="68" t="s">
        <v>2968</v>
      </c>
      <c r="E701" s="68" t="s">
        <v>2969</v>
      </c>
      <c r="F701" s="68" t="s">
        <v>2970</v>
      </c>
      <c r="G701" s="68" t="s">
        <v>2971</v>
      </c>
      <c r="H701" s="68" t="s">
        <v>1487</v>
      </c>
    </row>
    <row r="702" spans="1:8" ht="17.25">
      <c r="A702" s="1"/>
      <c r="B702" s="58" t="s">
        <v>1488</v>
      </c>
      <c r="C702" s="64" t="s">
        <v>1930</v>
      </c>
      <c r="D702" s="44">
        <v>1.5</v>
      </c>
      <c r="E702" s="64" t="s">
        <v>1490</v>
      </c>
      <c r="F702" s="101" t="e">
        <f>#REF!</f>
        <v>#REF!</v>
      </c>
      <c r="G702" s="99" t="e">
        <f>FLOOR(D702*F702,0.01)</f>
        <v>#REF!</v>
      </c>
      <c r="H702" s="126" t="e">
        <f>SUM(G702)</f>
        <v>#REF!</v>
      </c>
    </row>
    <row r="703" spans="1:8" ht="17.25">
      <c r="A703" s="1"/>
      <c r="B703" s="886" t="s">
        <v>2055</v>
      </c>
      <c r="C703" s="53" t="s">
        <v>2092</v>
      </c>
      <c r="D703" s="42">
        <v>1</v>
      </c>
      <c r="E703" s="53" t="s">
        <v>2232</v>
      </c>
      <c r="F703" s="109" t="e">
        <f>#REF!</f>
        <v>#REF!</v>
      </c>
      <c r="G703" s="109" t="e">
        <f>FLOOR(D703*F703,0.01)</f>
        <v>#REF!</v>
      </c>
      <c r="H703" s="121"/>
    </row>
    <row r="704" spans="1:8" ht="17.25">
      <c r="A704" s="1"/>
      <c r="B704" s="887"/>
      <c r="C704" s="56" t="s">
        <v>2093</v>
      </c>
      <c r="D704" s="43">
        <v>0.2</v>
      </c>
      <c r="E704" s="56" t="s">
        <v>2232</v>
      </c>
      <c r="F704" s="63" t="e">
        <f>#REF!</f>
        <v>#REF!</v>
      </c>
      <c r="G704" s="63" t="e">
        <f>FLOOR(D704*F704,0.01)</f>
        <v>#REF!</v>
      </c>
      <c r="H704" s="123" t="e">
        <f>SUM(G703+G704+G705)</f>
        <v>#REF!</v>
      </c>
    </row>
    <row r="705" spans="1:8" ht="17.25">
      <c r="A705" s="1"/>
      <c r="B705" s="1"/>
      <c r="C705" s="1"/>
      <c r="D705" s="1"/>
      <c r="E705" s="1"/>
      <c r="F705" s="40" t="s">
        <v>1491</v>
      </c>
      <c r="G705" s="40"/>
      <c r="H705" s="590" t="e">
        <f>SUM(H701:H704)</f>
        <v>#REF!</v>
      </c>
    </row>
    <row r="706" spans="1:8" ht="17.25">
      <c r="A706" s="1"/>
      <c r="B706" s="1" t="s">
        <v>3233</v>
      </c>
      <c r="C706" s="1"/>
      <c r="D706" s="1"/>
      <c r="E706" s="1"/>
      <c r="F706" s="40" t="s">
        <v>1472</v>
      </c>
      <c r="G706" s="40"/>
      <c r="H706" s="99" t="e">
        <f>FLOOR(H705*0.15,0.01)</f>
        <v>#REF!</v>
      </c>
    </row>
    <row r="707" spans="1:8" ht="17.25">
      <c r="A707" s="27" t="s">
        <v>3005</v>
      </c>
      <c r="B707" s="99" t="e">
        <f>+H707</f>
        <v>#REF!</v>
      </c>
      <c r="C707" s="1" t="s">
        <v>3006</v>
      </c>
      <c r="D707" s="1"/>
      <c r="E707" s="1"/>
      <c r="F707" s="40" t="s">
        <v>1494</v>
      </c>
      <c r="G707" s="40"/>
      <c r="H707" s="99" t="e">
        <f>SUM(H705:H706)</f>
        <v>#REF!</v>
      </c>
    </row>
    <row r="708" spans="1:8" ht="20.25">
      <c r="A708" s="260">
        <f>+A698+1</f>
        <v>44</v>
      </c>
      <c r="B708" s="910" t="s">
        <v>3299</v>
      </c>
      <c r="C708" s="910"/>
      <c r="D708" s="910"/>
      <c r="E708" s="910"/>
      <c r="F708" s="910"/>
      <c r="G708" s="910"/>
      <c r="H708" s="910"/>
    </row>
    <row r="709" spans="1:8" ht="18">
      <c r="A709" s="582" t="s">
        <v>3617</v>
      </c>
      <c r="B709" s="911" t="s">
        <v>3300</v>
      </c>
      <c r="C709" s="911"/>
      <c r="D709" s="911"/>
      <c r="E709" s="911"/>
      <c r="F709" s="911"/>
      <c r="G709" s="911"/>
      <c r="H709" s="911"/>
    </row>
    <row r="710" spans="1:8" ht="15">
      <c r="A710" s="1"/>
      <c r="B710" s="912" t="s">
        <v>2318</v>
      </c>
      <c r="C710" s="912"/>
      <c r="D710" s="912"/>
      <c r="E710" s="912"/>
      <c r="F710" s="912"/>
      <c r="G710" s="912"/>
      <c r="H710" s="912"/>
    </row>
    <row r="711" spans="1:8" ht="31.5">
      <c r="A711" s="1"/>
      <c r="B711" s="68" t="s">
        <v>2966</v>
      </c>
      <c r="C711" s="68" t="s">
        <v>2967</v>
      </c>
      <c r="D711" s="68" t="s">
        <v>2968</v>
      </c>
      <c r="E711" s="68" t="s">
        <v>2969</v>
      </c>
      <c r="F711" s="68" t="s">
        <v>2970</v>
      </c>
      <c r="G711" s="68" t="s">
        <v>2971</v>
      </c>
      <c r="H711" s="68" t="s">
        <v>1487</v>
      </c>
    </row>
    <row r="712" spans="1:8" ht="17.25">
      <c r="A712" s="1"/>
      <c r="B712" s="886" t="s">
        <v>1488</v>
      </c>
      <c r="C712" s="58" t="s">
        <v>516</v>
      </c>
      <c r="D712" s="41">
        <v>0.25</v>
      </c>
      <c r="E712" s="55" t="s">
        <v>1490</v>
      </c>
      <c r="F712" s="107" t="e">
        <f>#REF!</f>
        <v>#REF!</v>
      </c>
      <c r="G712" s="110" t="e">
        <f t="shared" ref="G712:G717" si="19">FLOOR(D712*F712,0.01)</f>
        <v>#REF!</v>
      </c>
      <c r="H712" s="108"/>
    </row>
    <row r="713" spans="1:8" ht="17.25">
      <c r="A713" s="1"/>
      <c r="B713" s="887"/>
      <c r="C713" s="53" t="s">
        <v>1433</v>
      </c>
      <c r="D713" s="42">
        <v>0.25</v>
      </c>
      <c r="E713" s="53" t="s">
        <v>1490</v>
      </c>
      <c r="F713" s="109" t="e">
        <f>#REF!</f>
        <v>#REF!</v>
      </c>
      <c r="G713" s="109" t="e">
        <f t="shared" si="19"/>
        <v>#REF!</v>
      </c>
      <c r="H713" s="121" t="e">
        <f>SUM(G712+G713)</f>
        <v>#REF!</v>
      </c>
    </row>
    <row r="714" spans="1:8" ht="17.25">
      <c r="A714" s="1"/>
      <c r="B714" s="886" t="s">
        <v>2055</v>
      </c>
      <c r="C714" s="680" t="s">
        <v>3795</v>
      </c>
      <c r="D714" s="41">
        <v>13</v>
      </c>
      <c r="E714" s="55" t="s">
        <v>3510</v>
      </c>
      <c r="F714" s="110" t="e">
        <f>#REF!</f>
        <v>#REF!</v>
      </c>
      <c r="G714" s="110" t="e">
        <f t="shared" si="19"/>
        <v>#REF!</v>
      </c>
      <c r="H714" s="108"/>
    </row>
    <row r="715" spans="1:8" ht="17.25">
      <c r="A715" s="1"/>
      <c r="B715" s="894"/>
      <c r="C715" s="53" t="s">
        <v>1436</v>
      </c>
      <c r="D715" s="52">
        <v>1.4E-2</v>
      </c>
      <c r="E715" s="53" t="s">
        <v>700</v>
      </c>
      <c r="F715" s="109" t="e">
        <f>#REF!</f>
        <v>#REF!</v>
      </c>
      <c r="G715" s="109" t="e">
        <f t="shared" si="19"/>
        <v>#REF!</v>
      </c>
      <c r="H715" s="9"/>
    </row>
    <row r="716" spans="1:8" ht="17.25">
      <c r="A716" s="1"/>
      <c r="B716" s="894"/>
      <c r="C716" s="53" t="s">
        <v>1850</v>
      </c>
      <c r="D716" s="52">
        <v>4.3999999999999997E-2</v>
      </c>
      <c r="E716" s="53" t="s">
        <v>2232</v>
      </c>
      <c r="F716" s="109" t="e">
        <f>#REF!</f>
        <v>#REF!</v>
      </c>
      <c r="G716" s="109" t="e">
        <f t="shared" si="19"/>
        <v>#REF!</v>
      </c>
      <c r="H716" s="9"/>
    </row>
    <row r="717" spans="1:8" ht="17.25">
      <c r="A717" s="1"/>
      <c r="B717" s="895"/>
      <c r="C717" s="56" t="s">
        <v>3275</v>
      </c>
      <c r="D717" s="43">
        <v>12</v>
      </c>
      <c r="E717" s="56" t="s">
        <v>3276</v>
      </c>
      <c r="F717" s="63" t="e">
        <f>#REF!</f>
        <v>#REF!</v>
      </c>
      <c r="G717" s="63" t="e">
        <f t="shared" si="19"/>
        <v>#REF!</v>
      </c>
      <c r="H717" s="123" t="e">
        <f>SUM(G714:G717)</f>
        <v>#REF!</v>
      </c>
    </row>
    <row r="718" spans="1:8" ht="17.25">
      <c r="A718" s="1"/>
      <c r="B718" s="1"/>
      <c r="C718" s="1"/>
      <c r="D718" s="1"/>
      <c r="E718" s="1"/>
      <c r="F718" s="40" t="s">
        <v>1491</v>
      </c>
      <c r="G718" s="103"/>
      <c r="H718" s="63" t="e">
        <f>SUM(H713:H717)</f>
        <v>#REF!</v>
      </c>
    </row>
    <row r="719" spans="1:8" ht="17.25">
      <c r="B719" s="3" t="s">
        <v>3233</v>
      </c>
      <c r="E719" s="1"/>
      <c r="F719" s="40" t="s">
        <v>1472</v>
      </c>
      <c r="G719" s="103"/>
      <c r="H719" s="99" t="e">
        <f>FLOOR(H718*0.15,0.01)</f>
        <v>#REF!</v>
      </c>
    </row>
    <row r="720" spans="1:8" ht="17.25">
      <c r="A720" s="705" t="s">
        <v>3005</v>
      </c>
      <c r="B720" s="99" t="e">
        <f>+H720</f>
        <v>#REF!</v>
      </c>
      <c r="C720" s="1" t="s">
        <v>3006</v>
      </c>
      <c r="D720" s="1"/>
      <c r="E720" s="1"/>
      <c r="F720" s="40" t="s">
        <v>1494</v>
      </c>
      <c r="G720" s="103"/>
      <c r="H720" s="99" t="e">
        <f>SUM(H718:H719)</f>
        <v>#REF!</v>
      </c>
    </row>
    <row r="721" spans="1:8" ht="17.25">
      <c r="A721" s="705"/>
      <c r="B721" s="706" t="s">
        <v>3792</v>
      </c>
      <c r="C721" s="280"/>
      <c r="D721" s="1"/>
      <c r="E721" s="1"/>
      <c r="F721" s="40"/>
      <c r="G721" s="103"/>
      <c r="H721" s="141"/>
    </row>
    <row r="722" spans="1:8" ht="17.25">
      <c r="A722" s="705"/>
      <c r="B722" s="706" t="s">
        <v>3793</v>
      </c>
      <c r="C722" s="1"/>
      <c r="D722" s="1"/>
      <c r="E722" s="1"/>
      <c r="F722" s="40"/>
      <c r="G722" s="103"/>
      <c r="H722" s="141"/>
    </row>
    <row r="723" spans="1:8" ht="17.25">
      <c r="A723" s="705"/>
      <c r="B723" s="706" t="s">
        <v>3794</v>
      </c>
      <c r="C723" s="1"/>
      <c r="D723" s="1"/>
      <c r="E723" s="1"/>
      <c r="F723" s="40"/>
      <c r="G723" s="103"/>
      <c r="H723" s="141"/>
    </row>
    <row r="724" spans="1:8" ht="16.5">
      <c r="B724" s="117"/>
      <c r="C724" s="92"/>
      <c r="D724" s="92"/>
      <c r="E724" s="1"/>
      <c r="F724" s="1"/>
      <c r="G724" s="1"/>
      <c r="H724" s="1"/>
    </row>
    <row r="725" spans="1:8" ht="16.5">
      <c r="B725" s="117"/>
      <c r="C725" s="92"/>
      <c r="D725" s="92"/>
      <c r="E725" s="1"/>
      <c r="F725" s="1"/>
      <c r="G725" s="1"/>
      <c r="H725" s="1"/>
    </row>
    <row r="726" spans="1:8" ht="19.5">
      <c r="A726" s="1"/>
      <c r="B726" s="878" t="s">
        <v>1307</v>
      </c>
      <c r="C726" s="878"/>
      <c r="D726" s="878"/>
      <c r="E726" s="878"/>
      <c r="F726" s="878"/>
      <c r="G726" s="878"/>
      <c r="H726" s="878"/>
    </row>
    <row r="727" spans="1:8" ht="20.25">
      <c r="A727" s="260">
        <f>A708+1</f>
        <v>45</v>
      </c>
      <c r="B727" s="878" t="s">
        <v>1308</v>
      </c>
      <c r="C727" s="878"/>
      <c r="D727" s="878"/>
      <c r="E727" s="878"/>
      <c r="F727" s="878"/>
      <c r="G727" s="878"/>
      <c r="H727" s="878"/>
    </row>
    <row r="728" spans="1:8" ht="19.5">
      <c r="A728" s="582" t="s">
        <v>1731</v>
      </c>
      <c r="B728" s="909" t="s">
        <v>1309</v>
      </c>
      <c r="C728" s="878"/>
      <c r="D728" s="878"/>
      <c r="E728" s="878"/>
      <c r="F728" s="878"/>
      <c r="G728" s="878"/>
      <c r="H728" s="878"/>
    </row>
    <row r="729" spans="1:8" ht="15">
      <c r="A729" s="1"/>
      <c r="B729" s="879" t="s">
        <v>2231</v>
      </c>
      <c r="C729" s="879"/>
      <c r="D729" s="879"/>
      <c r="E729" s="879"/>
      <c r="F729" s="879"/>
      <c r="G729" s="879"/>
      <c r="H729" s="879"/>
    </row>
    <row r="730" spans="1:8" ht="31.5">
      <c r="A730" s="1"/>
      <c r="B730" s="68" t="s">
        <v>2966</v>
      </c>
      <c r="C730" s="68" t="s">
        <v>2967</v>
      </c>
      <c r="D730" s="68" t="s">
        <v>2968</v>
      </c>
      <c r="E730" s="68" t="s">
        <v>2969</v>
      </c>
      <c r="F730" s="68" t="s">
        <v>2970</v>
      </c>
      <c r="G730" s="68" t="s">
        <v>2971</v>
      </c>
      <c r="H730" s="68" t="s">
        <v>1487</v>
      </c>
    </row>
    <row r="731" spans="1:8" ht="17.25">
      <c r="A731" s="1"/>
      <c r="B731" s="886" t="s">
        <v>1488</v>
      </c>
      <c r="C731" s="58" t="s">
        <v>516</v>
      </c>
      <c r="D731" s="41">
        <v>1</v>
      </c>
      <c r="E731" s="55" t="s">
        <v>1490</v>
      </c>
      <c r="F731" s="107" t="e">
        <f>#REF!</f>
        <v>#REF!</v>
      </c>
      <c r="G731" s="110" t="e">
        <f t="shared" ref="G731:G737" si="20">FLOOR(D731*F731,0.01)</f>
        <v>#REF!</v>
      </c>
      <c r="H731" s="108"/>
    </row>
    <row r="732" spans="1:8" ht="17.25">
      <c r="A732" s="1"/>
      <c r="B732" s="887"/>
      <c r="C732" s="53" t="s">
        <v>1433</v>
      </c>
      <c r="D732" s="42">
        <v>4</v>
      </c>
      <c r="E732" s="53" t="s">
        <v>1490</v>
      </c>
      <c r="F732" s="109" t="e">
        <f>#REF!</f>
        <v>#REF!</v>
      </c>
      <c r="G732" s="109" t="e">
        <f t="shared" si="20"/>
        <v>#REF!</v>
      </c>
      <c r="H732" s="121" t="e">
        <f>SUM(G731+G732)</f>
        <v>#REF!</v>
      </c>
    </row>
    <row r="733" spans="1:8" ht="17.25">
      <c r="A733" s="1"/>
      <c r="B733" s="886" t="s">
        <v>2055</v>
      </c>
      <c r="C733" s="55" t="s">
        <v>1436</v>
      </c>
      <c r="D733" s="238">
        <v>0.17</v>
      </c>
      <c r="E733" s="55" t="s">
        <v>700</v>
      </c>
      <c r="F733" s="110" t="e">
        <f>#REF!</f>
        <v>#REF!</v>
      </c>
      <c r="G733" s="110" t="e">
        <f t="shared" si="20"/>
        <v>#REF!</v>
      </c>
      <c r="H733" s="108"/>
    </row>
    <row r="734" spans="1:8" ht="17.25">
      <c r="A734" s="1"/>
      <c r="B734" s="894"/>
      <c r="C734" s="20" t="s">
        <v>552</v>
      </c>
      <c r="D734" s="239">
        <v>0.65</v>
      </c>
      <c r="E734" s="53" t="s">
        <v>2232</v>
      </c>
      <c r="F734" s="109" t="e">
        <f>#REF!</f>
        <v>#REF!</v>
      </c>
      <c r="G734" s="109" t="e">
        <f t="shared" si="20"/>
        <v>#REF!</v>
      </c>
      <c r="H734" s="9"/>
    </row>
    <row r="735" spans="1:8" ht="17.25">
      <c r="A735" s="1"/>
      <c r="B735" s="894"/>
      <c r="C735" s="21" t="s">
        <v>553</v>
      </c>
      <c r="D735" s="42">
        <v>0.24</v>
      </c>
      <c r="E735" s="53" t="s">
        <v>2232</v>
      </c>
      <c r="F735" s="109" t="e">
        <f>#REF!</f>
        <v>#REF!</v>
      </c>
      <c r="G735" s="109" t="e">
        <f t="shared" si="20"/>
        <v>#REF!</v>
      </c>
      <c r="H735" s="121"/>
    </row>
    <row r="736" spans="1:8" ht="17.25">
      <c r="A736" s="1"/>
      <c r="B736" s="894"/>
      <c r="C736" s="53" t="s">
        <v>1931</v>
      </c>
      <c r="D736" s="42">
        <v>0.47</v>
      </c>
      <c r="E736" s="53" t="s">
        <v>2232</v>
      </c>
      <c r="F736" s="109" t="e">
        <f>#REF!</f>
        <v>#REF!</v>
      </c>
      <c r="G736" s="109" t="e">
        <f t="shared" si="20"/>
        <v>#REF!</v>
      </c>
      <c r="H736" s="121"/>
    </row>
    <row r="737" spans="1:8" ht="17.25">
      <c r="A737" s="1"/>
      <c r="B737" s="895"/>
      <c r="C737" s="56" t="s">
        <v>3275</v>
      </c>
      <c r="D737" s="43">
        <v>100</v>
      </c>
      <c r="E737" s="56" t="s">
        <v>3276</v>
      </c>
      <c r="F737" s="63" t="e">
        <f>#REF!</f>
        <v>#REF!</v>
      </c>
      <c r="G737" s="63" t="e">
        <f t="shared" si="20"/>
        <v>#REF!</v>
      </c>
      <c r="H737" s="123" t="e">
        <f>SUM(G733:G737)</f>
        <v>#REF!</v>
      </c>
    </row>
    <row r="738" spans="1:8" ht="17.25">
      <c r="A738" s="1"/>
      <c r="B738" s="1"/>
      <c r="C738" s="1"/>
      <c r="D738" s="89"/>
      <c r="E738" s="1"/>
      <c r="F738" s="40" t="s">
        <v>1491</v>
      </c>
      <c r="G738" s="92"/>
      <c r="H738" s="63" t="e">
        <f>SUM(H737,H732)</f>
        <v>#REF!</v>
      </c>
    </row>
    <row r="739" spans="1:8" ht="17.25">
      <c r="A739" s="1"/>
      <c r="B739" s="1" t="s">
        <v>3233</v>
      </c>
      <c r="C739" s="1"/>
      <c r="D739" s="1"/>
      <c r="E739" s="1"/>
      <c r="F739" s="40" t="s">
        <v>1472</v>
      </c>
      <c r="G739" s="92"/>
      <c r="H739" s="99" t="e">
        <f>FLOOR(H738*0.15,0.01)</f>
        <v>#REF!</v>
      </c>
    </row>
    <row r="740" spans="1:8" ht="17.25">
      <c r="A740" s="27" t="s">
        <v>3005</v>
      </c>
      <c r="B740" s="99" t="e">
        <f>+H740</f>
        <v>#REF!</v>
      </c>
      <c r="C740" s="1" t="s">
        <v>3006</v>
      </c>
      <c r="D740" s="1"/>
      <c r="E740" s="1"/>
      <c r="F740" s="40" t="s">
        <v>1494</v>
      </c>
      <c r="G740" s="92"/>
      <c r="H740" s="99" t="e">
        <f>SUM(H738:H739)</f>
        <v>#REF!</v>
      </c>
    </row>
    <row r="741" spans="1:8" ht="15">
      <c r="A741" s="1"/>
      <c r="B741" s="1"/>
      <c r="C741" s="1"/>
      <c r="D741" s="1"/>
      <c r="E741" s="1"/>
      <c r="F741" s="1"/>
      <c r="G741" s="1"/>
      <c r="H741" s="1"/>
    </row>
    <row r="742" spans="1:8" ht="16.5">
      <c r="A742" s="260">
        <f>+A727+1</f>
        <v>46</v>
      </c>
      <c r="B742" s="1"/>
      <c r="C742" s="1"/>
      <c r="D742" s="1"/>
      <c r="E742" s="1"/>
      <c r="F742" s="1"/>
      <c r="G742" s="1"/>
      <c r="H742" s="1"/>
    </row>
    <row r="743" spans="1:8" ht="19.5">
      <c r="A743" s="582" t="s">
        <v>1731</v>
      </c>
      <c r="B743" s="878" t="s">
        <v>3531</v>
      </c>
      <c r="C743" s="878"/>
      <c r="D743" s="878"/>
      <c r="E743" s="878"/>
      <c r="F743" s="878"/>
      <c r="G743" s="878"/>
      <c r="H743" s="878"/>
    </row>
    <row r="744" spans="1:8" ht="19.5">
      <c r="A744" s="1"/>
      <c r="B744" s="909" t="s">
        <v>1311</v>
      </c>
      <c r="C744" s="878"/>
      <c r="D744" s="878"/>
      <c r="E744" s="878"/>
      <c r="F744" s="878"/>
      <c r="G744" s="878"/>
      <c r="H744" s="878"/>
    </row>
    <row r="745" spans="1:8" ht="15">
      <c r="A745" s="1"/>
      <c r="B745" s="879" t="s">
        <v>2231</v>
      </c>
      <c r="C745" s="879"/>
      <c r="D745" s="879"/>
      <c r="E745" s="879"/>
      <c r="F745" s="879"/>
      <c r="G745" s="879"/>
      <c r="H745" s="879"/>
    </row>
    <row r="746" spans="1:8" ht="31.5">
      <c r="A746" s="1"/>
      <c r="B746" s="68" t="s">
        <v>2966</v>
      </c>
      <c r="C746" s="68" t="s">
        <v>2967</v>
      </c>
      <c r="D746" s="68" t="s">
        <v>2968</v>
      </c>
      <c r="E746" s="68" t="s">
        <v>2969</v>
      </c>
      <c r="F746" s="68" t="s">
        <v>2970</v>
      </c>
      <c r="G746" s="68" t="s">
        <v>2971</v>
      </c>
      <c r="H746" s="68" t="s">
        <v>1487</v>
      </c>
    </row>
    <row r="747" spans="1:8" ht="17.25">
      <c r="A747" s="1"/>
      <c r="B747" s="886" t="s">
        <v>1488</v>
      </c>
      <c r="C747" s="58" t="s">
        <v>516</v>
      </c>
      <c r="D747" s="45">
        <v>1</v>
      </c>
      <c r="E747" s="55" t="s">
        <v>1490</v>
      </c>
      <c r="F747" s="107" t="e">
        <f>#REF!</f>
        <v>#REF!</v>
      </c>
      <c r="G747" s="110" t="e">
        <f t="shared" ref="G747:G753" si="21">FLOOR(D747*F747,0.01)</f>
        <v>#REF!</v>
      </c>
      <c r="H747" s="108"/>
    </row>
    <row r="748" spans="1:8" ht="17.25">
      <c r="A748" s="1"/>
      <c r="B748" s="887"/>
      <c r="C748" s="53" t="s">
        <v>1433</v>
      </c>
      <c r="D748" s="50">
        <v>4</v>
      </c>
      <c r="E748" s="53" t="s">
        <v>1490</v>
      </c>
      <c r="F748" s="109" t="e">
        <f>#REF!</f>
        <v>#REF!</v>
      </c>
      <c r="G748" s="109" t="e">
        <f t="shared" si="21"/>
        <v>#REF!</v>
      </c>
      <c r="H748" s="121" t="e">
        <f>SUM(G747+G748)</f>
        <v>#REF!</v>
      </c>
    </row>
    <row r="749" spans="1:8" ht="17.25">
      <c r="A749" s="1"/>
      <c r="B749" s="886" t="s">
        <v>2055</v>
      </c>
      <c r="C749" s="55" t="s">
        <v>1436</v>
      </c>
      <c r="D749" s="238">
        <v>0.22</v>
      </c>
      <c r="E749" s="55" t="s">
        <v>700</v>
      </c>
      <c r="F749" s="110" t="e">
        <f>#REF!</f>
        <v>#REF!</v>
      </c>
      <c r="G749" s="110" t="e">
        <f t="shared" si="21"/>
        <v>#REF!</v>
      </c>
      <c r="H749" s="108"/>
    </row>
    <row r="750" spans="1:8" ht="17.25">
      <c r="A750" s="1"/>
      <c r="B750" s="894"/>
      <c r="C750" s="20" t="s">
        <v>552</v>
      </c>
      <c r="D750" s="239">
        <v>0.65</v>
      </c>
      <c r="E750" s="53" t="s">
        <v>2232</v>
      </c>
      <c r="F750" s="109" t="e">
        <f>#REF!</f>
        <v>#REF!</v>
      </c>
      <c r="G750" s="109" t="e">
        <f t="shared" si="21"/>
        <v>#REF!</v>
      </c>
      <c r="H750" s="9"/>
    </row>
    <row r="751" spans="1:8" ht="17.25">
      <c r="A751" s="1"/>
      <c r="B751" s="894"/>
      <c r="C751" s="21" t="s">
        <v>553</v>
      </c>
      <c r="D751" s="42">
        <v>0.24</v>
      </c>
      <c r="E751" s="53" t="s">
        <v>2232</v>
      </c>
      <c r="F751" s="109" t="e">
        <f>#REF!</f>
        <v>#REF!</v>
      </c>
      <c r="G751" s="109" t="e">
        <f t="shared" si="21"/>
        <v>#REF!</v>
      </c>
      <c r="H751" s="121"/>
    </row>
    <row r="752" spans="1:8" ht="17.25">
      <c r="A752" s="1"/>
      <c r="B752" s="894"/>
      <c r="C752" s="53" t="s">
        <v>1931</v>
      </c>
      <c r="D752" s="42">
        <v>0.47</v>
      </c>
      <c r="E752" s="53" t="s">
        <v>2232</v>
      </c>
      <c r="F752" s="109" t="e">
        <f>#REF!</f>
        <v>#REF!</v>
      </c>
      <c r="G752" s="109" t="e">
        <f t="shared" si="21"/>
        <v>#REF!</v>
      </c>
      <c r="H752" s="121"/>
    </row>
    <row r="753" spans="1:8" ht="17.25">
      <c r="A753" s="1"/>
      <c r="B753" s="895"/>
      <c r="C753" s="56" t="s">
        <v>3275</v>
      </c>
      <c r="D753" s="43">
        <v>120</v>
      </c>
      <c r="E753" s="56" t="s">
        <v>3276</v>
      </c>
      <c r="F753" s="63" t="e">
        <f>#REF!</f>
        <v>#REF!</v>
      </c>
      <c r="G753" s="63" t="e">
        <f t="shared" si="21"/>
        <v>#REF!</v>
      </c>
      <c r="H753" s="123" t="e">
        <f>SUM(G749:G753)</f>
        <v>#REF!</v>
      </c>
    </row>
    <row r="754" spans="1:8" ht="17.25">
      <c r="A754" s="1"/>
      <c r="B754" s="1"/>
      <c r="C754" s="1"/>
      <c r="D754" s="89"/>
      <c r="E754" s="1"/>
      <c r="F754" s="40" t="s">
        <v>1491</v>
      </c>
      <c r="G754" s="92"/>
      <c r="H754" s="63" t="e">
        <f>SUM(H753,H748)</f>
        <v>#REF!</v>
      </c>
    </row>
    <row r="755" spans="1:8" ht="17.25">
      <c r="A755" s="1"/>
      <c r="B755" s="1" t="s">
        <v>3233</v>
      </c>
      <c r="C755" s="1"/>
      <c r="D755" s="1"/>
      <c r="E755" s="1"/>
      <c r="F755" s="40" t="s">
        <v>1472</v>
      </c>
      <c r="G755" s="92"/>
      <c r="H755" s="99" t="e">
        <f>FLOOR(H754*0.15,0.01)</f>
        <v>#REF!</v>
      </c>
    </row>
    <row r="756" spans="1:8" ht="17.25">
      <c r="A756" s="27" t="s">
        <v>3005</v>
      </c>
      <c r="B756" s="99" t="e">
        <f>+H756</f>
        <v>#REF!</v>
      </c>
      <c r="C756" s="1" t="s">
        <v>3006</v>
      </c>
      <c r="D756" s="1"/>
      <c r="E756" s="1"/>
      <c r="F756" s="40" t="s">
        <v>1494</v>
      </c>
      <c r="G756" s="92"/>
      <c r="H756" s="99" t="e">
        <f>SUM(H754:H755)</f>
        <v>#REF!</v>
      </c>
    </row>
    <row r="757" spans="1:8" ht="19.5">
      <c r="A757" s="1"/>
      <c r="B757" s="878" t="s">
        <v>1307</v>
      </c>
      <c r="C757" s="878"/>
      <c r="D757" s="878"/>
      <c r="E757" s="878"/>
      <c r="F757" s="878"/>
      <c r="G757" s="878"/>
      <c r="H757" s="878"/>
    </row>
    <row r="758" spans="1:8" ht="20.25">
      <c r="A758" s="260">
        <f>+A742+1</f>
        <v>47</v>
      </c>
      <c r="B758" s="878" t="s">
        <v>1308</v>
      </c>
      <c r="C758" s="878"/>
      <c r="D758" s="878"/>
      <c r="E758" s="878"/>
      <c r="F758" s="878"/>
      <c r="G758" s="878"/>
      <c r="H758" s="878"/>
    </row>
    <row r="759" spans="1:8" ht="19.5">
      <c r="A759" s="582" t="s">
        <v>1731</v>
      </c>
      <c r="B759" s="909" t="s">
        <v>1312</v>
      </c>
      <c r="C759" s="878"/>
      <c r="D759" s="878"/>
      <c r="E759" s="878"/>
      <c r="F759" s="878"/>
      <c r="G759" s="878"/>
      <c r="H759" s="878"/>
    </row>
    <row r="760" spans="1:8" ht="15">
      <c r="A760" s="1"/>
      <c r="B760" s="879" t="s">
        <v>2231</v>
      </c>
      <c r="C760" s="879"/>
      <c r="D760" s="879"/>
      <c r="E760" s="879"/>
      <c r="F760" s="879"/>
      <c r="G760" s="879"/>
      <c r="H760" s="879"/>
    </row>
    <row r="761" spans="1:8" ht="31.5">
      <c r="A761" s="1"/>
      <c r="B761" s="68" t="s">
        <v>2966</v>
      </c>
      <c r="C761" s="68" t="s">
        <v>2967</v>
      </c>
      <c r="D761" s="68" t="s">
        <v>2968</v>
      </c>
      <c r="E761" s="68" t="s">
        <v>2969</v>
      </c>
      <c r="F761" s="68" t="s">
        <v>2970</v>
      </c>
      <c r="G761" s="68" t="s">
        <v>2971</v>
      </c>
      <c r="H761" s="68" t="s">
        <v>1487</v>
      </c>
    </row>
    <row r="762" spans="1:8" ht="17.25">
      <c r="A762" s="1"/>
      <c r="B762" s="886" t="s">
        <v>1488</v>
      </c>
      <c r="C762" s="58" t="s">
        <v>516</v>
      </c>
      <c r="D762" s="110">
        <v>1</v>
      </c>
      <c r="E762" s="55" t="s">
        <v>1490</v>
      </c>
      <c r="F762" s="107" t="e">
        <f>#REF!</f>
        <v>#REF!</v>
      </c>
      <c r="G762" s="110" t="e">
        <f t="shared" ref="G762:G769" si="22">FLOOR(D762*F762,0.01)</f>
        <v>#REF!</v>
      </c>
      <c r="H762" s="108"/>
    </row>
    <row r="763" spans="1:8" ht="17.25">
      <c r="A763" s="1"/>
      <c r="B763" s="887"/>
      <c r="C763" s="53" t="s">
        <v>1433</v>
      </c>
      <c r="D763" s="42">
        <v>4</v>
      </c>
      <c r="E763" s="53" t="s">
        <v>1490</v>
      </c>
      <c r="F763" s="109" t="e">
        <f>#REF!</f>
        <v>#REF!</v>
      </c>
      <c r="G763" s="109" t="e">
        <f t="shared" si="22"/>
        <v>#REF!</v>
      </c>
      <c r="H763" s="121" t="e">
        <f>SUM(G762+G763)</f>
        <v>#REF!</v>
      </c>
    </row>
    <row r="764" spans="1:8" ht="17.25">
      <c r="A764" s="1"/>
      <c r="B764" s="886" t="s">
        <v>2055</v>
      </c>
      <c r="C764" s="55" t="s">
        <v>1436</v>
      </c>
      <c r="D764" s="238">
        <v>0.32</v>
      </c>
      <c r="E764" s="55" t="s">
        <v>700</v>
      </c>
      <c r="F764" s="110" t="e">
        <f>#REF!</f>
        <v>#REF!</v>
      </c>
      <c r="G764" s="110" t="e">
        <f t="shared" si="22"/>
        <v>#REF!</v>
      </c>
      <c r="H764" s="108"/>
    </row>
    <row r="765" spans="1:8" ht="17.25">
      <c r="A765" s="1"/>
      <c r="B765" s="894"/>
      <c r="C765" s="20" t="s">
        <v>552</v>
      </c>
      <c r="D765" s="239">
        <v>0.52</v>
      </c>
      <c r="E765" s="53" t="s">
        <v>2232</v>
      </c>
      <c r="F765" s="109" t="e">
        <f>#REF!</f>
        <v>#REF!</v>
      </c>
      <c r="G765" s="109" t="e">
        <f t="shared" si="22"/>
        <v>#REF!</v>
      </c>
      <c r="H765" s="9"/>
    </row>
    <row r="766" spans="1:8" ht="17.25">
      <c r="A766" s="1"/>
      <c r="B766" s="894"/>
      <c r="C766" s="21" t="s">
        <v>553</v>
      </c>
      <c r="D766" s="42">
        <v>0.22</v>
      </c>
      <c r="E766" s="53" t="s">
        <v>2232</v>
      </c>
      <c r="F766" s="109" t="e">
        <f>#REF!</f>
        <v>#REF!</v>
      </c>
      <c r="G766" s="109" t="e">
        <f t="shared" si="22"/>
        <v>#REF!</v>
      </c>
      <c r="H766" s="121"/>
    </row>
    <row r="767" spans="1:8" ht="17.25">
      <c r="A767" s="1"/>
      <c r="B767" s="894"/>
      <c r="C767" s="54" t="s">
        <v>1383</v>
      </c>
      <c r="D767" s="42">
        <v>0.11</v>
      </c>
      <c r="E767" s="53" t="s">
        <v>2232</v>
      </c>
      <c r="F767" s="109" t="e">
        <f>#REF!</f>
        <v>#REF!</v>
      </c>
      <c r="G767" s="109" t="e">
        <f t="shared" si="22"/>
        <v>#REF!</v>
      </c>
      <c r="H767" s="9"/>
    </row>
    <row r="768" spans="1:8" ht="17.25">
      <c r="A768" s="1"/>
      <c r="B768" s="894"/>
      <c r="C768" s="53" t="s">
        <v>1310</v>
      </c>
      <c r="D768" s="52">
        <v>0.44500000000000001</v>
      </c>
      <c r="E768" s="53" t="s">
        <v>2232</v>
      </c>
      <c r="F768" s="109" t="e">
        <f>#REF!</f>
        <v>#REF!</v>
      </c>
      <c r="G768" s="109" t="e">
        <f t="shared" si="22"/>
        <v>#REF!</v>
      </c>
      <c r="H768" s="9"/>
    </row>
    <row r="769" spans="1:8" ht="17.25">
      <c r="A769" s="1"/>
      <c r="B769" s="895"/>
      <c r="C769" s="56" t="s">
        <v>3275</v>
      </c>
      <c r="D769" s="43">
        <v>150</v>
      </c>
      <c r="E769" s="56" t="s">
        <v>3276</v>
      </c>
      <c r="F769" s="63" t="e">
        <f>#REF!</f>
        <v>#REF!</v>
      </c>
      <c r="G769" s="63" t="e">
        <f t="shared" si="22"/>
        <v>#REF!</v>
      </c>
      <c r="H769" s="123" t="e">
        <f>SUM(G764:G769)</f>
        <v>#REF!</v>
      </c>
    </row>
    <row r="770" spans="1:8" ht="17.25">
      <c r="A770" s="1"/>
      <c r="B770" s="1"/>
      <c r="C770" s="1"/>
      <c r="D770" s="1"/>
      <c r="E770" s="1"/>
      <c r="F770" s="40" t="s">
        <v>1491</v>
      </c>
      <c r="G770" s="40"/>
      <c r="H770" s="63" t="e">
        <f>SUM(H769,H763)</f>
        <v>#REF!</v>
      </c>
    </row>
    <row r="771" spans="1:8" ht="17.25">
      <c r="A771" s="1"/>
      <c r="B771" s="1" t="s">
        <v>3233</v>
      </c>
      <c r="C771" s="1"/>
      <c r="D771" s="1"/>
      <c r="E771" s="1"/>
      <c r="F771" s="40" t="s">
        <v>1472</v>
      </c>
      <c r="G771" s="40"/>
      <c r="H771" s="99" t="e">
        <f>FLOOR(H770*0.15,0.01)</f>
        <v>#REF!</v>
      </c>
    </row>
    <row r="772" spans="1:8" ht="17.25">
      <c r="A772" s="27" t="s">
        <v>3005</v>
      </c>
      <c r="B772" s="99" t="e">
        <f>+H772</f>
        <v>#REF!</v>
      </c>
      <c r="C772" s="1" t="s">
        <v>3006</v>
      </c>
      <c r="D772" s="1"/>
      <c r="E772" s="1"/>
      <c r="F772" s="40" t="s">
        <v>1494</v>
      </c>
      <c r="G772" s="40"/>
      <c r="H772" s="99" t="e">
        <f>SUM(H770:H771)</f>
        <v>#REF!</v>
      </c>
    </row>
    <row r="773" spans="1:8" ht="17.25">
      <c r="A773" s="27"/>
      <c r="B773" s="141"/>
      <c r="C773" s="1"/>
      <c r="D773" s="1"/>
      <c r="E773" s="1"/>
      <c r="F773" s="40"/>
      <c r="G773" s="40"/>
      <c r="H773" s="141"/>
    </row>
    <row r="774" spans="1:8" ht="17.25">
      <c r="A774" s="27"/>
      <c r="B774" s="141"/>
      <c r="C774" s="1"/>
      <c r="D774" s="1"/>
      <c r="E774" s="1"/>
      <c r="F774" s="40"/>
      <c r="G774" s="40"/>
      <c r="H774" s="141"/>
    </row>
    <row r="775" spans="1:8" ht="17.25">
      <c r="A775" s="27"/>
      <c r="B775" s="141"/>
      <c r="C775" s="1"/>
      <c r="D775" s="1"/>
      <c r="E775" s="1"/>
      <c r="F775" s="40"/>
      <c r="G775" s="40"/>
      <c r="H775" s="141"/>
    </row>
    <row r="776" spans="1:8" ht="17.25">
      <c r="A776" s="27"/>
      <c r="B776" s="141"/>
      <c r="C776" s="1"/>
      <c r="D776" s="1"/>
      <c r="E776" s="1"/>
      <c r="F776" s="40"/>
      <c r="G776" s="40"/>
      <c r="H776" s="141"/>
    </row>
    <row r="777" spans="1:8" ht="17.25">
      <c r="A777" s="27"/>
      <c r="B777" s="141"/>
      <c r="C777" s="1"/>
      <c r="D777" s="1"/>
      <c r="E777" s="1"/>
      <c r="F777" s="40"/>
      <c r="G777" s="40"/>
      <c r="H777" s="141"/>
    </row>
    <row r="778" spans="1:8" ht="15">
      <c r="A778" s="1"/>
      <c r="B778" s="1"/>
      <c r="C778" s="1"/>
      <c r="D778" s="1"/>
      <c r="E778" s="1"/>
      <c r="F778" s="1"/>
      <c r="G778" s="1"/>
      <c r="H778" s="1"/>
    </row>
    <row r="779" spans="1:8" ht="19.5">
      <c r="A779" s="1"/>
      <c r="B779" s="878" t="s">
        <v>1313</v>
      </c>
      <c r="C779" s="878"/>
      <c r="D779" s="878"/>
      <c r="E779" s="878"/>
      <c r="F779" s="878"/>
      <c r="G779" s="878"/>
      <c r="H779" s="878"/>
    </row>
    <row r="780" spans="1:8" ht="20.25">
      <c r="A780" s="260">
        <f>+A758+1</f>
        <v>48</v>
      </c>
      <c r="B780" s="878" t="s">
        <v>1314</v>
      </c>
      <c r="C780" s="878"/>
      <c r="D780" s="878"/>
      <c r="E780" s="878"/>
      <c r="F780" s="878"/>
      <c r="G780" s="878"/>
      <c r="H780" s="878"/>
    </row>
    <row r="781" spans="1:8" ht="19.5">
      <c r="A781" s="582" t="s">
        <v>3618</v>
      </c>
      <c r="B781" s="909" t="s">
        <v>1312</v>
      </c>
      <c r="C781" s="878"/>
      <c r="D781" s="878"/>
      <c r="E781" s="878"/>
      <c r="F781" s="878"/>
      <c r="G781" s="878"/>
      <c r="H781" s="878"/>
    </row>
    <row r="782" spans="1:8" ht="15">
      <c r="A782" s="1"/>
      <c r="B782" s="879" t="s">
        <v>2231</v>
      </c>
      <c r="C782" s="879"/>
      <c r="D782" s="879"/>
      <c r="E782" s="879"/>
      <c r="F782" s="879"/>
      <c r="G782" s="879"/>
      <c r="H782" s="879"/>
    </row>
    <row r="783" spans="1:8" ht="31.5">
      <c r="A783" s="1"/>
      <c r="B783" s="68" t="s">
        <v>2966</v>
      </c>
      <c r="C783" s="68" t="s">
        <v>2967</v>
      </c>
      <c r="D783" s="68" t="s">
        <v>2968</v>
      </c>
      <c r="E783" s="68" t="s">
        <v>2969</v>
      </c>
      <c r="F783" s="68" t="s">
        <v>2970</v>
      </c>
      <c r="G783" s="68" t="s">
        <v>2971</v>
      </c>
      <c r="H783" s="68" t="s">
        <v>1487</v>
      </c>
    </row>
    <row r="784" spans="1:8" ht="17.25">
      <c r="A784" s="1"/>
      <c r="B784" s="76" t="s">
        <v>1488</v>
      </c>
      <c r="C784" s="58" t="s">
        <v>516</v>
      </c>
      <c r="D784" s="41">
        <v>0.8</v>
      </c>
      <c r="E784" s="55" t="s">
        <v>1490</v>
      </c>
      <c r="F784" s="107" t="e">
        <f>#REF!</f>
        <v>#REF!</v>
      </c>
      <c r="G784" s="110" t="e">
        <f t="shared" ref="G784:G791" si="23">FLOOR(D784*F784,0.01)</f>
        <v>#REF!</v>
      </c>
      <c r="H784" s="108"/>
    </row>
    <row r="785" spans="1:8" ht="17.25">
      <c r="A785" s="1"/>
      <c r="B785" s="186"/>
      <c r="C785" s="53" t="s">
        <v>1433</v>
      </c>
      <c r="D785" s="42">
        <v>7</v>
      </c>
      <c r="E785" s="53" t="s">
        <v>1490</v>
      </c>
      <c r="F785" s="109" t="e">
        <f>#REF!</f>
        <v>#REF!</v>
      </c>
      <c r="G785" s="109" t="e">
        <f t="shared" si="23"/>
        <v>#REF!</v>
      </c>
      <c r="H785" s="121" t="e">
        <f>SUM(G784+G785)</f>
        <v>#REF!</v>
      </c>
    </row>
    <row r="786" spans="1:8" ht="17.25">
      <c r="A786" s="1"/>
      <c r="B786" s="886" t="s">
        <v>2055</v>
      </c>
      <c r="C786" s="55" t="s">
        <v>1436</v>
      </c>
      <c r="D786" s="238">
        <v>0.32</v>
      </c>
      <c r="E786" s="55" t="s">
        <v>700</v>
      </c>
      <c r="F786" s="110" t="e">
        <f>#REF!</f>
        <v>#REF!</v>
      </c>
      <c r="G786" s="110" t="e">
        <f t="shared" si="23"/>
        <v>#REF!</v>
      </c>
      <c r="H786" s="108"/>
    </row>
    <row r="787" spans="1:8" ht="17.25">
      <c r="A787" s="1"/>
      <c r="B787" s="894"/>
      <c r="C787" s="20" t="s">
        <v>552</v>
      </c>
      <c r="D787" s="239">
        <v>0.52</v>
      </c>
      <c r="E787" s="53" t="s">
        <v>2232</v>
      </c>
      <c r="F787" s="109" t="e">
        <f>#REF!</f>
        <v>#REF!</v>
      </c>
      <c r="G787" s="109" t="e">
        <f t="shared" si="23"/>
        <v>#REF!</v>
      </c>
      <c r="H787" s="9"/>
    </row>
    <row r="788" spans="1:8" ht="17.25">
      <c r="A788" s="1"/>
      <c r="B788" s="894"/>
      <c r="C788" s="21" t="s">
        <v>553</v>
      </c>
      <c r="D788" s="42">
        <v>0.22</v>
      </c>
      <c r="E788" s="53" t="s">
        <v>2232</v>
      </c>
      <c r="F788" s="109" t="e">
        <f>#REF!</f>
        <v>#REF!</v>
      </c>
      <c r="G788" s="109" t="e">
        <f t="shared" si="23"/>
        <v>#REF!</v>
      </c>
      <c r="H788" s="121"/>
    </row>
    <row r="789" spans="1:8" ht="17.25">
      <c r="A789" s="1"/>
      <c r="B789" s="894"/>
      <c r="C789" s="20" t="s">
        <v>554</v>
      </c>
      <c r="D789" s="42">
        <v>0.11</v>
      </c>
      <c r="E789" s="53" t="s">
        <v>2232</v>
      </c>
      <c r="F789" s="109" t="e">
        <f>#REF!</f>
        <v>#REF!</v>
      </c>
      <c r="G789" s="109" t="e">
        <f t="shared" si="23"/>
        <v>#REF!</v>
      </c>
      <c r="H789" s="9"/>
    </row>
    <row r="790" spans="1:8" ht="17.25">
      <c r="A790" s="1"/>
      <c r="B790" s="894"/>
      <c r="C790" s="53" t="s">
        <v>1931</v>
      </c>
      <c r="D790" s="52">
        <v>0.44500000000000001</v>
      </c>
      <c r="E790" s="53" t="s">
        <v>2232</v>
      </c>
      <c r="F790" s="109" t="e">
        <f>#REF!</f>
        <v>#REF!</v>
      </c>
      <c r="G790" s="109" t="e">
        <f t="shared" si="23"/>
        <v>#REF!</v>
      </c>
      <c r="H790" s="121"/>
    </row>
    <row r="791" spans="1:8" ht="17.25">
      <c r="A791" s="1"/>
      <c r="B791" s="895"/>
      <c r="C791" s="56" t="s">
        <v>3275</v>
      </c>
      <c r="D791" s="43">
        <v>150</v>
      </c>
      <c r="E791" s="56" t="s">
        <v>3276</v>
      </c>
      <c r="F791" s="63" t="e">
        <f>#REF!</f>
        <v>#REF!</v>
      </c>
      <c r="G791" s="63" t="e">
        <f t="shared" si="23"/>
        <v>#REF!</v>
      </c>
      <c r="H791" s="123" t="e">
        <f>SUM(G786:G791)</f>
        <v>#REF!</v>
      </c>
    </row>
    <row r="792" spans="1:8" ht="17.25">
      <c r="A792" s="1"/>
      <c r="B792" s="1"/>
      <c r="C792" s="1"/>
      <c r="D792" s="1"/>
      <c r="E792" s="1"/>
      <c r="F792" s="40" t="s">
        <v>1491</v>
      </c>
      <c r="G792" s="40"/>
      <c r="H792" s="63" t="e">
        <f>SUM(H791,H785)</f>
        <v>#REF!</v>
      </c>
    </row>
    <row r="793" spans="1:8" ht="17.25">
      <c r="A793" s="1"/>
      <c r="B793" s="1" t="s">
        <v>3233</v>
      </c>
      <c r="C793" s="1"/>
      <c r="D793" s="1"/>
      <c r="E793" s="1"/>
      <c r="F793" s="40" t="s">
        <v>1472</v>
      </c>
      <c r="G793" s="40"/>
      <c r="H793" s="99" t="e">
        <f>FLOOR(H792*0.15,0.01)</f>
        <v>#REF!</v>
      </c>
    </row>
    <row r="794" spans="1:8" ht="17.25">
      <c r="A794" s="27" t="s">
        <v>3005</v>
      </c>
      <c r="B794" s="99" t="e">
        <f>+H794</f>
        <v>#REF!</v>
      </c>
      <c r="C794" s="1" t="s">
        <v>3006</v>
      </c>
      <c r="D794" s="1"/>
      <c r="E794" s="1"/>
      <c r="F794" s="40" t="s">
        <v>1494</v>
      </c>
      <c r="G794" s="40"/>
      <c r="H794" s="99" t="e">
        <f>SUM(H792:H793)</f>
        <v>#REF!</v>
      </c>
    </row>
    <row r="795" spans="1:8" ht="17.25">
      <c r="A795" s="1"/>
      <c r="B795" s="1"/>
      <c r="C795" s="1"/>
      <c r="D795" s="1"/>
      <c r="E795" s="1"/>
      <c r="F795" s="40"/>
      <c r="G795" s="40"/>
      <c r="H795" s="88"/>
    </row>
    <row r="796" spans="1:8" ht="19.5">
      <c r="A796" s="1"/>
      <c r="B796" s="878" t="s">
        <v>1313</v>
      </c>
      <c r="C796" s="878"/>
      <c r="D796" s="878"/>
      <c r="E796" s="878"/>
      <c r="F796" s="878"/>
      <c r="G796" s="878"/>
      <c r="H796" s="878"/>
    </row>
    <row r="797" spans="1:8" ht="20.25">
      <c r="A797" s="260">
        <f>+A780+1</f>
        <v>49</v>
      </c>
      <c r="B797" s="878" t="s">
        <v>1314</v>
      </c>
      <c r="C797" s="878"/>
      <c r="D797" s="878"/>
      <c r="E797" s="878"/>
      <c r="F797" s="878"/>
      <c r="G797" s="878"/>
      <c r="H797" s="878"/>
    </row>
    <row r="798" spans="1:8" ht="25.5">
      <c r="A798" s="582" t="s">
        <v>3618</v>
      </c>
      <c r="B798" s="909" t="s">
        <v>3090</v>
      </c>
      <c r="C798" s="878"/>
      <c r="D798" s="878"/>
      <c r="E798" s="878"/>
      <c r="F798" s="878"/>
      <c r="G798" s="878"/>
      <c r="H798" s="878"/>
    </row>
    <row r="799" spans="1:8" ht="15">
      <c r="A799" s="1"/>
      <c r="B799" s="879" t="s">
        <v>2231</v>
      </c>
      <c r="C799" s="879"/>
      <c r="D799" s="879"/>
      <c r="E799" s="879"/>
      <c r="F799" s="879"/>
      <c r="G799" s="879"/>
      <c r="H799" s="879"/>
    </row>
    <row r="800" spans="1:8" ht="31.5">
      <c r="A800" s="1"/>
      <c r="B800" s="68" t="s">
        <v>2966</v>
      </c>
      <c r="C800" s="68" t="s">
        <v>2967</v>
      </c>
      <c r="D800" s="68" t="s">
        <v>2968</v>
      </c>
      <c r="E800" s="68" t="s">
        <v>2969</v>
      </c>
      <c r="F800" s="68" t="s">
        <v>2970</v>
      </c>
      <c r="G800" s="68" t="s">
        <v>2971</v>
      </c>
      <c r="H800" s="68" t="s">
        <v>1487</v>
      </c>
    </row>
    <row r="801" spans="1:8" ht="17.25">
      <c r="A801" s="1"/>
      <c r="B801" s="886" t="s">
        <v>1488</v>
      </c>
      <c r="C801" s="58" t="s">
        <v>516</v>
      </c>
      <c r="D801" s="41">
        <v>0.8</v>
      </c>
      <c r="E801" s="55" t="s">
        <v>1490</v>
      </c>
      <c r="F801" s="107" t="e">
        <f>#REF!</f>
        <v>#REF!</v>
      </c>
      <c r="G801" s="110" t="e">
        <f t="shared" ref="G801:G807" si="24">FLOOR(D801*F801,0.01)</f>
        <v>#REF!</v>
      </c>
      <c r="H801" s="108"/>
    </row>
    <row r="802" spans="1:8" ht="17.25">
      <c r="A802" s="1"/>
      <c r="B802" s="887"/>
      <c r="C802" s="53" t="s">
        <v>1433</v>
      </c>
      <c r="D802" s="42">
        <v>7</v>
      </c>
      <c r="E802" s="53" t="s">
        <v>1490</v>
      </c>
      <c r="F802" s="109" t="e">
        <f>#REF!</f>
        <v>#REF!</v>
      </c>
      <c r="G802" s="109" t="e">
        <f t="shared" si="24"/>
        <v>#REF!</v>
      </c>
      <c r="H802" s="121" t="e">
        <f>SUM(G801:G802)</f>
        <v>#REF!</v>
      </c>
    </row>
    <row r="803" spans="1:8" ht="17.25">
      <c r="A803" s="1"/>
      <c r="B803" s="886" t="s">
        <v>2055</v>
      </c>
      <c r="C803" s="55" t="s">
        <v>1436</v>
      </c>
      <c r="D803" s="41">
        <v>0.4</v>
      </c>
      <c r="E803" s="55" t="s">
        <v>700</v>
      </c>
      <c r="F803" s="110" t="e">
        <f>#REF!</f>
        <v>#REF!</v>
      </c>
      <c r="G803" s="110" t="e">
        <f t="shared" si="24"/>
        <v>#REF!</v>
      </c>
      <c r="H803" s="108"/>
    </row>
    <row r="804" spans="1:8" ht="17.25">
      <c r="A804" s="1"/>
      <c r="B804" s="894"/>
      <c r="C804" s="54" t="s">
        <v>553</v>
      </c>
      <c r="D804" s="239">
        <v>0.56999999999999995</v>
      </c>
      <c r="E804" s="53" t="s">
        <v>2232</v>
      </c>
      <c r="F804" s="109" t="e">
        <f>#REF!</f>
        <v>#REF!</v>
      </c>
      <c r="G804" s="109" t="e">
        <f t="shared" si="24"/>
        <v>#REF!</v>
      </c>
      <c r="H804" s="9"/>
    </row>
    <row r="805" spans="1:8" ht="17.25">
      <c r="A805" s="1"/>
      <c r="B805" s="894"/>
      <c r="C805" s="53" t="s">
        <v>554</v>
      </c>
      <c r="D805" s="42">
        <v>0.28999999999999998</v>
      </c>
      <c r="E805" s="53" t="s">
        <v>2232</v>
      </c>
      <c r="F805" s="109" t="e">
        <f>#REF!</f>
        <v>#REF!</v>
      </c>
      <c r="G805" s="109" t="e">
        <f t="shared" si="24"/>
        <v>#REF!</v>
      </c>
      <c r="H805" s="121"/>
    </row>
    <row r="806" spans="1:8" ht="17.25">
      <c r="A806" s="1"/>
      <c r="B806" s="894"/>
      <c r="C806" s="53" t="s">
        <v>1310</v>
      </c>
      <c r="D806" s="52">
        <v>0.42499999999999999</v>
      </c>
      <c r="E806" s="53" t="s">
        <v>2232</v>
      </c>
      <c r="F806" s="109" t="e">
        <f>#REF!</f>
        <v>#REF!</v>
      </c>
      <c r="G806" s="109" t="e">
        <f t="shared" si="24"/>
        <v>#REF!</v>
      </c>
      <c r="H806" s="121"/>
    </row>
    <row r="807" spans="1:8" ht="17.25">
      <c r="A807" s="1"/>
      <c r="B807" s="895"/>
      <c r="C807" s="56" t="s">
        <v>3275</v>
      </c>
      <c r="D807" s="43">
        <v>200</v>
      </c>
      <c r="E807" s="56" t="s">
        <v>3276</v>
      </c>
      <c r="F807" s="63" t="e">
        <f>#REF!</f>
        <v>#REF!</v>
      </c>
      <c r="G807" s="63" t="e">
        <f t="shared" si="24"/>
        <v>#REF!</v>
      </c>
      <c r="H807" s="123" t="e">
        <f>SUM(G803:G807)</f>
        <v>#REF!</v>
      </c>
    </row>
    <row r="808" spans="1:8" ht="17.25">
      <c r="A808" s="1"/>
      <c r="B808" s="1"/>
      <c r="C808" s="1"/>
      <c r="D808" s="1"/>
      <c r="E808" s="1"/>
      <c r="F808" s="40" t="s">
        <v>1491</v>
      </c>
      <c r="G808" s="92"/>
      <c r="H808" s="63" t="e">
        <f>SUM(H807,H802)</f>
        <v>#REF!</v>
      </c>
    </row>
    <row r="809" spans="1:8" ht="17.25">
      <c r="A809" s="1"/>
      <c r="B809" s="1" t="s">
        <v>3233</v>
      </c>
      <c r="C809" s="1"/>
      <c r="D809" s="1"/>
      <c r="E809" s="1"/>
      <c r="F809" s="40" t="s">
        <v>1472</v>
      </c>
      <c r="G809" s="92"/>
      <c r="H809" s="99" t="e">
        <f>FLOOR(H808*0.15,0.01)</f>
        <v>#REF!</v>
      </c>
    </row>
    <row r="810" spans="1:8" ht="17.25">
      <c r="A810" s="27" t="s">
        <v>3005</v>
      </c>
      <c r="B810" s="99" t="e">
        <f>+H810</f>
        <v>#REF!</v>
      </c>
      <c r="C810" s="1" t="s">
        <v>3006</v>
      </c>
      <c r="D810" s="1"/>
      <c r="E810" s="1"/>
      <c r="F810" s="40" t="s">
        <v>1494</v>
      </c>
      <c r="G810" s="92"/>
      <c r="H810" s="99" t="e">
        <f>SUM(H808:H809)</f>
        <v>#REF!</v>
      </c>
    </row>
    <row r="811" spans="1:8" ht="15">
      <c r="A811" s="1"/>
      <c r="B811" s="1"/>
      <c r="C811" s="1"/>
      <c r="D811" s="1"/>
      <c r="E811" s="1"/>
      <c r="F811" s="1"/>
      <c r="G811" s="1"/>
      <c r="H811" s="1"/>
    </row>
    <row r="812" spans="1:8" ht="15">
      <c r="A812" s="1"/>
      <c r="B812" s="1"/>
      <c r="C812" s="1"/>
      <c r="D812" s="1"/>
      <c r="E812" s="1"/>
      <c r="F812" s="1"/>
      <c r="G812" s="1"/>
      <c r="H812" s="1"/>
    </row>
    <row r="813" spans="1:8" ht="15">
      <c r="A813" s="1"/>
      <c r="B813" s="1"/>
      <c r="C813" s="1"/>
      <c r="D813" s="1"/>
      <c r="E813" s="1"/>
      <c r="F813" s="1"/>
      <c r="G813" s="1"/>
      <c r="H813" s="1"/>
    </row>
    <row r="814" spans="1:8" ht="15">
      <c r="A814" s="1"/>
      <c r="B814" s="1"/>
      <c r="C814" s="1"/>
      <c r="D814" s="1"/>
      <c r="E814" s="1"/>
      <c r="F814" s="1"/>
      <c r="G814" s="1"/>
      <c r="H814" s="1"/>
    </row>
    <row r="815" spans="1:8" ht="15">
      <c r="A815" s="1"/>
      <c r="B815" s="1"/>
      <c r="C815" s="1"/>
      <c r="D815" s="1"/>
      <c r="E815" s="1"/>
      <c r="F815" s="1"/>
      <c r="G815" s="1"/>
      <c r="H815" s="1"/>
    </row>
    <row r="816" spans="1:8" ht="15">
      <c r="A816" s="1"/>
      <c r="B816" s="1"/>
      <c r="C816" s="1"/>
      <c r="D816" s="1"/>
      <c r="E816" s="1"/>
      <c r="F816" s="1"/>
      <c r="G816" s="1"/>
      <c r="H816" s="1"/>
    </row>
    <row r="817" spans="1:8" ht="15">
      <c r="A817" s="1"/>
      <c r="B817" s="1"/>
      <c r="C817" s="1"/>
      <c r="D817" s="1"/>
      <c r="E817" s="1"/>
      <c r="F817" s="1"/>
      <c r="G817" s="1"/>
      <c r="H817" s="1"/>
    </row>
    <row r="818" spans="1:8" ht="15">
      <c r="A818" s="1"/>
      <c r="B818" s="1"/>
      <c r="C818" s="1"/>
      <c r="D818" s="1"/>
      <c r="E818" s="1"/>
      <c r="F818" s="1"/>
      <c r="G818" s="1"/>
      <c r="H818" s="1"/>
    </row>
    <row r="819" spans="1:8" ht="19.5">
      <c r="A819" s="1"/>
      <c r="B819" s="878" t="s">
        <v>1313</v>
      </c>
      <c r="C819" s="878"/>
      <c r="D819" s="878"/>
      <c r="E819" s="878"/>
      <c r="F819" s="878"/>
      <c r="G819" s="878"/>
      <c r="H819" s="878"/>
    </row>
    <row r="820" spans="1:8" ht="20.25">
      <c r="A820" s="260">
        <f>+A797+1</f>
        <v>50</v>
      </c>
      <c r="B820" s="878" t="s">
        <v>1314</v>
      </c>
      <c r="C820" s="878"/>
      <c r="D820" s="878"/>
      <c r="E820" s="878"/>
      <c r="F820" s="878"/>
      <c r="G820" s="878"/>
      <c r="H820" s="878"/>
    </row>
    <row r="821" spans="1:8" ht="19.5">
      <c r="A821" s="582" t="s">
        <v>3618</v>
      </c>
      <c r="B821" s="909" t="s">
        <v>1315</v>
      </c>
      <c r="C821" s="878"/>
      <c r="D821" s="878"/>
      <c r="E821" s="878"/>
      <c r="F821" s="878"/>
      <c r="G821" s="878"/>
      <c r="H821" s="878"/>
    </row>
    <row r="822" spans="1:8" ht="15">
      <c r="A822" s="1"/>
      <c r="B822" s="879" t="s">
        <v>2231</v>
      </c>
      <c r="C822" s="879"/>
      <c r="D822" s="879"/>
      <c r="E822" s="879"/>
      <c r="F822" s="879"/>
      <c r="G822" s="879"/>
      <c r="H822" s="879"/>
    </row>
    <row r="823" spans="1:8" ht="31.5">
      <c r="A823" s="1"/>
      <c r="B823" s="68" t="s">
        <v>2966</v>
      </c>
      <c r="C823" s="68" t="s">
        <v>2967</v>
      </c>
      <c r="D823" s="68" t="s">
        <v>2968</v>
      </c>
      <c r="E823" s="68" t="s">
        <v>2969</v>
      </c>
      <c r="F823" s="68" t="s">
        <v>2970</v>
      </c>
      <c r="G823" s="68" t="s">
        <v>2971</v>
      </c>
      <c r="H823" s="68" t="s">
        <v>1487</v>
      </c>
    </row>
    <row r="824" spans="1:8" ht="17.25">
      <c r="A824" s="1"/>
      <c r="B824" s="886" t="s">
        <v>1488</v>
      </c>
      <c r="C824" s="58" t="s">
        <v>516</v>
      </c>
      <c r="D824" s="41">
        <v>0.8</v>
      </c>
      <c r="E824" s="55" t="s">
        <v>1490</v>
      </c>
      <c r="F824" s="107" t="e">
        <f>#REF!</f>
        <v>#REF!</v>
      </c>
      <c r="G824" s="110" t="e">
        <f t="shared" ref="G824:G830" si="25">FLOOR(D824*F824,0.01)</f>
        <v>#REF!</v>
      </c>
      <c r="H824" s="108"/>
    </row>
    <row r="825" spans="1:8" ht="17.25">
      <c r="A825" s="1"/>
      <c r="B825" s="887"/>
      <c r="C825" s="53" t="s">
        <v>1433</v>
      </c>
      <c r="D825" s="42">
        <v>7</v>
      </c>
      <c r="E825" s="53" t="s">
        <v>1490</v>
      </c>
      <c r="F825" s="109" t="e">
        <f>#REF!</f>
        <v>#REF!</v>
      </c>
      <c r="G825" s="109" t="e">
        <f t="shared" si="25"/>
        <v>#REF!</v>
      </c>
      <c r="H825" s="121" t="e">
        <f>SUM(G824+G825)</f>
        <v>#REF!</v>
      </c>
    </row>
    <row r="826" spans="1:8" ht="17.25">
      <c r="A826" s="1"/>
      <c r="B826" s="886" t="s">
        <v>2055</v>
      </c>
      <c r="C826" s="55" t="s">
        <v>1436</v>
      </c>
      <c r="D826" s="41">
        <v>0.61</v>
      </c>
      <c r="E826" s="55" t="s">
        <v>700</v>
      </c>
      <c r="F826" s="110" t="e">
        <f>#REF!</f>
        <v>#REF!</v>
      </c>
      <c r="G826" s="110" t="e">
        <f t="shared" si="25"/>
        <v>#REF!</v>
      </c>
      <c r="H826" s="108"/>
    </row>
    <row r="827" spans="1:8" ht="17.25">
      <c r="A827" s="1"/>
      <c r="B827" s="894"/>
      <c r="C827" s="54" t="s">
        <v>553</v>
      </c>
      <c r="D827" s="239">
        <v>0.64</v>
      </c>
      <c r="E827" s="53" t="s">
        <v>2232</v>
      </c>
      <c r="F827" s="109" t="e">
        <f>#REF!</f>
        <v>#REF!</v>
      </c>
      <c r="G827" s="109" t="e">
        <f t="shared" si="25"/>
        <v>#REF!</v>
      </c>
      <c r="H827" s="9"/>
    </row>
    <row r="828" spans="1:8" ht="17.25">
      <c r="A828" s="1"/>
      <c r="B828" s="894"/>
      <c r="C828" s="53" t="s">
        <v>554</v>
      </c>
      <c r="D828" s="42">
        <v>0.21</v>
      </c>
      <c r="E828" s="53" t="s">
        <v>2232</v>
      </c>
      <c r="F828" s="109" t="e">
        <f>#REF!</f>
        <v>#REF!</v>
      </c>
      <c r="G828" s="109" t="e">
        <f t="shared" si="25"/>
        <v>#REF!</v>
      </c>
      <c r="H828" s="121"/>
    </row>
    <row r="829" spans="1:8" ht="17.25">
      <c r="A829" s="1"/>
      <c r="B829" s="894"/>
      <c r="C829" s="53" t="s">
        <v>1931</v>
      </c>
      <c r="D829" s="52">
        <v>0.42499999999999999</v>
      </c>
      <c r="E829" s="53" t="s">
        <v>2232</v>
      </c>
      <c r="F829" s="109" t="e">
        <f>#REF!</f>
        <v>#REF!</v>
      </c>
      <c r="G829" s="109" t="e">
        <f t="shared" si="25"/>
        <v>#REF!</v>
      </c>
      <c r="H829" s="121"/>
    </row>
    <row r="830" spans="1:8" ht="17.25">
      <c r="A830" s="1"/>
      <c r="B830" s="895"/>
      <c r="C830" s="56" t="s">
        <v>3275</v>
      </c>
      <c r="D830" s="43">
        <v>300</v>
      </c>
      <c r="E830" s="56" t="s">
        <v>3276</v>
      </c>
      <c r="F830" s="63" t="e">
        <f>#REF!</f>
        <v>#REF!</v>
      </c>
      <c r="G830" s="63" t="e">
        <f t="shared" si="25"/>
        <v>#REF!</v>
      </c>
      <c r="H830" s="123" t="e">
        <f>SUM(G826:G830)</f>
        <v>#REF!</v>
      </c>
    </row>
    <row r="831" spans="1:8" ht="17.25">
      <c r="A831" s="1"/>
      <c r="B831" s="1"/>
      <c r="C831" s="1"/>
      <c r="D831" s="1"/>
      <c r="E831" s="1"/>
      <c r="F831" s="40" t="s">
        <v>1491</v>
      </c>
      <c r="G831" s="92"/>
      <c r="H831" s="63" t="e">
        <f>SUM(H825:H830)</f>
        <v>#REF!</v>
      </c>
    </row>
    <row r="832" spans="1:8" ht="17.25">
      <c r="A832" s="1"/>
      <c r="B832" s="1" t="s">
        <v>3233</v>
      </c>
      <c r="C832" s="1"/>
      <c r="D832" s="1"/>
      <c r="E832" s="1"/>
      <c r="F832" s="40" t="s">
        <v>1472</v>
      </c>
      <c r="G832" s="92"/>
      <c r="H832" s="99" t="e">
        <f>FLOOR(H831*0.15,0.01)</f>
        <v>#REF!</v>
      </c>
    </row>
    <row r="833" spans="1:8" ht="17.25">
      <c r="A833" s="27" t="s">
        <v>3005</v>
      </c>
      <c r="B833" s="99" t="e">
        <f>+H833</f>
        <v>#REF!</v>
      </c>
      <c r="C833" s="1" t="s">
        <v>3006</v>
      </c>
      <c r="D833" s="1"/>
      <c r="E833" s="1"/>
      <c r="F833" s="40" t="s">
        <v>1494</v>
      </c>
      <c r="G833" s="92"/>
      <c r="H833" s="99" t="e">
        <f>SUM(H831:H832)</f>
        <v>#REF!</v>
      </c>
    </row>
    <row r="834" spans="1:8" ht="17.25">
      <c r="A834" s="27"/>
      <c r="B834" s="141"/>
      <c r="C834" s="1"/>
      <c r="D834" s="1"/>
      <c r="E834" s="1"/>
      <c r="F834" s="40"/>
      <c r="G834" s="92"/>
      <c r="H834" s="141"/>
    </row>
    <row r="835" spans="1:8" ht="20.25">
      <c r="A835" s="260">
        <f>+A820+1</f>
        <v>51</v>
      </c>
      <c r="B835" s="878" t="s">
        <v>3302</v>
      </c>
      <c r="C835" s="878"/>
      <c r="D835" s="878"/>
      <c r="E835" s="878"/>
      <c r="F835" s="878"/>
      <c r="G835" s="878"/>
      <c r="H835" s="878"/>
    </row>
    <row r="836" spans="1:8" ht="19.5">
      <c r="A836" s="582" t="s">
        <v>3301</v>
      </c>
      <c r="B836" s="878" t="s">
        <v>1308</v>
      </c>
      <c r="C836" s="878"/>
      <c r="D836" s="878"/>
      <c r="E836" s="878"/>
      <c r="F836" s="878"/>
      <c r="G836" s="878"/>
      <c r="H836" s="878"/>
    </row>
    <row r="837" spans="1:8" ht="19.5">
      <c r="A837" s="1"/>
      <c r="B837" s="909" t="s">
        <v>1311</v>
      </c>
      <c r="C837" s="878"/>
      <c r="D837" s="878"/>
      <c r="E837" s="878"/>
      <c r="F837" s="878"/>
      <c r="G837" s="878"/>
      <c r="H837" s="878"/>
    </row>
    <row r="838" spans="1:8" ht="15">
      <c r="A838" s="1"/>
      <c r="B838" s="879" t="s">
        <v>2231</v>
      </c>
      <c r="C838" s="879"/>
      <c r="D838" s="879"/>
      <c r="E838" s="879"/>
      <c r="F838" s="879"/>
      <c r="G838" s="879"/>
      <c r="H838" s="879"/>
    </row>
    <row r="839" spans="1:8" ht="31.5">
      <c r="A839" s="1"/>
      <c r="B839" s="68" t="s">
        <v>2966</v>
      </c>
      <c r="C839" s="68" t="s">
        <v>2967</v>
      </c>
      <c r="D839" s="68" t="s">
        <v>2968</v>
      </c>
      <c r="E839" s="68" t="s">
        <v>2969</v>
      </c>
      <c r="F839" s="68" t="s">
        <v>2970</v>
      </c>
      <c r="G839" s="68" t="s">
        <v>2971</v>
      </c>
      <c r="H839" s="68" t="s">
        <v>1487</v>
      </c>
    </row>
    <row r="840" spans="1:8" ht="17.25">
      <c r="A840" s="1"/>
      <c r="B840" s="886" t="s">
        <v>1488</v>
      </c>
      <c r="C840" s="58" t="s">
        <v>516</v>
      </c>
      <c r="D840" s="41">
        <v>0.5</v>
      </c>
      <c r="E840" s="55" t="s">
        <v>1490</v>
      </c>
      <c r="F840" s="107" t="e">
        <f>#REF!</f>
        <v>#REF!</v>
      </c>
      <c r="G840" s="110" t="e">
        <f t="shared" ref="G840:G850" si="26">FLOOR(D840*F840,0.01)</f>
        <v>#REF!</v>
      </c>
      <c r="H840" s="108"/>
    </row>
    <row r="841" spans="1:8" ht="17.25">
      <c r="A841" s="1"/>
      <c r="B841" s="887"/>
      <c r="C841" s="53" t="s">
        <v>1433</v>
      </c>
      <c r="D841" s="42">
        <v>3.5</v>
      </c>
      <c r="E841" s="53" t="s">
        <v>1490</v>
      </c>
      <c r="F841" s="109" t="e">
        <f>#REF!</f>
        <v>#REF!</v>
      </c>
      <c r="G841" s="109" t="e">
        <f t="shared" si="26"/>
        <v>#REF!</v>
      </c>
      <c r="H841" s="121" t="e">
        <f>SUM(G840+G841)</f>
        <v>#REF!</v>
      </c>
    </row>
    <row r="842" spans="1:8" ht="17.25">
      <c r="A842" s="1"/>
      <c r="B842" s="886" t="s">
        <v>2055</v>
      </c>
      <c r="C842" s="55" t="s">
        <v>1436</v>
      </c>
      <c r="D842" s="238">
        <v>0.22</v>
      </c>
      <c r="E842" s="55" t="s">
        <v>700</v>
      </c>
      <c r="F842" s="110" t="e">
        <f>#REF!</f>
        <v>#REF!</v>
      </c>
      <c r="G842" s="110" t="e">
        <f t="shared" si="26"/>
        <v>#REF!</v>
      </c>
      <c r="H842" s="108"/>
    </row>
    <row r="843" spans="1:8" ht="17.25">
      <c r="A843" s="1"/>
      <c r="B843" s="894"/>
      <c r="C843" s="53" t="s">
        <v>552</v>
      </c>
      <c r="D843" s="239">
        <v>0.65</v>
      </c>
      <c r="E843" s="53" t="s">
        <v>2232</v>
      </c>
      <c r="F843" s="109" t="e">
        <f>#REF!</f>
        <v>#REF!</v>
      </c>
      <c r="G843" s="109" t="e">
        <f t="shared" si="26"/>
        <v>#REF!</v>
      </c>
      <c r="H843" s="9"/>
    </row>
    <row r="844" spans="1:8" ht="17.25">
      <c r="A844" s="1"/>
      <c r="B844" s="894"/>
      <c r="C844" s="54" t="s">
        <v>553</v>
      </c>
      <c r="D844" s="42">
        <v>0.24</v>
      </c>
      <c r="E844" s="53" t="s">
        <v>2232</v>
      </c>
      <c r="F844" s="109" t="e">
        <f>#REF!</f>
        <v>#REF!</v>
      </c>
      <c r="G844" s="109" t="e">
        <f t="shared" si="26"/>
        <v>#REF!</v>
      </c>
      <c r="H844" s="121"/>
    </row>
    <row r="845" spans="1:8" ht="17.25">
      <c r="A845" s="1"/>
      <c r="B845" s="894"/>
      <c r="C845" s="53" t="s">
        <v>1931</v>
      </c>
      <c r="D845" s="52">
        <v>0.42499999999999999</v>
      </c>
      <c r="E845" s="53" t="s">
        <v>2232</v>
      </c>
      <c r="F845" s="109" t="e">
        <f>#REF!</f>
        <v>#REF!</v>
      </c>
      <c r="G845" s="109" t="e">
        <f t="shared" si="26"/>
        <v>#REF!</v>
      </c>
      <c r="H845" s="121"/>
    </row>
    <row r="846" spans="1:8" ht="17.25">
      <c r="A846" s="1"/>
      <c r="B846" s="894"/>
      <c r="C846" s="53" t="s">
        <v>3275</v>
      </c>
      <c r="D846" s="42">
        <v>100</v>
      </c>
      <c r="E846" s="53" t="s">
        <v>3276</v>
      </c>
      <c r="F846" s="109" t="e">
        <f>#REF!</f>
        <v>#REF!</v>
      </c>
      <c r="G846" s="109" t="e">
        <f t="shared" si="26"/>
        <v>#REF!</v>
      </c>
      <c r="H846" s="121"/>
    </row>
    <row r="847" spans="1:8" ht="17.25">
      <c r="A847" s="1"/>
      <c r="B847" s="894"/>
      <c r="C847" s="53" t="s">
        <v>3287</v>
      </c>
      <c r="D847" s="42">
        <v>3</v>
      </c>
      <c r="E847" s="53" t="s">
        <v>3276</v>
      </c>
      <c r="F847" s="109" t="e">
        <f>#REF!</f>
        <v>#REF!</v>
      </c>
      <c r="G847" s="109" t="e">
        <f t="shared" si="26"/>
        <v>#REF!</v>
      </c>
      <c r="H847" s="121"/>
    </row>
    <row r="848" spans="1:8" ht="17.25">
      <c r="A848" s="1"/>
      <c r="B848" s="894"/>
      <c r="C848" s="56" t="s">
        <v>3305</v>
      </c>
      <c r="D848" s="43">
        <v>0.1</v>
      </c>
      <c r="E848" s="56" t="s">
        <v>3276</v>
      </c>
      <c r="F848" s="109" t="e">
        <f>#REF!</f>
        <v>#REF!</v>
      </c>
      <c r="G848" s="109" t="e">
        <f t="shared" si="26"/>
        <v>#REF!</v>
      </c>
      <c r="H848" s="123" t="e">
        <f>SUM(G842:G848)</f>
        <v>#REF!</v>
      </c>
    </row>
    <row r="849" spans="1:8" ht="17.25">
      <c r="A849" s="1"/>
      <c r="B849" s="889" t="s">
        <v>1879</v>
      </c>
      <c r="C849" s="55" t="s">
        <v>3303</v>
      </c>
      <c r="D849" s="41">
        <v>0.6</v>
      </c>
      <c r="E849" s="55" t="s">
        <v>2471</v>
      </c>
      <c r="F849" s="110" t="e">
        <f>#REF!</f>
        <v>#REF!</v>
      </c>
      <c r="G849" s="110" t="e">
        <f t="shared" si="26"/>
        <v>#REF!</v>
      </c>
      <c r="H849" s="121"/>
    </row>
    <row r="850" spans="1:8" ht="17.25">
      <c r="A850" s="1"/>
      <c r="B850" s="896"/>
      <c r="C850" s="56" t="s">
        <v>3304</v>
      </c>
      <c r="D850" s="43">
        <v>0.25</v>
      </c>
      <c r="E850" s="56" t="s">
        <v>2471</v>
      </c>
      <c r="F850" s="63" t="e">
        <f>#REF!</f>
        <v>#REF!</v>
      </c>
      <c r="G850" s="63" t="e">
        <f t="shared" si="26"/>
        <v>#REF!</v>
      </c>
      <c r="H850" s="123" t="e">
        <f>SUM(G849:G850)</f>
        <v>#REF!</v>
      </c>
    </row>
    <row r="851" spans="1:8" ht="17.25">
      <c r="A851" s="1"/>
      <c r="B851" s="1"/>
      <c r="C851" s="1"/>
      <c r="D851" s="89"/>
      <c r="E851" s="1"/>
      <c r="F851" s="40" t="s">
        <v>1491</v>
      </c>
      <c r="G851" s="92"/>
      <c r="H851" s="63" t="e">
        <f>SUM(H840:H850)</f>
        <v>#REF!</v>
      </c>
    </row>
    <row r="852" spans="1:8" ht="17.25">
      <c r="A852" s="1"/>
      <c r="B852" s="1" t="s">
        <v>3233</v>
      </c>
      <c r="C852" s="1"/>
      <c r="D852" s="1"/>
      <c r="E852" s="1"/>
      <c r="F852" s="40" t="s">
        <v>1472</v>
      </c>
      <c r="G852" s="92"/>
      <c r="H852" s="99" t="e">
        <f>FLOOR(H851*0.15,0.01)</f>
        <v>#REF!</v>
      </c>
    </row>
    <row r="853" spans="1:8" ht="17.25">
      <c r="A853" s="27" t="s">
        <v>3005</v>
      </c>
      <c r="B853" s="99" t="e">
        <f>+H853</f>
        <v>#REF!</v>
      </c>
      <c r="C853" s="1" t="s">
        <v>3006</v>
      </c>
      <c r="D853" s="1"/>
      <c r="E853" s="1"/>
      <c r="F853" s="40" t="s">
        <v>1494</v>
      </c>
      <c r="G853" s="92"/>
      <c r="H853" s="99" t="e">
        <f>SUM(H851:H852)</f>
        <v>#REF!</v>
      </c>
    </row>
    <row r="854" spans="1:8" ht="17.25">
      <c r="A854" s="1"/>
      <c r="B854" s="1"/>
      <c r="C854" s="1"/>
      <c r="D854" s="1"/>
      <c r="E854" s="1"/>
      <c r="F854" s="40"/>
      <c r="G854" s="40"/>
      <c r="H854" s="91"/>
    </row>
    <row r="855" spans="1:8" ht="17.25">
      <c r="A855" s="1"/>
      <c r="B855" s="1"/>
      <c r="C855" s="1"/>
      <c r="D855" s="1"/>
      <c r="E855" s="1"/>
      <c r="F855" s="40"/>
      <c r="G855" s="40"/>
      <c r="H855" s="91"/>
    </row>
    <row r="856" spans="1:8" ht="17.25">
      <c r="A856" s="1"/>
      <c r="B856" s="1"/>
      <c r="C856" s="1"/>
      <c r="D856" s="1"/>
      <c r="E856" s="1"/>
      <c r="F856" s="40"/>
      <c r="G856" s="40"/>
      <c r="H856" s="91"/>
    </row>
    <row r="857" spans="1:8" ht="17.25">
      <c r="A857" s="1"/>
      <c r="B857" s="1"/>
      <c r="C857" s="1"/>
      <c r="D857" s="1"/>
      <c r="E857" s="1"/>
      <c r="F857" s="40"/>
      <c r="G857" s="40"/>
      <c r="H857" s="91"/>
    </row>
    <row r="858" spans="1:8" ht="17.25">
      <c r="A858" s="1"/>
      <c r="B858" s="1"/>
      <c r="C858" s="1"/>
      <c r="D858" s="1"/>
      <c r="E858" s="1"/>
      <c r="F858" s="40"/>
      <c r="G858" s="40"/>
      <c r="H858" s="91"/>
    </row>
    <row r="859" spans="1:8" ht="17.25">
      <c r="A859" s="1"/>
      <c r="B859" s="1"/>
      <c r="C859" s="1"/>
      <c r="D859" s="1"/>
      <c r="E859" s="1"/>
      <c r="F859" s="40"/>
      <c r="G859" s="40"/>
      <c r="H859" s="91"/>
    </row>
    <row r="860" spans="1:8" ht="17.25">
      <c r="A860" s="1"/>
      <c r="B860" s="1"/>
      <c r="C860" s="1"/>
      <c r="D860" s="1"/>
      <c r="E860" s="1"/>
      <c r="F860" s="40"/>
      <c r="G860" s="40"/>
      <c r="H860" s="91"/>
    </row>
    <row r="861" spans="1:8" ht="20.25">
      <c r="A861" s="260">
        <f>+A835+1</f>
        <v>52</v>
      </c>
      <c r="B861" s="878" t="s">
        <v>3302</v>
      </c>
      <c r="C861" s="878"/>
      <c r="D861" s="878"/>
      <c r="E861" s="878"/>
      <c r="F861" s="878"/>
      <c r="G861" s="878"/>
      <c r="H861" s="878"/>
    </row>
    <row r="862" spans="1:8" ht="19.5">
      <c r="A862" s="582" t="s">
        <v>3301</v>
      </c>
      <c r="B862" s="878" t="s">
        <v>1308</v>
      </c>
      <c r="C862" s="878"/>
      <c r="D862" s="878"/>
      <c r="E862" s="878"/>
      <c r="F862" s="878"/>
      <c r="G862" s="878"/>
      <c r="H862" s="878"/>
    </row>
    <row r="863" spans="1:8" ht="19.5">
      <c r="A863" s="1"/>
      <c r="B863" s="909" t="s">
        <v>1312</v>
      </c>
      <c r="C863" s="878"/>
      <c r="D863" s="878"/>
      <c r="E863" s="878"/>
      <c r="F863" s="878"/>
      <c r="G863" s="878"/>
      <c r="H863" s="878"/>
    </row>
    <row r="864" spans="1:8" ht="15">
      <c r="A864" s="1"/>
      <c r="B864" s="879" t="s">
        <v>2231</v>
      </c>
      <c r="C864" s="879"/>
      <c r="D864" s="879"/>
      <c r="E864" s="879"/>
      <c r="F864" s="879"/>
      <c r="G864" s="879"/>
      <c r="H864" s="879"/>
    </row>
    <row r="865" spans="1:8" ht="31.5">
      <c r="A865" s="1"/>
      <c r="B865" s="68" t="s">
        <v>2966</v>
      </c>
      <c r="C865" s="68" t="s">
        <v>2967</v>
      </c>
      <c r="D865" s="68" t="s">
        <v>2968</v>
      </c>
      <c r="E865" s="68" t="s">
        <v>2969</v>
      </c>
      <c r="F865" s="68" t="s">
        <v>2970</v>
      </c>
      <c r="G865" s="68" t="s">
        <v>2971</v>
      </c>
      <c r="H865" s="68" t="s">
        <v>1487</v>
      </c>
    </row>
    <row r="866" spans="1:8" ht="17.25">
      <c r="A866" s="1"/>
      <c r="B866" s="886" t="s">
        <v>1488</v>
      </c>
      <c r="C866" s="58" t="s">
        <v>516</v>
      </c>
      <c r="D866" s="41">
        <v>0.5</v>
      </c>
      <c r="E866" s="55" t="s">
        <v>1490</v>
      </c>
      <c r="F866" s="107" t="e">
        <f>#REF!</f>
        <v>#REF!</v>
      </c>
      <c r="G866" s="110" t="e">
        <f t="shared" ref="G866:G876" si="27">FLOOR(D866*F866,0.01)</f>
        <v>#REF!</v>
      </c>
      <c r="H866" s="108"/>
    </row>
    <row r="867" spans="1:8" ht="17.25">
      <c r="A867" s="1"/>
      <c r="B867" s="887"/>
      <c r="C867" s="53" t="s">
        <v>1433</v>
      </c>
      <c r="D867" s="42">
        <v>3.5</v>
      </c>
      <c r="E867" s="53" t="s">
        <v>1490</v>
      </c>
      <c r="F867" s="109" t="e">
        <f>#REF!</f>
        <v>#REF!</v>
      </c>
      <c r="G867" s="109" t="e">
        <f t="shared" si="27"/>
        <v>#REF!</v>
      </c>
      <c r="H867" s="121" t="e">
        <f>SUM(G866+G867)</f>
        <v>#REF!</v>
      </c>
    </row>
    <row r="868" spans="1:8" ht="17.25">
      <c r="A868" s="1"/>
      <c r="B868" s="886" t="s">
        <v>2055</v>
      </c>
      <c r="C868" s="55" t="s">
        <v>1436</v>
      </c>
      <c r="D868" s="238">
        <v>0.32</v>
      </c>
      <c r="E868" s="55" t="s">
        <v>700</v>
      </c>
      <c r="F868" s="110" t="e">
        <f>#REF!</f>
        <v>#REF!</v>
      </c>
      <c r="G868" s="110" t="e">
        <f t="shared" si="27"/>
        <v>#REF!</v>
      </c>
      <c r="H868" s="108"/>
    </row>
    <row r="869" spans="1:8" ht="17.25">
      <c r="A869" s="1"/>
      <c r="B869" s="894"/>
      <c r="C869" s="20" t="s">
        <v>552</v>
      </c>
      <c r="D869" s="239">
        <v>0.52</v>
      </c>
      <c r="E869" s="53" t="s">
        <v>2232</v>
      </c>
      <c r="F869" s="109" t="e">
        <f>#REF!</f>
        <v>#REF!</v>
      </c>
      <c r="G869" s="109" t="e">
        <f t="shared" si="27"/>
        <v>#REF!</v>
      </c>
      <c r="H869" s="9"/>
    </row>
    <row r="870" spans="1:8" ht="17.25">
      <c r="A870" s="1"/>
      <c r="B870" s="894"/>
      <c r="C870" s="21" t="s">
        <v>553</v>
      </c>
      <c r="D870" s="42">
        <v>0.33</v>
      </c>
      <c r="E870" s="53" t="s">
        <v>2232</v>
      </c>
      <c r="F870" s="109" t="e">
        <f>#REF!</f>
        <v>#REF!</v>
      </c>
      <c r="G870" s="109" t="e">
        <f t="shared" si="27"/>
        <v>#REF!</v>
      </c>
      <c r="H870" s="121"/>
    </row>
    <row r="871" spans="1:8" ht="17.25">
      <c r="A871" s="1"/>
      <c r="B871" s="894"/>
      <c r="C871" s="53" t="s">
        <v>1931</v>
      </c>
      <c r="D871" s="52">
        <v>0.44500000000000001</v>
      </c>
      <c r="E871" s="53" t="s">
        <v>2232</v>
      </c>
      <c r="F871" s="109" t="e">
        <f>#REF!</f>
        <v>#REF!</v>
      </c>
      <c r="G871" s="109" t="e">
        <f t="shared" si="27"/>
        <v>#REF!</v>
      </c>
      <c r="H871" s="121"/>
    </row>
    <row r="872" spans="1:8" ht="17.25">
      <c r="A872" s="1"/>
      <c r="B872" s="894"/>
      <c r="C872" s="53" t="s">
        <v>3275</v>
      </c>
      <c r="D872" s="42">
        <v>130</v>
      </c>
      <c r="E872" s="53" t="s">
        <v>3276</v>
      </c>
      <c r="F872" s="109" t="e">
        <f>#REF!</f>
        <v>#REF!</v>
      </c>
      <c r="G872" s="109" t="e">
        <f t="shared" si="27"/>
        <v>#REF!</v>
      </c>
      <c r="H872" s="121"/>
    </row>
    <row r="873" spans="1:8" ht="17.25">
      <c r="A873" s="1"/>
      <c r="B873" s="894"/>
      <c r="C873" s="53" t="s">
        <v>3287</v>
      </c>
      <c r="D873" s="42">
        <v>3</v>
      </c>
      <c r="E873" s="53" t="s">
        <v>3276</v>
      </c>
      <c r="F873" s="109" t="e">
        <f>#REF!</f>
        <v>#REF!</v>
      </c>
      <c r="G873" s="109" t="e">
        <f t="shared" si="27"/>
        <v>#REF!</v>
      </c>
      <c r="H873" s="121"/>
    </row>
    <row r="874" spans="1:8" ht="17.25">
      <c r="A874" s="1"/>
      <c r="B874" s="894"/>
      <c r="C874" s="56" t="s">
        <v>3305</v>
      </c>
      <c r="D874" s="43">
        <v>0.1</v>
      </c>
      <c r="E874" s="56" t="s">
        <v>3276</v>
      </c>
      <c r="F874" s="63" t="e">
        <f>#REF!</f>
        <v>#REF!</v>
      </c>
      <c r="G874" s="63" t="e">
        <f t="shared" si="27"/>
        <v>#REF!</v>
      </c>
      <c r="H874" s="123" t="e">
        <f>SUM(G868:G874)</f>
        <v>#REF!</v>
      </c>
    </row>
    <row r="875" spans="1:8" ht="17.25">
      <c r="A875" s="1"/>
      <c r="B875" s="889" t="s">
        <v>1879</v>
      </c>
      <c r="C875" s="55" t="s">
        <v>3303</v>
      </c>
      <c r="D875" s="41">
        <v>0.6</v>
      </c>
      <c r="E875" s="55" t="s">
        <v>2471</v>
      </c>
      <c r="F875" s="110" t="e">
        <f>#REF!</f>
        <v>#REF!</v>
      </c>
      <c r="G875" s="109" t="e">
        <f t="shared" si="27"/>
        <v>#REF!</v>
      </c>
      <c r="H875" s="121"/>
    </row>
    <row r="876" spans="1:8" ht="17.25">
      <c r="A876" s="1"/>
      <c r="B876" s="896"/>
      <c r="C876" s="56" t="s">
        <v>3304</v>
      </c>
      <c r="D876" s="43">
        <v>0.25</v>
      </c>
      <c r="E876" s="56" t="s">
        <v>2471</v>
      </c>
      <c r="F876" s="63" t="e">
        <f>#REF!</f>
        <v>#REF!</v>
      </c>
      <c r="G876" s="63" t="e">
        <f t="shared" si="27"/>
        <v>#REF!</v>
      </c>
      <c r="H876" s="123" t="e">
        <f>SUM(G875:G876)</f>
        <v>#REF!</v>
      </c>
    </row>
    <row r="877" spans="1:8" ht="17.25">
      <c r="A877" s="1"/>
      <c r="B877" s="1"/>
      <c r="C877" s="1"/>
      <c r="D877" s="89"/>
      <c r="E877" s="1"/>
      <c r="F877" s="40" t="s">
        <v>1491</v>
      </c>
      <c r="G877" s="92"/>
      <c r="H877" s="63" t="e">
        <f>SUM(H866:H876)</f>
        <v>#REF!</v>
      </c>
    </row>
    <row r="878" spans="1:8" ht="17.25">
      <c r="A878" s="1"/>
      <c r="B878" s="1" t="s">
        <v>3233</v>
      </c>
      <c r="C878" s="1"/>
      <c r="D878" s="1"/>
      <c r="E878" s="1"/>
      <c r="F878" s="40" t="s">
        <v>1472</v>
      </c>
      <c r="G878" s="92"/>
      <c r="H878" s="99" t="e">
        <f>FLOOR(H877*0.15,0.01)</f>
        <v>#REF!</v>
      </c>
    </row>
    <row r="879" spans="1:8" ht="17.25">
      <c r="A879" s="27" t="s">
        <v>3005</v>
      </c>
      <c r="B879" s="99" t="e">
        <f>+H879</f>
        <v>#REF!</v>
      </c>
      <c r="C879" s="1" t="s">
        <v>3006</v>
      </c>
      <c r="D879" s="1"/>
      <c r="E879" s="1"/>
      <c r="F879" s="40" t="s">
        <v>1494</v>
      </c>
      <c r="G879" s="92"/>
      <c r="H879" s="99" t="e">
        <f>SUM(H877:H878)</f>
        <v>#REF!</v>
      </c>
    </row>
    <row r="880" spans="1:8" ht="17.25">
      <c r="A880" s="27"/>
      <c r="B880" s="141"/>
      <c r="C880" s="1"/>
      <c r="D880" s="1"/>
      <c r="E880" s="1"/>
      <c r="F880" s="40"/>
      <c r="G880" s="92"/>
      <c r="H880" s="141"/>
    </row>
    <row r="881" spans="1:8" ht="20.25">
      <c r="A881" s="260">
        <f>+A861+1</f>
        <v>53</v>
      </c>
      <c r="B881" s="878" t="s">
        <v>3306</v>
      </c>
      <c r="C881" s="878"/>
      <c r="D881" s="878"/>
      <c r="E881" s="878"/>
      <c r="F881" s="878"/>
      <c r="G881" s="878"/>
      <c r="H881" s="878"/>
    </row>
    <row r="882" spans="1:8" ht="19.5">
      <c r="A882" s="582" t="s">
        <v>3314</v>
      </c>
      <c r="B882" s="878" t="s">
        <v>1308</v>
      </c>
      <c r="C882" s="878"/>
      <c r="D882" s="878"/>
      <c r="E882" s="878"/>
      <c r="F882" s="878"/>
      <c r="G882" s="878"/>
      <c r="H882" s="878"/>
    </row>
    <row r="883" spans="1:8" ht="19.5">
      <c r="A883" s="1"/>
      <c r="B883" s="909" t="s">
        <v>3307</v>
      </c>
      <c r="C883" s="878"/>
      <c r="D883" s="878"/>
      <c r="E883" s="878"/>
      <c r="F883" s="878"/>
      <c r="G883" s="878"/>
      <c r="H883" s="878"/>
    </row>
    <row r="884" spans="1:8" ht="15">
      <c r="A884" s="1"/>
      <c r="B884" s="879" t="s">
        <v>2231</v>
      </c>
      <c r="C884" s="879"/>
      <c r="D884" s="879"/>
      <c r="E884" s="879"/>
      <c r="F884" s="879"/>
      <c r="G884" s="879"/>
      <c r="H884" s="879"/>
    </row>
    <row r="885" spans="1:8" ht="31.5">
      <c r="A885" s="1"/>
      <c r="B885" s="68" t="s">
        <v>2966</v>
      </c>
      <c r="C885" s="68" t="s">
        <v>2967</v>
      </c>
      <c r="D885" s="68" t="s">
        <v>2968</v>
      </c>
      <c r="E885" s="68" t="s">
        <v>2969</v>
      </c>
      <c r="F885" s="68" t="s">
        <v>2970</v>
      </c>
      <c r="G885" s="68" t="s">
        <v>2971</v>
      </c>
      <c r="H885" s="68" t="s">
        <v>1487</v>
      </c>
    </row>
    <row r="886" spans="1:8" ht="17.25">
      <c r="A886" s="1"/>
      <c r="B886" s="886" t="s">
        <v>1488</v>
      </c>
      <c r="C886" s="58" t="s">
        <v>516</v>
      </c>
      <c r="D886" s="41">
        <v>0.5</v>
      </c>
      <c r="E886" s="55" t="s">
        <v>1490</v>
      </c>
      <c r="F886" s="107" t="e">
        <f>#REF!</f>
        <v>#REF!</v>
      </c>
      <c r="G886" s="110" t="e">
        <f t="shared" ref="G886:G896" si="28">FLOOR(D886*F886,0.01)</f>
        <v>#REF!</v>
      </c>
      <c r="H886" s="108"/>
    </row>
    <row r="887" spans="1:8" ht="17.25">
      <c r="A887" s="1"/>
      <c r="B887" s="887"/>
      <c r="C887" s="53" t="s">
        <v>1433</v>
      </c>
      <c r="D887" s="42">
        <v>3.5</v>
      </c>
      <c r="E887" s="53" t="s">
        <v>1490</v>
      </c>
      <c r="F887" s="109" t="e">
        <f>#REF!</f>
        <v>#REF!</v>
      </c>
      <c r="G887" s="109" t="e">
        <f t="shared" si="28"/>
        <v>#REF!</v>
      </c>
      <c r="H887" s="121" t="e">
        <f>SUM(G886+G887)</f>
        <v>#REF!</v>
      </c>
    </row>
    <row r="888" spans="1:8" ht="17.25">
      <c r="A888" s="1"/>
      <c r="B888" s="886" t="s">
        <v>2055</v>
      </c>
      <c r="C888" s="55" t="s">
        <v>1436</v>
      </c>
      <c r="D888" s="238">
        <v>0.4</v>
      </c>
      <c r="E888" s="55" t="s">
        <v>700</v>
      </c>
      <c r="F888" s="110" t="e">
        <f>#REF!</f>
        <v>#REF!</v>
      </c>
      <c r="G888" s="110" t="e">
        <f t="shared" si="28"/>
        <v>#REF!</v>
      </c>
      <c r="H888" s="108"/>
    </row>
    <row r="889" spans="1:8" ht="17.25">
      <c r="A889" s="1"/>
      <c r="B889" s="894"/>
      <c r="C889" s="21" t="s">
        <v>553</v>
      </c>
      <c r="D889" s="239">
        <v>0.56999999999999995</v>
      </c>
      <c r="E889" s="53" t="s">
        <v>2232</v>
      </c>
      <c r="F889" s="109" t="e">
        <f>#REF!</f>
        <v>#REF!</v>
      </c>
      <c r="G889" s="109" t="e">
        <f t="shared" si="28"/>
        <v>#REF!</v>
      </c>
      <c r="H889" s="9"/>
    </row>
    <row r="890" spans="1:8" ht="17.25">
      <c r="A890" s="1"/>
      <c r="B890" s="894"/>
      <c r="C890" s="20" t="s">
        <v>554</v>
      </c>
      <c r="D890" s="42">
        <v>0.28999999999999998</v>
      </c>
      <c r="E890" s="53" t="s">
        <v>2232</v>
      </c>
      <c r="F890" s="109" t="e">
        <f>#REF!</f>
        <v>#REF!</v>
      </c>
      <c r="G890" s="109" t="e">
        <f t="shared" si="28"/>
        <v>#REF!</v>
      </c>
      <c r="H890" s="121"/>
    </row>
    <row r="891" spans="1:8" ht="17.25">
      <c r="A891" s="1"/>
      <c r="B891" s="894"/>
      <c r="C891" s="53" t="s">
        <v>1931</v>
      </c>
      <c r="D891" s="52">
        <v>0.42499999999999999</v>
      </c>
      <c r="E891" s="53" t="s">
        <v>2232</v>
      </c>
      <c r="F891" s="109" t="e">
        <f>#REF!</f>
        <v>#REF!</v>
      </c>
      <c r="G891" s="109" t="e">
        <f t="shared" si="28"/>
        <v>#REF!</v>
      </c>
      <c r="H891" s="121"/>
    </row>
    <row r="892" spans="1:8" ht="17.25">
      <c r="A892" s="1"/>
      <c r="B892" s="894"/>
      <c r="C892" s="53" t="s">
        <v>3275</v>
      </c>
      <c r="D892" s="42">
        <v>200</v>
      </c>
      <c r="E892" s="53" t="s">
        <v>3276</v>
      </c>
      <c r="F892" s="109" t="e">
        <f>#REF!</f>
        <v>#REF!</v>
      </c>
      <c r="G892" s="109" t="e">
        <f t="shared" si="28"/>
        <v>#REF!</v>
      </c>
      <c r="H892" s="121"/>
    </row>
    <row r="893" spans="1:8" ht="17.25">
      <c r="A893" s="1"/>
      <c r="B893" s="894"/>
      <c r="C893" s="53" t="s">
        <v>3287</v>
      </c>
      <c r="D893" s="42">
        <v>3</v>
      </c>
      <c r="E893" s="53" t="s">
        <v>3276</v>
      </c>
      <c r="F893" s="109" t="e">
        <f>#REF!</f>
        <v>#REF!</v>
      </c>
      <c r="G893" s="109" t="e">
        <f t="shared" si="28"/>
        <v>#REF!</v>
      </c>
      <c r="H893" s="121"/>
    </row>
    <row r="894" spans="1:8" ht="17.25">
      <c r="A894" s="1"/>
      <c r="B894" s="894"/>
      <c r="C894" s="56" t="s">
        <v>3305</v>
      </c>
      <c r="D894" s="43">
        <v>0.1</v>
      </c>
      <c r="E894" s="56" t="s">
        <v>3276</v>
      </c>
      <c r="F894" s="109" t="e">
        <f>#REF!</f>
        <v>#REF!</v>
      </c>
      <c r="G894" s="109" t="e">
        <f t="shared" si="28"/>
        <v>#REF!</v>
      </c>
      <c r="H894" s="123" t="e">
        <f>SUM(G888:G894)</f>
        <v>#REF!</v>
      </c>
    </row>
    <row r="895" spans="1:8" ht="17.25">
      <c r="A895" s="1"/>
      <c r="B895" s="889" t="s">
        <v>1879</v>
      </c>
      <c r="C895" s="55" t="s">
        <v>3303</v>
      </c>
      <c r="D895" s="41">
        <v>0.6</v>
      </c>
      <c r="E895" s="55" t="s">
        <v>2471</v>
      </c>
      <c r="F895" s="110" t="e">
        <f>#REF!</f>
        <v>#REF!</v>
      </c>
      <c r="G895" s="110" t="e">
        <f t="shared" si="28"/>
        <v>#REF!</v>
      </c>
      <c r="H895" s="121"/>
    </row>
    <row r="896" spans="1:8" ht="17.25">
      <c r="A896" s="1"/>
      <c r="B896" s="896"/>
      <c r="C896" s="56" t="s">
        <v>3304</v>
      </c>
      <c r="D896" s="43">
        <v>0.25</v>
      </c>
      <c r="E896" s="56" t="s">
        <v>2471</v>
      </c>
      <c r="F896" s="63" t="e">
        <f>#REF!</f>
        <v>#REF!</v>
      </c>
      <c r="G896" s="63" t="e">
        <f t="shared" si="28"/>
        <v>#REF!</v>
      </c>
      <c r="H896" s="123" t="e">
        <f>SUM(G895:G896)</f>
        <v>#REF!</v>
      </c>
    </row>
    <row r="897" spans="1:8" ht="17.25">
      <c r="A897" s="1"/>
      <c r="B897" s="1"/>
      <c r="C897" s="1"/>
      <c r="D897" s="89"/>
      <c r="E897" s="1"/>
      <c r="F897" s="40" t="s">
        <v>1491</v>
      </c>
      <c r="G897" s="92"/>
      <c r="H897" s="63" t="e">
        <f>SUM(H886:H896)</f>
        <v>#REF!</v>
      </c>
    </row>
    <row r="898" spans="1:8" ht="17.25">
      <c r="A898" s="1"/>
      <c r="B898" s="1" t="s">
        <v>3233</v>
      </c>
      <c r="C898" s="1"/>
      <c r="D898" s="1"/>
      <c r="E898" s="1"/>
      <c r="F898" s="40" t="s">
        <v>1472</v>
      </c>
      <c r="G898" s="92"/>
      <c r="H898" s="99" t="e">
        <f>FLOOR(H897*0.15,0.01)</f>
        <v>#REF!</v>
      </c>
    </row>
    <row r="899" spans="1:8" ht="17.25">
      <c r="A899" s="27" t="s">
        <v>3005</v>
      </c>
      <c r="B899" s="99" t="e">
        <f>+H899</f>
        <v>#REF!</v>
      </c>
      <c r="C899" s="1" t="s">
        <v>3006</v>
      </c>
      <c r="D899" s="1"/>
      <c r="E899" s="1"/>
      <c r="F899" s="40" t="s">
        <v>1494</v>
      </c>
      <c r="G899" s="92"/>
      <c r="H899" s="99" t="e">
        <f>SUM(H897:H898)</f>
        <v>#REF!</v>
      </c>
    </row>
    <row r="900" spans="1:8" ht="17.25">
      <c r="A900" s="27"/>
      <c r="B900" s="141"/>
      <c r="C900" s="1"/>
      <c r="D900" s="1"/>
      <c r="E900" s="1"/>
      <c r="F900" s="40"/>
      <c r="G900" s="92"/>
      <c r="H900" s="141"/>
    </row>
    <row r="901" spans="1:8" ht="17.25">
      <c r="A901" s="27"/>
      <c r="B901" s="141"/>
      <c r="C901" s="1"/>
      <c r="D901" s="1"/>
      <c r="E901" s="1"/>
      <c r="F901" s="40"/>
      <c r="G901" s="92"/>
      <c r="H901" s="141"/>
    </row>
    <row r="902" spans="1:8" ht="17.25">
      <c r="A902" s="27"/>
      <c r="B902" s="141"/>
      <c r="C902" s="1"/>
      <c r="D902" s="1"/>
      <c r="E902" s="1"/>
      <c r="F902" s="40"/>
      <c r="G902" s="92"/>
      <c r="H902" s="141"/>
    </row>
    <row r="903" spans="1:8" ht="17.25">
      <c r="A903" s="27"/>
      <c r="B903" s="141"/>
      <c r="C903" s="1"/>
      <c r="D903" s="1"/>
      <c r="E903" s="1"/>
      <c r="F903" s="40"/>
      <c r="G903" s="92"/>
      <c r="H903" s="141"/>
    </row>
    <row r="904" spans="1:8" ht="17.25">
      <c r="A904" s="27"/>
      <c r="B904" s="141"/>
      <c r="C904" s="1"/>
      <c r="D904" s="1"/>
      <c r="E904" s="1"/>
      <c r="F904" s="40"/>
      <c r="G904" s="92"/>
      <c r="H904" s="141"/>
    </row>
    <row r="905" spans="1:8" ht="15">
      <c r="A905" s="1"/>
      <c r="B905" s="1"/>
      <c r="C905" s="1"/>
      <c r="D905" s="1"/>
      <c r="E905" s="1"/>
      <c r="F905" s="1"/>
      <c r="G905" s="1"/>
      <c r="H905" s="1"/>
    </row>
    <row r="906" spans="1:8" ht="20.25">
      <c r="A906" s="260">
        <f>+A881+1</f>
        <v>54</v>
      </c>
      <c r="B906" s="878" t="s">
        <v>3306</v>
      </c>
      <c r="C906" s="878"/>
      <c r="D906" s="878"/>
      <c r="E906" s="878"/>
      <c r="F906" s="878"/>
      <c r="G906" s="878"/>
      <c r="H906" s="878"/>
    </row>
    <row r="907" spans="1:8" ht="19.5">
      <c r="A907" s="582" t="s">
        <v>3314</v>
      </c>
      <c r="B907" s="878" t="s">
        <v>1308</v>
      </c>
      <c r="C907" s="878"/>
      <c r="D907" s="878"/>
      <c r="E907" s="878"/>
      <c r="F907" s="878"/>
      <c r="G907" s="878"/>
      <c r="H907" s="878"/>
    </row>
    <row r="908" spans="1:8" ht="19.5">
      <c r="A908" s="1"/>
      <c r="B908" s="909" t="s">
        <v>1315</v>
      </c>
      <c r="C908" s="878"/>
      <c r="D908" s="878"/>
      <c r="E908" s="878"/>
      <c r="F908" s="878"/>
      <c r="G908" s="878"/>
      <c r="H908" s="878"/>
    </row>
    <row r="909" spans="1:8" ht="15">
      <c r="A909" s="1"/>
      <c r="B909" s="879" t="s">
        <v>2231</v>
      </c>
      <c r="C909" s="879"/>
      <c r="D909" s="879"/>
      <c r="E909" s="879"/>
      <c r="F909" s="879"/>
      <c r="G909" s="879"/>
      <c r="H909" s="879"/>
    </row>
    <row r="910" spans="1:8" ht="31.5">
      <c r="A910" s="1"/>
      <c r="B910" s="68" t="s">
        <v>2966</v>
      </c>
      <c r="C910" s="68" t="s">
        <v>2967</v>
      </c>
      <c r="D910" s="68" t="s">
        <v>2968</v>
      </c>
      <c r="E910" s="68" t="s">
        <v>2969</v>
      </c>
      <c r="F910" s="68" t="s">
        <v>2970</v>
      </c>
      <c r="G910" s="68" t="s">
        <v>2971</v>
      </c>
      <c r="H910" s="68" t="s">
        <v>1487</v>
      </c>
    </row>
    <row r="911" spans="1:8" ht="17.25">
      <c r="A911" s="1"/>
      <c r="B911" s="886" t="s">
        <v>1488</v>
      </c>
      <c r="C911" s="58" t="s">
        <v>516</v>
      </c>
      <c r="D911" s="41">
        <v>0.5</v>
      </c>
      <c r="E911" s="55" t="s">
        <v>1490</v>
      </c>
      <c r="F911" s="107" t="e">
        <f>#REF!</f>
        <v>#REF!</v>
      </c>
      <c r="G911" s="110" t="e">
        <f t="shared" ref="G911:G921" si="29">FLOOR(D911*F911,0.01)</f>
        <v>#REF!</v>
      </c>
      <c r="H911" s="108"/>
    </row>
    <row r="912" spans="1:8" ht="17.25">
      <c r="A912" s="1"/>
      <c r="B912" s="887"/>
      <c r="C912" s="53" t="s">
        <v>1433</v>
      </c>
      <c r="D912" s="42">
        <v>3.5</v>
      </c>
      <c r="E912" s="53" t="s">
        <v>1490</v>
      </c>
      <c r="F912" s="109" t="e">
        <f>#REF!</f>
        <v>#REF!</v>
      </c>
      <c r="G912" s="109" t="e">
        <f t="shared" si="29"/>
        <v>#REF!</v>
      </c>
      <c r="H912" s="121" t="e">
        <f>SUM(G911+G912)</f>
        <v>#REF!</v>
      </c>
    </row>
    <row r="913" spans="1:8" ht="17.25">
      <c r="A913" s="1"/>
      <c r="B913" s="886" t="s">
        <v>2055</v>
      </c>
      <c r="C913" s="55" t="s">
        <v>1436</v>
      </c>
      <c r="D913" s="238">
        <v>0.61</v>
      </c>
      <c r="E913" s="55" t="s">
        <v>700</v>
      </c>
      <c r="F913" s="110" t="e">
        <f>#REF!</f>
        <v>#REF!</v>
      </c>
      <c r="G913" s="110" t="e">
        <f t="shared" si="29"/>
        <v>#REF!</v>
      </c>
      <c r="H913" s="108"/>
    </row>
    <row r="914" spans="1:8" ht="17.25">
      <c r="A914" s="1"/>
      <c r="B914" s="894"/>
      <c r="C914" s="21" t="s">
        <v>553</v>
      </c>
      <c r="D914" s="239">
        <v>0.64</v>
      </c>
      <c r="E914" s="53" t="s">
        <v>2232</v>
      </c>
      <c r="F914" s="109" t="e">
        <f>#REF!</f>
        <v>#REF!</v>
      </c>
      <c r="G914" s="109" t="e">
        <f t="shared" si="29"/>
        <v>#REF!</v>
      </c>
      <c r="H914" s="9"/>
    </row>
    <row r="915" spans="1:8" ht="17.25">
      <c r="A915" s="1"/>
      <c r="B915" s="894"/>
      <c r="C915" s="20" t="s">
        <v>554</v>
      </c>
      <c r="D915" s="42">
        <v>0.21</v>
      </c>
      <c r="E915" s="53" t="s">
        <v>2232</v>
      </c>
      <c r="F915" s="109" t="e">
        <f>#REF!</f>
        <v>#REF!</v>
      </c>
      <c r="G915" s="109" t="e">
        <f t="shared" si="29"/>
        <v>#REF!</v>
      </c>
      <c r="H915" s="121"/>
    </row>
    <row r="916" spans="1:8" ht="17.25">
      <c r="A916" s="1"/>
      <c r="B916" s="894"/>
      <c r="C916" s="53" t="s">
        <v>1931</v>
      </c>
      <c r="D916" s="52">
        <v>0.42499999999999999</v>
      </c>
      <c r="E916" s="53" t="s">
        <v>2232</v>
      </c>
      <c r="F916" s="109" t="e">
        <f>#REF!</f>
        <v>#REF!</v>
      </c>
      <c r="G916" s="109" t="e">
        <f t="shared" si="29"/>
        <v>#REF!</v>
      </c>
      <c r="H916" s="121"/>
    </row>
    <row r="917" spans="1:8" ht="17.25">
      <c r="A917" s="1"/>
      <c r="B917" s="894"/>
      <c r="C917" s="53" t="s">
        <v>3275</v>
      </c>
      <c r="D917" s="42">
        <v>300</v>
      </c>
      <c r="E917" s="53" t="s">
        <v>3276</v>
      </c>
      <c r="F917" s="109" t="e">
        <f>#REF!</f>
        <v>#REF!</v>
      </c>
      <c r="G917" s="109" t="e">
        <f t="shared" si="29"/>
        <v>#REF!</v>
      </c>
      <c r="H917" s="121"/>
    </row>
    <row r="918" spans="1:8" ht="17.25">
      <c r="A918" s="1"/>
      <c r="B918" s="894"/>
      <c r="C918" s="53" t="s">
        <v>3287</v>
      </c>
      <c r="D918" s="42">
        <v>3</v>
      </c>
      <c r="E918" s="53" t="s">
        <v>3276</v>
      </c>
      <c r="F918" s="109" t="e">
        <f>#REF!</f>
        <v>#REF!</v>
      </c>
      <c r="G918" s="109" t="e">
        <f t="shared" si="29"/>
        <v>#REF!</v>
      </c>
      <c r="H918" s="121"/>
    </row>
    <row r="919" spans="1:8" ht="17.25">
      <c r="A919" s="1"/>
      <c r="B919" s="894"/>
      <c r="C919" s="56" t="s">
        <v>3305</v>
      </c>
      <c r="D919" s="43">
        <v>0.1</v>
      </c>
      <c r="E919" s="56" t="s">
        <v>3276</v>
      </c>
      <c r="F919" s="109" t="e">
        <f>#REF!</f>
        <v>#REF!</v>
      </c>
      <c r="G919" s="109" t="e">
        <f t="shared" si="29"/>
        <v>#REF!</v>
      </c>
      <c r="H919" s="123" t="e">
        <f>SUM(G913:G919)</f>
        <v>#REF!</v>
      </c>
    </row>
    <row r="920" spans="1:8" ht="17.25">
      <c r="A920" s="1"/>
      <c r="B920" s="889" t="s">
        <v>1879</v>
      </c>
      <c r="C920" s="55" t="s">
        <v>3303</v>
      </c>
      <c r="D920" s="41">
        <v>0.6</v>
      </c>
      <c r="E920" s="55" t="s">
        <v>2471</v>
      </c>
      <c r="F920" s="110" t="e">
        <f>#REF!</f>
        <v>#REF!</v>
      </c>
      <c r="G920" s="110" t="e">
        <f t="shared" si="29"/>
        <v>#REF!</v>
      </c>
      <c r="H920" s="121"/>
    </row>
    <row r="921" spans="1:8" ht="17.25">
      <c r="A921" s="1"/>
      <c r="B921" s="896"/>
      <c r="C921" s="56" t="s">
        <v>3304</v>
      </c>
      <c r="D921" s="43">
        <v>0.25</v>
      </c>
      <c r="E921" s="56" t="s">
        <v>2471</v>
      </c>
      <c r="F921" s="63" t="e">
        <f>#REF!</f>
        <v>#REF!</v>
      </c>
      <c r="G921" s="63" t="e">
        <f t="shared" si="29"/>
        <v>#REF!</v>
      </c>
      <c r="H921" s="123" t="e">
        <f>SUM(G920:G921)</f>
        <v>#REF!</v>
      </c>
    </row>
    <row r="922" spans="1:8" ht="17.25">
      <c r="A922" s="1"/>
      <c r="B922" s="1"/>
      <c r="C922" s="1"/>
      <c r="D922" s="89"/>
      <c r="E922" s="1"/>
      <c r="F922" s="40" t="s">
        <v>1491</v>
      </c>
      <c r="G922" s="92"/>
      <c r="H922" s="63" t="e">
        <f>SUM(H911:H921)</f>
        <v>#REF!</v>
      </c>
    </row>
    <row r="923" spans="1:8" ht="17.25">
      <c r="A923" s="1"/>
      <c r="B923" s="1" t="s">
        <v>3233</v>
      </c>
      <c r="C923" s="1"/>
      <c r="D923" s="1"/>
      <c r="E923" s="1"/>
      <c r="F923" s="40" t="s">
        <v>1472</v>
      </c>
      <c r="G923" s="92"/>
      <c r="H923" s="99" t="e">
        <f>FLOOR(H922*0.15,0.01)</f>
        <v>#REF!</v>
      </c>
    </row>
    <row r="924" spans="1:8" ht="17.25">
      <c r="A924" s="27" t="s">
        <v>3005</v>
      </c>
      <c r="B924" s="99" t="e">
        <f>+H924</f>
        <v>#REF!</v>
      </c>
      <c r="C924" s="1" t="s">
        <v>3006</v>
      </c>
      <c r="D924" s="1"/>
      <c r="E924" s="1"/>
      <c r="F924" s="40" t="s">
        <v>1494</v>
      </c>
      <c r="G924" s="92"/>
      <c r="H924" s="99" t="e">
        <f>SUM(H922:H923)</f>
        <v>#REF!</v>
      </c>
    </row>
    <row r="925" spans="1:8" ht="17.25">
      <c r="A925" s="27"/>
      <c r="B925" s="141"/>
      <c r="C925" s="1"/>
      <c r="D925" s="1"/>
      <c r="E925" s="1"/>
      <c r="F925" s="40"/>
      <c r="G925" s="92"/>
      <c r="H925" s="141"/>
    </row>
    <row r="926" spans="1:8" ht="20.25">
      <c r="A926" s="260">
        <f>+A906+1</f>
        <v>55</v>
      </c>
      <c r="B926" s="878" t="s">
        <v>3311</v>
      </c>
      <c r="C926" s="878"/>
      <c r="D926" s="878"/>
      <c r="E926" s="878"/>
      <c r="F926" s="878"/>
      <c r="G926" s="878"/>
      <c r="H926" s="878"/>
    </row>
    <row r="927" spans="1:8" ht="19.5">
      <c r="A927" s="582" t="s">
        <v>3313</v>
      </c>
      <c r="B927" s="878" t="s">
        <v>3308</v>
      </c>
      <c r="C927" s="878"/>
      <c r="D927" s="878"/>
      <c r="E927" s="878"/>
      <c r="F927" s="878"/>
      <c r="G927" s="878"/>
      <c r="H927" s="878"/>
    </row>
    <row r="928" spans="1:8" ht="19.5">
      <c r="A928" s="1"/>
      <c r="B928" s="909" t="s">
        <v>1315</v>
      </c>
      <c r="C928" s="878"/>
      <c r="D928" s="878"/>
      <c r="E928" s="878"/>
      <c r="F928" s="878"/>
      <c r="G928" s="878"/>
      <c r="H928" s="878"/>
    </row>
    <row r="929" spans="1:8" ht="15">
      <c r="A929" s="1"/>
      <c r="B929" s="879" t="s">
        <v>2231</v>
      </c>
      <c r="C929" s="879"/>
      <c r="D929" s="879"/>
      <c r="E929" s="879"/>
      <c r="F929" s="879"/>
      <c r="G929" s="879"/>
      <c r="H929" s="879"/>
    </row>
    <row r="930" spans="1:8" ht="31.5">
      <c r="A930" s="1"/>
      <c r="B930" s="68" t="s">
        <v>2966</v>
      </c>
      <c r="C930" s="68" t="s">
        <v>2967</v>
      </c>
      <c r="D930" s="68" t="s">
        <v>2968</v>
      </c>
      <c r="E930" s="68" t="s">
        <v>2969</v>
      </c>
      <c r="F930" s="68" t="s">
        <v>2970</v>
      </c>
      <c r="G930" s="68" t="s">
        <v>2971</v>
      </c>
      <c r="H930" s="68" t="s">
        <v>1487</v>
      </c>
    </row>
    <row r="931" spans="1:8" ht="17.25">
      <c r="A931" s="1"/>
      <c r="B931" s="886" t="s">
        <v>1488</v>
      </c>
      <c r="C931" s="58" t="s">
        <v>516</v>
      </c>
      <c r="D931" s="41">
        <v>0.5</v>
      </c>
      <c r="E931" s="55" t="s">
        <v>1490</v>
      </c>
      <c r="F931" s="107" t="e">
        <f>#REF!</f>
        <v>#REF!</v>
      </c>
      <c r="G931" s="110" t="e">
        <f t="shared" ref="G931:G942" si="30">FLOOR(D931*F931,0.01)</f>
        <v>#REF!</v>
      </c>
      <c r="H931" s="108"/>
    </row>
    <row r="932" spans="1:8" ht="17.25">
      <c r="A932" s="1"/>
      <c r="B932" s="887"/>
      <c r="C932" s="53" t="s">
        <v>1433</v>
      </c>
      <c r="D932" s="42">
        <v>3.5</v>
      </c>
      <c r="E932" s="53" t="s">
        <v>1490</v>
      </c>
      <c r="F932" s="109" t="e">
        <f>#REF!</f>
        <v>#REF!</v>
      </c>
      <c r="G932" s="109" t="e">
        <f t="shared" si="30"/>
        <v>#REF!</v>
      </c>
      <c r="H932" s="121" t="e">
        <f>SUM(G931+G932)</f>
        <v>#REF!</v>
      </c>
    </row>
    <row r="933" spans="1:8" ht="17.25">
      <c r="A933" s="1"/>
      <c r="B933" s="886" t="s">
        <v>2055</v>
      </c>
      <c r="C933" s="55" t="s">
        <v>1436</v>
      </c>
      <c r="D933" s="238">
        <v>0.6</v>
      </c>
      <c r="E933" s="55" t="s">
        <v>700</v>
      </c>
      <c r="F933" s="110" t="e">
        <f>#REF!</f>
        <v>#REF!</v>
      </c>
      <c r="G933" s="110" t="e">
        <f t="shared" si="30"/>
        <v>#REF!</v>
      </c>
      <c r="H933" s="108"/>
    </row>
    <row r="934" spans="1:8" ht="17.25">
      <c r="A934" s="1"/>
      <c r="B934" s="894"/>
      <c r="C934" s="54" t="s">
        <v>3312</v>
      </c>
      <c r="D934" s="239">
        <v>0.82499999999999996</v>
      </c>
      <c r="E934" s="53" t="s">
        <v>2232</v>
      </c>
      <c r="F934" s="109" t="e">
        <f>#REF!</f>
        <v>#REF!</v>
      </c>
      <c r="G934" s="109" t="e">
        <f t="shared" si="30"/>
        <v>#REF!</v>
      </c>
      <c r="H934" s="9"/>
    </row>
    <row r="935" spans="1:8" ht="17.25">
      <c r="A935" s="1"/>
      <c r="B935" s="894"/>
      <c r="C935" s="53" t="s">
        <v>1931</v>
      </c>
      <c r="D935" s="52">
        <v>0.41199999999999998</v>
      </c>
      <c r="E935" s="53" t="s">
        <v>2232</v>
      </c>
      <c r="F935" s="109" t="e">
        <f>#REF!</f>
        <v>#REF!</v>
      </c>
      <c r="G935" s="109" t="e">
        <f t="shared" si="30"/>
        <v>#REF!</v>
      </c>
      <c r="H935" s="121"/>
    </row>
    <row r="936" spans="1:8" ht="17.25">
      <c r="A936" s="1"/>
      <c r="B936" s="894"/>
      <c r="C936" s="53" t="s">
        <v>3309</v>
      </c>
      <c r="D936" s="42">
        <v>12</v>
      </c>
      <c r="E936" s="53" t="s">
        <v>3276</v>
      </c>
      <c r="F936" s="109" t="e">
        <f>#REF!</f>
        <v>#REF!</v>
      </c>
      <c r="G936" s="109" t="e">
        <f t="shared" si="30"/>
        <v>#REF!</v>
      </c>
      <c r="H936" s="121"/>
    </row>
    <row r="937" spans="1:8" ht="17.25">
      <c r="A937" s="1"/>
      <c r="B937" s="894"/>
      <c r="C937" s="53" t="s">
        <v>3310</v>
      </c>
      <c r="D937" s="42">
        <v>40</v>
      </c>
      <c r="E937" s="53" t="s">
        <v>2748</v>
      </c>
      <c r="F937" s="109" t="e">
        <f>#REF!</f>
        <v>#REF!</v>
      </c>
      <c r="G937" s="109" t="e">
        <f t="shared" si="30"/>
        <v>#REF!</v>
      </c>
      <c r="H937" s="121"/>
    </row>
    <row r="938" spans="1:8" ht="17.25">
      <c r="A938" s="1"/>
      <c r="B938" s="894"/>
      <c r="C938" s="53" t="s">
        <v>3275</v>
      </c>
      <c r="D938" s="42">
        <v>150</v>
      </c>
      <c r="E938" s="53" t="s">
        <v>3276</v>
      </c>
      <c r="F938" s="109" t="e">
        <f>#REF!</f>
        <v>#REF!</v>
      </c>
      <c r="G938" s="109" t="e">
        <f t="shared" si="30"/>
        <v>#REF!</v>
      </c>
      <c r="H938" s="121"/>
    </row>
    <row r="939" spans="1:8" ht="17.25">
      <c r="A939" s="1"/>
      <c r="B939" s="894"/>
      <c r="C939" s="53" t="s">
        <v>3287</v>
      </c>
      <c r="D939" s="42">
        <v>3</v>
      </c>
      <c r="E939" s="53" t="s">
        <v>3276</v>
      </c>
      <c r="F939" s="109" t="e">
        <f>#REF!</f>
        <v>#REF!</v>
      </c>
      <c r="G939" s="109" t="e">
        <f t="shared" si="30"/>
        <v>#REF!</v>
      </c>
      <c r="H939" s="121"/>
    </row>
    <row r="940" spans="1:8" ht="17.25">
      <c r="A940" s="1"/>
      <c r="B940" s="894"/>
      <c r="C940" s="56" t="s">
        <v>3305</v>
      </c>
      <c r="D940" s="43">
        <v>0.1</v>
      </c>
      <c r="E940" s="56" t="s">
        <v>3276</v>
      </c>
      <c r="F940" s="109" t="e">
        <f>#REF!</f>
        <v>#REF!</v>
      </c>
      <c r="G940" s="109" t="e">
        <f t="shared" si="30"/>
        <v>#REF!</v>
      </c>
      <c r="H940" s="123" t="e">
        <f>SUM(G933:G940)</f>
        <v>#REF!</v>
      </c>
    </row>
    <row r="941" spans="1:8" ht="17.25">
      <c r="A941" s="1"/>
      <c r="B941" s="889" t="s">
        <v>1879</v>
      </c>
      <c r="C941" s="55" t="s">
        <v>3303</v>
      </c>
      <c r="D941" s="41">
        <v>0.6</v>
      </c>
      <c r="E941" s="55" t="s">
        <v>2471</v>
      </c>
      <c r="F941" s="110" t="e">
        <f>#REF!</f>
        <v>#REF!</v>
      </c>
      <c r="G941" s="110" t="e">
        <f t="shared" si="30"/>
        <v>#REF!</v>
      </c>
      <c r="H941" s="121"/>
    </row>
    <row r="942" spans="1:8" ht="17.25">
      <c r="A942" s="1"/>
      <c r="B942" s="896"/>
      <c r="C942" s="56" t="s">
        <v>3304</v>
      </c>
      <c r="D942" s="43">
        <v>0.25</v>
      </c>
      <c r="E942" s="56" t="s">
        <v>2471</v>
      </c>
      <c r="F942" s="63" t="e">
        <f>#REF!</f>
        <v>#REF!</v>
      </c>
      <c r="G942" s="63" t="e">
        <f t="shared" si="30"/>
        <v>#REF!</v>
      </c>
      <c r="H942" s="123" t="e">
        <f>SUM(G941:G942)</f>
        <v>#REF!</v>
      </c>
    </row>
    <row r="943" spans="1:8" ht="17.25">
      <c r="A943" s="1"/>
      <c r="B943" s="1"/>
      <c r="C943" s="1"/>
      <c r="D943" s="89"/>
      <c r="E943" s="1"/>
      <c r="F943" s="40" t="s">
        <v>1491</v>
      </c>
      <c r="G943" s="92"/>
      <c r="H943" s="63" t="e">
        <f>SUM(H931:H942)</f>
        <v>#REF!</v>
      </c>
    </row>
    <row r="944" spans="1:8" ht="17.25">
      <c r="A944" s="1"/>
      <c r="B944" s="1" t="s">
        <v>3233</v>
      </c>
      <c r="C944" s="1"/>
      <c r="D944" s="1"/>
      <c r="E944" s="1"/>
      <c r="F944" s="40" t="s">
        <v>1472</v>
      </c>
      <c r="G944" s="92"/>
      <c r="H944" s="99" t="e">
        <f>FLOOR(H943*0.15,0.01)</f>
        <v>#REF!</v>
      </c>
    </row>
    <row r="945" spans="1:8" ht="17.25">
      <c r="A945" s="27" t="s">
        <v>3005</v>
      </c>
      <c r="B945" s="99" t="e">
        <f>+H945</f>
        <v>#REF!</v>
      </c>
      <c r="C945" s="1" t="s">
        <v>3006</v>
      </c>
      <c r="D945" s="1"/>
      <c r="E945" s="1"/>
      <c r="F945" s="40" t="s">
        <v>1494</v>
      </c>
      <c r="G945" s="92"/>
      <c r="H945" s="99" t="e">
        <f>SUM(H943:H944)</f>
        <v>#REF!</v>
      </c>
    </row>
    <row r="946" spans="1:8" ht="17.25">
      <c r="A946" s="27"/>
      <c r="B946" s="141"/>
      <c r="C946" s="1"/>
      <c r="D946" s="1"/>
      <c r="E946" s="1"/>
      <c r="F946" s="40"/>
      <c r="G946" s="92"/>
      <c r="H946" s="141"/>
    </row>
    <row r="947" spans="1:8" ht="17.25">
      <c r="A947" s="27"/>
      <c r="B947" s="141"/>
      <c r="C947" s="1"/>
      <c r="D947" s="1"/>
      <c r="E947" s="1"/>
      <c r="F947" s="40"/>
      <c r="G947" s="92"/>
      <c r="H947" s="141"/>
    </row>
    <row r="948" spans="1:8" ht="17.25">
      <c r="A948" s="27"/>
      <c r="B948" s="141"/>
      <c r="C948" s="1"/>
      <c r="D948" s="1"/>
      <c r="E948" s="1"/>
      <c r="F948" s="40"/>
      <c r="G948" s="92"/>
      <c r="H948" s="141"/>
    </row>
    <row r="949" spans="1:8" ht="17.25">
      <c r="A949" s="27"/>
      <c r="B949" s="141"/>
      <c r="C949" s="1"/>
      <c r="D949" s="1"/>
      <c r="E949" s="1"/>
      <c r="F949" s="40"/>
      <c r="G949" s="92"/>
      <c r="H949" s="141"/>
    </row>
    <row r="950" spans="1:8" ht="17.25">
      <c r="A950" s="27"/>
      <c r="B950" s="141"/>
      <c r="C950" s="1"/>
      <c r="D950" s="1"/>
      <c r="E950" s="1"/>
      <c r="F950" s="40"/>
      <c r="G950" s="92"/>
      <c r="H950" s="141"/>
    </row>
    <row r="951" spans="1:8" ht="17.25">
      <c r="A951" s="27"/>
      <c r="B951" s="141"/>
      <c r="C951" s="1"/>
      <c r="D951" s="1"/>
      <c r="E951" s="1"/>
      <c r="F951" s="40"/>
      <c r="G951" s="92"/>
      <c r="H951" s="141"/>
    </row>
    <row r="952" spans="1:8" ht="17.25">
      <c r="A952" s="27"/>
      <c r="B952" s="141"/>
      <c r="C952" s="1"/>
      <c r="D952" s="1"/>
      <c r="E952" s="1"/>
      <c r="F952" s="40"/>
      <c r="G952" s="92"/>
      <c r="H952" s="141"/>
    </row>
    <row r="953" spans="1:8" ht="20.25">
      <c r="A953" s="260">
        <f>+A926+1</f>
        <v>56</v>
      </c>
      <c r="B953" s="878" t="s">
        <v>3532</v>
      </c>
      <c r="C953" s="878"/>
      <c r="D953" s="878"/>
      <c r="E953" s="878"/>
      <c r="F953" s="878"/>
      <c r="G953" s="878"/>
      <c r="H953" s="878"/>
    </row>
    <row r="954" spans="1:8" ht="19.5">
      <c r="A954" s="582" t="s">
        <v>3315</v>
      </c>
      <c r="B954" s="878" t="s">
        <v>3533</v>
      </c>
      <c r="C954" s="878"/>
      <c r="D954" s="878"/>
      <c r="E954" s="878"/>
      <c r="F954" s="878"/>
      <c r="G954" s="878"/>
      <c r="H954" s="878"/>
    </row>
    <row r="955" spans="1:8" ht="15">
      <c r="A955" s="1"/>
      <c r="B955" s="879" t="s">
        <v>2231</v>
      </c>
      <c r="C955" s="879"/>
      <c r="D955" s="879"/>
      <c r="E955" s="879"/>
      <c r="F955" s="879"/>
      <c r="G955" s="879"/>
      <c r="H955" s="879"/>
    </row>
    <row r="956" spans="1:8" ht="31.5">
      <c r="A956" s="1"/>
      <c r="B956" s="68" t="s">
        <v>2966</v>
      </c>
      <c r="C956" s="68" t="s">
        <v>2967</v>
      </c>
      <c r="D956" s="68" t="s">
        <v>2968</v>
      </c>
      <c r="E956" s="68" t="s">
        <v>2969</v>
      </c>
      <c r="F956" s="68" t="s">
        <v>2970</v>
      </c>
      <c r="G956" s="68" t="s">
        <v>2971</v>
      </c>
      <c r="H956" s="68" t="s">
        <v>1487</v>
      </c>
    </row>
    <row r="957" spans="1:8" ht="17.25">
      <c r="A957" s="1"/>
      <c r="B957" s="886" t="s">
        <v>1488</v>
      </c>
      <c r="C957" s="58" t="s">
        <v>516</v>
      </c>
      <c r="D957" s="41">
        <v>0.5</v>
      </c>
      <c r="E957" s="55" t="s">
        <v>1490</v>
      </c>
      <c r="F957" s="107" t="e">
        <f>#REF!</f>
        <v>#REF!</v>
      </c>
      <c r="G957" s="110" t="e">
        <f>FLOOR(D957*F957,0.01)</f>
        <v>#REF!</v>
      </c>
      <c r="H957" s="108"/>
    </row>
    <row r="958" spans="1:8" ht="17.25">
      <c r="A958" s="1"/>
      <c r="B958" s="887"/>
      <c r="C958" s="53" t="s">
        <v>1433</v>
      </c>
      <c r="D958" s="42">
        <v>3.5</v>
      </c>
      <c r="E958" s="53" t="s">
        <v>1490</v>
      </c>
      <c r="F958" s="109" t="e">
        <f>#REF!</f>
        <v>#REF!</v>
      </c>
      <c r="G958" s="109" t="e">
        <f>FLOOR(D958*F958,0.01)</f>
        <v>#REF!</v>
      </c>
      <c r="H958" s="121" t="e">
        <f>SUM(G957+G958)</f>
        <v>#REF!</v>
      </c>
    </row>
    <row r="959" spans="1:8" ht="17.25">
      <c r="A959" s="1"/>
      <c r="B959" s="76" t="s">
        <v>2055</v>
      </c>
      <c r="C959" s="55" t="s">
        <v>3511</v>
      </c>
      <c r="D959" s="41">
        <v>1</v>
      </c>
      <c r="E959" s="55" t="s">
        <v>2232</v>
      </c>
      <c r="F959" s="110" t="e">
        <f>#REF!</f>
        <v>#REF!</v>
      </c>
      <c r="G959" s="110" t="e">
        <f>FLOOR(D959*F959,0.01)</f>
        <v>#REF!</v>
      </c>
      <c r="H959" s="126" t="e">
        <f>+G959</f>
        <v>#REF!</v>
      </c>
    </row>
    <row r="960" spans="1:8" ht="31.5">
      <c r="A960" s="1"/>
      <c r="B960" s="593" t="s">
        <v>1879</v>
      </c>
      <c r="C960" s="64" t="s">
        <v>3304</v>
      </c>
      <c r="D960" s="44">
        <v>0.25</v>
      </c>
      <c r="E960" s="64" t="s">
        <v>2471</v>
      </c>
      <c r="F960" s="99" t="e">
        <f>#REF!</f>
        <v>#REF!</v>
      </c>
      <c r="G960" s="99" t="e">
        <f>FLOOR(D960*F960,0.01)</f>
        <v>#REF!</v>
      </c>
      <c r="H960" s="126" t="e">
        <f>+G960</f>
        <v>#REF!</v>
      </c>
    </row>
    <row r="961" spans="1:8" ht="17.25">
      <c r="A961" s="1"/>
      <c r="B961" s="1"/>
      <c r="C961" s="1"/>
      <c r="D961" s="89"/>
      <c r="E961" s="1"/>
      <c r="F961" s="40" t="s">
        <v>1491</v>
      </c>
      <c r="G961" s="92"/>
      <c r="H961" s="63" t="e">
        <f>SUM(H957:H960)</f>
        <v>#REF!</v>
      </c>
    </row>
    <row r="962" spans="1:8" ht="17.25">
      <c r="A962" s="1"/>
      <c r="B962" s="1" t="s">
        <v>3233</v>
      </c>
      <c r="C962" s="1"/>
      <c r="D962" s="1"/>
      <c r="E962" s="1"/>
      <c r="F962" s="40" t="s">
        <v>1472</v>
      </c>
      <c r="G962" s="92"/>
      <c r="H962" s="99" t="e">
        <f>FLOOR(H961*0.15,0.01)</f>
        <v>#REF!</v>
      </c>
    </row>
    <row r="963" spans="1:8" ht="17.25">
      <c r="A963" s="27" t="s">
        <v>3005</v>
      </c>
      <c r="B963" s="99" t="e">
        <f>+H963</f>
        <v>#REF!</v>
      </c>
      <c r="C963" s="1" t="s">
        <v>3006</v>
      </c>
      <c r="D963" s="1"/>
      <c r="E963" s="1"/>
      <c r="F963" s="40" t="s">
        <v>1494</v>
      </c>
      <c r="G963" s="92"/>
      <c r="H963" s="99" t="e">
        <f>SUM(H961:H962)</f>
        <v>#REF!</v>
      </c>
    </row>
    <row r="964" spans="1:8" ht="20.25">
      <c r="A964" s="260">
        <f>+A953+1</f>
        <v>57</v>
      </c>
      <c r="B964" s="878" t="s">
        <v>3317</v>
      </c>
      <c r="C964" s="878"/>
      <c r="D964" s="878"/>
      <c r="E964" s="878"/>
      <c r="F964" s="878"/>
      <c r="G964" s="878"/>
      <c r="H964" s="878"/>
    </row>
    <row r="965" spans="1:8" ht="19.5">
      <c r="A965" s="582" t="s">
        <v>3316</v>
      </c>
      <c r="B965" s="878" t="s">
        <v>3318</v>
      </c>
      <c r="C965" s="878"/>
      <c r="D965" s="878"/>
      <c r="E965" s="878"/>
      <c r="F965" s="878"/>
      <c r="G965" s="878"/>
      <c r="H965" s="878"/>
    </row>
    <row r="966" spans="1:8" ht="15">
      <c r="A966" s="1"/>
      <c r="B966" s="913" t="s">
        <v>3319</v>
      </c>
      <c r="C966" s="914"/>
      <c r="D966" s="914"/>
      <c r="E966" s="914"/>
      <c r="F966" s="914"/>
      <c r="G966" s="914"/>
      <c r="H966" s="914"/>
    </row>
    <row r="967" spans="1:8" ht="15">
      <c r="A967" s="1"/>
      <c r="B967" s="879" t="s">
        <v>2231</v>
      </c>
      <c r="C967" s="879"/>
      <c r="D967" s="879"/>
      <c r="E967" s="879"/>
      <c r="F967" s="879"/>
      <c r="G967" s="879"/>
      <c r="H967" s="879"/>
    </row>
    <row r="968" spans="1:8" ht="31.5">
      <c r="A968" s="1"/>
      <c r="B968" s="68" t="s">
        <v>2966</v>
      </c>
      <c r="C968" s="68" t="s">
        <v>2967</v>
      </c>
      <c r="D968" s="68" t="s">
        <v>2968</v>
      </c>
      <c r="E968" s="68" t="s">
        <v>2969</v>
      </c>
      <c r="F968" s="68" t="s">
        <v>2970</v>
      </c>
      <c r="G968" s="68" t="s">
        <v>2971</v>
      </c>
      <c r="H968" s="68" t="s">
        <v>1487</v>
      </c>
    </row>
    <row r="969" spans="1:8" ht="17.25">
      <c r="A969" s="1"/>
      <c r="B969" s="886" t="s">
        <v>1488</v>
      </c>
      <c r="C969" s="58" t="s">
        <v>516</v>
      </c>
      <c r="D969" s="41">
        <v>2.72</v>
      </c>
      <c r="E969" s="55" t="s">
        <v>1490</v>
      </c>
      <c r="F969" s="107" t="e">
        <f>#REF!</f>
        <v>#REF!</v>
      </c>
      <c r="G969" s="110" t="e">
        <f t="shared" ref="G969:G978" si="31">FLOOR(D969*F969,0.01)</f>
        <v>#REF!</v>
      </c>
      <c r="H969" s="108"/>
    </row>
    <row r="970" spans="1:8" ht="17.25">
      <c r="A970" s="1"/>
      <c r="B970" s="887"/>
      <c r="C970" s="53" t="s">
        <v>1433</v>
      </c>
      <c r="D970" s="42">
        <v>7.5</v>
      </c>
      <c r="E970" s="53" t="s">
        <v>1490</v>
      </c>
      <c r="F970" s="109" t="e">
        <f>#REF!</f>
        <v>#REF!</v>
      </c>
      <c r="G970" s="109" t="e">
        <f t="shared" si="31"/>
        <v>#REF!</v>
      </c>
      <c r="H970" s="121" t="e">
        <f>SUM(G969+G970)</f>
        <v>#REF!</v>
      </c>
    </row>
    <row r="971" spans="1:8" ht="17.25">
      <c r="A971" s="1"/>
      <c r="B971" s="886" t="s">
        <v>2055</v>
      </c>
      <c r="C971" s="55" t="s">
        <v>1436</v>
      </c>
      <c r="D971" s="238">
        <v>0.36</v>
      </c>
      <c r="E971" s="55" t="s">
        <v>700</v>
      </c>
      <c r="F971" s="110" t="e">
        <f>#REF!</f>
        <v>#REF!</v>
      </c>
      <c r="G971" s="110" t="e">
        <f t="shared" si="31"/>
        <v>#REF!</v>
      </c>
      <c r="H971" s="108"/>
    </row>
    <row r="972" spans="1:8" ht="17.25">
      <c r="A972" s="1"/>
      <c r="B972" s="894"/>
      <c r="C972" s="12" t="s">
        <v>552</v>
      </c>
      <c r="D972" s="239">
        <v>0.54</v>
      </c>
      <c r="E972" s="53" t="s">
        <v>2232</v>
      </c>
      <c r="F972" s="109" t="e">
        <f>#REF!</f>
        <v>#REF!</v>
      </c>
      <c r="G972" s="109" t="e">
        <f t="shared" si="31"/>
        <v>#REF!</v>
      </c>
      <c r="H972" s="9"/>
    </row>
    <row r="973" spans="1:8" ht="17.25">
      <c r="A973" s="1"/>
      <c r="B973" s="894"/>
      <c r="C973" s="592" t="s">
        <v>553</v>
      </c>
      <c r="D973" s="239">
        <v>0.27</v>
      </c>
      <c r="E973" s="53" t="s">
        <v>2232</v>
      </c>
      <c r="F973" s="109" t="e">
        <f>#REF!</f>
        <v>#REF!</v>
      </c>
      <c r="G973" s="109" t="e">
        <f t="shared" si="31"/>
        <v>#REF!</v>
      </c>
      <c r="H973" s="9"/>
    </row>
    <row r="974" spans="1:8" ht="17.25">
      <c r="A974" s="1"/>
      <c r="B974" s="894"/>
      <c r="C974" s="53" t="s">
        <v>1931</v>
      </c>
      <c r="D974" s="52">
        <v>0.37</v>
      </c>
      <c r="E974" s="53" t="s">
        <v>2232</v>
      </c>
      <c r="F974" s="109" t="e">
        <f>#REF!</f>
        <v>#REF!</v>
      </c>
      <c r="G974" s="109" t="e">
        <f t="shared" si="31"/>
        <v>#REF!</v>
      </c>
      <c r="H974" s="121"/>
    </row>
    <row r="975" spans="1:8" ht="17.25">
      <c r="A975" s="1"/>
      <c r="B975" s="894"/>
      <c r="C975" s="53" t="s">
        <v>3275</v>
      </c>
      <c r="D975" s="42">
        <v>200</v>
      </c>
      <c r="E975" s="53" t="s">
        <v>3276</v>
      </c>
      <c r="F975" s="109" t="e">
        <f>#REF!</f>
        <v>#REF!</v>
      </c>
      <c r="G975" s="109" t="e">
        <f t="shared" si="31"/>
        <v>#REF!</v>
      </c>
      <c r="H975" s="121"/>
    </row>
    <row r="976" spans="1:8" ht="17.25">
      <c r="A976" s="1"/>
      <c r="B976" s="894"/>
      <c r="C976" s="53" t="s">
        <v>3563</v>
      </c>
      <c r="D976" s="42">
        <v>2.5</v>
      </c>
      <c r="E976" s="53" t="s">
        <v>3320</v>
      </c>
      <c r="F976" s="109" t="e">
        <f>#REF!</f>
        <v>#REF!</v>
      </c>
      <c r="G976" s="109" t="e">
        <f t="shared" si="31"/>
        <v>#REF!</v>
      </c>
      <c r="H976" s="123" t="e">
        <f>SUM(G971:G976)</f>
        <v>#REF!</v>
      </c>
    </row>
    <row r="977" spans="1:8" ht="17.25">
      <c r="A977" s="1"/>
      <c r="B977" s="889" t="s">
        <v>1879</v>
      </c>
      <c r="C977" s="55" t="s">
        <v>3303</v>
      </c>
      <c r="D977" s="41">
        <v>0.6</v>
      </c>
      <c r="E977" s="55" t="s">
        <v>2471</v>
      </c>
      <c r="F977" s="110" t="e">
        <f>#REF!</f>
        <v>#REF!</v>
      </c>
      <c r="G977" s="110" t="e">
        <f t="shared" si="31"/>
        <v>#REF!</v>
      </c>
      <c r="H977" s="121"/>
    </row>
    <row r="978" spans="1:8" ht="17.25">
      <c r="A978" s="1"/>
      <c r="B978" s="896"/>
      <c r="C978" s="56" t="s">
        <v>3304</v>
      </c>
      <c r="D978" s="43">
        <v>0.25</v>
      </c>
      <c r="E978" s="56" t="s">
        <v>2471</v>
      </c>
      <c r="F978" s="63" t="e">
        <f>#REF!</f>
        <v>#REF!</v>
      </c>
      <c r="G978" s="63" t="e">
        <f t="shared" si="31"/>
        <v>#REF!</v>
      </c>
      <c r="H978" s="123" t="e">
        <f>SUM(G977:G978)</f>
        <v>#REF!</v>
      </c>
    </row>
    <row r="979" spans="1:8" ht="17.25">
      <c r="A979" s="1"/>
      <c r="B979" s="1"/>
      <c r="C979" s="1"/>
      <c r="D979" s="89"/>
      <c r="E979" s="1"/>
      <c r="F979" s="40" t="s">
        <v>1491</v>
      </c>
      <c r="G979" s="92"/>
      <c r="H979" s="63" t="e">
        <f>SUM(H969:H978)</f>
        <v>#REF!</v>
      </c>
    </row>
    <row r="980" spans="1:8" ht="17.25">
      <c r="A980" s="1"/>
      <c r="B980" s="1" t="s">
        <v>3233</v>
      </c>
      <c r="C980" s="1"/>
      <c r="D980" s="1"/>
      <c r="E980" s="1"/>
      <c r="F980" s="40" t="s">
        <v>1472</v>
      </c>
      <c r="G980" s="92"/>
      <c r="H980" s="99" t="e">
        <f>FLOOR(H979*0.15,0.01)</f>
        <v>#REF!</v>
      </c>
    </row>
    <row r="981" spans="1:8" ht="17.25">
      <c r="A981" s="27" t="s">
        <v>3005</v>
      </c>
      <c r="B981" s="99" t="e">
        <f>+H981</f>
        <v>#REF!</v>
      </c>
      <c r="C981" s="1" t="s">
        <v>3006</v>
      </c>
      <c r="D981" s="1"/>
      <c r="E981" s="1"/>
      <c r="F981" s="40" t="s">
        <v>1494</v>
      </c>
      <c r="G981" s="92"/>
      <c r="H981" s="99" t="e">
        <f>SUM(H979:H980)</f>
        <v>#REF!</v>
      </c>
    </row>
    <row r="982" spans="1:8" ht="17.25">
      <c r="A982" s="27"/>
      <c r="B982" s="141"/>
      <c r="C982" s="1"/>
      <c r="D982" s="1"/>
      <c r="E982" s="1"/>
      <c r="F982" s="40"/>
      <c r="G982" s="92"/>
      <c r="H982" s="141"/>
    </row>
    <row r="983" spans="1:8" ht="19.5">
      <c r="A983" s="594"/>
      <c r="B983" s="910" t="s">
        <v>3088</v>
      </c>
      <c r="C983" s="910"/>
      <c r="D983" s="910"/>
      <c r="E983" s="910"/>
      <c r="F983" s="910"/>
      <c r="G983" s="910"/>
      <c r="H983" s="910"/>
    </row>
    <row r="984" spans="1:8" ht="20.25">
      <c r="A984" s="595">
        <f>+A964+1</f>
        <v>58</v>
      </c>
      <c r="B984" s="910" t="s">
        <v>2453</v>
      </c>
      <c r="C984" s="910"/>
      <c r="D984" s="910"/>
      <c r="E984" s="910"/>
      <c r="F984" s="910"/>
      <c r="G984" s="910"/>
      <c r="H984" s="910"/>
    </row>
    <row r="985" spans="1:8" ht="19.5">
      <c r="A985" s="582" t="s">
        <v>3619</v>
      </c>
      <c r="B985" s="910" t="s">
        <v>515</v>
      </c>
      <c r="C985" s="910"/>
      <c r="D985" s="910"/>
      <c r="E985" s="910"/>
      <c r="F985" s="910"/>
      <c r="G985" s="910"/>
      <c r="H985" s="910"/>
    </row>
    <row r="986" spans="1:8" ht="15">
      <c r="A986" s="594"/>
      <c r="B986" s="912" t="s">
        <v>3091</v>
      </c>
      <c r="C986" s="912"/>
      <c r="D986" s="912"/>
      <c r="E986" s="912"/>
      <c r="F986" s="912"/>
      <c r="G986" s="912"/>
      <c r="H986" s="912"/>
    </row>
    <row r="987" spans="1:8" ht="31.5">
      <c r="A987" s="594"/>
      <c r="B987" s="596" t="s">
        <v>2966</v>
      </c>
      <c r="C987" s="596" t="s">
        <v>2967</v>
      </c>
      <c r="D987" s="596" t="s">
        <v>2968</v>
      </c>
      <c r="E987" s="596" t="s">
        <v>2969</v>
      </c>
      <c r="F987" s="596" t="s">
        <v>2970</v>
      </c>
      <c r="G987" s="596" t="s">
        <v>2971</v>
      </c>
      <c r="H987" s="596" t="s">
        <v>1487</v>
      </c>
    </row>
    <row r="988" spans="1:8" ht="17.25">
      <c r="A988" s="594"/>
      <c r="B988" s="918" t="s">
        <v>1488</v>
      </c>
      <c r="C988" s="597" t="s">
        <v>516</v>
      </c>
      <c r="D988" s="613">
        <v>12</v>
      </c>
      <c r="E988" s="591" t="s">
        <v>1490</v>
      </c>
      <c r="F988" s="598" t="e">
        <f>#REF!</f>
        <v>#REF!</v>
      </c>
      <c r="G988" s="599" t="e">
        <f>FLOOR(D988*F988,0.01)</f>
        <v>#REF!</v>
      </c>
      <c r="H988" s="600"/>
    </row>
    <row r="989" spans="1:8" ht="17.25">
      <c r="A989" s="594"/>
      <c r="B989" s="917"/>
      <c r="C989" s="601" t="s">
        <v>1433</v>
      </c>
      <c r="D989" s="614">
        <v>12</v>
      </c>
      <c r="E989" s="601" t="s">
        <v>1490</v>
      </c>
      <c r="F989" s="602" t="e">
        <f>#REF!</f>
        <v>#REF!</v>
      </c>
      <c r="G989" s="602" t="e">
        <f>FLOOR(D989*F989,0.01)</f>
        <v>#REF!</v>
      </c>
      <c r="H989" s="603" t="e">
        <f>SUM(G988+G989)</f>
        <v>#REF!</v>
      </c>
    </row>
    <row r="990" spans="1:8" ht="17.25">
      <c r="A990" s="594"/>
      <c r="B990" s="918" t="s">
        <v>2055</v>
      </c>
      <c r="C990" s="591" t="s">
        <v>3791</v>
      </c>
      <c r="D990" s="604">
        <v>1.05</v>
      </c>
      <c r="E990" s="591" t="s">
        <v>700</v>
      </c>
      <c r="F990" s="599" t="e">
        <f>#REF!</f>
        <v>#REF!</v>
      </c>
      <c r="G990" s="599" t="e">
        <f>FLOOR(D990*F990,0.01)</f>
        <v>#REF!</v>
      </c>
      <c r="H990" s="600"/>
    </row>
    <row r="991" spans="1:8" ht="17.25">
      <c r="A991" s="594"/>
      <c r="B991" s="919"/>
      <c r="C991" s="605" t="s">
        <v>1384</v>
      </c>
      <c r="D991" s="606">
        <v>10</v>
      </c>
      <c r="E991" s="605" t="s">
        <v>2748</v>
      </c>
      <c r="F991" s="607" t="e">
        <f>#REF!</f>
        <v>#REF!</v>
      </c>
      <c r="G991" s="607" t="e">
        <f>FLOOR(D991*F991,0.01)</f>
        <v>#REF!</v>
      </c>
      <c r="H991" s="608" t="e">
        <f>SUM(G990+G991)</f>
        <v>#REF!</v>
      </c>
    </row>
    <row r="992" spans="1:8" ht="17.25">
      <c r="A992" s="594"/>
      <c r="B992" s="594"/>
      <c r="C992" s="594"/>
      <c r="D992" s="594"/>
      <c r="E992" s="594"/>
      <c r="F992" s="609" t="s">
        <v>1491</v>
      </c>
      <c r="G992" s="609"/>
      <c r="H992" s="607" t="e">
        <f>SUM(H988:H991)</f>
        <v>#REF!</v>
      </c>
    </row>
    <row r="993" spans="1:8" ht="17.25">
      <c r="A993" s="594"/>
      <c r="B993" s="594" t="s">
        <v>941</v>
      </c>
      <c r="C993" s="594"/>
      <c r="D993" s="594"/>
      <c r="E993" s="594"/>
      <c r="F993" s="609" t="s">
        <v>1472</v>
      </c>
      <c r="G993" s="609"/>
      <c r="H993" s="610" t="e">
        <f>FLOOR(H992*0.15,0.01)</f>
        <v>#REF!</v>
      </c>
    </row>
    <row r="994" spans="1:8" ht="17.25">
      <c r="A994" s="611" t="s">
        <v>3005</v>
      </c>
      <c r="B994" s="610" t="e">
        <f>+H994</f>
        <v>#REF!</v>
      </c>
      <c r="C994" s="594" t="s">
        <v>3006</v>
      </c>
      <c r="D994" s="594"/>
      <c r="E994" s="594"/>
      <c r="F994" s="609" t="s">
        <v>1494</v>
      </c>
      <c r="G994" s="609"/>
      <c r="H994" s="610" t="e">
        <f>SUM(H992:H993)</f>
        <v>#REF!</v>
      </c>
    </row>
    <row r="995" spans="1:8" ht="17.25">
      <c r="A995" s="594"/>
      <c r="B995" s="594"/>
      <c r="C995" s="594"/>
      <c r="D995" s="594"/>
      <c r="E995" s="594"/>
      <c r="F995" s="609"/>
      <c r="G995" s="609"/>
      <c r="H995" s="612"/>
    </row>
    <row r="996" spans="1:8" ht="19.5">
      <c r="A996" s="594"/>
      <c r="B996" s="910" t="s">
        <v>2007</v>
      </c>
      <c r="C996" s="910"/>
      <c r="D996" s="910"/>
      <c r="E996" s="910"/>
      <c r="F996" s="910"/>
      <c r="G996" s="910"/>
      <c r="H996" s="910"/>
    </row>
    <row r="997" spans="1:8" ht="20.25">
      <c r="A997" s="595">
        <f>+A984+1</f>
        <v>59</v>
      </c>
      <c r="B997" s="910" t="s">
        <v>2008</v>
      </c>
      <c r="C997" s="910"/>
      <c r="D997" s="910"/>
      <c r="E997" s="910"/>
      <c r="F997" s="910"/>
      <c r="G997" s="910"/>
      <c r="H997" s="910"/>
    </row>
    <row r="998" spans="1:8" ht="19.5">
      <c r="A998" s="1"/>
      <c r="B998" s="910" t="s">
        <v>2009</v>
      </c>
      <c r="C998" s="910"/>
      <c r="D998" s="910"/>
      <c r="E998" s="910"/>
      <c r="F998" s="910"/>
      <c r="G998" s="910"/>
      <c r="H998" s="910"/>
    </row>
    <row r="999" spans="1:8" ht="15">
      <c r="A999" s="594"/>
      <c r="B999" s="915" t="s">
        <v>2454</v>
      </c>
      <c r="C999" s="915"/>
      <c r="D999" s="915"/>
      <c r="E999" s="915"/>
      <c r="F999" s="915"/>
      <c r="G999" s="915"/>
      <c r="H999" s="915"/>
    </row>
    <row r="1000" spans="1:8" ht="31.5">
      <c r="A1000" s="594"/>
      <c r="B1000" s="596" t="s">
        <v>2966</v>
      </c>
      <c r="C1000" s="596" t="s">
        <v>2967</v>
      </c>
      <c r="D1000" s="596" t="s">
        <v>2968</v>
      </c>
      <c r="E1000" s="596" t="s">
        <v>2969</v>
      </c>
      <c r="F1000" s="596" t="s">
        <v>2970</v>
      </c>
      <c r="G1000" s="596" t="s">
        <v>2971</v>
      </c>
      <c r="H1000" s="596" t="s">
        <v>1487</v>
      </c>
    </row>
    <row r="1001" spans="1:8" ht="17.25">
      <c r="A1001" s="594"/>
      <c r="B1001" s="918" t="s">
        <v>1488</v>
      </c>
      <c r="C1001" s="597" t="s">
        <v>516</v>
      </c>
      <c r="D1001" s="613">
        <v>1.72</v>
      </c>
      <c r="E1001" s="591" t="s">
        <v>1490</v>
      </c>
      <c r="F1001" s="598" t="e">
        <f>#REF!</f>
        <v>#REF!</v>
      </c>
      <c r="G1001" s="599" t="e">
        <f>FLOOR(D1001*F1001,0.01)</f>
        <v>#REF!</v>
      </c>
      <c r="H1001" s="600"/>
    </row>
    <row r="1002" spans="1:8" ht="17.25">
      <c r="A1002" s="594"/>
      <c r="B1002" s="917"/>
      <c r="C1002" s="601" t="s">
        <v>1433</v>
      </c>
      <c r="D1002" s="614">
        <v>2.57</v>
      </c>
      <c r="E1002" s="605" t="s">
        <v>1490</v>
      </c>
      <c r="F1002" s="602" t="e">
        <f>#REF!</f>
        <v>#REF!</v>
      </c>
      <c r="G1002" s="602" t="e">
        <f>FLOOR(D1002*F1002,0.01)</f>
        <v>#REF!</v>
      </c>
      <c r="H1002" s="603" t="e">
        <f>SUM(G1001+G1002)</f>
        <v>#REF!</v>
      </c>
    </row>
    <row r="1003" spans="1:8" ht="17.25">
      <c r="A1003" s="594"/>
      <c r="B1003" s="918" t="s">
        <v>2055</v>
      </c>
      <c r="C1003" s="591" t="s">
        <v>3564</v>
      </c>
      <c r="D1003" s="604">
        <v>7.0000000000000007E-2</v>
      </c>
      <c r="E1003" s="591" t="s">
        <v>2232</v>
      </c>
      <c r="F1003" s="599" t="e">
        <f>Jwood</f>
        <v>#REF!</v>
      </c>
      <c r="G1003" s="599" t="e">
        <f>FLOOR(D1003*F1003,0.01)</f>
        <v>#REF!</v>
      </c>
      <c r="H1003" s="600"/>
    </row>
    <row r="1004" spans="1:8" ht="17.25">
      <c r="A1004" s="594"/>
      <c r="B1004" s="919"/>
      <c r="C1004" s="605" t="s">
        <v>2010</v>
      </c>
      <c r="D1004" s="615">
        <v>2.5</v>
      </c>
      <c r="E1004" s="605" t="s">
        <v>2748</v>
      </c>
      <c r="F1004" s="607" t="e">
        <f>#REF!</f>
        <v>#REF!</v>
      </c>
      <c r="G1004" s="607" t="e">
        <f>FLOOR(D1004*F1004,0.01)</f>
        <v>#REF!</v>
      </c>
      <c r="H1004" s="608" t="e">
        <f>SUM(G1003+G1004)</f>
        <v>#REF!</v>
      </c>
    </row>
    <row r="1005" spans="1:8" ht="17.25">
      <c r="A1005" s="594"/>
      <c r="B1005" s="594"/>
      <c r="C1005" s="594"/>
      <c r="D1005" s="594"/>
      <c r="E1005" s="594"/>
      <c r="F1005" s="609" t="s">
        <v>1491</v>
      </c>
      <c r="G1005" s="609"/>
      <c r="H1005" s="607" t="e">
        <f>SUM(H1001:H1004)</f>
        <v>#REF!</v>
      </c>
    </row>
    <row r="1006" spans="1:8" ht="17.25">
      <c r="A1006" s="594"/>
      <c r="B1006" s="616" t="s">
        <v>1493</v>
      </c>
      <c r="C1006" s="594"/>
      <c r="D1006" s="594"/>
      <c r="E1006" s="594"/>
      <c r="F1006" s="609" t="s">
        <v>1472</v>
      </c>
      <c r="G1006" s="609"/>
      <c r="H1006" s="610" t="e">
        <f>FLOOR(H1005*0.15,0.01)</f>
        <v>#REF!</v>
      </c>
    </row>
    <row r="1007" spans="1:8" ht="17.25">
      <c r="A1007" s="617"/>
      <c r="B1007" s="618" t="e">
        <f>+H1007</f>
        <v>#REF!</v>
      </c>
      <c r="C1007" s="619" t="s">
        <v>3005</v>
      </c>
      <c r="D1007" s="610" t="e">
        <f>INT(B1007/B1008*100)/100</f>
        <v>#REF!</v>
      </c>
      <c r="E1007" s="594" t="s">
        <v>3006</v>
      </c>
      <c r="F1007" s="609" t="s">
        <v>1494</v>
      </c>
      <c r="G1007" s="609"/>
      <c r="H1007" s="610" t="e">
        <f>SUM(H1005:H1006)</f>
        <v>#REF!</v>
      </c>
    </row>
    <row r="1008" spans="1:8" ht="17.25">
      <c r="A1008" s="617"/>
      <c r="B1008" s="620">
        <v>10</v>
      </c>
      <c r="C1008" s="621"/>
      <c r="D1008" s="621"/>
      <c r="E1008" s="594"/>
      <c r="F1008" s="609"/>
      <c r="G1008" s="609"/>
      <c r="H1008" s="612"/>
    </row>
    <row r="1009" spans="1:8" ht="17.25">
      <c r="A1009" s="622" t="s">
        <v>3321</v>
      </c>
      <c r="B1009" s="594"/>
      <c r="C1009" s="594"/>
      <c r="D1009" s="594"/>
      <c r="E1009" s="594"/>
      <c r="F1009" s="609"/>
      <c r="G1009" s="609"/>
      <c r="H1009" s="612"/>
    </row>
    <row r="1010" spans="1:8" ht="15">
      <c r="A1010" s="594"/>
      <c r="B1010" s="616"/>
      <c r="C1010" s="594"/>
      <c r="D1010" s="594"/>
      <c r="E1010" s="594"/>
      <c r="F1010" s="594"/>
      <c r="G1010" s="594"/>
      <c r="H1010" s="594"/>
    </row>
    <row r="1011" spans="1:8" ht="19.5">
      <c r="A1011" s="594"/>
      <c r="B1011" s="910" t="s">
        <v>2749</v>
      </c>
      <c r="C1011" s="910"/>
      <c r="D1011" s="910"/>
      <c r="E1011" s="910"/>
      <c r="F1011" s="910"/>
      <c r="G1011" s="910"/>
      <c r="H1011" s="910"/>
    </row>
    <row r="1012" spans="1:8" ht="20.25">
      <c r="A1012" s="595">
        <f>+A997+1</f>
        <v>60</v>
      </c>
      <c r="B1012" s="910" t="s">
        <v>2375</v>
      </c>
      <c r="C1012" s="910"/>
      <c r="D1012" s="910"/>
      <c r="E1012" s="910"/>
      <c r="F1012" s="910"/>
      <c r="G1012" s="910"/>
      <c r="H1012" s="910"/>
    </row>
    <row r="1013" spans="1:8" ht="19.5">
      <c r="A1013" s="582" t="s">
        <v>3620</v>
      </c>
      <c r="B1013" s="910" t="s">
        <v>2388</v>
      </c>
      <c r="C1013" s="910"/>
      <c r="D1013" s="910"/>
      <c r="E1013" s="910"/>
      <c r="F1013" s="910"/>
      <c r="G1013" s="910"/>
      <c r="H1013" s="910"/>
    </row>
    <row r="1014" spans="1:8" ht="15">
      <c r="A1014" s="594"/>
      <c r="B1014" s="915" t="s">
        <v>2454</v>
      </c>
      <c r="C1014" s="915"/>
      <c r="D1014" s="915"/>
      <c r="E1014" s="915"/>
      <c r="F1014" s="915"/>
      <c r="G1014" s="915"/>
      <c r="H1014" s="915"/>
    </row>
    <row r="1015" spans="1:8" ht="31.5">
      <c r="A1015" s="594"/>
      <c r="B1015" s="596" t="s">
        <v>2966</v>
      </c>
      <c r="C1015" s="596" t="s">
        <v>2967</v>
      </c>
      <c r="D1015" s="596" t="s">
        <v>2968</v>
      </c>
      <c r="E1015" s="596" t="s">
        <v>2969</v>
      </c>
      <c r="F1015" s="596" t="s">
        <v>2970</v>
      </c>
      <c r="G1015" s="596" t="s">
        <v>2971</v>
      </c>
      <c r="H1015" s="596" t="s">
        <v>1487</v>
      </c>
    </row>
    <row r="1016" spans="1:8" ht="17.25">
      <c r="A1016" s="594"/>
      <c r="B1016" s="916" t="s">
        <v>1488</v>
      </c>
      <c r="C1016" s="597" t="s">
        <v>516</v>
      </c>
      <c r="D1016" s="623">
        <v>3.7480000000000002</v>
      </c>
      <c r="E1016" s="591" t="s">
        <v>1490</v>
      </c>
      <c r="F1016" s="598" t="e">
        <f>#REF!</f>
        <v>#REF!</v>
      </c>
      <c r="G1016" s="599" t="e">
        <f>FLOOR(D1016*F1016,0.01)</f>
        <v>#REF!</v>
      </c>
      <c r="H1016" s="600"/>
    </row>
    <row r="1017" spans="1:8" ht="17.25">
      <c r="A1017" s="594"/>
      <c r="B1017" s="917"/>
      <c r="C1017" s="601" t="s">
        <v>1433</v>
      </c>
      <c r="D1017" s="624">
        <v>5.6219999999999999</v>
      </c>
      <c r="E1017" s="605" t="s">
        <v>1490</v>
      </c>
      <c r="F1017" s="602" t="e">
        <f>#REF!</f>
        <v>#REF!</v>
      </c>
      <c r="G1017" s="602" t="e">
        <f>FLOOR(D1017*F1017,0.01)</f>
        <v>#REF!</v>
      </c>
      <c r="H1017" s="603" t="e">
        <f>SUM(G1016+G1017)</f>
        <v>#REF!</v>
      </c>
    </row>
    <row r="1018" spans="1:8" ht="17.25">
      <c r="A1018" s="594"/>
      <c r="B1018" s="918" t="s">
        <v>2055</v>
      </c>
      <c r="C1018" s="591" t="s">
        <v>3564</v>
      </c>
      <c r="D1018" s="604">
        <v>7.0000000000000007E-2</v>
      </c>
      <c r="E1018" s="591" t="s">
        <v>2232</v>
      </c>
      <c r="F1018" s="599" t="e">
        <f>Jwood</f>
        <v>#REF!</v>
      </c>
      <c r="G1018" s="599" t="e">
        <f>FLOOR(D1018*F1018,0.01)</f>
        <v>#REF!</v>
      </c>
      <c r="H1018" s="600"/>
    </row>
    <row r="1019" spans="1:8" ht="17.25">
      <c r="A1019" s="594"/>
      <c r="B1019" s="919"/>
      <c r="C1019" s="605" t="s">
        <v>2010</v>
      </c>
      <c r="D1019" s="615">
        <v>2.5</v>
      </c>
      <c r="E1019" s="605" t="s">
        <v>2748</v>
      </c>
      <c r="F1019" s="607" t="e">
        <f>#REF!</f>
        <v>#REF!</v>
      </c>
      <c r="G1019" s="607" t="e">
        <f>FLOOR(D1019*F1019,0.01)</f>
        <v>#REF!</v>
      </c>
      <c r="H1019" s="608" t="e">
        <f>SUM(G1018+G1019)</f>
        <v>#REF!</v>
      </c>
    </row>
    <row r="1020" spans="1:8" ht="17.25">
      <c r="A1020" s="594"/>
      <c r="B1020" s="594"/>
      <c r="C1020" s="594"/>
      <c r="D1020" s="594"/>
      <c r="E1020" s="594"/>
      <c r="F1020" s="609" t="s">
        <v>1491</v>
      </c>
      <c r="G1020" s="609"/>
      <c r="H1020" s="607" t="e">
        <f>SUM(H1016:H1019)</f>
        <v>#REF!</v>
      </c>
    </row>
    <row r="1021" spans="1:8" ht="17.25">
      <c r="A1021" s="594"/>
      <c r="B1021" s="616" t="s">
        <v>1493</v>
      </c>
      <c r="C1021" s="594"/>
      <c r="D1021" s="594"/>
      <c r="E1021" s="594"/>
      <c r="F1021" s="609" t="s">
        <v>1472</v>
      </c>
      <c r="G1021" s="609"/>
      <c r="H1021" s="610" t="e">
        <f>FLOOR(H1020*0.15,0.01)</f>
        <v>#REF!</v>
      </c>
    </row>
    <row r="1022" spans="1:8" ht="17.25">
      <c r="A1022" s="617"/>
      <c r="B1022" s="618" t="e">
        <f>+H1022</f>
        <v>#REF!</v>
      </c>
      <c r="C1022" s="699" t="s">
        <v>3779</v>
      </c>
      <c r="D1022" s="610" t="e">
        <f>INT(B1022/B1023*100)/100</f>
        <v>#REF!</v>
      </c>
      <c r="E1022" s="594" t="s">
        <v>3006</v>
      </c>
      <c r="F1022" s="609" t="s">
        <v>1494</v>
      </c>
      <c r="G1022" s="609"/>
      <c r="H1022" s="610" t="e">
        <f>SUM(H1020:H1021)</f>
        <v>#REF!</v>
      </c>
    </row>
    <row r="1023" spans="1:8" ht="16.5">
      <c r="A1023" s="539"/>
      <c r="B1023" s="620">
        <v>10</v>
      </c>
      <c r="C1023" s="541"/>
      <c r="D1023" s="541"/>
      <c r="E1023" s="522"/>
      <c r="F1023" s="522"/>
      <c r="G1023" s="522"/>
      <c r="H1023" s="522"/>
    </row>
    <row r="1024" spans="1:8" ht="16.5">
      <c r="A1024" s="539"/>
      <c r="B1024" s="620"/>
      <c r="C1024" s="541"/>
      <c r="D1024" s="541"/>
      <c r="E1024" s="522"/>
      <c r="F1024" s="522"/>
      <c r="G1024" s="522"/>
      <c r="H1024" s="522"/>
    </row>
    <row r="1025" spans="1:8" ht="16.5">
      <c r="A1025" s="539"/>
      <c r="B1025" s="620"/>
      <c r="C1025" s="541"/>
      <c r="D1025" s="541"/>
      <c r="E1025" s="522"/>
      <c r="F1025" s="522"/>
      <c r="G1025" s="522"/>
      <c r="H1025" s="522"/>
    </row>
    <row r="1026" spans="1:8" ht="16.5">
      <c r="A1026" s="539"/>
      <c r="B1026" s="620"/>
      <c r="C1026" s="541"/>
      <c r="D1026" s="541"/>
      <c r="E1026" s="522"/>
      <c r="F1026" s="522"/>
      <c r="G1026" s="522"/>
      <c r="H1026" s="522"/>
    </row>
    <row r="1027" spans="1:8" ht="16.5">
      <c r="A1027" s="539"/>
      <c r="B1027" s="620"/>
      <c r="C1027" s="541"/>
      <c r="D1027" s="541"/>
      <c r="E1027" s="522"/>
      <c r="F1027" s="522"/>
      <c r="G1027" s="522"/>
      <c r="H1027" s="522"/>
    </row>
    <row r="1028" spans="1:8" ht="16.5">
      <c r="A1028" s="539"/>
      <c r="B1028" s="620"/>
      <c r="C1028" s="541"/>
      <c r="D1028" s="541"/>
      <c r="E1028" s="522"/>
      <c r="F1028" s="522"/>
      <c r="G1028" s="522"/>
      <c r="H1028" s="522"/>
    </row>
    <row r="1029" spans="1:8" ht="16.5">
      <c r="A1029" s="539"/>
      <c r="B1029" s="620"/>
      <c r="C1029" s="541"/>
      <c r="D1029" s="541"/>
      <c r="E1029" s="522"/>
      <c r="F1029" s="522"/>
      <c r="G1029" s="522"/>
      <c r="H1029" s="522"/>
    </row>
    <row r="1030" spans="1:8" ht="15">
      <c r="A1030" s="1"/>
      <c r="B1030" s="1"/>
      <c r="C1030" s="1"/>
      <c r="D1030" s="1"/>
      <c r="E1030" s="1"/>
      <c r="F1030" s="1"/>
      <c r="G1030" s="1"/>
      <c r="H1030" s="1"/>
    </row>
    <row r="1031" spans="1:8" ht="20.25">
      <c r="A1031" s="260">
        <f>+A1012+1</f>
        <v>61</v>
      </c>
      <c r="B1031" s="878"/>
      <c r="C1031" s="878"/>
      <c r="D1031" s="878"/>
      <c r="E1031" s="878"/>
      <c r="F1031" s="878"/>
      <c r="G1031" s="878"/>
      <c r="H1031" s="878"/>
    </row>
    <row r="1032" spans="1:8" ht="19.5">
      <c r="A1032" s="582" t="s">
        <v>3621</v>
      </c>
      <c r="B1032" s="878" t="s">
        <v>942</v>
      </c>
      <c r="C1032" s="878"/>
      <c r="D1032" s="878"/>
      <c r="E1032" s="878"/>
      <c r="F1032" s="878"/>
      <c r="G1032" s="878"/>
      <c r="H1032" s="878"/>
    </row>
    <row r="1033" spans="1:8" ht="15">
      <c r="A1033" s="1"/>
      <c r="B1033" s="879" t="s">
        <v>2803</v>
      </c>
      <c r="C1033" s="879"/>
      <c r="D1033" s="879"/>
      <c r="E1033" s="879"/>
      <c r="F1033" s="879"/>
      <c r="G1033" s="879"/>
      <c r="H1033" s="879"/>
    </row>
    <row r="1034" spans="1:8" ht="31.5">
      <c r="A1034" s="1"/>
      <c r="B1034" s="68" t="s">
        <v>2966</v>
      </c>
      <c r="C1034" s="68" t="s">
        <v>2967</v>
      </c>
      <c r="D1034" s="68" t="s">
        <v>2968</v>
      </c>
      <c r="E1034" s="68" t="s">
        <v>2969</v>
      </c>
      <c r="F1034" s="68" t="s">
        <v>2970</v>
      </c>
      <c r="G1034" s="68" t="s">
        <v>2971</v>
      </c>
      <c r="H1034" s="68" t="s">
        <v>1487</v>
      </c>
    </row>
    <row r="1035" spans="1:8" ht="17.25">
      <c r="A1035" s="1"/>
      <c r="B1035" s="889" t="s">
        <v>1488</v>
      </c>
      <c r="C1035" s="58" t="s">
        <v>516</v>
      </c>
      <c r="D1035" s="41">
        <v>17.2</v>
      </c>
      <c r="E1035" s="55" t="s">
        <v>1490</v>
      </c>
      <c r="F1035" s="107" t="e">
        <f>mason</f>
        <v>#REF!</v>
      </c>
      <c r="G1035" s="110" t="e">
        <f t="shared" ref="G1035:G1040" si="32">FLOOR(D1035*F1035,0.01)</f>
        <v>#REF!</v>
      </c>
      <c r="H1035" s="108"/>
    </row>
    <row r="1036" spans="1:8" ht="17.25">
      <c r="A1036" s="1"/>
      <c r="B1036" s="887"/>
      <c r="C1036" s="53" t="s">
        <v>1433</v>
      </c>
      <c r="D1036" s="42">
        <v>25.7</v>
      </c>
      <c r="E1036" s="56" t="s">
        <v>1490</v>
      </c>
      <c r="F1036" s="109" t="e">
        <f>#REF!</f>
        <v>#REF!</v>
      </c>
      <c r="G1036" s="109" t="e">
        <f t="shared" si="32"/>
        <v>#REF!</v>
      </c>
      <c r="H1036" s="121" t="e">
        <f>SUM(G1035+G1036)</f>
        <v>#REF!</v>
      </c>
    </row>
    <row r="1037" spans="1:8" ht="17.25">
      <c r="A1037" s="1"/>
      <c r="B1037" s="886" t="s">
        <v>2055</v>
      </c>
      <c r="C1037" s="55" t="s">
        <v>1605</v>
      </c>
      <c r="D1037" s="238">
        <v>16.5</v>
      </c>
      <c r="E1037" s="55" t="s">
        <v>2807</v>
      </c>
      <c r="F1037" s="110" t="e">
        <f>#REF!</f>
        <v>#REF!</v>
      </c>
      <c r="G1037" s="110" t="e">
        <f t="shared" si="32"/>
        <v>#REF!</v>
      </c>
      <c r="H1037" s="108"/>
    </row>
    <row r="1038" spans="1:8" ht="17.25">
      <c r="A1038" s="1"/>
      <c r="B1038" s="894"/>
      <c r="C1038" s="53" t="s">
        <v>3564</v>
      </c>
      <c r="D1038" s="239">
        <v>0.23200000000000001</v>
      </c>
      <c r="E1038" s="53" t="s">
        <v>2232</v>
      </c>
      <c r="F1038" s="109" t="e">
        <f>Jwood</f>
        <v>#REF!</v>
      </c>
      <c r="G1038" s="109" t="e">
        <f t="shared" si="32"/>
        <v>#REF!</v>
      </c>
      <c r="H1038" s="121"/>
    </row>
    <row r="1039" spans="1:8" ht="27.75">
      <c r="A1039" s="1"/>
      <c r="B1039" s="894"/>
      <c r="C1039" s="60" t="s">
        <v>3512</v>
      </c>
      <c r="D1039" s="239">
        <v>4.4000000000000004</v>
      </c>
      <c r="E1039" s="53" t="s">
        <v>1429</v>
      </c>
      <c r="F1039" s="109" t="e">
        <f>#REF!</f>
        <v>#REF!</v>
      </c>
      <c r="G1039" s="109" t="e">
        <f t="shared" si="32"/>
        <v>#REF!</v>
      </c>
      <c r="H1039" s="121"/>
    </row>
    <row r="1040" spans="1:8" ht="17.25">
      <c r="A1040" s="1"/>
      <c r="B1040" s="895"/>
      <c r="C1040" s="56" t="s">
        <v>1606</v>
      </c>
      <c r="D1040" s="43">
        <v>25</v>
      </c>
      <c r="E1040" s="56" t="s">
        <v>2748</v>
      </c>
      <c r="F1040" s="63" t="e">
        <f>#REF!</f>
        <v>#REF!</v>
      </c>
      <c r="G1040" s="63" t="e">
        <f t="shared" si="32"/>
        <v>#REF!</v>
      </c>
      <c r="H1040" s="123" t="e">
        <f>SUM(G1037:G1040)</f>
        <v>#REF!</v>
      </c>
    </row>
    <row r="1041" spans="1:8" ht="17.25">
      <c r="A1041" s="1"/>
      <c r="B1041" s="1"/>
      <c r="C1041" s="1"/>
      <c r="D1041" s="1"/>
      <c r="E1041" s="1"/>
      <c r="F1041" s="40" t="s">
        <v>1491</v>
      </c>
      <c r="G1041" s="40"/>
      <c r="H1041" s="63" t="e">
        <f>SUM(H1035:H1040)</f>
        <v>#REF!</v>
      </c>
    </row>
    <row r="1042" spans="1:8" ht="17.25">
      <c r="A1042" s="1"/>
      <c r="B1042" s="1" t="s">
        <v>1493</v>
      </c>
      <c r="C1042" s="1"/>
      <c r="D1042" s="1"/>
      <c r="E1042" s="1"/>
      <c r="F1042" s="40" t="s">
        <v>1472</v>
      </c>
      <c r="G1042" s="40"/>
      <c r="H1042" s="99" t="e">
        <f>FLOOR(H1041*0.15,0.01)</f>
        <v>#REF!</v>
      </c>
    </row>
    <row r="1043" spans="1:8" ht="17.25">
      <c r="A1043" s="27"/>
      <c r="B1043" s="140" t="e">
        <f>+H1043</f>
        <v>#REF!</v>
      </c>
      <c r="C1043" s="27" t="s">
        <v>3005</v>
      </c>
      <c r="D1043" s="99" t="e">
        <f>INT(B1043/B1044*100)/100</f>
        <v>#REF!</v>
      </c>
      <c r="E1043" s="1" t="s">
        <v>3006</v>
      </c>
      <c r="F1043" s="40" t="s">
        <v>1494</v>
      </c>
      <c r="G1043" s="40"/>
      <c r="H1043" s="99" t="e">
        <f>SUM(H1041:H1042)</f>
        <v>#REF!</v>
      </c>
    </row>
    <row r="1044" spans="1:8" ht="16.5">
      <c r="A1044" s="1"/>
      <c r="B1044" s="117">
        <v>100</v>
      </c>
      <c r="C1044" s="1"/>
      <c r="D1044" s="1"/>
      <c r="E1044" s="1"/>
      <c r="F1044" s="1"/>
      <c r="G1044" s="1"/>
      <c r="H1044" s="1"/>
    </row>
    <row r="1045" spans="1:8" ht="14.25">
      <c r="A1045" s="920" t="s">
        <v>3123</v>
      </c>
      <c r="B1045" s="920"/>
      <c r="C1045" s="920"/>
      <c r="D1045" s="920"/>
      <c r="E1045" s="920"/>
      <c r="F1045" s="920"/>
      <c r="G1045" s="920"/>
      <c r="H1045" s="920"/>
    </row>
    <row r="1046" spans="1:8" ht="15">
      <c r="A1046" s="1"/>
      <c r="B1046" s="240" t="s">
        <v>3122</v>
      </c>
      <c r="C1046" s="1"/>
      <c r="D1046" s="1"/>
      <c r="E1046" s="1"/>
      <c r="F1046" s="1"/>
      <c r="G1046" s="1"/>
      <c r="H1046" s="1"/>
    </row>
    <row r="1047" spans="1:8" ht="14.25">
      <c r="A1047" s="921" t="s">
        <v>3120</v>
      </c>
      <c r="B1047" s="921"/>
      <c r="C1047" s="921"/>
      <c r="D1047" s="921"/>
      <c r="E1047" s="921"/>
      <c r="F1047" s="921"/>
      <c r="G1047" s="921"/>
      <c r="H1047" s="921"/>
    </row>
    <row r="1048" spans="1:8" ht="15">
      <c r="A1048" s="1"/>
      <c r="B1048" s="240" t="s">
        <v>3121</v>
      </c>
      <c r="C1048" s="1"/>
      <c r="D1048" s="1"/>
      <c r="E1048" s="1"/>
      <c r="F1048" s="1"/>
      <c r="G1048" s="1"/>
      <c r="H1048" s="1"/>
    </row>
    <row r="1049" spans="1:8" ht="14.25">
      <c r="A1049" s="921" t="s">
        <v>2153</v>
      </c>
      <c r="B1049" s="921"/>
      <c r="C1049" s="921"/>
      <c r="D1049" s="921"/>
      <c r="E1049" s="921"/>
      <c r="F1049" s="921"/>
      <c r="G1049" s="921"/>
      <c r="H1049" s="921"/>
    </row>
    <row r="1050" spans="1:8" ht="15">
      <c r="A1050" s="1"/>
      <c r="B1050" s="240" t="s">
        <v>2154</v>
      </c>
      <c r="C1050" s="1"/>
      <c r="D1050" s="1"/>
      <c r="E1050" s="1"/>
      <c r="F1050" s="1"/>
      <c r="G1050" s="1"/>
      <c r="H1050" s="1"/>
    </row>
    <row r="1051" spans="1:8" ht="15">
      <c r="A1051" s="1"/>
      <c r="B1051" s="240"/>
      <c r="C1051" s="1"/>
      <c r="D1051" s="1"/>
      <c r="E1051" s="1"/>
      <c r="F1051" s="1"/>
      <c r="G1051" s="1"/>
      <c r="H1051" s="1"/>
    </row>
    <row r="1052" spans="1:8" ht="19.5">
      <c r="A1052" s="594"/>
      <c r="B1052" s="910" t="s">
        <v>2511</v>
      </c>
      <c r="C1052" s="910"/>
      <c r="D1052" s="910"/>
      <c r="E1052" s="910"/>
      <c r="F1052" s="910"/>
      <c r="G1052" s="910"/>
      <c r="H1052" s="910"/>
    </row>
    <row r="1053" spans="1:8" ht="20.25">
      <c r="A1053" s="260">
        <f>+A1031+1</f>
        <v>62</v>
      </c>
      <c r="B1053" s="910" t="s">
        <v>2512</v>
      </c>
      <c r="C1053" s="910"/>
      <c r="D1053" s="910"/>
      <c r="E1053" s="910"/>
      <c r="F1053" s="910"/>
      <c r="G1053" s="910"/>
      <c r="H1053" s="910"/>
    </row>
    <row r="1054" spans="1:8" ht="19.5">
      <c r="A1054" s="582" t="s">
        <v>3622</v>
      </c>
      <c r="B1054" s="910" t="s">
        <v>2513</v>
      </c>
      <c r="C1054" s="910"/>
      <c r="D1054" s="910"/>
      <c r="E1054" s="910"/>
      <c r="F1054" s="910"/>
      <c r="G1054" s="910"/>
      <c r="H1054" s="910"/>
    </row>
    <row r="1055" spans="1:8" ht="15">
      <c r="A1055" s="594"/>
      <c r="B1055" s="915" t="s">
        <v>2454</v>
      </c>
      <c r="C1055" s="915"/>
      <c r="D1055" s="915"/>
      <c r="E1055" s="915"/>
      <c r="F1055" s="915"/>
      <c r="G1055" s="915"/>
      <c r="H1055" s="915"/>
    </row>
    <row r="1056" spans="1:8" ht="31.5">
      <c r="A1056" s="594"/>
      <c r="B1056" s="596" t="s">
        <v>2966</v>
      </c>
      <c r="C1056" s="596" t="s">
        <v>2967</v>
      </c>
      <c r="D1056" s="596" t="s">
        <v>2968</v>
      </c>
      <c r="E1056" s="596" t="s">
        <v>2969</v>
      </c>
      <c r="F1056" s="596" t="s">
        <v>2970</v>
      </c>
      <c r="G1056" s="596" t="s">
        <v>2971</v>
      </c>
      <c r="H1056" s="596" t="s">
        <v>1487</v>
      </c>
    </row>
    <row r="1057" spans="1:8" ht="17.25">
      <c r="A1057" s="594"/>
      <c r="B1057" s="916" t="s">
        <v>1488</v>
      </c>
      <c r="C1057" s="597" t="s">
        <v>516</v>
      </c>
      <c r="D1057" s="613">
        <v>4</v>
      </c>
      <c r="E1057" s="591" t="s">
        <v>1490</v>
      </c>
      <c r="F1057" s="598" t="e">
        <f>#REF!</f>
        <v>#REF!</v>
      </c>
      <c r="G1057" s="599" t="e">
        <f>FLOOR(D1057*F1057,0.01)</f>
        <v>#REF!</v>
      </c>
      <c r="H1057" s="600"/>
    </row>
    <row r="1058" spans="1:8" ht="17.25">
      <c r="A1058" s="594"/>
      <c r="B1058" s="917"/>
      <c r="C1058" s="601" t="s">
        <v>1433</v>
      </c>
      <c r="D1058" s="614">
        <v>6</v>
      </c>
      <c r="E1058" s="605" t="s">
        <v>1490</v>
      </c>
      <c r="F1058" s="602" t="e">
        <f>#REF!</f>
        <v>#REF!</v>
      </c>
      <c r="G1058" s="602" t="e">
        <f>FLOOR(D1058*F1058,0.01)</f>
        <v>#REF!</v>
      </c>
      <c r="H1058" s="603" t="e">
        <f>SUM(G1057+G1058)</f>
        <v>#REF!</v>
      </c>
    </row>
    <row r="1059" spans="1:8" ht="17.25">
      <c r="A1059" s="594"/>
      <c r="B1059" s="918" t="s">
        <v>2055</v>
      </c>
      <c r="C1059" s="591" t="s">
        <v>3564</v>
      </c>
      <c r="D1059" s="604">
        <v>7.0000000000000007E-2</v>
      </c>
      <c r="E1059" s="591" t="s">
        <v>2232</v>
      </c>
      <c r="F1059" s="599" t="e">
        <f>Jwood</f>
        <v>#REF!</v>
      </c>
      <c r="G1059" s="599" t="e">
        <f>FLOOR(D1059*F1059,0.01)</f>
        <v>#REF!</v>
      </c>
      <c r="H1059" s="600"/>
    </row>
    <row r="1060" spans="1:8" ht="17.25">
      <c r="A1060" s="594"/>
      <c r="B1060" s="919"/>
      <c r="C1060" s="605" t="s">
        <v>2010</v>
      </c>
      <c r="D1060" s="615">
        <v>2.5</v>
      </c>
      <c r="E1060" s="605" t="s">
        <v>2748</v>
      </c>
      <c r="F1060" s="607" t="e">
        <f>#REF!</f>
        <v>#REF!</v>
      </c>
      <c r="G1060" s="607" t="e">
        <f>FLOOR(D1060*F1060,0.01)</f>
        <v>#REF!</v>
      </c>
      <c r="H1060" s="608" t="e">
        <f>SUM(G1059+G1060)</f>
        <v>#REF!</v>
      </c>
    </row>
    <row r="1061" spans="1:8" ht="17.25">
      <c r="A1061" s="594"/>
      <c r="B1061" s="594"/>
      <c r="C1061" s="594"/>
      <c r="D1061" s="594"/>
      <c r="E1061" s="594"/>
      <c r="F1061" s="609" t="s">
        <v>1491</v>
      </c>
      <c r="G1061" s="609"/>
      <c r="H1061" s="607" t="e">
        <f>SUM(H1057:H1060)</f>
        <v>#REF!</v>
      </c>
    </row>
    <row r="1062" spans="1:8" ht="17.25">
      <c r="A1062" s="594"/>
      <c r="B1062" s="594" t="s">
        <v>1493</v>
      </c>
      <c r="C1062" s="594"/>
      <c r="D1062" s="594"/>
      <c r="E1062" s="594"/>
      <c r="F1062" s="609" t="s">
        <v>1472</v>
      </c>
      <c r="G1062" s="609"/>
      <c r="H1062" s="610" t="e">
        <f>FLOOR(H1061*0.15,0.01)</f>
        <v>#REF!</v>
      </c>
    </row>
    <row r="1063" spans="1:8" ht="17.25">
      <c r="A1063" s="611"/>
      <c r="B1063" s="618" t="e">
        <f>+H1063</f>
        <v>#REF!</v>
      </c>
      <c r="C1063" s="611" t="s">
        <v>3005</v>
      </c>
      <c r="D1063" s="610" t="e">
        <f>INT(B1063/B1064*100)/100</f>
        <v>#REF!</v>
      </c>
      <c r="E1063" s="594" t="s">
        <v>3006</v>
      </c>
      <c r="F1063" s="609" t="s">
        <v>1494</v>
      </c>
      <c r="G1063" s="609"/>
      <c r="H1063" s="610" t="e">
        <f>SUM(H1061:H1062)</f>
        <v>#REF!</v>
      </c>
    </row>
    <row r="1064" spans="1:8" ht="16.5">
      <c r="A1064" s="594"/>
      <c r="B1064" s="620">
        <v>10</v>
      </c>
      <c r="C1064" s="594"/>
      <c r="D1064" s="594"/>
      <c r="E1064" s="594"/>
      <c r="F1064" s="594"/>
      <c r="G1064" s="594"/>
      <c r="H1064" s="594"/>
    </row>
    <row r="1065" spans="1:8" ht="16.5">
      <c r="A1065" s="594"/>
      <c r="B1065" s="620"/>
      <c r="C1065" s="594"/>
      <c r="D1065" s="594"/>
      <c r="E1065" s="594"/>
      <c r="F1065" s="594"/>
      <c r="G1065" s="594"/>
      <c r="H1065" s="594"/>
    </row>
    <row r="1066" spans="1:8" ht="16.5">
      <c r="A1066" s="594"/>
      <c r="B1066" s="620"/>
      <c r="C1066" s="594"/>
      <c r="D1066" s="594"/>
      <c r="E1066" s="594"/>
      <c r="F1066" s="594"/>
      <c r="G1066" s="594"/>
      <c r="H1066" s="594"/>
    </row>
    <row r="1067" spans="1:8" ht="16.5">
      <c r="A1067" s="594"/>
      <c r="B1067" s="620"/>
      <c r="C1067" s="594"/>
      <c r="D1067" s="594"/>
      <c r="E1067" s="594"/>
      <c r="F1067" s="594"/>
      <c r="G1067" s="594"/>
      <c r="H1067" s="594"/>
    </row>
    <row r="1068" spans="1:8" ht="16.5">
      <c r="A1068" s="594"/>
      <c r="B1068" s="620"/>
      <c r="C1068" s="594"/>
      <c r="D1068" s="594"/>
      <c r="E1068" s="594"/>
      <c r="F1068" s="594"/>
      <c r="G1068" s="594"/>
      <c r="H1068" s="594"/>
    </row>
    <row r="1069" spans="1:8" ht="16.5">
      <c r="A1069" s="594"/>
      <c r="B1069" s="620"/>
      <c r="C1069" s="594"/>
      <c r="D1069" s="594"/>
      <c r="E1069" s="594"/>
      <c r="F1069" s="594"/>
      <c r="G1069" s="594"/>
      <c r="H1069" s="594"/>
    </row>
    <row r="1070" spans="1:8" ht="16.5">
      <c r="A1070" s="594"/>
      <c r="B1070" s="620"/>
      <c r="C1070" s="594"/>
      <c r="D1070" s="594"/>
      <c r="E1070" s="594"/>
      <c r="F1070" s="594"/>
      <c r="G1070" s="594"/>
      <c r="H1070" s="594"/>
    </row>
    <row r="1071" spans="1:8" ht="16.5">
      <c r="A1071" s="594"/>
      <c r="B1071" s="620"/>
      <c r="C1071" s="594"/>
      <c r="D1071" s="594"/>
      <c r="E1071" s="594"/>
      <c r="F1071" s="594"/>
      <c r="G1071" s="594"/>
      <c r="H1071" s="594"/>
    </row>
    <row r="1072" spans="1:8" ht="16.5">
      <c r="A1072" s="594"/>
      <c r="B1072" s="620"/>
      <c r="C1072" s="594"/>
      <c r="D1072" s="594"/>
      <c r="E1072" s="594"/>
      <c r="F1072" s="594"/>
      <c r="G1072" s="594"/>
      <c r="H1072" s="594"/>
    </row>
    <row r="1073" spans="1:8" ht="16.5">
      <c r="A1073" s="594"/>
      <c r="B1073" s="620"/>
      <c r="C1073" s="594"/>
      <c r="D1073" s="594"/>
      <c r="E1073" s="594"/>
      <c r="F1073" s="594"/>
      <c r="G1073" s="594"/>
      <c r="H1073" s="594"/>
    </row>
    <row r="1074" spans="1:8" ht="19.5">
      <c r="A1074" s="594"/>
      <c r="B1074" s="910" t="s">
        <v>2511</v>
      </c>
      <c r="C1074" s="910"/>
      <c r="D1074" s="910"/>
      <c r="E1074" s="910"/>
      <c r="F1074" s="910"/>
      <c r="G1074" s="910"/>
      <c r="H1074" s="910"/>
    </row>
    <row r="1075" spans="1:8" ht="20.25">
      <c r="A1075" s="595">
        <f>+A1053+1</f>
        <v>63</v>
      </c>
      <c r="B1075" s="910" t="s">
        <v>2514</v>
      </c>
      <c r="C1075" s="910"/>
      <c r="D1075" s="910"/>
      <c r="E1075" s="910"/>
      <c r="F1075" s="910"/>
      <c r="G1075" s="910"/>
      <c r="H1075" s="910"/>
    </row>
    <row r="1076" spans="1:8" ht="20.25">
      <c r="A1076" s="582" t="s">
        <v>3623</v>
      </c>
      <c r="B1076" s="910" t="s">
        <v>3322</v>
      </c>
      <c r="C1076" s="910"/>
      <c r="D1076" s="910"/>
      <c r="E1076" s="910"/>
      <c r="F1076" s="910"/>
      <c r="G1076" s="910"/>
      <c r="H1076" s="910"/>
    </row>
    <row r="1077" spans="1:8" ht="15">
      <c r="A1077" s="594"/>
      <c r="B1077" s="915" t="s">
        <v>2454</v>
      </c>
      <c r="C1077" s="915"/>
      <c r="D1077" s="915"/>
      <c r="E1077" s="915"/>
      <c r="F1077" s="915"/>
      <c r="G1077" s="915"/>
      <c r="H1077" s="915"/>
    </row>
    <row r="1078" spans="1:8" ht="31.5">
      <c r="A1078" s="594"/>
      <c r="B1078" s="596" t="s">
        <v>2966</v>
      </c>
      <c r="C1078" s="596" t="s">
        <v>2967</v>
      </c>
      <c r="D1078" s="596" t="s">
        <v>2968</v>
      </c>
      <c r="E1078" s="596" t="s">
        <v>2969</v>
      </c>
      <c r="F1078" s="596" t="s">
        <v>2970</v>
      </c>
      <c r="G1078" s="596" t="s">
        <v>2971</v>
      </c>
      <c r="H1078" s="596" t="s">
        <v>1487</v>
      </c>
    </row>
    <row r="1079" spans="1:8" ht="17.25">
      <c r="A1079" s="594"/>
      <c r="B1079" s="916" t="s">
        <v>1488</v>
      </c>
      <c r="C1079" s="597" t="s">
        <v>516</v>
      </c>
      <c r="D1079" s="672">
        <v>2.67</v>
      </c>
      <c r="E1079" s="591" t="s">
        <v>1490</v>
      </c>
      <c r="F1079" s="598" t="e">
        <f>#REF!</f>
        <v>#REF!</v>
      </c>
      <c r="G1079" s="599" t="e">
        <f>FLOOR(D1079*F1079,0.01)</f>
        <v>#REF!</v>
      </c>
      <c r="H1079" s="600"/>
    </row>
    <row r="1080" spans="1:8" ht="17.25">
      <c r="A1080" s="594"/>
      <c r="B1080" s="917"/>
      <c r="C1080" s="601" t="s">
        <v>1433</v>
      </c>
      <c r="D1080" s="614">
        <v>4</v>
      </c>
      <c r="E1080" s="605" t="s">
        <v>1490</v>
      </c>
      <c r="F1080" s="602" t="e">
        <f>#REF!</f>
        <v>#REF!</v>
      </c>
      <c r="G1080" s="602" t="e">
        <f>FLOOR(D1080*F1080,0.01)</f>
        <v>#REF!</v>
      </c>
      <c r="H1080" s="603" t="e">
        <f>SUM(G1079+G1080)</f>
        <v>#REF!</v>
      </c>
    </row>
    <row r="1081" spans="1:8" ht="17.25">
      <c r="A1081" s="594"/>
      <c r="B1081" s="918" t="s">
        <v>2055</v>
      </c>
      <c r="C1081" s="591" t="s">
        <v>3564</v>
      </c>
      <c r="D1081" s="604">
        <v>7.0000000000000007E-2</v>
      </c>
      <c r="E1081" s="591" t="s">
        <v>2232</v>
      </c>
      <c r="F1081" s="599" t="e">
        <f>Jwood</f>
        <v>#REF!</v>
      </c>
      <c r="G1081" s="599" t="e">
        <f>FLOOR(D1081*F1081,0.01)</f>
        <v>#REF!</v>
      </c>
      <c r="H1081" s="600"/>
    </row>
    <row r="1082" spans="1:8" ht="17.25">
      <c r="A1082" s="594"/>
      <c r="B1082" s="919"/>
      <c r="C1082" s="605" t="s">
        <v>2010</v>
      </c>
      <c r="D1082" s="615">
        <v>2.5</v>
      </c>
      <c r="E1082" s="605" t="s">
        <v>2748</v>
      </c>
      <c r="F1082" s="607" t="e">
        <f>#REF!</f>
        <v>#REF!</v>
      </c>
      <c r="G1082" s="607" t="e">
        <f>FLOOR(D1082*F1082,0.01)</f>
        <v>#REF!</v>
      </c>
      <c r="H1082" s="608" t="e">
        <f>SUM(G1081+G1082)</f>
        <v>#REF!</v>
      </c>
    </row>
    <row r="1083" spans="1:8" ht="17.25">
      <c r="A1083" s="594"/>
      <c r="B1083" s="594"/>
      <c r="C1083" s="594"/>
      <c r="D1083" s="594"/>
      <c r="E1083" s="594"/>
      <c r="F1083" s="609"/>
      <c r="G1083" s="609"/>
      <c r="H1083" s="607" t="e">
        <f>SUM(H1079:H1082)</f>
        <v>#REF!</v>
      </c>
    </row>
    <row r="1084" spans="1:8" ht="17.25">
      <c r="A1084" s="611"/>
      <c r="B1084" s="594" t="s">
        <v>1493</v>
      </c>
      <c r="C1084" s="594"/>
      <c r="D1084" s="594"/>
      <c r="E1084" s="594"/>
      <c r="F1084" s="609" t="s">
        <v>1472</v>
      </c>
      <c r="G1084" s="609"/>
      <c r="H1084" s="610" t="e">
        <f>FLOOR(H1083*0.15,0.01)</f>
        <v>#REF!</v>
      </c>
    </row>
    <row r="1085" spans="1:8" ht="17.25">
      <c r="A1085" s="594"/>
      <c r="B1085" s="618" t="e">
        <f>+H1085</f>
        <v>#REF!</v>
      </c>
      <c r="C1085" s="611" t="s">
        <v>3005</v>
      </c>
      <c r="D1085" s="610" t="e">
        <f>INT(B1085/B1086*100)/100</f>
        <v>#REF!</v>
      </c>
      <c r="E1085" s="594" t="s">
        <v>3006</v>
      </c>
      <c r="F1085" s="609" t="s">
        <v>1494</v>
      </c>
      <c r="G1085" s="609"/>
      <c r="H1085" s="610" t="e">
        <f>SUM(H1083:H1084)</f>
        <v>#REF!</v>
      </c>
    </row>
    <row r="1086" spans="1:8" ht="17.25">
      <c r="A1086" s="594"/>
      <c r="B1086" s="620">
        <v>10</v>
      </c>
      <c r="C1086" s="594"/>
      <c r="D1086" s="594"/>
      <c r="E1086" s="594"/>
      <c r="F1086" s="609"/>
      <c r="G1086" s="609"/>
      <c r="H1086" s="612"/>
    </row>
    <row r="1087" spans="1:8" ht="17.25">
      <c r="A1087" s="594"/>
      <c r="B1087" s="620"/>
      <c r="C1087" s="594"/>
      <c r="D1087" s="594"/>
      <c r="E1087" s="594"/>
      <c r="F1087" s="609"/>
      <c r="G1087" s="609"/>
      <c r="H1087" s="612"/>
    </row>
    <row r="1088" spans="1:8" ht="17.25">
      <c r="A1088" s="594"/>
      <c r="B1088" s="620"/>
      <c r="C1088" s="594"/>
      <c r="D1088" s="594"/>
      <c r="E1088" s="594"/>
      <c r="F1088" s="609"/>
      <c r="G1088" s="609"/>
      <c r="H1088" s="612"/>
    </row>
    <row r="1089" spans="1:8" ht="18">
      <c r="A1089" s="911" t="s">
        <v>1857</v>
      </c>
      <c r="B1089" s="911"/>
      <c r="C1089" s="911"/>
      <c r="D1089" s="911"/>
      <c r="E1089" s="911"/>
      <c r="F1089" s="911"/>
      <c r="G1089" s="911"/>
      <c r="H1089" s="911"/>
    </row>
    <row r="1090" spans="1:8" ht="20.25">
      <c r="A1090" s="595">
        <f>+A1075+1</f>
        <v>64</v>
      </c>
      <c r="B1090" s="911" t="s">
        <v>1858</v>
      </c>
      <c r="C1090" s="910"/>
      <c r="D1090" s="910"/>
      <c r="E1090" s="910"/>
      <c r="F1090" s="910"/>
      <c r="G1090" s="910"/>
      <c r="H1090" s="910"/>
    </row>
    <row r="1091" spans="1:8" ht="14.25">
      <c r="A1091" s="665" t="s">
        <v>3527</v>
      </c>
      <c r="B1091" s="915" t="s">
        <v>2454</v>
      </c>
      <c r="C1091" s="915"/>
      <c r="D1091" s="915"/>
      <c r="E1091" s="915"/>
      <c r="F1091" s="915"/>
      <c r="G1091" s="915"/>
      <c r="H1091" s="915"/>
    </row>
    <row r="1092" spans="1:8" ht="31.5">
      <c r="A1092" s="594"/>
      <c r="B1092" s="596" t="s">
        <v>2966</v>
      </c>
      <c r="C1092" s="596" t="s">
        <v>2967</v>
      </c>
      <c r="D1092" s="596" t="s">
        <v>2968</v>
      </c>
      <c r="E1092" s="596" t="s">
        <v>2969</v>
      </c>
      <c r="F1092" s="596" t="s">
        <v>2970</v>
      </c>
      <c r="G1092" s="596" t="s">
        <v>2971</v>
      </c>
      <c r="H1092" s="596" t="s">
        <v>1487</v>
      </c>
    </row>
    <row r="1093" spans="1:8" ht="17.25">
      <c r="A1093" s="594"/>
      <c r="B1093" s="918" t="s">
        <v>1488</v>
      </c>
      <c r="C1093" s="597" t="s">
        <v>516</v>
      </c>
      <c r="D1093" s="613">
        <v>2.67</v>
      </c>
      <c r="E1093" s="591" t="s">
        <v>1490</v>
      </c>
      <c r="F1093" s="598" t="e">
        <f>mason</f>
        <v>#REF!</v>
      </c>
      <c r="G1093" s="599" t="e">
        <f t="shared" ref="G1093:G1098" si="33">FLOOR(D1093*F1093,0.01)</f>
        <v>#REF!</v>
      </c>
      <c r="H1093" s="600"/>
    </row>
    <row r="1094" spans="1:8" ht="17.25">
      <c r="A1094" s="594"/>
      <c r="B1094" s="917"/>
      <c r="C1094" s="601" t="s">
        <v>1433</v>
      </c>
      <c r="D1094" s="614">
        <v>4</v>
      </c>
      <c r="E1094" s="605" t="s">
        <v>1490</v>
      </c>
      <c r="F1094" s="602" t="e">
        <f>#REF!</f>
        <v>#REF!</v>
      </c>
      <c r="G1094" s="602" t="e">
        <f t="shared" si="33"/>
        <v>#REF!</v>
      </c>
      <c r="H1094" s="603" t="e">
        <f>SUM(G1093+G1094)</f>
        <v>#REF!</v>
      </c>
    </row>
    <row r="1095" spans="1:8" ht="17.25">
      <c r="A1095" s="594"/>
      <c r="B1095" s="712" t="s">
        <v>2055</v>
      </c>
      <c r="C1095" s="591" t="s">
        <v>1393</v>
      </c>
      <c r="D1095" s="604">
        <v>1.65</v>
      </c>
      <c r="E1095" s="591" t="s">
        <v>2807</v>
      </c>
      <c r="F1095" s="599" t="e">
        <f>#REF!</f>
        <v>#REF!</v>
      </c>
      <c r="G1095" s="599" t="e">
        <f t="shared" si="33"/>
        <v>#REF!</v>
      </c>
      <c r="H1095" s="600"/>
    </row>
    <row r="1096" spans="1:8" ht="17.25">
      <c r="A1096" s="594"/>
      <c r="B1096" s="625"/>
      <c r="C1096" s="601" t="s">
        <v>1394</v>
      </c>
      <c r="D1096" s="626">
        <v>3.9E-2</v>
      </c>
      <c r="E1096" s="601" t="s">
        <v>2232</v>
      </c>
      <c r="F1096" s="602" t="e">
        <f>#REF!</f>
        <v>#REF!</v>
      </c>
      <c r="G1096" s="602" t="e">
        <f t="shared" si="33"/>
        <v>#REF!</v>
      </c>
      <c r="H1096" s="603"/>
    </row>
    <row r="1097" spans="1:8" ht="17.25">
      <c r="A1097" s="594"/>
      <c r="B1097" s="625"/>
      <c r="C1097" s="601" t="s">
        <v>1395</v>
      </c>
      <c r="D1097" s="626">
        <v>0.4</v>
      </c>
      <c r="E1097" s="601" t="s">
        <v>1429</v>
      </c>
      <c r="F1097" s="602" t="e">
        <f>#REF!</f>
        <v>#REF!</v>
      </c>
      <c r="G1097" s="602" t="e">
        <f t="shared" si="33"/>
        <v>#REF!</v>
      </c>
      <c r="H1097" s="603"/>
    </row>
    <row r="1098" spans="1:8" ht="17.25">
      <c r="A1098" s="594"/>
      <c r="B1098" s="627"/>
      <c r="C1098" s="605" t="s">
        <v>2010</v>
      </c>
      <c r="D1098" s="615">
        <v>2.5</v>
      </c>
      <c r="E1098" s="605" t="s">
        <v>2748</v>
      </c>
      <c r="F1098" s="607" t="e">
        <f>#REF!</f>
        <v>#REF!</v>
      </c>
      <c r="G1098" s="607" t="e">
        <f t="shared" si="33"/>
        <v>#REF!</v>
      </c>
      <c r="H1098" s="608" t="e">
        <f>SUM(G1095:G1098)</f>
        <v>#REF!</v>
      </c>
    </row>
    <row r="1099" spans="1:8" ht="17.25">
      <c r="A1099" s="594"/>
      <c r="B1099" s="594"/>
      <c r="C1099" s="594"/>
      <c r="D1099" s="594"/>
      <c r="E1099" s="594"/>
      <c r="F1099" s="609" t="s">
        <v>1491</v>
      </c>
      <c r="G1099" s="609"/>
      <c r="H1099" s="607" t="e">
        <f>SUM(H1093:H1098)</f>
        <v>#REF!</v>
      </c>
    </row>
    <row r="1100" spans="1:8" ht="17.25">
      <c r="A1100" s="594"/>
      <c r="B1100" s="616" t="s">
        <v>1493</v>
      </c>
      <c r="C1100" s="594"/>
      <c r="D1100" s="594"/>
      <c r="E1100" s="594"/>
      <c r="F1100" s="609" t="s">
        <v>1472</v>
      </c>
      <c r="G1100" s="609"/>
      <c r="H1100" s="610" t="e">
        <f>FLOOR(H1099*0.15,0.01)</f>
        <v>#REF!</v>
      </c>
    </row>
    <row r="1101" spans="1:8" ht="17.25">
      <c r="A1101" s="617"/>
      <c r="B1101" s="618" t="e">
        <f>+H1101</f>
        <v>#REF!</v>
      </c>
      <c r="C1101" s="619" t="s">
        <v>3005</v>
      </c>
      <c r="D1101" s="610" t="e">
        <f>INT(B1101/B1102*100)/100</f>
        <v>#REF!</v>
      </c>
      <c r="E1101" s="594" t="s">
        <v>3006</v>
      </c>
      <c r="F1101" s="609" t="s">
        <v>1494</v>
      </c>
      <c r="G1101" s="609"/>
      <c r="H1101" s="610" t="e">
        <f>SUM(H1099:H1100)</f>
        <v>#REF!</v>
      </c>
    </row>
    <row r="1102" spans="1:8" ht="17.25">
      <c r="A1102" s="617"/>
      <c r="B1102" s="620">
        <v>10</v>
      </c>
      <c r="C1102" s="621"/>
      <c r="D1102" s="621"/>
      <c r="E1102" s="594"/>
      <c r="F1102" s="609"/>
      <c r="G1102" s="609"/>
      <c r="H1102" s="612"/>
    </row>
    <row r="1103" spans="1:8" ht="14.25">
      <c r="A1103" s="924" t="s">
        <v>3323</v>
      </c>
      <c r="B1103" s="924"/>
      <c r="C1103" s="924"/>
      <c r="D1103" s="924"/>
      <c r="E1103" s="924"/>
      <c r="F1103" s="924"/>
      <c r="G1103" s="924"/>
      <c r="H1103" s="924"/>
    </row>
    <row r="1104" spans="1:8" ht="15">
      <c r="A1104" s="594"/>
      <c r="B1104" s="628" t="s">
        <v>682</v>
      </c>
      <c r="C1104" s="594"/>
      <c r="D1104" s="594"/>
      <c r="E1104" s="594"/>
      <c r="F1104" s="594"/>
      <c r="G1104" s="594"/>
      <c r="H1104" s="594"/>
    </row>
    <row r="1105" spans="1:8" ht="14.25">
      <c r="A1105" s="925" t="s">
        <v>3120</v>
      </c>
      <c r="B1105" s="925"/>
      <c r="C1105" s="925"/>
      <c r="D1105" s="925"/>
      <c r="E1105" s="925"/>
      <c r="F1105" s="925"/>
      <c r="G1105" s="925"/>
      <c r="H1105" s="925"/>
    </row>
    <row r="1106" spans="1:8" ht="15">
      <c r="A1106" s="594"/>
      <c r="B1106" s="628" t="s">
        <v>464</v>
      </c>
      <c r="C1106" s="594"/>
      <c r="D1106" s="594"/>
      <c r="E1106" s="594"/>
      <c r="F1106" s="594"/>
      <c r="G1106" s="594"/>
      <c r="H1106" s="594"/>
    </row>
    <row r="1107" spans="1:8" ht="14.25">
      <c r="A1107" s="925" t="s">
        <v>2153</v>
      </c>
      <c r="B1107" s="925"/>
      <c r="C1107" s="925"/>
      <c r="D1107" s="925"/>
      <c r="E1107" s="925"/>
      <c r="F1107" s="925"/>
      <c r="G1107" s="925"/>
      <c r="H1107" s="925"/>
    </row>
    <row r="1108" spans="1:8" ht="15">
      <c r="A1108" s="594"/>
      <c r="B1108" s="628" t="s">
        <v>683</v>
      </c>
      <c r="C1108" s="594"/>
      <c r="D1108" s="594"/>
      <c r="E1108" s="594"/>
      <c r="F1108" s="594"/>
      <c r="G1108" s="594"/>
      <c r="H1108" s="594"/>
    </row>
    <row r="1109" spans="1:8" ht="17.25">
      <c r="A1109" s="594"/>
      <c r="B1109" s="594"/>
      <c r="C1109" s="594"/>
      <c r="D1109" s="594"/>
      <c r="E1109" s="594"/>
      <c r="F1109" s="609"/>
      <c r="G1109" s="609"/>
      <c r="H1109" s="612"/>
    </row>
    <row r="1110" spans="1:8" ht="17.25">
      <c r="A1110" s="594"/>
      <c r="B1110" s="594"/>
      <c r="C1110" s="594"/>
      <c r="D1110" s="594"/>
      <c r="E1110" s="594"/>
      <c r="F1110" s="609"/>
      <c r="G1110" s="609"/>
      <c r="H1110" s="612"/>
    </row>
    <row r="1111" spans="1:8" ht="17.25">
      <c r="A1111" s="594"/>
      <c r="B1111" s="594"/>
      <c r="C1111" s="594"/>
      <c r="D1111" s="594"/>
      <c r="E1111" s="594"/>
      <c r="F1111" s="609"/>
      <c r="G1111" s="609"/>
      <c r="H1111" s="612"/>
    </row>
    <row r="1112" spans="1:8" ht="17.25">
      <c r="A1112" s="594"/>
      <c r="B1112" s="594"/>
      <c r="C1112" s="594"/>
      <c r="D1112" s="594"/>
      <c r="E1112" s="594"/>
      <c r="F1112" s="609"/>
      <c r="G1112" s="609"/>
      <c r="H1112" s="612"/>
    </row>
    <row r="1113" spans="1:8" ht="17.25">
      <c r="A1113" s="594"/>
      <c r="B1113" s="594"/>
      <c r="C1113" s="594"/>
      <c r="D1113" s="594"/>
      <c r="E1113" s="594"/>
      <c r="F1113" s="609"/>
      <c r="G1113" s="609"/>
      <c r="H1113" s="612"/>
    </row>
    <row r="1114" spans="1:8" ht="17.25">
      <c r="A1114" s="594"/>
      <c r="B1114" s="594"/>
      <c r="C1114" s="594"/>
      <c r="D1114" s="594"/>
      <c r="E1114" s="594"/>
      <c r="F1114" s="609"/>
      <c r="G1114" s="609"/>
      <c r="H1114" s="612"/>
    </row>
    <row r="1115" spans="1:8" ht="17.25">
      <c r="A1115" s="594"/>
      <c r="B1115" s="594"/>
      <c r="C1115" s="594"/>
      <c r="D1115" s="594"/>
      <c r="E1115" s="594"/>
      <c r="F1115" s="609"/>
      <c r="G1115" s="609"/>
      <c r="H1115" s="612"/>
    </row>
    <row r="1116" spans="1:8" ht="17.25">
      <c r="A1116" s="594"/>
      <c r="B1116" s="594"/>
      <c r="C1116" s="594"/>
      <c r="D1116" s="594"/>
      <c r="E1116" s="594"/>
      <c r="F1116" s="609"/>
      <c r="G1116" s="609"/>
      <c r="H1116" s="612"/>
    </row>
    <row r="1117" spans="1:8" ht="19.5">
      <c r="A1117" s="910" t="s">
        <v>3129</v>
      </c>
      <c r="B1117" s="910"/>
      <c r="C1117" s="910"/>
      <c r="D1117" s="910"/>
      <c r="E1117" s="910"/>
      <c r="F1117" s="910"/>
      <c r="G1117" s="910"/>
      <c r="H1117" s="910"/>
    </row>
    <row r="1118" spans="1:8" ht="20.25">
      <c r="A1118" s="595">
        <f>+A1090+1</f>
        <v>65</v>
      </c>
      <c r="B1118" s="922" t="s">
        <v>2375</v>
      </c>
      <c r="C1118" s="910"/>
      <c r="D1118" s="910"/>
      <c r="E1118" s="910"/>
      <c r="F1118" s="910"/>
      <c r="G1118" s="910"/>
      <c r="H1118" s="910"/>
    </row>
    <row r="1119" spans="1:8" ht="19.5">
      <c r="A1119" s="665" t="s">
        <v>3528</v>
      </c>
      <c r="B1119" s="594"/>
      <c r="C1119" s="629"/>
      <c r="D1119" s="594"/>
      <c r="E1119" s="629" t="s">
        <v>2388</v>
      </c>
      <c r="F1119" s="629"/>
      <c r="G1119" s="629"/>
      <c r="H1119" s="629"/>
    </row>
    <row r="1120" spans="1:8" ht="15.75">
      <c r="A1120" s="594"/>
      <c r="B1120" s="594"/>
      <c r="C1120" s="630"/>
      <c r="D1120" s="630"/>
      <c r="E1120" s="631" t="s">
        <v>1052</v>
      </c>
      <c r="F1120" s="630"/>
      <c r="G1120" s="630"/>
      <c r="H1120" s="630"/>
    </row>
    <row r="1121" spans="1:8" ht="31.5">
      <c r="A1121" s="594"/>
      <c r="B1121" s="596" t="s">
        <v>2966</v>
      </c>
      <c r="C1121" s="596" t="s">
        <v>2967</v>
      </c>
      <c r="D1121" s="596" t="s">
        <v>2968</v>
      </c>
      <c r="E1121" s="596" t="s">
        <v>2969</v>
      </c>
      <c r="F1121" s="596" t="s">
        <v>2970</v>
      </c>
      <c r="G1121" s="596" t="s">
        <v>2971</v>
      </c>
      <c r="H1121" s="596" t="s">
        <v>1487</v>
      </c>
    </row>
    <row r="1122" spans="1:8" ht="17.25">
      <c r="A1122" s="594"/>
      <c r="B1122" s="597" t="s">
        <v>1488</v>
      </c>
      <c r="C1122" s="597" t="s">
        <v>516</v>
      </c>
      <c r="D1122" s="623">
        <v>1.5740000000000001</v>
      </c>
      <c r="E1122" s="591" t="s">
        <v>1490</v>
      </c>
      <c r="F1122" s="598" t="e">
        <f>mason</f>
        <v>#REF!</v>
      </c>
      <c r="G1122" s="599" t="e">
        <f t="shared" ref="G1122:G1127" si="34">FLOOR(D1122*F1122,0.01)</f>
        <v>#REF!</v>
      </c>
      <c r="H1122" s="600"/>
    </row>
    <row r="1123" spans="1:8" ht="17.25">
      <c r="A1123" s="594"/>
      <c r="B1123" s="632"/>
      <c r="C1123" s="601" t="s">
        <v>1433</v>
      </c>
      <c r="D1123" s="624">
        <v>2.3610000000000002</v>
      </c>
      <c r="E1123" s="605" t="s">
        <v>1490</v>
      </c>
      <c r="F1123" s="602" t="e">
        <f>#REF!</f>
        <v>#REF!</v>
      </c>
      <c r="G1123" s="602" t="e">
        <f t="shared" si="34"/>
        <v>#REF!</v>
      </c>
      <c r="H1123" s="603" t="e">
        <f>SUM(G1122+G1123)</f>
        <v>#REF!</v>
      </c>
    </row>
    <row r="1124" spans="1:8" ht="17.25">
      <c r="A1124" s="594"/>
      <c r="B1124" s="918" t="s">
        <v>2055</v>
      </c>
      <c r="C1124" s="591" t="s">
        <v>1393</v>
      </c>
      <c r="D1124" s="604">
        <v>0.69299999999999995</v>
      </c>
      <c r="E1124" s="591" t="s">
        <v>2807</v>
      </c>
      <c r="F1124" s="599" t="e">
        <f>#REF!</f>
        <v>#REF!</v>
      </c>
      <c r="G1124" s="599" t="e">
        <f t="shared" si="34"/>
        <v>#REF!</v>
      </c>
      <c r="H1124" s="600"/>
    </row>
    <row r="1125" spans="1:8" ht="17.25">
      <c r="A1125" s="594"/>
      <c r="B1125" s="923"/>
      <c r="C1125" s="601" t="s">
        <v>1394</v>
      </c>
      <c r="D1125" s="626">
        <v>1.9E-2</v>
      </c>
      <c r="E1125" s="601" t="s">
        <v>2232</v>
      </c>
      <c r="F1125" s="602" t="e">
        <f>Jwood</f>
        <v>#REF!</v>
      </c>
      <c r="G1125" s="602" t="e">
        <f t="shared" si="34"/>
        <v>#REF!</v>
      </c>
      <c r="H1125" s="633"/>
    </row>
    <row r="1126" spans="1:8" ht="17.25">
      <c r="A1126" s="594"/>
      <c r="B1126" s="923"/>
      <c r="C1126" s="601" t="s">
        <v>2155</v>
      </c>
      <c r="D1126" s="626">
        <v>0.54</v>
      </c>
      <c r="E1126" s="601" t="s">
        <v>2748</v>
      </c>
      <c r="F1126" s="602" t="e">
        <f>#REF!*6</f>
        <v>#REF!</v>
      </c>
      <c r="G1126" s="602" t="e">
        <f t="shared" si="34"/>
        <v>#REF!</v>
      </c>
      <c r="H1126" s="633"/>
    </row>
    <row r="1127" spans="1:8" ht="17.25">
      <c r="A1127" s="617"/>
      <c r="B1127" s="917"/>
      <c r="C1127" s="605" t="s">
        <v>2010</v>
      </c>
      <c r="D1127" s="615">
        <v>2.5</v>
      </c>
      <c r="E1127" s="605" t="s">
        <v>2748</v>
      </c>
      <c r="F1127" s="607" t="e">
        <f>#REF!</f>
        <v>#REF!</v>
      </c>
      <c r="G1127" s="607" t="e">
        <f t="shared" si="34"/>
        <v>#REF!</v>
      </c>
      <c r="H1127" s="608" t="e">
        <f>SUM(G1124:G1127)</f>
        <v>#REF!</v>
      </c>
    </row>
    <row r="1128" spans="1:8" ht="17.25">
      <c r="A1128" s="617"/>
      <c r="B1128" s="594"/>
      <c r="C1128" s="594"/>
      <c r="D1128" s="594"/>
      <c r="E1128" s="594"/>
      <c r="F1128" s="609" t="s">
        <v>1491</v>
      </c>
      <c r="G1128" s="609"/>
      <c r="H1128" s="607" t="e">
        <f>SUM(H1122:H1127)</f>
        <v>#REF!</v>
      </c>
    </row>
    <row r="1129" spans="1:8" ht="17.25">
      <c r="A1129" s="617"/>
      <c r="B1129" s="616" t="s">
        <v>1493</v>
      </c>
      <c r="C1129" s="594"/>
      <c r="D1129" s="594"/>
      <c r="E1129" s="594"/>
      <c r="F1129" s="609" t="s">
        <v>1472</v>
      </c>
      <c r="G1129" s="609"/>
      <c r="H1129" s="610" t="e">
        <f>FLOOR(H1128*0.15,0.01)</f>
        <v>#REF!</v>
      </c>
    </row>
    <row r="1130" spans="1:8" ht="17.25">
      <c r="A1130" s="617"/>
      <c r="B1130" s="618" t="e">
        <f>+H1130</f>
        <v>#REF!</v>
      </c>
      <c r="C1130" s="619" t="s">
        <v>3005</v>
      </c>
      <c r="D1130" s="610" t="e">
        <f>INT(B1130/B1131*100)/100</f>
        <v>#REF!</v>
      </c>
      <c r="E1130" s="594" t="s">
        <v>3006</v>
      </c>
      <c r="F1130" s="609" t="s">
        <v>1494</v>
      </c>
      <c r="G1130" s="609"/>
      <c r="H1130" s="610" t="e">
        <f>SUM(H1128:H1129)</f>
        <v>#REF!</v>
      </c>
    </row>
    <row r="1131" spans="1:8" ht="16.5">
      <c r="A1131" s="617"/>
      <c r="B1131" s="634">
        <v>4.2</v>
      </c>
      <c r="C1131" s="621"/>
      <c r="D1131" s="621"/>
      <c r="E1131" s="594"/>
      <c r="F1131" s="594"/>
      <c r="G1131" s="594"/>
      <c r="H1131" s="594"/>
    </row>
    <row r="1132" spans="1:8" ht="14.25">
      <c r="A1132" s="924" t="s">
        <v>3323</v>
      </c>
      <c r="B1132" s="924"/>
      <c r="C1132" s="924"/>
      <c r="D1132" s="924"/>
      <c r="E1132" s="924"/>
      <c r="F1132" s="924"/>
      <c r="G1132" s="924"/>
      <c r="H1132" s="924"/>
    </row>
    <row r="1133" spans="1:8" ht="15">
      <c r="A1133" s="594"/>
      <c r="B1133" s="628" t="s">
        <v>1859</v>
      </c>
      <c r="C1133" s="594"/>
      <c r="D1133" s="594"/>
      <c r="E1133" s="594"/>
      <c r="F1133" s="594"/>
      <c r="G1133" s="594"/>
      <c r="H1133" s="594"/>
    </row>
    <row r="1134" spans="1:8" ht="14.25">
      <c r="A1134" s="925" t="s">
        <v>3120</v>
      </c>
      <c r="B1134" s="925"/>
      <c r="C1134" s="925"/>
      <c r="D1134" s="925"/>
      <c r="E1134" s="925"/>
      <c r="F1134" s="925"/>
      <c r="G1134" s="925"/>
      <c r="H1134" s="925"/>
    </row>
    <row r="1135" spans="1:8" ht="15">
      <c r="A1135" s="594"/>
      <c r="B1135" s="628" t="s">
        <v>2630</v>
      </c>
      <c r="C1135" s="594"/>
      <c r="D1135" s="594"/>
      <c r="E1135" s="594"/>
      <c r="F1135" s="594"/>
      <c r="G1135" s="594"/>
      <c r="H1135" s="594"/>
    </row>
    <row r="1136" spans="1:8" ht="14.25">
      <c r="A1136" s="925" t="s">
        <v>2629</v>
      </c>
      <c r="B1136" s="925"/>
      <c r="C1136" s="925"/>
      <c r="D1136" s="925"/>
      <c r="E1136" s="925"/>
      <c r="F1136" s="925"/>
      <c r="G1136" s="925"/>
      <c r="H1136" s="925"/>
    </row>
    <row r="1137" spans="1:8" ht="15">
      <c r="A1137" s="594"/>
      <c r="B1137" s="628" t="s">
        <v>1860</v>
      </c>
      <c r="C1137" s="594"/>
      <c r="D1137" s="594"/>
      <c r="E1137" s="594"/>
      <c r="F1137" s="594"/>
      <c r="G1137" s="594"/>
      <c r="H1137" s="594"/>
    </row>
    <row r="1138" spans="1:8" ht="16.5">
      <c r="B1138" s="117"/>
      <c r="C1138" s="92"/>
      <c r="D1138" s="92"/>
      <c r="E1138" s="1"/>
      <c r="F1138" s="1"/>
      <c r="G1138" s="1"/>
      <c r="H1138" s="1"/>
    </row>
    <row r="1139" spans="1:8" ht="20.25">
      <c r="A1139" s="260">
        <f>+A1118+1</f>
        <v>66</v>
      </c>
      <c r="B1139" s="877" t="s">
        <v>2800</v>
      </c>
      <c r="C1139" s="878"/>
      <c r="D1139" s="878"/>
      <c r="E1139" s="878"/>
      <c r="F1139" s="878"/>
      <c r="G1139" s="878"/>
      <c r="H1139" s="878"/>
    </row>
    <row r="1140" spans="1:8" ht="19.5">
      <c r="A1140" s="582" t="s">
        <v>3624</v>
      </c>
      <c r="B1140" s="877" t="s">
        <v>2801</v>
      </c>
      <c r="C1140" s="878"/>
      <c r="D1140" s="878"/>
      <c r="E1140" s="878"/>
      <c r="F1140" s="878"/>
      <c r="G1140" s="878"/>
      <c r="H1140" s="878"/>
    </row>
    <row r="1141" spans="1:8" ht="15">
      <c r="A1141" s="1"/>
      <c r="B1141" s="885" t="s">
        <v>2803</v>
      </c>
      <c r="C1141" s="885"/>
      <c r="D1141" s="885"/>
      <c r="E1141" s="885"/>
      <c r="F1141" s="885"/>
      <c r="G1141" s="885"/>
      <c r="H1141" s="885"/>
    </row>
    <row r="1142" spans="1:8" ht="31.5">
      <c r="A1142" s="1"/>
      <c r="B1142" s="68" t="s">
        <v>2966</v>
      </c>
      <c r="C1142" s="68" t="s">
        <v>2967</v>
      </c>
      <c r="D1142" s="68" t="s">
        <v>2968</v>
      </c>
      <c r="E1142" s="68" t="s">
        <v>2969</v>
      </c>
      <c r="F1142" s="68" t="s">
        <v>2970</v>
      </c>
      <c r="G1142" s="68" t="s">
        <v>2971</v>
      </c>
      <c r="H1142" s="68" t="s">
        <v>1487</v>
      </c>
    </row>
    <row r="1143" spans="1:8" ht="17.25">
      <c r="A1143" s="1"/>
      <c r="B1143" s="889" t="s">
        <v>1488</v>
      </c>
      <c r="C1143" s="58" t="s">
        <v>516</v>
      </c>
      <c r="D1143" s="41">
        <v>0.5</v>
      </c>
      <c r="E1143" s="55" t="s">
        <v>1490</v>
      </c>
      <c r="F1143" s="107" t="e">
        <f>#REF!</f>
        <v>#REF!</v>
      </c>
      <c r="G1143" s="110" t="e">
        <f>FLOOR(D1143*F1143,0.01)</f>
        <v>#REF!</v>
      </c>
      <c r="H1143" s="108"/>
    </row>
    <row r="1144" spans="1:8" ht="17.25">
      <c r="A1144" s="1"/>
      <c r="B1144" s="887"/>
      <c r="C1144" s="53" t="s">
        <v>1433</v>
      </c>
      <c r="D1144" s="193">
        <v>1</v>
      </c>
      <c r="E1144" s="56" t="s">
        <v>1490</v>
      </c>
      <c r="F1144" s="109" t="e">
        <f>#REF!</f>
        <v>#REF!</v>
      </c>
      <c r="G1144" s="109" t="e">
        <f>FLOOR(D1144*F1144,0.01)</f>
        <v>#REF!</v>
      </c>
      <c r="H1144" s="121" t="e">
        <f>SUM(G1143+G1144)</f>
        <v>#REF!</v>
      </c>
    </row>
    <row r="1145" spans="1:8" ht="17.25">
      <c r="A1145" s="1"/>
      <c r="B1145" s="886" t="s">
        <v>2055</v>
      </c>
      <c r="C1145" s="55" t="s">
        <v>1935</v>
      </c>
      <c r="D1145" s="238">
        <v>4.16</v>
      </c>
      <c r="E1145" s="55" t="s">
        <v>2807</v>
      </c>
      <c r="F1145" s="178" t="e">
        <f>jphalak</f>
        <v>#REF!</v>
      </c>
      <c r="G1145" s="110" t="e">
        <f>FLOOR(D1145*F1145,0.01)</f>
        <v>#REF!</v>
      </c>
      <c r="H1145" s="184"/>
    </row>
    <row r="1146" spans="1:8" ht="17.25">
      <c r="A1146" s="1"/>
      <c r="B1146" s="894"/>
      <c r="C1146" s="53" t="s">
        <v>2052</v>
      </c>
      <c r="D1146" s="52">
        <v>0.254</v>
      </c>
      <c r="E1146" s="53" t="s">
        <v>2232</v>
      </c>
      <c r="F1146" s="177" t="e">
        <f>#REF!</f>
        <v>#REF!</v>
      </c>
      <c r="G1146" s="109" t="e">
        <f>FLOOR(D1146*F1146,0.01)</f>
        <v>#REF!</v>
      </c>
      <c r="H1146" s="142"/>
    </row>
    <row r="1147" spans="1:8" ht="17.25">
      <c r="A1147" s="1"/>
      <c r="B1147" s="895"/>
      <c r="C1147" s="135" t="s">
        <v>1333</v>
      </c>
      <c r="D1147" s="43"/>
      <c r="E1147" s="56"/>
      <c r="F1147" s="179"/>
      <c r="G1147" s="63"/>
      <c r="H1147" s="185" t="e">
        <f>SUM(G1145+G1146)</f>
        <v>#REF!</v>
      </c>
    </row>
    <row r="1148" spans="1:8" ht="17.25">
      <c r="A1148" s="1"/>
      <c r="B1148" s="1"/>
      <c r="C1148" s="1"/>
      <c r="D1148" s="1"/>
      <c r="E1148" s="1"/>
      <c r="F1148" s="40" t="s">
        <v>1491</v>
      </c>
      <c r="G1148" s="40"/>
      <c r="H1148" s="63" t="e">
        <f>SUM(H1144:H1147)</f>
        <v>#REF!</v>
      </c>
    </row>
    <row r="1149" spans="1:8" ht="17.25">
      <c r="A1149" s="1"/>
      <c r="B1149" s="3" t="s">
        <v>1493</v>
      </c>
      <c r="C1149" s="1"/>
      <c r="D1149" s="1"/>
      <c r="E1149" s="1"/>
      <c r="F1149" s="40" t="s">
        <v>1472</v>
      </c>
      <c r="G1149" s="40"/>
      <c r="H1149" s="99" t="e">
        <f>FLOOR(H1148*0.15,0.01)</f>
        <v>#REF!</v>
      </c>
    </row>
    <row r="1150" spans="1:8" ht="17.25">
      <c r="B1150" s="140" t="e">
        <f>+H1150</f>
        <v>#REF!</v>
      </c>
      <c r="C1150" s="27" t="s">
        <v>3005</v>
      </c>
      <c r="D1150" s="99" t="e">
        <f>INT(B1150/B1151*100)/100</f>
        <v>#REF!</v>
      </c>
      <c r="E1150" s="1" t="s">
        <v>3006</v>
      </c>
      <c r="F1150" s="40" t="s">
        <v>1494</v>
      </c>
      <c r="G1150" s="40"/>
      <c r="H1150" s="99" t="e">
        <f>SUM(H1148:H1149)</f>
        <v>#REF!</v>
      </c>
    </row>
    <row r="1151" spans="1:8" ht="16.5">
      <c r="A1151" s="1"/>
      <c r="B1151" s="117">
        <v>100</v>
      </c>
      <c r="C1151" s="1"/>
      <c r="D1151" s="1"/>
      <c r="E1151" s="1"/>
      <c r="F1151" s="1"/>
      <c r="G1151" s="1"/>
      <c r="H1151" s="1"/>
    </row>
    <row r="1152" spans="1:8" ht="15">
      <c r="A1152" s="1"/>
      <c r="B1152" s="3"/>
      <c r="C1152" s="1"/>
      <c r="D1152" s="1"/>
      <c r="E1152" s="1"/>
      <c r="F1152" s="1"/>
      <c r="G1152" s="1"/>
      <c r="H1152" s="1"/>
    </row>
    <row r="1153" spans="1:8" ht="15">
      <c r="A1153" s="1"/>
      <c r="B1153" s="3"/>
      <c r="C1153" s="1"/>
      <c r="D1153" s="1"/>
      <c r="E1153" s="1"/>
      <c r="F1153" s="1"/>
      <c r="G1153" s="1"/>
      <c r="H1153" s="1"/>
    </row>
    <row r="1154" spans="1:8" ht="15">
      <c r="A1154" s="1"/>
      <c r="B1154" s="3"/>
      <c r="C1154" s="1"/>
      <c r="D1154" s="1"/>
      <c r="E1154" s="1"/>
      <c r="F1154" s="1"/>
      <c r="G1154" s="1"/>
      <c r="H1154" s="1"/>
    </row>
    <row r="1155" spans="1:8" ht="15">
      <c r="A1155" s="106" t="s">
        <v>3077</v>
      </c>
      <c r="B1155" s="3"/>
      <c r="C1155" s="1"/>
      <c r="D1155" s="1"/>
      <c r="E1155" s="1"/>
      <c r="F1155" s="1"/>
      <c r="G1155" s="1"/>
      <c r="H1155" s="1"/>
    </row>
    <row r="1156" spans="1:8" ht="15">
      <c r="A1156" s="106"/>
      <c r="B1156" s="3"/>
      <c r="C1156" s="1"/>
      <c r="D1156" s="1"/>
      <c r="E1156" s="1"/>
      <c r="F1156" s="1"/>
      <c r="G1156" s="1"/>
      <c r="H1156" s="1"/>
    </row>
    <row r="1157" spans="1:8" ht="15">
      <c r="A1157" s="106"/>
      <c r="B1157" s="3"/>
      <c r="C1157" s="1"/>
      <c r="D1157" s="1"/>
      <c r="E1157" s="1"/>
      <c r="F1157" s="1"/>
      <c r="G1157" s="1"/>
      <c r="H1157" s="1"/>
    </row>
    <row r="1158" spans="1:8" ht="15">
      <c r="A1158" s="106"/>
      <c r="B1158" s="3"/>
      <c r="C1158" s="1"/>
      <c r="D1158" s="1"/>
      <c r="E1158" s="1"/>
      <c r="F1158" s="1"/>
      <c r="G1158" s="1"/>
      <c r="H1158" s="1"/>
    </row>
    <row r="1159" spans="1:8" ht="15">
      <c r="A1159" s="106"/>
      <c r="B1159" s="3"/>
      <c r="C1159" s="1"/>
      <c r="D1159" s="1"/>
      <c r="E1159" s="1"/>
      <c r="F1159" s="1"/>
      <c r="G1159" s="1"/>
      <c r="H1159" s="1"/>
    </row>
    <row r="1160" spans="1:8" ht="15">
      <c r="A1160" s="106"/>
      <c r="B1160" s="3"/>
      <c r="C1160" s="1"/>
      <c r="D1160" s="1"/>
      <c r="E1160" s="1"/>
      <c r="F1160" s="1"/>
      <c r="G1160" s="1"/>
      <c r="H1160" s="1"/>
    </row>
    <row r="1161" spans="1:8" ht="15">
      <c r="A1161" s="106"/>
      <c r="B1161" s="3"/>
      <c r="C1161" s="1"/>
      <c r="D1161" s="1"/>
      <c r="E1161" s="1"/>
      <c r="F1161" s="1"/>
      <c r="G1161" s="1"/>
      <c r="H1161" s="1"/>
    </row>
    <row r="1162" spans="1:8" ht="15">
      <c r="A1162" s="106"/>
      <c r="B1162" s="3"/>
      <c r="C1162" s="1"/>
      <c r="D1162" s="1"/>
      <c r="E1162" s="1"/>
      <c r="F1162" s="1"/>
      <c r="G1162" s="1"/>
      <c r="H1162" s="1"/>
    </row>
    <row r="1163" spans="1:8" ht="15">
      <c r="A1163" s="1"/>
      <c r="B1163" s="3"/>
      <c r="C1163" s="1"/>
      <c r="D1163" s="1"/>
      <c r="E1163" s="1"/>
      <c r="F1163" s="1"/>
      <c r="G1163" s="1"/>
      <c r="H1163" s="1"/>
    </row>
    <row r="1164" spans="1:8" ht="15">
      <c r="A1164" s="1"/>
      <c r="B1164" s="3"/>
      <c r="C1164" s="1"/>
      <c r="D1164" s="1"/>
      <c r="E1164" s="1"/>
      <c r="F1164" s="1"/>
      <c r="G1164" s="1"/>
      <c r="H1164" s="1"/>
    </row>
    <row r="1165" spans="1:8" ht="20.25">
      <c r="A1165" s="260">
        <f>+A1139+1</f>
        <v>67</v>
      </c>
      <c r="B1165" s="877" t="s">
        <v>2800</v>
      </c>
      <c r="C1165" s="878"/>
      <c r="D1165" s="878"/>
      <c r="E1165" s="878"/>
      <c r="F1165" s="878"/>
      <c r="G1165" s="878"/>
      <c r="H1165" s="878"/>
    </row>
    <row r="1166" spans="1:8" ht="19.5">
      <c r="A1166" s="582" t="s">
        <v>3625</v>
      </c>
      <c r="B1166" s="877" t="s">
        <v>2094</v>
      </c>
      <c r="C1166" s="878"/>
      <c r="D1166" s="878"/>
      <c r="E1166" s="878"/>
      <c r="F1166" s="878"/>
      <c r="G1166" s="878"/>
      <c r="H1166" s="878"/>
    </row>
    <row r="1167" spans="1:8" ht="15">
      <c r="A1167" s="1"/>
      <c r="B1167" s="885" t="s">
        <v>2803</v>
      </c>
      <c r="C1167" s="885"/>
      <c r="D1167" s="885"/>
      <c r="E1167" s="885"/>
      <c r="F1167" s="885"/>
      <c r="G1167" s="885"/>
      <c r="H1167" s="885"/>
    </row>
    <row r="1168" spans="1:8" ht="31.5">
      <c r="A1168" s="1"/>
      <c r="B1168" s="68" t="s">
        <v>2966</v>
      </c>
      <c r="C1168" s="68" t="s">
        <v>2967</v>
      </c>
      <c r="D1168" s="68" t="s">
        <v>2968</v>
      </c>
      <c r="E1168" s="68" t="s">
        <v>2969</v>
      </c>
      <c r="F1168" s="68" t="s">
        <v>2970</v>
      </c>
      <c r="G1168" s="68" t="s">
        <v>2971</v>
      </c>
      <c r="H1168" s="68" t="s">
        <v>1487</v>
      </c>
    </row>
    <row r="1169" spans="1:8" ht="17.25">
      <c r="A1169" s="1"/>
      <c r="B1169" s="889" t="s">
        <v>1488</v>
      </c>
      <c r="C1169" s="58" t="s">
        <v>516</v>
      </c>
      <c r="D1169" s="48">
        <v>1</v>
      </c>
      <c r="E1169" s="55" t="s">
        <v>1490</v>
      </c>
      <c r="F1169" s="107" t="e">
        <f>#REF!</f>
        <v>#REF!</v>
      </c>
      <c r="G1169" s="107" t="e">
        <f>FLOOR(D1169*F1169,0.01)</f>
        <v>#REF!</v>
      </c>
      <c r="H1169" s="108"/>
    </row>
    <row r="1170" spans="1:8" ht="17.25">
      <c r="A1170" s="1"/>
      <c r="B1170" s="887"/>
      <c r="C1170" s="53" t="s">
        <v>1433</v>
      </c>
      <c r="D1170" s="239">
        <v>1.75</v>
      </c>
      <c r="E1170" s="56" t="s">
        <v>1490</v>
      </c>
      <c r="F1170" s="109" t="e">
        <f>#REF!</f>
        <v>#REF!</v>
      </c>
      <c r="G1170" s="109" t="e">
        <f>FLOOR(D1170*F1170,0.01)</f>
        <v>#REF!</v>
      </c>
      <c r="H1170" s="121" t="e">
        <f>SUM(G1169+G1170)</f>
        <v>#REF!</v>
      </c>
    </row>
    <row r="1171" spans="1:8" ht="17.25">
      <c r="A1171" s="1"/>
      <c r="B1171" s="886" t="s">
        <v>2055</v>
      </c>
      <c r="C1171" s="55" t="s">
        <v>3089</v>
      </c>
      <c r="D1171" s="238">
        <v>4.16</v>
      </c>
      <c r="E1171" s="55" t="s">
        <v>2807</v>
      </c>
      <c r="F1171" s="110" t="e">
        <f>jphalak</f>
        <v>#REF!</v>
      </c>
      <c r="G1171" s="110" t="e">
        <f>FLOOR(D1171*F1171,0.01)</f>
        <v>#REF!</v>
      </c>
      <c r="H1171" s="108"/>
    </row>
    <row r="1172" spans="1:8" ht="17.25">
      <c r="A1172" s="1"/>
      <c r="B1172" s="894"/>
      <c r="C1172" s="53" t="s">
        <v>2802</v>
      </c>
      <c r="D1172" s="681">
        <v>0.2545</v>
      </c>
      <c r="E1172" s="53" t="s">
        <v>2232</v>
      </c>
      <c r="F1172" s="109" t="e">
        <f>#REF!</f>
        <v>#REF!</v>
      </c>
      <c r="G1172" s="109" t="e">
        <f>FLOOR(D1172*F1172,0.01)</f>
        <v>#REF!</v>
      </c>
      <c r="H1172" s="9"/>
    </row>
    <row r="1173" spans="1:8" ht="17.25">
      <c r="A1173" s="1"/>
      <c r="B1173" s="895"/>
      <c r="C1173" s="135" t="s">
        <v>1333</v>
      </c>
      <c r="D1173" s="43"/>
      <c r="E1173" s="56"/>
      <c r="F1173" s="63"/>
      <c r="G1173" s="63"/>
      <c r="H1173" s="123" t="e">
        <f>SUM(G1171+G1172)</f>
        <v>#REF!</v>
      </c>
    </row>
    <row r="1174" spans="1:8" ht="17.25">
      <c r="A1174" s="1"/>
      <c r="B1174" s="1"/>
      <c r="C1174" s="1"/>
      <c r="D1174" s="1"/>
      <c r="E1174" s="1"/>
      <c r="F1174" s="40" t="s">
        <v>1491</v>
      </c>
      <c r="G1174" s="40"/>
      <c r="H1174" s="63" t="e">
        <f>SUM(H1170:H1173)</f>
        <v>#REF!</v>
      </c>
    </row>
    <row r="1175" spans="1:8" ht="17.25">
      <c r="A1175" s="1"/>
      <c r="B1175" s="3" t="s">
        <v>1493</v>
      </c>
      <c r="C1175" s="1"/>
      <c r="D1175" s="1"/>
      <c r="E1175" s="1"/>
      <c r="F1175" s="40" t="s">
        <v>1472</v>
      </c>
      <c r="G1175" s="40"/>
      <c r="H1175" s="99" t="e">
        <f>FLOOR(H1174*0.15,0.01)</f>
        <v>#REF!</v>
      </c>
    </row>
    <row r="1176" spans="1:8" ht="17.25">
      <c r="B1176" s="140" t="e">
        <f>+H1176</f>
        <v>#REF!</v>
      </c>
      <c r="C1176" s="27" t="s">
        <v>3005</v>
      </c>
      <c r="D1176" s="99" t="e">
        <f>INT(B1176/B1177*100)/100</f>
        <v>#REF!</v>
      </c>
      <c r="E1176" s="1" t="s">
        <v>3006</v>
      </c>
      <c r="F1176" s="40" t="s">
        <v>1494</v>
      </c>
      <c r="G1176" s="40"/>
      <c r="H1176" s="99" t="e">
        <f>SUM(H1174:H1175)</f>
        <v>#REF!</v>
      </c>
    </row>
    <row r="1177" spans="1:8" ht="16.5">
      <c r="A1177" s="1"/>
      <c r="B1177" s="117">
        <v>100</v>
      </c>
      <c r="C1177" s="1"/>
      <c r="D1177" s="1"/>
      <c r="E1177" s="1"/>
      <c r="F1177" s="1"/>
      <c r="G1177" s="1"/>
      <c r="H1177" s="1"/>
    </row>
    <row r="1178" spans="1:8" ht="16.5">
      <c r="A1178" s="1"/>
      <c r="B1178" s="117"/>
      <c r="C1178" s="1"/>
      <c r="D1178" s="1"/>
      <c r="E1178" s="1"/>
      <c r="F1178" s="1"/>
      <c r="G1178" s="1"/>
      <c r="H1178" s="1"/>
    </row>
    <row r="1179" spans="1:8" ht="17.25">
      <c r="A1179" s="635">
        <f>A1165+1</f>
        <v>68</v>
      </c>
      <c r="B1179" s="926" t="s">
        <v>1396</v>
      </c>
      <c r="C1179" s="927"/>
      <c r="D1179" s="927"/>
      <c r="E1179" s="927"/>
      <c r="F1179" s="927"/>
      <c r="G1179" s="927"/>
      <c r="H1179" s="927"/>
    </row>
    <row r="1180" spans="1:8" ht="14.25">
      <c r="A1180" s="648" t="s">
        <v>3529</v>
      </c>
      <c r="B1180" s="928" t="s">
        <v>2454</v>
      </c>
      <c r="C1180" s="885"/>
      <c r="D1180" s="885"/>
      <c r="E1180" s="885"/>
      <c r="F1180" s="885"/>
      <c r="G1180" s="885"/>
      <c r="H1180" s="885"/>
    </row>
    <row r="1181" spans="1:8" ht="30">
      <c r="A1181" s="1"/>
      <c r="B1181" s="4" t="s">
        <v>2966</v>
      </c>
      <c r="C1181" s="4" t="s">
        <v>2967</v>
      </c>
      <c r="D1181" s="4" t="s">
        <v>2968</v>
      </c>
      <c r="E1181" s="4" t="s">
        <v>2969</v>
      </c>
      <c r="F1181" s="4" t="s">
        <v>2970</v>
      </c>
      <c r="G1181" s="4" t="s">
        <v>2971</v>
      </c>
      <c r="H1181" s="4" t="s">
        <v>1487</v>
      </c>
    </row>
    <row r="1182" spans="1:8" ht="16.5">
      <c r="A1182" s="1"/>
      <c r="B1182" s="929" t="s">
        <v>1488</v>
      </c>
      <c r="C1182" s="14" t="s">
        <v>516</v>
      </c>
      <c r="D1182" s="41">
        <v>1.1000000000000001</v>
      </c>
      <c r="E1182" s="11" t="s">
        <v>1490</v>
      </c>
      <c r="F1182" s="157" t="e">
        <f>#REF!</f>
        <v>#REF!</v>
      </c>
      <c r="G1182" s="157" t="e">
        <f t="shared" ref="G1182:G1187" si="35">FLOOR(D1182*F1182,0.01)</f>
        <v>#REF!</v>
      </c>
      <c r="H1182" s="108"/>
    </row>
    <row r="1183" spans="1:8" ht="16.5">
      <c r="A1183" s="1"/>
      <c r="B1183" s="930"/>
      <c r="C1183" s="15" t="s">
        <v>1433</v>
      </c>
      <c r="D1183" s="245">
        <v>1.25</v>
      </c>
      <c r="E1183" s="15" t="s">
        <v>1490</v>
      </c>
      <c r="F1183" s="160" t="e">
        <f>#REF!</f>
        <v>#REF!</v>
      </c>
      <c r="G1183" s="160" t="e">
        <f t="shared" si="35"/>
        <v>#REF!</v>
      </c>
      <c r="H1183" s="164" t="e">
        <f>SUM(G1182+G1183)</f>
        <v>#REF!</v>
      </c>
    </row>
    <row r="1184" spans="1:8" ht="27">
      <c r="A1184" s="1"/>
      <c r="B1184" s="906" t="s">
        <v>2055</v>
      </c>
      <c r="C1184" s="165" t="s">
        <v>1098</v>
      </c>
      <c r="D1184" s="42">
        <v>12</v>
      </c>
      <c r="E1184" s="12" t="s">
        <v>2807</v>
      </c>
      <c r="F1184" s="158" t="e">
        <f>+_cgi24</f>
        <v>#REF!</v>
      </c>
      <c r="G1184" s="158" t="e">
        <f t="shared" si="35"/>
        <v>#REF!</v>
      </c>
      <c r="H1184" s="161"/>
    </row>
    <row r="1185" spans="1:8" ht="16.5">
      <c r="A1185" s="1"/>
      <c r="B1185" s="890"/>
      <c r="C1185" s="12" t="s">
        <v>2804</v>
      </c>
      <c r="D1185" s="42">
        <v>30</v>
      </c>
      <c r="E1185" s="12" t="s">
        <v>699</v>
      </c>
      <c r="F1185" s="158" t="e">
        <f>#REF!</f>
        <v>#REF!</v>
      </c>
      <c r="G1185" s="158" t="e">
        <f t="shared" si="35"/>
        <v>#REF!</v>
      </c>
      <c r="H1185" s="163"/>
    </row>
    <row r="1186" spans="1:8" ht="16.5">
      <c r="A1186" s="1"/>
      <c r="B1186" s="890"/>
      <c r="C1186" s="12" t="s">
        <v>2805</v>
      </c>
      <c r="D1186" s="42">
        <v>25</v>
      </c>
      <c r="E1186" s="12" t="s">
        <v>699</v>
      </c>
      <c r="F1186" s="158" t="e">
        <f>#REF!</f>
        <v>#REF!</v>
      </c>
      <c r="G1186" s="158" t="e">
        <f t="shared" si="35"/>
        <v>#REF!</v>
      </c>
      <c r="H1186" s="163"/>
    </row>
    <row r="1187" spans="1:8" ht="16.5">
      <c r="A1187" s="1"/>
      <c r="B1187" s="887"/>
      <c r="C1187" s="15" t="s">
        <v>2806</v>
      </c>
      <c r="D1187" s="43">
        <v>55</v>
      </c>
      <c r="E1187" s="15" t="s">
        <v>699</v>
      </c>
      <c r="F1187" s="160" t="e">
        <f>#REF!</f>
        <v>#REF!</v>
      </c>
      <c r="G1187" s="160" t="e">
        <f t="shared" si="35"/>
        <v>#REF!</v>
      </c>
      <c r="H1187" s="164" t="e">
        <f>SUM(G1184+G1185+G1186+G1187)</f>
        <v>#REF!</v>
      </c>
    </row>
    <row r="1188" spans="1:8" ht="17.25">
      <c r="A1188" s="1"/>
      <c r="B1188" s="1"/>
      <c r="C1188" s="1"/>
      <c r="D1188" s="1"/>
      <c r="E1188" s="1"/>
      <c r="F1188" s="1" t="s">
        <v>1491</v>
      </c>
      <c r="G1188" s="40"/>
      <c r="H1188" s="160" t="e">
        <f>SUM(H1183:H1187)</f>
        <v>#REF!</v>
      </c>
    </row>
    <row r="1189" spans="1:8" ht="17.25">
      <c r="A1189" s="1"/>
      <c r="B1189" s="3" t="s">
        <v>1493</v>
      </c>
      <c r="C1189" s="1"/>
      <c r="D1189" s="1"/>
      <c r="E1189" s="1"/>
      <c r="F1189" s="1" t="s">
        <v>1472</v>
      </c>
      <c r="G1189" s="40"/>
      <c r="H1189" s="99" t="e">
        <f>FLOOR(H1188*0.15,0.01)</f>
        <v>#REF!</v>
      </c>
    </row>
    <row r="1190" spans="1:8" ht="17.25">
      <c r="A1190" s="27"/>
      <c r="B1190" s="145" t="e">
        <f>+H1190</f>
        <v>#REF!</v>
      </c>
      <c r="C1190" s="27" t="s">
        <v>3005</v>
      </c>
      <c r="D1190" s="7" t="e">
        <f>INT(B1190/B1191*100)/100</f>
        <v>#REF!</v>
      </c>
      <c r="E1190" s="1" t="s">
        <v>3006</v>
      </c>
      <c r="F1190" s="1" t="s">
        <v>1494</v>
      </c>
      <c r="G1190" s="40"/>
      <c r="H1190" s="7" t="e">
        <f>SUM(H1188:H1189)</f>
        <v>#REF!</v>
      </c>
    </row>
    <row r="1191" spans="1:8" ht="16.5">
      <c r="A1191" s="1"/>
      <c r="B1191" s="166">
        <v>10</v>
      </c>
      <c r="C1191" s="1"/>
      <c r="D1191" s="1"/>
      <c r="E1191" s="1"/>
      <c r="F1191" s="1"/>
      <c r="G1191" s="1"/>
      <c r="H1191" s="1"/>
    </row>
    <row r="1192" spans="1:8" ht="15">
      <c r="A1192" s="106" t="s">
        <v>2935</v>
      </c>
      <c r="B1192" s="1"/>
      <c r="C1192" s="1"/>
      <c r="D1192" s="1"/>
      <c r="E1192" s="1"/>
      <c r="F1192" s="1"/>
      <c r="G1192" s="1"/>
      <c r="H1192" s="1"/>
    </row>
    <row r="1193" spans="1:8" ht="15">
      <c r="A1193" s="106"/>
      <c r="B1193" s="1"/>
      <c r="C1193" s="1"/>
      <c r="D1193" s="1"/>
      <c r="E1193" s="1"/>
      <c r="F1193" s="1"/>
      <c r="G1193" s="1"/>
      <c r="H1193" s="1"/>
    </row>
    <row r="1194" spans="1:8" ht="15">
      <c r="A1194" s="1"/>
      <c r="B1194" s="1"/>
      <c r="C1194" s="1"/>
      <c r="D1194" s="1"/>
      <c r="E1194" s="1"/>
      <c r="F1194" s="1"/>
      <c r="G1194" s="1"/>
      <c r="H1194" s="1"/>
    </row>
    <row r="1195" spans="1:8" ht="17.25">
      <c r="A1195" s="635">
        <f>A1179+1</f>
        <v>69</v>
      </c>
      <c r="B1195" s="926" t="s">
        <v>3324</v>
      </c>
      <c r="C1195" s="927"/>
      <c r="D1195" s="927"/>
      <c r="E1195" s="927"/>
      <c r="F1195" s="927"/>
      <c r="G1195" s="927"/>
      <c r="H1195" s="927"/>
    </row>
    <row r="1196" spans="1:8" ht="14.25">
      <c r="A1196" s="648" t="s">
        <v>3529</v>
      </c>
      <c r="B1196" s="928" t="s">
        <v>2454</v>
      </c>
      <c r="C1196" s="885"/>
      <c r="D1196" s="885"/>
      <c r="E1196" s="885"/>
      <c r="F1196" s="885"/>
      <c r="G1196" s="885"/>
      <c r="H1196" s="885"/>
    </row>
    <row r="1197" spans="1:8" ht="30">
      <c r="A1197" s="1"/>
      <c r="B1197" s="4" t="s">
        <v>2966</v>
      </c>
      <c r="C1197" s="4" t="s">
        <v>2967</v>
      </c>
      <c r="D1197" s="4" t="s">
        <v>2968</v>
      </c>
      <c r="E1197" s="4" t="s">
        <v>2969</v>
      </c>
      <c r="F1197" s="4" t="s">
        <v>2970</v>
      </c>
      <c r="G1197" s="4" t="s">
        <v>2971</v>
      </c>
      <c r="H1197" s="4" t="s">
        <v>1487</v>
      </c>
    </row>
    <row r="1198" spans="1:8" ht="16.5">
      <c r="A1198" s="1"/>
      <c r="B1198" s="929" t="s">
        <v>1488</v>
      </c>
      <c r="C1198" s="14" t="s">
        <v>516</v>
      </c>
      <c r="D1198" s="41">
        <v>1.1000000000000001</v>
      </c>
      <c r="E1198" s="11" t="s">
        <v>1490</v>
      </c>
      <c r="F1198" s="157" t="e">
        <f>#REF!</f>
        <v>#REF!</v>
      </c>
      <c r="G1198" s="157" t="e">
        <f t="shared" ref="G1198:G1203" si="36">FLOOR(D1198*F1198,0.01)</f>
        <v>#REF!</v>
      </c>
      <c r="H1198" s="108"/>
    </row>
    <row r="1199" spans="1:8" ht="16.5">
      <c r="A1199" s="1"/>
      <c r="B1199" s="930"/>
      <c r="C1199" s="15" t="s">
        <v>1433</v>
      </c>
      <c r="D1199" s="245">
        <v>1.25</v>
      </c>
      <c r="E1199" s="15" t="s">
        <v>1490</v>
      </c>
      <c r="F1199" s="160" t="e">
        <f>#REF!</f>
        <v>#REF!</v>
      </c>
      <c r="G1199" s="160" t="e">
        <f t="shared" si="36"/>
        <v>#REF!</v>
      </c>
      <c r="H1199" s="164" t="e">
        <f>SUM(G1198+G1199)</f>
        <v>#REF!</v>
      </c>
    </row>
    <row r="1200" spans="1:8" ht="27">
      <c r="A1200" s="1"/>
      <c r="B1200" s="906" t="s">
        <v>2055</v>
      </c>
      <c r="C1200" s="165" t="s">
        <v>3325</v>
      </c>
      <c r="D1200" s="42">
        <v>12</v>
      </c>
      <c r="E1200" s="12" t="s">
        <v>2807</v>
      </c>
      <c r="F1200" s="158" t="e">
        <f>+#REF!</f>
        <v>#REF!</v>
      </c>
      <c r="G1200" s="158" t="e">
        <f t="shared" si="36"/>
        <v>#REF!</v>
      </c>
      <c r="H1200" s="161"/>
    </row>
    <row r="1201" spans="1:8" ht="16.5">
      <c r="A1201" s="1"/>
      <c r="B1201" s="890"/>
      <c r="C1201" s="12" t="s">
        <v>2804</v>
      </c>
      <c r="D1201" s="42">
        <v>30</v>
      </c>
      <c r="E1201" s="12" t="s">
        <v>699</v>
      </c>
      <c r="F1201" s="158" t="e">
        <f>#REF!</f>
        <v>#REF!</v>
      </c>
      <c r="G1201" s="158" t="e">
        <f t="shared" si="36"/>
        <v>#REF!</v>
      </c>
      <c r="H1201" s="163"/>
    </row>
    <row r="1202" spans="1:8" ht="16.5">
      <c r="A1202" s="1"/>
      <c r="B1202" s="890"/>
      <c r="C1202" s="12" t="s">
        <v>2805</v>
      </c>
      <c r="D1202" s="42">
        <v>25</v>
      </c>
      <c r="E1202" s="12" t="s">
        <v>699</v>
      </c>
      <c r="F1202" s="158" t="e">
        <f>#REF!</f>
        <v>#REF!</v>
      </c>
      <c r="G1202" s="158" t="e">
        <f t="shared" si="36"/>
        <v>#REF!</v>
      </c>
      <c r="H1202" s="163"/>
    </row>
    <row r="1203" spans="1:8" ht="16.5">
      <c r="A1203" s="1"/>
      <c r="B1203" s="887"/>
      <c r="C1203" s="15" t="s">
        <v>2806</v>
      </c>
      <c r="D1203" s="43">
        <v>55</v>
      </c>
      <c r="E1203" s="15" t="s">
        <v>699</v>
      </c>
      <c r="F1203" s="160" t="e">
        <f>#REF!</f>
        <v>#REF!</v>
      </c>
      <c r="G1203" s="160" t="e">
        <f t="shared" si="36"/>
        <v>#REF!</v>
      </c>
      <c r="H1203" s="164" t="e">
        <f>SUM(G1200+G1201+G1202+G1203)</f>
        <v>#REF!</v>
      </c>
    </row>
    <row r="1204" spans="1:8" ht="17.25">
      <c r="A1204" s="1"/>
      <c r="B1204" s="1"/>
      <c r="C1204" s="1"/>
      <c r="D1204" s="1"/>
      <c r="E1204" s="1"/>
      <c r="F1204" s="1" t="s">
        <v>1491</v>
      </c>
      <c r="G1204" s="40"/>
      <c r="H1204" s="160" t="e">
        <f>SUM(H1199:H1203)</f>
        <v>#REF!</v>
      </c>
    </row>
    <row r="1205" spans="1:8" ht="17.25">
      <c r="A1205" s="1"/>
      <c r="B1205" s="3" t="s">
        <v>1493</v>
      </c>
      <c r="C1205" s="1"/>
      <c r="D1205" s="1"/>
      <c r="E1205" s="1"/>
      <c r="F1205" s="1" t="s">
        <v>1472</v>
      </c>
      <c r="G1205" s="40"/>
      <c r="H1205" s="99" t="e">
        <f>FLOOR(H1204*0.15,0.01)</f>
        <v>#REF!</v>
      </c>
    </row>
    <row r="1206" spans="1:8" ht="17.25">
      <c r="A1206" s="27"/>
      <c r="B1206" s="145" t="e">
        <f>+H1206</f>
        <v>#REF!</v>
      </c>
      <c r="C1206" s="27" t="s">
        <v>3005</v>
      </c>
      <c r="D1206" s="7" t="e">
        <f>INT(B1206/B1207*100)/100</f>
        <v>#REF!</v>
      </c>
      <c r="E1206" s="1" t="s">
        <v>3006</v>
      </c>
      <c r="F1206" s="1" t="s">
        <v>1494</v>
      </c>
      <c r="G1206" s="40"/>
      <c r="H1206" s="7" t="e">
        <f>SUM(H1204:H1205)</f>
        <v>#REF!</v>
      </c>
    </row>
    <row r="1207" spans="1:8" ht="16.5">
      <c r="A1207" s="1"/>
      <c r="B1207" s="166">
        <v>10</v>
      </c>
      <c r="C1207" s="1"/>
      <c r="D1207" s="1"/>
      <c r="E1207" s="1"/>
      <c r="F1207" s="1"/>
      <c r="G1207" s="1"/>
      <c r="H1207" s="1"/>
    </row>
    <row r="1208" spans="1:8" ht="15">
      <c r="A1208" s="106" t="s">
        <v>2935</v>
      </c>
      <c r="B1208" s="1"/>
      <c r="C1208" s="1"/>
      <c r="D1208" s="1"/>
      <c r="E1208" s="1"/>
      <c r="F1208" s="1"/>
      <c r="G1208" s="1"/>
      <c r="H1208" s="1"/>
    </row>
    <row r="1209" spans="1:8" ht="15">
      <c r="A1209" s="106"/>
      <c r="B1209" s="1"/>
      <c r="C1209" s="1"/>
      <c r="D1209" s="1"/>
      <c r="E1209" s="1"/>
      <c r="F1209" s="1"/>
      <c r="G1209" s="1"/>
      <c r="H1209" s="1"/>
    </row>
    <row r="1210" spans="1:8" ht="15">
      <c r="A1210" s="106"/>
      <c r="B1210" s="1"/>
      <c r="C1210" s="1"/>
      <c r="D1210" s="1"/>
      <c r="E1210" s="1"/>
      <c r="F1210" s="1"/>
      <c r="G1210" s="1"/>
      <c r="H1210" s="1"/>
    </row>
    <row r="1211" spans="1:8" ht="15">
      <c r="A1211" s="106"/>
      <c r="B1211" s="1"/>
      <c r="C1211" s="1"/>
      <c r="D1211" s="1"/>
      <c r="E1211" s="1"/>
      <c r="F1211" s="1"/>
      <c r="G1211" s="1"/>
      <c r="H1211" s="1"/>
    </row>
    <row r="1212" spans="1:8" ht="17.25">
      <c r="A1212" s="635">
        <f>A1195+1</f>
        <v>70</v>
      </c>
      <c r="B1212" s="926" t="s">
        <v>1131</v>
      </c>
      <c r="C1212" s="927"/>
      <c r="D1212" s="927"/>
      <c r="E1212" s="927"/>
      <c r="F1212" s="927"/>
      <c r="G1212" s="927"/>
      <c r="H1212" s="927"/>
    </row>
    <row r="1213" spans="1:8" ht="15.75">
      <c r="A1213" s="582" t="s">
        <v>3529</v>
      </c>
      <c r="B1213" s="928" t="s">
        <v>2454</v>
      </c>
      <c r="C1213" s="885"/>
      <c r="D1213" s="885"/>
      <c r="E1213" s="885"/>
      <c r="F1213" s="885"/>
      <c r="G1213" s="885"/>
      <c r="H1213" s="885"/>
    </row>
    <row r="1214" spans="1:8" ht="30">
      <c r="A1214" s="1"/>
      <c r="B1214" s="4" t="s">
        <v>2966</v>
      </c>
      <c r="C1214" s="4" t="s">
        <v>2967</v>
      </c>
      <c r="D1214" s="4" t="s">
        <v>2968</v>
      </c>
      <c r="E1214" s="4" t="s">
        <v>2969</v>
      </c>
      <c r="F1214" s="4" t="s">
        <v>2970</v>
      </c>
      <c r="G1214" s="4" t="s">
        <v>2971</v>
      </c>
      <c r="H1214" s="4" t="s">
        <v>1487</v>
      </c>
    </row>
    <row r="1215" spans="1:8" ht="16.5">
      <c r="A1215" s="1"/>
      <c r="B1215" s="929" t="s">
        <v>1488</v>
      </c>
      <c r="C1215" s="14" t="s">
        <v>516</v>
      </c>
      <c r="D1215" s="41">
        <v>1.1000000000000001</v>
      </c>
      <c r="E1215" s="11" t="s">
        <v>1490</v>
      </c>
      <c r="F1215" s="157" t="e">
        <f>#REF!</f>
        <v>#REF!</v>
      </c>
      <c r="G1215" s="157" t="e">
        <f t="shared" ref="G1215:G1220" si="37">FLOOR(D1215*F1215,0.01)</f>
        <v>#REF!</v>
      </c>
      <c r="H1215" s="108"/>
    </row>
    <row r="1216" spans="1:8" ht="16.5">
      <c r="A1216" s="1"/>
      <c r="B1216" s="930"/>
      <c r="C1216" s="15" t="s">
        <v>1433</v>
      </c>
      <c r="D1216" s="245">
        <v>1.25</v>
      </c>
      <c r="E1216" s="15" t="s">
        <v>1490</v>
      </c>
      <c r="F1216" s="160" t="e">
        <f>#REF!</f>
        <v>#REF!</v>
      </c>
      <c r="G1216" s="160" t="e">
        <f t="shared" si="37"/>
        <v>#REF!</v>
      </c>
      <c r="H1216" s="164" t="e">
        <f>SUM(G1215+G1216)</f>
        <v>#REF!</v>
      </c>
    </row>
    <row r="1217" spans="1:8" ht="27">
      <c r="A1217" s="1"/>
      <c r="B1217" s="906" t="s">
        <v>2055</v>
      </c>
      <c r="C1217" s="165" t="s">
        <v>2255</v>
      </c>
      <c r="D1217" s="42">
        <v>12</v>
      </c>
      <c r="E1217" s="12" t="s">
        <v>2807</v>
      </c>
      <c r="F1217" s="158" t="e">
        <f>+_cgi26</f>
        <v>#REF!</v>
      </c>
      <c r="G1217" s="158" t="e">
        <f t="shared" si="37"/>
        <v>#REF!</v>
      </c>
      <c r="H1217" s="161"/>
    </row>
    <row r="1218" spans="1:8" ht="16.5">
      <c r="A1218" s="1"/>
      <c r="B1218" s="890"/>
      <c r="C1218" s="12" t="s">
        <v>2919</v>
      </c>
      <c r="D1218" s="42">
        <v>30</v>
      </c>
      <c r="E1218" s="12" t="s">
        <v>699</v>
      </c>
      <c r="F1218" s="158" t="e">
        <f>#REF!</f>
        <v>#REF!</v>
      </c>
      <c r="G1218" s="158" t="e">
        <f t="shared" si="37"/>
        <v>#REF!</v>
      </c>
      <c r="H1218" s="163"/>
    </row>
    <row r="1219" spans="1:8" ht="16.5">
      <c r="A1219" s="1"/>
      <c r="B1219" s="890"/>
      <c r="C1219" s="12" t="s">
        <v>2805</v>
      </c>
      <c r="D1219" s="42">
        <v>25</v>
      </c>
      <c r="E1219" s="12" t="s">
        <v>699</v>
      </c>
      <c r="F1219" s="158" t="e">
        <f>#REF!</f>
        <v>#REF!</v>
      </c>
      <c r="G1219" s="158" t="e">
        <f t="shared" si="37"/>
        <v>#REF!</v>
      </c>
      <c r="H1219" s="163"/>
    </row>
    <row r="1220" spans="1:8" ht="16.5">
      <c r="A1220" s="1"/>
      <c r="B1220" s="887"/>
      <c r="C1220" s="15" t="s">
        <v>2806</v>
      </c>
      <c r="D1220" s="43">
        <v>55</v>
      </c>
      <c r="E1220" s="15" t="s">
        <v>699</v>
      </c>
      <c r="F1220" s="160" t="e">
        <f>#REF!</f>
        <v>#REF!</v>
      </c>
      <c r="G1220" s="160" t="e">
        <f t="shared" si="37"/>
        <v>#REF!</v>
      </c>
      <c r="H1220" s="164" t="e">
        <f>SUM(G1217+G1218+G1219+G1220)</f>
        <v>#REF!</v>
      </c>
    </row>
    <row r="1221" spans="1:8" ht="17.25">
      <c r="A1221" s="1"/>
      <c r="B1221" s="1"/>
      <c r="C1221" s="1"/>
      <c r="D1221" s="1"/>
      <c r="E1221" s="1"/>
      <c r="F1221" s="1" t="s">
        <v>1491</v>
      </c>
      <c r="G1221" s="40"/>
      <c r="H1221" s="160" t="e">
        <f>SUM(H1216:H1220)</f>
        <v>#REF!</v>
      </c>
    </row>
    <row r="1222" spans="1:8" ht="17.25">
      <c r="A1222" s="1"/>
      <c r="B1222" s="3" t="s">
        <v>1493</v>
      </c>
      <c r="C1222" s="1"/>
      <c r="D1222" s="1"/>
      <c r="E1222" s="1"/>
      <c r="F1222" s="1" t="s">
        <v>1472</v>
      </c>
      <c r="G1222" s="40"/>
      <c r="H1222" s="99" t="e">
        <f>FLOOR(H1221*0.15,0.01)</f>
        <v>#REF!</v>
      </c>
    </row>
    <row r="1223" spans="1:8" ht="17.25">
      <c r="A1223" s="27"/>
      <c r="B1223" s="145" t="e">
        <f>+H1223</f>
        <v>#REF!</v>
      </c>
      <c r="C1223" s="27" t="s">
        <v>3005</v>
      </c>
      <c r="D1223" s="7" t="e">
        <f>INT(B1223/B1224*100)/100</f>
        <v>#REF!</v>
      </c>
      <c r="E1223" s="1" t="s">
        <v>3006</v>
      </c>
      <c r="F1223" s="1" t="s">
        <v>1494</v>
      </c>
      <c r="G1223" s="40"/>
      <c r="H1223" s="7" t="e">
        <f>SUM(H1221:H1222)</f>
        <v>#REF!</v>
      </c>
    </row>
    <row r="1224" spans="1:8" ht="16.5">
      <c r="A1224" s="1"/>
      <c r="B1224" s="166">
        <v>10</v>
      </c>
      <c r="C1224" s="1"/>
      <c r="D1224" s="1"/>
      <c r="E1224" s="1"/>
      <c r="F1224" s="1"/>
      <c r="G1224" s="1"/>
      <c r="H1224" s="1"/>
    </row>
    <row r="1225" spans="1:8" ht="16.5">
      <c r="A1225" s="1"/>
      <c r="B1225" s="166"/>
      <c r="C1225" s="1"/>
      <c r="D1225" s="1"/>
      <c r="E1225" s="1"/>
      <c r="F1225" s="1"/>
      <c r="G1225" s="1"/>
      <c r="H1225" s="1"/>
    </row>
    <row r="1226" spans="1:8" ht="18">
      <c r="A1226" s="31"/>
      <c r="B1226" s="891" t="s">
        <v>3326</v>
      </c>
      <c r="C1226" s="891"/>
      <c r="D1226" s="891"/>
      <c r="E1226" s="891"/>
      <c r="F1226" s="891"/>
      <c r="G1226" s="891"/>
      <c r="H1226" s="891"/>
    </row>
    <row r="1227" spans="1:8" ht="18.75">
      <c r="A1227" s="635">
        <f>A1212+1</f>
        <v>71</v>
      </c>
      <c r="B1227" s="891" t="s">
        <v>2325</v>
      </c>
      <c r="C1227" s="891"/>
      <c r="D1227" s="891"/>
      <c r="E1227" s="891"/>
      <c r="F1227" s="891"/>
      <c r="G1227" s="891"/>
      <c r="H1227" s="891"/>
    </row>
    <row r="1228" spans="1:8" ht="15.75">
      <c r="A1228" s="582" t="s">
        <v>3626</v>
      </c>
      <c r="B1228" s="928" t="s">
        <v>555</v>
      </c>
      <c r="C1228" s="885"/>
      <c r="D1228" s="885"/>
      <c r="E1228" s="885"/>
      <c r="F1228" s="885"/>
      <c r="G1228" s="885"/>
      <c r="H1228" s="885"/>
    </row>
    <row r="1229" spans="1:8" ht="30">
      <c r="A1229" s="1"/>
      <c r="B1229" s="4" t="s">
        <v>2966</v>
      </c>
      <c r="C1229" s="4" t="s">
        <v>2967</v>
      </c>
      <c r="D1229" s="4" t="s">
        <v>2968</v>
      </c>
      <c r="E1229" s="4" t="s">
        <v>2969</v>
      </c>
      <c r="F1229" s="4" t="s">
        <v>2970</v>
      </c>
      <c r="G1229" s="4" t="s">
        <v>2971</v>
      </c>
      <c r="H1229" s="4" t="s">
        <v>1487</v>
      </c>
    </row>
    <row r="1230" spans="1:8" ht="16.5">
      <c r="A1230" s="1"/>
      <c r="B1230" s="929" t="s">
        <v>1488</v>
      </c>
      <c r="C1230" s="14" t="s">
        <v>516</v>
      </c>
      <c r="D1230" s="41">
        <v>2</v>
      </c>
      <c r="E1230" s="167" t="s">
        <v>1490</v>
      </c>
      <c r="F1230" s="159" t="e">
        <f>#REF!</f>
        <v>#REF!</v>
      </c>
      <c r="G1230" s="157" t="e">
        <f>FLOOR(D1230*F1230,0.01)</f>
        <v>#REF!</v>
      </c>
      <c r="H1230" s="162"/>
    </row>
    <row r="1231" spans="1:8" ht="16.5">
      <c r="A1231" s="1"/>
      <c r="B1231" s="931"/>
      <c r="C1231" s="12" t="s">
        <v>1433</v>
      </c>
      <c r="D1231" s="42">
        <v>3</v>
      </c>
      <c r="E1231" s="168" t="s">
        <v>1490</v>
      </c>
      <c r="F1231" s="160" t="e">
        <f>#REF!</f>
        <v>#REF!</v>
      </c>
      <c r="G1231" s="160" t="e">
        <f>FLOOR(D1231*F1231,0.01)</f>
        <v>#REF!</v>
      </c>
      <c r="H1231" s="164" t="e">
        <f>SUM(G1230+G1231)</f>
        <v>#REF!</v>
      </c>
    </row>
    <row r="1232" spans="1:8" ht="16.5">
      <c r="A1232" s="1"/>
      <c r="B1232" s="906" t="s">
        <v>2055</v>
      </c>
      <c r="C1232" s="11" t="s">
        <v>2647</v>
      </c>
      <c r="D1232" s="41">
        <v>12</v>
      </c>
      <c r="E1232" s="167" t="s">
        <v>2809</v>
      </c>
      <c r="F1232" s="159" t="e">
        <f>+#REF!</f>
        <v>#REF!</v>
      </c>
      <c r="G1232" s="159" t="e">
        <f>FLOOR(D1232*F1232,0.01)</f>
        <v>#REF!</v>
      </c>
      <c r="H1232" s="162"/>
    </row>
    <row r="1233" spans="1:8" ht="18.75">
      <c r="A1233" s="1"/>
      <c r="B1233" s="908"/>
      <c r="C1233" s="420" t="s">
        <v>2204</v>
      </c>
      <c r="D1233" s="420" t="s">
        <v>2808</v>
      </c>
      <c r="E1233" s="168" t="s">
        <v>2810</v>
      </c>
      <c r="F1233" s="168" t="s">
        <v>2810</v>
      </c>
      <c r="G1233" s="160">
        <v>70</v>
      </c>
      <c r="H1233" s="164" t="e">
        <f>SUM(G1232:G1233)</f>
        <v>#REF!</v>
      </c>
    </row>
    <row r="1234" spans="1:8" ht="17.25">
      <c r="A1234" s="1"/>
      <c r="B1234" s="1" t="s">
        <v>1334</v>
      </c>
      <c r="C1234" s="1"/>
      <c r="D1234" s="1"/>
      <c r="E1234" s="1"/>
      <c r="F1234" s="1" t="s">
        <v>1491</v>
      </c>
      <c r="G1234" s="40"/>
      <c r="H1234" s="160" t="e">
        <f>SUM(H1231:H1233)</f>
        <v>#REF!</v>
      </c>
    </row>
    <row r="1235" spans="1:8" ht="17.25">
      <c r="A1235" s="1"/>
      <c r="B1235" s="145" t="e">
        <f>+H1236</f>
        <v>#REF!</v>
      </c>
      <c r="C1235" s="27" t="s">
        <v>3005</v>
      </c>
      <c r="D1235" s="7" t="e">
        <f>INT(B1235/B1236*100)/100</f>
        <v>#REF!</v>
      </c>
      <c r="E1235" s="1" t="s">
        <v>3006</v>
      </c>
      <c r="F1235" s="1" t="s">
        <v>1472</v>
      </c>
      <c r="G1235" s="40"/>
      <c r="H1235" s="99" t="e">
        <f>FLOOR(H1234*0.15,0.01)</f>
        <v>#REF!</v>
      </c>
    </row>
    <row r="1236" spans="1:8" ht="17.25">
      <c r="B1236" s="169">
        <v>10</v>
      </c>
      <c r="C1236" s="1"/>
      <c r="D1236" s="1"/>
      <c r="E1236" s="1"/>
      <c r="F1236" s="1" t="s">
        <v>1494</v>
      </c>
      <c r="G1236" s="40"/>
      <c r="H1236" s="6" t="e">
        <f>SUM(H1234:H1235)</f>
        <v>#REF!</v>
      </c>
    </row>
    <row r="1237" spans="1:8" ht="15">
      <c r="A1237" s="1"/>
      <c r="B1237" s="106" t="s">
        <v>1493</v>
      </c>
      <c r="C1237" s="1"/>
      <c r="D1237" s="1"/>
      <c r="E1237" s="1"/>
      <c r="F1237" s="1"/>
      <c r="G1237" s="1"/>
      <c r="H1237" s="1"/>
    </row>
    <row r="1238" spans="1:8" ht="16.5">
      <c r="A1238" s="1"/>
      <c r="B1238" s="145" t="e">
        <f>+H1236</f>
        <v>#REF!</v>
      </c>
      <c r="C1238" s="27" t="s">
        <v>3005</v>
      </c>
      <c r="D1238" s="7" t="e">
        <f>INT(B1238/B1239*100)/100</f>
        <v>#REF!</v>
      </c>
      <c r="E1238" s="1" t="s">
        <v>3006</v>
      </c>
      <c r="F1238" s="1"/>
      <c r="G1238" s="1"/>
      <c r="H1238" s="1"/>
    </row>
    <row r="1239" spans="1:8" ht="16.5">
      <c r="A1239" s="1"/>
      <c r="B1239" s="636">
        <v>6</v>
      </c>
      <c r="C1239" s="1"/>
      <c r="D1239" s="1"/>
      <c r="E1239" s="1"/>
      <c r="F1239" s="1"/>
      <c r="G1239" s="1"/>
      <c r="H1239" s="1"/>
    </row>
    <row r="1240" spans="1:8" ht="15">
      <c r="A1240" s="106" t="s">
        <v>2769</v>
      </c>
      <c r="B1240" s="1"/>
      <c r="C1240" s="1"/>
      <c r="D1240" s="156" t="s">
        <v>990</v>
      </c>
      <c r="E1240" s="1"/>
      <c r="F1240" s="1"/>
      <c r="G1240" s="1"/>
      <c r="H1240" s="1"/>
    </row>
    <row r="1241" spans="1:8" ht="15">
      <c r="A1241" s="106"/>
      <c r="B1241" s="1"/>
      <c r="C1241" s="1"/>
      <c r="D1241" s="156"/>
      <c r="E1241" s="1"/>
      <c r="F1241" s="1"/>
      <c r="G1241" s="1"/>
      <c r="H1241" s="1"/>
    </row>
    <row r="1242" spans="1:8" ht="15">
      <c r="A1242" s="106"/>
      <c r="B1242" s="1"/>
      <c r="C1242" s="1"/>
      <c r="D1242" s="156"/>
      <c r="E1242" s="1"/>
      <c r="F1242" s="1"/>
      <c r="G1242" s="1"/>
      <c r="H1242" s="1"/>
    </row>
    <row r="1243" spans="1:8" ht="15">
      <c r="A1243" s="106"/>
      <c r="B1243" s="1"/>
      <c r="C1243" s="1"/>
      <c r="D1243" s="156"/>
      <c r="E1243" s="1"/>
      <c r="F1243" s="1"/>
      <c r="G1243" s="1"/>
      <c r="H1243" s="1"/>
    </row>
    <row r="1244" spans="1:8" ht="18">
      <c r="A1244" s="31"/>
      <c r="B1244" s="891" t="s">
        <v>3327</v>
      </c>
      <c r="C1244" s="891"/>
      <c r="D1244" s="891"/>
      <c r="E1244" s="891"/>
      <c r="F1244" s="891"/>
      <c r="G1244" s="891"/>
      <c r="H1244" s="891"/>
    </row>
    <row r="1245" spans="1:8" ht="18.75">
      <c r="A1245" s="635">
        <f>A1227+1</f>
        <v>72</v>
      </c>
      <c r="B1245" s="891" t="s">
        <v>2325</v>
      </c>
      <c r="C1245" s="891"/>
      <c r="D1245" s="891"/>
      <c r="E1245" s="891"/>
      <c r="F1245" s="891"/>
      <c r="G1245" s="891"/>
      <c r="H1245" s="891"/>
    </row>
    <row r="1246" spans="1:8" ht="15.75">
      <c r="A1246" s="582" t="s">
        <v>3626</v>
      </c>
      <c r="B1246" s="928" t="s">
        <v>555</v>
      </c>
      <c r="C1246" s="885"/>
      <c r="D1246" s="885"/>
      <c r="E1246" s="885"/>
      <c r="F1246" s="885"/>
      <c r="G1246" s="885"/>
      <c r="H1246" s="885"/>
    </row>
    <row r="1247" spans="1:8" ht="30">
      <c r="A1247" s="1"/>
      <c r="B1247" s="4" t="s">
        <v>2966</v>
      </c>
      <c r="C1247" s="4" t="s">
        <v>2967</v>
      </c>
      <c r="D1247" s="4" t="s">
        <v>2968</v>
      </c>
      <c r="E1247" s="4" t="s">
        <v>2969</v>
      </c>
      <c r="F1247" s="4" t="s">
        <v>2970</v>
      </c>
      <c r="G1247" s="4" t="s">
        <v>2971</v>
      </c>
      <c r="H1247" s="4" t="s">
        <v>1487</v>
      </c>
    </row>
    <row r="1248" spans="1:8" ht="16.5">
      <c r="A1248" s="1"/>
      <c r="B1248" s="929" t="s">
        <v>1488</v>
      </c>
      <c r="C1248" s="14" t="s">
        <v>516</v>
      </c>
      <c r="D1248" s="41">
        <v>2</v>
      </c>
      <c r="E1248" s="167" t="s">
        <v>1490</v>
      </c>
      <c r="F1248" s="159" t="e">
        <f>#REF!</f>
        <v>#REF!</v>
      </c>
      <c r="G1248" s="157" t="e">
        <f>FLOOR(D1248*F1248,0.01)</f>
        <v>#REF!</v>
      </c>
      <c r="H1248" s="162"/>
    </row>
    <row r="1249" spans="1:8" ht="16.5">
      <c r="A1249" s="1"/>
      <c r="B1249" s="931"/>
      <c r="C1249" s="12" t="s">
        <v>1433</v>
      </c>
      <c r="D1249" s="42">
        <v>3</v>
      </c>
      <c r="E1249" s="168" t="s">
        <v>1490</v>
      </c>
      <c r="F1249" s="160" t="e">
        <f>#REF!</f>
        <v>#REF!</v>
      </c>
      <c r="G1249" s="160" t="e">
        <f>FLOOR(D1249*F1249,0.01)</f>
        <v>#REF!</v>
      </c>
      <c r="H1249" s="164" t="e">
        <f>SUM(G1248+G1249)</f>
        <v>#REF!</v>
      </c>
    </row>
    <row r="1250" spans="1:8" ht="16.5">
      <c r="A1250" s="1"/>
      <c r="B1250" s="906" t="s">
        <v>2055</v>
      </c>
      <c r="C1250" s="11" t="s">
        <v>3565</v>
      </c>
      <c r="D1250" s="41">
        <v>12</v>
      </c>
      <c r="E1250" s="167" t="s">
        <v>2809</v>
      </c>
      <c r="F1250" s="159" t="e">
        <f>+#REF!</f>
        <v>#REF!</v>
      </c>
      <c r="G1250" s="159" t="e">
        <f>FLOOR(D1250*F1250,0.01)</f>
        <v>#REF!</v>
      </c>
      <c r="H1250" s="162"/>
    </row>
    <row r="1251" spans="1:8" ht="16.5">
      <c r="A1251" s="1"/>
      <c r="B1251" s="908"/>
      <c r="C1251" s="15" t="s">
        <v>2204</v>
      </c>
      <c r="D1251" s="682" t="s">
        <v>2808</v>
      </c>
      <c r="E1251" s="168" t="s">
        <v>2810</v>
      </c>
      <c r="F1251" s="168" t="s">
        <v>2810</v>
      </c>
      <c r="G1251" s="160">
        <v>70</v>
      </c>
      <c r="H1251" s="164" t="e">
        <f>SUM(G1250:G1251)</f>
        <v>#REF!</v>
      </c>
    </row>
    <row r="1252" spans="1:8" ht="17.25">
      <c r="A1252" s="1"/>
      <c r="B1252" s="1" t="s">
        <v>1334</v>
      </c>
      <c r="C1252" s="1"/>
      <c r="D1252" s="1"/>
      <c r="E1252" s="1"/>
      <c r="F1252" s="1" t="s">
        <v>1491</v>
      </c>
      <c r="G1252" s="40"/>
      <c r="H1252" s="160" t="e">
        <f>SUM(H1249:H1251)</f>
        <v>#REF!</v>
      </c>
    </row>
    <row r="1253" spans="1:8" ht="17.25">
      <c r="A1253" s="1"/>
      <c r="B1253" s="145" t="e">
        <f>+H1254</f>
        <v>#REF!</v>
      </c>
      <c r="C1253" s="27" t="s">
        <v>3005</v>
      </c>
      <c r="D1253" s="7" t="e">
        <f>INT(B1253/B1254*100)/100</f>
        <v>#REF!</v>
      </c>
      <c r="E1253" s="1" t="s">
        <v>3006</v>
      </c>
      <c r="F1253" s="1" t="s">
        <v>1472</v>
      </c>
      <c r="G1253" s="40"/>
      <c r="H1253" s="99" t="e">
        <f>FLOOR(H1252*0.15,0.01)</f>
        <v>#REF!</v>
      </c>
    </row>
    <row r="1254" spans="1:8" ht="17.25">
      <c r="B1254" s="169">
        <v>10</v>
      </c>
      <c r="C1254" s="1"/>
      <c r="D1254" s="1"/>
      <c r="E1254" s="1"/>
      <c r="F1254" s="1" t="s">
        <v>1494</v>
      </c>
      <c r="G1254" s="40"/>
      <c r="H1254" s="6" t="e">
        <f>SUM(H1252:H1253)</f>
        <v>#REF!</v>
      </c>
    </row>
    <row r="1255" spans="1:8" ht="15">
      <c r="A1255" s="1"/>
      <c r="B1255" s="106" t="s">
        <v>1493</v>
      </c>
      <c r="C1255" s="1"/>
      <c r="D1255" s="1"/>
      <c r="E1255" s="1"/>
      <c r="F1255" s="1"/>
      <c r="G1255" s="1"/>
      <c r="H1255" s="1"/>
    </row>
    <row r="1256" spans="1:8" ht="16.5">
      <c r="A1256" s="1"/>
      <c r="B1256" s="145" t="e">
        <f>+H1254</f>
        <v>#REF!</v>
      </c>
      <c r="C1256" s="27" t="s">
        <v>3005</v>
      </c>
      <c r="D1256" s="7" t="e">
        <f>INT(B1256/B1257*100)/100</f>
        <v>#REF!</v>
      </c>
      <c r="E1256" s="1" t="s">
        <v>3006</v>
      </c>
      <c r="F1256" s="1"/>
      <c r="G1256" s="1"/>
      <c r="H1256" s="1"/>
    </row>
    <row r="1257" spans="1:8" ht="16.5">
      <c r="A1257" s="1"/>
      <c r="B1257" s="117">
        <v>6</v>
      </c>
      <c r="C1257" s="1"/>
      <c r="D1257" s="1"/>
      <c r="E1257" s="1"/>
      <c r="F1257" s="1"/>
      <c r="G1257" s="1"/>
      <c r="H1257" s="1"/>
    </row>
    <row r="1258" spans="1:8" ht="15">
      <c r="A1258" s="106" t="s">
        <v>2769</v>
      </c>
      <c r="B1258" s="1"/>
      <c r="C1258" s="1"/>
      <c r="D1258" s="156" t="s">
        <v>990</v>
      </c>
      <c r="E1258" s="1"/>
      <c r="F1258" s="1"/>
      <c r="G1258" s="1"/>
      <c r="H1258" s="1"/>
    </row>
    <row r="1259" spans="1:8" ht="15">
      <c r="A1259" s="106"/>
      <c r="B1259" s="1"/>
      <c r="C1259" s="1"/>
      <c r="D1259" s="156"/>
      <c r="E1259" s="1"/>
      <c r="F1259" s="1"/>
      <c r="G1259" s="1"/>
      <c r="H1259" s="1"/>
    </row>
    <row r="1260" spans="1:8" ht="19.5">
      <c r="A1260" s="1"/>
      <c r="B1260" s="878" t="s">
        <v>2999</v>
      </c>
      <c r="C1260" s="878"/>
      <c r="D1260" s="878"/>
      <c r="E1260" s="878"/>
      <c r="F1260" s="878"/>
      <c r="G1260" s="878"/>
      <c r="H1260" s="878"/>
    </row>
    <row r="1261" spans="1:8" ht="20.25">
      <c r="A1261" s="635">
        <f>A1245+1</f>
        <v>73</v>
      </c>
      <c r="B1261" s="877" t="s">
        <v>3328</v>
      </c>
      <c r="C1261" s="878"/>
      <c r="D1261" s="878"/>
      <c r="E1261" s="878"/>
      <c r="F1261" s="878"/>
      <c r="G1261" s="878"/>
      <c r="H1261" s="878"/>
    </row>
    <row r="1262" spans="1:8" ht="15.75">
      <c r="A1262" s="582" t="s">
        <v>3627</v>
      </c>
      <c r="B1262" s="928" t="s">
        <v>2454</v>
      </c>
      <c r="C1262" s="885"/>
      <c r="D1262" s="885"/>
      <c r="E1262" s="885"/>
      <c r="F1262" s="885"/>
      <c r="G1262" s="885"/>
      <c r="H1262" s="885"/>
    </row>
    <row r="1263" spans="1:8" ht="31.5">
      <c r="A1263" s="1"/>
      <c r="B1263" s="68" t="s">
        <v>2966</v>
      </c>
      <c r="C1263" s="68" t="s">
        <v>2967</v>
      </c>
      <c r="D1263" s="68" t="s">
        <v>2968</v>
      </c>
      <c r="E1263" s="68" t="s">
        <v>2969</v>
      </c>
      <c r="F1263" s="68" t="s">
        <v>2970</v>
      </c>
      <c r="G1263" s="68" t="s">
        <v>2971</v>
      </c>
      <c r="H1263" s="68" t="s">
        <v>1487</v>
      </c>
    </row>
    <row r="1264" spans="1:8" ht="17.25">
      <c r="A1264" s="1"/>
      <c r="B1264" s="889" t="s">
        <v>1488</v>
      </c>
      <c r="C1264" s="58" t="s">
        <v>516</v>
      </c>
      <c r="D1264" s="41">
        <v>1.1000000000000001</v>
      </c>
      <c r="E1264" s="55" t="s">
        <v>1490</v>
      </c>
      <c r="F1264" s="116" t="e">
        <f>#REF!</f>
        <v>#REF!</v>
      </c>
      <c r="G1264" s="107" t="e">
        <f t="shared" ref="G1264:G1269" si="38">FLOOR(D1264*F1264,0.01)</f>
        <v>#REF!</v>
      </c>
      <c r="H1264" s="108"/>
    </row>
    <row r="1265" spans="1:8" ht="17.25">
      <c r="A1265" s="1"/>
      <c r="B1265" s="896"/>
      <c r="C1265" s="53" t="s">
        <v>1433</v>
      </c>
      <c r="D1265" s="243">
        <v>1.25</v>
      </c>
      <c r="E1265" s="56" t="s">
        <v>1490</v>
      </c>
      <c r="F1265" s="122" t="e">
        <f>#REF!</f>
        <v>#REF!</v>
      </c>
      <c r="G1265" s="109" t="e">
        <f t="shared" si="38"/>
        <v>#REF!</v>
      </c>
      <c r="H1265" s="121" t="e">
        <f>SUM(G1264:G1265)</f>
        <v>#REF!</v>
      </c>
    </row>
    <row r="1266" spans="1:8" ht="17.25">
      <c r="A1266" s="1"/>
      <c r="B1266" s="886" t="s">
        <v>2055</v>
      </c>
      <c r="C1266" s="55" t="s">
        <v>3566</v>
      </c>
      <c r="D1266" s="41">
        <v>12</v>
      </c>
      <c r="E1266" s="55" t="s">
        <v>2807</v>
      </c>
      <c r="F1266" s="110" t="e">
        <f>#REF!</f>
        <v>#REF!</v>
      </c>
      <c r="G1266" s="110" t="e">
        <f>FLOOR(D1266*F1266,0.01)</f>
        <v>#REF!</v>
      </c>
      <c r="H1266" s="108"/>
    </row>
    <row r="1267" spans="1:8" ht="17.25">
      <c r="A1267" s="1"/>
      <c r="B1267" s="894"/>
      <c r="C1267" s="53" t="s">
        <v>3137</v>
      </c>
      <c r="D1267" s="42">
        <v>30</v>
      </c>
      <c r="E1267" s="53" t="s">
        <v>699</v>
      </c>
      <c r="F1267" s="109" t="e">
        <f>#REF!</f>
        <v>#REF!</v>
      </c>
      <c r="G1267" s="109" t="e">
        <f t="shared" si="38"/>
        <v>#REF!</v>
      </c>
      <c r="H1267" s="9"/>
    </row>
    <row r="1268" spans="1:8" ht="17.25">
      <c r="A1268" s="1"/>
      <c r="B1268" s="894"/>
      <c r="C1268" s="53" t="s">
        <v>3138</v>
      </c>
      <c r="D1268" s="42">
        <v>25</v>
      </c>
      <c r="E1268" s="53" t="s">
        <v>699</v>
      </c>
      <c r="F1268" s="109" t="e">
        <f>#REF!</f>
        <v>#REF!</v>
      </c>
      <c r="G1268" s="109" t="e">
        <f t="shared" si="38"/>
        <v>#REF!</v>
      </c>
      <c r="H1268" s="9"/>
    </row>
    <row r="1269" spans="1:8" ht="17.25">
      <c r="A1269" s="1"/>
      <c r="B1269" s="895"/>
      <c r="C1269" s="56" t="s">
        <v>2806</v>
      </c>
      <c r="D1269" s="43">
        <v>55</v>
      </c>
      <c r="E1269" s="56" t="s">
        <v>699</v>
      </c>
      <c r="F1269" s="160" t="e">
        <f>#REF!</f>
        <v>#REF!</v>
      </c>
      <c r="G1269" s="63" t="e">
        <f t="shared" si="38"/>
        <v>#REF!</v>
      </c>
      <c r="H1269" s="123" t="e">
        <f>SUM(G1266:G1269)</f>
        <v>#REF!</v>
      </c>
    </row>
    <row r="1270" spans="1:8" ht="17.25">
      <c r="A1270" s="1"/>
      <c r="B1270" s="1"/>
      <c r="C1270" s="1"/>
      <c r="D1270" s="1"/>
      <c r="E1270" s="1"/>
      <c r="F1270" s="40" t="s">
        <v>1491</v>
      </c>
      <c r="G1270" s="92"/>
      <c r="H1270" s="63" t="e">
        <f>SUM(H1269,H1265)</f>
        <v>#REF!</v>
      </c>
    </row>
    <row r="1271" spans="1:8" ht="17.25">
      <c r="A1271" s="1"/>
      <c r="B1271" s="1" t="s">
        <v>1493</v>
      </c>
      <c r="C1271" s="1"/>
      <c r="D1271" s="1"/>
      <c r="E1271" s="1"/>
      <c r="F1271" s="40" t="s">
        <v>1472</v>
      </c>
      <c r="G1271" s="92"/>
      <c r="H1271" s="99" t="e">
        <f>FLOOR(H1270*0.15,0.01)</f>
        <v>#REF!</v>
      </c>
    </row>
    <row r="1272" spans="1:8" ht="17.25">
      <c r="B1272" s="140" t="e">
        <f>+H1272</f>
        <v>#REF!</v>
      </c>
      <c r="C1272" s="27" t="s">
        <v>3801</v>
      </c>
      <c r="D1272" s="99" t="e">
        <f>INT(B1272/B1273*100)/100</f>
        <v>#REF!</v>
      </c>
      <c r="E1272" s="1" t="s">
        <v>3006</v>
      </c>
      <c r="F1272" s="40" t="s">
        <v>1494</v>
      </c>
      <c r="G1272" s="40"/>
      <c r="H1272" s="99" t="e">
        <f>SUM(H1270:H1271)</f>
        <v>#REF!</v>
      </c>
    </row>
    <row r="1273" spans="1:8" ht="16.5">
      <c r="A1273" s="106"/>
      <c r="B1273" s="117">
        <v>10</v>
      </c>
      <c r="C1273" s="1"/>
      <c r="D1273" s="156"/>
      <c r="E1273" s="1"/>
      <c r="F1273" s="1"/>
      <c r="G1273" s="1"/>
      <c r="H1273" s="1"/>
    </row>
    <row r="1274" spans="1:8" ht="19.5">
      <c r="A1274" s="1"/>
      <c r="B1274" s="878" t="s">
        <v>2999</v>
      </c>
      <c r="C1274" s="878"/>
      <c r="D1274" s="878"/>
      <c r="E1274" s="878"/>
      <c r="F1274" s="878"/>
      <c r="G1274" s="878"/>
      <c r="H1274" s="878"/>
    </row>
    <row r="1275" spans="1:8" ht="20.25">
      <c r="A1275" s="635">
        <f>A1261+1</f>
        <v>74</v>
      </c>
      <c r="B1275" s="877" t="s">
        <v>2046</v>
      </c>
      <c r="C1275" s="878"/>
      <c r="D1275" s="878"/>
      <c r="E1275" s="878"/>
      <c r="F1275" s="878"/>
      <c r="G1275" s="878"/>
      <c r="H1275" s="878"/>
    </row>
    <row r="1276" spans="1:8" ht="15.75">
      <c r="A1276" s="582" t="s">
        <v>3627</v>
      </c>
      <c r="B1276" s="928" t="s">
        <v>2454</v>
      </c>
      <c r="C1276" s="885"/>
      <c r="D1276" s="885"/>
      <c r="E1276" s="885"/>
      <c r="F1276" s="885"/>
      <c r="G1276" s="885"/>
      <c r="H1276" s="885"/>
    </row>
    <row r="1277" spans="1:8" ht="31.5">
      <c r="A1277" s="1"/>
      <c r="B1277" s="68" t="s">
        <v>2966</v>
      </c>
      <c r="C1277" s="68" t="s">
        <v>2967</v>
      </c>
      <c r="D1277" s="68" t="s">
        <v>2968</v>
      </c>
      <c r="E1277" s="68" t="s">
        <v>2969</v>
      </c>
      <c r="F1277" s="68" t="s">
        <v>2970</v>
      </c>
      <c r="G1277" s="68" t="s">
        <v>2971</v>
      </c>
      <c r="H1277" s="68" t="s">
        <v>1487</v>
      </c>
    </row>
    <row r="1278" spans="1:8" ht="17.25">
      <c r="A1278" s="1"/>
      <c r="B1278" s="889" t="s">
        <v>1488</v>
      </c>
      <c r="C1278" s="58" t="s">
        <v>516</v>
      </c>
      <c r="D1278" s="41">
        <v>1.1000000000000001</v>
      </c>
      <c r="E1278" s="55" t="s">
        <v>1490</v>
      </c>
      <c r="F1278" s="116" t="e">
        <f>#REF!</f>
        <v>#REF!</v>
      </c>
      <c r="G1278" s="107" t="e">
        <f t="shared" ref="G1278:G1283" si="39">FLOOR(D1278*F1278,0.01)</f>
        <v>#REF!</v>
      </c>
      <c r="H1278" s="108"/>
    </row>
    <row r="1279" spans="1:8" ht="17.25">
      <c r="A1279" s="1"/>
      <c r="B1279" s="896"/>
      <c r="C1279" s="53" t="s">
        <v>1433</v>
      </c>
      <c r="D1279" s="243">
        <v>1.25</v>
      </c>
      <c r="E1279" s="56" t="s">
        <v>1490</v>
      </c>
      <c r="F1279" s="122" t="e">
        <f>#REF!</f>
        <v>#REF!</v>
      </c>
      <c r="G1279" s="109" t="e">
        <f t="shared" si="39"/>
        <v>#REF!</v>
      </c>
      <c r="H1279" s="121" t="e">
        <f>SUM(G1278:G1279)</f>
        <v>#REF!</v>
      </c>
    </row>
    <row r="1280" spans="1:8" ht="17.25">
      <c r="A1280" s="1"/>
      <c r="B1280" s="886" t="s">
        <v>2055</v>
      </c>
      <c r="C1280" s="55" t="s">
        <v>3567</v>
      </c>
      <c r="D1280" s="41">
        <v>12</v>
      </c>
      <c r="E1280" s="55" t="s">
        <v>2807</v>
      </c>
      <c r="F1280" s="110" t="e">
        <f>#REF!</f>
        <v>#REF!</v>
      </c>
      <c r="G1280" s="110" t="e">
        <f t="shared" si="39"/>
        <v>#REF!</v>
      </c>
      <c r="H1280" s="108"/>
    </row>
    <row r="1281" spans="1:8" ht="17.25">
      <c r="A1281" s="1"/>
      <c r="B1281" s="894"/>
      <c r="C1281" s="53" t="s">
        <v>3137</v>
      </c>
      <c r="D1281" s="42">
        <v>30</v>
      </c>
      <c r="E1281" s="53" t="s">
        <v>699</v>
      </c>
      <c r="F1281" s="109" t="e">
        <f>#REF!</f>
        <v>#REF!</v>
      </c>
      <c r="G1281" s="109" t="e">
        <f t="shared" si="39"/>
        <v>#REF!</v>
      </c>
      <c r="H1281" s="9"/>
    </row>
    <row r="1282" spans="1:8" ht="17.25">
      <c r="A1282" s="1"/>
      <c r="B1282" s="894"/>
      <c r="C1282" s="53" t="s">
        <v>3138</v>
      </c>
      <c r="D1282" s="42">
        <v>25</v>
      </c>
      <c r="E1282" s="53" t="s">
        <v>699</v>
      </c>
      <c r="F1282" s="109" t="e">
        <f>#REF!</f>
        <v>#REF!</v>
      </c>
      <c r="G1282" s="109" t="e">
        <f t="shared" si="39"/>
        <v>#REF!</v>
      </c>
      <c r="H1282" s="9"/>
    </row>
    <row r="1283" spans="1:8" ht="17.25">
      <c r="A1283" s="1"/>
      <c r="B1283" s="895"/>
      <c r="C1283" s="56" t="s">
        <v>2806</v>
      </c>
      <c r="D1283" s="43">
        <v>55</v>
      </c>
      <c r="E1283" s="56" t="s">
        <v>699</v>
      </c>
      <c r="F1283" s="160" t="e">
        <f>#REF!</f>
        <v>#REF!</v>
      </c>
      <c r="G1283" s="63" t="e">
        <f t="shared" si="39"/>
        <v>#REF!</v>
      </c>
      <c r="H1283" s="123" t="e">
        <f>SUM(G1280:G1283)</f>
        <v>#REF!</v>
      </c>
    </row>
    <row r="1284" spans="1:8" ht="17.25">
      <c r="A1284" s="1"/>
      <c r="B1284" s="1"/>
      <c r="C1284" s="1"/>
      <c r="D1284" s="1"/>
      <c r="E1284" s="1"/>
      <c r="F1284" s="40" t="s">
        <v>1491</v>
      </c>
      <c r="G1284" s="92"/>
      <c r="H1284" s="63" t="e">
        <f>SUM(H1283,H1279)</f>
        <v>#REF!</v>
      </c>
    </row>
    <row r="1285" spans="1:8" ht="17.25">
      <c r="A1285" s="1"/>
      <c r="B1285" s="1" t="s">
        <v>1493</v>
      </c>
      <c r="C1285" s="1"/>
      <c r="D1285" s="1"/>
      <c r="E1285" s="1"/>
      <c r="F1285" s="40" t="s">
        <v>1472</v>
      </c>
      <c r="G1285" s="92"/>
      <c r="H1285" s="99" t="e">
        <f>FLOOR(H1284*0.15,0.01)</f>
        <v>#REF!</v>
      </c>
    </row>
    <row r="1286" spans="1:8" ht="17.25">
      <c r="B1286" s="140" t="e">
        <f>+H1286</f>
        <v>#REF!</v>
      </c>
      <c r="C1286" s="27" t="s">
        <v>3801</v>
      </c>
      <c r="D1286" s="99" t="e">
        <f>INT(B1286/B1287*100)/100</f>
        <v>#REF!</v>
      </c>
      <c r="E1286" s="1" t="s">
        <v>3006</v>
      </c>
      <c r="F1286" s="40" t="s">
        <v>1494</v>
      </c>
      <c r="G1286" s="40"/>
      <c r="H1286" s="99" t="e">
        <f>SUM(H1284:H1285)</f>
        <v>#REF!</v>
      </c>
    </row>
    <row r="1287" spans="1:8" ht="16.5">
      <c r="A1287" s="1"/>
      <c r="B1287" s="117">
        <v>10</v>
      </c>
      <c r="C1287" s="1"/>
      <c r="D1287" s="1"/>
      <c r="E1287" s="1"/>
      <c r="F1287" s="1"/>
      <c r="G1287" s="1"/>
      <c r="H1287" s="134"/>
    </row>
    <row r="1288" spans="1:8" ht="16.5">
      <c r="A1288" s="1"/>
      <c r="B1288" s="117"/>
      <c r="C1288" s="1"/>
      <c r="D1288" s="1"/>
      <c r="E1288" s="1"/>
      <c r="F1288" s="1"/>
      <c r="G1288" s="1"/>
      <c r="H1288" s="88"/>
    </row>
    <row r="1289" spans="1:8" ht="16.5">
      <c r="A1289" s="1"/>
      <c r="B1289" s="117"/>
      <c r="C1289" s="1"/>
      <c r="D1289" s="1"/>
      <c r="E1289" s="1"/>
      <c r="F1289" s="1"/>
      <c r="G1289" s="1"/>
      <c r="H1289" s="88"/>
    </row>
    <row r="1290" spans="1:8" ht="19.5">
      <c r="A1290" s="1"/>
      <c r="B1290" s="878" t="s">
        <v>2999</v>
      </c>
      <c r="C1290" s="878"/>
      <c r="D1290" s="878"/>
      <c r="E1290" s="878"/>
      <c r="F1290" s="878"/>
      <c r="G1290" s="878"/>
      <c r="H1290" s="878"/>
    </row>
    <row r="1291" spans="1:8" ht="20.25">
      <c r="A1291" s="635">
        <f>A1275+1</f>
        <v>75</v>
      </c>
      <c r="B1291" s="877" t="s">
        <v>2316</v>
      </c>
      <c r="C1291" s="878"/>
      <c r="D1291" s="878"/>
      <c r="E1291" s="878"/>
      <c r="F1291" s="878"/>
      <c r="G1291" s="878"/>
      <c r="H1291" s="878"/>
    </row>
    <row r="1292" spans="1:8" ht="15.75">
      <c r="A1292" s="582" t="s">
        <v>3627</v>
      </c>
      <c r="B1292" s="888" t="s">
        <v>2454</v>
      </c>
      <c r="C1292" s="879"/>
      <c r="D1292" s="879"/>
      <c r="E1292" s="879"/>
      <c r="F1292" s="879"/>
      <c r="G1292" s="879"/>
      <c r="H1292" s="879"/>
    </row>
    <row r="1293" spans="1:8" ht="31.5">
      <c r="A1293" s="1"/>
      <c r="B1293" s="68" t="s">
        <v>2966</v>
      </c>
      <c r="C1293" s="68" t="s">
        <v>2967</v>
      </c>
      <c r="D1293" s="68" t="s">
        <v>2968</v>
      </c>
      <c r="E1293" s="68" t="s">
        <v>2969</v>
      </c>
      <c r="F1293" s="68" t="s">
        <v>2970</v>
      </c>
      <c r="G1293" s="68" t="s">
        <v>2971</v>
      </c>
      <c r="H1293" s="68" t="s">
        <v>1487</v>
      </c>
    </row>
    <row r="1294" spans="1:8" ht="17.25">
      <c r="A1294" s="1"/>
      <c r="B1294" s="889" t="s">
        <v>1488</v>
      </c>
      <c r="C1294" s="58" t="s">
        <v>516</v>
      </c>
      <c r="D1294" s="41">
        <v>1.1000000000000001</v>
      </c>
      <c r="E1294" s="55" t="s">
        <v>1490</v>
      </c>
      <c r="F1294" s="107" t="e">
        <f>#REF!</f>
        <v>#REF!</v>
      </c>
      <c r="G1294" s="107" t="e">
        <f t="shared" ref="G1294:G1299" si="40">FLOOR(D1294*F1294,0.01)</f>
        <v>#REF!</v>
      </c>
      <c r="H1294" s="108"/>
    </row>
    <row r="1295" spans="1:8" ht="17.25">
      <c r="A1295" s="1"/>
      <c r="B1295" s="887"/>
      <c r="C1295" s="53" t="s">
        <v>1433</v>
      </c>
      <c r="D1295" s="243">
        <v>1.25</v>
      </c>
      <c r="E1295" s="56" t="s">
        <v>1490</v>
      </c>
      <c r="F1295" s="109" t="e">
        <f>#REF!</f>
        <v>#REF!</v>
      </c>
      <c r="G1295" s="109" t="e">
        <f t="shared" si="40"/>
        <v>#REF!</v>
      </c>
      <c r="H1295" s="121" t="e">
        <f>SUM(G1294:G1295)</f>
        <v>#REF!</v>
      </c>
    </row>
    <row r="1296" spans="1:8" ht="17.25">
      <c r="A1296" s="1"/>
      <c r="B1296" s="886" t="s">
        <v>2055</v>
      </c>
      <c r="C1296" s="55" t="s">
        <v>1367</v>
      </c>
      <c r="D1296" s="41">
        <v>12</v>
      </c>
      <c r="E1296" s="55" t="s">
        <v>2807</v>
      </c>
      <c r="F1296" s="110" t="e">
        <f>#REF!</f>
        <v>#REF!</v>
      </c>
      <c r="G1296" s="110" t="e">
        <f t="shared" si="40"/>
        <v>#REF!</v>
      </c>
      <c r="H1296" s="108"/>
    </row>
    <row r="1297" spans="1:8" ht="17.25">
      <c r="A1297" s="1"/>
      <c r="B1297" s="894"/>
      <c r="C1297" s="53" t="s">
        <v>3137</v>
      </c>
      <c r="D1297" s="42">
        <v>30</v>
      </c>
      <c r="E1297" s="53" t="s">
        <v>699</v>
      </c>
      <c r="F1297" s="109" t="e">
        <f>#REF!</f>
        <v>#REF!</v>
      </c>
      <c r="G1297" s="109" t="e">
        <f t="shared" si="40"/>
        <v>#REF!</v>
      </c>
      <c r="H1297" s="9"/>
    </row>
    <row r="1298" spans="1:8" ht="17.25">
      <c r="A1298" s="1"/>
      <c r="B1298" s="894"/>
      <c r="C1298" s="53" t="s">
        <v>3138</v>
      </c>
      <c r="D1298" s="42">
        <v>25</v>
      </c>
      <c r="E1298" s="53" t="s">
        <v>699</v>
      </c>
      <c r="F1298" s="109" t="e">
        <f>#REF!</f>
        <v>#REF!</v>
      </c>
      <c r="G1298" s="109" t="e">
        <f t="shared" si="40"/>
        <v>#REF!</v>
      </c>
      <c r="H1298" s="9"/>
    </row>
    <row r="1299" spans="1:8" ht="17.25">
      <c r="A1299" s="1"/>
      <c r="B1299" s="895"/>
      <c r="C1299" s="56" t="s">
        <v>2806</v>
      </c>
      <c r="D1299" s="43">
        <v>55</v>
      </c>
      <c r="E1299" s="56" t="s">
        <v>699</v>
      </c>
      <c r="F1299" s="160" t="e">
        <f>#REF!</f>
        <v>#REF!</v>
      </c>
      <c r="G1299" s="63" t="e">
        <f t="shared" si="40"/>
        <v>#REF!</v>
      </c>
      <c r="H1299" s="123" t="e">
        <f>SUM(G1296:G1299)</f>
        <v>#REF!</v>
      </c>
    </row>
    <row r="1300" spans="1:8" ht="17.25">
      <c r="A1300" s="1"/>
      <c r="B1300" s="1"/>
      <c r="C1300" s="1"/>
      <c r="D1300" s="1"/>
      <c r="E1300" s="1"/>
      <c r="F1300" s="40" t="s">
        <v>1491</v>
      </c>
      <c r="G1300" s="92"/>
      <c r="H1300" s="63" t="e">
        <f>SUM(H1299,H1295)</f>
        <v>#REF!</v>
      </c>
    </row>
    <row r="1301" spans="1:8" ht="17.25">
      <c r="A1301" s="1"/>
      <c r="B1301" s="1" t="s">
        <v>1493</v>
      </c>
      <c r="C1301" s="1"/>
      <c r="D1301" s="1"/>
      <c r="E1301" s="1"/>
      <c r="F1301" s="40" t="s">
        <v>1472</v>
      </c>
      <c r="G1301" s="92"/>
      <c r="H1301" s="99" t="e">
        <f>FLOOR(H1300*0.15,0.01)</f>
        <v>#REF!</v>
      </c>
    </row>
    <row r="1302" spans="1:8" ht="17.25">
      <c r="B1302" s="140" t="e">
        <f>+H1302</f>
        <v>#REF!</v>
      </c>
      <c r="C1302" s="27" t="s">
        <v>3801</v>
      </c>
      <c r="D1302" s="99" t="e">
        <f>INT(B1302/B1303*100)/100</f>
        <v>#REF!</v>
      </c>
      <c r="E1302" s="1" t="s">
        <v>3006</v>
      </c>
      <c r="F1302" s="40" t="s">
        <v>1494</v>
      </c>
      <c r="G1302" s="40"/>
      <c r="H1302" s="99" t="e">
        <f>SUM(H1300:H1301)</f>
        <v>#REF!</v>
      </c>
    </row>
    <row r="1303" spans="1:8" ht="16.5">
      <c r="A1303" s="1"/>
      <c r="B1303" s="117">
        <v>10</v>
      </c>
      <c r="C1303" s="1"/>
      <c r="D1303" s="1"/>
      <c r="E1303" s="1"/>
      <c r="F1303" s="1"/>
      <c r="G1303" s="1"/>
      <c r="H1303" s="134"/>
    </row>
    <row r="1304" spans="1:8" ht="16.5">
      <c r="A1304" s="1"/>
      <c r="B1304" s="117"/>
      <c r="C1304" s="1"/>
      <c r="D1304" s="1"/>
      <c r="E1304" s="1"/>
      <c r="F1304" s="1"/>
      <c r="G1304" s="1"/>
      <c r="H1304" s="88"/>
    </row>
    <row r="1305" spans="1:8" ht="16.5">
      <c r="A1305" s="1"/>
      <c r="B1305" s="117"/>
      <c r="C1305" s="1"/>
      <c r="D1305" s="1"/>
      <c r="E1305" s="1"/>
      <c r="F1305" s="1"/>
      <c r="G1305" s="1"/>
      <c r="H1305" s="88"/>
    </row>
    <row r="1306" spans="1:8" ht="18">
      <c r="A1306" s="31"/>
      <c r="B1306" s="891" t="s">
        <v>3329</v>
      </c>
      <c r="C1306" s="891"/>
      <c r="D1306" s="891"/>
      <c r="E1306" s="891"/>
      <c r="F1306" s="891"/>
      <c r="G1306" s="891"/>
      <c r="H1306" s="891"/>
    </row>
    <row r="1307" spans="1:8" ht="18.75">
      <c r="A1307" s="260">
        <f>+A1291+1</f>
        <v>76</v>
      </c>
      <c r="B1307" s="891" t="s">
        <v>2325</v>
      </c>
      <c r="C1307" s="891"/>
      <c r="D1307" s="891"/>
      <c r="E1307" s="891"/>
      <c r="F1307" s="891"/>
      <c r="G1307" s="891"/>
      <c r="H1307" s="891"/>
    </row>
    <row r="1308" spans="1:8" ht="15.75">
      <c r="A1308" s="582" t="s">
        <v>3627</v>
      </c>
      <c r="B1308" s="928" t="s">
        <v>555</v>
      </c>
      <c r="C1308" s="885"/>
      <c r="D1308" s="885"/>
      <c r="E1308" s="885"/>
      <c r="F1308" s="885"/>
      <c r="G1308" s="885"/>
      <c r="H1308" s="885"/>
    </row>
    <row r="1309" spans="1:8" ht="30">
      <c r="A1309" s="1"/>
      <c r="B1309" s="4" t="s">
        <v>2966</v>
      </c>
      <c r="C1309" s="4" t="s">
        <v>2967</v>
      </c>
      <c r="D1309" s="4" t="s">
        <v>2968</v>
      </c>
      <c r="E1309" s="4" t="s">
        <v>2969</v>
      </c>
      <c r="F1309" s="4" t="s">
        <v>2970</v>
      </c>
      <c r="G1309" s="4" t="s">
        <v>2971</v>
      </c>
      <c r="H1309" s="4" t="s">
        <v>1487</v>
      </c>
    </row>
    <row r="1310" spans="1:8" ht="16.5">
      <c r="A1310" s="1"/>
      <c r="B1310" s="929" t="s">
        <v>1488</v>
      </c>
      <c r="C1310" s="14" t="s">
        <v>516</v>
      </c>
      <c r="D1310" s="41">
        <v>2</v>
      </c>
      <c r="E1310" s="167" t="s">
        <v>1490</v>
      </c>
      <c r="F1310" s="157" t="e">
        <f>#REF!</f>
        <v>#REF!</v>
      </c>
      <c r="G1310" s="157" t="e">
        <f>FLOOR(D1310*F1310,0.01)</f>
        <v>#REF!</v>
      </c>
      <c r="H1310" s="162"/>
    </row>
    <row r="1311" spans="1:8" ht="16.5">
      <c r="A1311" s="1"/>
      <c r="B1311" s="931"/>
      <c r="C1311" s="12" t="s">
        <v>1433</v>
      </c>
      <c r="D1311" s="42">
        <v>3</v>
      </c>
      <c r="E1311" s="168" t="s">
        <v>1490</v>
      </c>
      <c r="F1311" s="158" t="e">
        <f>#REF!</f>
        <v>#REF!</v>
      </c>
      <c r="G1311" s="160" t="e">
        <f>FLOOR(D1311*F1311,0.01)</f>
        <v>#REF!</v>
      </c>
      <c r="H1311" s="164" t="e">
        <f>SUM(G1310+G1311)</f>
        <v>#REF!</v>
      </c>
    </row>
    <row r="1312" spans="1:8" ht="16.5">
      <c r="A1312" s="1"/>
      <c r="B1312" s="906" t="s">
        <v>2055</v>
      </c>
      <c r="C1312" s="11" t="s">
        <v>3332</v>
      </c>
      <c r="D1312" s="41">
        <v>12</v>
      </c>
      <c r="E1312" s="167" t="s">
        <v>2809</v>
      </c>
      <c r="F1312" s="159" t="e">
        <f>#REF!</f>
        <v>#REF!</v>
      </c>
      <c r="G1312" s="159" t="e">
        <f>FLOOR(D1312*F1312,0.01)</f>
        <v>#REF!</v>
      </c>
      <c r="H1312" s="162"/>
    </row>
    <row r="1313" spans="1:8" ht="17.25">
      <c r="A1313" s="1"/>
      <c r="B1313" s="908"/>
      <c r="C1313" s="15" t="s">
        <v>2204</v>
      </c>
      <c r="D1313" s="673" t="s">
        <v>2808</v>
      </c>
      <c r="E1313" s="168" t="s">
        <v>2810</v>
      </c>
      <c r="F1313" s="168" t="s">
        <v>2810</v>
      </c>
      <c r="G1313" s="160">
        <v>70</v>
      </c>
      <c r="H1313" s="164" t="e">
        <f>SUM(G1312:G1313)</f>
        <v>#REF!</v>
      </c>
    </row>
    <row r="1314" spans="1:8" ht="17.25">
      <c r="A1314" s="1"/>
      <c r="B1314" s="1" t="s">
        <v>1334</v>
      </c>
      <c r="C1314" s="1"/>
      <c r="D1314" s="1"/>
      <c r="E1314" s="1"/>
      <c r="F1314" s="1" t="s">
        <v>1491</v>
      </c>
      <c r="G1314" s="40"/>
      <c r="H1314" s="160" t="e">
        <f>SUM(H1311:H1313)</f>
        <v>#REF!</v>
      </c>
    </row>
    <row r="1315" spans="1:8" ht="17.25">
      <c r="A1315" s="1"/>
      <c r="B1315" s="145" t="e">
        <f>+H1316</f>
        <v>#REF!</v>
      </c>
      <c r="C1315" s="27" t="s">
        <v>3005</v>
      </c>
      <c r="D1315" s="7" t="e">
        <f>INT(B1315/B1316*100)/100</f>
        <v>#REF!</v>
      </c>
      <c r="E1315" s="1" t="s">
        <v>3006</v>
      </c>
      <c r="F1315" s="1" t="s">
        <v>1472</v>
      </c>
      <c r="G1315" s="40"/>
      <c r="H1315" s="99" t="e">
        <f>FLOOR(H1314*0.15,0.01)</f>
        <v>#REF!</v>
      </c>
    </row>
    <row r="1316" spans="1:8" ht="17.25">
      <c r="B1316" s="169">
        <v>10</v>
      </c>
      <c r="C1316" s="1"/>
      <c r="D1316" s="1"/>
      <c r="E1316" s="1"/>
      <c r="F1316" s="1" t="s">
        <v>1494</v>
      </c>
      <c r="G1316" s="40"/>
      <c r="H1316" s="6" t="e">
        <f>SUM(H1314:H1315)</f>
        <v>#REF!</v>
      </c>
    </row>
    <row r="1317" spans="1:8" ht="15">
      <c r="A1317" s="1"/>
      <c r="B1317" s="106" t="s">
        <v>1493</v>
      </c>
      <c r="C1317" s="1"/>
      <c r="D1317" s="1"/>
      <c r="E1317" s="1"/>
      <c r="F1317" s="1"/>
      <c r="G1317" s="1"/>
      <c r="H1317" s="1"/>
    </row>
    <row r="1318" spans="1:8" ht="16.5">
      <c r="A1318" s="1"/>
      <c r="B1318" s="145" t="e">
        <f>+H1316</f>
        <v>#REF!</v>
      </c>
      <c r="C1318" s="27" t="s">
        <v>3005</v>
      </c>
      <c r="D1318" s="7" t="e">
        <f>INT(B1318/B1319*100)/100</f>
        <v>#REF!</v>
      </c>
      <c r="E1318" s="1" t="s">
        <v>3006</v>
      </c>
      <c r="F1318" s="1"/>
      <c r="G1318" s="1"/>
      <c r="H1318" s="1"/>
    </row>
    <row r="1319" spans="1:8" ht="16.5">
      <c r="A1319" s="1"/>
      <c r="B1319" s="169">
        <v>6</v>
      </c>
      <c r="C1319" s="1"/>
      <c r="D1319" s="1"/>
      <c r="E1319" s="1"/>
      <c r="F1319" s="1"/>
      <c r="G1319" s="1"/>
      <c r="H1319" s="1"/>
    </row>
    <row r="1320" spans="1:8" ht="15">
      <c r="A1320" s="106" t="s">
        <v>2769</v>
      </c>
      <c r="B1320" s="1"/>
      <c r="C1320" s="1"/>
      <c r="D1320" s="156" t="s">
        <v>990</v>
      </c>
      <c r="E1320" s="1"/>
      <c r="F1320" s="1"/>
      <c r="G1320" s="1"/>
      <c r="H1320" s="1"/>
    </row>
    <row r="1321" spans="1:8" ht="15">
      <c r="A1321" s="106"/>
      <c r="B1321" s="1"/>
      <c r="C1321" s="1"/>
      <c r="D1321" s="156"/>
      <c r="E1321" s="1"/>
      <c r="F1321" s="1"/>
      <c r="G1321" s="1"/>
      <c r="H1321" s="1"/>
    </row>
    <row r="1322" spans="1:8" ht="18">
      <c r="A1322" s="31"/>
      <c r="B1322" s="891" t="s">
        <v>3330</v>
      </c>
      <c r="C1322" s="891"/>
      <c r="D1322" s="891"/>
      <c r="E1322" s="891"/>
      <c r="F1322" s="891"/>
      <c r="G1322" s="891"/>
      <c r="H1322" s="891"/>
    </row>
    <row r="1323" spans="1:8" ht="18.75">
      <c r="A1323" s="260">
        <f>+A1307+1</f>
        <v>77</v>
      </c>
      <c r="B1323" s="891" t="s">
        <v>2325</v>
      </c>
      <c r="C1323" s="891"/>
      <c r="D1323" s="891"/>
      <c r="E1323" s="891"/>
      <c r="F1323" s="891"/>
      <c r="G1323" s="891"/>
      <c r="H1323" s="891"/>
    </row>
    <row r="1324" spans="1:8" ht="15.75">
      <c r="A1324" s="582" t="s">
        <v>3626</v>
      </c>
      <c r="B1324" s="928" t="s">
        <v>555</v>
      </c>
      <c r="C1324" s="885"/>
      <c r="D1324" s="885"/>
      <c r="E1324" s="885"/>
      <c r="F1324" s="885"/>
      <c r="G1324" s="885"/>
      <c r="H1324" s="885"/>
    </row>
    <row r="1325" spans="1:8" ht="30">
      <c r="A1325" s="1"/>
      <c r="B1325" s="4" t="s">
        <v>2966</v>
      </c>
      <c r="C1325" s="4" t="s">
        <v>2967</v>
      </c>
      <c r="D1325" s="4" t="s">
        <v>2968</v>
      </c>
      <c r="E1325" s="4" t="s">
        <v>2969</v>
      </c>
      <c r="F1325" s="4" t="s">
        <v>2970</v>
      </c>
      <c r="G1325" s="4" t="s">
        <v>2971</v>
      </c>
      <c r="H1325" s="4" t="s">
        <v>1487</v>
      </c>
    </row>
    <row r="1326" spans="1:8" ht="16.5">
      <c r="A1326" s="1"/>
      <c r="B1326" s="929" t="s">
        <v>1488</v>
      </c>
      <c r="C1326" s="14" t="s">
        <v>516</v>
      </c>
      <c r="D1326" s="41">
        <v>2</v>
      </c>
      <c r="E1326" s="167" t="s">
        <v>1490</v>
      </c>
      <c r="F1326" s="157" t="e">
        <f>mason</f>
        <v>#REF!</v>
      </c>
      <c r="G1326" s="157" t="e">
        <f>FLOOR(D1326*F1326,0.01)</f>
        <v>#REF!</v>
      </c>
      <c r="H1326" s="162"/>
    </row>
    <row r="1327" spans="1:8" ht="16.5">
      <c r="A1327" s="1"/>
      <c r="B1327" s="931"/>
      <c r="C1327" s="12" t="s">
        <v>1433</v>
      </c>
      <c r="D1327" s="42">
        <v>3</v>
      </c>
      <c r="E1327" s="168" t="s">
        <v>1490</v>
      </c>
      <c r="F1327" s="158" t="e">
        <f>#REF!</f>
        <v>#REF!</v>
      </c>
      <c r="G1327" s="160" t="e">
        <f>FLOOR(D1327*F1327,0.01)</f>
        <v>#REF!</v>
      </c>
      <c r="H1327" s="164" t="e">
        <f>SUM(G1326+G1327)</f>
        <v>#REF!</v>
      </c>
    </row>
    <row r="1328" spans="1:8" ht="16.5">
      <c r="A1328" s="1"/>
      <c r="B1328" s="906" t="s">
        <v>2055</v>
      </c>
      <c r="C1328" s="11" t="s">
        <v>3331</v>
      </c>
      <c r="D1328" s="41">
        <v>12</v>
      </c>
      <c r="E1328" s="167" t="s">
        <v>2809</v>
      </c>
      <c r="F1328" s="159" t="e">
        <f>#REF!</f>
        <v>#REF!</v>
      </c>
      <c r="G1328" s="159" t="e">
        <f>FLOOR(D1328*F1328,0.01)</f>
        <v>#REF!</v>
      </c>
      <c r="H1328" s="162"/>
    </row>
    <row r="1329" spans="1:8" ht="17.25">
      <c r="A1329" s="1"/>
      <c r="B1329" s="908"/>
      <c r="C1329" s="15" t="s">
        <v>2204</v>
      </c>
      <c r="D1329" s="673" t="s">
        <v>2808</v>
      </c>
      <c r="E1329" s="168" t="s">
        <v>2810</v>
      </c>
      <c r="F1329" s="168" t="s">
        <v>2810</v>
      </c>
      <c r="G1329" s="160">
        <v>70</v>
      </c>
      <c r="H1329" s="164" t="e">
        <f>SUM(G1328:G1329)</f>
        <v>#REF!</v>
      </c>
    </row>
    <row r="1330" spans="1:8" ht="17.25">
      <c r="A1330" s="1"/>
      <c r="B1330" s="1" t="s">
        <v>1334</v>
      </c>
      <c r="C1330" s="1"/>
      <c r="D1330" s="1"/>
      <c r="E1330" s="1"/>
      <c r="F1330" s="1" t="s">
        <v>1491</v>
      </c>
      <c r="G1330" s="40"/>
      <c r="H1330" s="160" t="e">
        <f>SUM(H1327:H1329)</f>
        <v>#REF!</v>
      </c>
    </row>
    <row r="1331" spans="1:8" ht="17.25">
      <c r="A1331" s="1"/>
      <c r="B1331" s="145" t="e">
        <f>+H1332</f>
        <v>#REF!</v>
      </c>
      <c r="C1331" s="27" t="s">
        <v>3005</v>
      </c>
      <c r="D1331" s="7" t="e">
        <f>INT(B1331/B1332*100)/100</f>
        <v>#REF!</v>
      </c>
      <c r="E1331" s="1" t="s">
        <v>3006</v>
      </c>
      <c r="F1331" s="1" t="s">
        <v>1472</v>
      </c>
      <c r="G1331" s="40"/>
      <c r="H1331" s="99" t="e">
        <f>FLOOR(H1330*0.15,0.01)</f>
        <v>#REF!</v>
      </c>
    </row>
    <row r="1332" spans="1:8" ht="17.25">
      <c r="B1332" s="169">
        <v>10</v>
      </c>
      <c r="C1332" s="1"/>
      <c r="D1332" s="1"/>
      <c r="E1332" s="1"/>
      <c r="F1332" s="1" t="s">
        <v>1494</v>
      </c>
      <c r="G1332" s="40"/>
      <c r="H1332" s="6" t="e">
        <f>SUM(H1330:H1331)</f>
        <v>#REF!</v>
      </c>
    </row>
    <row r="1333" spans="1:8" ht="15">
      <c r="A1333" s="1"/>
      <c r="B1333" s="106" t="s">
        <v>1493</v>
      </c>
      <c r="C1333" s="1"/>
      <c r="D1333" s="1"/>
      <c r="E1333" s="1"/>
      <c r="F1333" s="1"/>
      <c r="G1333" s="1"/>
      <c r="H1333" s="1"/>
    </row>
    <row r="1334" spans="1:8" ht="16.5">
      <c r="A1334" s="1"/>
      <c r="B1334" s="145" t="e">
        <f>+H1332</f>
        <v>#REF!</v>
      </c>
      <c r="C1334" s="27" t="s">
        <v>3005</v>
      </c>
      <c r="D1334" s="7" t="e">
        <f>INT(B1334/B1335*100)/100</f>
        <v>#REF!</v>
      </c>
      <c r="E1334" s="1" t="s">
        <v>3006</v>
      </c>
      <c r="F1334" s="1"/>
      <c r="G1334" s="1"/>
      <c r="H1334" s="1"/>
    </row>
    <row r="1335" spans="1:8" ht="16.5">
      <c r="A1335" s="1"/>
      <c r="B1335" s="169">
        <v>6</v>
      </c>
      <c r="C1335" s="1"/>
      <c r="D1335" s="1"/>
      <c r="E1335" s="1"/>
      <c r="F1335" s="1"/>
      <c r="G1335" s="1"/>
      <c r="H1335" s="1"/>
    </row>
    <row r="1336" spans="1:8" ht="15">
      <c r="A1336" s="106" t="s">
        <v>2769</v>
      </c>
      <c r="B1336" s="1"/>
      <c r="C1336" s="1"/>
      <c r="D1336" s="156" t="s">
        <v>990</v>
      </c>
      <c r="E1336" s="1"/>
      <c r="F1336" s="1"/>
      <c r="G1336" s="1"/>
      <c r="H1336" s="1"/>
    </row>
    <row r="1337" spans="1:8" ht="15">
      <c r="A1337" s="106"/>
      <c r="B1337" s="1"/>
      <c r="C1337" s="1"/>
      <c r="D1337" s="156"/>
      <c r="E1337" s="1"/>
      <c r="F1337" s="1"/>
      <c r="G1337" s="1"/>
      <c r="H1337" s="1"/>
    </row>
    <row r="1338" spans="1:8" ht="15">
      <c r="A1338" s="106"/>
      <c r="B1338" s="1"/>
      <c r="C1338" s="1"/>
      <c r="D1338" s="156"/>
      <c r="E1338" s="1"/>
      <c r="F1338" s="1"/>
      <c r="G1338" s="1"/>
      <c r="H1338" s="1"/>
    </row>
    <row r="1339" spans="1:8" ht="15">
      <c r="A1339" s="106"/>
      <c r="B1339" s="1"/>
      <c r="C1339" s="1"/>
      <c r="D1339" s="156"/>
      <c r="E1339" s="1"/>
      <c r="F1339" s="1"/>
      <c r="G1339" s="1"/>
      <c r="H1339" s="1"/>
    </row>
    <row r="1340" spans="1:8" ht="15">
      <c r="A1340" s="106"/>
      <c r="B1340" s="1"/>
      <c r="C1340" s="1"/>
      <c r="D1340" s="156"/>
      <c r="E1340" s="1"/>
      <c r="F1340" s="1"/>
      <c r="G1340" s="1"/>
      <c r="H1340" s="1"/>
    </row>
    <row r="1341" spans="1:8" ht="15">
      <c r="A1341" s="106"/>
      <c r="B1341" s="1"/>
      <c r="C1341" s="1"/>
      <c r="D1341" s="156"/>
      <c r="E1341" s="1"/>
      <c r="F1341" s="1"/>
      <c r="G1341" s="1"/>
      <c r="H1341" s="1"/>
    </row>
    <row r="1342" spans="1:8" ht="15">
      <c r="A1342" s="106"/>
      <c r="B1342" s="1"/>
      <c r="C1342" s="1"/>
      <c r="D1342" s="156"/>
      <c r="E1342" s="1"/>
      <c r="F1342" s="1"/>
      <c r="G1342" s="1"/>
      <c r="H1342" s="1"/>
    </row>
    <row r="1343" spans="1:8" ht="15">
      <c r="A1343" s="106"/>
      <c r="B1343" s="1"/>
      <c r="C1343" s="1"/>
      <c r="D1343" s="156"/>
      <c r="E1343" s="1"/>
      <c r="F1343" s="1"/>
      <c r="G1343" s="1"/>
      <c r="H1343" s="1"/>
    </row>
    <row r="1344" spans="1:8" ht="15">
      <c r="A1344" s="106"/>
      <c r="B1344" s="1"/>
      <c r="C1344" s="1"/>
      <c r="D1344" s="156"/>
      <c r="E1344" s="1"/>
      <c r="F1344" s="1"/>
      <c r="G1344" s="1"/>
      <c r="H1344" s="1"/>
    </row>
    <row r="1345" spans="1:8" ht="15">
      <c r="A1345" s="106"/>
      <c r="B1345" s="1"/>
      <c r="C1345" s="1"/>
      <c r="D1345" s="156"/>
      <c r="E1345" s="1"/>
      <c r="F1345" s="1"/>
      <c r="G1345" s="1"/>
      <c r="H1345" s="1"/>
    </row>
    <row r="1346" spans="1:8" ht="15">
      <c r="A1346" s="106"/>
      <c r="B1346" s="1"/>
      <c r="C1346" s="1"/>
      <c r="D1346" s="156"/>
      <c r="E1346" s="1"/>
      <c r="F1346" s="1"/>
      <c r="G1346" s="1"/>
      <c r="H1346" s="1"/>
    </row>
    <row r="1347" spans="1:8" ht="16.5">
      <c r="A1347" s="260">
        <f>+A1323+1</f>
        <v>78</v>
      </c>
      <c r="B1347" s="1"/>
      <c r="C1347" s="1"/>
      <c r="D1347" s="1"/>
      <c r="E1347" s="1"/>
      <c r="F1347" s="1"/>
      <c r="G1347" s="1"/>
      <c r="H1347" s="1"/>
    </row>
    <row r="1348" spans="1:8" ht="19.5">
      <c r="A1348" s="582" t="s">
        <v>3341</v>
      </c>
      <c r="B1348" s="877" t="s">
        <v>3333</v>
      </c>
      <c r="C1348" s="878"/>
      <c r="D1348" s="878"/>
      <c r="E1348" s="878"/>
      <c r="F1348" s="878"/>
      <c r="G1348" s="878"/>
      <c r="H1348" s="878"/>
    </row>
    <row r="1349" spans="1:8" ht="19.5">
      <c r="A1349" s="90"/>
      <c r="B1349" s="878" t="s">
        <v>3334</v>
      </c>
      <c r="C1349" s="878"/>
      <c r="D1349" s="878"/>
      <c r="E1349" s="878"/>
      <c r="F1349" s="878"/>
      <c r="G1349" s="878"/>
      <c r="H1349" s="878"/>
    </row>
    <row r="1350" spans="1:8" ht="15">
      <c r="A1350" s="3"/>
      <c r="B1350" s="879" t="s">
        <v>555</v>
      </c>
      <c r="C1350" s="879"/>
      <c r="D1350" s="879"/>
      <c r="E1350" s="879"/>
      <c r="F1350" s="879"/>
      <c r="G1350" s="879"/>
      <c r="H1350" s="879"/>
    </row>
    <row r="1351" spans="1:8" ht="31.5">
      <c r="A1351" s="1"/>
      <c r="B1351" s="68" t="s">
        <v>2966</v>
      </c>
      <c r="C1351" s="68" t="s">
        <v>2967</v>
      </c>
      <c r="D1351" s="68" t="s">
        <v>2968</v>
      </c>
      <c r="E1351" s="68" t="s">
        <v>2969</v>
      </c>
      <c r="F1351" s="68" t="s">
        <v>2970</v>
      </c>
      <c r="G1351" s="68" t="s">
        <v>2971</v>
      </c>
      <c r="H1351" s="68" t="s">
        <v>1487</v>
      </c>
    </row>
    <row r="1352" spans="1:8" ht="17.25">
      <c r="A1352" s="1"/>
      <c r="B1352" s="889" t="s">
        <v>1488</v>
      </c>
      <c r="C1352" s="58" t="s">
        <v>516</v>
      </c>
      <c r="D1352" s="41">
        <v>1.75</v>
      </c>
      <c r="E1352" s="55" t="s">
        <v>1490</v>
      </c>
      <c r="F1352" s="157" t="e">
        <f>#REF!</f>
        <v>#REF!</v>
      </c>
      <c r="G1352" s="107" t="e">
        <f t="shared" ref="G1352:G1357" si="41">FLOOR(D1352*F1352,0.01)</f>
        <v>#REF!</v>
      </c>
      <c r="H1352" s="108"/>
    </row>
    <row r="1353" spans="1:8" ht="17.25">
      <c r="A1353" s="1"/>
      <c r="B1353" s="887"/>
      <c r="C1353" s="56" t="s">
        <v>1433</v>
      </c>
      <c r="D1353" s="43">
        <v>2</v>
      </c>
      <c r="E1353" s="56" t="s">
        <v>1490</v>
      </c>
      <c r="F1353" s="160" t="e">
        <f>#REF!</f>
        <v>#REF!</v>
      </c>
      <c r="G1353" s="63" t="e">
        <f t="shared" si="41"/>
        <v>#REF!</v>
      </c>
      <c r="H1353" s="123" t="e">
        <f>SUM(G1352+G1353)</f>
        <v>#REF!</v>
      </c>
    </row>
    <row r="1354" spans="1:8" ht="18">
      <c r="A1354" s="1"/>
      <c r="B1354" s="894" t="s">
        <v>2055</v>
      </c>
      <c r="C1354" s="188" t="s">
        <v>3335</v>
      </c>
      <c r="D1354" s="193">
        <v>13.5</v>
      </c>
      <c r="E1354" s="53" t="s">
        <v>2809</v>
      </c>
      <c r="F1354" s="109" t="e">
        <f>FLOOR(#REF!*0.5,0.01)</f>
        <v>#REF!</v>
      </c>
      <c r="G1354" s="109" t="e">
        <f t="shared" si="41"/>
        <v>#REF!</v>
      </c>
      <c r="H1354" s="121"/>
    </row>
    <row r="1355" spans="1:8" ht="17.25">
      <c r="A1355" s="1"/>
      <c r="B1355" s="894"/>
      <c r="C1355" s="188" t="s">
        <v>3336</v>
      </c>
      <c r="D1355" s="193">
        <v>32</v>
      </c>
      <c r="E1355" s="53" t="s">
        <v>1429</v>
      </c>
      <c r="F1355" s="602" t="e">
        <f>#REF!</f>
        <v>#REF!</v>
      </c>
      <c r="G1355" s="109" t="e">
        <f t="shared" si="41"/>
        <v>#REF!</v>
      </c>
      <c r="H1355" s="121"/>
    </row>
    <row r="1356" spans="1:8" ht="17.25">
      <c r="A1356" s="1"/>
      <c r="B1356" s="894"/>
      <c r="C1356" s="188" t="s">
        <v>3337</v>
      </c>
      <c r="D1356" s="193">
        <v>48</v>
      </c>
      <c r="E1356" s="53" t="s">
        <v>1429</v>
      </c>
      <c r="F1356" s="109" t="e">
        <f>#REF!</f>
        <v>#REF!</v>
      </c>
      <c r="G1356" s="109" t="e">
        <f t="shared" si="41"/>
        <v>#REF!</v>
      </c>
      <c r="H1356" s="121"/>
    </row>
    <row r="1357" spans="1:8" ht="17.25">
      <c r="A1357" s="1"/>
      <c r="B1357" s="895"/>
      <c r="C1357" s="78" t="s">
        <v>3338</v>
      </c>
      <c r="D1357" s="43">
        <v>48</v>
      </c>
      <c r="E1357" s="56" t="s">
        <v>1429</v>
      </c>
      <c r="F1357" s="637" t="e">
        <f>#REF!</f>
        <v>#REF!</v>
      </c>
      <c r="G1357" s="63" t="e">
        <f t="shared" si="41"/>
        <v>#REF!</v>
      </c>
      <c r="H1357" s="164" t="e">
        <f>SUM(G1354:G1357)</f>
        <v>#REF!</v>
      </c>
    </row>
    <row r="1358" spans="1:8" ht="17.25">
      <c r="A1358" s="1"/>
      <c r="B1358" s="1" t="s">
        <v>1334</v>
      </c>
      <c r="C1358" s="1"/>
      <c r="D1358" s="1"/>
      <c r="E1358" s="1"/>
      <c r="F1358" s="40" t="s">
        <v>1491</v>
      </c>
      <c r="G1358" s="92"/>
      <c r="H1358" s="63" t="e">
        <f>SUM(H1353:H1357)</f>
        <v>#REF!</v>
      </c>
    </row>
    <row r="1359" spans="1:8" ht="17.25">
      <c r="A1359" s="1"/>
      <c r="B1359" s="140" t="e">
        <f>+H1360</f>
        <v>#REF!</v>
      </c>
      <c r="C1359" s="27" t="s">
        <v>3005</v>
      </c>
      <c r="D1359" s="99" t="e">
        <f>INT(B1359/B1360*100)/100</f>
        <v>#REF!</v>
      </c>
      <c r="E1359" s="1" t="s">
        <v>3006</v>
      </c>
      <c r="F1359" s="40" t="s">
        <v>1472</v>
      </c>
      <c r="G1359" s="92"/>
      <c r="H1359" s="99" t="e">
        <f>FLOOR(H1358*0.15,0.01)</f>
        <v>#REF!</v>
      </c>
    </row>
    <row r="1360" spans="1:8" ht="17.25">
      <c r="B1360" s="143">
        <v>10</v>
      </c>
      <c r="C1360" s="1"/>
      <c r="D1360" s="1"/>
      <c r="E1360" s="1"/>
      <c r="F1360" s="40" t="s">
        <v>1494</v>
      </c>
      <c r="G1360" s="40"/>
      <c r="H1360" s="99" t="e">
        <f>SUM(H1358:H1359)</f>
        <v>#REF!</v>
      </c>
    </row>
    <row r="1361" spans="1:8" ht="15">
      <c r="A1361" s="1"/>
      <c r="B1361" s="144" t="s">
        <v>1493</v>
      </c>
      <c r="C1361" s="1"/>
      <c r="D1361" s="1"/>
      <c r="E1361" s="1"/>
      <c r="F1361" s="1"/>
      <c r="G1361" s="1"/>
      <c r="H1361" s="1"/>
    </row>
    <row r="1362" spans="1:8" ht="16.5">
      <c r="A1362" s="1"/>
      <c r="B1362" s="145" t="e">
        <f>+H1360</f>
        <v>#REF!</v>
      </c>
      <c r="C1362" s="27" t="s">
        <v>3005</v>
      </c>
      <c r="D1362" s="7" t="e">
        <f>INT(B1362/B1363*100)/100</f>
        <v>#REF!</v>
      </c>
      <c r="E1362" s="1" t="s">
        <v>3006</v>
      </c>
      <c r="F1362" s="1"/>
      <c r="G1362" s="1"/>
      <c r="H1362" s="1"/>
    </row>
    <row r="1363" spans="1:8" ht="16.5">
      <c r="A1363" s="1"/>
      <c r="B1363" s="146">
        <v>6</v>
      </c>
      <c r="C1363" s="1"/>
      <c r="D1363" s="1"/>
      <c r="E1363" s="1"/>
      <c r="F1363" s="1"/>
      <c r="G1363" s="1"/>
      <c r="H1363" s="1"/>
    </row>
    <row r="1364" spans="1:8" ht="15">
      <c r="A1364" s="241" t="s">
        <v>2770</v>
      </c>
      <c r="B1364" s="1"/>
      <c r="C1364" s="1"/>
      <c r="D1364" s="1"/>
      <c r="E1364" s="1"/>
      <c r="F1364" s="1"/>
      <c r="G1364" s="1"/>
      <c r="H1364" s="1"/>
    </row>
    <row r="1365" spans="1:8" ht="15">
      <c r="A1365" s="241"/>
      <c r="B1365" s="1"/>
      <c r="C1365" s="1"/>
      <c r="D1365" s="1"/>
      <c r="E1365" s="1"/>
      <c r="F1365" s="1"/>
      <c r="G1365" s="1"/>
      <c r="H1365" s="1"/>
    </row>
    <row r="1366" spans="1:8" ht="16.5">
      <c r="A1366" s="260">
        <f>+A1347+1</f>
        <v>79</v>
      </c>
      <c r="B1366" s="1"/>
      <c r="C1366" s="1"/>
      <c r="D1366" s="1"/>
      <c r="E1366" s="1"/>
      <c r="F1366" s="1"/>
      <c r="G1366" s="1"/>
      <c r="H1366" s="1"/>
    </row>
    <row r="1367" spans="1:8" ht="19.5">
      <c r="A1367" s="582" t="s">
        <v>3530</v>
      </c>
      <c r="B1367" s="877" t="s">
        <v>3339</v>
      </c>
      <c r="C1367" s="878"/>
      <c r="D1367" s="878"/>
      <c r="E1367" s="878"/>
      <c r="F1367" s="878"/>
      <c r="G1367" s="878"/>
      <c r="H1367" s="878"/>
    </row>
    <row r="1368" spans="1:8" ht="19.5">
      <c r="A1368" s="90"/>
      <c r="B1368" s="878" t="s">
        <v>3334</v>
      </c>
      <c r="C1368" s="878"/>
      <c r="D1368" s="878"/>
      <c r="E1368" s="878"/>
      <c r="F1368" s="878"/>
      <c r="G1368" s="878"/>
      <c r="H1368" s="878"/>
    </row>
    <row r="1369" spans="1:8" ht="15">
      <c r="A1369" s="3"/>
      <c r="B1369" s="879" t="s">
        <v>555</v>
      </c>
      <c r="C1369" s="879"/>
      <c r="D1369" s="879"/>
      <c r="E1369" s="879"/>
      <c r="F1369" s="879"/>
      <c r="G1369" s="879"/>
      <c r="H1369" s="879"/>
    </row>
    <row r="1370" spans="1:8" ht="31.5">
      <c r="A1370" s="1"/>
      <c r="B1370" s="68" t="s">
        <v>2966</v>
      </c>
      <c r="C1370" s="68" t="s">
        <v>2967</v>
      </c>
      <c r="D1370" s="68" t="s">
        <v>2968</v>
      </c>
      <c r="E1370" s="68" t="s">
        <v>2969</v>
      </c>
      <c r="F1370" s="68" t="s">
        <v>2970</v>
      </c>
      <c r="G1370" s="68" t="s">
        <v>2971</v>
      </c>
      <c r="H1370" s="68" t="s">
        <v>1487</v>
      </c>
    </row>
    <row r="1371" spans="1:8" ht="17.25">
      <c r="A1371" s="1"/>
      <c r="B1371" s="889" t="s">
        <v>1488</v>
      </c>
      <c r="C1371" s="58" t="s">
        <v>516</v>
      </c>
      <c r="D1371" s="41">
        <v>1.75</v>
      </c>
      <c r="E1371" s="55" t="s">
        <v>1490</v>
      </c>
      <c r="F1371" s="157" t="e">
        <f>#REF!</f>
        <v>#REF!</v>
      </c>
      <c r="G1371" s="107" t="e">
        <f t="shared" ref="G1371:G1376" si="42">FLOOR(D1371*F1371,0.01)</f>
        <v>#REF!</v>
      </c>
      <c r="H1371" s="108"/>
    </row>
    <row r="1372" spans="1:8" ht="17.25">
      <c r="A1372" s="1"/>
      <c r="B1372" s="887"/>
      <c r="C1372" s="56" t="s">
        <v>1433</v>
      </c>
      <c r="D1372" s="43">
        <v>2</v>
      </c>
      <c r="E1372" s="56" t="s">
        <v>1490</v>
      </c>
      <c r="F1372" s="160" t="e">
        <f>#REF!</f>
        <v>#REF!</v>
      </c>
      <c r="G1372" s="63" t="e">
        <f t="shared" si="42"/>
        <v>#REF!</v>
      </c>
      <c r="H1372" s="123" t="e">
        <f>SUM(G1371+G1372)</f>
        <v>#REF!</v>
      </c>
    </row>
    <row r="1373" spans="1:8" ht="18">
      <c r="A1373" s="1"/>
      <c r="B1373" s="894" t="s">
        <v>2055</v>
      </c>
      <c r="C1373" s="188" t="s">
        <v>3340</v>
      </c>
      <c r="D1373" s="193">
        <v>13.5</v>
      </c>
      <c r="E1373" s="53" t="s">
        <v>2809</v>
      </c>
      <c r="F1373" s="109" t="e">
        <f>FLOOR(#REF!*0.5,0.01)</f>
        <v>#REF!</v>
      </c>
      <c r="G1373" s="109" t="e">
        <f t="shared" si="42"/>
        <v>#REF!</v>
      </c>
      <c r="H1373" s="121"/>
    </row>
    <row r="1374" spans="1:8" ht="17.25">
      <c r="A1374" s="1"/>
      <c r="B1374" s="894"/>
      <c r="C1374" s="188" t="s">
        <v>3336</v>
      </c>
      <c r="D1374" s="193">
        <v>32</v>
      </c>
      <c r="E1374" s="53" t="s">
        <v>1429</v>
      </c>
      <c r="F1374" s="109" t="e">
        <f>#REF!</f>
        <v>#REF!</v>
      </c>
      <c r="G1374" s="109" t="e">
        <f t="shared" si="42"/>
        <v>#REF!</v>
      </c>
      <c r="H1374" s="121"/>
    </row>
    <row r="1375" spans="1:8" ht="17.25">
      <c r="A1375" s="1"/>
      <c r="B1375" s="894"/>
      <c r="C1375" s="188" t="s">
        <v>3337</v>
      </c>
      <c r="D1375" s="193">
        <v>48</v>
      </c>
      <c r="E1375" s="53" t="s">
        <v>1429</v>
      </c>
      <c r="F1375" s="109" t="e">
        <f>#REF!</f>
        <v>#REF!</v>
      </c>
      <c r="G1375" s="109" t="e">
        <f t="shared" si="42"/>
        <v>#REF!</v>
      </c>
      <c r="H1375" s="121"/>
    </row>
    <row r="1376" spans="1:8" ht="17.25">
      <c r="A1376" s="1"/>
      <c r="B1376" s="895"/>
      <c r="C1376" s="78" t="s">
        <v>3338</v>
      </c>
      <c r="D1376" s="43">
        <v>48</v>
      </c>
      <c r="E1376" s="56" t="s">
        <v>1429</v>
      </c>
      <c r="F1376" s="63" t="e">
        <f>#REF!</f>
        <v>#REF!</v>
      </c>
      <c r="G1376" s="63" t="e">
        <f t="shared" si="42"/>
        <v>#REF!</v>
      </c>
      <c r="H1376" s="164" t="e">
        <f>SUM(G1373:G1376)</f>
        <v>#REF!</v>
      </c>
    </row>
    <row r="1377" spans="1:8" ht="17.25">
      <c r="A1377" s="1"/>
      <c r="B1377" s="1" t="s">
        <v>1334</v>
      </c>
      <c r="C1377" s="1"/>
      <c r="D1377" s="1"/>
      <c r="E1377" s="1"/>
      <c r="F1377" s="40" t="s">
        <v>1491</v>
      </c>
      <c r="G1377" s="92"/>
      <c r="H1377" s="63" t="e">
        <f>SUM(H1372:H1376)</f>
        <v>#REF!</v>
      </c>
    </row>
    <row r="1378" spans="1:8" ht="17.25">
      <c r="A1378" s="1"/>
      <c r="B1378" s="140" t="e">
        <f>+H1379</f>
        <v>#REF!</v>
      </c>
      <c r="C1378" s="27" t="s">
        <v>3005</v>
      </c>
      <c r="D1378" s="99" t="e">
        <f>INT(B1378/B1379*100)/100</f>
        <v>#REF!</v>
      </c>
      <c r="E1378" s="1" t="s">
        <v>3006</v>
      </c>
      <c r="F1378" s="40" t="s">
        <v>1472</v>
      </c>
      <c r="G1378" s="92"/>
      <c r="H1378" s="99" t="e">
        <f>FLOOR(H1377*0.15,0.01)</f>
        <v>#REF!</v>
      </c>
    </row>
    <row r="1379" spans="1:8" ht="17.25">
      <c r="B1379" s="143">
        <v>10</v>
      </c>
      <c r="C1379" s="1"/>
      <c r="D1379" s="1"/>
      <c r="E1379" s="1"/>
      <c r="F1379" s="40" t="s">
        <v>1494</v>
      </c>
      <c r="G1379" s="40"/>
      <c r="H1379" s="99" t="e">
        <f>SUM(H1377:H1378)</f>
        <v>#REF!</v>
      </c>
    </row>
    <row r="1380" spans="1:8" ht="15">
      <c r="A1380" s="1"/>
      <c r="B1380" s="144" t="s">
        <v>1493</v>
      </c>
      <c r="C1380" s="1"/>
      <c r="D1380" s="1"/>
      <c r="E1380" s="1"/>
      <c r="F1380" s="1"/>
      <c r="G1380" s="1"/>
      <c r="H1380" s="1"/>
    </row>
    <row r="1381" spans="1:8" ht="16.5">
      <c r="A1381" s="1"/>
      <c r="B1381" s="145" t="e">
        <f>+H1379</f>
        <v>#REF!</v>
      </c>
      <c r="C1381" s="27" t="s">
        <v>3005</v>
      </c>
      <c r="D1381" s="7" t="e">
        <f>INT(B1381/B1382*100)/100</f>
        <v>#REF!</v>
      </c>
      <c r="E1381" s="1" t="s">
        <v>3006</v>
      </c>
      <c r="F1381" s="1"/>
      <c r="G1381" s="1"/>
      <c r="H1381" s="1"/>
    </row>
    <row r="1382" spans="1:8" ht="16.5">
      <c r="A1382" s="1"/>
      <c r="B1382" s="146">
        <v>6</v>
      </c>
      <c r="C1382" s="1"/>
      <c r="D1382" s="1"/>
      <c r="E1382" s="1"/>
      <c r="F1382" s="1"/>
      <c r="G1382" s="1"/>
      <c r="H1382" s="1"/>
    </row>
    <row r="1383" spans="1:8" ht="15">
      <c r="A1383" s="241" t="s">
        <v>2770</v>
      </c>
      <c r="B1383" s="1"/>
      <c r="C1383" s="1"/>
      <c r="D1383" s="1"/>
      <c r="E1383" s="1"/>
      <c r="F1383" s="1"/>
      <c r="G1383" s="1"/>
      <c r="H1383" s="1"/>
    </row>
    <row r="1384" spans="1:8" ht="15">
      <c r="A1384" s="241"/>
      <c r="B1384" s="1"/>
      <c r="C1384" s="1"/>
      <c r="D1384" s="1"/>
      <c r="E1384" s="1"/>
      <c r="F1384" s="1"/>
      <c r="G1384" s="1"/>
      <c r="H1384" s="1"/>
    </row>
    <row r="1385" spans="1:8" ht="15">
      <c r="A1385" s="241"/>
      <c r="B1385" s="1"/>
      <c r="C1385" s="144"/>
      <c r="D1385" s="144"/>
      <c r="E1385" s="144"/>
      <c r="F1385" s="1"/>
      <c r="G1385" s="1"/>
      <c r="H1385" s="1"/>
    </row>
    <row r="1386" spans="1:8" ht="20.25">
      <c r="A1386" s="260">
        <f>+A1366+1</f>
        <v>80</v>
      </c>
      <c r="B1386" s="877" t="s">
        <v>3139</v>
      </c>
      <c r="C1386" s="878"/>
      <c r="D1386" s="878"/>
      <c r="E1386" s="878"/>
      <c r="F1386" s="878"/>
      <c r="G1386" s="878"/>
      <c r="H1386" s="878"/>
    </row>
    <row r="1387" spans="1:8" ht="15.75">
      <c r="A1387" s="582" t="s">
        <v>3628</v>
      </c>
      <c r="B1387" s="928" t="s">
        <v>2454</v>
      </c>
      <c r="C1387" s="885"/>
      <c r="D1387" s="885"/>
      <c r="E1387" s="885"/>
      <c r="F1387" s="885"/>
      <c r="G1387" s="885"/>
      <c r="H1387" s="885"/>
    </row>
    <row r="1388" spans="1:8" ht="31.5">
      <c r="A1388" s="1"/>
      <c r="B1388" s="68" t="s">
        <v>2966</v>
      </c>
      <c r="C1388" s="68" t="s">
        <v>2967</v>
      </c>
      <c r="D1388" s="68" t="s">
        <v>2968</v>
      </c>
      <c r="E1388" s="68" t="s">
        <v>2969</v>
      </c>
      <c r="F1388" s="68" t="s">
        <v>2970</v>
      </c>
      <c r="G1388" s="68" t="s">
        <v>2971</v>
      </c>
      <c r="H1388" s="68" t="s">
        <v>1487</v>
      </c>
    </row>
    <row r="1389" spans="1:8" ht="17.25">
      <c r="A1389" s="1"/>
      <c r="B1389" s="889" t="s">
        <v>1488</v>
      </c>
      <c r="C1389" s="58" t="s">
        <v>516</v>
      </c>
      <c r="D1389" s="41">
        <v>4</v>
      </c>
      <c r="E1389" s="55" t="s">
        <v>1490</v>
      </c>
      <c r="F1389" s="107"/>
      <c r="G1389" s="107">
        <f>FLOOR(D1389*F1389,0.01)</f>
        <v>0</v>
      </c>
      <c r="H1389" s="108"/>
    </row>
    <row r="1390" spans="1:8" ht="17.25">
      <c r="A1390" s="1"/>
      <c r="B1390" s="887"/>
      <c r="C1390" s="53" t="s">
        <v>1433</v>
      </c>
      <c r="D1390" s="43">
        <v>5</v>
      </c>
      <c r="E1390" s="56" t="s">
        <v>1490</v>
      </c>
      <c r="F1390" s="109"/>
      <c r="G1390" s="109">
        <f>FLOOR(D1390*F1390,0.01)</f>
        <v>0</v>
      </c>
      <c r="H1390" s="121">
        <f>SUM(G1389+G1390)</f>
        <v>0</v>
      </c>
    </row>
    <row r="1391" spans="1:8" ht="17.25">
      <c r="A1391" s="1"/>
      <c r="B1391" s="886" t="s">
        <v>2055</v>
      </c>
      <c r="C1391" s="55"/>
      <c r="D1391" s="41"/>
      <c r="E1391" s="55"/>
      <c r="F1391" s="41"/>
      <c r="G1391" s="41"/>
      <c r="H1391" s="84"/>
    </row>
    <row r="1392" spans="1:8" ht="17.25">
      <c r="A1392" s="1"/>
      <c r="B1392" s="894"/>
      <c r="C1392" s="53" t="s">
        <v>3140</v>
      </c>
      <c r="D1392" s="42">
        <v>24</v>
      </c>
      <c r="E1392" s="53" t="s">
        <v>2807</v>
      </c>
      <c r="F1392" s="109"/>
      <c r="G1392" s="109">
        <f>FLOOR(D1392*F1392,0.01)</f>
        <v>0</v>
      </c>
      <c r="H1392" s="121"/>
    </row>
    <row r="1393" spans="1:8" ht="17.25">
      <c r="A1393" s="1"/>
      <c r="B1393" s="895"/>
      <c r="C1393" s="56" t="s">
        <v>2010</v>
      </c>
      <c r="D1393" s="56" t="s">
        <v>2808</v>
      </c>
      <c r="E1393" s="56" t="s">
        <v>2810</v>
      </c>
      <c r="F1393" s="63"/>
      <c r="G1393" s="63">
        <v>0</v>
      </c>
      <c r="H1393" s="123">
        <f>SUM(G1392+G1393)</f>
        <v>0</v>
      </c>
    </row>
    <row r="1394" spans="1:8" ht="17.25">
      <c r="A1394" s="1"/>
      <c r="B1394" s="3" t="s">
        <v>1493</v>
      </c>
      <c r="C1394" s="1"/>
      <c r="D1394" s="1"/>
      <c r="E1394" s="1"/>
      <c r="F1394" s="40" t="s">
        <v>1491</v>
      </c>
      <c r="G1394" s="92"/>
      <c r="H1394" s="63">
        <f>SUM(H1390:H1393)</f>
        <v>0</v>
      </c>
    </row>
    <row r="1395" spans="1:8" ht="17.25">
      <c r="A1395" s="1"/>
      <c r="B1395" s="140">
        <f>+H1396</f>
        <v>0</v>
      </c>
      <c r="C1395" s="27" t="s">
        <v>3801</v>
      </c>
      <c r="D1395" s="99">
        <f>INT(B1395/B1396*100)/100</f>
        <v>0</v>
      </c>
      <c r="E1395" s="1" t="s">
        <v>3006</v>
      </c>
      <c r="F1395" s="40" t="s">
        <v>1472</v>
      </c>
      <c r="G1395" s="92"/>
      <c r="H1395" s="99">
        <f>FLOOR(H1394*0.15,0.01)</f>
        <v>0</v>
      </c>
    </row>
    <row r="1396" spans="1:8" ht="17.25">
      <c r="B1396" s="117">
        <v>10</v>
      </c>
      <c r="C1396" s="1"/>
      <c r="D1396" s="1"/>
      <c r="E1396" s="1"/>
      <c r="F1396" s="40" t="s">
        <v>1494</v>
      </c>
      <c r="G1396" s="40"/>
      <c r="H1396" s="99">
        <f>SUM(H1394:H1395)</f>
        <v>0</v>
      </c>
    </row>
    <row r="1397" spans="1:8" ht="17.25">
      <c r="B1397" s="117"/>
      <c r="C1397" s="1"/>
      <c r="D1397" s="1"/>
      <c r="E1397" s="1"/>
      <c r="F1397" s="40"/>
      <c r="G1397" s="40"/>
      <c r="H1397" s="141"/>
    </row>
    <row r="1398" spans="1:8" ht="17.25">
      <c r="B1398" s="117"/>
      <c r="C1398" s="1"/>
      <c r="D1398" s="1"/>
      <c r="E1398" s="1"/>
      <c r="F1398" s="40"/>
      <c r="G1398" s="40"/>
      <c r="H1398" s="141"/>
    </row>
    <row r="1399" spans="1:8" ht="17.25">
      <c r="A1399" s="1"/>
      <c r="B1399" s="117"/>
      <c r="C1399" s="1"/>
      <c r="D1399" s="1"/>
      <c r="E1399" s="1"/>
      <c r="F1399" s="40"/>
      <c r="G1399" s="40"/>
      <c r="H1399" s="1"/>
    </row>
    <row r="1400" spans="1:8" ht="20.25">
      <c r="A1400" s="260">
        <f>+A1386+1</f>
        <v>81</v>
      </c>
      <c r="B1400" s="877" t="s">
        <v>3141</v>
      </c>
      <c r="C1400" s="878"/>
      <c r="D1400" s="878"/>
      <c r="E1400" s="878"/>
      <c r="F1400" s="878"/>
      <c r="G1400" s="878"/>
      <c r="H1400" s="878"/>
    </row>
    <row r="1401" spans="1:8" ht="15.75">
      <c r="A1401" s="582" t="s">
        <v>3629</v>
      </c>
      <c r="B1401" s="928" t="s">
        <v>2454</v>
      </c>
      <c r="C1401" s="885"/>
      <c r="D1401" s="885"/>
      <c r="E1401" s="885"/>
      <c r="F1401" s="885"/>
      <c r="G1401" s="885"/>
      <c r="H1401" s="885"/>
    </row>
    <row r="1402" spans="1:8" ht="31.5">
      <c r="A1402" s="1"/>
      <c r="B1402" s="68" t="s">
        <v>2966</v>
      </c>
      <c r="C1402" s="68" t="s">
        <v>2967</v>
      </c>
      <c r="D1402" s="68" t="s">
        <v>2968</v>
      </c>
      <c r="E1402" s="68" t="s">
        <v>2969</v>
      </c>
      <c r="F1402" s="68" t="s">
        <v>2970</v>
      </c>
      <c r="G1402" s="68" t="s">
        <v>2971</v>
      </c>
      <c r="H1402" s="68" t="s">
        <v>1487</v>
      </c>
    </row>
    <row r="1403" spans="1:8" ht="17.25">
      <c r="A1403" s="1"/>
      <c r="B1403" s="889" t="s">
        <v>1488</v>
      </c>
      <c r="C1403" s="58" t="s">
        <v>516</v>
      </c>
      <c r="D1403" s="41">
        <v>0.5</v>
      </c>
      <c r="E1403" s="55" t="s">
        <v>1490</v>
      </c>
      <c r="F1403" s="107" t="e">
        <f>#REF!</f>
        <v>#REF!</v>
      </c>
      <c r="G1403" s="107" t="e">
        <f>FLOOR(D1403*F1403,0.01)</f>
        <v>#REF!</v>
      </c>
      <c r="H1403" s="108"/>
    </row>
    <row r="1404" spans="1:8" ht="17.25">
      <c r="A1404" s="1"/>
      <c r="B1404" s="887"/>
      <c r="C1404" s="53" t="s">
        <v>1433</v>
      </c>
      <c r="D1404" s="43">
        <v>1.5</v>
      </c>
      <c r="E1404" s="56" t="s">
        <v>1490</v>
      </c>
      <c r="F1404" s="109" t="e">
        <f>#REF!</f>
        <v>#REF!</v>
      </c>
      <c r="G1404" s="109" t="e">
        <f>FLOOR(D1404*F1404,0.01)</f>
        <v>#REF!</v>
      </c>
      <c r="H1404" s="121" t="e">
        <f>SUM(G1403+G1404)</f>
        <v>#REF!</v>
      </c>
    </row>
    <row r="1405" spans="1:8" ht="17.25">
      <c r="A1405" s="1"/>
      <c r="B1405" s="886" t="s">
        <v>2055</v>
      </c>
      <c r="C1405" s="55"/>
      <c r="D1405" s="50"/>
      <c r="E1405" s="53"/>
      <c r="F1405" s="41"/>
      <c r="G1405" s="41"/>
      <c r="H1405" s="84"/>
    </row>
    <row r="1406" spans="1:8" ht="17.25">
      <c r="A1406" s="1"/>
      <c r="B1406" s="894"/>
      <c r="C1406" s="53" t="s">
        <v>3000</v>
      </c>
      <c r="D1406" s="42">
        <f>FLOOR(10/(0.19*0.3)*1.05,1)</f>
        <v>184</v>
      </c>
      <c r="E1406" s="53" t="s">
        <v>699</v>
      </c>
      <c r="F1406" s="109" t="e">
        <f>#REF!</f>
        <v>#REF!</v>
      </c>
      <c r="G1406" s="109" t="e">
        <f>FLOOR(D1406*F1406,0.01)</f>
        <v>#REF!</v>
      </c>
      <c r="H1406" s="121"/>
    </row>
    <row r="1407" spans="1:8" ht="17.25">
      <c r="A1407" s="1"/>
      <c r="B1407" s="895"/>
      <c r="C1407" s="701" t="s">
        <v>3786</v>
      </c>
      <c r="D1407" s="244"/>
      <c r="E1407" s="62"/>
      <c r="F1407" s="63"/>
      <c r="G1407" s="63"/>
      <c r="H1407" s="123" t="e">
        <f>SUM(G1406)</f>
        <v>#REF!</v>
      </c>
    </row>
    <row r="1408" spans="1:8" ht="17.25">
      <c r="A1408" s="1"/>
      <c r="B1408" s="1"/>
      <c r="C1408" s="1"/>
      <c r="D1408" s="1"/>
      <c r="E1408" s="1"/>
      <c r="F1408" s="40" t="s">
        <v>1491</v>
      </c>
      <c r="G1408" s="92"/>
      <c r="H1408" s="63" t="e">
        <f>SUM(H1404:H1407)</f>
        <v>#REF!</v>
      </c>
    </row>
    <row r="1409" spans="1:8" ht="17.25">
      <c r="A1409" s="1"/>
      <c r="B1409" s="3" t="s">
        <v>1493</v>
      </c>
      <c r="C1409" s="1"/>
      <c r="D1409" s="1"/>
      <c r="E1409" s="1"/>
      <c r="F1409" s="40" t="s">
        <v>1472</v>
      </c>
      <c r="G1409" s="92"/>
      <c r="H1409" s="99" t="e">
        <f>FLOOR(H1408*0.15,0.01)</f>
        <v>#REF!</v>
      </c>
    </row>
    <row r="1410" spans="1:8" ht="17.25">
      <c r="B1410" s="140" t="e">
        <f>+H1410</f>
        <v>#REF!</v>
      </c>
      <c r="C1410" s="27" t="s">
        <v>3801</v>
      </c>
      <c r="D1410" s="99" t="e">
        <f>INT(B1410/B1411*100)/100</f>
        <v>#REF!</v>
      </c>
      <c r="E1410" s="1" t="s">
        <v>3006</v>
      </c>
      <c r="F1410" s="40" t="s">
        <v>1494</v>
      </c>
      <c r="G1410" s="40"/>
      <c r="H1410" s="99" t="e">
        <f>SUM(H1408:H1409)</f>
        <v>#REF!</v>
      </c>
    </row>
    <row r="1411" spans="1:8" ht="17.25">
      <c r="A1411" s="27"/>
      <c r="B1411" s="117">
        <v>10</v>
      </c>
      <c r="C1411" s="1"/>
      <c r="D1411" s="1"/>
      <c r="E1411" s="1"/>
      <c r="F1411" s="40"/>
      <c r="G1411" s="40"/>
      <c r="H1411" s="88"/>
    </row>
    <row r="1412" spans="1:8" ht="17.25">
      <c r="A1412" s="702"/>
      <c r="B1412" s="709" t="s">
        <v>3787</v>
      </c>
      <c r="C1412" s="703"/>
      <c r="D1412" s="1"/>
      <c r="E1412" s="1"/>
      <c r="F1412" s="40"/>
      <c r="G1412" s="40"/>
      <c r="H1412" s="88"/>
    </row>
    <row r="1413" spans="1:8" ht="15">
      <c r="A1413" s="1"/>
      <c r="B1413" s="1"/>
      <c r="C1413" s="1"/>
      <c r="D1413" s="1"/>
      <c r="E1413" s="1"/>
      <c r="F1413" s="1"/>
      <c r="G1413" s="1"/>
      <c r="H1413" s="1"/>
    </row>
    <row r="1414" spans="1:8" ht="20.25">
      <c r="A1414" s="260">
        <f>+A1400+1</f>
        <v>82</v>
      </c>
      <c r="B1414" s="877" t="s">
        <v>3142</v>
      </c>
      <c r="C1414" s="878"/>
      <c r="D1414" s="878"/>
      <c r="E1414" s="878"/>
      <c r="F1414" s="878"/>
      <c r="G1414" s="878"/>
      <c r="H1414" s="878"/>
    </row>
    <row r="1415" spans="1:8" ht="15.75">
      <c r="A1415" s="582" t="s">
        <v>3630</v>
      </c>
      <c r="B1415" s="928" t="s">
        <v>2317</v>
      </c>
      <c r="C1415" s="885"/>
      <c r="D1415" s="885"/>
      <c r="E1415" s="885"/>
      <c r="F1415" s="885"/>
      <c r="G1415" s="885"/>
      <c r="H1415" s="885"/>
    </row>
    <row r="1416" spans="1:8" ht="31.5">
      <c r="A1416" s="1"/>
      <c r="B1416" s="68" t="s">
        <v>2966</v>
      </c>
      <c r="C1416" s="68" t="s">
        <v>2967</v>
      </c>
      <c r="D1416" s="68" t="s">
        <v>2968</v>
      </c>
      <c r="E1416" s="68" t="s">
        <v>2969</v>
      </c>
      <c r="F1416" s="68" t="s">
        <v>2970</v>
      </c>
      <c r="G1416" s="68" t="s">
        <v>2971</v>
      </c>
      <c r="H1416" s="68" t="s">
        <v>1487</v>
      </c>
    </row>
    <row r="1417" spans="1:8" ht="17.25">
      <c r="A1417" s="1"/>
      <c r="B1417" s="889" t="s">
        <v>1488</v>
      </c>
      <c r="C1417" s="58" t="s">
        <v>516</v>
      </c>
      <c r="D1417" s="48">
        <v>0.5</v>
      </c>
      <c r="E1417" s="55" t="s">
        <v>1490</v>
      </c>
      <c r="F1417" s="107" t="e">
        <f>#REF!</f>
        <v>#REF!</v>
      </c>
      <c r="G1417" s="107" t="e">
        <f>FLOOR(D1417*F1417,0.01)</f>
        <v>#REF!</v>
      </c>
      <c r="H1417" s="108"/>
    </row>
    <row r="1418" spans="1:8" ht="17.25">
      <c r="A1418" s="1"/>
      <c r="B1418" s="887"/>
      <c r="C1418" s="53" t="s">
        <v>1433</v>
      </c>
      <c r="D1418" s="47">
        <v>0.5</v>
      </c>
      <c r="E1418" s="56" t="s">
        <v>1490</v>
      </c>
      <c r="F1418" s="109" t="e">
        <f>#REF!</f>
        <v>#REF!</v>
      </c>
      <c r="G1418" s="109" t="e">
        <f>FLOOR(D1418*F1418,0.01)</f>
        <v>#REF!</v>
      </c>
      <c r="H1418" s="121" t="e">
        <f>SUM(G1417+G1418)</f>
        <v>#REF!</v>
      </c>
    </row>
    <row r="1419" spans="1:8" ht="17.25">
      <c r="A1419" s="1"/>
      <c r="B1419" s="886" t="s">
        <v>2055</v>
      </c>
      <c r="C1419" s="55"/>
      <c r="D1419" s="50"/>
      <c r="E1419" s="53"/>
      <c r="F1419" s="110"/>
      <c r="G1419" s="41"/>
      <c r="H1419" s="84"/>
    </row>
    <row r="1420" spans="1:8" ht="17.25">
      <c r="A1420" s="1"/>
      <c r="B1420" s="894"/>
      <c r="C1420" s="53" t="s">
        <v>3001</v>
      </c>
      <c r="D1420" s="50">
        <v>80</v>
      </c>
      <c r="E1420" s="53" t="s">
        <v>699</v>
      </c>
      <c r="F1420" s="109" t="e">
        <f>#REF!</f>
        <v>#REF!</v>
      </c>
      <c r="G1420" s="109" t="e">
        <f>FLOOR(D1420*F1420,0.01)</f>
        <v>#REF!</v>
      </c>
      <c r="H1420" s="121"/>
    </row>
    <row r="1421" spans="1:8" ht="17.25">
      <c r="A1421" s="1"/>
      <c r="B1421" s="895"/>
      <c r="C1421" s="62"/>
      <c r="D1421" s="244"/>
      <c r="E1421" s="62"/>
      <c r="F1421" s="63"/>
      <c r="G1421" s="63"/>
      <c r="H1421" s="123" t="e">
        <f>SUM(G1420)</f>
        <v>#REF!</v>
      </c>
    </row>
    <row r="1422" spans="1:8" ht="17.25">
      <c r="A1422" s="1"/>
      <c r="B1422" s="1"/>
      <c r="C1422" s="1"/>
      <c r="D1422" s="1"/>
      <c r="E1422" s="1"/>
      <c r="F1422" s="40" t="s">
        <v>1491</v>
      </c>
      <c r="G1422" s="92"/>
      <c r="H1422" s="63" t="e">
        <f>SUM(H1418:H1421)</f>
        <v>#REF!</v>
      </c>
    </row>
    <row r="1423" spans="1:8" ht="17.25">
      <c r="A1423" s="1"/>
      <c r="B1423" s="3" t="s">
        <v>1334</v>
      </c>
      <c r="C1423" s="1"/>
      <c r="D1423" s="1"/>
      <c r="E1423" s="1"/>
      <c r="F1423" s="40" t="s">
        <v>1472</v>
      </c>
      <c r="G1423" s="92"/>
      <c r="H1423" s="99" t="e">
        <f>FLOOR(H1422*0.15,0.01)</f>
        <v>#REF!</v>
      </c>
    </row>
    <row r="1424" spans="1:8" ht="17.25">
      <c r="B1424" s="140" t="e">
        <f>+H1424</f>
        <v>#REF!</v>
      </c>
      <c r="C1424" s="27" t="s">
        <v>3801</v>
      </c>
      <c r="D1424" s="99" t="e">
        <f>INT(B1424/B1425*100)/100</f>
        <v>#REF!</v>
      </c>
      <c r="E1424" s="1" t="s">
        <v>3006</v>
      </c>
      <c r="F1424" s="40" t="s">
        <v>1494</v>
      </c>
      <c r="G1424" s="40"/>
      <c r="H1424" s="99" t="e">
        <f>SUM(H1422:H1423)</f>
        <v>#REF!</v>
      </c>
    </row>
    <row r="1425" spans="1:8" ht="16.5">
      <c r="A1425" s="1"/>
      <c r="B1425" s="117">
        <v>10</v>
      </c>
      <c r="C1425" s="1"/>
      <c r="D1425" s="1"/>
      <c r="E1425" s="1"/>
      <c r="F1425" s="1"/>
      <c r="G1425" s="1"/>
      <c r="H1425" s="1"/>
    </row>
    <row r="1426" spans="1:8" ht="16.5">
      <c r="A1426" s="1"/>
      <c r="B1426" s="117"/>
      <c r="C1426" s="1"/>
      <c r="D1426" s="1"/>
      <c r="E1426" s="1"/>
      <c r="F1426" s="1"/>
      <c r="G1426" s="1"/>
      <c r="H1426" s="1"/>
    </row>
    <row r="1427" spans="1:8" ht="20.25">
      <c r="A1427" s="138">
        <f>+A1414+1</f>
        <v>83</v>
      </c>
      <c r="B1427" s="878" t="s">
        <v>3344</v>
      </c>
      <c r="C1427" s="878"/>
      <c r="D1427" s="878"/>
      <c r="E1427" s="878"/>
      <c r="F1427" s="878"/>
      <c r="G1427" s="878"/>
      <c r="H1427" s="878"/>
    </row>
    <row r="1428" spans="1:8" ht="19.5">
      <c r="A1428" s="582" t="s">
        <v>3342</v>
      </c>
      <c r="B1428" s="909"/>
      <c r="C1428" s="878"/>
      <c r="D1428" s="878"/>
      <c r="E1428" s="878"/>
      <c r="F1428" s="878"/>
      <c r="G1428" s="878"/>
      <c r="H1428" s="878"/>
    </row>
    <row r="1429" spans="1:8" ht="15">
      <c r="A1429" s="1"/>
      <c r="B1429" s="879" t="s">
        <v>1382</v>
      </c>
      <c r="C1429" s="879"/>
      <c r="D1429" s="879"/>
      <c r="E1429" s="879"/>
      <c r="F1429" s="879"/>
      <c r="G1429" s="879"/>
      <c r="H1429" s="879"/>
    </row>
    <row r="1430" spans="1:8" ht="31.5">
      <c r="A1430" s="1"/>
      <c r="B1430" s="68" t="s">
        <v>2966</v>
      </c>
      <c r="C1430" s="68" t="s">
        <v>2967</v>
      </c>
      <c r="D1430" s="68" t="s">
        <v>2968</v>
      </c>
      <c r="E1430" s="68" t="s">
        <v>2969</v>
      </c>
      <c r="F1430" s="68" t="s">
        <v>2970</v>
      </c>
      <c r="G1430" s="68" t="s">
        <v>2971</v>
      </c>
      <c r="H1430" s="68" t="s">
        <v>1487</v>
      </c>
    </row>
    <row r="1431" spans="1:8" ht="17.25">
      <c r="A1431" s="1"/>
      <c r="B1431" s="58" t="s">
        <v>1488</v>
      </c>
      <c r="C1431" s="58" t="s">
        <v>2567</v>
      </c>
      <c r="D1431" s="41">
        <v>1.1000000000000001</v>
      </c>
      <c r="E1431" s="55" t="s">
        <v>1490</v>
      </c>
      <c r="F1431" s="107" t="e">
        <f>mason</f>
        <v>#REF!</v>
      </c>
      <c r="G1431" s="107" t="e">
        <f t="shared" ref="G1431:G1436" si="43">FLOOR(D1431*F1431,0.01)</f>
        <v>#REF!</v>
      </c>
      <c r="H1431" s="107"/>
    </row>
    <row r="1432" spans="1:8" ht="17.25">
      <c r="A1432" s="1"/>
      <c r="B1432" s="62"/>
      <c r="C1432" s="53" t="s">
        <v>1930</v>
      </c>
      <c r="D1432" s="42">
        <v>1.25</v>
      </c>
      <c r="E1432" s="53" t="s">
        <v>1490</v>
      </c>
      <c r="F1432" s="63" t="e">
        <f>#REF!</f>
        <v>#REF!</v>
      </c>
      <c r="G1432" s="122" t="e">
        <f t="shared" si="43"/>
        <v>#REF!</v>
      </c>
      <c r="H1432" s="122" t="e">
        <f>SUM(G1431:G1432)</f>
        <v>#REF!</v>
      </c>
    </row>
    <row r="1433" spans="1:8" ht="45">
      <c r="A1433" s="1"/>
      <c r="B1433" s="880" t="s">
        <v>2055</v>
      </c>
      <c r="C1433" s="640" t="s">
        <v>3346</v>
      </c>
      <c r="D1433" s="41">
        <v>12</v>
      </c>
      <c r="E1433" s="55" t="s">
        <v>2807</v>
      </c>
      <c r="F1433" s="152" t="e">
        <f>#REF!</f>
        <v>#REF!</v>
      </c>
      <c r="G1433" s="152" t="e">
        <f t="shared" si="43"/>
        <v>#REF!</v>
      </c>
      <c r="H1433" s="196"/>
    </row>
    <row r="1434" spans="1:8" ht="31.5">
      <c r="A1434" s="1"/>
      <c r="B1434" s="881"/>
      <c r="C1434" s="60" t="s">
        <v>1102</v>
      </c>
      <c r="D1434" s="42">
        <v>30</v>
      </c>
      <c r="E1434" s="53" t="s">
        <v>699</v>
      </c>
      <c r="F1434" s="116" t="e">
        <f>#REF!</f>
        <v>#REF!</v>
      </c>
      <c r="G1434" s="153" t="e">
        <f t="shared" si="43"/>
        <v>#REF!</v>
      </c>
      <c r="H1434" s="196"/>
    </row>
    <row r="1435" spans="1:8" ht="17.25">
      <c r="A1435" s="1"/>
      <c r="B1435" s="938"/>
      <c r="C1435" s="60" t="s">
        <v>2805</v>
      </c>
      <c r="D1435" s="42">
        <v>25</v>
      </c>
      <c r="E1435" s="53" t="s">
        <v>699</v>
      </c>
      <c r="F1435" s="109" t="e">
        <f>#REF!</f>
        <v>#REF!</v>
      </c>
      <c r="G1435" s="153" t="e">
        <f t="shared" si="43"/>
        <v>#REF!</v>
      </c>
      <c r="H1435" s="196"/>
    </row>
    <row r="1436" spans="1:8" ht="16.5">
      <c r="A1436" s="1"/>
      <c r="B1436" s="882"/>
      <c r="C1436" s="213" t="s">
        <v>2806</v>
      </c>
      <c r="D1436" s="43">
        <v>55</v>
      </c>
      <c r="E1436" s="198" t="s">
        <v>699</v>
      </c>
      <c r="F1436" s="63" t="e">
        <f>#REF!</f>
        <v>#REF!</v>
      </c>
      <c r="G1436" s="155" t="e">
        <f t="shared" si="43"/>
        <v>#REF!</v>
      </c>
      <c r="H1436" s="63" t="e">
        <f>SUM(G1433:G1436)</f>
        <v>#REF!</v>
      </c>
    </row>
    <row r="1437" spans="1:8" ht="17.25">
      <c r="A1437" s="1"/>
      <c r="B1437" s="1"/>
      <c r="C1437" s="1"/>
      <c r="D1437" s="1"/>
      <c r="E1437" s="1"/>
      <c r="F1437" s="40" t="s">
        <v>1491</v>
      </c>
      <c r="G1437" s="40"/>
      <c r="H1437" s="99" t="e">
        <f>SUM(H1432:H1436)</f>
        <v>#REF!</v>
      </c>
    </row>
    <row r="1438" spans="1:8" ht="17.25">
      <c r="A1438" s="1"/>
      <c r="B1438" s="1" t="s">
        <v>1493</v>
      </c>
      <c r="C1438" s="1"/>
      <c r="D1438" s="1"/>
      <c r="E1438" s="1"/>
      <c r="F1438" s="40" t="s">
        <v>1472</v>
      </c>
      <c r="G1438" s="40"/>
      <c r="H1438" s="99" t="e">
        <f>FLOOR(H1437*0.15,0.01)</f>
        <v>#REF!</v>
      </c>
    </row>
    <row r="1439" spans="1:8" ht="17.25">
      <c r="A1439" s="1"/>
      <c r="B1439" s="141" t="e">
        <f>+H1439</f>
        <v>#REF!</v>
      </c>
      <c r="C1439" s="27" t="s">
        <v>3801</v>
      </c>
      <c r="D1439" s="99" t="e">
        <f>B1439/B1440</f>
        <v>#REF!</v>
      </c>
      <c r="E1439" s="1" t="s">
        <v>3006</v>
      </c>
      <c r="F1439" s="40" t="s">
        <v>1494</v>
      </c>
      <c r="G1439" s="40"/>
      <c r="H1439" s="99" t="e">
        <f>SUM(H1437:H1438)</f>
        <v>#REF!</v>
      </c>
    </row>
    <row r="1440" spans="1:8" ht="17.25">
      <c r="A1440" s="1"/>
      <c r="B1440" s="216">
        <v>10</v>
      </c>
      <c r="C1440" s="1"/>
      <c r="D1440" s="1"/>
      <c r="E1440" s="1"/>
      <c r="F1440" s="40"/>
      <c r="G1440" s="40"/>
      <c r="H1440" s="19"/>
    </row>
    <row r="1441" spans="1:8" ht="17.25">
      <c r="A1441" s="1"/>
      <c r="B1441" s="217"/>
      <c r="C1441" s="1"/>
      <c r="D1441" s="1"/>
      <c r="E1441" s="1"/>
      <c r="F1441" s="40"/>
      <c r="G1441" s="40"/>
      <c r="H1441" s="19"/>
    </row>
    <row r="1442" spans="1:8" ht="17.25">
      <c r="A1442" s="1"/>
      <c r="B1442" s="217"/>
      <c r="C1442" s="1"/>
      <c r="D1442" s="1"/>
      <c r="E1442" s="1"/>
      <c r="F1442" s="40"/>
      <c r="G1442" s="40"/>
      <c r="H1442" s="19"/>
    </row>
    <row r="1443" spans="1:8" ht="15">
      <c r="A1443" s="1"/>
      <c r="B1443" s="1"/>
      <c r="C1443" s="1"/>
      <c r="D1443" s="1"/>
      <c r="E1443" s="1"/>
      <c r="F1443" s="1"/>
      <c r="G1443" s="1"/>
      <c r="H1443" s="1"/>
    </row>
    <row r="1444" spans="1:8" ht="16.5">
      <c r="A1444" s="138">
        <f>A1427+1</f>
        <v>84</v>
      </c>
      <c r="B1444" s="1"/>
      <c r="C1444" s="1"/>
      <c r="D1444" s="1"/>
      <c r="E1444" s="1"/>
      <c r="F1444" s="1"/>
      <c r="G1444" s="1"/>
      <c r="H1444" s="1"/>
    </row>
    <row r="1445" spans="1:8" ht="19.5">
      <c r="A1445" s="582" t="s">
        <v>3342</v>
      </c>
      <c r="B1445" s="878" t="s">
        <v>3568</v>
      </c>
      <c r="C1445" s="878"/>
      <c r="D1445" s="878"/>
      <c r="E1445" s="878"/>
      <c r="F1445" s="878"/>
      <c r="G1445" s="878"/>
      <c r="H1445" s="878"/>
    </row>
    <row r="1446" spans="1:8" ht="15">
      <c r="A1446" s="1"/>
      <c r="B1446" s="879" t="s">
        <v>2317</v>
      </c>
      <c r="C1446" s="879"/>
      <c r="D1446" s="879"/>
      <c r="E1446" s="879"/>
      <c r="F1446" s="879"/>
      <c r="G1446" s="879"/>
      <c r="H1446" s="879"/>
    </row>
    <row r="1447" spans="1:8" ht="31.5">
      <c r="A1447" s="1"/>
      <c r="B1447" s="68" t="s">
        <v>2966</v>
      </c>
      <c r="C1447" s="68" t="s">
        <v>2967</v>
      </c>
      <c r="D1447" s="68" t="s">
        <v>2968</v>
      </c>
      <c r="E1447" s="68" t="s">
        <v>2969</v>
      </c>
      <c r="F1447" s="68" t="s">
        <v>2970</v>
      </c>
      <c r="G1447" s="68" t="s">
        <v>2971</v>
      </c>
      <c r="H1447" s="68" t="s">
        <v>1487</v>
      </c>
    </row>
    <row r="1448" spans="1:8" ht="17.25">
      <c r="A1448" s="1"/>
      <c r="B1448" s="58" t="s">
        <v>1488</v>
      </c>
      <c r="C1448" s="58" t="s">
        <v>2567</v>
      </c>
      <c r="D1448" s="41">
        <v>2</v>
      </c>
      <c r="E1448" s="55" t="s">
        <v>1490</v>
      </c>
      <c r="F1448" s="107" t="e">
        <f>mason</f>
        <v>#REF!</v>
      </c>
      <c r="G1448" s="107" t="e">
        <f>FLOOR(D1448*F1448,0.01)</f>
        <v>#REF!</v>
      </c>
      <c r="H1448" s="107"/>
    </row>
    <row r="1449" spans="1:8" ht="17.25">
      <c r="A1449" s="1"/>
      <c r="B1449" s="62"/>
      <c r="C1449" s="53" t="s">
        <v>1930</v>
      </c>
      <c r="D1449" s="42">
        <v>3</v>
      </c>
      <c r="E1449" s="53" t="s">
        <v>1490</v>
      </c>
      <c r="F1449" s="63" t="e">
        <f>#REF!</f>
        <v>#REF!</v>
      </c>
      <c r="G1449" s="122" t="e">
        <f>FLOOR(D1449*F1449,0.01)</f>
        <v>#REF!</v>
      </c>
      <c r="H1449" s="122" t="e">
        <f>SUM(G1448:G1449)</f>
        <v>#REF!</v>
      </c>
    </row>
    <row r="1450" spans="1:8" ht="31.5">
      <c r="A1450" s="1"/>
      <c r="B1450" s="880" t="s">
        <v>2055</v>
      </c>
      <c r="C1450" s="195" t="s">
        <v>3569</v>
      </c>
      <c r="D1450" s="41">
        <v>12</v>
      </c>
      <c r="E1450" s="224" t="s">
        <v>2605</v>
      </c>
      <c r="F1450" s="643">
        <f>200*3.28</f>
        <v>656</v>
      </c>
      <c r="G1450" s="152">
        <f>FLOOR(D1450*F1450,0.01)</f>
        <v>7872</v>
      </c>
      <c r="H1450" s="641"/>
    </row>
    <row r="1451" spans="1:8" ht="31.5">
      <c r="A1451" s="1"/>
      <c r="B1451" s="937"/>
      <c r="C1451" s="197" t="s">
        <v>1103</v>
      </c>
      <c r="D1451" s="642" t="s">
        <v>2808</v>
      </c>
      <c r="E1451" s="56" t="s">
        <v>1429</v>
      </c>
      <c r="F1451" s="122"/>
      <c r="G1451" s="155">
        <v>23</v>
      </c>
      <c r="H1451" s="122">
        <f>SUM(G1450:G1451)</f>
        <v>7895</v>
      </c>
    </row>
    <row r="1452" spans="1:8" ht="17.25">
      <c r="A1452" s="1"/>
      <c r="B1452" s="1"/>
      <c r="C1452" s="1"/>
      <c r="D1452" s="1"/>
      <c r="E1452" s="1"/>
      <c r="F1452" s="40" t="s">
        <v>1491</v>
      </c>
      <c r="G1452" s="40"/>
      <c r="H1452" s="99" t="e">
        <f>SUM(H1448:H1451)</f>
        <v>#REF!</v>
      </c>
    </row>
    <row r="1453" spans="1:8" ht="17.25">
      <c r="A1453" s="1"/>
      <c r="B1453" s="1" t="s">
        <v>1334</v>
      </c>
      <c r="C1453" s="1"/>
      <c r="D1453" s="1"/>
      <c r="E1453" s="1"/>
      <c r="F1453" s="40" t="s">
        <v>1472</v>
      </c>
      <c r="G1453" s="40"/>
      <c r="H1453" s="99" t="e">
        <f>FLOOR(H1452*0.15,0.01)</f>
        <v>#REF!</v>
      </c>
    </row>
    <row r="1454" spans="1:8" ht="17.25">
      <c r="A1454" s="1"/>
      <c r="B1454" s="141" t="e">
        <f>+H1454</f>
        <v>#REF!</v>
      </c>
      <c r="C1454" s="27" t="s">
        <v>3801</v>
      </c>
      <c r="D1454" s="99" t="e">
        <f>B1454/B1455</f>
        <v>#REF!</v>
      </c>
      <c r="E1454" s="1" t="s">
        <v>3006</v>
      </c>
      <c r="F1454" s="40" t="s">
        <v>1494</v>
      </c>
      <c r="G1454" s="40"/>
      <c r="H1454" s="99" t="e">
        <f>SUM(H1452:H1453)</f>
        <v>#REF!</v>
      </c>
    </row>
    <row r="1455" spans="1:8" ht="17.25">
      <c r="A1455" s="1"/>
      <c r="B1455" s="216">
        <v>10</v>
      </c>
      <c r="C1455" s="1"/>
      <c r="D1455" s="1"/>
      <c r="E1455" s="1"/>
      <c r="F1455" s="40"/>
      <c r="G1455" s="40"/>
      <c r="H1455" s="19"/>
    </row>
    <row r="1456" spans="1:8" ht="20.25">
      <c r="A1456" s="138">
        <f>+A1444+1</f>
        <v>85</v>
      </c>
      <c r="B1456" s="878" t="s">
        <v>3345</v>
      </c>
      <c r="C1456" s="878"/>
      <c r="D1456" s="878"/>
      <c r="E1456" s="878"/>
      <c r="F1456" s="878"/>
      <c r="G1456" s="878"/>
      <c r="H1456" s="878"/>
    </row>
    <row r="1457" spans="1:8" ht="19.5">
      <c r="A1457" s="582" t="s">
        <v>3355</v>
      </c>
      <c r="B1457" s="909"/>
      <c r="C1457" s="878"/>
      <c r="D1457" s="878"/>
      <c r="E1457" s="878"/>
      <c r="F1457" s="878"/>
      <c r="G1457" s="878"/>
      <c r="H1457" s="878"/>
    </row>
    <row r="1458" spans="1:8" ht="15">
      <c r="A1458" s="1"/>
      <c r="B1458" s="879" t="s">
        <v>1382</v>
      </c>
      <c r="C1458" s="879"/>
      <c r="D1458" s="879"/>
      <c r="E1458" s="879"/>
      <c r="F1458" s="879"/>
      <c r="G1458" s="879"/>
      <c r="H1458" s="879"/>
    </row>
    <row r="1459" spans="1:8" ht="31.5">
      <c r="A1459" s="1"/>
      <c r="B1459" s="68" t="s">
        <v>2966</v>
      </c>
      <c r="C1459" s="68" t="s">
        <v>2967</v>
      </c>
      <c r="D1459" s="68" t="s">
        <v>2968</v>
      </c>
      <c r="E1459" s="68" t="s">
        <v>2969</v>
      </c>
      <c r="F1459" s="68" t="s">
        <v>2970</v>
      </c>
      <c r="G1459" s="68" t="s">
        <v>2971</v>
      </c>
      <c r="H1459" s="68" t="s">
        <v>1487</v>
      </c>
    </row>
    <row r="1460" spans="1:8" ht="17.25">
      <c r="A1460" s="1"/>
      <c r="B1460" s="58" t="s">
        <v>1488</v>
      </c>
      <c r="C1460" s="58" t="s">
        <v>2567</v>
      </c>
      <c r="D1460" s="41">
        <v>1.1000000000000001</v>
      </c>
      <c r="E1460" s="55" t="s">
        <v>1490</v>
      </c>
      <c r="F1460" s="107" t="e">
        <f>mason</f>
        <v>#REF!</v>
      </c>
      <c r="G1460" s="107" t="e">
        <f t="shared" ref="G1460:G1465" si="44">FLOOR(D1460*F1460,0.01)</f>
        <v>#REF!</v>
      </c>
      <c r="H1460" s="107"/>
    </row>
    <row r="1461" spans="1:8" ht="17.25">
      <c r="A1461" s="1"/>
      <c r="B1461" s="62"/>
      <c r="C1461" s="53" t="s">
        <v>1930</v>
      </c>
      <c r="D1461" s="42">
        <v>1.25</v>
      </c>
      <c r="E1461" s="53" t="s">
        <v>1490</v>
      </c>
      <c r="F1461" s="63" t="e">
        <f>#REF!</f>
        <v>#REF!</v>
      </c>
      <c r="G1461" s="122" t="e">
        <f t="shared" si="44"/>
        <v>#REF!</v>
      </c>
      <c r="H1461" s="122" t="e">
        <f>SUM(G1460:G1461)</f>
        <v>#REF!</v>
      </c>
    </row>
    <row r="1462" spans="1:8" ht="30">
      <c r="A1462" s="1"/>
      <c r="B1462" s="880" t="s">
        <v>2055</v>
      </c>
      <c r="C1462" s="640" t="s">
        <v>3343</v>
      </c>
      <c r="D1462" s="41">
        <v>12</v>
      </c>
      <c r="E1462" s="55" t="s">
        <v>2807</v>
      </c>
      <c r="F1462" s="152" t="e">
        <f>#REF!</f>
        <v>#REF!</v>
      </c>
      <c r="G1462" s="152" t="e">
        <f t="shared" si="44"/>
        <v>#REF!</v>
      </c>
      <c r="H1462" s="196"/>
    </row>
    <row r="1463" spans="1:8" ht="31.5">
      <c r="A1463" s="1"/>
      <c r="B1463" s="881"/>
      <c r="C1463" s="60" t="s">
        <v>1102</v>
      </c>
      <c r="D1463" s="42">
        <v>30</v>
      </c>
      <c r="E1463" s="53" t="s">
        <v>699</v>
      </c>
      <c r="F1463" s="116" t="e">
        <f>#REF!</f>
        <v>#REF!</v>
      </c>
      <c r="G1463" s="153" t="e">
        <f t="shared" si="44"/>
        <v>#REF!</v>
      </c>
      <c r="H1463" s="196"/>
    </row>
    <row r="1464" spans="1:8" ht="17.25">
      <c r="A1464" s="1"/>
      <c r="B1464" s="938"/>
      <c r="C1464" s="60" t="s">
        <v>2805</v>
      </c>
      <c r="D1464" s="42">
        <v>25</v>
      </c>
      <c r="E1464" s="53" t="s">
        <v>699</v>
      </c>
      <c r="F1464" s="109" t="e">
        <f>#REF!</f>
        <v>#REF!</v>
      </c>
      <c r="G1464" s="153" t="e">
        <f t="shared" si="44"/>
        <v>#REF!</v>
      </c>
      <c r="H1464" s="196"/>
    </row>
    <row r="1465" spans="1:8" ht="16.5">
      <c r="A1465" s="1"/>
      <c r="B1465" s="882"/>
      <c r="C1465" s="213" t="s">
        <v>2806</v>
      </c>
      <c r="D1465" s="43">
        <v>55</v>
      </c>
      <c r="E1465" s="198" t="s">
        <v>699</v>
      </c>
      <c r="F1465" s="63" t="e">
        <f>#REF!</f>
        <v>#REF!</v>
      </c>
      <c r="G1465" s="155" t="e">
        <f t="shared" si="44"/>
        <v>#REF!</v>
      </c>
      <c r="H1465" s="63" t="e">
        <f>SUM(G1462:G1465)</f>
        <v>#REF!</v>
      </c>
    </row>
    <row r="1466" spans="1:8" ht="17.25">
      <c r="A1466" s="1"/>
      <c r="B1466" s="1"/>
      <c r="C1466" s="1"/>
      <c r="D1466" s="1"/>
      <c r="E1466" s="1"/>
      <c r="F1466" s="40" t="s">
        <v>1491</v>
      </c>
      <c r="G1466" s="40"/>
      <c r="H1466" s="99" t="e">
        <f>SUM(H1461:H1465)</f>
        <v>#REF!</v>
      </c>
    </row>
    <row r="1467" spans="1:8" ht="17.25">
      <c r="A1467" s="1"/>
      <c r="B1467" s="1" t="s">
        <v>1493</v>
      </c>
      <c r="C1467" s="1"/>
      <c r="D1467" s="1"/>
      <c r="E1467" s="1"/>
      <c r="F1467" s="40" t="s">
        <v>1472</v>
      </c>
      <c r="G1467" s="40"/>
      <c r="H1467" s="99" t="e">
        <f>FLOOR(H1466*0.15,0.01)</f>
        <v>#REF!</v>
      </c>
    </row>
    <row r="1468" spans="1:8" ht="17.25">
      <c r="A1468" s="1"/>
      <c r="B1468" s="141" t="e">
        <f>+H1468</f>
        <v>#REF!</v>
      </c>
      <c r="C1468" s="27" t="s">
        <v>3801</v>
      </c>
      <c r="D1468" s="99" t="e">
        <f>B1468/B1469</f>
        <v>#REF!</v>
      </c>
      <c r="E1468" s="1" t="s">
        <v>3006</v>
      </c>
      <c r="F1468" s="40" t="s">
        <v>1494</v>
      </c>
      <c r="G1468" s="40"/>
      <c r="H1468" s="99" t="e">
        <f>SUM(H1466:H1467)</f>
        <v>#REF!</v>
      </c>
    </row>
    <row r="1469" spans="1:8" ht="17.25">
      <c r="A1469" s="1"/>
      <c r="B1469" s="216">
        <v>10</v>
      </c>
      <c r="C1469" s="1"/>
      <c r="D1469" s="1"/>
      <c r="E1469" s="1"/>
      <c r="F1469" s="40"/>
      <c r="G1469" s="40"/>
      <c r="H1469" s="19"/>
    </row>
    <row r="1470" spans="1:8" ht="17.25">
      <c r="A1470" s="1"/>
      <c r="B1470" s="217"/>
      <c r="C1470" s="1"/>
      <c r="D1470" s="1"/>
      <c r="E1470" s="1"/>
      <c r="F1470" s="40"/>
      <c r="G1470" s="40"/>
      <c r="H1470" s="19"/>
    </row>
    <row r="1471" spans="1:8" ht="17.25">
      <c r="A1471" s="1"/>
      <c r="B1471" s="217"/>
      <c r="C1471" s="1"/>
      <c r="D1471" s="1"/>
      <c r="E1471" s="1"/>
      <c r="F1471" s="40"/>
      <c r="G1471" s="40"/>
      <c r="H1471" s="19"/>
    </row>
    <row r="1472" spans="1:8" ht="17.25">
      <c r="A1472" s="1"/>
      <c r="B1472" s="217"/>
      <c r="C1472" s="1"/>
      <c r="D1472" s="1"/>
      <c r="E1472" s="1"/>
      <c r="F1472" s="40"/>
      <c r="G1472" s="40"/>
      <c r="H1472" s="19"/>
    </row>
    <row r="1473" spans="1:8" ht="20.25">
      <c r="A1473" s="260">
        <f>+A1456+1</f>
        <v>86</v>
      </c>
      <c r="B1473" s="877" t="s">
        <v>3347</v>
      </c>
      <c r="C1473" s="878"/>
      <c r="D1473" s="878"/>
      <c r="E1473" s="878"/>
      <c r="F1473" s="878"/>
      <c r="G1473" s="878"/>
      <c r="H1473" s="878"/>
    </row>
    <row r="1474" spans="1:8" ht="15.75">
      <c r="A1474" s="582" t="s">
        <v>3631</v>
      </c>
      <c r="B1474" s="932" t="s">
        <v>2231</v>
      </c>
      <c r="C1474" s="933"/>
      <c r="D1474" s="933"/>
      <c r="E1474" s="933"/>
      <c r="F1474" s="933"/>
      <c r="G1474" s="933"/>
      <c r="H1474" s="933"/>
    </row>
    <row r="1475" spans="1:8" ht="31.5">
      <c r="A1475" s="1"/>
      <c r="B1475" s="68" t="s">
        <v>2966</v>
      </c>
      <c r="C1475" s="68" t="s">
        <v>2967</v>
      </c>
      <c r="D1475" s="68" t="s">
        <v>2968</v>
      </c>
      <c r="E1475" s="68" t="s">
        <v>2969</v>
      </c>
      <c r="F1475" s="68" t="s">
        <v>2970</v>
      </c>
      <c r="G1475" s="68" t="s">
        <v>2971</v>
      </c>
      <c r="H1475" s="68" t="s">
        <v>1487</v>
      </c>
    </row>
    <row r="1476" spans="1:8" ht="16.5">
      <c r="A1476" s="1"/>
      <c r="B1476" s="889" t="s">
        <v>1488</v>
      </c>
      <c r="C1476" s="58" t="s">
        <v>516</v>
      </c>
      <c r="D1476" s="41">
        <v>17.649999999999999</v>
      </c>
      <c r="E1476" s="11" t="s">
        <v>1490</v>
      </c>
      <c r="F1476" s="107" t="e">
        <f>#REF!</f>
        <v>#REF!</v>
      </c>
      <c r="G1476" s="107" t="e">
        <f>FLOOR(D1476*F1476,0.01)</f>
        <v>#REF!</v>
      </c>
      <c r="H1476" s="108"/>
    </row>
    <row r="1477" spans="1:8" ht="17.25">
      <c r="A1477" s="1"/>
      <c r="B1477" s="934"/>
      <c r="C1477" s="56" t="s">
        <v>1433</v>
      </c>
      <c r="D1477" s="43">
        <v>1.76</v>
      </c>
      <c r="E1477" s="15" t="s">
        <v>1490</v>
      </c>
      <c r="F1477" s="109" t="e">
        <f>#REF!</f>
        <v>#REF!</v>
      </c>
      <c r="G1477" s="63" t="e">
        <f>FLOOR(D1477*F1477,0.01)</f>
        <v>#REF!</v>
      </c>
      <c r="H1477" s="121" t="e">
        <f>SUM(G1476+G1477)</f>
        <v>#REF!</v>
      </c>
    </row>
    <row r="1478" spans="1:8" ht="17.25">
      <c r="A1478" s="1"/>
      <c r="B1478" s="886" t="s">
        <v>2055</v>
      </c>
      <c r="C1478" s="53" t="s">
        <v>1932</v>
      </c>
      <c r="D1478" s="42">
        <v>1.05</v>
      </c>
      <c r="E1478" s="12" t="s">
        <v>2232</v>
      </c>
      <c r="F1478" s="110" t="e">
        <f>#REF!</f>
        <v>#REF!</v>
      </c>
      <c r="G1478" s="109" t="e">
        <f>FLOOR(D1478*F1478,0.01)</f>
        <v>#REF!</v>
      </c>
      <c r="H1478" s="84"/>
    </row>
    <row r="1479" spans="1:8" ht="17.25">
      <c r="A1479" s="1"/>
      <c r="B1479" s="934"/>
      <c r="C1479" s="56" t="s">
        <v>2010</v>
      </c>
      <c r="D1479" s="644" t="s">
        <v>2808</v>
      </c>
      <c r="E1479" s="56" t="s">
        <v>556</v>
      </c>
      <c r="F1479" s="56" t="s">
        <v>2810</v>
      </c>
      <c r="G1479" s="63">
        <v>60</v>
      </c>
      <c r="H1479" s="123" t="e">
        <f>SUM(G1478:G1479)</f>
        <v>#REF!</v>
      </c>
    </row>
    <row r="1480" spans="1:8" ht="16.5">
      <c r="A1480" s="1"/>
      <c r="B1480" s="1"/>
      <c r="C1480" s="1"/>
      <c r="D1480" s="1"/>
      <c r="E1480" s="1"/>
      <c r="F1480" s="1" t="s">
        <v>1491</v>
      </c>
      <c r="G1480" s="1"/>
      <c r="H1480" s="63" t="e">
        <f>SUM(H1476:H1479)</f>
        <v>#REF!</v>
      </c>
    </row>
    <row r="1481" spans="1:8" ht="16.5">
      <c r="A1481" s="1"/>
      <c r="B1481" s="1" t="s">
        <v>3233</v>
      </c>
      <c r="C1481" s="1"/>
      <c r="D1481" s="1"/>
      <c r="E1481" s="1"/>
      <c r="F1481" s="1" t="s">
        <v>1472</v>
      </c>
      <c r="G1481" s="1"/>
      <c r="H1481" s="99" t="e">
        <f>FLOOR(H1480*0.15,0.01)</f>
        <v>#REF!</v>
      </c>
    </row>
    <row r="1482" spans="1:8" ht="16.5">
      <c r="A1482" s="27" t="s">
        <v>3005</v>
      </c>
      <c r="B1482" s="99" t="e">
        <f>+H1482</f>
        <v>#REF!</v>
      </c>
      <c r="C1482" s="1" t="s">
        <v>3006</v>
      </c>
      <c r="D1482" s="172"/>
      <c r="E1482" s="1"/>
      <c r="F1482" s="1" t="s">
        <v>1494</v>
      </c>
      <c r="G1482" s="1"/>
      <c r="H1482" s="99" t="e">
        <f>SUM(H1480:H1481)</f>
        <v>#REF!</v>
      </c>
    </row>
    <row r="1483" spans="1:8" ht="16.5">
      <c r="A1483" s="27"/>
      <c r="B1483" s="141"/>
      <c r="C1483" s="1"/>
      <c r="D1483" s="1"/>
      <c r="E1483" s="1"/>
      <c r="F1483" s="1"/>
      <c r="G1483" s="1"/>
      <c r="H1483" s="141"/>
    </row>
    <row r="1484" spans="1:8" ht="16.5">
      <c r="A1484" s="27"/>
      <c r="B1484" s="141"/>
      <c r="C1484" s="1"/>
      <c r="D1484" s="1"/>
      <c r="E1484" s="1"/>
      <c r="F1484" s="1"/>
      <c r="G1484" s="1"/>
      <c r="H1484" s="141"/>
    </row>
    <row r="1485" spans="1:8" ht="16.5">
      <c r="A1485" s="27"/>
      <c r="B1485" s="141"/>
      <c r="C1485" s="1"/>
      <c r="D1485" s="1"/>
      <c r="E1485" s="1"/>
      <c r="F1485" s="1"/>
      <c r="G1485" s="1"/>
      <c r="H1485" s="141"/>
    </row>
    <row r="1486" spans="1:8" ht="16.5">
      <c r="A1486" s="27"/>
      <c r="B1486" s="141"/>
      <c r="C1486" s="1"/>
      <c r="D1486" s="1"/>
      <c r="E1486" s="1"/>
      <c r="F1486" s="1"/>
      <c r="G1486" s="1"/>
      <c r="H1486" s="141"/>
    </row>
    <row r="1487" spans="1:8" ht="20.25">
      <c r="A1487" s="260">
        <f>+A1473+1</f>
        <v>87</v>
      </c>
      <c r="B1487" s="935" t="s">
        <v>2948</v>
      </c>
      <c r="C1487" s="909"/>
      <c r="D1487" s="909"/>
      <c r="E1487" s="909"/>
      <c r="F1487" s="909"/>
      <c r="G1487" s="909"/>
      <c r="H1487" s="909"/>
    </row>
    <row r="1488" spans="1:8" ht="16.5">
      <c r="A1488" s="582" t="s">
        <v>3632</v>
      </c>
      <c r="B1488" s="936" t="s">
        <v>967</v>
      </c>
      <c r="C1488" s="936"/>
      <c r="D1488" s="936"/>
      <c r="E1488" s="936"/>
      <c r="F1488" s="936"/>
      <c r="G1488" s="936"/>
      <c r="H1488" s="936"/>
    </row>
    <row r="1489" spans="1:8" ht="31.5">
      <c r="A1489" s="1"/>
      <c r="B1489" s="68" t="s">
        <v>2966</v>
      </c>
      <c r="C1489" s="68" t="s">
        <v>2967</v>
      </c>
      <c r="D1489" s="68" t="s">
        <v>2968</v>
      </c>
      <c r="E1489" s="68" t="s">
        <v>2969</v>
      </c>
      <c r="F1489" s="68" t="s">
        <v>2970</v>
      </c>
      <c r="G1489" s="68" t="s">
        <v>2971</v>
      </c>
      <c r="H1489" s="68" t="s">
        <v>1487</v>
      </c>
    </row>
    <row r="1490" spans="1:8" ht="16.5">
      <c r="A1490" s="1"/>
      <c r="B1490" s="889" t="s">
        <v>1488</v>
      </c>
      <c r="C1490" s="58" t="s">
        <v>516</v>
      </c>
      <c r="D1490" s="41">
        <v>1.43</v>
      </c>
      <c r="E1490" s="58" t="s">
        <v>1490</v>
      </c>
      <c r="F1490" s="107" t="e">
        <f>#REF!</f>
        <v>#REF!</v>
      </c>
      <c r="G1490" s="107" t="e">
        <f>FLOOR(D1490*F1490,0.01)</f>
        <v>#REF!</v>
      </c>
      <c r="H1490" s="108"/>
    </row>
    <row r="1491" spans="1:8" ht="17.25">
      <c r="A1491" s="1"/>
      <c r="B1491" s="887"/>
      <c r="C1491" s="56" t="s">
        <v>1433</v>
      </c>
      <c r="D1491" s="49">
        <v>0.14299999999999999</v>
      </c>
      <c r="E1491" s="56" t="s">
        <v>1490</v>
      </c>
      <c r="F1491" s="109" t="e">
        <f>#REF!</f>
        <v>#REF!</v>
      </c>
      <c r="G1491" s="63" t="e">
        <f>FLOOR(D1491*F1491,0.01)</f>
        <v>#REF!</v>
      </c>
      <c r="H1491" s="121" t="e">
        <f>SUM(G1490+G1491)</f>
        <v>#REF!</v>
      </c>
    </row>
    <row r="1492" spans="1:8" ht="17.25">
      <c r="A1492" s="1"/>
      <c r="B1492" s="886" t="s">
        <v>2055</v>
      </c>
      <c r="C1492" s="53" t="s">
        <v>1932</v>
      </c>
      <c r="D1492" s="52">
        <v>0.27500000000000002</v>
      </c>
      <c r="E1492" s="53" t="s">
        <v>2232</v>
      </c>
      <c r="F1492" s="110" t="e">
        <f>awood</f>
        <v>#REF!</v>
      </c>
      <c r="G1492" s="109" t="e">
        <f>FLOOR(D1492*F1492,0.01)</f>
        <v>#REF!</v>
      </c>
      <c r="H1492" s="84"/>
    </row>
    <row r="1493" spans="1:8" ht="17.25">
      <c r="A1493" s="1"/>
      <c r="B1493" s="887"/>
      <c r="C1493" s="56" t="s">
        <v>2010</v>
      </c>
      <c r="D1493" s="56" t="s">
        <v>67</v>
      </c>
      <c r="E1493" s="56" t="s">
        <v>2810</v>
      </c>
      <c r="F1493" s="63"/>
      <c r="G1493" s="63">
        <v>60</v>
      </c>
      <c r="H1493" s="123" t="e">
        <f>SUM(G1492:G1493)</f>
        <v>#REF!</v>
      </c>
    </row>
    <row r="1494" spans="1:8" ht="17.25">
      <c r="A1494" s="1"/>
      <c r="B1494" s="1"/>
      <c r="C1494" s="1"/>
      <c r="D1494" s="1"/>
      <c r="E1494" s="1"/>
      <c r="F1494" s="40" t="s">
        <v>1491</v>
      </c>
      <c r="G1494" s="40"/>
      <c r="H1494" s="63" t="e">
        <f>SUM(H1493,H1491)</f>
        <v>#REF!</v>
      </c>
    </row>
    <row r="1495" spans="1:8" ht="17.25">
      <c r="A1495" s="1"/>
      <c r="B1495" s="1" t="s">
        <v>1493</v>
      </c>
      <c r="C1495" s="1"/>
      <c r="D1495" s="1"/>
      <c r="E1495" s="1"/>
      <c r="F1495" s="40" t="s">
        <v>1472</v>
      </c>
      <c r="G1495" s="40"/>
      <c r="H1495" s="99" t="e">
        <f>FLOOR(H1494*0.15,0.01)</f>
        <v>#REF!</v>
      </c>
    </row>
    <row r="1496" spans="1:8" ht="17.25">
      <c r="A1496" s="27"/>
      <c r="B1496" s="140" t="e">
        <f>+H1496</f>
        <v>#REF!</v>
      </c>
      <c r="C1496" s="27" t="s">
        <v>3801</v>
      </c>
      <c r="D1496" s="99" t="e">
        <f>INT(B1496/B1497*100)/100</f>
        <v>#REF!</v>
      </c>
      <c r="E1496" s="1" t="s">
        <v>3006</v>
      </c>
      <c r="F1496" s="40" t="s">
        <v>1494</v>
      </c>
      <c r="G1496" s="40"/>
      <c r="H1496" s="99" t="e">
        <f>SUM(H1494:H1495)</f>
        <v>#REF!</v>
      </c>
    </row>
    <row r="1497" spans="1:8" ht="16.5">
      <c r="A1497" s="1"/>
      <c r="B1497" s="88">
        <v>10</v>
      </c>
      <c r="C1497" s="1"/>
      <c r="D1497" s="1"/>
      <c r="E1497" s="1"/>
      <c r="F1497" s="1"/>
      <c r="G1497" s="1"/>
      <c r="H1497" s="1"/>
    </row>
    <row r="1498" spans="1:8" ht="17.25">
      <c r="A1498" s="1"/>
      <c r="B1498" s="217"/>
      <c r="C1498" s="1"/>
      <c r="D1498" s="1"/>
      <c r="E1498" s="1"/>
      <c r="F1498" s="40"/>
      <c r="G1498" s="40"/>
      <c r="H1498" s="19"/>
    </row>
    <row r="1499" spans="1:8" ht="15">
      <c r="A1499" s="638"/>
      <c r="B1499" s="639"/>
      <c r="C1499" s="594"/>
      <c r="D1499" s="594"/>
      <c r="E1499" s="594"/>
      <c r="F1499" s="639"/>
      <c r="G1499" s="639"/>
      <c r="H1499" s="639"/>
    </row>
    <row r="1500" spans="1:8" ht="20.25">
      <c r="A1500" s="260">
        <f>A1487+1</f>
        <v>88</v>
      </c>
      <c r="B1500" s="878" t="s">
        <v>559</v>
      </c>
      <c r="C1500" s="878"/>
      <c r="D1500" s="878"/>
      <c r="E1500" s="878"/>
      <c r="F1500" s="878"/>
      <c r="G1500" s="878"/>
      <c r="H1500" s="878"/>
    </row>
    <row r="1501" spans="1:8" ht="15.75">
      <c r="A1501" s="582" t="s">
        <v>3633</v>
      </c>
      <c r="B1501" s="888" t="s">
        <v>2231</v>
      </c>
      <c r="C1501" s="879"/>
      <c r="D1501" s="879"/>
      <c r="E1501" s="879"/>
      <c r="F1501" s="879"/>
      <c r="G1501" s="879"/>
      <c r="H1501" s="879"/>
    </row>
    <row r="1502" spans="1:8" ht="31.5">
      <c r="A1502" s="1"/>
      <c r="B1502" s="68" t="s">
        <v>2966</v>
      </c>
      <c r="C1502" s="68" t="s">
        <v>2967</v>
      </c>
      <c r="D1502" s="68" t="s">
        <v>2968</v>
      </c>
      <c r="E1502" s="68" t="s">
        <v>2969</v>
      </c>
      <c r="F1502" s="68" t="s">
        <v>2970</v>
      </c>
      <c r="G1502" s="68" t="s">
        <v>2971</v>
      </c>
      <c r="H1502" s="68" t="s">
        <v>1487</v>
      </c>
    </row>
    <row r="1503" spans="1:8" ht="17.25">
      <c r="A1503" s="1"/>
      <c r="B1503" s="889" t="s">
        <v>1488</v>
      </c>
      <c r="C1503" s="58" t="s">
        <v>516</v>
      </c>
      <c r="D1503" s="41">
        <v>34</v>
      </c>
      <c r="E1503" s="55" t="s">
        <v>1490</v>
      </c>
      <c r="F1503" s="107" t="e">
        <f>#REF!</f>
        <v>#REF!</v>
      </c>
      <c r="G1503" s="107" t="e">
        <f>FLOOR(D1503*F1503,0.01)</f>
        <v>#REF!</v>
      </c>
      <c r="H1503" s="108"/>
    </row>
    <row r="1504" spans="1:8" ht="17.25">
      <c r="A1504" s="1"/>
      <c r="B1504" s="887"/>
      <c r="C1504" s="56" t="s">
        <v>1433</v>
      </c>
      <c r="D1504" s="43">
        <v>3.4</v>
      </c>
      <c r="E1504" s="56" t="s">
        <v>1490</v>
      </c>
      <c r="F1504" s="109" t="e">
        <f>#REF!</f>
        <v>#REF!</v>
      </c>
      <c r="G1504" s="63" t="e">
        <f>FLOOR(D1504*F1504,0.01)</f>
        <v>#REF!</v>
      </c>
      <c r="H1504" s="121" t="e">
        <f>SUM(G1503+G1504)</f>
        <v>#REF!</v>
      </c>
    </row>
    <row r="1505" spans="1:8" ht="17.25">
      <c r="A1505" s="1"/>
      <c r="B1505" s="886" t="s">
        <v>2055</v>
      </c>
      <c r="C1505" s="55" t="s">
        <v>1932</v>
      </c>
      <c r="D1505" s="41">
        <v>1.1000000000000001</v>
      </c>
      <c r="E1505" s="55" t="s">
        <v>2232</v>
      </c>
      <c r="F1505" s="110" t="e">
        <f>awood</f>
        <v>#REF!</v>
      </c>
      <c r="G1505" s="109" t="e">
        <f>FLOOR(D1505*F1505,0.01)</f>
        <v>#REF!</v>
      </c>
      <c r="H1505" s="84"/>
    </row>
    <row r="1506" spans="1:8" ht="17.25">
      <c r="A1506" s="1"/>
      <c r="B1506" s="894"/>
      <c r="C1506" s="53" t="s">
        <v>2920</v>
      </c>
      <c r="D1506" s="42">
        <v>92</v>
      </c>
      <c r="E1506" s="53" t="s">
        <v>699</v>
      </c>
      <c r="F1506" s="109" t="e">
        <f>holpass</f>
        <v>#REF!</v>
      </c>
      <c r="G1506" s="109" t="e">
        <f>FLOOR(D1506*F1506,0.01)</f>
        <v>#REF!</v>
      </c>
      <c r="H1506" s="121"/>
    </row>
    <row r="1507" spans="1:8" ht="17.25">
      <c r="A1507" s="1"/>
      <c r="B1507" s="895"/>
      <c r="C1507" s="56" t="s">
        <v>1933</v>
      </c>
      <c r="D1507" s="43">
        <v>184</v>
      </c>
      <c r="E1507" s="56" t="s">
        <v>699</v>
      </c>
      <c r="F1507" s="122" t="e">
        <f>#REF!</f>
        <v>#REF!</v>
      </c>
      <c r="G1507" s="63" t="e">
        <f>FLOOR(D1507*F1507,0.01)</f>
        <v>#REF!</v>
      </c>
      <c r="H1507" s="123" t="e">
        <f>SUM(G1505:G1507)</f>
        <v>#REF!</v>
      </c>
    </row>
    <row r="1508" spans="1:8" ht="17.25">
      <c r="A1508" s="1"/>
      <c r="B1508" s="1"/>
      <c r="C1508" s="1"/>
      <c r="D1508" s="89"/>
      <c r="E1508" s="1"/>
      <c r="F1508" s="40" t="s">
        <v>1491</v>
      </c>
      <c r="G1508" s="40"/>
      <c r="H1508" s="63" t="e">
        <f>SUM(H1504:H1507)</f>
        <v>#REF!</v>
      </c>
    </row>
    <row r="1509" spans="1:8" ht="17.25">
      <c r="A1509" s="1"/>
      <c r="B1509" s="1" t="s">
        <v>3233</v>
      </c>
      <c r="C1509" s="1"/>
      <c r="D1509" s="1"/>
      <c r="E1509" s="1"/>
      <c r="F1509" s="40" t="s">
        <v>1472</v>
      </c>
      <c r="G1509" s="40"/>
      <c r="H1509" s="99" t="e">
        <f>FLOOR(H1508*0.15,0.01)</f>
        <v>#REF!</v>
      </c>
    </row>
    <row r="1510" spans="1:8" ht="17.25">
      <c r="A1510" s="27" t="s">
        <v>3005</v>
      </c>
      <c r="B1510" s="99" t="e">
        <f>+H1510</f>
        <v>#REF!</v>
      </c>
      <c r="C1510" s="1"/>
      <c r="D1510" s="1"/>
      <c r="E1510" s="1"/>
      <c r="F1510" s="40" t="s">
        <v>1494</v>
      </c>
      <c r="G1510" s="40"/>
      <c r="H1510" s="99" t="e">
        <f>SUM(H1508:H1509)</f>
        <v>#REF!</v>
      </c>
    </row>
    <row r="1511" spans="1:8" ht="17.25">
      <c r="A1511" s="27"/>
      <c r="B1511" s="141"/>
      <c r="C1511" s="1"/>
      <c r="D1511" s="1"/>
      <c r="E1511" s="1"/>
      <c r="F1511" s="40"/>
      <c r="G1511" s="40"/>
      <c r="H1511" s="141"/>
    </row>
    <row r="1512" spans="1:8" ht="17.25">
      <c r="A1512" s="27"/>
      <c r="B1512" s="141"/>
      <c r="C1512" s="1"/>
      <c r="D1512" s="1"/>
      <c r="E1512" s="1"/>
      <c r="F1512" s="40"/>
      <c r="G1512" s="40"/>
      <c r="H1512" s="141"/>
    </row>
    <row r="1513" spans="1:8" ht="17.25">
      <c r="A1513" s="27"/>
      <c r="B1513" s="141"/>
      <c r="C1513" s="1"/>
      <c r="D1513" s="1"/>
      <c r="E1513" s="1"/>
      <c r="F1513" s="40"/>
      <c r="G1513" s="40"/>
      <c r="H1513" s="141"/>
    </row>
    <row r="1514" spans="1:8" ht="17.25">
      <c r="A1514" s="27"/>
      <c r="B1514" s="141"/>
      <c r="C1514" s="1"/>
      <c r="D1514" s="1"/>
      <c r="E1514" s="1"/>
      <c r="F1514" s="40"/>
      <c r="G1514" s="40"/>
      <c r="H1514" s="141"/>
    </row>
    <row r="1515" spans="1:8" ht="17.25">
      <c r="A1515" s="27"/>
      <c r="B1515" s="141"/>
      <c r="C1515" s="1"/>
      <c r="D1515" s="1"/>
      <c r="E1515" s="1"/>
      <c r="F1515" s="40"/>
      <c r="G1515" s="40"/>
      <c r="H1515" s="141"/>
    </row>
    <row r="1516" spans="1:8" ht="17.25">
      <c r="A1516" s="27"/>
      <c r="B1516" s="141"/>
      <c r="C1516" s="1"/>
      <c r="D1516" s="1"/>
      <c r="E1516" s="1"/>
      <c r="F1516" s="40"/>
      <c r="G1516" s="40"/>
      <c r="H1516" s="141"/>
    </row>
    <row r="1517" spans="1:8" ht="17.25">
      <c r="A1517" s="27"/>
      <c r="B1517" s="141"/>
      <c r="C1517" s="1"/>
      <c r="D1517" s="1"/>
      <c r="E1517" s="1"/>
      <c r="F1517" s="40"/>
      <c r="G1517" s="40"/>
      <c r="H1517" s="141"/>
    </row>
    <row r="1518" spans="1:8" ht="19.5">
      <c r="A1518" s="1"/>
      <c r="B1518" s="878" t="s">
        <v>1385</v>
      </c>
      <c r="C1518" s="878"/>
      <c r="D1518" s="878"/>
      <c r="E1518" s="878"/>
      <c r="F1518" s="878"/>
      <c r="G1518" s="878"/>
      <c r="H1518" s="878"/>
    </row>
    <row r="1519" spans="1:8" ht="20.25">
      <c r="A1519" s="260">
        <f>+A1500+1</f>
        <v>89</v>
      </c>
      <c r="B1519" s="935" t="s">
        <v>1386</v>
      </c>
      <c r="C1519" s="909"/>
      <c r="D1519" s="909"/>
      <c r="E1519" s="909"/>
      <c r="F1519" s="909"/>
      <c r="G1519" s="909"/>
      <c r="H1519" s="909"/>
    </row>
    <row r="1520" spans="1:8" ht="15.75">
      <c r="A1520" s="582" t="s">
        <v>3634</v>
      </c>
      <c r="B1520" s="928" t="s">
        <v>2072</v>
      </c>
      <c r="C1520" s="885"/>
      <c r="D1520" s="885"/>
      <c r="E1520" s="885"/>
      <c r="F1520" s="885"/>
      <c r="G1520" s="885"/>
      <c r="H1520" s="885"/>
    </row>
    <row r="1521" spans="1:8" ht="31.5">
      <c r="A1521" s="1"/>
      <c r="B1521" s="68" t="s">
        <v>2966</v>
      </c>
      <c r="C1521" s="68" t="s">
        <v>2967</v>
      </c>
      <c r="D1521" s="68" t="s">
        <v>2968</v>
      </c>
      <c r="E1521" s="68" t="s">
        <v>2969</v>
      </c>
      <c r="F1521" s="68" t="s">
        <v>2970</v>
      </c>
      <c r="G1521" s="68" t="s">
        <v>2971</v>
      </c>
      <c r="H1521" s="68" t="s">
        <v>1487</v>
      </c>
    </row>
    <row r="1522" spans="1:8" ht="17.25">
      <c r="A1522" s="1"/>
      <c r="B1522" s="889" t="s">
        <v>1488</v>
      </c>
      <c r="C1522" s="58" t="s">
        <v>516</v>
      </c>
      <c r="D1522" s="41">
        <v>10</v>
      </c>
      <c r="E1522" s="55" t="s">
        <v>1490</v>
      </c>
      <c r="F1522" s="107" t="e">
        <f>#REF!</f>
        <v>#REF!</v>
      </c>
      <c r="G1522" s="107" t="e">
        <f t="shared" ref="G1522:G1528" si="45">FLOOR(D1522*F1522,0.01)</f>
        <v>#REF!</v>
      </c>
      <c r="H1522" s="108"/>
    </row>
    <row r="1523" spans="1:8" ht="17.25">
      <c r="A1523" s="1"/>
      <c r="B1523" s="887"/>
      <c r="C1523" s="56" t="s">
        <v>1433</v>
      </c>
      <c r="D1523" s="43">
        <v>1</v>
      </c>
      <c r="E1523" s="56" t="s">
        <v>1490</v>
      </c>
      <c r="F1523" s="109" t="e">
        <f>#REF!</f>
        <v>#REF!</v>
      </c>
      <c r="G1523" s="63" t="e">
        <f t="shared" si="45"/>
        <v>#REF!</v>
      </c>
      <c r="H1523" s="121" t="e">
        <f>SUM(G1522+G1523)</f>
        <v>#REF!</v>
      </c>
    </row>
    <row r="1524" spans="1:8" ht="17.25">
      <c r="A1524" s="1"/>
      <c r="B1524" s="886" t="s">
        <v>2055</v>
      </c>
      <c r="C1524" s="55" t="s">
        <v>1932</v>
      </c>
      <c r="D1524" s="46">
        <v>8.4000000000000005E-2</v>
      </c>
      <c r="E1524" s="55" t="s">
        <v>2232</v>
      </c>
      <c r="F1524" s="110" t="e">
        <f>awood</f>
        <v>#REF!</v>
      </c>
      <c r="G1524" s="109" t="e">
        <f t="shared" si="45"/>
        <v>#REF!</v>
      </c>
      <c r="H1524" s="84"/>
    </row>
    <row r="1525" spans="1:8" ht="17.25">
      <c r="A1525" s="1"/>
      <c r="B1525" s="894"/>
      <c r="C1525" s="53" t="s">
        <v>2073</v>
      </c>
      <c r="D1525" s="42">
        <v>6</v>
      </c>
      <c r="E1525" s="53" t="s">
        <v>699</v>
      </c>
      <c r="F1525" s="109" t="e">
        <f>Kabja100</f>
        <v>#REF!</v>
      </c>
      <c r="G1525" s="109" t="e">
        <f t="shared" si="45"/>
        <v>#REF!</v>
      </c>
      <c r="H1525" s="86"/>
    </row>
    <row r="1526" spans="1:8" ht="17.25">
      <c r="A1526" s="1"/>
      <c r="B1526" s="894"/>
      <c r="C1526" s="53" t="s">
        <v>1911</v>
      </c>
      <c r="D1526" s="42">
        <v>1</v>
      </c>
      <c r="E1526" s="53" t="s">
        <v>699</v>
      </c>
      <c r="F1526" s="109" t="e">
        <f>cheskini150</f>
        <v>#REF!</v>
      </c>
      <c r="G1526" s="109" t="e">
        <f t="shared" si="45"/>
        <v>#REF!</v>
      </c>
      <c r="H1526" s="86"/>
    </row>
    <row r="1527" spans="1:8" ht="17.25">
      <c r="A1527" s="1"/>
      <c r="B1527" s="894"/>
      <c r="C1527" s="53" t="s">
        <v>1912</v>
      </c>
      <c r="D1527" s="42">
        <v>1</v>
      </c>
      <c r="E1527" s="53" t="s">
        <v>699</v>
      </c>
      <c r="F1527" s="109" t="e">
        <f>cheskini300</f>
        <v>#REF!</v>
      </c>
      <c r="G1527" s="109" t="e">
        <f t="shared" si="45"/>
        <v>#REF!</v>
      </c>
      <c r="H1527" s="86"/>
    </row>
    <row r="1528" spans="1:8" ht="17.25">
      <c r="A1528" s="1"/>
      <c r="B1528" s="894"/>
      <c r="C1528" s="12" t="s">
        <v>2939</v>
      </c>
      <c r="D1528" s="42">
        <v>1</v>
      </c>
      <c r="E1528" s="53" t="s">
        <v>699</v>
      </c>
      <c r="F1528" s="109" t="e">
        <f>lucking300</f>
        <v>#REF!</v>
      </c>
      <c r="G1528" s="109" t="e">
        <f t="shared" si="45"/>
        <v>#REF!</v>
      </c>
      <c r="H1528" s="86"/>
    </row>
    <row r="1529" spans="1:8" ht="17.25">
      <c r="A1529" s="1"/>
      <c r="B1529" s="894"/>
      <c r="C1529" s="54" t="s">
        <v>3002</v>
      </c>
      <c r="D1529" s="42"/>
      <c r="E1529" s="53"/>
      <c r="F1529" s="109"/>
      <c r="G1529" s="42"/>
      <c r="H1529" s="86"/>
    </row>
    <row r="1530" spans="1:8" ht="17.25">
      <c r="A1530" s="1"/>
      <c r="B1530" s="894"/>
      <c r="C1530" s="53" t="s">
        <v>984</v>
      </c>
      <c r="D1530" s="42">
        <v>2</v>
      </c>
      <c r="E1530" s="53" t="s">
        <v>699</v>
      </c>
      <c r="F1530" s="109" t="e">
        <f>shandle</f>
        <v>#REF!</v>
      </c>
      <c r="G1530" s="109" t="e">
        <f>FLOOR(D1530*F1530,0.01)</f>
        <v>#REF!</v>
      </c>
      <c r="H1530" s="86"/>
    </row>
    <row r="1531" spans="1:8" ht="17.25">
      <c r="A1531" s="1"/>
      <c r="B1531" s="895"/>
      <c r="C1531" s="56" t="s">
        <v>1933</v>
      </c>
      <c r="D1531" s="57" t="s">
        <v>67</v>
      </c>
      <c r="E1531" s="56" t="s">
        <v>2810</v>
      </c>
      <c r="F1531" s="63"/>
      <c r="G1531" s="63">
        <v>45</v>
      </c>
      <c r="H1531" s="123" t="e">
        <f>SUM(G1524:G1531)</f>
        <v>#REF!</v>
      </c>
    </row>
    <row r="1532" spans="1:8" ht="17.25">
      <c r="A1532" s="1"/>
      <c r="B1532" s="1"/>
      <c r="C1532" s="1"/>
      <c r="D1532" s="1"/>
      <c r="E1532" s="1"/>
      <c r="F1532" s="40" t="s">
        <v>1491</v>
      </c>
      <c r="G1532" s="40"/>
      <c r="H1532" s="63" t="e">
        <f>SUM(H1523:H1531)</f>
        <v>#REF!</v>
      </c>
    </row>
    <row r="1533" spans="1:8" ht="17.25">
      <c r="A1533" s="1"/>
      <c r="B1533" s="3" t="s">
        <v>1493</v>
      </c>
      <c r="C1533" s="1"/>
      <c r="D1533" s="1"/>
      <c r="E1533" s="1"/>
      <c r="F1533" s="40" t="s">
        <v>1472</v>
      </c>
      <c r="G1533" s="40"/>
      <c r="H1533" s="99" t="e">
        <f>FLOOR(H1532*0.15,0.01)</f>
        <v>#REF!</v>
      </c>
    </row>
    <row r="1534" spans="1:8" ht="17.25">
      <c r="B1534" s="140" t="e">
        <f>+H1534</f>
        <v>#REF!</v>
      </c>
      <c r="C1534" s="27" t="s">
        <v>3801</v>
      </c>
      <c r="D1534" s="99" t="e">
        <f>INT(B1534/B1535*100)/100</f>
        <v>#REF!</v>
      </c>
      <c r="E1534" s="1" t="s">
        <v>3006</v>
      </c>
      <c r="F1534" s="40" t="s">
        <v>1494</v>
      </c>
      <c r="G1534" s="40"/>
      <c r="H1534" s="99" t="e">
        <f>SUM(H1532:H1533)</f>
        <v>#REF!</v>
      </c>
    </row>
    <row r="1535" spans="1:8" ht="16.5">
      <c r="A1535" s="1"/>
      <c r="B1535" s="88">
        <v>2.1139999999999999</v>
      </c>
      <c r="C1535" s="1"/>
      <c r="D1535" s="1"/>
      <c r="E1535" s="1"/>
      <c r="F1535" s="1"/>
      <c r="G1535" s="1"/>
      <c r="H1535" s="1"/>
    </row>
    <row r="1536" spans="1:8" ht="20.25">
      <c r="A1536" s="260">
        <f>A1519+1</f>
        <v>90</v>
      </c>
      <c r="B1536" s="877" t="s">
        <v>1387</v>
      </c>
      <c r="C1536" s="878"/>
      <c r="D1536" s="878"/>
      <c r="E1536" s="878"/>
      <c r="F1536" s="878"/>
      <c r="G1536" s="878"/>
      <c r="H1536" s="878"/>
    </row>
    <row r="1537" spans="1:8" ht="19.5">
      <c r="A1537" s="582" t="s">
        <v>3635</v>
      </c>
      <c r="B1537" s="877" t="s">
        <v>1012</v>
      </c>
      <c r="C1537" s="878"/>
      <c r="D1537" s="878"/>
      <c r="E1537" s="878"/>
      <c r="F1537" s="878"/>
      <c r="G1537" s="878"/>
      <c r="H1537" s="878"/>
    </row>
    <row r="1538" spans="1:8" ht="15">
      <c r="A1538" s="1"/>
      <c r="B1538" s="885" t="s">
        <v>1257</v>
      </c>
      <c r="C1538" s="885"/>
      <c r="D1538" s="885"/>
      <c r="E1538" s="885"/>
      <c r="F1538" s="885"/>
      <c r="G1538" s="885"/>
      <c r="H1538" s="885"/>
    </row>
    <row r="1539" spans="1:8" ht="31.5">
      <c r="A1539" s="1"/>
      <c r="B1539" s="68" t="s">
        <v>2966</v>
      </c>
      <c r="C1539" s="68" t="s">
        <v>2967</v>
      </c>
      <c r="D1539" s="68" t="s">
        <v>2968</v>
      </c>
      <c r="E1539" s="68" t="s">
        <v>2969</v>
      </c>
      <c r="F1539" s="68" t="s">
        <v>2970</v>
      </c>
      <c r="G1539" s="68" t="s">
        <v>2971</v>
      </c>
      <c r="H1539" s="68" t="s">
        <v>1487</v>
      </c>
    </row>
    <row r="1540" spans="1:8" ht="17.25">
      <c r="A1540" s="1"/>
      <c r="B1540" s="889" t="s">
        <v>1488</v>
      </c>
      <c r="C1540" s="58" t="s">
        <v>516</v>
      </c>
      <c r="D1540" s="48">
        <v>9</v>
      </c>
      <c r="E1540" s="55" t="s">
        <v>1490</v>
      </c>
      <c r="F1540" s="107" t="e">
        <f>#REF!</f>
        <v>#REF!</v>
      </c>
      <c r="G1540" s="107" t="e">
        <f t="shared" ref="G1540:G1546" si="46">FLOOR(D1540*F1540,0.01)</f>
        <v>#REF!</v>
      </c>
      <c r="H1540" s="108"/>
    </row>
    <row r="1541" spans="1:8" ht="17.25">
      <c r="A1541" s="1"/>
      <c r="B1541" s="887"/>
      <c r="C1541" s="56" t="s">
        <v>1433</v>
      </c>
      <c r="D1541" s="43">
        <v>0.9</v>
      </c>
      <c r="E1541" s="56" t="s">
        <v>1490</v>
      </c>
      <c r="F1541" s="109" t="e">
        <f>#REF!</f>
        <v>#REF!</v>
      </c>
      <c r="G1541" s="63" t="e">
        <f t="shared" si="46"/>
        <v>#REF!</v>
      </c>
      <c r="H1541" s="121" t="e">
        <f>SUM(G1540+G1541)</f>
        <v>#REF!</v>
      </c>
    </row>
    <row r="1542" spans="1:8" ht="17.25">
      <c r="A1542" s="1"/>
      <c r="B1542" s="886" t="s">
        <v>2055</v>
      </c>
      <c r="C1542" s="55" t="s">
        <v>1618</v>
      </c>
      <c r="D1542" s="46">
        <v>4.9000000000000002E-2</v>
      </c>
      <c r="E1542" s="55" t="s">
        <v>2232</v>
      </c>
      <c r="F1542" s="110" t="e">
        <f>#REF!</f>
        <v>#REF!</v>
      </c>
      <c r="G1542" s="109" t="e">
        <f t="shared" si="46"/>
        <v>#REF!</v>
      </c>
      <c r="H1542" s="84"/>
    </row>
    <row r="1543" spans="1:8" ht="17.25">
      <c r="A1543" s="1"/>
      <c r="B1543" s="894"/>
      <c r="C1543" s="53" t="s">
        <v>1013</v>
      </c>
      <c r="D1543" s="52">
        <v>1.085</v>
      </c>
      <c r="E1543" s="53" t="s">
        <v>2807</v>
      </c>
      <c r="F1543" s="109" t="e">
        <f>glass4</f>
        <v>#REF!</v>
      </c>
      <c r="G1543" s="109" t="e">
        <f t="shared" si="46"/>
        <v>#REF!</v>
      </c>
      <c r="H1543" s="86"/>
    </row>
    <row r="1544" spans="1:8" ht="17.25">
      <c r="A1544" s="1"/>
      <c r="B1544" s="894"/>
      <c r="C1544" s="53" t="s">
        <v>1619</v>
      </c>
      <c r="D1544" s="42">
        <v>8</v>
      </c>
      <c r="E1544" s="53" t="s">
        <v>699</v>
      </c>
      <c r="F1544" s="109" t="e">
        <f>kabja75</f>
        <v>#REF!</v>
      </c>
      <c r="G1544" s="109" t="e">
        <f t="shared" si="46"/>
        <v>#REF!</v>
      </c>
      <c r="H1544" s="86"/>
    </row>
    <row r="1545" spans="1:8" ht="17.25">
      <c r="A1545" s="1"/>
      <c r="B1545" s="894"/>
      <c r="C1545" s="53" t="s">
        <v>1620</v>
      </c>
      <c r="D1545" s="42">
        <v>4</v>
      </c>
      <c r="E1545" s="53" t="s">
        <v>699</v>
      </c>
      <c r="F1545" s="109" t="e">
        <f>cheskini100</f>
        <v>#REF!</v>
      </c>
      <c r="G1545" s="109" t="e">
        <f t="shared" si="46"/>
        <v>#REF!</v>
      </c>
      <c r="H1545" s="86"/>
    </row>
    <row r="1546" spans="1:8" ht="17.25">
      <c r="A1546" s="1"/>
      <c r="B1546" s="894"/>
      <c r="C1546" s="53" t="s">
        <v>1913</v>
      </c>
      <c r="D1546" s="42">
        <v>2</v>
      </c>
      <c r="E1546" s="53" t="s">
        <v>699</v>
      </c>
      <c r="F1546" s="109" t="e">
        <f>shandle</f>
        <v>#REF!</v>
      </c>
      <c r="G1546" s="109" t="e">
        <f t="shared" si="46"/>
        <v>#REF!</v>
      </c>
      <c r="H1546" s="86"/>
    </row>
    <row r="1547" spans="1:8" ht="17.25">
      <c r="A1547" s="1"/>
      <c r="B1547" s="895"/>
      <c r="C1547" s="56" t="s">
        <v>1933</v>
      </c>
      <c r="D1547" s="56" t="s">
        <v>67</v>
      </c>
      <c r="E1547" s="56" t="s">
        <v>2810</v>
      </c>
      <c r="F1547" s="63"/>
      <c r="G1547" s="63">
        <v>35</v>
      </c>
      <c r="H1547" s="123" t="e">
        <f>SUM(G1542:G1547)</f>
        <v>#REF!</v>
      </c>
    </row>
    <row r="1548" spans="1:8" ht="17.25">
      <c r="A1548" s="1"/>
      <c r="B1548" s="1"/>
      <c r="C1548" s="1"/>
      <c r="D1548" s="1"/>
      <c r="E1548" s="1"/>
      <c r="F1548" s="40" t="s">
        <v>1491</v>
      </c>
      <c r="G1548" s="40"/>
      <c r="H1548" s="63" t="e">
        <f>SUM(H1541:H1547)</f>
        <v>#REF!</v>
      </c>
    </row>
    <row r="1549" spans="1:8" ht="17.25">
      <c r="A1549" s="1"/>
      <c r="B1549" s="3" t="s">
        <v>1493</v>
      </c>
      <c r="C1549" s="1"/>
      <c r="D1549" s="1"/>
      <c r="E1549" s="1"/>
      <c r="F1549" s="40" t="s">
        <v>1472</v>
      </c>
      <c r="G1549" s="40"/>
      <c r="H1549" s="99" t="e">
        <f>FLOOR(H1548*0.15,0.01)</f>
        <v>#REF!</v>
      </c>
    </row>
    <row r="1550" spans="1:8" ht="17.25">
      <c r="B1550" s="140" t="e">
        <f>+H1550</f>
        <v>#REF!</v>
      </c>
      <c r="C1550" s="27" t="s">
        <v>3005</v>
      </c>
      <c r="D1550" s="99" t="e">
        <f>INT(B1550/B1551*100)/100</f>
        <v>#REF!</v>
      </c>
      <c r="E1550" s="1" t="s">
        <v>3006</v>
      </c>
      <c r="F1550" s="40" t="s">
        <v>1494</v>
      </c>
      <c r="G1550" s="40"/>
      <c r="H1550" s="99" t="e">
        <f>SUM(H1548:H1549)</f>
        <v>#REF!</v>
      </c>
    </row>
    <row r="1551" spans="1:8" ht="16.5">
      <c r="A1551" s="1"/>
      <c r="B1551" s="88">
        <v>2.23</v>
      </c>
      <c r="C1551" s="1"/>
      <c r="D1551" s="1"/>
      <c r="E1551" s="1"/>
      <c r="F1551" s="1"/>
      <c r="G1551" s="1"/>
      <c r="H1551" s="19"/>
    </row>
    <row r="1552" spans="1:8" ht="16.5">
      <c r="A1552" s="144" t="s">
        <v>3349</v>
      </c>
      <c r="B1552" s="88"/>
      <c r="C1552" s="1"/>
      <c r="D1552" s="1"/>
      <c r="E1552" s="1"/>
      <c r="F1552" s="1"/>
      <c r="G1552" s="1"/>
      <c r="H1552" s="19"/>
    </row>
    <row r="1553" spans="1:8" ht="16.5">
      <c r="A1553" s="144"/>
      <c r="B1553" s="88"/>
      <c r="C1553" s="1"/>
      <c r="D1553" s="1"/>
      <c r="E1553" s="1"/>
      <c r="F1553" s="1"/>
      <c r="G1553" s="1"/>
      <c r="H1553" s="19"/>
    </row>
    <row r="1554" spans="1:8" ht="16.5">
      <c r="A1554" s="144"/>
      <c r="B1554" s="88"/>
      <c r="C1554" s="1"/>
      <c r="D1554" s="1"/>
      <c r="E1554" s="1"/>
      <c r="F1554" s="1"/>
      <c r="G1554" s="1"/>
      <c r="H1554" s="19"/>
    </row>
    <row r="1555" spans="1:8" ht="16.5">
      <c r="A1555" s="144"/>
      <c r="B1555" s="88"/>
      <c r="C1555" s="1"/>
      <c r="D1555" s="1"/>
      <c r="E1555" s="1"/>
      <c r="F1555" s="1"/>
      <c r="G1555" s="1"/>
      <c r="H1555" s="19"/>
    </row>
    <row r="1556" spans="1:8" ht="16.5">
      <c r="A1556" s="144"/>
      <c r="B1556" s="88"/>
      <c r="C1556" s="1"/>
      <c r="D1556" s="1"/>
      <c r="E1556" s="1"/>
      <c r="F1556" s="1"/>
      <c r="G1556" s="1"/>
      <c r="H1556" s="19"/>
    </row>
    <row r="1557" spans="1:8" ht="16.5">
      <c r="A1557" s="144"/>
      <c r="B1557" s="88"/>
      <c r="C1557" s="1"/>
      <c r="D1557" s="1"/>
      <c r="E1557" s="1"/>
      <c r="F1557" s="1"/>
      <c r="G1557" s="1"/>
      <c r="H1557" s="19"/>
    </row>
    <row r="1558" spans="1:8" ht="16.5">
      <c r="A1558" s="144"/>
      <c r="B1558" s="88"/>
      <c r="C1558" s="1"/>
      <c r="D1558" s="1"/>
      <c r="E1558" s="1"/>
      <c r="F1558" s="1"/>
      <c r="G1558" s="1"/>
      <c r="H1558" s="19"/>
    </row>
    <row r="1559" spans="1:8" ht="16.5">
      <c r="A1559" s="1"/>
      <c r="B1559" s="88"/>
      <c r="C1559" s="1"/>
      <c r="D1559" s="1"/>
      <c r="E1559" s="1"/>
      <c r="F1559" s="1"/>
      <c r="G1559" s="1"/>
      <c r="H1559" s="19"/>
    </row>
    <row r="1560" spans="1:8" ht="20.25">
      <c r="A1560" s="260">
        <f>+A1536+1</f>
        <v>91</v>
      </c>
      <c r="B1560" s="878" t="s">
        <v>1617</v>
      </c>
      <c r="C1560" s="878"/>
      <c r="D1560" s="878"/>
      <c r="E1560" s="878"/>
      <c r="F1560" s="878"/>
      <c r="G1560" s="878"/>
      <c r="H1560" s="878"/>
    </row>
    <row r="1561" spans="1:8" ht="19.5">
      <c r="A1561" s="582" t="s">
        <v>3635</v>
      </c>
      <c r="B1561" s="877" t="s">
        <v>3007</v>
      </c>
      <c r="C1561" s="878"/>
      <c r="D1561" s="878"/>
      <c r="E1561" s="878"/>
      <c r="F1561" s="878"/>
      <c r="G1561" s="878"/>
      <c r="H1561" s="878"/>
    </row>
    <row r="1562" spans="1:8" ht="15">
      <c r="A1562" s="1"/>
      <c r="B1562" s="885" t="s">
        <v>1257</v>
      </c>
      <c r="C1562" s="885"/>
      <c r="D1562" s="885"/>
      <c r="E1562" s="885"/>
      <c r="F1562" s="885"/>
      <c r="G1562" s="885"/>
      <c r="H1562" s="885"/>
    </row>
    <row r="1563" spans="1:8" ht="31.5">
      <c r="A1563" s="1"/>
      <c r="B1563" s="68" t="s">
        <v>2966</v>
      </c>
      <c r="C1563" s="68" t="s">
        <v>2967</v>
      </c>
      <c r="D1563" s="68" t="s">
        <v>2968</v>
      </c>
      <c r="E1563" s="68" t="s">
        <v>2969</v>
      </c>
      <c r="F1563" s="68" t="s">
        <v>2970</v>
      </c>
      <c r="G1563" s="68" t="s">
        <v>2971</v>
      </c>
      <c r="H1563" s="68" t="s">
        <v>1487</v>
      </c>
    </row>
    <row r="1564" spans="1:8" ht="17.25">
      <c r="A1564" s="1"/>
      <c r="B1564" s="889" t="s">
        <v>1488</v>
      </c>
      <c r="C1564" s="58" t="s">
        <v>516</v>
      </c>
      <c r="D1564" s="41">
        <v>9</v>
      </c>
      <c r="E1564" s="55" t="s">
        <v>1490</v>
      </c>
      <c r="F1564" s="107" t="e">
        <f>#REF!</f>
        <v>#REF!</v>
      </c>
      <c r="G1564" s="107" t="e">
        <f t="shared" ref="G1564:G1570" si="47">FLOOR(D1564*F1564,0.01)</f>
        <v>#REF!</v>
      </c>
      <c r="H1564" s="108"/>
    </row>
    <row r="1565" spans="1:8" ht="17.25">
      <c r="A1565" s="1"/>
      <c r="B1565" s="887"/>
      <c r="C1565" s="56" t="s">
        <v>1433</v>
      </c>
      <c r="D1565" s="43">
        <v>0.9</v>
      </c>
      <c r="E1565" s="56" t="s">
        <v>1490</v>
      </c>
      <c r="F1565" s="109" t="e">
        <f>#REF!</f>
        <v>#REF!</v>
      </c>
      <c r="G1565" s="63" t="e">
        <f t="shared" si="47"/>
        <v>#REF!</v>
      </c>
      <c r="H1565" s="121" t="e">
        <f>SUM(G1564+G1565)</f>
        <v>#REF!</v>
      </c>
    </row>
    <row r="1566" spans="1:8" ht="17.25">
      <c r="A1566" s="1"/>
      <c r="B1566" s="886" t="s">
        <v>2055</v>
      </c>
      <c r="C1566" s="55" t="s">
        <v>1618</v>
      </c>
      <c r="D1566" s="46">
        <v>4.9000000000000002E-2</v>
      </c>
      <c r="E1566" s="55" t="s">
        <v>2232</v>
      </c>
      <c r="F1566" s="110" t="e">
        <f>#REF!</f>
        <v>#REF!</v>
      </c>
      <c r="G1566" s="109" t="e">
        <f t="shared" si="47"/>
        <v>#REF!</v>
      </c>
      <c r="H1566" s="84"/>
    </row>
    <row r="1567" spans="1:8" ht="17.25">
      <c r="A1567" s="1"/>
      <c r="B1567" s="894"/>
      <c r="C1567" s="53" t="s">
        <v>2921</v>
      </c>
      <c r="D1567" s="52">
        <v>1.085</v>
      </c>
      <c r="E1567" s="53" t="s">
        <v>2807</v>
      </c>
      <c r="F1567" s="109" t="e">
        <f>#REF!</f>
        <v>#REF!</v>
      </c>
      <c r="G1567" s="109" t="e">
        <f t="shared" si="47"/>
        <v>#REF!</v>
      </c>
      <c r="H1567" s="86"/>
    </row>
    <row r="1568" spans="1:8" ht="17.25">
      <c r="A1568" s="1"/>
      <c r="B1568" s="894"/>
      <c r="C1568" s="53" t="s">
        <v>1619</v>
      </c>
      <c r="D1568" s="42">
        <v>8</v>
      </c>
      <c r="E1568" s="53" t="s">
        <v>699</v>
      </c>
      <c r="F1568" s="109" t="e">
        <f>kabja75</f>
        <v>#REF!</v>
      </c>
      <c r="G1568" s="109" t="e">
        <f t="shared" si="47"/>
        <v>#REF!</v>
      </c>
      <c r="H1568" s="86"/>
    </row>
    <row r="1569" spans="1:8" ht="17.25">
      <c r="A1569" s="1"/>
      <c r="B1569" s="894"/>
      <c r="C1569" s="53" t="s">
        <v>1620</v>
      </c>
      <c r="D1569" s="42">
        <v>4</v>
      </c>
      <c r="E1569" s="53" t="s">
        <v>699</v>
      </c>
      <c r="F1569" s="109" t="e">
        <f>cheskini100</f>
        <v>#REF!</v>
      </c>
      <c r="G1569" s="109" t="e">
        <f t="shared" si="47"/>
        <v>#REF!</v>
      </c>
      <c r="H1569" s="86"/>
    </row>
    <row r="1570" spans="1:8" ht="17.25">
      <c r="A1570" s="1"/>
      <c r="B1570" s="894"/>
      <c r="C1570" s="53" t="s">
        <v>3003</v>
      </c>
      <c r="D1570" s="42">
        <v>2</v>
      </c>
      <c r="E1570" s="53" t="s">
        <v>699</v>
      </c>
      <c r="F1570" s="109" t="e">
        <f>shandle</f>
        <v>#REF!</v>
      </c>
      <c r="G1570" s="109" t="e">
        <f t="shared" si="47"/>
        <v>#REF!</v>
      </c>
      <c r="H1570" s="86"/>
    </row>
    <row r="1571" spans="1:8" ht="17.25">
      <c r="A1571" s="1"/>
      <c r="B1571" s="895"/>
      <c r="C1571" s="56" t="s">
        <v>1933</v>
      </c>
      <c r="D1571" s="56" t="s">
        <v>67</v>
      </c>
      <c r="E1571" s="56" t="s">
        <v>2810</v>
      </c>
      <c r="F1571" s="63"/>
      <c r="G1571" s="63">
        <v>35</v>
      </c>
      <c r="H1571" s="123" t="e">
        <f>SUM(G1566:G1571)</f>
        <v>#REF!</v>
      </c>
    </row>
    <row r="1572" spans="1:8" ht="17.25">
      <c r="A1572" s="1"/>
      <c r="B1572" s="1"/>
      <c r="C1572" s="1"/>
      <c r="D1572" s="1"/>
      <c r="E1572" s="1"/>
      <c r="F1572" s="40" t="s">
        <v>1491</v>
      </c>
      <c r="G1572" s="40"/>
      <c r="H1572" s="63" t="e">
        <f>SUM(H1571,H1565)</f>
        <v>#REF!</v>
      </c>
    </row>
    <row r="1573" spans="1:8" ht="17.25">
      <c r="A1573" s="1"/>
      <c r="B1573" s="3" t="s">
        <v>1493</v>
      </c>
      <c r="C1573" s="1"/>
      <c r="D1573" s="1"/>
      <c r="E1573" s="1"/>
      <c r="F1573" s="40" t="s">
        <v>1472</v>
      </c>
      <c r="G1573" s="40"/>
      <c r="H1573" s="99" t="e">
        <f>FLOOR(H1572*0.15,0.01)</f>
        <v>#REF!</v>
      </c>
    </row>
    <row r="1574" spans="1:8" ht="17.25">
      <c r="B1574" s="140" t="e">
        <f>+H1574</f>
        <v>#REF!</v>
      </c>
      <c r="C1574" s="27" t="s">
        <v>3005</v>
      </c>
      <c r="D1574" s="99" t="e">
        <f>INT(B1574/B1575*100)/100</f>
        <v>#REF!</v>
      </c>
      <c r="E1574" s="1" t="s">
        <v>3006</v>
      </c>
      <c r="F1574" s="40" t="s">
        <v>1494</v>
      </c>
      <c r="G1574" s="40"/>
      <c r="H1574" s="99" t="e">
        <f>SUM(H1572:H1573)</f>
        <v>#REF!</v>
      </c>
    </row>
    <row r="1575" spans="1:8" ht="16.5">
      <c r="A1575" s="27"/>
      <c r="B1575" s="88">
        <v>2.23</v>
      </c>
      <c r="C1575" s="1"/>
      <c r="D1575" s="1"/>
      <c r="E1575" s="1"/>
      <c r="F1575" s="1"/>
      <c r="G1575" s="1"/>
      <c r="H1575" s="19"/>
    </row>
    <row r="1576" spans="1:8" ht="16.5">
      <c r="A1576" s="27"/>
      <c r="B1576" s="88"/>
      <c r="C1576" s="1"/>
      <c r="D1576" s="1"/>
      <c r="E1576" s="1"/>
      <c r="F1576" s="1"/>
      <c r="G1576" s="1"/>
      <c r="H1576" s="19"/>
    </row>
    <row r="1577" spans="1:8" ht="16.5">
      <c r="A1577" s="1"/>
      <c r="B1577" s="88"/>
      <c r="C1577" s="1"/>
      <c r="D1577" s="1"/>
      <c r="E1577" s="1"/>
      <c r="F1577" s="1"/>
      <c r="G1577" s="1"/>
      <c r="H1577" s="1"/>
    </row>
    <row r="1578" spans="1:8" ht="19.5">
      <c r="A1578" s="1"/>
      <c r="B1578" s="878" t="s">
        <v>2095</v>
      </c>
      <c r="C1578" s="878"/>
      <c r="D1578" s="878"/>
      <c r="E1578" s="878"/>
      <c r="F1578" s="878"/>
      <c r="G1578" s="878"/>
      <c r="H1578" s="878"/>
    </row>
    <row r="1579" spans="1:8" ht="20.25">
      <c r="A1579" s="260">
        <f>A1560+1</f>
        <v>92</v>
      </c>
      <c r="B1579" s="877" t="s">
        <v>3350</v>
      </c>
      <c r="C1579" s="878"/>
      <c r="D1579" s="878"/>
      <c r="E1579" s="878"/>
      <c r="F1579" s="878"/>
      <c r="G1579" s="878"/>
      <c r="H1579" s="878"/>
    </row>
    <row r="1580" spans="1:8" ht="15.75">
      <c r="A1580" s="582" t="s">
        <v>3636</v>
      </c>
      <c r="B1580" s="928" t="s">
        <v>2242</v>
      </c>
      <c r="C1580" s="885"/>
      <c r="D1580" s="885"/>
      <c r="E1580" s="885"/>
      <c r="F1580" s="885"/>
      <c r="G1580" s="885"/>
      <c r="H1580" s="885"/>
    </row>
    <row r="1581" spans="1:8" ht="31.5">
      <c r="A1581" s="1"/>
      <c r="B1581" s="68" t="s">
        <v>2966</v>
      </c>
      <c r="C1581" s="68" t="s">
        <v>2967</v>
      </c>
      <c r="D1581" s="68" t="s">
        <v>2968</v>
      </c>
      <c r="E1581" s="68" t="s">
        <v>2969</v>
      </c>
      <c r="F1581" s="68" t="s">
        <v>2970</v>
      </c>
      <c r="G1581" s="68" t="s">
        <v>2971</v>
      </c>
      <c r="H1581" s="68" t="s">
        <v>1487</v>
      </c>
    </row>
    <row r="1582" spans="1:8" ht="17.25">
      <c r="A1582" s="1"/>
      <c r="B1582" s="889" t="s">
        <v>1488</v>
      </c>
      <c r="C1582" s="58" t="s">
        <v>516</v>
      </c>
      <c r="D1582" s="41">
        <v>7</v>
      </c>
      <c r="E1582" s="55" t="s">
        <v>1490</v>
      </c>
      <c r="F1582" s="107" t="e">
        <f>#REF!</f>
        <v>#REF!</v>
      </c>
      <c r="G1582" s="107" t="e">
        <f t="shared" ref="G1582:G1588" si="48">FLOOR(D1582*F1582,0.01)</f>
        <v>#REF!</v>
      </c>
      <c r="H1582" s="108"/>
    </row>
    <row r="1583" spans="1:8" ht="17.25">
      <c r="A1583" s="1"/>
      <c r="B1583" s="887"/>
      <c r="C1583" s="56" t="s">
        <v>1433</v>
      </c>
      <c r="D1583" s="43">
        <v>0.7</v>
      </c>
      <c r="E1583" s="56" t="s">
        <v>1490</v>
      </c>
      <c r="F1583" s="109" t="e">
        <f>#REF!</f>
        <v>#REF!</v>
      </c>
      <c r="G1583" s="63" t="e">
        <f t="shared" si="48"/>
        <v>#REF!</v>
      </c>
      <c r="H1583" s="121" t="e">
        <f>SUM(G1582+G1583)</f>
        <v>#REF!</v>
      </c>
    </row>
    <row r="1584" spans="1:8" ht="17.25">
      <c r="A1584" s="1"/>
      <c r="B1584" s="886" t="s">
        <v>2055</v>
      </c>
      <c r="C1584" s="55" t="s">
        <v>1932</v>
      </c>
      <c r="D1584" s="192">
        <v>3.4599999999999999E-2</v>
      </c>
      <c r="E1584" s="55" t="s">
        <v>2232</v>
      </c>
      <c r="F1584" s="110" t="e">
        <f>awood</f>
        <v>#REF!</v>
      </c>
      <c r="G1584" s="109" t="e">
        <f t="shared" si="48"/>
        <v>#REF!</v>
      </c>
      <c r="H1584" s="84"/>
    </row>
    <row r="1585" spans="1:8" ht="17.25">
      <c r="A1585" s="1"/>
      <c r="B1585" s="894"/>
      <c r="C1585" s="53" t="s">
        <v>3351</v>
      </c>
      <c r="D1585" s="52">
        <v>4.6500000000000004</v>
      </c>
      <c r="E1585" s="53" t="s">
        <v>2807</v>
      </c>
      <c r="F1585" s="109" t="e">
        <f>plywood4</f>
        <v>#REF!</v>
      </c>
      <c r="G1585" s="109" t="e">
        <f t="shared" si="48"/>
        <v>#REF!</v>
      </c>
      <c r="H1585" s="86"/>
    </row>
    <row r="1586" spans="1:8" ht="17.25">
      <c r="A1586" s="1"/>
      <c r="B1586" s="894"/>
      <c r="C1586" s="53" t="s">
        <v>2073</v>
      </c>
      <c r="D1586" s="42">
        <v>3</v>
      </c>
      <c r="E1586" s="53" t="s">
        <v>699</v>
      </c>
      <c r="F1586" s="109" t="e">
        <f>Kabja100</f>
        <v>#REF!</v>
      </c>
      <c r="G1586" s="109" t="e">
        <f t="shared" si="48"/>
        <v>#REF!</v>
      </c>
      <c r="H1586" s="86"/>
    </row>
    <row r="1587" spans="1:8" ht="17.25">
      <c r="A1587" s="1"/>
      <c r="B1587" s="894"/>
      <c r="C1587" s="53" t="s">
        <v>2097</v>
      </c>
      <c r="D1587" s="42">
        <v>2</v>
      </c>
      <c r="E1587" s="53" t="s">
        <v>699</v>
      </c>
      <c r="F1587" s="109" t="e">
        <f>cheskini150</f>
        <v>#REF!</v>
      </c>
      <c r="G1587" s="109" t="e">
        <f t="shared" si="48"/>
        <v>#REF!</v>
      </c>
      <c r="H1587" s="86"/>
    </row>
    <row r="1588" spans="1:8" ht="17.25">
      <c r="A1588" s="1"/>
      <c r="B1588" s="894"/>
      <c r="C1588" s="53" t="s">
        <v>2940</v>
      </c>
      <c r="D1588" s="42">
        <v>1</v>
      </c>
      <c r="E1588" s="53" t="s">
        <v>699</v>
      </c>
      <c r="F1588" s="109" t="e">
        <f>moluck</f>
        <v>#REF!</v>
      </c>
      <c r="G1588" s="109" t="e">
        <f t="shared" si="48"/>
        <v>#REF!</v>
      </c>
      <c r="H1588" s="86"/>
    </row>
    <row r="1589" spans="1:8" ht="17.25">
      <c r="A1589" s="1"/>
      <c r="B1589" s="895"/>
      <c r="C1589" s="39" t="s">
        <v>2941</v>
      </c>
      <c r="D1589" s="59" t="s">
        <v>67</v>
      </c>
      <c r="E1589" s="56" t="s">
        <v>2810</v>
      </c>
      <c r="F1589" s="63"/>
      <c r="G1589" s="63">
        <v>45</v>
      </c>
      <c r="H1589" s="123" t="e">
        <f>SUM(G1584:G1589)</f>
        <v>#REF!</v>
      </c>
    </row>
    <row r="1590" spans="1:8" ht="17.25">
      <c r="A1590" s="1"/>
      <c r="B1590" s="1"/>
      <c r="C1590" s="1"/>
      <c r="D1590" s="1"/>
      <c r="E1590" s="1"/>
      <c r="F1590" s="40" t="s">
        <v>1491</v>
      </c>
      <c r="G1590" s="40"/>
      <c r="H1590" s="63" t="e">
        <f>SUM(H1589,H1583)</f>
        <v>#REF!</v>
      </c>
    </row>
    <row r="1591" spans="1:8" ht="17.25">
      <c r="A1591" s="1"/>
      <c r="B1591" s="1" t="s">
        <v>1493</v>
      </c>
      <c r="C1591" s="1"/>
      <c r="D1591" s="1"/>
      <c r="E1591" s="1"/>
      <c r="F1591" s="40" t="s">
        <v>1472</v>
      </c>
      <c r="G1591" s="40"/>
      <c r="H1591" s="99" t="e">
        <f>FLOOR(H1590*0.15,0.01)</f>
        <v>#REF!</v>
      </c>
    </row>
    <row r="1592" spans="1:8" ht="17.25">
      <c r="B1592" s="140" t="e">
        <f>+H1592</f>
        <v>#REF!</v>
      </c>
      <c r="C1592" s="27" t="s">
        <v>3005</v>
      </c>
      <c r="D1592" s="99" t="e">
        <f>INT(B1592/B1593*100)/100</f>
        <v>#REF!</v>
      </c>
      <c r="E1592" s="1" t="s">
        <v>3006</v>
      </c>
      <c r="F1592" s="40" t="s">
        <v>1494</v>
      </c>
      <c r="G1592" s="40"/>
      <c r="H1592" s="99" t="e">
        <f>SUM(H1590:H1591)</f>
        <v>#REF!</v>
      </c>
    </row>
    <row r="1593" spans="1:8" ht="16.5">
      <c r="A1593" s="1"/>
      <c r="B1593" s="88">
        <v>2.2450000000000001</v>
      </c>
      <c r="C1593" s="1"/>
      <c r="D1593" s="1"/>
      <c r="E1593" s="1"/>
      <c r="F1593" s="1"/>
      <c r="G1593" s="1"/>
      <c r="H1593" s="1"/>
    </row>
    <row r="1594" spans="1:8" ht="16.5">
      <c r="A1594" s="1"/>
      <c r="B1594" s="88"/>
      <c r="C1594" s="1"/>
      <c r="D1594" s="1"/>
      <c r="E1594" s="1"/>
      <c r="F1594" s="1"/>
      <c r="G1594" s="1"/>
      <c r="H1594" s="1"/>
    </row>
    <row r="1595" spans="1:8" ht="16.5">
      <c r="A1595" s="1"/>
      <c r="B1595" s="88"/>
      <c r="C1595" s="1"/>
      <c r="D1595" s="1"/>
      <c r="E1595" s="1"/>
      <c r="F1595" s="1"/>
      <c r="G1595" s="1"/>
      <c r="H1595" s="1"/>
    </row>
    <row r="1596" spans="1:8" ht="16.5">
      <c r="A1596" s="1"/>
      <c r="B1596" s="88"/>
      <c r="C1596" s="1"/>
      <c r="D1596" s="1"/>
      <c r="E1596" s="1"/>
      <c r="F1596" s="1"/>
      <c r="G1596" s="1"/>
      <c r="H1596" s="1"/>
    </row>
    <row r="1597" spans="1:8" ht="16.5">
      <c r="A1597" s="1"/>
      <c r="B1597" s="88"/>
      <c r="C1597" s="1"/>
      <c r="D1597" s="1"/>
      <c r="E1597" s="1"/>
      <c r="F1597" s="1"/>
      <c r="G1597" s="1"/>
      <c r="H1597" s="1"/>
    </row>
    <row r="1598" spans="1:8" ht="16.5">
      <c r="A1598" s="1"/>
      <c r="B1598" s="88"/>
      <c r="C1598" s="1"/>
      <c r="D1598" s="1"/>
      <c r="E1598" s="1"/>
      <c r="F1598" s="1"/>
      <c r="G1598" s="1"/>
      <c r="H1598" s="1"/>
    </row>
    <row r="1599" spans="1:8" ht="16.5">
      <c r="A1599" s="1"/>
      <c r="B1599" s="88"/>
      <c r="C1599" s="1"/>
      <c r="D1599" s="1"/>
      <c r="E1599" s="1"/>
      <c r="F1599" s="1"/>
      <c r="G1599" s="1"/>
      <c r="H1599" s="1"/>
    </row>
    <row r="1600" spans="1:8" ht="19.5">
      <c r="A1600" s="1"/>
      <c r="B1600" s="878" t="s">
        <v>2095</v>
      </c>
      <c r="C1600" s="878"/>
      <c r="D1600" s="878"/>
      <c r="E1600" s="878"/>
      <c r="F1600" s="878"/>
      <c r="G1600" s="878"/>
      <c r="H1600" s="878"/>
    </row>
    <row r="1601" spans="1:8" ht="18.75">
      <c r="A1601" s="260">
        <f>+A1579+1</f>
        <v>93</v>
      </c>
      <c r="B1601" s="891" t="s">
        <v>3352</v>
      </c>
      <c r="C1601" s="891"/>
      <c r="D1601" s="891"/>
      <c r="E1601" s="891"/>
      <c r="F1601" s="891"/>
      <c r="G1601" s="891"/>
      <c r="H1601" s="891"/>
    </row>
    <row r="1602" spans="1:8" ht="15.75">
      <c r="A1602" s="582" t="s">
        <v>3636</v>
      </c>
      <c r="B1602" s="879" t="s">
        <v>2242</v>
      </c>
      <c r="C1602" s="879"/>
      <c r="D1602" s="879"/>
      <c r="E1602" s="879"/>
      <c r="F1602" s="879"/>
      <c r="G1602" s="879"/>
      <c r="H1602" s="879"/>
    </row>
    <row r="1603" spans="1:8" ht="31.5">
      <c r="A1603" s="1"/>
      <c r="B1603" s="68" t="s">
        <v>2966</v>
      </c>
      <c r="C1603" s="68" t="s">
        <v>2967</v>
      </c>
      <c r="D1603" s="68" t="s">
        <v>2968</v>
      </c>
      <c r="E1603" s="68" t="s">
        <v>2969</v>
      </c>
      <c r="F1603" s="68" t="s">
        <v>2970</v>
      </c>
      <c r="G1603" s="68" t="s">
        <v>2971</v>
      </c>
      <c r="H1603" s="68" t="s">
        <v>1487</v>
      </c>
    </row>
    <row r="1604" spans="1:8" ht="17.25">
      <c r="A1604" s="1"/>
      <c r="B1604" s="889" t="s">
        <v>1488</v>
      </c>
      <c r="C1604" s="58" t="s">
        <v>516</v>
      </c>
      <c r="D1604" s="41">
        <v>7</v>
      </c>
      <c r="E1604" s="55" t="s">
        <v>1490</v>
      </c>
      <c r="F1604" s="107" t="e">
        <f>F1582</f>
        <v>#REF!</v>
      </c>
      <c r="G1604" s="107" t="e">
        <f t="shared" ref="G1604:G1611" si="49">FLOOR(D1604*F1604,0.01)</f>
        <v>#REF!</v>
      </c>
      <c r="H1604" s="108"/>
    </row>
    <row r="1605" spans="1:8" ht="17.25">
      <c r="A1605" s="1"/>
      <c r="B1605" s="887"/>
      <c r="C1605" s="56" t="s">
        <v>1433</v>
      </c>
      <c r="D1605" s="43">
        <v>0.7</v>
      </c>
      <c r="E1605" s="56" t="s">
        <v>1490</v>
      </c>
      <c r="F1605" s="109" t="e">
        <f>F1583</f>
        <v>#REF!</v>
      </c>
      <c r="G1605" s="63" t="e">
        <f t="shared" si="49"/>
        <v>#REF!</v>
      </c>
      <c r="H1605" s="121" t="e">
        <f>SUM(G1604+G1605)</f>
        <v>#REF!</v>
      </c>
    </row>
    <row r="1606" spans="1:8" ht="17.25">
      <c r="A1606" s="1"/>
      <c r="B1606" s="886" t="s">
        <v>2055</v>
      </c>
      <c r="C1606" s="55" t="s">
        <v>1932</v>
      </c>
      <c r="D1606" s="192">
        <v>3.4599999999999999E-2</v>
      </c>
      <c r="E1606" s="55" t="s">
        <v>2232</v>
      </c>
      <c r="F1606" s="110" t="e">
        <f>F1584</f>
        <v>#REF!</v>
      </c>
      <c r="G1606" s="109" t="e">
        <f t="shared" si="49"/>
        <v>#REF!</v>
      </c>
      <c r="H1606" s="84"/>
    </row>
    <row r="1607" spans="1:8" ht="31.5">
      <c r="A1607" s="1"/>
      <c r="B1607" s="894"/>
      <c r="C1607" s="60" t="s">
        <v>1597</v>
      </c>
      <c r="D1607" s="52">
        <v>2.3250000000000002</v>
      </c>
      <c r="E1607" s="53" t="s">
        <v>2807</v>
      </c>
      <c r="F1607" s="109" t="e">
        <f>#REF!</f>
        <v>#REF!</v>
      </c>
      <c r="G1607" s="109" t="e">
        <f t="shared" si="49"/>
        <v>#REF!</v>
      </c>
      <c r="H1607" s="86"/>
    </row>
    <row r="1608" spans="1:8" ht="31.5">
      <c r="A1608" s="1"/>
      <c r="B1608" s="894"/>
      <c r="C1608" s="60" t="s">
        <v>3353</v>
      </c>
      <c r="D1608" s="52">
        <v>2.3250000000000002</v>
      </c>
      <c r="E1608" s="53" t="s">
        <v>2807</v>
      </c>
      <c r="F1608" s="109" t="e">
        <f>#REF!</f>
        <v>#REF!</v>
      </c>
      <c r="G1608" s="109" t="e">
        <f t="shared" si="49"/>
        <v>#REF!</v>
      </c>
      <c r="H1608" s="86"/>
    </row>
    <row r="1609" spans="1:8" ht="17.25">
      <c r="A1609" s="1"/>
      <c r="B1609" s="894"/>
      <c r="C1609" s="53" t="s">
        <v>2073</v>
      </c>
      <c r="D1609" s="42">
        <v>3</v>
      </c>
      <c r="E1609" s="53" t="s">
        <v>699</v>
      </c>
      <c r="F1609" s="109" t="e">
        <f>$F$1586</f>
        <v>#REF!</v>
      </c>
      <c r="G1609" s="109" t="e">
        <f t="shared" si="49"/>
        <v>#REF!</v>
      </c>
      <c r="H1609" s="86"/>
    </row>
    <row r="1610" spans="1:8" ht="17.25">
      <c r="A1610" s="1"/>
      <c r="B1610" s="894"/>
      <c r="C1610" s="53" t="s">
        <v>2097</v>
      </c>
      <c r="D1610" s="42">
        <v>2</v>
      </c>
      <c r="E1610" s="53" t="s">
        <v>699</v>
      </c>
      <c r="F1610" s="109" t="e">
        <f>F1587</f>
        <v>#REF!</v>
      </c>
      <c r="G1610" s="109" t="e">
        <f t="shared" si="49"/>
        <v>#REF!</v>
      </c>
      <c r="H1610" s="86"/>
    </row>
    <row r="1611" spans="1:8" ht="17.25">
      <c r="A1611" s="1"/>
      <c r="B1611" s="894"/>
      <c r="C1611" s="53" t="s">
        <v>2940</v>
      </c>
      <c r="D1611" s="42">
        <v>1</v>
      </c>
      <c r="E1611" s="53" t="s">
        <v>699</v>
      </c>
      <c r="F1611" s="109" t="e">
        <f>F1588</f>
        <v>#REF!</v>
      </c>
      <c r="G1611" s="109" t="e">
        <f t="shared" si="49"/>
        <v>#REF!</v>
      </c>
      <c r="H1611" s="86"/>
    </row>
    <row r="1612" spans="1:8" ht="17.25">
      <c r="A1612" s="1"/>
      <c r="B1612" s="895"/>
      <c r="C1612" s="39" t="s">
        <v>2941</v>
      </c>
      <c r="D1612" s="59" t="s">
        <v>2808</v>
      </c>
      <c r="E1612" s="56" t="s">
        <v>2810</v>
      </c>
      <c r="F1612" s="63"/>
      <c r="G1612" s="63">
        <v>45</v>
      </c>
      <c r="H1612" s="123" t="e">
        <f>SUM(G1606:G1612)</f>
        <v>#REF!</v>
      </c>
    </row>
    <row r="1613" spans="1:8" ht="17.25">
      <c r="A1613" s="1"/>
      <c r="B1613" s="1"/>
      <c r="C1613" s="1"/>
      <c r="D1613" s="1"/>
      <c r="E1613" s="1"/>
      <c r="F1613" s="40" t="s">
        <v>1491</v>
      </c>
      <c r="G1613" s="40"/>
      <c r="H1613" s="63" t="e">
        <f>SUM(H1612,H1605)</f>
        <v>#REF!</v>
      </c>
    </row>
    <row r="1614" spans="1:8" ht="17.25">
      <c r="A1614" s="1"/>
      <c r="B1614" s="1" t="s">
        <v>1493</v>
      </c>
      <c r="C1614" s="1"/>
      <c r="D1614" s="1"/>
      <c r="E1614" s="1"/>
      <c r="F1614" s="40" t="s">
        <v>1472</v>
      </c>
      <c r="G1614" s="40"/>
      <c r="H1614" s="99" t="e">
        <f>FLOOR(H1613*0.15,0.01)</f>
        <v>#REF!</v>
      </c>
    </row>
    <row r="1615" spans="1:8" ht="17.25">
      <c r="B1615" s="140" t="e">
        <f>+H1615</f>
        <v>#REF!</v>
      </c>
      <c r="C1615" s="27" t="s">
        <v>3005</v>
      </c>
      <c r="D1615" s="99" t="e">
        <f>INT(B1615/B1616*100)/100</f>
        <v>#REF!</v>
      </c>
      <c r="E1615" s="1" t="s">
        <v>3006</v>
      </c>
      <c r="F1615" s="40" t="s">
        <v>1494</v>
      </c>
      <c r="G1615" s="40"/>
      <c r="H1615" s="99" t="e">
        <f>SUM(H1613:H1614)</f>
        <v>#REF!</v>
      </c>
    </row>
    <row r="1616" spans="1:8" ht="16.5">
      <c r="A1616" s="1"/>
      <c r="B1616" s="88">
        <v>2.2450000000000001</v>
      </c>
      <c r="C1616" s="1"/>
      <c r="D1616" s="1"/>
      <c r="E1616" s="1"/>
      <c r="F1616" s="1"/>
      <c r="G1616" s="1"/>
      <c r="H1616" s="1"/>
    </row>
    <row r="1617" spans="1:8" ht="16.5">
      <c r="A1617" s="1"/>
      <c r="B1617" s="88"/>
      <c r="C1617" s="1"/>
      <c r="D1617" s="1"/>
      <c r="E1617" s="1"/>
      <c r="F1617" s="1"/>
      <c r="G1617" s="1"/>
      <c r="H1617" s="1"/>
    </row>
    <row r="1618" spans="1:8" ht="19.5">
      <c r="A1618" s="1"/>
      <c r="B1618" s="878" t="s">
        <v>2095</v>
      </c>
      <c r="C1618" s="878"/>
      <c r="D1618" s="878"/>
      <c r="E1618" s="878"/>
      <c r="F1618" s="878"/>
      <c r="G1618" s="878"/>
      <c r="H1618" s="878"/>
    </row>
    <row r="1619" spans="1:8" ht="20.25">
      <c r="A1619" s="260">
        <f>+A1601+1</f>
        <v>94</v>
      </c>
      <c r="B1619" s="877" t="s">
        <v>878</v>
      </c>
      <c r="C1619" s="878"/>
      <c r="D1619" s="878"/>
      <c r="E1619" s="878"/>
      <c r="F1619" s="878"/>
      <c r="G1619" s="878"/>
      <c r="H1619" s="878"/>
    </row>
    <row r="1620" spans="1:8" ht="15.75">
      <c r="A1620" s="582" t="s">
        <v>3636</v>
      </c>
      <c r="B1620" s="928" t="s">
        <v>2242</v>
      </c>
      <c r="C1620" s="885"/>
      <c r="D1620" s="885"/>
      <c r="E1620" s="885"/>
      <c r="F1620" s="885"/>
      <c r="G1620" s="885"/>
      <c r="H1620" s="885"/>
    </row>
    <row r="1621" spans="1:8" ht="31.5">
      <c r="A1621" s="1"/>
      <c r="B1621" s="68" t="s">
        <v>2966</v>
      </c>
      <c r="C1621" s="68" t="s">
        <v>2967</v>
      </c>
      <c r="D1621" s="68" t="s">
        <v>2968</v>
      </c>
      <c r="E1621" s="68" t="s">
        <v>2969</v>
      </c>
      <c r="F1621" s="68" t="s">
        <v>2970</v>
      </c>
      <c r="G1621" s="68" t="s">
        <v>2971</v>
      </c>
      <c r="H1621" s="68" t="s">
        <v>1487</v>
      </c>
    </row>
    <row r="1622" spans="1:8" ht="17.25">
      <c r="A1622" s="1"/>
      <c r="B1622" s="929" t="s">
        <v>1488</v>
      </c>
      <c r="C1622" s="58" t="s">
        <v>516</v>
      </c>
      <c r="D1622" s="41">
        <v>7</v>
      </c>
      <c r="E1622" s="55" t="s">
        <v>1490</v>
      </c>
      <c r="F1622" s="107" t="e">
        <f>#REF!</f>
        <v>#REF!</v>
      </c>
      <c r="G1622" s="107" t="e">
        <f t="shared" ref="G1622:G1628" si="50">FLOOR(D1622*F1622,0.01)</f>
        <v>#REF!</v>
      </c>
      <c r="H1622" s="108"/>
    </row>
    <row r="1623" spans="1:8" ht="17.25">
      <c r="A1623" s="1"/>
      <c r="B1623" s="887"/>
      <c r="C1623" s="56" t="s">
        <v>1433</v>
      </c>
      <c r="D1623" s="43">
        <v>0.7</v>
      </c>
      <c r="E1623" s="56" t="s">
        <v>1490</v>
      </c>
      <c r="F1623" s="109" t="e">
        <f>#REF!</f>
        <v>#REF!</v>
      </c>
      <c r="G1623" s="63" t="e">
        <f t="shared" si="50"/>
        <v>#REF!</v>
      </c>
      <c r="H1623" s="121" t="e">
        <f>SUM(G1622+G1623)</f>
        <v>#REF!</v>
      </c>
    </row>
    <row r="1624" spans="1:8" ht="17.25">
      <c r="A1624" s="1"/>
      <c r="B1624" s="906" t="s">
        <v>2055</v>
      </c>
      <c r="C1624" s="55" t="s">
        <v>1932</v>
      </c>
      <c r="D1624" s="192">
        <v>3.4599999999999999E-2</v>
      </c>
      <c r="E1624" s="55" t="s">
        <v>2232</v>
      </c>
      <c r="F1624" s="110" t="e">
        <f>awood</f>
        <v>#REF!</v>
      </c>
      <c r="G1624" s="109" t="e">
        <f t="shared" si="50"/>
        <v>#REF!</v>
      </c>
      <c r="H1624" s="84"/>
    </row>
    <row r="1625" spans="1:8" ht="31.5">
      <c r="A1625" s="1"/>
      <c r="B1625" s="907"/>
      <c r="C1625" s="60" t="s">
        <v>879</v>
      </c>
      <c r="D1625" s="42">
        <v>4.6500000000000004</v>
      </c>
      <c r="E1625" s="53" t="s">
        <v>2807</v>
      </c>
      <c r="F1625" s="109" t="e">
        <f>Tikply4</f>
        <v>#REF!</v>
      </c>
      <c r="G1625" s="109" t="e">
        <f t="shared" si="50"/>
        <v>#REF!</v>
      </c>
      <c r="H1625" s="86"/>
    </row>
    <row r="1626" spans="1:8" ht="17.25">
      <c r="A1626" s="1"/>
      <c r="B1626" s="907"/>
      <c r="C1626" s="53" t="s">
        <v>2073</v>
      </c>
      <c r="D1626" s="42">
        <v>3</v>
      </c>
      <c r="E1626" s="53" t="s">
        <v>699</v>
      </c>
      <c r="F1626" s="109" t="e">
        <f>Kabja100</f>
        <v>#REF!</v>
      </c>
      <c r="G1626" s="109" t="e">
        <f t="shared" si="50"/>
        <v>#REF!</v>
      </c>
      <c r="H1626" s="86"/>
    </row>
    <row r="1627" spans="1:8" ht="17.25">
      <c r="A1627" s="1"/>
      <c r="B1627" s="907"/>
      <c r="C1627" s="53" t="s">
        <v>2097</v>
      </c>
      <c r="D1627" s="42">
        <v>2</v>
      </c>
      <c r="E1627" s="53" t="s">
        <v>699</v>
      </c>
      <c r="F1627" s="109" t="e">
        <f>cheskini150</f>
        <v>#REF!</v>
      </c>
      <c r="G1627" s="109" t="e">
        <f t="shared" si="50"/>
        <v>#REF!</v>
      </c>
      <c r="H1627" s="86"/>
    </row>
    <row r="1628" spans="1:8" ht="28.5">
      <c r="A1628" s="1"/>
      <c r="B1628" s="907"/>
      <c r="C1628" s="24" t="s">
        <v>375</v>
      </c>
      <c r="D1628" s="42">
        <v>1</v>
      </c>
      <c r="E1628" s="53" t="s">
        <v>699</v>
      </c>
      <c r="F1628" s="109" t="e">
        <f>moluck</f>
        <v>#REF!</v>
      </c>
      <c r="G1628" s="109" t="e">
        <f t="shared" si="50"/>
        <v>#REF!</v>
      </c>
      <c r="H1628" s="121"/>
    </row>
    <row r="1629" spans="1:8" ht="17.25">
      <c r="A1629" s="1"/>
      <c r="B1629" s="908"/>
      <c r="C1629" s="56" t="s">
        <v>1933</v>
      </c>
      <c r="D1629" s="59" t="s">
        <v>67</v>
      </c>
      <c r="E1629" s="56" t="s">
        <v>2810</v>
      </c>
      <c r="F1629" s="63"/>
      <c r="G1629" s="63">
        <v>45</v>
      </c>
      <c r="H1629" s="123" t="e">
        <f>SUM(G1624:G1629)</f>
        <v>#REF!</v>
      </c>
    </row>
    <row r="1630" spans="1:8" ht="17.25">
      <c r="A1630" s="1"/>
      <c r="B1630" s="1"/>
      <c r="C1630" s="1"/>
      <c r="D1630" s="1"/>
      <c r="E1630" s="1"/>
      <c r="F1630" s="40" t="s">
        <v>1491</v>
      </c>
      <c r="G1630" s="40"/>
      <c r="H1630" s="63" t="e">
        <f>SUM(H1623:H1629)</f>
        <v>#REF!</v>
      </c>
    </row>
    <row r="1631" spans="1:8" ht="17.25">
      <c r="A1631" s="1"/>
      <c r="B1631" s="1" t="s">
        <v>1493</v>
      </c>
      <c r="C1631" s="1"/>
      <c r="D1631" s="1"/>
      <c r="E1631" s="1"/>
      <c r="F1631" s="40" t="s">
        <v>1472</v>
      </c>
      <c r="G1631" s="40"/>
      <c r="H1631" s="99" t="e">
        <f>FLOOR(H1630*0.15,0.01)</f>
        <v>#REF!</v>
      </c>
    </row>
    <row r="1632" spans="1:8" ht="17.25">
      <c r="B1632" s="140" t="e">
        <f>+H1632</f>
        <v>#REF!</v>
      </c>
      <c r="C1632" s="27" t="s">
        <v>3005</v>
      </c>
      <c r="D1632" s="99" t="e">
        <f>INT(B1632/B1633*100)/100</f>
        <v>#REF!</v>
      </c>
      <c r="E1632" s="1" t="s">
        <v>3006</v>
      </c>
      <c r="F1632" s="40" t="s">
        <v>1494</v>
      </c>
      <c r="G1632" s="40"/>
      <c r="H1632" s="99" t="e">
        <f>SUM(H1630:H1631)</f>
        <v>#REF!</v>
      </c>
    </row>
    <row r="1633" spans="1:8" ht="16.5">
      <c r="A1633" s="1"/>
      <c r="B1633" s="88">
        <v>2.2450000000000001</v>
      </c>
      <c r="C1633" s="1"/>
      <c r="D1633" s="1"/>
      <c r="E1633" s="1"/>
      <c r="F1633" s="1"/>
      <c r="G1633" s="1"/>
      <c r="H1633" s="1"/>
    </row>
    <row r="1634" spans="1:8" ht="16.5">
      <c r="A1634" s="1"/>
      <c r="B1634" s="88"/>
      <c r="C1634" s="1"/>
      <c r="D1634" s="1"/>
      <c r="E1634" s="1"/>
      <c r="F1634" s="1"/>
      <c r="G1634" s="1"/>
      <c r="H1634" s="1"/>
    </row>
    <row r="1635" spans="1:8" ht="16.5">
      <c r="A1635" s="1"/>
      <c r="B1635" s="88"/>
      <c r="C1635" s="1"/>
      <c r="D1635" s="1"/>
      <c r="E1635" s="1"/>
      <c r="F1635" s="1"/>
      <c r="G1635" s="1"/>
      <c r="H1635" s="1"/>
    </row>
    <row r="1636" spans="1:8" ht="16.5">
      <c r="A1636" s="1"/>
      <c r="B1636" s="88"/>
      <c r="C1636" s="1"/>
      <c r="D1636" s="1"/>
      <c r="E1636" s="1"/>
      <c r="F1636" s="1"/>
      <c r="G1636" s="1"/>
      <c r="H1636" s="1"/>
    </row>
    <row r="1637" spans="1:8" ht="16.5">
      <c r="A1637" s="1"/>
      <c r="B1637" s="88"/>
      <c r="C1637" s="1"/>
      <c r="D1637" s="1"/>
      <c r="E1637" s="1"/>
      <c r="F1637" s="1"/>
      <c r="G1637" s="1"/>
      <c r="H1637" s="1"/>
    </row>
    <row r="1638" spans="1:8" ht="16.5">
      <c r="A1638" s="1"/>
      <c r="B1638" s="88"/>
      <c r="C1638" s="1"/>
      <c r="D1638" s="1"/>
      <c r="E1638" s="1"/>
      <c r="F1638" s="1"/>
      <c r="G1638" s="1"/>
      <c r="H1638" s="1"/>
    </row>
    <row r="1639" spans="1:8" ht="16.5">
      <c r="A1639" s="1"/>
      <c r="B1639" s="88"/>
      <c r="C1639" s="1"/>
      <c r="D1639" s="1"/>
      <c r="E1639" s="1"/>
      <c r="F1639" s="1"/>
      <c r="G1639" s="1"/>
      <c r="H1639" s="1"/>
    </row>
    <row r="1640" spans="1:8" ht="16.5">
      <c r="A1640" s="1"/>
      <c r="B1640" s="88"/>
      <c r="C1640" s="1"/>
      <c r="D1640" s="1"/>
      <c r="E1640" s="1"/>
      <c r="F1640" s="1"/>
      <c r="G1640" s="1"/>
      <c r="H1640" s="1"/>
    </row>
    <row r="1641" spans="1:8" ht="16.5">
      <c r="A1641" s="1"/>
      <c r="B1641" s="88"/>
      <c r="C1641" s="1"/>
      <c r="D1641" s="1"/>
      <c r="E1641" s="1"/>
      <c r="F1641" s="1"/>
      <c r="G1641" s="1"/>
      <c r="H1641" s="1"/>
    </row>
    <row r="1642" spans="1:8" ht="16.5">
      <c r="A1642" s="1"/>
      <c r="B1642" s="88"/>
      <c r="C1642" s="1"/>
      <c r="D1642" s="1"/>
      <c r="E1642" s="1"/>
      <c r="F1642" s="1"/>
      <c r="G1642" s="1"/>
      <c r="H1642" s="1"/>
    </row>
    <row r="1643" spans="1:8" ht="19.5">
      <c r="A1643" s="1"/>
      <c r="B1643" s="878" t="s">
        <v>2095</v>
      </c>
      <c r="C1643" s="878"/>
      <c r="D1643" s="878"/>
      <c r="E1643" s="878"/>
      <c r="F1643" s="878"/>
      <c r="G1643" s="878"/>
      <c r="H1643" s="878"/>
    </row>
    <row r="1644" spans="1:8" ht="20.25">
      <c r="A1644" s="260">
        <f>+A1619+1</f>
        <v>95</v>
      </c>
      <c r="B1644" s="877" t="s">
        <v>3357</v>
      </c>
      <c r="C1644" s="909"/>
      <c r="D1644" s="909"/>
      <c r="E1644" s="909"/>
      <c r="F1644" s="909"/>
      <c r="G1644" s="909"/>
      <c r="H1644" s="909"/>
    </row>
    <row r="1645" spans="1:8" ht="15.75">
      <c r="A1645" s="582" t="s">
        <v>3636</v>
      </c>
      <c r="B1645" s="928" t="s">
        <v>2242</v>
      </c>
      <c r="C1645" s="885"/>
      <c r="D1645" s="885"/>
      <c r="E1645" s="885"/>
      <c r="F1645" s="885"/>
      <c r="G1645" s="885"/>
      <c r="H1645" s="885"/>
    </row>
    <row r="1646" spans="1:8" ht="31.5">
      <c r="A1646" s="1"/>
      <c r="B1646" s="68" t="s">
        <v>2966</v>
      </c>
      <c r="C1646" s="68" t="s">
        <v>2967</v>
      </c>
      <c r="D1646" s="68" t="s">
        <v>2968</v>
      </c>
      <c r="E1646" s="68" t="s">
        <v>2969</v>
      </c>
      <c r="F1646" s="68" t="s">
        <v>2970</v>
      </c>
      <c r="G1646" s="68" t="s">
        <v>2971</v>
      </c>
      <c r="H1646" s="68" t="s">
        <v>1487</v>
      </c>
    </row>
    <row r="1647" spans="1:8" ht="17.25">
      <c r="A1647" s="1"/>
      <c r="B1647" s="889" t="s">
        <v>1488</v>
      </c>
      <c r="C1647" s="58" t="s">
        <v>516</v>
      </c>
      <c r="D1647" s="41">
        <v>7</v>
      </c>
      <c r="E1647" s="55" t="s">
        <v>1490</v>
      </c>
      <c r="F1647" s="107" t="e">
        <f>#REF!</f>
        <v>#REF!</v>
      </c>
      <c r="G1647" s="107" t="e">
        <f t="shared" ref="G1647:G1654" si="51">FLOOR(D1647*F1647,0.01)</f>
        <v>#REF!</v>
      </c>
      <c r="H1647" s="108"/>
    </row>
    <row r="1648" spans="1:8" ht="17.25">
      <c r="A1648" s="1"/>
      <c r="B1648" s="887"/>
      <c r="C1648" s="56" t="s">
        <v>1433</v>
      </c>
      <c r="D1648" s="43">
        <v>0.7</v>
      </c>
      <c r="E1648" s="56" t="s">
        <v>1490</v>
      </c>
      <c r="F1648" s="109" t="e">
        <f>#REF!</f>
        <v>#REF!</v>
      </c>
      <c r="G1648" s="63" t="e">
        <f t="shared" si="51"/>
        <v>#REF!</v>
      </c>
      <c r="H1648" s="121" t="e">
        <f>SUM(G1647+G1648)</f>
        <v>#REF!</v>
      </c>
    </row>
    <row r="1649" spans="1:8" ht="17.25">
      <c r="A1649" s="1"/>
      <c r="B1649" s="886" t="s">
        <v>2055</v>
      </c>
      <c r="C1649" s="55" t="s">
        <v>1932</v>
      </c>
      <c r="D1649" s="192">
        <v>3.4599999999999999E-2</v>
      </c>
      <c r="E1649" s="55" t="s">
        <v>2232</v>
      </c>
      <c r="F1649" s="110" t="e">
        <f>awood</f>
        <v>#REF!</v>
      </c>
      <c r="G1649" s="109" t="e">
        <f t="shared" si="51"/>
        <v>#REF!</v>
      </c>
      <c r="H1649" s="84"/>
    </row>
    <row r="1650" spans="1:8" ht="47.25">
      <c r="A1650" s="1"/>
      <c r="B1650" s="894"/>
      <c r="C1650" s="60" t="s">
        <v>3356</v>
      </c>
      <c r="D1650" s="42">
        <v>4.6500000000000004</v>
      </c>
      <c r="E1650" s="53" t="s">
        <v>2807</v>
      </c>
      <c r="F1650" s="109" t="e">
        <f>+#REF!</f>
        <v>#REF!</v>
      </c>
      <c r="G1650" s="109" t="e">
        <f t="shared" si="51"/>
        <v>#REF!</v>
      </c>
      <c r="H1650" s="86"/>
    </row>
    <row r="1651" spans="1:8" ht="17.25">
      <c r="A1651" s="1"/>
      <c r="B1651" s="894"/>
      <c r="C1651" s="53" t="s">
        <v>2073</v>
      </c>
      <c r="D1651" s="42">
        <v>3</v>
      </c>
      <c r="E1651" s="53" t="s">
        <v>699</v>
      </c>
      <c r="F1651" s="109" t="e">
        <f>Kabja100</f>
        <v>#REF!</v>
      </c>
      <c r="G1651" s="109" t="e">
        <f t="shared" si="51"/>
        <v>#REF!</v>
      </c>
      <c r="H1651" s="86"/>
    </row>
    <row r="1652" spans="1:8" ht="17.25">
      <c r="A1652" s="1"/>
      <c r="B1652" s="894"/>
      <c r="C1652" s="53" t="s">
        <v>2097</v>
      </c>
      <c r="D1652" s="42">
        <v>2</v>
      </c>
      <c r="E1652" s="53" t="s">
        <v>699</v>
      </c>
      <c r="F1652" s="109" t="e">
        <f>cheskini150</f>
        <v>#REF!</v>
      </c>
      <c r="G1652" s="109" t="e">
        <f t="shared" si="51"/>
        <v>#REF!</v>
      </c>
      <c r="H1652" s="86"/>
    </row>
    <row r="1653" spans="1:8" ht="17.25">
      <c r="A1653" s="1"/>
      <c r="B1653" s="894"/>
      <c r="C1653" s="53" t="s">
        <v>3004</v>
      </c>
      <c r="D1653" s="42">
        <v>1</v>
      </c>
      <c r="E1653" s="53" t="s">
        <v>699</v>
      </c>
      <c r="F1653" s="109" t="e">
        <f>shandle</f>
        <v>#REF!</v>
      </c>
      <c r="G1653" s="109" t="e">
        <f t="shared" si="51"/>
        <v>#REF!</v>
      </c>
      <c r="H1653" s="86"/>
    </row>
    <row r="1654" spans="1:8" ht="17.25">
      <c r="A1654" s="1"/>
      <c r="B1654" s="894"/>
      <c r="C1654" s="53" t="s">
        <v>2942</v>
      </c>
      <c r="D1654" s="42">
        <v>1</v>
      </c>
      <c r="E1654" s="53" t="s">
        <v>699</v>
      </c>
      <c r="F1654" s="109" t="e">
        <f>moluck</f>
        <v>#REF!</v>
      </c>
      <c r="G1654" s="109" t="e">
        <f t="shared" si="51"/>
        <v>#REF!</v>
      </c>
      <c r="H1654" s="121"/>
    </row>
    <row r="1655" spans="1:8" ht="17.25">
      <c r="A1655" s="1"/>
      <c r="B1655" s="895"/>
      <c r="C1655" s="56" t="s">
        <v>1933</v>
      </c>
      <c r="D1655" s="59" t="s">
        <v>2808</v>
      </c>
      <c r="E1655" s="56" t="s">
        <v>2810</v>
      </c>
      <c r="F1655" s="63"/>
      <c r="G1655" s="63">
        <v>45</v>
      </c>
      <c r="H1655" s="123" t="e">
        <f>SUM(G1649:G1655)</f>
        <v>#REF!</v>
      </c>
    </row>
    <row r="1656" spans="1:8" ht="17.25">
      <c r="A1656" s="1"/>
      <c r="B1656" s="1"/>
      <c r="C1656" s="1"/>
      <c r="D1656" s="1"/>
      <c r="E1656" s="1"/>
      <c r="F1656" s="40" t="s">
        <v>1491</v>
      </c>
      <c r="G1656" s="40"/>
      <c r="H1656" s="63" t="e">
        <f>SUM(H1648:H1655)</f>
        <v>#REF!</v>
      </c>
    </row>
    <row r="1657" spans="1:8" ht="17.25">
      <c r="A1657" s="1"/>
      <c r="B1657" s="1" t="s">
        <v>1493</v>
      </c>
      <c r="C1657" s="1"/>
      <c r="D1657" s="1"/>
      <c r="E1657" s="1"/>
      <c r="F1657" s="40" t="s">
        <v>1472</v>
      </c>
      <c r="G1657" s="40"/>
      <c r="H1657" s="99" t="e">
        <f>FLOOR(H1656*0.15,0.01)</f>
        <v>#REF!</v>
      </c>
    </row>
    <row r="1658" spans="1:8" ht="17.25">
      <c r="B1658" s="140" t="e">
        <f>+H1658</f>
        <v>#REF!</v>
      </c>
      <c r="C1658" s="27" t="s">
        <v>3005</v>
      </c>
      <c r="D1658" s="99" t="e">
        <f>INT(B1658/B1659*100)/100</f>
        <v>#REF!</v>
      </c>
      <c r="E1658" s="1" t="s">
        <v>3006</v>
      </c>
      <c r="F1658" s="40" t="s">
        <v>1494</v>
      </c>
      <c r="G1658" s="40"/>
      <c r="H1658" s="99" t="e">
        <f>SUM(H1656:H1657)</f>
        <v>#REF!</v>
      </c>
    </row>
    <row r="1659" spans="1:8" ht="16.5">
      <c r="A1659" s="1"/>
      <c r="B1659" s="88">
        <v>2.2450000000000001</v>
      </c>
      <c r="C1659" s="1"/>
      <c r="D1659" s="1"/>
      <c r="E1659" s="1"/>
      <c r="F1659" s="1"/>
      <c r="G1659" s="1"/>
      <c r="H1659" s="1"/>
    </row>
    <row r="1660" spans="1:8" ht="16.5">
      <c r="A1660" s="1"/>
      <c r="B1660" s="88"/>
      <c r="C1660" s="1"/>
      <c r="D1660" s="1"/>
      <c r="E1660" s="1"/>
      <c r="F1660" s="1"/>
      <c r="G1660" s="1"/>
      <c r="H1660" s="1"/>
    </row>
    <row r="1661" spans="1:8" ht="19.5">
      <c r="A1661" s="1"/>
      <c r="B1661" s="878" t="s">
        <v>2095</v>
      </c>
      <c r="C1661" s="878"/>
      <c r="D1661" s="878"/>
      <c r="E1661" s="878"/>
      <c r="F1661" s="878"/>
      <c r="G1661" s="878"/>
      <c r="H1661" s="878"/>
    </row>
    <row r="1662" spans="1:8" ht="20.25">
      <c r="A1662" s="260">
        <f>+A1644+1</f>
        <v>96</v>
      </c>
      <c r="B1662" s="877" t="s">
        <v>3360</v>
      </c>
      <c r="C1662" s="878"/>
      <c r="D1662" s="878"/>
      <c r="E1662" s="878"/>
      <c r="F1662" s="878"/>
      <c r="G1662" s="878"/>
      <c r="H1662" s="878"/>
    </row>
    <row r="1663" spans="1:8" ht="15.75">
      <c r="A1663" s="582" t="s">
        <v>3636</v>
      </c>
      <c r="B1663" s="928" t="s">
        <v>105</v>
      </c>
      <c r="C1663" s="885"/>
      <c r="D1663" s="885"/>
      <c r="E1663" s="885"/>
      <c r="F1663" s="885"/>
      <c r="G1663" s="885"/>
      <c r="H1663" s="885"/>
    </row>
    <row r="1664" spans="1:8" ht="31.5">
      <c r="A1664" s="1"/>
      <c r="B1664" s="68" t="s">
        <v>2966</v>
      </c>
      <c r="C1664" s="68" t="s">
        <v>2967</v>
      </c>
      <c r="D1664" s="68" t="s">
        <v>2968</v>
      </c>
      <c r="E1664" s="68" t="s">
        <v>2969</v>
      </c>
      <c r="F1664" s="68" t="s">
        <v>2970</v>
      </c>
      <c r="G1664" s="68" t="s">
        <v>2971</v>
      </c>
      <c r="H1664" s="68" t="s">
        <v>1487</v>
      </c>
    </row>
    <row r="1665" spans="1:8" ht="17.25">
      <c r="A1665" s="1"/>
      <c r="B1665" s="889" t="s">
        <v>1488</v>
      </c>
      <c r="C1665" s="58" t="s">
        <v>516</v>
      </c>
      <c r="D1665" s="41">
        <v>5</v>
      </c>
      <c r="E1665" s="55" t="s">
        <v>1490</v>
      </c>
      <c r="F1665" s="107" t="e">
        <f>mason</f>
        <v>#REF!</v>
      </c>
      <c r="G1665" s="107" t="e">
        <f t="shared" ref="G1665:G1672" si="52">FLOOR(D1665*F1665,0.01)</f>
        <v>#REF!</v>
      </c>
      <c r="H1665" s="108"/>
    </row>
    <row r="1666" spans="1:8" ht="17.25">
      <c r="A1666" s="1"/>
      <c r="B1666" s="896"/>
      <c r="C1666" s="56" t="s">
        <v>1433</v>
      </c>
      <c r="D1666" s="43">
        <v>0.5</v>
      </c>
      <c r="E1666" s="56" t="s">
        <v>1490</v>
      </c>
      <c r="F1666" s="109" t="e">
        <f>#REF!</f>
        <v>#REF!</v>
      </c>
      <c r="G1666" s="63" t="e">
        <f t="shared" si="52"/>
        <v>#REF!</v>
      </c>
      <c r="H1666" s="121" t="e">
        <f>SUM(G1665+G1666)</f>
        <v>#REF!</v>
      </c>
    </row>
    <row r="1667" spans="1:8" ht="17.25">
      <c r="A1667" s="1"/>
      <c r="B1667" s="886" t="s">
        <v>2055</v>
      </c>
      <c r="C1667" s="55" t="s">
        <v>1932</v>
      </c>
      <c r="D1667" s="46">
        <v>2.5999999999999999E-2</v>
      </c>
      <c r="E1667" s="55" t="s">
        <v>2232</v>
      </c>
      <c r="F1667" s="110" t="e">
        <f>awood</f>
        <v>#REF!</v>
      </c>
      <c r="G1667" s="109" t="e">
        <f t="shared" si="52"/>
        <v>#REF!</v>
      </c>
      <c r="H1667" s="84"/>
    </row>
    <row r="1668" spans="1:8" ht="31.5">
      <c r="A1668" s="1"/>
      <c r="B1668" s="894"/>
      <c r="C1668" s="60" t="s">
        <v>3354</v>
      </c>
      <c r="D1668" s="42">
        <v>2.13</v>
      </c>
      <c r="E1668" s="53" t="s">
        <v>2807</v>
      </c>
      <c r="F1668" s="109" t="e">
        <f>giwire24</f>
        <v>#REF!</v>
      </c>
      <c r="G1668" s="109" t="e">
        <f t="shared" si="52"/>
        <v>#REF!</v>
      </c>
      <c r="H1668" s="86"/>
    </row>
    <row r="1669" spans="1:8" ht="17.25">
      <c r="A1669" s="1"/>
      <c r="B1669" s="894"/>
      <c r="C1669" s="53" t="s">
        <v>2073</v>
      </c>
      <c r="D1669" s="42">
        <v>3</v>
      </c>
      <c r="E1669" s="53" t="s">
        <v>699</v>
      </c>
      <c r="F1669" s="109" t="e">
        <f>Kabja100</f>
        <v>#REF!</v>
      </c>
      <c r="G1669" s="109" t="e">
        <f t="shared" si="52"/>
        <v>#REF!</v>
      </c>
      <c r="H1669" s="86"/>
    </row>
    <row r="1670" spans="1:8" ht="17.25">
      <c r="A1670" s="1"/>
      <c r="B1670" s="894"/>
      <c r="C1670" s="53" t="s">
        <v>2097</v>
      </c>
      <c r="D1670" s="42">
        <v>2</v>
      </c>
      <c r="E1670" s="53" t="s">
        <v>699</v>
      </c>
      <c r="F1670" s="109" t="e">
        <f>cheskini150</f>
        <v>#REF!</v>
      </c>
      <c r="G1670" s="109" t="e">
        <f t="shared" si="52"/>
        <v>#REF!</v>
      </c>
      <c r="H1670" s="86"/>
    </row>
    <row r="1671" spans="1:8" ht="17.25">
      <c r="A1671" s="1"/>
      <c r="B1671" s="894"/>
      <c r="C1671" s="53" t="s">
        <v>3004</v>
      </c>
      <c r="D1671" s="42">
        <v>2</v>
      </c>
      <c r="E1671" s="53" t="s">
        <v>699</v>
      </c>
      <c r="F1671" s="109" t="e">
        <f>shandle</f>
        <v>#REF!</v>
      </c>
      <c r="G1671" s="109" t="e">
        <f t="shared" si="52"/>
        <v>#REF!</v>
      </c>
      <c r="H1671" s="86"/>
    </row>
    <row r="1672" spans="1:8" ht="17.25">
      <c r="A1672" s="1"/>
      <c r="B1672" s="894"/>
      <c r="C1672" s="53" t="s">
        <v>943</v>
      </c>
      <c r="D1672" s="42">
        <v>1</v>
      </c>
      <c r="E1672" s="53" t="s">
        <v>699</v>
      </c>
      <c r="F1672" s="109" t="e">
        <f>#REF!</f>
        <v>#REF!</v>
      </c>
      <c r="G1672" s="109" t="e">
        <f t="shared" si="52"/>
        <v>#REF!</v>
      </c>
      <c r="H1672" s="86"/>
    </row>
    <row r="1673" spans="1:8" ht="17.25">
      <c r="A1673" s="1"/>
      <c r="B1673" s="895"/>
      <c r="C1673" s="56" t="s">
        <v>1933</v>
      </c>
      <c r="D1673" s="59" t="s">
        <v>67</v>
      </c>
      <c r="E1673" s="56" t="s">
        <v>2810</v>
      </c>
      <c r="F1673" s="63"/>
      <c r="G1673" s="63">
        <v>45</v>
      </c>
      <c r="H1673" s="123" t="e">
        <f>SUM(G1667:G1673)</f>
        <v>#REF!</v>
      </c>
    </row>
    <row r="1674" spans="1:8" ht="17.25">
      <c r="A1674" s="1"/>
      <c r="B1674" s="1"/>
      <c r="C1674" s="1"/>
      <c r="D1674" s="1"/>
      <c r="E1674" s="1"/>
      <c r="F1674" s="40" t="s">
        <v>1491</v>
      </c>
      <c r="G1674" s="40"/>
      <c r="H1674" s="63" t="e">
        <f>SUM(H1673,H1666)</f>
        <v>#REF!</v>
      </c>
    </row>
    <row r="1675" spans="1:8" ht="17.25">
      <c r="A1675" s="1"/>
      <c r="B1675" s="1" t="s">
        <v>1493</v>
      </c>
      <c r="C1675" s="1"/>
      <c r="D1675" s="1"/>
      <c r="E1675" s="1"/>
      <c r="F1675" s="40" t="s">
        <v>1472</v>
      </c>
      <c r="G1675" s="40"/>
      <c r="H1675" s="99" t="e">
        <f>FLOOR(H1674*0.15,0.01)</f>
        <v>#REF!</v>
      </c>
    </row>
    <row r="1676" spans="1:8" ht="17.25">
      <c r="B1676" s="140" t="e">
        <f>+H1676</f>
        <v>#REF!</v>
      </c>
      <c r="C1676" s="27" t="s">
        <v>3005</v>
      </c>
      <c r="D1676" s="99" t="e">
        <f>INT(B1676/B1677*100)/100</f>
        <v>#REF!</v>
      </c>
      <c r="E1676" s="1" t="s">
        <v>3006</v>
      </c>
      <c r="F1676" s="40" t="s">
        <v>1494</v>
      </c>
      <c r="G1676" s="40"/>
      <c r="H1676" s="99" t="e">
        <f>SUM(H1674:H1675)</f>
        <v>#REF!</v>
      </c>
    </row>
    <row r="1677" spans="1:8" ht="16.5">
      <c r="A1677" s="1"/>
      <c r="B1677" s="88">
        <v>2.2450000000000001</v>
      </c>
      <c r="C1677" s="1"/>
      <c r="D1677" s="1"/>
      <c r="E1677" s="1"/>
      <c r="F1677" s="1"/>
      <c r="G1677" s="1"/>
      <c r="H1677" s="1"/>
    </row>
    <row r="1678" spans="1:8" ht="16.5">
      <c r="A1678" s="1"/>
      <c r="B1678" s="88"/>
      <c r="C1678" s="1"/>
      <c r="D1678" s="1"/>
      <c r="E1678" s="1"/>
      <c r="F1678" s="1"/>
      <c r="G1678" s="1"/>
      <c r="H1678" s="1"/>
    </row>
    <row r="1679" spans="1:8" ht="19.5">
      <c r="A1679" s="1"/>
      <c r="B1679" s="878" t="s">
        <v>2095</v>
      </c>
      <c r="C1679" s="878"/>
      <c r="D1679" s="878"/>
      <c r="E1679" s="878"/>
      <c r="F1679" s="878"/>
      <c r="G1679" s="878"/>
      <c r="H1679" s="878"/>
    </row>
    <row r="1680" spans="1:8" ht="20.25">
      <c r="A1680" s="260">
        <f>+A1662+1</f>
        <v>97</v>
      </c>
      <c r="B1680" s="877" t="s">
        <v>3358</v>
      </c>
      <c r="C1680" s="878"/>
      <c r="D1680" s="878"/>
      <c r="E1680" s="878"/>
      <c r="F1680" s="878"/>
      <c r="G1680" s="878"/>
      <c r="H1680" s="878"/>
    </row>
    <row r="1681" spans="1:8" ht="15.75">
      <c r="A1681" s="582" t="s">
        <v>3636</v>
      </c>
      <c r="B1681" s="928" t="s">
        <v>105</v>
      </c>
      <c r="C1681" s="885"/>
      <c r="D1681" s="885"/>
      <c r="E1681" s="885"/>
      <c r="F1681" s="885"/>
      <c r="G1681" s="885"/>
      <c r="H1681" s="885"/>
    </row>
    <row r="1682" spans="1:8" ht="31.5">
      <c r="A1682" s="1"/>
      <c r="B1682" s="68" t="s">
        <v>2966</v>
      </c>
      <c r="C1682" s="68" t="s">
        <v>2967</v>
      </c>
      <c r="D1682" s="68" t="s">
        <v>2968</v>
      </c>
      <c r="E1682" s="68" t="s">
        <v>2969</v>
      </c>
      <c r="F1682" s="68" t="s">
        <v>2970</v>
      </c>
      <c r="G1682" s="68" t="s">
        <v>2971</v>
      </c>
      <c r="H1682" s="68" t="s">
        <v>1487</v>
      </c>
    </row>
    <row r="1683" spans="1:8" ht="17.25">
      <c r="A1683" s="1"/>
      <c r="B1683" s="889" t="s">
        <v>1488</v>
      </c>
      <c r="C1683" s="58" t="s">
        <v>516</v>
      </c>
      <c r="D1683" s="41">
        <v>5</v>
      </c>
      <c r="E1683" s="55" t="s">
        <v>1490</v>
      </c>
      <c r="F1683" s="107" t="e">
        <f>mason</f>
        <v>#REF!</v>
      </c>
      <c r="G1683" s="107" t="e">
        <f t="shared" ref="G1683:G1691" si="53">FLOOR(D1683*F1683,0.01)</f>
        <v>#REF!</v>
      </c>
      <c r="H1683" s="108"/>
    </row>
    <row r="1684" spans="1:8" ht="17.25">
      <c r="A1684" s="1"/>
      <c r="B1684" s="896"/>
      <c r="C1684" s="56" t="s">
        <v>1433</v>
      </c>
      <c r="D1684" s="43">
        <v>0.5</v>
      </c>
      <c r="E1684" s="56" t="s">
        <v>1490</v>
      </c>
      <c r="F1684" s="109" t="e">
        <f>#REF!</f>
        <v>#REF!</v>
      </c>
      <c r="G1684" s="63" t="e">
        <f t="shared" si="53"/>
        <v>#REF!</v>
      </c>
      <c r="H1684" s="121" t="e">
        <f>SUM(G1683+G1684)</f>
        <v>#REF!</v>
      </c>
    </row>
    <row r="1685" spans="1:8" ht="17.25">
      <c r="A1685" s="1"/>
      <c r="B1685" s="886" t="s">
        <v>2055</v>
      </c>
      <c r="C1685" s="55" t="s">
        <v>1932</v>
      </c>
      <c r="D1685" s="46">
        <v>2.5999999999999999E-2</v>
      </c>
      <c r="E1685" s="55" t="s">
        <v>2232</v>
      </c>
      <c r="F1685" s="110" t="e">
        <f>awood</f>
        <v>#REF!</v>
      </c>
      <c r="G1685" s="109" t="e">
        <f t="shared" si="53"/>
        <v>#REF!</v>
      </c>
      <c r="H1685" s="84"/>
    </row>
    <row r="1686" spans="1:8" ht="31.5">
      <c r="A1686" s="1"/>
      <c r="B1686" s="894"/>
      <c r="C1686" s="60" t="s">
        <v>3354</v>
      </c>
      <c r="D1686" s="42">
        <v>2.13</v>
      </c>
      <c r="E1686" s="53" t="s">
        <v>2807</v>
      </c>
      <c r="F1686" s="109" t="e">
        <f>giwire24</f>
        <v>#REF!</v>
      </c>
      <c r="G1686" s="109" t="e">
        <f t="shared" si="53"/>
        <v>#REF!</v>
      </c>
      <c r="H1686" s="86"/>
    </row>
    <row r="1687" spans="1:8" ht="31.5">
      <c r="A1687" s="1"/>
      <c r="B1687" s="894"/>
      <c r="C1687" s="60" t="s">
        <v>3359</v>
      </c>
      <c r="D1687" s="42">
        <v>2.13</v>
      </c>
      <c r="E1687" s="53" t="s">
        <v>2807</v>
      </c>
      <c r="F1687" s="109" t="e">
        <f>#REF!</f>
        <v>#REF!</v>
      </c>
      <c r="G1687" s="109" t="e">
        <f t="shared" si="53"/>
        <v>#REF!</v>
      </c>
      <c r="H1687" s="86"/>
    </row>
    <row r="1688" spans="1:8" ht="17.25">
      <c r="A1688" s="1"/>
      <c r="B1688" s="894"/>
      <c r="C1688" s="53" t="s">
        <v>2073</v>
      </c>
      <c r="D1688" s="42">
        <v>3</v>
      </c>
      <c r="E1688" s="53" t="s">
        <v>699</v>
      </c>
      <c r="F1688" s="109" t="e">
        <f>Kabja100</f>
        <v>#REF!</v>
      </c>
      <c r="G1688" s="109" t="e">
        <f t="shared" si="53"/>
        <v>#REF!</v>
      </c>
      <c r="H1688" s="86"/>
    </row>
    <row r="1689" spans="1:8" ht="17.25">
      <c r="A1689" s="1"/>
      <c r="B1689" s="894"/>
      <c r="C1689" s="53" t="s">
        <v>2097</v>
      </c>
      <c r="D1689" s="42">
        <v>2</v>
      </c>
      <c r="E1689" s="53" t="s">
        <v>699</v>
      </c>
      <c r="F1689" s="109" t="e">
        <f>cheskini150</f>
        <v>#REF!</v>
      </c>
      <c r="G1689" s="109" t="e">
        <f t="shared" si="53"/>
        <v>#REF!</v>
      </c>
      <c r="H1689" s="86"/>
    </row>
    <row r="1690" spans="1:8" ht="17.25">
      <c r="A1690" s="1"/>
      <c r="B1690" s="894"/>
      <c r="C1690" s="53" t="s">
        <v>3004</v>
      </c>
      <c r="D1690" s="42">
        <v>2</v>
      </c>
      <c r="E1690" s="53" t="s">
        <v>699</v>
      </c>
      <c r="F1690" s="109" t="e">
        <f>shandle</f>
        <v>#REF!</v>
      </c>
      <c r="G1690" s="109" t="e">
        <f t="shared" si="53"/>
        <v>#REF!</v>
      </c>
      <c r="H1690" s="86"/>
    </row>
    <row r="1691" spans="1:8" ht="17.25">
      <c r="A1691" s="1"/>
      <c r="B1691" s="894"/>
      <c r="C1691" s="53" t="s">
        <v>943</v>
      </c>
      <c r="D1691" s="42">
        <v>1</v>
      </c>
      <c r="E1691" s="53" t="s">
        <v>699</v>
      </c>
      <c r="F1691" s="109" t="e">
        <f>#REF!</f>
        <v>#REF!</v>
      </c>
      <c r="G1691" s="109" t="e">
        <f t="shared" si="53"/>
        <v>#REF!</v>
      </c>
      <c r="H1691" s="86"/>
    </row>
    <row r="1692" spans="1:8" ht="17.25">
      <c r="A1692" s="1"/>
      <c r="B1692" s="895"/>
      <c r="C1692" s="56" t="s">
        <v>1933</v>
      </c>
      <c r="D1692" s="59" t="s">
        <v>2808</v>
      </c>
      <c r="E1692" s="56" t="s">
        <v>2810</v>
      </c>
      <c r="F1692" s="63"/>
      <c r="G1692" s="63">
        <v>45</v>
      </c>
      <c r="H1692" s="123" t="e">
        <f>SUM(G1685:G1692)</f>
        <v>#REF!</v>
      </c>
    </row>
    <row r="1693" spans="1:8" ht="17.25">
      <c r="A1693" s="1"/>
      <c r="B1693" s="1"/>
      <c r="C1693" s="1"/>
      <c r="D1693" s="1"/>
      <c r="E1693" s="1"/>
      <c r="F1693" s="40" t="s">
        <v>1491</v>
      </c>
      <c r="G1693" s="40"/>
      <c r="H1693" s="63" t="e">
        <f>SUM(H1692,H1684)</f>
        <v>#REF!</v>
      </c>
    </row>
    <row r="1694" spans="1:8" ht="17.25">
      <c r="A1694" s="1"/>
      <c r="B1694" s="1" t="s">
        <v>1493</v>
      </c>
      <c r="C1694" s="1"/>
      <c r="D1694" s="1"/>
      <c r="E1694" s="1"/>
      <c r="F1694" s="40" t="s">
        <v>1472</v>
      </c>
      <c r="G1694" s="40"/>
      <c r="H1694" s="99" t="e">
        <f>FLOOR(H1693*0.15,0.01)</f>
        <v>#REF!</v>
      </c>
    </row>
    <row r="1695" spans="1:8" ht="17.25">
      <c r="B1695" s="140" t="e">
        <f>+H1695</f>
        <v>#REF!</v>
      </c>
      <c r="C1695" s="27" t="s">
        <v>3005</v>
      </c>
      <c r="D1695" s="99" t="e">
        <f>INT(B1695/B1696*100)/100</f>
        <v>#REF!</v>
      </c>
      <c r="E1695" s="1" t="s">
        <v>3006</v>
      </c>
      <c r="F1695" s="40" t="s">
        <v>1494</v>
      </c>
      <c r="G1695" s="40"/>
      <c r="H1695" s="99" t="e">
        <f>SUM(H1693:H1694)</f>
        <v>#REF!</v>
      </c>
    </row>
    <row r="1696" spans="1:8" ht="16.5">
      <c r="A1696" s="1"/>
      <c r="B1696" s="88">
        <v>2.2450000000000001</v>
      </c>
      <c r="C1696" s="1"/>
      <c r="D1696" s="1"/>
      <c r="E1696" s="1"/>
      <c r="F1696" s="1"/>
      <c r="G1696" s="1"/>
      <c r="H1696" s="1"/>
    </row>
    <row r="1697" spans="1:8" ht="16.5">
      <c r="A1697" s="1"/>
      <c r="B1697" s="88"/>
      <c r="C1697" s="1"/>
      <c r="D1697" s="1"/>
      <c r="E1697" s="1"/>
      <c r="F1697" s="1"/>
      <c r="G1697" s="1"/>
      <c r="H1697" s="1"/>
    </row>
    <row r="1698" spans="1:8" ht="20.25">
      <c r="A1698" s="260">
        <f>A1680+1</f>
        <v>98</v>
      </c>
      <c r="B1698" s="878" t="s">
        <v>1132</v>
      </c>
      <c r="C1698" s="878"/>
      <c r="D1698" s="878"/>
      <c r="E1698" s="878"/>
      <c r="F1698" s="878"/>
      <c r="G1698" s="878"/>
      <c r="H1698" s="878"/>
    </row>
    <row r="1699" spans="1:8" ht="15.75">
      <c r="A1699" s="582" t="s">
        <v>3637</v>
      </c>
      <c r="B1699" s="928" t="s">
        <v>1133</v>
      </c>
      <c r="C1699" s="885"/>
      <c r="D1699" s="885"/>
      <c r="E1699" s="885"/>
      <c r="F1699" s="885"/>
      <c r="G1699" s="885"/>
      <c r="H1699" s="885"/>
    </row>
    <row r="1700" spans="1:8" ht="31.5">
      <c r="A1700" s="1"/>
      <c r="B1700" s="68" t="s">
        <v>2966</v>
      </c>
      <c r="C1700" s="68" t="s">
        <v>2967</v>
      </c>
      <c r="D1700" s="68" t="s">
        <v>2968</v>
      </c>
      <c r="E1700" s="68" t="s">
        <v>2969</v>
      </c>
      <c r="F1700" s="68" t="s">
        <v>2970</v>
      </c>
      <c r="G1700" s="68" t="s">
        <v>2971</v>
      </c>
      <c r="H1700" s="68" t="s">
        <v>1487</v>
      </c>
    </row>
    <row r="1701" spans="1:8" ht="17.25">
      <c r="A1701" s="1"/>
      <c r="B1701" s="889" t="s">
        <v>1488</v>
      </c>
      <c r="C1701" s="58" t="s">
        <v>516</v>
      </c>
      <c r="D1701" s="41">
        <v>0.06</v>
      </c>
      <c r="E1701" s="55" t="s">
        <v>1490</v>
      </c>
      <c r="F1701" s="107" t="e">
        <f>mason</f>
        <v>#REF!</v>
      </c>
      <c r="G1701" s="107" t="e">
        <f>FLOOR(D1701*F1701,0.01)</f>
        <v>#REF!</v>
      </c>
      <c r="H1701" s="108"/>
    </row>
    <row r="1702" spans="1:8" ht="17.25">
      <c r="A1702" s="1"/>
      <c r="B1702" s="896"/>
      <c r="C1702" s="56" t="s">
        <v>1433</v>
      </c>
      <c r="D1702" s="49">
        <v>6.0000000000000001E-3</v>
      </c>
      <c r="E1702" s="56" t="s">
        <v>1490</v>
      </c>
      <c r="F1702" s="63" t="e">
        <f>#REF!</f>
        <v>#REF!</v>
      </c>
      <c r="G1702" s="63" t="e">
        <f>FLOOR(D1702*F1702,0.01)</f>
        <v>#REF!</v>
      </c>
      <c r="H1702" s="123" t="e">
        <f>SUM(G1701+G1702)</f>
        <v>#REF!</v>
      </c>
    </row>
    <row r="1703" spans="1:8" ht="31.5">
      <c r="A1703" s="1"/>
      <c r="B1703" s="894"/>
      <c r="C1703" s="60" t="s">
        <v>1135</v>
      </c>
      <c r="D1703" s="42">
        <v>1</v>
      </c>
      <c r="E1703" s="53" t="s">
        <v>2807</v>
      </c>
      <c r="F1703" s="109" t="e">
        <f>giwire24</f>
        <v>#REF!</v>
      </c>
      <c r="G1703" s="109" t="e">
        <f>FLOOR(D1703*F1703,0.01)</f>
        <v>#REF!</v>
      </c>
      <c r="H1703" s="86"/>
    </row>
    <row r="1704" spans="1:8" ht="17.25">
      <c r="A1704" s="1"/>
      <c r="B1704" s="894"/>
      <c r="C1704" s="53" t="s">
        <v>1134</v>
      </c>
      <c r="D1704" s="42">
        <v>4.05</v>
      </c>
      <c r="E1704" s="54" t="s">
        <v>2605</v>
      </c>
      <c r="F1704" s="109" t="e">
        <f>#REF!</f>
        <v>#REF!</v>
      </c>
      <c r="G1704" s="109" t="e">
        <f>FLOOR(D1704*F1704,0.01)</f>
        <v>#REF!</v>
      </c>
      <c r="H1704" s="86"/>
    </row>
    <row r="1705" spans="1:8" ht="17.25">
      <c r="A1705" s="1"/>
      <c r="B1705" s="895"/>
      <c r="C1705" s="56" t="s">
        <v>1933</v>
      </c>
      <c r="D1705" s="59" t="s">
        <v>2808</v>
      </c>
      <c r="E1705" s="56" t="s">
        <v>2810</v>
      </c>
      <c r="F1705" s="63"/>
      <c r="G1705" s="63">
        <v>15</v>
      </c>
      <c r="H1705" s="123" t="e">
        <f>SUM(G1703:G1705)</f>
        <v>#REF!</v>
      </c>
    </row>
    <row r="1706" spans="1:8" ht="17.25">
      <c r="A1706" s="1"/>
      <c r="B1706" s="1"/>
      <c r="C1706" s="1"/>
      <c r="D1706" s="1"/>
      <c r="E1706" s="1"/>
      <c r="F1706" s="40" t="s">
        <v>1491</v>
      </c>
      <c r="G1706" s="40"/>
      <c r="H1706" s="63" t="e">
        <f>SUM(H1705,H1702)</f>
        <v>#REF!</v>
      </c>
    </row>
    <row r="1707" spans="1:8" ht="17.25">
      <c r="A1707" s="1"/>
      <c r="B1707" s="1" t="s">
        <v>1493</v>
      </c>
      <c r="C1707" s="1"/>
      <c r="D1707" s="1"/>
      <c r="E1707" s="1"/>
      <c r="F1707" s="40" t="s">
        <v>1472</v>
      </c>
      <c r="G1707" s="40"/>
      <c r="H1707" s="99" t="e">
        <f>FLOOR(H1706*0.15,0.01)</f>
        <v>#REF!</v>
      </c>
    </row>
    <row r="1708" spans="1:8" ht="17.25">
      <c r="B1708" s="140" t="e">
        <f>+H1708</f>
        <v>#REF!</v>
      </c>
      <c r="C1708" s="27" t="s">
        <v>3005</v>
      </c>
      <c r="D1708" s="99" t="e">
        <f>INT(B1708/B1709*100)/100</f>
        <v>#REF!</v>
      </c>
      <c r="E1708" s="1" t="s">
        <v>3006</v>
      </c>
      <c r="F1708" s="40" t="s">
        <v>1494</v>
      </c>
      <c r="G1708" s="40"/>
      <c r="H1708" s="99" t="e">
        <f>SUM(H1706:H1707)</f>
        <v>#REF!</v>
      </c>
    </row>
    <row r="1709" spans="1:8" ht="16.5">
      <c r="A1709" s="1"/>
      <c r="B1709" s="88">
        <v>1</v>
      </c>
      <c r="C1709" s="1"/>
      <c r="D1709" s="1"/>
      <c r="E1709" s="1"/>
      <c r="F1709" s="1"/>
      <c r="G1709" s="1"/>
      <c r="H1709" s="1"/>
    </row>
    <row r="1710" spans="1:8" ht="17.25">
      <c r="A1710" s="27"/>
      <c r="B1710" s="141"/>
      <c r="C1710" s="1"/>
      <c r="D1710" s="1"/>
      <c r="E1710" s="1"/>
      <c r="F1710" s="40"/>
      <c r="G1710" s="40"/>
      <c r="H1710" s="141"/>
    </row>
    <row r="1711" spans="1:8" ht="20.25">
      <c r="A1711" s="260">
        <f>A1698+1</f>
        <v>99</v>
      </c>
      <c r="B1711" s="877" t="s">
        <v>1371</v>
      </c>
      <c r="C1711" s="878"/>
      <c r="D1711" s="878"/>
      <c r="E1711" s="878"/>
      <c r="F1711" s="878"/>
      <c r="G1711" s="878"/>
      <c r="H1711" s="878"/>
    </row>
    <row r="1712" spans="1:8" ht="15.75">
      <c r="A1712" s="582" t="s">
        <v>3637</v>
      </c>
      <c r="B1712" s="928" t="s">
        <v>2318</v>
      </c>
      <c r="C1712" s="885"/>
      <c r="D1712" s="885"/>
      <c r="E1712" s="885"/>
      <c r="F1712" s="885"/>
      <c r="G1712" s="885"/>
      <c r="H1712" s="885"/>
    </row>
    <row r="1713" spans="1:8" ht="31.5">
      <c r="A1713" s="1"/>
      <c r="B1713" s="68" t="s">
        <v>2966</v>
      </c>
      <c r="C1713" s="68" t="s">
        <v>2967</v>
      </c>
      <c r="D1713" s="68" t="s">
        <v>2968</v>
      </c>
      <c r="E1713" s="68" t="s">
        <v>2969</v>
      </c>
      <c r="F1713" s="68" t="s">
        <v>2970</v>
      </c>
      <c r="G1713" s="68" t="s">
        <v>2971</v>
      </c>
      <c r="H1713" s="68" t="s">
        <v>1487</v>
      </c>
    </row>
    <row r="1714" spans="1:8" ht="17.25">
      <c r="A1714" s="1"/>
      <c r="B1714" s="889" t="s">
        <v>1488</v>
      </c>
      <c r="C1714" s="58" t="s">
        <v>516</v>
      </c>
      <c r="D1714" s="41">
        <v>0.06</v>
      </c>
      <c r="E1714" s="55" t="s">
        <v>1490</v>
      </c>
      <c r="F1714" s="107" t="e">
        <f>#REF!</f>
        <v>#REF!</v>
      </c>
      <c r="G1714" s="107" t="e">
        <f>FLOOR(D1714*F1714,0.01)</f>
        <v>#REF!</v>
      </c>
      <c r="H1714" s="108"/>
    </row>
    <row r="1715" spans="1:8" ht="17.25">
      <c r="A1715" s="1"/>
      <c r="B1715" s="887"/>
      <c r="C1715" s="56" t="s">
        <v>1433</v>
      </c>
      <c r="D1715" s="49">
        <v>6.0000000000000001E-3</v>
      </c>
      <c r="E1715" s="56" t="s">
        <v>1490</v>
      </c>
      <c r="F1715" s="109" t="e">
        <f>#REF!</f>
        <v>#REF!</v>
      </c>
      <c r="G1715" s="63" t="e">
        <f>FLOOR(D1715*F1715,0.01)</f>
        <v>#REF!</v>
      </c>
      <c r="H1715" s="121" t="e">
        <f>SUM(G1714+G1715)</f>
        <v>#REF!</v>
      </c>
    </row>
    <row r="1716" spans="1:8" ht="17.25">
      <c r="A1716" s="1"/>
      <c r="B1716" s="886" t="s">
        <v>2055</v>
      </c>
      <c r="C1716" s="55" t="s">
        <v>817</v>
      </c>
      <c r="D1716" s="41">
        <v>1</v>
      </c>
      <c r="E1716" s="55" t="s">
        <v>2807</v>
      </c>
      <c r="F1716" s="110" t="e">
        <f>glass4</f>
        <v>#REF!</v>
      </c>
      <c r="G1716" s="109" t="e">
        <f>FLOOR(D1716*F1716,0.01)</f>
        <v>#REF!</v>
      </c>
      <c r="H1716" s="84"/>
    </row>
    <row r="1717" spans="1:8" ht="17.25">
      <c r="A1717" s="1"/>
      <c r="B1717" s="890"/>
      <c r="C1717" s="61" t="s">
        <v>1370</v>
      </c>
      <c r="D1717" s="42">
        <v>4.05</v>
      </c>
      <c r="E1717" s="54" t="s">
        <v>2605</v>
      </c>
      <c r="F1717" s="109" t="e">
        <f>#REF!</f>
        <v>#REF!</v>
      </c>
      <c r="G1717" s="109" t="e">
        <f>FLOOR(D1717*F1717,0.01)</f>
        <v>#REF!</v>
      </c>
      <c r="H1717" s="9"/>
    </row>
    <row r="1718" spans="1:8" ht="17.25">
      <c r="A1718" s="1"/>
      <c r="B1718" s="887"/>
      <c r="C1718" s="56" t="s">
        <v>2010</v>
      </c>
      <c r="D1718" s="56" t="s">
        <v>67</v>
      </c>
      <c r="E1718" s="56" t="s">
        <v>2810</v>
      </c>
      <c r="F1718" s="63"/>
      <c r="G1718" s="63">
        <v>15</v>
      </c>
      <c r="H1718" s="123" t="e">
        <f>SUM(G1716:G1718)</f>
        <v>#REF!</v>
      </c>
    </row>
    <row r="1719" spans="1:8" ht="17.25">
      <c r="A1719" s="1"/>
      <c r="B1719" s="1"/>
      <c r="C1719" s="1"/>
      <c r="D1719" s="1"/>
      <c r="E1719" s="1"/>
      <c r="F1719" s="40" t="s">
        <v>1491</v>
      </c>
      <c r="G1719" s="40"/>
      <c r="H1719" s="63" t="e">
        <f>SUM(H1715:H1718)</f>
        <v>#REF!</v>
      </c>
    </row>
    <row r="1720" spans="1:8" ht="17.25">
      <c r="A1720" s="1"/>
      <c r="B1720" s="1" t="s">
        <v>1493</v>
      </c>
      <c r="C1720" s="1"/>
      <c r="D1720" s="1"/>
      <c r="E1720" s="1"/>
      <c r="F1720" s="40" t="s">
        <v>1472</v>
      </c>
      <c r="G1720" s="40"/>
      <c r="H1720" s="99" t="e">
        <f>FLOOR(H1719*0.15,0.01)</f>
        <v>#REF!</v>
      </c>
    </row>
    <row r="1721" spans="1:8" ht="17.25">
      <c r="A1721" s="27" t="s">
        <v>3005</v>
      </c>
      <c r="B1721" s="99" t="e">
        <f>+H1721</f>
        <v>#REF!</v>
      </c>
      <c r="C1721" s="1" t="s">
        <v>3006</v>
      </c>
      <c r="D1721" s="1"/>
      <c r="E1721" s="1"/>
      <c r="F1721" s="40" t="s">
        <v>1494</v>
      </c>
      <c r="G1721" s="40"/>
      <c r="H1721" s="99" t="e">
        <f>SUM(H1719:H1720)</f>
        <v>#REF!</v>
      </c>
    </row>
    <row r="1722" spans="1:8" ht="17.25">
      <c r="A1722" s="27"/>
      <c r="B1722" s="141"/>
      <c r="C1722" s="1"/>
      <c r="D1722" s="1"/>
      <c r="E1722" s="1"/>
      <c r="F1722" s="40"/>
      <c r="G1722" s="40"/>
      <c r="H1722" s="141"/>
    </row>
    <row r="1723" spans="1:8" ht="17.25">
      <c r="A1723" s="27"/>
      <c r="B1723" s="141"/>
      <c r="C1723" s="1"/>
      <c r="D1723" s="1"/>
      <c r="E1723" s="1"/>
      <c r="F1723" s="40"/>
      <c r="G1723" s="40"/>
      <c r="H1723" s="141"/>
    </row>
    <row r="1724" spans="1:8" ht="17.25">
      <c r="A1724" s="27"/>
      <c r="B1724" s="141"/>
      <c r="C1724" s="1"/>
      <c r="D1724" s="1"/>
      <c r="E1724" s="1"/>
      <c r="F1724" s="40"/>
      <c r="G1724" s="40"/>
      <c r="H1724" s="141"/>
    </row>
    <row r="1725" spans="1:8" ht="15">
      <c r="A1725" s="1"/>
      <c r="B1725" s="1"/>
      <c r="C1725" s="1"/>
      <c r="D1725" s="1"/>
      <c r="E1725" s="1"/>
      <c r="F1725" s="1"/>
      <c r="G1725" s="1"/>
      <c r="H1725" s="1"/>
    </row>
    <row r="1726" spans="1:8" ht="20.25">
      <c r="A1726" s="260">
        <f>+A1711+1</f>
        <v>100</v>
      </c>
      <c r="B1726" s="877" t="s">
        <v>3017</v>
      </c>
      <c r="C1726" s="878"/>
      <c r="D1726" s="878"/>
      <c r="E1726" s="878"/>
      <c r="F1726" s="878"/>
      <c r="G1726" s="878"/>
      <c r="H1726" s="878"/>
    </row>
    <row r="1727" spans="1:8" ht="15.75">
      <c r="A1727" s="582" t="s">
        <v>3637</v>
      </c>
      <c r="B1727" s="928" t="s">
        <v>2318</v>
      </c>
      <c r="C1727" s="885"/>
      <c r="D1727" s="885"/>
      <c r="E1727" s="885"/>
      <c r="F1727" s="885"/>
      <c r="G1727" s="885"/>
      <c r="H1727" s="885"/>
    </row>
    <row r="1728" spans="1:8" ht="31.5">
      <c r="A1728" s="1"/>
      <c r="B1728" s="68" t="s">
        <v>2966</v>
      </c>
      <c r="C1728" s="68" t="s">
        <v>2967</v>
      </c>
      <c r="D1728" s="68" t="s">
        <v>2968</v>
      </c>
      <c r="E1728" s="68" t="s">
        <v>2969</v>
      </c>
      <c r="F1728" s="68" t="s">
        <v>2970</v>
      </c>
      <c r="G1728" s="68" t="s">
        <v>2971</v>
      </c>
      <c r="H1728" s="68" t="s">
        <v>1487</v>
      </c>
    </row>
    <row r="1729" spans="1:8" ht="17.25">
      <c r="A1729" s="1"/>
      <c r="B1729" s="889" t="s">
        <v>1488</v>
      </c>
      <c r="C1729" s="58" t="s">
        <v>516</v>
      </c>
      <c r="D1729" s="41">
        <v>0.06</v>
      </c>
      <c r="E1729" s="55" t="s">
        <v>1490</v>
      </c>
      <c r="F1729" s="107" t="e">
        <f>#REF!</f>
        <v>#REF!</v>
      </c>
      <c r="G1729" s="107" t="e">
        <f>FLOOR(D1729*F1729,0.01)</f>
        <v>#REF!</v>
      </c>
      <c r="H1729" s="108"/>
    </row>
    <row r="1730" spans="1:8" ht="17.25">
      <c r="A1730" s="1"/>
      <c r="B1730" s="887"/>
      <c r="C1730" s="56" t="s">
        <v>1433</v>
      </c>
      <c r="D1730" s="49">
        <v>6.0000000000000001E-3</v>
      </c>
      <c r="E1730" s="56" t="s">
        <v>1490</v>
      </c>
      <c r="F1730" s="109" t="e">
        <f>#REF!</f>
        <v>#REF!</v>
      </c>
      <c r="G1730" s="63" t="e">
        <f>FLOOR(D1730*F1730,0.01)</f>
        <v>#REF!</v>
      </c>
      <c r="H1730" s="121" t="e">
        <f>SUM(G1729+G1730)</f>
        <v>#REF!</v>
      </c>
    </row>
    <row r="1731" spans="1:8" ht="17.25">
      <c r="A1731" s="1"/>
      <c r="B1731" s="886" t="s">
        <v>2055</v>
      </c>
      <c r="C1731" s="53" t="s">
        <v>3018</v>
      </c>
      <c r="D1731" s="42">
        <v>1</v>
      </c>
      <c r="E1731" s="53" t="s">
        <v>2807</v>
      </c>
      <c r="F1731" s="110" t="e">
        <f>glass5</f>
        <v>#REF!</v>
      </c>
      <c r="G1731" s="109" t="e">
        <f>FLOOR(D1731*F1731,0.01)</f>
        <v>#REF!</v>
      </c>
      <c r="H1731" s="84"/>
    </row>
    <row r="1732" spans="1:8" ht="17.25">
      <c r="A1732" s="1"/>
      <c r="B1732" s="890"/>
      <c r="C1732" s="61" t="s">
        <v>1370</v>
      </c>
      <c r="D1732" s="42">
        <v>4.05</v>
      </c>
      <c r="E1732" s="53" t="s">
        <v>2807</v>
      </c>
      <c r="F1732" s="109" t="e">
        <f>#REF!</f>
        <v>#REF!</v>
      </c>
      <c r="G1732" s="109" t="e">
        <f>FLOOR(D1732*F1732,0.01)</f>
        <v>#REF!</v>
      </c>
      <c r="H1732" s="9"/>
    </row>
    <row r="1733" spans="1:8" ht="17.25">
      <c r="A1733" s="1"/>
      <c r="B1733" s="887"/>
      <c r="C1733" s="56" t="s">
        <v>2010</v>
      </c>
      <c r="D1733" s="57" t="s">
        <v>2808</v>
      </c>
      <c r="E1733" s="56" t="s">
        <v>2810</v>
      </c>
      <c r="F1733" s="63"/>
      <c r="G1733" s="63">
        <v>15</v>
      </c>
      <c r="H1733" s="123" t="e">
        <f>SUM(G1731:G1733)</f>
        <v>#REF!</v>
      </c>
    </row>
    <row r="1734" spans="1:8" ht="17.25">
      <c r="A1734" s="1"/>
      <c r="B1734" s="1"/>
      <c r="C1734" s="1"/>
      <c r="D1734" s="1"/>
      <c r="E1734" s="1"/>
      <c r="F1734" s="40" t="s">
        <v>1491</v>
      </c>
      <c r="G1734" s="40"/>
      <c r="H1734" s="63" t="e">
        <f>SUM(H1730:H1733)</f>
        <v>#REF!</v>
      </c>
    </row>
    <row r="1735" spans="1:8" ht="17.25">
      <c r="A1735" s="1"/>
      <c r="B1735" s="1" t="s">
        <v>1493</v>
      </c>
      <c r="C1735" s="1"/>
      <c r="D1735" s="1"/>
      <c r="E1735" s="1"/>
      <c r="F1735" s="40" t="s">
        <v>1472</v>
      </c>
      <c r="G1735" s="40"/>
      <c r="H1735" s="99" t="e">
        <f>FLOOR(H1734*0.15,0.01)</f>
        <v>#REF!</v>
      </c>
    </row>
    <row r="1736" spans="1:8" ht="17.25">
      <c r="A1736" s="27" t="s">
        <v>3005</v>
      </c>
      <c r="B1736" s="99" t="e">
        <f>+H1736</f>
        <v>#REF!</v>
      </c>
      <c r="C1736" s="1" t="s">
        <v>3006</v>
      </c>
      <c r="D1736" s="1"/>
      <c r="E1736" s="1"/>
      <c r="F1736" s="40" t="s">
        <v>1494</v>
      </c>
      <c r="G1736" s="40"/>
      <c r="H1736" s="99" t="e">
        <f>SUM(H1734:H1735)</f>
        <v>#REF!</v>
      </c>
    </row>
    <row r="1737" spans="1:8" ht="17.25">
      <c r="A1737" s="27"/>
      <c r="B1737" s="141"/>
      <c r="C1737" s="1"/>
      <c r="D1737" s="1"/>
      <c r="E1737" s="1"/>
      <c r="F1737" s="40"/>
      <c r="G1737" s="40"/>
      <c r="H1737" s="141"/>
    </row>
    <row r="1738" spans="1:8" ht="17.25">
      <c r="A1738" s="27"/>
      <c r="B1738" s="141"/>
      <c r="C1738" s="1"/>
      <c r="D1738" s="1"/>
      <c r="E1738" s="1"/>
      <c r="F1738" s="40"/>
      <c r="G1738" s="40"/>
      <c r="H1738" s="141"/>
    </row>
    <row r="1739" spans="1:8" ht="17.25">
      <c r="A1739" s="27"/>
      <c r="B1739" s="141"/>
      <c r="C1739" s="1"/>
      <c r="D1739" s="1"/>
      <c r="E1739" s="1"/>
      <c r="F1739" s="40"/>
      <c r="G1739" s="40"/>
      <c r="H1739" s="141"/>
    </row>
    <row r="1740" spans="1:8" ht="15">
      <c r="A1740" s="1"/>
      <c r="B1740" s="1"/>
      <c r="C1740" s="1"/>
      <c r="D1740" s="1"/>
      <c r="E1740" s="1"/>
      <c r="F1740" s="1"/>
      <c r="G1740" s="1"/>
      <c r="H1740" s="1"/>
    </row>
    <row r="1741" spans="1:8" ht="20.25">
      <c r="A1741" s="260">
        <f>A1726+1</f>
        <v>101</v>
      </c>
      <c r="B1741" s="877" t="s">
        <v>880</v>
      </c>
      <c r="C1741" s="878"/>
      <c r="D1741" s="878"/>
      <c r="E1741" s="878"/>
      <c r="F1741" s="878"/>
      <c r="G1741" s="878"/>
      <c r="H1741" s="878"/>
    </row>
    <row r="1742" spans="1:8" ht="15">
      <c r="A1742" s="15" t="s">
        <v>2730</v>
      </c>
      <c r="B1742" s="928" t="s">
        <v>2318</v>
      </c>
      <c r="C1742" s="885"/>
      <c r="D1742" s="885"/>
      <c r="E1742" s="885"/>
      <c r="F1742" s="885"/>
      <c r="G1742" s="885"/>
      <c r="H1742" s="885"/>
    </row>
    <row r="1743" spans="1:8" ht="31.5">
      <c r="A1743" s="1"/>
      <c r="B1743" s="68" t="s">
        <v>2966</v>
      </c>
      <c r="C1743" s="68" t="s">
        <v>2967</v>
      </c>
      <c r="D1743" s="68" t="s">
        <v>2968</v>
      </c>
      <c r="E1743" s="68" t="s">
        <v>2969</v>
      </c>
      <c r="F1743" s="68" t="s">
        <v>2970</v>
      </c>
      <c r="G1743" s="68" t="s">
        <v>2971</v>
      </c>
      <c r="H1743" s="68" t="s">
        <v>1487</v>
      </c>
    </row>
    <row r="1744" spans="1:8" ht="17.25">
      <c r="A1744" s="1"/>
      <c r="B1744" s="889" t="s">
        <v>1488</v>
      </c>
      <c r="C1744" s="58" t="s">
        <v>516</v>
      </c>
      <c r="D1744" s="41">
        <v>0.06</v>
      </c>
      <c r="E1744" s="55" t="s">
        <v>1490</v>
      </c>
      <c r="F1744" s="107" t="e">
        <f>#REF!</f>
        <v>#REF!</v>
      </c>
      <c r="G1744" s="107" t="e">
        <f>FLOOR(D1744*F1744,0.01)</f>
        <v>#REF!</v>
      </c>
      <c r="H1744" s="108"/>
    </row>
    <row r="1745" spans="1:8" ht="17.25">
      <c r="A1745" s="1"/>
      <c r="B1745" s="887"/>
      <c r="C1745" s="56" t="s">
        <v>1433</v>
      </c>
      <c r="D1745" s="49">
        <v>6.0000000000000001E-3</v>
      </c>
      <c r="E1745" s="56" t="s">
        <v>1490</v>
      </c>
      <c r="F1745" s="109" t="e">
        <f>#REF!</f>
        <v>#REF!</v>
      </c>
      <c r="G1745" s="63" t="e">
        <f>FLOOR(D1745*F1745,0.01)</f>
        <v>#REF!</v>
      </c>
      <c r="H1745" s="121" t="e">
        <f>SUM(G1744+G1745)</f>
        <v>#REF!</v>
      </c>
    </row>
    <row r="1746" spans="1:8" ht="17.25">
      <c r="A1746" s="1"/>
      <c r="B1746" s="886" t="s">
        <v>2055</v>
      </c>
      <c r="C1746" s="55" t="s">
        <v>881</v>
      </c>
      <c r="D1746" s="41">
        <v>1.05</v>
      </c>
      <c r="E1746" s="55" t="s">
        <v>2807</v>
      </c>
      <c r="F1746" s="110" t="e">
        <f>+#REF!</f>
        <v>#REF!</v>
      </c>
      <c r="G1746" s="109" t="e">
        <f>FLOOR(D1746*F1746,0.01)</f>
        <v>#REF!</v>
      </c>
      <c r="H1746" s="84"/>
    </row>
    <row r="1747" spans="1:8" ht="17.25">
      <c r="A1747" s="1"/>
      <c r="B1747" s="890"/>
      <c r="C1747" s="61" t="s">
        <v>1370</v>
      </c>
      <c r="D1747" s="42">
        <v>4.05</v>
      </c>
      <c r="E1747" s="53" t="s">
        <v>2605</v>
      </c>
      <c r="F1747" s="109" t="e">
        <f>#REF!</f>
        <v>#REF!</v>
      </c>
      <c r="G1747" s="109" t="e">
        <f>FLOOR(D1747*F1747,0.01)</f>
        <v>#REF!</v>
      </c>
      <c r="H1747" s="9"/>
    </row>
    <row r="1748" spans="1:8" ht="17.25">
      <c r="A1748" s="1"/>
      <c r="B1748" s="887"/>
      <c r="C1748" s="56" t="s">
        <v>2010</v>
      </c>
      <c r="D1748" s="59" t="s">
        <v>2808</v>
      </c>
      <c r="E1748" s="56" t="s">
        <v>2810</v>
      </c>
      <c r="F1748" s="63"/>
      <c r="G1748" s="63">
        <v>15</v>
      </c>
      <c r="H1748" s="123" t="e">
        <f>SUM(G1746:G1748)</f>
        <v>#REF!</v>
      </c>
    </row>
    <row r="1749" spans="1:8" ht="17.25">
      <c r="A1749" s="1"/>
      <c r="B1749" s="1"/>
      <c r="C1749" s="1"/>
      <c r="D1749" s="1"/>
      <c r="E1749" s="1"/>
      <c r="F1749" s="40" t="s">
        <v>1491</v>
      </c>
      <c r="G1749" s="40"/>
      <c r="H1749" s="63" t="e">
        <f>SUM(H1745:H1748)</f>
        <v>#REF!</v>
      </c>
    </row>
    <row r="1750" spans="1:8" ht="17.25">
      <c r="A1750" s="1"/>
      <c r="B1750" s="1" t="s">
        <v>1493</v>
      </c>
      <c r="C1750" s="1"/>
      <c r="D1750" s="1"/>
      <c r="E1750" s="1"/>
      <c r="F1750" s="40" t="s">
        <v>1472</v>
      </c>
      <c r="G1750" s="40"/>
      <c r="H1750" s="99" t="e">
        <f>FLOOR(H1749*0.15,0.01)</f>
        <v>#REF!</v>
      </c>
    </row>
    <row r="1751" spans="1:8" ht="17.25">
      <c r="A1751" s="27" t="s">
        <v>3005</v>
      </c>
      <c r="B1751" s="99" t="e">
        <f>+H1751</f>
        <v>#REF!</v>
      </c>
      <c r="C1751" s="1" t="s">
        <v>3006</v>
      </c>
      <c r="D1751" s="1"/>
      <c r="E1751" s="1"/>
      <c r="F1751" s="40" t="s">
        <v>1494</v>
      </c>
      <c r="G1751" s="40"/>
      <c r="H1751" s="99" t="e">
        <f>SUM(H1749:H1750)</f>
        <v>#REF!</v>
      </c>
    </row>
    <row r="1752" spans="1:8" ht="15">
      <c r="A1752" s="1"/>
      <c r="B1752" s="1"/>
      <c r="C1752" s="1"/>
      <c r="D1752" s="1"/>
      <c r="E1752" s="1"/>
      <c r="F1752" s="1"/>
      <c r="G1752" s="1"/>
      <c r="H1752" s="1"/>
    </row>
    <row r="1753" spans="1:8" ht="20.25">
      <c r="A1753" s="260">
        <f>A1741+1</f>
        <v>102</v>
      </c>
      <c r="B1753" s="878" t="s">
        <v>3570</v>
      </c>
      <c r="C1753" s="878"/>
      <c r="D1753" s="878"/>
      <c r="E1753" s="878"/>
      <c r="F1753" s="878"/>
      <c r="G1753" s="878"/>
      <c r="H1753" s="878"/>
    </row>
    <row r="1754" spans="1:8" ht="15.75">
      <c r="A1754" s="582"/>
      <c r="B1754" s="879" t="s">
        <v>2566</v>
      </c>
      <c r="C1754" s="879"/>
      <c r="D1754" s="879"/>
      <c r="E1754" s="879"/>
      <c r="F1754" s="879"/>
      <c r="G1754" s="879"/>
      <c r="H1754" s="879"/>
    </row>
    <row r="1755" spans="1:8" ht="31.5">
      <c r="A1755" s="1"/>
      <c r="B1755" s="68" t="s">
        <v>2966</v>
      </c>
      <c r="C1755" s="68" t="s">
        <v>2967</v>
      </c>
      <c r="D1755" s="68" t="s">
        <v>2968</v>
      </c>
      <c r="E1755" s="68" t="s">
        <v>2969</v>
      </c>
      <c r="F1755" s="68" t="s">
        <v>2970</v>
      </c>
      <c r="G1755" s="68" t="s">
        <v>2971</v>
      </c>
      <c r="H1755" s="68" t="s">
        <v>1487</v>
      </c>
    </row>
    <row r="1756" spans="1:8" ht="17.25">
      <c r="A1756" s="1"/>
      <c r="B1756" s="58" t="s">
        <v>1488</v>
      </c>
      <c r="C1756" s="58" t="s">
        <v>2567</v>
      </c>
      <c r="D1756" s="41">
        <v>0.06</v>
      </c>
      <c r="E1756" s="55" t="s">
        <v>1490</v>
      </c>
      <c r="F1756" s="107" t="e">
        <f>mason</f>
        <v>#REF!</v>
      </c>
      <c r="G1756" s="107" t="e">
        <f>FLOOR(D1756*F1756,0.01)</f>
        <v>#REF!</v>
      </c>
      <c r="H1756" s="107"/>
    </row>
    <row r="1757" spans="1:8" ht="17.25">
      <c r="A1757" s="1"/>
      <c r="B1757" s="62"/>
      <c r="C1757" s="53" t="s">
        <v>1930</v>
      </c>
      <c r="D1757" s="52">
        <v>6.0000000000000001E-3</v>
      </c>
      <c r="E1757" s="53" t="s">
        <v>1490</v>
      </c>
      <c r="F1757" s="63" t="e">
        <f>#REF!</f>
        <v>#REF!</v>
      </c>
      <c r="G1757" s="122" t="e">
        <f>FLOOR(D1757*F1757,0.01)</f>
        <v>#REF!</v>
      </c>
      <c r="H1757" s="122" t="e">
        <f>SUM(G1756:G1757)</f>
        <v>#REF!</v>
      </c>
    </row>
    <row r="1758" spans="1:8" ht="47.25">
      <c r="A1758" s="1"/>
      <c r="B1758" s="880" t="s">
        <v>2055</v>
      </c>
      <c r="C1758" s="195" t="s">
        <v>3571</v>
      </c>
      <c r="D1758" s="41">
        <v>1.05</v>
      </c>
      <c r="E1758" s="55" t="s">
        <v>2807</v>
      </c>
      <c r="F1758" s="152" t="e">
        <f>#REF!</f>
        <v>#REF!</v>
      </c>
      <c r="G1758" s="152" t="e">
        <f>FLOOR(D1758*F1758,0.01)</f>
        <v>#REF!</v>
      </c>
      <c r="H1758" s="196"/>
    </row>
    <row r="1759" spans="1:8" ht="17.25">
      <c r="A1759" s="1"/>
      <c r="B1759" s="881"/>
      <c r="C1759" s="60" t="s">
        <v>1134</v>
      </c>
      <c r="D1759" s="42">
        <v>4.05</v>
      </c>
      <c r="E1759" s="54" t="s">
        <v>2605</v>
      </c>
      <c r="F1759" s="153" t="e">
        <f>#REF!</f>
        <v>#REF!</v>
      </c>
      <c r="G1759" s="153" t="e">
        <f>FLOOR(D1759*F1759,0.01)</f>
        <v>#REF!</v>
      </c>
      <c r="H1759" s="196"/>
    </row>
    <row r="1760" spans="1:8" ht="31.5">
      <c r="A1760" s="1"/>
      <c r="B1760" s="882"/>
      <c r="C1760" s="197" t="s">
        <v>1604</v>
      </c>
      <c r="D1760" s="43" t="s">
        <v>380</v>
      </c>
      <c r="E1760" s="198" t="s">
        <v>2808</v>
      </c>
      <c r="F1760" s="43" t="s">
        <v>380</v>
      </c>
      <c r="G1760" s="155">
        <v>30</v>
      </c>
      <c r="H1760" s="63" t="e">
        <f>SUM(G1758:G1760)</f>
        <v>#REF!</v>
      </c>
    </row>
    <row r="1761" spans="1:8" ht="17.25">
      <c r="A1761" s="1"/>
      <c r="B1761" s="1"/>
      <c r="C1761" s="1"/>
      <c r="D1761" s="1"/>
      <c r="E1761" s="1"/>
      <c r="F1761" s="40" t="s">
        <v>1491</v>
      </c>
      <c r="G1761" s="40"/>
      <c r="H1761" s="99" t="e">
        <f>SUM(H1757:H1760)</f>
        <v>#REF!</v>
      </c>
    </row>
    <row r="1762" spans="1:8" ht="17.25">
      <c r="A1762" s="1"/>
      <c r="B1762" s="1" t="s">
        <v>1493</v>
      </c>
      <c r="C1762" s="1"/>
      <c r="D1762" s="1"/>
      <c r="E1762" s="1"/>
      <c r="F1762" s="40" t="s">
        <v>1472</v>
      </c>
      <c r="G1762" s="40"/>
      <c r="H1762" s="99" t="e">
        <f>FLOOR(H1761*0.15,0.01)</f>
        <v>#REF!</v>
      </c>
    </row>
    <row r="1763" spans="1:8" ht="17.25">
      <c r="A1763" s="27" t="s">
        <v>3005</v>
      </c>
      <c r="B1763" s="99" t="e">
        <f>+H1763</f>
        <v>#REF!</v>
      </c>
      <c r="C1763" s="1" t="s">
        <v>3006</v>
      </c>
      <c r="D1763" s="143"/>
      <c r="E1763" s="1"/>
      <c r="F1763" s="40" t="s">
        <v>1494</v>
      </c>
      <c r="G1763" s="40"/>
      <c r="H1763" s="99" t="e">
        <f>SUM(H1761:H1762)</f>
        <v>#REF!</v>
      </c>
    </row>
    <row r="1764" spans="1:8" ht="16.5">
      <c r="A1764" s="1"/>
      <c r="B1764" s="88"/>
      <c r="C1764" s="1"/>
      <c r="D1764" s="1"/>
      <c r="E1764" s="1"/>
      <c r="F1764" s="1"/>
      <c r="G1764" s="1"/>
      <c r="H1764" s="1"/>
    </row>
    <row r="1765" spans="1:8" ht="16.5">
      <c r="A1765" s="1"/>
      <c r="B1765" s="88"/>
      <c r="C1765" s="1"/>
      <c r="D1765" s="1"/>
      <c r="E1765" s="1"/>
      <c r="F1765" s="1"/>
      <c r="G1765" s="1"/>
      <c r="H1765" s="1"/>
    </row>
    <row r="1766" spans="1:8" ht="16.5">
      <c r="A1766" s="1"/>
      <c r="B1766" s="88"/>
      <c r="C1766" s="1"/>
      <c r="D1766" s="1"/>
      <c r="E1766" s="1"/>
      <c r="F1766" s="1"/>
      <c r="G1766" s="1"/>
      <c r="H1766" s="1"/>
    </row>
    <row r="1767" spans="1:8" ht="20.25">
      <c r="A1767" s="260">
        <f>A1753+1</f>
        <v>103</v>
      </c>
      <c r="B1767" s="878" t="s">
        <v>2564</v>
      </c>
      <c r="C1767" s="878"/>
      <c r="D1767" s="878"/>
      <c r="E1767" s="878"/>
      <c r="F1767" s="878"/>
      <c r="G1767" s="878"/>
      <c r="H1767" s="878"/>
    </row>
    <row r="1768" spans="1:8" ht="19.5">
      <c r="A1768" s="15"/>
      <c r="B1768" s="878" t="s">
        <v>2565</v>
      </c>
      <c r="C1768" s="878"/>
      <c r="D1768" s="878"/>
      <c r="E1768" s="878"/>
      <c r="F1768" s="878"/>
      <c r="G1768" s="878"/>
      <c r="H1768" s="878"/>
    </row>
    <row r="1769" spans="1:8" ht="15">
      <c r="A1769" s="194"/>
      <c r="B1769" s="879" t="s">
        <v>2566</v>
      </c>
      <c r="C1769" s="879"/>
      <c r="D1769" s="879"/>
      <c r="E1769" s="879"/>
      <c r="F1769" s="879"/>
      <c r="G1769" s="879"/>
      <c r="H1769" s="879"/>
    </row>
    <row r="1770" spans="1:8" ht="31.5">
      <c r="A1770" s="1"/>
      <c r="B1770" s="68" t="s">
        <v>2966</v>
      </c>
      <c r="C1770" s="68" t="s">
        <v>2967</v>
      </c>
      <c r="D1770" s="68" t="s">
        <v>2968</v>
      </c>
      <c r="E1770" s="68" t="s">
        <v>2969</v>
      </c>
      <c r="F1770" s="68" t="s">
        <v>2970</v>
      </c>
      <c r="G1770" s="68" t="s">
        <v>2971</v>
      </c>
      <c r="H1770" s="68" t="s">
        <v>1487</v>
      </c>
    </row>
    <row r="1771" spans="1:8" ht="17.25">
      <c r="A1771" s="1"/>
      <c r="B1771" s="58" t="s">
        <v>1488</v>
      </c>
      <c r="C1771" s="58" t="s">
        <v>2567</v>
      </c>
      <c r="D1771" s="41">
        <v>0.06</v>
      </c>
      <c r="E1771" s="55" t="s">
        <v>1490</v>
      </c>
      <c r="F1771" s="107" t="e">
        <f>mason</f>
        <v>#REF!</v>
      </c>
      <c r="G1771" s="107" t="e">
        <f>FLOOR(D1771*F1771,0.01)</f>
        <v>#REF!</v>
      </c>
      <c r="H1771" s="107"/>
    </row>
    <row r="1772" spans="1:8" ht="17.25">
      <c r="A1772" s="1"/>
      <c r="B1772" s="62"/>
      <c r="C1772" s="53" t="s">
        <v>1930</v>
      </c>
      <c r="D1772" s="52">
        <v>6.0000000000000001E-3</v>
      </c>
      <c r="E1772" s="53" t="s">
        <v>1490</v>
      </c>
      <c r="F1772" s="63" t="e">
        <f>#REF!</f>
        <v>#REF!</v>
      </c>
      <c r="G1772" s="122" t="e">
        <f>FLOOR(D1772*F1772,0.01)</f>
        <v>#REF!</v>
      </c>
      <c r="H1772" s="122" t="e">
        <f>SUM(G1771:G1772)</f>
        <v>#REF!</v>
      </c>
    </row>
    <row r="1773" spans="1:8" ht="31.5">
      <c r="A1773" s="1"/>
      <c r="B1773" s="880" t="s">
        <v>2055</v>
      </c>
      <c r="C1773" s="195" t="s">
        <v>381</v>
      </c>
      <c r="D1773" s="41">
        <v>1.05</v>
      </c>
      <c r="E1773" s="55" t="s">
        <v>2807</v>
      </c>
      <c r="F1773" s="152" t="e">
        <f>Tikply4</f>
        <v>#REF!</v>
      </c>
      <c r="G1773" s="152" t="e">
        <f>FLOOR(D1773*F1773,0.01)</f>
        <v>#REF!</v>
      </c>
      <c r="H1773" s="196"/>
    </row>
    <row r="1774" spans="1:8" ht="16.5">
      <c r="A1774" s="1"/>
      <c r="B1774" s="881"/>
      <c r="C1774" s="60" t="s">
        <v>379</v>
      </c>
      <c r="D1774" s="42" t="s">
        <v>380</v>
      </c>
      <c r="E1774" s="61" t="s">
        <v>2808</v>
      </c>
      <c r="F1774" s="42" t="s">
        <v>380</v>
      </c>
      <c r="G1774" s="153">
        <v>65</v>
      </c>
      <c r="H1774" s="196"/>
    </row>
    <row r="1775" spans="1:8" ht="16.5">
      <c r="A1775" s="1"/>
      <c r="B1775" s="882"/>
      <c r="C1775" s="197" t="s">
        <v>2010</v>
      </c>
      <c r="D1775" s="43" t="s">
        <v>380</v>
      </c>
      <c r="E1775" s="198" t="s">
        <v>2808</v>
      </c>
      <c r="F1775" s="43" t="s">
        <v>380</v>
      </c>
      <c r="G1775" s="155">
        <v>15</v>
      </c>
      <c r="H1775" s="63" t="e">
        <f>SUM(G1773:G1775)</f>
        <v>#REF!</v>
      </c>
    </row>
    <row r="1776" spans="1:8" ht="17.25">
      <c r="A1776" s="1"/>
      <c r="B1776" s="1"/>
      <c r="C1776" s="1"/>
      <c r="D1776" s="1"/>
      <c r="E1776" s="1"/>
      <c r="F1776" s="40" t="s">
        <v>1491</v>
      </c>
      <c r="G1776" s="40"/>
      <c r="H1776" s="99" t="e">
        <f>SUM(H1775,H1772)</f>
        <v>#REF!</v>
      </c>
    </row>
    <row r="1777" spans="1:8" ht="17.25">
      <c r="A1777" s="1"/>
      <c r="B1777" s="1" t="s">
        <v>1493</v>
      </c>
      <c r="C1777" s="1"/>
      <c r="D1777" s="1"/>
      <c r="E1777" s="1"/>
      <c r="F1777" s="40" t="s">
        <v>1472</v>
      </c>
      <c r="G1777" s="40"/>
      <c r="H1777" s="99" t="e">
        <f>FLOOR(H1776*0.15,0.01)</f>
        <v>#REF!</v>
      </c>
    </row>
    <row r="1778" spans="1:8" ht="17.25">
      <c r="A1778" s="27" t="s">
        <v>3005</v>
      </c>
      <c r="B1778" s="99" t="e">
        <f>+H1778</f>
        <v>#REF!</v>
      </c>
      <c r="C1778" s="1" t="s">
        <v>3006</v>
      </c>
      <c r="D1778" s="143"/>
      <c r="E1778" s="1"/>
      <c r="F1778" s="40" t="s">
        <v>1494</v>
      </c>
      <c r="G1778" s="40"/>
      <c r="H1778" s="99" t="e">
        <f>SUM(H1776:H1777)</f>
        <v>#REF!</v>
      </c>
    </row>
    <row r="1779" spans="1:8" ht="16.5">
      <c r="A1779" s="1"/>
      <c r="B1779" s="88"/>
      <c r="C1779" s="1"/>
      <c r="D1779" s="1"/>
      <c r="E1779" s="1"/>
      <c r="F1779" s="1"/>
      <c r="G1779" s="1"/>
      <c r="H1779" s="1"/>
    </row>
    <row r="1780" spans="1:8" ht="16.5">
      <c r="A1780" s="1"/>
      <c r="B1780" s="88"/>
      <c r="C1780" s="1"/>
      <c r="D1780" s="1"/>
      <c r="E1780" s="1"/>
      <c r="F1780" s="1"/>
      <c r="G1780" s="1"/>
      <c r="H1780" s="1"/>
    </row>
    <row r="1781" spans="1:8" ht="16.5">
      <c r="A1781" s="1"/>
      <c r="B1781" s="88"/>
      <c r="C1781" s="1"/>
      <c r="D1781" s="1"/>
      <c r="E1781" s="1"/>
      <c r="F1781" s="1"/>
      <c r="G1781" s="1"/>
      <c r="H1781" s="1"/>
    </row>
    <row r="1782" spans="1:8" ht="19.5">
      <c r="A1782" s="1"/>
      <c r="B1782" s="878" t="s">
        <v>2423</v>
      </c>
      <c r="C1782" s="878"/>
      <c r="D1782" s="878"/>
      <c r="E1782" s="878"/>
      <c r="F1782" s="878"/>
      <c r="G1782" s="878"/>
      <c r="H1782" s="878"/>
    </row>
    <row r="1783" spans="1:8" ht="20.25">
      <c r="A1783" s="260">
        <f>A1767+1</f>
        <v>104</v>
      </c>
      <c r="B1783" s="877" t="s">
        <v>2964</v>
      </c>
      <c r="C1783" s="878"/>
      <c r="D1783" s="878"/>
      <c r="E1783" s="878"/>
      <c r="F1783" s="878"/>
      <c r="G1783" s="878"/>
      <c r="H1783" s="878"/>
    </row>
    <row r="1784" spans="1:8" ht="15.75">
      <c r="A1784" s="582" t="s">
        <v>3638</v>
      </c>
      <c r="B1784" s="928" t="s">
        <v>104</v>
      </c>
      <c r="C1784" s="885"/>
      <c r="D1784" s="885"/>
      <c r="E1784" s="885"/>
      <c r="F1784" s="885"/>
      <c r="G1784" s="885"/>
      <c r="H1784" s="885"/>
    </row>
    <row r="1785" spans="1:8" ht="31.5">
      <c r="A1785" s="1"/>
      <c r="B1785" s="68" t="s">
        <v>2966</v>
      </c>
      <c r="C1785" s="68" t="s">
        <v>2967</v>
      </c>
      <c r="D1785" s="68" t="s">
        <v>2968</v>
      </c>
      <c r="E1785" s="68" t="s">
        <v>2969</v>
      </c>
      <c r="F1785" s="68" t="s">
        <v>2970</v>
      </c>
      <c r="G1785" s="68" t="s">
        <v>2971</v>
      </c>
      <c r="H1785" s="68" t="s">
        <v>1487</v>
      </c>
    </row>
    <row r="1786" spans="1:8" ht="17.25">
      <c r="A1786" s="1"/>
      <c r="B1786" s="889" t="s">
        <v>1488</v>
      </c>
      <c r="C1786" s="58" t="s">
        <v>516</v>
      </c>
      <c r="D1786" s="41">
        <v>23</v>
      </c>
      <c r="E1786" s="55" t="s">
        <v>1490</v>
      </c>
      <c r="F1786" s="107" t="e">
        <f>#REF!</f>
        <v>#REF!</v>
      </c>
      <c r="G1786" s="107" t="e">
        <f t="shared" ref="G1786:G1791" si="54">FLOOR(D1786*F1786,0.01)</f>
        <v>#REF!</v>
      </c>
      <c r="H1786" s="108"/>
    </row>
    <row r="1787" spans="1:8" ht="17.25">
      <c r="A1787" s="1"/>
      <c r="B1787" s="887"/>
      <c r="C1787" s="56" t="s">
        <v>1433</v>
      </c>
      <c r="D1787" s="43">
        <v>2.2999999999999998</v>
      </c>
      <c r="E1787" s="56" t="s">
        <v>1490</v>
      </c>
      <c r="F1787" s="109" t="e">
        <f>#REF!</f>
        <v>#REF!</v>
      </c>
      <c r="G1787" s="63" t="e">
        <f t="shared" si="54"/>
        <v>#REF!</v>
      </c>
      <c r="H1787" s="121" t="e">
        <f>SUM(G1786+G1787)</f>
        <v>#REF!</v>
      </c>
    </row>
    <row r="1788" spans="1:8" ht="17.25">
      <c r="A1788" s="1"/>
      <c r="B1788" s="886" t="s">
        <v>2055</v>
      </c>
      <c r="C1788" s="53" t="s">
        <v>1932</v>
      </c>
      <c r="D1788" s="42">
        <v>0.45</v>
      </c>
      <c r="E1788" s="53" t="s">
        <v>2232</v>
      </c>
      <c r="F1788" s="110" t="e">
        <f>awood</f>
        <v>#REF!</v>
      </c>
      <c r="G1788" s="109" t="e">
        <f t="shared" si="54"/>
        <v>#REF!</v>
      </c>
      <c r="H1788" s="84"/>
    </row>
    <row r="1789" spans="1:8" ht="17.25">
      <c r="A1789" s="1"/>
      <c r="B1789" s="890"/>
      <c r="C1789" s="53" t="s">
        <v>881</v>
      </c>
      <c r="D1789" s="42">
        <v>37.5</v>
      </c>
      <c r="E1789" s="53" t="s">
        <v>2807</v>
      </c>
      <c r="F1789" s="109" t="e">
        <f>#REF!</f>
        <v>#REF!</v>
      </c>
      <c r="G1789" s="109" t="e">
        <f t="shared" si="54"/>
        <v>#REF!</v>
      </c>
      <c r="H1789" s="9"/>
    </row>
    <row r="1790" spans="1:8" ht="17.25">
      <c r="A1790" s="1"/>
      <c r="B1790" s="890"/>
      <c r="C1790" s="53" t="s">
        <v>1066</v>
      </c>
      <c r="D1790" s="239">
        <v>100</v>
      </c>
      <c r="E1790" s="53" t="s">
        <v>557</v>
      </c>
      <c r="F1790" s="109" t="e">
        <f>#REF!</f>
        <v>#REF!</v>
      </c>
      <c r="G1790" s="109" t="e">
        <f t="shared" si="54"/>
        <v>#REF!</v>
      </c>
      <c r="H1790" s="86"/>
    </row>
    <row r="1791" spans="1:8" ht="17.25">
      <c r="A1791" s="1"/>
      <c r="B1791" s="887"/>
      <c r="C1791" s="56" t="s">
        <v>2010</v>
      </c>
      <c r="D1791" s="43">
        <v>0.5</v>
      </c>
      <c r="E1791" s="56" t="s">
        <v>556</v>
      </c>
      <c r="F1791" s="63" t="e">
        <f>#REF!</f>
        <v>#REF!</v>
      </c>
      <c r="G1791" s="63" t="e">
        <f t="shared" si="54"/>
        <v>#REF!</v>
      </c>
      <c r="H1791" s="123" t="e">
        <f>SUM(G1788:G1791)</f>
        <v>#REF!</v>
      </c>
    </row>
    <row r="1792" spans="1:8" ht="17.25">
      <c r="A1792" s="1"/>
      <c r="B1792" s="1"/>
      <c r="C1792" s="1"/>
      <c r="D1792" s="1"/>
      <c r="E1792" s="1"/>
      <c r="F1792" s="40" t="s">
        <v>1491</v>
      </c>
      <c r="G1792" s="40"/>
      <c r="H1792" s="63" t="e">
        <f>SUM(H1787:H1791)</f>
        <v>#REF!</v>
      </c>
    </row>
    <row r="1793" spans="1:8" ht="17.25">
      <c r="A1793" s="1"/>
      <c r="B1793" s="1" t="s">
        <v>1493</v>
      </c>
      <c r="C1793" s="1"/>
      <c r="D1793" s="1"/>
      <c r="E1793" s="1"/>
      <c r="F1793" s="40" t="s">
        <v>1472</v>
      </c>
      <c r="G1793" s="40"/>
      <c r="H1793" s="99" t="e">
        <f>FLOOR(H1792*0.15,0.01)</f>
        <v>#REF!</v>
      </c>
    </row>
    <row r="1794" spans="1:8" ht="17.25">
      <c r="B1794" s="140" t="e">
        <f>+H1794</f>
        <v>#REF!</v>
      </c>
      <c r="C1794" s="27" t="s">
        <v>3005</v>
      </c>
      <c r="D1794" s="99" t="e">
        <f>INT(B1794/B1795*100)/100</f>
        <v>#REF!</v>
      </c>
      <c r="E1794" s="1" t="s">
        <v>3006</v>
      </c>
      <c r="F1794" s="40" t="s">
        <v>1494</v>
      </c>
      <c r="G1794" s="40"/>
      <c r="H1794" s="99" t="e">
        <f>SUM(H1792:H1793)</f>
        <v>#REF!</v>
      </c>
    </row>
    <row r="1795" spans="1:8" ht="16.5">
      <c r="A1795" s="1"/>
      <c r="B1795" s="88">
        <v>35.58</v>
      </c>
      <c r="C1795" s="1"/>
      <c r="D1795" s="1"/>
      <c r="E1795" s="1"/>
      <c r="F1795" s="1"/>
      <c r="G1795" s="1"/>
      <c r="H1795" s="1"/>
    </row>
    <row r="1796" spans="1:8" ht="16.5">
      <c r="A1796" s="1"/>
      <c r="B1796" s="88"/>
      <c r="C1796" s="1"/>
      <c r="D1796" s="1"/>
      <c r="E1796" s="1"/>
      <c r="F1796" s="1"/>
      <c r="G1796" s="1"/>
      <c r="H1796" s="1"/>
    </row>
    <row r="1797" spans="1:8" ht="19.5">
      <c r="A1797" s="878" t="s">
        <v>2423</v>
      </c>
      <c r="B1797" s="878"/>
      <c r="C1797" s="878"/>
      <c r="D1797" s="878"/>
      <c r="E1797" s="878"/>
      <c r="F1797" s="878"/>
      <c r="G1797" s="878"/>
      <c r="H1797" s="878"/>
    </row>
    <row r="1798" spans="1:8" ht="20.25">
      <c r="A1798" s="260">
        <f>A1783+1</f>
        <v>105</v>
      </c>
      <c r="B1798" s="877" t="s">
        <v>2419</v>
      </c>
      <c r="C1798" s="878"/>
      <c r="D1798" s="878"/>
      <c r="E1798" s="878"/>
      <c r="F1798" s="878"/>
      <c r="G1798" s="878"/>
      <c r="H1798" s="878"/>
    </row>
    <row r="1799" spans="1:8" ht="19.5">
      <c r="A1799" s="582" t="s">
        <v>3638</v>
      </c>
      <c r="B1799" s="877" t="s">
        <v>2944</v>
      </c>
      <c r="C1799" s="878"/>
      <c r="D1799" s="878"/>
      <c r="E1799" s="878"/>
      <c r="F1799" s="878"/>
      <c r="G1799" s="878"/>
      <c r="H1799" s="878"/>
    </row>
    <row r="1800" spans="1:8" ht="15">
      <c r="A1800" s="1"/>
      <c r="B1800" s="939" t="s">
        <v>3083</v>
      </c>
      <c r="C1800" s="939"/>
      <c r="D1800" s="939"/>
      <c r="E1800" s="939"/>
      <c r="F1800" s="939"/>
      <c r="G1800" s="939"/>
      <c r="H1800" s="939"/>
    </row>
    <row r="1801" spans="1:8" ht="31.5">
      <c r="A1801" s="1"/>
      <c r="B1801" s="68" t="s">
        <v>2966</v>
      </c>
      <c r="C1801" s="68" t="s">
        <v>2967</v>
      </c>
      <c r="D1801" s="68" t="s">
        <v>2968</v>
      </c>
      <c r="E1801" s="68" t="s">
        <v>2969</v>
      </c>
      <c r="F1801" s="68" t="s">
        <v>2970</v>
      </c>
      <c r="G1801" s="68" t="s">
        <v>2971</v>
      </c>
      <c r="H1801" s="68" t="s">
        <v>1487</v>
      </c>
    </row>
    <row r="1802" spans="1:8" ht="17.25">
      <c r="A1802" s="1"/>
      <c r="B1802" s="889" t="s">
        <v>1488</v>
      </c>
      <c r="C1802" s="58" t="s">
        <v>516</v>
      </c>
      <c r="D1802" s="41">
        <v>23</v>
      </c>
      <c r="E1802" s="55" t="s">
        <v>1490</v>
      </c>
      <c r="F1802" s="107" t="e">
        <f>#REF!</f>
        <v>#REF!</v>
      </c>
      <c r="G1802" s="107" t="e">
        <f t="shared" ref="G1802:G1807" si="55">FLOOR(D1802*F1802,0.01)</f>
        <v>#REF!</v>
      </c>
      <c r="H1802" s="108"/>
    </row>
    <row r="1803" spans="1:8" ht="17.25">
      <c r="A1803" s="1"/>
      <c r="B1803" s="887"/>
      <c r="C1803" s="56" t="s">
        <v>1433</v>
      </c>
      <c r="D1803" s="43">
        <v>2.2999999999999998</v>
      </c>
      <c r="E1803" s="56" t="s">
        <v>1490</v>
      </c>
      <c r="F1803" s="109" t="e">
        <f>#REF!</f>
        <v>#REF!</v>
      </c>
      <c r="G1803" s="63" t="e">
        <f t="shared" si="55"/>
        <v>#REF!</v>
      </c>
      <c r="H1803" s="121" t="e">
        <f>SUM(G1802+G1803)</f>
        <v>#REF!</v>
      </c>
    </row>
    <row r="1804" spans="1:8" ht="17.25">
      <c r="A1804" s="1"/>
      <c r="B1804" s="886" t="s">
        <v>2055</v>
      </c>
      <c r="C1804" s="53" t="s">
        <v>1932</v>
      </c>
      <c r="D1804" s="42">
        <v>0.45</v>
      </c>
      <c r="E1804" s="53" t="s">
        <v>2232</v>
      </c>
      <c r="F1804" s="110" t="e">
        <f>awood</f>
        <v>#REF!</v>
      </c>
      <c r="G1804" s="109" t="e">
        <f t="shared" si="55"/>
        <v>#REF!</v>
      </c>
      <c r="H1804" s="84"/>
    </row>
    <row r="1805" spans="1:8" ht="17.25">
      <c r="A1805" s="1"/>
      <c r="B1805" s="890"/>
      <c r="C1805" s="53" t="s">
        <v>1934</v>
      </c>
      <c r="D1805" s="42">
        <v>37.5</v>
      </c>
      <c r="E1805" s="53" t="s">
        <v>2807</v>
      </c>
      <c r="F1805" s="109" t="e">
        <f>plywood6</f>
        <v>#REF!</v>
      </c>
      <c r="G1805" s="109" t="e">
        <f t="shared" si="55"/>
        <v>#REF!</v>
      </c>
      <c r="H1805" s="9"/>
    </row>
    <row r="1806" spans="1:8" ht="17.25">
      <c r="A1806" s="1"/>
      <c r="B1806" s="890"/>
      <c r="C1806" s="53" t="s">
        <v>1066</v>
      </c>
      <c r="D1806" s="239">
        <v>100</v>
      </c>
      <c r="E1806" s="53" t="s">
        <v>557</v>
      </c>
      <c r="F1806" s="109" t="e">
        <f>#REF!</f>
        <v>#REF!</v>
      </c>
      <c r="G1806" s="109" t="e">
        <f t="shared" si="55"/>
        <v>#REF!</v>
      </c>
      <c r="H1806" s="86"/>
    </row>
    <row r="1807" spans="1:8" ht="17.25">
      <c r="A1807" s="1"/>
      <c r="B1807" s="887"/>
      <c r="C1807" s="56" t="s">
        <v>2010</v>
      </c>
      <c r="D1807" s="43">
        <v>0.5</v>
      </c>
      <c r="E1807" s="56" t="s">
        <v>556</v>
      </c>
      <c r="F1807" s="63" t="e">
        <f>#REF!</f>
        <v>#REF!</v>
      </c>
      <c r="G1807" s="63" t="e">
        <f t="shared" si="55"/>
        <v>#REF!</v>
      </c>
      <c r="H1807" s="123" t="e">
        <f>SUM(G1804:G1807)</f>
        <v>#REF!</v>
      </c>
    </row>
    <row r="1808" spans="1:8" ht="17.25">
      <c r="A1808" s="1"/>
      <c r="B1808" s="1"/>
      <c r="C1808" s="1"/>
      <c r="D1808" s="1"/>
      <c r="E1808" s="1"/>
      <c r="F1808" s="40" t="s">
        <v>1491</v>
      </c>
      <c r="G1808" s="40"/>
      <c r="H1808" s="63" t="e">
        <f>SUM(H1803:H1807)</f>
        <v>#REF!</v>
      </c>
    </row>
    <row r="1809" spans="1:8" ht="17.25">
      <c r="A1809" s="1"/>
      <c r="B1809" s="1" t="s">
        <v>1493</v>
      </c>
      <c r="C1809" s="1"/>
      <c r="D1809" s="1"/>
      <c r="E1809" s="1"/>
      <c r="F1809" s="40" t="s">
        <v>1472</v>
      </c>
      <c r="G1809" s="40"/>
      <c r="H1809" s="99" t="e">
        <f>FLOOR(H1808*0.15,0.01)</f>
        <v>#REF!</v>
      </c>
    </row>
    <row r="1810" spans="1:8" ht="17.25">
      <c r="B1810" s="140" t="e">
        <f>+H1810</f>
        <v>#REF!</v>
      </c>
      <c r="C1810" s="27" t="s">
        <v>3005</v>
      </c>
      <c r="D1810" s="99" t="e">
        <f>INT(B1810/B1811*100)/100</f>
        <v>#REF!</v>
      </c>
      <c r="E1810" s="1" t="s">
        <v>3006</v>
      </c>
      <c r="F1810" s="40" t="s">
        <v>1494</v>
      </c>
      <c r="G1810" s="40"/>
      <c r="H1810" s="99" t="e">
        <f>SUM(H1808:H1809)</f>
        <v>#REF!</v>
      </c>
    </row>
    <row r="1811" spans="1:8" ht="20.25">
      <c r="A1811" s="1"/>
      <c r="B1811" s="88">
        <v>35.58</v>
      </c>
      <c r="C1811" s="1"/>
      <c r="D1811" s="1"/>
      <c r="E1811" s="1"/>
      <c r="F1811" s="36"/>
      <c r="G1811" s="36"/>
      <c r="H1811" s="36"/>
    </row>
    <row r="1812" spans="1:8" ht="20.25">
      <c r="A1812" s="1"/>
      <c r="B1812" s="88"/>
      <c r="C1812" s="1"/>
      <c r="D1812" s="1"/>
      <c r="E1812" s="1"/>
      <c r="F1812" s="36"/>
      <c r="G1812" s="36"/>
      <c r="H1812" s="36"/>
    </row>
    <row r="1813" spans="1:8" ht="20.25">
      <c r="A1813" s="1"/>
      <c r="B1813" s="88"/>
      <c r="C1813" s="1"/>
      <c r="D1813" s="1"/>
      <c r="E1813" s="1"/>
      <c r="F1813" s="36"/>
      <c r="G1813" s="36"/>
      <c r="H1813" s="36"/>
    </row>
    <row r="1814" spans="1:8" ht="19.5">
      <c r="A1814" s="878" t="s">
        <v>1136</v>
      </c>
      <c r="B1814" s="878"/>
      <c r="C1814" s="878"/>
      <c r="D1814" s="878"/>
      <c r="E1814" s="878"/>
      <c r="F1814" s="878"/>
      <c r="G1814" s="878"/>
      <c r="H1814" s="878"/>
    </row>
    <row r="1815" spans="1:8" ht="19.5">
      <c r="A1815" s="878" t="s">
        <v>2419</v>
      </c>
      <c r="B1815" s="878"/>
      <c r="C1815" s="878"/>
      <c r="D1815" s="878"/>
      <c r="E1815" s="878"/>
      <c r="F1815" s="878"/>
      <c r="G1815" s="878"/>
      <c r="H1815" s="878"/>
    </row>
    <row r="1816" spans="1:8" ht="20.25">
      <c r="A1816" s="260">
        <f>+A1798+1</f>
        <v>106</v>
      </c>
      <c r="B1816" s="877" t="s">
        <v>2943</v>
      </c>
      <c r="C1816" s="878"/>
      <c r="D1816" s="878"/>
      <c r="E1816" s="878"/>
      <c r="F1816" s="878"/>
      <c r="G1816" s="878"/>
      <c r="H1816" s="878"/>
    </row>
    <row r="1817" spans="1:8" ht="15">
      <c r="A1817" s="15" t="s">
        <v>2420</v>
      </c>
      <c r="B1817" s="928" t="s">
        <v>104</v>
      </c>
      <c r="C1817" s="885"/>
      <c r="D1817" s="885"/>
      <c r="E1817" s="885"/>
      <c r="F1817" s="885"/>
      <c r="G1817" s="885"/>
      <c r="H1817" s="885"/>
    </row>
    <row r="1818" spans="1:8" ht="31.5">
      <c r="A1818" s="1"/>
      <c r="B1818" s="68" t="s">
        <v>2966</v>
      </c>
      <c r="C1818" s="68" t="s">
        <v>2967</v>
      </c>
      <c r="D1818" s="68" t="s">
        <v>2968</v>
      </c>
      <c r="E1818" s="68" t="s">
        <v>2969</v>
      </c>
      <c r="F1818" s="68" t="s">
        <v>2970</v>
      </c>
      <c r="G1818" s="68" t="s">
        <v>2971</v>
      </c>
      <c r="H1818" s="68" t="s">
        <v>1487</v>
      </c>
    </row>
    <row r="1819" spans="1:8" ht="17.25">
      <c r="A1819" s="1"/>
      <c r="B1819" s="889" t="s">
        <v>1488</v>
      </c>
      <c r="C1819" s="58" t="s">
        <v>516</v>
      </c>
      <c r="D1819" s="41">
        <v>23</v>
      </c>
      <c r="E1819" s="55" t="s">
        <v>1490</v>
      </c>
      <c r="F1819" s="107" t="e">
        <f>mason</f>
        <v>#REF!</v>
      </c>
      <c r="G1819" s="107" t="e">
        <f t="shared" ref="G1819:G1824" si="56">FLOOR(D1819*F1819,0.01)</f>
        <v>#REF!</v>
      </c>
      <c r="H1819" s="108"/>
    </row>
    <row r="1820" spans="1:8" ht="17.25">
      <c r="A1820" s="1"/>
      <c r="B1820" s="887"/>
      <c r="C1820" s="56" t="s">
        <v>1433</v>
      </c>
      <c r="D1820" s="43">
        <v>2.2999999999999998</v>
      </c>
      <c r="E1820" s="56" t="s">
        <v>1490</v>
      </c>
      <c r="F1820" s="109" t="e">
        <f>#REF!</f>
        <v>#REF!</v>
      </c>
      <c r="G1820" s="63" t="e">
        <f t="shared" si="56"/>
        <v>#REF!</v>
      </c>
      <c r="H1820" s="121" t="e">
        <f>SUM(G1819+G1820)</f>
        <v>#REF!</v>
      </c>
    </row>
    <row r="1821" spans="1:8" ht="17.25">
      <c r="A1821" s="1"/>
      <c r="B1821" s="886" t="s">
        <v>2055</v>
      </c>
      <c r="C1821" s="53" t="s">
        <v>1137</v>
      </c>
      <c r="D1821" s="42">
        <v>0.45</v>
      </c>
      <c r="E1821" s="53" t="s">
        <v>2232</v>
      </c>
      <c r="F1821" s="110" t="e">
        <f>#REF!</f>
        <v>#REF!</v>
      </c>
      <c r="G1821" s="109" t="e">
        <f t="shared" si="56"/>
        <v>#REF!</v>
      </c>
      <c r="H1821" s="84"/>
    </row>
    <row r="1822" spans="1:8" ht="17.25">
      <c r="A1822" s="1"/>
      <c r="B1822" s="890"/>
      <c r="C1822" s="53" t="s">
        <v>881</v>
      </c>
      <c r="D1822" s="42">
        <v>37.5</v>
      </c>
      <c r="E1822" s="53" t="s">
        <v>2807</v>
      </c>
      <c r="F1822" s="109" t="e">
        <f>#REF!</f>
        <v>#REF!</v>
      </c>
      <c r="G1822" s="109" t="e">
        <f t="shared" si="56"/>
        <v>#REF!</v>
      </c>
      <c r="H1822" s="9"/>
    </row>
    <row r="1823" spans="1:8" ht="17.25">
      <c r="A1823" s="1"/>
      <c r="B1823" s="890"/>
      <c r="C1823" s="53" t="s">
        <v>1066</v>
      </c>
      <c r="D1823" s="239">
        <v>100</v>
      </c>
      <c r="E1823" s="53" t="s">
        <v>557</v>
      </c>
      <c r="F1823" s="109" t="e">
        <f>#REF!</f>
        <v>#REF!</v>
      </c>
      <c r="G1823" s="109" t="e">
        <f t="shared" si="56"/>
        <v>#REF!</v>
      </c>
      <c r="H1823" s="86"/>
    </row>
    <row r="1824" spans="1:8" ht="17.25">
      <c r="A1824" s="1"/>
      <c r="B1824" s="887"/>
      <c r="C1824" s="56" t="s">
        <v>2010</v>
      </c>
      <c r="D1824" s="43">
        <v>0.5</v>
      </c>
      <c r="E1824" s="56" t="s">
        <v>556</v>
      </c>
      <c r="F1824" s="63" t="e">
        <f>#REF!</f>
        <v>#REF!</v>
      </c>
      <c r="G1824" s="63" t="e">
        <f t="shared" si="56"/>
        <v>#REF!</v>
      </c>
      <c r="H1824" s="123" t="e">
        <f>SUM(G1821:G1824)</f>
        <v>#REF!</v>
      </c>
    </row>
    <row r="1825" spans="1:8" ht="17.25">
      <c r="A1825" s="1"/>
      <c r="B1825" s="1"/>
      <c r="C1825" s="1"/>
      <c r="D1825" s="1"/>
      <c r="E1825" s="1"/>
      <c r="F1825" s="40" t="s">
        <v>1491</v>
      </c>
      <c r="G1825" s="40"/>
      <c r="H1825" s="63" t="e">
        <f>SUM(H1820:H1824)</f>
        <v>#REF!</v>
      </c>
    </row>
    <row r="1826" spans="1:8" ht="17.25">
      <c r="A1826" s="1"/>
      <c r="B1826" s="1" t="s">
        <v>1493</v>
      </c>
      <c r="C1826" s="1"/>
      <c r="D1826" s="1"/>
      <c r="E1826" s="1"/>
      <c r="F1826" s="40" t="s">
        <v>1472</v>
      </c>
      <c r="G1826" s="40"/>
      <c r="H1826" s="99" t="e">
        <f>FLOOR(H1825*0.15,0.01)</f>
        <v>#REF!</v>
      </c>
    </row>
    <row r="1827" spans="1:8" ht="17.25">
      <c r="B1827" s="140" t="e">
        <f>+H1827</f>
        <v>#REF!</v>
      </c>
      <c r="C1827" s="27" t="s">
        <v>3005</v>
      </c>
      <c r="D1827" s="99" t="e">
        <f>INT(B1827/B1828*100)/100</f>
        <v>#REF!</v>
      </c>
      <c r="E1827" s="1" t="s">
        <v>3006</v>
      </c>
      <c r="F1827" s="40" t="s">
        <v>1494</v>
      </c>
      <c r="G1827" s="40"/>
      <c r="H1827" s="99" t="e">
        <f>SUM(H1825:H1826)</f>
        <v>#REF!</v>
      </c>
    </row>
    <row r="1828" spans="1:8" ht="16.5">
      <c r="A1828" s="1"/>
      <c r="B1828" s="88">
        <v>35.58</v>
      </c>
      <c r="C1828" s="1"/>
      <c r="D1828" s="1"/>
      <c r="E1828" s="1"/>
      <c r="F1828" s="1"/>
      <c r="G1828" s="1"/>
      <c r="H1828" s="1"/>
    </row>
    <row r="1829" spans="1:8" ht="16.5">
      <c r="A1829" s="1"/>
      <c r="B1829" s="88"/>
      <c r="C1829" s="1"/>
      <c r="D1829" s="1"/>
      <c r="E1829" s="1"/>
      <c r="F1829" s="1"/>
      <c r="G1829" s="1"/>
      <c r="H1829" s="1"/>
    </row>
    <row r="1830" spans="1:8" ht="16.5">
      <c r="A1830" s="1"/>
      <c r="B1830" s="88"/>
      <c r="C1830" s="1"/>
      <c r="D1830" s="1"/>
      <c r="E1830" s="1"/>
      <c r="F1830" s="1"/>
      <c r="G1830" s="1"/>
      <c r="H1830" s="1"/>
    </row>
    <row r="1831" spans="1:8" ht="20.25">
      <c r="A1831" s="1"/>
      <c r="B1831" s="88"/>
      <c r="C1831" s="1"/>
      <c r="D1831" s="1"/>
      <c r="E1831" s="1"/>
      <c r="F1831" s="36"/>
      <c r="G1831" s="36"/>
      <c r="H1831" s="36"/>
    </row>
    <row r="1832" spans="1:8" ht="19.5">
      <c r="A1832" s="878" t="s">
        <v>1301</v>
      </c>
      <c r="B1832" s="878"/>
      <c r="C1832" s="878"/>
      <c r="D1832" s="878"/>
      <c r="E1832" s="878"/>
      <c r="F1832" s="878"/>
      <c r="G1832" s="878"/>
      <c r="H1832" s="878"/>
    </row>
    <row r="1833" spans="1:8" ht="20.25">
      <c r="A1833" s="260">
        <f>+A1816+1</f>
        <v>107</v>
      </c>
      <c r="B1833" s="877" t="s">
        <v>1302</v>
      </c>
      <c r="C1833" s="878"/>
      <c r="D1833" s="878"/>
      <c r="E1833" s="878"/>
      <c r="F1833" s="878"/>
      <c r="G1833" s="878"/>
      <c r="H1833" s="878"/>
    </row>
    <row r="1834" spans="1:8" ht="15.75">
      <c r="A1834" s="582" t="s">
        <v>3639</v>
      </c>
      <c r="B1834" s="928" t="s">
        <v>2479</v>
      </c>
      <c r="C1834" s="885"/>
      <c r="D1834" s="885"/>
      <c r="E1834" s="885"/>
      <c r="F1834" s="885"/>
      <c r="G1834" s="885"/>
      <c r="H1834" s="885"/>
    </row>
    <row r="1835" spans="1:8" ht="31.5">
      <c r="A1835" s="37"/>
      <c r="B1835" s="68" t="s">
        <v>2966</v>
      </c>
      <c r="C1835" s="68" t="s">
        <v>2967</v>
      </c>
      <c r="D1835" s="68" t="s">
        <v>2968</v>
      </c>
      <c r="E1835" s="68" t="s">
        <v>2969</v>
      </c>
      <c r="F1835" s="68" t="s">
        <v>2970</v>
      </c>
      <c r="G1835" s="68" t="s">
        <v>2971</v>
      </c>
      <c r="H1835" s="68" t="s">
        <v>1487</v>
      </c>
    </row>
    <row r="1836" spans="1:8" ht="17.25">
      <c r="A1836" s="1"/>
      <c r="B1836" s="889" t="s">
        <v>1488</v>
      </c>
      <c r="C1836" s="58" t="s">
        <v>516</v>
      </c>
      <c r="D1836" s="41">
        <v>20</v>
      </c>
      <c r="E1836" s="55" t="s">
        <v>1490</v>
      </c>
      <c r="F1836" s="107" t="e">
        <f>#REF!</f>
        <v>#REF!</v>
      </c>
      <c r="G1836" s="107" t="e">
        <f>FLOOR(D1836*F1836,0.01)</f>
        <v>#REF!</v>
      </c>
      <c r="H1836" s="108"/>
    </row>
    <row r="1837" spans="1:8" ht="17.25">
      <c r="A1837" s="1"/>
      <c r="B1837" s="887"/>
      <c r="C1837" s="56" t="s">
        <v>1433</v>
      </c>
      <c r="D1837" s="43">
        <v>20</v>
      </c>
      <c r="E1837" s="56" t="s">
        <v>1490</v>
      </c>
      <c r="F1837" s="109" t="e">
        <f>#REF!</f>
        <v>#REF!</v>
      </c>
      <c r="G1837" s="63" t="e">
        <f>FLOOR(D1837*F1837,0.01)</f>
        <v>#REF!</v>
      </c>
      <c r="H1837" s="121" t="e">
        <f>SUM(G1836+G1837)</f>
        <v>#REF!</v>
      </c>
    </row>
    <row r="1838" spans="1:8" ht="17.25">
      <c r="A1838" s="1"/>
      <c r="B1838" s="66" t="s">
        <v>2055</v>
      </c>
      <c r="C1838" s="64" t="s">
        <v>1303</v>
      </c>
      <c r="D1838" s="44">
        <v>1.05</v>
      </c>
      <c r="E1838" s="64" t="s">
        <v>700</v>
      </c>
      <c r="F1838" s="99" t="e">
        <f>torsteel</f>
        <v>#REF!</v>
      </c>
      <c r="G1838" s="63" t="e">
        <f>FLOOR(D1838*F1838,0.01)</f>
        <v>#REF!</v>
      </c>
      <c r="H1838" s="126" t="e">
        <f>SUM(G1838)</f>
        <v>#REF!</v>
      </c>
    </row>
    <row r="1839" spans="1:8" ht="17.25">
      <c r="A1839" s="1"/>
      <c r="B1839" s="1"/>
      <c r="C1839" s="1"/>
      <c r="D1839" s="89"/>
      <c r="E1839" s="1"/>
      <c r="F1839" s="40" t="s">
        <v>1491</v>
      </c>
      <c r="G1839" s="40"/>
      <c r="H1839" s="63" t="e">
        <f>SUM(H1837:H1838)</f>
        <v>#REF!</v>
      </c>
    </row>
    <row r="1840" spans="1:8" ht="17.25">
      <c r="A1840" s="1"/>
      <c r="B1840" s="1" t="s">
        <v>2480</v>
      </c>
      <c r="C1840" s="1"/>
      <c r="D1840" s="1"/>
      <c r="E1840" s="1"/>
      <c r="F1840" s="40" t="s">
        <v>1472</v>
      </c>
      <c r="G1840" s="40"/>
      <c r="H1840" s="99" t="e">
        <f>FLOOR(H1839*0.15,0.01)</f>
        <v>#REF!</v>
      </c>
    </row>
    <row r="1841" spans="1:8" ht="17.25">
      <c r="A1841" s="27" t="s">
        <v>3005</v>
      </c>
      <c r="B1841" s="99" t="e">
        <f>+H1841</f>
        <v>#REF!</v>
      </c>
      <c r="C1841" s="1" t="s">
        <v>3006</v>
      </c>
      <c r="D1841" s="1"/>
      <c r="E1841" s="1"/>
      <c r="F1841" s="40" t="s">
        <v>1494</v>
      </c>
      <c r="G1841" s="40"/>
      <c r="H1841" s="99" t="e">
        <f>SUM(H1839:H1840)</f>
        <v>#REF!</v>
      </c>
    </row>
    <row r="1842" spans="1:8" ht="17.25">
      <c r="A1842" s="27"/>
      <c r="B1842" s="141"/>
      <c r="C1842" s="1"/>
      <c r="D1842" s="1"/>
      <c r="E1842" s="1"/>
      <c r="F1842" s="40"/>
      <c r="G1842" s="40"/>
      <c r="H1842" s="141"/>
    </row>
    <row r="1843" spans="1:8" ht="15">
      <c r="A1843" s="1"/>
      <c r="B1843" s="1"/>
      <c r="C1843" s="1"/>
      <c r="D1843" s="1"/>
      <c r="E1843" s="1"/>
      <c r="F1843" s="1"/>
      <c r="G1843" s="1"/>
      <c r="H1843" s="1"/>
    </row>
    <row r="1844" spans="1:8" ht="20.25">
      <c r="A1844" s="260">
        <f>A1833+1</f>
        <v>108</v>
      </c>
      <c r="B1844" s="877" t="s">
        <v>2931</v>
      </c>
      <c r="C1844" s="878"/>
      <c r="D1844" s="878"/>
      <c r="E1844" s="878"/>
      <c r="F1844" s="878"/>
      <c r="G1844" s="878"/>
      <c r="H1844" s="878"/>
    </row>
    <row r="1845" spans="1:8" ht="19.5">
      <c r="A1845" s="582" t="s">
        <v>3638</v>
      </c>
      <c r="B1845" s="877" t="s">
        <v>2650</v>
      </c>
      <c r="C1845" s="878"/>
      <c r="D1845" s="878"/>
      <c r="E1845" s="878"/>
      <c r="F1845" s="878"/>
      <c r="G1845" s="878"/>
      <c r="H1845" s="878"/>
    </row>
    <row r="1846" spans="1:8" ht="15">
      <c r="A1846" s="1"/>
      <c r="B1846" s="928" t="s">
        <v>2242</v>
      </c>
      <c r="C1846" s="885"/>
      <c r="D1846" s="885"/>
      <c r="E1846" s="885"/>
      <c r="F1846" s="885"/>
      <c r="G1846" s="885"/>
      <c r="H1846" s="885"/>
    </row>
    <row r="1847" spans="1:8" ht="31.5">
      <c r="A1847" s="1"/>
      <c r="B1847" s="68" t="s">
        <v>2966</v>
      </c>
      <c r="C1847" s="68" t="s">
        <v>2967</v>
      </c>
      <c r="D1847" s="68" t="s">
        <v>2968</v>
      </c>
      <c r="E1847" s="68" t="s">
        <v>2969</v>
      </c>
      <c r="F1847" s="68" t="s">
        <v>2970</v>
      </c>
      <c r="G1847" s="68" t="s">
        <v>2971</v>
      </c>
      <c r="H1847" s="68" t="s">
        <v>1487</v>
      </c>
    </row>
    <row r="1848" spans="1:8" ht="17.25">
      <c r="A1848" s="1"/>
      <c r="B1848" s="889" t="s">
        <v>1488</v>
      </c>
      <c r="C1848" s="58" t="s">
        <v>516</v>
      </c>
      <c r="D1848" s="41">
        <v>9</v>
      </c>
      <c r="E1848" s="55" t="s">
        <v>1490</v>
      </c>
      <c r="F1848" s="107" t="e">
        <f>mason</f>
        <v>#REF!</v>
      </c>
      <c r="G1848" s="107" t="e">
        <f t="shared" ref="G1848:G1853" si="57">FLOOR(D1848*F1848,0.01)</f>
        <v>#REF!</v>
      </c>
      <c r="H1848" s="108"/>
    </row>
    <row r="1849" spans="1:8" ht="17.25">
      <c r="A1849" s="37"/>
      <c r="B1849" s="887"/>
      <c r="C1849" s="56" t="s">
        <v>1433</v>
      </c>
      <c r="D1849" s="43">
        <v>0.9</v>
      </c>
      <c r="E1849" s="56" t="s">
        <v>1490</v>
      </c>
      <c r="F1849" s="109" t="e">
        <f>#REF!</f>
        <v>#REF!</v>
      </c>
      <c r="G1849" s="63" t="e">
        <f t="shared" si="57"/>
        <v>#REF!</v>
      </c>
      <c r="H1849" s="121" t="e">
        <f>SUM(G1848+G1849)</f>
        <v>#REF!</v>
      </c>
    </row>
    <row r="1850" spans="1:8" ht="17.25">
      <c r="A1850" s="1"/>
      <c r="B1850" s="886" t="s">
        <v>2055</v>
      </c>
      <c r="C1850" s="55" t="s">
        <v>1618</v>
      </c>
      <c r="D1850" s="192">
        <v>3.4599999999999999E-2</v>
      </c>
      <c r="E1850" s="55" t="s">
        <v>2232</v>
      </c>
      <c r="F1850" s="110" t="e">
        <f>awood</f>
        <v>#REF!</v>
      </c>
      <c r="G1850" s="109" t="e">
        <f t="shared" si="57"/>
        <v>#REF!</v>
      </c>
      <c r="H1850" s="84"/>
    </row>
    <row r="1851" spans="1:8" ht="17.25">
      <c r="A1851" s="1"/>
      <c r="B1851" s="894"/>
      <c r="C1851" s="55" t="s">
        <v>2965</v>
      </c>
      <c r="D1851" s="52">
        <v>1.899</v>
      </c>
      <c r="E1851" s="53" t="s">
        <v>2807</v>
      </c>
      <c r="F1851" s="109" t="e">
        <f>#REF!</f>
        <v>#REF!</v>
      </c>
      <c r="G1851" s="109" t="e">
        <f t="shared" si="57"/>
        <v>#REF!</v>
      </c>
      <c r="H1851" s="86"/>
    </row>
    <row r="1852" spans="1:8" ht="17.25">
      <c r="A1852" s="1"/>
      <c r="B1852" s="894"/>
      <c r="C1852" s="53" t="s">
        <v>3008</v>
      </c>
      <c r="D1852" s="52">
        <v>1.899</v>
      </c>
      <c r="E1852" s="53" t="s">
        <v>2807</v>
      </c>
      <c r="F1852" s="109" t="e">
        <f>#REF!</f>
        <v>#REF!</v>
      </c>
      <c r="G1852" s="109" t="e">
        <f t="shared" si="57"/>
        <v>#REF!</v>
      </c>
      <c r="H1852" s="86"/>
    </row>
    <row r="1853" spans="1:8" ht="17.25">
      <c r="A1853" s="1"/>
      <c r="B1853" s="894"/>
      <c r="C1853" s="53" t="s">
        <v>1134</v>
      </c>
      <c r="D1853" s="52">
        <v>7.4340000000000002</v>
      </c>
      <c r="E1853" s="53" t="s">
        <v>2605</v>
      </c>
      <c r="F1853" s="109" t="e">
        <f>#REF!</f>
        <v>#REF!</v>
      </c>
      <c r="G1853" s="109" t="e">
        <f t="shared" si="57"/>
        <v>#REF!</v>
      </c>
      <c r="H1853" s="86"/>
    </row>
    <row r="1854" spans="1:8" ht="17.25">
      <c r="A1854" s="37"/>
      <c r="B1854" s="894"/>
      <c r="C1854" s="53" t="s">
        <v>3076</v>
      </c>
      <c r="D1854" s="53" t="s">
        <v>2808</v>
      </c>
      <c r="E1854" s="53" t="s">
        <v>2810</v>
      </c>
      <c r="F1854" s="109"/>
      <c r="G1854" s="109">
        <v>60</v>
      </c>
      <c r="H1854" s="86"/>
    </row>
    <row r="1855" spans="1:8" ht="17.25">
      <c r="A1855" s="1"/>
      <c r="B1855" s="894"/>
      <c r="C1855" s="53" t="s">
        <v>2073</v>
      </c>
      <c r="D1855" s="42">
        <v>3</v>
      </c>
      <c r="E1855" s="53" t="s">
        <v>699</v>
      </c>
      <c r="F1855" s="109" t="e">
        <f>Kabja100</f>
        <v>#REF!</v>
      </c>
      <c r="G1855" s="109" t="e">
        <f>FLOOR(D1855*F1855,0.01)</f>
        <v>#REF!</v>
      </c>
      <c r="H1855" s="86"/>
    </row>
    <row r="1856" spans="1:8" ht="17.25">
      <c r="A1856" s="1"/>
      <c r="B1856" s="894"/>
      <c r="C1856" s="53" t="s">
        <v>2097</v>
      </c>
      <c r="D1856" s="42">
        <v>2</v>
      </c>
      <c r="E1856" s="53" t="s">
        <v>699</v>
      </c>
      <c r="F1856" s="109" t="e">
        <f>cheskini150</f>
        <v>#REF!</v>
      </c>
      <c r="G1856" s="109" t="e">
        <f>FLOOR(D1856*F1856,0.01)</f>
        <v>#REF!</v>
      </c>
      <c r="H1856" s="86"/>
    </row>
    <row r="1857" spans="1:8" ht="28.5">
      <c r="A1857" s="1"/>
      <c r="B1857" s="894"/>
      <c r="C1857" s="24" t="s">
        <v>375</v>
      </c>
      <c r="D1857" s="42">
        <v>1</v>
      </c>
      <c r="E1857" s="53" t="s">
        <v>699</v>
      </c>
      <c r="F1857" s="109" t="e">
        <f>moluck</f>
        <v>#REF!</v>
      </c>
      <c r="G1857" s="109" t="e">
        <f>FLOOR(D1857*F1857,0.01)</f>
        <v>#REF!</v>
      </c>
      <c r="H1857" s="86"/>
    </row>
    <row r="1858" spans="1:8" ht="17.25">
      <c r="A1858" s="1"/>
      <c r="B1858" s="894"/>
      <c r="C1858" s="53" t="s">
        <v>1933</v>
      </c>
      <c r="D1858" s="53" t="s">
        <v>2808</v>
      </c>
      <c r="E1858" s="53" t="s">
        <v>2810</v>
      </c>
      <c r="F1858" s="109"/>
      <c r="G1858" s="109">
        <v>45</v>
      </c>
      <c r="H1858" s="86"/>
    </row>
    <row r="1859" spans="1:8" ht="17.25">
      <c r="A1859" s="1"/>
      <c r="B1859" s="895"/>
      <c r="C1859" s="56"/>
      <c r="D1859" s="59"/>
      <c r="E1859" s="56"/>
      <c r="F1859" s="63"/>
      <c r="G1859" s="63"/>
      <c r="H1859" s="123" t="e">
        <f>SUM(G1850:G1859)</f>
        <v>#REF!</v>
      </c>
    </row>
    <row r="1860" spans="1:8" ht="17.25">
      <c r="A1860" s="1"/>
      <c r="B1860" s="1"/>
      <c r="C1860" s="1"/>
      <c r="D1860" s="1"/>
      <c r="E1860" s="1"/>
      <c r="F1860" s="40" t="s">
        <v>1491</v>
      </c>
      <c r="G1860" s="40"/>
      <c r="H1860" s="63" t="e">
        <f>SUM(H1849:H1859)</f>
        <v>#REF!</v>
      </c>
    </row>
    <row r="1861" spans="1:8" ht="17.25">
      <c r="A1861" s="1"/>
      <c r="B1861" s="3" t="s">
        <v>1493</v>
      </c>
      <c r="C1861" s="1"/>
      <c r="D1861" s="1"/>
      <c r="E1861" s="1"/>
      <c r="F1861" s="40" t="s">
        <v>1472</v>
      </c>
      <c r="G1861" s="40"/>
      <c r="H1861" s="99" t="e">
        <f>FLOOR(H1860*0.15,0.01)</f>
        <v>#REF!</v>
      </c>
    </row>
    <row r="1862" spans="1:8" ht="17.25">
      <c r="B1862" s="140" t="e">
        <f>+H1862</f>
        <v>#REF!</v>
      </c>
      <c r="C1862" s="27" t="s">
        <v>3005</v>
      </c>
      <c r="D1862" s="99" t="e">
        <f>INT(B1862/B1863*100)/100</f>
        <v>#REF!</v>
      </c>
      <c r="E1862" s="1" t="s">
        <v>3006</v>
      </c>
      <c r="F1862" s="40" t="s">
        <v>1494</v>
      </c>
      <c r="G1862" s="40"/>
      <c r="H1862" s="99" t="e">
        <f>SUM(H1860:H1861)</f>
        <v>#REF!</v>
      </c>
    </row>
    <row r="1863" spans="1:8" ht="16.5">
      <c r="A1863" s="1"/>
      <c r="B1863" s="88">
        <v>2.2450000000000001</v>
      </c>
      <c r="C1863" s="1"/>
      <c r="D1863" s="1"/>
      <c r="E1863" s="1"/>
      <c r="F1863" s="1"/>
      <c r="G1863" s="1"/>
      <c r="H1863" s="19"/>
    </row>
    <row r="1864" spans="1:8" ht="16.5">
      <c r="A1864" s="1"/>
      <c r="B1864" s="88"/>
      <c r="C1864" s="1"/>
      <c r="D1864" s="1"/>
      <c r="E1864" s="1"/>
      <c r="F1864" s="1"/>
      <c r="G1864" s="1"/>
      <c r="H1864" s="19"/>
    </row>
    <row r="1865" spans="1:8" ht="16.5">
      <c r="A1865" s="1"/>
      <c r="B1865" s="88"/>
      <c r="C1865" s="1"/>
      <c r="D1865" s="1"/>
      <c r="E1865" s="1"/>
      <c r="F1865" s="1"/>
      <c r="G1865" s="1"/>
      <c r="H1865" s="19"/>
    </row>
    <row r="1866" spans="1:8" ht="16.5">
      <c r="A1866" s="1"/>
      <c r="B1866" s="88"/>
      <c r="C1866" s="1"/>
      <c r="D1866" s="1"/>
      <c r="E1866" s="1"/>
      <c r="F1866" s="1"/>
      <c r="G1866" s="1"/>
      <c r="H1866" s="19"/>
    </row>
    <row r="1867" spans="1:8" ht="16.5">
      <c r="A1867" s="1"/>
      <c r="B1867" s="88"/>
      <c r="C1867" s="1"/>
      <c r="D1867" s="1"/>
      <c r="E1867" s="1"/>
      <c r="F1867" s="1"/>
      <c r="G1867" s="1"/>
      <c r="H1867" s="19"/>
    </row>
    <row r="1868" spans="1:8" ht="20.25">
      <c r="A1868" s="260">
        <f>A1844+1</f>
        <v>109</v>
      </c>
      <c r="B1868" s="877" t="s">
        <v>2931</v>
      </c>
      <c r="C1868" s="878"/>
      <c r="D1868" s="878"/>
      <c r="E1868" s="878"/>
      <c r="F1868" s="878"/>
      <c r="G1868" s="878"/>
      <c r="H1868" s="878"/>
    </row>
    <row r="1869" spans="1:8" ht="19.5">
      <c r="A1869" s="582" t="s">
        <v>3640</v>
      </c>
      <c r="B1869" s="877" t="s">
        <v>1258</v>
      </c>
      <c r="C1869" s="878"/>
      <c r="D1869" s="878"/>
      <c r="E1869" s="878"/>
      <c r="F1869" s="878"/>
      <c r="G1869" s="878"/>
      <c r="H1869" s="878"/>
    </row>
    <row r="1870" spans="1:8" ht="15">
      <c r="A1870" s="666" t="s">
        <v>2096</v>
      </c>
      <c r="B1870" s="928" t="s">
        <v>2242</v>
      </c>
      <c r="C1870" s="885"/>
      <c r="D1870" s="885"/>
      <c r="E1870" s="885"/>
      <c r="F1870" s="885"/>
      <c r="G1870" s="885"/>
      <c r="H1870" s="885"/>
    </row>
    <row r="1871" spans="1:8" ht="31.5">
      <c r="A1871" s="1"/>
      <c r="B1871" s="68" t="s">
        <v>2966</v>
      </c>
      <c r="C1871" s="68" t="s">
        <v>2967</v>
      </c>
      <c r="D1871" s="68" t="s">
        <v>2968</v>
      </c>
      <c r="E1871" s="68" t="s">
        <v>2969</v>
      </c>
      <c r="F1871" s="68" t="s">
        <v>2970</v>
      </c>
      <c r="G1871" s="68" t="s">
        <v>2971</v>
      </c>
      <c r="H1871" s="68" t="s">
        <v>1487</v>
      </c>
    </row>
    <row r="1872" spans="1:8" ht="17.25">
      <c r="A1872" s="1"/>
      <c r="B1872" s="889" t="s">
        <v>1488</v>
      </c>
      <c r="C1872" s="58" t="s">
        <v>516</v>
      </c>
      <c r="D1872" s="41">
        <v>9</v>
      </c>
      <c r="E1872" s="55" t="s">
        <v>1490</v>
      </c>
      <c r="F1872" s="107" t="e">
        <f>mason</f>
        <v>#REF!</v>
      </c>
      <c r="G1872" s="107" t="e">
        <f t="shared" ref="G1872:G1877" si="58">FLOOR(D1872*F1872,0.01)</f>
        <v>#REF!</v>
      </c>
      <c r="H1872" s="108"/>
    </row>
    <row r="1873" spans="1:8" ht="17.25">
      <c r="A1873" s="37"/>
      <c r="B1873" s="887"/>
      <c r="C1873" s="56" t="s">
        <v>1433</v>
      </c>
      <c r="D1873" s="43">
        <v>0.9</v>
      </c>
      <c r="E1873" s="56" t="s">
        <v>1490</v>
      </c>
      <c r="F1873" s="109" t="e">
        <f>#REF!</f>
        <v>#REF!</v>
      </c>
      <c r="G1873" s="63" t="e">
        <f t="shared" si="58"/>
        <v>#REF!</v>
      </c>
      <c r="H1873" s="121" t="e">
        <f>SUM(G1872+G1873)</f>
        <v>#REF!</v>
      </c>
    </row>
    <row r="1874" spans="1:8" ht="17.25">
      <c r="A1874" s="1"/>
      <c r="B1874" s="886" t="s">
        <v>2055</v>
      </c>
      <c r="C1874" s="55" t="s">
        <v>1618</v>
      </c>
      <c r="D1874" s="192">
        <v>3.4599999999999999E-2</v>
      </c>
      <c r="E1874" s="55" t="s">
        <v>2232</v>
      </c>
      <c r="F1874" s="110" t="e">
        <f>awood</f>
        <v>#REF!</v>
      </c>
      <c r="G1874" s="110" t="e">
        <f t="shared" si="58"/>
        <v>#REF!</v>
      </c>
      <c r="H1874" s="84"/>
    </row>
    <row r="1875" spans="1:8" ht="17.25">
      <c r="A1875" s="1"/>
      <c r="B1875" s="894"/>
      <c r="C1875" s="53" t="s">
        <v>2965</v>
      </c>
      <c r="D1875" s="52">
        <v>1.899</v>
      </c>
      <c r="E1875" s="53" t="s">
        <v>2807</v>
      </c>
      <c r="F1875" s="109" t="e">
        <f>#REF!</f>
        <v>#REF!</v>
      </c>
      <c r="G1875" s="109" t="e">
        <f t="shared" si="58"/>
        <v>#REF!</v>
      </c>
      <c r="H1875" s="86"/>
    </row>
    <row r="1876" spans="1:8" ht="17.25">
      <c r="A1876" s="1"/>
      <c r="B1876" s="894"/>
      <c r="C1876" s="53" t="s">
        <v>3008</v>
      </c>
      <c r="D1876" s="52">
        <v>3.798</v>
      </c>
      <c r="E1876" s="53" t="s">
        <v>2807</v>
      </c>
      <c r="F1876" s="109" t="e">
        <f>#REF!</f>
        <v>#REF!</v>
      </c>
      <c r="G1876" s="109" t="e">
        <f t="shared" si="58"/>
        <v>#REF!</v>
      </c>
      <c r="H1876" s="86"/>
    </row>
    <row r="1877" spans="1:8" ht="17.25">
      <c r="A1877" s="1"/>
      <c r="B1877" s="894"/>
      <c r="C1877" s="53" t="s">
        <v>1134</v>
      </c>
      <c r="D1877" s="52">
        <v>14.868</v>
      </c>
      <c r="E1877" s="53" t="s">
        <v>2605</v>
      </c>
      <c r="F1877" s="109" t="e">
        <f>#REF!</f>
        <v>#REF!</v>
      </c>
      <c r="G1877" s="109" t="e">
        <f t="shared" si="58"/>
        <v>#REF!</v>
      </c>
      <c r="H1877" s="86"/>
    </row>
    <row r="1878" spans="1:8" ht="17.25">
      <c r="A1878" s="37"/>
      <c r="B1878" s="894"/>
      <c r="C1878" s="53" t="s">
        <v>3076</v>
      </c>
      <c r="D1878" s="53" t="s">
        <v>2808</v>
      </c>
      <c r="E1878" s="53" t="s">
        <v>2810</v>
      </c>
      <c r="F1878" s="109"/>
      <c r="G1878" s="109">
        <v>60</v>
      </c>
      <c r="H1878" s="86"/>
    </row>
    <row r="1879" spans="1:8" ht="17.25">
      <c r="A1879" s="1"/>
      <c r="B1879" s="894"/>
      <c r="C1879" s="53" t="s">
        <v>2073</v>
      </c>
      <c r="D1879" s="42">
        <v>3</v>
      </c>
      <c r="E1879" s="53" t="s">
        <v>699</v>
      </c>
      <c r="F1879" s="109" t="e">
        <f>Kabja100</f>
        <v>#REF!</v>
      </c>
      <c r="G1879" s="109" t="e">
        <f>FLOOR(D1879*F1879,0.01)</f>
        <v>#REF!</v>
      </c>
      <c r="H1879" s="86"/>
    </row>
    <row r="1880" spans="1:8" ht="17.25">
      <c r="A1880" s="1"/>
      <c r="B1880" s="894"/>
      <c r="C1880" s="53" t="s">
        <v>2097</v>
      </c>
      <c r="D1880" s="42">
        <v>2</v>
      </c>
      <c r="E1880" s="53" t="s">
        <v>699</v>
      </c>
      <c r="F1880" s="109" t="e">
        <f>cheskini150</f>
        <v>#REF!</v>
      </c>
      <c r="G1880" s="109" t="e">
        <f>FLOOR(D1880*F1880,0.01)</f>
        <v>#REF!</v>
      </c>
      <c r="H1880" s="86"/>
    </row>
    <row r="1881" spans="1:8" ht="28.5">
      <c r="A1881" s="1"/>
      <c r="B1881" s="894"/>
      <c r="C1881" s="24" t="s">
        <v>375</v>
      </c>
      <c r="D1881" s="42">
        <v>1</v>
      </c>
      <c r="E1881" s="53" t="s">
        <v>699</v>
      </c>
      <c r="F1881" s="109" t="e">
        <f>moluck</f>
        <v>#REF!</v>
      </c>
      <c r="G1881" s="109" t="e">
        <f>FLOOR(D1881*F1881,0.01)</f>
        <v>#REF!</v>
      </c>
      <c r="H1881" s="86"/>
    </row>
    <row r="1882" spans="1:8" ht="17.25">
      <c r="A1882" s="1"/>
      <c r="B1882" s="895"/>
      <c r="C1882" s="56" t="s">
        <v>1933</v>
      </c>
      <c r="D1882" s="56" t="s">
        <v>2808</v>
      </c>
      <c r="E1882" s="56" t="s">
        <v>2810</v>
      </c>
      <c r="F1882" s="63"/>
      <c r="G1882" s="63">
        <v>45</v>
      </c>
      <c r="H1882" s="123" t="e">
        <f>SUM(G1874:G1882)</f>
        <v>#REF!</v>
      </c>
    </row>
    <row r="1883" spans="1:8" ht="17.25">
      <c r="A1883" s="1"/>
      <c r="B1883" s="1"/>
      <c r="C1883" s="1"/>
      <c r="D1883" s="1"/>
      <c r="E1883" s="1"/>
      <c r="F1883" s="40" t="s">
        <v>1491</v>
      </c>
      <c r="G1883" s="40"/>
      <c r="H1883" s="63" t="e">
        <f>SUM(H1873:H1882)</f>
        <v>#REF!</v>
      </c>
    </row>
    <row r="1884" spans="1:8" ht="17.25">
      <c r="A1884" s="1"/>
      <c r="B1884" s="3" t="s">
        <v>1493</v>
      </c>
      <c r="C1884" s="1"/>
      <c r="D1884" s="1"/>
      <c r="E1884" s="1"/>
      <c r="F1884" s="40" t="s">
        <v>1472</v>
      </c>
      <c r="G1884" s="40"/>
      <c r="H1884" s="99" t="e">
        <f>FLOOR(H1883*0.15,0.01)</f>
        <v>#REF!</v>
      </c>
    </row>
    <row r="1885" spans="1:8" ht="17.25">
      <c r="B1885" s="140" t="e">
        <f>+H1885</f>
        <v>#REF!</v>
      </c>
      <c r="C1885" s="27" t="s">
        <v>3005</v>
      </c>
      <c r="D1885" s="99" t="e">
        <f>INT(B1885/B1886*100)/100</f>
        <v>#REF!</v>
      </c>
      <c r="E1885" s="1" t="s">
        <v>3006</v>
      </c>
      <c r="F1885" s="40" t="s">
        <v>1494</v>
      </c>
      <c r="G1885" s="40"/>
      <c r="H1885" s="99" t="e">
        <f>SUM(H1883:H1884)</f>
        <v>#REF!</v>
      </c>
    </row>
    <row r="1886" spans="1:8" ht="16.5">
      <c r="A1886" s="1"/>
      <c r="B1886" s="88">
        <v>2.2450000000000001</v>
      </c>
      <c r="C1886" s="1"/>
      <c r="D1886" s="1"/>
      <c r="E1886" s="1"/>
      <c r="F1886" s="1"/>
      <c r="G1886" s="1"/>
      <c r="H1886" s="19"/>
    </row>
    <row r="1887" spans="1:8" ht="20.25">
      <c r="A1887" s="260">
        <f>A1868+1</f>
        <v>110</v>
      </c>
      <c r="B1887" s="877" t="s">
        <v>2932</v>
      </c>
      <c r="C1887" s="878"/>
      <c r="D1887" s="878"/>
      <c r="E1887" s="878"/>
      <c r="F1887" s="878"/>
      <c r="G1887" s="878"/>
      <c r="H1887" s="878"/>
    </row>
    <row r="1888" spans="1:8" ht="19.5">
      <c r="A1888" s="582" t="s">
        <v>3641</v>
      </c>
      <c r="B1888" s="877" t="s">
        <v>2240</v>
      </c>
      <c r="C1888" s="878"/>
      <c r="D1888" s="878"/>
      <c r="E1888" s="878"/>
      <c r="F1888" s="878"/>
      <c r="G1888" s="878"/>
      <c r="H1888" s="878"/>
    </row>
    <row r="1889" spans="1:8" ht="15">
      <c r="A1889" s="666" t="s">
        <v>2096</v>
      </c>
      <c r="B1889" s="928" t="s">
        <v>2242</v>
      </c>
      <c r="C1889" s="885"/>
      <c r="D1889" s="885"/>
      <c r="E1889" s="885"/>
      <c r="F1889" s="885"/>
      <c r="G1889" s="885"/>
      <c r="H1889" s="885"/>
    </row>
    <row r="1890" spans="1:8" ht="31.5">
      <c r="A1890" s="1"/>
      <c r="B1890" s="68" t="s">
        <v>2966</v>
      </c>
      <c r="C1890" s="68" t="s">
        <v>2967</v>
      </c>
      <c r="D1890" s="68" t="s">
        <v>2968</v>
      </c>
      <c r="E1890" s="68" t="s">
        <v>2969</v>
      </c>
      <c r="F1890" s="68" t="s">
        <v>2970</v>
      </c>
      <c r="G1890" s="68" t="s">
        <v>2971</v>
      </c>
      <c r="H1890" s="68" t="s">
        <v>1487</v>
      </c>
    </row>
    <row r="1891" spans="1:8" ht="17.25">
      <c r="A1891" s="1"/>
      <c r="B1891" s="889" t="s">
        <v>1488</v>
      </c>
      <c r="C1891" s="58" t="s">
        <v>516</v>
      </c>
      <c r="D1891" s="41">
        <v>9</v>
      </c>
      <c r="E1891" s="55" t="s">
        <v>1490</v>
      </c>
      <c r="F1891" s="107" t="e">
        <f>mason</f>
        <v>#REF!</v>
      </c>
      <c r="G1891" s="107" t="e">
        <f t="shared" ref="G1891:G1896" si="59">FLOOR(D1891*F1891,0.01)</f>
        <v>#REF!</v>
      </c>
      <c r="H1891" s="108"/>
    </row>
    <row r="1892" spans="1:8" ht="17.25">
      <c r="A1892" s="37"/>
      <c r="B1892" s="887"/>
      <c r="C1892" s="56" t="s">
        <v>1433</v>
      </c>
      <c r="D1892" s="43">
        <v>0.9</v>
      </c>
      <c r="E1892" s="56" t="s">
        <v>1490</v>
      </c>
      <c r="F1892" s="109" t="e">
        <f>#REF!</f>
        <v>#REF!</v>
      </c>
      <c r="G1892" s="63" t="e">
        <f t="shared" si="59"/>
        <v>#REF!</v>
      </c>
      <c r="H1892" s="121" t="e">
        <f>SUM(G1891+G1892)</f>
        <v>#REF!</v>
      </c>
    </row>
    <row r="1893" spans="1:8" ht="17.25">
      <c r="A1893" s="1"/>
      <c r="B1893" s="886" t="s">
        <v>2055</v>
      </c>
      <c r="C1893" s="55" t="s">
        <v>1618</v>
      </c>
      <c r="D1893" s="192">
        <v>3.4599999999999999E-2</v>
      </c>
      <c r="E1893" s="55" t="s">
        <v>2232</v>
      </c>
      <c r="F1893" s="110" t="e">
        <f>awood</f>
        <v>#REF!</v>
      </c>
      <c r="G1893" s="110" t="e">
        <f t="shared" si="59"/>
        <v>#REF!</v>
      </c>
      <c r="H1893" s="84"/>
    </row>
    <row r="1894" spans="1:8" ht="17.25">
      <c r="A1894" s="1"/>
      <c r="B1894" s="894"/>
      <c r="C1894" s="53" t="s">
        <v>2241</v>
      </c>
      <c r="D1894" s="52">
        <v>1.899</v>
      </c>
      <c r="E1894" s="53" t="s">
        <v>2807</v>
      </c>
      <c r="F1894" s="109" t="e">
        <f>#REF!</f>
        <v>#REF!</v>
      </c>
      <c r="G1894" s="109" t="e">
        <f t="shared" si="59"/>
        <v>#REF!</v>
      </c>
      <c r="H1894" s="86"/>
    </row>
    <row r="1895" spans="1:8" ht="17.25">
      <c r="A1895" s="1"/>
      <c r="B1895" s="894"/>
      <c r="C1895" s="53" t="s">
        <v>3008</v>
      </c>
      <c r="D1895" s="52">
        <v>1.899</v>
      </c>
      <c r="E1895" s="53" t="s">
        <v>2807</v>
      </c>
      <c r="F1895" s="109" t="e">
        <f>#REF!</f>
        <v>#REF!</v>
      </c>
      <c r="G1895" s="109" t="e">
        <f t="shared" si="59"/>
        <v>#REF!</v>
      </c>
      <c r="H1895" s="86"/>
    </row>
    <row r="1896" spans="1:8" ht="17.25">
      <c r="A1896" s="1"/>
      <c r="B1896" s="894"/>
      <c r="C1896" s="53" t="s">
        <v>1134</v>
      </c>
      <c r="D1896" s="52">
        <v>7.4340000000000002</v>
      </c>
      <c r="E1896" s="53" t="s">
        <v>2605</v>
      </c>
      <c r="F1896" s="109" t="e">
        <f>#REF!</f>
        <v>#REF!</v>
      </c>
      <c r="G1896" s="109" t="e">
        <f t="shared" si="59"/>
        <v>#REF!</v>
      </c>
      <c r="H1896" s="86"/>
    </row>
    <row r="1897" spans="1:8" ht="17.25">
      <c r="A1897" s="37"/>
      <c r="B1897" s="894"/>
      <c r="C1897" s="53" t="s">
        <v>3076</v>
      </c>
      <c r="D1897" s="271" t="s">
        <v>67</v>
      </c>
      <c r="E1897" s="53" t="s">
        <v>2810</v>
      </c>
      <c r="F1897" s="109"/>
      <c r="G1897" s="109">
        <v>60</v>
      </c>
      <c r="H1897" s="86"/>
    </row>
    <row r="1898" spans="1:8" ht="17.25">
      <c r="A1898" s="1"/>
      <c r="B1898" s="894"/>
      <c r="C1898" s="53" t="s">
        <v>2073</v>
      </c>
      <c r="D1898" s="42">
        <v>3</v>
      </c>
      <c r="E1898" s="53" t="s">
        <v>699</v>
      </c>
      <c r="F1898" s="109" t="e">
        <f>Kabja100</f>
        <v>#REF!</v>
      </c>
      <c r="G1898" s="109" t="e">
        <f>FLOOR(D1898*F1898,0.01)</f>
        <v>#REF!</v>
      </c>
      <c r="H1898" s="86"/>
    </row>
    <row r="1899" spans="1:8" ht="17.25">
      <c r="A1899" s="1"/>
      <c r="B1899" s="894"/>
      <c r="C1899" s="53" t="s">
        <v>2097</v>
      </c>
      <c r="D1899" s="42">
        <v>2</v>
      </c>
      <c r="E1899" s="53" t="s">
        <v>699</v>
      </c>
      <c r="F1899" s="109" t="e">
        <f>cheskini150</f>
        <v>#REF!</v>
      </c>
      <c r="G1899" s="109" t="e">
        <f>FLOOR(D1899*F1899,0.01)</f>
        <v>#REF!</v>
      </c>
      <c r="H1899" s="86"/>
    </row>
    <row r="1900" spans="1:8" ht="28.5">
      <c r="A1900" s="1"/>
      <c r="B1900" s="894"/>
      <c r="C1900" s="24" t="s">
        <v>375</v>
      </c>
      <c r="D1900" s="42">
        <v>1</v>
      </c>
      <c r="E1900" s="53" t="s">
        <v>699</v>
      </c>
      <c r="F1900" s="109" t="e">
        <f>moluck</f>
        <v>#REF!</v>
      </c>
      <c r="G1900" s="109" t="e">
        <f>FLOOR(D1900*F1900,0.01)</f>
        <v>#REF!</v>
      </c>
      <c r="H1900" s="86"/>
    </row>
    <row r="1901" spans="1:8" ht="17.25">
      <c r="A1901" s="1"/>
      <c r="B1901" s="895"/>
      <c r="C1901" s="56" t="s">
        <v>1933</v>
      </c>
      <c r="D1901" s="56" t="s">
        <v>67</v>
      </c>
      <c r="E1901" s="56" t="s">
        <v>2810</v>
      </c>
      <c r="F1901" s="63"/>
      <c r="G1901" s="63">
        <v>45</v>
      </c>
      <c r="H1901" s="123" t="e">
        <f>SUM(G1893:G1901)</f>
        <v>#REF!</v>
      </c>
    </row>
    <row r="1902" spans="1:8" ht="17.25">
      <c r="A1902" s="1"/>
      <c r="B1902" s="1"/>
      <c r="C1902" s="1"/>
      <c r="D1902" s="1"/>
      <c r="E1902" s="1"/>
      <c r="F1902" s="40" t="s">
        <v>1491</v>
      </c>
      <c r="G1902" s="40"/>
      <c r="H1902" s="63" t="e">
        <f>SUM(H1892:H1901)</f>
        <v>#REF!</v>
      </c>
    </row>
    <row r="1903" spans="1:8" ht="17.25">
      <c r="A1903" s="1"/>
      <c r="B1903" s="3" t="s">
        <v>1493</v>
      </c>
      <c r="C1903" s="1"/>
      <c r="D1903" s="1"/>
      <c r="E1903" s="1"/>
      <c r="F1903" s="40" t="s">
        <v>1472</v>
      </c>
      <c r="G1903" s="40"/>
      <c r="H1903" s="99" t="e">
        <f>FLOOR(H1902*0.15,0.01)</f>
        <v>#REF!</v>
      </c>
    </row>
    <row r="1904" spans="1:8" ht="17.25">
      <c r="B1904" s="140" t="e">
        <f>+H1904</f>
        <v>#REF!</v>
      </c>
      <c r="C1904" s="27" t="s">
        <v>3005</v>
      </c>
      <c r="D1904" s="99" t="e">
        <f>INT(B1904/B1905*100)/100</f>
        <v>#REF!</v>
      </c>
      <c r="E1904" s="1" t="s">
        <v>3006</v>
      </c>
      <c r="F1904" s="40" t="s">
        <v>1494</v>
      </c>
      <c r="G1904" s="40"/>
      <c r="H1904" s="99" t="e">
        <f>SUM(H1902:H1903)</f>
        <v>#REF!</v>
      </c>
    </row>
    <row r="1905" spans="1:8" ht="16.5">
      <c r="A1905" s="1"/>
      <c r="B1905" s="88">
        <v>2.2450000000000001</v>
      </c>
      <c r="C1905" s="1"/>
      <c r="D1905" s="1"/>
      <c r="E1905" s="1"/>
      <c r="F1905" s="1"/>
      <c r="G1905" s="1"/>
      <c r="H1905" s="19"/>
    </row>
    <row r="1906" spans="1:8" ht="16.5">
      <c r="A1906" s="1"/>
      <c r="B1906" s="88"/>
      <c r="C1906" s="1"/>
      <c r="D1906" s="1"/>
      <c r="E1906" s="1"/>
      <c r="F1906" s="1"/>
      <c r="G1906" s="1"/>
      <c r="H1906" s="19"/>
    </row>
    <row r="1907" spans="1:8" ht="16.5">
      <c r="A1907" s="1"/>
      <c r="B1907" s="88"/>
      <c r="C1907" s="1"/>
      <c r="D1907" s="1"/>
      <c r="E1907" s="1"/>
      <c r="F1907" s="1"/>
      <c r="G1907" s="1"/>
      <c r="H1907" s="19"/>
    </row>
    <row r="1908" spans="1:8" ht="16.5">
      <c r="A1908" s="1"/>
      <c r="B1908" s="88"/>
      <c r="C1908" s="1"/>
      <c r="D1908" s="1"/>
      <c r="E1908" s="1"/>
      <c r="F1908" s="1"/>
      <c r="G1908" s="1"/>
      <c r="H1908" s="19"/>
    </row>
    <row r="1909" spans="1:8" ht="16.5">
      <c r="A1909" s="1"/>
      <c r="B1909" s="88"/>
      <c r="C1909" s="1"/>
      <c r="D1909" s="1"/>
      <c r="E1909" s="1"/>
      <c r="F1909" s="1"/>
      <c r="G1909" s="1"/>
      <c r="H1909" s="19"/>
    </row>
    <row r="1910" spans="1:8" ht="16.5">
      <c r="A1910" s="1"/>
      <c r="B1910" s="88"/>
      <c r="C1910" s="1"/>
      <c r="D1910" s="1"/>
      <c r="E1910" s="1"/>
      <c r="F1910" s="1"/>
      <c r="G1910" s="1"/>
      <c r="H1910" s="19"/>
    </row>
    <row r="1911" spans="1:8" ht="16.5">
      <c r="A1911" s="1"/>
      <c r="B1911" s="88"/>
      <c r="C1911" s="1"/>
      <c r="D1911" s="1"/>
      <c r="E1911" s="1"/>
      <c r="F1911" s="1"/>
      <c r="G1911" s="1"/>
      <c r="H1911" s="19"/>
    </row>
    <row r="1912" spans="1:8" ht="49.5" customHeight="1">
      <c r="A1912" s="260">
        <f>A1887+1</f>
        <v>111</v>
      </c>
      <c r="B1912" s="883" t="s">
        <v>922</v>
      </c>
      <c r="C1912" s="884"/>
      <c r="D1912" s="884"/>
      <c r="E1912" s="884"/>
      <c r="F1912" s="884"/>
      <c r="G1912" s="884"/>
      <c r="H1912" s="884"/>
    </row>
    <row r="1913" spans="1:8" ht="15">
      <c r="A1913" s="667" t="s">
        <v>3535</v>
      </c>
      <c r="B1913" s="928" t="s">
        <v>1133</v>
      </c>
      <c r="C1913" s="885"/>
      <c r="D1913" s="885"/>
      <c r="E1913" s="885"/>
      <c r="F1913" s="885"/>
      <c r="G1913" s="885"/>
      <c r="H1913" s="885"/>
    </row>
    <row r="1914" spans="1:8" ht="31.5">
      <c r="A1914" s="1"/>
      <c r="B1914" s="68" t="s">
        <v>2966</v>
      </c>
      <c r="C1914" s="68" t="s">
        <v>2967</v>
      </c>
      <c r="D1914" s="68" t="s">
        <v>2968</v>
      </c>
      <c r="E1914" s="68" t="s">
        <v>2969</v>
      </c>
      <c r="F1914" s="68" t="s">
        <v>2970</v>
      </c>
      <c r="G1914" s="68" t="s">
        <v>2971</v>
      </c>
      <c r="H1914" s="68" t="s">
        <v>1487</v>
      </c>
    </row>
    <row r="1915" spans="1:8" ht="17.25">
      <c r="A1915" s="1"/>
      <c r="B1915" s="889" t="s">
        <v>1488</v>
      </c>
      <c r="C1915" s="58" t="s">
        <v>516</v>
      </c>
      <c r="D1915" s="238">
        <v>1.76</v>
      </c>
      <c r="E1915" s="55" t="s">
        <v>1490</v>
      </c>
      <c r="F1915" s="107" t="e">
        <f>mason</f>
        <v>#REF!</v>
      </c>
      <c r="G1915" s="107" t="e">
        <f>FLOOR(D1915*F1915,0.01)</f>
        <v>#REF!</v>
      </c>
      <c r="H1915" s="108"/>
    </row>
    <row r="1916" spans="1:8" ht="17.25">
      <c r="A1916" s="37"/>
      <c r="B1916" s="887"/>
      <c r="C1916" s="56" t="s">
        <v>1433</v>
      </c>
      <c r="D1916" s="49">
        <v>0.17599999999999999</v>
      </c>
      <c r="E1916" s="56" t="s">
        <v>1490</v>
      </c>
      <c r="F1916" s="109" t="e">
        <f>#REF!</f>
        <v>#REF!</v>
      </c>
      <c r="G1916" s="63" t="e">
        <f>FLOOR(D1916*F1916,0.01)</f>
        <v>#REF!</v>
      </c>
      <c r="H1916" s="121" t="e">
        <f>SUM(G1915+G1916)</f>
        <v>#REF!</v>
      </c>
    </row>
    <row r="1917" spans="1:8" ht="33">
      <c r="A1917" s="1"/>
      <c r="B1917" s="886" t="s">
        <v>2055</v>
      </c>
      <c r="C1917" s="154" t="s">
        <v>171</v>
      </c>
      <c r="D1917" s="192">
        <v>1</v>
      </c>
      <c r="E1917" s="55" t="s">
        <v>2807</v>
      </c>
      <c r="F1917" s="110" t="e">
        <f>#REF!</f>
        <v>#REF!</v>
      </c>
      <c r="G1917" s="110" t="e">
        <f>FLOOR(D1917*F1917,0.01)</f>
        <v>#REF!</v>
      </c>
      <c r="H1917" s="84"/>
    </row>
    <row r="1918" spans="1:8" ht="17.25">
      <c r="A1918" s="1"/>
      <c r="B1918" s="894"/>
      <c r="C1918" s="53" t="s">
        <v>1134</v>
      </c>
      <c r="D1918" s="52">
        <v>4</v>
      </c>
      <c r="E1918" s="53" t="s">
        <v>2605</v>
      </c>
      <c r="F1918" s="109" t="e">
        <f>#REF!</f>
        <v>#REF!</v>
      </c>
      <c r="G1918" s="109" t="e">
        <f>FLOOR(D1918*F1918,0.01)</f>
        <v>#REF!</v>
      </c>
      <c r="H1918" s="86"/>
    </row>
    <row r="1919" spans="1:8" ht="17.25">
      <c r="A1919" s="37"/>
      <c r="B1919" s="894"/>
      <c r="C1919" s="53" t="s">
        <v>3076</v>
      </c>
      <c r="D1919" s="53" t="s">
        <v>2808</v>
      </c>
      <c r="E1919" s="53" t="s">
        <v>2810</v>
      </c>
      <c r="F1919" s="109"/>
      <c r="G1919" s="109">
        <v>20</v>
      </c>
      <c r="H1919" s="86"/>
    </row>
    <row r="1920" spans="1:8" ht="17.25">
      <c r="A1920" s="1"/>
      <c r="B1920" s="894"/>
      <c r="C1920" s="53" t="s">
        <v>2073</v>
      </c>
      <c r="D1920" s="42">
        <v>3</v>
      </c>
      <c r="E1920" s="53" t="s">
        <v>699</v>
      </c>
      <c r="F1920" s="109" t="e">
        <f>Kabja100</f>
        <v>#REF!</v>
      </c>
      <c r="G1920" s="109" t="e">
        <f>FLOOR(D1920*F1920,0.01)</f>
        <v>#REF!</v>
      </c>
      <c r="H1920" s="86"/>
    </row>
    <row r="1921" spans="1:8" ht="17.25">
      <c r="A1921" s="1"/>
      <c r="B1921" s="894"/>
      <c r="C1921" s="53" t="s">
        <v>2097</v>
      </c>
      <c r="D1921" s="42">
        <v>2</v>
      </c>
      <c r="E1921" s="53" t="s">
        <v>699</v>
      </c>
      <c r="F1921" s="109" t="e">
        <f>cheskini150</f>
        <v>#REF!</v>
      </c>
      <c r="G1921" s="109" t="e">
        <f>FLOOR(D1921*F1921,0.01)</f>
        <v>#REF!</v>
      </c>
      <c r="H1921" s="86"/>
    </row>
    <row r="1922" spans="1:8" ht="28.5">
      <c r="A1922" s="1"/>
      <c r="B1922" s="894"/>
      <c r="C1922" s="24" t="s">
        <v>375</v>
      </c>
      <c r="D1922" s="42">
        <v>1</v>
      </c>
      <c r="E1922" s="53" t="s">
        <v>699</v>
      </c>
      <c r="F1922" s="109" t="e">
        <f>moluck</f>
        <v>#REF!</v>
      </c>
      <c r="G1922" s="109" t="e">
        <f>FLOOR(D1922*F1922,0.01)</f>
        <v>#REF!</v>
      </c>
      <c r="H1922" s="86"/>
    </row>
    <row r="1923" spans="1:8" ht="17.25">
      <c r="A1923" s="1"/>
      <c r="B1923" s="895"/>
      <c r="C1923" s="56" t="s">
        <v>1933</v>
      </c>
      <c r="D1923" s="56" t="s">
        <v>2808</v>
      </c>
      <c r="E1923" s="56" t="s">
        <v>2810</v>
      </c>
      <c r="F1923" s="63"/>
      <c r="G1923" s="63">
        <v>45</v>
      </c>
      <c r="H1923" s="123" t="e">
        <f>SUM(G1917:G1923)</f>
        <v>#REF!</v>
      </c>
    </row>
    <row r="1924" spans="1:8" ht="17.25">
      <c r="A1924" s="1"/>
      <c r="B1924" s="1"/>
      <c r="C1924" s="1"/>
      <c r="D1924" s="1"/>
      <c r="E1924" s="1"/>
      <c r="F1924" s="40" t="s">
        <v>1491</v>
      </c>
      <c r="G1924" s="40"/>
      <c r="H1924" s="63" t="e">
        <f>SUM(H1916:H1923)</f>
        <v>#REF!</v>
      </c>
    </row>
    <row r="1925" spans="1:8" ht="17.25">
      <c r="A1925" s="1"/>
      <c r="B1925" s="3" t="s">
        <v>1493</v>
      </c>
      <c r="C1925" s="1"/>
      <c r="D1925" s="1"/>
      <c r="E1925" s="1"/>
      <c r="F1925" s="40" t="s">
        <v>1472</v>
      </c>
      <c r="G1925" s="40"/>
      <c r="H1925" s="99" t="e">
        <f>FLOOR(H1924*0.15,0.01)</f>
        <v>#REF!</v>
      </c>
    </row>
    <row r="1926" spans="1:8" ht="17.25">
      <c r="B1926" s="140" t="e">
        <f>+H1926</f>
        <v>#REF!</v>
      </c>
      <c r="C1926" s="27" t="s">
        <v>3005</v>
      </c>
      <c r="D1926" s="99" t="e">
        <f>INT(B1926/B1927*100)/100</f>
        <v>#REF!</v>
      </c>
      <c r="E1926" s="1" t="s">
        <v>3006</v>
      </c>
      <c r="F1926" s="40" t="s">
        <v>1494</v>
      </c>
      <c r="G1926" s="40"/>
      <c r="H1926" s="99" t="e">
        <f>SUM(H1924:H1925)</f>
        <v>#REF!</v>
      </c>
    </row>
    <row r="1927" spans="1:8" ht="16.5">
      <c r="A1927" s="1"/>
      <c r="B1927" s="88">
        <v>1</v>
      </c>
      <c r="C1927" s="1"/>
      <c r="D1927" s="1"/>
      <c r="E1927" s="1"/>
      <c r="F1927" s="1"/>
      <c r="G1927" s="1"/>
      <c r="H1927" s="19"/>
    </row>
    <row r="1928" spans="1:8" ht="16.5">
      <c r="A1928" s="1"/>
      <c r="B1928" s="88"/>
      <c r="C1928" s="1"/>
      <c r="D1928" s="1"/>
      <c r="E1928" s="1"/>
      <c r="F1928" s="1"/>
      <c r="G1928" s="1"/>
      <c r="H1928" s="19"/>
    </row>
    <row r="1929" spans="1:8" ht="53.25" customHeight="1">
      <c r="A1929" s="260">
        <f>A1912+1</f>
        <v>112</v>
      </c>
      <c r="B1929" s="883" t="s">
        <v>3610</v>
      </c>
      <c r="C1929" s="884"/>
      <c r="D1929" s="884"/>
      <c r="E1929" s="884"/>
      <c r="F1929" s="884"/>
      <c r="G1929" s="884"/>
      <c r="H1929" s="884"/>
    </row>
    <row r="1930" spans="1:8" ht="15">
      <c r="A1930" s="667" t="s">
        <v>3534</v>
      </c>
      <c r="B1930" s="928" t="s">
        <v>180</v>
      </c>
      <c r="C1930" s="885"/>
      <c r="D1930" s="885"/>
      <c r="E1930" s="885"/>
      <c r="F1930" s="885"/>
      <c r="G1930" s="885"/>
      <c r="H1930" s="885"/>
    </row>
    <row r="1931" spans="1:8" ht="31.5">
      <c r="A1931" s="1"/>
      <c r="B1931" s="68" t="s">
        <v>2966</v>
      </c>
      <c r="C1931" s="68" t="s">
        <v>2967</v>
      </c>
      <c r="D1931" s="68" t="s">
        <v>2968</v>
      </c>
      <c r="E1931" s="68" t="s">
        <v>2969</v>
      </c>
      <c r="F1931" s="68" t="s">
        <v>2970</v>
      </c>
      <c r="G1931" s="68" t="s">
        <v>2971</v>
      </c>
      <c r="H1931" s="68" t="s">
        <v>1487</v>
      </c>
    </row>
    <row r="1932" spans="1:8" ht="17.25">
      <c r="A1932" s="1"/>
      <c r="B1932" s="889" t="s">
        <v>1488</v>
      </c>
      <c r="C1932" s="58" t="s">
        <v>516</v>
      </c>
      <c r="D1932" s="238">
        <v>1.61</v>
      </c>
      <c r="E1932" s="55" t="s">
        <v>1490</v>
      </c>
      <c r="F1932" s="107" t="e">
        <f>mason</f>
        <v>#REF!</v>
      </c>
      <c r="G1932" s="107" t="e">
        <f>FLOOR(D1932*F1932,0.01)</f>
        <v>#REF!</v>
      </c>
      <c r="H1932" s="108"/>
    </row>
    <row r="1933" spans="1:8" ht="17.25">
      <c r="A1933" s="37"/>
      <c r="B1933" s="887"/>
      <c r="C1933" s="56" t="s">
        <v>1433</v>
      </c>
      <c r="D1933" s="49">
        <v>0.161</v>
      </c>
      <c r="E1933" s="56" t="s">
        <v>1490</v>
      </c>
      <c r="F1933" s="109" t="e">
        <f>#REF!</f>
        <v>#REF!</v>
      </c>
      <c r="G1933" s="63" t="e">
        <f>FLOOR(D1933*F1933,0.01)</f>
        <v>#REF!</v>
      </c>
      <c r="H1933" s="121" t="e">
        <f>SUM(G1932+G1933)</f>
        <v>#REF!</v>
      </c>
    </row>
    <row r="1934" spans="1:8" ht="33">
      <c r="A1934" s="1"/>
      <c r="B1934" s="886" t="s">
        <v>2055</v>
      </c>
      <c r="C1934" s="154" t="s">
        <v>171</v>
      </c>
      <c r="D1934" s="192">
        <v>1.1000000000000001</v>
      </c>
      <c r="E1934" s="55" t="s">
        <v>2807</v>
      </c>
      <c r="F1934" s="110" t="e">
        <f>#REF!</f>
        <v>#REF!</v>
      </c>
      <c r="G1934" s="110" t="e">
        <f>FLOOR(D1934*F1934,0.01)</f>
        <v>#REF!</v>
      </c>
      <c r="H1934" s="84"/>
    </row>
    <row r="1935" spans="1:8" ht="17.25">
      <c r="A1935" s="1"/>
      <c r="B1935" s="894"/>
      <c r="C1935" s="53" t="s">
        <v>1134</v>
      </c>
      <c r="D1935" s="52">
        <v>7.4340000000000002</v>
      </c>
      <c r="E1935" s="53" t="s">
        <v>2605</v>
      </c>
      <c r="F1935" s="109" t="e">
        <f>#REF!</f>
        <v>#REF!</v>
      </c>
      <c r="G1935" s="109" t="e">
        <f>FLOOR(D1935*F1935,0.01)</f>
        <v>#REF!</v>
      </c>
      <c r="H1935" s="86"/>
    </row>
    <row r="1936" spans="1:8" ht="17.25">
      <c r="A1936" s="37"/>
      <c r="B1936" s="894"/>
      <c r="C1936" s="53" t="s">
        <v>3076</v>
      </c>
      <c r="D1936" s="53" t="s">
        <v>2808</v>
      </c>
      <c r="E1936" s="53" t="s">
        <v>2810</v>
      </c>
      <c r="F1936" s="109"/>
      <c r="G1936" s="109">
        <v>20</v>
      </c>
      <c r="H1936" s="86"/>
    </row>
    <row r="1937" spans="1:8" ht="17.25">
      <c r="A1937" s="1"/>
      <c r="B1937" s="894"/>
      <c r="C1937" s="53" t="s">
        <v>2073</v>
      </c>
      <c r="D1937" s="42">
        <v>3</v>
      </c>
      <c r="E1937" s="53" t="s">
        <v>699</v>
      </c>
      <c r="F1937" s="109" t="e">
        <f>Kabja100</f>
        <v>#REF!</v>
      </c>
      <c r="G1937" s="109" t="e">
        <f>FLOOR(D1937*F1937,0.01)</f>
        <v>#REF!</v>
      </c>
      <c r="H1937" s="86"/>
    </row>
    <row r="1938" spans="1:8" ht="17.25">
      <c r="A1938" s="1"/>
      <c r="B1938" s="894"/>
      <c r="C1938" s="53" t="s">
        <v>2097</v>
      </c>
      <c r="D1938" s="42">
        <v>2</v>
      </c>
      <c r="E1938" s="53" t="s">
        <v>699</v>
      </c>
      <c r="F1938" s="109" t="e">
        <f>cheskini150</f>
        <v>#REF!</v>
      </c>
      <c r="G1938" s="109" t="e">
        <f>FLOOR(D1938*F1938,0.01)</f>
        <v>#REF!</v>
      </c>
      <c r="H1938" s="86"/>
    </row>
    <row r="1939" spans="1:8" ht="28.5">
      <c r="A1939" s="1"/>
      <c r="B1939" s="894"/>
      <c r="C1939" s="24" t="s">
        <v>375</v>
      </c>
      <c r="D1939" s="42">
        <v>1</v>
      </c>
      <c r="E1939" s="53" t="s">
        <v>699</v>
      </c>
      <c r="F1939" s="109" t="e">
        <f>moluck</f>
        <v>#REF!</v>
      </c>
      <c r="G1939" s="109" t="e">
        <f>FLOOR(D1939*F1939,0.01)</f>
        <v>#REF!</v>
      </c>
      <c r="H1939" s="86"/>
    </row>
    <row r="1940" spans="1:8" ht="17.25">
      <c r="A1940" s="1"/>
      <c r="B1940" s="895"/>
      <c r="C1940" s="56" t="s">
        <v>1933</v>
      </c>
      <c r="D1940" s="56" t="s">
        <v>2808</v>
      </c>
      <c r="E1940" s="56" t="s">
        <v>2810</v>
      </c>
      <c r="F1940" s="63"/>
      <c r="G1940" s="63">
        <v>45</v>
      </c>
      <c r="H1940" s="123" t="e">
        <f>SUM(G1934:G1940)</f>
        <v>#REF!</v>
      </c>
    </row>
    <row r="1941" spans="1:8" ht="17.25">
      <c r="A1941" s="1"/>
      <c r="B1941" s="1"/>
      <c r="C1941" s="1"/>
      <c r="D1941" s="1"/>
      <c r="E1941" s="1"/>
      <c r="F1941" s="40" t="s">
        <v>1491</v>
      </c>
      <c r="G1941" s="40"/>
      <c r="H1941" s="63" t="e">
        <f>SUM(H1933:H1940)</f>
        <v>#REF!</v>
      </c>
    </row>
    <row r="1942" spans="1:8" ht="17.25">
      <c r="A1942" s="1"/>
      <c r="B1942" s="3" t="s">
        <v>1493</v>
      </c>
      <c r="C1942" s="1"/>
      <c r="D1942" s="1"/>
      <c r="E1942" s="1"/>
      <c r="F1942" s="40" t="s">
        <v>1472</v>
      </c>
      <c r="G1942" s="40"/>
      <c r="H1942" s="99" t="e">
        <f>FLOOR(H1941*0.15,0.01)</f>
        <v>#REF!</v>
      </c>
    </row>
    <row r="1943" spans="1:8" ht="17.25">
      <c r="B1943" s="140" t="e">
        <f>+H1943</f>
        <v>#REF!</v>
      </c>
      <c r="C1943" s="27" t="s">
        <v>3005</v>
      </c>
      <c r="D1943" s="99" t="e">
        <f>INT(B1943/B1944*100)/100</f>
        <v>#REF!</v>
      </c>
      <c r="E1943" s="1" t="s">
        <v>3006</v>
      </c>
      <c r="F1943" s="40" t="s">
        <v>1494</v>
      </c>
      <c r="G1943" s="40"/>
      <c r="H1943" s="99" t="e">
        <f>SUM(H1941:H1942)</f>
        <v>#REF!</v>
      </c>
    </row>
    <row r="1944" spans="1:8" ht="16.5">
      <c r="A1944" s="1"/>
      <c r="B1944" s="88">
        <v>1</v>
      </c>
      <c r="C1944" s="1"/>
      <c r="D1944" s="1"/>
      <c r="E1944" s="1"/>
      <c r="F1944" s="1"/>
      <c r="G1944" s="1"/>
      <c r="H1944" s="19"/>
    </row>
    <row r="1945" spans="1:8" ht="16.5">
      <c r="A1945" s="1"/>
      <c r="B1945" s="88"/>
      <c r="C1945" s="1"/>
      <c r="D1945" s="1"/>
      <c r="E1945" s="1"/>
      <c r="F1945" s="1"/>
      <c r="G1945" s="1"/>
      <c r="H1945" s="19"/>
    </row>
    <row r="1946" spans="1:8" ht="16.5">
      <c r="A1946" s="1"/>
      <c r="B1946" s="88"/>
      <c r="C1946" s="1"/>
      <c r="D1946" s="1"/>
      <c r="E1946" s="1"/>
      <c r="F1946" s="1"/>
      <c r="G1946" s="1"/>
      <c r="H1946" s="19"/>
    </row>
    <row r="1947" spans="1:8" ht="16.5">
      <c r="A1947" s="1"/>
      <c r="B1947" s="88"/>
      <c r="C1947" s="1"/>
      <c r="D1947" s="1"/>
      <c r="E1947" s="1"/>
      <c r="F1947" s="1"/>
      <c r="G1947" s="1"/>
      <c r="H1947" s="19"/>
    </row>
    <row r="1948" spans="1:8" ht="16.5">
      <c r="A1948" s="1"/>
      <c r="B1948" s="88"/>
      <c r="C1948" s="1"/>
      <c r="D1948" s="1"/>
      <c r="E1948" s="1"/>
      <c r="F1948" s="1"/>
      <c r="G1948" s="1"/>
      <c r="H1948" s="19"/>
    </row>
    <row r="1949" spans="1:8" ht="16.5">
      <c r="A1949" s="1"/>
      <c r="B1949" s="88"/>
      <c r="C1949" s="1"/>
      <c r="D1949" s="1"/>
      <c r="E1949" s="1"/>
      <c r="F1949" s="1"/>
      <c r="G1949" s="1"/>
      <c r="H1949" s="19"/>
    </row>
    <row r="1950" spans="1:8" ht="35.25" customHeight="1">
      <c r="A1950" s="260">
        <f>A1929+1</f>
        <v>113</v>
      </c>
      <c r="B1950" s="883" t="s">
        <v>169</v>
      </c>
      <c r="C1950" s="884"/>
      <c r="D1950" s="884"/>
      <c r="E1950" s="884"/>
      <c r="F1950" s="884"/>
      <c r="G1950" s="884"/>
      <c r="H1950" s="884"/>
    </row>
    <row r="1951" spans="1:8" ht="15">
      <c r="A1951" s="668" t="s">
        <v>3536</v>
      </c>
      <c r="B1951" s="928" t="s">
        <v>180</v>
      </c>
      <c r="C1951" s="885"/>
      <c r="D1951" s="885"/>
      <c r="E1951" s="885"/>
      <c r="F1951" s="885"/>
      <c r="G1951" s="885"/>
      <c r="H1951" s="885"/>
    </row>
    <row r="1952" spans="1:8" ht="31.5">
      <c r="A1952" s="1"/>
      <c r="B1952" s="68" t="s">
        <v>2966</v>
      </c>
      <c r="C1952" s="68" t="s">
        <v>2967</v>
      </c>
      <c r="D1952" s="68" t="s">
        <v>2968</v>
      </c>
      <c r="E1952" s="68" t="s">
        <v>2969</v>
      </c>
      <c r="F1952" s="68" t="s">
        <v>2970</v>
      </c>
      <c r="G1952" s="68" t="s">
        <v>2971</v>
      </c>
      <c r="H1952" s="68" t="s">
        <v>1487</v>
      </c>
    </row>
    <row r="1953" spans="1:17" ht="17.25">
      <c r="A1953" s="1"/>
      <c r="B1953" s="889" t="s">
        <v>1488</v>
      </c>
      <c r="C1953" s="58" t="s">
        <v>516</v>
      </c>
      <c r="D1953" s="238">
        <v>1.61</v>
      </c>
      <c r="E1953" s="55" t="s">
        <v>1490</v>
      </c>
      <c r="F1953" s="107" t="e">
        <f>mason</f>
        <v>#REF!</v>
      </c>
      <c r="G1953" s="107" t="e">
        <f>FLOOR(D1953*F1953,0.01)</f>
        <v>#REF!</v>
      </c>
      <c r="H1953" s="108"/>
    </row>
    <row r="1954" spans="1:17" ht="17.25">
      <c r="A1954" s="37"/>
      <c r="B1954" s="887"/>
      <c r="C1954" s="56" t="s">
        <v>1433</v>
      </c>
      <c r="D1954" s="49">
        <v>0.161</v>
      </c>
      <c r="E1954" s="56" t="s">
        <v>1490</v>
      </c>
      <c r="F1954" s="109" t="e">
        <f>#REF!</f>
        <v>#REF!</v>
      </c>
      <c r="G1954" s="63" t="e">
        <f>FLOOR(D1954*F1954,0.01)</f>
        <v>#REF!</v>
      </c>
      <c r="H1954" s="121" t="e">
        <f>SUM(G1953+G1954)</f>
        <v>#REF!</v>
      </c>
    </row>
    <row r="1955" spans="1:17" ht="64.5">
      <c r="A1955" s="1"/>
      <c r="B1955" s="886" t="s">
        <v>2055</v>
      </c>
      <c r="C1955" s="154" t="s">
        <v>170</v>
      </c>
      <c r="D1955" s="192">
        <v>1</v>
      </c>
      <c r="E1955" s="55" t="s">
        <v>2807</v>
      </c>
      <c r="F1955" s="110" t="e">
        <f>#REF!</f>
        <v>#REF!</v>
      </c>
      <c r="G1955" s="110" t="e">
        <f>FLOOR(D1955*F1955,0.01)</f>
        <v>#REF!</v>
      </c>
      <c r="H1955" s="84"/>
    </row>
    <row r="1956" spans="1:17" ht="17.25">
      <c r="A1956" s="1"/>
      <c r="B1956" s="894"/>
      <c r="C1956" s="53" t="s">
        <v>1134</v>
      </c>
      <c r="D1956" s="52">
        <v>7.4340000000000002</v>
      </c>
      <c r="E1956" s="53" t="s">
        <v>2605</v>
      </c>
      <c r="F1956" s="109" t="e">
        <f>#REF!</f>
        <v>#REF!</v>
      </c>
      <c r="G1956" s="109" t="e">
        <f>FLOOR(D1956*F1956,0.01)</f>
        <v>#REF!</v>
      </c>
      <c r="H1956" s="86"/>
    </row>
    <row r="1957" spans="1:17" ht="17.25">
      <c r="A1957" s="37"/>
      <c r="B1957" s="894"/>
      <c r="C1957" s="53" t="s">
        <v>3076</v>
      </c>
      <c r="D1957" s="53" t="s">
        <v>2808</v>
      </c>
      <c r="E1957" s="53" t="s">
        <v>2810</v>
      </c>
      <c r="F1957" s="109"/>
      <c r="G1957" s="109">
        <v>20</v>
      </c>
      <c r="H1957" s="86"/>
    </row>
    <row r="1958" spans="1:17" ht="17.25">
      <c r="A1958" s="1"/>
      <c r="B1958" s="894"/>
      <c r="C1958" s="53" t="s">
        <v>2073</v>
      </c>
      <c r="D1958" s="42">
        <v>3</v>
      </c>
      <c r="E1958" s="53" t="s">
        <v>699</v>
      </c>
      <c r="F1958" s="109" t="e">
        <f>Kabja100</f>
        <v>#REF!</v>
      </c>
      <c r="G1958" s="109" t="e">
        <f>FLOOR(D1958*F1958,0.01)</f>
        <v>#REF!</v>
      </c>
      <c r="H1958" s="86"/>
    </row>
    <row r="1959" spans="1:17" ht="17.25">
      <c r="A1959" s="1"/>
      <c r="B1959" s="894"/>
      <c r="C1959" s="53" t="s">
        <v>2097</v>
      </c>
      <c r="D1959" s="42">
        <v>2</v>
      </c>
      <c r="E1959" s="53" t="s">
        <v>699</v>
      </c>
      <c r="F1959" s="109" t="e">
        <f>cheskini150</f>
        <v>#REF!</v>
      </c>
      <c r="G1959" s="109" t="e">
        <f>FLOOR(D1959*F1959,0.01)</f>
        <v>#REF!</v>
      </c>
      <c r="H1959" s="86"/>
    </row>
    <row r="1960" spans="1:17" ht="28.5">
      <c r="A1960" s="1"/>
      <c r="B1960" s="894"/>
      <c r="C1960" s="24" t="s">
        <v>375</v>
      </c>
      <c r="D1960" s="42">
        <v>1</v>
      </c>
      <c r="E1960" s="53" t="s">
        <v>699</v>
      </c>
      <c r="F1960" s="109" t="e">
        <f>moluck</f>
        <v>#REF!</v>
      </c>
      <c r="G1960" s="109" t="e">
        <f>FLOOR(D1960*F1960,0.01)</f>
        <v>#REF!</v>
      </c>
      <c r="H1960" s="86"/>
    </row>
    <row r="1961" spans="1:17" ht="17.25">
      <c r="A1961" s="1"/>
      <c r="B1961" s="895"/>
      <c r="C1961" s="56" t="s">
        <v>1933</v>
      </c>
      <c r="D1961" s="56" t="s">
        <v>2808</v>
      </c>
      <c r="E1961" s="56" t="s">
        <v>2810</v>
      </c>
      <c r="F1961" s="63"/>
      <c r="G1961" s="63">
        <v>45</v>
      </c>
      <c r="H1961" s="123" t="e">
        <f>SUM(G1955:G1961)</f>
        <v>#REF!</v>
      </c>
    </row>
    <row r="1962" spans="1:17" ht="17.25">
      <c r="A1962" s="1"/>
      <c r="B1962" s="1"/>
      <c r="C1962" s="1"/>
      <c r="D1962" s="1"/>
      <c r="E1962" s="1"/>
      <c r="F1962" s="40" t="s">
        <v>1491</v>
      </c>
      <c r="G1962" s="40"/>
      <c r="H1962" s="63" t="e">
        <f>SUM(H1954:H1961)</f>
        <v>#REF!</v>
      </c>
    </row>
    <row r="1963" spans="1:17" ht="17.25">
      <c r="A1963" s="1"/>
      <c r="B1963" s="3" t="s">
        <v>1493</v>
      </c>
      <c r="C1963" s="1"/>
      <c r="D1963" s="1"/>
      <c r="E1963" s="1"/>
      <c r="F1963" s="40" t="s">
        <v>1472</v>
      </c>
      <c r="G1963" s="40"/>
      <c r="H1963" s="99" t="e">
        <f>FLOOR(H1962*0.15,0.01)</f>
        <v>#REF!</v>
      </c>
    </row>
    <row r="1964" spans="1:17" ht="17.25">
      <c r="B1964" s="140" t="e">
        <f>+H1964</f>
        <v>#REF!</v>
      </c>
      <c r="C1964" s="27" t="s">
        <v>3005</v>
      </c>
      <c r="D1964" s="99" t="e">
        <f>INT(B1964/B1965*100)/100</f>
        <v>#REF!</v>
      </c>
      <c r="E1964" s="1" t="s">
        <v>3006</v>
      </c>
      <c r="F1964" s="40" t="s">
        <v>1494</v>
      </c>
      <c r="G1964" s="40"/>
      <c r="H1964" s="99" t="e">
        <f>SUM(H1962:H1963)</f>
        <v>#REF!</v>
      </c>
    </row>
    <row r="1965" spans="1:17" ht="16.5">
      <c r="A1965" s="1"/>
      <c r="B1965" s="88">
        <v>1</v>
      </c>
      <c r="C1965" s="1"/>
      <c r="D1965" s="1"/>
      <c r="E1965" s="1"/>
      <c r="F1965" s="1"/>
      <c r="G1965" s="1"/>
      <c r="H1965" s="19"/>
    </row>
    <row r="1966" spans="1:17" ht="16.5">
      <c r="A1966" s="1"/>
      <c r="B1966" s="88"/>
      <c r="C1966" s="1"/>
      <c r="D1966" s="1"/>
      <c r="E1966" s="1"/>
      <c r="F1966" s="1"/>
      <c r="G1966" s="1"/>
      <c r="H1966" s="19"/>
    </row>
    <row r="1967" spans="1:17" ht="47.25" customHeight="1">
      <c r="A1967" s="260">
        <f>A1950+1</f>
        <v>114</v>
      </c>
      <c r="B1967" s="883" t="s">
        <v>156</v>
      </c>
      <c r="C1967" s="884"/>
      <c r="D1967" s="884"/>
      <c r="E1967" s="884"/>
      <c r="F1967" s="884"/>
      <c r="G1967" s="884"/>
      <c r="H1967" s="884"/>
      <c r="J1967" s="260">
        <f>J1950+1</f>
        <v>1</v>
      </c>
      <c r="K1967" s="883" t="s">
        <v>3806</v>
      </c>
      <c r="L1967" s="884"/>
      <c r="M1967" s="884"/>
      <c r="N1967" s="884"/>
      <c r="O1967" s="884"/>
      <c r="P1967" s="884"/>
      <c r="Q1967" s="884"/>
    </row>
    <row r="1968" spans="1:17" ht="15">
      <c r="A1968" s="668" t="s">
        <v>3537</v>
      </c>
      <c r="B1968" s="928" t="s">
        <v>180</v>
      </c>
      <c r="C1968" s="885"/>
      <c r="D1968" s="885"/>
      <c r="E1968" s="885"/>
      <c r="F1968" s="885"/>
      <c r="G1968" s="885"/>
      <c r="H1968" s="885"/>
      <c r="J1968" s="668"/>
      <c r="K1968" s="928" t="s">
        <v>180</v>
      </c>
      <c r="L1968" s="885"/>
      <c r="M1968" s="885"/>
      <c r="N1968" s="885"/>
      <c r="O1968" s="885"/>
      <c r="P1968" s="885"/>
      <c r="Q1968" s="885"/>
    </row>
    <row r="1969" spans="1:17" ht="29.25" customHeight="1">
      <c r="A1969" s="1"/>
      <c r="B1969" s="68" t="s">
        <v>2966</v>
      </c>
      <c r="C1969" s="68" t="s">
        <v>2967</v>
      </c>
      <c r="D1969" s="68" t="s">
        <v>2968</v>
      </c>
      <c r="E1969" s="68" t="s">
        <v>2969</v>
      </c>
      <c r="F1969" s="68" t="s">
        <v>2970</v>
      </c>
      <c r="G1969" s="68" t="s">
        <v>2971</v>
      </c>
      <c r="H1969" s="68" t="s">
        <v>1487</v>
      </c>
      <c r="J1969" s="1"/>
      <c r="K1969" s="68" t="s">
        <v>2966</v>
      </c>
      <c r="L1969" s="68" t="s">
        <v>2967</v>
      </c>
      <c r="M1969" s="68" t="s">
        <v>2968</v>
      </c>
      <c r="N1969" s="68" t="s">
        <v>2969</v>
      </c>
      <c r="O1969" s="68" t="s">
        <v>2970</v>
      </c>
      <c r="P1969" s="68" t="s">
        <v>2971</v>
      </c>
      <c r="Q1969" s="68" t="s">
        <v>1487</v>
      </c>
    </row>
    <row r="1970" spans="1:17" ht="17.25">
      <c r="A1970" s="1"/>
      <c r="B1970" s="889" t="s">
        <v>1488</v>
      </c>
      <c r="C1970" s="58" t="s">
        <v>516</v>
      </c>
      <c r="D1970" s="238">
        <v>1.61</v>
      </c>
      <c r="E1970" s="55" t="s">
        <v>1490</v>
      </c>
      <c r="F1970" s="107" t="e">
        <f>mason</f>
        <v>#REF!</v>
      </c>
      <c r="G1970" s="107" t="e">
        <f>FLOOR(D1970*F1970,0.01)</f>
        <v>#REF!</v>
      </c>
      <c r="H1970" s="108"/>
      <c r="J1970" s="1"/>
      <c r="K1970" s="889" t="s">
        <v>1488</v>
      </c>
      <c r="L1970" s="58" t="s">
        <v>516</v>
      </c>
      <c r="M1970" s="238">
        <v>0.06</v>
      </c>
      <c r="N1970" s="55" t="s">
        <v>1490</v>
      </c>
      <c r="O1970" s="107" t="e">
        <f>mason</f>
        <v>#REF!</v>
      </c>
      <c r="P1970" s="107" t="e">
        <f>FLOOR(M1970*O1970,0.01)</f>
        <v>#REF!</v>
      </c>
      <c r="Q1970" s="108"/>
    </row>
    <row r="1971" spans="1:17" ht="17.25">
      <c r="A1971" s="37"/>
      <c r="B1971" s="887"/>
      <c r="C1971" s="56" t="s">
        <v>1433</v>
      </c>
      <c r="D1971" s="49">
        <v>0.161</v>
      </c>
      <c r="E1971" s="56" t="s">
        <v>1490</v>
      </c>
      <c r="F1971" s="109" t="e">
        <f>#REF!</f>
        <v>#REF!</v>
      </c>
      <c r="G1971" s="63" t="e">
        <f>FLOOR(D1971*F1971,0.01)</f>
        <v>#REF!</v>
      </c>
      <c r="H1971" s="121" t="e">
        <f>SUM(G1970+G1971)</f>
        <v>#REF!</v>
      </c>
      <c r="J1971" s="37"/>
      <c r="K1971" s="887"/>
      <c r="L1971" s="56" t="s">
        <v>1433</v>
      </c>
      <c r="M1971" s="49">
        <v>6.0000000000000001E-3</v>
      </c>
      <c r="N1971" s="56" t="s">
        <v>1490</v>
      </c>
      <c r="O1971" s="109" t="e">
        <f>F1971</f>
        <v>#REF!</v>
      </c>
      <c r="P1971" s="63" t="e">
        <f>FLOOR(M1971*O1971,0.01)</f>
        <v>#REF!</v>
      </c>
      <c r="Q1971" s="121" t="e">
        <f>SUM(P1970+P1971)</f>
        <v>#REF!</v>
      </c>
    </row>
    <row r="1972" spans="1:17" ht="64.5">
      <c r="A1972" s="1"/>
      <c r="B1972" s="886" t="s">
        <v>2055</v>
      </c>
      <c r="C1972" s="154" t="s">
        <v>170</v>
      </c>
      <c r="D1972" s="192">
        <v>1</v>
      </c>
      <c r="E1972" s="55" t="s">
        <v>2807</v>
      </c>
      <c r="F1972" s="110" t="e">
        <f>#REF!</f>
        <v>#REF!</v>
      </c>
      <c r="G1972" s="110" t="e">
        <f>FLOOR(D1972*F1972,0.01)</f>
        <v>#REF!</v>
      </c>
      <c r="H1972" s="84"/>
      <c r="J1972" s="1"/>
      <c r="K1972" s="886" t="s">
        <v>2055</v>
      </c>
      <c r="L1972" s="154" t="s">
        <v>3805</v>
      </c>
      <c r="M1972" s="192">
        <v>2.1</v>
      </c>
      <c r="N1972" s="55" t="s">
        <v>2807</v>
      </c>
      <c r="O1972" s="110" t="e">
        <f>Tikply4</f>
        <v>#REF!</v>
      </c>
      <c r="P1972" s="110" t="e">
        <f>FLOOR(M1972*O1972,0.01)</f>
        <v>#REF!</v>
      </c>
      <c r="Q1972" s="84"/>
    </row>
    <row r="1973" spans="1:17" ht="17.25">
      <c r="A1973" s="1"/>
      <c r="B1973" s="894"/>
      <c r="C1973" s="53" t="s">
        <v>1134</v>
      </c>
      <c r="D1973" s="52">
        <v>7.4340000000000002</v>
      </c>
      <c r="E1973" s="53" t="s">
        <v>2605</v>
      </c>
      <c r="F1973" s="109" t="e">
        <f>#REF!</f>
        <v>#REF!</v>
      </c>
      <c r="G1973" s="109" t="e">
        <f>FLOOR(D1973*F1973,0.01)</f>
        <v>#REF!</v>
      </c>
      <c r="H1973" s="86"/>
      <c r="J1973" s="1"/>
      <c r="K1973" s="894"/>
      <c r="L1973" s="53" t="s">
        <v>1134</v>
      </c>
      <c r="M1973" s="52">
        <v>0</v>
      </c>
      <c r="N1973" s="53" t="s">
        <v>2605</v>
      </c>
      <c r="O1973" s="109" t="e">
        <f>#REF!</f>
        <v>#REF!</v>
      </c>
      <c r="P1973" s="109" t="e">
        <f>FLOOR(M1973*O1973,0.01)</f>
        <v>#REF!</v>
      </c>
      <c r="Q1973" s="86"/>
    </row>
    <row r="1974" spans="1:17" ht="17.25">
      <c r="A1974" s="37"/>
      <c r="B1974" s="894"/>
      <c r="C1974" s="53" t="s">
        <v>3076</v>
      </c>
      <c r="D1974" s="271" t="s">
        <v>67</v>
      </c>
      <c r="E1974" s="53" t="s">
        <v>2810</v>
      </c>
      <c r="F1974" s="109"/>
      <c r="G1974" s="109">
        <v>20</v>
      </c>
      <c r="H1974" s="86"/>
      <c r="J1974" s="37"/>
      <c r="K1974" s="894"/>
      <c r="L1974" s="53" t="s">
        <v>3076</v>
      </c>
      <c r="M1974" s="271" t="s">
        <v>67</v>
      </c>
      <c r="N1974" s="53" t="s">
        <v>2810</v>
      </c>
      <c r="O1974" s="109"/>
      <c r="P1974" s="109">
        <v>20</v>
      </c>
      <c r="Q1974" s="86"/>
    </row>
    <row r="1975" spans="1:17" ht="17.25">
      <c r="A1975" s="1"/>
      <c r="B1975" s="894"/>
      <c r="C1975" s="53" t="s">
        <v>2073</v>
      </c>
      <c r="D1975" s="42">
        <v>3</v>
      </c>
      <c r="E1975" s="53" t="s">
        <v>699</v>
      </c>
      <c r="F1975" s="109" t="e">
        <f>Kabja100</f>
        <v>#REF!</v>
      </c>
      <c r="G1975" s="109" t="e">
        <f>FLOOR(D1975*F1975,0.01)</f>
        <v>#REF!</v>
      </c>
      <c r="H1975" s="86"/>
      <c r="J1975" s="1"/>
      <c r="K1975" s="894"/>
      <c r="L1975" s="53" t="s">
        <v>2073</v>
      </c>
      <c r="M1975" s="42">
        <v>3</v>
      </c>
      <c r="N1975" s="53" t="s">
        <v>699</v>
      </c>
      <c r="O1975" s="109" t="e">
        <f>Kabja100</f>
        <v>#REF!</v>
      </c>
      <c r="P1975" s="109" t="e">
        <f>FLOOR(M1975*O1975,0.01)</f>
        <v>#REF!</v>
      </c>
      <c r="Q1975" s="86"/>
    </row>
    <row r="1976" spans="1:17" ht="17.25">
      <c r="A1976" s="1"/>
      <c r="B1976" s="894"/>
      <c r="C1976" s="53" t="s">
        <v>2097</v>
      </c>
      <c r="D1976" s="42">
        <v>2</v>
      </c>
      <c r="E1976" s="53" t="s">
        <v>699</v>
      </c>
      <c r="F1976" s="109" t="e">
        <f>cheskini150</f>
        <v>#REF!</v>
      </c>
      <c r="G1976" s="109" t="e">
        <f>FLOOR(D1976*F1976,0.01)</f>
        <v>#REF!</v>
      </c>
      <c r="H1976" s="86"/>
      <c r="J1976" s="1"/>
      <c r="K1976" s="894"/>
      <c r="L1976" s="53" t="s">
        <v>2097</v>
      </c>
      <c r="M1976" s="42">
        <v>2</v>
      </c>
      <c r="N1976" s="53" t="s">
        <v>699</v>
      </c>
      <c r="O1976" s="109" t="e">
        <f>cheskini150</f>
        <v>#REF!</v>
      </c>
      <c r="P1976" s="109" t="e">
        <f>FLOOR(M1976*O1976,0.01)</f>
        <v>#REF!</v>
      </c>
      <c r="Q1976" s="86"/>
    </row>
    <row r="1977" spans="1:17" ht="28.5">
      <c r="A1977" s="1"/>
      <c r="B1977" s="894"/>
      <c r="C1977" s="24" t="s">
        <v>375</v>
      </c>
      <c r="D1977" s="42">
        <v>1</v>
      </c>
      <c r="E1977" s="53" t="s">
        <v>699</v>
      </c>
      <c r="F1977" s="109" t="e">
        <f>moluck</f>
        <v>#REF!</v>
      </c>
      <c r="G1977" s="109" t="e">
        <f>FLOOR(D1977*F1977,0.01)</f>
        <v>#REF!</v>
      </c>
      <c r="H1977" s="86"/>
      <c r="J1977" s="1"/>
      <c r="K1977" s="894"/>
      <c r="L1977" s="24" t="s">
        <v>375</v>
      </c>
      <c r="M1977" s="42">
        <v>1</v>
      </c>
      <c r="N1977" s="53" t="s">
        <v>699</v>
      </c>
      <c r="O1977" s="109" t="e">
        <f>moluck</f>
        <v>#REF!</v>
      </c>
      <c r="P1977" s="109" t="e">
        <f>FLOOR(M1977*O1977,0.01)</f>
        <v>#REF!</v>
      </c>
      <c r="Q1977" s="86"/>
    </row>
    <row r="1978" spans="1:17" ht="17.25">
      <c r="A1978" s="1"/>
      <c r="B1978" s="895"/>
      <c r="C1978" s="56" t="s">
        <v>1933</v>
      </c>
      <c r="D1978" s="59" t="s">
        <v>67</v>
      </c>
      <c r="E1978" s="56" t="s">
        <v>2810</v>
      </c>
      <c r="F1978" s="63"/>
      <c r="G1978" s="63">
        <v>45</v>
      </c>
      <c r="H1978" s="123" t="e">
        <f>SUM(G1972:G1978)</f>
        <v>#REF!</v>
      </c>
      <c r="J1978" s="1"/>
      <c r="K1978" s="895"/>
      <c r="L1978" s="56" t="s">
        <v>1933</v>
      </c>
      <c r="M1978" s="59" t="s">
        <v>67</v>
      </c>
      <c r="N1978" s="56" t="s">
        <v>2810</v>
      </c>
      <c r="O1978" s="63"/>
      <c r="P1978" s="63">
        <v>45</v>
      </c>
      <c r="Q1978" s="123" t="e">
        <f>SUM(P1972:P1978)</f>
        <v>#REF!</v>
      </c>
    </row>
    <row r="1979" spans="1:17" ht="17.25">
      <c r="A1979" s="1"/>
      <c r="B1979" s="1"/>
      <c r="C1979" s="1"/>
      <c r="D1979" s="1"/>
      <c r="E1979" s="1"/>
      <c r="F1979" s="40" t="s">
        <v>1491</v>
      </c>
      <c r="G1979" s="40"/>
      <c r="H1979" s="63" t="e">
        <f>SUM(H1971:H1978)</f>
        <v>#REF!</v>
      </c>
      <c r="J1979" s="1"/>
      <c r="K1979" s="1"/>
      <c r="L1979" s="1"/>
      <c r="M1979" s="1"/>
      <c r="N1979" s="1"/>
      <c r="O1979" s="40" t="s">
        <v>1491</v>
      </c>
      <c r="P1979" s="40"/>
      <c r="Q1979" s="63" t="e">
        <f>SUM(Q1971:Q1978)</f>
        <v>#REF!</v>
      </c>
    </row>
    <row r="1980" spans="1:17" ht="17.25">
      <c r="A1980" s="1"/>
      <c r="B1980" s="3" t="s">
        <v>1493</v>
      </c>
      <c r="C1980" s="1"/>
      <c r="D1980" s="1"/>
      <c r="E1980" s="1"/>
      <c r="F1980" s="40" t="s">
        <v>1472</v>
      </c>
      <c r="G1980" s="40"/>
      <c r="H1980" s="99" t="e">
        <f>FLOOR(H1979*0.15,0.01)</f>
        <v>#REF!</v>
      </c>
      <c r="J1980" s="1"/>
      <c r="K1980" s="3" t="s">
        <v>1493</v>
      </c>
      <c r="L1980" s="1"/>
      <c r="M1980" s="1"/>
      <c r="N1980" s="1"/>
      <c r="O1980" s="40" t="s">
        <v>1472</v>
      </c>
      <c r="P1980" s="40"/>
      <c r="Q1980" s="99" t="e">
        <f>FLOOR(Q1979*0.15,0.01)</f>
        <v>#REF!</v>
      </c>
    </row>
    <row r="1981" spans="1:17" ht="17.25">
      <c r="B1981" s="140" t="e">
        <f>+H1981</f>
        <v>#REF!</v>
      </c>
      <c r="C1981" s="27" t="s">
        <v>3005</v>
      </c>
      <c r="D1981" s="99" t="e">
        <f>INT(B1981/B1982*100)/100</f>
        <v>#REF!</v>
      </c>
      <c r="E1981" s="1" t="s">
        <v>3006</v>
      </c>
      <c r="F1981" s="40" t="s">
        <v>1494</v>
      </c>
      <c r="G1981" s="40"/>
      <c r="H1981" s="99" t="e">
        <f>SUM(H1979:H1980)</f>
        <v>#REF!</v>
      </c>
      <c r="K1981" s="140" t="e">
        <f>+Q1981</f>
        <v>#REF!</v>
      </c>
      <c r="L1981" s="27" t="s">
        <v>3005</v>
      </c>
      <c r="M1981" s="713" t="e">
        <f>INT(K1981/K1982*100)/100</f>
        <v>#REF!</v>
      </c>
      <c r="N1981" s="1" t="s">
        <v>3006</v>
      </c>
      <c r="O1981" s="40" t="s">
        <v>1494</v>
      </c>
      <c r="P1981" s="40"/>
      <c r="Q1981" s="99" t="e">
        <f>SUM(Q1979:Q1980)</f>
        <v>#REF!</v>
      </c>
    </row>
    <row r="1982" spans="1:17" ht="16.5">
      <c r="A1982" s="1"/>
      <c r="B1982" s="88">
        <v>1</v>
      </c>
      <c r="C1982" s="1"/>
      <c r="D1982" s="1"/>
      <c r="E1982" s="1"/>
      <c r="F1982" s="1"/>
      <c r="G1982" s="1"/>
      <c r="H1982" s="19"/>
      <c r="J1982" s="1"/>
      <c r="K1982" s="88">
        <v>1</v>
      </c>
      <c r="L1982" s="1"/>
      <c r="M1982" s="1"/>
      <c r="N1982" s="1"/>
      <c r="O1982" s="1"/>
      <c r="P1982" s="1"/>
      <c r="Q1982" s="19"/>
    </row>
    <row r="1983" spans="1:17" ht="16.5">
      <c r="A1983" s="1"/>
      <c r="B1983" s="88"/>
      <c r="C1983" s="1"/>
      <c r="D1983" s="1"/>
      <c r="E1983" s="1"/>
      <c r="F1983" s="1"/>
      <c r="G1983" s="1"/>
      <c r="H1983" s="19"/>
    </row>
    <row r="1984" spans="1:17" ht="20.25">
      <c r="A1984" s="1"/>
      <c r="B1984" s="88"/>
      <c r="C1984" s="1"/>
      <c r="D1984" s="1"/>
      <c r="E1984" s="1"/>
      <c r="F1984" s="1"/>
      <c r="G1984" s="1"/>
      <c r="H1984" s="19"/>
      <c r="J1984" s="96">
        <v>2</v>
      </c>
      <c r="K1984" s="877" t="s">
        <v>107</v>
      </c>
      <c r="L1984" s="878"/>
      <c r="M1984" s="878"/>
      <c r="N1984" s="878"/>
      <c r="O1984" s="878"/>
      <c r="P1984" s="878"/>
      <c r="Q1984" s="878"/>
    </row>
    <row r="1985" spans="1:17" ht="20.25">
      <c r="A1985" s="1"/>
      <c r="B1985" s="88"/>
      <c r="C1985" s="1"/>
      <c r="D1985" s="1"/>
      <c r="E1985" s="1"/>
      <c r="F1985" s="1"/>
      <c r="G1985" s="1"/>
      <c r="H1985" s="19"/>
      <c r="K1985" s="877" t="s">
        <v>2565</v>
      </c>
      <c r="L1985" s="878"/>
      <c r="M1985" s="878"/>
      <c r="N1985" s="878"/>
      <c r="O1985" s="878"/>
      <c r="P1985" s="878"/>
      <c r="Q1985" s="878"/>
    </row>
    <row r="1986" spans="1:17" ht="16.5">
      <c r="A1986" s="1"/>
      <c r="B1986" s="88"/>
      <c r="C1986" s="1"/>
      <c r="D1986" s="1"/>
      <c r="E1986" s="1"/>
      <c r="F1986" s="1"/>
      <c r="G1986" s="1"/>
      <c r="H1986" s="19"/>
      <c r="K1986" s="879" t="s">
        <v>2566</v>
      </c>
      <c r="L1986" s="879"/>
      <c r="M1986" s="879"/>
      <c r="N1986" s="879"/>
      <c r="O1986" s="879"/>
      <c r="P1986" s="879"/>
      <c r="Q1986" s="879"/>
    </row>
    <row r="1987" spans="1:17" ht="18" customHeight="1">
      <c r="A1987" s="260">
        <f>A1967+1</f>
        <v>115</v>
      </c>
      <c r="B1987" s="877" t="s">
        <v>107</v>
      </c>
      <c r="C1987" s="878"/>
      <c r="D1987" s="878"/>
      <c r="E1987" s="878"/>
      <c r="F1987" s="878"/>
      <c r="G1987" s="878"/>
      <c r="H1987" s="878"/>
      <c r="K1987" s="68" t="s">
        <v>2966</v>
      </c>
      <c r="L1987" s="68" t="s">
        <v>2967</v>
      </c>
      <c r="M1987" s="68" t="s">
        <v>2968</v>
      </c>
      <c r="N1987" s="68" t="s">
        <v>2969</v>
      </c>
      <c r="O1987" s="68" t="s">
        <v>2970</v>
      </c>
      <c r="P1987" s="68" t="s">
        <v>2971</v>
      </c>
      <c r="Q1987" s="68" t="s">
        <v>1487</v>
      </c>
    </row>
    <row r="1988" spans="1:17" ht="20.25">
      <c r="A1988" s="11" t="s">
        <v>522</v>
      </c>
      <c r="B1988" s="877" t="s">
        <v>2565</v>
      </c>
      <c r="C1988" s="878"/>
      <c r="D1988" s="878"/>
      <c r="E1988" s="878"/>
      <c r="F1988" s="878"/>
      <c r="G1988" s="878"/>
      <c r="H1988" s="878"/>
      <c r="K1988" s="58" t="s">
        <v>1488</v>
      </c>
      <c r="L1988" s="58" t="s">
        <v>2567</v>
      </c>
      <c r="M1988" s="41">
        <v>0.06</v>
      </c>
      <c r="N1988" s="55" t="s">
        <v>1490</v>
      </c>
      <c r="O1988" s="107" t="e">
        <f>mason</f>
        <v>#REF!</v>
      </c>
      <c r="P1988" s="107" t="e">
        <f>FLOOR(M1988*O1988,0.01)</f>
        <v>#REF!</v>
      </c>
      <c r="Q1988" s="107"/>
    </row>
    <row r="1989" spans="1:17" ht="17.25">
      <c r="A1989" s="668" t="s">
        <v>3538</v>
      </c>
      <c r="B1989" s="879" t="s">
        <v>2566</v>
      </c>
      <c r="C1989" s="879"/>
      <c r="D1989" s="879"/>
      <c r="E1989" s="879"/>
      <c r="F1989" s="879"/>
      <c r="G1989" s="879"/>
      <c r="H1989" s="879"/>
      <c r="K1989" s="62"/>
      <c r="L1989" s="53" t="s">
        <v>1930</v>
      </c>
      <c r="M1989" s="52">
        <v>6.0000000000000001E-3</v>
      </c>
      <c r="N1989" s="53" t="s">
        <v>1490</v>
      </c>
      <c r="O1989" s="63" t="e">
        <f>F1992</f>
        <v>#REF!</v>
      </c>
      <c r="P1989" s="122" t="e">
        <f>FLOOR(M1989*O1989,0.01)</f>
        <v>#REF!</v>
      </c>
      <c r="Q1989" s="122" t="e">
        <f>SUM(P1988:P1989)</f>
        <v>#REF!</v>
      </c>
    </row>
    <row r="1990" spans="1:17" ht="31.5">
      <c r="A1990" s="1"/>
      <c r="B1990" s="68" t="s">
        <v>2966</v>
      </c>
      <c r="C1990" s="68" t="s">
        <v>2967</v>
      </c>
      <c r="D1990" s="68" t="s">
        <v>2968</v>
      </c>
      <c r="E1990" s="68" t="s">
        <v>2969</v>
      </c>
      <c r="F1990" s="68" t="s">
        <v>2970</v>
      </c>
      <c r="G1990" s="68" t="s">
        <v>2971</v>
      </c>
      <c r="H1990" s="68" t="s">
        <v>1487</v>
      </c>
      <c r="K1990" s="880" t="s">
        <v>2055</v>
      </c>
      <c r="L1990" s="195" t="s">
        <v>2634</v>
      </c>
      <c r="M1990" s="41">
        <v>1.05</v>
      </c>
      <c r="N1990" s="55" t="s">
        <v>2807</v>
      </c>
      <c r="O1990" s="152" t="e">
        <f>#REF!</f>
        <v>#REF!</v>
      </c>
      <c r="P1990" s="152" t="e">
        <f>FLOOR(M1990*O1990,0.01)</f>
        <v>#REF!</v>
      </c>
      <c r="Q1990" s="196"/>
    </row>
    <row r="1991" spans="1:17" ht="17.25">
      <c r="A1991" s="1"/>
      <c r="B1991" s="58" t="s">
        <v>1488</v>
      </c>
      <c r="C1991" s="58" t="s">
        <v>2567</v>
      </c>
      <c r="D1991" s="41">
        <v>0.06</v>
      </c>
      <c r="E1991" s="55" t="s">
        <v>1490</v>
      </c>
      <c r="F1991" s="107" t="e">
        <f>mason</f>
        <v>#REF!</v>
      </c>
      <c r="G1991" s="107" t="e">
        <f>FLOOR(D1991*F1991,0.01)</f>
        <v>#REF!</v>
      </c>
      <c r="H1991" s="107"/>
      <c r="K1991" s="881"/>
      <c r="L1991" s="60" t="s">
        <v>379</v>
      </c>
      <c r="M1991" s="42" t="s">
        <v>380</v>
      </c>
      <c r="N1991" s="61" t="s">
        <v>2808</v>
      </c>
      <c r="O1991" s="42" t="s">
        <v>380</v>
      </c>
      <c r="P1991" s="153">
        <v>65</v>
      </c>
      <c r="Q1991" s="196"/>
    </row>
    <row r="1992" spans="1:17" ht="17.25">
      <c r="A1992" s="1"/>
      <c r="B1992" s="62"/>
      <c r="C1992" s="53" t="s">
        <v>1930</v>
      </c>
      <c r="D1992" s="52">
        <v>6.0000000000000001E-3</v>
      </c>
      <c r="E1992" s="53" t="s">
        <v>1490</v>
      </c>
      <c r="F1992" s="63" t="e">
        <f>#REF!</f>
        <v>#REF!</v>
      </c>
      <c r="G1992" s="122" t="e">
        <f>FLOOR(D1992*F1992,0.01)</f>
        <v>#REF!</v>
      </c>
      <c r="H1992" s="122" t="e">
        <f>SUM(G1991:G1992)</f>
        <v>#REF!</v>
      </c>
      <c r="K1992" s="882"/>
      <c r="L1992" s="197" t="s">
        <v>2010</v>
      </c>
      <c r="M1992" s="43" t="s">
        <v>380</v>
      </c>
      <c r="N1992" s="198" t="s">
        <v>2808</v>
      </c>
      <c r="O1992" s="43" t="s">
        <v>380</v>
      </c>
      <c r="P1992" s="155">
        <v>15</v>
      </c>
      <c r="Q1992" s="63" t="e">
        <f>SUM(P1990:P1992)</f>
        <v>#REF!</v>
      </c>
    </row>
    <row r="1993" spans="1:17" ht="17.25">
      <c r="A1993" s="1"/>
      <c r="B1993" s="880" t="s">
        <v>2055</v>
      </c>
      <c r="C1993" s="195" t="s">
        <v>2634</v>
      </c>
      <c r="D1993" s="41">
        <v>1.05</v>
      </c>
      <c r="E1993" s="55" t="s">
        <v>2807</v>
      </c>
      <c r="F1993" s="152" t="e">
        <f>#REF!</f>
        <v>#REF!</v>
      </c>
      <c r="G1993" s="152" t="e">
        <f>FLOOR(D1993*F1993,0.01)</f>
        <v>#REF!</v>
      </c>
      <c r="H1993" s="196"/>
      <c r="K1993" s="1"/>
      <c r="L1993" s="1"/>
      <c r="M1993" s="1"/>
      <c r="N1993" s="1"/>
      <c r="O1993" s="40" t="s">
        <v>1491</v>
      </c>
      <c r="P1993" s="40"/>
      <c r="Q1993" s="99" t="e">
        <f>SUM(Q1992,Q1989)</f>
        <v>#REF!</v>
      </c>
    </row>
    <row r="1994" spans="1:17" ht="17.25">
      <c r="A1994" s="1"/>
      <c r="B1994" s="881"/>
      <c r="C1994" s="60" t="s">
        <v>379</v>
      </c>
      <c r="D1994" s="42" t="s">
        <v>380</v>
      </c>
      <c r="E1994" s="61" t="s">
        <v>2808</v>
      </c>
      <c r="F1994" s="42" t="s">
        <v>380</v>
      </c>
      <c r="G1994" s="153">
        <v>65</v>
      </c>
      <c r="H1994" s="196"/>
      <c r="K1994" s="1" t="s">
        <v>1493</v>
      </c>
      <c r="L1994" s="1"/>
      <c r="M1994" s="1"/>
      <c r="N1994" s="1"/>
      <c r="O1994" s="40" t="s">
        <v>1472</v>
      </c>
      <c r="P1994" s="40"/>
      <c r="Q1994" s="99" t="e">
        <f>FLOOR(Q1993*0.15,0.01)</f>
        <v>#REF!</v>
      </c>
    </row>
    <row r="1995" spans="1:17" ht="17.25">
      <c r="A1995" s="1"/>
      <c r="B1995" s="882"/>
      <c r="C1995" s="197" t="s">
        <v>2010</v>
      </c>
      <c r="D1995" s="43" t="s">
        <v>380</v>
      </c>
      <c r="E1995" s="198" t="s">
        <v>2808</v>
      </c>
      <c r="F1995" s="43" t="s">
        <v>380</v>
      </c>
      <c r="G1995" s="155">
        <v>15</v>
      </c>
      <c r="H1995" s="63" t="e">
        <f>SUM(G1993:G1995)</f>
        <v>#REF!</v>
      </c>
      <c r="K1995" s="713" t="e">
        <f>+Q1995</f>
        <v>#REF!</v>
      </c>
      <c r="L1995" s="1" t="s">
        <v>3006</v>
      </c>
      <c r="M1995" s="143"/>
      <c r="N1995" s="1"/>
      <c r="O1995" s="40" t="s">
        <v>1494</v>
      </c>
      <c r="P1995" s="40"/>
      <c r="Q1995" s="99" t="e">
        <f>SUM(Q1993:Q1994)</f>
        <v>#REF!</v>
      </c>
    </row>
    <row r="1996" spans="1:17" ht="17.25">
      <c r="A1996" s="1"/>
      <c r="B1996" s="1"/>
      <c r="C1996" s="1"/>
      <c r="D1996" s="1"/>
      <c r="E1996" s="1"/>
      <c r="F1996" s="40" t="s">
        <v>1491</v>
      </c>
      <c r="G1996" s="40"/>
      <c r="H1996" s="99" t="e">
        <f>SUM(H1995,H1992)</f>
        <v>#REF!</v>
      </c>
    </row>
    <row r="1997" spans="1:17" ht="17.25">
      <c r="A1997" s="1"/>
      <c r="B1997" s="1" t="s">
        <v>1493</v>
      </c>
      <c r="C1997" s="1"/>
      <c r="D1997" s="1"/>
      <c r="E1997" s="1"/>
      <c r="F1997" s="40" t="s">
        <v>1472</v>
      </c>
      <c r="G1997" s="40"/>
      <c r="H1997" s="99" t="e">
        <f>FLOOR(H1996*0.15,0.01)</f>
        <v>#REF!</v>
      </c>
    </row>
    <row r="1998" spans="1:17" ht="17.25">
      <c r="A1998" s="27" t="s">
        <v>3005</v>
      </c>
      <c r="B1998" s="99" t="e">
        <f>+H1998</f>
        <v>#REF!</v>
      </c>
      <c r="C1998" s="1" t="s">
        <v>3006</v>
      </c>
      <c r="D1998" s="143"/>
      <c r="E1998" s="1"/>
      <c r="F1998" s="40" t="s">
        <v>1494</v>
      </c>
      <c r="G1998" s="40"/>
      <c r="H1998" s="99" t="e">
        <f>SUM(H1996:H1997)</f>
        <v>#REF!</v>
      </c>
    </row>
    <row r="1999" spans="1:17" ht="19.5">
      <c r="A1999" s="27"/>
      <c r="B1999" s="1"/>
      <c r="C1999" s="1"/>
      <c r="D1999" s="141"/>
      <c r="E1999" s="1"/>
      <c r="F1999" s="40"/>
      <c r="G1999" s="102"/>
      <c r="H1999" s="141"/>
    </row>
    <row r="2000" spans="1:17" ht="19.5">
      <c r="A2000" s="27"/>
      <c r="B2000" s="141"/>
      <c r="C2000" s="1"/>
      <c r="D2000" s="1"/>
      <c r="E2000" s="1"/>
      <c r="F2000" s="40"/>
      <c r="G2000" s="102"/>
      <c r="H2000" s="141"/>
    </row>
    <row r="2001" spans="1:8" ht="19.5">
      <c r="A2001" s="27"/>
      <c r="B2001" s="141"/>
      <c r="C2001" s="1"/>
      <c r="D2001" s="1"/>
      <c r="E2001" s="1"/>
      <c r="F2001" s="40"/>
      <c r="G2001" s="102"/>
      <c r="H2001" s="141"/>
    </row>
    <row r="2002" spans="1:8" ht="20.25">
      <c r="A2002" s="260">
        <f>A1987+1</f>
        <v>116</v>
      </c>
      <c r="B2002" s="878" t="s">
        <v>106</v>
      </c>
      <c r="C2002" s="878"/>
      <c r="D2002" s="878"/>
      <c r="E2002" s="878"/>
      <c r="F2002" s="878"/>
      <c r="G2002" s="878"/>
      <c r="H2002" s="878"/>
    </row>
    <row r="2003" spans="1:8" ht="19.5">
      <c r="A2003" s="11" t="s">
        <v>522</v>
      </c>
      <c r="B2003" s="878" t="s">
        <v>2565</v>
      </c>
      <c r="C2003" s="878"/>
      <c r="D2003" s="878"/>
      <c r="E2003" s="878"/>
      <c r="F2003" s="878"/>
      <c r="G2003" s="878"/>
      <c r="H2003" s="878"/>
    </row>
    <row r="2004" spans="1:8" ht="15">
      <c r="A2004" s="668" t="s">
        <v>3539</v>
      </c>
      <c r="B2004" s="879" t="s">
        <v>2566</v>
      </c>
      <c r="C2004" s="879"/>
      <c r="D2004" s="879"/>
      <c r="E2004" s="879"/>
      <c r="F2004" s="879"/>
      <c r="G2004" s="879"/>
      <c r="H2004" s="879"/>
    </row>
    <row r="2005" spans="1:8" ht="31.5">
      <c r="A2005" s="1"/>
      <c r="B2005" s="68" t="s">
        <v>2966</v>
      </c>
      <c r="C2005" s="68" t="s">
        <v>2967</v>
      </c>
      <c r="D2005" s="68" t="s">
        <v>2968</v>
      </c>
      <c r="E2005" s="68" t="s">
        <v>2969</v>
      </c>
      <c r="F2005" s="68" t="s">
        <v>2970</v>
      </c>
      <c r="G2005" s="68" t="s">
        <v>2971</v>
      </c>
      <c r="H2005" s="68" t="s">
        <v>1487</v>
      </c>
    </row>
    <row r="2006" spans="1:8" ht="17.25">
      <c r="A2006" s="1"/>
      <c r="B2006" s="58" t="s">
        <v>1488</v>
      </c>
      <c r="C2006" s="58" t="s">
        <v>2567</v>
      </c>
      <c r="D2006" s="41">
        <v>0.06</v>
      </c>
      <c r="E2006" s="55" t="s">
        <v>1490</v>
      </c>
      <c r="F2006" s="107" t="e">
        <f>mason</f>
        <v>#REF!</v>
      </c>
      <c r="G2006" s="107" t="e">
        <f>FLOOR(D2006*F2006,0.01)</f>
        <v>#REF!</v>
      </c>
      <c r="H2006" s="107"/>
    </row>
    <row r="2007" spans="1:8" ht="17.25">
      <c r="A2007" s="1"/>
      <c r="B2007" s="62"/>
      <c r="C2007" s="53" t="s">
        <v>1930</v>
      </c>
      <c r="D2007" s="52">
        <v>6.0000000000000001E-3</v>
      </c>
      <c r="E2007" s="53" t="s">
        <v>1490</v>
      </c>
      <c r="F2007" s="63" t="e">
        <f>#REF!</f>
        <v>#REF!</v>
      </c>
      <c r="G2007" s="122" t="e">
        <f>FLOOR(D2007*F2007,0.01)</f>
        <v>#REF!</v>
      </c>
      <c r="H2007" s="122" t="e">
        <f>SUM(G2006:G2007)</f>
        <v>#REF!</v>
      </c>
    </row>
    <row r="2008" spans="1:8" ht="17.25">
      <c r="A2008" s="1"/>
      <c r="B2008" s="880" t="s">
        <v>2055</v>
      </c>
      <c r="C2008" s="195" t="s">
        <v>2633</v>
      </c>
      <c r="D2008" s="41">
        <v>1.05</v>
      </c>
      <c r="E2008" s="55" t="s">
        <v>2807</v>
      </c>
      <c r="F2008" s="152" t="e">
        <f>#REF!</f>
        <v>#REF!</v>
      </c>
      <c r="G2008" s="152" t="e">
        <f>FLOOR(D2008*F2008,0.01)</f>
        <v>#REF!</v>
      </c>
      <c r="H2008" s="196"/>
    </row>
    <row r="2009" spans="1:8" ht="16.5">
      <c r="A2009" s="1"/>
      <c r="B2009" s="881"/>
      <c r="C2009" s="60" t="s">
        <v>379</v>
      </c>
      <c r="D2009" s="42" t="s">
        <v>380</v>
      </c>
      <c r="E2009" s="61" t="s">
        <v>2808</v>
      </c>
      <c r="F2009" s="42" t="s">
        <v>380</v>
      </c>
      <c r="G2009" s="153">
        <v>65</v>
      </c>
      <c r="H2009" s="196"/>
    </row>
    <row r="2010" spans="1:8" ht="16.5">
      <c r="A2010" s="1"/>
      <c r="B2010" s="882"/>
      <c r="C2010" s="197" t="s">
        <v>2010</v>
      </c>
      <c r="D2010" s="43" t="s">
        <v>380</v>
      </c>
      <c r="E2010" s="198" t="s">
        <v>2808</v>
      </c>
      <c r="F2010" s="43" t="s">
        <v>380</v>
      </c>
      <c r="G2010" s="155">
        <v>15</v>
      </c>
      <c r="H2010" s="63" t="e">
        <f>SUM(G2008:G2010)</f>
        <v>#REF!</v>
      </c>
    </row>
    <row r="2011" spans="1:8" ht="17.25">
      <c r="A2011" s="1"/>
      <c r="B2011" s="1"/>
      <c r="C2011" s="1"/>
      <c r="D2011" s="1"/>
      <c r="E2011" s="1"/>
      <c r="F2011" s="40" t="s">
        <v>1491</v>
      </c>
      <c r="G2011" s="40"/>
      <c r="H2011" s="99" t="e">
        <f>SUM(H2010,H2007)</f>
        <v>#REF!</v>
      </c>
    </row>
    <row r="2012" spans="1:8" ht="17.25">
      <c r="A2012" s="1"/>
      <c r="B2012" s="1" t="s">
        <v>1493</v>
      </c>
      <c r="C2012" s="1"/>
      <c r="D2012" s="1"/>
      <c r="E2012" s="1"/>
      <c r="F2012" s="40" t="s">
        <v>1472</v>
      </c>
      <c r="G2012" s="40"/>
      <c r="H2012" s="99" t="e">
        <f>FLOOR(H2011*0.15,0.01)</f>
        <v>#REF!</v>
      </c>
    </row>
    <row r="2013" spans="1:8" ht="17.25">
      <c r="A2013" s="27" t="s">
        <v>3005</v>
      </c>
      <c r="B2013" s="99" t="e">
        <f>+H2013</f>
        <v>#REF!</v>
      </c>
      <c r="C2013" s="1" t="s">
        <v>3006</v>
      </c>
      <c r="D2013" s="143"/>
      <c r="E2013" s="1"/>
      <c r="F2013" s="40" t="s">
        <v>1494</v>
      </c>
      <c r="G2013" s="40"/>
      <c r="H2013" s="99" t="e">
        <f>SUM(H2011:H2012)</f>
        <v>#REF!</v>
      </c>
    </row>
    <row r="2014" spans="1:8" ht="16.5">
      <c r="A2014" s="1"/>
      <c r="B2014" s="88"/>
      <c r="C2014" s="1"/>
      <c r="D2014" s="1"/>
      <c r="E2014" s="1"/>
      <c r="F2014" s="1"/>
      <c r="G2014" s="1"/>
      <c r="H2014" s="19"/>
    </row>
    <row r="2015" spans="1:8" ht="22.5">
      <c r="A2015" s="260">
        <f>A2002+1</f>
        <v>117</v>
      </c>
      <c r="B2015" s="877" t="s">
        <v>2733</v>
      </c>
      <c r="C2015" s="878"/>
      <c r="D2015" s="878"/>
      <c r="E2015" s="878"/>
      <c r="F2015" s="878"/>
      <c r="G2015" s="878"/>
      <c r="H2015" s="878"/>
    </row>
    <row r="2016" spans="1:8" ht="19.5">
      <c r="A2016" s="15" t="s">
        <v>2945</v>
      </c>
      <c r="B2016" s="877" t="s">
        <v>2731</v>
      </c>
      <c r="C2016" s="878"/>
      <c r="D2016" s="878"/>
      <c r="E2016" s="878"/>
      <c r="F2016" s="878"/>
      <c r="G2016" s="878"/>
      <c r="H2016" s="878"/>
    </row>
    <row r="2017" spans="1:8" ht="15">
      <c r="A2017" s="668" t="s">
        <v>3540</v>
      </c>
      <c r="B2017" s="885" t="s">
        <v>1382</v>
      </c>
      <c r="C2017" s="885"/>
      <c r="D2017" s="885"/>
      <c r="E2017" s="885"/>
      <c r="F2017" s="885"/>
      <c r="G2017" s="885"/>
      <c r="H2017" s="885"/>
    </row>
    <row r="2018" spans="1:8" ht="31.5">
      <c r="A2018" s="1"/>
      <c r="B2018" s="68" t="s">
        <v>2966</v>
      </c>
      <c r="C2018" s="68" t="s">
        <v>2967</v>
      </c>
      <c r="D2018" s="68" t="s">
        <v>2968</v>
      </c>
      <c r="E2018" s="68" t="s">
        <v>2969</v>
      </c>
      <c r="F2018" s="68" t="s">
        <v>2970</v>
      </c>
      <c r="G2018" s="68" t="s">
        <v>2971</v>
      </c>
      <c r="H2018" s="68" t="s">
        <v>1487</v>
      </c>
    </row>
    <row r="2019" spans="1:8" ht="17.25">
      <c r="A2019" s="1"/>
      <c r="B2019" s="889" t="s">
        <v>1488</v>
      </c>
      <c r="C2019" s="58" t="s">
        <v>516</v>
      </c>
      <c r="D2019" s="41">
        <v>1.25</v>
      </c>
      <c r="E2019" s="55" t="s">
        <v>1490</v>
      </c>
      <c r="F2019" s="107" t="e">
        <f>#REF!</f>
        <v>#REF!</v>
      </c>
      <c r="G2019" s="107" t="e">
        <f>FLOOR(D2019*F2019,0.01)</f>
        <v>#REF!</v>
      </c>
      <c r="H2019" s="108"/>
    </row>
    <row r="2020" spans="1:8" ht="17.25">
      <c r="A2020" s="1"/>
      <c r="B2020" s="887"/>
      <c r="C2020" s="56" t="s">
        <v>1433</v>
      </c>
      <c r="D2020" s="43">
        <v>2</v>
      </c>
      <c r="E2020" s="56" t="s">
        <v>1490</v>
      </c>
      <c r="F2020" s="63" t="e">
        <f>#REF!</f>
        <v>#REF!</v>
      </c>
      <c r="G2020" s="63" t="e">
        <f>FLOOR(D2020*F2020,0.01)</f>
        <v>#REF!</v>
      </c>
      <c r="H2020" s="121" t="e">
        <f>SUM(G2019+G2020)</f>
        <v>#REF!</v>
      </c>
    </row>
    <row r="2021" spans="1:8" ht="17.25">
      <c r="A2021" s="1"/>
      <c r="B2021" s="886" t="s">
        <v>2055</v>
      </c>
      <c r="C2021" s="53" t="s">
        <v>1304</v>
      </c>
      <c r="D2021" s="42">
        <v>0.13</v>
      </c>
      <c r="E2021" s="53" t="s">
        <v>700</v>
      </c>
      <c r="F2021" s="109" t="e">
        <f>#REF!</f>
        <v>#REF!</v>
      </c>
      <c r="G2021" s="109" t="e">
        <f>FLOOR(D2021*F2021,0.01)</f>
        <v>#REF!</v>
      </c>
      <c r="H2021" s="84"/>
    </row>
    <row r="2022" spans="1:8" ht="17.25">
      <c r="A2022" s="1"/>
      <c r="B2022" s="890"/>
      <c r="C2022" s="53" t="s">
        <v>1305</v>
      </c>
      <c r="D2022" s="42">
        <v>0.18</v>
      </c>
      <c r="E2022" s="53" t="s">
        <v>2232</v>
      </c>
      <c r="F2022" s="109" t="e">
        <f>#REF!</f>
        <v>#REF!</v>
      </c>
      <c r="G2022" s="109" t="e">
        <f>FLOOR(D2022*F2022,0.01)</f>
        <v>#REF!</v>
      </c>
      <c r="H2022" s="86"/>
    </row>
    <row r="2023" spans="1:8" ht="17.25">
      <c r="A2023" s="1"/>
      <c r="B2023" s="887"/>
      <c r="C2023" s="56" t="s">
        <v>1306</v>
      </c>
      <c r="D2023" s="43">
        <v>0.36</v>
      </c>
      <c r="E2023" s="56" t="s">
        <v>2232</v>
      </c>
      <c r="F2023" s="63" t="e">
        <f>#REF!</f>
        <v>#REF!</v>
      </c>
      <c r="G2023" s="63" t="e">
        <f>FLOOR(D2023*F2023,0.01)</f>
        <v>#REF!</v>
      </c>
      <c r="H2023" s="123" t="e">
        <f>SUM(G2021:G2023)</f>
        <v>#REF!</v>
      </c>
    </row>
    <row r="2024" spans="1:8" ht="17.25">
      <c r="A2024" s="1"/>
      <c r="B2024" s="1"/>
      <c r="C2024" s="1"/>
      <c r="D2024" s="1"/>
      <c r="E2024" s="1"/>
      <c r="F2024" s="40" t="s">
        <v>1491</v>
      </c>
      <c r="G2024" s="40"/>
      <c r="H2024" s="63" t="e">
        <f>SUM(H2020:H2023)</f>
        <v>#REF!</v>
      </c>
    </row>
    <row r="2025" spans="1:8" ht="17.25">
      <c r="A2025" s="1"/>
      <c r="B2025" s="1" t="s">
        <v>1493</v>
      </c>
      <c r="C2025" s="1"/>
      <c r="D2025" s="1"/>
      <c r="E2025" s="1"/>
      <c r="F2025" s="40" t="s">
        <v>1472</v>
      </c>
      <c r="G2025" s="40"/>
      <c r="H2025" s="99" t="e">
        <f>FLOOR(H2024*0.15,0.01)</f>
        <v>#REF!</v>
      </c>
    </row>
    <row r="2026" spans="1:8" ht="17.25">
      <c r="B2026" s="140" t="e">
        <f>+H2026</f>
        <v>#REF!</v>
      </c>
      <c r="C2026" s="27" t="s">
        <v>3005</v>
      </c>
      <c r="D2026" s="99" t="e">
        <f>INT(B2026/B2027*100)/100</f>
        <v>#REF!</v>
      </c>
      <c r="E2026" s="1" t="s">
        <v>3006</v>
      </c>
      <c r="F2026" s="40" t="s">
        <v>1494</v>
      </c>
      <c r="G2026" s="40"/>
      <c r="H2026" s="93" t="e">
        <f>SUM(H2024:H2025)</f>
        <v>#REF!</v>
      </c>
    </row>
    <row r="2027" spans="1:8" ht="16.5">
      <c r="A2027" s="1"/>
      <c r="B2027" s="117">
        <v>10</v>
      </c>
      <c r="C2027" s="1"/>
      <c r="D2027" s="1"/>
      <c r="E2027" s="1"/>
      <c r="F2027" s="1"/>
      <c r="G2027" s="1"/>
      <c r="H2027" s="1"/>
    </row>
    <row r="2028" spans="1:8" ht="15">
      <c r="A2028" s="1"/>
      <c r="B2028" s="1"/>
      <c r="C2028" s="1"/>
      <c r="D2028" s="1"/>
      <c r="E2028" s="1"/>
      <c r="F2028" s="1"/>
      <c r="G2028" s="1"/>
      <c r="H2028" s="1"/>
    </row>
    <row r="2029" spans="1:8" ht="15">
      <c r="A2029" s="1"/>
      <c r="B2029" s="1"/>
      <c r="C2029" s="1"/>
      <c r="D2029" s="1"/>
      <c r="E2029" s="1"/>
      <c r="F2029" s="1"/>
      <c r="G2029" s="1"/>
      <c r="H2029" s="1"/>
    </row>
    <row r="2030" spans="1:8" ht="15">
      <c r="A2030" s="1"/>
      <c r="B2030" s="1"/>
      <c r="C2030" s="1"/>
      <c r="D2030" s="1"/>
      <c r="E2030" s="1"/>
      <c r="F2030" s="1"/>
      <c r="G2030" s="1"/>
      <c r="H2030" s="1"/>
    </row>
    <row r="2031" spans="1:8" ht="15">
      <c r="A2031" s="1"/>
      <c r="B2031" s="1"/>
      <c r="C2031" s="1"/>
      <c r="D2031" s="1"/>
      <c r="E2031" s="1"/>
      <c r="F2031" s="1"/>
      <c r="G2031" s="1"/>
      <c r="H2031" s="1"/>
    </row>
    <row r="2032" spans="1:8" ht="20.25">
      <c r="A2032" s="260">
        <f>+A2015+1</f>
        <v>118</v>
      </c>
      <c r="B2032" s="877" t="s">
        <v>2732</v>
      </c>
      <c r="C2032" s="878"/>
      <c r="D2032" s="878"/>
      <c r="E2032" s="878"/>
      <c r="F2032" s="878"/>
      <c r="G2032" s="878"/>
      <c r="H2032" s="878"/>
    </row>
    <row r="2033" spans="1:8" ht="19.5">
      <c r="A2033" s="15" t="s">
        <v>2946</v>
      </c>
      <c r="B2033" s="877" t="s">
        <v>2731</v>
      </c>
      <c r="C2033" s="878"/>
      <c r="D2033" s="878"/>
      <c r="E2033" s="878"/>
      <c r="F2033" s="878"/>
      <c r="G2033" s="878"/>
      <c r="H2033" s="878"/>
    </row>
    <row r="2034" spans="1:8" ht="15">
      <c r="A2034" s="668" t="s">
        <v>3540</v>
      </c>
      <c r="B2034" s="885" t="s">
        <v>1382</v>
      </c>
      <c r="C2034" s="885"/>
      <c r="D2034" s="885"/>
      <c r="E2034" s="885"/>
      <c r="F2034" s="885"/>
      <c r="G2034" s="885"/>
      <c r="H2034" s="885"/>
    </row>
    <row r="2035" spans="1:8" ht="31.5">
      <c r="A2035" s="1"/>
      <c r="B2035" s="68" t="s">
        <v>2966</v>
      </c>
      <c r="C2035" s="68" t="s">
        <v>2967</v>
      </c>
      <c r="D2035" s="68" t="s">
        <v>2968</v>
      </c>
      <c r="E2035" s="68" t="s">
        <v>2969</v>
      </c>
      <c r="F2035" s="68" t="s">
        <v>2970</v>
      </c>
      <c r="G2035" s="68" t="s">
        <v>2971</v>
      </c>
      <c r="H2035" s="68" t="s">
        <v>1487</v>
      </c>
    </row>
    <row r="2036" spans="1:8" ht="17.25">
      <c r="A2036" s="1"/>
      <c r="B2036" s="889" t="s">
        <v>1488</v>
      </c>
      <c r="C2036" s="58" t="s">
        <v>516</v>
      </c>
      <c r="D2036" s="41">
        <v>1.25</v>
      </c>
      <c r="E2036" s="55" t="s">
        <v>1490</v>
      </c>
      <c r="F2036" s="107" t="e">
        <f>#REF!</f>
        <v>#REF!</v>
      </c>
      <c r="G2036" s="107" t="e">
        <f>FLOOR(D2036*F2036,0.01)</f>
        <v>#REF!</v>
      </c>
      <c r="H2036" s="108"/>
    </row>
    <row r="2037" spans="1:8" ht="17.25">
      <c r="A2037" s="1"/>
      <c r="B2037" s="887"/>
      <c r="C2037" s="56" t="s">
        <v>1433</v>
      </c>
      <c r="D2037" s="43">
        <v>2.5</v>
      </c>
      <c r="E2037" s="56" t="s">
        <v>1490</v>
      </c>
      <c r="F2037" s="63" t="e">
        <f>#REF!</f>
        <v>#REF!</v>
      </c>
      <c r="G2037" s="63" t="e">
        <f>FLOOR(D2037*F2037,0.01)</f>
        <v>#REF!</v>
      </c>
      <c r="H2037" s="121" t="e">
        <f>SUM(G2036+G2037)</f>
        <v>#REF!</v>
      </c>
    </row>
    <row r="2038" spans="1:8" ht="17.25">
      <c r="A2038" s="1"/>
      <c r="B2038" s="886" t="s">
        <v>2055</v>
      </c>
      <c r="C2038" s="53" t="s">
        <v>1304</v>
      </c>
      <c r="D2038" s="42">
        <v>0.17</v>
      </c>
      <c r="E2038" s="53" t="s">
        <v>700</v>
      </c>
      <c r="F2038" s="109" t="e">
        <f>#REF!</f>
        <v>#REF!</v>
      </c>
      <c r="G2038" s="109" t="e">
        <f>FLOOR(D2038*F2038,0.01)</f>
        <v>#REF!</v>
      </c>
      <c r="H2038" s="84"/>
    </row>
    <row r="2039" spans="1:8" ht="17.25">
      <c r="A2039" s="1"/>
      <c r="B2039" s="890"/>
      <c r="C2039" s="53" t="s">
        <v>1305</v>
      </c>
      <c r="D2039" s="42">
        <v>0.23</v>
      </c>
      <c r="E2039" s="53" t="s">
        <v>2232</v>
      </c>
      <c r="F2039" s="109" t="e">
        <f>#REF!</f>
        <v>#REF!</v>
      </c>
      <c r="G2039" s="109" t="e">
        <f>FLOOR(D2039*F2039,0.01)</f>
        <v>#REF!</v>
      </c>
      <c r="H2039" s="86"/>
    </row>
    <row r="2040" spans="1:8" ht="17.25">
      <c r="A2040" s="1"/>
      <c r="B2040" s="887"/>
      <c r="C2040" s="135" t="s">
        <v>3572</v>
      </c>
      <c r="D2040" s="43">
        <v>0.46</v>
      </c>
      <c r="E2040" s="56" t="s">
        <v>2232</v>
      </c>
      <c r="F2040" s="63" t="e">
        <f>#REF!</f>
        <v>#REF!</v>
      </c>
      <c r="G2040" s="63" t="e">
        <f>FLOOR(D2040*F2040,0.01)</f>
        <v>#REF!</v>
      </c>
      <c r="H2040" s="123" t="e">
        <f>SUM(G2038:G2040)</f>
        <v>#REF!</v>
      </c>
    </row>
    <row r="2041" spans="1:8" ht="17.25">
      <c r="A2041" s="1"/>
      <c r="B2041" s="1"/>
      <c r="C2041" s="1"/>
      <c r="D2041" s="1"/>
      <c r="E2041" s="1"/>
      <c r="F2041" s="40" t="s">
        <v>1491</v>
      </c>
      <c r="G2041" s="40"/>
      <c r="H2041" s="63" t="e">
        <f>SUM(H2037:H2040)</f>
        <v>#REF!</v>
      </c>
    </row>
    <row r="2042" spans="1:8" ht="17.25">
      <c r="A2042" s="1"/>
      <c r="B2042" s="1" t="s">
        <v>1493</v>
      </c>
      <c r="C2042" s="1"/>
      <c r="D2042" s="1"/>
      <c r="E2042" s="1"/>
      <c r="F2042" s="40" t="s">
        <v>1472</v>
      </c>
      <c r="G2042" s="40"/>
      <c r="H2042" s="99" t="e">
        <f>FLOOR(H2041*0.15,0.01)</f>
        <v>#REF!</v>
      </c>
    </row>
    <row r="2043" spans="1:8" ht="17.25">
      <c r="B2043" s="140" t="e">
        <f>+H2043</f>
        <v>#REF!</v>
      </c>
      <c r="C2043" s="27" t="s">
        <v>3005</v>
      </c>
      <c r="D2043" s="99" t="e">
        <f>INT(B2043/B2044*100)/100</f>
        <v>#REF!</v>
      </c>
      <c r="E2043" s="1" t="s">
        <v>3006</v>
      </c>
      <c r="F2043" s="40" t="s">
        <v>1494</v>
      </c>
      <c r="G2043" s="40"/>
      <c r="H2043" s="99" t="e">
        <f>SUM(H2041:H2042)</f>
        <v>#REF!</v>
      </c>
    </row>
    <row r="2044" spans="1:8" ht="17.25">
      <c r="A2044" s="27"/>
      <c r="B2044" s="117">
        <v>10</v>
      </c>
      <c r="C2044" s="1"/>
      <c r="D2044" s="1"/>
      <c r="E2044" s="1"/>
      <c r="F2044" s="40"/>
      <c r="G2044" s="40"/>
      <c r="H2044" s="88"/>
    </row>
    <row r="2045" spans="1:8" ht="17.25">
      <c r="A2045" s="27"/>
      <c r="B2045" s="117"/>
      <c r="C2045" s="1"/>
      <c r="D2045" s="1"/>
      <c r="E2045" s="1"/>
      <c r="F2045" s="40"/>
      <c r="G2045" s="40"/>
      <c r="H2045" s="88"/>
    </row>
    <row r="2046" spans="1:8" ht="17.25">
      <c r="A2046" s="27"/>
      <c r="B2046" s="117"/>
      <c r="C2046" s="1"/>
      <c r="D2046" s="1"/>
      <c r="E2046" s="1"/>
      <c r="F2046" s="40"/>
      <c r="G2046" s="40"/>
      <c r="H2046" s="88"/>
    </row>
    <row r="2047" spans="1:8" ht="17.25">
      <c r="A2047" s="27"/>
      <c r="B2047" s="117"/>
      <c r="C2047" s="1"/>
      <c r="D2047" s="1"/>
      <c r="E2047" s="1"/>
      <c r="F2047" s="40"/>
      <c r="G2047" s="40"/>
      <c r="H2047" s="88"/>
    </row>
    <row r="2048" spans="1:8" ht="17.25">
      <c r="A2048" s="27"/>
      <c r="B2048" s="117"/>
      <c r="C2048" s="1"/>
      <c r="D2048" s="1"/>
      <c r="E2048" s="1"/>
      <c r="F2048" s="40"/>
      <c r="G2048" s="40"/>
      <c r="H2048" s="88"/>
    </row>
    <row r="2049" spans="1:8" ht="20.25">
      <c r="A2049" s="260">
        <f>+A2032+1</f>
        <v>119</v>
      </c>
      <c r="B2049" s="877" t="s">
        <v>2735</v>
      </c>
      <c r="C2049" s="878"/>
      <c r="D2049" s="878"/>
      <c r="E2049" s="878"/>
      <c r="F2049" s="878"/>
      <c r="G2049" s="878"/>
      <c r="H2049" s="878"/>
    </row>
    <row r="2050" spans="1:8" ht="19.5">
      <c r="A2050" s="15" t="s">
        <v>2734</v>
      </c>
      <c r="B2050" s="877" t="s">
        <v>2731</v>
      </c>
      <c r="C2050" s="878"/>
      <c r="D2050" s="878"/>
      <c r="E2050" s="878"/>
      <c r="F2050" s="878"/>
      <c r="G2050" s="878"/>
      <c r="H2050" s="878"/>
    </row>
    <row r="2051" spans="1:8" ht="15">
      <c r="A2051" s="668" t="s">
        <v>3540</v>
      </c>
      <c r="B2051" s="885" t="s">
        <v>1382</v>
      </c>
      <c r="C2051" s="885"/>
      <c r="D2051" s="885"/>
      <c r="E2051" s="885"/>
      <c r="F2051" s="885"/>
      <c r="G2051" s="885"/>
      <c r="H2051" s="885"/>
    </row>
    <row r="2052" spans="1:8" ht="31.5">
      <c r="A2052" s="1"/>
      <c r="B2052" s="68" t="s">
        <v>2966</v>
      </c>
      <c r="C2052" s="68" t="s">
        <v>2967</v>
      </c>
      <c r="D2052" s="68" t="s">
        <v>2968</v>
      </c>
      <c r="E2052" s="68" t="s">
        <v>2969</v>
      </c>
      <c r="F2052" s="68" t="s">
        <v>2970</v>
      </c>
      <c r="G2052" s="68" t="s">
        <v>2971</v>
      </c>
      <c r="H2052" s="68" t="s">
        <v>1487</v>
      </c>
    </row>
    <row r="2053" spans="1:8" ht="17.25">
      <c r="A2053" s="1"/>
      <c r="B2053" s="889" t="s">
        <v>1488</v>
      </c>
      <c r="C2053" s="58" t="s">
        <v>516</v>
      </c>
      <c r="D2053" s="41">
        <v>1.25</v>
      </c>
      <c r="E2053" s="55" t="s">
        <v>1490</v>
      </c>
      <c r="F2053" s="107" t="e">
        <f>#REF!</f>
        <v>#REF!</v>
      </c>
      <c r="G2053" s="107" t="e">
        <f>FLOOR(D2053*F2053,0.01)</f>
        <v>#REF!</v>
      </c>
      <c r="H2053" s="108"/>
    </row>
    <row r="2054" spans="1:8" ht="17.25">
      <c r="A2054" s="1"/>
      <c r="B2054" s="887"/>
      <c r="C2054" s="56" t="s">
        <v>1433</v>
      </c>
      <c r="D2054" s="43">
        <v>3</v>
      </c>
      <c r="E2054" s="56" t="s">
        <v>1490</v>
      </c>
      <c r="F2054" s="63" t="e">
        <f>#REF!</f>
        <v>#REF!</v>
      </c>
      <c r="G2054" s="63" t="e">
        <f>FLOOR(D2054*F2054,0.01)</f>
        <v>#REF!</v>
      </c>
      <c r="H2054" s="121" t="e">
        <f>SUM(G2053+G2054)</f>
        <v>#REF!</v>
      </c>
    </row>
    <row r="2055" spans="1:8" ht="17.25">
      <c r="A2055" s="1"/>
      <c r="B2055" s="886" t="s">
        <v>2055</v>
      </c>
      <c r="C2055" s="53" t="s">
        <v>1304</v>
      </c>
      <c r="D2055" s="42">
        <v>0.26</v>
      </c>
      <c r="E2055" s="53" t="s">
        <v>700</v>
      </c>
      <c r="F2055" s="109" t="e">
        <f>#REF!</f>
        <v>#REF!</v>
      </c>
      <c r="G2055" s="109" t="e">
        <f>FLOOR(D2055*F2055,0.01)</f>
        <v>#REF!</v>
      </c>
      <c r="H2055" s="84"/>
    </row>
    <row r="2056" spans="1:8" ht="17.25">
      <c r="A2056" s="1"/>
      <c r="B2056" s="890"/>
      <c r="C2056" s="53" t="s">
        <v>1305</v>
      </c>
      <c r="D2056" s="42">
        <v>0.34</v>
      </c>
      <c r="E2056" s="53" t="s">
        <v>2232</v>
      </c>
      <c r="F2056" s="109" t="e">
        <f>#REF!</f>
        <v>#REF!</v>
      </c>
      <c r="G2056" s="109" t="e">
        <f>FLOOR(D2056*F2056,0.01)</f>
        <v>#REF!</v>
      </c>
      <c r="H2056" s="86"/>
    </row>
    <row r="2057" spans="1:8" ht="17.25">
      <c r="A2057" s="1"/>
      <c r="B2057" s="887"/>
      <c r="C2057" s="135" t="s">
        <v>3572</v>
      </c>
      <c r="D2057" s="43">
        <v>0.68</v>
      </c>
      <c r="E2057" s="56" t="s">
        <v>2232</v>
      </c>
      <c r="F2057" s="63" t="e">
        <f>#REF!</f>
        <v>#REF!</v>
      </c>
      <c r="G2057" s="63" t="e">
        <f>FLOOR(D2057*F2057,0.01)</f>
        <v>#REF!</v>
      </c>
      <c r="H2057" s="123" t="e">
        <f>SUM(G2055:G2057)</f>
        <v>#REF!</v>
      </c>
    </row>
    <row r="2058" spans="1:8" ht="17.25">
      <c r="A2058" s="1"/>
      <c r="B2058" s="1"/>
      <c r="C2058" s="1"/>
      <c r="D2058" s="1"/>
      <c r="E2058" s="1"/>
      <c r="F2058" s="40" t="s">
        <v>1491</v>
      </c>
      <c r="G2058" s="40"/>
      <c r="H2058" s="43" t="e">
        <f>SUM(H2054:H2057)</f>
        <v>#REF!</v>
      </c>
    </row>
    <row r="2059" spans="1:8" ht="17.25">
      <c r="A2059" s="1"/>
      <c r="B2059" s="1" t="s">
        <v>1493</v>
      </c>
      <c r="C2059" s="1"/>
      <c r="D2059" s="1"/>
      <c r="E2059" s="1"/>
      <c r="F2059" s="40" t="s">
        <v>1472</v>
      </c>
      <c r="G2059" s="40"/>
      <c r="H2059" s="99" t="e">
        <f>FLOOR(H2058*0.15,0.01)</f>
        <v>#REF!</v>
      </c>
    </row>
    <row r="2060" spans="1:8" ht="17.25">
      <c r="B2060" s="140" t="e">
        <f>+H2060</f>
        <v>#REF!</v>
      </c>
      <c r="C2060" s="27" t="s">
        <v>3005</v>
      </c>
      <c r="D2060" s="99" t="e">
        <f>INT(B2060/B2061*100)/100</f>
        <v>#REF!</v>
      </c>
      <c r="E2060" s="1" t="s">
        <v>3006</v>
      </c>
      <c r="F2060" s="40" t="s">
        <v>1494</v>
      </c>
      <c r="G2060" s="40"/>
      <c r="H2060" s="69" t="e">
        <f>SUM(H2058:H2059)</f>
        <v>#REF!</v>
      </c>
    </row>
    <row r="2061" spans="1:8" ht="17.25">
      <c r="A2061" s="27"/>
      <c r="B2061" s="117">
        <v>10</v>
      </c>
      <c r="C2061" s="1"/>
      <c r="D2061" s="1"/>
      <c r="E2061" s="1"/>
      <c r="F2061" s="40"/>
      <c r="G2061" s="40"/>
      <c r="H2061" s="88"/>
    </row>
    <row r="2062" spans="1:8" ht="17.25">
      <c r="A2062" s="27"/>
      <c r="B2062" s="117"/>
      <c r="C2062" s="1"/>
      <c r="D2062" s="1"/>
      <c r="E2062" s="1"/>
      <c r="F2062" s="40"/>
      <c r="G2062" s="40"/>
      <c r="H2062" s="88"/>
    </row>
    <row r="2063" spans="1:8" ht="17.25">
      <c r="A2063" s="27"/>
      <c r="B2063" s="117"/>
      <c r="C2063" s="1"/>
      <c r="D2063" s="1"/>
      <c r="E2063" s="1"/>
      <c r="F2063" s="40"/>
      <c r="G2063" s="40"/>
      <c r="H2063" s="88"/>
    </row>
    <row r="2064" spans="1:8" ht="19.5">
      <c r="A2064" s="31"/>
      <c r="B2064" s="909" t="s">
        <v>1633</v>
      </c>
      <c r="C2064" s="909"/>
      <c r="D2064" s="909"/>
      <c r="E2064" s="909"/>
      <c r="F2064" s="909"/>
      <c r="G2064" s="909"/>
      <c r="H2064" s="909"/>
    </row>
    <row r="2065" spans="1:8" ht="20.25">
      <c r="A2065" s="260">
        <f>+A2049+1</f>
        <v>120</v>
      </c>
      <c r="B2065" s="877" t="s">
        <v>1634</v>
      </c>
      <c r="C2065" s="878"/>
      <c r="D2065" s="878"/>
      <c r="E2065" s="878"/>
      <c r="F2065" s="878"/>
      <c r="G2065" s="878"/>
      <c r="H2065" s="878"/>
    </row>
    <row r="2066" spans="1:8" ht="19.5">
      <c r="A2066" s="15" t="s">
        <v>2736</v>
      </c>
      <c r="B2066" s="877" t="s">
        <v>1635</v>
      </c>
      <c r="C2066" s="878"/>
      <c r="D2066" s="878"/>
      <c r="E2066" s="878"/>
      <c r="F2066" s="878"/>
      <c r="G2066" s="878"/>
      <c r="H2066" s="878"/>
    </row>
    <row r="2067" spans="1:8" ht="15">
      <c r="A2067" s="668" t="s">
        <v>3541</v>
      </c>
      <c r="B2067" s="879" t="s">
        <v>1382</v>
      </c>
      <c r="C2067" s="879"/>
      <c r="D2067" s="879"/>
      <c r="E2067" s="879"/>
      <c r="F2067" s="879"/>
      <c r="G2067" s="879"/>
      <c r="H2067" s="879"/>
    </row>
    <row r="2068" spans="1:8" ht="15">
      <c r="A2068" s="1"/>
      <c r="B2068" s="885" t="s">
        <v>12</v>
      </c>
      <c r="C2068" s="885"/>
      <c r="D2068" s="885"/>
      <c r="E2068" s="885"/>
      <c r="F2068" s="885"/>
      <c r="G2068" s="885"/>
      <c r="H2068" s="885"/>
    </row>
    <row r="2069" spans="1:8" ht="31.5">
      <c r="A2069" s="1"/>
      <c r="B2069" s="68" t="s">
        <v>2966</v>
      </c>
      <c r="C2069" s="68" t="s">
        <v>2967</v>
      </c>
      <c r="D2069" s="68" t="s">
        <v>2968</v>
      </c>
      <c r="E2069" s="68" t="s">
        <v>2969</v>
      </c>
      <c r="F2069" s="68" t="s">
        <v>2970</v>
      </c>
      <c r="G2069" s="68" t="s">
        <v>2971</v>
      </c>
      <c r="H2069" s="68" t="s">
        <v>1487</v>
      </c>
    </row>
    <row r="2070" spans="1:8" ht="17.25">
      <c r="A2070" s="1"/>
      <c r="B2070" s="886" t="s">
        <v>1488</v>
      </c>
      <c r="C2070" s="58" t="s">
        <v>516</v>
      </c>
      <c r="D2070" s="41">
        <v>2.5</v>
      </c>
      <c r="E2070" s="55" t="s">
        <v>1490</v>
      </c>
      <c r="F2070" s="107" t="e">
        <f>#REF!</f>
        <v>#REF!</v>
      </c>
      <c r="G2070" s="107" t="e">
        <f t="shared" ref="G2070:G2076" si="60">FLOOR(D2070*F2070,0.01)</f>
        <v>#REF!</v>
      </c>
      <c r="H2070" s="108"/>
    </row>
    <row r="2071" spans="1:8" ht="17.25">
      <c r="A2071" s="1"/>
      <c r="B2071" s="887"/>
      <c r="C2071" s="56" t="s">
        <v>1433</v>
      </c>
      <c r="D2071" s="43">
        <v>16</v>
      </c>
      <c r="E2071" s="56" t="s">
        <v>1490</v>
      </c>
      <c r="F2071" s="63" t="e">
        <f>#REF!</f>
        <v>#REF!</v>
      </c>
      <c r="G2071" s="63" t="e">
        <f t="shared" si="60"/>
        <v>#REF!</v>
      </c>
      <c r="H2071" s="121" t="e">
        <f>SUM(G2070+G2071)</f>
        <v>#REF!</v>
      </c>
    </row>
    <row r="2072" spans="1:8" ht="17.25">
      <c r="A2072" s="1"/>
      <c r="B2072" s="886" t="s">
        <v>2055</v>
      </c>
      <c r="C2072" s="53" t="s">
        <v>1304</v>
      </c>
      <c r="D2072" s="52">
        <v>6.5000000000000002E-2</v>
      </c>
      <c r="E2072" s="53" t="s">
        <v>700</v>
      </c>
      <c r="F2072" s="109" t="e">
        <f>#REF!</f>
        <v>#REF!</v>
      </c>
      <c r="G2072" s="109" t="e">
        <f t="shared" si="60"/>
        <v>#REF!</v>
      </c>
      <c r="H2072" s="84"/>
    </row>
    <row r="2073" spans="1:8" ht="17.25">
      <c r="A2073" s="1"/>
      <c r="B2073" s="890"/>
      <c r="C2073" s="53" t="s">
        <v>697</v>
      </c>
      <c r="D2073" s="52">
        <v>8.7999999999999995E-2</v>
      </c>
      <c r="E2073" s="53" t="s">
        <v>2232</v>
      </c>
      <c r="F2073" s="109" t="e">
        <f>#REF!</f>
        <v>#REF!</v>
      </c>
      <c r="G2073" s="109" t="e">
        <f t="shared" si="60"/>
        <v>#REF!</v>
      </c>
      <c r="H2073" s="86"/>
    </row>
    <row r="2074" spans="1:8" ht="17.25">
      <c r="A2074" s="1"/>
      <c r="B2074" s="890"/>
      <c r="C2074" s="53" t="s">
        <v>1636</v>
      </c>
      <c r="D2074" s="52">
        <v>0.17599999999999999</v>
      </c>
      <c r="E2074" s="53" t="s">
        <v>2232</v>
      </c>
      <c r="F2074" s="109" t="e">
        <f>#REF!</f>
        <v>#REF!</v>
      </c>
      <c r="G2074" s="109" t="e">
        <f t="shared" si="60"/>
        <v>#REF!</v>
      </c>
      <c r="H2074" s="121"/>
    </row>
    <row r="2075" spans="1:8" ht="17.25">
      <c r="A2075" s="1"/>
      <c r="B2075" s="890"/>
      <c r="C2075" s="53" t="s">
        <v>2011</v>
      </c>
      <c r="D2075" s="52">
        <v>6.0999999999999999E-2</v>
      </c>
      <c r="E2075" s="53" t="s">
        <v>700</v>
      </c>
      <c r="F2075" s="109" t="e">
        <f>#REF!</f>
        <v>#REF!</v>
      </c>
      <c r="G2075" s="109" t="e">
        <f t="shared" si="60"/>
        <v>#REF!</v>
      </c>
      <c r="H2075" s="86"/>
    </row>
    <row r="2076" spans="1:8" ht="17.25">
      <c r="A2076" s="1"/>
      <c r="B2076" s="890"/>
      <c r="C2076" s="53" t="s">
        <v>2326</v>
      </c>
      <c r="D2076" s="52">
        <v>6.0999999999999999E-2</v>
      </c>
      <c r="E2076" s="53" t="s">
        <v>2232</v>
      </c>
      <c r="F2076" s="109" t="e">
        <f>Marble</f>
        <v>#REF!</v>
      </c>
      <c r="G2076" s="109" t="e">
        <f t="shared" si="60"/>
        <v>#REF!</v>
      </c>
      <c r="H2076" s="86"/>
    </row>
    <row r="2077" spans="1:8" ht="17.25">
      <c r="A2077" s="1"/>
      <c r="B2077" s="890"/>
      <c r="C2077" s="53" t="s">
        <v>3612</v>
      </c>
      <c r="D2077" s="42"/>
      <c r="E2077" s="54"/>
      <c r="F2077" s="42"/>
      <c r="G2077" s="109"/>
      <c r="H2077" s="86"/>
    </row>
    <row r="2078" spans="1:8" ht="17.25">
      <c r="A2078" s="1"/>
      <c r="B2078" s="890"/>
      <c r="C2078" s="53" t="s">
        <v>3611</v>
      </c>
      <c r="D2078" s="52">
        <v>0.36499999999999999</v>
      </c>
      <c r="E2078" s="53" t="s">
        <v>2748</v>
      </c>
      <c r="F2078" s="42" t="e">
        <f>#REF!</f>
        <v>#REF!</v>
      </c>
      <c r="G2078" s="109" t="e">
        <f>FLOOR(D2078*F2078,0.01)</f>
        <v>#REF!</v>
      </c>
      <c r="H2078" s="86"/>
    </row>
    <row r="2079" spans="1:8" ht="17.25">
      <c r="A2079" s="1"/>
      <c r="B2079" s="890"/>
      <c r="C2079" s="53" t="s">
        <v>2013</v>
      </c>
      <c r="D2079" s="52">
        <v>0.11799999999999999</v>
      </c>
      <c r="E2079" s="53" t="s">
        <v>2748</v>
      </c>
      <c r="F2079" s="42" t="e">
        <f>#REF!</f>
        <v>#REF!</v>
      </c>
      <c r="G2079" s="109" t="e">
        <f>FLOOR(D2079*F2079,0.01)</f>
        <v>#REF!</v>
      </c>
      <c r="H2079" s="86"/>
    </row>
    <row r="2080" spans="1:8" ht="17.25">
      <c r="A2080" s="1"/>
      <c r="B2080" s="890"/>
      <c r="C2080" s="53" t="s">
        <v>2014</v>
      </c>
      <c r="D2080" s="52">
        <v>0.53800000000000003</v>
      </c>
      <c r="E2080" s="53" t="s">
        <v>2517</v>
      </c>
      <c r="F2080" s="42" t="e">
        <f>#REF!</f>
        <v>#REF!</v>
      </c>
      <c r="G2080" s="109" t="e">
        <f>FLOOR(D2080*F2080,0.01)</f>
        <v>#REF!</v>
      </c>
      <c r="H2080" s="86"/>
    </row>
    <row r="2081" spans="1:8" ht="17.25">
      <c r="A2081" s="1"/>
      <c r="B2081" s="887"/>
      <c r="C2081" s="56" t="s">
        <v>2516</v>
      </c>
      <c r="D2081" s="63" t="s">
        <v>2808</v>
      </c>
      <c r="E2081" s="56" t="s">
        <v>2810</v>
      </c>
      <c r="F2081" s="43"/>
      <c r="G2081" s="43">
        <v>120</v>
      </c>
      <c r="H2081" s="87" t="e">
        <f>SUM(G2072:G2081)</f>
        <v>#REF!</v>
      </c>
    </row>
    <row r="2082" spans="1:8" ht="17.25">
      <c r="A2082" s="1"/>
      <c r="B2082" s="1"/>
      <c r="C2082" s="1"/>
      <c r="D2082" s="1"/>
      <c r="E2082" s="1"/>
      <c r="F2082" s="40" t="s">
        <v>1491</v>
      </c>
      <c r="G2082" s="40"/>
      <c r="H2082" s="43" t="e">
        <f>SUM(H2071:H2081)</f>
        <v>#REF!</v>
      </c>
    </row>
    <row r="2083" spans="1:8" ht="17.25">
      <c r="A2083" s="1"/>
      <c r="B2083" s="1" t="s">
        <v>1493</v>
      </c>
      <c r="C2083" s="1"/>
      <c r="D2083" s="1"/>
      <c r="E2083" s="1"/>
      <c r="F2083" s="40" t="s">
        <v>1472</v>
      </c>
      <c r="G2083" s="40"/>
      <c r="H2083" s="99" t="e">
        <f>FLOOR(H2082*0.15,0.01)</f>
        <v>#REF!</v>
      </c>
    </row>
    <row r="2084" spans="1:8" ht="17.25">
      <c r="B2084" s="140" t="e">
        <f>+H2084</f>
        <v>#REF!</v>
      </c>
      <c r="C2084" s="27" t="s">
        <v>3005</v>
      </c>
      <c r="D2084" s="99" t="e">
        <f>INT(B2084/B2085*100)/100</f>
        <v>#REF!</v>
      </c>
      <c r="E2084" s="1" t="s">
        <v>3006</v>
      </c>
      <c r="F2084" s="40" t="s">
        <v>1494</v>
      </c>
      <c r="G2084" s="40"/>
      <c r="H2084" s="69" t="e">
        <f>SUM(H2082:H2083)</f>
        <v>#REF!</v>
      </c>
    </row>
    <row r="2085" spans="1:8" ht="16.5">
      <c r="A2085" s="27"/>
      <c r="B2085" s="117">
        <v>10</v>
      </c>
      <c r="C2085" s="1"/>
      <c r="D2085" s="1"/>
      <c r="E2085" s="1"/>
      <c r="F2085" s="1"/>
      <c r="G2085" s="1"/>
      <c r="H2085" s="19"/>
    </row>
    <row r="2086" spans="1:8" ht="16.5">
      <c r="A2086" s="27"/>
      <c r="B2086" s="117"/>
      <c r="C2086" s="1"/>
      <c r="D2086" s="1"/>
      <c r="E2086" s="1"/>
      <c r="F2086" s="1"/>
      <c r="G2086" s="1"/>
      <c r="H2086" s="19"/>
    </row>
    <row r="2087" spans="1:8" ht="16.5">
      <c r="A2087" s="27"/>
      <c r="B2087" s="117"/>
      <c r="C2087" s="1"/>
      <c r="D2087" s="1"/>
      <c r="E2087" s="1"/>
      <c r="F2087" s="1"/>
      <c r="G2087" s="1"/>
      <c r="H2087" s="19"/>
    </row>
    <row r="2088" spans="1:8" ht="16.5">
      <c r="A2088" s="27"/>
      <c r="B2088" s="117"/>
      <c r="C2088" s="1"/>
      <c r="D2088" s="1"/>
      <c r="E2088" s="1"/>
      <c r="F2088" s="1"/>
      <c r="G2088" s="1"/>
      <c r="H2088" s="19"/>
    </row>
    <row r="2089" spans="1:8" ht="16.5">
      <c r="A2089" s="27"/>
      <c r="B2089" s="117"/>
      <c r="C2089" s="1"/>
      <c r="D2089" s="1"/>
      <c r="E2089" s="1"/>
      <c r="F2089" s="1"/>
      <c r="G2089" s="1"/>
      <c r="H2089" s="19"/>
    </row>
    <row r="2090" spans="1:8" ht="16.5">
      <c r="A2090" s="27"/>
      <c r="B2090" s="117"/>
      <c r="C2090" s="1"/>
      <c r="D2090" s="1"/>
      <c r="E2090" s="1"/>
      <c r="F2090" s="1"/>
      <c r="G2090" s="1"/>
      <c r="H2090" s="19"/>
    </row>
    <row r="2091" spans="1:8" ht="16.5">
      <c r="A2091" s="27"/>
      <c r="B2091" s="117"/>
      <c r="C2091" s="1"/>
      <c r="D2091" s="1"/>
      <c r="E2091" s="1"/>
      <c r="F2091" s="1"/>
      <c r="G2091" s="1"/>
      <c r="H2091" s="19"/>
    </row>
    <row r="2092" spans="1:8" ht="19.5">
      <c r="A2092" s="31"/>
      <c r="B2092" s="909" t="s">
        <v>2568</v>
      </c>
      <c r="C2092" s="909"/>
      <c r="D2092" s="909"/>
      <c r="E2092" s="909"/>
      <c r="F2092" s="909"/>
      <c r="G2092" s="909"/>
      <c r="H2092" s="909"/>
    </row>
    <row r="2093" spans="1:8" ht="20.25">
      <c r="A2093" s="260">
        <f>+A2065+1</f>
        <v>121</v>
      </c>
      <c r="B2093" s="877" t="s">
        <v>2569</v>
      </c>
      <c r="C2093" s="878"/>
      <c r="D2093" s="878"/>
      <c r="E2093" s="878"/>
      <c r="F2093" s="878"/>
      <c r="G2093" s="878"/>
      <c r="H2093" s="878"/>
    </row>
    <row r="2094" spans="1:8" ht="19.5">
      <c r="A2094" s="15" t="s">
        <v>985</v>
      </c>
      <c r="B2094" s="877" t="s">
        <v>2570</v>
      </c>
      <c r="C2094" s="878"/>
      <c r="D2094" s="878"/>
      <c r="E2094" s="878"/>
      <c r="F2094" s="878"/>
      <c r="G2094" s="878"/>
      <c r="H2094" s="878"/>
    </row>
    <row r="2095" spans="1:8" ht="15">
      <c r="A2095" s="668" t="s">
        <v>3542</v>
      </c>
      <c r="B2095" s="879" t="s">
        <v>1382</v>
      </c>
      <c r="C2095" s="879"/>
      <c r="D2095" s="879"/>
      <c r="E2095" s="879"/>
      <c r="F2095" s="879"/>
      <c r="G2095" s="879"/>
      <c r="H2095" s="879"/>
    </row>
    <row r="2096" spans="1:8" ht="31.5">
      <c r="A2096" s="1"/>
      <c r="B2096" s="68" t="s">
        <v>2966</v>
      </c>
      <c r="C2096" s="68" t="s">
        <v>2967</v>
      </c>
      <c r="D2096" s="68" t="s">
        <v>2968</v>
      </c>
      <c r="E2096" s="68" t="s">
        <v>2969</v>
      </c>
      <c r="F2096" s="68" t="s">
        <v>2970</v>
      </c>
      <c r="G2096" s="68" t="s">
        <v>2971</v>
      </c>
      <c r="H2096" s="68" t="s">
        <v>1487</v>
      </c>
    </row>
    <row r="2097" spans="1:8" ht="16.5">
      <c r="A2097" s="1"/>
      <c r="B2097" s="889" t="s">
        <v>1488</v>
      </c>
      <c r="C2097" s="58" t="s">
        <v>516</v>
      </c>
      <c r="D2097" s="41">
        <v>3.5</v>
      </c>
      <c r="E2097" s="58" t="s">
        <v>1490</v>
      </c>
      <c r="F2097" s="107" t="e">
        <f>#REF!</f>
        <v>#REF!</v>
      </c>
      <c r="G2097" s="107" t="e">
        <f t="shared" ref="G2097:G2105" si="61">FLOOR(D2097*F2097,0.01)</f>
        <v>#REF!</v>
      </c>
      <c r="H2097" s="108"/>
    </row>
    <row r="2098" spans="1:8" ht="17.25">
      <c r="A2098" s="1"/>
      <c r="B2098" s="887"/>
      <c r="C2098" s="56" t="s">
        <v>1433</v>
      </c>
      <c r="D2098" s="43">
        <v>36</v>
      </c>
      <c r="E2098" s="56" t="s">
        <v>1490</v>
      </c>
      <c r="F2098" s="63" t="e">
        <f>#REF!</f>
        <v>#REF!</v>
      </c>
      <c r="G2098" s="63" t="e">
        <f t="shared" si="61"/>
        <v>#REF!</v>
      </c>
      <c r="H2098" s="121" t="e">
        <f>SUM(G2097+G2098)</f>
        <v>#REF!</v>
      </c>
    </row>
    <row r="2099" spans="1:8" ht="17.25">
      <c r="A2099" s="1"/>
      <c r="B2099" s="886" t="s">
        <v>2055</v>
      </c>
      <c r="C2099" s="53" t="s">
        <v>1304</v>
      </c>
      <c r="D2099" s="52">
        <v>0.121</v>
      </c>
      <c r="E2099" s="53" t="s">
        <v>700</v>
      </c>
      <c r="F2099" s="109" t="e">
        <f>#REF!</f>
        <v>#REF!</v>
      </c>
      <c r="G2099" s="109" t="e">
        <f t="shared" si="61"/>
        <v>#REF!</v>
      </c>
      <c r="H2099" s="84"/>
    </row>
    <row r="2100" spans="1:8" ht="17.25">
      <c r="A2100" s="1"/>
      <c r="B2100" s="890"/>
      <c r="C2100" s="53" t="s">
        <v>697</v>
      </c>
      <c r="D2100" s="52">
        <v>0.16500000000000001</v>
      </c>
      <c r="E2100" s="53" t="s">
        <v>2232</v>
      </c>
      <c r="F2100" s="109" t="e">
        <f>#REF!</f>
        <v>#REF!</v>
      </c>
      <c r="G2100" s="109" t="e">
        <f t="shared" si="61"/>
        <v>#REF!</v>
      </c>
      <c r="H2100" s="86"/>
    </row>
    <row r="2101" spans="1:8" ht="17.25">
      <c r="A2101" s="1"/>
      <c r="B2101" s="890"/>
      <c r="C2101" s="53" t="s">
        <v>2011</v>
      </c>
      <c r="D2101" s="52">
        <v>6.9000000000000006E-2</v>
      </c>
      <c r="E2101" s="53" t="s">
        <v>700</v>
      </c>
      <c r="F2101" s="109" t="e">
        <f>#REF!</f>
        <v>#REF!</v>
      </c>
      <c r="G2101" s="109" t="e">
        <f t="shared" si="61"/>
        <v>#REF!</v>
      </c>
      <c r="H2101" s="86"/>
    </row>
    <row r="2102" spans="1:8" ht="17.25">
      <c r="A2102" s="1"/>
      <c r="B2102" s="890"/>
      <c r="C2102" s="53" t="s">
        <v>2326</v>
      </c>
      <c r="D2102" s="52">
        <v>4.7E-2</v>
      </c>
      <c r="E2102" s="53" t="s">
        <v>2232</v>
      </c>
      <c r="F2102" s="109" t="e">
        <f>Marble</f>
        <v>#REF!</v>
      </c>
      <c r="G2102" s="109" t="e">
        <f t="shared" si="61"/>
        <v>#REF!</v>
      </c>
      <c r="H2102" s="86"/>
    </row>
    <row r="2103" spans="1:8" ht="17.25">
      <c r="A2103" s="1"/>
      <c r="B2103" s="890"/>
      <c r="C2103" s="54" t="s">
        <v>2012</v>
      </c>
      <c r="D2103" s="42">
        <v>0.34</v>
      </c>
      <c r="E2103" s="54" t="s">
        <v>2748</v>
      </c>
      <c r="F2103" s="42" t="e">
        <f>#REF!</f>
        <v>#REF!</v>
      </c>
      <c r="G2103" s="109" t="e">
        <f t="shared" si="61"/>
        <v>#REF!</v>
      </c>
      <c r="H2103" s="86"/>
    </row>
    <row r="2104" spans="1:8" ht="17.25">
      <c r="A2104" s="1"/>
      <c r="B2104" s="890"/>
      <c r="C2104" s="53" t="s">
        <v>2013</v>
      </c>
      <c r="D2104" s="42">
        <v>0.11</v>
      </c>
      <c r="E2104" s="53" t="s">
        <v>2748</v>
      </c>
      <c r="F2104" s="42" t="e">
        <f>#REF!</f>
        <v>#REF!</v>
      </c>
      <c r="G2104" s="109" t="e">
        <f t="shared" si="61"/>
        <v>#REF!</v>
      </c>
      <c r="H2104" s="86"/>
    </row>
    <row r="2105" spans="1:8" ht="17.25">
      <c r="A2105" s="1"/>
      <c r="B2105" s="890"/>
      <c r="C2105" s="53" t="s">
        <v>2014</v>
      </c>
      <c r="D2105" s="42">
        <v>0.5</v>
      </c>
      <c r="E2105" s="53" t="s">
        <v>2517</v>
      </c>
      <c r="F2105" s="42" t="e">
        <f>#REF!</f>
        <v>#REF!</v>
      </c>
      <c r="G2105" s="109" t="e">
        <f t="shared" si="61"/>
        <v>#REF!</v>
      </c>
      <c r="H2105" s="86"/>
    </row>
    <row r="2106" spans="1:8" ht="17.25">
      <c r="A2106" s="1"/>
      <c r="B2106" s="887"/>
      <c r="C2106" s="56" t="s">
        <v>2516</v>
      </c>
      <c r="D2106" s="63" t="s">
        <v>2808</v>
      </c>
      <c r="E2106" s="56" t="s">
        <v>2810</v>
      </c>
      <c r="F2106" s="63"/>
      <c r="G2106" s="63">
        <v>120</v>
      </c>
      <c r="H2106" s="123" t="e">
        <f>SUM(G2099:G2106)</f>
        <v>#REF!</v>
      </c>
    </row>
    <row r="2107" spans="1:8" ht="17.25">
      <c r="A2107" s="1"/>
      <c r="B2107" s="1"/>
      <c r="C2107" s="1"/>
      <c r="D2107" s="1"/>
      <c r="E2107" s="1"/>
      <c r="F2107" s="40" t="s">
        <v>1491</v>
      </c>
      <c r="G2107" s="113"/>
      <c r="H2107" s="63" t="e">
        <f>SUM(H2098:H2106)</f>
        <v>#REF!</v>
      </c>
    </row>
    <row r="2108" spans="1:8" ht="17.25">
      <c r="A2108" s="1"/>
      <c r="B2108" s="1" t="s">
        <v>1493</v>
      </c>
      <c r="C2108" s="1"/>
      <c r="D2108" s="1"/>
      <c r="E2108" s="1"/>
      <c r="F2108" s="40" t="s">
        <v>1472</v>
      </c>
      <c r="G2108" s="113"/>
      <c r="H2108" s="99" t="e">
        <f>FLOOR(H2107*0.15,0.01)</f>
        <v>#REF!</v>
      </c>
    </row>
    <row r="2109" spans="1:8" ht="17.25">
      <c r="B2109" s="140" t="e">
        <f>+H2109</f>
        <v>#REF!</v>
      </c>
      <c r="C2109" s="27" t="s">
        <v>3005</v>
      </c>
      <c r="D2109" s="99" t="e">
        <f>INT(B2109/B2110*100)/100</f>
        <v>#REF!</v>
      </c>
      <c r="E2109" s="1" t="s">
        <v>3006</v>
      </c>
      <c r="F2109" s="40" t="s">
        <v>1494</v>
      </c>
      <c r="G2109" s="113"/>
      <c r="H2109" s="99" t="e">
        <f>SUM(H2107:H2108)</f>
        <v>#REF!</v>
      </c>
    </row>
    <row r="2110" spans="1:8" ht="16.5">
      <c r="A2110" s="1"/>
      <c r="B2110" s="117">
        <v>10</v>
      </c>
      <c r="C2110" s="1"/>
      <c r="D2110" s="1"/>
      <c r="E2110" s="1"/>
      <c r="F2110" s="1"/>
      <c r="G2110" s="1"/>
      <c r="H2110" s="1"/>
    </row>
    <row r="2111" spans="1:8" ht="16.5">
      <c r="A2111" s="1"/>
      <c r="B2111" s="117"/>
      <c r="C2111" s="1"/>
      <c r="D2111" s="1"/>
      <c r="E2111" s="1"/>
      <c r="F2111" s="1"/>
      <c r="G2111" s="1"/>
      <c r="H2111" s="1"/>
    </row>
    <row r="2112" spans="1:8" ht="19.5">
      <c r="A2112" s="31"/>
      <c r="B2112" s="909" t="s">
        <v>2328</v>
      </c>
      <c r="C2112" s="909"/>
      <c r="D2112" s="909"/>
      <c r="E2112" s="909"/>
      <c r="F2112" s="909"/>
      <c r="G2112" s="909"/>
      <c r="H2112" s="909"/>
    </row>
    <row r="2113" spans="1:8" ht="20.25">
      <c r="A2113" s="260">
        <f>+A2093+1</f>
        <v>122</v>
      </c>
      <c r="B2113" s="877" t="s">
        <v>2053</v>
      </c>
      <c r="C2113" s="878"/>
      <c r="D2113" s="878"/>
      <c r="E2113" s="878"/>
      <c r="F2113" s="878"/>
      <c r="G2113" s="878"/>
      <c r="H2113" s="878"/>
    </row>
    <row r="2114" spans="1:8" ht="19.5">
      <c r="A2114" s="15" t="s">
        <v>2327</v>
      </c>
      <c r="B2114" s="877" t="s">
        <v>2570</v>
      </c>
      <c r="C2114" s="878"/>
      <c r="D2114" s="878"/>
      <c r="E2114" s="878"/>
      <c r="F2114" s="878"/>
      <c r="G2114" s="878"/>
      <c r="H2114" s="878"/>
    </row>
    <row r="2115" spans="1:8" ht="15">
      <c r="A2115" s="668" t="s">
        <v>3543</v>
      </c>
      <c r="B2115" s="885" t="s">
        <v>1382</v>
      </c>
      <c r="C2115" s="885"/>
      <c r="D2115" s="885"/>
      <c r="E2115" s="885"/>
      <c r="F2115" s="885"/>
      <c r="G2115" s="885"/>
      <c r="H2115" s="885"/>
    </row>
    <row r="2116" spans="1:8" ht="31.5">
      <c r="A2116" s="1"/>
      <c r="B2116" s="68" t="s">
        <v>2966</v>
      </c>
      <c r="C2116" s="68" t="s">
        <v>2967</v>
      </c>
      <c r="D2116" s="68" t="s">
        <v>2968</v>
      </c>
      <c r="E2116" s="68" t="s">
        <v>2969</v>
      </c>
      <c r="F2116" s="68" t="s">
        <v>2970</v>
      </c>
      <c r="G2116" s="68" t="s">
        <v>2971</v>
      </c>
      <c r="H2116" s="68" t="s">
        <v>1487</v>
      </c>
    </row>
    <row r="2117" spans="1:8" ht="17.25">
      <c r="A2117" s="1"/>
      <c r="B2117" s="889" t="s">
        <v>1488</v>
      </c>
      <c r="C2117" s="58" t="s">
        <v>516</v>
      </c>
      <c r="D2117" s="41">
        <v>3.5</v>
      </c>
      <c r="E2117" s="55" t="s">
        <v>1490</v>
      </c>
      <c r="F2117" s="107" t="e">
        <f>#REF!</f>
        <v>#REF!</v>
      </c>
      <c r="G2117" s="107" t="e">
        <f t="shared" ref="G2117:G2125" si="62">FLOOR(D2117*F2117,0.01)</f>
        <v>#REF!</v>
      </c>
      <c r="H2117" s="108"/>
    </row>
    <row r="2118" spans="1:8" ht="17.25">
      <c r="A2118" s="1"/>
      <c r="B2118" s="887"/>
      <c r="C2118" s="56" t="s">
        <v>1433</v>
      </c>
      <c r="D2118" s="43">
        <v>36</v>
      </c>
      <c r="E2118" s="56" t="s">
        <v>1490</v>
      </c>
      <c r="F2118" s="63" t="e">
        <f>#REF!</f>
        <v>#REF!</v>
      </c>
      <c r="G2118" s="63" t="e">
        <f t="shared" si="62"/>
        <v>#REF!</v>
      </c>
      <c r="H2118" s="121" t="e">
        <f>SUM(G2117+G2118)</f>
        <v>#REF!</v>
      </c>
    </row>
    <row r="2119" spans="1:8" ht="17.25">
      <c r="A2119" s="1"/>
      <c r="B2119" s="76" t="s">
        <v>2055</v>
      </c>
      <c r="C2119" s="53" t="s">
        <v>1304</v>
      </c>
      <c r="D2119" s="52">
        <v>8.8999999999999996E-2</v>
      </c>
      <c r="E2119" s="53" t="s">
        <v>700</v>
      </c>
      <c r="F2119" s="109" t="e">
        <f>#REF!</f>
        <v>#REF!</v>
      </c>
      <c r="G2119" s="109" t="e">
        <f t="shared" si="62"/>
        <v>#REF!</v>
      </c>
      <c r="H2119" s="84"/>
    </row>
    <row r="2120" spans="1:8" ht="17.25">
      <c r="A2120" s="1"/>
      <c r="B2120" s="576"/>
      <c r="C2120" s="53" t="s">
        <v>697</v>
      </c>
      <c r="D2120" s="52">
        <v>0.122</v>
      </c>
      <c r="E2120" s="53" t="s">
        <v>2232</v>
      </c>
      <c r="F2120" s="109" t="e">
        <f>#REF!</f>
        <v>#REF!</v>
      </c>
      <c r="G2120" s="109" t="e">
        <f t="shared" si="62"/>
        <v>#REF!</v>
      </c>
      <c r="H2120" s="86"/>
    </row>
    <row r="2121" spans="1:8" ht="17.25">
      <c r="A2121" s="1"/>
      <c r="B2121" s="576"/>
      <c r="C2121" s="53" t="s">
        <v>2011</v>
      </c>
      <c r="D2121" s="52">
        <v>8.8999999999999996E-2</v>
      </c>
      <c r="E2121" s="53" t="s">
        <v>700</v>
      </c>
      <c r="F2121" s="109" t="e">
        <f>#REF!</f>
        <v>#REF!</v>
      </c>
      <c r="G2121" s="109" t="e">
        <f t="shared" si="62"/>
        <v>#REF!</v>
      </c>
      <c r="H2121" s="86"/>
    </row>
    <row r="2122" spans="1:8" ht="17.25">
      <c r="A2122" s="1"/>
      <c r="B2122" s="576"/>
      <c r="C2122" s="53" t="s">
        <v>2326</v>
      </c>
      <c r="D2122" s="52">
        <v>6.0999999999999999E-2</v>
      </c>
      <c r="E2122" s="53" t="s">
        <v>2232</v>
      </c>
      <c r="F2122" s="109" t="e">
        <f>Marble</f>
        <v>#REF!</v>
      </c>
      <c r="G2122" s="109" t="e">
        <f t="shared" si="62"/>
        <v>#REF!</v>
      </c>
      <c r="H2122" s="86"/>
    </row>
    <row r="2123" spans="1:8" ht="17.25">
      <c r="A2123" s="1"/>
      <c r="B2123" s="576"/>
      <c r="C2123" s="54" t="s">
        <v>2012</v>
      </c>
      <c r="D2123" s="42">
        <v>0.37</v>
      </c>
      <c r="E2123" s="53" t="s">
        <v>2748</v>
      </c>
      <c r="F2123" s="42" t="e">
        <f>#REF!</f>
        <v>#REF!</v>
      </c>
      <c r="G2123" s="109" t="e">
        <f t="shared" si="62"/>
        <v>#REF!</v>
      </c>
      <c r="H2123" s="86"/>
    </row>
    <row r="2124" spans="1:8" ht="17.25">
      <c r="A2124" s="1"/>
      <c r="B2124" s="576"/>
      <c r="C2124" s="53" t="s">
        <v>2013</v>
      </c>
      <c r="D2124" s="52">
        <v>0.11799999999999999</v>
      </c>
      <c r="E2124" s="53" t="s">
        <v>2748</v>
      </c>
      <c r="F2124" s="42" t="e">
        <f>#REF!</f>
        <v>#REF!</v>
      </c>
      <c r="G2124" s="109" t="e">
        <f t="shared" si="62"/>
        <v>#REF!</v>
      </c>
      <c r="H2124" s="86"/>
    </row>
    <row r="2125" spans="1:8" ht="17.25">
      <c r="A2125" s="1"/>
      <c r="B2125" s="576"/>
      <c r="C2125" s="53" t="s">
        <v>2014</v>
      </c>
      <c r="D2125" s="52">
        <v>0.53800000000000003</v>
      </c>
      <c r="E2125" s="53" t="s">
        <v>2517</v>
      </c>
      <c r="F2125" s="42" t="e">
        <f>#REF!</f>
        <v>#REF!</v>
      </c>
      <c r="G2125" s="109" t="e">
        <f t="shared" si="62"/>
        <v>#REF!</v>
      </c>
      <c r="H2125" s="86"/>
    </row>
    <row r="2126" spans="1:8" ht="17.25">
      <c r="A2126" s="1"/>
      <c r="B2126" s="186"/>
      <c r="C2126" s="56" t="s">
        <v>2516</v>
      </c>
      <c r="D2126" s="63" t="s">
        <v>2808</v>
      </c>
      <c r="E2126" s="56" t="s">
        <v>2810</v>
      </c>
      <c r="F2126" s="63"/>
      <c r="G2126" s="63">
        <v>120</v>
      </c>
      <c r="H2126" s="123" t="e">
        <f>SUM(G2119:G2126)</f>
        <v>#REF!</v>
      </c>
    </row>
    <row r="2127" spans="1:8" ht="17.25">
      <c r="A2127" s="1"/>
      <c r="B2127" s="1"/>
      <c r="C2127" s="1"/>
      <c r="D2127" s="1"/>
      <c r="E2127" s="1"/>
      <c r="F2127" s="40" t="s">
        <v>1491</v>
      </c>
      <c r="G2127" s="113"/>
      <c r="H2127" s="63" t="e">
        <f>SUM(H2118:H2126)</f>
        <v>#REF!</v>
      </c>
    </row>
    <row r="2128" spans="1:8" ht="17.25">
      <c r="A2128" s="1"/>
      <c r="B2128" s="1" t="s">
        <v>1493</v>
      </c>
      <c r="C2128" s="1"/>
      <c r="D2128" s="1"/>
      <c r="E2128" s="1"/>
      <c r="F2128" s="40" t="s">
        <v>1472</v>
      </c>
      <c r="G2128" s="113"/>
      <c r="H2128" s="99" t="e">
        <f>FLOOR(H2127*0.15,0.01)</f>
        <v>#REF!</v>
      </c>
    </row>
    <row r="2129" spans="1:8" ht="17.25">
      <c r="B2129" s="140" t="e">
        <f>+H2129</f>
        <v>#REF!</v>
      </c>
      <c r="C2129" s="27" t="s">
        <v>3005</v>
      </c>
      <c r="D2129" s="99" t="e">
        <f>INT(B2129/B2130*100)/100</f>
        <v>#REF!</v>
      </c>
      <c r="E2129" s="1" t="s">
        <v>3006</v>
      </c>
      <c r="F2129" s="40" t="s">
        <v>1494</v>
      </c>
      <c r="G2129" s="113"/>
      <c r="H2129" s="99" t="e">
        <f>SUM(H2127:H2128)</f>
        <v>#REF!</v>
      </c>
    </row>
    <row r="2130" spans="1:8" ht="16.5">
      <c r="A2130" s="1"/>
      <c r="B2130" s="117">
        <v>10</v>
      </c>
      <c r="C2130" s="1"/>
      <c r="D2130" s="1"/>
      <c r="E2130" s="1"/>
      <c r="F2130" s="1"/>
      <c r="G2130" s="1"/>
      <c r="H2130" s="1"/>
    </row>
    <row r="2131" spans="1:8" ht="16.5">
      <c r="A2131" s="1"/>
      <c r="B2131" s="117"/>
      <c r="C2131" s="1"/>
      <c r="D2131" s="1"/>
      <c r="E2131" s="1"/>
      <c r="F2131" s="1"/>
      <c r="G2131" s="1"/>
      <c r="H2131" s="1"/>
    </row>
    <row r="2132" spans="1:8" ht="16.5">
      <c r="A2132" s="1"/>
      <c r="B2132" s="117"/>
      <c r="C2132" s="1"/>
      <c r="D2132" s="1"/>
      <c r="E2132" s="1"/>
      <c r="F2132" s="1"/>
      <c r="G2132" s="1"/>
      <c r="H2132" s="1"/>
    </row>
    <row r="2133" spans="1:8" ht="16.5">
      <c r="A2133" s="1"/>
      <c r="B2133" s="117"/>
      <c r="C2133" s="1"/>
      <c r="D2133" s="1"/>
      <c r="E2133" s="1"/>
      <c r="F2133" s="1"/>
      <c r="G2133" s="1"/>
      <c r="H2133" s="1"/>
    </row>
    <row r="2134" spans="1:8" ht="16.5">
      <c r="A2134" s="1"/>
      <c r="B2134" s="117"/>
      <c r="C2134" s="1"/>
      <c r="D2134" s="1"/>
      <c r="E2134" s="1"/>
      <c r="F2134" s="1"/>
      <c r="G2134" s="1"/>
      <c r="H2134" s="1"/>
    </row>
    <row r="2135" spans="1:8" ht="16.5">
      <c r="A2135" s="1"/>
      <c r="B2135" s="117"/>
      <c r="C2135" s="1"/>
      <c r="D2135" s="1"/>
      <c r="E2135" s="1"/>
      <c r="F2135" s="1"/>
      <c r="G2135" s="1"/>
      <c r="H2135" s="1"/>
    </row>
    <row r="2136" spans="1:8" ht="15">
      <c r="A2136" s="1"/>
      <c r="B2136" s="1"/>
      <c r="C2136" s="1"/>
      <c r="D2136" s="1"/>
      <c r="E2136" s="1"/>
      <c r="F2136" s="1"/>
      <c r="G2136" s="1"/>
      <c r="H2136" s="1"/>
    </row>
    <row r="2137" spans="1:8" ht="15">
      <c r="A2137" s="1"/>
      <c r="B2137" s="1"/>
      <c r="C2137" s="1"/>
      <c r="D2137" s="1"/>
      <c r="E2137" s="1"/>
      <c r="F2137" s="1"/>
      <c r="G2137" s="1"/>
      <c r="H2137" s="1"/>
    </row>
    <row r="2138" spans="1:8" ht="20.25">
      <c r="A2138" s="260">
        <f>+A2113+1</f>
        <v>123</v>
      </c>
      <c r="B2138" s="935" t="s">
        <v>1558</v>
      </c>
      <c r="C2138" s="909"/>
      <c r="D2138" s="909"/>
      <c r="E2138" s="909"/>
      <c r="F2138" s="909"/>
      <c r="G2138" s="909"/>
      <c r="H2138" s="909"/>
    </row>
    <row r="2139" spans="1:8" ht="19.5">
      <c r="A2139" s="15" t="s">
        <v>2054</v>
      </c>
      <c r="B2139" s="877" t="s">
        <v>382</v>
      </c>
      <c r="C2139" s="878"/>
      <c r="D2139" s="878"/>
      <c r="E2139" s="878"/>
      <c r="F2139" s="878"/>
      <c r="G2139" s="878"/>
      <c r="H2139" s="878"/>
    </row>
    <row r="2140" spans="1:8" ht="15">
      <c r="A2140" s="668" t="s">
        <v>3544</v>
      </c>
      <c r="B2140" s="885" t="s">
        <v>1382</v>
      </c>
      <c r="C2140" s="885"/>
      <c r="D2140" s="885"/>
      <c r="E2140" s="885"/>
      <c r="F2140" s="885"/>
      <c r="G2140" s="885"/>
      <c r="H2140" s="885"/>
    </row>
    <row r="2141" spans="1:8" ht="31.5">
      <c r="A2141" s="1"/>
      <c r="B2141" s="68" t="s">
        <v>2966</v>
      </c>
      <c r="C2141" s="68" t="s">
        <v>2967</v>
      </c>
      <c r="D2141" s="68" t="s">
        <v>2968</v>
      </c>
      <c r="E2141" s="68" t="s">
        <v>2969</v>
      </c>
      <c r="F2141" s="68" t="s">
        <v>2970</v>
      </c>
      <c r="G2141" s="68" t="s">
        <v>2971</v>
      </c>
      <c r="H2141" s="68" t="s">
        <v>1487</v>
      </c>
    </row>
    <row r="2142" spans="1:8" ht="17.25">
      <c r="A2142" s="1"/>
      <c r="B2142" s="889" t="s">
        <v>1488</v>
      </c>
      <c r="C2142" s="58" t="s">
        <v>516</v>
      </c>
      <c r="D2142" s="41">
        <v>2</v>
      </c>
      <c r="E2142" s="55" t="s">
        <v>1490</v>
      </c>
      <c r="F2142" s="107" t="e">
        <f>#REF!</f>
        <v>#REF!</v>
      </c>
      <c r="G2142" s="107" t="e">
        <f t="shared" ref="G2142:G2149" si="63">FLOOR(D2142*F2142,0.01)</f>
        <v>#REF!</v>
      </c>
      <c r="H2142" s="108"/>
    </row>
    <row r="2143" spans="1:8" ht="17.25">
      <c r="A2143" s="1"/>
      <c r="B2143" s="887"/>
      <c r="C2143" s="56" t="s">
        <v>1433</v>
      </c>
      <c r="D2143" s="43">
        <v>12.6</v>
      </c>
      <c r="E2143" s="56" t="s">
        <v>1490</v>
      </c>
      <c r="F2143" s="63" t="e">
        <f>#REF!</f>
        <v>#REF!</v>
      </c>
      <c r="G2143" s="63" t="e">
        <f t="shared" si="63"/>
        <v>#REF!</v>
      </c>
      <c r="H2143" s="121" t="e">
        <f>SUM(G2142+G2143)</f>
        <v>#REF!</v>
      </c>
    </row>
    <row r="2144" spans="1:8" ht="17.25">
      <c r="A2144" s="1"/>
      <c r="B2144" s="886" t="s">
        <v>2055</v>
      </c>
      <c r="C2144" s="136" t="s">
        <v>1388</v>
      </c>
      <c r="D2144" s="42">
        <v>11</v>
      </c>
      <c r="E2144" s="53" t="s">
        <v>2807</v>
      </c>
      <c r="F2144" s="109" t="e">
        <f>Ttile</f>
        <v>#REF!</v>
      </c>
      <c r="G2144" s="109" t="e">
        <f t="shared" si="63"/>
        <v>#REF!</v>
      </c>
      <c r="H2144" s="84"/>
    </row>
    <row r="2145" spans="1:8" ht="17.25">
      <c r="A2145" s="1"/>
      <c r="B2145" s="890"/>
      <c r="C2145" s="53" t="s">
        <v>1436</v>
      </c>
      <c r="D2145" s="52">
        <v>8.1000000000000003E-2</v>
      </c>
      <c r="E2145" s="53" t="s">
        <v>700</v>
      </c>
      <c r="F2145" s="109" t="e">
        <f>#REF!</f>
        <v>#REF!</v>
      </c>
      <c r="G2145" s="109" t="e">
        <f t="shared" si="63"/>
        <v>#REF!</v>
      </c>
      <c r="H2145" s="86"/>
    </row>
    <row r="2146" spans="1:8" ht="17.25">
      <c r="A2146" s="1"/>
      <c r="B2146" s="890"/>
      <c r="C2146" s="53" t="s">
        <v>697</v>
      </c>
      <c r="D2146" s="42">
        <v>0.22</v>
      </c>
      <c r="E2146" s="53" t="s">
        <v>2232</v>
      </c>
      <c r="F2146" s="109" t="e">
        <f>#REF!</f>
        <v>#REF!</v>
      </c>
      <c r="G2146" s="109" t="e">
        <f t="shared" si="63"/>
        <v>#REF!</v>
      </c>
      <c r="H2146" s="86"/>
    </row>
    <row r="2147" spans="1:8" ht="17.25">
      <c r="A2147" s="1"/>
      <c r="B2147" s="890"/>
      <c r="C2147" s="53" t="s">
        <v>1389</v>
      </c>
      <c r="D2147" s="42">
        <v>0.37</v>
      </c>
      <c r="E2147" s="53" t="s">
        <v>2748</v>
      </c>
      <c r="F2147" s="42" t="e">
        <f>#REF!</f>
        <v>#REF!</v>
      </c>
      <c r="G2147" s="109" t="e">
        <f t="shared" si="63"/>
        <v>#REF!</v>
      </c>
      <c r="H2147" s="86"/>
    </row>
    <row r="2148" spans="1:8" ht="17.25">
      <c r="A2148" s="1"/>
      <c r="B2148" s="890"/>
      <c r="C2148" s="53" t="s">
        <v>2013</v>
      </c>
      <c r="D2148" s="52">
        <v>0.11799999999999999</v>
      </c>
      <c r="E2148" s="53" t="s">
        <v>2748</v>
      </c>
      <c r="F2148" s="42" t="e">
        <f>#REF!</f>
        <v>#REF!</v>
      </c>
      <c r="G2148" s="109" t="e">
        <f t="shared" si="63"/>
        <v>#REF!</v>
      </c>
      <c r="H2148" s="86"/>
    </row>
    <row r="2149" spans="1:8" ht="17.25">
      <c r="A2149" s="1"/>
      <c r="B2149" s="890"/>
      <c r="C2149" s="53" t="s">
        <v>2014</v>
      </c>
      <c r="D2149" s="52">
        <v>0.53800000000000003</v>
      </c>
      <c r="E2149" s="53" t="s">
        <v>2517</v>
      </c>
      <c r="F2149" s="42" t="e">
        <f>#REF!</f>
        <v>#REF!</v>
      </c>
      <c r="G2149" s="109" t="e">
        <f t="shared" si="63"/>
        <v>#REF!</v>
      </c>
      <c r="H2149" s="86"/>
    </row>
    <row r="2150" spans="1:8" ht="17.25">
      <c r="A2150" s="1"/>
      <c r="B2150" s="887"/>
      <c r="C2150" s="56" t="s">
        <v>2516</v>
      </c>
      <c r="D2150" s="77" t="s">
        <v>2808</v>
      </c>
      <c r="E2150" s="56" t="s">
        <v>2810</v>
      </c>
      <c r="F2150" s="63"/>
      <c r="G2150" s="63">
        <v>120</v>
      </c>
      <c r="H2150" s="123" t="e">
        <f>SUM(G2144:G2150)</f>
        <v>#REF!</v>
      </c>
    </row>
    <row r="2151" spans="1:8" ht="17.25">
      <c r="A2151" s="1"/>
      <c r="B2151" s="66" t="s">
        <v>1879</v>
      </c>
      <c r="C2151" s="64" t="s">
        <v>1559</v>
      </c>
      <c r="D2151" s="44">
        <v>13.5</v>
      </c>
      <c r="E2151" s="64" t="s">
        <v>1490</v>
      </c>
      <c r="F2151" s="63" t="e">
        <f>#REF!</f>
        <v>#REF!</v>
      </c>
      <c r="G2151" s="99" t="e">
        <f>FLOOR(D2151*F2151,0.01)</f>
        <v>#REF!</v>
      </c>
      <c r="H2151" s="99" t="e">
        <f>SUM(G2151)</f>
        <v>#REF!</v>
      </c>
    </row>
    <row r="2152" spans="1:8" ht="17.25">
      <c r="A2152" s="1"/>
      <c r="B2152" s="1"/>
      <c r="C2152" s="1"/>
      <c r="D2152" s="1"/>
      <c r="E2152" s="1"/>
      <c r="F2152" s="40" t="s">
        <v>1491</v>
      </c>
      <c r="G2152" s="113"/>
      <c r="H2152" s="63" t="e">
        <f>SUM(H2143:H2151)</f>
        <v>#REF!</v>
      </c>
    </row>
    <row r="2153" spans="1:8" ht="17.25">
      <c r="A2153" s="1"/>
      <c r="B2153" s="1" t="s">
        <v>1493</v>
      </c>
      <c r="C2153" s="1"/>
      <c r="D2153" s="1"/>
      <c r="E2153" s="1"/>
      <c r="F2153" s="40" t="s">
        <v>1472</v>
      </c>
      <c r="G2153" s="113"/>
      <c r="H2153" s="99" t="e">
        <f>FLOOR(H2152*0.15,0.01)</f>
        <v>#REF!</v>
      </c>
    </row>
    <row r="2154" spans="1:8" ht="17.25">
      <c r="B2154" s="140" t="e">
        <f>+H2154</f>
        <v>#REF!</v>
      </c>
      <c r="C2154" s="27" t="s">
        <v>3005</v>
      </c>
      <c r="D2154" s="99" t="e">
        <f>INT(B2154/B2155*100)/100</f>
        <v>#REF!</v>
      </c>
      <c r="E2154" s="1" t="s">
        <v>3006</v>
      </c>
      <c r="F2154" s="40" t="s">
        <v>1494</v>
      </c>
      <c r="G2154" s="113"/>
      <c r="H2154" s="99" t="e">
        <f>SUM(H2152:H2153)</f>
        <v>#REF!</v>
      </c>
    </row>
    <row r="2155" spans="1:8" ht="16.5">
      <c r="A2155" s="1"/>
      <c r="B2155" s="117">
        <v>10</v>
      </c>
      <c r="C2155" s="1"/>
      <c r="D2155" s="1"/>
      <c r="E2155" s="1"/>
      <c r="F2155" s="1"/>
      <c r="G2155" s="1"/>
      <c r="H2155" s="1"/>
    </row>
    <row r="2156" spans="1:8" ht="15">
      <c r="A2156" s="144" t="s">
        <v>1409</v>
      </c>
      <c r="B2156" s="1"/>
      <c r="C2156" s="1"/>
      <c r="D2156" s="1"/>
      <c r="E2156" s="1"/>
      <c r="F2156" s="1"/>
      <c r="G2156" s="1"/>
      <c r="H2156" s="1"/>
    </row>
    <row r="2157" spans="1:8" ht="15">
      <c r="A2157" s="144"/>
      <c r="B2157" s="1"/>
      <c r="C2157" s="1"/>
      <c r="D2157" s="1"/>
      <c r="E2157" s="1"/>
      <c r="F2157" s="1"/>
      <c r="G2157" s="1"/>
      <c r="H2157" s="1"/>
    </row>
    <row r="2158" spans="1:8" ht="15">
      <c r="A2158" s="144"/>
      <c r="B2158" s="1"/>
      <c r="C2158" s="1"/>
      <c r="D2158" s="1"/>
      <c r="E2158" s="1"/>
      <c r="F2158" s="1"/>
      <c r="G2158" s="1"/>
      <c r="H2158" s="1"/>
    </row>
    <row r="2159" spans="1:8" ht="20.25">
      <c r="A2159" s="260">
        <f>+A2138+1</f>
        <v>124</v>
      </c>
      <c r="B2159" s="877" t="s">
        <v>1564</v>
      </c>
      <c r="C2159" s="878"/>
      <c r="D2159" s="878"/>
      <c r="E2159" s="878"/>
      <c r="F2159" s="878"/>
      <c r="G2159" s="878"/>
      <c r="H2159" s="878"/>
    </row>
    <row r="2160" spans="1:8" ht="15">
      <c r="A2160" s="15" t="s">
        <v>1563</v>
      </c>
      <c r="B2160" s="888" t="s">
        <v>1382</v>
      </c>
      <c r="C2160" s="879"/>
      <c r="D2160" s="879"/>
      <c r="E2160" s="879"/>
      <c r="F2160" s="879"/>
      <c r="G2160" s="879"/>
      <c r="H2160" s="879"/>
    </row>
    <row r="2161" spans="1:8" ht="31.5">
      <c r="A2161" s="668" t="s">
        <v>3545</v>
      </c>
      <c r="B2161" s="68" t="s">
        <v>2966</v>
      </c>
      <c r="C2161" s="68" t="s">
        <v>2967</v>
      </c>
      <c r="D2161" s="68" t="s">
        <v>2968</v>
      </c>
      <c r="E2161" s="68" t="s">
        <v>2969</v>
      </c>
      <c r="F2161" s="68" t="s">
        <v>2970</v>
      </c>
      <c r="G2161" s="68" t="s">
        <v>2971</v>
      </c>
      <c r="H2161" s="68" t="s">
        <v>1487</v>
      </c>
    </row>
    <row r="2162" spans="1:8" ht="17.25">
      <c r="A2162" s="1"/>
      <c r="B2162" s="889" t="s">
        <v>1488</v>
      </c>
      <c r="C2162" s="58" t="s">
        <v>516</v>
      </c>
      <c r="D2162" s="41">
        <v>13</v>
      </c>
      <c r="E2162" s="55" t="s">
        <v>1490</v>
      </c>
      <c r="F2162" s="107" t="e">
        <f>#REF!</f>
        <v>#REF!</v>
      </c>
      <c r="G2162" s="107" t="e">
        <f t="shared" ref="G2162:G2167" si="64">FLOOR(D2162*F2162,0.01)</f>
        <v>#REF!</v>
      </c>
      <c r="H2162" s="108"/>
    </row>
    <row r="2163" spans="1:8" ht="17.25">
      <c r="A2163" s="1"/>
      <c r="B2163" s="887"/>
      <c r="C2163" s="56" t="s">
        <v>1433</v>
      </c>
      <c r="D2163" s="43">
        <v>4.5</v>
      </c>
      <c r="E2163" s="56" t="s">
        <v>1490</v>
      </c>
      <c r="F2163" s="63" t="e">
        <f>#REF!</f>
        <v>#REF!</v>
      </c>
      <c r="G2163" s="63" t="e">
        <f t="shared" si="64"/>
        <v>#REF!</v>
      </c>
      <c r="H2163" s="121" t="e">
        <f>SUM(G2162+G2163)</f>
        <v>#REF!</v>
      </c>
    </row>
    <row r="2164" spans="1:8" ht="17.25">
      <c r="A2164" s="1"/>
      <c r="B2164" s="886" t="s">
        <v>2055</v>
      </c>
      <c r="C2164" s="55" t="s">
        <v>2924</v>
      </c>
      <c r="D2164" s="46">
        <v>5.6000000000000001E-2</v>
      </c>
      <c r="E2164" s="55" t="s">
        <v>700</v>
      </c>
      <c r="F2164" s="109" t="e">
        <f>#REF!</f>
        <v>#REF!</v>
      </c>
      <c r="G2164" s="109" t="e">
        <f t="shared" si="64"/>
        <v>#REF!</v>
      </c>
      <c r="H2164" s="108"/>
    </row>
    <row r="2165" spans="1:8" ht="17.25">
      <c r="A2165" s="1"/>
      <c r="B2165" s="890"/>
      <c r="C2165" s="53" t="s">
        <v>697</v>
      </c>
      <c r="D2165" s="52">
        <v>0.152</v>
      </c>
      <c r="E2165" s="53" t="s">
        <v>2232</v>
      </c>
      <c r="F2165" s="109" t="e">
        <f>#REF!</f>
        <v>#REF!</v>
      </c>
      <c r="G2165" s="109" t="e">
        <f t="shared" si="64"/>
        <v>#REF!</v>
      </c>
      <c r="H2165" s="121"/>
    </row>
    <row r="2166" spans="1:8" ht="17.25">
      <c r="A2166" s="1"/>
      <c r="B2166" s="890"/>
      <c r="C2166" s="53" t="s">
        <v>2011</v>
      </c>
      <c r="D2166" s="52">
        <v>3.2280000000000002</v>
      </c>
      <c r="E2166" s="53" t="s">
        <v>2748</v>
      </c>
      <c r="F2166" s="109" t="e">
        <f>FLOOR(#REF!/1000,0.01)</f>
        <v>#REF!</v>
      </c>
      <c r="G2166" s="109" t="e">
        <f t="shared" si="64"/>
        <v>#REF!</v>
      </c>
      <c r="H2166" s="121"/>
    </row>
    <row r="2167" spans="1:8" ht="17.25">
      <c r="A2167" s="1"/>
      <c r="B2167" s="887"/>
      <c r="C2167" s="56" t="s">
        <v>3513</v>
      </c>
      <c r="D2167" s="43">
        <v>11</v>
      </c>
      <c r="E2167" s="56" t="s">
        <v>2807</v>
      </c>
      <c r="F2167" s="63" t="e">
        <f>#REF!</f>
        <v>#REF!</v>
      </c>
      <c r="G2167" s="63" t="e">
        <f t="shared" si="64"/>
        <v>#REF!</v>
      </c>
      <c r="H2167" s="123" t="e">
        <f>SUM(G2164:G2167)</f>
        <v>#REF!</v>
      </c>
    </row>
    <row r="2168" spans="1:8" ht="17.25">
      <c r="A2168" s="1"/>
      <c r="B2168" s="1"/>
      <c r="C2168" s="1"/>
      <c r="D2168" s="1"/>
      <c r="E2168" s="1"/>
      <c r="F2168" s="40" t="s">
        <v>1491</v>
      </c>
      <c r="G2168" s="113"/>
      <c r="H2168" s="63" t="e">
        <f>SUM(H2163:H2167)</f>
        <v>#REF!</v>
      </c>
    </row>
    <row r="2169" spans="1:8" ht="17.25">
      <c r="A2169" s="1"/>
      <c r="B2169" s="1" t="s">
        <v>1493</v>
      </c>
      <c r="C2169" s="1"/>
      <c r="D2169" s="1"/>
      <c r="E2169" s="1"/>
      <c r="F2169" s="40" t="s">
        <v>1472</v>
      </c>
      <c r="G2169" s="113"/>
      <c r="H2169" s="99" t="e">
        <f>FLOOR(H2168*0.15,0.01)</f>
        <v>#REF!</v>
      </c>
    </row>
    <row r="2170" spans="1:8" ht="17.25">
      <c r="B2170" s="140" t="e">
        <f>+H2170</f>
        <v>#REF!</v>
      </c>
      <c r="C2170" s="27" t="s">
        <v>3005</v>
      </c>
      <c r="D2170" s="99" t="e">
        <f>INT(B2170/B2171*100)/100</f>
        <v>#REF!</v>
      </c>
      <c r="E2170" s="1" t="s">
        <v>3006</v>
      </c>
      <c r="F2170" s="40" t="s">
        <v>1494</v>
      </c>
      <c r="G2170" s="113"/>
      <c r="H2170" s="99" t="e">
        <f>SUM(H2168:H2169)</f>
        <v>#REF!</v>
      </c>
    </row>
    <row r="2171" spans="1:8" ht="16.5">
      <c r="A2171" s="1"/>
      <c r="B2171" s="117">
        <v>10</v>
      </c>
      <c r="C2171" s="1"/>
      <c r="D2171" s="1"/>
      <c r="E2171" s="1"/>
      <c r="F2171" s="1"/>
      <c r="G2171" s="1"/>
      <c r="H2171" s="1"/>
    </row>
    <row r="2172" spans="1:8" ht="20.25">
      <c r="A2172" s="260" t="s">
        <v>3780</v>
      </c>
      <c r="B2172" s="877" t="s">
        <v>3781</v>
      </c>
      <c r="C2172" s="878"/>
      <c r="D2172" s="878"/>
      <c r="E2172" s="878"/>
      <c r="F2172" s="878"/>
      <c r="G2172" s="878"/>
      <c r="H2172" s="878"/>
    </row>
    <row r="2173" spans="1:8" ht="15">
      <c r="A2173" s="15" t="s">
        <v>1563</v>
      </c>
      <c r="B2173" s="888" t="s">
        <v>1382</v>
      </c>
      <c r="C2173" s="879"/>
      <c r="D2173" s="879"/>
      <c r="E2173" s="879"/>
      <c r="F2173" s="879"/>
      <c r="G2173" s="879"/>
      <c r="H2173" s="879"/>
    </row>
    <row r="2174" spans="1:8" ht="31.5">
      <c r="A2174" s="668" t="s">
        <v>3545</v>
      </c>
      <c r="B2174" s="68" t="s">
        <v>2966</v>
      </c>
      <c r="C2174" s="68" t="s">
        <v>2967</v>
      </c>
      <c r="D2174" s="68" t="s">
        <v>2968</v>
      </c>
      <c r="E2174" s="68" t="s">
        <v>2969</v>
      </c>
      <c r="F2174" s="68" t="s">
        <v>2970</v>
      </c>
      <c r="G2174" s="68" t="s">
        <v>2971</v>
      </c>
      <c r="H2174" s="68" t="s">
        <v>1487</v>
      </c>
    </row>
    <row r="2175" spans="1:8" ht="17.25">
      <c r="A2175" s="1"/>
      <c r="B2175" s="889" t="s">
        <v>1488</v>
      </c>
      <c r="C2175" s="58" t="s">
        <v>516</v>
      </c>
      <c r="D2175" s="41">
        <v>13</v>
      </c>
      <c r="E2175" s="55" t="s">
        <v>1490</v>
      </c>
      <c r="F2175" s="107" t="e">
        <f>mason</f>
        <v>#REF!</v>
      </c>
      <c r="G2175" s="107" t="e">
        <f t="shared" ref="G2175:G2180" si="65">FLOOR(D2175*F2175,0.01)</f>
        <v>#REF!</v>
      </c>
      <c r="H2175" s="108"/>
    </row>
    <row r="2176" spans="1:8" ht="17.25">
      <c r="A2176" s="1"/>
      <c r="B2176" s="887"/>
      <c r="C2176" s="56" t="s">
        <v>1433</v>
      </c>
      <c r="D2176" s="43">
        <v>4.5</v>
      </c>
      <c r="E2176" s="56" t="s">
        <v>1490</v>
      </c>
      <c r="F2176" s="63" t="e">
        <f>#REF!</f>
        <v>#REF!</v>
      </c>
      <c r="G2176" s="63" t="e">
        <f t="shared" si="65"/>
        <v>#REF!</v>
      </c>
      <c r="H2176" s="121" t="e">
        <f>SUM(G2175+G2176)</f>
        <v>#REF!</v>
      </c>
    </row>
    <row r="2177" spans="1:8" ht="17.25">
      <c r="A2177" s="1"/>
      <c r="B2177" s="886" t="s">
        <v>2055</v>
      </c>
      <c r="C2177" s="55" t="s">
        <v>2924</v>
      </c>
      <c r="D2177" s="46">
        <v>5.6000000000000001E-2</v>
      </c>
      <c r="E2177" s="55" t="s">
        <v>700</v>
      </c>
      <c r="F2177" s="109" t="e">
        <f>#REF!</f>
        <v>#REF!</v>
      </c>
      <c r="G2177" s="109" t="e">
        <f t="shared" si="65"/>
        <v>#REF!</v>
      </c>
      <c r="H2177" s="108"/>
    </row>
    <row r="2178" spans="1:8" ht="17.25">
      <c r="A2178" s="1"/>
      <c r="B2178" s="890"/>
      <c r="C2178" s="53" t="s">
        <v>697</v>
      </c>
      <c r="D2178" s="52">
        <v>0.152</v>
      </c>
      <c r="E2178" s="53" t="s">
        <v>2232</v>
      </c>
      <c r="F2178" s="109" t="e">
        <f>#REF!</f>
        <v>#REF!</v>
      </c>
      <c r="G2178" s="109" t="e">
        <f t="shared" si="65"/>
        <v>#REF!</v>
      </c>
      <c r="H2178" s="121"/>
    </row>
    <row r="2179" spans="1:8" ht="17.25">
      <c r="A2179" s="1"/>
      <c r="B2179" s="890"/>
      <c r="C2179" s="53" t="s">
        <v>2011</v>
      </c>
      <c r="D2179" s="52">
        <v>3.2280000000000002</v>
      </c>
      <c r="E2179" s="53" t="s">
        <v>2748</v>
      </c>
      <c r="F2179" s="109" t="e">
        <f>FLOOR(#REF!/1000,0.01)</f>
        <v>#REF!</v>
      </c>
      <c r="G2179" s="109" t="e">
        <f t="shared" si="65"/>
        <v>#REF!</v>
      </c>
      <c r="H2179" s="121"/>
    </row>
    <row r="2180" spans="1:8" ht="17.25">
      <c r="A2180" s="1"/>
      <c r="B2180" s="887"/>
      <c r="C2180" s="56" t="s">
        <v>3782</v>
      </c>
      <c r="D2180" s="43">
        <v>11</v>
      </c>
      <c r="E2180" s="56" t="s">
        <v>2807</v>
      </c>
      <c r="F2180" s="63" t="e">
        <f>#REF!</f>
        <v>#REF!</v>
      </c>
      <c r="G2180" s="63" t="e">
        <f t="shared" si="65"/>
        <v>#REF!</v>
      </c>
      <c r="H2180" s="123" t="e">
        <f>SUM(G2177:G2180)</f>
        <v>#REF!</v>
      </c>
    </row>
    <row r="2181" spans="1:8" ht="17.25">
      <c r="A2181" s="1"/>
      <c r="B2181" s="1"/>
      <c r="C2181" s="1"/>
      <c r="D2181" s="1"/>
      <c r="E2181" s="1"/>
      <c r="F2181" s="40" t="s">
        <v>1491</v>
      </c>
      <c r="G2181" s="113"/>
      <c r="H2181" s="63" t="e">
        <f>SUM(H2176:H2180)</f>
        <v>#REF!</v>
      </c>
    </row>
    <row r="2182" spans="1:8" ht="17.25">
      <c r="A2182" s="1"/>
      <c r="B2182" s="1" t="s">
        <v>1493</v>
      </c>
      <c r="C2182" s="1"/>
      <c r="D2182" s="1"/>
      <c r="E2182" s="1"/>
      <c r="F2182" s="40" t="s">
        <v>1472</v>
      </c>
      <c r="G2182" s="113"/>
      <c r="H2182" s="99" t="e">
        <f>FLOOR(H2181*0.15,0.01)</f>
        <v>#REF!</v>
      </c>
    </row>
    <row r="2183" spans="1:8" ht="17.25">
      <c r="B2183" s="140" t="e">
        <f>+H2183</f>
        <v>#REF!</v>
      </c>
      <c r="C2183" s="27" t="s">
        <v>3005</v>
      </c>
      <c r="D2183" s="99" t="e">
        <f>INT(B2183/B2184*100)/100</f>
        <v>#REF!</v>
      </c>
      <c r="E2183" s="1" t="s">
        <v>3006</v>
      </c>
      <c r="F2183" s="40" t="s">
        <v>1494</v>
      </c>
      <c r="G2183" s="113"/>
      <c r="H2183" s="99" t="e">
        <f>SUM(H2181:H2182)</f>
        <v>#REF!</v>
      </c>
    </row>
    <row r="2184" spans="1:8" ht="16.5">
      <c r="A2184" s="1"/>
      <c r="B2184" s="117">
        <v>10</v>
      </c>
      <c r="C2184" s="1"/>
      <c r="D2184" s="1"/>
      <c r="E2184" s="1"/>
      <c r="F2184" s="1"/>
      <c r="G2184" s="1"/>
      <c r="H2184" s="1"/>
    </row>
    <row r="2185" spans="1:8" ht="16.5">
      <c r="A2185" s="1"/>
      <c r="B2185" s="117"/>
      <c r="C2185" s="1"/>
      <c r="D2185" s="1"/>
      <c r="E2185" s="1"/>
      <c r="F2185" s="1"/>
      <c r="G2185" s="1"/>
      <c r="H2185" s="1"/>
    </row>
    <row r="2186" spans="1:8" ht="20.25">
      <c r="A2186" s="260" t="s">
        <v>3783</v>
      </c>
      <c r="B2186" s="877" t="s">
        <v>3784</v>
      </c>
      <c r="C2186" s="878"/>
      <c r="D2186" s="878"/>
      <c r="E2186" s="878"/>
      <c r="F2186" s="878"/>
      <c r="G2186" s="878"/>
      <c r="H2186" s="878"/>
    </row>
    <row r="2187" spans="1:8" ht="15">
      <c r="A2187" s="15" t="s">
        <v>1563</v>
      </c>
      <c r="B2187" s="888" t="s">
        <v>1382</v>
      </c>
      <c r="C2187" s="879"/>
      <c r="D2187" s="879"/>
      <c r="E2187" s="879"/>
      <c r="F2187" s="879"/>
      <c r="G2187" s="879"/>
      <c r="H2187" s="879"/>
    </row>
    <row r="2188" spans="1:8" ht="31.5">
      <c r="A2188" s="668" t="s">
        <v>3545</v>
      </c>
      <c r="B2188" s="68" t="s">
        <v>2966</v>
      </c>
      <c r="C2188" s="68" t="s">
        <v>2967</v>
      </c>
      <c r="D2188" s="68" t="s">
        <v>2968</v>
      </c>
      <c r="E2188" s="68" t="s">
        <v>2969</v>
      </c>
      <c r="F2188" s="68" t="s">
        <v>2970</v>
      </c>
      <c r="G2188" s="68" t="s">
        <v>2971</v>
      </c>
      <c r="H2188" s="68" t="s">
        <v>1487</v>
      </c>
    </row>
    <row r="2189" spans="1:8" ht="17.25">
      <c r="A2189" s="1"/>
      <c r="B2189" s="889" t="s">
        <v>1488</v>
      </c>
      <c r="C2189" s="58" t="s">
        <v>516</v>
      </c>
      <c r="D2189" s="41">
        <v>13</v>
      </c>
      <c r="E2189" s="55" t="s">
        <v>1490</v>
      </c>
      <c r="F2189" s="107" t="e">
        <f>mason</f>
        <v>#REF!</v>
      </c>
      <c r="G2189" s="107" t="e">
        <f t="shared" ref="G2189:G2194" si="66">FLOOR(D2189*F2189,0.01)</f>
        <v>#REF!</v>
      </c>
      <c r="H2189" s="108"/>
    </row>
    <row r="2190" spans="1:8" ht="17.25">
      <c r="A2190" s="1"/>
      <c r="B2190" s="887"/>
      <c r="C2190" s="56" t="s">
        <v>1433</v>
      </c>
      <c r="D2190" s="43">
        <v>4.5</v>
      </c>
      <c r="E2190" s="56" t="s">
        <v>1490</v>
      </c>
      <c r="F2190" s="63" t="e">
        <f>#REF!</f>
        <v>#REF!</v>
      </c>
      <c r="G2190" s="63" t="e">
        <f t="shared" si="66"/>
        <v>#REF!</v>
      </c>
      <c r="H2190" s="121" t="e">
        <f>SUM(G2189+G2190)</f>
        <v>#REF!</v>
      </c>
    </row>
    <row r="2191" spans="1:8" ht="17.25">
      <c r="A2191" s="1"/>
      <c r="B2191" s="886" t="s">
        <v>2055</v>
      </c>
      <c r="C2191" s="55" t="s">
        <v>2924</v>
      </c>
      <c r="D2191" s="46">
        <v>5.6000000000000001E-2</v>
      </c>
      <c r="E2191" s="55" t="s">
        <v>700</v>
      </c>
      <c r="F2191" s="109" t="e">
        <f>#REF!</f>
        <v>#REF!</v>
      </c>
      <c r="G2191" s="109" t="e">
        <f t="shared" si="66"/>
        <v>#REF!</v>
      </c>
      <c r="H2191" s="108"/>
    </row>
    <row r="2192" spans="1:8" ht="17.25">
      <c r="A2192" s="1"/>
      <c r="B2192" s="890"/>
      <c r="C2192" s="53" t="s">
        <v>697</v>
      </c>
      <c r="D2192" s="52">
        <v>0.152</v>
      </c>
      <c r="E2192" s="53" t="s">
        <v>2232</v>
      </c>
      <c r="F2192" s="109" t="e">
        <f>#REF!</f>
        <v>#REF!</v>
      </c>
      <c r="G2192" s="109" t="e">
        <f t="shared" si="66"/>
        <v>#REF!</v>
      </c>
      <c r="H2192" s="121"/>
    </row>
    <row r="2193" spans="1:8" ht="17.25">
      <c r="A2193" s="1"/>
      <c r="B2193" s="890"/>
      <c r="C2193" s="53" t="s">
        <v>2011</v>
      </c>
      <c r="D2193" s="52">
        <v>3.2280000000000002</v>
      </c>
      <c r="E2193" s="53" t="s">
        <v>2748</v>
      </c>
      <c r="F2193" s="109" t="e">
        <f>FLOOR(#REF!/1000,0.01)</f>
        <v>#REF!</v>
      </c>
      <c r="G2193" s="109" t="e">
        <f t="shared" si="66"/>
        <v>#REF!</v>
      </c>
      <c r="H2193" s="121"/>
    </row>
    <row r="2194" spans="1:8" ht="54.75" customHeight="1">
      <c r="A2194" s="1"/>
      <c r="B2194" s="887"/>
      <c r="C2194" s="700" t="s">
        <v>3785</v>
      </c>
      <c r="D2194" s="43">
        <v>11</v>
      </c>
      <c r="E2194" s="56" t="s">
        <v>2807</v>
      </c>
      <c r="F2194" s="63" t="e">
        <f>#REF!</f>
        <v>#REF!</v>
      </c>
      <c r="G2194" s="63" t="e">
        <f t="shared" si="66"/>
        <v>#REF!</v>
      </c>
      <c r="H2194" s="123" t="e">
        <f>SUM(G2191:G2194)</f>
        <v>#REF!</v>
      </c>
    </row>
    <row r="2195" spans="1:8" ht="17.25">
      <c r="A2195" s="1"/>
      <c r="B2195" s="1"/>
      <c r="C2195" s="1"/>
      <c r="D2195" s="1"/>
      <c r="E2195" s="1"/>
      <c r="F2195" s="40" t="s">
        <v>1491</v>
      </c>
      <c r="G2195" s="113"/>
      <c r="H2195" s="63" t="e">
        <f>SUM(H2190:H2194)</f>
        <v>#REF!</v>
      </c>
    </row>
    <row r="2196" spans="1:8" ht="17.25">
      <c r="A2196" s="1"/>
      <c r="B2196" s="1" t="s">
        <v>1493</v>
      </c>
      <c r="C2196" s="1"/>
      <c r="D2196" s="1"/>
      <c r="E2196" s="1"/>
      <c r="F2196" s="40" t="s">
        <v>1472</v>
      </c>
      <c r="G2196" s="113"/>
      <c r="H2196" s="99" t="e">
        <f>FLOOR(H2195*0.15,0.01)</f>
        <v>#REF!</v>
      </c>
    </row>
    <row r="2197" spans="1:8" ht="17.25">
      <c r="B2197" s="140" t="e">
        <f>+H2197</f>
        <v>#REF!</v>
      </c>
      <c r="C2197" s="27" t="s">
        <v>3005</v>
      </c>
      <c r="D2197" s="99" t="e">
        <f>INT(B2197/B2198*100)/100</f>
        <v>#REF!</v>
      </c>
      <c r="E2197" s="1" t="s">
        <v>3006</v>
      </c>
      <c r="F2197" s="40" t="s">
        <v>1494</v>
      </c>
      <c r="G2197" s="113"/>
      <c r="H2197" s="99" t="e">
        <f>SUM(H2195:H2196)</f>
        <v>#REF!</v>
      </c>
    </row>
    <row r="2198" spans="1:8" ht="16.5">
      <c r="A2198" s="1"/>
      <c r="B2198" s="117">
        <v>10</v>
      </c>
      <c r="C2198" s="1"/>
      <c r="D2198" s="1"/>
      <c r="E2198" s="1"/>
      <c r="F2198" s="1"/>
      <c r="G2198" s="1"/>
      <c r="H2198" s="1"/>
    </row>
    <row r="2199" spans="1:8" ht="15">
      <c r="A2199" s="1"/>
      <c r="B2199" s="1"/>
      <c r="C2199" s="1"/>
      <c r="D2199" s="1"/>
      <c r="E2199" s="1"/>
      <c r="F2199" s="1"/>
      <c r="G2199" s="1"/>
      <c r="H2199" s="1"/>
    </row>
    <row r="2200" spans="1:8" ht="20.25">
      <c r="A2200" s="260">
        <f>+A2159+1</f>
        <v>125</v>
      </c>
      <c r="B2200" s="877" t="s">
        <v>1038</v>
      </c>
      <c r="C2200" s="878"/>
      <c r="D2200" s="878"/>
      <c r="E2200" s="878"/>
      <c r="F2200" s="878"/>
      <c r="G2200" s="878"/>
      <c r="H2200" s="878"/>
    </row>
    <row r="2201" spans="1:8" ht="15">
      <c r="A2201" s="15" t="s">
        <v>563</v>
      </c>
      <c r="B2201" s="888" t="s">
        <v>1382</v>
      </c>
      <c r="C2201" s="879"/>
      <c r="D2201" s="879"/>
      <c r="E2201" s="879"/>
      <c r="F2201" s="879"/>
      <c r="G2201" s="879"/>
      <c r="H2201" s="879"/>
    </row>
    <row r="2202" spans="1:8" ht="31.5">
      <c r="A2202" s="668" t="s">
        <v>3545</v>
      </c>
      <c r="B2202" s="68" t="s">
        <v>2966</v>
      </c>
      <c r="C2202" s="68" t="s">
        <v>2967</v>
      </c>
      <c r="D2202" s="68" t="s">
        <v>2968</v>
      </c>
      <c r="E2202" s="68" t="s">
        <v>2969</v>
      </c>
      <c r="F2202" s="68" t="s">
        <v>2970</v>
      </c>
      <c r="G2202" s="68" t="s">
        <v>2971</v>
      </c>
      <c r="H2202" s="68" t="s">
        <v>1487</v>
      </c>
    </row>
    <row r="2203" spans="1:8" ht="17.25">
      <c r="A2203" s="1"/>
      <c r="B2203" s="889" t="s">
        <v>1488</v>
      </c>
      <c r="C2203" s="58" t="s">
        <v>516</v>
      </c>
      <c r="D2203" s="41">
        <v>13</v>
      </c>
      <c r="E2203" s="55" t="s">
        <v>1490</v>
      </c>
      <c r="F2203" s="107" t="e">
        <f>mason</f>
        <v>#REF!</v>
      </c>
      <c r="G2203" s="107" t="e">
        <f t="shared" ref="G2203:G2209" si="67">FLOOR(D2203*F2203,0.01)</f>
        <v>#REF!</v>
      </c>
      <c r="H2203" s="108"/>
    </row>
    <row r="2204" spans="1:8" ht="17.25">
      <c r="A2204" s="1"/>
      <c r="B2204" s="887"/>
      <c r="C2204" s="56" t="s">
        <v>1433</v>
      </c>
      <c r="D2204" s="43">
        <v>4.5</v>
      </c>
      <c r="E2204" s="56" t="s">
        <v>1490</v>
      </c>
      <c r="F2204" s="63" t="e">
        <f>#REF!</f>
        <v>#REF!</v>
      </c>
      <c r="G2204" s="63" t="e">
        <f t="shared" si="67"/>
        <v>#REF!</v>
      </c>
      <c r="H2204" s="121" t="e">
        <f>SUM(G2203+G2204)</f>
        <v>#REF!</v>
      </c>
    </row>
    <row r="2205" spans="1:8" ht="17.25">
      <c r="A2205" s="1"/>
      <c r="B2205" s="886" t="s">
        <v>2055</v>
      </c>
      <c r="C2205" s="55" t="s">
        <v>2924</v>
      </c>
      <c r="D2205" s="46">
        <v>5.6000000000000001E-2</v>
      </c>
      <c r="E2205" s="55" t="s">
        <v>700</v>
      </c>
      <c r="F2205" s="110" t="e">
        <f>#REF!</f>
        <v>#REF!</v>
      </c>
      <c r="G2205" s="110" t="e">
        <f t="shared" si="67"/>
        <v>#REF!</v>
      </c>
      <c r="H2205" s="108"/>
    </row>
    <row r="2206" spans="1:8" ht="17.25">
      <c r="A2206" s="1"/>
      <c r="B2206" s="890"/>
      <c r="C2206" s="53" t="s">
        <v>697</v>
      </c>
      <c r="D2206" s="52">
        <v>0.152</v>
      </c>
      <c r="E2206" s="53" t="s">
        <v>2232</v>
      </c>
      <c r="F2206" s="109" t="e">
        <f>#REF!</f>
        <v>#REF!</v>
      </c>
      <c r="G2206" s="109" t="e">
        <f t="shared" si="67"/>
        <v>#REF!</v>
      </c>
      <c r="H2206" s="121"/>
    </row>
    <row r="2207" spans="1:8" ht="17.25">
      <c r="A2207" s="1"/>
      <c r="B2207" s="890"/>
      <c r="C2207" s="53" t="s">
        <v>2011</v>
      </c>
      <c r="D2207" s="52">
        <v>3.2280000000000002</v>
      </c>
      <c r="E2207" s="53" t="s">
        <v>2748</v>
      </c>
      <c r="F2207" s="109" t="e">
        <f>FLOOR(#REF!/1000,0.01)</f>
        <v>#REF!</v>
      </c>
      <c r="G2207" s="109" t="e">
        <f t="shared" si="67"/>
        <v>#REF!</v>
      </c>
      <c r="H2207" s="121"/>
    </row>
    <row r="2208" spans="1:8" ht="17.25">
      <c r="A2208" s="1"/>
      <c r="B2208" s="890"/>
      <c r="C2208" s="53" t="s">
        <v>3513</v>
      </c>
      <c r="D2208" s="42">
        <v>10.48</v>
      </c>
      <c r="E2208" s="53" t="s">
        <v>2807</v>
      </c>
      <c r="F2208" s="109" t="e">
        <f>#REF!</f>
        <v>#REF!</v>
      </c>
      <c r="G2208" s="109" t="e">
        <f t="shared" si="67"/>
        <v>#REF!</v>
      </c>
      <c r="H2208" s="121"/>
    </row>
    <row r="2209" spans="1:8" ht="17.25">
      <c r="A2209" s="1"/>
      <c r="B2209" s="887"/>
      <c r="C2209" s="56" t="s">
        <v>562</v>
      </c>
      <c r="D2209" s="43">
        <v>0.52</v>
      </c>
      <c r="E2209" s="56" t="s">
        <v>2807</v>
      </c>
      <c r="F2209" s="63" t="e">
        <f>#REF!</f>
        <v>#REF!</v>
      </c>
      <c r="G2209" s="63" t="e">
        <f t="shared" si="67"/>
        <v>#REF!</v>
      </c>
      <c r="H2209" s="123" t="e">
        <f>SUM(G2205:G2209)</f>
        <v>#REF!</v>
      </c>
    </row>
    <row r="2210" spans="1:8" ht="17.25">
      <c r="A2210" s="1"/>
      <c r="B2210" s="1"/>
      <c r="C2210" s="1"/>
      <c r="D2210" s="1"/>
      <c r="E2210" s="1"/>
      <c r="F2210" s="40" t="s">
        <v>1491</v>
      </c>
      <c r="G2210" s="113"/>
      <c r="H2210" s="63" t="e">
        <f>SUM(H2204:H2209)</f>
        <v>#REF!</v>
      </c>
    </row>
    <row r="2211" spans="1:8" ht="17.25">
      <c r="A2211" s="1"/>
      <c r="B2211" s="1" t="s">
        <v>1493</v>
      </c>
      <c r="C2211" s="1"/>
      <c r="D2211" s="1"/>
      <c r="E2211" s="1"/>
      <c r="F2211" s="40" t="s">
        <v>1472</v>
      </c>
      <c r="G2211" s="113"/>
      <c r="H2211" s="99" t="e">
        <f>FLOOR(H2210*0.15,0.01)</f>
        <v>#REF!</v>
      </c>
    </row>
    <row r="2212" spans="1:8" ht="17.25">
      <c r="B2212" s="140" t="e">
        <f>+H2212</f>
        <v>#REF!</v>
      </c>
      <c r="C2212" s="27" t="s">
        <v>3005</v>
      </c>
      <c r="D2212" s="99" t="e">
        <f>INT(B2212/B2213*100)/100</f>
        <v>#REF!</v>
      </c>
      <c r="E2212" s="1" t="s">
        <v>3006</v>
      </c>
      <c r="F2212" s="40" t="s">
        <v>1494</v>
      </c>
      <c r="G2212" s="113"/>
      <c r="H2212" s="99" t="e">
        <f>SUM(H2210:H2211)</f>
        <v>#REF!</v>
      </c>
    </row>
    <row r="2213" spans="1:8" ht="16.5">
      <c r="A2213" s="1"/>
      <c r="B2213" s="117">
        <v>10</v>
      </c>
      <c r="C2213" s="1"/>
      <c r="D2213" s="1"/>
      <c r="E2213" s="1"/>
      <c r="F2213" s="1"/>
      <c r="G2213" s="1"/>
      <c r="H2213" s="1"/>
    </row>
    <row r="2214" spans="1:8" ht="16.5">
      <c r="A2214" s="1"/>
      <c r="B2214" s="117"/>
      <c r="C2214" s="1"/>
      <c r="D2214" s="1"/>
      <c r="E2214" s="1"/>
      <c r="F2214" s="1"/>
      <c r="G2214" s="1"/>
      <c r="H2214" s="1"/>
    </row>
    <row r="2215" spans="1:8" ht="16.5">
      <c r="A2215" s="1"/>
      <c r="B2215" s="117"/>
      <c r="C2215" s="1"/>
      <c r="D2215" s="1"/>
      <c r="E2215" s="1"/>
      <c r="F2215" s="1"/>
      <c r="G2215" s="1"/>
      <c r="H2215" s="1"/>
    </row>
    <row r="2216" spans="1:8" ht="16.5">
      <c r="A2216" s="1"/>
      <c r="B2216" s="117"/>
      <c r="C2216" s="1"/>
      <c r="D2216" s="1"/>
      <c r="E2216" s="1"/>
      <c r="F2216" s="1"/>
      <c r="G2216" s="1"/>
      <c r="H2216" s="1"/>
    </row>
    <row r="2217" spans="1:8" ht="16.5">
      <c r="A2217" s="1"/>
      <c r="B2217" s="117"/>
      <c r="C2217" s="1"/>
      <c r="D2217" s="1"/>
      <c r="E2217" s="1"/>
      <c r="F2217" s="1"/>
      <c r="G2217" s="1"/>
      <c r="H2217" s="1"/>
    </row>
    <row r="2218" spans="1:8" ht="16.5">
      <c r="A2218" s="1"/>
      <c r="B2218" s="117"/>
      <c r="C2218" s="1"/>
      <c r="D2218" s="1"/>
      <c r="E2218" s="1"/>
      <c r="F2218" s="1"/>
      <c r="G2218" s="1"/>
      <c r="H2218" s="1"/>
    </row>
    <row r="2219" spans="1:8" ht="16.5">
      <c r="A2219" s="1"/>
      <c r="B2219" s="117"/>
      <c r="C2219" s="1"/>
      <c r="D2219" s="1"/>
      <c r="E2219" s="1"/>
      <c r="F2219" s="1"/>
      <c r="G2219" s="1"/>
      <c r="H2219" s="1"/>
    </row>
    <row r="2220" spans="1:8" ht="16.5">
      <c r="A2220" s="1"/>
      <c r="B2220" s="117"/>
      <c r="C2220" s="1"/>
      <c r="D2220" s="1"/>
      <c r="E2220" s="1"/>
      <c r="F2220" s="1"/>
      <c r="G2220" s="1"/>
      <c r="H2220" s="1"/>
    </row>
    <row r="2221" spans="1:8" ht="16.5">
      <c r="A2221" s="1"/>
      <c r="B2221" s="117"/>
      <c r="C2221" s="1"/>
      <c r="D2221" s="1"/>
      <c r="E2221" s="1"/>
      <c r="F2221" s="1"/>
      <c r="G2221" s="1"/>
      <c r="H2221" s="1"/>
    </row>
    <row r="2222" spans="1:8" ht="16.5">
      <c r="A2222" s="1"/>
      <c r="B2222" s="117"/>
      <c r="C2222" s="1"/>
      <c r="D2222" s="1"/>
      <c r="E2222" s="1"/>
      <c r="F2222" s="1"/>
      <c r="G2222" s="1"/>
      <c r="H2222" s="1"/>
    </row>
    <row r="2223" spans="1:8" ht="16.5">
      <c r="A2223" s="1"/>
      <c r="B2223" s="117"/>
      <c r="C2223" s="1"/>
      <c r="D2223" s="1"/>
      <c r="E2223" s="1"/>
      <c r="F2223" s="1"/>
      <c r="G2223" s="1"/>
      <c r="H2223" s="1"/>
    </row>
    <row r="2224" spans="1:8" ht="19.5">
      <c r="A2224" s="31"/>
      <c r="B2224" s="878" t="s">
        <v>3362</v>
      </c>
      <c r="C2224" s="878"/>
      <c r="D2224" s="878"/>
      <c r="E2224" s="878"/>
      <c r="F2224" s="878"/>
      <c r="G2224" s="878"/>
      <c r="H2224" s="878"/>
    </row>
    <row r="2225" spans="1:8" ht="20.25">
      <c r="A2225" s="260">
        <f>A2200+1</f>
        <v>126</v>
      </c>
      <c r="B2225" s="877" t="s">
        <v>1566</v>
      </c>
      <c r="C2225" s="878"/>
      <c r="D2225" s="878"/>
      <c r="E2225" s="878"/>
      <c r="F2225" s="878"/>
      <c r="G2225" s="878"/>
      <c r="H2225" s="878"/>
    </row>
    <row r="2226" spans="1:8" ht="15">
      <c r="A2226" s="15" t="s">
        <v>1565</v>
      </c>
      <c r="B2226" s="888" t="s">
        <v>1382</v>
      </c>
      <c r="C2226" s="879"/>
      <c r="D2226" s="879"/>
      <c r="E2226" s="879"/>
      <c r="F2226" s="879"/>
      <c r="G2226" s="879"/>
      <c r="H2226" s="879"/>
    </row>
    <row r="2227" spans="1:8" ht="31.5">
      <c r="A2227" s="668" t="s">
        <v>3546</v>
      </c>
      <c r="B2227" s="68" t="s">
        <v>2966</v>
      </c>
      <c r="C2227" s="68" t="s">
        <v>2967</v>
      </c>
      <c r="D2227" s="68" t="s">
        <v>2968</v>
      </c>
      <c r="E2227" s="68" t="s">
        <v>2969</v>
      </c>
      <c r="F2227" s="68" t="s">
        <v>2970</v>
      </c>
      <c r="G2227" s="68" t="s">
        <v>2971</v>
      </c>
      <c r="H2227" s="68" t="s">
        <v>1487</v>
      </c>
    </row>
    <row r="2228" spans="1:8" ht="17.25">
      <c r="A2228" s="1"/>
      <c r="B2228" s="889" t="s">
        <v>1488</v>
      </c>
      <c r="C2228" s="58" t="s">
        <v>516</v>
      </c>
      <c r="D2228" s="41">
        <v>2</v>
      </c>
      <c r="E2228" s="55" t="s">
        <v>1490</v>
      </c>
      <c r="F2228" s="107" t="e">
        <f>#REF!</f>
        <v>#REF!</v>
      </c>
      <c r="G2228" s="107" t="e">
        <f>FLOOR(D2228*F2228,0.01)</f>
        <v>#REF!</v>
      </c>
      <c r="H2228" s="108"/>
    </row>
    <row r="2229" spans="1:8" ht="17.25">
      <c r="A2229" s="1"/>
      <c r="B2229" s="887"/>
      <c r="C2229" s="56" t="s">
        <v>1433</v>
      </c>
      <c r="D2229" s="43">
        <v>4.5</v>
      </c>
      <c r="E2229" s="56" t="s">
        <v>1490</v>
      </c>
      <c r="F2229" s="63" t="e">
        <f>#REF!</f>
        <v>#REF!</v>
      </c>
      <c r="G2229" s="63" t="e">
        <f>FLOOR(D2229*F2229,0.01)</f>
        <v>#REF!</v>
      </c>
      <c r="H2229" s="121" t="e">
        <f>SUM(G2228+G2229)</f>
        <v>#REF!</v>
      </c>
    </row>
    <row r="2230" spans="1:8" ht="17.25">
      <c r="A2230" s="1"/>
      <c r="B2230" s="886" t="s">
        <v>2055</v>
      </c>
      <c r="C2230" s="55" t="s">
        <v>1304</v>
      </c>
      <c r="D2230" s="46">
        <v>6.3E-2</v>
      </c>
      <c r="E2230" s="55" t="s">
        <v>700</v>
      </c>
      <c r="F2230" s="109" t="e">
        <f>#REF!</f>
        <v>#REF!</v>
      </c>
      <c r="G2230" s="109" t="e">
        <f>FLOOR(D2230*F2230,0.01)</f>
        <v>#REF!</v>
      </c>
      <c r="H2230" s="84"/>
    </row>
    <row r="2231" spans="1:8" ht="17.25">
      <c r="A2231" s="1"/>
      <c r="B2231" s="890"/>
      <c r="C2231" s="53" t="s">
        <v>697</v>
      </c>
      <c r="D2231" s="52">
        <v>0.17100000000000001</v>
      </c>
      <c r="E2231" s="53" t="s">
        <v>2232</v>
      </c>
      <c r="F2231" s="109" t="e">
        <f>#REF!</f>
        <v>#REF!</v>
      </c>
      <c r="G2231" s="109" t="e">
        <f>FLOOR(D2231*F2231,0.01)</f>
        <v>#REF!</v>
      </c>
      <c r="H2231" s="86"/>
    </row>
    <row r="2232" spans="1:8" ht="17.25">
      <c r="A2232" s="1"/>
      <c r="B2232" s="887"/>
      <c r="C2232" s="56" t="s">
        <v>1567</v>
      </c>
      <c r="D2232" s="43">
        <v>11</v>
      </c>
      <c r="E2232" s="56" t="s">
        <v>2807</v>
      </c>
      <c r="F2232" s="63" t="e">
        <f>#REF!</f>
        <v>#REF!</v>
      </c>
      <c r="G2232" s="63" t="e">
        <f>FLOOR(D2232*F2232,0.01)</f>
        <v>#REF!</v>
      </c>
      <c r="H2232" s="123" t="e">
        <f>SUM(G2230:G2232)</f>
        <v>#REF!</v>
      </c>
    </row>
    <row r="2233" spans="1:8" ht="17.25">
      <c r="A2233" s="1"/>
      <c r="B2233" s="1"/>
      <c r="C2233" s="1"/>
      <c r="D2233" s="1"/>
      <c r="E2233" s="1"/>
      <c r="F2233" s="40" t="s">
        <v>1491</v>
      </c>
      <c r="G2233" s="40"/>
      <c r="H2233" s="63" t="e">
        <f>SUM(H2229:H2232)</f>
        <v>#REF!</v>
      </c>
    </row>
    <row r="2234" spans="1:8" ht="17.25">
      <c r="A2234" s="1"/>
      <c r="B2234" s="1" t="s">
        <v>1493</v>
      </c>
      <c r="C2234" s="1"/>
      <c r="D2234" s="1"/>
      <c r="E2234" s="1"/>
      <c r="F2234" s="40" t="s">
        <v>1472</v>
      </c>
      <c r="G2234" s="40"/>
      <c r="H2234" s="99" t="e">
        <f>FLOOR(H2233*0.15,0.01)</f>
        <v>#REF!</v>
      </c>
    </row>
    <row r="2235" spans="1:8" ht="17.25">
      <c r="B2235" s="140" t="e">
        <f>+H2235</f>
        <v>#REF!</v>
      </c>
      <c r="C2235" s="27" t="s">
        <v>3005</v>
      </c>
      <c r="D2235" s="99" t="e">
        <f>INT(B2235/B2236*100)/100</f>
        <v>#REF!</v>
      </c>
      <c r="E2235" s="1" t="s">
        <v>3006</v>
      </c>
      <c r="F2235" s="40" t="s">
        <v>1494</v>
      </c>
      <c r="G2235" s="40"/>
      <c r="H2235" s="99" t="e">
        <f>SUM(H2233:H2234)</f>
        <v>#REF!</v>
      </c>
    </row>
    <row r="2236" spans="1:8" ht="20.25">
      <c r="A2236" s="1"/>
      <c r="B2236" s="117">
        <v>10</v>
      </c>
      <c r="C2236" s="1"/>
      <c r="D2236" s="1"/>
      <c r="E2236" s="1"/>
      <c r="F2236" s="137"/>
      <c r="G2236" s="137"/>
      <c r="H2236" s="137"/>
    </row>
    <row r="2237" spans="1:8" ht="20.25">
      <c r="A2237" s="1"/>
      <c r="B2237" s="117"/>
      <c r="C2237" s="1"/>
      <c r="D2237" s="1"/>
      <c r="E2237" s="1"/>
      <c r="F2237" s="137"/>
      <c r="G2237" s="137"/>
      <c r="H2237" s="137"/>
    </row>
    <row r="2238" spans="1:8" ht="20.25">
      <c r="A2238" s="260">
        <f>+A2225+1</f>
        <v>127</v>
      </c>
      <c r="B2238" s="877" t="s">
        <v>3363</v>
      </c>
      <c r="C2238" s="878"/>
      <c r="D2238" s="878"/>
      <c r="E2238" s="878"/>
      <c r="F2238" s="878"/>
      <c r="G2238" s="878"/>
      <c r="H2238" s="878"/>
    </row>
    <row r="2239" spans="1:8" ht="15">
      <c r="A2239" s="15" t="s">
        <v>1568</v>
      </c>
      <c r="B2239" s="928" t="s">
        <v>1382</v>
      </c>
      <c r="C2239" s="885"/>
      <c r="D2239" s="885"/>
      <c r="E2239" s="885"/>
      <c r="F2239" s="885"/>
      <c r="G2239" s="885"/>
      <c r="H2239" s="885"/>
    </row>
    <row r="2240" spans="1:8" ht="31.5">
      <c r="A2240" s="668" t="s">
        <v>3547</v>
      </c>
      <c r="B2240" s="68" t="s">
        <v>2966</v>
      </c>
      <c r="C2240" s="68" t="s">
        <v>2967</v>
      </c>
      <c r="D2240" s="68" t="s">
        <v>2968</v>
      </c>
      <c r="E2240" s="68" t="s">
        <v>2969</v>
      </c>
      <c r="F2240" s="68" t="s">
        <v>2970</v>
      </c>
      <c r="G2240" s="68" t="s">
        <v>2971</v>
      </c>
      <c r="H2240" s="68" t="s">
        <v>1487</v>
      </c>
    </row>
    <row r="2241" spans="1:8" ht="17.25">
      <c r="A2241" s="1"/>
      <c r="B2241" s="889" t="s">
        <v>1488</v>
      </c>
      <c r="C2241" s="58" t="s">
        <v>516</v>
      </c>
      <c r="D2241" s="41">
        <v>1</v>
      </c>
      <c r="E2241" s="55" t="s">
        <v>1490</v>
      </c>
      <c r="F2241" s="107" t="e">
        <f>#REF!</f>
        <v>#REF!</v>
      </c>
      <c r="G2241" s="107" t="e">
        <f>FLOOR(D2241*F2241,0.01)</f>
        <v>#REF!</v>
      </c>
      <c r="H2241" s="108"/>
    </row>
    <row r="2242" spans="1:8" ht="17.25">
      <c r="A2242" s="1"/>
      <c r="B2242" s="887"/>
      <c r="C2242" s="56" t="s">
        <v>1433</v>
      </c>
      <c r="D2242" s="43">
        <v>3</v>
      </c>
      <c r="E2242" s="56" t="s">
        <v>1490</v>
      </c>
      <c r="F2242" s="63" t="e">
        <f>#REF!</f>
        <v>#REF!</v>
      </c>
      <c r="G2242" s="63" t="e">
        <f>FLOOR(D2242*F2242,0.01)</f>
        <v>#REF!</v>
      </c>
      <c r="H2242" s="123" t="e">
        <f>SUM(G2241+G2242)</f>
        <v>#REF!</v>
      </c>
    </row>
    <row r="2243" spans="1:8" ht="17.25">
      <c r="A2243" s="1"/>
      <c r="B2243" s="886" t="s">
        <v>2055</v>
      </c>
      <c r="C2243" s="55" t="s">
        <v>3232</v>
      </c>
      <c r="D2243" s="41">
        <v>11</v>
      </c>
      <c r="E2243" s="55" t="s">
        <v>2807</v>
      </c>
      <c r="F2243" s="109" t="e">
        <f>#REF!</f>
        <v>#REF!</v>
      </c>
      <c r="G2243" s="109" t="e">
        <f>FLOOR(D2243*F2243,0.01)</f>
        <v>#REF!</v>
      </c>
      <c r="H2243" s="86"/>
    </row>
    <row r="2244" spans="1:8" ht="17.25">
      <c r="A2244" s="1"/>
      <c r="B2244" s="887"/>
      <c r="C2244" s="56" t="s">
        <v>697</v>
      </c>
      <c r="D2244" s="43">
        <v>0.71</v>
      </c>
      <c r="E2244" s="56" t="s">
        <v>2232</v>
      </c>
      <c r="F2244" s="63" t="e">
        <f>#REF!</f>
        <v>#REF!</v>
      </c>
      <c r="G2244" s="63" t="e">
        <f>FLOOR(D2244*F2244,0.01)</f>
        <v>#REF!</v>
      </c>
      <c r="H2244" s="87" t="e">
        <f>SUM(G2243:G2244)</f>
        <v>#REF!</v>
      </c>
    </row>
    <row r="2245" spans="1:8" ht="17.25">
      <c r="A2245" s="1"/>
      <c r="B2245" s="1"/>
      <c r="C2245" s="1"/>
      <c r="D2245" s="1"/>
      <c r="E2245" s="1"/>
      <c r="F2245" s="40" t="s">
        <v>1491</v>
      </c>
      <c r="G2245" s="40"/>
      <c r="H2245" s="43" t="e">
        <f>SUM(H2242:H2244)</f>
        <v>#REF!</v>
      </c>
    </row>
    <row r="2246" spans="1:8" ht="18.75">
      <c r="A2246" s="1"/>
      <c r="B2246" s="1" t="s">
        <v>1493</v>
      </c>
      <c r="C2246" s="710"/>
      <c r="D2246" s="1"/>
      <c r="E2246" s="1"/>
      <c r="F2246" s="40" t="s">
        <v>1472</v>
      </c>
      <c r="G2246" s="40"/>
      <c r="H2246" s="99" t="e">
        <f>FLOOR(H2245*0.15,0.01)</f>
        <v>#REF!</v>
      </c>
    </row>
    <row r="2247" spans="1:8" ht="17.25">
      <c r="B2247" s="140" t="e">
        <f>+H2247</f>
        <v>#REF!</v>
      </c>
      <c r="C2247" s="27" t="s">
        <v>3801</v>
      </c>
      <c r="D2247" s="99" t="e">
        <f>INT(B2247/B2248*100)/100</f>
        <v>#REF!</v>
      </c>
      <c r="E2247" s="1" t="s">
        <v>3006</v>
      </c>
      <c r="F2247" s="40" t="s">
        <v>1494</v>
      </c>
      <c r="G2247" s="40"/>
      <c r="H2247" s="44" t="e">
        <f>SUM(H2245:H2246)</f>
        <v>#REF!</v>
      </c>
    </row>
    <row r="2248" spans="1:8" ht="16.5">
      <c r="A2248" s="1"/>
      <c r="B2248" s="117">
        <v>10</v>
      </c>
      <c r="C2248" s="1"/>
      <c r="D2248" s="1"/>
      <c r="E2248" s="1"/>
      <c r="F2248" s="1"/>
      <c r="G2248" s="1"/>
      <c r="H2248" s="1"/>
    </row>
    <row r="2249" spans="1:8" ht="16.5">
      <c r="A2249" s="1"/>
      <c r="B2249" s="117"/>
      <c r="C2249" s="1"/>
      <c r="D2249" s="1"/>
      <c r="E2249" s="1"/>
      <c r="F2249" s="1"/>
      <c r="G2249" s="1"/>
      <c r="H2249" s="1"/>
    </row>
    <row r="2250" spans="1:8" ht="16.5">
      <c r="A2250" s="1"/>
      <c r="B2250" s="117"/>
      <c r="C2250" s="1"/>
      <c r="D2250" s="1"/>
      <c r="E2250" s="1"/>
      <c r="F2250" s="1"/>
      <c r="G2250" s="1"/>
      <c r="H2250" s="1"/>
    </row>
    <row r="2251" spans="1:8" ht="33" customHeight="1">
      <c r="A2251" s="260">
        <f>A2238+1</f>
        <v>128</v>
      </c>
      <c r="B2251" s="935" t="s">
        <v>2205</v>
      </c>
      <c r="C2251" s="909"/>
      <c r="D2251" s="909"/>
      <c r="E2251" s="909"/>
      <c r="F2251" s="909"/>
      <c r="G2251" s="909"/>
      <c r="H2251" s="909"/>
    </row>
    <row r="2252" spans="1:8" ht="15">
      <c r="A2252" s="15" t="s">
        <v>1569</v>
      </c>
      <c r="B2252" s="888" t="s">
        <v>1382</v>
      </c>
      <c r="C2252" s="879"/>
      <c r="D2252" s="879"/>
      <c r="E2252" s="879"/>
      <c r="F2252" s="879"/>
      <c r="G2252" s="879"/>
      <c r="H2252" s="879"/>
    </row>
    <row r="2253" spans="1:8" ht="15">
      <c r="A2253" s="668" t="s">
        <v>3548</v>
      </c>
      <c r="B2253" s="3"/>
      <c r="C2253" s="1"/>
      <c r="D2253" s="1"/>
      <c r="E2253" s="1"/>
      <c r="F2253" s="3"/>
      <c r="G2253" s="3"/>
      <c r="H2253" s="3"/>
    </row>
    <row r="2254" spans="1:8" ht="31.5">
      <c r="A2254" s="1"/>
      <c r="B2254" s="68" t="s">
        <v>2966</v>
      </c>
      <c r="C2254" s="68" t="s">
        <v>2967</v>
      </c>
      <c r="D2254" s="68" t="s">
        <v>2968</v>
      </c>
      <c r="E2254" s="68" t="s">
        <v>2969</v>
      </c>
      <c r="F2254" s="68" t="s">
        <v>2970</v>
      </c>
      <c r="G2254" s="68" t="s">
        <v>2971</v>
      </c>
      <c r="H2254" s="68" t="s">
        <v>1487</v>
      </c>
    </row>
    <row r="2255" spans="1:8" ht="17.25">
      <c r="A2255" s="1"/>
      <c r="B2255" s="889" t="s">
        <v>1488</v>
      </c>
      <c r="C2255" s="58" t="s">
        <v>516</v>
      </c>
      <c r="D2255" s="41">
        <v>2</v>
      </c>
      <c r="E2255" s="55" t="s">
        <v>1490</v>
      </c>
      <c r="F2255" s="107" t="e">
        <f>#REF!</f>
        <v>#REF!</v>
      </c>
      <c r="G2255" s="107" t="e">
        <f>FLOOR(D2255*F2255,0.01)</f>
        <v>#REF!</v>
      </c>
      <c r="H2255" s="108"/>
    </row>
    <row r="2256" spans="1:8" ht="17.25">
      <c r="A2256" s="1"/>
      <c r="B2256" s="887"/>
      <c r="C2256" s="56" t="s">
        <v>1433</v>
      </c>
      <c r="D2256" s="43">
        <v>4.5</v>
      </c>
      <c r="E2256" s="56" t="s">
        <v>1490</v>
      </c>
      <c r="F2256" s="63" t="e">
        <f>#REF!</f>
        <v>#REF!</v>
      </c>
      <c r="G2256" s="63" t="e">
        <f>FLOOR(D2256*F2256,0.01)</f>
        <v>#REF!</v>
      </c>
      <c r="H2256" s="121" t="e">
        <f>SUM(G2255+G2256)</f>
        <v>#REF!</v>
      </c>
    </row>
    <row r="2257" spans="1:8" ht="17.25">
      <c r="A2257" s="1"/>
      <c r="B2257" s="886" t="s">
        <v>2055</v>
      </c>
      <c r="C2257" s="55" t="s">
        <v>1570</v>
      </c>
      <c r="D2257" s="41">
        <v>11</v>
      </c>
      <c r="E2257" s="55" t="s">
        <v>2807</v>
      </c>
      <c r="F2257" s="109" t="e">
        <f>#REF!</f>
        <v>#REF!</v>
      </c>
      <c r="G2257" s="109" t="e">
        <f>FLOOR(D2257*F2257,0.01)</f>
        <v>#REF!</v>
      </c>
      <c r="H2257" s="84"/>
    </row>
    <row r="2258" spans="1:8" ht="17.25">
      <c r="A2258" s="1"/>
      <c r="B2258" s="890"/>
      <c r="C2258" s="53" t="s">
        <v>1436</v>
      </c>
      <c r="D2258" s="52">
        <v>0.06</v>
      </c>
      <c r="E2258" s="53" t="s">
        <v>700</v>
      </c>
      <c r="F2258" s="109" t="e">
        <f>#REF!</f>
        <v>#REF!</v>
      </c>
      <c r="G2258" s="109" t="e">
        <f>FLOOR(D2258*F2258,0.01)</f>
        <v>#REF!</v>
      </c>
      <c r="H2258" s="86"/>
    </row>
    <row r="2259" spans="1:8" ht="17.25">
      <c r="A2259" s="1"/>
      <c r="B2259" s="887"/>
      <c r="C2259" s="56" t="s">
        <v>697</v>
      </c>
      <c r="D2259" s="49">
        <v>0.16500000000000001</v>
      </c>
      <c r="E2259" s="56" t="s">
        <v>2232</v>
      </c>
      <c r="F2259" s="63" t="e">
        <f>#REF!</f>
        <v>#REF!</v>
      </c>
      <c r="G2259" s="63" t="e">
        <f>FLOOR(D2259*F2259,0.01)</f>
        <v>#REF!</v>
      </c>
      <c r="H2259" s="123" t="e">
        <f>SUM(G2257:G2259)</f>
        <v>#REF!</v>
      </c>
    </row>
    <row r="2260" spans="1:8" ht="17.25">
      <c r="A2260" s="1"/>
      <c r="B2260" s="1"/>
      <c r="C2260" s="1"/>
      <c r="D2260" s="1"/>
      <c r="E2260" s="1"/>
      <c r="F2260" s="40" t="s">
        <v>1491</v>
      </c>
      <c r="G2260" s="40"/>
      <c r="H2260" s="63" t="e">
        <f>SUM(H2256:H2259)</f>
        <v>#REF!</v>
      </c>
    </row>
    <row r="2261" spans="1:8" ht="18.75">
      <c r="A2261" s="1"/>
      <c r="B2261" s="1" t="s">
        <v>1493</v>
      </c>
      <c r="C2261" s="710"/>
      <c r="D2261" s="1"/>
      <c r="E2261" s="1"/>
      <c r="F2261" s="40" t="s">
        <v>1472</v>
      </c>
      <c r="G2261" s="40"/>
      <c r="H2261" s="99" t="e">
        <f>FLOOR(H2260*0.15,0.01)</f>
        <v>#REF!</v>
      </c>
    </row>
    <row r="2262" spans="1:8" ht="17.25">
      <c r="B2262" s="140" t="e">
        <f>+H2262</f>
        <v>#REF!</v>
      </c>
      <c r="C2262" s="27" t="s">
        <v>3801</v>
      </c>
      <c r="D2262" s="99" t="e">
        <f>INT(B2262/B2263*100)/100</f>
        <v>#REF!</v>
      </c>
      <c r="E2262" s="1" t="s">
        <v>3006</v>
      </c>
      <c r="F2262" s="40" t="s">
        <v>1494</v>
      </c>
      <c r="G2262" s="40"/>
      <c r="H2262" s="99" t="e">
        <f>SUM(H2260:H2261)</f>
        <v>#REF!</v>
      </c>
    </row>
    <row r="2263" spans="1:8" ht="16.5">
      <c r="A2263" s="1"/>
      <c r="B2263" s="117">
        <v>10</v>
      </c>
      <c r="C2263" s="1"/>
      <c r="D2263" s="1"/>
      <c r="E2263" s="1"/>
      <c r="F2263" s="1"/>
      <c r="G2263" s="1"/>
      <c r="H2263" s="1"/>
    </row>
    <row r="2264" spans="1:8" ht="16.5">
      <c r="A2264" s="1"/>
      <c r="B2264" s="117"/>
      <c r="C2264" s="1"/>
      <c r="D2264" s="1"/>
      <c r="E2264" s="1"/>
      <c r="F2264" s="1"/>
      <c r="G2264" s="1"/>
      <c r="H2264" s="1"/>
    </row>
    <row r="2265" spans="1:8" ht="16.5">
      <c r="A2265" s="1"/>
      <c r="B2265" s="117"/>
      <c r="C2265" s="1"/>
      <c r="D2265" s="1"/>
      <c r="E2265" s="1"/>
      <c r="F2265" s="1"/>
      <c r="G2265" s="1"/>
      <c r="H2265" s="1"/>
    </row>
    <row r="2266" spans="1:8" ht="20.25">
      <c r="A2266" s="260">
        <f>+A2251+1</f>
        <v>129</v>
      </c>
      <c r="B2266" s="935" t="s">
        <v>2599</v>
      </c>
      <c r="C2266" s="909"/>
      <c r="D2266" s="909"/>
      <c r="E2266" s="909"/>
      <c r="F2266" s="909"/>
      <c r="G2266" s="909"/>
      <c r="H2266" s="909"/>
    </row>
    <row r="2267" spans="1:8" ht="19.5">
      <c r="A2267" s="15" t="s">
        <v>1571</v>
      </c>
      <c r="B2267" s="877" t="s">
        <v>986</v>
      </c>
      <c r="C2267" s="878"/>
      <c r="D2267" s="878"/>
      <c r="E2267" s="878"/>
      <c r="F2267" s="878"/>
      <c r="G2267" s="878"/>
      <c r="H2267" s="878"/>
    </row>
    <row r="2268" spans="1:8" ht="15">
      <c r="A2268" s="668" t="s">
        <v>3549</v>
      </c>
      <c r="B2268" s="879" t="s">
        <v>1382</v>
      </c>
      <c r="C2268" s="879"/>
      <c r="D2268" s="879"/>
      <c r="E2268" s="879"/>
      <c r="F2268" s="879"/>
      <c r="G2268" s="879"/>
      <c r="H2268" s="879"/>
    </row>
    <row r="2269" spans="1:8" ht="19.5">
      <c r="A2269" s="1"/>
      <c r="B2269" s="3"/>
      <c r="C2269" s="36"/>
      <c r="D2269" s="36"/>
      <c r="E2269" s="36"/>
      <c r="F2269" s="3"/>
      <c r="G2269" s="3"/>
      <c r="H2269" s="3"/>
    </row>
    <row r="2270" spans="1:8" ht="31.5">
      <c r="A2270" s="1"/>
      <c r="B2270" s="68" t="s">
        <v>2966</v>
      </c>
      <c r="C2270" s="68" t="s">
        <v>2967</v>
      </c>
      <c r="D2270" s="68" t="s">
        <v>2968</v>
      </c>
      <c r="E2270" s="68" t="s">
        <v>2969</v>
      </c>
      <c r="F2270" s="68" t="s">
        <v>2970</v>
      </c>
      <c r="G2270" s="68" t="s">
        <v>2971</v>
      </c>
      <c r="H2270" s="68" t="s">
        <v>1487</v>
      </c>
    </row>
    <row r="2271" spans="1:8" ht="16.5">
      <c r="A2271" s="1"/>
      <c r="B2271" s="889" t="s">
        <v>1488</v>
      </c>
      <c r="C2271" s="58" t="s">
        <v>516</v>
      </c>
      <c r="D2271" s="46">
        <v>4.5</v>
      </c>
      <c r="E2271" s="11" t="s">
        <v>1490</v>
      </c>
      <c r="F2271" s="107" t="e">
        <f>#REF!</f>
        <v>#REF!</v>
      </c>
      <c r="G2271" s="107" t="e">
        <f t="shared" ref="G2271:G2277" si="68">FLOOR(D2271*F2271,0.01)</f>
        <v>#REF!</v>
      </c>
      <c r="H2271" s="108"/>
    </row>
    <row r="2272" spans="1:8" ht="17.25">
      <c r="A2272" s="1"/>
      <c r="B2272" s="887"/>
      <c r="C2272" s="56" t="s">
        <v>1433</v>
      </c>
      <c r="D2272" s="49">
        <v>4.5</v>
      </c>
      <c r="E2272" s="56" t="s">
        <v>1490</v>
      </c>
      <c r="F2272" s="63" t="e">
        <f>#REF!</f>
        <v>#REF!</v>
      </c>
      <c r="G2272" s="63" t="e">
        <f t="shared" si="68"/>
        <v>#REF!</v>
      </c>
      <c r="H2272" s="121" t="e">
        <f>SUM(G2271+G2272)</f>
        <v>#REF!</v>
      </c>
    </row>
    <row r="2273" spans="1:8" ht="17.25">
      <c r="A2273" s="1"/>
      <c r="B2273" s="886" t="s">
        <v>2055</v>
      </c>
      <c r="C2273" s="55" t="s">
        <v>987</v>
      </c>
      <c r="D2273" s="41">
        <v>440</v>
      </c>
      <c r="E2273" s="55" t="s">
        <v>699</v>
      </c>
      <c r="F2273" s="110" t="e">
        <f>#REF!</f>
        <v>#REF!</v>
      </c>
      <c r="G2273" s="109" t="e">
        <f t="shared" si="68"/>
        <v>#REF!</v>
      </c>
      <c r="H2273" s="84"/>
    </row>
    <row r="2274" spans="1:8" ht="17.25">
      <c r="A2274" s="1"/>
      <c r="B2274" s="890"/>
      <c r="C2274" s="53" t="s">
        <v>1849</v>
      </c>
      <c r="D2274" s="52">
        <v>0.122</v>
      </c>
      <c r="E2274" s="53" t="s">
        <v>2232</v>
      </c>
      <c r="F2274" s="109" t="e">
        <f>#REF!*640</f>
        <v>#REF!</v>
      </c>
      <c r="G2274" s="109" t="e">
        <f t="shared" si="68"/>
        <v>#REF!</v>
      </c>
      <c r="H2274" s="86"/>
    </row>
    <row r="2275" spans="1:8" ht="17.25">
      <c r="A2275" s="1"/>
      <c r="B2275" s="890"/>
      <c r="C2275" s="53" t="s">
        <v>988</v>
      </c>
      <c r="D2275" s="52">
        <v>0.24399999999999999</v>
      </c>
      <c r="E2275" s="53" t="s">
        <v>2232</v>
      </c>
      <c r="F2275" s="42" t="e">
        <f>#REF!</f>
        <v>#REF!</v>
      </c>
      <c r="G2275" s="109" t="e">
        <f t="shared" si="68"/>
        <v>#REF!</v>
      </c>
      <c r="H2275" s="86"/>
    </row>
    <row r="2276" spans="1:8" ht="17.25">
      <c r="A2276" s="1"/>
      <c r="B2276" s="890"/>
      <c r="C2276" s="53" t="s">
        <v>1436</v>
      </c>
      <c r="D2276" s="52">
        <v>1.6E-2</v>
      </c>
      <c r="E2276" s="53" t="s">
        <v>700</v>
      </c>
      <c r="F2276" s="109" t="e">
        <f>#REF!</f>
        <v>#REF!</v>
      </c>
      <c r="G2276" s="109" t="e">
        <f t="shared" si="68"/>
        <v>#REF!</v>
      </c>
      <c r="H2276" s="86"/>
    </row>
    <row r="2277" spans="1:8" ht="17.25">
      <c r="A2277" s="1"/>
      <c r="B2277" s="887"/>
      <c r="C2277" s="56" t="s">
        <v>697</v>
      </c>
      <c r="D2277" s="43">
        <v>0.11</v>
      </c>
      <c r="E2277" s="56" t="s">
        <v>2232</v>
      </c>
      <c r="F2277" s="63" t="e">
        <f>#REF!</f>
        <v>#REF!</v>
      </c>
      <c r="G2277" s="63" t="e">
        <f t="shared" si="68"/>
        <v>#REF!</v>
      </c>
      <c r="H2277" s="123" t="e">
        <f>SUM(G2273:G2277)</f>
        <v>#REF!</v>
      </c>
    </row>
    <row r="2278" spans="1:8" ht="17.25">
      <c r="A2278" s="1"/>
      <c r="B2278" s="1"/>
      <c r="C2278" s="1"/>
      <c r="D2278" s="1"/>
      <c r="E2278" s="1"/>
      <c r="F2278" s="40" t="s">
        <v>1491</v>
      </c>
      <c r="G2278" s="40"/>
      <c r="H2278" s="63" t="e">
        <f>SUM(H2272:H2277)</f>
        <v>#REF!</v>
      </c>
    </row>
    <row r="2279" spans="1:8" ht="18.75">
      <c r="A2279" s="1"/>
      <c r="B2279" s="1" t="s">
        <v>1493</v>
      </c>
      <c r="C2279" s="710"/>
      <c r="D2279" s="1"/>
      <c r="E2279" s="1"/>
      <c r="F2279" s="40" t="s">
        <v>1472</v>
      </c>
      <c r="G2279" s="40"/>
      <c r="H2279" s="99" t="e">
        <f>FLOOR(H2278*0.15,0.01)</f>
        <v>#REF!</v>
      </c>
    </row>
    <row r="2280" spans="1:8" ht="17.25">
      <c r="B2280" s="140" t="e">
        <f>+H2280</f>
        <v>#REF!</v>
      </c>
      <c r="C2280" s="27" t="s">
        <v>3801</v>
      </c>
      <c r="D2280" s="99" t="e">
        <f>INT(B2280/B2281*100)/100</f>
        <v>#REF!</v>
      </c>
      <c r="E2280" s="1" t="s">
        <v>3006</v>
      </c>
      <c r="F2280" s="40" t="s">
        <v>1494</v>
      </c>
      <c r="G2280" s="40"/>
      <c r="H2280" s="99" t="e">
        <f>SUM(H2278:H2279)</f>
        <v>#REF!</v>
      </c>
    </row>
    <row r="2281" spans="1:8" ht="16.5">
      <c r="A2281" s="1"/>
      <c r="B2281" s="117">
        <v>10</v>
      </c>
      <c r="C2281" s="1"/>
      <c r="D2281" s="1"/>
      <c r="E2281" s="1"/>
      <c r="F2281" s="1"/>
      <c r="G2281" s="1"/>
      <c r="H2281" s="1"/>
    </row>
    <row r="2282" spans="1:8" ht="15">
      <c r="A2282" s="106" t="s">
        <v>2600</v>
      </c>
      <c r="B2282" s="1"/>
      <c r="C2282" s="1"/>
      <c r="D2282" s="1"/>
      <c r="E2282" s="1"/>
      <c r="F2282" s="1"/>
      <c r="G2282" s="1"/>
      <c r="H2282" s="1"/>
    </row>
    <row r="2283" spans="1:8" ht="15">
      <c r="A2283" s="1"/>
      <c r="B2283" s="1"/>
      <c r="C2283" s="1"/>
      <c r="D2283" s="1"/>
      <c r="E2283" s="1"/>
      <c r="F2283" s="1"/>
      <c r="G2283" s="1"/>
      <c r="H2283" s="1"/>
    </row>
    <row r="2284" spans="1:8" ht="19.5">
      <c r="A2284" s="31"/>
      <c r="B2284" s="878" t="s">
        <v>2654</v>
      </c>
      <c r="C2284" s="878"/>
      <c r="D2284" s="878"/>
      <c r="E2284" s="878"/>
      <c r="F2284" s="878"/>
      <c r="G2284" s="878"/>
      <c r="H2284" s="878"/>
    </row>
    <row r="2285" spans="1:8" ht="20.25">
      <c r="A2285" s="260">
        <f>+A2266+1</f>
        <v>130</v>
      </c>
      <c r="B2285" s="877" t="s">
        <v>2655</v>
      </c>
      <c r="C2285" s="878"/>
      <c r="D2285" s="878"/>
      <c r="E2285" s="878"/>
      <c r="F2285" s="878"/>
      <c r="G2285" s="878"/>
      <c r="H2285" s="878"/>
    </row>
    <row r="2286" spans="1:8" ht="15">
      <c r="A2286" s="15" t="s">
        <v>989</v>
      </c>
      <c r="B2286" s="928" t="s">
        <v>1382</v>
      </c>
      <c r="C2286" s="885"/>
      <c r="D2286" s="885"/>
      <c r="E2286" s="885"/>
      <c r="F2286" s="885"/>
      <c r="G2286" s="885"/>
      <c r="H2286" s="885"/>
    </row>
    <row r="2287" spans="1:8" ht="31.5">
      <c r="A2287" s="668" t="s">
        <v>3550</v>
      </c>
      <c r="B2287" s="68" t="s">
        <v>2966</v>
      </c>
      <c r="C2287" s="68" t="s">
        <v>2967</v>
      </c>
      <c r="D2287" s="68" t="s">
        <v>2968</v>
      </c>
      <c r="E2287" s="68" t="s">
        <v>2969</v>
      </c>
      <c r="F2287" s="68" t="s">
        <v>2970</v>
      </c>
      <c r="G2287" s="68" t="s">
        <v>2971</v>
      </c>
      <c r="H2287" s="68" t="s">
        <v>1487</v>
      </c>
    </row>
    <row r="2288" spans="1:8" ht="16.5">
      <c r="A2288" s="1"/>
      <c r="B2288" s="889" t="s">
        <v>1488</v>
      </c>
      <c r="C2288" s="58" t="s">
        <v>516</v>
      </c>
      <c r="D2288" s="41">
        <v>2.25</v>
      </c>
      <c r="E2288" s="11" t="s">
        <v>1490</v>
      </c>
      <c r="F2288" s="107" t="e">
        <f>#REF!</f>
        <v>#REF!</v>
      </c>
      <c r="G2288" s="107" t="e">
        <f>FLOOR(D2288*F2288,0.01)</f>
        <v>#REF!</v>
      </c>
      <c r="H2288" s="108"/>
    </row>
    <row r="2289" spans="1:8" ht="17.25">
      <c r="A2289" s="1"/>
      <c r="B2289" s="887"/>
      <c r="C2289" s="56" t="s">
        <v>1433</v>
      </c>
      <c r="D2289" s="43">
        <v>3.25</v>
      </c>
      <c r="E2289" s="56" t="s">
        <v>1490</v>
      </c>
      <c r="F2289" s="63" t="e">
        <f>#REF!</f>
        <v>#REF!</v>
      </c>
      <c r="G2289" s="63" t="e">
        <f>FLOOR(D2289*F2289,0.01)</f>
        <v>#REF!</v>
      </c>
      <c r="H2289" s="121" t="e">
        <f>SUM(G2288+G2289)</f>
        <v>#REF!</v>
      </c>
    </row>
    <row r="2290" spans="1:8" ht="17.25">
      <c r="A2290" s="1"/>
      <c r="B2290" s="886" t="s">
        <v>2055</v>
      </c>
      <c r="C2290" s="55" t="s">
        <v>2656</v>
      </c>
      <c r="D2290" s="41">
        <v>430</v>
      </c>
      <c r="E2290" s="55" t="s">
        <v>699</v>
      </c>
      <c r="F2290" s="110" t="e">
        <f>#REF!</f>
        <v>#REF!</v>
      </c>
      <c r="G2290" s="109" t="e">
        <f>FLOOR(D2290*F2290,0.01)</f>
        <v>#REF!</v>
      </c>
      <c r="H2290" s="84"/>
    </row>
    <row r="2291" spans="1:8" ht="17.25">
      <c r="A2291" s="1"/>
      <c r="B2291" s="890"/>
      <c r="C2291" s="53" t="s">
        <v>1436</v>
      </c>
      <c r="D2291" s="52">
        <v>7.8E-2</v>
      </c>
      <c r="E2291" s="53" t="s">
        <v>700</v>
      </c>
      <c r="F2291" s="109" t="e">
        <f>#REF!</f>
        <v>#REF!</v>
      </c>
      <c r="G2291" s="109" t="e">
        <f>FLOOR(D2291*F2291,0.01)</f>
        <v>#REF!</v>
      </c>
      <c r="H2291" s="86"/>
    </row>
    <row r="2292" spans="1:8" ht="17.25">
      <c r="A2292" s="1"/>
      <c r="B2292" s="887"/>
      <c r="C2292" s="56" t="s">
        <v>697</v>
      </c>
      <c r="D2292" s="49">
        <v>0.22900000000000001</v>
      </c>
      <c r="E2292" s="56" t="s">
        <v>2232</v>
      </c>
      <c r="F2292" s="63" t="e">
        <f>#REF!</f>
        <v>#REF!</v>
      </c>
      <c r="G2292" s="63" t="e">
        <f>FLOOR(D2292*F2292,0.01)</f>
        <v>#REF!</v>
      </c>
      <c r="H2292" s="123" t="e">
        <f>SUM(G2290:G2292)</f>
        <v>#REF!</v>
      </c>
    </row>
    <row r="2293" spans="1:8" ht="17.25">
      <c r="A2293" s="1"/>
      <c r="B2293" s="1"/>
      <c r="C2293" s="1"/>
      <c r="D2293" s="1"/>
      <c r="E2293" s="1"/>
      <c r="F2293" s="40" t="s">
        <v>1491</v>
      </c>
      <c r="G2293" s="40"/>
      <c r="H2293" s="63" t="e">
        <f>SUM(H2289:H2292)</f>
        <v>#REF!</v>
      </c>
    </row>
    <row r="2294" spans="1:8" ht="17.25">
      <c r="A2294" s="1"/>
      <c r="B2294" s="1" t="s">
        <v>1493</v>
      </c>
      <c r="C2294" s="1"/>
      <c r="D2294" s="1"/>
      <c r="E2294" s="1"/>
      <c r="F2294" s="40" t="s">
        <v>1472</v>
      </c>
      <c r="G2294" s="40"/>
      <c r="H2294" s="99" t="e">
        <f>FLOOR(H2293*0.15,0.01)</f>
        <v>#REF!</v>
      </c>
    </row>
    <row r="2295" spans="1:8" ht="17.25">
      <c r="B2295" s="140" t="e">
        <f>+H2295</f>
        <v>#REF!</v>
      </c>
      <c r="C2295" s="27" t="s">
        <v>3801</v>
      </c>
      <c r="D2295" s="99" t="e">
        <f>INT(B2295/B2296*100)/100</f>
        <v>#REF!</v>
      </c>
      <c r="E2295" s="1" t="s">
        <v>3006</v>
      </c>
      <c r="F2295" s="40" t="s">
        <v>1494</v>
      </c>
      <c r="G2295" s="40"/>
      <c r="H2295" s="99" t="e">
        <f>SUM(H2293:H2294)</f>
        <v>#REF!</v>
      </c>
    </row>
    <row r="2296" spans="1:8" ht="16.5">
      <c r="A2296" s="1"/>
      <c r="B2296" s="117">
        <v>10</v>
      </c>
      <c r="C2296" s="1"/>
      <c r="D2296" s="1"/>
      <c r="E2296" s="1"/>
      <c r="F2296" s="1"/>
      <c r="G2296" s="1"/>
      <c r="H2296" s="89"/>
    </row>
    <row r="2297" spans="1:8" ht="15">
      <c r="A2297" s="1"/>
      <c r="B2297" s="1" t="s">
        <v>2657</v>
      </c>
      <c r="C2297" s="1"/>
      <c r="D2297" s="1"/>
      <c r="E2297" s="1"/>
      <c r="F2297" s="1"/>
      <c r="G2297" s="1"/>
      <c r="H2297" s="1"/>
    </row>
    <row r="2298" spans="1:8" ht="15">
      <c r="A2298" s="1"/>
      <c r="B2298" s="1"/>
      <c r="C2298" s="1"/>
      <c r="D2298" s="1"/>
      <c r="E2298" s="1"/>
      <c r="F2298" s="1"/>
      <c r="G2298" s="1"/>
      <c r="H2298" s="1"/>
    </row>
    <row r="2299" spans="1:8" ht="15">
      <c r="A2299" s="1"/>
      <c r="B2299" s="1"/>
      <c r="C2299" s="1"/>
      <c r="D2299" s="1"/>
      <c r="E2299" s="1"/>
      <c r="F2299" s="1"/>
      <c r="G2299" s="1"/>
      <c r="H2299" s="1"/>
    </row>
    <row r="2300" spans="1:8" ht="19.5">
      <c r="A2300" s="31"/>
      <c r="B2300" s="878" t="s">
        <v>2659</v>
      </c>
      <c r="C2300" s="878"/>
      <c r="D2300" s="878"/>
      <c r="E2300" s="878"/>
      <c r="F2300" s="878"/>
      <c r="G2300" s="878"/>
      <c r="H2300" s="878"/>
    </row>
    <row r="2301" spans="1:8" ht="20.25">
      <c r="A2301" s="260">
        <f>+A2285+1</f>
        <v>131</v>
      </c>
      <c r="B2301" s="877" t="s">
        <v>2655</v>
      </c>
      <c r="C2301" s="878"/>
      <c r="D2301" s="878"/>
      <c r="E2301" s="878"/>
      <c r="F2301" s="878"/>
      <c r="G2301" s="878"/>
      <c r="H2301" s="878"/>
    </row>
    <row r="2302" spans="1:8" ht="15">
      <c r="A2302" s="15" t="s">
        <v>2658</v>
      </c>
      <c r="B2302" s="888" t="s">
        <v>1382</v>
      </c>
      <c r="C2302" s="879"/>
      <c r="D2302" s="879"/>
      <c r="E2302" s="879"/>
      <c r="F2302" s="879"/>
      <c r="G2302" s="879"/>
      <c r="H2302" s="879"/>
    </row>
    <row r="2303" spans="1:8" ht="31.5">
      <c r="A2303" s="668" t="s">
        <v>3551</v>
      </c>
      <c r="B2303" s="68" t="s">
        <v>2966</v>
      </c>
      <c r="C2303" s="68" t="s">
        <v>2967</v>
      </c>
      <c r="D2303" s="68" t="s">
        <v>2968</v>
      </c>
      <c r="E2303" s="68" t="s">
        <v>2969</v>
      </c>
      <c r="F2303" s="68" t="s">
        <v>2970</v>
      </c>
      <c r="G2303" s="68" t="s">
        <v>2971</v>
      </c>
      <c r="H2303" s="68" t="s">
        <v>1487</v>
      </c>
    </row>
    <row r="2304" spans="1:8" ht="17.25">
      <c r="A2304" s="1"/>
      <c r="B2304" s="889" t="s">
        <v>1488</v>
      </c>
      <c r="C2304" s="58" t="s">
        <v>516</v>
      </c>
      <c r="D2304" s="41">
        <v>1.1000000000000001</v>
      </c>
      <c r="E2304" s="55" t="s">
        <v>1490</v>
      </c>
      <c r="F2304" s="107" t="e">
        <f>#REF!</f>
        <v>#REF!</v>
      </c>
      <c r="G2304" s="107" t="e">
        <f>FLOOR(D2304*F2304,0.01)</f>
        <v>#REF!</v>
      </c>
      <c r="H2304" s="108"/>
    </row>
    <row r="2305" spans="1:8" ht="17.25">
      <c r="A2305" s="1"/>
      <c r="B2305" s="887"/>
      <c r="C2305" s="56" t="s">
        <v>1433</v>
      </c>
      <c r="D2305" s="43">
        <v>1.8</v>
      </c>
      <c r="E2305" s="56" t="s">
        <v>1490</v>
      </c>
      <c r="F2305" s="63" t="e">
        <f>#REF!</f>
        <v>#REF!</v>
      </c>
      <c r="G2305" s="63" t="e">
        <f>FLOOR(D2305*F2305,0.01)</f>
        <v>#REF!</v>
      </c>
      <c r="H2305" s="121" t="e">
        <f>SUM(G2304+G2305)</f>
        <v>#REF!</v>
      </c>
    </row>
    <row r="2306" spans="1:8" ht="17.25">
      <c r="A2306" s="1"/>
      <c r="B2306" s="886" t="s">
        <v>2055</v>
      </c>
      <c r="C2306" s="55" t="s">
        <v>2656</v>
      </c>
      <c r="D2306" s="41">
        <v>750</v>
      </c>
      <c r="E2306" s="55" t="s">
        <v>699</v>
      </c>
      <c r="F2306" s="110" t="e">
        <f>#REF!</f>
        <v>#REF!</v>
      </c>
      <c r="G2306" s="110" t="e">
        <f>FLOOR(D2306*F2306,0.01)</f>
        <v>#REF!</v>
      </c>
      <c r="H2306" s="84"/>
    </row>
    <row r="2307" spans="1:8" ht="17.25">
      <c r="A2307" s="1"/>
      <c r="B2307" s="890"/>
      <c r="C2307" s="53" t="s">
        <v>1436</v>
      </c>
      <c r="D2307" s="52">
        <v>0.121</v>
      </c>
      <c r="E2307" s="53" t="s">
        <v>700</v>
      </c>
      <c r="F2307" s="109" t="e">
        <f>#REF!</f>
        <v>#REF!</v>
      </c>
      <c r="G2307" s="109" t="e">
        <f>FLOOR(D2307*F2307,0.01)</f>
        <v>#REF!</v>
      </c>
      <c r="H2307" s="86"/>
    </row>
    <row r="2308" spans="1:8" ht="17.25">
      <c r="A2308" s="1"/>
      <c r="B2308" s="887"/>
      <c r="C2308" s="56" t="s">
        <v>697</v>
      </c>
      <c r="D2308" s="49">
        <v>0.43099999999999999</v>
      </c>
      <c r="E2308" s="56" t="s">
        <v>2232</v>
      </c>
      <c r="F2308" s="63" t="e">
        <f>#REF!</f>
        <v>#REF!</v>
      </c>
      <c r="G2308" s="63" t="e">
        <f>FLOOR(D2308*F2308,0.01)</f>
        <v>#REF!</v>
      </c>
      <c r="H2308" s="111" t="e">
        <f>SUM(G2306:G2308)</f>
        <v>#REF!</v>
      </c>
    </row>
    <row r="2309" spans="1:8" ht="17.25">
      <c r="A2309" s="1"/>
      <c r="B2309" s="1"/>
      <c r="C2309" s="1"/>
      <c r="D2309" s="1"/>
      <c r="E2309" s="1"/>
      <c r="F2309" s="40" t="s">
        <v>1491</v>
      </c>
      <c r="G2309" s="40"/>
      <c r="H2309" s="93" t="e">
        <f>SUM(H2304:H2308)</f>
        <v>#REF!</v>
      </c>
    </row>
    <row r="2310" spans="1:8" ht="17.25">
      <c r="A2310" s="1"/>
      <c r="B2310" s="1" t="s">
        <v>1493</v>
      </c>
      <c r="C2310" s="1"/>
      <c r="D2310" s="1"/>
      <c r="E2310" s="1"/>
      <c r="F2310" s="40" t="s">
        <v>1472</v>
      </c>
      <c r="G2310" s="40"/>
      <c r="H2310" s="99" t="e">
        <f>FLOOR(H2309*0.15,0.01)</f>
        <v>#REF!</v>
      </c>
    </row>
    <row r="2311" spans="1:8" ht="17.25">
      <c r="B2311" s="140" t="e">
        <f>+H2311</f>
        <v>#REF!</v>
      </c>
      <c r="C2311" s="27" t="s">
        <v>3801</v>
      </c>
      <c r="D2311" s="99" t="e">
        <f>INT(B2311/B2312*100)/100</f>
        <v>#REF!</v>
      </c>
      <c r="E2311" s="1" t="s">
        <v>3006</v>
      </c>
      <c r="F2311" s="40" t="s">
        <v>1494</v>
      </c>
      <c r="G2311" s="40"/>
      <c r="H2311" s="63" t="e">
        <f>SUM(H2309:H2310)</f>
        <v>#REF!</v>
      </c>
    </row>
    <row r="2312" spans="1:8" ht="16.5">
      <c r="A2312" s="1"/>
      <c r="B2312" s="117">
        <v>10</v>
      </c>
      <c r="C2312" s="1"/>
      <c r="D2312" s="1"/>
      <c r="E2312" s="1"/>
      <c r="F2312" s="1"/>
      <c r="G2312" s="1"/>
      <c r="H2312" s="1"/>
    </row>
    <row r="2313" spans="1:8" ht="16.5">
      <c r="A2313" s="1"/>
      <c r="B2313" s="117"/>
      <c r="C2313" s="1"/>
      <c r="D2313" s="1"/>
      <c r="E2313" s="1"/>
      <c r="F2313" s="1"/>
      <c r="G2313" s="1"/>
      <c r="H2313" s="1"/>
    </row>
    <row r="2314" spans="1:8" ht="16.5">
      <c r="A2314" s="1"/>
      <c r="B2314" s="117"/>
      <c r="C2314" s="1"/>
      <c r="D2314" s="1"/>
      <c r="E2314" s="1"/>
      <c r="F2314" s="1"/>
      <c r="G2314" s="1"/>
      <c r="H2314" s="1"/>
    </row>
    <row r="2315" spans="1:8" ht="16.5">
      <c r="A2315" s="1"/>
      <c r="B2315" s="117"/>
      <c r="C2315" s="1"/>
      <c r="D2315" s="1"/>
      <c r="E2315" s="1"/>
      <c r="F2315" s="1"/>
      <c r="G2315" s="1"/>
      <c r="H2315" s="1"/>
    </row>
    <row r="2316" spans="1:8" ht="15">
      <c r="A2316" s="31"/>
      <c r="B2316" s="1"/>
      <c r="C2316" s="1"/>
      <c r="D2316" s="1"/>
      <c r="E2316" s="1"/>
      <c r="F2316" s="1"/>
      <c r="G2316" s="1"/>
      <c r="H2316" s="1"/>
    </row>
    <row r="2317" spans="1:8" ht="20.25">
      <c r="A2317" s="260">
        <f>A2301+1</f>
        <v>132</v>
      </c>
      <c r="B2317" s="878" t="s">
        <v>3364</v>
      </c>
      <c r="C2317" s="878"/>
      <c r="D2317" s="878"/>
      <c r="E2317" s="878"/>
      <c r="F2317" s="878"/>
      <c r="G2317" s="878"/>
      <c r="H2317" s="878"/>
    </row>
    <row r="2318" spans="1:8" ht="15">
      <c r="A2318" s="668" t="s">
        <v>3642</v>
      </c>
      <c r="B2318" s="888" t="s">
        <v>1382</v>
      </c>
      <c r="C2318" s="879"/>
      <c r="D2318" s="879"/>
      <c r="E2318" s="879"/>
      <c r="F2318" s="879"/>
      <c r="G2318" s="879"/>
      <c r="H2318" s="879"/>
    </row>
    <row r="2319" spans="1:8" ht="31.5">
      <c r="A2319" s="1"/>
      <c r="B2319" s="68" t="s">
        <v>2966</v>
      </c>
      <c r="C2319" s="68" t="s">
        <v>2967</v>
      </c>
      <c r="D2319" s="68" t="s">
        <v>2968</v>
      </c>
      <c r="E2319" s="68" t="s">
        <v>2969</v>
      </c>
      <c r="F2319" s="68" t="s">
        <v>2970</v>
      </c>
      <c r="G2319" s="68" t="s">
        <v>2971</v>
      </c>
      <c r="H2319" s="68" t="s">
        <v>1487</v>
      </c>
    </row>
    <row r="2320" spans="1:8" ht="17.25">
      <c r="A2320" s="1"/>
      <c r="B2320" s="889" t="s">
        <v>1488</v>
      </c>
      <c r="C2320" s="58" t="s">
        <v>516</v>
      </c>
      <c r="D2320" s="41">
        <v>1.75</v>
      </c>
      <c r="E2320" s="55" t="s">
        <v>1490</v>
      </c>
      <c r="F2320" s="107" t="e">
        <f>#REF!</f>
        <v>#REF!</v>
      </c>
      <c r="G2320" s="107" t="e">
        <f>FLOOR(D2320*F2320,0.01)</f>
        <v>#REF!</v>
      </c>
      <c r="H2320" s="108"/>
    </row>
    <row r="2321" spans="1:8" ht="17.25">
      <c r="A2321" s="1"/>
      <c r="B2321" s="887"/>
      <c r="C2321" s="56" t="s">
        <v>1433</v>
      </c>
      <c r="D2321" s="43">
        <v>0.75</v>
      </c>
      <c r="E2321" s="56" t="s">
        <v>1490</v>
      </c>
      <c r="F2321" s="63" t="e">
        <f>#REF!</f>
        <v>#REF!</v>
      </c>
      <c r="G2321" s="63" t="e">
        <f>FLOOR(D2321*F2321,0.01)</f>
        <v>#REF!</v>
      </c>
      <c r="H2321" s="121" t="e">
        <f>SUM(G2320+G2321)</f>
        <v>#REF!</v>
      </c>
    </row>
    <row r="2322" spans="1:8" ht="17.25">
      <c r="A2322" s="1"/>
      <c r="B2322" s="886" t="s">
        <v>2055</v>
      </c>
      <c r="C2322" s="55" t="s">
        <v>3365</v>
      </c>
      <c r="D2322" s="41">
        <v>10.5</v>
      </c>
      <c r="E2322" s="55" t="s">
        <v>2807</v>
      </c>
      <c r="F2322" s="110" t="e">
        <f>#REF!</f>
        <v>#REF!</v>
      </c>
      <c r="G2322" s="110" t="e">
        <f>FLOOR(D2322*F2322,0.01)</f>
        <v>#REF!</v>
      </c>
      <c r="H2322" s="84"/>
    </row>
    <row r="2323" spans="1:8" ht="17.25">
      <c r="A2323" s="1"/>
      <c r="B2323" s="890"/>
      <c r="C2323" s="53" t="s">
        <v>2660</v>
      </c>
      <c r="D2323" s="52"/>
      <c r="E2323" s="53" t="s">
        <v>2808</v>
      </c>
      <c r="F2323" s="109">
        <v>50</v>
      </c>
      <c r="G2323" s="109">
        <v>50</v>
      </c>
      <c r="H2323" s="86"/>
    </row>
    <row r="2324" spans="1:8" ht="17.25">
      <c r="A2324" s="1"/>
      <c r="B2324" s="887"/>
      <c r="C2324" s="56" t="s">
        <v>2051</v>
      </c>
      <c r="D2324" s="49"/>
      <c r="E2324" s="56" t="s">
        <v>2808</v>
      </c>
      <c r="F2324" s="63">
        <v>300</v>
      </c>
      <c r="G2324" s="63">
        <v>300</v>
      </c>
      <c r="H2324" s="111" t="e">
        <f>SUM(G2322:G2324)</f>
        <v>#REF!</v>
      </c>
    </row>
    <row r="2325" spans="1:8" ht="17.25">
      <c r="A2325" s="1"/>
      <c r="B2325" s="1"/>
      <c r="C2325" s="1"/>
      <c r="D2325" s="1"/>
      <c r="E2325" s="1"/>
      <c r="F2325" s="40" t="s">
        <v>1491</v>
      </c>
      <c r="G2325" s="40"/>
      <c r="H2325" s="93" t="e">
        <f>SUM(H2320:H2324)</f>
        <v>#REF!</v>
      </c>
    </row>
    <row r="2326" spans="1:8" ht="17.25">
      <c r="A2326" s="1"/>
      <c r="B2326" s="1" t="s">
        <v>1493</v>
      </c>
      <c r="C2326" s="1"/>
      <c r="D2326" s="1"/>
      <c r="E2326" s="1"/>
      <c r="F2326" s="40" t="s">
        <v>1472</v>
      </c>
      <c r="G2326" s="40"/>
      <c r="H2326" s="99" t="e">
        <f>FLOOR(H2325*0.15,0.01)</f>
        <v>#REF!</v>
      </c>
    </row>
    <row r="2327" spans="1:8" ht="17.25">
      <c r="B2327" s="140" t="e">
        <f>+H2327</f>
        <v>#REF!</v>
      </c>
      <c r="C2327" s="27" t="s">
        <v>3801</v>
      </c>
      <c r="D2327" s="99" t="e">
        <f>INT(B2327/B2328*100)/100</f>
        <v>#REF!</v>
      </c>
      <c r="E2327" s="1" t="s">
        <v>3006</v>
      </c>
      <c r="F2327" s="40" t="s">
        <v>1494</v>
      </c>
      <c r="G2327" s="40"/>
      <c r="H2327" s="63" t="e">
        <f>SUM(H2325:H2326)</f>
        <v>#REF!</v>
      </c>
    </row>
    <row r="2328" spans="1:8" ht="16.5">
      <c r="A2328" s="1"/>
      <c r="B2328" s="117">
        <v>10</v>
      </c>
      <c r="C2328" s="1"/>
      <c r="D2328" s="1"/>
      <c r="E2328" s="1"/>
      <c r="F2328" s="1"/>
      <c r="G2328" s="1"/>
      <c r="H2328" s="1"/>
    </row>
    <row r="2329" spans="1:8" ht="16.5">
      <c r="A2329" s="1"/>
      <c r="B2329" s="117"/>
      <c r="C2329" s="1"/>
      <c r="D2329" s="1"/>
      <c r="E2329" s="1"/>
      <c r="F2329" s="1"/>
      <c r="G2329" s="1"/>
      <c r="H2329" s="1"/>
    </row>
    <row r="2330" spans="1:8" ht="20.25">
      <c r="A2330" s="260">
        <f>A2317+1</f>
        <v>133</v>
      </c>
      <c r="B2330" s="877" t="s">
        <v>2320</v>
      </c>
      <c r="C2330" s="878"/>
      <c r="D2330" s="878"/>
      <c r="E2330" s="878"/>
      <c r="F2330" s="878"/>
      <c r="G2330" s="878"/>
      <c r="H2330" s="878"/>
    </row>
    <row r="2331" spans="1:8" ht="15">
      <c r="A2331" s="668" t="s">
        <v>3643</v>
      </c>
      <c r="B2331" s="888" t="s">
        <v>1382</v>
      </c>
      <c r="C2331" s="879"/>
      <c r="D2331" s="879"/>
      <c r="E2331" s="879"/>
      <c r="F2331" s="879"/>
      <c r="G2331" s="879"/>
      <c r="H2331" s="879"/>
    </row>
    <row r="2332" spans="1:8" ht="31.5">
      <c r="A2332" s="1"/>
      <c r="B2332" s="68" t="s">
        <v>2966</v>
      </c>
      <c r="C2332" s="68" t="s">
        <v>2967</v>
      </c>
      <c r="D2332" s="68" t="s">
        <v>2968</v>
      </c>
      <c r="E2332" s="68" t="s">
        <v>2969</v>
      </c>
      <c r="F2332" s="68" t="s">
        <v>2970</v>
      </c>
      <c r="G2332" s="68" t="s">
        <v>2971</v>
      </c>
      <c r="H2332" s="68" t="s">
        <v>1487</v>
      </c>
    </row>
    <row r="2333" spans="1:8" ht="17.25">
      <c r="A2333" s="1"/>
      <c r="B2333" s="889" t="s">
        <v>1488</v>
      </c>
      <c r="C2333" s="58" t="s">
        <v>516</v>
      </c>
      <c r="D2333" s="41">
        <v>0.5</v>
      </c>
      <c r="E2333" s="55" t="s">
        <v>1490</v>
      </c>
      <c r="F2333" s="107" t="e">
        <f>#REF!</f>
        <v>#REF!</v>
      </c>
      <c r="G2333" s="107" t="e">
        <f>FLOOR(D2333*F2333,0.01)</f>
        <v>#REF!</v>
      </c>
      <c r="H2333" s="108"/>
    </row>
    <row r="2334" spans="1:8" ht="17.25">
      <c r="A2334" s="1"/>
      <c r="B2334" s="887"/>
      <c r="C2334" s="56" t="s">
        <v>1433</v>
      </c>
      <c r="D2334" s="43">
        <v>1</v>
      </c>
      <c r="E2334" s="56" t="s">
        <v>1490</v>
      </c>
      <c r="F2334" s="63" t="e">
        <f>#REF!</f>
        <v>#REF!</v>
      </c>
      <c r="G2334" s="63" t="e">
        <f>FLOOR(D2334*F2334,0.01)</f>
        <v>#REF!</v>
      </c>
      <c r="H2334" s="121" t="e">
        <f>SUM(G2333+G2334)</f>
        <v>#REF!</v>
      </c>
    </row>
    <row r="2335" spans="1:8" ht="17.25">
      <c r="A2335" s="1"/>
      <c r="B2335" s="886" t="s">
        <v>2055</v>
      </c>
      <c r="C2335" s="55" t="s">
        <v>2321</v>
      </c>
      <c r="D2335" s="41">
        <v>420</v>
      </c>
      <c r="E2335" s="55" t="s">
        <v>699</v>
      </c>
      <c r="F2335" s="110" t="e">
        <f>#REF!</f>
        <v>#REF!</v>
      </c>
      <c r="G2335" s="109" t="e">
        <f>FLOOR(D2335*F2335,0.01)</f>
        <v>#REF!</v>
      </c>
      <c r="H2335" s="108"/>
    </row>
    <row r="2336" spans="1:8" ht="17.25">
      <c r="A2336" s="1"/>
      <c r="B2336" s="887"/>
      <c r="C2336" s="56" t="s">
        <v>2322</v>
      </c>
      <c r="D2336" s="43">
        <v>0.71</v>
      </c>
      <c r="E2336" s="56" t="s">
        <v>2232</v>
      </c>
      <c r="F2336" s="63" t="e">
        <f>#REF!</f>
        <v>#REF!</v>
      </c>
      <c r="G2336" s="63" t="e">
        <f>FLOOR(D2336*F2336,0.01)</f>
        <v>#REF!</v>
      </c>
      <c r="H2336" s="123" t="e">
        <f>SUM(G2335:G2336)</f>
        <v>#REF!</v>
      </c>
    </row>
    <row r="2337" spans="1:8" ht="19.5">
      <c r="A2337" s="1"/>
      <c r="B2337" s="1"/>
      <c r="C2337" s="1"/>
      <c r="D2337" s="1"/>
      <c r="E2337" s="1"/>
      <c r="F2337" s="40" t="s">
        <v>1491</v>
      </c>
      <c r="G2337" s="102"/>
      <c r="H2337" s="63" t="e">
        <f>SUM(H2336,H2334)</f>
        <v>#REF!</v>
      </c>
    </row>
    <row r="2338" spans="1:8" ht="19.5">
      <c r="A2338" s="1"/>
      <c r="B2338" s="1" t="s">
        <v>1493</v>
      </c>
      <c r="C2338" s="1"/>
      <c r="D2338" s="1"/>
      <c r="E2338" s="1"/>
      <c r="F2338" s="40" t="s">
        <v>1472</v>
      </c>
      <c r="G2338" s="102"/>
      <c r="H2338" s="99" t="e">
        <f>FLOOR(H2337*0.15,0.01)</f>
        <v>#REF!</v>
      </c>
    </row>
    <row r="2339" spans="1:8" ht="19.5">
      <c r="B2339" s="140" t="e">
        <f>+H2339</f>
        <v>#REF!</v>
      </c>
      <c r="C2339" s="27" t="s">
        <v>3801</v>
      </c>
      <c r="D2339" s="99" t="e">
        <f>INT(B2339/B2340*100)/100</f>
        <v>#REF!</v>
      </c>
      <c r="E2339" s="1" t="s">
        <v>3006</v>
      </c>
      <c r="F2339" s="40" t="s">
        <v>1494</v>
      </c>
      <c r="G2339" s="102"/>
      <c r="H2339" s="99" t="e">
        <f>SUM(H2337:H2338)</f>
        <v>#REF!</v>
      </c>
    </row>
    <row r="2340" spans="1:8" ht="16.5">
      <c r="A2340" s="1"/>
      <c r="B2340" s="117">
        <v>10</v>
      </c>
      <c r="C2340" s="1"/>
      <c r="D2340" s="1"/>
      <c r="E2340" s="1"/>
      <c r="F2340" s="1"/>
      <c r="G2340" s="1"/>
      <c r="H2340" s="1"/>
    </row>
    <row r="2341" spans="1:8" ht="16.5">
      <c r="A2341" s="1"/>
      <c r="B2341" s="117"/>
      <c r="C2341" s="1"/>
      <c r="D2341" s="1"/>
      <c r="E2341" s="1"/>
      <c r="F2341" s="1"/>
      <c r="G2341" s="1"/>
      <c r="H2341" s="1"/>
    </row>
    <row r="2342" spans="1:8" ht="16.5">
      <c r="A2342" s="1"/>
      <c r="B2342" s="117"/>
      <c r="C2342" s="1"/>
      <c r="D2342" s="1"/>
      <c r="E2342" s="1"/>
      <c r="F2342" s="1"/>
      <c r="G2342" s="1"/>
      <c r="H2342" s="1"/>
    </row>
    <row r="2343" spans="1:8" ht="16.5">
      <c r="A2343" s="1"/>
      <c r="B2343" s="117"/>
      <c r="C2343" s="1"/>
      <c r="D2343" s="1"/>
      <c r="E2343" s="1"/>
      <c r="F2343" s="1"/>
      <c r="G2343" s="1"/>
      <c r="H2343" s="1"/>
    </row>
    <row r="2344" spans="1:8" ht="16.5">
      <c r="A2344" s="1"/>
      <c r="B2344" s="117"/>
      <c r="C2344" s="1"/>
      <c r="D2344" s="1"/>
      <c r="E2344" s="1"/>
      <c r="F2344" s="1"/>
      <c r="G2344" s="1"/>
      <c r="H2344" s="1"/>
    </row>
    <row r="2345" spans="1:8" ht="20.25">
      <c r="A2345" s="260">
        <f>+A2330+1</f>
        <v>134</v>
      </c>
      <c r="B2345" s="877" t="s">
        <v>2323</v>
      </c>
      <c r="C2345" s="878"/>
      <c r="D2345" s="878"/>
      <c r="E2345" s="878"/>
      <c r="F2345" s="878"/>
      <c r="G2345" s="878"/>
      <c r="H2345" s="878"/>
    </row>
    <row r="2346" spans="1:8" ht="15">
      <c r="A2346" s="668" t="s">
        <v>3644</v>
      </c>
      <c r="B2346" s="888" t="s">
        <v>1382</v>
      </c>
      <c r="C2346" s="879"/>
      <c r="D2346" s="879"/>
      <c r="E2346" s="879"/>
      <c r="F2346" s="879"/>
      <c r="G2346" s="879"/>
      <c r="H2346" s="879"/>
    </row>
    <row r="2347" spans="1:8" ht="31.5">
      <c r="A2347" s="1"/>
      <c r="B2347" s="68" t="s">
        <v>2966</v>
      </c>
      <c r="C2347" s="68" t="s">
        <v>2967</v>
      </c>
      <c r="D2347" s="68" t="s">
        <v>2968</v>
      </c>
      <c r="E2347" s="68" t="s">
        <v>2969</v>
      </c>
      <c r="F2347" s="68" t="s">
        <v>2970</v>
      </c>
      <c r="G2347" s="68" t="s">
        <v>2971</v>
      </c>
      <c r="H2347" s="68" t="s">
        <v>1487</v>
      </c>
    </row>
    <row r="2348" spans="1:8" ht="17.25">
      <c r="A2348" s="1"/>
      <c r="B2348" s="889" t="s">
        <v>1488</v>
      </c>
      <c r="C2348" s="58" t="s">
        <v>516</v>
      </c>
      <c r="D2348" s="41">
        <v>1</v>
      </c>
      <c r="E2348" s="55" t="s">
        <v>1490</v>
      </c>
      <c r="F2348" s="107" t="e">
        <f>#REF!</f>
        <v>#REF!</v>
      </c>
      <c r="G2348" s="107" t="e">
        <f>FLOOR(D2348*F2348,0.01)</f>
        <v>#REF!</v>
      </c>
      <c r="H2348" s="108"/>
    </row>
    <row r="2349" spans="1:8" ht="17.25">
      <c r="A2349" s="1"/>
      <c r="B2349" s="887"/>
      <c r="C2349" s="56" t="s">
        <v>1433</v>
      </c>
      <c r="D2349" s="43">
        <v>3.25</v>
      </c>
      <c r="E2349" s="56" t="s">
        <v>1490</v>
      </c>
      <c r="F2349" s="63" t="e">
        <f>#REF!</f>
        <v>#REF!</v>
      </c>
      <c r="G2349" s="63" t="e">
        <f>FLOOR(D2349*F2349,0.01)</f>
        <v>#REF!</v>
      </c>
      <c r="H2349" s="121" t="e">
        <f>SUM(G2348+G2349)</f>
        <v>#REF!</v>
      </c>
    </row>
    <row r="2350" spans="1:8" ht="17.25">
      <c r="A2350" s="1"/>
      <c r="B2350" s="886" t="s">
        <v>2055</v>
      </c>
      <c r="C2350" s="55" t="s">
        <v>2321</v>
      </c>
      <c r="D2350" s="45">
        <v>750</v>
      </c>
      <c r="E2350" s="55" t="s">
        <v>699</v>
      </c>
      <c r="F2350" s="110" t="e">
        <f>#REF!</f>
        <v>#REF!</v>
      </c>
      <c r="G2350" s="109" t="e">
        <f>FLOOR(D2350*F2350,0.01)</f>
        <v>#REF!</v>
      </c>
      <c r="H2350" s="108"/>
    </row>
    <row r="2351" spans="1:8" ht="17.25">
      <c r="A2351" s="1"/>
      <c r="B2351" s="887"/>
      <c r="C2351" s="56" t="s">
        <v>2322</v>
      </c>
      <c r="D2351" s="43">
        <v>0.71</v>
      </c>
      <c r="E2351" s="56" t="s">
        <v>2232</v>
      </c>
      <c r="F2351" s="63" t="e">
        <f>#REF!</f>
        <v>#REF!</v>
      </c>
      <c r="G2351" s="63" t="e">
        <f>FLOOR(D2351*F2351,0.01)</f>
        <v>#REF!</v>
      </c>
      <c r="H2351" s="123" t="e">
        <f>SUM(G2350:G2351)</f>
        <v>#REF!</v>
      </c>
    </row>
    <row r="2352" spans="1:8" ht="19.5">
      <c r="A2352" s="1"/>
      <c r="B2352" s="1"/>
      <c r="C2352" s="1"/>
      <c r="D2352" s="1"/>
      <c r="E2352" s="1"/>
      <c r="F2352" s="40" t="s">
        <v>1491</v>
      </c>
      <c r="G2352" s="102"/>
      <c r="H2352" s="63" t="e">
        <f>SUM(H2351,H2349)</f>
        <v>#REF!</v>
      </c>
    </row>
    <row r="2353" spans="1:8" ht="19.5">
      <c r="A2353" s="1"/>
      <c r="B2353" s="1" t="s">
        <v>1493</v>
      </c>
      <c r="C2353" s="1"/>
      <c r="D2353" s="1"/>
      <c r="E2353" s="1"/>
      <c r="F2353" s="40" t="s">
        <v>1472</v>
      </c>
      <c r="G2353" s="102"/>
      <c r="H2353" s="99" t="e">
        <f>FLOOR(H2352*0.15,0.01)</f>
        <v>#REF!</v>
      </c>
    </row>
    <row r="2354" spans="1:8" ht="19.5">
      <c r="B2354" s="140" t="e">
        <f>+H2354</f>
        <v>#REF!</v>
      </c>
      <c r="C2354" s="27" t="s">
        <v>3801</v>
      </c>
      <c r="D2354" s="99" t="e">
        <f>INT(B2354/B2355*100)/100</f>
        <v>#REF!</v>
      </c>
      <c r="E2354" s="1" t="s">
        <v>3006</v>
      </c>
      <c r="F2354" s="40" t="s">
        <v>1494</v>
      </c>
      <c r="G2354" s="102"/>
      <c r="H2354" s="99" t="e">
        <f>SUM(H2352:H2353)</f>
        <v>#REF!</v>
      </c>
    </row>
    <row r="2355" spans="1:8" ht="16.5">
      <c r="A2355" s="1"/>
      <c r="B2355" s="117">
        <v>10</v>
      </c>
      <c r="C2355" s="1"/>
      <c r="D2355" s="1"/>
      <c r="E2355" s="1"/>
      <c r="F2355" s="1"/>
      <c r="G2355" s="1"/>
      <c r="H2355" s="1"/>
    </row>
    <row r="2356" spans="1:8" ht="16.5">
      <c r="A2356" s="1"/>
      <c r="B2356" s="117"/>
      <c r="C2356" s="1"/>
      <c r="D2356" s="1"/>
      <c r="E2356" s="1"/>
      <c r="F2356" s="1"/>
      <c r="G2356" s="1"/>
      <c r="H2356" s="1"/>
    </row>
    <row r="2357" spans="1:8" ht="16.5">
      <c r="A2357" s="1"/>
      <c r="B2357" s="117"/>
      <c r="C2357" s="1"/>
      <c r="D2357" s="1"/>
      <c r="E2357" s="1"/>
      <c r="F2357" s="1"/>
      <c r="G2357" s="1"/>
      <c r="H2357" s="1"/>
    </row>
    <row r="2358" spans="1:8" ht="16.5">
      <c r="A2358" s="1"/>
      <c r="B2358" s="117"/>
      <c r="C2358" s="1"/>
      <c r="D2358" s="1"/>
      <c r="E2358" s="1"/>
      <c r="F2358" s="1"/>
      <c r="G2358" s="1"/>
      <c r="H2358" s="1"/>
    </row>
    <row r="2359" spans="1:8" ht="16.5">
      <c r="A2359" s="1"/>
      <c r="B2359" s="117"/>
      <c r="C2359" s="1"/>
      <c r="D2359" s="1"/>
      <c r="E2359" s="1"/>
      <c r="F2359" s="1"/>
      <c r="G2359" s="1"/>
      <c r="H2359" s="1"/>
    </row>
    <row r="2360" spans="1:8" ht="20.25">
      <c r="A2360" s="260">
        <f>+A2345+1</f>
        <v>135</v>
      </c>
      <c r="B2360" s="877" t="s">
        <v>961</v>
      </c>
      <c r="C2360" s="878"/>
      <c r="D2360" s="878"/>
      <c r="E2360" s="878"/>
      <c r="F2360" s="878"/>
      <c r="G2360" s="878"/>
      <c r="H2360" s="878"/>
    </row>
    <row r="2361" spans="1:8" ht="15">
      <c r="A2361" s="668" t="s">
        <v>3644</v>
      </c>
      <c r="B2361" s="888" t="s">
        <v>1468</v>
      </c>
      <c r="C2361" s="879"/>
      <c r="D2361" s="879"/>
      <c r="E2361" s="879"/>
      <c r="F2361" s="879"/>
      <c r="G2361" s="879"/>
      <c r="H2361" s="879"/>
    </row>
    <row r="2362" spans="1:8" ht="31.5">
      <c r="A2362" s="1"/>
      <c r="B2362" s="68" t="s">
        <v>2966</v>
      </c>
      <c r="C2362" s="68" t="s">
        <v>2967</v>
      </c>
      <c r="D2362" s="68" t="s">
        <v>2968</v>
      </c>
      <c r="E2362" s="68" t="s">
        <v>2969</v>
      </c>
      <c r="F2362" s="68" t="s">
        <v>2970</v>
      </c>
      <c r="G2362" s="68" t="s">
        <v>2971</v>
      </c>
      <c r="H2362" s="68" t="s">
        <v>1487</v>
      </c>
    </row>
    <row r="2363" spans="1:8" ht="17.25">
      <c r="A2363" s="1"/>
      <c r="B2363" s="889" t="s">
        <v>1488</v>
      </c>
      <c r="C2363" s="58" t="s">
        <v>516</v>
      </c>
      <c r="D2363" s="41">
        <v>1</v>
      </c>
      <c r="E2363" s="55" t="s">
        <v>1490</v>
      </c>
      <c r="F2363" s="107" t="e">
        <f>#REF!</f>
        <v>#REF!</v>
      </c>
      <c r="G2363" s="107" t="e">
        <f>FLOOR(D2363*F2363,0.01)</f>
        <v>#REF!</v>
      </c>
      <c r="H2363" s="108"/>
    </row>
    <row r="2364" spans="1:8" ht="17.25">
      <c r="A2364" s="1"/>
      <c r="B2364" s="887"/>
      <c r="C2364" s="56" t="s">
        <v>1433</v>
      </c>
      <c r="D2364" s="43">
        <v>3.5</v>
      </c>
      <c r="E2364" s="56" t="s">
        <v>1490</v>
      </c>
      <c r="F2364" s="63" t="e">
        <f>#REF!</f>
        <v>#REF!</v>
      </c>
      <c r="G2364" s="63" t="e">
        <f>FLOOR(D2364*F2364,0.01)</f>
        <v>#REF!</v>
      </c>
      <c r="H2364" s="121" t="e">
        <f>SUM(G2363+G2364)</f>
        <v>#REF!</v>
      </c>
    </row>
    <row r="2365" spans="1:8" ht="17.25">
      <c r="A2365" s="1"/>
      <c r="B2365" s="886" t="s">
        <v>2055</v>
      </c>
      <c r="C2365" s="55" t="s">
        <v>962</v>
      </c>
      <c r="D2365" s="41">
        <v>1.1000000000000001</v>
      </c>
      <c r="E2365" s="55" t="s">
        <v>2232</v>
      </c>
      <c r="F2365" s="110" t="e">
        <f>#REF!</f>
        <v>#REF!</v>
      </c>
      <c r="G2365" s="110" t="e">
        <f>FLOOR(D2365*F2365,0.01)</f>
        <v>#REF!</v>
      </c>
      <c r="H2365" s="108"/>
    </row>
    <row r="2366" spans="1:8" ht="17.25">
      <c r="A2366" s="1"/>
      <c r="B2366" s="887"/>
      <c r="C2366" s="56" t="s">
        <v>2322</v>
      </c>
      <c r="D2366" s="43">
        <v>0.71</v>
      </c>
      <c r="E2366" s="56" t="s">
        <v>2232</v>
      </c>
      <c r="F2366" s="63" t="e">
        <f>#REF!</f>
        <v>#REF!</v>
      </c>
      <c r="G2366" s="63" t="e">
        <f>FLOOR(D2366*F2366,0.01)</f>
        <v>#REF!</v>
      </c>
      <c r="H2366" s="123" t="e">
        <f>SUM(G2365:G2366)</f>
        <v>#REF!</v>
      </c>
    </row>
    <row r="2367" spans="1:8" ht="19.5">
      <c r="A2367" s="1"/>
      <c r="B2367" s="1"/>
      <c r="C2367" s="1"/>
      <c r="D2367" s="1"/>
      <c r="E2367" s="1"/>
      <c r="F2367" s="40" t="s">
        <v>1491</v>
      </c>
      <c r="G2367" s="102"/>
      <c r="H2367" s="63" t="e">
        <f>SUM(H2366,H2364)</f>
        <v>#REF!</v>
      </c>
    </row>
    <row r="2368" spans="1:8" ht="19.5">
      <c r="A2368" s="1"/>
      <c r="B2368" s="1" t="s">
        <v>3233</v>
      </c>
      <c r="C2368" s="1"/>
      <c r="D2368" s="1"/>
      <c r="E2368" s="1"/>
      <c r="F2368" s="40" t="s">
        <v>1472</v>
      </c>
      <c r="G2368" s="102"/>
      <c r="H2368" s="99" t="e">
        <f>FLOOR(H2367*0.15,0.01)</f>
        <v>#REF!</v>
      </c>
    </row>
    <row r="2369" spans="1:8" ht="19.5">
      <c r="B2369" s="140" t="e">
        <f>+H2369</f>
        <v>#REF!</v>
      </c>
      <c r="C2369" s="27" t="s">
        <v>3801</v>
      </c>
      <c r="D2369" s="99" t="e">
        <f>INT(B2369/B2370*100)/100</f>
        <v>#REF!</v>
      </c>
      <c r="E2369" s="1" t="s">
        <v>3006</v>
      </c>
      <c r="F2369" s="40" t="s">
        <v>1494</v>
      </c>
      <c r="G2369" s="102"/>
      <c r="H2369" s="99" t="e">
        <f>SUM(H2367:H2368)</f>
        <v>#REF!</v>
      </c>
    </row>
    <row r="2370" spans="1:8" ht="16.5">
      <c r="A2370" s="1"/>
      <c r="B2370" s="117">
        <v>1</v>
      </c>
      <c r="C2370" s="1"/>
      <c r="D2370" s="1"/>
      <c r="E2370" s="1"/>
      <c r="F2370" s="1"/>
      <c r="G2370" s="1"/>
      <c r="H2370" s="1"/>
    </row>
    <row r="2371" spans="1:8" ht="16.5">
      <c r="A2371" s="1"/>
      <c r="B2371" s="117"/>
      <c r="C2371" s="1"/>
      <c r="D2371" s="1"/>
      <c r="E2371" s="1"/>
      <c r="F2371" s="1"/>
      <c r="G2371" s="1"/>
      <c r="H2371" s="1"/>
    </row>
    <row r="2372" spans="1:8" ht="19.5">
      <c r="A2372" s="31"/>
      <c r="B2372" s="878" t="s">
        <v>982</v>
      </c>
      <c r="C2372" s="878"/>
      <c r="D2372" s="878"/>
      <c r="E2372" s="878"/>
      <c r="F2372" s="878"/>
      <c r="G2372" s="878"/>
      <c r="H2372" s="878"/>
    </row>
    <row r="2373" spans="1:8" ht="20.25">
      <c r="A2373" s="260">
        <f>+A2360+1</f>
        <v>136</v>
      </c>
      <c r="B2373" s="877" t="s">
        <v>2324</v>
      </c>
      <c r="C2373" s="878"/>
      <c r="D2373" s="878"/>
      <c r="E2373" s="878"/>
      <c r="F2373" s="878"/>
      <c r="G2373" s="878"/>
      <c r="H2373" s="878"/>
    </row>
    <row r="2374" spans="1:8" ht="15">
      <c r="A2374" s="668" t="s">
        <v>3645</v>
      </c>
      <c r="B2374" s="888" t="s">
        <v>1382</v>
      </c>
      <c r="C2374" s="879"/>
      <c r="D2374" s="879"/>
      <c r="E2374" s="879"/>
      <c r="F2374" s="879"/>
      <c r="G2374" s="879"/>
      <c r="H2374" s="879"/>
    </row>
    <row r="2375" spans="1:8" ht="19.5">
      <c r="A2375" s="1"/>
      <c r="B2375" s="3"/>
      <c r="C2375" s="36"/>
      <c r="D2375" s="36"/>
      <c r="E2375" s="36"/>
      <c r="F2375" s="3"/>
      <c r="G2375" s="3"/>
      <c r="H2375" s="3"/>
    </row>
    <row r="2376" spans="1:8" ht="31.5">
      <c r="A2376" s="1"/>
      <c r="B2376" s="68" t="s">
        <v>2966</v>
      </c>
      <c r="C2376" s="68" t="s">
        <v>2967</v>
      </c>
      <c r="D2376" s="68" t="s">
        <v>2968</v>
      </c>
      <c r="E2376" s="68" t="s">
        <v>2969</v>
      </c>
      <c r="F2376" s="68" t="s">
        <v>2970</v>
      </c>
      <c r="G2376" s="68" t="s">
        <v>2971</v>
      </c>
      <c r="H2376" s="68" t="s">
        <v>1487</v>
      </c>
    </row>
    <row r="2377" spans="1:8" ht="17.25">
      <c r="A2377" s="1"/>
      <c r="B2377" s="889" t="s">
        <v>1488</v>
      </c>
      <c r="C2377" s="58" t="s">
        <v>516</v>
      </c>
      <c r="D2377" s="41">
        <v>2</v>
      </c>
      <c r="E2377" s="55" t="s">
        <v>1490</v>
      </c>
      <c r="F2377" s="107" t="e">
        <f>#REF!</f>
        <v>#REF!</v>
      </c>
      <c r="G2377" s="107" t="e">
        <f>FLOOR(D2377*F2377,0.01)</f>
        <v>#REF!</v>
      </c>
      <c r="H2377" s="108"/>
    </row>
    <row r="2378" spans="1:8" ht="17.25">
      <c r="A2378" s="1"/>
      <c r="B2378" s="887"/>
      <c r="C2378" s="56" t="s">
        <v>1433</v>
      </c>
      <c r="D2378" s="43">
        <v>4</v>
      </c>
      <c r="E2378" s="56" t="s">
        <v>1490</v>
      </c>
      <c r="F2378" s="63" t="e">
        <f>#REF!</f>
        <v>#REF!</v>
      </c>
      <c r="G2378" s="63" t="e">
        <f>FLOOR(D2378*F2378,0.01)</f>
        <v>#REF!</v>
      </c>
      <c r="H2378" s="121" t="e">
        <f>SUM(G2377+G2378)</f>
        <v>#REF!</v>
      </c>
    </row>
    <row r="2379" spans="1:8" ht="17.25">
      <c r="A2379" s="1"/>
      <c r="B2379" s="886" t="s">
        <v>2055</v>
      </c>
      <c r="C2379" s="55" t="s">
        <v>1436</v>
      </c>
      <c r="D2379" s="41">
        <v>0.02</v>
      </c>
      <c r="E2379" s="55" t="s">
        <v>700</v>
      </c>
      <c r="F2379" s="110" t="e">
        <f>#REF!</f>
        <v>#REF!</v>
      </c>
      <c r="G2379" s="109" t="e">
        <f>FLOOR(D2379*F2379,0.01)</f>
        <v>#REF!</v>
      </c>
      <c r="H2379" s="84"/>
    </row>
    <row r="2380" spans="1:8" ht="17.25">
      <c r="A2380" s="1"/>
      <c r="B2380" s="890"/>
      <c r="C2380" s="53" t="s">
        <v>2321</v>
      </c>
      <c r="D2380" s="42">
        <v>750</v>
      </c>
      <c r="E2380" s="53" t="s">
        <v>699</v>
      </c>
      <c r="F2380" s="109" t="e">
        <f>#REF!</f>
        <v>#REF!</v>
      </c>
      <c r="G2380" s="109" t="e">
        <f>FLOOR(D2380*F2380,0.01)</f>
        <v>#REF!</v>
      </c>
      <c r="H2380" s="86"/>
    </row>
    <row r="2381" spans="1:8" ht="17.25">
      <c r="A2381" s="1"/>
      <c r="B2381" s="887"/>
      <c r="C2381" s="56" t="s">
        <v>2322</v>
      </c>
      <c r="D2381" s="43">
        <v>0.1</v>
      </c>
      <c r="E2381" s="56" t="s">
        <v>2232</v>
      </c>
      <c r="F2381" s="63" t="e">
        <f>#REF!</f>
        <v>#REF!</v>
      </c>
      <c r="G2381" s="63" t="e">
        <f>FLOOR(D2381*F2381,0.01)</f>
        <v>#REF!</v>
      </c>
      <c r="H2381" s="123" t="e">
        <f>SUM(G2379:G2381)</f>
        <v>#REF!</v>
      </c>
    </row>
    <row r="2382" spans="1:8" ht="17.25">
      <c r="A2382" s="1"/>
      <c r="B2382" s="1"/>
      <c r="C2382" s="1"/>
      <c r="D2382" s="1"/>
      <c r="E2382" s="1"/>
      <c r="F2382" s="40" t="s">
        <v>1491</v>
      </c>
      <c r="G2382" s="40"/>
      <c r="H2382" s="63" t="e">
        <f>SUM(H2378:H2381)</f>
        <v>#REF!</v>
      </c>
    </row>
    <row r="2383" spans="1:8" ht="17.25">
      <c r="A2383" s="1"/>
      <c r="B2383" s="1" t="s">
        <v>1493</v>
      </c>
      <c r="C2383" s="1"/>
      <c r="D2383" s="1"/>
      <c r="E2383" s="1"/>
      <c r="F2383" s="40" t="s">
        <v>1472</v>
      </c>
      <c r="G2383" s="40"/>
      <c r="H2383" s="99" t="e">
        <f>FLOOR(H2382*0.15,0.01)</f>
        <v>#REF!</v>
      </c>
    </row>
    <row r="2384" spans="1:8" ht="17.25">
      <c r="B2384" s="140" t="e">
        <f>+H2384</f>
        <v>#REF!</v>
      </c>
      <c r="C2384" s="27" t="s">
        <v>3801</v>
      </c>
      <c r="D2384" s="99" t="e">
        <f>INT(B2384/B2385*100)/100</f>
        <v>#REF!</v>
      </c>
      <c r="E2384" s="1" t="s">
        <v>3006</v>
      </c>
      <c r="F2384" s="40" t="s">
        <v>1494</v>
      </c>
      <c r="G2384" s="40"/>
      <c r="H2384" s="99" t="e">
        <f>SUM(H2382:H2383)</f>
        <v>#REF!</v>
      </c>
    </row>
    <row r="2385" spans="1:8" ht="16.5">
      <c r="A2385" s="1"/>
      <c r="B2385" s="117">
        <v>10</v>
      </c>
      <c r="C2385" s="1"/>
      <c r="D2385" s="1"/>
      <c r="E2385" s="1"/>
      <c r="F2385" s="1"/>
      <c r="G2385" s="1"/>
      <c r="H2385" s="1"/>
    </row>
    <row r="2386" spans="1:8" ht="16.5">
      <c r="A2386" s="1"/>
      <c r="B2386" s="117"/>
      <c r="C2386" s="1"/>
      <c r="D2386" s="1"/>
      <c r="E2386" s="1"/>
      <c r="F2386" s="1"/>
      <c r="G2386" s="1"/>
      <c r="H2386" s="1"/>
    </row>
    <row r="2387" spans="1:8" ht="16.5">
      <c r="A2387" s="1"/>
      <c r="B2387" s="117"/>
      <c r="C2387" s="1"/>
      <c r="D2387" s="1"/>
      <c r="E2387" s="1"/>
      <c r="F2387" s="1"/>
      <c r="G2387" s="1"/>
      <c r="H2387" s="1"/>
    </row>
    <row r="2388" spans="1:8" ht="16.5">
      <c r="A2388" s="1"/>
      <c r="B2388" s="117"/>
      <c r="C2388" s="1"/>
      <c r="D2388" s="1"/>
      <c r="E2388" s="1"/>
      <c r="F2388" s="1"/>
      <c r="G2388" s="1"/>
      <c r="H2388" s="1"/>
    </row>
    <row r="2389" spans="1:8" ht="16.5">
      <c r="A2389" s="1"/>
      <c r="B2389" s="117"/>
      <c r="C2389" s="1"/>
      <c r="D2389" s="1"/>
      <c r="E2389" s="1"/>
      <c r="F2389" s="1"/>
      <c r="G2389" s="1"/>
      <c r="H2389" s="1"/>
    </row>
    <row r="2390" spans="1:8" ht="19.5">
      <c r="A2390" s="31"/>
      <c r="B2390" s="878" t="s">
        <v>1376</v>
      </c>
      <c r="C2390" s="878"/>
      <c r="D2390" s="878"/>
      <c r="E2390" s="878"/>
      <c r="F2390" s="878"/>
      <c r="G2390" s="878"/>
      <c r="H2390" s="878"/>
    </row>
    <row r="2391" spans="1:8" ht="20.25">
      <c r="A2391" s="260">
        <f>+A2373+1</f>
        <v>137</v>
      </c>
      <c r="B2391" s="877" t="s">
        <v>1375</v>
      </c>
      <c r="C2391" s="878"/>
      <c r="D2391" s="878"/>
      <c r="E2391" s="878"/>
      <c r="F2391" s="878"/>
      <c r="G2391" s="878"/>
      <c r="H2391" s="878"/>
    </row>
    <row r="2392" spans="1:8" ht="15">
      <c r="A2392" s="668" t="s">
        <v>3646</v>
      </c>
      <c r="B2392" s="888" t="s">
        <v>1382</v>
      </c>
      <c r="C2392" s="879"/>
      <c r="D2392" s="879"/>
      <c r="E2392" s="879"/>
      <c r="F2392" s="879"/>
      <c r="G2392" s="879"/>
      <c r="H2392" s="879"/>
    </row>
    <row r="2393" spans="1:8" ht="31.5">
      <c r="A2393" s="1"/>
      <c r="B2393" s="68" t="s">
        <v>2966</v>
      </c>
      <c r="C2393" s="68" t="s">
        <v>2967</v>
      </c>
      <c r="D2393" s="68" t="s">
        <v>2968</v>
      </c>
      <c r="E2393" s="68" t="s">
        <v>2969</v>
      </c>
      <c r="F2393" s="68" t="s">
        <v>2970</v>
      </c>
      <c r="G2393" s="68" t="s">
        <v>2971</v>
      </c>
      <c r="H2393" s="68" t="s">
        <v>1487</v>
      </c>
    </row>
    <row r="2394" spans="1:8" ht="17.25">
      <c r="A2394" s="1"/>
      <c r="B2394" s="889" t="s">
        <v>1488</v>
      </c>
      <c r="C2394" s="58" t="s">
        <v>516</v>
      </c>
      <c r="D2394" s="41">
        <v>0.5</v>
      </c>
      <c r="E2394" s="55" t="s">
        <v>1490</v>
      </c>
      <c r="F2394" s="107" t="e">
        <f>#REF!</f>
        <v>#REF!</v>
      </c>
      <c r="G2394" s="107" t="e">
        <f>FLOOR(D2394*F2394,0.01)</f>
        <v>#REF!</v>
      </c>
      <c r="H2394" s="108"/>
    </row>
    <row r="2395" spans="1:8" ht="17.25">
      <c r="A2395" s="1"/>
      <c r="B2395" s="887"/>
      <c r="C2395" s="56" t="s">
        <v>1433</v>
      </c>
      <c r="D2395" s="43">
        <v>0.5</v>
      </c>
      <c r="E2395" s="56" t="s">
        <v>1490</v>
      </c>
      <c r="F2395" s="63" t="e">
        <f>#REF!</f>
        <v>#REF!</v>
      </c>
      <c r="G2395" s="63" t="e">
        <f>FLOOR(D2395*F2395,0.01)</f>
        <v>#REF!</v>
      </c>
      <c r="H2395" s="121" t="e">
        <f>SUM(G2394+G2395)</f>
        <v>#REF!</v>
      </c>
    </row>
    <row r="2396" spans="1:8" ht="17.25">
      <c r="A2396" s="1"/>
      <c r="B2396" s="886" t="s">
        <v>2055</v>
      </c>
      <c r="C2396" s="55" t="s">
        <v>1436</v>
      </c>
      <c r="D2396" s="41">
        <v>4.2</v>
      </c>
      <c r="E2396" s="55" t="s">
        <v>2748</v>
      </c>
      <c r="F2396" s="109" t="e">
        <f>#REF!/1000</f>
        <v>#REF!</v>
      </c>
      <c r="G2396" s="109" t="e">
        <f>FLOOR(D2396*F2396,0.01)</f>
        <v>#REF!</v>
      </c>
      <c r="H2396" s="108"/>
    </row>
    <row r="2397" spans="1:8" ht="17.25">
      <c r="A2397" s="1"/>
      <c r="B2397" s="887"/>
      <c r="C2397" s="56" t="s">
        <v>2322</v>
      </c>
      <c r="D2397" s="49">
        <v>3.0000000000000001E-3</v>
      </c>
      <c r="E2397" s="56" t="s">
        <v>2232</v>
      </c>
      <c r="F2397" s="63" t="e">
        <f>#REF!</f>
        <v>#REF!</v>
      </c>
      <c r="G2397" s="63" t="e">
        <f>FLOOR(D2397*F2397,0.01)</f>
        <v>#REF!</v>
      </c>
      <c r="H2397" s="123" t="e">
        <f>SUM(G2396:G2397)</f>
        <v>#REF!</v>
      </c>
    </row>
    <row r="2398" spans="1:8" ht="19.5">
      <c r="A2398" s="1"/>
      <c r="B2398" s="1"/>
      <c r="C2398" s="1"/>
      <c r="D2398" s="1"/>
      <c r="E2398" s="1"/>
      <c r="F2398" s="40" t="s">
        <v>1491</v>
      </c>
      <c r="G2398" s="102"/>
      <c r="H2398" s="63" t="e">
        <f>SUM(H2397,H2395)</f>
        <v>#REF!</v>
      </c>
    </row>
    <row r="2399" spans="1:8" ht="19.5">
      <c r="A2399" s="1"/>
      <c r="B2399" s="1" t="s">
        <v>1493</v>
      </c>
      <c r="C2399" s="1"/>
      <c r="D2399" s="1"/>
      <c r="E2399" s="1"/>
      <c r="F2399" s="40" t="s">
        <v>1472</v>
      </c>
      <c r="G2399" s="102"/>
      <c r="H2399" s="99" t="e">
        <f>FLOOR(H2398*0.15,0.01)</f>
        <v>#REF!</v>
      </c>
    </row>
    <row r="2400" spans="1:8" ht="19.5">
      <c r="B2400" s="140" t="e">
        <f>+H2400</f>
        <v>#REF!</v>
      </c>
      <c r="C2400" s="27" t="s">
        <v>3801</v>
      </c>
      <c r="D2400" s="99" t="e">
        <f>INT(B2400/B2401*100)/100</f>
        <v>#REF!</v>
      </c>
      <c r="E2400" s="1" t="s">
        <v>3006</v>
      </c>
      <c r="F2400" s="40" t="s">
        <v>1494</v>
      </c>
      <c r="G2400" s="102"/>
      <c r="H2400" s="99" t="e">
        <f>SUM(H2398:H2399)</f>
        <v>#REF!</v>
      </c>
    </row>
    <row r="2401" spans="1:8" ht="16.5">
      <c r="A2401" s="1"/>
      <c r="B2401" s="117">
        <v>10</v>
      </c>
      <c r="C2401" s="1"/>
      <c r="D2401" s="1"/>
      <c r="E2401" s="1"/>
      <c r="F2401" s="1"/>
      <c r="G2401" s="1"/>
      <c r="H2401" s="1"/>
    </row>
    <row r="2402" spans="1:8" ht="16.5">
      <c r="A2402" s="1"/>
      <c r="B2402" s="117"/>
      <c r="C2402" s="1"/>
      <c r="D2402" s="1"/>
      <c r="E2402" s="1"/>
      <c r="F2402" s="1"/>
      <c r="G2402" s="1"/>
      <c r="H2402" s="1"/>
    </row>
    <row r="2403" spans="1:8" ht="16.5">
      <c r="A2403" s="1"/>
      <c r="B2403" s="117"/>
      <c r="C2403" s="1"/>
      <c r="D2403" s="1"/>
      <c r="E2403" s="1"/>
      <c r="F2403" s="1"/>
      <c r="G2403" s="1"/>
      <c r="H2403" s="1"/>
    </row>
    <row r="2404" spans="1:8" ht="16.5">
      <c r="A2404" s="1"/>
      <c r="B2404" s="117"/>
      <c r="C2404" s="1"/>
      <c r="D2404" s="1"/>
      <c r="E2404" s="1"/>
      <c r="F2404" s="1"/>
      <c r="G2404" s="1"/>
      <c r="H2404" s="1"/>
    </row>
    <row r="2405" spans="1:8" ht="15">
      <c r="A2405" s="31"/>
      <c r="B2405" s="1"/>
      <c r="C2405" s="1"/>
      <c r="D2405" s="1"/>
      <c r="E2405" s="1"/>
      <c r="F2405" s="1"/>
      <c r="G2405" s="1"/>
      <c r="H2405" s="1"/>
    </row>
    <row r="2406" spans="1:8" ht="20.25">
      <c r="A2406" s="260">
        <f>+A2391+1</f>
        <v>138</v>
      </c>
      <c r="B2406" s="877" t="s">
        <v>383</v>
      </c>
      <c r="C2406" s="878"/>
      <c r="D2406" s="878"/>
      <c r="E2406" s="878"/>
      <c r="F2406" s="878"/>
      <c r="G2406" s="878"/>
      <c r="H2406" s="878"/>
    </row>
    <row r="2407" spans="1:8" ht="15">
      <c r="A2407" s="668" t="s">
        <v>3647</v>
      </c>
      <c r="B2407" s="888" t="s">
        <v>13</v>
      </c>
      <c r="C2407" s="879"/>
      <c r="D2407" s="879"/>
      <c r="E2407" s="879"/>
      <c r="F2407" s="879"/>
      <c r="G2407" s="879"/>
      <c r="H2407" s="879"/>
    </row>
    <row r="2408" spans="1:8" ht="31.5">
      <c r="A2408" s="1"/>
      <c r="B2408" s="68" t="s">
        <v>2966</v>
      </c>
      <c r="C2408" s="68" t="s">
        <v>2967</v>
      </c>
      <c r="D2408" s="68" t="s">
        <v>2968</v>
      </c>
      <c r="E2408" s="68" t="s">
        <v>2969</v>
      </c>
      <c r="F2408" s="68" t="s">
        <v>2970</v>
      </c>
      <c r="G2408" s="68" t="s">
        <v>2971</v>
      </c>
      <c r="H2408" s="68" t="s">
        <v>1487</v>
      </c>
    </row>
    <row r="2409" spans="1:8" ht="17.25">
      <c r="A2409" s="1"/>
      <c r="B2409" s="889" t="s">
        <v>1488</v>
      </c>
      <c r="C2409" s="58" t="s">
        <v>516</v>
      </c>
      <c r="D2409" s="41">
        <v>6.5</v>
      </c>
      <c r="E2409" s="55" t="s">
        <v>1490</v>
      </c>
      <c r="F2409" s="107" t="e">
        <f>#REF!</f>
        <v>#REF!</v>
      </c>
      <c r="G2409" s="107" t="e">
        <f>FLOOR(D2409*F2409,0.01)</f>
        <v>#REF!</v>
      </c>
      <c r="H2409" s="108"/>
    </row>
    <row r="2410" spans="1:8" ht="17.25">
      <c r="A2410" s="1"/>
      <c r="B2410" s="887"/>
      <c r="C2410" s="56"/>
      <c r="D2410" s="63"/>
      <c r="E2410" s="56"/>
      <c r="F2410" s="109"/>
      <c r="G2410" s="63"/>
      <c r="H2410" s="121" t="e">
        <f>SUM(G2409+G2410)</f>
        <v>#REF!</v>
      </c>
    </row>
    <row r="2411" spans="1:8" ht="16.5">
      <c r="A2411" s="1"/>
      <c r="B2411" s="886" t="s">
        <v>2055</v>
      </c>
      <c r="C2411" s="886" t="s">
        <v>154</v>
      </c>
      <c r="D2411" s="108"/>
      <c r="E2411" s="886" t="s">
        <v>2232</v>
      </c>
      <c r="F2411" s="8"/>
      <c r="G2411" s="41"/>
      <c r="H2411" s="84"/>
    </row>
    <row r="2412" spans="1:8" ht="16.5">
      <c r="A2412" s="1"/>
      <c r="B2412" s="895"/>
      <c r="C2412" s="895"/>
      <c r="D2412" s="123">
        <v>11</v>
      </c>
      <c r="E2412" s="895"/>
      <c r="F2412" s="123" t="e">
        <f>#REF!</f>
        <v>#REF!</v>
      </c>
      <c r="G2412" s="63" t="e">
        <f>FLOOR(D2412*F2412,0.01)</f>
        <v>#REF!</v>
      </c>
      <c r="H2412" s="123" t="e">
        <f>SUM(G2412)</f>
        <v>#REF!</v>
      </c>
    </row>
    <row r="2413" spans="1:8" ht="17.25">
      <c r="A2413" s="1"/>
      <c r="B2413" s="1"/>
      <c r="C2413" s="1"/>
      <c r="D2413" s="1"/>
      <c r="E2413" s="1"/>
      <c r="F2413" s="40"/>
      <c r="G2413" s="40"/>
      <c r="H2413" s="63" t="e">
        <f>SUM(H2412,H2410)</f>
        <v>#REF!</v>
      </c>
    </row>
    <row r="2414" spans="1:8" ht="17.25">
      <c r="A2414" s="1"/>
      <c r="B2414" s="1" t="s">
        <v>3233</v>
      </c>
      <c r="C2414" s="1"/>
      <c r="D2414" s="1"/>
      <c r="E2414" s="1"/>
      <c r="F2414" s="40" t="s">
        <v>1472</v>
      </c>
      <c r="G2414" s="40"/>
      <c r="H2414" s="99" t="e">
        <f>FLOOR(H2413*0.15,0.01)</f>
        <v>#REF!</v>
      </c>
    </row>
    <row r="2415" spans="1:8" ht="17.25">
      <c r="B2415" s="140" t="e">
        <f>+H2415</f>
        <v>#REF!</v>
      </c>
      <c r="C2415" s="27" t="s">
        <v>3801</v>
      </c>
      <c r="D2415" s="99" t="e">
        <f>INT(B2415/B2416*100)/100</f>
        <v>#REF!</v>
      </c>
      <c r="E2415" s="1" t="s">
        <v>3006</v>
      </c>
      <c r="F2415" s="40" t="s">
        <v>1494</v>
      </c>
      <c r="G2415" s="40"/>
      <c r="H2415" s="99" t="e">
        <f>SUM(H2413:H2414)</f>
        <v>#REF!</v>
      </c>
    </row>
    <row r="2416" spans="1:8" ht="16.5">
      <c r="A2416" s="27"/>
      <c r="B2416" s="117">
        <v>10</v>
      </c>
      <c r="C2416" s="1"/>
      <c r="D2416" s="1"/>
      <c r="E2416" s="1"/>
      <c r="F2416" s="1"/>
      <c r="G2416" s="1"/>
      <c r="H2416" s="19"/>
    </row>
    <row r="2417" spans="1:8" ht="16.5">
      <c r="A2417" s="27"/>
      <c r="B2417" s="117"/>
      <c r="C2417" s="1"/>
      <c r="D2417" s="1"/>
      <c r="E2417" s="1"/>
      <c r="F2417" s="1"/>
      <c r="G2417" s="1"/>
      <c r="H2417" s="19"/>
    </row>
    <row r="2418" spans="1:8" ht="16.5">
      <c r="A2418" s="27"/>
      <c r="B2418" s="117"/>
      <c r="C2418" s="1"/>
      <c r="D2418" s="1"/>
      <c r="E2418" s="1"/>
      <c r="F2418" s="1"/>
      <c r="G2418" s="1"/>
      <c r="H2418" s="19"/>
    </row>
    <row r="2419" spans="1:8" ht="20.25">
      <c r="A2419" s="260">
        <f>+A2406+1</f>
        <v>139</v>
      </c>
      <c r="B2419" s="877" t="s">
        <v>1974</v>
      </c>
      <c r="C2419" s="878"/>
      <c r="D2419" s="878"/>
      <c r="E2419" s="878"/>
      <c r="F2419" s="878"/>
      <c r="G2419" s="878"/>
      <c r="H2419" s="878"/>
    </row>
    <row r="2420" spans="1:8" ht="15">
      <c r="A2420" s="668" t="s">
        <v>3647</v>
      </c>
      <c r="B2420" s="888" t="s">
        <v>13</v>
      </c>
      <c r="C2420" s="879"/>
      <c r="D2420" s="879"/>
      <c r="E2420" s="879"/>
      <c r="F2420" s="879"/>
      <c r="G2420" s="879"/>
      <c r="H2420" s="879"/>
    </row>
    <row r="2421" spans="1:8" ht="31.5">
      <c r="A2421" s="1"/>
      <c r="B2421" s="68" t="s">
        <v>2966</v>
      </c>
      <c r="C2421" s="68" t="s">
        <v>2967</v>
      </c>
      <c r="D2421" s="68" t="s">
        <v>2968</v>
      </c>
      <c r="E2421" s="68" t="s">
        <v>2969</v>
      </c>
      <c r="F2421" s="68" t="s">
        <v>2970</v>
      </c>
      <c r="G2421" s="68" t="s">
        <v>2971</v>
      </c>
      <c r="H2421" s="68" t="s">
        <v>1487</v>
      </c>
    </row>
    <row r="2422" spans="1:8" ht="15.75">
      <c r="A2422" s="1"/>
      <c r="B2422" s="889" t="s">
        <v>1488</v>
      </c>
      <c r="C2422" s="58" t="s">
        <v>516</v>
      </c>
      <c r="D2422" s="8"/>
      <c r="E2422" s="76" t="s">
        <v>1490</v>
      </c>
      <c r="F2422" s="8"/>
      <c r="G2422" s="85"/>
      <c r="H2422" s="84"/>
    </row>
    <row r="2423" spans="1:8" ht="15">
      <c r="A2423" s="1"/>
      <c r="B2423" s="887"/>
      <c r="C2423" s="186"/>
      <c r="D2423" s="123">
        <v>10</v>
      </c>
      <c r="E2423" s="186"/>
      <c r="F2423" s="122" t="e">
        <f>#REF!</f>
        <v>#REF!</v>
      </c>
      <c r="G2423" s="150" t="e">
        <f>FLOOR(D2423*F2423,0.01)</f>
        <v>#REF!</v>
      </c>
      <c r="H2423" s="121" t="e">
        <f>SUM(G2422+G2423)</f>
        <v>#REF!</v>
      </c>
    </row>
    <row r="2424" spans="1:8" ht="16.5">
      <c r="A2424" s="1"/>
      <c r="B2424" s="886" t="s">
        <v>2055</v>
      </c>
      <c r="C2424" s="886" t="s">
        <v>1377</v>
      </c>
      <c r="D2424" s="674"/>
      <c r="E2424" s="886" t="s">
        <v>2232</v>
      </c>
      <c r="F2424" s="109"/>
      <c r="G2424" s="151"/>
      <c r="H2424" s="84"/>
    </row>
    <row r="2425" spans="1:8" ht="15">
      <c r="A2425" s="1"/>
      <c r="B2425" s="895"/>
      <c r="C2425" s="895"/>
      <c r="D2425" s="123">
        <v>11</v>
      </c>
      <c r="E2425" s="895"/>
      <c r="F2425" s="150" t="e">
        <f>#REF!</f>
        <v>#REF!</v>
      </c>
      <c r="G2425" s="150" t="e">
        <f>FLOOR(D2425*F2425,0.01)</f>
        <v>#REF!</v>
      </c>
      <c r="H2425" s="123" t="e">
        <f>SUM(G2424:G2425)</f>
        <v>#REF!</v>
      </c>
    </row>
    <row r="2426" spans="1:8" ht="19.5">
      <c r="A2426" s="1"/>
      <c r="B2426" s="1"/>
      <c r="C2426" s="1"/>
      <c r="D2426" s="1"/>
      <c r="E2426" s="1"/>
      <c r="F2426" s="40" t="s">
        <v>1491</v>
      </c>
      <c r="G2426" s="102"/>
      <c r="H2426" s="63" t="e">
        <f>SUM(H2423:H2425)</f>
        <v>#REF!</v>
      </c>
    </row>
    <row r="2427" spans="1:8" ht="19.5">
      <c r="A2427" s="1"/>
      <c r="B2427" s="1" t="s">
        <v>3233</v>
      </c>
      <c r="C2427" s="1"/>
      <c r="D2427" s="1"/>
      <c r="E2427" s="1"/>
      <c r="F2427" s="40" t="s">
        <v>1472</v>
      </c>
      <c r="G2427" s="102"/>
      <c r="H2427" s="99" t="e">
        <f>FLOOR(H2426*0.15,0.01)</f>
        <v>#REF!</v>
      </c>
    </row>
    <row r="2428" spans="1:8" ht="19.5">
      <c r="B2428" s="140" t="e">
        <f>+H2428</f>
        <v>#REF!</v>
      </c>
      <c r="C2428" s="27" t="s">
        <v>3801</v>
      </c>
      <c r="D2428" s="99" t="e">
        <f>INT(B2428/B2429*100)/100</f>
        <v>#REF!</v>
      </c>
      <c r="E2428" s="1" t="s">
        <v>3006</v>
      </c>
      <c r="F2428" s="40" t="s">
        <v>1494</v>
      </c>
      <c r="G2428" s="102"/>
      <c r="H2428" s="99" t="e">
        <f>SUM(H2426:H2427)</f>
        <v>#REF!</v>
      </c>
    </row>
    <row r="2429" spans="1:8" ht="16.5">
      <c r="A2429" s="1"/>
      <c r="B2429" s="117">
        <v>10</v>
      </c>
      <c r="C2429" s="1"/>
      <c r="D2429" s="1"/>
      <c r="E2429" s="1"/>
      <c r="F2429" s="1"/>
      <c r="G2429" s="1"/>
      <c r="H2429" s="1"/>
    </row>
    <row r="2430" spans="1:8" ht="16.5">
      <c r="A2430" s="1"/>
      <c r="B2430" s="117"/>
      <c r="C2430" s="1"/>
      <c r="D2430" s="1"/>
      <c r="E2430" s="1"/>
      <c r="F2430" s="1"/>
      <c r="G2430" s="1"/>
      <c r="H2430" s="1"/>
    </row>
    <row r="2431" spans="1:8" ht="16.5">
      <c r="A2431" s="1"/>
      <c r="B2431" s="117"/>
      <c r="C2431" s="1"/>
      <c r="D2431" s="1"/>
      <c r="E2431" s="1"/>
      <c r="F2431" s="1"/>
      <c r="G2431" s="1"/>
      <c r="H2431" s="1"/>
    </row>
    <row r="2432" spans="1:8" ht="15">
      <c r="A2432" s="1"/>
      <c r="B2432" s="1"/>
      <c r="C2432" s="1"/>
      <c r="D2432" s="1"/>
      <c r="E2432" s="1"/>
      <c r="F2432" s="1"/>
      <c r="G2432" s="1"/>
      <c r="H2432" s="1"/>
    </row>
    <row r="2433" spans="1:8" ht="42" customHeight="1">
      <c r="A2433" s="260">
        <f>+A2419+1</f>
        <v>140</v>
      </c>
      <c r="B2433" s="877" t="s">
        <v>2207</v>
      </c>
      <c r="C2433" s="878"/>
      <c r="D2433" s="878"/>
      <c r="E2433" s="878"/>
      <c r="F2433" s="878"/>
      <c r="G2433" s="878"/>
      <c r="H2433" s="878"/>
    </row>
    <row r="2434" spans="1:8" ht="15">
      <c r="A2434" s="668" t="s">
        <v>3648</v>
      </c>
      <c r="B2434" s="888" t="s">
        <v>1382</v>
      </c>
      <c r="C2434" s="879"/>
      <c r="D2434" s="879"/>
      <c r="E2434" s="879"/>
      <c r="F2434" s="879"/>
      <c r="G2434" s="879"/>
      <c r="H2434" s="879"/>
    </row>
    <row r="2435" spans="1:8" ht="31.5">
      <c r="A2435" s="1"/>
      <c r="B2435" s="68" t="s">
        <v>2966</v>
      </c>
      <c r="C2435" s="68" t="s">
        <v>2967</v>
      </c>
      <c r="D2435" s="68" t="s">
        <v>2968</v>
      </c>
      <c r="E2435" s="68" t="s">
        <v>2969</v>
      </c>
      <c r="F2435" s="68" t="s">
        <v>2970</v>
      </c>
      <c r="G2435" s="68" t="s">
        <v>2971</v>
      </c>
      <c r="H2435" s="68" t="s">
        <v>1487</v>
      </c>
    </row>
    <row r="2436" spans="1:8" ht="15.75">
      <c r="A2436" s="1"/>
      <c r="B2436" s="889" t="s">
        <v>1488</v>
      </c>
      <c r="C2436" s="58" t="s">
        <v>516</v>
      </c>
      <c r="D2436" s="84">
        <v>1</v>
      </c>
      <c r="E2436" s="55" t="s">
        <v>1490</v>
      </c>
      <c r="F2436" s="107" t="e">
        <f>#REF!</f>
        <v>#REF!</v>
      </c>
      <c r="G2436" s="107" t="e">
        <f>FLOOR(D2436*F2436,0.01)</f>
        <v>#REF!</v>
      </c>
      <c r="H2436" s="108"/>
    </row>
    <row r="2437" spans="1:8" ht="17.25">
      <c r="A2437" s="1"/>
      <c r="B2437" s="887"/>
      <c r="C2437" s="78" t="s">
        <v>1433</v>
      </c>
      <c r="D2437" s="87">
        <v>1</v>
      </c>
      <c r="E2437" s="56" t="s">
        <v>1490</v>
      </c>
      <c r="F2437" s="63" t="e">
        <f>#REF!</f>
        <v>#REF!</v>
      </c>
      <c r="G2437" s="63" t="e">
        <f>FLOOR(D2437*F2437,0.01)</f>
        <v>#REF!</v>
      </c>
      <c r="H2437" s="121" t="e">
        <f>SUM(G2436+G2437)</f>
        <v>#REF!</v>
      </c>
    </row>
    <row r="2438" spans="1:8" ht="16.5">
      <c r="A2438" s="1"/>
      <c r="B2438" s="886" t="s">
        <v>2055</v>
      </c>
      <c r="C2438" s="886" t="s">
        <v>1436</v>
      </c>
      <c r="D2438" s="8"/>
      <c r="E2438" s="886" t="s">
        <v>700</v>
      </c>
      <c r="F2438" s="109"/>
      <c r="G2438" s="18"/>
      <c r="H2438" s="26"/>
    </row>
    <row r="2439" spans="1:8" ht="16.5">
      <c r="A2439" s="1"/>
      <c r="B2439" s="895"/>
      <c r="C2439" s="895"/>
      <c r="D2439" s="242">
        <v>5.3199999999999997E-2</v>
      </c>
      <c r="E2439" s="895"/>
      <c r="F2439" s="63" t="e">
        <f>#REF!</f>
        <v>#REF!</v>
      </c>
      <c r="G2439" s="63" t="e">
        <f>FLOOR(D2439*F2439,0.01)</f>
        <v>#REF!</v>
      </c>
      <c r="H2439" s="123" t="e">
        <f>SUM(G2438:G2439)</f>
        <v>#REF!</v>
      </c>
    </row>
    <row r="2440" spans="1:8" ht="19.5">
      <c r="A2440" s="1"/>
      <c r="B2440" s="1"/>
      <c r="C2440" s="1"/>
      <c r="D2440" s="1"/>
      <c r="E2440" s="1"/>
      <c r="F2440" s="40" t="s">
        <v>1491</v>
      </c>
      <c r="G2440" s="102"/>
      <c r="H2440" s="63" t="e">
        <f>SUM(H2439,H2437)</f>
        <v>#REF!</v>
      </c>
    </row>
    <row r="2441" spans="1:8" ht="19.5">
      <c r="A2441" s="1"/>
      <c r="B2441" s="1" t="s">
        <v>1493</v>
      </c>
      <c r="C2441" s="1"/>
      <c r="D2441" s="1"/>
      <c r="E2441" s="1"/>
      <c r="F2441" s="40" t="s">
        <v>1472</v>
      </c>
      <c r="G2441" s="102"/>
      <c r="H2441" s="99" t="e">
        <f>FLOOR(H2440*0.15,0.01)</f>
        <v>#REF!</v>
      </c>
    </row>
    <row r="2442" spans="1:8" ht="19.5">
      <c r="B2442" s="140" t="e">
        <f>+H2442</f>
        <v>#REF!</v>
      </c>
      <c r="C2442" s="27" t="s">
        <v>3801</v>
      </c>
      <c r="D2442" s="99" t="e">
        <f>INT(B2442/B2443*100)/100</f>
        <v>#REF!</v>
      </c>
      <c r="E2442" s="1" t="s">
        <v>3006</v>
      </c>
      <c r="F2442" s="40" t="s">
        <v>1494</v>
      </c>
      <c r="G2442" s="102"/>
      <c r="H2442" s="99" t="e">
        <f>SUM(H2440:H2441)</f>
        <v>#REF!</v>
      </c>
    </row>
    <row r="2443" spans="1:8" ht="16.5">
      <c r="A2443" s="1"/>
      <c r="B2443" s="117">
        <v>10</v>
      </c>
      <c r="C2443" s="1"/>
      <c r="D2443" s="1"/>
      <c r="E2443" s="1"/>
      <c r="F2443" s="1"/>
      <c r="G2443" s="1"/>
      <c r="H2443" s="1"/>
    </row>
    <row r="2444" spans="1:8" ht="16.5">
      <c r="A2444" s="1"/>
      <c r="B2444" s="117"/>
      <c r="C2444" s="1"/>
      <c r="D2444" s="1"/>
      <c r="E2444" s="1"/>
      <c r="F2444" s="1"/>
      <c r="G2444" s="1"/>
      <c r="H2444" s="1"/>
    </row>
    <row r="2445" spans="1:8" ht="42.75" customHeight="1">
      <c r="A2445" s="31"/>
      <c r="B2445" s="878" t="s">
        <v>1390</v>
      </c>
      <c r="C2445" s="878"/>
      <c r="D2445" s="878"/>
      <c r="E2445" s="878"/>
      <c r="F2445" s="878"/>
      <c r="G2445" s="878"/>
      <c r="H2445" s="878"/>
    </row>
    <row r="2446" spans="1:8" ht="20.25">
      <c r="A2446" s="260">
        <f>+A2433+1</f>
        <v>141</v>
      </c>
      <c r="B2446" s="935" t="s">
        <v>2209</v>
      </c>
      <c r="C2446" s="909"/>
      <c r="D2446" s="909"/>
      <c r="E2446" s="909"/>
      <c r="F2446" s="909"/>
      <c r="G2446" s="909"/>
      <c r="H2446" s="909"/>
    </row>
    <row r="2447" spans="1:8" ht="15">
      <c r="A2447" s="668" t="s">
        <v>3649</v>
      </c>
      <c r="B2447" s="888" t="s">
        <v>1382</v>
      </c>
      <c r="C2447" s="879"/>
      <c r="D2447" s="879"/>
      <c r="E2447" s="879"/>
      <c r="F2447" s="879"/>
      <c r="G2447" s="879"/>
      <c r="H2447" s="879"/>
    </row>
    <row r="2448" spans="1:8" ht="31.5">
      <c r="A2448" s="1"/>
      <c r="B2448" s="68" t="s">
        <v>2966</v>
      </c>
      <c r="C2448" s="68" t="s">
        <v>2967</v>
      </c>
      <c r="D2448" s="68" t="s">
        <v>2968</v>
      </c>
      <c r="E2448" s="68" t="s">
        <v>2969</v>
      </c>
      <c r="F2448" s="68" t="s">
        <v>2970</v>
      </c>
      <c r="G2448" s="68" t="s">
        <v>2971</v>
      </c>
      <c r="H2448" s="68" t="s">
        <v>1487</v>
      </c>
    </row>
    <row r="2449" spans="1:8" ht="17.25">
      <c r="A2449" s="1"/>
      <c r="B2449" s="889" t="s">
        <v>1488</v>
      </c>
      <c r="C2449" s="58" t="s">
        <v>516</v>
      </c>
      <c r="D2449" s="41">
        <v>6.5</v>
      </c>
      <c r="E2449" s="55" t="s">
        <v>1490</v>
      </c>
      <c r="F2449" s="107" t="e">
        <f>#REF!</f>
        <v>#REF!</v>
      </c>
      <c r="G2449" s="107" t="e">
        <f>FLOOR(D2449*F2449,0.01)</f>
        <v>#REF!</v>
      </c>
      <c r="H2449" s="108"/>
    </row>
    <row r="2450" spans="1:8" ht="17.25">
      <c r="A2450" s="1"/>
      <c r="B2450" s="887"/>
      <c r="C2450" s="78" t="s">
        <v>1433</v>
      </c>
      <c r="D2450" s="43">
        <v>0.65</v>
      </c>
      <c r="E2450" s="56" t="s">
        <v>1490</v>
      </c>
      <c r="F2450" s="63" t="e">
        <f>#REF!</f>
        <v>#REF!</v>
      </c>
      <c r="G2450" s="63" t="e">
        <f>FLOOR(D2450*F2450,0.01)</f>
        <v>#REF!</v>
      </c>
      <c r="H2450" s="121" t="e">
        <f>SUM(G2449+G2450)</f>
        <v>#REF!</v>
      </c>
    </row>
    <row r="2451" spans="1:8" ht="17.25">
      <c r="A2451" s="1"/>
      <c r="B2451" s="886" t="s">
        <v>2055</v>
      </c>
      <c r="C2451" s="55" t="s">
        <v>1932</v>
      </c>
      <c r="D2451" s="46">
        <v>0.42099999999999999</v>
      </c>
      <c r="E2451" s="55" t="s">
        <v>2232</v>
      </c>
      <c r="F2451" s="110" t="e">
        <f>awood</f>
        <v>#REF!</v>
      </c>
      <c r="G2451" s="109" t="e">
        <f>FLOOR(D2451*F2451,0.01)</f>
        <v>#REF!</v>
      </c>
      <c r="H2451" s="108"/>
    </row>
    <row r="2452" spans="1:8" ht="17.25">
      <c r="A2452" s="1"/>
      <c r="B2452" s="887"/>
      <c r="C2452" s="56" t="s">
        <v>2210</v>
      </c>
      <c r="D2452" s="43">
        <v>2</v>
      </c>
      <c r="E2452" s="56" t="s">
        <v>2748</v>
      </c>
      <c r="F2452" s="63" t="e">
        <f>#REF!</f>
        <v>#REF!</v>
      </c>
      <c r="G2452" s="63" t="e">
        <f>FLOOR(D2452*F2452,0.01)</f>
        <v>#REF!</v>
      </c>
      <c r="H2452" s="123" t="e">
        <f>SUM(G2451:G2452)</f>
        <v>#REF!</v>
      </c>
    </row>
    <row r="2453" spans="1:8" ht="19.5">
      <c r="A2453" s="1"/>
      <c r="B2453" s="1"/>
      <c r="C2453" s="1"/>
      <c r="D2453" s="1"/>
      <c r="E2453" s="1"/>
      <c r="F2453" s="40" t="s">
        <v>1491</v>
      </c>
      <c r="G2453" s="102"/>
      <c r="H2453" s="63" t="e">
        <f>SUM(H2452,H2450)</f>
        <v>#REF!</v>
      </c>
    </row>
    <row r="2454" spans="1:8" ht="19.5">
      <c r="A2454" s="1"/>
      <c r="B2454" s="1" t="s">
        <v>1493</v>
      </c>
      <c r="C2454" s="1"/>
      <c r="D2454" s="1"/>
      <c r="E2454" s="1"/>
      <c r="F2454" s="40" t="s">
        <v>1472</v>
      </c>
      <c r="G2454" s="102"/>
      <c r="H2454" s="99" t="e">
        <f>FLOOR(H2453*0.15,0.01)</f>
        <v>#REF!</v>
      </c>
    </row>
    <row r="2455" spans="1:8" ht="19.5">
      <c r="B2455" s="140" t="e">
        <f>+H2455</f>
        <v>#REF!</v>
      </c>
      <c r="C2455" s="27" t="s">
        <v>3801</v>
      </c>
      <c r="D2455" s="99" t="e">
        <f>INT(B2455/B2456*100)/100</f>
        <v>#REF!</v>
      </c>
      <c r="E2455" s="1" t="s">
        <v>3006</v>
      </c>
      <c r="F2455" s="40" t="s">
        <v>1494</v>
      </c>
      <c r="G2455" s="102"/>
      <c r="H2455" s="99" t="e">
        <f>SUM(H2453:H2454)</f>
        <v>#REF!</v>
      </c>
    </row>
    <row r="2456" spans="1:8" ht="16.5">
      <c r="A2456" s="1"/>
      <c r="B2456" s="117">
        <v>10</v>
      </c>
      <c r="C2456" s="1"/>
      <c r="D2456" s="1"/>
      <c r="E2456" s="1"/>
      <c r="F2456" s="1"/>
      <c r="G2456" s="1"/>
      <c r="H2456" s="1"/>
    </row>
    <row r="2457" spans="1:8" ht="16.5">
      <c r="A2457" s="1"/>
      <c r="B2457" s="117"/>
      <c r="C2457" s="1"/>
      <c r="D2457" s="1"/>
      <c r="E2457" s="1"/>
      <c r="F2457" s="1"/>
      <c r="G2457" s="1"/>
      <c r="H2457" s="1"/>
    </row>
    <row r="2458" spans="1:8" ht="66.75" customHeight="1">
      <c r="A2458" s="260">
        <f>A2446+1</f>
        <v>142</v>
      </c>
      <c r="B2458" s="940" t="s">
        <v>153</v>
      </c>
      <c r="C2458" s="941"/>
      <c r="D2458" s="941"/>
      <c r="E2458" s="941"/>
      <c r="F2458" s="941"/>
      <c r="G2458" s="941"/>
      <c r="H2458" s="941"/>
    </row>
    <row r="2459" spans="1:8" ht="15">
      <c r="A2459" s="668" t="s">
        <v>3650</v>
      </c>
      <c r="B2459" s="928" t="s">
        <v>1382</v>
      </c>
      <c r="C2459" s="885"/>
      <c r="D2459" s="885"/>
      <c r="E2459" s="885"/>
      <c r="F2459" s="885"/>
      <c r="G2459" s="885"/>
      <c r="H2459" s="885"/>
    </row>
    <row r="2460" spans="1:8" ht="31.5">
      <c r="A2460" s="1"/>
      <c r="B2460" s="68" t="s">
        <v>2966</v>
      </c>
      <c r="C2460" s="68" t="s">
        <v>2967</v>
      </c>
      <c r="D2460" s="68" t="s">
        <v>2968</v>
      </c>
      <c r="E2460" s="68" t="s">
        <v>2969</v>
      </c>
      <c r="F2460" s="68" t="s">
        <v>2970</v>
      </c>
      <c r="G2460" s="68" t="s">
        <v>2971</v>
      </c>
      <c r="H2460" s="68" t="s">
        <v>1487</v>
      </c>
    </row>
    <row r="2461" spans="1:8" ht="17.25">
      <c r="A2461" s="1"/>
      <c r="B2461" s="889" t="s">
        <v>1488</v>
      </c>
      <c r="C2461" s="58" t="s">
        <v>516</v>
      </c>
      <c r="D2461" s="41">
        <v>1</v>
      </c>
      <c r="E2461" s="55" t="s">
        <v>1490</v>
      </c>
      <c r="F2461" s="107" t="e">
        <f>mason</f>
        <v>#REF!</v>
      </c>
      <c r="G2461" s="107" t="e">
        <f>FLOOR(D2461*F2461,0.01)</f>
        <v>#REF!</v>
      </c>
      <c r="H2461" s="944" t="e">
        <f>G2461+G2462+G2463</f>
        <v>#REF!</v>
      </c>
    </row>
    <row r="2462" spans="1:8" ht="17.25">
      <c r="A2462" s="1"/>
      <c r="B2462" s="943"/>
      <c r="C2462" s="53" t="s">
        <v>1433</v>
      </c>
      <c r="D2462" s="42">
        <v>3</v>
      </c>
      <c r="E2462" s="53" t="s">
        <v>1490</v>
      </c>
      <c r="F2462" s="109" t="e">
        <f>#REF!</f>
        <v>#REF!</v>
      </c>
      <c r="G2462" s="109" t="e">
        <f>FLOOR(D2462*F2462,0.01)</f>
        <v>#REF!</v>
      </c>
      <c r="H2462" s="945"/>
    </row>
    <row r="2463" spans="1:8" ht="19.5">
      <c r="A2463" s="1"/>
      <c r="B2463" s="887"/>
      <c r="C2463" s="56" t="s">
        <v>3515</v>
      </c>
      <c r="D2463" s="43">
        <v>7</v>
      </c>
      <c r="E2463" s="56" t="s">
        <v>1490</v>
      </c>
      <c r="F2463" s="63" t="e">
        <f>#REF!</f>
        <v>#REF!</v>
      </c>
      <c r="G2463" s="63" t="e">
        <f>FLOOR(D2463*F2463,0.01)</f>
        <v>#REF!</v>
      </c>
      <c r="H2463" s="946"/>
    </row>
    <row r="2464" spans="1:8" ht="17.25">
      <c r="A2464" s="1"/>
      <c r="B2464" s="886" t="s">
        <v>2055</v>
      </c>
      <c r="C2464" s="55" t="s">
        <v>3366</v>
      </c>
      <c r="D2464" s="41">
        <v>11</v>
      </c>
      <c r="E2464" s="55" t="s">
        <v>2807</v>
      </c>
      <c r="F2464" s="110" t="e">
        <f>#REF!</f>
        <v>#REF!</v>
      </c>
      <c r="G2464" s="109" t="e">
        <f>FLOOR(D2464*F2464,0.01)</f>
        <v>#REF!</v>
      </c>
      <c r="H2464" s="86"/>
    </row>
    <row r="2465" spans="1:8" ht="17.25">
      <c r="A2465" s="1"/>
      <c r="B2465" s="894"/>
      <c r="C2465" s="53" t="s">
        <v>3514</v>
      </c>
      <c r="D2465" s="647">
        <v>0.55000000000000004</v>
      </c>
      <c r="E2465" s="53" t="s">
        <v>2807</v>
      </c>
      <c r="F2465" s="109" t="e">
        <f>E2471</f>
        <v>#REF!</v>
      </c>
      <c r="G2465" s="109" t="e">
        <f>F2465*D2465</f>
        <v>#REF!</v>
      </c>
      <c r="H2465" s="86"/>
    </row>
    <row r="2466" spans="1:8" ht="17.25">
      <c r="A2466" s="1"/>
      <c r="B2466" s="887"/>
      <c r="C2466" s="56" t="s">
        <v>1480</v>
      </c>
      <c r="D2466" s="43">
        <v>0.71</v>
      </c>
      <c r="E2466" s="56" t="s">
        <v>2232</v>
      </c>
      <c r="F2466" s="63" t="e">
        <f>#REF!</f>
        <v>#REF!</v>
      </c>
      <c r="G2466" s="63" t="e">
        <f>FLOOR(D2466*F2466,0.01)</f>
        <v>#REF!</v>
      </c>
      <c r="H2466" s="87" t="e">
        <f>SUM(G2464:G2466)</f>
        <v>#REF!</v>
      </c>
    </row>
    <row r="2467" spans="1:8" ht="17.25">
      <c r="A2467" s="1"/>
      <c r="B2467" s="1"/>
      <c r="C2467" s="1"/>
      <c r="D2467" s="1"/>
      <c r="E2467" s="1"/>
      <c r="F2467" s="40" t="s">
        <v>1491</v>
      </c>
      <c r="G2467" s="40"/>
      <c r="H2467" s="43" t="e">
        <f>SUM(H2461:H2466)</f>
        <v>#REF!</v>
      </c>
    </row>
    <row r="2468" spans="1:8" ht="17.25">
      <c r="A2468" s="1"/>
      <c r="B2468" s="1" t="s">
        <v>1493</v>
      </c>
      <c r="C2468" s="1"/>
      <c r="D2468" s="1"/>
      <c r="E2468" s="1"/>
      <c r="F2468" s="40" t="s">
        <v>1472</v>
      </c>
      <c r="G2468" s="40"/>
      <c r="H2468" s="99" t="e">
        <f>FLOOR(H2467*0.15,0.01)</f>
        <v>#REF!</v>
      </c>
    </row>
    <row r="2469" spans="1:8" ht="17.25">
      <c r="B2469" s="140" t="e">
        <f>+H2469</f>
        <v>#REF!</v>
      </c>
      <c r="C2469" s="27" t="s">
        <v>3801</v>
      </c>
      <c r="D2469" s="99" t="e">
        <f>INT(B2469/B2470*100)/100</f>
        <v>#REF!</v>
      </c>
      <c r="E2469" s="1" t="s">
        <v>3006</v>
      </c>
      <c r="F2469" s="40" t="s">
        <v>1494</v>
      </c>
      <c r="G2469" s="40"/>
      <c r="H2469" s="44" t="e">
        <f>SUM(H2467:H2468)</f>
        <v>#REF!</v>
      </c>
    </row>
    <row r="2470" spans="1:8" ht="16.5">
      <c r="A2470" s="1"/>
      <c r="B2470" s="117">
        <v>10</v>
      </c>
      <c r="C2470" s="1"/>
      <c r="D2470" s="1"/>
      <c r="E2470" s="1"/>
      <c r="F2470" s="1"/>
      <c r="G2470" s="1"/>
      <c r="H2470" s="1"/>
    </row>
    <row r="2471" spans="1:8" ht="16.5">
      <c r="A2471" s="1" t="s">
        <v>3573</v>
      </c>
      <c r="B2471" s="117"/>
      <c r="C2471" s="1"/>
      <c r="D2471" s="684" t="e">
        <f>F2466</f>
        <v>#REF!</v>
      </c>
      <c r="E2471" s="684" t="e">
        <f>D2471*0.05</f>
        <v>#REF!</v>
      </c>
      <c r="F2471" s="1"/>
      <c r="G2471" s="1"/>
      <c r="H2471" s="1"/>
    </row>
    <row r="2472" spans="1:8" ht="16.5">
      <c r="A2472" s="1"/>
      <c r="B2472" s="117"/>
      <c r="C2472" s="1"/>
      <c r="D2472" s="689"/>
      <c r="E2472" s="689"/>
      <c r="F2472" s="1"/>
      <c r="G2472" s="1"/>
      <c r="H2472" s="1"/>
    </row>
    <row r="2473" spans="1:8" ht="16.5">
      <c r="A2473" s="1"/>
      <c r="B2473" s="117"/>
      <c r="C2473" s="1"/>
      <c r="D2473" s="1"/>
      <c r="E2473" s="1"/>
      <c r="F2473" s="1"/>
      <c r="G2473" s="1"/>
      <c r="H2473" s="1"/>
    </row>
    <row r="2474" spans="1:8" ht="50.25" customHeight="1">
      <c r="A2474" s="260">
        <f>A2458+1</f>
        <v>143</v>
      </c>
      <c r="B2474" s="940" t="s">
        <v>1478</v>
      </c>
      <c r="C2474" s="941"/>
      <c r="D2474" s="941"/>
      <c r="E2474" s="941"/>
      <c r="F2474" s="941"/>
      <c r="G2474" s="941"/>
      <c r="H2474" s="941"/>
    </row>
    <row r="2475" spans="1:8" ht="15">
      <c r="A2475" s="668" t="s">
        <v>3651</v>
      </c>
      <c r="B2475" s="928" t="s">
        <v>1382</v>
      </c>
      <c r="C2475" s="885"/>
      <c r="D2475" s="885"/>
      <c r="E2475" s="885"/>
      <c r="F2475" s="885"/>
      <c r="G2475" s="885"/>
      <c r="H2475" s="885"/>
    </row>
    <row r="2476" spans="1:8" ht="31.5">
      <c r="A2476" s="1"/>
      <c r="B2476" s="68" t="s">
        <v>2966</v>
      </c>
      <c r="C2476" s="68" t="s">
        <v>2967</v>
      </c>
      <c r="D2476" s="68" t="s">
        <v>2968</v>
      </c>
      <c r="E2476" s="68" t="s">
        <v>2969</v>
      </c>
      <c r="F2476" s="68" t="s">
        <v>2970</v>
      </c>
      <c r="G2476" s="68" t="s">
        <v>2971</v>
      </c>
      <c r="H2476" s="68" t="s">
        <v>1487</v>
      </c>
    </row>
    <row r="2477" spans="1:8" ht="17.25">
      <c r="A2477" s="1"/>
      <c r="B2477" s="889" t="s">
        <v>1488</v>
      </c>
      <c r="C2477" s="58" t="s">
        <v>516</v>
      </c>
      <c r="D2477" s="41">
        <v>1</v>
      </c>
      <c r="E2477" s="55" t="s">
        <v>1490</v>
      </c>
      <c r="F2477" s="107" t="e">
        <f>mason</f>
        <v>#REF!</v>
      </c>
      <c r="G2477" s="107" t="e">
        <f>FLOOR(D2477*F2477,0.01)</f>
        <v>#REF!</v>
      </c>
      <c r="H2477" s="944" t="e">
        <f>G2477+G2478+G2479</f>
        <v>#REF!</v>
      </c>
    </row>
    <row r="2478" spans="1:8" ht="17.25">
      <c r="A2478" s="1"/>
      <c r="B2478" s="943"/>
      <c r="C2478" s="53" t="s">
        <v>1433</v>
      </c>
      <c r="D2478" s="42">
        <v>3</v>
      </c>
      <c r="E2478" s="53" t="s">
        <v>1490</v>
      </c>
      <c r="F2478" s="109" t="e">
        <f>#REF!</f>
        <v>#REF!</v>
      </c>
      <c r="G2478" s="109" t="e">
        <f>FLOOR(D2478*F2478,0.01)</f>
        <v>#REF!</v>
      </c>
      <c r="H2478" s="945"/>
    </row>
    <row r="2479" spans="1:8" ht="17.25">
      <c r="A2479" s="1"/>
      <c r="B2479" s="887"/>
      <c r="C2479" s="56" t="s">
        <v>1479</v>
      </c>
      <c r="D2479" s="43">
        <v>7</v>
      </c>
      <c r="E2479" s="56" t="s">
        <v>1490</v>
      </c>
      <c r="F2479" s="63" t="e">
        <f>#REF!</f>
        <v>#REF!</v>
      </c>
      <c r="G2479" s="63" t="e">
        <f>FLOOR(D2479*F2479,0.01)</f>
        <v>#REF!</v>
      </c>
      <c r="H2479" s="946"/>
    </row>
    <row r="2480" spans="1:8" ht="17.25">
      <c r="A2480" s="1"/>
      <c r="B2480" s="886" t="s">
        <v>2055</v>
      </c>
      <c r="C2480" s="55" t="s">
        <v>3366</v>
      </c>
      <c r="D2480" s="41">
        <v>11</v>
      </c>
      <c r="E2480" s="55" t="s">
        <v>2807</v>
      </c>
      <c r="F2480" s="110" t="e">
        <f>#REF!</f>
        <v>#REF!</v>
      </c>
      <c r="G2480" s="109" t="e">
        <f>FLOOR(D2480*F2480,0.01)</f>
        <v>#REF!</v>
      </c>
      <c r="H2480" s="86"/>
    </row>
    <row r="2481" spans="1:8" ht="17.25">
      <c r="A2481" s="1"/>
      <c r="B2481" s="894"/>
      <c r="C2481" s="53" t="s">
        <v>3516</v>
      </c>
      <c r="D2481" s="647">
        <v>0.55000000000000004</v>
      </c>
      <c r="E2481" s="53" t="s">
        <v>2807</v>
      </c>
      <c r="F2481" s="109" t="e">
        <f>E2487</f>
        <v>#REF!</v>
      </c>
      <c r="G2481" s="109" t="e">
        <f>F2481*D2481</f>
        <v>#REF!</v>
      </c>
      <c r="H2481" s="86"/>
    </row>
    <row r="2482" spans="1:8" ht="17.25">
      <c r="A2482" s="1"/>
      <c r="B2482" s="887"/>
      <c r="C2482" s="56" t="s">
        <v>1480</v>
      </c>
      <c r="D2482" s="43">
        <v>0.71</v>
      </c>
      <c r="E2482" s="56" t="s">
        <v>2232</v>
      </c>
      <c r="F2482" s="63" t="e">
        <f>#REF!</f>
        <v>#REF!</v>
      </c>
      <c r="G2482" s="63" t="e">
        <f>FLOOR(D2482*F2482,0.01)</f>
        <v>#REF!</v>
      </c>
      <c r="H2482" s="87" t="e">
        <f>SUM(G2480:G2482)</f>
        <v>#REF!</v>
      </c>
    </row>
    <row r="2483" spans="1:8" ht="17.25">
      <c r="A2483" s="1"/>
      <c r="B2483" s="1"/>
      <c r="C2483" s="1"/>
      <c r="D2483" s="1"/>
      <c r="E2483" s="1"/>
      <c r="F2483" s="40" t="s">
        <v>1491</v>
      </c>
      <c r="G2483" s="40"/>
      <c r="H2483" s="43" t="e">
        <f>SUM(H2477:H2482)</f>
        <v>#REF!</v>
      </c>
    </row>
    <row r="2484" spans="1:8" ht="17.25">
      <c r="A2484" s="1"/>
      <c r="B2484" s="1" t="s">
        <v>1493</v>
      </c>
      <c r="C2484" s="1"/>
      <c r="D2484" s="1"/>
      <c r="E2484" s="1"/>
      <c r="F2484" s="40" t="s">
        <v>1472</v>
      </c>
      <c r="G2484" s="40"/>
      <c r="H2484" s="99" t="e">
        <f>FLOOR(H2483*0.15,0.01)</f>
        <v>#REF!</v>
      </c>
    </row>
    <row r="2485" spans="1:8" ht="17.25">
      <c r="B2485" s="140" t="e">
        <f>+H2485</f>
        <v>#REF!</v>
      </c>
      <c r="C2485" s="27" t="s">
        <v>3801</v>
      </c>
      <c r="D2485" s="99" t="e">
        <f>INT(B2485/B2486*100)/100</f>
        <v>#REF!</v>
      </c>
      <c r="E2485" s="1" t="s">
        <v>3006</v>
      </c>
      <c r="F2485" s="40" t="s">
        <v>1494</v>
      </c>
      <c r="G2485" s="40"/>
      <c r="H2485" s="44" t="e">
        <f>SUM(H2483:H2484)</f>
        <v>#REF!</v>
      </c>
    </row>
    <row r="2486" spans="1:8" ht="16.5">
      <c r="A2486" s="1"/>
      <c r="B2486" s="117">
        <v>10</v>
      </c>
      <c r="C2486" s="1"/>
      <c r="D2486" s="1"/>
      <c r="E2486" s="1"/>
      <c r="F2486" s="1"/>
      <c r="G2486" s="1"/>
      <c r="H2486" s="1"/>
    </row>
    <row r="2487" spans="1:8" ht="16.5">
      <c r="A2487" s="1" t="s">
        <v>3574</v>
      </c>
      <c r="B2487" s="117"/>
      <c r="C2487" s="1"/>
      <c r="D2487" s="693" t="e">
        <f>F2482</f>
        <v>#REF!</v>
      </c>
      <c r="E2487" s="693" t="e">
        <f>D2487*0.06</f>
        <v>#REF!</v>
      </c>
      <c r="F2487" s="1"/>
      <c r="G2487" s="1"/>
      <c r="H2487" s="1"/>
    </row>
    <row r="2488" spans="1:8" ht="16.5">
      <c r="A2488" s="1"/>
      <c r="B2488" s="117"/>
      <c r="C2488" s="1"/>
      <c r="D2488" s="690"/>
      <c r="E2488" s="690"/>
      <c r="F2488" s="1"/>
      <c r="G2488" s="1"/>
      <c r="H2488" s="1"/>
    </row>
    <row r="2489" spans="1:8" ht="16.5">
      <c r="A2489" s="1"/>
      <c r="B2489" s="117"/>
      <c r="C2489" s="1"/>
      <c r="D2489" s="690"/>
      <c r="E2489" s="690"/>
      <c r="F2489" s="1"/>
      <c r="G2489" s="1"/>
      <c r="H2489" s="1"/>
    </row>
    <row r="2490" spans="1:8" ht="16.5">
      <c r="A2490" s="1"/>
      <c r="B2490" s="117"/>
      <c r="C2490" s="1"/>
      <c r="D2490" s="1"/>
      <c r="E2490" s="1"/>
      <c r="F2490" s="1"/>
      <c r="G2490" s="1"/>
      <c r="H2490" s="1"/>
    </row>
    <row r="2491" spans="1:8" ht="20.25">
      <c r="A2491" s="260">
        <f>+A2474+1</f>
        <v>144</v>
      </c>
      <c r="B2491" s="877" t="s">
        <v>2953</v>
      </c>
      <c r="C2491" s="878"/>
      <c r="D2491" s="878"/>
      <c r="E2491" s="878"/>
      <c r="F2491" s="878"/>
      <c r="G2491" s="878"/>
      <c r="H2491" s="878"/>
    </row>
    <row r="2492" spans="1:8" ht="15">
      <c r="A2492" s="668" t="s">
        <v>3652</v>
      </c>
      <c r="B2492" s="888" t="s">
        <v>1382</v>
      </c>
      <c r="C2492" s="879"/>
      <c r="D2492" s="879"/>
      <c r="E2492" s="879"/>
      <c r="F2492" s="879"/>
      <c r="G2492" s="879"/>
      <c r="H2492" s="879"/>
    </row>
    <row r="2493" spans="1:8" ht="31.5">
      <c r="A2493" s="1"/>
      <c r="B2493" s="68" t="s">
        <v>2966</v>
      </c>
      <c r="C2493" s="68" t="s">
        <v>2967</v>
      </c>
      <c r="D2493" s="68" t="s">
        <v>2968</v>
      </c>
      <c r="E2493" s="68" t="s">
        <v>2969</v>
      </c>
      <c r="F2493" s="68" t="s">
        <v>2970</v>
      </c>
      <c r="G2493" s="68" t="s">
        <v>2971</v>
      </c>
      <c r="H2493" s="68" t="s">
        <v>1487</v>
      </c>
    </row>
    <row r="2494" spans="1:8" ht="17.25">
      <c r="A2494" s="1"/>
      <c r="B2494" s="889" t="s">
        <v>1488</v>
      </c>
      <c r="C2494" s="58" t="s">
        <v>516</v>
      </c>
      <c r="D2494" s="41">
        <v>1</v>
      </c>
      <c r="E2494" s="55" t="s">
        <v>1490</v>
      </c>
      <c r="F2494" s="107" t="e">
        <f>#REF!</f>
        <v>#REF!</v>
      </c>
      <c r="G2494" s="107" t="e">
        <f>FLOOR(D2494*F2494,0.01)</f>
        <v>#REF!</v>
      </c>
      <c r="H2494" s="108"/>
    </row>
    <row r="2495" spans="1:8" ht="17.25">
      <c r="A2495" s="1"/>
      <c r="B2495" s="887"/>
      <c r="C2495" s="78" t="s">
        <v>1433</v>
      </c>
      <c r="D2495" s="43">
        <v>1</v>
      </c>
      <c r="E2495" s="56" t="s">
        <v>1490</v>
      </c>
      <c r="F2495" s="63" t="e">
        <f>#REF!</f>
        <v>#REF!</v>
      </c>
      <c r="G2495" s="63" t="e">
        <f>FLOOR(D2495*F2495,0.01)</f>
        <v>#REF!</v>
      </c>
      <c r="H2495" s="121" t="e">
        <f>SUM(G2494+G2495)</f>
        <v>#REF!</v>
      </c>
    </row>
    <row r="2496" spans="1:8" ht="16.5">
      <c r="A2496" s="1"/>
      <c r="B2496" s="886" t="s">
        <v>2055</v>
      </c>
      <c r="C2496" s="886" t="s">
        <v>2954</v>
      </c>
      <c r="D2496" s="84"/>
      <c r="E2496" s="886" t="s">
        <v>2748</v>
      </c>
      <c r="F2496" s="109"/>
      <c r="G2496" s="18"/>
      <c r="H2496" s="26"/>
    </row>
    <row r="2497" spans="1:8" ht="16.5">
      <c r="A2497" s="1"/>
      <c r="B2497" s="895"/>
      <c r="C2497" s="895"/>
      <c r="D2497" s="87">
        <v>21.28</v>
      </c>
      <c r="E2497" s="895"/>
      <c r="F2497" s="63" t="e">
        <f>#REF!</f>
        <v>#REF!</v>
      </c>
      <c r="G2497" s="63" t="e">
        <f>FLOOR(D2497*F2497,0.01)</f>
        <v>#REF!</v>
      </c>
      <c r="H2497" s="123" t="e">
        <f>SUM(G2496:G2497)</f>
        <v>#REF!</v>
      </c>
    </row>
    <row r="2498" spans="1:8" ht="19.5">
      <c r="A2498" s="1"/>
      <c r="B2498" s="1"/>
      <c r="C2498" s="1"/>
      <c r="D2498" s="1"/>
      <c r="E2498" s="1"/>
      <c r="F2498" s="40" t="s">
        <v>1491</v>
      </c>
      <c r="G2498" s="102"/>
      <c r="H2498" s="63" t="e">
        <f>SUM(H2497,H2495)</f>
        <v>#REF!</v>
      </c>
    </row>
    <row r="2499" spans="1:8" ht="19.5">
      <c r="A2499" s="1"/>
      <c r="B2499" s="1" t="s">
        <v>1493</v>
      </c>
      <c r="C2499" s="1"/>
      <c r="D2499" s="1"/>
      <c r="E2499" s="1"/>
      <c r="F2499" s="40" t="s">
        <v>1472</v>
      </c>
      <c r="G2499" s="102"/>
      <c r="H2499" s="99" t="e">
        <f>FLOOR(H2498*0.15,0.01)</f>
        <v>#REF!</v>
      </c>
    </row>
    <row r="2500" spans="1:8" ht="19.5">
      <c r="B2500" s="140" t="e">
        <f>+H2500</f>
        <v>#REF!</v>
      </c>
      <c r="C2500" s="27" t="s">
        <v>3801</v>
      </c>
      <c r="D2500" s="99" t="e">
        <f>INT(B2500/B2501*100)/100</f>
        <v>#REF!</v>
      </c>
      <c r="E2500" s="1" t="s">
        <v>3006</v>
      </c>
      <c r="F2500" s="40" t="s">
        <v>1494</v>
      </c>
      <c r="G2500" s="102"/>
      <c r="H2500" s="99" t="e">
        <f>SUM(H2498:H2499)</f>
        <v>#REF!</v>
      </c>
    </row>
    <row r="2501" spans="1:8" ht="16.5">
      <c r="A2501" s="1"/>
      <c r="B2501" s="117">
        <v>10</v>
      </c>
      <c r="C2501" s="1"/>
      <c r="D2501" s="1"/>
      <c r="E2501" s="1"/>
      <c r="F2501" s="1"/>
      <c r="G2501" s="1"/>
      <c r="H2501" s="1"/>
    </row>
    <row r="2502" spans="1:8" ht="15">
      <c r="A2502" s="1"/>
      <c r="B2502" s="191"/>
      <c r="C2502" s="1"/>
      <c r="D2502" s="1"/>
      <c r="E2502" s="1"/>
      <c r="F2502" s="191"/>
      <c r="G2502" s="191"/>
      <c r="H2502" s="170"/>
    </row>
    <row r="2503" spans="1:8" ht="20.25">
      <c r="A2503" s="138">
        <f>+A2491+1</f>
        <v>145</v>
      </c>
      <c r="B2503" s="877" t="s">
        <v>1861</v>
      </c>
      <c r="C2503" s="878"/>
      <c r="D2503" s="878"/>
      <c r="E2503" s="878"/>
      <c r="F2503" s="878"/>
      <c r="G2503" s="878"/>
      <c r="H2503" s="878"/>
    </row>
    <row r="2504" spans="1:8" ht="14.25">
      <c r="A2504" s="648" t="s">
        <v>3372</v>
      </c>
      <c r="B2504" s="879" t="s">
        <v>2059</v>
      </c>
      <c r="C2504" s="879"/>
      <c r="D2504" s="879"/>
      <c r="E2504" s="879"/>
      <c r="F2504" s="879"/>
      <c r="G2504" s="879"/>
      <c r="H2504" s="879"/>
    </row>
    <row r="2505" spans="1:8" ht="31.5">
      <c r="A2505" s="1"/>
      <c r="B2505" s="68" t="s">
        <v>2966</v>
      </c>
      <c r="C2505" s="68" t="s">
        <v>2967</v>
      </c>
      <c r="D2505" s="68" t="s">
        <v>2968</v>
      </c>
      <c r="E2505" s="68" t="s">
        <v>2969</v>
      </c>
      <c r="F2505" s="68" t="s">
        <v>2970</v>
      </c>
      <c r="G2505" s="68" t="s">
        <v>2971</v>
      </c>
      <c r="H2505" s="68" t="s">
        <v>1487</v>
      </c>
    </row>
    <row r="2506" spans="1:8" ht="17.25">
      <c r="A2506" s="27"/>
      <c r="B2506" s="889" t="s">
        <v>520</v>
      </c>
      <c r="C2506" s="80" t="s">
        <v>686</v>
      </c>
      <c r="D2506" s="42">
        <v>13</v>
      </c>
      <c r="E2506" s="53" t="s">
        <v>1490</v>
      </c>
      <c r="F2506" s="116" t="e">
        <f>#REF!</f>
        <v>#REF!</v>
      </c>
      <c r="G2506" s="107" t="e">
        <f>FLOOR(D2506*F2506,0.01)</f>
        <v>#REF!</v>
      </c>
      <c r="H2506" s="108"/>
    </row>
    <row r="2507" spans="1:8" ht="17.25">
      <c r="A2507" s="1"/>
      <c r="B2507" s="942"/>
      <c r="C2507" s="78" t="s">
        <v>521</v>
      </c>
      <c r="D2507" s="43">
        <v>4.5</v>
      </c>
      <c r="E2507" s="56" t="s">
        <v>1490</v>
      </c>
      <c r="F2507" s="122" t="e">
        <f>#REF!</f>
        <v>#REF!</v>
      </c>
      <c r="G2507" s="63" t="e">
        <f>FLOOR(D2507*F2507,0.01)</f>
        <v>#REF!</v>
      </c>
      <c r="H2507" s="123" t="e">
        <f>SUM(G2506+G2507)</f>
        <v>#REF!</v>
      </c>
    </row>
    <row r="2508" spans="1:8" ht="17.25">
      <c r="A2508" s="1"/>
      <c r="B2508" s="889" t="s">
        <v>2055</v>
      </c>
      <c r="C2508" s="80" t="s">
        <v>1436</v>
      </c>
      <c r="D2508" s="52">
        <v>5.6000000000000001E-2</v>
      </c>
      <c r="E2508" s="53" t="s">
        <v>2061</v>
      </c>
      <c r="F2508" s="116" t="e">
        <f>#REF!</f>
        <v>#REF!</v>
      </c>
      <c r="G2508" s="116" t="e">
        <f>FLOOR(D2508*F2508,0.01)</f>
        <v>#REF!</v>
      </c>
      <c r="H2508" s="121"/>
    </row>
    <row r="2509" spans="1:8" ht="17.25">
      <c r="A2509" s="1"/>
      <c r="B2509" s="947"/>
      <c r="C2509" s="80" t="s">
        <v>2060</v>
      </c>
      <c r="D2509" s="52">
        <v>0.152</v>
      </c>
      <c r="E2509" s="53" t="s">
        <v>2062</v>
      </c>
      <c r="F2509" s="116" t="e">
        <f>#REF!</f>
        <v>#REF!</v>
      </c>
      <c r="G2509" s="116" t="e">
        <f>FLOOR(D2509*F2509,0.01)</f>
        <v>#REF!</v>
      </c>
      <c r="H2509" s="121"/>
    </row>
    <row r="2510" spans="1:8" ht="30">
      <c r="A2510" s="1"/>
      <c r="B2510" s="942"/>
      <c r="C2510" s="645" t="s">
        <v>3367</v>
      </c>
      <c r="D2510" s="43">
        <v>11</v>
      </c>
      <c r="E2510" s="56" t="s">
        <v>2063</v>
      </c>
      <c r="F2510" s="122">
        <f>63*6</f>
        <v>378</v>
      </c>
      <c r="G2510" s="122">
        <f>FLOOR(D2510*F2510,0.01)</f>
        <v>4158</v>
      </c>
      <c r="H2510" s="123" t="e">
        <f>SUM(G2508+G2509+G2510)</f>
        <v>#REF!</v>
      </c>
    </row>
    <row r="2511" spans="1:8" ht="19.5">
      <c r="A2511" s="1"/>
      <c r="B2511" s="1"/>
      <c r="C2511" s="1"/>
      <c r="D2511" s="1"/>
      <c r="E2511" s="1"/>
      <c r="F2511" s="1" t="s">
        <v>1491</v>
      </c>
      <c r="G2511" s="102"/>
      <c r="H2511" s="63" t="e">
        <f>SUM(H2507:H2510)</f>
        <v>#REF!</v>
      </c>
    </row>
    <row r="2512" spans="1:8" ht="19.5">
      <c r="A2512" s="1"/>
      <c r="B2512" s="1" t="s">
        <v>1493</v>
      </c>
      <c r="C2512" s="1"/>
      <c r="D2512" s="1"/>
      <c r="E2512" s="1"/>
      <c r="F2512" s="1" t="s">
        <v>1471</v>
      </c>
      <c r="G2512" s="102"/>
      <c r="H2512" s="99" t="e">
        <f>FLOOR(H2511*0.15,0.01)</f>
        <v>#REF!</v>
      </c>
    </row>
    <row r="2513" spans="1:8" ht="19.5">
      <c r="A2513" s="27"/>
      <c r="B2513" s="140" t="e">
        <f>+H2513</f>
        <v>#REF!</v>
      </c>
      <c r="C2513" s="27" t="s">
        <v>3801</v>
      </c>
      <c r="D2513" s="99" t="e">
        <f>FLOOR(B2513/B2514,0.01)</f>
        <v>#REF!</v>
      </c>
      <c r="E2513" s="1" t="s">
        <v>3006</v>
      </c>
      <c r="F2513" s="1" t="s">
        <v>1494</v>
      </c>
      <c r="G2513" s="102"/>
      <c r="H2513" s="99" t="e">
        <f>SUM(H2511:H2512)</f>
        <v>#REF!</v>
      </c>
    </row>
    <row r="2514" spans="1:8" ht="16.5">
      <c r="A2514" s="1"/>
      <c r="B2514" s="88">
        <v>10</v>
      </c>
      <c r="C2514" s="1"/>
      <c r="D2514" s="1"/>
      <c r="E2514" s="1"/>
      <c r="F2514" s="1"/>
      <c r="G2514" s="1"/>
      <c r="H2514" s="1"/>
    </row>
    <row r="2515" spans="1:8" ht="16.5">
      <c r="A2515" s="1"/>
      <c r="B2515" s="88"/>
      <c r="C2515" s="1"/>
      <c r="D2515" s="1"/>
      <c r="E2515" s="1"/>
      <c r="F2515" s="1"/>
      <c r="G2515" s="1"/>
      <c r="H2515" s="1"/>
    </row>
    <row r="2516" spans="1:8" ht="16.5">
      <c r="A2516" s="106" t="s">
        <v>1610</v>
      </c>
      <c r="B2516" s="88"/>
      <c r="C2516" s="1"/>
      <c r="D2516" s="1"/>
      <c r="E2516" s="1"/>
      <c r="F2516" s="1"/>
      <c r="G2516" s="1"/>
      <c r="H2516" s="1"/>
    </row>
    <row r="2517" spans="1:8" ht="16.5">
      <c r="A2517" s="106"/>
      <c r="B2517" s="88"/>
      <c r="C2517" s="1"/>
      <c r="D2517" s="1"/>
      <c r="E2517" s="1"/>
      <c r="F2517" s="1"/>
      <c r="G2517" s="1"/>
      <c r="H2517" s="1"/>
    </row>
    <row r="2518" spans="1:8" ht="16.5">
      <c r="A2518" s="1"/>
      <c r="B2518" s="117"/>
      <c r="C2518" s="1"/>
      <c r="D2518" s="1"/>
      <c r="E2518" s="1"/>
      <c r="F2518" s="1"/>
      <c r="G2518" s="1"/>
      <c r="H2518" s="1"/>
    </row>
    <row r="2519" spans="1:8" ht="20.25">
      <c r="A2519" s="138">
        <f>A2503+1</f>
        <v>146</v>
      </c>
      <c r="B2519" s="877" t="s">
        <v>1356</v>
      </c>
      <c r="C2519" s="878"/>
      <c r="D2519" s="878"/>
      <c r="E2519" s="878"/>
      <c r="F2519" s="878"/>
      <c r="G2519" s="878"/>
      <c r="H2519" s="878"/>
    </row>
    <row r="2520" spans="1:8" ht="14.25">
      <c r="A2520" s="648" t="s">
        <v>3372</v>
      </c>
      <c r="B2520" s="879" t="s">
        <v>2059</v>
      </c>
      <c r="C2520" s="879"/>
      <c r="D2520" s="879"/>
      <c r="E2520" s="879"/>
      <c r="F2520" s="879"/>
      <c r="G2520" s="879"/>
      <c r="H2520" s="879"/>
    </row>
    <row r="2521" spans="1:8" ht="31.5">
      <c r="A2521" s="1"/>
      <c r="B2521" s="68" t="s">
        <v>2966</v>
      </c>
      <c r="C2521" s="68" t="s">
        <v>2967</v>
      </c>
      <c r="D2521" s="68" t="s">
        <v>2968</v>
      </c>
      <c r="E2521" s="68" t="s">
        <v>2969</v>
      </c>
      <c r="F2521" s="68" t="s">
        <v>2970</v>
      </c>
      <c r="G2521" s="68" t="s">
        <v>2971</v>
      </c>
      <c r="H2521" s="68" t="s">
        <v>1487</v>
      </c>
    </row>
    <row r="2522" spans="1:8" ht="17.25">
      <c r="A2522" s="27"/>
      <c r="B2522" s="889" t="s">
        <v>520</v>
      </c>
      <c r="C2522" s="80" t="s">
        <v>686</v>
      </c>
      <c r="D2522" s="42">
        <v>13</v>
      </c>
      <c r="E2522" s="53" t="s">
        <v>1490</v>
      </c>
      <c r="F2522" s="116" t="e">
        <f>#REF!</f>
        <v>#REF!</v>
      </c>
      <c r="G2522" s="107" t="e">
        <f>FLOOR(D2522*F2522,0.01)</f>
        <v>#REF!</v>
      </c>
      <c r="H2522" s="108"/>
    </row>
    <row r="2523" spans="1:8" ht="17.25">
      <c r="A2523" s="1"/>
      <c r="B2523" s="942"/>
      <c r="C2523" s="78" t="s">
        <v>521</v>
      </c>
      <c r="D2523" s="43">
        <v>4.5</v>
      </c>
      <c r="E2523" s="56" t="s">
        <v>1490</v>
      </c>
      <c r="F2523" s="122" t="e">
        <f>#REF!</f>
        <v>#REF!</v>
      </c>
      <c r="G2523" s="63" t="e">
        <f>FLOOR(D2523*F2523,0.01)</f>
        <v>#REF!</v>
      </c>
      <c r="H2523" s="123" t="e">
        <f>SUM(G2522+G2523)</f>
        <v>#REF!</v>
      </c>
    </row>
    <row r="2524" spans="1:8" ht="17.25">
      <c r="A2524" s="1"/>
      <c r="B2524" s="889" t="s">
        <v>2055</v>
      </c>
      <c r="C2524" s="80" t="s">
        <v>1436</v>
      </c>
      <c r="D2524" s="42">
        <v>5.6000000000000001E-2</v>
      </c>
      <c r="E2524" s="53" t="s">
        <v>2061</v>
      </c>
      <c r="F2524" s="116" t="e">
        <f>#REF!</f>
        <v>#REF!</v>
      </c>
      <c r="G2524" s="116" t="e">
        <f>FLOOR(D2524*F2524,0.01)</f>
        <v>#REF!</v>
      </c>
      <c r="H2524" s="121"/>
    </row>
    <row r="2525" spans="1:8" ht="17.25">
      <c r="A2525" s="1"/>
      <c r="B2525" s="947"/>
      <c r="C2525" s="80" t="s">
        <v>2060</v>
      </c>
      <c r="D2525" s="52">
        <v>0.152</v>
      </c>
      <c r="E2525" s="53" t="s">
        <v>2062</v>
      </c>
      <c r="F2525" s="116" t="e">
        <f>#REF!</f>
        <v>#REF!</v>
      </c>
      <c r="G2525" s="116" t="e">
        <f>FLOOR(D2525*F2525,0.01)</f>
        <v>#REF!</v>
      </c>
      <c r="H2525" s="121"/>
    </row>
    <row r="2526" spans="1:8" ht="30">
      <c r="A2526" s="1"/>
      <c r="B2526" s="942"/>
      <c r="C2526" s="645" t="s">
        <v>3367</v>
      </c>
      <c r="D2526" s="43">
        <v>11</v>
      </c>
      <c r="E2526" s="56" t="s">
        <v>2063</v>
      </c>
      <c r="F2526" s="122">
        <f>F2510</f>
        <v>378</v>
      </c>
      <c r="G2526" s="122">
        <f>FLOOR(D2526*F2526,0.01)</f>
        <v>4158</v>
      </c>
      <c r="H2526" s="123" t="e">
        <f>SUM(G2524+G2525+G2526)</f>
        <v>#REF!</v>
      </c>
    </row>
    <row r="2527" spans="1:8" ht="15.75">
      <c r="A2527" s="1"/>
      <c r="B2527" s="428"/>
      <c r="C2527" s="147" t="s">
        <v>698</v>
      </c>
      <c r="D2527" s="431" t="s">
        <v>1357</v>
      </c>
      <c r="E2527" s="210"/>
      <c r="F2527" s="429"/>
      <c r="G2527" s="430"/>
      <c r="H2527" s="123" t="e">
        <f>FLOOR(G2523*0.03,0.01)</f>
        <v>#REF!</v>
      </c>
    </row>
    <row r="2528" spans="1:8" ht="19.5">
      <c r="A2528" s="1"/>
      <c r="B2528" s="1"/>
      <c r="C2528" s="1"/>
      <c r="D2528" s="1"/>
      <c r="E2528" s="1"/>
      <c r="F2528" s="1" t="s">
        <v>1491</v>
      </c>
      <c r="G2528" s="102"/>
      <c r="H2528" s="63" t="e">
        <f>SUM(H2523:H2527)</f>
        <v>#REF!</v>
      </c>
    </row>
    <row r="2529" spans="1:8" ht="19.5">
      <c r="A2529" s="1"/>
      <c r="B2529" s="1" t="s">
        <v>1493</v>
      </c>
      <c r="C2529" s="1"/>
      <c r="D2529" s="1"/>
      <c r="E2529" s="1"/>
      <c r="F2529" s="1" t="s">
        <v>1471</v>
      </c>
      <c r="G2529" s="102"/>
      <c r="H2529" s="99" t="e">
        <f>FLOOR(H2528*0.15,0.01)</f>
        <v>#REF!</v>
      </c>
    </row>
    <row r="2530" spans="1:8" ht="19.5">
      <c r="A2530" s="27"/>
      <c r="B2530" s="140" t="e">
        <f>+H2530</f>
        <v>#REF!</v>
      </c>
      <c r="C2530" s="27" t="s">
        <v>3801</v>
      </c>
      <c r="D2530" s="99" t="e">
        <f>FLOOR(B2530/B2531,0.01)</f>
        <v>#REF!</v>
      </c>
      <c r="E2530" s="1" t="s">
        <v>3006</v>
      </c>
      <c r="F2530" s="1" t="s">
        <v>1494</v>
      </c>
      <c r="G2530" s="102"/>
      <c r="H2530" s="99" t="e">
        <f>SUM(H2528:H2529)</f>
        <v>#REF!</v>
      </c>
    </row>
    <row r="2531" spans="1:8" ht="16.5">
      <c r="A2531" s="1"/>
      <c r="B2531" s="88">
        <v>10</v>
      </c>
      <c r="C2531" s="1"/>
      <c r="D2531" s="1"/>
      <c r="E2531" s="1"/>
      <c r="F2531" s="1"/>
      <c r="G2531" s="1"/>
      <c r="H2531" s="1"/>
    </row>
    <row r="2532" spans="1:8" ht="16.5">
      <c r="A2532" s="1"/>
      <c r="B2532" s="88"/>
      <c r="C2532" s="1"/>
      <c r="D2532" s="1"/>
      <c r="E2532" s="1"/>
      <c r="F2532" s="1"/>
      <c r="G2532" s="1"/>
      <c r="H2532" s="1"/>
    </row>
    <row r="2533" spans="1:8" ht="16.5">
      <c r="A2533" s="106" t="s">
        <v>1610</v>
      </c>
      <c r="B2533" s="88"/>
      <c r="C2533" s="1"/>
      <c r="D2533" s="1"/>
      <c r="E2533" s="1"/>
      <c r="F2533" s="1"/>
      <c r="G2533" s="1"/>
      <c r="H2533" s="1"/>
    </row>
    <row r="2534" spans="1:8" ht="16.5">
      <c r="A2534" s="1"/>
      <c r="B2534" s="117"/>
      <c r="C2534" s="1"/>
      <c r="D2534" s="1"/>
      <c r="E2534" s="1"/>
      <c r="F2534" s="1"/>
      <c r="G2534" s="1"/>
      <c r="H2534" s="1"/>
    </row>
    <row r="2535" spans="1:8" ht="16.5">
      <c r="A2535" s="1"/>
      <c r="B2535" s="117"/>
      <c r="C2535" s="1"/>
      <c r="D2535" s="1"/>
      <c r="E2535" s="1"/>
      <c r="F2535" s="1"/>
      <c r="G2535" s="1"/>
      <c r="H2535" s="1"/>
    </row>
    <row r="2536" spans="1:8" ht="16.5">
      <c r="A2536" s="1"/>
      <c r="B2536" s="117"/>
      <c r="C2536" s="1"/>
      <c r="D2536" s="1"/>
      <c r="E2536" s="1"/>
      <c r="F2536" s="1"/>
      <c r="G2536" s="1"/>
      <c r="H2536" s="1"/>
    </row>
    <row r="2537" spans="1:8" ht="18.75">
      <c r="A2537" s="138">
        <f>A2519+1</f>
        <v>147</v>
      </c>
      <c r="B2537" s="948" t="s">
        <v>3369</v>
      </c>
      <c r="C2537" s="891"/>
      <c r="D2537" s="891"/>
      <c r="E2537" s="891"/>
      <c r="F2537" s="891"/>
      <c r="G2537" s="891"/>
      <c r="H2537" s="891"/>
    </row>
    <row r="2538" spans="1:8" ht="14.25">
      <c r="A2538" s="648" t="s">
        <v>3372</v>
      </c>
      <c r="B2538" s="879" t="s">
        <v>2059</v>
      </c>
      <c r="C2538" s="879"/>
      <c r="D2538" s="879"/>
      <c r="E2538" s="879"/>
      <c r="F2538" s="879"/>
      <c r="G2538" s="879"/>
      <c r="H2538" s="879"/>
    </row>
    <row r="2539" spans="1:8" ht="31.5">
      <c r="A2539" s="1"/>
      <c r="B2539" s="68" t="s">
        <v>2966</v>
      </c>
      <c r="C2539" s="68" t="s">
        <v>2967</v>
      </c>
      <c r="D2539" s="68" t="s">
        <v>2968</v>
      </c>
      <c r="E2539" s="68" t="s">
        <v>2969</v>
      </c>
      <c r="F2539" s="68" t="s">
        <v>2970</v>
      </c>
      <c r="G2539" s="68" t="s">
        <v>2971</v>
      </c>
      <c r="H2539" s="68" t="s">
        <v>1487</v>
      </c>
    </row>
    <row r="2540" spans="1:8" ht="17.25">
      <c r="A2540" s="27"/>
      <c r="B2540" s="889" t="s">
        <v>520</v>
      </c>
      <c r="C2540" s="80" t="s">
        <v>686</v>
      </c>
      <c r="D2540" s="42">
        <v>13</v>
      </c>
      <c r="E2540" s="53" t="s">
        <v>1490</v>
      </c>
      <c r="F2540" s="116" t="e">
        <f>#REF!</f>
        <v>#REF!</v>
      </c>
      <c r="G2540" s="107" t="e">
        <f>FLOOR(D2540*F2540,0.01)</f>
        <v>#REF!</v>
      </c>
      <c r="H2540" s="108"/>
    </row>
    <row r="2541" spans="1:8" ht="17.25">
      <c r="A2541" s="1"/>
      <c r="B2541" s="942"/>
      <c r="C2541" s="78" t="s">
        <v>521</v>
      </c>
      <c r="D2541" s="43">
        <v>4.5</v>
      </c>
      <c r="E2541" s="56" t="s">
        <v>1490</v>
      </c>
      <c r="F2541" s="122" t="e">
        <f>#REF!</f>
        <v>#REF!</v>
      </c>
      <c r="G2541" s="63" t="e">
        <f>FLOOR(D2541*F2541,0.01)</f>
        <v>#REF!</v>
      </c>
      <c r="H2541" s="123" t="e">
        <f>SUM(G2540+G2541)</f>
        <v>#REF!</v>
      </c>
    </row>
    <row r="2542" spans="1:8" ht="17.25">
      <c r="A2542" s="1"/>
      <c r="B2542" s="889" t="s">
        <v>2055</v>
      </c>
      <c r="C2542" s="80" t="s">
        <v>1436</v>
      </c>
      <c r="D2542" s="42">
        <v>5.6000000000000001E-2</v>
      </c>
      <c r="E2542" s="53" t="s">
        <v>2061</v>
      </c>
      <c r="F2542" s="116" t="e">
        <f>#REF!</f>
        <v>#REF!</v>
      </c>
      <c r="G2542" s="116" t="e">
        <f>FLOOR(D2542*F2542,0.01)</f>
        <v>#REF!</v>
      </c>
      <c r="H2542" s="121"/>
    </row>
    <row r="2543" spans="1:8" ht="17.25">
      <c r="A2543" s="1"/>
      <c r="B2543" s="947"/>
      <c r="C2543" s="80" t="s">
        <v>2060</v>
      </c>
      <c r="D2543" s="52">
        <v>0.152</v>
      </c>
      <c r="E2543" s="53" t="s">
        <v>2062</v>
      </c>
      <c r="F2543" s="116" t="e">
        <f>#REF!</f>
        <v>#REF!</v>
      </c>
      <c r="G2543" s="116" t="e">
        <f>FLOOR(D2543*F2543,0.01)</f>
        <v>#REF!</v>
      </c>
      <c r="H2543" s="121"/>
    </row>
    <row r="2544" spans="1:8" ht="17.25">
      <c r="A2544" s="1"/>
      <c r="B2544" s="942"/>
      <c r="C2544" s="676" t="s">
        <v>3368</v>
      </c>
      <c r="D2544" s="43">
        <v>11</v>
      </c>
      <c r="E2544" s="56" t="s">
        <v>2063</v>
      </c>
      <c r="F2544" s="122" t="e">
        <f>#REF!</f>
        <v>#REF!</v>
      </c>
      <c r="G2544" s="122" t="e">
        <f>FLOOR(D2544*F2544,0.01)</f>
        <v>#REF!</v>
      </c>
      <c r="H2544" s="123" t="e">
        <f>SUM(G2542+G2543+G2544)</f>
        <v>#REF!</v>
      </c>
    </row>
    <row r="2545" spans="1:8" ht="19.5">
      <c r="A2545" s="1"/>
      <c r="B2545" s="1"/>
      <c r="C2545" s="1"/>
      <c r="D2545" s="1"/>
      <c r="E2545" s="1"/>
      <c r="F2545" s="1" t="s">
        <v>1491</v>
      </c>
      <c r="G2545" s="102"/>
      <c r="H2545" s="63" t="e">
        <f>SUM(H2541:H2544)</f>
        <v>#REF!</v>
      </c>
    </row>
    <row r="2546" spans="1:8" ht="19.5">
      <c r="A2546" s="1"/>
      <c r="B2546" s="1" t="s">
        <v>1493</v>
      </c>
      <c r="C2546" s="1"/>
      <c r="D2546" s="1"/>
      <c r="E2546" s="1"/>
      <c r="F2546" s="1" t="s">
        <v>1471</v>
      </c>
      <c r="G2546" s="102"/>
      <c r="H2546" s="99" t="e">
        <f>FLOOR(H2545*0.15,0.01)</f>
        <v>#REF!</v>
      </c>
    </row>
    <row r="2547" spans="1:8" ht="19.5">
      <c r="A2547" s="27"/>
      <c r="B2547" s="140" t="e">
        <f>+H2547</f>
        <v>#REF!</v>
      </c>
      <c r="C2547" s="27" t="s">
        <v>3801</v>
      </c>
      <c r="D2547" s="99" t="e">
        <f>FLOOR(B2547/B2548,0.01)</f>
        <v>#REF!</v>
      </c>
      <c r="E2547" s="1" t="s">
        <v>3006</v>
      </c>
      <c r="F2547" s="1" t="s">
        <v>1494</v>
      </c>
      <c r="G2547" s="102"/>
      <c r="H2547" s="99" t="e">
        <f>SUM(H2545:H2546)</f>
        <v>#REF!</v>
      </c>
    </row>
    <row r="2548" spans="1:8" ht="16.5">
      <c r="A2548" s="1"/>
      <c r="B2548" s="88">
        <v>10</v>
      </c>
      <c r="C2548" s="1"/>
      <c r="D2548" s="1"/>
      <c r="E2548" s="1"/>
      <c r="F2548" s="1"/>
      <c r="G2548" s="1"/>
      <c r="H2548" s="1"/>
    </row>
    <row r="2549" spans="1:8" ht="16.5">
      <c r="A2549" s="1"/>
      <c r="B2549" s="117"/>
      <c r="C2549" s="1"/>
      <c r="D2549" s="1"/>
      <c r="E2549" s="1"/>
      <c r="F2549" s="1"/>
      <c r="G2549" s="1"/>
      <c r="H2549" s="1"/>
    </row>
    <row r="2550" spans="1:8" ht="18.75">
      <c r="A2550" s="138">
        <f>A2537+1</f>
        <v>148</v>
      </c>
      <c r="B2550" s="948" t="s">
        <v>3370</v>
      </c>
      <c r="C2550" s="891"/>
      <c r="D2550" s="891"/>
      <c r="E2550" s="891"/>
      <c r="F2550" s="891"/>
      <c r="G2550" s="891"/>
      <c r="H2550" s="891"/>
    </row>
    <row r="2551" spans="1:8" ht="14.25">
      <c r="A2551" s="648" t="s">
        <v>3372</v>
      </c>
      <c r="B2551" s="879" t="s">
        <v>2059</v>
      </c>
      <c r="C2551" s="879"/>
      <c r="D2551" s="879"/>
      <c r="E2551" s="879"/>
      <c r="F2551" s="879"/>
      <c r="G2551" s="879"/>
      <c r="H2551" s="879"/>
    </row>
    <row r="2552" spans="1:8" ht="31.5">
      <c r="A2552" s="1"/>
      <c r="B2552" s="68" t="s">
        <v>2966</v>
      </c>
      <c r="C2552" s="68" t="s">
        <v>2967</v>
      </c>
      <c r="D2552" s="68" t="s">
        <v>2968</v>
      </c>
      <c r="E2552" s="68" t="s">
        <v>2969</v>
      </c>
      <c r="F2552" s="68" t="s">
        <v>2970</v>
      </c>
      <c r="G2552" s="68" t="s">
        <v>2971</v>
      </c>
      <c r="H2552" s="68" t="s">
        <v>1487</v>
      </c>
    </row>
    <row r="2553" spans="1:8" ht="17.25">
      <c r="A2553" s="27"/>
      <c r="B2553" s="889" t="s">
        <v>520</v>
      </c>
      <c r="C2553" s="80" t="s">
        <v>686</v>
      </c>
      <c r="D2553" s="42">
        <v>13</v>
      </c>
      <c r="E2553" s="53" t="s">
        <v>1490</v>
      </c>
      <c r="F2553" s="116" t="e">
        <f>#REF!</f>
        <v>#REF!</v>
      </c>
      <c r="G2553" s="107" t="e">
        <f>FLOOR(D2553*F2553,0.01)</f>
        <v>#REF!</v>
      </c>
      <c r="H2553" s="108"/>
    </row>
    <row r="2554" spans="1:8" ht="17.25">
      <c r="A2554" s="1"/>
      <c r="B2554" s="942"/>
      <c r="C2554" s="78" t="s">
        <v>521</v>
      </c>
      <c r="D2554" s="43">
        <v>4.5</v>
      </c>
      <c r="E2554" s="56" t="s">
        <v>1490</v>
      </c>
      <c r="F2554" s="122" t="e">
        <f>#REF!</f>
        <v>#REF!</v>
      </c>
      <c r="G2554" s="63" t="e">
        <f>FLOOR(D2554*F2554,0.01)</f>
        <v>#REF!</v>
      </c>
      <c r="H2554" s="123" t="e">
        <f>SUM(G2553+G2554)</f>
        <v>#REF!</v>
      </c>
    </row>
    <row r="2555" spans="1:8" ht="17.25">
      <c r="A2555" s="1"/>
      <c r="B2555" s="889" t="s">
        <v>2055</v>
      </c>
      <c r="C2555" s="80" t="s">
        <v>1436</v>
      </c>
      <c r="D2555" s="42">
        <v>5.6000000000000001E-2</v>
      </c>
      <c r="E2555" s="53" t="s">
        <v>2061</v>
      </c>
      <c r="F2555" s="116" t="e">
        <f>#REF!</f>
        <v>#REF!</v>
      </c>
      <c r="G2555" s="116" t="e">
        <f>FLOOR(D2555*F2555,0.01)</f>
        <v>#REF!</v>
      </c>
      <c r="H2555" s="121"/>
    </row>
    <row r="2556" spans="1:8" ht="17.25">
      <c r="A2556" s="1"/>
      <c r="B2556" s="947"/>
      <c r="C2556" s="80" t="s">
        <v>2060</v>
      </c>
      <c r="D2556" s="52">
        <v>0.152</v>
      </c>
      <c r="E2556" s="53" t="s">
        <v>2062</v>
      </c>
      <c r="F2556" s="116" t="e">
        <f>#REF!</f>
        <v>#REF!</v>
      </c>
      <c r="G2556" s="116" t="e">
        <f>FLOOR(D2556*F2556,0.01)</f>
        <v>#REF!</v>
      </c>
      <c r="H2556" s="121"/>
    </row>
    <row r="2557" spans="1:8" ht="31.5">
      <c r="A2557" s="1"/>
      <c r="B2557" s="942"/>
      <c r="C2557" s="676" t="s">
        <v>3371</v>
      </c>
      <c r="D2557" s="43">
        <v>11</v>
      </c>
      <c r="E2557" s="56" t="s">
        <v>2063</v>
      </c>
      <c r="F2557" s="122" t="e">
        <f>#REF!</f>
        <v>#REF!</v>
      </c>
      <c r="G2557" s="122" t="e">
        <f>FLOOR(D2557*F2557,0.01)</f>
        <v>#REF!</v>
      </c>
      <c r="H2557" s="123" t="e">
        <f>SUM(G2555+G2556+G2557)</f>
        <v>#REF!</v>
      </c>
    </row>
    <row r="2558" spans="1:8" ht="19.5">
      <c r="A2558" s="1"/>
      <c r="B2558" s="1"/>
      <c r="C2558" s="1"/>
      <c r="D2558" s="1"/>
      <c r="E2558" s="1"/>
      <c r="F2558" s="1" t="s">
        <v>1491</v>
      </c>
      <c r="G2558" s="102"/>
      <c r="H2558" s="63" t="e">
        <f>SUM(H2554:H2557)</f>
        <v>#REF!</v>
      </c>
    </row>
    <row r="2559" spans="1:8" ht="19.5">
      <c r="A2559" s="1"/>
      <c r="B2559" s="1" t="s">
        <v>1493</v>
      </c>
      <c r="C2559" s="1"/>
      <c r="D2559" s="1"/>
      <c r="E2559" s="1"/>
      <c r="F2559" s="1" t="s">
        <v>1471</v>
      </c>
      <c r="G2559" s="102"/>
      <c r="H2559" s="99" t="e">
        <f>FLOOR(H2558*0.15,0.01)</f>
        <v>#REF!</v>
      </c>
    </row>
    <row r="2560" spans="1:8" ht="19.5">
      <c r="A2560" s="27"/>
      <c r="B2560" s="140" t="e">
        <f>+H2560</f>
        <v>#REF!</v>
      </c>
      <c r="C2560" s="27" t="s">
        <v>3801</v>
      </c>
      <c r="D2560" s="99" t="e">
        <f>FLOOR(B2560/B2561,0.01)</f>
        <v>#REF!</v>
      </c>
      <c r="E2560" s="1" t="s">
        <v>3006</v>
      </c>
      <c r="F2560" s="1" t="s">
        <v>1494</v>
      </c>
      <c r="G2560" s="102"/>
      <c r="H2560" s="99" t="e">
        <f>SUM(H2558:H2559)</f>
        <v>#REF!</v>
      </c>
    </row>
    <row r="2561" spans="1:8" ht="16.5">
      <c r="A2561" s="1"/>
      <c r="B2561" s="88">
        <v>10</v>
      </c>
      <c r="C2561" s="1"/>
      <c r="D2561" s="1"/>
      <c r="E2561" s="1"/>
      <c r="F2561" s="1"/>
      <c r="G2561" s="1"/>
      <c r="H2561" s="1"/>
    </row>
    <row r="2562" spans="1:8" ht="16.5">
      <c r="A2562" s="1"/>
      <c r="B2562" s="88"/>
      <c r="C2562" s="1"/>
      <c r="D2562" s="1"/>
      <c r="E2562" s="1"/>
      <c r="F2562" s="1"/>
      <c r="G2562" s="1"/>
      <c r="H2562" s="1"/>
    </row>
    <row r="2563" spans="1:8" ht="16.5">
      <c r="A2563" s="1"/>
      <c r="B2563" s="88"/>
      <c r="C2563" s="1"/>
      <c r="D2563" s="1"/>
      <c r="E2563" s="1"/>
      <c r="F2563" s="1"/>
      <c r="G2563" s="1"/>
      <c r="H2563" s="1"/>
    </row>
    <row r="2564" spans="1:8" ht="20.25">
      <c r="A2564" s="260">
        <f>A2550+1</f>
        <v>149</v>
      </c>
      <c r="B2564" s="877" t="s">
        <v>1612</v>
      </c>
      <c r="C2564" s="909"/>
      <c r="D2564" s="909"/>
      <c r="E2564" s="909"/>
      <c r="F2564" s="909"/>
      <c r="G2564" s="909"/>
      <c r="H2564" s="909"/>
    </row>
    <row r="2565" spans="1:8" ht="19.5">
      <c r="A2565" s="668" t="s">
        <v>3653</v>
      </c>
      <c r="B2565" s="877" t="s">
        <v>1561</v>
      </c>
      <c r="C2565" s="878"/>
      <c r="D2565" s="878"/>
      <c r="E2565" s="878"/>
      <c r="F2565" s="878"/>
      <c r="G2565" s="878"/>
      <c r="H2565" s="878"/>
    </row>
    <row r="2566" spans="1:8" ht="15">
      <c r="A2566" s="1"/>
      <c r="B2566" s="885" t="s">
        <v>1382</v>
      </c>
      <c r="C2566" s="885"/>
      <c r="D2566" s="885"/>
      <c r="E2566" s="885"/>
      <c r="F2566" s="885"/>
      <c r="G2566" s="885"/>
      <c r="H2566" s="885"/>
    </row>
    <row r="2567" spans="1:8" ht="31.5">
      <c r="A2567" s="1"/>
      <c r="B2567" s="68" t="s">
        <v>2966</v>
      </c>
      <c r="C2567" s="68" t="s">
        <v>2967</v>
      </c>
      <c r="D2567" s="68" t="s">
        <v>2968</v>
      </c>
      <c r="E2567" s="68" t="s">
        <v>2969</v>
      </c>
      <c r="F2567" s="68" t="s">
        <v>2970</v>
      </c>
      <c r="G2567" s="68" t="s">
        <v>2971</v>
      </c>
      <c r="H2567" s="68" t="s">
        <v>1487</v>
      </c>
    </row>
    <row r="2568" spans="1:8" ht="17.25">
      <c r="A2568" s="1"/>
      <c r="B2568" s="889" t="s">
        <v>1488</v>
      </c>
      <c r="C2568" s="58" t="s">
        <v>516</v>
      </c>
      <c r="D2568" s="41">
        <v>2</v>
      </c>
      <c r="E2568" s="55" t="s">
        <v>1490</v>
      </c>
      <c r="F2568" s="110" t="e">
        <f>#REF!</f>
        <v>#REF!</v>
      </c>
      <c r="G2568" s="107" t="e">
        <f t="shared" ref="G2568:G2576" si="69">FLOOR(D2568*F2568,0.01)</f>
        <v>#REF!</v>
      </c>
      <c r="H2568" s="108"/>
    </row>
    <row r="2569" spans="1:8" ht="17.25">
      <c r="A2569" s="1"/>
      <c r="B2569" s="943"/>
      <c r="C2569" s="53" t="s">
        <v>1433</v>
      </c>
      <c r="D2569" s="42">
        <v>8</v>
      </c>
      <c r="E2569" s="53" t="s">
        <v>1490</v>
      </c>
      <c r="F2569" s="109" t="e">
        <f>#REF!</f>
        <v>#REF!</v>
      </c>
      <c r="G2569" s="109" t="e">
        <f t="shared" si="69"/>
        <v>#REF!</v>
      </c>
      <c r="H2569" s="121"/>
    </row>
    <row r="2570" spans="1:8" ht="17.25">
      <c r="A2570" s="1"/>
      <c r="B2570" s="887"/>
      <c r="C2570" s="56" t="s">
        <v>3373</v>
      </c>
      <c r="D2570" s="43">
        <v>13.5</v>
      </c>
      <c r="E2570" s="56" t="s">
        <v>1490</v>
      </c>
      <c r="F2570" s="63" t="e">
        <f>#REF!</f>
        <v>#REF!</v>
      </c>
      <c r="G2570" s="63" t="e">
        <f t="shared" si="69"/>
        <v>#REF!</v>
      </c>
      <c r="H2570" s="123" t="e">
        <f>SUM(G2568:G2570)</f>
        <v>#REF!</v>
      </c>
    </row>
    <row r="2571" spans="1:8" ht="17.25">
      <c r="A2571" s="1"/>
      <c r="B2571" s="886" t="s">
        <v>2055</v>
      </c>
      <c r="C2571" s="53" t="s">
        <v>1304</v>
      </c>
      <c r="D2571" s="52">
        <v>0.13</v>
      </c>
      <c r="E2571" s="53" t="s">
        <v>700</v>
      </c>
      <c r="F2571" s="109" t="e">
        <f>#REF!</f>
        <v>#REF!</v>
      </c>
      <c r="G2571" s="109" t="e">
        <f t="shared" si="69"/>
        <v>#REF!</v>
      </c>
      <c r="H2571" s="84"/>
    </row>
    <row r="2572" spans="1:8" ht="17.25">
      <c r="A2572" s="1"/>
      <c r="B2572" s="894"/>
      <c r="C2572" s="53" t="s">
        <v>697</v>
      </c>
      <c r="D2572" s="52">
        <v>0.183</v>
      </c>
      <c r="E2572" s="53" t="s">
        <v>2232</v>
      </c>
      <c r="F2572" s="109" t="e">
        <f>#REF!</f>
        <v>#REF!</v>
      </c>
      <c r="G2572" s="109" t="e">
        <f t="shared" si="69"/>
        <v>#REF!</v>
      </c>
      <c r="H2572" s="86"/>
    </row>
    <row r="2573" spans="1:8" ht="17.25">
      <c r="A2573" s="1"/>
      <c r="B2573" s="894"/>
      <c r="C2573" s="53" t="s">
        <v>1611</v>
      </c>
      <c r="D2573" s="42">
        <v>11</v>
      </c>
      <c r="E2573" s="53" t="s">
        <v>2807</v>
      </c>
      <c r="F2573" s="42" t="e">
        <f>#REF!</f>
        <v>#REF!</v>
      </c>
      <c r="G2573" s="109" t="e">
        <f t="shared" si="69"/>
        <v>#REF!</v>
      </c>
      <c r="H2573" s="86"/>
    </row>
    <row r="2574" spans="1:8" ht="17.25">
      <c r="A2574" s="1"/>
      <c r="B2574" s="894"/>
      <c r="C2574" s="53" t="s">
        <v>1562</v>
      </c>
      <c r="D2574" s="42">
        <v>0.37</v>
      </c>
      <c r="E2574" s="53" t="s">
        <v>2748</v>
      </c>
      <c r="F2574" s="42" t="e">
        <f>#REF!</f>
        <v>#REF!</v>
      </c>
      <c r="G2574" s="109" t="e">
        <f t="shared" si="69"/>
        <v>#REF!</v>
      </c>
      <c r="H2574" s="86"/>
    </row>
    <row r="2575" spans="1:8" ht="17.25">
      <c r="A2575" s="1"/>
      <c r="B2575" s="894"/>
      <c r="C2575" s="53" t="s">
        <v>2013</v>
      </c>
      <c r="D2575" s="52">
        <v>0.11799999999999999</v>
      </c>
      <c r="E2575" s="53" t="s">
        <v>2748</v>
      </c>
      <c r="F2575" s="42" t="e">
        <f>#REF!</f>
        <v>#REF!</v>
      </c>
      <c r="G2575" s="109" t="e">
        <f t="shared" si="69"/>
        <v>#REF!</v>
      </c>
      <c r="H2575" s="86"/>
    </row>
    <row r="2576" spans="1:8" ht="17.25">
      <c r="A2576" s="1"/>
      <c r="B2576" s="894"/>
      <c r="C2576" s="53" t="s">
        <v>2014</v>
      </c>
      <c r="D2576" s="52">
        <v>0.53800000000000003</v>
      </c>
      <c r="E2576" s="53" t="s">
        <v>2517</v>
      </c>
      <c r="F2576" s="42" t="e">
        <f>#REF!</f>
        <v>#REF!</v>
      </c>
      <c r="G2576" s="109" t="e">
        <f t="shared" si="69"/>
        <v>#REF!</v>
      </c>
      <c r="H2576" s="86"/>
    </row>
    <row r="2577" spans="1:8" ht="17.25">
      <c r="A2577" s="1"/>
      <c r="B2577" s="895"/>
      <c r="C2577" s="56" t="s">
        <v>2516</v>
      </c>
      <c r="D2577" s="63" t="s">
        <v>2808</v>
      </c>
      <c r="E2577" s="56" t="s">
        <v>2810</v>
      </c>
      <c r="F2577" s="63"/>
      <c r="G2577" s="63">
        <v>120</v>
      </c>
      <c r="H2577" s="123" t="e">
        <f>SUM(G2571:G2577)</f>
        <v>#REF!</v>
      </c>
    </row>
    <row r="2578" spans="1:8" ht="17.25">
      <c r="A2578" s="1"/>
      <c r="B2578" s="1"/>
      <c r="C2578" s="1"/>
      <c r="D2578" s="1"/>
      <c r="E2578" s="1"/>
      <c r="F2578" s="40" t="s">
        <v>1491</v>
      </c>
      <c r="G2578" s="113"/>
      <c r="H2578" s="63" t="e">
        <f>SUM(H2570:H2577)</f>
        <v>#REF!</v>
      </c>
    </row>
    <row r="2579" spans="1:8" ht="17.25">
      <c r="A2579" s="1"/>
      <c r="B2579" s="1" t="s">
        <v>1493</v>
      </c>
      <c r="C2579" s="1"/>
      <c r="D2579" s="1"/>
      <c r="E2579" s="1"/>
      <c r="F2579" s="40" t="s">
        <v>1472</v>
      </c>
      <c r="G2579" s="113"/>
      <c r="H2579" s="99" t="e">
        <f>FLOOR(H2578*0.15,0.01)</f>
        <v>#REF!</v>
      </c>
    </row>
    <row r="2580" spans="1:8" ht="17.25">
      <c r="B2580" s="140" t="e">
        <f>+H2580</f>
        <v>#REF!</v>
      </c>
      <c r="C2580" s="27" t="s">
        <v>3801</v>
      </c>
      <c r="D2580" s="99" t="e">
        <f>INT(B2580/B2581*100)/100</f>
        <v>#REF!</v>
      </c>
      <c r="E2580" s="1" t="s">
        <v>3006</v>
      </c>
      <c r="F2580" s="40" t="s">
        <v>1494</v>
      </c>
      <c r="G2580" s="113"/>
      <c r="H2580" s="99" t="e">
        <f>SUM(H2578:H2579)</f>
        <v>#REF!</v>
      </c>
    </row>
    <row r="2581" spans="1:8" ht="16.5">
      <c r="A2581" s="1"/>
      <c r="B2581" s="117">
        <v>10</v>
      </c>
      <c r="C2581" s="1"/>
      <c r="D2581" s="1"/>
      <c r="E2581" s="1"/>
      <c r="F2581" s="1"/>
      <c r="G2581" s="1"/>
      <c r="H2581" s="1"/>
    </row>
    <row r="2582" spans="1:8" ht="16.5">
      <c r="A2582" s="106" t="s">
        <v>3012</v>
      </c>
      <c r="B2582" s="117"/>
      <c r="C2582" s="1"/>
      <c r="D2582" s="1"/>
      <c r="E2582" s="1"/>
      <c r="F2582" s="1"/>
      <c r="G2582" s="1"/>
      <c r="H2582" s="1"/>
    </row>
    <row r="2583" spans="1:8" ht="16.5">
      <c r="A2583" s="106"/>
      <c r="B2583" s="117"/>
      <c r="C2583" s="1"/>
      <c r="D2583" s="1"/>
      <c r="E2583" s="1"/>
      <c r="F2583" s="1"/>
      <c r="G2583" s="1"/>
      <c r="H2583" s="1"/>
    </row>
    <row r="2584" spans="1:8" ht="16.5">
      <c r="A2584" s="1"/>
      <c r="B2584" s="88"/>
      <c r="C2584" s="1"/>
      <c r="D2584" s="1"/>
      <c r="E2584" s="1"/>
      <c r="F2584" s="1"/>
      <c r="G2584" s="1"/>
      <c r="H2584" s="1"/>
    </row>
    <row r="2585" spans="1:8" ht="18.75">
      <c r="A2585" s="138">
        <f>A2564+1</f>
        <v>150</v>
      </c>
      <c r="B2585" s="893" t="s">
        <v>3375</v>
      </c>
      <c r="C2585" s="891"/>
      <c r="D2585" s="891"/>
      <c r="E2585" s="891"/>
      <c r="F2585" s="891"/>
      <c r="G2585" s="891"/>
      <c r="H2585" s="891"/>
    </row>
    <row r="2586" spans="1:8" ht="14.25">
      <c r="A2586" s="648" t="s">
        <v>3654</v>
      </c>
      <c r="B2586" s="879" t="s">
        <v>2059</v>
      </c>
      <c r="C2586" s="879"/>
      <c r="D2586" s="879"/>
      <c r="E2586" s="879"/>
      <c r="F2586" s="879"/>
      <c r="G2586" s="879"/>
      <c r="H2586" s="879"/>
    </row>
    <row r="2587" spans="1:8" ht="31.5">
      <c r="A2587" s="1"/>
      <c r="B2587" s="68" t="s">
        <v>2966</v>
      </c>
      <c r="C2587" s="68" t="s">
        <v>2967</v>
      </c>
      <c r="D2587" s="68" t="s">
        <v>2968</v>
      </c>
      <c r="E2587" s="68" t="s">
        <v>2969</v>
      </c>
      <c r="F2587" s="68" t="s">
        <v>2970</v>
      </c>
      <c r="G2587" s="68" t="s">
        <v>2971</v>
      </c>
      <c r="H2587" s="68" t="s">
        <v>1487</v>
      </c>
    </row>
    <row r="2588" spans="1:8" ht="17.25">
      <c r="A2588" s="27"/>
      <c r="B2588" s="889" t="s">
        <v>520</v>
      </c>
      <c r="C2588" s="80" t="s">
        <v>686</v>
      </c>
      <c r="D2588" s="42">
        <v>1.5</v>
      </c>
      <c r="E2588" s="53" t="s">
        <v>1490</v>
      </c>
      <c r="F2588" s="116" t="e">
        <f>#REF!</f>
        <v>#REF!</v>
      </c>
      <c r="G2588" s="107" t="e">
        <f>FLOOR(D2588*F2588,0.01)</f>
        <v>#REF!</v>
      </c>
      <c r="H2588" s="108"/>
    </row>
    <row r="2589" spans="1:8" ht="17.25">
      <c r="A2589" s="1"/>
      <c r="B2589" s="942"/>
      <c r="C2589" s="78" t="s">
        <v>521</v>
      </c>
      <c r="D2589" s="43">
        <v>1.5</v>
      </c>
      <c r="E2589" s="56" t="s">
        <v>1490</v>
      </c>
      <c r="F2589" s="122" t="e">
        <f>#REF!</f>
        <v>#REF!</v>
      </c>
      <c r="G2589" s="63" t="e">
        <f>FLOOR(D2589*F2589,0.01)</f>
        <v>#REF!</v>
      </c>
      <c r="H2589" s="123" t="e">
        <f>SUM(G2588+G2589)</f>
        <v>#REF!</v>
      </c>
    </row>
    <row r="2590" spans="1:8" ht="31.5">
      <c r="A2590" s="1"/>
      <c r="B2590" s="889" t="s">
        <v>2055</v>
      </c>
      <c r="C2590" s="58" t="s">
        <v>3374</v>
      </c>
      <c r="D2590" s="46">
        <v>11</v>
      </c>
      <c r="E2590" s="55" t="s">
        <v>2807</v>
      </c>
      <c r="F2590" s="107" t="e">
        <f>#REF!</f>
        <v>#REF!</v>
      </c>
      <c r="G2590" s="107" t="e">
        <f>FLOOR(D2590*F2590,0.01)</f>
        <v>#REF!</v>
      </c>
      <c r="H2590" s="108"/>
    </row>
    <row r="2591" spans="1:8" ht="17.25">
      <c r="A2591" s="1"/>
      <c r="B2591" s="943"/>
      <c r="C2591" s="80" t="s">
        <v>1436</v>
      </c>
      <c r="D2591" s="52">
        <v>8.1000000000000003E-2</v>
      </c>
      <c r="E2591" s="53" t="s">
        <v>700</v>
      </c>
      <c r="F2591" s="116" t="e">
        <f>#REF!</f>
        <v>#REF!</v>
      </c>
      <c r="G2591" s="116" t="e">
        <f>FLOOR(D2591*F2591,0.01)</f>
        <v>#REF!</v>
      </c>
      <c r="H2591" s="121"/>
    </row>
    <row r="2592" spans="1:8" ht="17.25">
      <c r="A2592" s="1"/>
      <c r="B2592" s="942"/>
      <c r="C2592" s="78" t="s">
        <v>2060</v>
      </c>
      <c r="D2592" s="49">
        <v>0.22</v>
      </c>
      <c r="E2592" s="56" t="s">
        <v>2062</v>
      </c>
      <c r="F2592" s="122" t="e">
        <f>#REF!</f>
        <v>#REF!</v>
      </c>
      <c r="G2592" s="122" t="e">
        <f>FLOOR(D2592*F2592,0.01)</f>
        <v>#REF!</v>
      </c>
      <c r="H2592" s="123" t="e">
        <f>SUM(G2590:G2592)</f>
        <v>#REF!</v>
      </c>
    </row>
    <row r="2593" spans="1:8" ht="19.5">
      <c r="A2593" s="1"/>
      <c r="B2593" s="1"/>
      <c r="C2593" s="1"/>
      <c r="D2593" s="1"/>
      <c r="E2593" s="1"/>
      <c r="F2593" s="1" t="s">
        <v>1491</v>
      </c>
      <c r="G2593" s="102"/>
      <c r="H2593" s="63" t="e">
        <f>SUM(H2589:H2592)</f>
        <v>#REF!</v>
      </c>
    </row>
    <row r="2594" spans="1:8" ht="19.5">
      <c r="A2594" s="1"/>
      <c r="B2594" s="1" t="s">
        <v>1493</v>
      </c>
      <c r="C2594" s="1"/>
      <c r="D2594" s="1"/>
      <c r="E2594" s="1"/>
      <c r="F2594" s="1" t="s">
        <v>1471</v>
      </c>
      <c r="G2594" s="102"/>
      <c r="H2594" s="99" t="e">
        <f>FLOOR(H2593*0.15,0.01)</f>
        <v>#REF!</v>
      </c>
    </row>
    <row r="2595" spans="1:8" ht="19.5">
      <c r="A2595" s="27"/>
      <c r="B2595" s="140" t="e">
        <f>+H2595</f>
        <v>#REF!</v>
      </c>
      <c r="C2595" s="27" t="s">
        <v>3801</v>
      </c>
      <c r="D2595" s="99" t="e">
        <f>FLOOR(B2595/B2596,0.01)</f>
        <v>#REF!</v>
      </c>
      <c r="E2595" s="1" t="s">
        <v>3006</v>
      </c>
      <c r="F2595" s="1" t="s">
        <v>1494</v>
      </c>
      <c r="G2595" s="102"/>
      <c r="H2595" s="99" t="e">
        <f>SUM(H2593:H2594)</f>
        <v>#REF!</v>
      </c>
    </row>
    <row r="2596" spans="1:8" ht="16.5">
      <c r="A2596" s="1"/>
      <c r="B2596" s="88">
        <v>10</v>
      </c>
      <c r="C2596" s="1"/>
      <c r="D2596" s="1"/>
      <c r="E2596" s="1"/>
      <c r="F2596" s="1"/>
      <c r="G2596" s="1"/>
      <c r="H2596" s="1"/>
    </row>
    <row r="2597" spans="1:8" ht="16.5">
      <c r="A2597" s="1"/>
      <c r="B2597" s="88"/>
      <c r="C2597" s="1"/>
      <c r="D2597" s="1"/>
      <c r="E2597" s="1"/>
      <c r="F2597" s="1"/>
      <c r="G2597" s="1"/>
      <c r="H2597" s="1"/>
    </row>
    <row r="2598" spans="1:8" ht="16.5">
      <c r="A2598" s="1"/>
      <c r="B2598" s="88"/>
      <c r="C2598" s="1"/>
      <c r="D2598" s="1"/>
      <c r="E2598" s="1"/>
      <c r="F2598" s="1"/>
      <c r="G2598" s="1"/>
      <c r="H2598" s="1"/>
    </row>
    <row r="2599" spans="1:8" ht="18.75">
      <c r="A2599" s="138">
        <f>A2585+1</f>
        <v>151</v>
      </c>
      <c r="B2599" s="893" t="s">
        <v>3376</v>
      </c>
      <c r="C2599" s="891"/>
      <c r="D2599" s="891"/>
      <c r="E2599" s="891"/>
      <c r="F2599" s="891"/>
      <c r="G2599" s="891"/>
      <c r="H2599" s="891"/>
    </row>
    <row r="2600" spans="1:8" ht="14.25">
      <c r="A2600" s="648" t="s">
        <v>3656</v>
      </c>
      <c r="B2600" s="879" t="s">
        <v>2059</v>
      </c>
      <c r="C2600" s="879"/>
      <c r="D2600" s="879"/>
      <c r="E2600" s="879"/>
      <c r="F2600" s="879"/>
      <c r="G2600" s="879"/>
      <c r="H2600" s="879"/>
    </row>
    <row r="2601" spans="1:8" ht="31.5">
      <c r="A2601" s="1"/>
      <c r="B2601" s="68" t="s">
        <v>2966</v>
      </c>
      <c r="C2601" s="68" t="s">
        <v>2967</v>
      </c>
      <c r="D2601" s="68" t="s">
        <v>2968</v>
      </c>
      <c r="E2601" s="68" t="s">
        <v>2969</v>
      </c>
      <c r="F2601" s="68" t="s">
        <v>2970</v>
      </c>
      <c r="G2601" s="68" t="s">
        <v>2971</v>
      </c>
      <c r="H2601" s="68" t="s">
        <v>1487</v>
      </c>
    </row>
    <row r="2602" spans="1:8" ht="17.25">
      <c r="A2602" s="27"/>
      <c r="B2602" s="889" t="s">
        <v>520</v>
      </c>
      <c r="C2602" s="80" t="s">
        <v>686</v>
      </c>
      <c r="D2602" s="42">
        <v>0.65</v>
      </c>
      <c r="E2602" s="53" t="s">
        <v>1490</v>
      </c>
      <c r="F2602" s="116" t="e">
        <f>#REF!</f>
        <v>#REF!</v>
      </c>
      <c r="G2602" s="107" t="e">
        <f>FLOOR(D2602*F2602,0.01)</f>
        <v>#REF!</v>
      </c>
      <c r="H2602" s="108"/>
    </row>
    <row r="2603" spans="1:8" ht="17.25">
      <c r="A2603" s="1"/>
      <c r="B2603" s="942"/>
      <c r="C2603" s="78" t="s">
        <v>521</v>
      </c>
      <c r="D2603" s="43">
        <v>0.65</v>
      </c>
      <c r="E2603" s="56" t="s">
        <v>1490</v>
      </c>
      <c r="F2603" s="122" t="e">
        <f>#REF!</f>
        <v>#REF!</v>
      </c>
      <c r="G2603" s="63" t="e">
        <f>FLOOR(D2603*F2603,0.01)</f>
        <v>#REF!</v>
      </c>
      <c r="H2603" s="123" t="e">
        <f>SUM(G2602+G2603)</f>
        <v>#REF!</v>
      </c>
    </row>
    <row r="2604" spans="1:8" ht="31.5">
      <c r="A2604" s="1"/>
      <c r="B2604" s="889" t="s">
        <v>2055</v>
      </c>
      <c r="C2604" s="58" t="s">
        <v>3655</v>
      </c>
      <c r="D2604" s="46">
        <v>12</v>
      </c>
      <c r="E2604" s="55" t="s">
        <v>1429</v>
      </c>
      <c r="F2604" s="107" t="e">
        <f>#REF!</f>
        <v>#REF!</v>
      </c>
      <c r="G2604" s="107" t="e">
        <f>FLOOR(D2604*F2604,0.01)</f>
        <v>#REF!</v>
      </c>
      <c r="H2604" s="108"/>
    </row>
    <row r="2605" spans="1:8" ht="17.25">
      <c r="A2605" s="1"/>
      <c r="B2605" s="943"/>
      <c r="C2605" s="80" t="s">
        <v>1436</v>
      </c>
      <c r="D2605" s="52">
        <v>1.7999999999999999E-2</v>
      </c>
      <c r="E2605" s="53" t="s">
        <v>700</v>
      </c>
      <c r="F2605" s="116" t="e">
        <f>#REF!</f>
        <v>#REF!</v>
      </c>
      <c r="G2605" s="116" t="e">
        <f>FLOOR(D2605*F2605,0.01)</f>
        <v>#REF!</v>
      </c>
      <c r="H2605" s="121"/>
    </row>
    <row r="2606" spans="1:8" ht="31.5">
      <c r="A2606" s="1"/>
      <c r="B2606" s="943"/>
      <c r="C2606" s="80" t="s">
        <v>3377</v>
      </c>
      <c r="D2606" s="52">
        <v>6.6000000000000003E-2</v>
      </c>
      <c r="E2606" s="53" t="s">
        <v>2697</v>
      </c>
      <c r="F2606" s="116" t="s">
        <v>3443</v>
      </c>
      <c r="G2606" s="116">
        <v>250</v>
      </c>
      <c r="H2606" s="121"/>
    </row>
    <row r="2607" spans="1:8" ht="17.25">
      <c r="A2607" s="1"/>
      <c r="B2607" s="942"/>
      <c r="C2607" s="78" t="s">
        <v>2060</v>
      </c>
      <c r="D2607" s="49">
        <v>5.1999999999999998E-2</v>
      </c>
      <c r="E2607" s="56" t="s">
        <v>2062</v>
      </c>
      <c r="F2607" s="122" t="e">
        <f>#REF!</f>
        <v>#REF!</v>
      </c>
      <c r="G2607" s="122" t="e">
        <f>FLOOR(D2607*F2607,0.01)</f>
        <v>#REF!</v>
      </c>
      <c r="H2607" s="123" t="e">
        <f>SUM(G2604:G2607)</f>
        <v>#REF!</v>
      </c>
    </row>
    <row r="2608" spans="1:8" ht="19.5">
      <c r="A2608" s="1"/>
      <c r="B2608" s="1"/>
      <c r="C2608" s="1"/>
      <c r="D2608" s="1"/>
      <c r="E2608" s="1"/>
      <c r="F2608" s="1" t="s">
        <v>1491</v>
      </c>
      <c r="G2608" s="102"/>
      <c r="H2608" s="63" t="e">
        <f>SUM(H2603:H2607)</f>
        <v>#REF!</v>
      </c>
    </row>
    <row r="2609" spans="1:8" ht="19.5">
      <c r="A2609" s="1"/>
      <c r="B2609" s="1" t="s">
        <v>1493</v>
      </c>
      <c r="C2609" s="1"/>
      <c r="D2609" s="1"/>
      <c r="E2609" s="1"/>
      <c r="F2609" s="1" t="s">
        <v>1471</v>
      </c>
      <c r="G2609" s="102"/>
      <c r="H2609" s="99" t="e">
        <f>FLOOR(H2608*0.15,0.01)</f>
        <v>#REF!</v>
      </c>
    </row>
    <row r="2610" spans="1:8" ht="19.5">
      <c r="A2610" s="27"/>
      <c r="B2610" s="140" t="e">
        <f>+H2610</f>
        <v>#REF!</v>
      </c>
      <c r="C2610" s="27" t="s">
        <v>3801</v>
      </c>
      <c r="D2610" s="99" t="e">
        <f>FLOOR(B2610/B2611,0.01)</f>
        <v>#REF!</v>
      </c>
      <c r="E2610" s="1" t="s">
        <v>3006</v>
      </c>
      <c r="F2610" s="1" t="s">
        <v>1494</v>
      </c>
      <c r="G2610" s="102"/>
      <c r="H2610" s="99" t="e">
        <f>SUM(H2608:H2609)</f>
        <v>#REF!</v>
      </c>
    </row>
    <row r="2611" spans="1:8" ht="16.5">
      <c r="A2611" s="1"/>
      <c r="B2611" s="88">
        <v>10</v>
      </c>
      <c r="C2611" s="1"/>
      <c r="D2611" s="1"/>
      <c r="E2611" s="1"/>
      <c r="F2611" s="1"/>
      <c r="G2611" s="1"/>
      <c r="H2611" s="1"/>
    </row>
    <row r="2612" spans="1:8" ht="16.5">
      <c r="A2612" s="1"/>
      <c r="B2612" s="88"/>
      <c r="C2612" s="1"/>
      <c r="D2612" s="1"/>
      <c r="E2612" s="1"/>
      <c r="F2612" s="1"/>
      <c r="G2612" s="1"/>
      <c r="H2612" s="1"/>
    </row>
    <row r="2613" spans="1:8" ht="18.75">
      <c r="A2613" s="138">
        <f>A2599+1</f>
        <v>152</v>
      </c>
      <c r="B2613" s="948" t="s">
        <v>3378</v>
      </c>
      <c r="C2613" s="891"/>
      <c r="D2613" s="891"/>
      <c r="E2613" s="891"/>
      <c r="F2613" s="891"/>
      <c r="G2613" s="891"/>
      <c r="H2613" s="891"/>
    </row>
    <row r="2614" spans="1:8" ht="14.25">
      <c r="A2614" s="648" t="s">
        <v>3657</v>
      </c>
      <c r="B2614" s="879" t="s">
        <v>2059</v>
      </c>
      <c r="C2614" s="879"/>
      <c r="D2614" s="879"/>
      <c r="E2614" s="879"/>
      <c r="F2614" s="879"/>
      <c r="G2614" s="879"/>
      <c r="H2614" s="879"/>
    </row>
    <row r="2615" spans="1:8" ht="31.5">
      <c r="A2615" s="1"/>
      <c r="B2615" s="68" t="s">
        <v>2966</v>
      </c>
      <c r="C2615" s="68" t="s">
        <v>2967</v>
      </c>
      <c r="D2615" s="68" t="s">
        <v>2968</v>
      </c>
      <c r="E2615" s="68" t="s">
        <v>2969</v>
      </c>
      <c r="F2615" s="68" t="s">
        <v>2970</v>
      </c>
      <c r="G2615" s="68" t="s">
        <v>2971</v>
      </c>
      <c r="H2615" s="68" t="s">
        <v>1487</v>
      </c>
    </row>
    <row r="2616" spans="1:8" ht="17.25">
      <c r="A2616" s="27"/>
      <c r="B2616" s="58" t="s">
        <v>520</v>
      </c>
      <c r="C2616" s="80" t="s">
        <v>686</v>
      </c>
      <c r="D2616" s="42">
        <v>1.5</v>
      </c>
      <c r="E2616" s="53" t="s">
        <v>1490</v>
      </c>
      <c r="F2616" s="116" t="e">
        <f>#REF!</f>
        <v>#REF!</v>
      </c>
      <c r="G2616" s="107" t="e">
        <f>FLOOR(D2616*F2616,0.01)</f>
        <v>#REF!</v>
      </c>
      <c r="H2616" s="108" t="e">
        <f>+G2616</f>
        <v>#REF!</v>
      </c>
    </row>
    <row r="2617" spans="1:8" ht="17.25">
      <c r="A2617" s="1"/>
      <c r="B2617" s="68" t="s">
        <v>2055</v>
      </c>
      <c r="C2617" s="68" t="s">
        <v>3379</v>
      </c>
      <c r="D2617" s="649">
        <v>11</v>
      </c>
      <c r="E2617" s="64" t="s">
        <v>2807</v>
      </c>
      <c r="F2617" s="101" t="e">
        <f>#REF!</f>
        <v>#REF!</v>
      </c>
      <c r="G2617" s="101" t="e">
        <f>FLOOR(D2617*F2617,0.01)</f>
        <v>#REF!</v>
      </c>
      <c r="H2617" s="108" t="e">
        <f>+G2617</f>
        <v>#REF!</v>
      </c>
    </row>
    <row r="2618" spans="1:8" ht="19.5">
      <c r="A2618" s="1"/>
      <c r="B2618" s="1"/>
      <c r="C2618" s="1"/>
      <c r="D2618" s="1"/>
      <c r="E2618" s="1"/>
      <c r="F2618" s="1" t="s">
        <v>1491</v>
      </c>
      <c r="G2618" s="102"/>
      <c r="H2618" s="99" t="e">
        <f>SUM(H2616:H2617)</f>
        <v>#REF!</v>
      </c>
    </row>
    <row r="2619" spans="1:8" ht="19.5">
      <c r="A2619" s="1"/>
      <c r="B2619" s="1" t="s">
        <v>1493</v>
      </c>
      <c r="C2619" s="1"/>
      <c r="D2619" s="1"/>
      <c r="E2619" s="1"/>
      <c r="F2619" s="1" t="s">
        <v>1471</v>
      </c>
      <c r="G2619" s="102"/>
      <c r="H2619" s="99" t="e">
        <f>FLOOR(H2618*0.15,0.01)</f>
        <v>#REF!</v>
      </c>
    </row>
    <row r="2620" spans="1:8" ht="19.5">
      <c r="A2620" s="27"/>
      <c r="B2620" s="140" t="e">
        <f>+H2620</f>
        <v>#REF!</v>
      </c>
      <c r="C2620" s="27" t="s">
        <v>3801</v>
      </c>
      <c r="D2620" s="99" t="e">
        <f>FLOOR(B2620/B2621,0.01)</f>
        <v>#REF!</v>
      </c>
      <c r="E2620" s="1" t="s">
        <v>3006</v>
      </c>
      <c r="F2620" s="1" t="s">
        <v>1494</v>
      </c>
      <c r="G2620" s="102"/>
      <c r="H2620" s="99" t="e">
        <f>SUM(H2618:H2619)</f>
        <v>#REF!</v>
      </c>
    </row>
    <row r="2621" spans="1:8" ht="16.5">
      <c r="A2621" s="1"/>
      <c r="B2621" s="88">
        <v>10</v>
      </c>
      <c r="C2621" s="1"/>
      <c r="D2621" s="1"/>
      <c r="E2621" s="1"/>
      <c r="F2621" s="1"/>
      <c r="G2621" s="1"/>
      <c r="H2621" s="1"/>
    </row>
    <row r="2622" spans="1:8" ht="16.5">
      <c r="A2622" s="1"/>
      <c r="B2622" s="88"/>
      <c r="C2622" s="1"/>
      <c r="D2622" s="1"/>
      <c r="E2622" s="1"/>
      <c r="F2622" s="1"/>
      <c r="G2622" s="1"/>
      <c r="H2622" s="1"/>
    </row>
    <row r="2623" spans="1:8" ht="15">
      <c r="A2623" s="1"/>
      <c r="B2623" s="1"/>
      <c r="C2623" s="1"/>
      <c r="D2623" s="1"/>
      <c r="E2623" s="1"/>
      <c r="F2623" s="1"/>
      <c r="G2623" s="1"/>
      <c r="H2623" s="1"/>
    </row>
    <row r="2624" spans="1:8" ht="20.25">
      <c r="A2624" s="260">
        <f>A2613+1</f>
        <v>153</v>
      </c>
      <c r="B2624" s="935" t="s">
        <v>3380</v>
      </c>
      <c r="C2624" s="909"/>
      <c r="D2624" s="909"/>
      <c r="E2624" s="909"/>
      <c r="F2624" s="909"/>
      <c r="G2624" s="909"/>
      <c r="H2624" s="909"/>
    </row>
    <row r="2625" spans="1:8" ht="19.5">
      <c r="A2625" s="648" t="s">
        <v>3658</v>
      </c>
      <c r="B2625" s="877" t="s">
        <v>1561</v>
      </c>
      <c r="C2625" s="878"/>
      <c r="D2625" s="878"/>
      <c r="E2625" s="878"/>
      <c r="F2625" s="878"/>
      <c r="G2625" s="878"/>
      <c r="H2625" s="878"/>
    </row>
    <row r="2626" spans="1:8" ht="15">
      <c r="A2626" s="1"/>
      <c r="B2626" s="885" t="s">
        <v>1382</v>
      </c>
      <c r="C2626" s="885"/>
      <c r="D2626" s="885"/>
      <c r="E2626" s="885"/>
      <c r="F2626" s="885"/>
      <c r="G2626" s="885"/>
      <c r="H2626" s="885"/>
    </row>
    <row r="2627" spans="1:8" ht="31.5">
      <c r="A2627" s="1"/>
      <c r="B2627" s="68" t="s">
        <v>2966</v>
      </c>
      <c r="C2627" s="68" t="s">
        <v>2967</v>
      </c>
      <c r="D2627" s="68" t="s">
        <v>2968</v>
      </c>
      <c r="E2627" s="68" t="s">
        <v>2969</v>
      </c>
      <c r="F2627" s="68" t="s">
        <v>2970</v>
      </c>
      <c r="G2627" s="68" t="s">
        <v>2971</v>
      </c>
      <c r="H2627" s="68" t="s">
        <v>1487</v>
      </c>
    </row>
    <row r="2628" spans="1:8" ht="17.25">
      <c r="A2628" s="1"/>
      <c r="B2628" s="889" t="s">
        <v>1488</v>
      </c>
      <c r="C2628" s="58" t="s">
        <v>516</v>
      </c>
      <c r="D2628" s="41">
        <v>2</v>
      </c>
      <c r="E2628" s="55" t="s">
        <v>1490</v>
      </c>
      <c r="F2628" s="107" t="e">
        <f>#REF!</f>
        <v>#REF!</v>
      </c>
      <c r="G2628" s="107" t="e">
        <f t="shared" ref="G2628:G2635" si="70">FLOOR(D2628*F2628,0.01)</f>
        <v>#REF!</v>
      </c>
      <c r="H2628" s="108"/>
    </row>
    <row r="2629" spans="1:8" ht="17.25">
      <c r="A2629" s="1"/>
      <c r="B2629" s="887"/>
      <c r="C2629" s="56" t="s">
        <v>1433</v>
      </c>
      <c r="D2629" s="43">
        <v>8</v>
      </c>
      <c r="E2629" s="56" t="s">
        <v>1490</v>
      </c>
      <c r="F2629" s="63" t="e">
        <f>#REF!</f>
        <v>#REF!</v>
      </c>
      <c r="G2629" s="63" t="e">
        <f t="shared" si="70"/>
        <v>#REF!</v>
      </c>
      <c r="H2629" s="121" t="e">
        <f>SUM(G2628+G2629)</f>
        <v>#REF!</v>
      </c>
    </row>
    <row r="2630" spans="1:8" ht="17.25">
      <c r="A2630" s="1"/>
      <c r="B2630" s="886" t="s">
        <v>2055</v>
      </c>
      <c r="C2630" s="53" t="s">
        <v>1304</v>
      </c>
      <c r="D2630" s="52">
        <v>0.13</v>
      </c>
      <c r="E2630" s="53" t="s">
        <v>700</v>
      </c>
      <c r="F2630" s="109" t="e">
        <f>#REF!</f>
        <v>#REF!</v>
      </c>
      <c r="G2630" s="109" t="e">
        <f t="shared" si="70"/>
        <v>#REF!</v>
      </c>
      <c r="H2630" s="84"/>
    </row>
    <row r="2631" spans="1:8" ht="17.25">
      <c r="A2631" s="1"/>
      <c r="B2631" s="894"/>
      <c r="C2631" s="53" t="s">
        <v>697</v>
      </c>
      <c r="D2631" s="52">
        <v>0.183</v>
      </c>
      <c r="E2631" s="53" t="s">
        <v>2232</v>
      </c>
      <c r="F2631" s="109" t="e">
        <f>#REF!</f>
        <v>#REF!</v>
      </c>
      <c r="G2631" s="109" t="e">
        <f t="shared" si="70"/>
        <v>#REF!</v>
      </c>
      <c r="H2631" s="86"/>
    </row>
    <row r="2632" spans="1:8" ht="17.25">
      <c r="A2632" s="1"/>
      <c r="B2632" s="894"/>
      <c r="C2632" s="54" t="s">
        <v>465</v>
      </c>
      <c r="D2632" s="42">
        <v>11</v>
      </c>
      <c r="E2632" s="53" t="s">
        <v>2807</v>
      </c>
      <c r="F2632" s="42" t="e">
        <f>#REF!</f>
        <v>#REF!</v>
      </c>
      <c r="G2632" s="109" t="e">
        <f t="shared" si="70"/>
        <v>#REF!</v>
      </c>
      <c r="H2632" s="86"/>
    </row>
    <row r="2633" spans="1:8" ht="17.25">
      <c r="A2633" s="1"/>
      <c r="B2633" s="894"/>
      <c r="C2633" s="53" t="s">
        <v>1562</v>
      </c>
      <c r="D2633" s="42">
        <v>0.37</v>
      </c>
      <c r="E2633" s="53" t="s">
        <v>2748</v>
      </c>
      <c r="F2633" s="42" t="e">
        <f>#REF!</f>
        <v>#REF!</v>
      </c>
      <c r="G2633" s="109" t="e">
        <f t="shared" si="70"/>
        <v>#REF!</v>
      </c>
      <c r="H2633" s="86"/>
    </row>
    <row r="2634" spans="1:8" ht="17.25">
      <c r="A2634" s="1"/>
      <c r="B2634" s="894"/>
      <c r="C2634" s="53" t="s">
        <v>2013</v>
      </c>
      <c r="D2634" s="52">
        <v>0.11799999999999999</v>
      </c>
      <c r="E2634" s="53" t="s">
        <v>2748</v>
      </c>
      <c r="F2634" s="42" t="e">
        <f>#REF!</f>
        <v>#REF!</v>
      </c>
      <c r="G2634" s="109" t="e">
        <f t="shared" si="70"/>
        <v>#REF!</v>
      </c>
      <c r="H2634" s="86"/>
    </row>
    <row r="2635" spans="1:8" ht="17.25">
      <c r="A2635" s="1"/>
      <c r="B2635" s="894"/>
      <c r="C2635" s="53" t="s">
        <v>2014</v>
      </c>
      <c r="D2635" s="52">
        <v>0.53800000000000003</v>
      </c>
      <c r="E2635" s="53" t="s">
        <v>2517</v>
      </c>
      <c r="F2635" s="42" t="e">
        <f>#REF!</f>
        <v>#REF!</v>
      </c>
      <c r="G2635" s="109" t="e">
        <f t="shared" si="70"/>
        <v>#REF!</v>
      </c>
      <c r="H2635" s="86"/>
    </row>
    <row r="2636" spans="1:8" ht="17.25">
      <c r="A2636" s="1"/>
      <c r="B2636" s="895"/>
      <c r="C2636" s="56" t="s">
        <v>2516</v>
      </c>
      <c r="D2636" s="53" t="s">
        <v>2808</v>
      </c>
      <c r="E2636" s="56" t="s">
        <v>2810</v>
      </c>
      <c r="F2636" s="63"/>
      <c r="G2636" s="63">
        <v>120</v>
      </c>
      <c r="H2636" s="123" t="e">
        <f>SUM(G2630:G2636)</f>
        <v>#REF!</v>
      </c>
    </row>
    <row r="2637" spans="1:8" ht="17.25">
      <c r="A2637" s="1"/>
      <c r="B2637" s="66" t="s">
        <v>1879</v>
      </c>
      <c r="C2637" s="64" t="s">
        <v>1559</v>
      </c>
      <c r="D2637" s="44">
        <v>13.5</v>
      </c>
      <c r="E2637" s="64" t="s">
        <v>1490</v>
      </c>
      <c r="F2637" s="63" t="e">
        <f>#REF!</f>
        <v>#REF!</v>
      </c>
      <c r="G2637" s="99" t="e">
        <f>FLOOR(D2637*F2637,0.01)</f>
        <v>#REF!</v>
      </c>
      <c r="H2637" s="123" t="e">
        <f>SUM(G2637)</f>
        <v>#REF!</v>
      </c>
    </row>
    <row r="2638" spans="1:8" ht="17.25">
      <c r="A2638" s="1"/>
      <c r="B2638" s="1"/>
      <c r="C2638" s="1"/>
      <c r="D2638" s="1"/>
      <c r="E2638" s="1"/>
      <c r="F2638" s="40" t="s">
        <v>1491</v>
      </c>
      <c r="G2638" s="113"/>
      <c r="H2638" s="63" t="e">
        <f>SUM(H2629:H2637)</f>
        <v>#REF!</v>
      </c>
    </row>
    <row r="2639" spans="1:8" ht="17.25">
      <c r="A2639" s="1"/>
      <c r="B2639" s="1" t="s">
        <v>1493</v>
      </c>
      <c r="C2639" s="1"/>
      <c r="D2639" s="1"/>
      <c r="E2639" s="1"/>
      <c r="F2639" s="40" t="s">
        <v>1472</v>
      </c>
      <c r="G2639" s="113"/>
      <c r="H2639" s="99" t="e">
        <f>FLOOR(H2638*0.15,0.01)</f>
        <v>#REF!</v>
      </c>
    </row>
    <row r="2640" spans="1:8" ht="17.25">
      <c r="B2640" s="140" t="e">
        <f>+H2640</f>
        <v>#REF!</v>
      </c>
      <c r="C2640" s="27" t="s">
        <v>3801</v>
      </c>
      <c r="D2640" s="99" t="e">
        <f>INT(B2640/B2641*100)/100</f>
        <v>#REF!</v>
      </c>
      <c r="E2640" s="1" t="s">
        <v>3006</v>
      </c>
      <c r="F2640" s="40" t="s">
        <v>1494</v>
      </c>
      <c r="G2640" s="113"/>
      <c r="H2640" s="99" t="e">
        <f>SUM(H2638:H2639)</f>
        <v>#REF!</v>
      </c>
    </row>
    <row r="2641" spans="1:8" ht="16.5">
      <c r="A2641" s="1"/>
      <c r="B2641" s="117">
        <v>10</v>
      </c>
      <c r="C2641" s="1"/>
      <c r="D2641" s="1"/>
      <c r="E2641" s="1"/>
      <c r="F2641" s="1"/>
      <c r="G2641" s="1"/>
      <c r="H2641" s="1"/>
    </row>
    <row r="2642" spans="1:8" ht="16.5">
      <c r="A2642" s="1"/>
      <c r="B2642" s="117"/>
      <c r="C2642" s="1"/>
      <c r="D2642" s="1"/>
      <c r="E2642" s="1"/>
      <c r="F2642" s="1"/>
      <c r="G2642" s="1"/>
      <c r="H2642" s="1"/>
    </row>
    <row r="2643" spans="1:8" ht="20.25">
      <c r="A2643" s="260">
        <v>154</v>
      </c>
      <c r="B2643" s="935" t="s">
        <v>3778</v>
      </c>
      <c r="C2643" s="909"/>
      <c r="D2643" s="909"/>
      <c r="E2643" s="909"/>
      <c r="F2643" s="909"/>
      <c r="G2643" s="909"/>
      <c r="H2643" s="909"/>
    </row>
    <row r="2644" spans="1:8" ht="19.5">
      <c r="A2644" s="648" t="s">
        <v>3658</v>
      </c>
      <c r="B2644" s="877" t="s">
        <v>1561</v>
      </c>
      <c r="C2644" s="878"/>
      <c r="D2644" s="878"/>
      <c r="E2644" s="878"/>
      <c r="F2644" s="878"/>
      <c r="G2644" s="878"/>
      <c r="H2644" s="878"/>
    </row>
    <row r="2645" spans="1:8" ht="15">
      <c r="A2645" s="1"/>
      <c r="B2645" s="885" t="s">
        <v>1382</v>
      </c>
      <c r="C2645" s="885"/>
      <c r="D2645" s="885"/>
      <c r="E2645" s="885"/>
      <c r="F2645" s="885"/>
      <c r="G2645" s="885"/>
      <c r="H2645" s="885"/>
    </row>
    <row r="2646" spans="1:8" ht="31.5">
      <c r="A2646" s="1"/>
      <c r="B2646" s="68" t="s">
        <v>2966</v>
      </c>
      <c r="C2646" s="68" t="s">
        <v>2967</v>
      </c>
      <c r="D2646" s="68" t="s">
        <v>2968</v>
      </c>
      <c r="E2646" s="68" t="s">
        <v>2969</v>
      </c>
      <c r="F2646" s="68" t="s">
        <v>2970</v>
      </c>
      <c r="G2646" s="68" t="s">
        <v>2971</v>
      </c>
      <c r="H2646" s="68" t="s">
        <v>1487</v>
      </c>
    </row>
    <row r="2647" spans="1:8" ht="17.25">
      <c r="A2647" s="1"/>
      <c r="B2647" s="889" t="s">
        <v>1488</v>
      </c>
      <c r="C2647" s="58" t="s">
        <v>516</v>
      </c>
      <c r="D2647" s="41">
        <v>2</v>
      </c>
      <c r="E2647" s="55" t="s">
        <v>1490</v>
      </c>
      <c r="F2647" s="107" t="e">
        <f>mason</f>
        <v>#REF!</v>
      </c>
      <c r="G2647" s="107" t="e">
        <f t="shared" ref="G2647:G2654" si="71">FLOOR(D2647*F2647,0.01)</f>
        <v>#REF!</v>
      </c>
      <c r="H2647" s="108"/>
    </row>
    <row r="2648" spans="1:8" ht="17.25">
      <c r="A2648" s="1"/>
      <c r="B2648" s="887"/>
      <c r="C2648" s="56" t="s">
        <v>1433</v>
      </c>
      <c r="D2648" s="43">
        <v>8</v>
      </c>
      <c r="E2648" s="56" t="s">
        <v>1490</v>
      </c>
      <c r="F2648" s="63" t="e">
        <f>#REF!</f>
        <v>#REF!</v>
      </c>
      <c r="G2648" s="63" t="e">
        <f t="shared" si="71"/>
        <v>#REF!</v>
      </c>
      <c r="H2648" s="121" t="e">
        <f>SUM(G2647+G2648)</f>
        <v>#REF!</v>
      </c>
    </row>
    <row r="2649" spans="1:8" ht="17.25">
      <c r="A2649" s="1"/>
      <c r="B2649" s="886" t="s">
        <v>2055</v>
      </c>
      <c r="C2649" s="53" t="s">
        <v>1304</v>
      </c>
      <c r="D2649" s="52">
        <v>0.13</v>
      </c>
      <c r="E2649" s="53" t="s">
        <v>700</v>
      </c>
      <c r="F2649" s="109" t="e">
        <f>#REF!</f>
        <v>#REF!</v>
      </c>
      <c r="G2649" s="109" t="e">
        <f t="shared" si="71"/>
        <v>#REF!</v>
      </c>
      <c r="H2649" s="84"/>
    </row>
    <row r="2650" spans="1:8" ht="17.25">
      <c r="A2650" s="1"/>
      <c r="B2650" s="894"/>
      <c r="C2650" s="53" t="s">
        <v>697</v>
      </c>
      <c r="D2650" s="52">
        <v>0.183</v>
      </c>
      <c r="E2650" s="53" t="s">
        <v>2232</v>
      </c>
      <c r="F2650" s="109" t="e">
        <f>#REF!</f>
        <v>#REF!</v>
      </c>
      <c r="G2650" s="109" t="e">
        <f t="shared" si="71"/>
        <v>#REF!</v>
      </c>
      <c r="H2650" s="86"/>
    </row>
    <row r="2651" spans="1:8" ht="17.25">
      <c r="A2651" s="1"/>
      <c r="B2651" s="894"/>
      <c r="C2651" s="54" t="s">
        <v>3777</v>
      </c>
      <c r="D2651" s="42">
        <v>11</v>
      </c>
      <c r="E2651" s="53" t="s">
        <v>2807</v>
      </c>
      <c r="F2651" s="42" t="e">
        <f>#REF!</f>
        <v>#REF!</v>
      </c>
      <c r="G2651" s="109" t="e">
        <f t="shared" si="71"/>
        <v>#REF!</v>
      </c>
      <c r="H2651" s="86"/>
    </row>
    <row r="2652" spans="1:8" ht="17.25">
      <c r="A2652" s="1"/>
      <c r="B2652" s="894"/>
      <c r="C2652" s="53" t="s">
        <v>1562</v>
      </c>
      <c r="D2652" s="42">
        <v>0.37</v>
      </c>
      <c r="E2652" s="53" t="s">
        <v>2748</v>
      </c>
      <c r="F2652" s="42" t="e">
        <f>#REF!</f>
        <v>#REF!</v>
      </c>
      <c r="G2652" s="109" t="e">
        <f t="shared" si="71"/>
        <v>#REF!</v>
      </c>
      <c r="H2652" s="86"/>
    </row>
    <row r="2653" spans="1:8" ht="17.25">
      <c r="A2653" s="1"/>
      <c r="B2653" s="894"/>
      <c r="C2653" s="53" t="s">
        <v>2013</v>
      </c>
      <c r="D2653" s="52">
        <v>0.11799999999999999</v>
      </c>
      <c r="E2653" s="53" t="s">
        <v>2748</v>
      </c>
      <c r="F2653" s="42" t="e">
        <f>#REF!</f>
        <v>#REF!</v>
      </c>
      <c r="G2653" s="109" t="e">
        <f t="shared" si="71"/>
        <v>#REF!</v>
      </c>
      <c r="H2653" s="86"/>
    </row>
    <row r="2654" spans="1:8" ht="17.25">
      <c r="A2654" s="1"/>
      <c r="B2654" s="894"/>
      <c r="C2654" s="53" t="s">
        <v>2014</v>
      </c>
      <c r="D2654" s="52">
        <v>0.53800000000000003</v>
      </c>
      <c r="E2654" s="53" t="s">
        <v>2517</v>
      </c>
      <c r="F2654" s="42" t="e">
        <f>#REF!</f>
        <v>#REF!</v>
      </c>
      <c r="G2654" s="109" t="e">
        <f t="shared" si="71"/>
        <v>#REF!</v>
      </c>
      <c r="H2654" s="86"/>
    </row>
    <row r="2655" spans="1:8" ht="17.25">
      <c r="A2655" s="1"/>
      <c r="B2655" s="895"/>
      <c r="C2655" s="56" t="s">
        <v>2516</v>
      </c>
      <c r="D2655" s="53" t="s">
        <v>2808</v>
      </c>
      <c r="E2655" s="56" t="s">
        <v>2810</v>
      </c>
      <c r="F2655" s="63"/>
      <c r="G2655" s="63">
        <v>120</v>
      </c>
      <c r="H2655" s="123" t="e">
        <f>SUM(G2649:G2655)</f>
        <v>#REF!</v>
      </c>
    </row>
    <row r="2656" spans="1:8" ht="17.25">
      <c r="A2656" s="1"/>
      <c r="B2656" s="66" t="s">
        <v>1879</v>
      </c>
      <c r="C2656" s="64" t="s">
        <v>1559</v>
      </c>
      <c r="D2656" s="44">
        <v>13.5</v>
      </c>
      <c r="E2656" s="64" t="s">
        <v>1490</v>
      </c>
      <c r="F2656" s="63" t="e">
        <f>#REF!</f>
        <v>#REF!</v>
      </c>
      <c r="G2656" s="99" t="e">
        <f>FLOOR(D2656*F2656,0.01)</f>
        <v>#REF!</v>
      </c>
      <c r="H2656" s="123" t="e">
        <f>SUM(G2656)</f>
        <v>#REF!</v>
      </c>
    </row>
    <row r="2657" spans="1:8" ht="17.25">
      <c r="A2657" s="1"/>
      <c r="B2657" s="1"/>
      <c r="C2657" s="1"/>
      <c r="D2657" s="1"/>
      <c r="E2657" s="1"/>
      <c r="F2657" s="40" t="s">
        <v>1491</v>
      </c>
      <c r="G2657" s="113"/>
      <c r="H2657" s="63" t="e">
        <f>SUM(H2648:H2656)</f>
        <v>#REF!</v>
      </c>
    </row>
    <row r="2658" spans="1:8" ht="17.25">
      <c r="A2658" s="1"/>
      <c r="B2658" s="1" t="s">
        <v>1493</v>
      </c>
      <c r="C2658" s="1"/>
      <c r="D2658" s="1"/>
      <c r="E2658" s="1"/>
      <c r="F2658" s="40" t="s">
        <v>1472</v>
      </c>
      <c r="G2658" s="113"/>
      <c r="H2658" s="99" t="e">
        <f>FLOOR(H2657*0.15,0.01)</f>
        <v>#REF!</v>
      </c>
    </row>
    <row r="2659" spans="1:8" ht="17.25">
      <c r="A2659" s="1"/>
      <c r="B2659" s="140" t="e">
        <f>+H2659</f>
        <v>#REF!</v>
      </c>
      <c r="C2659" s="27" t="s">
        <v>3801</v>
      </c>
      <c r="D2659" s="99" t="e">
        <f>INT(B2659/B2660*100)/100</f>
        <v>#REF!</v>
      </c>
      <c r="E2659" s="1" t="s">
        <v>3006</v>
      </c>
      <c r="F2659" s="40" t="s">
        <v>1494</v>
      </c>
      <c r="G2659" s="113"/>
      <c r="H2659" s="99" t="e">
        <f>SUM(H2657:H2658)</f>
        <v>#REF!</v>
      </c>
    </row>
    <row r="2660" spans="1:8" ht="16.5">
      <c r="A2660" s="1"/>
      <c r="B2660" s="117">
        <v>10</v>
      </c>
      <c r="C2660" s="1"/>
      <c r="D2660" s="1"/>
      <c r="E2660" s="1"/>
      <c r="F2660" s="1"/>
      <c r="G2660" s="1"/>
      <c r="H2660" s="1"/>
    </row>
    <row r="2661" spans="1:8" ht="16.5">
      <c r="A2661" s="1"/>
      <c r="B2661" s="117"/>
      <c r="C2661" s="1"/>
      <c r="D2661" s="1"/>
      <c r="E2661" s="1"/>
      <c r="F2661" s="1"/>
      <c r="G2661" s="1"/>
      <c r="H2661" s="1"/>
    </row>
    <row r="2662" spans="1:8" ht="16.5">
      <c r="A2662" s="106" t="s">
        <v>3012</v>
      </c>
      <c r="B2662" s="117"/>
      <c r="C2662" s="1"/>
      <c r="D2662" s="1"/>
      <c r="E2662" s="1"/>
      <c r="F2662" s="1"/>
      <c r="G2662" s="1"/>
      <c r="H2662" s="1"/>
    </row>
    <row r="2663" spans="1:8" ht="16.5">
      <c r="A2663" s="106"/>
      <c r="B2663" s="117"/>
      <c r="C2663" s="1"/>
      <c r="D2663" s="1"/>
      <c r="E2663" s="1"/>
      <c r="F2663" s="1"/>
      <c r="G2663" s="1"/>
      <c r="H2663" s="1"/>
    </row>
    <row r="2664" spans="1:8" ht="16.5">
      <c r="A2664" s="106"/>
      <c r="B2664" s="117"/>
      <c r="C2664" s="1"/>
      <c r="D2664" s="1"/>
      <c r="E2664" s="1"/>
      <c r="F2664" s="1"/>
      <c r="G2664" s="1"/>
      <c r="H2664" s="1"/>
    </row>
    <row r="2665" spans="1:8" ht="16.5">
      <c r="A2665" s="106"/>
      <c r="B2665" s="117"/>
      <c r="C2665" s="1"/>
      <c r="D2665" s="1"/>
      <c r="E2665" s="1"/>
      <c r="F2665" s="1"/>
      <c r="G2665" s="1"/>
      <c r="H2665" s="1"/>
    </row>
    <row r="2666" spans="1:8" ht="16.5">
      <c r="A2666" s="106"/>
      <c r="B2666" s="117"/>
      <c r="C2666" s="1"/>
      <c r="D2666" s="1"/>
      <c r="E2666" s="1"/>
      <c r="F2666" s="1"/>
      <c r="G2666" s="1"/>
      <c r="H2666" s="1"/>
    </row>
    <row r="2667" spans="1:8" ht="16.5">
      <c r="A2667" s="106"/>
      <c r="B2667" s="117"/>
      <c r="C2667" s="1"/>
      <c r="D2667" s="1"/>
      <c r="E2667" s="1"/>
      <c r="F2667" s="1"/>
      <c r="G2667" s="1"/>
      <c r="H2667" s="1"/>
    </row>
    <row r="2668" spans="1:8" ht="15">
      <c r="A2668" s="1"/>
      <c r="B2668" s="1"/>
      <c r="C2668" s="1"/>
      <c r="D2668" s="1"/>
      <c r="E2668" s="1"/>
      <c r="F2668" s="1"/>
      <c r="G2668" s="1"/>
      <c r="H2668" s="1"/>
    </row>
    <row r="2669" spans="1:8" ht="20.25">
      <c r="A2669" s="260">
        <f>A2624+1</f>
        <v>154</v>
      </c>
      <c r="B2669" s="935" t="s">
        <v>3381</v>
      </c>
      <c r="C2669" s="909"/>
      <c r="D2669" s="909"/>
      <c r="E2669" s="909"/>
      <c r="F2669" s="909"/>
      <c r="G2669" s="909"/>
      <c r="H2669" s="909"/>
    </row>
    <row r="2670" spans="1:8" ht="20.25">
      <c r="A2670" s="698" t="s">
        <v>3775</v>
      </c>
      <c r="B2670" s="877" t="s">
        <v>3382</v>
      </c>
      <c r="C2670" s="878"/>
      <c r="D2670" s="878"/>
      <c r="E2670" s="878"/>
      <c r="F2670" s="878"/>
      <c r="G2670" s="878"/>
      <c r="H2670" s="878"/>
    </row>
    <row r="2671" spans="1:8" ht="15">
      <c r="A2671" s="1"/>
      <c r="B2671" s="885" t="s">
        <v>1382</v>
      </c>
      <c r="C2671" s="885"/>
      <c r="D2671" s="885"/>
      <c r="E2671" s="885"/>
      <c r="F2671" s="885"/>
      <c r="G2671" s="885"/>
      <c r="H2671" s="885"/>
    </row>
    <row r="2672" spans="1:8" ht="31.5">
      <c r="A2672" s="1"/>
      <c r="B2672" s="68" t="s">
        <v>2966</v>
      </c>
      <c r="C2672" s="68" t="s">
        <v>2967</v>
      </c>
      <c r="D2672" s="68" t="s">
        <v>2968</v>
      </c>
      <c r="E2672" s="68" t="s">
        <v>2969</v>
      </c>
      <c r="F2672" s="68" t="s">
        <v>2970</v>
      </c>
      <c r="G2672" s="68" t="s">
        <v>2971</v>
      </c>
      <c r="H2672" s="68" t="s">
        <v>1487</v>
      </c>
    </row>
    <row r="2673" spans="1:8" ht="17.25">
      <c r="A2673" s="1"/>
      <c r="B2673" s="889" t="s">
        <v>1488</v>
      </c>
      <c r="C2673" s="58" t="s">
        <v>516</v>
      </c>
      <c r="D2673" s="41">
        <v>14</v>
      </c>
      <c r="E2673" s="55" t="s">
        <v>1490</v>
      </c>
      <c r="F2673" s="107" t="e">
        <f>#REF!</f>
        <v>#REF!</v>
      </c>
      <c r="G2673" s="107" t="e">
        <f t="shared" ref="G2673:G2680" si="72">FLOOR(D2673*F2673,0.01)</f>
        <v>#REF!</v>
      </c>
      <c r="H2673" s="108"/>
    </row>
    <row r="2674" spans="1:8" ht="17.25">
      <c r="A2674" s="1"/>
      <c r="B2674" s="887"/>
      <c r="C2674" s="56" t="s">
        <v>1433</v>
      </c>
      <c r="D2674" s="43">
        <v>12</v>
      </c>
      <c r="E2674" s="56" t="s">
        <v>1490</v>
      </c>
      <c r="F2674" s="63" t="e">
        <f>#REF!</f>
        <v>#REF!</v>
      </c>
      <c r="G2674" s="63" t="e">
        <f t="shared" si="72"/>
        <v>#REF!</v>
      </c>
      <c r="H2674" s="121" t="e">
        <f>SUM(G2673+G2674)</f>
        <v>#REF!</v>
      </c>
    </row>
    <row r="2675" spans="1:8" ht="17.25">
      <c r="A2675" s="1"/>
      <c r="B2675" s="886" t="s">
        <v>2055</v>
      </c>
      <c r="C2675" s="53" t="s">
        <v>1304</v>
      </c>
      <c r="D2675" s="52">
        <v>6.3E-2</v>
      </c>
      <c r="E2675" s="53" t="s">
        <v>700</v>
      </c>
      <c r="F2675" s="109" t="e">
        <f>#REF!</f>
        <v>#REF!</v>
      </c>
      <c r="G2675" s="109" t="e">
        <f t="shared" si="72"/>
        <v>#REF!</v>
      </c>
      <c r="H2675" s="84"/>
    </row>
    <row r="2676" spans="1:8" ht="17.25">
      <c r="A2676" s="1"/>
      <c r="B2676" s="894"/>
      <c r="C2676" s="53" t="s">
        <v>697</v>
      </c>
      <c r="D2676" s="52">
        <v>0.128</v>
      </c>
      <c r="E2676" s="53" t="s">
        <v>2232</v>
      </c>
      <c r="F2676" s="109" t="e">
        <f>#REF!</f>
        <v>#REF!</v>
      </c>
      <c r="G2676" s="109" t="e">
        <f t="shared" si="72"/>
        <v>#REF!</v>
      </c>
      <c r="H2676" s="86"/>
    </row>
    <row r="2677" spans="1:8" ht="17.25">
      <c r="A2677" s="1"/>
      <c r="B2677" s="894"/>
      <c r="C2677" s="54" t="s">
        <v>465</v>
      </c>
      <c r="D2677" s="42">
        <v>11</v>
      </c>
      <c r="E2677" s="53" t="s">
        <v>2807</v>
      </c>
      <c r="F2677" s="42" t="e">
        <f>#REF!</f>
        <v>#REF!</v>
      </c>
      <c r="G2677" s="109" t="e">
        <f t="shared" si="72"/>
        <v>#REF!</v>
      </c>
      <c r="H2677" s="86"/>
    </row>
    <row r="2678" spans="1:8" ht="17.25">
      <c r="A2678" s="1"/>
      <c r="B2678" s="894"/>
      <c r="C2678" s="53" t="s">
        <v>1562</v>
      </c>
      <c r="D2678" s="42">
        <v>0.37</v>
      </c>
      <c r="E2678" s="53" t="s">
        <v>2748</v>
      </c>
      <c r="F2678" s="42" t="e">
        <f>#REF!</f>
        <v>#REF!</v>
      </c>
      <c r="G2678" s="109" t="e">
        <f t="shared" si="72"/>
        <v>#REF!</v>
      </c>
      <c r="H2678" s="86"/>
    </row>
    <row r="2679" spans="1:8" ht="17.25">
      <c r="A2679" s="1"/>
      <c r="B2679" s="894"/>
      <c r="C2679" s="53" t="s">
        <v>2013</v>
      </c>
      <c r="D2679" s="52">
        <v>0.11799999999999999</v>
      </c>
      <c r="E2679" s="53" t="s">
        <v>2748</v>
      </c>
      <c r="F2679" s="42" t="e">
        <f>#REF!</f>
        <v>#REF!</v>
      </c>
      <c r="G2679" s="109" t="e">
        <f t="shared" si="72"/>
        <v>#REF!</v>
      </c>
      <c r="H2679" s="86"/>
    </row>
    <row r="2680" spans="1:8" ht="17.25">
      <c r="A2680" s="1"/>
      <c r="B2680" s="894"/>
      <c r="C2680" s="53" t="s">
        <v>2014</v>
      </c>
      <c r="D2680" s="52">
        <v>0.53800000000000003</v>
      </c>
      <c r="E2680" s="53" t="s">
        <v>2517</v>
      </c>
      <c r="F2680" s="42" t="e">
        <f>#REF!</f>
        <v>#REF!</v>
      </c>
      <c r="G2680" s="109" t="e">
        <f t="shared" si="72"/>
        <v>#REF!</v>
      </c>
      <c r="H2680" s="86"/>
    </row>
    <row r="2681" spans="1:8" ht="17.25">
      <c r="A2681" s="1"/>
      <c r="B2681" s="895"/>
      <c r="C2681" s="56" t="s">
        <v>2516</v>
      </c>
      <c r="D2681" s="56" t="s">
        <v>2808</v>
      </c>
      <c r="E2681" s="56" t="s">
        <v>2810</v>
      </c>
      <c r="F2681" s="63"/>
      <c r="G2681" s="63">
        <v>120</v>
      </c>
      <c r="H2681" s="123" t="e">
        <f>SUM(G2675:G2681)</f>
        <v>#REF!</v>
      </c>
    </row>
    <row r="2682" spans="1:8" ht="17.25">
      <c r="A2682" s="1"/>
      <c r="B2682" s="1"/>
      <c r="C2682" s="1"/>
      <c r="D2682" s="1"/>
      <c r="E2682" s="1"/>
      <c r="F2682" s="40" t="s">
        <v>1491</v>
      </c>
      <c r="G2682" s="113"/>
      <c r="H2682" s="63" t="e">
        <f>SUM(H2674:H2681)</f>
        <v>#REF!</v>
      </c>
    </row>
    <row r="2683" spans="1:8" ht="17.25">
      <c r="A2683" s="1"/>
      <c r="B2683" s="1" t="s">
        <v>1493</v>
      </c>
      <c r="C2683" s="1"/>
      <c r="D2683" s="1"/>
      <c r="E2683" s="1"/>
      <c r="F2683" s="40" t="s">
        <v>1472</v>
      </c>
      <c r="G2683" s="113"/>
      <c r="H2683" s="99" t="e">
        <f>FLOOR(H2682*0.15,0.01)</f>
        <v>#REF!</v>
      </c>
    </row>
    <row r="2684" spans="1:8" ht="17.25">
      <c r="B2684" s="140" t="e">
        <f>+H2684</f>
        <v>#REF!</v>
      </c>
      <c r="C2684" s="27" t="s">
        <v>3801</v>
      </c>
      <c r="D2684" s="99" t="e">
        <f>INT(B2684/B2685*100)/100</f>
        <v>#REF!</v>
      </c>
      <c r="E2684" s="1" t="s">
        <v>3006</v>
      </c>
      <c r="F2684" s="40" t="s">
        <v>1494</v>
      </c>
      <c r="G2684" s="113"/>
      <c r="H2684" s="99" t="e">
        <f>SUM(H2682:H2683)</f>
        <v>#REF!</v>
      </c>
    </row>
    <row r="2685" spans="1:8" ht="16.5">
      <c r="A2685" s="1"/>
      <c r="B2685" s="117">
        <v>10</v>
      </c>
      <c r="C2685" s="1"/>
      <c r="D2685" s="1"/>
      <c r="E2685" s="1"/>
      <c r="F2685" s="1"/>
      <c r="G2685" s="1"/>
      <c r="H2685" s="1"/>
    </row>
    <row r="2686" spans="1:8" ht="20.25">
      <c r="A2686" s="260">
        <v>155</v>
      </c>
      <c r="B2686" s="935" t="s">
        <v>3776</v>
      </c>
      <c r="C2686" s="909"/>
      <c r="D2686" s="909"/>
      <c r="E2686" s="909"/>
      <c r="F2686" s="909"/>
      <c r="G2686" s="909"/>
      <c r="H2686" s="909"/>
    </row>
    <row r="2687" spans="1:8" ht="20.25">
      <c r="A2687" s="698" t="s">
        <v>3775</v>
      </c>
      <c r="B2687" s="877" t="s">
        <v>3382</v>
      </c>
      <c r="C2687" s="878"/>
      <c r="D2687" s="878"/>
      <c r="E2687" s="878"/>
      <c r="F2687" s="878"/>
      <c r="G2687" s="878"/>
      <c r="H2687" s="878"/>
    </row>
    <row r="2688" spans="1:8" ht="15">
      <c r="A2688" s="1"/>
      <c r="B2688" s="885" t="s">
        <v>1382</v>
      </c>
      <c r="C2688" s="885"/>
      <c r="D2688" s="885"/>
      <c r="E2688" s="885"/>
      <c r="F2688" s="885"/>
      <c r="G2688" s="885"/>
      <c r="H2688" s="885"/>
    </row>
    <row r="2689" spans="1:8" ht="31.5">
      <c r="A2689" s="1"/>
      <c r="B2689" s="68" t="s">
        <v>2966</v>
      </c>
      <c r="C2689" s="68" t="s">
        <v>2967</v>
      </c>
      <c r="D2689" s="68" t="s">
        <v>2968</v>
      </c>
      <c r="E2689" s="68" t="s">
        <v>2969</v>
      </c>
      <c r="F2689" s="68" t="s">
        <v>2970</v>
      </c>
      <c r="G2689" s="68" t="s">
        <v>2971</v>
      </c>
      <c r="H2689" s="68" t="s">
        <v>1487</v>
      </c>
    </row>
    <row r="2690" spans="1:8" ht="17.25">
      <c r="A2690" s="1"/>
      <c r="B2690" s="889" t="s">
        <v>1488</v>
      </c>
      <c r="C2690" s="58" t="s">
        <v>516</v>
      </c>
      <c r="D2690" s="41">
        <v>14</v>
      </c>
      <c r="E2690" s="55" t="s">
        <v>1490</v>
      </c>
      <c r="F2690" s="107" t="e">
        <f>mason</f>
        <v>#REF!</v>
      </c>
      <c r="G2690" s="107" t="e">
        <f t="shared" ref="G2690:G2697" si="73">FLOOR(D2690*F2690,0.01)</f>
        <v>#REF!</v>
      </c>
      <c r="H2690" s="108"/>
    </row>
    <row r="2691" spans="1:8" ht="17.25">
      <c r="A2691" s="1"/>
      <c r="B2691" s="887"/>
      <c r="C2691" s="56" t="s">
        <v>1433</v>
      </c>
      <c r="D2691" s="43">
        <v>12</v>
      </c>
      <c r="E2691" s="56" t="s">
        <v>1490</v>
      </c>
      <c r="F2691" s="63" t="e">
        <f>#REF!</f>
        <v>#REF!</v>
      </c>
      <c r="G2691" s="63" t="e">
        <f t="shared" si="73"/>
        <v>#REF!</v>
      </c>
      <c r="H2691" s="121" t="e">
        <f>SUM(G2690+G2691)</f>
        <v>#REF!</v>
      </c>
    </row>
    <row r="2692" spans="1:8" ht="17.25">
      <c r="A2692" s="1"/>
      <c r="B2692" s="886" t="s">
        <v>2055</v>
      </c>
      <c r="C2692" s="53" t="s">
        <v>1304</v>
      </c>
      <c r="D2692" s="52">
        <v>6.3E-2</v>
      </c>
      <c r="E2692" s="53" t="s">
        <v>700</v>
      </c>
      <c r="F2692" s="109" t="e">
        <f>#REF!</f>
        <v>#REF!</v>
      </c>
      <c r="G2692" s="109" t="e">
        <f t="shared" si="73"/>
        <v>#REF!</v>
      </c>
      <c r="H2692" s="84"/>
    </row>
    <row r="2693" spans="1:8" ht="17.25">
      <c r="A2693" s="1"/>
      <c r="B2693" s="894"/>
      <c r="C2693" s="53" t="s">
        <v>697</v>
      </c>
      <c r="D2693" s="52">
        <v>0.128</v>
      </c>
      <c r="E2693" s="53" t="s">
        <v>2232</v>
      </c>
      <c r="F2693" s="109" t="e">
        <f>#REF!</f>
        <v>#REF!</v>
      </c>
      <c r="G2693" s="109" t="e">
        <f t="shared" si="73"/>
        <v>#REF!</v>
      </c>
      <c r="H2693" s="86"/>
    </row>
    <row r="2694" spans="1:8" ht="17.25">
      <c r="A2694" s="1"/>
      <c r="B2694" s="894"/>
      <c r="C2694" s="54" t="s">
        <v>3777</v>
      </c>
      <c r="D2694" s="42">
        <v>11</v>
      </c>
      <c r="E2694" s="53" t="s">
        <v>2807</v>
      </c>
      <c r="F2694" s="42" t="e">
        <f>#REF!</f>
        <v>#REF!</v>
      </c>
      <c r="G2694" s="109" t="e">
        <f t="shared" si="73"/>
        <v>#REF!</v>
      </c>
      <c r="H2694" s="86"/>
    </row>
    <row r="2695" spans="1:8" ht="17.25">
      <c r="A2695" s="1"/>
      <c r="B2695" s="894"/>
      <c r="C2695" s="53" t="s">
        <v>1562</v>
      </c>
      <c r="D2695" s="42">
        <v>0.37</v>
      </c>
      <c r="E2695" s="53" t="s">
        <v>2748</v>
      </c>
      <c r="F2695" s="42" t="e">
        <f>F2678</f>
        <v>#REF!</v>
      </c>
      <c r="G2695" s="109" t="e">
        <f t="shared" si="73"/>
        <v>#REF!</v>
      </c>
      <c r="H2695" s="86"/>
    </row>
    <row r="2696" spans="1:8" ht="17.25">
      <c r="A2696" s="1"/>
      <c r="B2696" s="894"/>
      <c r="C2696" s="53" t="s">
        <v>2013</v>
      </c>
      <c r="D2696" s="52">
        <v>0.11799999999999999</v>
      </c>
      <c r="E2696" s="53" t="s">
        <v>2748</v>
      </c>
      <c r="F2696" s="42" t="e">
        <f>F2679</f>
        <v>#REF!</v>
      </c>
      <c r="G2696" s="109" t="e">
        <f t="shared" si="73"/>
        <v>#REF!</v>
      </c>
      <c r="H2696" s="86"/>
    </row>
    <row r="2697" spans="1:8" ht="17.25">
      <c r="A2697" s="1"/>
      <c r="B2697" s="894"/>
      <c r="C2697" s="53" t="s">
        <v>2014</v>
      </c>
      <c r="D2697" s="52">
        <v>0.53800000000000003</v>
      </c>
      <c r="E2697" s="53" t="s">
        <v>2517</v>
      </c>
      <c r="F2697" s="42" t="e">
        <f>F2680</f>
        <v>#REF!</v>
      </c>
      <c r="G2697" s="109" t="e">
        <f t="shared" si="73"/>
        <v>#REF!</v>
      </c>
      <c r="H2697" s="86"/>
    </row>
    <row r="2698" spans="1:8" ht="17.25">
      <c r="A2698" s="1"/>
      <c r="B2698" s="895"/>
      <c r="C2698" s="56" t="s">
        <v>2516</v>
      </c>
      <c r="D2698" s="56" t="s">
        <v>2808</v>
      </c>
      <c r="E2698" s="56" t="s">
        <v>2810</v>
      </c>
      <c r="F2698" s="63"/>
      <c r="G2698" s="63">
        <v>120</v>
      </c>
      <c r="H2698" s="123" t="e">
        <f>SUM(G2692:G2698)</f>
        <v>#REF!</v>
      </c>
    </row>
    <row r="2699" spans="1:8" ht="17.25">
      <c r="A2699" s="1"/>
      <c r="B2699" s="1"/>
      <c r="C2699" s="1"/>
      <c r="D2699" s="1"/>
      <c r="E2699" s="1"/>
      <c r="F2699" s="40" t="s">
        <v>1491</v>
      </c>
      <c r="G2699" s="113"/>
      <c r="H2699" s="63" t="e">
        <f>SUM(H2691:H2698)</f>
        <v>#REF!</v>
      </c>
    </row>
    <row r="2700" spans="1:8" ht="17.25">
      <c r="A2700" s="1"/>
      <c r="B2700" s="1" t="s">
        <v>1493</v>
      </c>
      <c r="C2700" s="1"/>
      <c r="D2700" s="1"/>
      <c r="E2700" s="1"/>
      <c r="F2700" s="40" t="s">
        <v>1472</v>
      </c>
      <c r="G2700" s="113"/>
      <c r="H2700" s="99" t="e">
        <f>FLOOR(H2699*0.15,0.01)</f>
        <v>#REF!</v>
      </c>
    </row>
    <row r="2701" spans="1:8" ht="17.25">
      <c r="B2701" s="140" t="e">
        <f>+H2701</f>
        <v>#REF!</v>
      </c>
      <c r="C2701" s="27" t="s">
        <v>3801</v>
      </c>
      <c r="D2701" s="99" t="e">
        <f>INT(B2701/B2702*100)/100</f>
        <v>#REF!</v>
      </c>
      <c r="E2701" s="1" t="s">
        <v>3006</v>
      </c>
      <c r="F2701" s="40" t="s">
        <v>1494</v>
      </c>
      <c r="G2701" s="113"/>
      <c r="H2701" s="99" t="e">
        <f>SUM(H2699:H2700)</f>
        <v>#REF!</v>
      </c>
    </row>
    <row r="2702" spans="1:8" ht="16.5">
      <c r="A2702" s="1"/>
      <c r="B2702" s="117">
        <v>10</v>
      </c>
      <c r="C2702" s="1"/>
      <c r="D2702" s="1"/>
      <c r="E2702" s="1"/>
      <c r="F2702" s="1"/>
      <c r="G2702" s="1"/>
      <c r="H2702" s="1"/>
    </row>
    <row r="2703" spans="1:8" ht="16.5">
      <c r="A2703" s="1"/>
      <c r="B2703" s="117"/>
      <c r="C2703" s="1"/>
      <c r="D2703" s="1"/>
      <c r="E2703" s="1"/>
      <c r="F2703" s="1"/>
      <c r="G2703" s="1"/>
      <c r="H2703" s="1"/>
    </row>
    <row r="2704" spans="1:8" ht="16.5">
      <c r="A2704" s="1"/>
      <c r="B2704" s="117"/>
      <c r="C2704" s="1"/>
      <c r="D2704" s="1"/>
      <c r="E2704" s="1"/>
      <c r="F2704" s="1"/>
      <c r="G2704" s="1"/>
      <c r="H2704" s="1"/>
    </row>
    <row r="2705" spans="1:8" ht="18.75">
      <c r="A2705" s="138">
        <f>A2669+1</f>
        <v>155</v>
      </c>
      <c r="B2705" s="893" t="s">
        <v>3384</v>
      </c>
      <c r="C2705" s="891"/>
      <c r="D2705" s="891"/>
      <c r="E2705" s="891"/>
      <c r="F2705" s="891"/>
      <c r="G2705" s="891"/>
      <c r="H2705" s="891"/>
    </row>
    <row r="2706" spans="1:8" ht="14.25">
      <c r="A2706" s="648" t="s">
        <v>3383</v>
      </c>
      <c r="B2706" s="879" t="s">
        <v>2059</v>
      </c>
      <c r="C2706" s="879"/>
      <c r="D2706" s="879"/>
      <c r="E2706" s="879"/>
      <c r="F2706" s="879"/>
      <c r="G2706" s="879"/>
      <c r="H2706" s="879"/>
    </row>
    <row r="2707" spans="1:8" ht="31.5">
      <c r="A2707" s="1"/>
      <c r="B2707" s="68" t="s">
        <v>2966</v>
      </c>
      <c r="C2707" s="68" t="s">
        <v>2967</v>
      </c>
      <c r="D2707" s="68" t="s">
        <v>2968</v>
      </c>
      <c r="E2707" s="68" t="s">
        <v>2969</v>
      </c>
      <c r="F2707" s="68" t="s">
        <v>2970</v>
      </c>
      <c r="G2707" s="68" t="s">
        <v>2971</v>
      </c>
      <c r="H2707" s="68" t="s">
        <v>1487</v>
      </c>
    </row>
    <row r="2708" spans="1:8" ht="17.25">
      <c r="A2708" s="27"/>
      <c r="B2708" s="58" t="s">
        <v>520</v>
      </c>
      <c r="C2708" s="80" t="s">
        <v>686</v>
      </c>
      <c r="D2708" s="42">
        <v>2.5</v>
      </c>
      <c r="E2708" s="53" t="s">
        <v>1490</v>
      </c>
      <c r="F2708" s="116" t="e">
        <f>#REF!</f>
        <v>#REF!</v>
      </c>
      <c r="G2708" s="107" t="e">
        <f>FLOOR(D2708*F2708,0.01)</f>
        <v>#REF!</v>
      </c>
      <c r="H2708" s="108"/>
    </row>
    <row r="2709" spans="1:8" ht="17.25">
      <c r="A2709" s="1"/>
      <c r="B2709" s="68"/>
      <c r="C2709" s="68" t="s">
        <v>521</v>
      </c>
      <c r="D2709" s="649">
        <v>3.5</v>
      </c>
      <c r="E2709" s="64" t="s">
        <v>1490</v>
      </c>
      <c r="F2709" s="101" t="e">
        <f>#REF!</f>
        <v>#REF!</v>
      </c>
      <c r="G2709" s="101" t="e">
        <f>FLOOR(D2709*F2709,0.01)</f>
        <v>#REF!</v>
      </c>
      <c r="H2709" s="108" t="e">
        <f>SUM(G2708:G2709)</f>
        <v>#REF!</v>
      </c>
    </row>
    <row r="2710" spans="1:8" ht="19.5">
      <c r="A2710" s="1"/>
      <c r="B2710" s="1"/>
      <c r="C2710" s="1"/>
      <c r="D2710" s="1"/>
      <c r="E2710" s="1"/>
      <c r="F2710" s="1" t="s">
        <v>1491</v>
      </c>
      <c r="G2710" s="102"/>
      <c r="H2710" s="99" t="e">
        <f>SUM(H2708:H2709)</f>
        <v>#REF!</v>
      </c>
    </row>
    <row r="2711" spans="1:8" ht="19.5">
      <c r="A2711" s="1"/>
      <c r="B2711" s="1" t="s">
        <v>1493</v>
      </c>
      <c r="C2711" s="1"/>
      <c r="D2711" s="1"/>
      <c r="E2711" s="1"/>
      <c r="F2711" s="1" t="s">
        <v>1471</v>
      </c>
      <c r="G2711" s="102"/>
      <c r="H2711" s="99" t="e">
        <f>FLOOR(H2710*0.15,0.01)</f>
        <v>#REF!</v>
      </c>
    </row>
    <row r="2712" spans="1:8" ht="19.5">
      <c r="A2712" s="27"/>
      <c r="B2712" s="140" t="e">
        <f>+H2712</f>
        <v>#REF!</v>
      </c>
      <c r="C2712" s="27" t="s">
        <v>3801</v>
      </c>
      <c r="D2712" s="99" t="e">
        <f>FLOOR(B2712/B2713,0.01)</f>
        <v>#REF!</v>
      </c>
      <c r="E2712" s="1" t="s">
        <v>3006</v>
      </c>
      <c r="F2712" s="1" t="s">
        <v>1494</v>
      </c>
      <c r="G2712" s="102"/>
      <c r="H2712" s="99" t="e">
        <f>SUM(H2710:H2711)</f>
        <v>#REF!</v>
      </c>
    </row>
    <row r="2713" spans="1:8" ht="16.5">
      <c r="A2713" s="1"/>
      <c r="B2713" s="88">
        <v>10</v>
      </c>
      <c r="C2713" s="1"/>
      <c r="D2713" s="1"/>
      <c r="E2713" s="1"/>
      <c r="F2713" s="1"/>
      <c r="G2713" s="1"/>
      <c r="H2713" s="1"/>
    </row>
    <row r="2714" spans="1:8" ht="16.5">
      <c r="A2714" s="1"/>
      <c r="B2714" s="88"/>
      <c r="C2714" s="1"/>
      <c r="D2714" s="1"/>
      <c r="E2714" s="1"/>
      <c r="F2714" s="1"/>
      <c r="G2714" s="1"/>
      <c r="H2714" s="1"/>
    </row>
    <row r="2715" spans="1:8" ht="16.5">
      <c r="A2715" s="1"/>
      <c r="B2715" s="88"/>
      <c r="C2715" s="1"/>
      <c r="D2715" s="1"/>
      <c r="E2715" s="1"/>
      <c r="F2715" s="1"/>
      <c r="G2715" s="1"/>
      <c r="H2715" s="1"/>
    </row>
    <row r="2716" spans="1:8" ht="16.5">
      <c r="A2716" s="1"/>
      <c r="B2716" s="88"/>
      <c r="C2716" s="1"/>
      <c r="D2716" s="1"/>
      <c r="E2716" s="1"/>
      <c r="F2716" s="1"/>
      <c r="G2716" s="1"/>
      <c r="H2716" s="1"/>
    </row>
    <row r="2717" spans="1:8" ht="16.5">
      <c r="A2717" s="1"/>
      <c r="B2717" s="117"/>
      <c r="C2717" s="1"/>
      <c r="D2717" s="1"/>
      <c r="E2717" s="1"/>
      <c r="F2717" s="1"/>
      <c r="G2717" s="1"/>
      <c r="H2717" s="1"/>
    </row>
    <row r="2718" spans="1:8" ht="18.75">
      <c r="A2718" s="138">
        <f>A2705+1</f>
        <v>156</v>
      </c>
      <c r="B2718" s="893" t="s">
        <v>3385</v>
      </c>
      <c r="C2718" s="891"/>
      <c r="D2718" s="891"/>
      <c r="E2718" s="891"/>
      <c r="F2718" s="891"/>
      <c r="G2718" s="891"/>
      <c r="H2718" s="891"/>
    </row>
    <row r="2719" spans="1:8" ht="14.25">
      <c r="A2719" s="648" t="s">
        <v>3659</v>
      </c>
      <c r="B2719" s="879" t="s">
        <v>2059</v>
      </c>
      <c r="C2719" s="879"/>
      <c r="D2719" s="879"/>
      <c r="E2719" s="879"/>
      <c r="F2719" s="879"/>
      <c r="G2719" s="879"/>
      <c r="H2719" s="879"/>
    </row>
    <row r="2720" spans="1:8" ht="31.5">
      <c r="A2720" s="1"/>
      <c r="B2720" s="68" t="s">
        <v>2966</v>
      </c>
      <c r="C2720" s="68" t="s">
        <v>2967</v>
      </c>
      <c r="D2720" s="68" t="s">
        <v>2968</v>
      </c>
      <c r="E2720" s="68" t="s">
        <v>2969</v>
      </c>
      <c r="F2720" s="68" t="s">
        <v>2970</v>
      </c>
      <c r="G2720" s="68" t="s">
        <v>2971</v>
      </c>
      <c r="H2720" s="68" t="s">
        <v>1487</v>
      </c>
    </row>
    <row r="2721" spans="1:8" ht="17.25">
      <c r="A2721" s="27"/>
      <c r="B2721" s="68" t="s">
        <v>520</v>
      </c>
      <c r="C2721" s="68" t="s">
        <v>521</v>
      </c>
      <c r="D2721" s="44">
        <v>13.5</v>
      </c>
      <c r="E2721" s="64" t="s">
        <v>1490</v>
      </c>
      <c r="F2721" s="101" t="e">
        <f>#REF!</f>
        <v>#REF!</v>
      </c>
      <c r="G2721" s="101" t="e">
        <f>FLOOR(D2721*F2721,0.01)</f>
        <v>#REF!</v>
      </c>
      <c r="H2721" s="108" t="e">
        <f>SUM(F2721:G2721)</f>
        <v>#REF!</v>
      </c>
    </row>
    <row r="2722" spans="1:8" ht="19.5">
      <c r="A2722" s="1"/>
      <c r="B2722" s="1"/>
      <c r="C2722" s="1"/>
      <c r="D2722" s="1"/>
      <c r="E2722" s="1"/>
      <c r="F2722" s="1" t="s">
        <v>1491</v>
      </c>
      <c r="G2722" s="102"/>
      <c r="H2722" s="99" t="e">
        <f>SUM(H2721:H2721)</f>
        <v>#REF!</v>
      </c>
    </row>
    <row r="2723" spans="1:8" ht="19.5">
      <c r="A2723" s="1"/>
      <c r="B2723" s="1" t="s">
        <v>1493</v>
      </c>
      <c r="C2723" s="1"/>
      <c r="D2723" s="1"/>
      <c r="E2723" s="1"/>
      <c r="F2723" s="1" t="s">
        <v>1471</v>
      </c>
      <c r="G2723" s="102"/>
      <c r="H2723" s="99" t="e">
        <f>FLOOR(H2722*0.15,0.01)</f>
        <v>#REF!</v>
      </c>
    </row>
    <row r="2724" spans="1:8" ht="19.5">
      <c r="A2724" s="27"/>
      <c r="B2724" s="140" t="e">
        <f>+H2724</f>
        <v>#REF!</v>
      </c>
      <c r="C2724" s="27" t="s">
        <v>3801</v>
      </c>
      <c r="D2724" s="99" t="e">
        <f>FLOOR(B2724/B2725,0.01)</f>
        <v>#REF!</v>
      </c>
      <c r="E2724" s="1" t="s">
        <v>3006</v>
      </c>
      <c r="F2724" s="1" t="s">
        <v>1494</v>
      </c>
      <c r="G2724" s="102"/>
      <c r="H2724" s="99" t="e">
        <f>SUM(H2722:H2723)</f>
        <v>#REF!</v>
      </c>
    </row>
    <row r="2725" spans="1:8" ht="16.5">
      <c r="A2725" s="1"/>
      <c r="B2725" s="88">
        <v>10</v>
      </c>
      <c r="C2725" s="1"/>
      <c r="D2725" s="1"/>
      <c r="E2725" s="1"/>
      <c r="F2725" s="1"/>
      <c r="G2725" s="1"/>
      <c r="H2725" s="1"/>
    </row>
    <row r="2726" spans="1:8" ht="16.5">
      <c r="A2726" s="1"/>
      <c r="B2726" s="88"/>
      <c r="C2726" s="1"/>
      <c r="D2726" s="1"/>
      <c r="E2726" s="1"/>
      <c r="F2726" s="1"/>
      <c r="G2726" s="1"/>
      <c r="H2726" s="1"/>
    </row>
    <row r="2727" spans="1:8" ht="16.5">
      <c r="A2727" s="1"/>
      <c r="B2727" s="117"/>
      <c r="C2727" s="1"/>
      <c r="D2727" s="1"/>
      <c r="E2727" s="1"/>
      <c r="F2727" s="1"/>
      <c r="G2727" s="1"/>
      <c r="H2727" s="1"/>
    </row>
    <row r="2728" spans="1:8" ht="20.25">
      <c r="A2728" s="260">
        <f>A2718+1</f>
        <v>157</v>
      </c>
      <c r="B2728" s="935" t="s">
        <v>3386</v>
      </c>
      <c r="C2728" s="909"/>
      <c r="D2728" s="909"/>
      <c r="E2728" s="909"/>
      <c r="F2728" s="909"/>
      <c r="G2728" s="909"/>
      <c r="H2728" s="909"/>
    </row>
    <row r="2729" spans="1:8" ht="19.5">
      <c r="A2729" s="677" t="s">
        <v>3517</v>
      </c>
      <c r="B2729" s="877" t="s">
        <v>3387</v>
      </c>
      <c r="C2729" s="878"/>
      <c r="D2729" s="878"/>
      <c r="E2729" s="878"/>
      <c r="F2729" s="878"/>
      <c r="G2729" s="878"/>
      <c r="H2729" s="878"/>
    </row>
    <row r="2730" spans="1:8" ht="15">
      <c r="A2730" s="1"/>
      <c r="B2730" s="885" t="s">
        <v>1382</v>
      </c>
      <c r="C2730" s="885"/>
      <c r="D2730" s="885"/>
      <c r="E2730" s="885"/>
      <c r="F2730" s="885"/>
      <c r="G2730" s="885"/>
      <c r="H2730" s="885"/>
    </row>
    <row r="2731" spans="1:8" ht="31.5">
      <c r="A2731" s="1"/>
      <c r="B2731" s="68" t="s">
        <v>2966</v>
      </c>
      <c r="C2731" s="68" t="s">
        <v>2967</v>
      </c>
      <c r="D2731" s="68" t="s">
        <v>2968</v>
      </c>
      <c r="E2731" s="68" t="s">
        <v>2969</v>
      </c>
      <c r="F2731" s="68" t="s">
        <v>2970</v>
      </c>
      <c r="G2731" s="68" t="s">
        <v>2971</v>
      </c>
      <c r="H2731" s="68" t="s">
        <v>1487</v>
      </c>
    </row>
    <row r="2732" spans="1:8" ht="17.25">
      <c r="A2732" s="1"/>
      <c r="B2732" s="889" t="s">
        <v>1488</v>
      </c>
      <c r="C2732" s="58" t="s">
        <v>516</v>
      </c>
      <c r="D2732" s="41">
        <v>6.5</v>
      </c>
      <c r="E2732" s="55" t="s">
        <v>1490</v>
      </c>
      <c r="F2732" s="107" t="e">
        <f>#REF!</f>
        <v>#REF!</v>
      </c>
      <c r="G2732" s="107" t="e">
        <f>FLOOR(D2732*F2732,0.01)</f>
        <v>#REF!</v>
      </c>
      <c r="H2732" s="108"/>
    </row>
    <row r="2733" spans="1:8" ht="17.25">
      <c r="A2733" s="1"/>
      <c r="B2733" s="887"/>
      <c r="C2733" s="56" t="s">
        <v>1433</v>
      </c>
      <c r="D2733" s="43">
        <v>0.65</v>
      </c>
      <c r="E2733" s="56" t="s">
        <v>1490</v>
      </c>
      <c r="F2733" s="63" t="e">
        <f>#REF!</f>
        <v>#REF!</v>
      </c>
      <c r="G2733" s="63" t="e">
        <f>FLOOR(D2733*F2733,0.01)</f>
        <v>#REF!</v>
      </c>
      <c r="H2733" s="121" t="e">
        <f>SUM(G2732:G2733)</f>
        <v>#REF!</v>
      </c>
    </row>
    <row r="2734" spans="1:8" ht="17.25">
      <c r="A2734" s="1"/>
      <c r="B2734" s="886" t="s">
        <v>2055</v>
      </c>
      <c r="C2734" s="53" t="s">
        <v>1614</v>
      </c>
      <c r="D2734" s="52">
        <v>10</v>
      </c>
      <c r="E2734" s="53" t="s">
        <v>2807</v>
      </c>
      <c r="F2734" s="109" t="e">
        <f>#REF!</f>
        <v>#REF!</v>
      </c>
      <c r="G2734" s="109" t="e">
        <f>FLOOR(D2734*F2734,0.01)</f>
        <v>#REF!</v>
      </c>
      <c r="H2734" s="84"/>
    </row>
    <row r="2735" spans="1:8" ht="17.25">
      <c r="A2735" s="1"/>
      <c r="B2735" s="895"/>
      <c r="C2735" s="56" t="s">
        <v>3076</v>
      </c>
      <c r="D2735" s="49">
        <v>1</v>
      </c>
      <c r="E2735" s="56" t="s">
        <v>2748</v>
      </c>
      <c r="F2735" s="63" t="e">
        <f>#REF!</f>
        <v>#REF!</v>
      </c>
      <c r="G2735" s="63" t="e">
        <f>FLOOR(D2735*F2735,0.01)</f>
        <v>#REF!</v>
      </c>
      <c r="H2735" s="123" t="e">
        <f>SUM(G2734:G2735)</f>
        <v>#REF!</v>
      </c>
    </row>
    <row r="2736" spans="1:8" ht="17.25">
      <c r="A2736" s="1"/>
      <c r="B2736" s="1"/>
      <c r="C2736" s="1"/>
      <c r="D2736" s="1"/>
      <c r="E2736" s="1"/>
      <c r="F2736" s="40" t="s">
        <v>1491</v>
      </c>
      <c r="G2736" s="113"/>
      <c r="H2736" s="63" t="e">
        <f>SUM(H2733:H2735)</f>
        <v>#REF!</v>
      </c>
    </row>
    <row r="2737" spans="1:8" ht="17.25">
      <c r="A2737" s="1"/>
      <c r="B2737" s="1" t="s">
        <v>1493</v>
      </c>
      <c r="C2737" s="1"/>
      <c r="D2737" s="1"/>
      <c r="E2737" s="1"/>
      <c r="F2737" s="40" t="s">
        <v>1472</v>
      </c>
      <c r="G2737" s="113"/>
      <c r="H2737" s="99" t="e">
        <f>FLOOR(H2736*0.15,0.01)</f>
        <v>#REF!</v>
      </c>
    </row>
    <row r="2738" spans="1:8" ht="17.25">
      <c r="B2738" s="140" t="e">
        <f>+H2738</f>
        <v>#REF!</v>
      </c>
      <c r="C2738" s="27" t="s">
        <v>3801</v>
      </c>
      <c r="D2738" s="99" t="e">
        <f>INT(B2738/B2739*100)/100</f>
        <v>#REF!</v>
      </c>
      <c r="E2738" s="1" t="s">
        <v>3006</v>
      </c>
      <c r="F2738" s="40" t="s">
        <v>1494</v>
      </c>
      <c r="G2738" s="113"/>
      <c r="H2738" s="99" t="e">
        <f>SUM(H2736:H2737)</f>
        <v>#REF!</v>
      </c>
    </row>
    <row r="2739" spans="1:8" ht="16.5">
      <c r="A2739" s="1"/>
      <c r="B2739" s="117">
        <v>10</v>
      </c>
      <c r="C2739" s="1"/>
      <c r="D2739" s="1"/>
      <c r="E2739" s="1"/>
      <c r="F2739" s="1"/>
      <c r="G2739" s="1"/>
      <c r="H2739" s="1"/>
    </row>
    <row r="2740" spans="1:8" ht="16.5">
      <c r="A2740" s="1"/>
      <c r="B2740" s="117"/>
      <c r="C2740" s="1"/>
      <c r="D2740" s="1"/>
      <c r="E2740" s="1"/>
      <c r="F2740" s="1"/>
      <c r="G2740" s="1"/>
      <c r="H2740" s="1"/>
    </row>
    <row r="2741" spans="1:8" ht="16.5">
      <c r="A2741" s="1"/>
      <c r="B2741" s="117"/>
      <c r="C2741" s="1"/>
      <c r="D2741" s="1"/>
      <c r="E2741" s="1"/>
      <c r="F2741" s="1"/>
      <c r="G2741" s="1"/>
      <c r="H2741" s="1"/>
    </row>
    <row r="2742" spans="1:8" ht="16.5">
      <c r="A2742" s="1"/>
      <c r="B2742" s="117"/>
      <c r="C2742" s="1"/>
      <c r="D2742" s="1"/>
      <c r="E2742" s="1"/>
      <c r="F2742" s="1"/>
      <c r="G2742" s="1"/>
      <c r="H2742" s="1"/>
    </row>
    <row r="2743" spans="1:8" ht="16.5">
      <c r="A2743" s="1"/>
      <c r="B2743" s="117"/>
      <c r="C2743" s="1"/>
      <c r="D2743" s="1"/>
      <c r="E2743" s="1"/>
      <c r="F2743" s="1"/>
      <c r="G2743" s="1"/>
      <c r="H2743" s="1"/>
    </row>
    <row r="2744" spans="1:8" ht="20.25">
      <c r="A2744" s="138">
        <f>A2728+1</f>
        <v>158</v>
      </c>
      <c r="B2744" s="935" t="s">
        <v>3388</v>
      </c>
      <c r="C2744" s="909"/>
      <c r="D2744" s="909"/>
      <c r="E2744" s="909"/>
      <c r="F2744" s="909"/>
      <c r="G2744" s="909"/>
      <c r="H2744" s="909"/>
    </row>
    <row r="2745" spans="1:8" ht="19.5">
      <c r="A2745" s="658" t="s">
        <v>3518</v>
      </c>
      <c r="B2745" s="877" t="s">
        <v>3389</v>
      </c>
      <c r="C2745" s="878"/>
      <c r="D2745" s="878"/>
      <c r="E2745" s="878"/>
      <c r="F2745" s="878"/>
      <c r="G2745" s="878"/>
      <c r="H2745" s="878"/>
    </row>
    <row r="2746" spans="1:8" ht="15">
      <c r="A2746" s="1"/>
      <c r="B2746" s="885" t="s">
        <v>3390</v>
      </c>
      <c r="C2746" s="885"/>
      <c r="D2746" s="885"/>
      <c r="E2746" s="885"/>
      <c r="F2746" s="885"/>
      <c r="G2746" s="885"/>
      <c r="H2746" s="885"/>
    </row>
    <row r="2747" spans="1:8" ht="31.5">
      <c r="A2747" s="1"/>
      <c r="B2747" s="68" t="s">
        <v>2966</v>
      </c>
      <c r="C2747" s="68" t="s">
        <v>2967</v>
      </c>
      <c r="D2747" s="68" t="s">
        <v>2968</v>
      </c>
      <c r="E2747" s="68" t="s">
        <v>2969</v>
      </c>
      <c r="F2747" s="68" t="s">
        <v>2970</v>
      </c>
      <c r="G2747" s="68" t="s">
        <v>2971</v>
      </c>
      <c r="H2747" s="68" t="s">
        <v>1487</v>
      </c>
    </row>
    <row r="2748" spans="1:8" ht="17.25">
      <c r="A2748" s="1"/>
      <c r="B2748" s="889" t="s">
        <v>1488</v>
      </c>
      <c r="C2748" s="58" t="s">
        <v>516</v>
      </c>
      <c r="D2748" s="41">
        <v>0.15</v>
      </c>
      <c r="E2748" s="55" t="s">
        <v>1490</v>
      </c>
      <c r="F2748" s="107" t="e">
        <f>#REF!</f>
        <v>#REF!</v>
      </c>
      <c r="G2748" s="107" t="e">
        <f>FLOOR(D2748*F2748,0.01)</f>
        <v>#REF!</v>
      </c>
      <c r="H2748" s="108"/>
    </row>
    <row r="2749" spans="1:8" ht="17.25">
      <c r="A2749" s="1"/>
      <c r="B2749" s="887"/>
      <c r="C2749" s="56" t="s">
        <v>1433</v>
      </c>
      <c r="D2749" s="43">
        <v>0.1</v>
      </c>
      <c r="E2749" s="56" t="s">
        <v>1490</v>
      </c>
      <c r="F2749" s="63" t="e">
        <f>#REF!</f>
        <v>#REF!</v>
      </c>
      <c r="G2749" s="63" t="e">
        <f>FLOOR(D2749*F2749,0.01)</f>
        <v>#REF!</v>
      </c>
      <c r="H2749" s="121" t="e">
        <f>SUM(G2748:G2749)</f>
        <v>#REF!</v>
      </c>
    </row>
    <row r="2750" spans="1:8" ht="17.25">
      <c r="A2750" s="1"/>
      <c r="B2750" s="886" t="s">
        <v>2055</v>
      </c>
      <c r="C2750" s="53" t="s">
        <v>1436</v>
      </c>
      <c r="D2750" s="52">
        <v>1E-3</v>
      </c>
      <c r="E2750" s="53" t="s">
        <v>700</v>
      </c>
      <c r="F2750" s="109" t="e">
        <f>#REF!</f>
        <v>#REF!</v>
      </c>
      <c r="G2750" s="109" t="e">
        <f>FLOOR(D2750*F2750,0.01)</f>
        <v>#REF!</v>
      </c>
      <c r="H2750" s="84"/>
    </row>
    <row r="2751" spans="1:8" ht="17.25">
      <c r="A2751" s="1"/>
      <c r="B2751" s="894"/>
      <c r="C2751" s="53" t="s">
        <v>1305</v>
      </c>
      <c r="D2751" s="52">
        <v>3.0000000000000001E-3</v>
      </c>
      <c r="E2751" s="53" t="s">
        <v>2232</v>
      </c>
      <c r="F2751" s="109" t="e">
        <f>#REF!</f>
        <v>#REF!</v>
      </c>
      <c r="G2751" s="109" t="e">
        <f>FLOOR(D2751*F2751,0.01)</f>
        <v>#REF!</v>
      </c>
      <c r="H2751" s="86"/>
    </row>
    <row r="2752" spans="1:8" ht="17.25">
      <c r="A2752" s="1"/>
      <c r="B2752" s="894"/>
      <c r="C2752" s="53" t="s">
        <v>3519</v>
      </c>
      <c r="D2752" s="52">
        <v>0.11</v>
      </c>
      <c r="E2752" s="53" t="s">
        <v>2807</v>
      </c>
      <c r="F2752" s="109" t="e">
        <f>#REF!</f>
        <v>#REF!</v>
      </c>
      <c r="G2752" s="109" t="e">
        <f>FLOOR(D2752*F2752,0.01)</f>
        <v>#REF!</v>
      </c>
      <c r="H2752" s="86"/>
    </row>
    <row r="2753" spans="1:8" ht="17.25">
      <c r="A2753" s="1"/>
      <c r="B2753" s="895"/>
      <c r="C2753" s="56" t="s">
        <v>3391</v>
      </c>
      <c r="D2753" s="63"/>
      <c r="E2753" s="56" t="s">
        <v>2808</v>
      </c>
      <c r="F2753" s="63">
        <v>20</v>
      </c>
      <c r="G2753" s="63">
        <f>F2753</f>
        <v>20</v>
      </c>
      <c r="H2753" s="123" t="e">
        <f>SUM(G2750:G2753)</f>
        <v>#REF!</v>
      </c>
    </row>
    <row r="2754" spans="1:8" ht="17.25">
      <c r="A2754" s="1"/>
      <c r="B2754" s="1"/>
      <c r="C2754" s="1"/>
      <c r="D2754" s="1"/>
      <c r="E2754" s="1"/>
      <c r="F2754" s="40" t="s">
        <v>1491</v>
      </c>
      <c r="G2754" s="113"/>
      <c r="H2754" s="63" t="e">
        <f>SUM(H2749:H2753)</f>
        <v>#REF!</v>
      </c>
    </row>
    <row r="2755" spans="1:8" ht="17.25">
      <c r="A2755" s="1"/>
      <c r="B2755" s="1" t="s">
        <v>1334</v>
      </c>
      <c r="C2755" s="1"/>
      <c r="D2755" s="1"/>
      <c r="E2755" s="1"/>
      <c r="F2755" s="40" t="s">
        <v>1472</v>
      </c>
      <c r="G2755" s="113"/>
      <c r="H2755" s="99" t="e">
        <f>FLOOR(H2754*0.15,0.01)</f>
        <v>#REF!</v>
      </c>
    </row>
    <row r="2756" spans="1:8" ht="17.25">
      <c r="A2756" s="27" t="s">
        <v>3005</v>
      </c>
      <c r="B2756" s="99" t="e">
        <f>+H2756</f>
        <v>#REF!</v>
      </c>
      <c r="C2756" s="1" t="s">
        <v>3006</v>
      </c>
      <c r="D2756" s="141"/>
      <c r="E2756" s="1"/>
      <c r="F2756" s="40" t="s">
        <v>1494</v>
      </c>
      <c r="G2756" s="113"/>
      <c r="H2756" s="99" t="e">
        <f>SUM(H2754:H2755)</f>
        <v>#REF!</v>
      </c>
    </row>
    <row r="2757" spans="1:8" ht="16.5">
      <c r="A2757" s="1"/>
      <c r="B2757" s="117"/>
      <c r="C2757" s="1"/>
      <c r="D2757" s="1"/>
      <c r="E2757" s="1"/>
      <c r="F2757" s="1"/>
      <c r="G2757" s="1"/>
      <c r="H2757" s="1"/>
    </row>
    <row r="2758" spans="1:8" ht="16.5">
      <c r="A2758" s="1"/>
      <c r="B2758" s="117"/>
      <c r="C2758" s="1"/>
      <c r="D2758" s="1"/>
      <c r="E2758" s="1"/>
      <c r="F2758" s="1"/>
      <c r="G2758" s="1"/>
      <c r="H2758" s="1"/>
    </row>
    <row r="2759" spans="1:8" ht="16.5">
      <c r="A2759" s="1"/>
      <c r="B2759" s="117"/>
      <c r="C2759" s="1"/>
      <c r="D2759" s="1"/>
      <c r="E2759" s="1"/>
      <c r="F2759" s="1"/>
      <c r="G2759" s="1"/>
      <c r="H2759" s="1"/>
    </row>
    <row r="2760" spans="1:8" ht="16.5">
      <c r="A2760" s="1"/>
      <c r="B2760" s="117"/>
      <c r="C2760" s="1"/>
      <c r="D2760" s="1"/>
      <c r="E2760" s="1"/>
      <c r="F2760" s="1"/>
      <c r="G2760" s="1"/>
      <c r="H2760" s="1"/>
    </row>
    <row r="2761" spans="1:8" ht="16.5">
      <c r="A2761" s="1"/>
      <c r="B2761" s="117"/>
      <c r="C2761" s="1"/>
      <c r="D2761" s="1"/>
      <c r="E2761" s="1"/>
      <c r="F2761" s="1"/>
      <c r="G2761" s="1"/>
      <c r="H2761" s="1"/>
    </row>
    <row r="2762" spans="1:8" ht="20.25">
      <c r="A2762" s="260">
        <f>A2744+1</f>
        <v>159</v>
      </c>
      <c r="B2762" s="877" t="s">
        <v>3019</v>
      </c>
      <c r="C2762" s="878"/>
      <c r="D2762" s="878"/>
      <c r="E2762" s="878"/>
      <c r="F2762" s="878"/>
      <c r="G2762" s="878"/>
      <c r="H2762" s="878"/>
    </row>
    <row r="2763" spans="1:8" ht="14.25">
      <c r="A2763" s="677" t="s">
        <v>3660</v>
      </c>
      <c r="B2763" s="888" t="s">
        <v>1380</v>
      </c>
      <c r="C2763" s="879"/>
      <c r="D2763" s="879"/>
      <c r="E2763" s="879"/>
      <c r="F2763" s="879"/>
      <c r="G2763" s="879"/>
      <c r="H2763" s="879"/>
    </row>
    <row r="2764" spans="1:8" ht="31.5">
      <c r="A2764" s="1"/>
      <c r="B2764" s="68" t="s">
        <v>2966</v>
      </c>
      <c r="C2764" s="68" t="s">
        <v>2967</v>
      </c>
      <c r="D2764" s="68" t="s">
        <v>2968</v>
      </c>
      <c r="E2764" s="68" t="s">
        <v>2969</v>
      </c>
      <c r="F2764" s="68" t="s">
        <v>2970</v>
      </c>
      <c r="G2764" s="68" t="s">
        <v>2971</v>
      </c>
      <c r="H2764" s="68" t="s">
        <v>1487</v>
      </c>
    </row>
    <row r="2765" spans="1:8" ht="17.25">
      <c r="A2765" s="1"/>
      <c r="B2765" s="889" t="s">
        <v>1488</v>
      </c>
      <c r="C2765" s="58" t="s">
        <v>516</v>
      </c>
      <c r="D2765" s="41">
        <v>15</v>
      </c>
      <c r="E2765" s="55" t="s">
        <v>1490</v>
      </c>
      <c r="F2765" s="107" t="e">
        <f>#REF!</f>
        <v>#REF!</v>
      </c>
      <c r="G2765" s="107" t="e">
        <f>FLOOR(D2765*F2765,0.01)</f>
        <v>#REF!</v>
      </c>
      <c r="H2765" s="108"/>
    </row>
    <row r="2766" spans="1:8" ht="17.25">
      <c r="A2766" s="1"/>
      <c r="B2766" s="887"/>
      <c r="C2766" s="78" t="s">
        <v>1433</v>
      </c>
      <c r="D2766" s="43">
        <v>20</v>
      </c>
      <c r="E2766" s="56" t="s">
        <v>1490</v>
      </c>
      <c r="F2766" s="63" t="e">
        <f>#REF!</f>
        <v>#REF!</v>
      </c>
      <c r="G2766" s="63" t="e">
        <f>FLOOR(D2766*F2766,0.01)</f>
        <v>#REF!</v>
      </c>
      <c r="H2766" s="121" t="e">
        <f>SUM(G2765+G2766)</f>
        <v>#REF!</v>
      </c>
    </row>
    <row r="2767" spans="1:8" ht="17.25">
      <c r="A2767" s="1"/>
      <c r="B2767" s="886" t="s">
        <v>2055</v>
      </c>
      <c r="C2767" s="55" t="s">
        <v>1436</v>
      </c>
      <c r="D2767" s="46">
        <v>0.625</v>
      </c>
      <c r="E2767" s="55" t="s">
        <v>700</v>
      </c>
      <c r="F2767" s="110" t="e">
        <f>#REF!</f>
        <v>#REF!</v>
      </c>
      <c r="G2767" s="109" t="e">
        <f>FLOOR(D2767*F2767,0.01)</f>
        <v>#REF!</v>
      </c>
      <c r="H2767" s="108"/>
    </row>
    <row r="2768" spans="1:8" ht="17.25">
      <c r="A2768" s="1"/>
      <c r="B2768" s="887"/>
      <c r="C2768" s="56" t="s">
        <v>697</v>
      </c>
      <c r="D2768" s="43">
        <v>1.28</v>
      </c>
      <c r="E2768" s="56" t="s">
        <v>2232</v>
      </c>
      <c r="F2768" s="63" t="e">
        <f>#REF!</f>
        <v>#REF!</v>
      </c>
      <c r="G2768" s="63" t="e">
        <f>FLOOR(D2768*F2768,0.01)</f>
        <v>#REF!</v>
      </c>
      <c r="H2768" s="123" t="e">
        <f>SUM(G2767:G2768)</f>
        <v>#REF!</v>
      </c>
    </row>
    <row r="2769" spans="1:8" ht="19.5">
      <c r="A2769" s="1"/>
      <c r="B2769" s="1"/>
      <c r="C2769" s="1"/>
      <c r="D2769" s="1"/>
      <c r="E2769" s="1"/>
      <c r="F2769" s="40" t="s">
        <v>1491</v>
      </c>
      <c r="G2769" s="102"/>
      <c r="H2769" s="63" t="e">
        <f>SUM(H2768,H2766)</f>
        <v>#REF!</v>
      </c>
    </row>
    <row r="2770" spans="1:8" ht="19.5">
      <c r="A2770" s="1"/>
      <c r="B2770" s="1" t="s">
        <v>1493</v>
      </c>
      <c r="C2770" s="1"/>
      <c r="D2770" s="1"/>
      <c r="E2770" s="1"/>
      <c r="F2770" s="40" t="s">
        <v>1472</v>
      </c>
      <c r="G2770" s="102"/>
      <c r="H2770" s="99" t="e">
        <f>FLOOR(H2769*0.15,0.01)</f>
        <v>#REF!</v>
      </c>
    </row>
    <row r="2771" spans="1:8" ht="19.5">
      <c r="B2771" s="140" t="e">
        <f>+H2771</f>
        <v>#REF!</v>
      </c>
      <c r="C2771" s="27" t="s">
        <v>3801</v>
      </c>
      <c r="D2771" s="99" t="e">
        <f>INT(B2771/B2772*100)/100</f>
        <v>#REF!</v>
      </c>
      <c r="E2771" s="1" t="s">
        <v>3006</v>
      </c>
      <c r="F2771" s="40" t="s">
        <v>1494</v>
      </c>
      <c r="G2771" s="102"/>
      <c r="H2771" s="99" t="e">
        <f>SUM(H2769:H2770)</f>
        <v>#REF!</v>
      </c>
    </row>
    <row r="2772" spans="1:8" ht="16.5">
      <c r="A2772" s="1"/>
      <c r="B2772" s="117">
        <v>100</v>
      </c>
      <c r="C2772" s="1"/>
      <c r="D2772" s="1"/>
      <c r="E2772" s="1"/>
      <c r="F2772" s="1"/>
      <c r="G2772" s="1"/>
      <c r="H2772" s="1"/>
    </row>
    <row r="2773" spans="1:8" ht="15">
      <c r="A2773" s="1"/>
      <c r="B2773" s="1"/>
      <c r="C2773" s="1"/>
      <c r="D2773" s="1"/>
      <c r="E2773" s="1"/>
      <c r="F2773" s="1"/>
      <c r="G2773" s="1"/>
      <c r="H2773" s="1"/>
    </row>
    <row r="2774" spans="1:8" ht="20.25">
      <c r="A2774" s="260">
        <f>+A2762+1</f>
        <v>160</v>
      </c>
      <c r="B2774" s="877" t="s">
        <v>1042</v>
      </c>
      <c r="C2774" s="878"/>
      <c r="D2774" s="878"/>
      <c r="E2774" s="878"/>
      <c r="F2774" s="878"/>
      <c r="G2774" s="878"/>
      <c r="H2774" s="878"/>
    </row>
    <row r="2775" spans="1:8" ht="14.25">
      <c r="A2775" s="677" t="s">
        <v>3660</v>
      </c>
      <c r="B2775" s="888" t="s">
        <v>1380</v>
      </c>
      <c r="C2775" s="879"/>
      <c r="D2775" s="879"/>
      <c r="E2775" s="879"/>
      <c r="F2775" s="879"/>
      <c r="G2775" s="879"/>
      <c r="H2775" s="879"/>
    </row>
    <row r="2776" spans="1:8" ht="31.5">
      <c r="A2776" s="1"/>
      <c r="B2776" s="68" t="s">
        <v>2966</v>
      </c>
      <c r="C2776" s="68" t="s">
        <v>2967</v>
      </c>
      <c r="D2776" s="68" t="s">
        <v>2968</v>
      </c>
      <c r="E2776" s="68" t="s">
        <v>2969</v>
      </c>
      <c r="F2776" s="68" t="s">
        <v>2970</v>
      </c>
      <c r="G2776" s="68" t="s">
        <v>2971</v>
      </c>
      <c r="H2776" s="68" t="s">
        <v>1487</v>
      </c>
    </row>
    <row r="2777" spans="1:8" ht="17.25">
      <c r="A2777" s="1"/>
      <c r="B2777" s="889" t="s">
        <v>1488</v>
      </c>
      <c r="C2777" s="58" t="s">
        <v>516</v>
      </c>
      <c r="D2777" s="41">
        <v>15</v>
      </c>
      <c r="E2777" s="55" t="s">
        <v>1490</v>
      </c>
      <c r="F2777" s="107" t="e">
        <f>#REF!</f>
        <v>#REF!</v>
      </c>
      <c r="G2777" s="107" t="e">
        <f>FLOOR(D2777*F2777,0.01)</f>
        <v>#REF!</v>
      </c>
      <c r="H2777" s="108"/>
    </row>
    <row r="2778" spans="1:8" ht="17.25">
      <c r="A2778" s="1"/>
      <c r="B2778" s="887"/>
      <c r="C2778" s="78" t="s">
        <v>1433</v>
      </c>
      <c r="D2778" s="43">
        <v>20</v>
      </c>
      <c r="E2778" s="56" t="s">
        <v>1490</v>
      </c>
      <c r="F2778" s="63" t="e">
        <f>#REF!</f>
        <v>#REF!</v>
      </c>
      <c r="G2778" s="63" t="e">
        <f>FLOOR(D2778*F2778,0.01)</f>
        <v>#REF!</v>
      </c>
      <c r="H2778" s="121" t="e">
        <f>SUM(G2777+G2778)</f>
        <v>#REF!</v>
      </c>
    </row>
    <row r="2779" spans="1:8" ht="17.25">
      <c r="A2779" s="1"/>
      <c r="B2779" s="886" t="s">
        <v>2055</v>
      </c>
      <c r="C2779" s="55" t="s">
        <v>1436</v>
      </c>
      <c r="D2779" s="46">
        <v>0.53800000000000003</v>
      </c>
      <c r="E2779" s="55" t="s">
        <v>700</v>
      </c>
      <c r="F2779" s="110" t="e">
        <f>#REF!</f>
        <v>#REF!</v>
      </c>
      <c r="G2779" s="109" t="e">
        <f>FLOOR(D2779*F2779,0.01)</f>
        <v>#REF!</v>
      </c>
      <c r="H2779" s="108"/>
    </row>
    <row r="2780" spans="1:8" ht="17.25">
      <c r="A2780" s="1"/>
      <c r="B2780" s="887"/>
      <c r="C2780" s="56" t="s">
        <v>697</v>
      </c>
      <c r="D2780" s="43">
        <v>1.46</v>
      </c>
      <c r="E2780" s="56" t="s">
        <v>2232</v>
      </c>
      <c r="F2780" s="63" t="e">
        <f>#REF!</f>
        <v>#REF!</v>
      </c>
      <c r="G2780" s="63" t="e">
        <f>FLOOR(D2780*F2780,0.01)</f>
        <v>#REF!</v>
      </c>
      <c r="H2780" s="123" t="e">
        <f>SUM(G2779:G2780)</f>
        <v>#REF!</v>
      </c>
    </row>
    <row r="2781" spans="1:8" ht="19.5">
      <c r="A2781" s="1"/>
      <c r="B2781" s="1"/>
      <c r="C2781" s="1"/>
      <c r="D2781" s="1"/>
      <c r="E2781" s="1"/>
      <c r="F2781" s="40" t="s">
        <v>1491</v>
      </c>
      <c r="G2781" s="102"/>
      <c r="H2781" s="63" t="e">
        <f>SUM(H2780,H2778)</f>
        <v>#REF!</v>
      </c>
    </row>
    <row r="2782" spans="1:8" ht="19.5">
      <c r="A2782" s="1"/>
      <c r="B2782" s="1" t="s">
        <v>1493</v>
      </c>
      <c r="C2782" s="1"/>
      <c r="D2782" s="1"/>
      <c r="E2782" s="1"/>
      <c r="F2782" s="40" t="s">
        <v>1472</v>
      </c>
      <c r="G2782" s="102"/>
      <c r="H2782" s="99" t="e">
        <f>FLOOR(H2781*0.15,0.01)</f>
        <v>#REF!</v>
      </c>
    </row>
    <row r="2783" spans="1:8" ht="19.5">
      <c r="B2783" s="140" t="e">
        <f>+H2783</f>
        <v>#REF!</v>
      </c>
      <c r="C2783" s="27" t="s">
        <v>3801</v>
      </c>
      <c r="D2783" s="99" t="e">
        <f>INT(B2783/B2784*100)/100</f>
        <v>#REF!</v>
      </c>
      <c r="E2783" s="1" t="s">
        <v>3006</v>
      </c>
      <c r="F2783" s="40" t="s">
        <v>1494</v>
      </c>
      <c r="G2783" s="102"/>
      <c r="H2783" s="99" t="e">
        <f>SUM(H2781:H2782)</f>
        <v>#REF!</v>
      </c>
    </row>
    <row r="2784" spans="1:8" ht="16.5">
      <c r="A2784" s="27"/>
      <c r="B2784" s="117">
        <v>100</v>
      </c>
      <c r="C2784" s="1"/>
      <c r="D2784" s="1"/>
      <c r="E2784" s="1"/>
      <c r="F2784" s="1"/>
      <c r="G2784" s="1"/>
      <c r="H2784" s="19"/>
    </row>
    <row r="2785" spans="1:8" ht="16.5">
      <c r="A2785" s="27"/>
      <c r="B2785" s="117"/>
      <c r="C2785" s="1"/>
      <c r="D2785" s="1"/>
      <c r="E2785" s="1"/>
      <c r="F2785" s="1"/>
      <c r="G2785" s="1"/>
      <c r="H2785" s="19"/>
    </row>
    <row r="2786" spans="1:8" ht="16.5">
      <c r="A2786" s="27"/>
      <c r="B2786" s="117"/>
      <c r="C2786" s="1"/>
      <c r="D2786" s="1"/>
      <c r="E2786" s="1"/>
      <c r="F2786" s="1"/>
      <c r="G2786" s="1"/>
      <c r="H2786" s="19"/>
    </row>
    <row r="2787" spans="1:8" ht="16.5">
      <c r="A2787" s="27"/>
      <c r="B2787" s="117"/>
      <c r="C2787" s="1"/>
      <c r="D2787" s="1"/>
      <c r="E2787" s="1"/>
      <c r="F2787" s="1"/>
      <c r="G2787" s="1"/>
      <c r="H2787" s="19"/>
    </row>
    <row r="2788" spans="1:8" ht="19.5">
      <c r="A2788" s="31"/>
      <c r="B2788" s="878" t="s">
        <v>1043</v>
      </c>
      <c r="C2788" s="878"/>
      <c r="D2788" s="878"/>
      <c r="E2788" s="878"/>
      <c r="F2788" s="878"/>
      <c r="G2788" s="878"/>
      <c r="H2788" s="878"/>
    </row>
    <row r="2789" spans="1:8" ht="20.25">
      <c r="A2789" s="260">
        <f>+A2774+1</f>
        <v>161</v>
      </c>
      <c r="B2789" s="877" t="s">
        <v>1044</v>
      </c>
      <c r="C2789" s="878"/>
      <c r="D2789" s="878"/>
      <c r="E2789" s="878"/>
      <c r="F2789" s="878"/>
      <c r="G2789" s="878"/>
      <c r="H2789" s="878"/>
    </row>
    <row r="2790" spans="1:8" ht="14.25">
      <c r="A2790" s="677" t="s">
        <v>3660</v>
      </c>
      <c r="B2790" s="888" t="s">
        <v>1380</v>
      </c>
      <c r="C2790" s="879"/>
      <c r="D2790" s="879"/>
      <c r="E2790" s="879"/>
      <c r="F2790" s="879"/>
      <c r="G2790" s="879"/>
      <c r="H2790" s="879"/>
    </row>
    <row r="2791" spans="1:8" ht="31.5">
      <c r="A2791" s="1"/>
      <c r="B2791" s="68" t="s">
        <v>2966</v>
      </c>
      <c r="C2791" s="68" t="s">
        <v>2967</v>
      </c>
      <c r="D2791" s="68" t="s">
        <v>2968</v>
      </c>
      <c r="E2791" s="68" t="s">
        <v>2969</v>
      </c>
      <c r="F2791" s="68" t="s">
        <v>2970</v>
      </c>
      <c r="G2791" s="68" t="s">
        <v>2971</v>
      </c>
      <c r="H2791" s="68" t="s">
        <v>1487</v>
      </c>
    </row>
    <row r="2792" spans="1:8" ht="17.25">
      <c r="A2792" s="1"/>
      <c r="B2792" s="889" t="s">
        <v>1488</v>
      </c>
      <c r="C2792" s="58" t="s">
        <v>516</v>
      </c>
      <c r="D2792" s="41">
        <v>12</v>
      </c>
      <c r="E2792" s="55" t="s">
        <v>1490</v>
      </c>
      <c r="F2792" s="107" t="e">
        <f>#REF!</f>
        <v>#REF!</v>
      </c>
      <c r="G2792" s="107" t="e">
        <f>FLOOR(D2792*F2792,0.01)</f>
        <v>#REF!</v>
      </c>
      <c r="H2792" s="108"/>
    </row>
    <row r="2793" spans="1:8" ht="17.25">
      <c r="A2793" s="1"/>
      <c r="B2793" s="887"/>
      <c r="C2793" s="78" t="s">
        <v>1433</v>
      </c>
      <c r="D2793" s="43">
        <v>16</v>
      </c>
      <c r="E2793" s="56" t="s">
        <v>1490</v>
      </c>
      <c r="F2793" s="63" t="e">
        <f>#REF!</f>
        <v>#REF!</v>
      </c>
      <c r="G2793" s="63" t="e">
        <f>FLOOR(D2793*F2793,0.01)</f>
        <v>#REF!</v>
      </c>
      <c r="H2793" s="121" t="e">
        <f>SUM(G2792+G2793)</f>
        <v>#REF!</v>
      </c>
    </row>
    <row r="2794" spans="1:8" ht="17.25">
      <c r="A2794" s="1"/>
      <c r="B2794" s="886" t="s">
        <v>2055</v>
      </c>
      <c r="C2794" s="55" t="s">
        <v>1436</v>
      </c>
      <c r="D2794" s="46">
        <v>0.53800000000000003</v>
      </c>
      <c r="E2794" s="55" t="s">
        <v>700</v>
      </c>
      <c r="F2794" s="110" t="e">
        <f>#REF!</f>
        <v>#REF!</v>
      </c>
      <c r="G2794" s="109" t="e">
        <f>FLOOR(D2794*F2794,0.01)</f>
        <v>#REF!</v>
      </c>
      <c r="H2794" s="108"/>
    </row>
    <row r="2795" spans="1:8" ht="17.25">
      <c r="A2795" s="1"/>
      <c r="B2795" s="887"/>
      <c r="C2795" s="56" t="s">
        <v>697</v>
      </c>
      <c r="D2795" s="43">
        <v>1.46</v>
      </c>
      <c r="E2795" s="56" t="s">
        <v>2232</v>
      </c>
      <c r="F2795" s="63" t="e">
        <f>#REF!</f>
        <v>#REF!</v>
      </c>
      <c r="G2795" s="63" t="e">
        <f>FLOOR(D2795*F2795,0.01)</f>
        <v>#REF!</v>
      </c>
      <c r="H2795" s="123" t="e">
        <f>SUM(G2794:G2795)</f>
        <v>#REF!</v>
      </c>
    </row>
    <row r="2796" spans="1:8" ht="19.5">
      <c r="A2796" s="1"/>
      <c r="B2796" s="1"/>
      <c r="C2796" s="1"/>
      <c r="D2796" s="1"/>
      <c r="E2796" s="1"/>
      <c r="F2796" s="40" t="s">
        <v>1491</v>
      </c>
      <c r="G2796" s="102"/>
      <c r="H2796" s="63" t="e">
        <f>SUM(H2795,H2793)</f>
        <v>#REF!</v>
      </c>
    </row>
    <row r="2797" spans="1:8" ht="19.5">
      <c r="A2797" s="1"/>
      <c r="B2797" s="1" t="s">
        <v>1493</v>
      </c>
      <c r="C2797" s="1"/>
      <c r="D2797" s="1"/>
      <c r="E2797" s="1"/>
      <c r="F2797" s="40" t="s">
        <v>1472</v>
      </c>
      <c r="G2797" s="102"/>
      <c r="H2797" s="99" t="e">
        <f>FLOOR(H2796*0.15,0.01)</f>
        <v>#REF!</v>
      </c>
    </row>
    <row r="2798" spans="1:8" ht="19.5">
      <c r="B2798" s="140" t="e">
        <f>+H2798</f>
        <v>#REF!</v>
      </c>
      <c r="C2798" s="27" t="s">
        <v>3801</v>
      </c>
      <c r="D2798" s="99" t="e">
        <f>INT(B2798/B2799*100)/100</f>
        <v>#REF!</v>
      </c>
      <c r="E2798" s="1" t="s">
        <v>3006</v>
      </c>
      <c r="F2798" s="40" t="s">
        <v>1494</v>
      </c>
      <c r="G2798" s="102"/>
      <c r="H2798" s="99" t="e">
        <f>SUM(H2796:H2797)</f>
        <v>#REF!</v>
      </c>
    </row>
    <row r="2799" spans="1:8" ht="16.5">
      <c r="A2799" s="1"/>
      <c r="B2799" s="117">
        <v>100</v>
      </c>
      <c r="C2799" s="1"/>
      <c r="D2799" s="1"/>
      <c r="E2799" s="1"/>
      <c r="F2799" s="1"/>
      <c r="G2799" s="1"/>
      <c r="H2799" s="1"/>
    </row>
    <row r="2800" spans="1:8" ht="16.5">
      <c r="A2800" s="1"/>
      <c r="B2800" s="117"/>
      <c r="C2800" s="1"/>
      <c r="D2800" s="1"/>
      <c r="E2800" s="1"/>
      <c r="F2800" s="1"/>
      <c r="G2800" s="1"/>
      <c r="H2800" s="1"/>
    </row>
    <row r="2801" spans="1:8" ht="16.5">
      <c r="A2801" s="1"/>
      <c r="B2801" s="117"/>
      <c r="C2801" s="1"/>
      <c r="D2801" s="1"/>
      <c r="E2801" s="1"/>
      <c r="F2801" s="1"/>
      <c r="G2801" s="1"/>
      <c r="H2801" s="1"/>
    </row>
    <row r="2802" spans="1:8" ht="16.5">
      <c r="A2802" s="1"/>
      <c r="B2802" s="117"/>
      <c r="C2802" s="1"/>
      <c r="D2802" s="1"/>
      <c r="E2802" s="1"/>
      <c r="F2802" s="1"/>
      <c r="G2802" s="1"/>
      <c r="H2802" s="1"/>
    </row>
    <row r="2803" spans="1:8" ht="15">
      <c r="A2803" s="1"/>
      <c r="B2803" s="191"/>
      <c r="C2803" s="1"/>
      <c r="D2803" s="1"/>
      <c r="E2803" s="1"/>
      <c r="F2803" s="191"/>
      <c r="G2803" s="191"/>
      <c r="H2803" s="170"/>
    </row>
    <row r="2804" spans="1:8" ht="15">
      <c r="A2804" s="31"/>
      <c r="B2804" s="1"/>
      <c r="C2804" s="1"/>
      <c r="D2804" s="1"/>
      <c r="E2804" s="1"/>
      <c r="F2804" s="1"/>
      <c r="G2804" s="1"/>
      <c r="H2804" s="1"/>
    </row>
    <row r="2805" spans="1:8" ht="20.25">
      <c r="A2805" s="260">
        <f>+A2789+1</f>
        <v>162</v>
      </c>
      <c r="B2805" s="877" t="s">
        <v>110</v>
      </c>
      <c r="C2805" s="878"/>
      <c r="D2805" s="878"/>
      <c r="E2805" s="878"/>
      <c r="F2805" s="878"/>
      <c r="G2805" s="878"/>
      <c r="H2805" s="878"/>
    </row>
    <row r="2806" spans="1:8" ht="14.25">
      <c r="A2806" s="677" t="s">
        <v>3660</v>
      </c>
      <c r="B2806" s="888" t="s">
        <v>1380</v>
      </c>
      <c r="C2806" s="879"/>
      <c r="D2806" s="879"/>
      <c r="E2806" s="879"/>
      <c r="F2806" s="879"/>
      <c r="G2806" s="879"/>
      <c r="H2806" s="879"/>
    </row>
    <row r="2807" spans="1:8" ht="31.5">
      <c r="A2807" s="1"/>
      <c r="B2807" s="68" t="s">
        <v>2966</v>
      </c>
      <c r="C2807" s="68" t="s">
        <v>2967</v>
      </c>
      <c r="D2807" s="68" t="s">
        <v>2968</v>
      </c>
      <c r="E2807" s="68" t="s">
        <v>2969</v>
      </c>
      <c r="F2807" s="68" t="s">
        <v>2970</v>
      </c>
      <c r="G2807" s="68" t="s">
        <v>2971</v>
      </c>
      <c r="H2807" s="68" t="s">
        <v>1487</v>
      </c>
    </row>
    <row r="2808" spans="1:8" ht="17.25">
      <c r="A2808" s="1"/>
      <c r="B2808" s="889" t="s">
        <v>1488</v>
      </c>
      <c r="C2808" s="58" t="s">
        <v>516</v>
      </c>
      <c r="D2808" s="41">
        <v>12</v>
      </c>
      <c r="E2808" s="55" t="s">
        <v>1490</v>
      </c>
      <c r="F2808" s="107" t="e">
        <f>#REF!</f>
        <v>#REF!</v>
      </c>
      <c r="G2808" s="107" t="e">
        <f>FLOOR(D2808*F2808,0.01)</f>
        <v>#REF!</v>
      </c>
      <c r="H2808" s="108"/>
    </row>
    <row r="2809" spans="1:8" ht="17.25">
      <c r="A2809" s="1"/>
      <c r="B2809" s="887"/>
      <c r="C2809" s="78" t="s">
        <v>1433</v>
      </c>
      <c r="D2809" s="43">
        <v>16</v>
      </c>
      <c r="E2809" s="56" t="s">
        <v>1490</v>
      </c>
      <c r="F2809" s="63" t="e">
        <f>#REF!</f>
        <v>#REF!</v>
      </c>
      <c r="G2809" s="63" t="e">
        <f>FLOOR(D2809*F2809,0.01)</f>
        <v>#REF!</v>
      </c>
      <c r="H2809" s="121" t="e">
        <f>SUM(G2808+G2809)</f>
        <v>#REF!</v>
      </c>
    </row>
    <row r="2810" spans="1:8" ht="17.25">
      <c r="A2810" s="1"/>
      <c r="B2810" s="886" t="s">
        <v>2055</v>
      </c>
      <c r="C2810" s="55" t="s">
        <v>1436</v>
      </c>
      <c r="D2810" s="46">
        <v>0.38200000000000001</v>
      </c>
      <c r="E2810" s="55" t="s">
        <v>700</v>
      </c>
      <c r="F2810" s="110" t="e">
        <f>#REF!</f>
        <v>#REF!</v>
      </c>
      <c r="G2810" s="109" t="e">
        <f>FLOOR(D2810*F2810,0.01)</f>
        <v>#REF!</v>
      </c>
      <c r="H2810" s="108"/>
    </row>
    <row r="2811" spans="1:8" ht="17.25">
      <c r="A2811" s="1"/>
      <c r="B2811" s="887"/>
      <c r="C2811" s="56" t="s">
        <v>697</v>
      </c>
      <c r="D2811" s="43">
        <v>1.57</v>
      </c>
      <c r="E2811" s="56" t="s">
        <v>2232</v>
      </c>
      <c r="F2811" s="63" t="e">
        <f>#REF!</f>
        <v>#REF!</v>
      </c>
      <c r="G2811" s="63" t="e">
        <f>FLOOR(D2811*F2811,0.01)</f>
        <v>#REF!</v>
      </c>
      <c r="H2811" s="123" t="e">
        <f>SUM(G2810:G2811)</f>
        <v>#REF!</v>
      </c>
    </row>
    <row r="2812" spans="1:8" ht="19.5">
      <c r="A2812" s="1"/>
      <c r="B2812" s="1"/>
      <c r="C2812" s="1"/>
      <c r="D2812" s="1"/>
      <c r="E2812" s="1"/>
      <c r="F2812" s="40" t="s">
        <v>1491</v>
      </c>
      <c r="G2812" s="102"/>
      <c r="H2812" s="63" t="e">
        <f>SUM(H2811,H2809)</f>
        <v>#REF!</v>
      </c>
    </row>
    <row r="2813" spans="1:8" ht="19.5">
      <c r="A2813" s="1"/>
      <c r="B2813" s="1" t="s">
        <v>1493</v>
      </c>
      <c r="C2813" s="1"/>
      <c r="D2813" s="1"/>
      <c r="E2813" s="1"/>
      <c r="F2813" s="40" t="s">
        <v>1472</v>
      </c>
      <c r="G2813" s="102"/>
      <c r="H2813" s="99" t="e">
        <f>FLOOR(H2812*0.15,0.01)</f>
        <v>#REF!</v>
      </c>
    </row>
    <row r="2814" spans="1:8" ht="19.5">
      <c r="B2814" s="140" t="e">
        <f>+H2814</f>
        <v>#REF!</v>
      </c>
      <c r="C2814" s="27" t="s">
        <v>3801</v>
      </c>
      <c r="D2814" s="99" t="e">
        <f>INT(B2814/B2815*100)/100</f>
        <v>#REF!</v>
      </c>
      <c r="E2814" s="1" t="s">
        <v>3006</v>
      </c>
      <c r="F2814" s="40" t="s">
        <v>1494</v>
      </c>
      <c r="G2814" s="102"/>
      <c r="H2814" s="99" t="e">
        <f>SUM(H2812:H2813)</f>
        <v>#REF!</v>
      </c>
    </row>
    <row r="2815" spans="1:8" ht="16.5">
      <c r="A2815" s="1"/>
      <c r="B2815" s="117">
        <v>100</v>
      </c>
      <c r="C2815" s="1"/>
      <c r="D2815" s="1"/>
      <c r="E2815" s="1"/>
      <c r="F2815" s="1"/>
      <c r="G2815" s="1"/>
      <c r="H2815" s="1"/>
    </row>
    <row r="2816" spans="1:8" ht="16.5">
      <c r="A2816" s="1"/>
      <c r="B2816" s="117"/>
      <c r="C2816" s="1"/>
      <c r="D2816" s="1"/>
      <c r="E2816" s="1"/>
      <c r="F2816" s="1"/>
      <c r="G2816" s="1"/>
      <c r="H2816" s="1"/>
    </row>
    <row r="2817" spans="1:8" ht="20.25">
      <c r="A2817" s="260">
        <f>+A2805+1</f>
        <v>163</v>
      </c>
      <c r="B2817" s="877" t="s">
        <v>777</v>
      </c>
      <c r="C2817" s="878"/>
      <c r="D2817" s="878"/>
      <c r="E2817" s="878"/>
      <c r="F2817" s="878"/>
      <c r="G2817" s="878"/>
      <c r="H2817" s="878"/>
    </row>
    <row r="2818" spans="1:8" ht="14.25">
      <c r="A2818" s="677" t="s">
        <v>3661</v>
      </c>
      <c r="B2818" s="888" t="s">
        <v>1380</v>
      </c>
      <c r="C2818" s="879"/>
      <c r="D2818" s="879"/>
      <c r="E2818" s="879"/>
      <c r="F2818" s="879"/>
      <c r="G2818" s="879"/>
      <c r="H2818" s="879"/>
    </row>
    <row r="2819" spans="1:8" ht="31.5">
      <c r="A2819" s="1"/>
      <c r="B2819" s="68" t="s">
        <v>2966</v>
      </c>
      <c r="C2819" s="68" t="s">
        <v>2967</v>
      </c>
      <c r="D2819" s="68" t="s">
        <v>2968</v>
      </c>
      <c r="E2819" s="68" t="s">
        <v>2969</v>
      </c>
      <c r="F2819" s="68" t="s">
        <v>2970</v>
      </c>
      <c r="G2819" s="68" t="s">
        <v>2971</v>
      </c>
      <c r="H2819" s="68" t="s">
        <v>1487</v>
      </c>
    </row>
    <row r="2820" spans="1:8" ht="17.25">
      <c r="A2820" s="1"/>
      <c r="B2820" s="889" t="s">
        <v>1488</v>
      </c>
      <c r="C2820" s="58" t="s">
        <v>516</v>
      </c>
      <c r="D2820" s="41">
        <v>12</v>
      </c>
      <c r="E2820" s="55" t="s">
        <v>1490</v>
      </c>
      <c r="F2820" s="107" t="e">
        <f>#REF!</f>
        <v>#REF!</v>
      </c>
      <c r="G2820" s="107" t="e">
        <f>FLOOR(D2820*F2820,0.01)</f>
        <v>#REF!</v>
      </c>
      <c r="H2820" s="108"/>
    </row>
    <row r="2821" spans="1:8" ht="17.25">
      <c r="A2821" s="1"/>
      <c r="B2821" s="887"/>
      <c r="C2821" s="78" t="s">
        <v>1433</v>
      </c>
      <c r="D2821" s="43">
        <v>16</v>
      </c>
      <c r="E2821" s="56" t="s">
        <v>1490</v>
      </c>
      <c r="F2821" s="63" t="e">
        <f>#REF!</f>
        <v>#REF!</v>
      </c>
      <c r="G2821" s="63" t="e">
        <f>FLOOR(D2821*F2821,0.01)</f>
        <v>#REF!</v>
      </c>
      <c r="H2821" s="121" t="e">
        <f>SUM(G2820+G2821)</f>
        <v>#REF!</v>
      </c>
    </row>
    <row r="2822" spans="1:8" ht="17.25">
      <c r="A2822" s="1"/>
      <c r="B2822" s="886" t="s">
        <v>2055</v>
      </c>
      <c r="C2822" s="55" t="s">
        <v>1849</v>
      </c>
      <c r="D2822" s="41">
        <v>0.61</v>
      </c>
      <c r="E2822" s="55" t="s">
        <v>2232</v>
      </c>
      <c r="F2822" s="110" t="e">
        <f>#REF!*640</f>
        <v>#REF!</v>
      </c>
      <c r="G2822" s="109" t="e">
        <f>FLOOR(D2822*F2822,0.01)</f>
        <v>#REF!</v>
      </c>
      <c r="H2822" s="108"/>
    </row>
    <row r="2823" spans="1:8" ht="17.25">
      <c r="A2823" s="1"/>
      <c r="B2823" s="887"/>
      <c r="C2823" s="56" t="s">
        <v>988</v>
      </c>
      <c r="D2823" s="43">
        <v>1.22</v>
      </c>
      <c r="E2823" s="56" t="s">
        <v>2232</v>
      </c>
      <c r="F2823" s="63" t="e">
        <f>#REF!</f>
        <v>#REF!</v>
      </c>
      <c r="G2823" s="63" t="e">
        <f>FLOOR(D2823*F2823,0.01)</f>
        <v>#REF!</v>
      </c>
      <c r="H2823" s="123" t="e">
        <f>SUM(G2822:G2823)</f>
        <v>#REF!</v>
      </c>
    </row>
    <row r="2824" spans="1:8" ht="19.5">
      <c r="A2824" s="1"/>
      <c r="B2824" s="1"/>
      <c r="C2824" s="1"/>
      <c r="D2824" s="1"/>
      <c r="E2824" s="1"/>
      <c r="F2824" s="40" t="s">
        <v>1491</v>
      </c>
      <c r="G2824" s="102"/>
      <c r="H2824" s="63" t="e">
        <f>SUM(H2823,H2821)</f>
        <v>#REF!</v>
      </c>
    </row>
    <row r="2825" spans="1:8" ht="19.5">
      <c r="A2825" s="1"/>
      <c r="B2825" s="1" t="s">
        <v>1493</v>
      </c>
      <c r="C2825" s="1"/>
      <c r="D2825" s="1"/>
      <c r="E2825" s="1"/>
      <c r="F2825" s="40" t="s">
        <v>1472</v>
      </c>
      <c r="G2825" s="102"/>
      <c r="H2825" s="99" t="e">
        <f>FLOOR(H2824*0.15,0.01)</f>
        <v>#REF!</v>
      </c>
    </row>
    <row r="2826" spans="1:8" ht="19.5">
      <c r="B2826" s="140" t="e">
        <f>+H2826</f>
        <v>#REF!</v>
      </c>
      <c r="C2826" s="27" t="s">
        <v>3801</v>
      </c>
      <c r="D2826" s="99" t="e">
        <f>INT(B2826/B2827*100)/100</f>
        <v>#REF!</v>
      </c>
      <c r="E2826" s="1" t="s">
        <v>3006</v>
      </c>
      <c r="F2826" s="40" t="s">
        <v>1494</v>
      </c>
      <c r="G2826" s="102"/>
      <c r="H2826" s="99" t="e">
        <f>SUM(H2824:H2825)</f>
        <v>#REF!</v>
      </c>
    </row>
    <row r="2827" spans="1:8" ht="16.5">
      <c r="A2827" s="1"/>
      <c r="B2827" s="117">
        <v>100</v>
      </c>
      <c r="C2827" s="1"/>
      <c r="D2827" s="1"/>
      <c r="E2827" s="1"/>
      <c r="F2827" s="1"/>
      <c r="G2827" s="1"/>
      <c r="H2827" s="1"/>
    </row>
    <row r="2828" spans="1:8" ht="16.5">
      <c r="A2828" s="1"/>
      <c r="B2828" s="117"/>
      <c r="C2828" s="1"/>
      <c r="D2828" s="1"/>
      <c r="E2828" s="1"/>
      <c r="F2828" s="1"/>
      <c r="G2828" s="1"/>
      <c r="H2828" s="1"/>
    </row>
    <row r="2829" spans="1:8" ht="16.5">
      <c r="A2829" s="1"/>
      <c r="B2829" s="117"/>
      <c r="C2829" s="1"/>
      <c r="D2829" s="1"/>
      <c r="E2829" s="1"/>
      <c r="F2829" s="1"/>
      <c r="G2829" s="1"/>
      <c r="H2829" s="1"/>
    </row>
    <row r="2830" spans="1:8" ht="16.5">
      <c r="A2830" s="1"/>
      <c r="B2830" s="117"/>
      <c r="C2830" s="1"/>
      <c r="D2830" s="1"/>
      <c r="E2830" s="1"/>
      <c r="F2830" s="1"/>
      <c r="G2830" s="1"/>
      <c r="H2830" s="1"/>
    </row>
    <row r="2831" spans="1:8" ht="16.5">
      <c r="A2831" s="1"/>
      <c r="B2831" s="117"/>
      <c r="C2831" s="1"/>
      <c r="D2831" s="1"/>
      <c r="E2831" s="1"/>
      <c r="F2831" s="1"/>
      <c r="G2831" s="1"/>
      <c r="H2831" s="1"/>
    </row>
    <row r="2832" spans="1:8" ht="20.25">
      <c r="A2832" s="260">
        <f>A2817+1</f>
        <v>164</v>
      </c>
      <c r="B2832" s="935" t="s">
        <v>2955</v>
      </c>
      <c r="C2832" s="878"/>
      <c r="D2832" s="878"/>
      <c r="E2832" s="878"/>
      <c r="F2832" s="878"/>
      <c r="G2832" s="878"/>
      <c r="H2832" s="878"/>
    </row>
    <row r="2833" spans="1:8" ht="14.25">
      <c r="A2833" s="677" t="s">
        <v>3662</v>
      </c>
      <c r="B2833" s="888" t="s">
        <v>1380</v>
      </c>
      <c r="C2833" s="879"/>
      <c r="D2833" s="879"/>
      <c r="E2833" s="879"/>
      <c r="F2833" s="879"/>
      <c r="G2833" s="879"/>
      <c r="H2833" s="879"/>
    </row>
    <row r="2834" spans="1:8" ht="15">
      <c r="A2834" s="1"/>
      <c r="B2834" s="3"/>
      <c r="C2834" s="3"/>
      <c r="D2834" s="3"/>
      <c r="E2834" s="3"/>
      <c r="F2834" s="3"/>
      <c r="G2834" s="3"/>
      <c r="H2834" s="3"/>
    </row>
    <row r="2835" spans="1:8" ht="31.5">
      <c r="A2835" s="1"/>
      <c r="B2835" s="68" t="s">
        <v>2966</v>
      </c>
      <c r="C2835" s="68" t="s">
        <v>2967</v>
      </c>
      <c r="D2835" s="68" t="s">
        <v>2968</v>
      </c>
      <c r="E2835" s="68" t="s">
        <v>2969</v>
      </c>
      <c r="F2835" s="68" t="s">
        <v>2970</v>
      </c>
      <c r="G2835" s="68" t="s">
        <v>2971</v>
      </c>
      <c r="H2835" s="68" t="s">
        <v>1487</v>
      </c>
    </row>
    <row r="2836" spans="1:8" ht="17.25">
      <c r="A2836" s="1"/>
      <c r="B2836" s="889" t="s">
        <v>1488</v>
      </c>
      <c r="C2836" s="58" t="s">
        <v>516</v>
      </c>
      <c r="D2836" s="41">
        <v>14</v>
      </c>
      <c r="E2836" s="55" t="s">
        <v>1490</v>
      </c>
      <c r="F2836" s="107" t="e">
        <f>$F$2820</f>
        <v>#REF!</v>
      </c>
      <c r="G2836" s="107" t="e">
        <f>FLOOR(D2836*F2836,0.01)</f>
        <v>#REF!</v>
      </c>
      <c r="H2836" s="108"/>
    </row>
    <row r="2837" spans="1:8" ht="17.25">
      <c r="A2837" s="1"/>
      <c r="B2837" s="887"/>
      <c r="C2837" s="78" t="s">
        <v>1433</v>
      </c>
      <c r="D2837" s="43">
        <v>19</v>
      </c>
      <c r="E2837" s="56" t="s">
        <v>1490</v>
      </c>
      <c r="F2837" s="63" t="e">
        <f>$F$2821</f>
        <v>#REF!</v>
      </c>
      <c r="G2837" s="63" t="e">
        <f>FLOOR(D2837*F2837,0.01)</f>
        <v>#REF!</v>
      </c>
      <c r="H2837" s="121" t="e">
        <f>SUM(G2836+G2837)</f>
        <v>#REF!</v>
      </c>
    </row>
    <row r="2838" spans="1:8" ht="17.25">
      <c r="A2838" s="1"/>
      <c r="B2838" s="886" t="s">
        <v>2055</v>
      </c>
      <c r="C2838" s="55" t="s">
        <v>1849</v>
      </c>
      <c r="D2838" s="41">
        <v>0.92</v>
      </c>
      <c r="E2838" s="55" t="s">
        <v>2232</v>
      </c>
      <c r="F2838" s="110" t="e">
        <f>$F$2822</f>
        <v>#REF!</v>
      </c>
      <c r="G2838" s="109" t="e">
        <f>FLOOR(D2838*F2838,0.01)</f>
        <v>#REF!</v>
      </c>
      <c r="H2838" s="108"/>
    </row>
    <row r="2839" spans="1:8" ht="17.25">
      <c r="A2839" s="1"/>
      <c r="B2839" s="887"/>
      <c r="C2839" s="56" t="s">
        <v>988</v>
      </c>
      <c r="D2839" s="43">
        <v>1.83</v>
      </c>
      <c r="E2839" s="56" t="s">
        <v>2232</v>
      </c>
      <c r="F2839" s="63" t="e">
        <f>$F$2823</f>
        <v>#REF!</v>
      </c>
      <c r="G2839" s="63" t="e">
        <f>FLOOR(D2839*F2839,0.01)</f>
        <v>#REF!</v>
      </c>
      <c r="H2839" s="123" t="e">
        <f>SUM(G2838:G2839)</f>
        <v>#REF!</v>
      </c>
    </row>
    <row r="2840" spans="1:8" ht="19.5">
      <c r="A2840" s="1"/>
      <c r="B2840" s="1"/>
      <c r="C2840" s="1"/>
      <c r="D2840" s="1"/>
      <c r="E2840" s="1"/>
      <c r="F2840" s="40" t="s">
        <v>1491</v>
      </c>
      <c r="G2840" s="102"/>
      <c r="H2840" s="63" t="e">
        <f>SUM(H2839,H2837)</f>
        <v>#REF!</v>
      </c>
    </row>
    <row r="2841" spans="1:8" ht="19.5">
      <c r="A2841" s="1"/>
      <c r="B2841" s="1" t="s">
        <v>1493</v>
      </c>
      <c r="C2841" s="1"/>
      <c r="D2841" s="1"/>
      <c r="E2841" s="1"/>
      <c r="F2841" s="40" t="s">
        <v>1472</v>
      </c>
      <c r="G2841" s="102"/>
      <c r="H2841" s="99" t="e">
        <f>FLOOR(H2840*0.15,0.01)</f>
        <v>#REF!</v>
      </c>
    </row>
    <row r="2842" spans="1:8" ht="19.5">
      <c r="B2842" s="140" t="e">
        <f>+H2842</f>
        <v>#REF!</v>
      </c>
      <c r="C2842" s="27" t="s">
        <v>3801</v>
      </c>
      <c r="D2842" s="99" t="e">
        <f>INT(B2842/B2843*100)/100</f>
        <v>#REF!</v>
      </c>
      <c r="E2842" s="1" t="s">
        <v>3006</v>
      </c>
      <c r="F2842" s="40" t="s">
        <v>1494</v>
      </c>
      <c r="G2842" s="102"/>
      <c r="H2842" s="99" t="e">
        <f>SUM(H2840:H2841)</f>
        <v>#REF!</v>
      </c>
    </row>
    <row r="2843" spans="1:8" ht="16.5">
      <c r="A2843" s="1"/>
      <c r="B2843" s="117">
        <v>100</v>
      </c>
      <c r="C2843" s="1"/>
      <c r="D2843" s="1"/>
      <c r="E2843" s="1"/>
      <c r="F2843" s="1"/>
      <c r="G2843" s="1"/>
      <c r="H2843" s="1"/>
    </row>
    <row r="2844" spans="1:8" ht="16.5">
      <c r="A2844" s="1"/>
      <c r="B2844" s="117"/>
      <c r="C2844" s="1"/>
      <c r="D2844" s="1"/>
      <c r="E2844" s="1"/>
      <c r="F2844" s="1"/>
      <c r="G2844" s="1"/>
      <c r="H2844" s="1"/>
    </row>
    <row r="2845" spans="1:8" ht="16.5">
      <c r="A2845" s="1"/>
      <c r="B2845" s="117"/>
      <c r="C2845" s="1"/>
      <c r="D2845" s="1"/>
      <c r="E2845" s="1"/>
      <c r="F2845" s="1"/>
      <c r="G2845" s="1"/>
      <c r="H2845" s="1"/>
    </row>
    <row r="2846" spans="1:8" ht="16.5">
      <c r="A2846" s="1"/>
      <c r="B2846" s="117"/>
      <c r="C2846" s="1"/>
      <c r="D2846" s="1"/>
      <c r="E2846" s="1"/>
      <c r="F2846" s="1"/>
      <c r="G2846" s="1"/>
      <c r="H2846" s="1"/>
    </row>
    <row r="2847" spans="1:8" ht="16.5">
      <c r="A2847" s="1"/>
      <c r="B2847" s="117"/>
      <c r="C2847" s="1"/>
      <c r="D2847" s="1"/>
      <c r="E2847" s="1"/>
      <c r="F2847" s="1"/>
      <c r="G2847" s="1"/>
      <c r="H2847" s="1"/>
    </row>
    <row r="2848" spans="1:8" ht="20.25">
      <c r="A2848" s="260">
        <f>A2832+1</f>
        <v>165</v>
      </c>
      <c r="B2848" s="935" t="s">
        <v>983</v>
      </c>
      <c r="C2848" s="909"/>
      <c r="D2848" s="909"/>
      <c r="E2848" s="909"/>
      <c r="F2848" s="909"/>
      <c r="G2848" s="909"/>
      <c r="H2848" s="909"/>
    </row>
    <row r="2849" spans="1:8" ht="14.25">
      <c r="A2849" s="677" t="s">
        <v>3662</v>
      </c>
      <c r="B2849" s="888" t="s">
        <v>1380</v>
      </c>
      <c r="C2849" s="879"/>
      <c r="D2849" s="879"/>
      <c r="E2849" s="879"/>
      <c r="F2849" s="879"/>
      <c r="G2849" s="879"/>
      <c r="H2849" s="879"/>
    </row>
    <row r="2850" spans="1:8" ht="31.5">
      <c r="A2850" s="1"/>
      <c r="B2850" s="68" t="s">
        <v>2966</v>
      </c>
      <c r="C2850" s="68" t="s">
        <v>2967</v>
      </c>
      <c r="D2850" s="68" t="s">
        <v>2968</v>
      </c>
      <c r="E2850" s="68" t="s">
        <v>2969</v>
      </c>
      <c r="F2850" s="68" t="s">
        <v>2970</v>
      </c>
      <c r="G2850" s="68" t="s">
        <v>2971</v>
      </c>
      <c r="H2850" s="68" t="s">
        <v>1487</v>
      </c>
    </row>
    <row r="2851" spans="1:8" ht="17.25">
      <c r="A2851" s="1"/>
      <c r="B2851" s="889" t="s">
        <v>1488</v>
      </c>
      <c r="C2851" s="58" t="s">
        <v>516</v>
      </c>
      <c r="D2851" s="41">
        <v>14</v>
      </c>
      <c r="E2851" s="55" t="s">
        <v>1490</v>
      </c>
      <c r="F2851" s="107" t="e">
        <f>#REF!</f>
        <v>#REF!</v>
      </c>
      <c r="G2851" s="107" t="e">
        <f>FLOOR(D2851*F2851,0.01)</f>
        <v>#REF!</v>
      </c>
      <c r="H2851" s="108"/>
    </row>
    <row r="2852" spans="1:8" ht="17.25">
      <c r="A2852" s="1"/>
      <c r="B2852" s="887"/>
      <c r="C2852" s="78" t="s">
        <v>1433</v>
      </c>
      <c r="D2852" s="43">
        <v>19</v>
      </c>
      <c r="E2852" s="56" t="s">
        <v>1490</v>
      </c>
      <c r="F2852" s="63" t="e">
        <f>#REF!</f>
        <v>#REF!</v>
      </c>
      <c r="G2852" s="63" t="e">
        <f>FLOOR(D2852*F2852,0.01)</f>
        <v>#REF!</v>
      </c>
      <c r="H2852" s="121" t="e">
        <f>SUM(G2851+G2852)</f>
        <v>#REF!</v>
      </c>
    </row>
    <row r="2853" spans="1:8" ht="17.25">
      <c r="A2853" s="1"/>
      <c r="B2853" s="886" t="s">
        <v>2055</v>
      </c>
      <c r="C2853" s="55" t="s">
        <v>1436</v>
      </c>
      <c r="D2853" s="41">
        <v>0.96</v>
      </c>
      <c r="E2853" s="55" t="s">
        <v>700</v>
      </c>
      <c r="F2853" s="110" t="e">
        <f>#REF!</f>
        <v>#REF!</v>
      </c>
      <c r="G2853" s="109" t="e">
        <f>FLOOR(D2853*F2853,0.01)</f>
        <v>#REF!</v>
      </c>
      <c r="H2853" s="108"/>
    </row>
    <row r="2854" spans="1:8" ht="17.25">
      <c r="A2854" s="1"/>
      <c r="B2854" s="887"/>
      <c r="C2854" s="56" t="s">
        <v>3231</v>
      </c>
      <c r="D2854" s="43">
        <v>1.95</v>
      </c>
      <c r="E2854" s="56" t="s">
        <v>2232</v>
      </c>
      <c r="F2854" s="63" t="e">
        <f>#REF!</f>
        <v>#REF!</v>
      </c>
      <c r="G2854" s="63" t="e">
        <f>FLOOR(D2854*F2854,0.01)</f>
        <v>#REF!</v>
      </c>
      <c r="H2854" s="123" t="e">
        <f>SUM(G2853:G2854)</f>
        <v>#REF!</v>
      </c>
    </row>
    <row r="2855" spans="1:8" ht="19.5">
      <c r="A2855" s="1"/>
      <c r="B2855" s="1"/>
      <c r="C2855" s="1"/>
      <c r="D2855" s="1"/>
      <c r="E2855" s="1"/>
      <c r="F2855" s="40" t="s">
        <v>1491</v>
      </c>
      <c r="G2855" s="102"/>
      <c r="H2855" s="63" t="e">
        <f>SUM(H2854,H2852)</f>
        <v>#REF!</v>
      </c>
    </row>
    <row r="2856" spans="1:8" ht="19.5">
      <c r="A2856" s="1"/>
      <c r="B2856" s="1" t="s">
        <v>1493</v>
      </c>
      <c r="C2856" s="1"/>
      <c r="D2856" s="1"/>
      <c r="E2856" s="1"/>
      <c r="F2856" s="40" t="s">
        <v>1472</v>
      </c>
      <c r="G2856" s="102"/>
      <c r="H2856" s="99" t="e">
        <f>FLOOR(H2855*0.15,0.01)</f>
        <v>#REF!</v>
      </c>
    </row>
    <row r="2857" spans="1:8" ht="19.5">
      <c r="B2857" s="140" t="e">
        <f>+H2857</f>
        <v>#REF!</v>
      </c>
      <c r="C2857" s="27" t="s">
        <v>3801</v>
      </c>
      <c r="D2857" s="99" t="e">
        <f>INT(B2857/B2858*100)/100</f>
        <v>#REF!</v>
      </c>
      <c r="E2857" s="1" t="s">
        <v>3006</v>
      </c>
      <c r="F2857" s="40" t="s">
        <v>1494</v>
      </c>
      <c r="G2857" s="102"/>
      <c r="H2857" s="99" t="e">
        <f>SUM(H2855:H2856)</f>
        <v>#REF!</v>
      </c>
    </row>
    <row r="2858" spans="1:8" ht="16.5">
      <c r="A2858" s="1"/>
      <c r="B2858" s="117">
        <v>100</v>
      </c>
      <c r="C2858" s="1"/>
      <c r="D2858" s="1"/>
      <c r="E2858" s="1"/>
      <c r="F2858" s="1"/>
      <c r="G2858" s="1"/>
      <c r="H2858" s="1"/>
    </row>
    <row r="2859" spans="1:8" ht="20.25">
      <c r="A2859" s="260">
        <f>+A2848+1</f>
        <v>166</v>
      </c>
      <c r="B2859" s="935" t="s">
        <v>2997</v>
      </c>
      <c r="C2859" s="909"/>
      <c r="D2859" s="909"/>
      <c r="E2859" s="909"/>
      <c r="F2859" s="909"/>
      <c r="G2859" s="909"/>
      <c r="H2859" s="909"/>
    </row>
    <row r="2860" spans="1:8" ht="14.25">
      <c r="A2860" s="677" t="s">
        <v>3662</v>
      </c>
      <c r="B2860" s="888" t="s">
        <v>1380</v>
      </c>
      <c r="C2860" s="879"/>
      <c r="D2860" s="879"/>
      <c r="E2860" s="879"/>
      <c r="F2860" s="879"/>
      <c r="G2860" s="879"/>
      <c r="H2860" s="879"/>
    </row>
    <row r="2861" spans="1:8" ht="31.5">
      <c r="A2861" s="1"/>
      <c r="B2861" s="68" t="s">
        <v>2966</v>
      </c>
      <c r="C2861" s="68" t="s">
        <v>2967</v>
      </c>
      <c r="D2861" s="68" t="s">
        <v>2968</v>
      </c>
      <c r="E2861" s="68" t="s">
        <v>2969</v>
      </c>
      <c r="F2861" s="68" t="s">
        <v>2970</v>
      </c>
      <c r="G2861" s="68" t="s">
        <v>2971</v>
      </c>
      <c r="H2861" s="68" t="s">
        <v>1487</v>
      </c>
    </row>
    <row r="2862" spans="1:8" ht="17.25">
      <c r="A2862" s="1"/>
      <c r="B2862" s="889" t="s">
        <v>1488</v>
      </c>
      <c r="C2862" s="58" t="s">
        <v>516</v>
      </c>
      <c r="D2862" s="41">
        <v>14</v>
      </c>
      <c r="E2862" s="55" t="s">
        <v>1490</v>
      </c>
      <c r="F2862" s="107" t="e">
        <f>#REF!</f>
        <v>#REF!</v>
      </c>
      <c r="G2862" s="107" t="e">
        <f>FLOOR(D2862*F2862,0.01)</f>
        <v>#REF!</v>
      </c>
      <c r="H2862" s="108"/>
    </row>
    <row r="2863" spans="1:8" ht="17.25">
      <c r="A2863" s="1"/>
      <c r="B2863" s="887"/>
      <c r="C2863" s="78" t="s">
        <v>1433</v>
      </c>
      <c r="D2863" s="43">
        <v>19</v>
      </c>
      <c r="E2863" s="56" t="s">
        <v>1490</v>
      </c>
      <c r="F2863" s="63" t="e">
        <f>#REF!</f>
        <v>#REF!</v>
      </c>
      <c r="G2863" s="63" t="e">
        <f>FLOOR(D2863*F2863,0.01)</f>
        <v>#REF!</v>
      </c>
      <c r="H2863" s="121" t="e">
        <f>SUM(G2862+G2863)</f>
        <v>#REF!</v>
      </c>
    </row>
    <row r="2864" spans="1:8" ht="17.25">
      <c r="A2864" s="1"/>
      <c r="B2864" s="886" t="s">
        <v>2055</v>
      </c>
      <c r="C2864" s="55" t="s">
        <v>1436</v>
      </c>
      <c r="D2864" s="41">
        <v>0.81</v>
      </c>
      <c r="E2864" s="55" t="s">
        <v>700</v>
      </c>
      <c r="F2864" s="110" t="e">
        <f>#REF!</f>
        <v>#REF!</v>
      </c>
      <c r="G2864" s="109" t="e">
        <f>FLOOR(D2864*F2864,0.01)</f>
        <v>#REF!</v>
      </c>
      <c r="H2864" s="108"/>
    </row>
    <row r="2865" spans="1:8" ht="17.25">
      <c r="A2865" s="1"/>
      <c r="B2865" s="887"/>
      <c r="C2865" s="56" t="s">
        <v>3231</v>
      </c>
      <c r="D2865" s="43">
        <v>2.2000000000000002</v>
      </c>
      <c r="E2865" s="56" t="s">
        <v>2232</v>
      </c>
      <c r="F2865" s="63" t="e">
        <f>#REF!</f>
        <v>#REF!</v>
      </c>
      <c r="G2865" s="63" t="e">
        <f>FLOOR(D2865*F2865,0.01)</f>
        <v>#REF!</v>
      </c>
      <c r="H2865" s="123" t="e">
        <f>SUM(G2864:G2865)</f>
        <v>#REF!</v>
      </c>
    </row>
    <row r="2866" spans="1:8" ht="19.5">
      <c r="A2866" s="1"/>
      <c r="B2866" s="1"/>
      <c r="C2866" s="1"/>
      <c r="D2866" s="1"/>
      <c r="E2866" s="1"/>
      <c r="F2866" s="40" t="s">
        <v>1491</v>
      </c>
      <c r="G2866" s="102"/>
      <c r="H2866" s="63" t="e">
        <f>SUM(H2865,H2863)</f>
        <v>#REF!</v>
      </c>
    </row>
    <row r="2867" spans="1:8" ht="19.5">
      <c r="A2867" s="1"/>
      <c r="B2867" s="1" t="s">
        <v>1493</v>
      </c>
      <c r="C2867" s="1"/>
      <c r="D2867" s="1"/>
      <c r="E2867" s="1"/>
      <c r="F2867" s="40" t="s">
        <v>1472</v>
      </c>
      <c r="G2867" s="102"/>
      <c r="H2867" s="99" t="e">
        <f>FLOOR(H2866*0.15,0.01)</f>
        <v>#REF!</v>
      </c>
    </row>
    <row r="2868" spans="1:8" ht="19.5">
      <c r="B2868" s="140" t="e">
        <f>+H2868</f>
        <v>#REF!</v>
      </c>
      <c r="C2868" s="27" t="s">
        <v>3801</v>
      </c>
      <c r="D2868" s="99" t="e">
        <f>INT(B2868/B2869*100)/100</f>
        <v>#REF!</v>
      </c>
      <c r="E2868" s="1" t="s">
        <v>3006</v>
      </c>
      <c r="F2868" s="40" t="s">
        <v>1494</v>
      </c>
      <c r="G2868" s="102"/>
      <c r="H2868" s="99" t="e">
        <f>SUM(H2866:H2867)</f>
        <v>#REF!</v>
      </c>
    </row>
    <row r="2869" spans="1:8" ht="16.5">
      <c r="A2869" s="1"/>
      <c r="B2869" s="117">
        <v>100</v>
      </c>
      <c r="C2869" s="1"/>
      <c r="D2869" s="1"/>
      <c r="E2869" s="1"/>
      <c r="F2869" s="1"/>
      <c r="G2869" s="1"/>
      <c r="H2869" s="1"/>
    </row>
    <row r="2870" spans="1:8" ht="16.5">
      <c r="A2870" s="1"/>
      <c r="B2870" s="117"/>
      <c r="C2870" s="1"/>
      <c r="D2870" s="1"/>
      <c r="E2870" s="1"/>
      <c r="F2870" s="1"/>
      <c r="G2870" s="1"/>
      <c r="H2870" s="1"/>
    </row>
    <row r="2871" spans="1:8" ht="16.5">
      <c r="A2871" s="1"/>
      <c r="B2871" s="117"/>
      <c r="C2871" s="1"/>
      <c r="D2871" s="1"/>
      <c r="E2871" s="1"/>
      <c r="F2871" s="1"/>
      <c r="G2871" s="1"/>
      <c r="H2871" s="1"/>
    </row>
    <row r="2872" spans="1:8" ht="16.5">
      <c r="A2872" s="1"/>
      <c r="B2872" s="117"/>
      <c r="C2872" s="1"/>
      <c r="D2872" s="1"/>
      <c r="E2872" s="1"/>
      <c r="F2872" s="1"/>
      <c r="G2872" s="1"/>
      <c r="H2872" s="1"/>
    </row>
    <row r="2873" spans="1:8" ht="16.5">
      <c r="A2873" s="1"/>
      <c r="B2873" s="117"/>
      <c r="C2873" s="1"/>
      <c r="D2873" s="1"/>
      <c r="E2873" s="1"/>
      <c r="F2873" s="1"/>
      <c r="G2873" s="1"/>
      <c r="H2873" s="1"/>
    </row>
    <row r="2874" spans="1:8" ht="15">
      <c r="A2874" s="1"/>
      <c r="B2874" s="1"/>
      <c r="C2874" s="1"/>
      <c r="D2874" s="1"/>
      <c r="E2874" s="1"/>
      <c r="F2874" s="1"/>
      <c r="G2874" s="1"/>
      <c r="H2874" s="1"/>
    </row>
    <row r="2875" spans="1:8" ht="20.25">
      <c r="A2875" s="260">
        <f>+A2859+1</f>
        <v>167</v>
      </c>
      <c r="B2875" s="935" t="s">
        <v>2998</v>
      </c>
      <c r="C2875" s="909"/>
      <c r="D2875" s="909"/>
      <c r="E2875" s="909"/>
      <c r="F2875" s="909"/>
      <c r="G2875" s="909"/>
      <c r="H2875" s="909"/>
    </row>
    <row r="2876" spans="1:8" ht="14.25">
      <c r="A2876" s="677" t="s">
        <v>3662</v>
      </c>
      <c r="B2876" s="888" t="s">
        <v>1380</v>
      </c>
      <c r="C2876" s="879"/>
      <c r="D2876" s="879"/>
      <c r="E2876" s="879"/>
      <c r="F2876" s="879"/>
      <c r="G2876" s="879"/>
      <c r="H2876" s="879"/>
    </row>
    <row r="2877" spans="1:8" ht="31.5">
      <c r="A2877" s="1"/>
      <c r="B2877" s="68" t="s">
        <v>2966</v>
      </c>
      <c r="C2877" s="68" t="s">
        <v>2967</v>
      </c>
      <c r="D2877" s="68" t="s">
        <v>2968</v>
      </c>
      <c r="E2877" s="68" t="s">
        <v>2969</v>
      </c>
      <c r="F2877" s="68" t="s">
        <v>2970</v>
      </c>
      <c r="G2877" s="68" t="s">
        <v>2971</v>
      </c>
      <c r="H2877" s="68" t="s">
        <v>1487</v>
      </c>
    </row>
    <row r="2878" spans="1:8" ht="17.25">
      <c r="A2878" s="1"/>
      <c r="B2878" s="889" t="s">
        <v>1488</v>
      </c>
      <c r="C2878" s="58" t="s">
        <v>516</v>
      </c>
      <c r="D2878" s="41">
        <v>14</v>
      </c>
      <c r="E2878" s="55" t="s">
        <v>1490</v>
      </c>
      <c r="F2878" s="107" t="e">
        <f>#REF!</f>
        <v>#REF!</v>
      </c>
      <c r="G2878" s="107" t="e">
        <f>FLOOR(D2878*F2878,0.01)</f>
        <v>#REF!</v>
      </c>
      <c r="H2878" s="108"/>
    </row>
    <row r="2879" spans="1:8" ht="17.25">
      <c r="A2879" s="1"/>
      <c r="B2879" s="887"/>
      <c r="C2879" s="78" t="s">
        <v>1433</v>
      </c>
      <c r="D2879" s="43">
        <v>19</v>
      </c>
      <c r="E2879" s="56" t="s">
        <v>1490</v>
      </c>
      <c r="F2879" s="63" t="e">
        <f>#REF!</f>
        <v>#REF!</v>
      </c>
      <c r="G2879" s="63" t="e">
        <f>FLOOR(D2879*F2879,0.01)</f>
        <v>#REF!</v>
      </c>
      <c r="H2879" s="121" t="e">
        <f>SUM(G2878+G2879)</f>
        <v>#REF!</v>
      </c>
    </row>
    <row r="2880" spans="1:8" ht="17.25">
      <c r="A2880" s="1"/>
      <c r="B2880" s="886" t="s">
        <v>2055</v>
      </c>
      <c r="C2880" s="55" t="s">
        <v>1436</v>
      </c>
      <c r="D2880" s="41">
        <v>0.56999999999999995</v>
      </c>
      <c r="E2880" s="79" t="s">
        <v>700</v>
      </c>
      <c r="F2880" s="110" t="e">
        <f>#REF!</f>
        <v>#REF!</v>
      </c>
      <c r="G2880" s="109" t="e">
        <f>FLOOR(D2880*F2880,0.01)</f>
        <v>#REF!</v>
      </c>
      <c r="H2880" s="108"/>
    </row>
    <row r="2881" spans="1:8" ht="17.25">
      <c r="A2881" s="1"/>
      <c r="B2881" s="887"/>
      <c r="C2881" s="56" t="s">
        <v>3231</v>
      </c>
      <c r="D2881" s="43">
        <v>2.35</v>
      </c>
      <c r="E2881" s="77" t="s">
        <v>2232</v>
      </c>
      <c r="F2881" s="63" t="e">
        <f>#REF!</f>
        <v>#REF!</v>
      </c>
      <c r="G2881" s="63" t="e">
        <f>FLOOR(D2881*F2881,0.01)</f>
        <v>#REF!</v>
      </c>
      <c r="H2881" s="123" t="e">
        <f>SUM(G2880:G2881)</f>
        <v>#REF!</v>
      </c>
    </row>
    <row r="2882" spans="1:8" ht="19.5">
      <c r="A2882" s="1"/>
      <c r="B2882" s="1"/>
      <c r="C2882" s="1"/>
      <c r="D2882" s="1"/>
      <c r="E2882" s="1"/>
      <c r="F2882" s="40" t="s">
        <v>1491</v>
      </c>
      <c r="G2882" s="102"/>
      <c r="H2882" s="63" t="e">
        <f>SUM(H2881,H2879)</f>
        <v>#REF!</v>
      </c>
    </row>
    <row r="2883" spans="1:8" ht="19.5">
      <c r="A2883" s="1"/>
      <c r="B2883" s="1" t="s">
        <v>1493</v>
      </c>
      <c r="C2883" s="1"/>
      <c r="D2883" s="1"/>
      <c r="E2883" s="1"/>
      <c r="F2883" s="40" t="s">
        <v>1472</v>
      </c>
      <c r="G2883" s="102"/>
      <c r="H2883" s="99" t="e">
        <f>FLOOR(H2882*0.15,0.01)</f>
        <v>#REF!</v>
      </c>
    </row>
    <row r="2884" spans="1:8" ht="19.5">
      <c r="B2884" s="140" t="e">
        <f>+H2884</f>
        <v>#REF!</v>
      </c>
      <c r="C2884" s="27" t="s">
        <v>3801</v>
      </c>
      <c r="D2884" s="99" t="e">
        <f>INT(B2884/B2885*100)/100</f>
        <v>#REF!</v>
      </c>
      <c r="E2884" s="1" t="s">
        <v>3006</v>
      </c>
      <c r="F2884" s="40" t="s">
        <v>1494</v>
      </c>
      <c r="G2884" s="102"/>
      <c r="H2884" s="99" t="e">
        <f>SUM(H2882:H2883)</f>
        <v>#REF!</v>
      </c>
    </row>
    <row r="2885" spans="1:8" ht="16.5">
      <c r="A2885" s="1"/>
      <c r="B2885" s="117">
        <v>100</v>
      </c>
      <c r="C2885" s="1"/>
      <c r="D2885" s="1"/>
      <c r="E2885" s="1"/>
      <c r="F2885" s="1"/>
      <c r="G2885" s="1"/>
      <c r="H2885" s="1"/>
    </row>
    <row r="2886" spans="1:8" ht="16.5">
      <c r="A2886" s="1"/>
      <c r="B2886" s="117"/>
      <c r="C2886" s="1"/>
      <c r="D2886" s="1"/>
      <c r="E2886" s="1"/>
      <c r="F2886" s="1"/>
      <c r="G2886" s="1"/>
      <c r="H2886" s="1"/>
    </row>
    <row r="2887" spans="1:8" ht="16.5">
      <c r="A2887" s="1"/>
      <c r="B2887" s="117"/>
      <c r="C2887" s="1"/>
      <c r="D2887" s="1"/>
      <c r="E2887" s="1"/>
      <c r="F2887" s="1"/>
      <c r="G2887" s="1"/>
      <c r="H2887" s="1"/>
    </row>
    <row r="2888" spans="1:8" ht="16.5">
      <c r="A2888" s="1"/>
      <c r="B2888" s="117"/>
      <c r="C2888" s="1"/>
      <c r="D2888" s="1"/>
      <c r="E2888" s="1"/>
      <c r="F2888" s="1"/>
      <c r="G2888" s="1"/>
      <c r="H2888" s="1"/>
    </row>
    <row r="2889" spans="1:8" ht="16.5">
      <c r="A2889" s="1"/>
      <c r="B2889" s="117"/>
      <c r="C2889" s="1"/>
      <c r="D2889" s="1"/>
      <c r="E2889" s="1"/>
      <c r="F2889" s="1"/>
      <c r="G2889" s="1"/>
      <c r="H2889" s="1"/>
    </row>
    <row r="2890" spans="1:8" ht="19.5">
      <c r="A2890" s="31"/>
      <c r="B2890" s="909" t="s">
        <v>3664</v>
      </c>
      <c r="C2890" s="909"/>
      <c r="D2890" s="909"/>
      <c r="E2890" s="909"/>
      <c r="F2890" s="909"/>
      <c r="G2890" s="909"/>
      <c r="H2890" s="909"/>
    </row>
    <row r="2891" spans="1:8" ht="20.25">
      <c r="A2891" s="260">
        <f>+A2875+1</f>
        <v>168</v>
      </c>
      <c r="B2891" s="877" t="s">
        <v>1073</v>
      </c>
      <c r="C2891" s="878"/>
      <c r="D2891" s="878"/>
      <c r="E2891" s="878"/>
      <c r="F2891" s="878"/>
      <c r="G2891" s="878"/>
      <c r="H2891" s="878"/>
    </row>
    <row r="2892" spans="1:8" ht="14.25">
      <c r="A2892" s="677" t="s">
        <v>3663</v>
      </c>
      <c r="B2892" s="888" t="s">
        <v>1380</v>
      </c>
      <c r="C2892" s="879"/>
      <c r="D2892" s="879"/>
      <c r="E2892" s="879"/>
      <c r="F2892" s="879"/>
      <c r="G2892" s="879"/>
      <c r="H2892" s="879"/>
    </row>
    <row r="2893" spans="1:8" ht="31.5">
      <c r="A2893" s="1"/>
      <c r="B2893" s="68" t="s">
        <v>2966</v>
      </c>
      <c r="C2893" s="68" t="s">
        <v>2967</v>
      </c>
      <c r="D2893" s="68" t="s">
        <v>2968</v>
      </c>
      <c r="E2893" s="68" t="s">
        <v>2969</v>
      </c>
      <c r="F2893" s="68" t="s">
        <v>2970</v>
      </c>
      <c r="G2893" s="68" t="s">
        <v>2971</v>
      </c>
      <c r="H2893" s="68" t="s">
        <v>1487</v>
      </c>
    </row>
    <row r="2894" spans="1:8" ht="17.25">
      <c r="A2894" s="1"/>
      <c r="B2894" s="889" t="s">
        <v>1488</v>
      </c>
      <c r="C2894" s="58" t="s">
        <v>516</v>
      </c>
      <c r="D2894" s="41">
        <v>20</v>
      </c>
      <c r="E2894" s="55" t="s">
        <v>1490</v>
      </c>
      <c r="F2894" s="107" t="e">
        <f>#REF!</f>
        <v>#REF!</v>
      </c>
      <c r="G2894" s="107" t="e">
        <f>FLOOR(D2894*F2894,0.01)</f>
        <v>#REF!</v>
      </c>
      <c r="H2894" s="108"/>
    </row>
    <row r="2895" spans="1:8" ht="17.25">
      <c r="A2895" s="1"/>
      <c r="B2895" s="887"/>
      <c r="C2895" s="78" t="s">
        <v>1433</v>
      </c>
      <c r="D2895" s="43">
        <v>25</v>
      </c>
      <c r="E2895" s="56" t="s">
        <v>1490</v>
      </c>
      <c r="F2895" s="63" t="e">
        <f>#REF!</f>
        <v>#REF!</v>
      </c>
      <c r="G2895" s="63" t="e">
        <f>FLOOR(D2895*F2895,0.01)</f>
        <v>#REF!</v>
      </c>
      <c r="H2895" s="123" t="e">
        <f>SUM(G2894+G2895)</f>
        <v>#REF!</v>
      </c>
    </row>
    <row r="2896" spans="1:8" ht="17.25">
      <c r="A2896" s="1"/>
      <c r="B2896" s="886" t="s">
        <v>2055</v>
      </c>
      <c r="C2896" s="55" t="s">
        <v>1853</v>
      </c>
      <c r="D2896" s="41">
        <v>3</v>
      </c>
      <c r="E2896" s="55" t="s">
        <v>2232</v>
      </c>
      <c r="F2896" s="110" t="e">
        <f>#REF!</f>
        <v>#REF!</v>
      </c>
      <c r="G2896" s="110" t="e">
        <f>FLOOR(D2896*F2896,0.01)</f>
        <v>#REF!</v>
      </c>
      <c r="H2896" s="108"/>
    </row>
    <row r="2897" spans="1:8" ht="17.25">
      <c r="A2897" s="1"/>
      <c r="B2897" s="890"/>
      <c r="C2897" s="53" t="s">
        <v>1074</v>
      </c>
      <c r="D2897" s="42">
        <v>100</v>
      </c>
      <c r="E2897" s="53" t="s">
        <v>2748</v>
      </c>
      <c r="F2897" s="109" t="e">
        <f>#REF!</f>
        <v>#REF!</v>
      </c>
      <c r="G2897" s="109" t="e">
        <f>FLOOR(D2897*F2897,0.01)</f>
        <v>#REF!</v>
      </c>
      <c r="H2897" s="121"/>
    </row>
    <row r="2898" spans="1:8" ht="17.25">
      <c r="A2898" s="1"/>
      <c r="B2898" s="887"/>
      <c r="C2898" s="56" t="s">
        <v>1075</v>
      </c>
      <c r="D2898" s="43">
        <v>120</v>
      </c>
      <c r="E2898" s="56" t="s">
        <v>2748</v>
      </c>
      <c r="F2898" s="63" t="e">
        <f>#REF!</f>
        <v>#REF!</v>
      </c>
      <c r="G2898" s="63" t="e">
        <f>FLOOR(D2898*F2898,0.01)</f>
        <v>#REF!</v>
      </c>
      <c r="H2898" s="123" t="e">
        <f>SUM(G2896:G2898)</f>
        <v>#REF!</v>
      </c>
    </row>
    <row r="2899" spans="1:8" ht="19.5">
      <c r="A2899" s="1"/>
      <c r="B2899" s="1"/>
      <c r="C2899" s="1"/>
      <c r="D2899" s="1"/>
      <c r="E2899" s="1"/>
      <c r="F2899" s="40" t="s">
        <v>1491</v>
      </c>
      <c r="G2899" s="133"/>
      <c r="H2899" s="63" t="e">
        <f>SUM(H2895:H2898)</f>
        <v>#REF!</v>
      </c>
    </row>
    <row r="2900" spans="1:8" ht="19.5">
      <c r="A2900" s="1"/>
      <c r="B2900" s="1" t="s">
        <v>1493</v>
      </c>
      <c r="C2900" s="1"/>
      <c r="D2900" s="1"/>
      <c r="E2900" s="1"/>
      <c r="F2900" s="40" t="s">
        <v>1472</v>
      </c>
      <c r="G2900" s="133"/>
      <c r="H2900" s="99" t="e">
        <f>FLOOR(H2899*0.15,0.01)</f>
        <v>#REF!</v>
      </c>
    </row>
    <row r="2901" spans="1:8" ht="19.5">
      <c r="B2901" s="140" t="e">
        <f>+H2901</f>
        <v>#REF!</v>
      </c>
      <c r="C2901" s="27" t="s">
        <v>3801</v>
      </c>
      <c r="D2901" s="99" t="e">
        <f>INT(B2901/B2902*100)/100</f>
        <v>#REF!</v>
      </c>
      <c r="E2901" s="1" t="s">
        <v>3006</v>
      </c>
      <c r="F2901" s="40" t="s">
        <v>1494</v>
      </c>
      <c r="G2901" s="133"/>
      <c r="H2901" s="99" t="e">
        <f>SUM(H2899:H2900)</f>
        <v>#REF!</v>
      </c>
    </row>
    <row r="2902" spans="1:8" ht="16.5">
      <c r="A2902" s="1"/>
      <c r="B2902" s="117">
        <v>100</v>
      </c>
      <c r="C2902" s="1"/>
      <c r="D2902" s="1"/>
      <c r="E2902" s="1"/>
      <c r="F2902" s="1"/>
      <c r="G2902" s="1"/>
      <c r="H2902" s="1"/>
    </row>
    <row r="2903" spans="1:8" ht="16.5">
      <c r="A2903" s="1"/>
      <c r="B2903" s="117"/>
      <c r="C2903" s="1"/>
      <c r="D2903" s="1"/>
      <c r="E2903" s="1"/>
      <c r="F2903" s="1"/>
      <c r="G2903" s="1"/>
      <c r="H2903" s="1"/>
    </row>
    <row r="2904" spans="1:8" ht="19.5">
      <c r="A2904" s="31"/>
      <c r="B2904" s="878" t="s">
        <v>1076</v>
      </c>
      <c r="C2904" s="878"/>
      <c r="D2904" s="878"/>
      <c r="E2904" s="878"/>
      <c r="F2904" s="878"/>
      <c r="G2904" s="878"/>
      <c r="H2904" s="878"/>
    </row>
    <row r="2905" spans="1:8" ht="20.25">
      <c r="A2905" s="260">
        <f>+A2891+1</f>
        <v>169</v>
      </c>
      <c r="B2905" s="877" t="s">
        <v>1077</v>
      </c>
      <c r="C2905" s="878"/>
      <c r="D2905" s="878"/>
      <c r="E2905" s="878"/>
      <c r="F2905" s="878"/>
      <c r="G2905" s="878"/>
      <c r="H2905" s="878"/>
    </row>
    <row r="2906" spans="1:8" ht="14.25">
      <c r="A2906" s="677" t="s">
        <v>3665</v>
      </c>
      <c r="B2906" s="888" t="s">
        <v>1380</v>
      </c>
      <c r="C2906" s="879"/>
      <c r="D2906" s="879"/>
      <c r="E2906" s="879"/>
      <c r="F2906" s="879"/>
      <c r="G2906" s="879"/>
      <c r="H2906" s="879"/>
    </row>
    <row r="2907" spans="1:8" ht="31.5">
      <c r="A2907" s="1"/>
      <c r="B2907" s="68" t="s">
        <v>2966</v>
      </c>
      <c r="C2907" s="68" t="s">
        <v>2967</v>
      </c>
      <c r="D2907" s="68" t="s">
        <v>2968</v>
      </c>
      <c r="E2907" s="68" t="s">
        <v>2969</v>
      </c>
      <c r="F2907" s="68" t="s">
        <v>2970</v>
      </c>
      <c r="G2907" s="68" t="s">
        <v>2971</v>
      </c>
      <c r="H2907" s="68" t="s">
        <v>1487</v>
      </c>
    </row>
    <row r="2908" spans="1:8" ht="17.25">
      <c r="A2908" s="1"/>
      <c r="B2908" s="889" t="s">
        <v>1488</v>
      </c>
      <c r="C2908" s="58" t="s">
        <v>516</v>
      </c>
      <c r="D2908" s="41">
        <v>15</v>
      </c>
      <c r="E2908" s="55" t="s">
        <v>1490</v>
      </c>
      <c r="F2908" s="107" t="e">
        <f>#REF!</f>
        <v>#REF!</v>
      </c>
      <c r="G2908" s="107" t="e">
        <f>FLOOR(D2908*F2908,0.01)</f>
        <v>#REF!</v>
      </c>
      <c r="H2908" s="108"/>
    </row>
    <row r="2909" spans="1:8" ht="17.25">
      <c r="A2909" s="1"/>
      <c r="B2909" s="887"/>
      <c r="C2909" s="78" t="s">
        <v>1433</v>
      </c>
      <c r="D2909" s="43">
        <v>20</v>
      </c>
      <c r="E2909" s="56" t="s">
        <v>1490</v>
      </c>
      <c r="F2909" s="63" t="e">
        <f>#REF!</f>
        <v>#REF!</v>
      </c>
      <c r="G2909" s="63" t="e">
        <f>FLOOR(D2909*F2909,0.01)</f>
        <v>#REF!</v>
      </c>
      <c r="H2909" s="123" t="e">
        <f>SUM(G2908+G2909)</f>
        <v>#REF!</v>
      </c>
    </row>
    <row r="2910" spans="1:8" ht="17.25">
      <c r="A2910" s="1"/>
      <c r="B2910" s="886" t="s">
        <v>2055</v>
      </c>
      <c r="C2910" s="55" t="s">
        <v>1853</v>
      </c>
      <c r="D2910" s="41">
        <v>1.5</v>
      </c>
      <c r="E2910" s="55" t="s">
        <v>2232</v>
      </c>
      <c r="F2910" s="110" t="e">
        <f>#REF!</f>
        <v>#REF!</v>
      </c>
      <c r="G2910" s="110" t="e">
        <f>FLOOR(D2910*F2910,0.01)</f>
        <v>#REF!</v>
      </c>
      <c r="H2910" s="108"/>
    </row>
    <row r="2911" spans="1:8" ht="17.25">
      <c r="A2911" s="1"/>
      <c r="B2911" s="890"/>
      <c r="C2911" s="53" t="s">
        <v>1074</v>
      </c>
      <c r="D2911" s="42">
        <v>50</v>
      </c>
      <c r="E2911" s="53" t="s">
        <v>2748</v>
      </c>
      <c r="F2911" s="109" t="e">
        <f>#REF!</f>
        <v>#REF!</v>
      </c>
      <c r="G2911" s="109" t="e">
        <f>FLOOR(D2911*F2911,0.01)</f>
        <v>#REF!</v>
      </c>
      <c r="H2911" s="121"/>
    </row>
    <row r="2912" spans="1:8" ht="17.25">
      <c r="A2912" s="1"/>
      <c r="B2912" s="887"/>
      <c r="C2912" s="56" t="s">
        <v>1075</v>
      </c>
      <c r="D2912" s="43">
        <v>60</v>
      </c>
      <c r="E2912" s="56" t="s">
        <v>2748</v>
      </c>
      <c r="F2912" s="63" t="e">
        <f>#REF!</f>
        <v>#REF!</v>
      </c>
      <c r="G2912" s="63" t="e">
        <f>FLOOR(D2912*F2912,0.01)</f>
        <v>#REF!</v>
      </c>
      <c r="H2912" s="123" t="e">
        <f>SUM(G2910:G2912)</f>
        <v>#REF!</v>
      </c>
    </row>
    <row r="2913" spans="1:8" ht="19.5">
      <c r="A2913" s="1"/>
      <c r="B2913" s="1"/>
      <c r="C2913" s="1"/>
      <c r="D2913" s="1"/>
      <c r="E2913" s="1"/>
      <c r="F2913" s="40" t="s">
        <v>1491</v>
      </c>
      <c r="G2913" s="133"/>
      <c r="H2913" s="63" t="e">
        <f>SUM(H2909:H2912)</f>
        <v>#REF!</v>
      </c>
    </row>
    <row r="2914" spans="1:8" ht="19.5">
      <c r="A2914" s="1"/>
      <c r="B2914" s="1" t="s">
        <v>1493</v>
      </c>
      <c r="C2914" s="1"/>
      <c r="D2914" s="1"/>
      <c r="E2914" s="1"/>
      <c r="F2914" s="40" t="s">
        <v>1472</v>
      </c>
      <c r="G2914" s="133"/>
      <c r="H2914" s="99" t="e">
        <f>FLOOR(H2913*0.15,0.01)</f>
        <v>#REF!</v>
      </c>
    </row>
    <row r="2915" spans="1:8" ht="19.5">
      <c r="B2915" s="140" t="e">
        <f>+H2915</f>
        <v>#REF!</v>
      </c>
      <c r="C2915" s="27" t="s">
        <v>3801</v>
      </c>
      <c r="D2915" s="99" t="e">
        <f>INT(B2915/B2916*100)/100</f>
        <v>#REF!</v>
      </c>
      <c r="E2915" s="1" t="s">
        <v>3006</v>
      </c>
      <c r="F2915" s="40" t="s">
        <v>1494</v>
      </c>
      <c r="G2915" s="133"/>
      <c r="H2915" s="99" t="e">
        <f>SUM(H2913:H2914)</f>
        <v>#REF!</v>
      </c>
    </row>
    <row r="2916" spans="1:8" ht="17.25">
      <c r="A2916" s="1"/>
      <c r="B2916" s="117">
        <v>100</v>
      </c>
      <c r="C2916" s="1"/>
      <c r="D2916" s="1"/>
      <c r="E2916" s="1"/>
      <c r="F2916" s="40"/>
      <c r="G2916" s="40"/>
      <c r="H2916" s="1"/>
    </row>
    <row r="2917" spans="1:8" ht="17.25">
      <c r="A2917" s="1"/>
      <c r="B2917" s="117"/>
      <c r="C2917" s="1"/>
      <c r="D2917" s="1"/>
      <c r="E2917" s="1"/>
      <c r="F2917" s="40"/>
      <c r="G2917" s="40"/>
      <c r="H2917" s="1"/>
    </row>
    <row r="2918" spans="1:8" ht="17.25">
      <c r="A2918" s="1"/>
      <c r="B2918" s="117"/>
      <c r="C2918" s="1"/>
      <c r="D2918" s="1"/>
      <c r="E2918" s="1"/>
      <c r="F2918" s="40"/>
      <c r="G2918" s="40"/>
      <c r="H2918" s="1"/>
    </row>
    <row r="2919" spans="1:8" ht="17.25">
      <c r="A2919" s="1"/>
      <c r="B2919" s="117"/>
      <c r="C2919" s="1"/>
      <c r="D2919" s="1"/>
      <c r="E2919" s="1"/>
      <c r="F2919" s="40"/>
      <c r="G2919" s="40"/>
      <c r="H2919" s="1"/>
    </row>
    <row r="2920" spans="1:8" ht="17.25">
      <c r="A2920" s="1"/>
      <c r="B2920" s="117"/>
      <c r="C2920" s="1"/>
      <c r="D2920" s="1"/>
      <c r="E2920" s="1"/>
      <c r="F2920" s="40"/>
      <c r="G2920" s="40"/>
      <c r="H2920" s="1"/>
    </row>
    <row r="2921" spans="1:8" ht="20.25">
      <c r="A2921" s="260">
        <f>A2905+1</f>
        <v>170</v>
      </c>
      <c r="B2921" s="878" t="s">
        <v>1477</v>
      </c>
      <c r="C2921" s="878"/>
      <c r="D2921" s="878"/>
      <c r="E2921" s="878"/>
      <c r="F2921" s="878"/>
      <c r="G2921" s="878"/>
      <c r="H2921" s="878"/>
    </row>
    <row r="2922" spans="1:8" ht="14.25">
      <c r="A2922" s="677" t="s">
        <v>3666</v>
      </c>
      <c r="B2922" s="888" t="s">
        <v>1380</v>
      </c>
      <c r="C2922" s="879"/>
      <c r="D2922" s="879"/>
      <c r="E2922" s="879"/>
      <c r="F2922" s="879"/>
      <c r="G2922" s="879"/>
      <c r="H2922" s="879"/>
    </row>
    <row r="2923" spans="1:8" ht="31.5">
      <c r="A2923" s="1"/>
      <c r="B2923" s="68" t="s">
        <v>2966</v>
      </c>
      <c r="C2923" s="68" t="s">
        <v>2967</v>
      </c>
      <c r="D2923" s="68" t="s">
        <v>2968</v>
      </c>
      <c r="E2923" s="68" t="s">
        <v>2969</v>
      </c>
      <c r="F2923" s="68" t="s">
        <v>2970</v>
      </c>
      <c r="G2923" s="68" t="s">
        <v>2971</v>
      </c>
      <c r="H2923" s="68" t="s">
        <v>1487</v>
      </c>
    </row>
    <row r="2924" spans="1:8" ht="17.25">
      <c r="A2924" s="1"/>
      <c r="B2924" s="889" t="s">
        <v>1488</v>
      </c>
      <c r="C2924" s="58" t="s">
        <v>516</v>
      </c>
      <c r="D2924" s="41">
        <v>10.5</v>
      </c>
      <c r="E2924" s="55" t="s">
        <v>1490</v>
      </c>
      <c r="F2924" s="107" t="e">
        <f>$F$3416</f>
        <v>#REF!</v>
      </c>
      <c r="G2924" s="107" t="e">
        <f>FLOOR(D2924*F2924,0.01)</f>
        <v>#REF!</v>
      </c>
      <c r="H2924" s="108"/>
    </row>
    <row r="2925" spans="1:8" ht="17.25">
      <c r="A2925" s="1"/>
      <c r="B2925" s="887"/>
      <c r="C2925" s="78" t="s">
        <v>1433</v>
      </c>
      <c r="D2925" s="43">
        <v>12</v>
      </c>
      <c r="E2925" s="56" t="s">
        <v>1490</v>
      </c>
      <c r="F2925" s="63" t="e">
        <f>$F$3417</f>
        <v>#REF!</v>
      </c>
      <c r="G2925" s="63" t="e">
        <f>FLOOR(D2925*F2925,0.01)</f>
        <v>#REF!</v>
      </c>
      <c r="H2925" s="123" t="e">
        <f>SUM(G2924+G2925)</f>
        <v>#REF!</v>
      </c>
    </row>
    <row r="2926" spans="1:8" ht="17.25">
      <c r="A2926" s="1"/>
      <c r="B2926" s="886" t="s">
        <v>2055</v>
      </c>
      <c r="C2926" s="55" t="s">
        <v>1436</v>
      </c>
      <c r="D2926" s="46">
        <v>0.316</v>
      </c>
      <c r="E2926" s="55" t="s">
        <v>700</v>
      </c>
      <c r="F2926" s="110" t="e">
        <f>#REF!</f>
        <v>#REF!</v>
      </c>
      <c r="G2926" s="110" t="e">
        <f>FLOOR(D2926*F2926,0.01)</f>
        <v>#REF!</v>
      </c>
      <c r="H2926" s="108"/>
    </row>
    <row r="2927" spans="1:8" ht="17.25">
      <c r="A2927" s="1"/>
      <c r="B2927" s="887"/>
      <c r="C2927" s="56" t="s">
        <v>697</v>
      </c>
      <c r="D2927" s="43">
        <v>0.22</v>
      </c>
      <c r="E2927" s="56" t="s">
        <v>2232</v>
      </c>
      <c r="F2927" s="63" t="e">
        <f>#REF!</f>
        <v>#REF!</v>
      </c>
      <c r="G2927" s="63" t="e">
        <f>FLOOR(D2927*F2927,0.01)</f>
        <v>#REF!</v>
      </c>
      <c r="H2927" s="123" t="e">
        <f>SUM(G2926:G2927)</f>
        <v>#REF!</v>
      </c>
    </row>
    <row r="2928" spans="1:8" ht="19.5">
      <c r="A2928" s="1"/>
      <c r="B2928" s="1"/>
      <c r="C2928" s="1"/>
      <c r="D2928" s="1"/>
      <c r="E2928" s="1"/>
      <c r="F2928" s="40" t="s">
        <v>1491</v>
      </c>
      <c r="G2928" s="133"/>
      <c r="H2928" s="63" t="e">
        <f>SUM(H2925:H2927)</f>
        <v>#REF!</v>
      </c>
    </row>
    <row r="2929" spans="1:8" ht="19.5">
      <c r="A2929" s="1"/>
      <c r="B2929" s="1" t="s">
        <v>1493</v>
      </c>
      <c r="C2929" s="1"/>
      <c r="D2929" s="1"/>
      <c r="E2929" s="1"/>
      <c r="F2929" s="40" t="s">
        <v>1471</v>
      </c>
      <c r="G2929" s="133"/>
      <c r="H2929" s="99" t="e">
        <f>FLOOR(H2928*0.15,0.01)</f>
        <v>#REF!</v>
      </c>
    </row>
    <row r="2930" spans="1:8" ht="17.25">
      <c r="B2930" s="140" t="e">
        <f>+H2930</f>
        <v>#REF!</v>
      </c>
      <c r="C2930" s="27" t="s">
        <v>3801</v>
      </c>
      <c r="D2930" s="99" t="e">
        <f>INT(B2930/B2931*100)/100</f>
        <v>#REF!</v>
      </c>
      <c r="E2930" s="1" t="s">
        <v>3006</v>
      </c>
      <c r="F2930" s="40" t="s">
        <v>1494</v>
      </c>
      <c r="G2930" s="40"/>
      <c r="H2930" s="99" t="e">
        <f>SUM(H2928:H2929)</f>
        <v>#REF!</v>
      </c>
    </row>
    <row r="2931" spans="1:8" ht="16.5">
      <c r="A2931" s="1"/>
      <c r="B2931" s="117">
        <v>100</v>
      </c>
      <c r="C2931" s="1"/>
      <c r="D2931" s="1"/>
      <c r="E2931" s="1"/>
      <c r="F2931" s="1"/>
      <c r="G2931" s="1"/>
      <c r="H2931" s="1"/>
    </row>
    <row r="2932" spans="1:8" ht="16.5">
      <c r="A2932" s="1"/>
      <c r="B2932" s="117"/>
      <c r="C2932" s="1"/>
      <c r="D2932" s="1"/>
      <c r="E2932" s="1"/>
      <c r="F2932" s="1"/>
      <c r="G2932" s="1"/>
      <c r="H2932" s="1"/>
    </row>
    <row r="2933" spans="1:8" ht="16.5">
      <c r="A2933" s="1"/>
      <c r="B2933" s="117"/>
      <c r="C2933" s="1"/>
      <c r="D2933" s="1"/>
      <c r="E2933" s="1"/>
      <c r="F2933" s="1"/>
      <c r="G2933" s="1"/>
      <c r="H2933" s="1"/>
    </row>
    <row r="2934" spans="1:8" ht="15">
      <c r="A2934" s="1"/>
      <c r="B2934" s="1"/>
      <c r="C2934" s="1"/>
      <c r="D2934" s="1"/>
      <c r="E2934" s="1"/>
      <c r="F2934" s="1"/>
      <c r="G2934" s="1"/>
      <c r="H2934" s="1"/>
    </row>
    <row r="2935" spans="1:8" ht="16.5">
      <c r="A2935" s="1"/>
      <c r="B2935" s="117"/>
      <c r="C2935" s="1"/>
      <c r="D2935" s="1"/>
      <c r="E2935" s="1"/>
      <c r="F2935" s="1"/>
      <c r="G2935" s="1"/>
      <c r="H2935" s="1"/>
    </row>
    <row r="2936" spans="1:8" ht="15">
      <c r="A2936" s="31"/>
      <c r="B2936" s="1"/>
      <c r="C2936" s="1"/>
      <c r="D2936" s="1"/>
      <c r="E2936" s="1"/>
      <c r="F2936" s="1"/>
      <c r="G2936" s="1"/>
      <c r="H2936" s="1"/>
    </row>
    <row r="2937" spans="1:8" ht="20.25">
      <c r="A2937" s="260">
        <f>A2921+1</f>
        <v>171</v>
      </c>
      <c r="B2937" s="877" t="s">
        <v>1496</v>
      </c>
      <c r="C2937" s="878"/>
      <c r="D2937" s="878"/>
      <c r="E2937" s="878"/>
      <c r="F2937" s="878"/>
      <c r="G2937" s="878"/>
      <c r="H2937" s="878"/>
    </row>
    <row r="2938" spans="1:8" ht="14.25">
      <c r="A2938" s="677" t="s">
        <v>3666</v>
      </c>
      <c r="B2938" s="888" t="s">
        <v>1380</v>
      </c>
      <c r="C2938" s="879"/>
      <c r="D2938" s="879"/>
      <c r="E2938" s="879"/>
      <c r="F2938" s="879"/>
      <c r="G2938" s="879"/>
      <c r="H2938" s="879"/>
    </row>
    <row r="2939" spans="1:8" ht="31.5">
      <c r="A2939" s="1"/>
      <c r="B2939" s="68" t="s">
        <v>2966</v>
      </c>
      <c r="C2939" s="68" t="s">
        <v>2967</v>
      </c>
      <c r="D2939" s="68" t="s">
        <v>2968</v>
      </c>
      <c r="E2939" s="68" t="s">
        <v>2969</v>
      </c>
      <c r="F2939" s="68" t="s">
        <v>2970</v>
      </c>
      <c r="G2939" s="68" t="s">
        <v>2971</v>
      </c>
      <c r="H2939" s="68" t="s">
        <v>1487</v>
      </c>
    </row>
    <row r="2940" spans="1:8" ht="17.25">
      <c r="A2940" s="1"/>
      <c r="B2940" s="889" t="s">
        <v>1488</v>
      </c>
      <c r="C2940" s="58" t="s">
        <v>516</v>
      </c>
      <c r="D2940" s="41">
        <v>10.5</v>
      </c>
      <c r="E2940" s="55" t="s">
        <v>1490</v>
      </c>
      <c r="F2940" s="107" t="e">
        <f>#REF!</f>
        <v>#REF!</v>
      </c>
      <c r="G2940" s="107" t="e">
        <f>FLOOR(D2940*F2940,0.01)</f>
        <v>#REF!</v>
      </c>
      <c r="H2940" s="108"/>
    </row>
    <row r="2941" spans="1:8" ht="17.25">
      <c r="A2941" s="1"/>
      <c r="B2941" s="887"/>
      <c r="C2941" s="78" t="s">
        <v>1433</v>
      </c>
      <c r="D2941" s="43">
        <v>12</v>
      </c>
      <c r="E2941" s="56" t="s">
        <v>1490</v>
      </c>
      <c r="F2941" s="63" t="e">
        <f>#REF!</f>
        <v>#REF!</v>
      </c>
      <c r="G2941" s="63" t="e">
        <f>FLOOR(D2941*F2941,0.01)</f>
        <v>#REF!</v>
      </c>
      <c r="H2941" s="123" t="e">
        <f>SUM(G2940+G2941)</f>
        <v>#REF!</v>
      </c>
    </row>
    <row r="2942" spans="1:8" ht="17.25">
      <c r="A2942" s="1"/>
      <c r="B2942" s="886" t="s">
        <v>2055</v>
      </c>
      <c r="C2942" s="55" t="s">
        <v>1436</v>
      </c>
      <c r="D2942" s="46">
        <v>0.21</v>
      </c>
      <c r="E2942" s="55" t="s">
        <v>700</v>
      </c>
      <c r="F2942" s="110" t="e">
        <f>#REF!</f>
        <v>#REF!</v>
      </c>
      <c r="G2942" s="110" t="e">
        <f>FLOOR(D2942*F2942,0.01)</f>
        <v>#REF!</v>
      </c>
      <c r="H2942" s="108"/>
    </row>
    <row r="2943" spans="1:8" ht="17.25">
      <c r="A2943" s="1"/>
      <c r="B2943" s="887"/>
      <c r="C2943" s="56" t="s">
        <v>697</v>
      </c>
      <c r="D2943" s="43">
        <v>0.28999999999999998</v>
      </c>
      <c r="E2943" s="56" t="s">
        <v>2232</v>
      </c>
      <c r="F2943" s="63" t="e">
        <f>#REF!</f>
        <v>#REF!</v>
      </c>
      <c r="G2943" s="63" t="e">
        <f>FLOOR(D2943*F2943,0.01)</f>
        <v>#REF!</v>
      </c>
      <c r="H2943" s="123" t="e">
        <f>SUM(G2942:G2943)</f>
        <v>#REF!</v>
      </c>
    </row>
    <row r="2944" spans="1:8" ht="19.5">
      <c r="A2944" s="1"/>
      <c r="B2944" s="1"/>
      <c r="C2944" s="1"/>
      <c r="D2944" s="1"/>
      <c r="E2944" s="1"/>
      <c r="F2944" s="1" t="s">
        <v>1491</v>
      </c>
      <c r="G2944" s="133"/>
      <c r="H2944" s="63" t="e">
        <f>SUM(H2941:H2943)</f>
        <v>#REF!</v>
      </c>
    </row>
    <row r="2945" spans="1:8" ht="17.25">
      <c r="A2945" s="1"/>
      <c r="B2945" s="1" t="s">
        <v>1493</v>
      </c>
      <c r="C2945" s="1"/>
      <c r="D2945" s="1"/>
      <c r="E2945" s="1"/>
      <c r="F2945" s="1" t="s">
        <v>1471</v>
      </c>
      <c r="G2945" s="40"/>
      <c r="H2945" s="99" t="e">
        <f>FLOOR(H2944*0.15,0.01)</f>
        <v>#REF!</v>
      </c>
    </row>
    <row r="2946" spans="1:8" ht="17.25">
      <c r="B2946" s="140" t="e">
        <f>+H2946</f>
        <v>#REF!</v>
      </c>
      <c r="C2946" s="27" t="s">
        <v>3801</v>
      </c>
      <c r="D2946" s="99" t="e">
        <f>INT(B2946/B2947*100)/100</f>
        <v>#REF!</v>
      </c>
      <c r="E2946" s="1" t="s">
        <v>3006</v>
      </c>
      <c r="F2946" s="1" t="s">
        <v>1494</v>
      </c>
      <c r="G2946" s="40"/>
      <c r="H2946" s="99" t="e">
        <f>SUM(H2944:H2945)</f>
        <v>#REF!</v>
      </c>
    </row>
    <row r="2947" spans="1:8" ht="16.5">
      <c r="A2947" s="1"/>
      <c r="B2947" s="117">
        <v>100</v>
      </c>
      <c r="C2947" s="1"/>
      <c r="D2947" s="1"/>
      <c r="E2947" s="1"/>
      <c r="F2947" s="1"/>
      <c r="G2947" s="1"/>
      <c r="H2947" s="1"/>
    </row>
    <row r="2948" spans="1:8" ht="16.5">
      <c r="A2948" s="1"/>
      <c r="B2948" s="117"/>
      <c r="C2948" s="1"/>
      <c r="D2948" s="1"/>
      <c r="E2948" s="1"/>
      <c r="F2948" s="1"/>
      <c r="G2948" s="1"/>
      <c r="H2948" s="1"/>
    </row>
    <row r="2949" spans="1:8" ht="19.5">
      <c r="A2949" s="31"/>
      <c r="B2949" s="878" t="s">
        <v>172</v>
      </c>
      <c r="C2949" s="878"/>
      <c r="D2949" s="878"/>
      <c r="E2949" s="878"/>
      <c r="F2949" s="878"/>
      <c r="G2949" s="878"/>
      <c r="H2949" s="878"/>
    </row>
    <row r="2950" spans="1:8" ht="20.25">
      <c r="A2950" s="260">
        <f>A2937+1</f>
        <v>172</v>
      </c>
      <c r="B2950" s="935" t="s">
        <v>1366</v>
      </c>
      <c r="C2950" s="909"/>
      <c r="D2950" s="909"/>
      <c r="E2950" s="909"/>
      <c r="F2950" s="909"/>
      <c r="G2950" s="909"/>
      <c r="H2950" s="909"/>
    </row>
    <row r="2951" spans="1:8" ht="14.25">
      <c r="A2951" s="677" t="s">
        <v>3667</v>
      </c>
      <c r="B2951" s="888" t="s">
        <v>1380</v>
      </c>
      <c r="C2951" s="879"/>
      <c r="D2951" s="879"/>
      <c r="E2951" s="879"/>
      <c r="F2951" s="879"/>
      <c r="G2951" s="879"/>
      <c r="H2951" s="879"/>
    </row>
    <row r="2952" spans="1:8" ht="31.5">
      <c r="A2952" s="1"/>
      <c r="B2952" s="68" t="s">
        <v>2966</v>
      </c>
      <c r="C2952" s="68" t="s">
        <v>2967</v>
      </c>
      <c r="D2952" s="68" t="s">
        <v>2968</v>
      </c>
      <c r="E2952" s="68" t="s">
        <v>2969</v>
      </c>
      <c r="F2952" s="68" t="s">
        <v>2970</v>
      </c>
      <c r="G2952" s="68" t="s">
        <v>2971</v>
      </c>
      <c r="H2952" s="68" t="s">
        <v>1487</v>
      </c>
    </row>
    <row r="2953" spans="1:8" ht="17.25">
      <c r="A2953" s="1"/>
      <c r="B2953" s="889" t="s">
        <v>1488</v>
      </c>
      <c r="C2953" s="58" t="s">
        <v>516</v>
      </c>
      <c r="D2953" s="41">
        <v>10</v>
      </c>
      <c r="E2953" s="55" t="s">
        <v>1490</v>
      </c>
      <c r="F2953" s="107" t="e">
        <f>#REF!</f>
        <v>#REF!</v>
      </c>
      <c r="G2953" s="107" t="e">
        <f>FLOOR(D2953*F2953,0.01)</f>
        <v>#REF!</v>
      </c>
      <c r="H2953" s="108"/>
    </row>
    <row r="2954" spans="1:8" ht="17.25">
      <c r="A2954" s="1"/>
      <c r="B2954" s="887"/>
      <c r="C2954" s="78" t="s">
        <v>1433</v>
      </c>
      <c r="D2954" s="43">
        <v>14</v>
      </c>
      <c r="E2954" s="56" t="s">
        <v>1490</v>
      </c>
      <c r="F2954" s="63" t="e">
        <f>#REF!</f>
        <v>#REF!</v>
      </c>
      <c r="G2954" s="63" t="e">
        <f>FLOOR(D2954*F2954,0.01)</f>
        <v>#REF!</v>
      </c>
      <c r="H2954" s="123" t="e">
        <f>SUM(G2953+G2954)</f>
        <v>#REF!</v>
      </c>
    </row>
    <row r="2955" spans="1:8" ht="17.25">
      <c r="A2955" s="1"/>
      <c r="B2955" s="886" t="s">
        <v>2055</v>
      </c>
      <c r="C2955" s="55" t="s">
        <v>1436</v>
      </c>
      <c r="D2955" s="46">
        <v>0.61199999999999999</v>
      </c>
      <c r="E2955" s="55" t="s">
        <v>700</v>
      </c>
      <c r="F2955" s="110" t="e">
        <f>#REF!</f>
        <v>#REF!</v>
      </c>
      <c r="G2955" s="110" t="e">
        <f>FLOOR(D2955*F2955,0.01)</f>
        <v>#REF!</v>
      </c>
      <c r="H2955" s="108"/>
    </row>
    <row r="2956" spans="1:8" ht="17.25">
      <c r="A2956" s="1"/>
      <c r="B2956" s="887"/>
      <c r="C2956" s="56" t="s">
        <v>2091</v>
      </c>
      <c r="D2956" s="43">
        <v>0.43</v>
      </c>
      <c r="E2956" s="56" t="s">
        <v>2232</v>
      </c>
      <c r="F2956" s="63" t="e">
        <f>#REF!</f>
        <v>#REF!</v>
      </c>
      <c r="G2956" s="63" t="e">
        <f>FLOOR(D2956*F2956,0.01)</f>
        <v>#REF!</v>
      </c>
      <c r="H2956" s="123" t="e">
        <f>SUM(G2955:G2956)</f>
        <v>#REF!</v>
      </c>
    </row>
    <row r="2957" spans="1:8" ht="19.5">
      <c r="A2957" s="1"/>
      <c r="B2957" s="1"/>
      <c r="C2957" s="1"/>
      <c r="D2957" s="1"/>
      <c r="E2957" s="1"/>
      <c r="F2957" s="40" t="s">
        <v>1491</v>
      </c>
      <c r="G2957" s="133"/>
      <c r="H2957" s="63" t="e">
        <f>SUM(H2954:H2956)</f>
        <v>#REF!</v>
      </c>
    </row>
    <row r="2958" spans="1:8" ht="17.25">
      <c r="A2958" s="1"/>
      <c r="B2958" s="1" t="s">
        <v>1493</v>
      </c>
      <c r="C2958" s="1"/>
      <c r="D2958" s="1"/>
      <c r="E2958" s="1"/>
      <c r="F2958" s="40" t="s">
        <v>1471</v>
      </c>
      <c r="G2958" s="40"/>
      <c r="H2958" s="99" t="e">
        <f>FLOOR(H2957*0.15,0.01)</f>
        <v>#REF!</v>
      </c>
    </row>
    <row r="2959" spans="1:8" ht="17.25">
      <c r="B2959" s="140" t="e">
        <f>+H2959</f>
        <v>#REF!</v>
      </c>
      <c r="C2959" s="27" t="s">
        <v>3801</v>
      </c>
      <c r="D2959" s="99" t="e">
        <f>INT(B2959/B2960*100)/100</f>
        <v>#REF!</v>
      </c>
      <c r="E2959" s="1" t="s">
        <v>3006</v>
      </c>
      <c r="F2959" s="40" t="s">
        <v>1494</v>
      </c>
      <c r="G2959" s="40"/>
      <c r="H2959" s="99" t="e">
        <f>SUM(H2957:H2958)</f>
        <v>#REF!</v>
      </c>
    </row>
    <row r="2960" spans="1:8" ht="16.5">
      <c r="A2960" s="1"/>
      <c r="B2960" s="117">
        <v>100</v>
      </c>
      <c r="C2960" s="1"/>
      <c r="D2960" s="1"/>
      <c r="E2960" s="1"/>
      <c r="F2960" s="1"/>
      <c r="G2960" s="1"/>
      <c r="H2960" s="1"/>
    </row>
    <row r="2961" spans="1:8" ht="16.5">
      <c r="A2961" s="1"/>
      <c r="B2961" s="117"/>
      <c r="C2961" s="1"/>
      <c r="D2961" s="1"/>
      <c r="E2961" s="1"/>
      <c r="F2961" s="1"/>
      <c r="G2961" s="1"/>
      <c r="H2961" s="1"/>
    </row>
    <row r="2962" spans="1:8" ht="16.5">
      <c r="A2962" s="1"/>
      <c r="B2962" s="117"/>
      <c r="C2962" s="1"/>
      <c r="D2962" s="1"/>
      <c r="E2962" s="1"/>
      <c r="F2962" s="1"/>
      <c r="G2962" s="1"/>
      <c r="H2962" s="1"/>
    </row>
    <row r="2963" spans="1:8" ht="16.5">
      <c r="A2963" s="1"/>
      <c r="B2963" s="117"/>
      <c r="C2963" s="1"/>
      <c r="D2963" s="1"/>
      <c r="E2963" s="1"/>
      <c r="F2963" s="1"/>
      <c r="G2963" s="1"/>
      <c r="H2963" s="1"/>
    </row>
    <row r="2964" spans="1:8" ht="15">
      <c r="A2964" s="31"/>
      <c r="B2964" s="1"/>
      <c r="C2964" s="1"/>
      <c r="D2964" s="1"/>
      <c r="E2964" s="1"/>
      <c r="F2964" s="1"/>
      <c r="G2964" s="1"/>
      <c r="H2964" s="1"/>
    </row>
    <row r="2965" spans="1:8" ht="20.25">
      <c r="A2965" s="260">
        <f>+A2950+1</f>
        <v>173</v>
      </c>
      <c r="B2965" s="877" t="s">
        <v>173</v>
      </c>
      <c r="C2965" s="878"/>
      <c r="D2965" s="878"/>
      <c r="E2965" s="878"/>
      <c r="F2965" s="878"/>
      <c r="G2965" s="878"/>
      <c r="H2965" s="878"/>
    </row>
    <row r="2966" spans="1:8" ht="14.25">
      <c r="A2966" s="677" t="s">
        <v>3667</v>
      </c>
      <c r="B2966" s="888" t="s">
        <v>1380</v>
      </c>
      <c r="C2966" s="879"/>
      <c r="D2966" s="879"/>
      <c r="E2966" s="879"/>
      <c r="F2966" s="879"/>
      <c r="G2966" s="879"/>
      <c r="H2966" s="879"/>
    </row>
    <row r="2967" spans="1:8" ht="31.5">
      <c r="A2967" s="1"/>
      <c r="B2967" s="68" t="s">
        <v>2966</v>
      </c>
      <c r="C2967" s="68" t="s">
        <v>2967</v>
      </c>
      <c r="D2967" s="68" t="s">
        <v>2968</v>
      </c>
      <c r="E2967" s="68" t="s">
        <v>2969</v>
      </c>
      <c r="F2967" s="68" t="s">
        <v>2970</v>
      </c>
      <c r="G2967" s="68" t="s">
        <v>2971</v>
      </c>
      <c r="H2967" s="68" t="s">
        <v>1487</v>
      </c>
    </row>
    <row r="2968" spans="1:8" ht="17.25">
      <c r="A2968" s="1"/>
      <c r="B2968" s="889" t="s">
        <v>1488</v>
      </c>
      <c r="C2968" s="58" t="s">
        <v>516</v>
      </c>
      <c r="D2968" s="41">
        <v>10</v>
      </c>
      <c r="E2968" s="55" t="s">
        <v>1490</v>
      </c>
      <c r="F2968" s="107" t="e">
        <f>#REF!</f>
        <v>#REF!</v>
      </c>
      <c r="G2968" s="107" t="e">
        <f>FLOOR(D2968*F2968,0.01)</f>
        <v>#REF!</v>
      </c>
      <c r="H2968" s="108"/>
    </row>
    <row r="2969" spans="1:8" ht="17.25">
      <c r="A2969" s="1"/>
      <c r="B2969" s="887"/>
      <c r="C2969" s="78" t="s">
        <v>1433</v>
      </c>
      <c r="D2969" s="43">
        <v>14</v>
      </c>
      <c r="E2969" s="56" t="s">
        <v>1490</v>
      </c>
      <c r="F2969" s="63" t="e">
        <f>#REF!</f>
        <v>#REF!</v>
      </c>
      <c r="G2969" s="63" t="e">
        <f>FLOOR(D2969*F2969,0.01)</f>
        <v>#REF!</v>
      </c>
      <c r="H2969" s="123" t="e">
        <f>SUM(G2968+G2969)</f>
        <v>#REF!</v>
      </c>
    </row>
    <row r="2970" spans="1:8" ht="17.25">
      <c r="A2970" s="1"/>
      <c r="B2970" s="886" t="s">
        <v>2055</v>
      </c>
      <c r="C2970" s="55" t="s">
        <v>1436</v>
      </c>
      <c r="D2970" s="46">
        <v>0.40799999999999997</v>
      </c>
      <c r="E2970" s="55" t="s">
        <v>700</v>
      </c>
      <c r="F2970" s="110" t="e">
        <f>#REF!</f>
        <v>#REF!</v>
      </c>
      <c r="G2970" s="110" t="e">
        <f>FLOOR(D2970*F2970,0.01)</f>
        <v>#REF!</v>
      </c>
      <c r="H2970" s="108"/>
    </row>
    <row r="2971" spans="1:8" ht="17.25">
      <c r="A2971" s="1"/>
      <c r="B2971" s="887"/>
      <c r="C2971" s="56" t="s">
        <v>2091</v>
      </c>
      <c r="D2971" s="43">
        <v>0.56999999999999995</v>
      </c>
      <c r="E2971" s="56" t="s">
        <v>2232</v>
      </c>
      <c r="F2971" s="63" t="e">
        <f>#REF!</f>
        <v>#REF!</v>
      </c>
      <c r="G2971" s="63" t="e">
        <f>FLOOR(D2971*F2971,0.01)</f>
        <v>#REF!</v>
      </c>
      <c r="H2971" s="123" t="e">
        <f>SUM(G2970:G2971)</f>
        <v>#REF!</v>
      </c>
    </row>
    <row r="2972" spans="1:8" ht="19.5">
      <c r="A2972" s="1"/>
      <c r="B2972" s="1"/>
      <c r="C2972" s="1"/>
      <c r="D2972" s="1"/>
      <c r="E2972" s="1"/>
      <c r="F2972" s="40" t="s">
        <v>1491</v>
      </c>
      <c r="G2972" s="133"/>
      <c r="H2972" s="63" t="e">
        <f>SUM(H2969:H2971)</f>
        <v>#REF!</v>
      </c>
    </row>
    <row r="2973" spans="1:8" ht="17.25">
      <c r="A2973" s="1"/>
      <c r="B2973" s="1" t="s">
        <v>1493</v>
      </c>
      <c r="C2973" s="1"/>
      <c r="D2973" s="1"/>
      <c r="E2973" s="1"/>
      <c r="F2973" s="40" t="s">
        <v>1471</v>
      </c>
      <c r="G2973" s="40"/>
      <c r="H2973" s="99" t="e">
        <f>FLOOR(H2972*0.15,0.01)</f>
        <v>#REF!</v>
      </c>
    </row>
    <row r="2974" spans="1:8" ht="17.25">
      <c r="B2974" s="140" t="e">
        <f>+H2974</f>
        <v>#REF!</v>
      </c>
      <c r="C2974" s="27" t="s">
        <v>3801</v>
      </c>
      <c r="D2974" s="99" t="e">
        <f>INT(B2974/B2975*100)/100</f>
        <v>#REF!</v>
      </c>
      <c r="E2974" s="1" t="s">
        <v>3006</v>
      </c>
      <c r="F2974" s="40" t="s">
        <v>1494</v>
      </c>
      <c r="G2974" s="40"/>
      <c r="H2974" s="99" t="e">
        <f>SUM(H2972:H2973)</f>
        <v>#REF!</v>
      </c>
    </row>
    <row r="2975" spans="1:8" ht="16.5">
      <c r="A2975" s="1"/>
      <c r="B2975" s="117">
        <v>100</v>
      </c>
      <c r="C2975" s="1"/>
      <c r="D2975" s="1"/>
      <c r="E2975" s="1"/>
      <c r="F2975" s="1"/>
      <c r="G2975" s="1"/>
      <c r="H2975" s="1"/>
    </row>
    <row r="2976" spans="1:8" ht="16.5">
      <c r="A2976" s="1"/>
      <c r="B2976" s="117"/>
      <c r="C2976" s="1"/>
      <c r="D2976" s="1"/>
      <c r="E2976" s="1"/>
      <c r="F2976" s="1"/>
      <c r="G2976" s="1"/>
      <c r="H2976" s="1"/>
    </row>
    <row r="2977" spans="1:8" ht="16.5">
      <c r="A2977" s="1"/>
      <c r="B2977" s="117"/>
      <c r="C2977" s="1"/>
      <c r="D2977" s="1"/>
      <c r="E2977" s="1"/>
      <c r="F2977" s="1"/>
      <c r="G2977" s="1"/>
      <c r="H2977" s="1"/>
    </row>
    <row r="2978" spans="1:8" ht="15">
      <c r="A2978" s="1"/>
      <c r="B2978" s="1"/>
      <c r="C2978" s="1"/>
      <c r="D2978" s="1"/>
      <c r="E2978" s="1"/>
      <c r="F2978" s="1"/>
      <c r="G2978" s="1"/>
      <c r="H2978" s="1"/>
    </row>
    <row r="2979" spans="1:8" ht="15">
      <c r="A2979" s="1"/>
      <c r="B2979" s="1"/>
      <c r="C2979" s="1"/>
      <c r="D2979" s="1"/>
      <c r="E2979" s="1"/>
      <c r="F2979" s="1"/>
      <c r="G2979" s="1"/>
      <c r="H2979" s="1"/>
    </row>
    <row r="2980" spans="1:8" ht="20.25">
      <c r="A2980" s="260">
        <f>A2965+1</f>
        <v>174</v>
      </c>
      <c r="B2980" s="877" t="s">
        <v>174</v>
      </c>
      <c r="C2980" s="878"/>
      <c r="D2980" s="878"/>
      <c r="E2980" s="878"/>
      <c r="F2980" s="878"/>
      <c r="G2980" s="878"/>
      <c r="H2980" s="878"/>
    </row>
    <row r="2981" spans="1:8" ht="14.25">
      <c r="A2981" s="677" t="s">
        <v>3668</v>
      </c>
      <c r="B2981" s="888" t="s">
        <v>1381</v>
      </c>
      <c r="C2981" s="879"/>
      <c r="D2981" s="879"/>
      <c r="E2981" s="879"/>
      <c r="F2981" s="879"/>
      <c r="G2981" s="879"/>
      <c r="H2981" s="879"/>
    </row>
    <row r="2982" spans="1:8" ht="31.5">
      <c r="A2982" s="1"/>
      <c r="B2982" s="68" t="s">
        <v>2966</v>
      </c>
      <c r="C2982" s="68" t="s">
        <v>2967</v>
      </c>
      <c r="D2982" s="68" t="s">
        <v>2968</v>
      </c>
      <c r="E2982" s="68" t="s">
        <v>2969</v>
      </c>
      <c r="F2982" s="68" t="s">
        <v>2970</v>
      </c>
      <c r="G2982" s="68" t="s">
        <v>2971</v>
      </c>
      <c r="H2982" s="68" t="s">
        <v>1487</v>
      </c>
    </row>
    <row r="2983" spans="1:8" ht="17.25">
      <c r="A2983" s="1"/>
      <c r="B2983" s="889" t="s">
        <v>1488</v>
      </c>
      <c r="C2983" s="58" t="s">
        <v>516</v>
      </c>
      <c r="D2983" s="41">
        <v>8</v>
      </c>
      <c r="E2983" s="55" t="s">
        <v>1490</v>
      </c>
      <c r="F2983" s="107" t="e">
        <f>#REF!</f>
        <v>#REF!</v>
      </c>
      <c r="G2983" s="107" t="e">
        <f>FLOOR(D2983*F2983,0.01)</f>
        <v>#REF!</v>
      </c>
      <c r="H2983" s="108"/>
    </row>
    <row r="2984" spans="1:8" ht="17.25">
      <c r="A2984" s="1"/>
      <c r="B2984" s="887"/>
      <c r="C2984" s="78" t="s">
        <v>1433</v>
      </c>
      <c r="D2984" s="43">
        <v>10</v>
      </c>
      <c r="E2984" s="56" t="s">
        <v>1490</v>
      </c>
      <c r="F2984" s="63" t="e">
        <f>#REF!</f>
        <v>#REF!</v>
      </c>
      <c r="G2984" s="63" t="e">
        <f>FLOOR(D2984*F2984,0.01)</f>
        <v>#REF!</v>
      </c>
      <c r="H2984" s="123" t="e">
        <f>SUM(G2983+G2984)</f>
        <v>#REF!</v>
      </c>
    </row>
    <row r="2985" spans="1:8" ht="17.25">
      <c r="A2985" s="1"/>
      <c r="B2985" s="886" t="s">
        <v>2055</v>
      </c>
      <c r="C2985" s="55" t="s">
        <v>1436</v>
      </c>
      <c r="D2985" s="41">
        <v>0.11</v>
      </c>
      <c r="E2985" s="55" t="s">
        <v>700</v>
      </c>
      <c r="F2985" s="110" t="e">
        <f>#REF!</f>
        <v>#REF!</v>
      </c>
      <c r="G2985" s="110" t="e">
        <f>FLOOR(D2985*F2985,0.01)</f>
        <v>#REF!</v>
      </c>
      <c r="H2985" s="108"/>
    </row>
    <row r="2986" spans="1:8" ht="17.25">
      <c r="A2986" s="1"/>
      <c r="B2986" s="890"/>
      <c r="C2986" s="53" t="s">
        <v>2091</v>
      </c>
      <c r="D2986" s="42">
        <v>0.2</v>
      </c>
      <c r="E2986" s="53" t="s">
        <v>2232</v>
      </c>
      <c r="F2986" s="109" t="e">
        <f>#REF!</f>
        <v>#REF!</v>
      </c>
      <c r="G2986" s="109" t="e">
        <f>FLOOR(D2986*F2986,0.01)</f>
        <v>#REF!</v>
      </c>
      <c r="H2986" s="121" t="e">
        <f>SUM(G2985+G2986)</f>
        <v>#REF!</v>
      </c>
    </row>
    <row r="2987" spans="1:8" ht="17.25">
      <c r="A2987" s="1"/>
      <c r="B2987" s="887"/>
      <c r="C2987" s="56"/>
      <c r="D2987" s="43"/>
      <c r="E2987" s="56"/>
      <c r="F2987" s="63"/>
      <c r="G2987" s="63"/>
      <c r="H2987" s="123"/>
    </row>
    <row r="2988" spans="1:8" ht="17.25">
      <c r="A2988" s="1"/>
      <c r="B2988" s="1"/>
      <c r="C2988" s="1"/>
      <c r="D2988" s="1"/>
      <c r="E2988" s="1"/>
      <c r="F2988" s="40" t="s">
        <v>1491</v>
      </c>
      <c r="G2988" s="40"/>
      <c r="H2988" s="63" t="e">
        <f>SUM(H2984:H2987)</f>
        <v>#REF!</v>
      </c>
    </row>
    <row r="2989" spans="1:8" ht="17.25">
      <c r="A2989" s="1"/>
      <c r="B2989" s="1" t="s">
        <v>1493</v>
      </c>
      <c r="C2989" s="1"/>
      <c r="D2989" s="1"/>
      <c r="E2989" s="1"/>
      <c r="F2989" s="40" t="s">
        <v>1471</v>
      </c>
      <c r="G2989" s="40"/>
      <c r="H2989" s="99" t="e">
        <f>FLOOR(H2988*0.15,0.01)</f>
        <v>#REF!</v>
      </c>
    </row>
    <row r="2990" spans="1:8" ht="17.25">
      <c r="B2990" s="140" t="e">
        <f>+H2990</f>
        <v>#REF!</v>
      </c>
      <c r="C2990" s="27" t="s">
        <v>3801</v>
      </c>
      <c r="D2990" s="99" t="e">
        <f>INT(B2990/B2991*100)/100</f>
        <v>#REF!</v>
      </c>
      <c r="E2990" s="1" t="s">
        <v>3006</v>
      </c>
      <c r="F2990" s="40" t="s">
        <v>1494</v>
      </c>
      <c r="G2990" s="40"/>
      <c r="H2990" s="99" t="e">
        <f>SUM(H2988:H2989)</f>
        <v>#REF!</v>
      </c>
    </row>
    <row r="2991" spans="1:8" ht="16.5">
      <c r="A2991" s="1"/>
      <c r="B2991" s="117">
        <v>100</v>
      </c>
      <c r="C2991" s="1"/>
      <c r="D2991" s="1"/>
      <c r="E2991" s="1"/>
      <c r="F2991" s="1"/>
      <c r="G2991" s="1"/>
      <c r="H2991" s="1"/>
    </row>
    <row r="2992" spans="1:8" ht="16.5">
      <c r="A2992" s="1"/>
      <c r="B2992" s="117"/>
      <c r="C2992" s="1"/>
      <c r="D2992" s="1"/>
      <c r="E2992" s="1"/>
      <c r="F2992" s="1"/>
      <c r="G2992" s="1"/>
      <c r="H2992" s="1"/>
    </row>
    <row r="2993" spans="1:8" ht="20.25">
      <c r="A2993" s="260">
        <f>+A2980+1</f>
        <v>175</v>
      </c>
      <c r="B2993" s="877" t="s">
        <v>175</v>
      </c>
      <c r="C2993" s="878"/>
      <c r="D2993" s="878"/>
      <c r="E2993" s="878"/>
      <c r="F2993" s="878"/>
      <c r="G2993" s="878"/>
      <c r="H2993" s="878"/>
    </row>
    <row r="2994" spans="1:8" ht="14.25">
      <c r="A2994" s="677" t="s">
        <v>3669</v>
      </c>
      <c r="B2994" s="888" t="s">
        <v>1380</v>
      </c>
      <c r="C2994" s="879"/>
      <c r="D2994" s="879"/>
      <c r="E2994" s="879"/>
      <c r="F2994" s="879"/>
      <c r="G2994" s="879"/>
      <c r="H2994" s="879"/>
    </row>
    <row r="2995" spans="1:8" ht="31.5">
      <c r="A2995" s="1"/>
      <c r="B2995" s="68" t="s">
        <v>2966</v>
      </c>
      <c r="C2995" s="68" t="s">
        <v>2967</v>
      </c>
      <c r="D2995" s="68" t="s">
        <v>2968</v>
      </c>
      <c r="E2995" s="68" t="s">
        <v>2969</v>
      </c>
      <c r="F2995" s="68" t="s">
        <v>2970</v>
      </c>
      <c r="G2995" s="68" t="s">
        <v>2971</v>
      </c>
      <c r="H2995" s="68" t="s">
        <v>1487</v>
      </c>
    </row>
    <row r="2996" spans="1:8" ht="17.25">
      <c r="A2996" s="1"/>
      <c r="B2996" s="889" t="s">
        <v>1488</v>
      </c>
      <c r="C2996" s="58" t="s">
        <v>516</v>
      </c>
      <c r="D2996" s="41">
        <v>5</v>
      </c>
      <c r="E2996" s="55" t="s">
        <v>1490</v>
      </c>
      <c r="F2996" s="107" t="e">
        <f>#REF!</f>
        <v>#REF!</v>
      </c>
      <c r="G2996" s="107" t="e">
        <f>FLOOR(D2996*F2996,0.01)</f>
        <v>#REF!</v>
      </c>
      <c r="H2996" s="108"/>
    </row>
    <row r="2997" spans="1:8" ht="17.25">
      <c r="A2997" s="1"/>
      <c r="B2997" s="887"/>
      <c r="C2997" s="78" t="s">
        <v>1433</v>
      </c>
      <c r="D2997" s="43">
        <v>5</v>
      </c>
      <c r="E2997" s="56" t="s">
        <v>1490</v>
      </c>
      <c r="F2997" s="63" t="e">
        <f>#REF!</f>
        <v>#REF!</v>
      </c>
      <c r="G2997" s="63" t="e">
        <f>FLOOR(D2997*F2997,0.01)</f>
        <v>#REF!</v>
      </c>
      <c r="H2997" s="123" t="e">
        <f>SUM(G2996+G2997)</f>
        <v>#REF!</v>
      </c>
    </row>
    <row r="2998" spans="1:8" ht="17.25">
      <c r="A2998" s="1"/>
      <c r="B2998" s="886" t="s">
        <v>2055</v>
      </c>
      <c r="C2998" s="55" t="s">
        <v>1436</v>
      </c>
      <c r="D2998" s="46">
        <v>4.2000000000000003E-2</v>
      </c>
      <c r="E2998" s="55" t="s">
        <v>700</v>
      </c>
      <c r="F2998" s="110" t="e">
        <f>#REF!</f>
        <v>#REF!</v>
      </c>
      <c r="G2998" s="110" t="e">
        <f>FLOOR(D2998*F2998,0.01)</f>
        <v>#REF!</v>
      </c>
      <c r="H2998" s="108"/>
    </row>
    <row r="2999" spans="1:8" ht="17.25">
      <c r="A2999" s="1"/>
      <c r="B2999" s="887"/>
      <c r="C2999" s="56" t="s">
        <v>2091</v>
      </c>
      <c r="D2999" s="43">
        <v>0.03</v>
      </c>
      <c r="E2999" s="56" t="s">
        <v>2232</v>
      </c>
      <c r="F2999" s="63" t="e">
        <f>#REF!</f>
        <v>#REF!</v>
      </c>
      <c r="G2999" s="63" t="e">
        <f>FLOOR(D2999*F2999,0.01)</f>
        <v>#REF!</v>
      </c>
      <c r="H2999" s="123" t="e">
        <f>SUM(G2998+G2999)</f>
        <v>#REF!</v>
      </c>
    </row>
    <row r="3000" spans="1:8" ht="17.25">
      <c r="A3000" s="1"/>
      <c r="B3000" s="1"/>
      <c r="C3000" s="1"/>
      <c r="D3000" s="1"/>
      <c r="E3000" s="1"/>
      <c r="F3000" s="40" t="s">
        <v>1491</v>
      </c>
      <c r="G3000" s="40"/>
      <c r="H3000" s="63" t="e">
        <f>SUM(H2997:H2999)</f>
        <v>#REF!</v>
      </c>
    </row>
    <row r="3001" spans="1:8" ht="17.25">
      <c r="A3001" s="1"/>
      <c r="B3001" s="1" t="s">
        <v>1493</v>
      </c>
      <c r="C3001" s="1"/>
      <c r="D3001" s="1"/>
      <c r="E3001" s="1"/>
      <c r="F3001" s="40" t="s">
        <v>1471</v>
      </c>
      <c r="G3001" s="40"/>
      <c r="H3001" s="99" t="e">
        <f>FLOOR(H3000*0.15,0.01)</f>
        <v>#REF!</v>
      </c>
    </row>
    <row r="3002" spans="1:8" ht="17.25">
      <c r="B3002" s="140" t="e">
        <f>+H3002</f>
        <v>#REF!</v>
      </c>
      <c r="C3002" s="27" t="s">
        <v>3801</v>
      </c>
      <c r="D3002" s="99" t="e">
        <f>INT(B3002/B3003*100)/100</f>
        <v>#REF!</v>
      </c>
      <c r="E3002" s="1" t="s">
        <v>3006</v>
      </c>
      <c r="F3002" s="40" t="s">
        <v>1494</v>
      </c>
      <c r="G3002" s="40"/>
      <c r="H3002" s="99" t="e">
        <f>SUM(H3000:H3001)</f>
        <v>#REF!</v>
      </c>
    </row>
    <row r="3003" spans="1:8" ht="16.5">
      <c r="A3003" s="1"/>
      <c r="B3003" s="117">
        <v>100</v>
      </c>
      <c r="C3003" s="1"/>
      <c r="D3003" s="1"/>
      <c r="E3003" s="1"/>
      <c r="F3003" s="1"/>
      <c r="G3003" s="1"/>
      <c r="H3003" s="1"/>
    </row>
    <row r="3004" spans="1:8" ht="16.5">
      <c r="A3004" s="1"/>
      <c r="B3004" s="117"/>
      <c r="C3004" s="1"/>
      <c r="D3004" s="1"/>
      <c r="E3004" s="1"/>
      <c r="F3004" s="1"/>
      <c r="G3004" s="1"/>
      <c r="H3004" s="1"/>
    </row>
    <row r="3005" spans="1:8" ht="16.5">
      <c r="A3005" s="1"/>
      <c r="B3005" s="117"/>
      <c r="C3005" s="1"/>
      <c r="D3005" s="1"/>
      <c r="E3005" s="1"/>
      <c r="F3005" s="1"/>
      <c r="G3005" s="1"/>
      <c r="H3005" s="1"/>
    </row>
    <row r="3006" spans="1:8" ht="16.5">
      <c r="A3006" s="1"/>
      <c r="B3006" s="117"/>
      <c r="C3006" s="1"/>
      <c r="D3006" s="1"/>
      <c r="E3006" s="1"/>
      <c r="F3006" s="1"/>
      <c r="G3006" s="1"/>
      <c r="H3006" s="1"/>
    </row>
    <row r="3007" spans="1:8" ht="20.25">
      <c r="A3007" s="260">
        <f>+A2993+1</f>
        <v>176</v>
      </c>
      <c r="B3007" s="877" t="s">
        <v>397</v>
      </c>
      <c r="C3007" s="878"/>
      <c r="D3007" s="878"/>
      <c r="E3007" s="878"/>
      <c r="F3007" s="878"/>
      <c r="G3007" s="878"/>
      <c r="H3007" s="878"/>
    </row>
    <row r="3008" spans="1:8" ht="14.25">
      <c r="A3008" s="677" t="s">
        <v>3670</v>
      </c>
      <c r="B3008" s="888" t="s">
        <v>1380</v>
      </c>
      <c r="C3008" s="879"/>
      <c r="D3008" s="879"/>
      <c r="E3008" s="879"/>
      <c r="F3008" s="879"/>
      <c r="G3008" s="879"/>
      <c r="H3008" s="879"/>
    </row>
    <row r="3009" spans="1:8" ht="31.5">
      <c r="A3009" s="1"/>
      <c r="B3009" s="68" t="s">
        <v>2966</v>
      </c>
      <c r="C3009" s="68" t="s">
        <v>2967</v>
      </c>
      <c r="D3009" s="68" t="s">
        <v>2968</v>
      </c>
      <c r="E3009" s="68" t="s">
        <v>2969</v>
      </c>
      <c r="F3009" s="68" t="s">
        <v>2970</v>
      </c>
      <c r="G3009" s="68" t="s">
        <v>2971</v>
      </c>
      <c r="H3009" s="68" t="s">
        <v>1487</v>
      </c>
    </row>
    <row r="3010" spans="1:8" ht="17.25">
      <c r="A3010" s="1"/>
      <c r="B3010" s="889" t="s">
        <v>1488</v>
      </c>
      <c r="C3010" s="58" t="s">
        <v>516</v>
      </c>
      <c r="D3010" s="41">
        <v>10</v>
      </c>
      <c r="E3010" s="55" t="s">
        <v>1490</v>
      </c>
      <c r="F3010" s="107" t="e">
        <f>#REF!</f>
        <v>#REF!</v>
      </c>
      <c r="G3010" s="107" t="e">
        <f>FLOOR(D3010*F3010,0.01)</f>
        <v>#REF!</v>
      </c>
      <c r="H3010" s="108"/>
    </row>
    <row r="3011" spans="1:8" ht="17.25">
      <c r="A3011" s="1"/>
      <c r="B3011" s="887"/>
      <c r="C3011" s="78" t="s">
        <v>1433</v>
      </c>
      <c r="D3011" s="43">
        <v>10</v>
      </c>
      <c r="E3011" s="56" t="s">
        <v>1490</v>
      </c>
      <c r="F3011" s="63" t="e">
        <f>#REF!</f>
        <v>#REF!</v>
      </c>
      <c r="G3011" s="63" t="e">
        <f>FLOOR(D3011*F3011,0.01)</f>
        <v>#REF!</v>
      </c>
      <c r="H3011" s="123" t="e">
        <f>SUM(G3010+G3011)</f>
        <v>#REF!</v>
      </c>
    </row>
    <row r="3012" spans="1:8" ht="17.25">
      <c r="A3012" s="1"/>
      <c r="B3012" s="886" t="s">
        <v>2055</v>
      </c>
      <c r="C3012" s="55" t="s">
        <v>1436</v>
      </c>
      <c r="D3012" s="41">
        <v>0.15</v>
      </c>
      <c r="E3012" s="55" t="s">
        <v>700</v>
      </c>
      <c r="F3012" s="110" t="e">
        <f>#REF!</f>
        <v>#REF!</v>
      </c>
      <c r="G3012" s="110" t="e">
        <f>FLOOR(D3012*F3012,0.01)</f>
        <v>#REF!</v>
      </c>
      <c r="H3012" s="108"/>
    </row>
    <row r="3013" spans="1:8" ht="17.25">
      <c r="A3013" s="1"/>
      <c r="B3013" s="890"/>
      <c r="C3013" s="53" t="s">
        <v>697</v>
      </c>
      <c r="D3013" s="42">
        <v>0.1</v>
      </c>
      <c r="E3013" s="53" t="s">
        <v>2232</v>
      </c>
      <c r="F3013" s="109" t="e">
        <f>#REF!</f>
        <v>#REF!</v>
      </c>
      <c r="G3013" s="109" t="e">
        <f>FLOOR(D3013*F3013,0.01)</f>
        <v>#REF!</v>
      </c>
      <c r="H3013" s="121" t="e">
        <f>SUM(G3012+G3013)</f>
        <v>#REF!</v>
      </c>
    </row>
    <row r="3014" spans="1:8" ht="17.25">
      <c r="A3014" s="1"/>
      <c r="B3014" s="65"/>
      <c r="C3014" s="56"/>
      <c r="D3014" s="43"/>
      <c r="E3014" s="56"/>
      <c r="F3014" s="63"/>
      <c r="G3014" s="63"/>
      <c r="H3014" s="123"/>
    </row>
    <row r="3015" spans="1:8" ht="19.5">
      <c r="A3015" s="1"/>
      <c r="B3015" s="1"/>
      <c r="C3015" s="1"/>
      <c r="D3015" s="1"/>
      <c r="E3015" s="1"/>
      <c r="F3015" s="40" t="s">
        <v>1491</v>
      </c>
      <c r="G3015" s="102"/>
      <c r="H3015" s="63" t="e">
        <f>SUM(H3011:H3014)</f>
        <v>#REF!</v>
      </c>
    </row>
    <row r="3016" spans="1:8" ht="19.5">
      <c r="A3016" s="1"/>
      <c r="B3016" s="1" t="s">
        <v>1493</v>
      </c>
      <c r="C3016" s="1"/>
      <c r="D3016" s="1"/>
      <c r="E3016" s="1"/>
      <c r="F3016" s="40" t="s">
        <v>1471</v>
      </c>
      <c r="G3016" s="102"/>
      <c r="H3016" s="99" t="e">
        <f>FLOOR(H3015*0.15,0.01)</f>
        <v>#REF!</v>
      </c>
    </row>
    <row r="3017" spans="1:8" ht="19.5">
      <c r="B3017" s="140" t="e">
        <f>+H3017</f>
        <v>#REF!</v>
      </c>
      <c r="C3017" s="27" t="s">
        <v>3801</v>
      </c>
      <c r="D3017" s="99" t="e">
        <f>INT(B3017/B3018*100)/100</f>
        <v>#REF!</v>
      </c>
      <c r="E3017" s="1" t="s">
        <v>3006</v>
      </c>
      <c r="F3017" s="40" t="s">
        <v>1494</v>
      </c>
      <c r="G3017" s="102"/>
      <c r="H3017" s="99" t="e">
        <f>SUM(H3015:H3016)</f>
        <v>#REF!</v>
      </c>
    </row>
    <row r="3018" spans="1:8" ht="16.5">
      <c r="A3018" s="1"/>
      <c r="B3018" s="117">
        <v>100</v>
      </c>
      <c r="C3018" s="1"/>
      <c r="D3018" s="1"/>
      <c r="E3018" s="1"/>
      <c r="F3018" s="1"/>
      <c r="G3018" s="1"/>
      <c r="H3018" s="1"/>
    </row>
    <row r="3019" spans="1:8" ht="15">
      <c r="A3019" s="1"/>
      <c r="B3019" s="1"/>
      <c r="C3019" s="1"/>
      <c r="D3019" s="1"/>
      <c r="E3019" s="1"/>
      <c r="F3019" s="1"/>
      <c r="G3019" s="1"/>
      <c r="H3019" s="1"/>
    </row>
    <row r="3020" spans="1:8" ht="15">
      <c r="A3020" s="1"/>
      <c r="B3020" s="1"/>
      <c r="C3020" s="1"/>
      <c r="D3020" s="1"/>
      <c r="E3020" s="1"/>
      <c r="F3020" s="1"/>
      <c r="G3020" s="1"/>
      <c r="H3020" s="1"/>
    </row>
    <row r="3021" spans="1:8" ht="15">
      <c r="A3021" s="1"/>
      <c r="B3021" s="1"/>
      <c r="C3021" s="1"/>
      <c r="D3021" s="1"/>
      <c r="E3021" s="1"/>
      <c r="F3021" s="1"/>
      <c r="G3021" s="1"/>
      <c r="H3021" s="1"/>
    </row>
    <row r="3022" spans="1:8" ht="15">
      <c r="A3022" s="1"/>
      <c r="B3022" s="1"/>
      <c r="C3022" s="1"/>
      <c r="D3022" s="1"/>
      <c r="E3022" s="1"/>
      <c r="F3022" s="1"/>
      <c r="G3022" s="1"/>
      <c r="H3022" s="1"/>
    </row>
    <row r="3023" spans="1:8" ht="15">
      <c r="A3023" s="31"/>
      <c r="B3023" s="1"/>
      <c r="C3023" s="1"/>
      <c r="D3023" s="1"/>
      <c r="E3023" s="1"/>
      <c r="F3023" s="1"/>
      <c r="G3023" s="1"/>
      <c r="H3023" s="1"/>
    </row>
    <row r="3024" spans="1:8" ht="20.25">
      <c r="A3024" s="260">
        <f>A3007+1</f>
        <v>177</v>
      </c>
      <c r="B3024" s="877" t="s">
        <v>1039</v>
      </c>
      <c r="C3024" s="878"/>
      <c r="D3024" s="878"/>
      <c r="E3024" s="878"/>
      <c r="F3024" s="878"/>
      <c r="G3024" s="878"/>
      <c r="H3024" s="878"/>
    </row>
    <row r="3025" spans="1:8" ht="14.25">
      <c r="A3025" s="677" t="s">
        <v>3671</v>
      </c>
      <c r="B3025" s="888" t="s">
        <v>1380</v>
      </c>
      <c r="C3025" s="879"/>
      <c r="D3025" s="879"/>
      <c r="E3025" s="879"/>
      <c r="F3025" s="879"/>
      <c r="G3025" s="879"/>
      <c r="H3025" s="879"/>
    </row>
    <row r="3026" spans="1:8" ht="31.5">
      <c r="A3026" s="1"/>
      <c r="B3026" s="68" t="s">
        <v>2966</v>
      </c>
      <c r="C3026" s="68" t="s">
        <v>2967</v>
      </c>
      <c r="D3026" s="68" t="s">
        <v>2968</v>
      </c>
      <c r="E3026" s="68" t="s">
        <v>2969</v>
      </c>
      <c r="F3026" s="68" t="s">
        <v>2970</v>
      </c>
      <c r="G3026" s="68" t="s">
        <v>2971</v>
      </c>
      <c r="H3026" s="68" t="s">
        <v>1487</v>
      </c>
    </row>
    <row r="3027" spans="1:8" ht="17.25">
      <c r="A3027" s="1"/>
      <c r="B3027" s="889" t="s">
        <v>1488</v>
      </c>
      <c r="C3027" s="58" t="s">
        <v>516</v>
      </c>
      <c r="D3027" s="41">
        <v>10</v>
      </c>
      <c r="E3027" s="55" t="s">
        <v>1490</v>
      </c>
      <c r="F3027" s="107" t="e">
        <f>#REF!</f>
        <v>#REF!</v>
      </c>
      <c r="G3027" s="107" t="e">
        <f>FLOOR(D3027*F3027,0.01)</f>
        <v>#REF!</v>
      </c>
      <c r="H3027" s="108"/>
    </row>
    <row r="3028" spans="1:8" ht="17.25">
      <c r="A3028" s="1"/>
      <c r="B3028" s="887"/>
      <c r="C3028" s="78" t="s">
        <v>1433</v>
      </c>
      <c r="D3028" s="43">
        <v>10</v>
      </c>
      <c r="E3028" s="56" t="s">
        <v>1490</v>
      </c>
      <c r="F3028" s="63" t="e">
        <f>#REF!</f>
        <v>#REF!</v>
      </c>
      <c r="G3028" s="63" t="e">
        <f>FLOOR(D3028*F3028,0.01)</f>
        <v>#REF!</v>
      </c>
      <c r="H3028" s="123" t="e">
        <f>SUM(G3027+G3028)</f>
        <v>#REF!</v>
      </c>
    </row>
    <row r="3029" spans="1:8" ht="17.25">
      <c r="A3029" s="1"/>
      <c r="B3029" s="76" t="s">
        <v>2055</v>
      </c>
      <c r="C3029" s="98" t="s">
        <v>1436</v>
      </c>
      <c r="D3029" s="46">
        <v>0.51800000000000002</v>
      </c>
      <c r="E3029" s="129" t="s">
        <v>700</v>
      </c>
      <c r="F3029" s="110" t="e">
        <f>#REF!</f>
        <v>#REF!</v>
      </c>
      <c r="G3029" s="109" t="e">
        <f>FLOOR(D3029*F3029,0.01)</f>
        <v>#REF!</v>
      </c>
      <c r="H3029" s="121" t="e">
        <f>SUM(G3029)</f>
        <v>#REF!</v>
      </c>
    </row>
    <row r="3030" spans="1:8" ht="16.5">
      <c r="A3030" s="1"/>
      <c r="B3030" s="65"/>
      <c r="C3030" s="127"/>
      <c r="D3030" s="10"/>
      <c r="E3030" s="128"/>
      <c r="F3030" s="63"/>
      <c r="G3030" s="63"/>
      <c r="H3030" s="123"/>
    </row>
    <row r="3031" spans="1:8" ht="19.5">
      <c r="A3031" s="1"/>
      <c r="B3031" s="1"/>
      <c r="C3031" s="1"/>
      <c r="D3031" s="1"/>
      <c r="E3031" s="1"/>
      <c r="F3031" s="40" t="s">
        <v>1491</v>
      </c>
      <c r="G3031" s="102"/>
      <c r="H3031" s="63" t="e">
        <f>SUM(H3027:H3030)</f>
        <v>#REF!</v>
      </c>
    </row>
    <row r="3032" spans="1:8" ht="19.5">
      <c r="A3032" s="1"/>
      <c r="B3032" s="1" t="s">
        <v>1493</v>
      </c>
      <c r="C3032" s="1"/>
      <c r="D3032" s="1"/>
      <c r="E3032" s="1"/>
      <c r="F3032" s="40" t="s">
        <v>1471</v>
      </c>
      <c r="G3032" s="102"/>
      <c r="H3032" s="99" t="e">
        <f>FLOOR(H3031*0.15,0.01)</f>
        <v>#REF!</v>
      </c>
    </row>
    <row r="3033" spans="1:8" ht="19.5">
      <c r="B3033" s="140" t="e">
        <f>+H3033</f>
        <v>#REF!</v>
      </c>
      <c r="C3033" s="27" t="s">
        <v>3801</v>
      </c>
      <c r="D3033" s="99" t="e">
        <f>INT(B3033/B3034*100)/100</f>
        <v>#REF!</v>
      </c>
      <c r="E3033" s="1" t="s">
        <v>3006</v>
      </c>
      <c r="F3033" s="40" t="s">
        <v>1494</v>
      </c>
      <c r="G3033" s="102"/>
      <c r="H3033" s="99" t="e">
        <f>SUM(H3031:H3032)</f>
        <v>#REF!</v>
      </c>
    </row>
    <row r="3034" spans="1:8" ht="16.5">
      <c r="A3034" s="1"/>
      <c r="B3034" s="117">
        <v>100</v>
      </c>
      <c r="C3034" s="1"/>
      <c r="D3034" s="1"/>
      <c r="E3034" s="1"/>
      <c r="F3034" s="1"/>
      <c r="G3034" s="1"/>
      <c r="H3034" s="1"/>
    </row>
    <row r="3035" spans="1:8" ht="16.5">
      <c r="A3035" s="1"/>
      <c r="B3035" s="117"/>
      <c r="C3035" s="1"/>
      <c r="D3035" s="1"/>
      <c r="E3035" s="1"/>
      <c r="F3035" s="1"/>
      <c r="G3035" s="1"/>
      <c r="H3035" s="1"/>
    </row>
    <row r="3036" spans="1:8" ht="17.25">
      <c r="A3036" s="1"/>
      <c r="B3036" s="117"/>
      <c r="C3036" s="1"/>
      <c r="D3036" s="1"/>
      <c r="E3036" s="1"/>
      <c r="F3036" s="40"/>
      <c r="G3036" s="40"/>
      <c r="H3036" s="1"/>
    </row>
    <row r="3037" spans="1:8" ht="20.25">
      <c r="A3037" s="260">
        <f>A3024+1</f>
        <v>178</v>
      </c>
      <c r="B3037" s="877" t="s">
        <v>3392</v>
      </c>
      <c r="C3037" s="878"/>
      <c r="D3037" s="878"/>
      <c r="E3037" s="878"/>
      <c r="F3037" s="878"/>
      <c r="G3037" s="878"/>
      <c r="H3037" s="878"/>
    </row>
    <row r="3038" spans="1:8" ht="14.25">
      <c r="A3038" s="677" t="s">
        <v>3672</v>
      </c>
      <c r="B3038" s="888" t="s">
        <v>3393</v>
      </c>
      <c r="C3038" s="879"/>
      <c r="D3038" s="879"/>
      <c r="E3038" s="879"/>
      <c r="F3038" s="879"/>
      <c r="G3038" s="879"/>
      <c r="H3038" s="879"/>
    </row>
    <row r="3039" spans="1:8" ht="31.5">
      <c r="A3039" s="1"/>
      <c r="B3039" s="68" t="s">
        <v>2966</v>
      </c>
      <c r="C3039" s="68" t="s">
        <v>2967</v>
      </c>
      <c r="D3039" s="68" t="s">
        <v>2968</v>
      </c>
      <c r="E3039" s="68" t="s">
        <v>2969</v>
      </c>
      <c r="F3039" s="68" t="s">
        <v>2970</v>
      </c>
      <c r="G3039" s="68" t="s">
        <v>2971</v>
      </c>
      <c r="H3039" s="68" t="s">
        <v>1487</v>
      </c>
    </row>
    <row r="3040" spans="1:8" ht="17.25">
      <c r="A3040" s="1"/>
      <c r="B3040" s="889" t="s">
        <v>1488</v>
      </c>
      <c r="C3040" s="58" t="s">
        <v>516</v>
      </c>
      <c r="D3040" s="46">
        <v>2.5000000000000001E-2</v>
      </c>
      <c r="E3040" s="55" t="s">
        <v>1490</v>
      </c>
      <c r="F3040" s="107" t="e">
        <f>#REF!</f>
        <v>#REF!</v>
      </c>
      <c r="G3040" s="107" t="e">
        <f>FLOOR(D3040*F3040,0.01)</f>
        <v>#REF!</v>
      </c>
      <c r="H3040" s="108"/>
    </row>
    <row r="3041" spans="1:8" ht="17.25">
      <c r="A3041" s="1"/>
      <c r="B3041" s="887"/>
      <c r="C3041" s="78" t="s">
        <v>1433</v>
      </c>
      <c r="D3041" s="49">
        <v>0.01</v>
      </c>
      <c r="E3041" s="56" t="s">
        <v>1490</v>
      </c>
      <c r="F3041" s="63" t="e">
        <f>#REF!</f>
        <v>#REF!</v>
      </c>
      <c r="G3041" s="63" t="e">
        <f>FLOOR(D3041*F3041,0.01)</f>
        <v>#REF!</v>
      </c>
      <c r="H3041" s="123" t="e">
        <f>SUM(G3040+G3041)</f>
        <v>#REF!</v>
      </c>
    </row>
    <row r="3042" spans="1:8" ht="17.25">
      <c r="A3042" s="1"/>
      <c r="B3042" s="886" t="s">
        <v>2055</v>
      </c>
      <c r="C3042" s="55" t="s">
        <v>1436</v>
      </c>
      <c r="D3042" s="46">
        <v>7.0000000000000001E-3</v>
      </c>
      <c r="E3042" s="55" t="s">
        <v>700</v>
      </c>
      <c r="F3042" s="110" t="e">
        <f>#REF!</f>
        <v>#REF!</v>
      </c>
      <c r="G3042" s="110" t="e">
        <f>FLOOR(D3042*F3042,0.01)</f>
        <v>#REF!</v>
      </c>
      <c r="H3042" s="108"/>
    </row>
    <row r="3043" spans="1:8" ht="17.25">
      <c r="A3043" s="1"/>
      <c r="B3043" s="890"/>
      <c r="C3043" s="53" t="s">
        <v>2091</v>
      </c>
      <c r="D3043" s="52">
        <v>4.0000000000000001E-3</v>
      </c>
      <c r="E3043" s="53" t="s">
        <v>2232</v>
      </c>
      <c r="F3043" s="109" t="e">
        <f>#REF!</f>
        <v>#REF!</v>
      </c>
      <c r="G3043" s="109" t="e">
        <f>FLOOR(D3043*F3043,0.01)</f>
        <v>#REF!</v>
      </c>
      <c r="H3043" s="121"/>
    </row>
    <row r="3044" spans="1:8" ht="17.25">
      <c r="A3044" s="1"/>
      <c r="B3044" s="887"/>
      <c r="C3044" s="56" t="s">
        <v>3394</v>
      </c>
      <c r="D3044" s="275">
        <v>1E-4</v>
      </c>
      <c r="E3044" s="56" t="s">
        <v>2787</v>
      </c>
      <c r="F3044" s="63" t="e">
        <f>#REF!</f>
        <v>#REF!</v>
      </c>
      <c r="G3044" s="63" t="e">
        <f>FLOOR(D3044*F3044,0.01)</f>
        <v>#REF!</v>
      </c>
      <c r="H3044" s="123" t="e">
        <f>SUM(G3042:G3044)</f>
        <v>#REF!</v>
      </c>
    </row>
    <row r="3045" spans="1:8" ht="17.25">
      <c r="A3045" s="1"/>
      <c r="B3045" s="1"/>
      <c r="C3045" s="1"/>
      <c r="D3045" s="1"/>
      <c r="E3045" s="1"/>
      <c r="F3045" s="40" t="s">
        <v>1491</v>
      </c>
      <c r="G3045" s="40"/>
      <c r="H3045" s="63" t="e">
        <f>SUM(H3041:H3044)</f>
        <v>#REF!</v>
      </c>
    </row>
    <row r="3046" spans="1:8" ht="17.25">
      <c r="A3046" s="1"/>
      <c r="B3046" s="1" t="s">
        <v>1334</v>
      </c>
      <c r="C3046" s="1"/>
      <c r="D3046" s="1"/>
      <c r="E3046" s="1"/>
      <c r="F3046" s="40" t="s">
        <v>1471</v>
      </c>
      <c r="G3046" s="40"/>
      <c r="H3046" s="99" t="e">
        <f>FLOOR(H3045*0.15,0.01)</f>
        <v>#REF!</v>
      </c>
    </row>
    <row r="3047" spans="1:8" ht="17.25">
      <c r="A3047" s="27" t="s">
        <v>3005</v>
      </c>
      <c r="B3047" s="99" t="e">
        <f>+H3047</f>
        <v>#REF!</v>
      </c>
      <c r="C3047" s="1" t="s">
        <v>3006</v>
      </c>
      <c r="D3047" s="141"/>
      <c r="E3047" s="1"/>
      <c r="F3047" s="40" t="s">
        <v>1494</v>
      </c>
      <c r="G3047" s="40"/>
      <c r="H3047" s="99" t="e">
        <f>SUM(H3045:H3046)</f>
        <v>#REF!</v>
      </c>
    </row>
    <row r="3048" spans="1:8" ht="17.25">
      <c r="A3048" s="27"/>
      <c r="B3048" s="141"/>
      <c r="C3048" s="1"/>
      <c r="D3048" s="141"/>
      <c r="E3048" s="1"/>
      <c r="F3048" s="40"/>
      <c r="G3048" s="40"/>
      <c r="H3048" s="141"/>
    </row>
    <row r="3049" spans="1:8" ht="19.5">
      <c r="A3049" s="202"/>
      <c r="B3049" s="878" t="s">
        <v>1709</v>
      </c>
      <c r="C3049" s="878"/>
      <c r="D3049" s="878"/>
      <c r="E3049" s="878"/>
      <c r="F3049" s="878"/>
      <c r="G3049" s="878"/>
      <c r="H3049" s="878"/>
    </row>
    <row r="3050" spans="1:8" ht="20.25">
      <c r="A3050" s="138">
        <f>A3037+1</f>
        <v>179</v>
      </c>
      <c r="B3050" s="878" t="s">
        <v>1710</v>
      </c>
      <c r="C3050" s="878"/>
      <c r="D3050" s="878"/>
      <c r="E3050" s="878"/>
      <c r="F3050" s="878"/>
      <c r="G3050" s="878"/>
      <c r="H3050" s="878"/>
    </row>
    <row r="3051" spans="1:8" ht="14.25">
      <c r="A3051" s="677" t="s">
        <v>3673</v>
      </c>
      <c r="B3051" s="879" t="s">
        <v>2318</v>
      </c>
      <c r="C3051" s="879"/>
      <c r="D3051" s="879"/>
      <c r="E3051" s="879"/>
      <c r="F3051" s="879"/>
      <c r="G3051" s="879"/>
      <c r="H3051" s="879"/>
    </row>
    <row r="3052" spans="1:8" ht="31.5">
      <c r="A3052" s="1"/>
      <c r="B3052" s="68" t="s">
        <v>2966</v>
      </c>
      <c r="C3052" s="68" t="s">
        <v>2967</v>
      </c>
      <c r="D3052" s="68" t="s">
        <v>2968</v>
      </c>
      <c r="E3052" s="68" t="s">
        <v>2969</v>
      </c>
      <c r="F3052" s="68" t="s">
        <v>2970</v>
      </c>
      <c r="G3052" s="68" t="s">
        <v>2971</v>
      </c>
      <c r="H3052" s="68" t="s">
        <v>1487</v>
      </c>
    </row>
    <row r="3053" spans="1:8" ht="63">
      <c r="A3053" s="1"/>
      <c r="B3053" s="53" t="s">
        <v>2055</v>
      </c>
      <c r="C3053" s="60" t="s">
        <v>1711</v>
      </c>
      <c r="D3053" s="42">
        <v>1</v>
      </c>
      <c r="E3053" s="53" t="s">
        <v>1712</v>
      </c>
      <c r="F3053" s="225" t="e">
        <f>#REF!</f>
        <v>#REF!</v>
      </c>
      <c r="G3053" s="225" t="e">
        <f>FLOOR(D3053*F3053,0.01)</f>
        <v>#REF!</v>
      </c>
      <c r="H3053" s="225"/>
    </row>
    <row r="3054" spans="1:8" ht="17.25">
      <c r="A3054" s="1"/>
      <c r="B3054" s="135" t="s">
        <v>370</v>
      </c>
      <c r="C3054" s="56"/>
      <c r="D3054" s="43"/>
      <c r="E3054" s="56"/>
      <c r="F3054" s="226"/>
      <c r="G3054" s="227"/>
      <c r="H3054" s="226" t="e">
        <f>SUM(G3053:G3054)</f>
        <v>#REF!</v>
      </c>
    </row>
    <row r="3055" spans="1:8" ht="17.25">
      <c r="A3055" s="1"/>
      <c r="B3055" s="1"/>
      <c r="C3055" s="1"/>
      <c r="D3055" s="1"/>
      <c r="E3055" s="1"/>
      <c r="F3055" s="40" t="s">
        <v>1491</v>
      </c>
      <c r="G3055" s="40"/>
      <c r="H3055" s="228" t="e">
        <f>SUM(H3053:H3054)</f>
        <v>#REF!</v>
      </c>
    </row>
    <row r="3056" spans="1:8" ht="17.25">
      <c r="A3056" s="1"/>
      <c r="B3056" s="1" t="s">
        <v>1493</v>
      </c>
      <c r="C3056" s="1"/>
      <c r="D3056" s="1"/>
      <c r="E3056" s="1"/>
      <c r="F3056" s="40" t="s">
        <v>1472</v>
      </c>
      <c r="G3056" s="40"/>
      <c r="H3056" s="228" t="e">
        <f>FLOOR(H3055*0.15,0.01)</f>
        <v>#REF!</v>
      </c>
    </row>
    <row r="3057" spans="1:8" ht="17.25">
      <c r="A3057" s="214" t="s">
        <v>3005</v>
      </c>
      <c r="B3057" s="99" t="e">
        <f>H3057</f>
        <v>#REF!</v>
      </c>
      <c r="C3057" s="1" t="s">
        <v>3006</v>
      </c>
      <c r="D3057" s="1"/>
      <c r="E3057" s="1"/>
      <c r="F3057" s="40" t="s">
        <v>1494</v>
      </c>
      <c r="G3057" s="40"/>
      <c r="H3057" s="228" t="e">
        <f>SUM(H3055:H3056)</f>
        <v>#REF!</v>
      </c>
    </row>
    <row r="3058" spans="1:8" ht="17.25">
      <c r="A3058" s="1"/>
      <c r="B3058" s="117"/>
      <c r="C3058" s="1"/>
      <c r="D3058" s="1"/>
      <c r="E3058" s="1"/>
      <c r="F3058" s="40"/>
      <c r="G3058" s="40"/>
      <c r="H3058" s="1"/>
    </row>
    <row r="3059" spans="1:8" ht="20.25">
      <c r="A3059" s="260">
        <f>A3050+1</f>
        <v>180</v>
      </c>
      <c r="B3059" s="877" t="s">
        <v>3395</v>
      </c>
      <c r="C3059" s="878"/>
      <c r="D3059" s="878"/>
      <c r="E3059" s="878"/>
      <c r="F3059" s="878"/>
      <c r="G3059" s="878"/>
      <c r="H3059" s="878"/>
    </row>
    <row r="3060" spans="1:8" ht="14.25">
      <c r="A3060" s="677" t="s">
        <v>3674</v>
      </c>
      <c r="B3060" s="888" t="s">
        <v>1382</v>
      </c>
      <c r="C3060" s="879"/>
      <c r="D3060" s="879"/>
      <c r="E3060" s="879"/>
      <c r="F3060" s="879"/>
      <c r="G3060" s="879"/>
      <c r="H3060" s="879"/>
    </row>
    <row r="3061" spans="1:8" ht="31.5">
      <c r="A3061" s="1"/>
      <c r="B3061" s="68" t="s">
        <v>2966</v>
      </c>
      <c r="C3061" s="68" t="s">
        <v>2967</v>
      </c>
      <c r="D3061" s="68" t="s">
        <v>2968</v>
      </c>
      <c r="E3061" s="68" t="s">
        <v>2969</v>
      </c>
      <c r="F3061" s="68" t="s">
        <v>2970</v>
      </c>
      <c r="G3061" s="68" t="s">
        <v>2971</v>
      </c>
      <c r="H3061" s="68" t="s">
        <v>1487</v>
      </c>
    </row>
    <row r="3062" spans="1:8" ht="17.25">
      <c r="A3062" s="1"/>
      <c r="B3062" s="889" t="s">
        <v>1488</v>
      </c>
      <c r="C3062" s="58" t="s">
        <v>516</v>
      </c>
      <c r="D3062" s="41">
        <v>1</v>
      </c>
      <c r="E3062" s="55" t="s">
        <v>1490</v>
      </c>
      <c r="F3062" s="107" t="e">
        <f>#REF!</f>
        <v>#REF!</v>
      </c>
      <c r="G3062" s="107" t="e">
        <f>FLOOR(D3062*F3062,0.01)</f>
        <v>#REF!</v>
      </c>
      <c r="H3062" s="108"/>
    </row>
    <row r="3063" spans="1:8" ht="17.25">
      <c r="A3063" s="1"/>
      <c r="B3063" s="887"/>
      <c r="C3063" s="78" t="s">
        <v>1433</v>
      </c>
      <c r="D3063" s="43">
        <v>1</v>
      </c>
      <c r="E3063" s="56" t="s">
        <v>1490</v>
      </c>
      <c r="F3063" s="63" t="e">
        <f>#REF!</f>
        <v>#REF!</v>
      </c>
      <c r="G3063" s="63" t="e">
        <f>FLOOR(D3063*F3063,0.01)</f>
        <v>#REF!</v>
      </c>
      <c r="H3063" s="123" t="e">
        <f>SUM(G3062+G3063)</f>
        <v>#REF!</v>
      </c>
    </row>
    <row r="3064" spans="1:8" ht="17.25">
      <c r="A3064" s="1"/>
      <c r="B3064" s="66" t="s">
        <v>2055</v>
      </c>
      <c r="C3064" s="147" t="s">
        <v>3396</v>
      </c>
      <c r="D3064" s="649">
        <v>10.64</v>
      </c>
      <c r="E3064" s="583" t="s">
        <v>2748</v>
      </c>
      <c r="F3064" s="99" t="e">
        <f>#REF!</f>
        <v>#REF!</v>
      </c>
      <c r="G3064" s="99" t="e">
        <f>FLOOR(D3064*F3064,0.01)</f>
        <v>#REF!</v>
      </c>
      <c r="H3064" s="126" t="e">
        <f>SUM(G3064)</f>
        <v>#REF!</v>
      </c>
    </row>
    <row r="3065" spans="1:8" ht="19.5">
      <c r="A3065" s="1"/>
      <c r="B3065" s="1"/>
      <c r="C3065" s="1"/>
      <c r="D3065" s="1"/>
      <c r="E3065" s="1"/>
      <c r="F3065" s="40" t="s">
        <v>1491</v>
      </c>
      <c r="G3065" s="102"/>
      <c r="H3065" s="63" t="e">
        <f>SUM(H3062:H3064)</f>
        <v>#REF!</v>
      </c>
    </row>
    <row r="3066" spans="1:8" ht="19.5">
      <c r="A3066" s="1"/>
      <c r="B3066" s="1" t="s">
        <v>1493</v>
      </c>
      <c r="C3066" s="1"/>
      <c r="D3066" s="1"/>
      <c r="E3066" s="1"/>
      <c r="F3066" s="40" t="s">
        <v>1471</v>
      </c>
      <c r="G3066" s="102"/>
      <c r="H3066" s="99" t="e">
        <f>FLOOR(H3065*0.15,0.01)</f>
        <v>#REF!</v>
      </c>
    </row>
    <row r="3067" spans="1:8" ht="19.5">
      <c r="B3067" s="140" t="e">
        <f>+H3067</f>
        <v>#REF!</v>
      </c>
      <c r="C3067" s="27" t="s">
        <v>3801</v>
      </c>
      <c r="D3067" s="99" t="e">
        <f>INT(B3067/B3068*100)/100</f>
        <v>#REF!</v>
      </c>
      <c r="E3067" s="1" t="s">
        <v>3006</v>
      </c>
      <c r="F3067" s="40" t="s">
        <v>1494</v>
      </c>
      <c r="G3067" s="102"/>
      <c r="H3067" s="99" t="e">
        <f>SUM(H3065:H3066)</f>
        <v>#REF!</v>
      </c>
    </row>
    <row r="3068" spans="1:8" ht="16.5">
      <c r="A3068" s="1"/>
      <c r="B3068" s="117">
        <v>10</v>
      </c>
      <c r="C3068" s="1"/>
      <c r="D3068" s="1"/>
      <c r="E3068" s="1"/>
      <c r="F3068" s="1"/>
      <c r="G3068" s="1"/>
      <c r="H3068" s="1"/>
    </row>
    <row r="3069" spans="1:8" ht="16.5">
      <c r="A3069" s="1"/>
      <c r="B3069" s="117"/>
      <c r="C3069" s="1"/>
      <c r="D3069" s="1"/>
      <c r="E3069" s="1"/>
      <c r="F3069" s="1"/>
      <c r="G3069" s="1"/>
      <c r="H3069" s="1"/>
    </row>
    <row r="3070" spans="1:8" ht="20.25">
      <c r="A3070" s="260">
        <f>A3059+1</f>
        <v>181</v>
      </c>
      <c r="B3070" s="877" t="s">
        <v>1078</v>
      </c>
      <c r="C3070" s="878"/>
      <c r="D3070" s="878"/>
      <c r="E3070" s="878"/>
      <c r="F3070" s="878"/>
      <c r="G3070" s="878"/>
      <c r="H3070" s="878"/>
    </row>
    <row r="3071" spans="1:8" ht="14.25">
      <c r="A3071" s="677" t="s">
        <v>3675</v>
      </c>
      <c r="B3071" s="888" t="s">
        <v>1380</v>
      </c>
      <c r="C3071" s="879"/>
      <c r="D3071" s="879"/>
      <c r="E3071" s="879"/>
      <c r="F3071" s="879"/>
      <c r="G3071" s="879"/>
      <c r="H3071" s="879"/>
    </row>
    <row r="3072" spans="1:8" ht="31.5">
      <c r="A3072" s="1"/>
      <c r="B3072" s="68" t="s">
        <v>2966</v>
      </c>
      <c r="C3072" s="68" t="s">
        <v>2967</v>
      </c>
      <c r="D3072" s="68" t="s">
        <v>2968</v>
      </c>
      <c r="E3072" s="68" t="s">
        <v>2969</v>
      </c>
      <c r="F3072" s="68" t="s">
        <v>2970</v>
      </c>
      <c r="G3072" s="68" t="s">
        <v>2971</v>
      </c>
      <c r="H3072" s="68" t="s">
        <v>1487</v>
      </c>
    </row>
    <row r="3073" spans="1:8" ht="17.25">
      <c r="A3073" s="1"/>
      <c r="B3073" s="889" t="s">
        <v>1488</v>
      </c>
      <c r="C3073" s="58" t="s">
        <v>516</v>
      </c>
      <c r="D3073" s="46">
        <v>1.875</v>
      </c>
      <c r="E3073" s="55" t="s">
        <v>1490</v>
      </c>
      <c r="F3073" s="107" t="e">
        <f>#REF!</f>
        <v>#REF!</v>
      </c>
      <c r="G3073" s="107" t="e">
        <f>FLOOR(D3073*F3073,0.01)</f>
        <v>#REF!</v>
      </c>
      <c r="H3073" s="108"/>
    </row>
    <row r="3074" spans="1:8" ht="17.25">
      <c r="A3074" s="1"/>
      <c r="B3074" s="887"/>
      <c r="C3074" s="78" t="s">
        <v>1433</v>
      </c>
      <c r="D3074" s="49">
        <v>1.375</v>
      </c>
      <c r="E3074" s="56" t="s">
        <v>1490</v>
      </c>
      <c r="F3074" s="63" t="e">
        <f>#REF!</f>
        <v>#REF!</v>
      </c>
      <c r="G3074" s="63" t="e">
        <f>FLOOR(D3074*F3074,0.01)</f>
        <v>#REF!</v>
      </c>
      <c r="H3074" s="123" t="e">
        <f>SUM(G3073+G3074)</f>
        <v>#REF!</v>
      </c>
    </row>
    <row r="3075" spans="1:8" ht="17.25">
      <c r="A3075" s="1"/>
      <c r="B3075" s="886" t="s">
        <v>2055</v>
      </c>
      <c r="C3075" s="55" t="s">
        <v>1079</v>
      </c>
      <c r="D3075" s="41">
        <v>22</v>
      </c>
      <c r="E3075" s="55" t="s">
        <v>2748</v>
      </c>
      <c r="F3075" s="109" t="e">
        <f>#REF!</f>
        <v>#REF!</v>
      </c>
      <c r="G3075" s="110" t="e">
        <f>FLOOR(D3075*F3075,0.01)</f>
        <v>#REF!</v>
      </c>
      <c r="H3075" s="108"/>
    </row>
    <row r="3076" spans="1:8" ht="17.25">
      <c r="A3076" s="1"/>
      <c r="B3076" s="887"/>
      <c r="C3076" s="56" t="s">
        <v>2015</v>
      </c>
      <c r="D3076" s="43">
        <v>0.88</v>
      </c>
      <c r="E3076" s="56" t="s">
        <v>2748</v>
      </c>
      <c r="F3076" s="63" t="e">
        <f>#REF!</f>
        <v>#REF!</v>
      </c>
      <c r="G3076" s="63" t="e">
        <f>FLOOR(D3076*F3076,0.01)</f>
        <v>#REF!</v>
      </c>
      <c r="H3076" s="123" t="e">
        <f>SUM(G3075:G3076)</f>
        <v>#REF!</v>
      </c>
    </row>
    <row r="3077" spans="1:8" ht="19.5">
      <c r="A3077" s="1"/>
      <c r="B3077" s="1"/>
      <c r="C3077" s="1"/>
      <c r="D3077" s="1"/>
      <c r="E3077" s="1"/>
      <c r="F3077" s="40" t="s">
        <v>1491</v>
      </c>
      <c r="G3077" s="133"/>
      <c r="H3077" s="63" t="e">
        <f>SUM(H3076,H3074)</f>
        <v>#REF!</v>
      </c>
    </row>
    <row r="3078" spans="1:8" ht="19.5">
      <c r="A3078" s="1"/>
      <c r="B3078" s="1" t="s">
        <v>1493</v>
      </c>
      <c r="C3078" s="1"/>
      <c r="D3078" s="1"/>
      <c r="E3078" s="1"/>
      <c r="F3078" s="40" t="s">
        <v>1472</v>
      </c>
      <c r="G3078" s="133"/>
      <c r="H3078" s="99" t="e">
        <f>FLOOR(H3077*0.15,0.01)</f>
        <v>#REF!</v>
      </c>
    </row>
    <row r="3079" spans="1:8" ht="19.5">
      <c r="B3079" s="140" t="e">
        <f>+H3079</f>
        <v>#REF!</v>
      </c>
      <c r="C3079" s="27" t="s">
        <v>3801</v>
      </c>
      <c r="D3079" s="99" t="e">
        <f>INT(B3079/B3080*100)/100</f>
        <v>#REF!</v>
      </c>
      <c r="E3079" s="1" t="s">
        <v>3006</v>
      </c>
      <c r="F3079" s="40" t="s">
        <v>1494</v>
      </c>
      <c r="G3079" s="133"/>
      <c r="H3079" s="99" t="e">
        <f>SUM(H3077:H3078)</f>
        <v>#REF!</v>
      </c>
    </row>
    <row r="3080" spans="1:8" ht="16.5">
      <c r="A3080" s="1"/>
      <c r="B3080" s="117">
        <v>100</v>
      </c>
      <c r="C3080" s="1"/>
      <c r="D3080" s="1"/>
      <c r="E3080" s="1"/>
      <c r="F3080" s="1"/>
      <c r="G3080" s="1"/>
      <c r="H3080" s="1"/>
    </row>
    <row r="3081" spans="1:8" ht="16.5">
      <c r="A3081" s="1"/>
      <c r="B3081" s="117"/>
      <c r="C3081" s="1"/>
      <c r="D3081" s="1"/>
      <c r="E3081" s="1"/>
      <c r="F3081" s="1"/>
      <c r="G3081" s="1"/>
      <c r="H3081" s="1"/>
    </row>
    <row r="3082" spans="1:8" ht="20.25">
      <c r="A3082" s="260">
        <f>+A3070+1</f>
        <v>182</v>
      </c>
      <c r="B3082" s="877" t="s">
        <v>2016</v>
      </c>
      <c r="C3082" s="878"/>
      <c r="D3082" s="878"/>
      <c r="E3082" s="878"/>
      <c r="F3082" s="878"/>
      <c r="G3082" s="878"/>
      <c r="H3082" s="878"/>
    </row>
    <row r="3083" spans="1:8" ht="14.25">
      <c r="A3083" s="677" t="s">
        <v>3675</v>
      </c>
      <c r="B3083" s="928" t="s">
        <v>1380</v>
      </c>
      <c r="C3083" s="885"/>
      <c r="D3083" s="885"/>
      <c r="E3083" s="885"/>
      <c r="F3083" s="885"/>
      <c r="G3083" s="885"/>
      <c r="H3083" s="885"/>
    </row>
    <row r="3084" spans="1:8" ht="31.5">
      <c r="A3084" s="1"/>
      <c r="B3084" s="68" t="s">
        <v>2966</v>
      </c>
      <c r="C3084" s="68" t="s">
        <v>2967</v>
      </c>
      <c r="D3084" s="68" t="s">
        <v>2968</v>
      </c>
      <c r="E3084" s="68" t="s">
        <v>2969</v>
      </c>
      <c r="F3084" s="68" t="s">
        <v>2970</v>
      </c>
      <c r="G3084" s="68" t="s">
        <v>2971</v>
      </c>
      <c r="H3084" s="68" t="s">
        <v>1487</v>
      </c>
    </row>
    <row r="3085" spans="1:8" ht="17.25">
      <c r="A3085" s="1"/>
      <c r="B3085" s="889" t="s">
        <v>1488</v>
      </c>
      <c r="C3085" s="58" t="s">
        <v>516</v>
      </c>
      <c r="D3085" s="41">
        <v>1.5</v>
      </c>
      <c r="E3085" s="55" t="s">
        <v>1490</v>
      </c>
      <c r="F3085" s="107" t="e">
        <f>#REF!</f>
        <v>#REF!</v>
      </c>
      <c r="G3085" s="107" t="e">
        <f>FLOOR(D3085*F3085,0.01)</f>
        <v>#REF!</v>
      </c>
      <c r="H3085" s="108"/>
    </row>
    <row r="3086" spans="1:8" ht="17.25">
      <c r="A3086" s="1"/>
      <c r="B3086" s="887"/>
      <c r="C3086" s="78" t="s">
        <v>1433</v>
      </c>
      <c r="D3086" s="43">
        <v>1.1000000000000001</v>
      </c>
      <c r="E3086" s="56" t="s">
        <v>1490</v>
      </c>
      <c r="F3086" s="63" t="e">
        <f>#REF!</f>
        <v>#REF!</v>
      </c>
      <c r="G3086" s="63" t="e">
        <f>FLOOR(D3086*F3086,0.01)</f>
        <v>#REF!</v>
      </c>
      <c r="H3086" s="123" t="e">
        <f>SUM(G3085+G3086)</f>
        <v>#REF!</v>
      </c>
    </row>
    <row r="3087" spans="1:8" ht="17.25">
      <c r="A3087" s="1"/>
      <c r="B3087" s="886" t="s">
        <v>2055</v>
      </c>
      <c r="C3087" s="55" t="s">
        <v>1079</v>
      </c>
      <c r="D3087" s="41">
        <v>22</v>
      </c>
      <c r="E3087" s="55" t="s">
        <v>2748</v>
      </c>
      <c r="F3087" s="109" t="e">
        <f>#REF!</f>
        <v>#REF!</v>
      </c>
      <c r="G3087" s="110" t="e">
        <f>FLOOR(D3087*F3087,0.01)</f>
        <v>#REF!</v>
      </c>
      <c r="H3087" s="108"/>
    </row>
    <row r="3088" spans="1:8" ht="17.25">
      <c r="A3088" s="1"/>
      <c r="B3088" s="887"/>
      <c r="C3088" s="56" t="s">
        <v>2015</v>
      </c>
      <c r="D3088" s="43">
        <v>0.88</v>
      </c>
      <c r="E3088" s="56" t="s">
        <v>2748</v>
      </c>
      <c r="F3088" s="63" t="e">
        <f>#REF!</f>
        <v>#REF!</v>
      </c>
      <c r="G3088" s="63" t="e">
        <f>FLOOR(D3088*F3088,0.01)</f>
        <v>#REF!</v>
      </c>
      <c r="H3088" s="123" t="e">
        <f>SUM(G3087:G3088)</f>
        <v>#REF!</v>
      </c>
    </row>
    <row r="3089" spans="1:8" ht="19.5">
      <c r="A3089" s="1"/>
      <c r="B3089" s="1"/>
      <c r="C3089" s="1"/>
      <c r="D3089" s="1"/>
      <c r="E3089" s="1"/>
      <c r="F3089" s="40" t="s">
        <v>1491</v>
      </c>
      <c r="G3089" s="133"/>
      <c r="H3089" s="63" t="e">
        <f>SUM(H3088,H3086)</f>
        <v>#REF!</v>
      </c>
    </row>
    <row r="3090" spans="1:8" ht="19.5">
      <c r="A3090" s="1"/>
      <c r="B3090" s="1" t="s">
        <v>1493</v>
      </c>
      <c r="C3090" s="1"/>
      <c r="D3090" s="1"/>
      <c r="E3090" s="1"/>
      <c r="F3090" s="40" t="s">
        <v>1472</v>
      </c>
      <c r="G3090" s="133"/>
      <c r="H3090" s="99" t="e">
        <f>FLOOR(H3089*0.15,0.01)</f>
        <v>#REF!</v>
      </c>
    </row>
    <row r="3091" spans="1:8" ht="19.5">
      <c r="B3091" s="140" t="e">
        <f>+H3091</f>
        <v>#REF!</v>
      </c>
      <c r="C3091" s="27" t="s">
        <v>3801</v>
      </c>
      <c r="D3091" s="99" t="e">
        <f>INT(B3091/B3092*100)/100</f>
        <v>#REF!</v>
      </c>
      <c r="E3091" s="1" t="s">
        <v>3006</v>
      </c>
      <c r="F3091" s="40" t="s">
        <v>1494</v>
      </c>
      <c r="G3091" s="133"/>
      <c r="H3091" s="99" t="e">
        <f>SUM(H3089:H3090)</f>
        <v>#REF!</v>
      </c>
    </row>
    <row r="3092" spans="1:8" ht="16.5">
      <c r="A3092" s="1"/>
      <c r="B3092" s="117">
        <v>100</v>
      </c>
      <c r="C3092" s="1"/>
      <c r="D3092" s="1"/>
      <c r="E3092" s="1"/>
      <c r="F3092" s="1"/>
      <c r="G3092" s="1"/>
      <c r="H3092" s="1"/>
    </row>
    <row r="3093" spans="1:8" ht="16.5">
      <c r="A3093" s="1"/>
      <c r="B3093" s="117"/>
      <c r="C3093" s="1"/>
      <c r="D3093" s="1"/>
      <c r="E3093" s="1"/>
      <c r="F3093" s="1"/>
      <c r="G3093" s="1"/>
      <c r="H3093" s="1"/>
    </row>
    <row r="3094" spans="1:8" ht="16.5">
      <c r="A3094" s="1"/>
      <c r="B3094" s="117"/>
      <c r="C3094" s="1"/>
      <c r="D3094" s="1"/>
      <c r="E3094" s="1"/>
      <c r="F3094" s="1"/>
      <c r="G3094" s="1"/>
      <c r="H3094" s="1"/>
    </row>
    <row r="3095" spans="1:8" ht="16.5">
      <c r="A3095" s="1"/>
      <c r="B3095" s="117"/>
      <c r="C3095" s="1"/>
      <c r="D3095" s="1"/>
      <c r="E3095" s="1"/>
      <c r="F3095" s="1"/>
      <c r="G3095" s="1"/>
      <c r="H3095" s="1"/>
    </row>
    <row r="3096" spans="1:8" ht="15">
      <c r="A3096" s="31"/>
      <c r="B3096" s="1"/>
      <c r="C3096" s="1"/>
      <c r="D3096" s="1"/>
      <c r="E3096" s="1"/>
      <c r="F3096" s="1"/>
      <c r="G3096" s="1"/>
      <c r="H3096" s="1"/>
    </row>
    <row r="3097" spans="1:8" ht="20.25">
      <c r="A3097" s="260">
        <f>+A3082+1</f>
        <v>183</v>
      </c>
      <c r="B3097" s="877" t="s">
        <v>2017</v>
      </c>
      <c r="C3097" s="878"/>
      <c r="D3097" s="878"/>
      <c r="E3097" s="878"/>
      <c r="F3097" s="878"/>
      <c r="G3097" s="878"/>
      <c r="H3097" s="878"/>
    </row>
    <row r="3098" spans="1:8" ht="14.25">
      <c r="A3098" s="677" t="s">
        <v>3675</v>
      </c>
      <c r="B3098" s="888" t="s">
        <v>1380</v>
      </c>
      <c r="C3098" s="879"/>
      <c r="D3098" s="879"/>
      <c r="E3098" s="879"/>
      <c r="F3098" s="879"/>
      <c r="G3098" s="879"/>
      <c r="H3098" s="879"/>
    </row>
    <row r="3099" spans="1:8" ht="31.5">
      <c r="A3099" s="1"/>
      <c r="B3099" s="68" t="s">
        <v>2966</v>
      </c>
      <c r="C3099" s="68" t="s">
        <v>2967</v>
      </c>
      <c r="D3099" s="68" t="s">
        <v>2968</v>
      </c>
      <c r="E3099" s="68" t="s">
        <v>2969</v>
      </c>
      <c r="F3099" s="68" t="s">
        <v>2970</v>
      </c>
      <c r="G3099" s="68" t="s">
        <v>2971</v>
      </c>
      <c r="H3099" s="68" t="s">
        <v>1487</v>
      </c>
    </row>
    <row r="3100" spans="1:8" ht="17.25">
      <c r="A3100" s="1"/>
      <c r="B3100" s="889" t="s">
        <v>1488</v>
      </c>
      <c r="C3100" s="58" t="s">
        <v>516</v>
      </c>
      <c r="D3100" s="41">
        <v>3.75</v>
      </c>
      <c r="E3100" s="55" t="s">
        <v>1490</v>
      </c>
      <c r="F3100" s="107" t="e">
        <f>#REF!</f>
        <v>#REF!</v>
      </c>
      <c r="G3100" s="107" t="e">
        <f>FLOOR(D3100*F3100,0.01)</f>
        <v>#REF!</v>
      </c>
      <c r="H3100" s="108"/>
    </row>
    <row r="3101" spans="1:8" ht="17.25">
      <c r="A3101" s="1"/>
      <c r="B3101" s="887"/>
      <c r="C3101" s="78" t="s">
        <v>1433</v>
      </c>
      <c r="D3101" s="43">
        <v>3.37</v>
      </c>
      <c r="E3101" s="56" t="s">
        <v>1490</v>
      </c>
      <c r="F3101" s="63" t="e">
        <f>#REF!</f>
        <v>#REF!</v>
      </c>
      <c r="G3101" s="63" t="e">
        <f>FLOOR(D3101*F3101,0.01)</f>
        <v>#REF!</v>
      </c>
      <c r="H3101" s="123" t="e">
        <f>SUM(G3100+G3101)</f>
        <v>#REF!</v>
      </c>
    </row>
    <row r="3102" spans="1:8" ht="17.25">
      <c r="A3102" s="1"/>
      <c r="B3102" s="886" t="s">
        <v>2055</v>
      </c>
      <c r="C3102" s="55" t="s">
        <v>1079</v>
      </c>
      <c r="D3102" s="41">
        <v>32</v>
      </c>
      <c r="E3102" s="55" t="s">
        <v>2748</v>
      </c>
      <c r="F3102" s="109" t="e">
        <f>#REF!</f>
        <v>#REF!</v>
      </c>
      <c r="G3102" s="110" t="e">
        <f>FLOOR(D3102*F3102,0.01)</f>
        <v>#REF!</v>
      </c>
      <c r="H3102" s="108"/>
    </row>
    <row r="3103" spans="1:8" ht="17.25">
      <c r="A3103" s="1"/>
      <c r="B3103" s="887"/>
      <c r="C3103" s="56" t="s">
        <v>2015</v>
      </c>
      <c r="D3103" s="43">
        <v>1.28</v>
      </c>
      <c r="E3103" s="56" t="s">
        <v>2748</v>
      </c>
      <c r="F3103" s="63" t="e">
        <f>#REF!</f>
        <v>#REF!</v>
      </c>
      <c r="G3103" s="63" t="e">
        <f>FLOOR(D3103*F3103,0.01)</f>
        <v>#REF!</v>
      </c>
      <c r="H3103" s="123" t="e">
        <f>SUM(G3102:G3103)</f>
        <v>#REF!</v>
      </c>
    </row>
    <row r="3104" spans="1:8" ht="19.5">
      <c r="A3104" s="1"/>
      <c r="B3104" s="1"/>
      <c r="C3104" s="1"/>
      <c r="D3104" s="1"/>
      <c r="E3104" s="1"/>
      <c r="F3104" s="40" t="s">
        <v>1491</v>
      </c>
      <c r="G3104" s="133"/>
      <c r="H3104" s="63" t="e">
        <f>SUM(H3103,H3101)</f>
        <v>#REF!</v>
      </c>
    </row>
    <row r="3105" spans="1:8" ht="19.5">
      <c r="A3105" s="1"/>
      <c r="B3105" s="1" t="s">
        <v>1493</v>
      </c>
      <c r="C3105" s="1"/>
      <c r="D3105" s="1"/>
      <c r="E3105" s="1"/>
      <c r="F3105" s="40" t="s">
        <v>1472</v>
      </c>
      <c r="G3105" s="133"/>
      <c r="H3105" s="99" t="e">
        <f>FLOOR(H3104*0.15,0.01)</f>
        <v>#REF!</v>
      </c>
    </row>
    <row r="3106" spans="1:8" ht="19.5">
      <c r="B3106" s="140" t="e">
        <f>+H3106</f>
        <v>#REF!</v>
      </c>
      <c r="C3106" s="27" t="s">
        <v>3801</v>
      </c>
      <c r="D3106" s="99" t="e">
        <f>INT(B3106/B3107*100)/100</f>
        <v>#REF!</v>
      </c>
      <c r="E3106" s="1" t="s">
        <v>3006</v>
      </c>
      <c r="F3106" s="40" t="s">
        <v>1494</v>
      </c>
      <c r="G3106" s="133"/>
      <c r="H3106" s="99" t="e">
        <f>SUM(H3104:H3105)</f>
        <v>#REF!</v>
      </c>
    </row>
    <row r="3107" spans="1:8" ht="16.5">
      <c r="A3107" s="1"/>
      <c r="B3107" s="117">
        <v>100</v>
      </c>
      <c r="C3107" s="1"/>
      <c r="D3107" s="1"/>
      <c r="E3107" s="1"/>
      <c r="F3107" s="1"/>
      <c r="G3107" s="1"/>
      <c r="H3107" s="1"/>
    </row>
    <row r="3108" spans="1:8" ht="16.5">
      <c r="A3108" s="1"/>
      <c r="B3108" s="117"/>
      <c r="C3108" s="1"/>
      <c r="D3108" s="1"/>
      <c r="E3108" s="1"/>
      <c r="F3108" s="1"/>
      <c r="G3108" s="1"/>
      <c r="H3108" s="1"/>
    </row>
    <row r="3109" spans="1:8" ht="16.5">
      <c r="A3109" s="1"/>
      <c r="B3109" s="117"/>
      <c r="C3109" s="1"/>
      <c r="D3109" s="1"/>
      <c r="E3109" s="1"/>
      <c r="F3109" s="1"/>
      <c r="G3109" s="1"/>
      <c r="H3109" s="1"/>
    </row>
    <row r="3110" spans="1:8" ht="15">
      <c r="A3110" s="1"/>
      <c r="B3110" s="1"/>
      <c r="C3110" s="1"/>
      <c r="D3110" s="1"/>
      <c r="E3110" s="1"/>
      <c r="F3110" s="1"/>
      <c r="G3110" s="1"/>
      <c r="H3110" s="1"/>
    </row>
    <row r="3111" spans="1:8" ht="20.25">
      <c r="A3111" s="260">
        <f>+A3097+1</f>
        <v>184</v>
      </c>
      <c r="B3111" s="877" t="s">
        <v>3397</v>
      </c>
      <c r="C3111" s="878"/>
      <c r="D3111" s="878"/>
      <c r="E3111" s="878"/>
      <c r="F3111" s="878"/>
      <c r="G3111" s="878"/>
      <c r="H3111" s="878"/>
    </row>
    <row r="3112" spans="1:8" ht="14.25">
      <c r="A3112" s="677" t="s">
        <v>3675</v>
      </c>
      <c r="B3112" s="888" t="s">
        <v>1380</v>
      </c>
      <c r="C3112" s="879"/>
      <c r="D3112" s="879"/>
      <c r="E3112" s="879"/>
      <c r="F3112" s="879"/>
      <c r="G3112" s="879"/>
      <c r="H3112" s="879"/>
    </row>
    <row r="3113" spans="1:8" ht="31.5">
      <c r="A3113" s="1"/>
      <c r="B3113" s="68" t="s">
        <v>2966</v>
      </c>
      <c r="C3113" s="68" t="s">
        <v>2967</v>
      </c>
      <c r="D3113" s="68" t="s">
        <v>2968</v>
      </c>
      <c r="E3113" s="68" t="s">
        <v>2969</v>
      </c>
      <c r="F3113" s="68" t="s">
        <v>2970</v>
      </c>
      <c r="G3113" s="68" t="s">
        <v>2971</v>
      </c>
      <c r="H3113" s="68" t="s">
        <v>1487</v>
      </c>
    </row>
    <row r="3114" spans="1:8" ht="17.25">
      <c r="A3114" s="1"/>
      <c r="B3114" s="889" t="s">
        <v>1488</v>
      </c>
      <c r="C3114" s="58" t="s">
        <v>516</v>
      </c>
      <c r="D3114" s="41">
        <v>3</v>
      </c>
      <c r="E3114" s="55" t="s">
        <v>1490</v>
      </c>
      <c r="F3114" s="107" t="e">
        <f>#REF!</f>
        <v>#REF!</v>
      </c>
      <c r="G3114" s="107" t="e">
        <f>FLOOR(D3114*F3114,0.01)</f>
        <v>#REF!</v>
      </c>
      <c r="H3114" s="108"/>
    </row>
    <row r="3115" spans="1:8" ht="17.25">
      <c r="A3115" s="1"/>
      <c r="B3115" s="887"/>
      <c r="C3115" s="78" t="s">
        <v>1433</v>
      </c>
      <c r="D3115" s="43">
        <v>2.7</v>
      </c>
      <c r="E3115" s="56" t="s">
        <v>1490</v>
      </c>
      <c r="F3115" s="63" t="e">
        <f>#REF!</f>
        <v>#REF!</v>
      </c>
      <c r="G3115" s="63" t="e">
        <f>FLOOR(D3115*F3115,0.01)</f>
        <v>#REF!</v>
      </c>
      <c r="H3115" s="123" t="e">
        <f>SUM(G3114+G3115)</f>
        <v>#REF!</v>
      </c>
    </row>
    <row r="3116" spans="1:8" ht="17.25">
      <c r="A3116" s="1"/>
      <c r="B3116" s="886" t="s">
        <v>2055</v>
      </c>
      <c r="C3116" s="55" t="s">
        <v>1079</v>
      </c>
      <c r="D3116" s="41">
        <v>32</v>
      </c>
      <c r="E3116" s="55" t="s">
        <v>2748</v>
      </c>
      <c r="F3116" s="109" t="e">
        <f>#REF!</f>
        <v>#REF!</v>
      </c>
      <c r="G3116" s="110" t="e">
        <f>FLOOR(D3116*F3116,0.01)</f>
        <v>#REF!</v>
      </c>
      <c r="H3116" s="108"/>
    </row>
    <row r="3117" spans="1:8" ht="17.25">
      <c r="A3117" s="1"/>
      <c r="B3117" s="887"/>
      <c r="C3117" s="56" t="s">
        <v>2015</v>
      </c>
      <c r="D3117" s="43">
        <v>1.28</v>
      </c>
      <c r="E3117" s="56" t="s">
        <v>2748</v>
      </c>
      <c r="F3117" s="63" t="e">
        <f>#REF!</f>
        <v>#REF!</v>
      </c>
      <c r="G3117" s="63" t="e">
        <f>FLOOR(D3117*F3117,0.01)</f>
        <v>#REF!</v>
      </c>
      <c r="H3117" s="123" t="e">
        <f>SUM(G3116:G3117)</f>
        <v>#REF!</v>
      </c>
    </row>
    <row r="3118" spans="1:8" ht="19.5">
      <c r="A3118" s="1"/>
      <c r="B3118" s="1"/>
      <c r="C3118" s="1"/>
      <c r="D3118" s="1"/>
      <c r="E3118" s="1"/>
      <c r="F3118" s="40" t="s">
        <v>1491</v>
      </c>
      <c r="G3118" s="133"/>
      <c r="H3118" s="63" t="e">
        <f>SUM(H3117,H3115)</f>
        <v>#REF!</v>
      </c>
    </row>
    <row r="3119" spans="1:8" ht="19.5">
      <c r="A3119" s="1"/>
      <c r="B3119" s="1" t="s">
        <v>1493</v>
      </c>
      <c r="C3119" s="1"/>
      <c r="D3119" s="1"/>
      <c r="E3119" s="1"/>
      <c r="F3119" s="40" t="s">
        <v>1472</v>
      </c>
      <c r="G3119" s="133"/>
      <c r="H3119" s="99" t="e">
        <f>FLOOR(H3118*0.15,0.01)</f>
        <v>#REF!</v>
      </c>
    </row>
    <row r="3120" spans="1:8" ht="19.5">
      <c r="B3120" s="140" t="e">
        <f>+H3120</f>
        <v>#REF!</v>
      </c>
      <c r="C3120" s="27" t="s">
        <v>3801</v>
      </c>
      <c r="D3120" s="99" t="e">
        <f>INT(B3120/B3121*100)/100</f>
        <v>#REF!</v>
      </c>
      <c r="E3120" s="1" t="s">
        <v>3006</v>
      </c>
      <c r="F3120" s="40" t="s">
        <v>1494</v>
      </c>
      <c r="G3120" s="133"/>
      <c r="H3120" s="99" t="e">
        <f>SUM(H3118:H3119)</f>
        <v>#REF!</v>
      </c>
    </row>
    <row r="3121" spans="1:8" ht="16.5">
      <c r="A3121" s="1"/>
      <c r="B3121" s="117">
        <v>100</v>
      </c>
      <c r="C3121" s="1"/>
      <c r="D3121" s="1"/>
      <c r="E3121" s="1"/>
      <c r="F3121" s="1"/>
      <c r="G3121" s="1"/>
      <c r="H3121" s="1"/>
    </row>
    <row r="3122" spans="1:8" ht="16.5">
      <c r="A3122" s="1"/>
      <c r="B3122" s="117"/>
      <c r="C3122" s="1"/>
      <c r="D3122" s="1"/>
      <c r="E3122" s="1"/>
      <c r="F3122" s="1"/>
      <c r="G3122" s="1"/>
      <c r="H3122" s="1"/>
    </row>
    <row r="3123" spans="1:8" ht="20.25">
      <c r="A3123" s="260">
        <f>+A3111+1</f>
        <v>185</v>
      </c>
      <c r="B3123" s="877" t="s">
        <v>1417</v>
      </c>
      <c r="C3123" s="878"/>
      <c r="D3123" s="878"/>
      <c r="E3123" s="878"/>
      <c r="F3123" s="878"/>
      <c r="G3123" s="878"/>
      <c r="H3123" s="878"/>
    </row>
    <row r="3124" spans="1:8" ht="14.25">
      <c r="A3124" s="677" t="s">
        <v>3676</v>
      </c>
      <c r="B3124" s="888" t="s">
        <v>1380</v>
      </c>
      <c r="C3124" s="879"/>
      <c r="D3124" s="879"/>
      <c r="E3124" s="879"/>
      <c r="F3124" s="879"/>
      <c r="G3124" s="879"/>
      <c r="H3124" s="879"/>
    </row>
    <row r="3125" spans="1:8" ht="31.5">
      <c r="A3125" s="1"/>
      <c r="B3125" s="68" t="s">
        <v>2966</v>
      </c>
      <c r="C3125" s="68" t="s">
        <v>2967</v>
      </c>
      <c r="D3125" s="68" t="s">
        <v>2968</v>
      </c>
      <c r="E3125" s="68" t="s">
        <v>2969</v>
      </c>
      <c r="F3125" s="68" t="s">
        <v>2970</v>
      </c>
      <c r="G3125" s="68" t="s">
        <v>2971</v>
      </c>
      <c r="H3125" s="68" t="s">
        <v>1487</v>
      </c>
    </row>
    <row r="3126" spans="1:8" ht="17.25">
      <c r="A3126" s="1"/>
      <c r="B3126" s="889" t="s">
        <v>1488</v>
      </c>
      <c r="C3126" s="58" t="s">
        <v>516</v>
      </c>
      <c r="D3126" s="41">
        <v>0.8</v>
      </c>
      <c r="E3126" s="55" t="s">
        <v>1490</v>
      </c>
      <c r="F3126" s="107" t="e">
        <f>#REF!</f>
        <v>#REF!</v>
      </c>
      <c r="G3126" s="107" t="e">
        <f>FLOOR(D3126*F3126,0.01)</f>
        <v>#REF!</v>
      </c>
      <c r="H3126" s="108"/>
    </row>
    <row r="3127" spans="1:8" ht="17.25">
      <c r="A3127" s="1"/>
      <c r="B3127" s="887"/>
      <c r="C3127" s="78" t="s">
        <v>1433</v>
      </c>
      <c r="D3127" s="43">
        <v>0.7</v>
      </c>
      <c r="E3127" s="56" t="s">
        <v>1490</v>
      </c>
      <c r="F3127" s="63" t="e">
        <f>#REF!</f>
        <v>#REF!</v>
      </c>
      <c r="G3127" s="63" t="e">
        <f>FLOOR(D3127*F3127,0.01)</f>
        <v>#REF!</v>
      </c>
      <c r="H3127" s="123" t="e">
        <f>SUM(G3126+G3127)</f>
        <v>#REF!</v>
      </c>
    </row>
    <row r="3128" spans="1:8" ht="17.25">
      <c r="A3128" s="1"/>
      <c r="B3128" s="886" t="s">
        <v>2055</v>
      </c>
      <c r="C3128" s="55" t="s">
        <v>1079</v>
      </c>
      <c r="D3128" s="41">
        <v>10</v>
      </c>
      <c r="E3128" s="55" t="s">
        <v>2748</v>
      </c>
      <c r="F3128" s="109" t="e">
        <f>#REF!</f>
        <v>#REF!</v>
      </c>
      <c r="G3128" s="110" t="e">
        <f>FLOOR(D3128*F3128,0.01)</f>
        <v>#REF!</v>
      </c>
      <c r="H3128" s="108"/>
    </row>
    <row r="3129" spans="1:8" ht="17.25">
      <c r="A3129" s="1"/>
      <c r="B3129" s="887"/>
      <c r="C3129" s="56" t="s">
        <v>2015</v>
      </c>
      <c r="D3129" s="43">
        <v>0.4</v>
      </c>
      <c r="E3129" s="56" t="s">
        <v>2748</v>
      </c>
      <c r="F3129" s="63" t="e">
        <f>#REF!</f>
        <v>#REF!</v>
      </c>
      <c r="G3129" s="63" t="e">
        <f>FLOOR(D3129*F3129,0.01)</f>
        <v>#REF!</v>
      </c>
      <c r="H3129" s="123" t="e">
        <f>SUM(G3128:G3129)</f>
        <v>#REF!</v>
      </c>
    </row>
    <row r="3130" spans="1:8" ht="19.5">
      <c r="A3130" s="1"/>
      <c r="B3130" s="1"/>
      <c r="C3130" s="1"/>
      <c r="D3130" s="1"/>
      <c r="E3130" s="1"/>
      <c r="F3130" s="40" t="s">
        <v>1491</v>
      </c>
      <c r="G3130" s="133"/>
      <c r="H3130" s="63" t="e">
        <f>SUM(H3129,H3127)</f>
        <v>#REF!</v>
      </c>
    </row>
    <row r="3131" spans="1:8" ht="19.5">
      <c r="A3131" s="1"/>
      <c r="B3131" s="1" t="s">
        <v>1493</v>
      </c>
      <c r="C3131" s="1"/>
      <c r="D3131" s="1"/>
      <c r="E3131" s="1"/>
      <c r="F3131" s="40" t="s">
        <v>1472</v>
      </c>
      <c r="G3131" s="133"/>
      <c r="H3131" s="99" t="e">
        <f>FLOOR(H3130*0.15,0.01)</f>
        <v>#REF!</v>
      </c>
    </row>
    <row r="3132" spans="1:8" ht="19.5">
      <c r="B3132" s="140" t="e">
        <f>+H3132</f>
        <v>#REF!</v>
      </c>
      <c r="C3132" s="27" t="s">
        <v>3801</v>
      </c>
      <c r="D3132" s="99" t="e">
        <f>INT(B3132/B3133*100)/100</f>
        <v>#REF!</v>
      </c>
      <c r="E3132" s="1" t="s">
        <v>3006</v>
      </c>
      <c r="F3132" s="40" t="s">
        <v>1494</v>
      </c>
      <c r="G3132" s="133"/>
      <c r="H3132" s="99" t="e">
        <f>SUM(H3130:H3131)</f>
        <v>#REF!</v>
      </c>
    </row>
    <row r="3133" spans="1:8" ht="16.5">
      <c r="A3133" s="1"/>
      <c r="B3133" s="117">
        <v>100</v>
      </c>
      <c r="C3133" s="1"/>
      <c r="D3133" s="1"/>
      <c r="E3133" s="1"/>
      <c r="F3133" s="1"/>
      <c r="G3133" s="1"/>
      <c r="H3133" s="1"/>
    </row>
    <row r="3134" spans="1:8" ht="16.5">
      <c r="A3134" s="1"/>
      <c r="B3134" s="117"/>
      <c r="C3134" s="1"/>
      <c r="D3134" s="1"/>
      <c r="E3134" s="1"/>
      <c r="F3134" s="1"/>
      <c r="G3134" s="1"/>
      <c r="H3134" s="1"/>
    </row>
    <row r="3135" spans="1:8" ht="16.5">
      <c r="A3135" s="1"/>
      <c r="B3135" s="117"/>
      <c r="C3135" s="1"/>
      <c r="D3135" s="1"/>
      <c r="E3135" s="1"/>
      <c r="F3135" s="1"/>
      <c r="G3135" s="1"/>
      <c r="H3135" s="1"/>
    </row>
    <row r="3136" spans="1:8" ht="15">
      <c r="A3136" s="31"/>
      <c r="B3136" s="1"/>
      <c r="C3136" s="1"/>
      <c r="D3136" s="1"/>
      <c r="E3136" s="1"/>
      <c r="F3136" s="1"/>
      <c r="G3136" s="1"/>
      <c r="H3136" s="1"/>
    </row>
    <row r="3137" spans="1:8" ht="20.25">
      <c r="A3137" s="138">
        <f>+A3123+1</f>
        <v>186</v>
      </c>
      <c r="B3137" s="877" t="s">
        <v>1418</v>
      </c>
      <c r="C3137" s="878"/>
      <c r="D3137" s="878"/>
      <c r="E3137" s="878"/>
      <c r="F3137" s="878"/>
      <c r="G3137" s="878"/>
      <c r="H3137" s="878"/>
    </row>
    <row r="3138" spans="1:8" ht="14.25">
      <c r="A3138" s="677" t="s">
        <v>3677</v>
      </c>
      <c r="B3138" s="928" t="s">
        <v>1380</v>
      </c>
      <c r="C3138" s="885"/>
      <c r="D3138" s="885"/>
      <c r="E3138" s="885"/>
      <c r="F3138" s="885"/>
      <c r="G3138" s="885"/>
      <c r="H3138" s="885"/>
    </row>
    <row r="3139" spans="1:8" ht="31.5">
      <c r="A3139" s="1"/>
      <c r="B3139" s="68" t="s">
        <v>2966</v>
      </c>
      <c r="C3139" s="68" t="s">
        <v>2967</v>
      </c>
      <c r="D3139" s="68" t="s">
        <v>2968</v>
      </c>
      <c r="E3139" s="68" t="s">
        <v>2969</v>
      </c>
      <c r="F3139" s="68" t="s">
        <v>2970</v>
      </c>
      <c r="G3139" s="68" t="s">
        <v>2971</v>
      </c>
      <c r="H3139" s="68" t="s">
        <v>1487</v>
      </c>
    </row>
    <row r="3140" spans="1:8" ht="17.25">
      <c r="A3140" s="1"/>
      <c r="B3140" s="889" t="s">
        <v>1488</v>
      </c>
      <c r="C3140" s="58" t="s">
        <v>516</v>
      </c>
      <c r="D3140" s="41">
        <v>4</v>
      </c>
      <c r="E3140" s="55" t="s">
        <v>1490</v>
      </c>
      <c r="F3140" s="107"/>
      <c r="G3140" s="107">
        <f>FLOOR(D3140*F3140,0.01)</f>
        <v>0</v>
      </c>
      <c r="H3140" s="108"/>
    </row>
    <row r="3141" spans="1:8" ht="17.25">
      <c r="A3141" s="1"/>
      <c r="B3141" s="887"/>
      <c r="C3141" s="78" t="s">
        <v>1433</v>
      </c>
      <c r="D3141" s="43">
        <v>4</v>
      </c>
      <c r="E3141" s="56" t="s">
        <v>1490</v>
      </c>
      <c r="F3141" s="63"/>
      <c r="G3141" s="63">
        <f>FLOOR(D3141*F3141,0.01)</f>
        <v>0</v>
      </c>
      <c r="H3141" s="123">
        <f>SUM(G3140+G3141)</f>
        <v>0</v>
      </c>
    </row>
    <row r="3142" spans="1:8" ht="17.25">
      <c r="A3142" s="1"/>
      <c r="B3142" s="886" t="s">
        <v>2055</v>
      </c>
      <c r="C3142" s="55" t="s">
        <v>1419</v>
      </c>
      <c r="D3142" s="41">
        <v>8</v>
      </c>
      <c r="E3142" s="55" t="s">
        <v>2517</v>
      </c>
      <c r="F3142" s="109"/>
      <c r="G3142" s="110">
        <f>FLOOR(D3142*F3142,0.01)</f>
        <v>0</v>
      </c>
      <c r="H3142" s="108"/>
    </row>
    <row r="3143" spans="1:8" ht="17.25">
      <c r="A3143" s="1"/>
      <c r="B3143" s="887"/>
      <c r="C3143" s="56" t="s">
        <v>1420</v>
      </c>
      <c r="D3143" s="43">
        <v>6.5</v>
      </c>
      <c r="E3143" s="56" t="s">
        <v>2748</v>
      </c>
      <c r="F3143" s="63"/>
      <c r="G3143" s="63">
        <f>FLOOR(D3143*F3143,0.01)</f>
        <v>0</v>
      </c>
      <c r="H3143" s="123">
        <f>SUM(G3142:G3143)</f>
        <v>0</v>
      </c>
    </row>
    <row r="3144" spans="1:8" ht="19.5">
      <c r="A3144" s="1"/>
      <c r="B3144" s="1"/>
      <c r="C3144" s="1"/>
      <c r="D3144" s="1"/>
      <c r="E3144" s="1"/>
      <c r="F3144" s="40" t="s">
        <v>1491</v>
      </c>
      <c r="G3144" s="133"/>
      <c r="H3144" s="63">
        <f>SUM(H3141:H3143)</f>
        <v>0</v>
      </c>
    </row>
    <row r="3145" spans="1:8" ht="19.5">
      <c r="A3145" s="1"/>
      <c r="B3145" s="1" t="s">
        <v>1493</v>
      </c>
      <c r="C3145" s="1"/>
      <c r="D3145" s="1"/>
      <c r="E3145" s="1"/>
      <c r="F3145" s="40" t="s">
        <v>1472</v>
      </c>
      <c r="G3145" s="133"/>
      <c r="H3145" s="99">
        <f>FLOOR(H3144*0.15,0.01)</f>
        <v>0</v>
      </c>
    </row>
    <row r="3146" spans="1:8" ht="19.5">
      <c r="B3146" s="140">
        <f>+H3146</f>
        <v>0</v>
      </c>
      <c r="C3146" s="27" t="s">
        <v>3801</v>
      </c>
      <c r="D3146" s="99">
        <f>INT(B3146/B3147*100)/100</f>
        <v>0</v>
      </c>
      <c r="E3146" s="1" t="s">
        <v>3006</v>
      </c>
      <c r="F3146" s="40" t="s">
        <v>1494</v>
      </c>
      <c r="G3146" s="133"/>
      <c r="H3146" s="99">
        <f>SUM(H3144:H3145)</f>
        <v>0</v>
      </c>
    </row>
    <row r="3147" spans="1:8" ht="16.5">
      <c r="A3147" s="1"/>
      <c r="B3147" s="117">
        <v>100</v>
      </c>
      <c r="C3147" s="1"/>
      <c r="D3147" s="1"/>
      <c r="E3147" s="1"/>
      <c r="F3147" s="1"/>
      <c r="G3147" s="1"/>
      <c r="H3147" s="1"/>
    </row>
    <row r="3148" spans="1:8" ht="16.5">
      <c r="A3148" s="1"/>
      <c r="B3148" s="117"/>
      <c r="C3148" s="1"/>
      <c r="D3148" s="1"/>
      <c r="E3148" s="1"/>
      <c r="F3148" s="1"/>
      <c r="G3148" s="1"/>
      <c r="H3148" s="1"/>
    </row>
    <row r="3149" spans="1:8" ht="16.5">
      <c r="A3149" s="1"/>
      <c r="B3149" s="117"/>
      <c r="C3149" s="1"/>
      <c r="D3149" s="1"/>
      <c r="E3149" s="1"/>
      <c r="F3149" s="1"/>
      <c r="G3149" s="1"/>
      <c r="H3149" s="1"/>
    </row>
    <row r="3150" spans="1:8" ht="16.5">
      <c r="A3150" s="1"/>
      <c r="B3150" s="117"/>
      <c r="C3150" s="1"/>
      <c r="D3150" s="1"/>
      <c r="E3150" s="1"/>
      <c r="F3150" s="1"/>
      <c r="G3150" s="1"/>
      <c r="H3150" s="1"/>
    </row>
    <row r="3151" spans="1:8" ht="15">
      <c r="A3151" s="1"/>
      <c r="B3151" s="1"/>
      <c r="C3151" s="1"/>
      <c r="D3151" s="1"/>
      <c r="E3151" s="1"/>
      <c r="F3151" s="1"/>
      <c r="G3151" s="1"/>
      <c r="H3151" s="1"/>
    </row>
    <row r="3152" spans="1:8" ht="20.25">
      <c r="A3152" s="260">
        <f>+A3137+1</f>
        <v>187</v>
      </c>
      <c r="B3152" s="877" t="s">
        <v>1421</v>
      </c>
      <c r="C3152" s="878"/>
      <c r="D3152" s="878"/>
      <c r="E3152" s="878"/>
      <c r="F3152" s="878"/>
      <c r="G3152" s="878"/>
      <c r="H3152" s="878"/>
    </row>
    <row r="3153" spans="1:8" ht="14.25">
      <c r="A3153" s="677" t="s">
        <v>3677</v>
      </c>
      <c r="B3153" s="888" t="s">
        <v>1380</v>
      </c>
      <c r="C3153" s="879"/>
      <c r="D3153" s="879"/>
      <c r="E3153" s="879"/>
      <c r="F3153" s="879"/>
      <c r="G3153" s="879"/>
      <c r="H3153" s="879"/>
    </row>
    <row r="3154" spans="1:8" ht="15">
      <c r="A3154" s="1"/>
      <c r="B3154" s="3"/>
      <c r="C3154" s="1"/>
      <c r="D3154" s="1"/>
      <c r="E3154" s="1"/>
      <c r="F3154" s="3"/>
      <c r="G3154" s="3"/>
      <c r="H3154" s="3"/>
    </row>
    <row r="3155" spans="1:8" ht="31.5">
      <c r="A3155" s="1"/>
      <c r="B3155" s="68" t="s">
        <v>2966</v>
      </c>
      <c r="C3155" s="68" t="s">
        <v>2967</v>
      </c>
      <c r="D3155" s="68" t="s">
        <v>2968</v>
      </c>
      <c r="E3155" s="68" t="s">
        <v>2969</v>
      </c>
      <c r="F3155" s="68" t="s">
        <v>2970</v>
      </c>
      <c r="G3155" s="68" t="s">
        <v>2971</v>
      </c>
      <c r="H3155" s="68" t="s">
        <v>1487</v>
      </c>
    </row>
    <row r="3156" spans="1:8" ht="17.25">
      <c r="A3156" s="1"/>
      <c r="B3156" s="889" t="s">
        <v>1488</v>
      </c>
      <c r="C3156" s="58" t="s">
        <v>516</v>
      </c>
      <c r="D3156" s="41">
        <v>5.8</v>
      </c>
      <c r="E3156" s="55" t="s">
        <v>1490</v>
      </c>
      <c r="F3156" s="107"/>
      <c r="G3156" s="107">
        <f>FLOOR(D3156*F3156,0.01)</f>
        <v>0</v>
      </c>
      <c r="H3156" s="108"/>
    </row>
    <row r="3157" spans="1:8" ht="17.25">
      <c r="A3157" s="1"/>
      <c r="B3157" s="887"/>
      <c r="C3157" s="78" t="s">
        <v>1433</v>
      </c>
      <c r="D3157" s="43">
        <v>5.8</v>
      </c>
      <c r="E3157" s="56" t="s">
        <v>1490</v>
      </c>
      <c r="F3157" s="63"/>
      <c r="G3157" s="63">
        <f>FLOOR(D3157*F3157,0.01)</f>
        <v>0</v>
      </c>
      <c r="H3157" s="123">
        <f>SUM(G3156+G3157)</f>
        <v>0</v>
      </c>
    </row>
    <row r="3158" spans="1:8" ht="17.25">
      <c r="A3158" s="1"/>
      <c r="B3158" s="886" t="s">
        <v>2055</v>
      </c>
      <c r="C3158" s="55" t="s">
        <v>1419</v>
      </c>
      <c r="D3158" s="48">
        <v>8</v>
      </c>
      <c r="E3158" s="55" t="s">
        <v>2517</v>
      </c>
      <c r="F3158" s="109"/>
      <c r="G3158" s="110">
        <f>FLOOR(D3158*F3158,0.01)</f>
        <v>0</v>
      </c>
      <c r="H3158" s="108"/>
    </row>
    <row r="3159" spans="1:8" ht="17.25">
      <c r="A3159" s="1"/>
      <c r="B3159" s="887"/>
      <c r="C3159" s="56" t="s">
        <v>1420</v>
      </c>
      <c r="D3159" s="43">
        <v>11.5</v>
      </c>
      <c r="E3159" s="56" t="s">
        <v>2748</v>
      </c>
      <c r="F3159" s="63"/>
      <c r="G3159" s="63">
        <f>FLOOR(D3159*F3159,0.01)</f>
        <v>0</v>
      </c>
      <c r="H3159" s="123">
        <f>SUM(G3158:G3159)</f>
        <v>0</v>
      </c>
    </row>
    <row r="3160" spans="1:8" ht="19.5">
      <c r="A3160" s="1"/>
      <c r="B3160" s="1"/>
      <c r="C3160" s="1"/>
      <c r="D3160" s="1"/>
      <c r="E3160" s="1"/>
      <c r="F3160" s="40" t="s">
        <v>1491</v>
      </c>
      <c r="G3160" s="133"/>
      <c r="H3160" s="63">
        <f>SUM(H3159,H3157)</f>
        <v>0</v>
      </c>
    </row>
    <row r="3161" spans="1:8" ht="19.5">
      <c r="A3161" s="1"/>
      <c r="B3161" s="1" t="s">
        <v>1493</v>
      </c>
      <c r="C3161" s="1"/>
      <c r="D3161" s="1"/>
      <c r="E3161" s="1"/>
      <c r="F3161" s="40" t="s">
        <v>1472</v>
      </c>
      <c r="G3161" s="133"/>
      <c r="H3161" s="99">
        <f>FLOOR(H3160*0.15,0.01)</f>
        <v>0</v>
      </c>
    </row>
    <row r="3162" spans="1:8" ht="19.5">
      <c r="B3162" s="140">
        <f>+H3162</f>
        <v>0</v>
      </c>
      <c r="C3162" s="27" t="s">
        <v>3801</v>
      </c>
      <c r="D3162" s="99">
        <f>INT(B3162/B3163*100)/100</f>
        <v>0</v>
      </c>
      <c r="E3162" s="1" t="s">
        <v>3006</v>
      </c>
      <c r="F3162" s="40" t="s">
        <v>1494</v>
      </c>
      <c r="G3162" s="133"/>
      <c r="H3162" s="99">
        <f>SUM(H3160:H3161)</f>
        <v>0</v>
      </c>
    </row>
    <row r="3163" spans="1:8" ht="16.5">
      <c r="A3163" s="1"/>
      <c r="B3163" s="117">
        <v>100</v>
      </c>
      <c r="C3163" s="1"/>
      <c r="D3163" s="1"/>
      <c r="E3163" s="1"/>
      <c r="F3163" s="1"/>
      <c r="G3163" s="1"/>
      <c r="H3163" s="1"/>
    </row>
    <row r="3164" spans="1:8" ht="16.5">
      <c r="A3164" s="1"/>
      <c r="B3164" s="117"/>
      <c r="C3164" s="1"/>
      <c r="D3164" s="1"/>
      <c r="E3164" s="1"/>
      <c r="F3164" s="1"/>
      <c r="G3164" s="1"/>
      <c r="H3164" s="1"/>
    </row>
    <row r="3165" spans="1:8" ht="20.25">
      <c r="A3165" s="260">
        <f>+A3152+1</f>
        <v>188</v>
      </c>
      <c r="B3165" s="877" t="s">
        <v>1422</v>
      </c>
      <c r="C3165" s="878"/>
      <c r="D3165" s="878"/>
      <c r="E3165" s="878"/>
      <c r="F3165" s="878"/>
      <c r="G3165" s="878"/>
      <c r="H3165" s="878"/>
    </row>
    <row r="3166" spans="1:8" ht="14.25">
      <c r="A3166" s="677" t="s">
        <v>3678</v>
      </c>
      <c r="B3166" s="888" t="s">
        <v>1380</v>
      </c>
      <c r="C3166" s="879"/>
      <c r="D3166" s="879"/>
      <c r="E3166" s="879"/>
      <c r="F3166" s="879"/>
      <c r="G3166" s="879"/>
      <c r="H3166" s="879"/>
    </row>
    <row r="3167" spans="1:8" ht="31.5">
      <c r="A3167" s="1"/>
      <c r="B3167" s="68" t="s">
        <v>2966</v>
      </c>
      <c r="C3167" s="68" t="s">
        <v>2967</v>
      </c>
      <c r="D3167" s="68" t="s">
        <v>2968</v>
      </c>
      <c r="E3167" s="68" t="s">
        <v>2969</v>
      </c>
      <c r="F3167" s="68" t="s">
        <v>2970</v>
      </c>
      <c r="G3167" s="68" t="s">
        <v>2971</v>
      </c>
      <c r="H3167" s="68" t="s">
        <v>1487</v>
      </c>
    </row>
    <row r="3168" spans="1:8" ht="17.25">
      <c r="A3168" s="1"/>
      <c r="B3168" s="889" t="s">
        <v>1488</v>
      </c>
      <c r="C3168" s="58" t="s">
        <v>516</v>
      </c>
      <c r="D3168" s="41">
        <v>1.7</v>
      </c>
      <c r="E3168" s="55" t="s">
        <v>1490</v>
      </c>
      <c r="F3168" s="107" t="e">
        <f>#REF!</f>
        <v>#REF!</v>
      </c>
      <c r="G3168" s="107" t="e">
        <f>FLOOR(D3168*F3168,0.01)</f>
        <v>#REF!</v>
      </c>
      <c r="H3168" s="108"/>
    </row>
    <row r="3169" spans="1:8" ht="17.25">
      <c r="A3169" s="1"/>
      <c r="B3169" s="896"/>
      <c r="C3169" s="78" t="s">
        <v>1433</v>
      </c>
      <c r="D3169" s="43">
        <v>1.7</v>
      </c>
      <c r="E3169" s="56" t="s">
        <v>1490</v>
      </c>
      <c r="F3169" s="63" t="e">
        <f>#REF!</f>
        <v>#REF!</v>
      </c>
      <c r="G3169" s="63" t="e">
        <f>FLOOR(D3169*F3169,0.01)</f>
        <v>#REF!</v>
      </c>
      <c r="H3169" s="123" t="e">
        <f>SUM(G3168+G3169)</f>
        <v>#REF!</v>
      </c>
    </row>
    <row r="3170" spans="1:8" ht="15">
      <c r="A3170" s="1"/>
      <c r="B3170" s="886" t="s">
        <v>2055</v>
      </c>
      <c r="C3170" s="886" t="s">
        <v>1423</v>
      </c>
      <c r="D3170" s="949">
        <v>30</v>
      </c>
      <c r="E3170" s="886" t="s">
        <v>2748</v>
      </c>
      <c r="F3170" s="949" t="e">
        <f>#REF!</f>
        <v>#REF!</v>
      </c>
      <c r="G3170" s="944" t="e">
        <f>FLOOR(D3170*F3170,0.01)</f>
        <v>#REF!</v>
      </c>
      <c r="H3170" s="944" t="e">
        <f>SUM(G3170:G3170)</f>
        <v>#REF!</v>
      </c>
    </row>
    <row r="3171" spans="1:8" ht="15">
      <c r="A3171" s="1"/>
      <c r="B3171" s="895"/>
      <c r="C3171" s="895"/>
      <c r="D3171" s="950"/>
      <c r="E3171" s="895"/>
      <c r="F3171" s="950"/>
      <c r="G3171" s="946">
        <f>FLOOR(D3171*F3171,0.01)</f>
        <v>0</v>
      </c>
      <c r="H3171" s="946"/>
    </row>
    <row r="3172" spans="1:8" ht="19.5">
      <c r="A3172" s="1"/>
      <c r="B3172" s="1"/>
      <c r="C3172" s="1"/>
      <c r="D3172" s="1"/>
      <c r="E3172" s="1"/>
      <c r="F3172" s="40" t="s">
        <v>1491</v>
      </c>
      <c r="G3172" s="133"/>
      <c r="H3172" s="63" t="e">
        <f>SUM(H3170,H3169)</f>
        <v>#REF!</v>
      </c>
    </row>
    <row r="3173" spans="1:8" ht="19.5">
      <c r="A3173" s="1"/>
      <c r="B3173" s="1" t="s">
        <v>1493</v>
      </c>
      <c r="C3173" s="1"/>
      <c r="D3173" s="1"/>
      <c r="E3173" s="1"/>
      <c r="F3173" s="40" t="s">
        <v>1472</v>
      </c>
      <c r="G3173" s="133"/>
      <c r="H3173" s="99" t="e">
        <f>FLOOR(H3172*0.15,0.01)</f>
        <v>#REF!</v>
      </c>
    </row>
    <row r="3174" spans="1:8" ht="19.5">
      <c r="B3174" s="140" t="e">
        <f>+H3174</f>
        <v>#REF!</v>
      </c>
      <c r="C3174" s="27" t="s">
        <v>3801</v>
      </c>
      <c r="D3174" s="99" t="e">
        <f>INT(B3174/B3175*100)/100</f>
        <v>#REF!</v>
      </c>
      <c r="E3174" s="1" t="s">
        <v>3006</v>
      </c>
      <c r="F3174" s="40" t="s">
        <v>1494</v>
      </c>
      <c r="G3174" s="133"/>
      <c r="H3174" s="99" t="e">
        <f>SUM(H3172:H3173)</f>
        <v>#REF!</v>
      </c>
    </row>
    <row r="3175" spans="1:8" ht="16.5">
      <c r="A3175" s="1"/>
      <c r="B3175" s="117">
        <v>100</v>
      </c>
      <c r="C3175" s="1"/>
      <c r="D3175" s="1"/>
      <c r="E3175" s="1"/>
      <c r="F3175" s="1"/>
      <c r="G3175" s="1"/>
      <c r="H3175" s="1"/>
    </row>
    <row r="3176" spans="1:8" ht="16.5">
      <c r="A3176" s="1"/>
      <c r="B3176" s="117"/>
      <c r="C3176" s="1"/>
      <c r="D3176" s="1"/>
      <c r="E3176" s="1"/>
      <c r="F3176" s="1"/>
      <c r="G3176" s="1"/>
      <c r="H3176" s="1"/>
    </row>
    <row r="3177" spans="1:8" ht="16.5">
      <c r="A3177" s="1"/>
      <c r="B3177" s="117"/>
      <c r="C3177" s="1"/>
      <c r="D3177" s="1"/>
      <c r="E3177" s="1"/>
      <c r="F3177" s="1"/>
      <c r="G3177" s="1"/>
      <c r="H3177" s="1"/>
    </row>
    <row r="3178" spans="1:8" ht="15">
      <c r="A3178" s="31"/>
      <c r="B3178" s="1"/>
      <c r="C3178" s="1"/>
      <c r="D3178" s="1"/>
      <c r="E3178" s="1"/>
      <c r="F3178" s="1"/>
      <c r="G3178" s="1"/>
      <c r="H3178" s="1"/>
    </row>
    <row r="3179" spans="1:8" ht="20.25">
      <c r="A3179" s="260">
        <f>+A3165+1</f>
        <v>189</v>
      </c>
      <c r="B3179" s="877" t="s">
        <v>1424</v>
      </c>
      <c r="C3179" s="878"/>
      <c r="D3179" s="878"/>
      <c r="E3179" s="878"/>
      <c r="F3179" s="878"/>
      <c r="G3179" s="878"/>
      <c r="H3179" s="878"/>
    </row>
    <row r="3180" spans="1:8" ht="14.25">
      <c r="A3180" s="677" t="s">
        <v>3678</v>
      </c>
      <c r="B3180" s="888" t="s">
        <v>1380</v>
      </c>
      <c r="C3180" s="879"/>
      <c r="D3180" s="879"/>
      <c r="E3180" s="879"/>
      <c r="F3180" s="879"/>
      <c r="G3180" s="879"/>
      <c r="H3180" s="879"/>
    </row>
    <row r="3181" spans="1:8" ht="31.5">
      <c r="A3181" s="1"/>
      <c r="B3181" s="68" t="s">
        <v>2966</v>
      </c>
      <c r="C3181" s="68" t="s">
        <v>2967</v>
      </c>
      <c r="D3181" s="68" t="s">
        <v>2968</v>
      </c>
      <c r="E3181" s="68" t="s">
        <v>2969</v>
      </c>
      <c r="F3181" s="68" t="s">
        <v>2970</v>
      </c>
      <c r="G3181" s="68" t="s">
        <v>2971</v>
      </c>
      <c r="H3181" s="68" t="s">
        <v>1487</v>
      </c>
    </row>
    <row r="3182" spans="1:8" ht="17.25">
      <c r="A3182" s="1"/>
      <c r="B3182" s="886" t="s">
        <v>1488</v>
      </c>
      <c r="C3182" s="58" t="s">
        <v>516</v>
      </c>
      <c r="D3182" s="41">
        <v>5</v>
      </c>
      <c r="E3182" s="55" t="s">
        <v>1490</v>
      </c>
      <c r="F3182" s="107" t="e">
        <f>#REF!</f>
        <v>#REF!</v>
      </c>
      <c r="G3182" s="107" t="e">
        <f>FLOOR(D3182*F3182,0.01)</f>
        <v>#REF!</v>
      </c>
      <c r="H3182" s="108"/>
    </row>
    <row r="3183" spans="1:8" ht="17.25">
      <c r="A3183" s="1"/>
      <c r="B3183" s="895"/>
      <c r="C3183" s="78" t="s">
        <v>1433</v>
      </c>
      <c r="D3183" s="43">
        <v>5</v>
      </c>
      <c r="E3183" s="56" t="s">
        <v>1490</v>
      </c>
      <c r="F3183" s="63" t="e">
        <f>#REF!</f>
        <v>#REF!</v>
      </c>
      <c r="G3183" s="63" t="e">
        <f>FLOOR(D3183*F3183,0.01)</f>
        <v>#REF!</v>
      </c>
      <c r="H3183" s="123" t="e">
        <f>SUM(G3182+G3183)</f>
        <v>#REF!</v>
      </c>
    </row>
    <row r="3184" spans="1:8" ht="15">
      <c r="A3184" s="1"/>
      <c r="B3184" s="886" t="s">
        <v>2055</v>
      </c>
      <c r="C3184" s="886" t="s">
        <v>1423</v>
      </c>
      <c r="D3184" s="949">
        <v>48.5</v>
      </c>
      <c r="E3184" s="886" t="s">
        <v>2748</v>
      </c>
      <c r="F3184" s="949" t="e">
        <f>#REF!</f>
        <v>#REF!</v>
      </c>
      <c r="G3184" s="944" t="e">
        <f>FLOOR(D3184*F3184,0.01)</f>
        <v>#REF!</v>
      </c>
      <c r="H3184" s="944" t="e">
        <f>SUM(G3184:G3184)</f>
        <v>#REF!</v>
      </c>
    </row>
    <row r="3185" spans="1:8" ht="15">
      <c r="A3185" s="1"/>
      <c r="B3185" s="895"/>
      <c r="C3185" s="895"/>
      <c r="D3185" s="950"/>
      <c r="E3185" s="895"/>
      <c r="F3185" s="950"/>
      <c r="G3185" s="946">
        <f>FLOOR(D3185*F3185,0.01)</f>
        <v>0</v>
      </c>
      <c r="H3185" s="946"/>
    </row>
    <row r="3186" spans="1:8" ht="19.5">
      <c r="A3186" s="1"/>
      <c r="B3186" s="1"/>
      <c r="C3186" s="1"/>
      <c r="D3186" s="1"/>
      <c r="E3186" s="1"/>
      <c r="F3186" s="40" t="s">
        <v>1491</v>
      </c>
      <c r="G3186" s="133"/>
      <c r="H3186" s="63" t="e">
        <f>SUM(H3184,H3183)</f>
        <v>#REF!</v>
      </c>
    </row>
    <row r="3187" spans="1:8" ht="19.5">
      <c r="A3187" s="1"/>
      <c r="B3187" s="1" t="s">
        <v>1493</v>
      </c>
      <c r="C3187" s="1"/>
      <c r="D3187" s="1"/>
      <c r="E3187" s="1"/>
      <c r="F3187" s="40" t="s">
        <v>1472</v>
      </c>
      <c r="G3187" s="133"/>
      <c r="H3187" s="99" t="e">
        <f>FLOOR(H3186*0.15,0.01)</f>
        <v>#REF!</v>
      </c>
    </row>
    <row r="3188" spans="1:8" ht="19.5">
      <c r="B3188" s="140" t="e">
        <f>+H3188</f>
        <v>#REF!</v>
      </c>
      <c r="C3188" s="27" t="s">
        <v>3801</v>
      </c>
      <c r="D3188" s="99" t="e">
        <f>INT(B3188/B3189*100)/100</f>
        <v>#REF!</v>
      </c>
      <c r="E3188" s="1" t="s">
        <v>3006</v>
      </c>
      <c r="F3188" s="40" t="s">
        <v>1494</v>
      </c>
      <c r="G3188" s="133"/>
      <c r="H3188" s="99" t="e">
        <f>SUM(H3186:H3187)</f>
        <v>#REF!</v>
      </c>
    </row>
    <row r="3189" spans="1:8" ht="16.5">
      <c r="A3189" s="1"/>
      <c r="B3189" s="117">
        <v>100</v>
      </c>
      <c r="C3189" s="1"/>
      <c r="D3189" s="1"/>
      <c r="E3189" s="1"/>
      <c r="F3189" s="1"/>
      <c r="G3189" s="1"/>
      <c r="H3189" s="1"/>
    </row>
    <row r="3190" spans="1:8" ht="16.5">
      <c r="A3190" s="1"/>
      <c r="B3190" s="117"/>
      <c r="C3190" s="1"/>
      <c r="D3190" s="1"/>
      <c r="E3190" s="1"/>
      <c r="F3190" s="1"/>
      <c r="G3190" s="1"/>
      <c r="H3190" s="1"/>
    </row>
    <row r="3191" spans="1:8" ht="16.5">
      <c r="A3191" s="1"/>
      <c r="B3191" s="117"/>
      <c r="C3191" s="1"/>
      <c r="D3191" s="1"/>
      <c r="E3191" s="1"/>
      <c r="F3191" s="1"/>
      <c r="G3191" s="1"/>
      <c r="H3191" s="1"/>
    </row>
    <row r="3192" spans="1:8" ht="16.5">
      <c r="A3192" s="1"/>
      <c r="B3192" s="117"/>
      <c r="C3192" s="1"/>
      <c r="D3192" s="1"/>
      <c r="E3192" s="1"/>
      <c r="F3192" s="1"/>
      <c r="G3192" s="1"/>
      <c r="H3192" s="1"/>
    </row>
    <row r="3193" spans="1:8" ht="15">
      <c r="A3193" s="1"/>
      <c r="B3193" s="1"/>
      <c r="C3193" s="1"/>
      <c r="D3193" s="1"/>
      <c r="E3193" s="1"/>
      <c r="F3193" s="1"/>
      <c r="G3193" s="1"/>
      <c r="H3193" s="1"/>
    </row>
    <row r="3194" spans="1:8" ht="19.5">
      <c r="A3194" s="1"/>
      <c r="B3194" s="878" t="s">
        <v>1425</v>
      </c>
      <c r="C3194" s="878"/>
      <c r="D3194" s="878"/>
      <c r="E3194" s="878"/>
      <c r="F3194" s="878"/>
      <c r="G3194" s="878"/>
      <c r="H3194" s="878"/>
    </row>
    <row r="3195" spans="1:8" ht="20.25">
      <c r="A3195" s="260">
        <f>+A3179+1</f>
        <v>190</v>
      </c>
      <c r="B3195" s="935" t="s">
        <v>2099</v>
      </c>
      <c r="C3195" s="909"/>
      <c r="D3195" s="909"/>
      <c r="E3195" s="909"/>
      <c r="F3195" s="909"/>
      <c r="G3195" s="909"/>
      <c r="H3195" s="909"/>
    </row>
    <row r="3196" spans="1:8" ht="14.25">
      <c r="A3196" s="677" t="s">
        <v>3679</v>
      </c>
      <c r="B3196" s="888" t="s">
        <v>1380</v>
      </c>
      <c r="C3196" s="879"/>
      <c r="D3196" s="879"/>
      <c r="E3196" s="879"/>
      <c r="F3196" s="879"/>
      <c r="G3196" s="879"/>
      <c r="H3196" s="879"/>
    </row>
    <row r="3197" spans="1:8" ht="31.5">
      <c r="A3197" s="1"/>
      <c r="B3197" s="68" t="s">
        <v>2966</v>
      </c>
      <c r="C3197" s="68" t="s">
        <v>2967</v>
      </c>
      <c r="D3197" s="68" t="s">
        <v>2968</v>
      </c>
      <c r="E3197" s="68" t="s">
        <v>2969</v>
      </c>
      <c r="F3197" s="68" t="s">
        <v>2970</v>
      </c>
      <c r="G3197" s="68" t="s">
        <v>2971</v>
      </c>
      <c r="H3197" s="68" t="s">
        <v>1487</v>
      </c>
    </row>
    <row r="3198" spans="1:8" ht="17.25">
      <c r="A3198" s="1"/>
      <c r="B3198" s="889" t="s">
        <v>1488</v>
      </c>
      <c r="C3198" s="58" t="s">
        <v>516</v>
      </c>
      <c r="D3198" s="41">
        <v>8</v>
      </c>
      <c r="E3198" s="55" t="s">
        <v>1490</v>
      </c>
      <c r="F3198" s="107" t="e">
        <f>#REF!</f>
        <v>#REF!</v>
      </c>
      <c r="G3198" s="107" t="e">
        <f>FLOOR(D3198*F3198,0.01)</f>
        <v>#REF!</v>
      </c>
      <c r="H3198" s="108"/>
    </row>
    <row r="3199" spans="1:8" ht="17.25">
      <c r="A3199" s="1"/>
      <c r="B3199" s="887"/>
      <c r="C3199" s="78" t="s">
        <v>1433</v>
      </c>
      <c r="D3199" s="43">
        <v>5</v>
      </c>
      <c r="E3199" s="56" t="s">
        <v>1490</v>
      </c>
      <c r="F3199" s="63" t="e">
        <f>#REF!</f>
        <v>#REF!</v>
      </c>
      <c r="G3199" s="63" t="e">
        <f>FLOOR(D3199*F3199,0.01)</f>
        <v>#REF!</v>
      </c>
      <c r="H3199" s="123" t="e">
        <f>SUM(G3198+G3199)</f>
        <v>#REF!</v>
      </c>
    </row>
    <row r="3200" spans="1:8" ht="17.25">
      <c r="A3200" s="1"/>
      <c r="B3200" s="886" t="s">
        <v>2055</v>
      </c>
      <c r="C3200" s="55" t="s">
        <v>1419</v>
      </c>
      <c r="D3200" s="41">
        <v>8.1</v>
      </c>
      <c r="E3200" s="55" t="s">
        <v>2517</v>
      </c>
      <c r="F3200" s="107" t="e">
        <f>#REF!</f>
        <v>#REF!</v>
      </c>
      <c r="G3200" s="110" t="e">
        <f>FLOOR(D3200*F3200,0.01)</f>
        <v>#REF!</v>
      </c>
      <c r="H3200" s="108"/>
    </row>
    <row r="3201" spans="1:8" ht="17.25">
      <c r="A3201" s="1"/>
      <c r="B3201" s="887"/>
      <c r="C3201" s="56" t="s">
        <v>703</v>
      </c>
      <c r="D3201" s="43">
        <v>9</v>
      </c>
      <c r="E3201" s="56" t="s">
        <v>2517</v>
      </c>
      <c r="F3201" s="63" t="e">
        <f>#REF!</f>
        <v>#REF!</v>
      </c>
      <c r="G3201" s="63" t="e">
        <f>FLOOR(D3201*F3201,0.01)</f>
        <v>#REF!</v>
      </c>
      <c r="H3201" s="123" t="e">
        <f>SUM(G3200:G3201)</f>
        <v>#REF!</v>
      </c>
    </row>
    <row r="3202" spans="1:8" ht="19.5">
      <c r="A3202" s="1"/>
      <c r="B3202" s="1"/>
      <c r="C3202" s="1"/>
      <c r="D3202" s="1"/>
      <c r="E3202" s="1"/>
      <c r="F3202" s="40" t="s">
        <v>1491</v>
      </c>
      <c r="G3202" s="133"/>
      <c r="H3202" s="63" t="e">
        <f>SUM(H3201,H3199)</f>
        <v>#REF!</v>
      </c>
    </row>
    <row r="3203" spans="1:8" ht="19.5">
      <c r="A3203" s="1"/>
      <c r="B3203" s="1" t="s">
        <v>1493</v>
      </c>
      <c r="C3203" s="1"/>
      <c r="D3203" s="1"/>
      <c r="E3203" s="1"/>
      <c r="F3203" s="40" t="s">
        <v>1472</v>
      </c>
      <c r="G3203" s="133"/>
      <c r="H3203" s="99" t="e">
        <f>FLOOR(H3202*0.15,0.01)</f>
        <v>#REF!</v>
      </c>
    </row>
    <row r="3204" spans="1:8" ht="19.5">
      <c r="B3204" s="140" t="e">
        <f>+H3204</f>
        <v>#REF!</v>
      </c>
      <c r="C3204" s="27" t="s">
        <v>3801</v>
      </c>
      <c r="D3204" s="99" t="e">
        <f>INT(B3204/B3205*100)/100</f>
        <v>#REF!</v>
      </c>
      <c r="E3204" s="1" t="s">
        <v>3006</v>
      </c>
      <c r="F3204" s="40" t="s">
        <v>1494</v>
      </c>
      <c r="G3204" s="133"/>
      <c r="H3204" s="99" t="e">
        <f>SUM(H3202:H3203)</f>
        <v>#REF!</v>
      </c>
    </row>
    <row r="3205" spans="1:8" ht="16.5">
      <c r="A3205" s="1"/>
      <c r="B3205" s="117">
        <v>100</v>
      </c>
      <c r="C3205" s="1"/>
      <c r="D3205" s="1"/>
      <c r="E3205" s="1"/>
      <c r="F3205" s="1"/>
      <c r="G3205" s="1"/>
      <c r="H3205" s="1"/>
    </row>
    <row r="3206" spans="1:8" ht="16.5">
      <c r="A3206" s="1"/>
      <c r="B3206" s="117"/>
      <c r="C3206" s="1"/>
      <c r="D3206" s="1"/>
      <c r="E3206" s="1"/>
      <c r="F3206" s="1"/>
      <c r="G3206" s="1"/>
      <c r="H3206" s="1"/>
    </row>
    <row r="3207" spans="1:8" ht="20.25">
      <c r="A3207" s="260">
        <f>+A3195+1</f>
        <v>191</v>
      </c>
      <c r="B3207" s="877" t="s">
        <v>1608</v>
      </c>
      <c r="C3207" s="878"/>
      <c r="D3207" s="878"/>
      <c r="E3207" s="878"/>
      <c r="F3207" s="878"/>
      <c r="G3207" s="878"/>
      <c r="H3207" s="878"/>
    </row>
    <row r="3208" spans="1:8" ht="19.5">
      <c r="A3208" s="677" t="s">
        <v>3679</v>
      </c>
      <c r="B3208" s="935" t="s">
        <v>1100</v>
      </c>
      <c r="C3208" s="909"/>
      <c r="D3208" s="909"/>
      <c r="E3208" s="909"/>
      <c r="F3208" s="909"/>
      <c r="G3208" s="909"/>
      <c r="H3208" s="909"/>
    </row>
    <row r="3209" spans="1:8" ht="15">
      <c r="A3209" s="38"/>
      <c r="B3209" s="879" t="s">
        <v>1380</v>
      </c>
      <c r="C3209" s="879"/>
      <c r="D3209" s="879"/>
      <c r="E3209" s="879"/>
      <c r="F3209" s="879"/>
      <c r="G3209" s="879"/>
      <c r="H3209" s="879"/>
    </row>
    <row r="3210" spans="1:8" ht="31.5">
      <c r="A3210" s="1"/>
      <c r="B3210" s="68" t="s">
        <v>2966</v>
      </c>
      <c r="C3210" s="68" t="s">
        <v>2967</v>
      </c>
      <c r="D3210" s="68" t="s">
        <v>2968</v>
      </c>
      <c r="E3210" s="68" t="s">
        <v>2969</v>
      </c>
      <c r="F3210" s="68" t="s">
        <v>2970</v>
      </c>
      <c r="G3210" s="68" t="s">
        <v>2971</v>
      </c>
      <c r="H3210" s="68" t="s">
        <v>1487</v>
      </c>
    </row>
    <row r="3211" spans="1:8" ht="17.25">
      <c r="A3211" s="1"/>
      <c r="B3211" s="889" t="s">
        <v>1488</v>
      </c>
      <c r="C3211" s="58" t="s">
        <v>516</v>
      </c>
      <c r="D3211" s="41">
        <v>12</v>
      </c>
      <c r="E3211" s="55" t="s">
        <v>1490</v>
      </c>
      <c r="F3211" s="107" t="e">
        <f>#REF!</f>
        <v>#REF!</v>
      </c>
      <c r="G3211" s="107" t="e">
        <f>FLOOR(D3211*F3211,0.01)</f>
        <v>#REF!</v>
      </c>
      <c r="H3211" s="108"/>
    </row>
    <row r="3212" spans="1:8" ht="17.25">
      <c r="A3212" s="1"/>
      <c r="B3212" s="887"/>
      <c r="C3212" s="78" t="s">
        <v>1433</v>
      </c>
      <c r="D3212" s="43">
        <v>8</v>
      </c>
      <c r="E3212" s="56" t="s">
        <v>1490</v>
      </c>
      <c r="F3212" s="63" t="e">
        <f>#REF!</f>
        <v>#REF!</v>
      </c>
      <c r="G3212" s="63" t="e">
        <f>FLOOR(D3212*F3212,0.01)</f>
        <v>#REF!</v>
      </c>
      <c r="H3212" s="123" t="e">
        <f>SUM(G3211+G3212)</f>
        <v>#REF!</v>
      </c>
    </row>
    <row r="3213" spans="1:8" ht="17.25">
      <c r="A3213" s="1"/>
      <c r="B3213" s="886" t="s">
        <v>2055</v>
      </c>
      <c r="C3213" s="55" t="s">
        <v>1419</v>
      </c>
      <c r="D3213" s="41">
        <v>8.1</v>
      </c>
      <c r="E3213" s="55" t="s">
        <v>2517</v>
      </c>
      <c r="F3213" s="107" t="e">
        <f>#REF!</f>
        <v>#REF!</v>
      </c>
      <c r="G3213" s="110" t="e">
        <f>FLOOR(D3213*F3213,0.01)</f>
        <v>#REF!</v>
      </c>
      <c r="H3213" s="108"/>
    </row>
    <row r="3214" spans="1:8" ht="17.25">
      <c r="A3214" s="1"/>
      <c r="B3214" s="887"/>
      <c r="C3214" s="56" t="s">
        <v>703</v>
      </c>
      <c r="D3214" s="43">
        <v>16</v>
      </c>
      <c r="E3214" s="56" t="s">
        <v>2517</v>
      </c>
      <c r="F3214" s="63" t="e">
        <f>#REF!</f>
        <v>#REF!</v>
      </c>
      <c r="G3214" s="63" t="e">
        <f>FLOOR(D3214*F3214,0.01)</f>
        <v>#REF!</v>
      </c>
      <c r="H3214" s="123" t="e">
        <f>SUM(G3213:G3214)</f>
        <v>#REF!</v>
      </c>
    </row>
    <row r="3215" spans="1:8" ht="19.5">
      <c r="A3215" s="1"/>
      <c r="B3215" s="1"/>
      <c r="C3215" s="1"/>
      <c r="D3215" s="1"/>
      <c r="E3215" s="1"/>
      <c r="F3215" s="40" t="s">
        <v>1491</v>
      </c>
      <c r="G3215" s="133"/>
      <c r="H3215" s="63" t="e">
        <f>SUM(H3214,H3212)</f>
        <v>#REF!</v>
      </c>
    </row>
    <row r="3216" spans="1:8" ht="19.5">
      <c r="A3216" s="1"/>
      <c r="B3216" s="1" t="s">
        <v>1493</v>
      </c>
      <c r="C3216" s="1"/>
      <c r="D3216" s="1"/>
      <c r="E3216" s="1"/>
      <c r="F3216" s="40" t="s">
        <v>1472</v>
      </c>
      <c r="G3216" s="133"/>
      <c r="H3216" s="99" t="e">
        <f>FLOOR(H3215*0.15,0.01)</f>
        <v>#REF!</v>
      </c>
    </row>
    <row r="3217" spans="1:8" ht="19.5">
      <c r="B3217" s="140" t="e">
        <f>+H3217</f>
        <v>#REF!</v>
      </c>
      <c r="C3217" s="27" t="s">
        <v>3801</v>
      </c>
      <c r="D3217" s="99" t="e">
        <f>INT(B3217/B3218*100)/100</f>
        <v>#REF!</v>
      </c>
      <c r="E3217" s="1" t="s">
        <v>3006</v>
      </c>
      <c r="F3217" s="40" t="s">
        <v>1494</v>
      </c>
      <c r="G3217" s="133"/>
      <c r="H3217" s="99" t="e">
        <f>SUM(H3215:H3216)</f>
        <v>#REF!</v>
      </c>
    </row>
    <row r="3218" spans="1:8" ht="16.5">
      <c r="A3218" s="1"/>
      <c r="B3218" s="117">
        <v>100</v>
      </c>
      <c r="C3218" s="1"/>
      <c r="D3218" s="1"/>
      <c r="E3218" s="1"/>
      <c r="F3218" s="1"/>
      <c r="G3218" s="1"/>
      <c r="H3218" s="1"/>
    </row>
    <row r="3219" spans="1:8" ht="16.5">
      <c r="A3219" s="1"/>
      <c r="B3219" s="117"/>
      <c r="C3219" s="1"/>
      <c r="D3219" s="1"/>
      <c r="E3219" s="1"/>
      <c r="F3219" s="1"/>
      <c r="G3219" s="1"/>
      <c r="H3219" s="1"/>
    </row>
    <row r="3220" spans="1:8" ht="16.5">
      <c r="A3220" s="1"/>
      <c r="B3220" s="117"/>
      <c r="C3220" s="1"/>
      <c r="D3220" s="1"/>
      <c r="E3220" s="1"/>
      <c r="F3220" s="1"/>
      <c r="G3220" s="1"/>
      <c r="H3220" s="1"/>
    </row>
    <row r="3221" spans="1:8" ht="20.25">
      <c r="A3221" s="260">
        <f>+A3207+1</f>
        <v>192</v>
      </c>
      <c r="B3221" s="877" t="s">
        <v>1609</v>
      </c>
      <c r="C3221" s="878"/>
      <c r="D3221" s="878"/>
      <c r="E3221" s="878"/>
      <c r="F3221" s="878"/>
      <c r="G3221" s="878"/>
      <c r="H3221" s="878"/>
    </row>
    <row r="3222" spans="1:8" ht="19.5">
      <c r="A3222" s="677" t="s">
        <v>3679</v>
      </c>
      <c r="B3222" s="935" t="s">
        <v>1101</v>
      </c>
      <c r="C3222" s="909"/>
      <c r="D3222" s="909"/>
      <c r="E3222" s="909"/>
      <c r="F3222" s="909"/>
      <c r="G3222" s="909"/>
      <c r="H3222" s="909"/>
    </row>
    <row r="3223" spans="1:8" ht="15">
      <c r="A3223" s="38"/>
      <c r="B3223" s="879" t="s">
        <v>1380</v>
      </c>
      <c r="C3223" s="879"/>
      <c r="D3223" s="879"/>
      <c r="E3223" s="879"/>
      <c r="F3223" s="879"/>
      <c r="G3223" s="879"/>
      <c r="H3223" s="879"/>
    </row>
    <row r="3224" spans="1:8" ht="31.5">
      <c r="A3224" s="1"/>
      <c r="B3224" s="68" t="s">
        <v>2966</v>
      </c>
      <c r="C3224" s="68" t="s">
        <v>2967</v>
      </c>
      <c r="D3224" s="68" t="s">
        <v>2968</v>
      </c>
      <c r="E3224" s="68" t="s">
        <v>2969</v>
      </c>
      <c r="F3224" s="68" t="s">
        <v>2970</v>
      </c>
      <c r="G3224" s="68" t="s">
        <v>2971</v>
      </c>
      <c r="H3224" s="68" t="s">
        <v>1487</v>
      </c>
    </row>
    <row r="3225" spans="1:8" ht="17.25">
      <c r="A3225" s="1"/>
      <c r="B3225" s="58" t="s">
        <v>1488</v>
      </c>
      <c r="C3225" s="58" t="s">
        <v>516</v>
      </c>
      <c r="D3225" s="41">
        <v>8</v>
      </c>
      <c r="E3225" s="55" t="s">
        <v>1490</v>
      </c>
      <c r="F3225" s="107" t="e">
        <f>#REF!</f>
        <v>#REF!</v>
      </c>
      <c r="G3225" s="107" t="e">
        <f>FLOOR(D3225*F3225,0.01)</f>
        <v>#REF!</v>
      </c>
      <c r="H3225" s="108"/>
    </row>
    <row r="3226" spans="1:8" ht="17.25">
      <c r="A3226" s="1"/>
      <c r="B3226" s="186"/>
      <c r="C3226" s="78" t="s">
        <v>1433</v>
      </c>
      <c r="D3226" s="43">
        <v>5</v>
      </c>
      <c r="E3226" s="56" t="s">
        <v>1490</v>
      </c>
      <c r="F3226" s="63" t="e">
        <f>#REF!</f>
        <v>#REF!</v>
      </c>
      <c r="G3226" s="63" t="e">
        <f>FLOOR(D3226*F3226,0.01)</f>
        <v>#REF!</v>
      </c>
      <c r="H3226" s="123" t="e">
        <f>SUM(G3225+G3226)</f>
        <v>#REF!</v>
      </c>
    </row>
    <row r="3227" spans="1:8" ht="17.25">
      <c r="A3227" s="1"/>
      <c r="B3227" s="76" t="s">
        <v>2055</v>
      </c>
      <c r="C3227" s="55" t="s">
        <v>1419</v>
      </c>
      <c r="D3227" s="48">
        <v>8.1</v>
      </c>
      <c r="E3227" s="55" t="s">
        <v>2517</v>
      </c>
      <c r="F3227" s="107" t="e">
        <f>#REF!</f>
        <v>#REF!</v>
      </c>
      <c r="G3227" s="110" t="e">
        <f>FLOOR(D3227*F3227,0.01)</f>
        <v>#REF!</v>
      </c>
      <c r="H3227" s="108"/>
    </row>
    <row r="3228" spans="1:8" ht="17.25">
      <c r="A3228" s="1"/>
      <c r="B3228" s="186"/>
      <c r="C3228" s="56" t="s">
        <v>703</v>
      </c>
      <c r="D3228" s="51">
        <v>9</v>
      </c>
      <c r="E3228" s="56" t="s">
        <v>2517</v>
      </c>
      <c r="F3228" s="63" t="e">
        <f>#REF!</f>
        <v>#REF!</v>
      </c>
      <c r="G3228" s="63" t="e">
        <f>FLOOR(D3228*F3228,0.01)</f>
        <v>#REF!</v>
      </c>
      <c r="H3228" s="123" t="e">
        <f>SUM(G3227:G3228)</f>
        <v>#REF!</v>
      </c>
    </row>
    <row r="3229" spans="1:8" ht="19.5">
      <c r="A3229" s="1"/>
      <c r="B3229" s="1"/>
      <c r="C3229" s="1"/>
      <c r="D3229" s="1"/>
      <c r="E3229" s="1"/>
      <c r="F3229" s="40" t="s">
        <v>1491</v>
      </c>
      <c r="G3229" s="133"/>
      <c r="H3229" s="63" t="e">
        <f>SUM(H3228,H3226)</f>
        <v>#REF!</v>
      </c>
    </row>
    <row r="3230" spans="1:8" ht="19.5">
      <c r="A3230" s="1"/>
      <c r="B3230" s="1" t="s">
        <v>1493</v>
      </c>
      <c r="C3230" s="1"/>
      <c r="D3230" s="1"/>
      <c r="E3230" s="1"/>
      <c r="F3230" s="40" t="s">
        <v>1472</v>
      </c>
      <c r="G3230" s="133"/>
      <c r="H3230" s="99" t="e">
        <f>FLOOR(H3229*0.15,0.01)</f>
        <v>#REF!</v>
      </c>
    </row>
    <row r="3231" spans="1:8" ht="19.5">
      <c r="B3231" s="140" t="e">
        <f>+H3231</f>
        <v>#REF!</v>
      </c>
      <c r="C3231" s="27" t="s">
        <v>3801</v>
      </c>
      <c r="D3231" s="99" t="e">
        <f>INT(B3231/B3232*100)/100</f>
        <v>#REF!</v>
      </c>
      <c r="E3231" s="1" t="s">
        <v>3006</v>
      </c>
      <c r="F3231" s="40" t="s">
        <v>1494</v>
      </c>
      <c r="G3231" s="133"/>
      <c r="H3231" s="99" t="e">
        <f>SUM(H3229:H3230)</f>
        <v>#REF!</v>
      </c>
    </row>
    <row r="3232" spans="1:8" ht="16.5">
      <c r="A3232" s="1"/>
      <c r="B3232" s="117">
        <v>100</v>
      </c>
      <c r="C3232" s="1"/>
      <c r="D3232" s="1"/>
      <c r="E3232" s="1"/>
      <c r="F3232" s="1"/>
      <c r="G3232" s="1"/>
      <c r="H3232" s="1"/>
    </row>
    <row r="3233" spans="1:8" ht="16.5">
      <c r="A3233" s="1"/>
      <c r="B3233" s="117"/>
      <c r="C3233" s="1"/>
      <c r="D3233" s="1"/>
      <c r="E3233" s="1"/>
      <c r="F3233" s="1"/>
      <c r="G3233" s="1"/>
      <c r="H3233" s="1"/>
    </row>
    <row r="3234" spans="1:8" ht="16.5">
      <c r="A3234" s="1"/>
      <c r="B3234" s="117"/>
      <c r="C3234" s="1"/>
      <c r="D3234" s="1"/>
      <c r="E3234" s="1"/>
      <c r="F3234" s="1"/>
      <c r="G3234" s="1"/>
      <c r="H3234" s="1"/>
    </row>
    <row r="3235" spans="1:8" ht="15">
      <c r="A3235" s="1"/>
      <c r="B3235" s="1"/>
      <c r="C3235" s="1"/>
      <c r="D3235" s="1"/>
      <c r="E3235" s="1"/>
      <c r="F3235" s="1"/>
      <c r="G3235" s="1"/>
      <c r="H3235" s="1"/>
    </row>
    <row r="3236" spans="1:8" ht="19.5">
      <c r="A3236" s="1"/>
      <c r="B3236" s="878" t="s">
        <v>2310</v>
      </c>
      <c r="C3236" s="878"/>
      <c r="D3236" s="878"/>
      <c r="E3236" s="878"/>
      <c r="F3236" s="878"/>
      <c r="G3236" s="878"/>
      <c r="H3236" s="878"/>
    </row>
    <row r="3237" spans="1:8" ht="20.25">
      <c r="A3237" s="260">
        <f>+A3221+1</f>
        <v>193</v>
      </c>
      <c r="B3237" s="935" t="s">
        <v>1101</v>
      </c>
      <c r="C3237" s="909"/>
      <c r="D3237" s="909"/>
      <c r="E3237" s="909"/>
      <c r="F3237" s="909"/>
      <c r="G3237" s="909"/>
      <c r="H3237" s="909"/>
    </row>
    <row r="3238" spans="1:8" ht="14.25">
      <c r="A3238" s="677" t="s">
        <v>3679</v>
      </c>
      <c r="B3238" s="888" t="s">
        <v>1380</v>
      </c>
      <c r="C3238" s="879"/>
      <c r="D3238" s="879"/>
      <c r="E3238" s="879"/>
      <c r="F3238" s="879"/>
      <c r="G3238" s="879"/>
      <c r="H3238" s="879"/>
    </row>
    <row r="3239" spans="1:8" ht="31.5">
      <c r="A3239" s="1"/>
      <c r="B3239" s="68" t="s">
        <v>2966</v>
      </c>
      <c r="C3239" s="68" t="s">
        <v>2967</v>
      </c>
      <c r="D3239" s="68" t="s">
        <v>2968</v>
      </c>
      <c r="E3239" s="68" t="s">
        <v>2969</v>
      </c>
      <c r="F3239" s="68" t="s">
        <v>2970</v>
      </c>
      <c r="G3239" s="68" t="s">
        <v>2971</v>
      </c>
      <c r="H3239" s="68" t="s">
        <v>1487</v>
      </c>
    </row>
    <row r="3240" spans="1:8" ht="17.25">
      <c r="A3240" s="1"/>
      <c r="B3240" s="889" t="s">
        <v>1488</v>
      </c>
      <c r="C3240" s="58" t="s">
        <v>516</v>
      </c>
      <c r="D3240" s="41">
        <v>12</v>
      </c>
      <c r="E3240" s="55" t="s">
        <v>1490</v>
      </c>
      <c r="F3240" s="107" t="e">
        <f>#REF!</f>
        <v>#REF!</v>
      </c>
      <c r="G3240" s="107" t="e">
        <f>FLOOR(D3240*F3240,0.01)</f>
        <v>#REF!</v>
      </c>
      <c r="H3240" s="108"/>
    </row>
    <row r="3241" spans="1:8" ht="17.25">
      <c r="A3241" s="1"/>
      <c r="B3241" s="887"/>
      <c r="C3241" s="78" t="s">
        <v>1433</v>
      </c>
      <c r="D3241" s="43">
        <v>8</v>
      </c>
      <c r="E3241" s="56" t="s">
        <v>1490</v>
      </c>
      <c r="F3241" s="63" t="e">
        <f>#REF!</f>
        <v>#REF!</v>
      </c>
      <c r="G3241" s="63" t="e">
        <f>FLOOR(D3241*F3241,0.01)</f>
        <v>#REF!</v>
      </c>
      <c r="H3241" s="123" t="e">
        <f>SUM(G3240+G3241)</f>
        <v>#REF!</v>
      </c>
    </row>
    <row r="3242" spans="1:8" ht="17.25">
      <c r="A3242" s="1"/>
      <c r="B3242" s="886" t="s">
        <v>2055</v>
      </c>
      <c r="C3242" s="55" t="s">
        <v>1419</v>
      </c>
      <c r="D3242" s="41">
        <v>8.1</v>
      </c>
      <c r="E3242" s="55" t="s">
        <v>2517</v>
      </c>
      <c r="F3242" s="107" t="e">
        <f>#REF!</f>
        <v>#REF!</v>
      </c>
      <c r="G3242" s="110" t="e">
        <f>FLOOR(D3242*F3242,0.01)</f>
        <v>#REF!</v>
      </c>
      <c r="H3242" s="108"/>
    </row>
    <row r="3243" spans="1:8" ht="17.25">
      <c r="A3243" s="1"/>
      <c r="B3243" s="887"/>
      <c r="C3243" s="56" t="s">
        <v>703</v>
      </c>
      <c r="D3243" s="43">
        <v>16</v>
      </c>
      <c r="E3243" s="56" t="s">
        <v>2517</v>
      </c>
      <c r="F3243" s="63" t="e">
        <f>#REF!</f>
        <v>#REF!</v>
      </c>
      <c r="G3243" s="63" t="e">
        <f>FLOOR(D3243*F3243,0.01)</f>
        <v>#REF!</v>
      </c>
      <c r="H3243" s="123" t="e">
        <f>SUM(G3242:G3243)</f>
        <v>#REF!</v>
      </c>
    </row>
    <row r="3244" spans="1:8" ht="19.5">
      <c r="A3244" s="1"/>
      <c r="B3244" s="1"/>
      <c r="C3244" s="1"/>
      <c r="D3244" s="1"/>
      <c r="E3244" s="1"/>
      <c r="F3244" s="40" t="s">
        <v>1491</v>
      </c>
      <c r="G3244" s="133"/>
      <c r="H3244" s="63" t="e">
        <f>SUM(H3243,H3241)</f>
        <v>#REF!</v>
      </c>
    </row>
    <row r="3245" spans="1:8" ht="19.5">
      <c r="A3245" s="1"/>
      <c r="B3245" s="1" t="s">
        <v>1493</v>
      </c>
      <c r="C3245" s="1"/>
      <c r="D3245" s="1"/>
      <c r="E3245" s="1"/>
      <c r="F3245" s="40" t="s">
        <v>1472</v>
      </c>
      <c r="G3245" s="133"/>
      <c r="H3245" s="99" t="e">
        <f>FLOOR(H3244*0.15,0.01)</f>
        <v>#REF!</v>
      </c>
    </row>
    <row r="3246" spans="1:8" ht="19.5">
      <c r="B3246" s="140" t="e">
        <f>+H3246</f>
        <v>#REF!</v>
      </c>
      <c r="C3246" s="27" t="s">
        <v>3801</v>
      </c>
      <c r="D3246" s="99" t="e">
        <f>INT(B3246/B3247*100)/100</f>
        <v>#REF!</v>
      </c>
      <c r="E3246" s="1" t="s">
        <v>3006</v>
      </c>
      <c r="F3246" s="40" t="s">
        <v>1494</v>
      </c>
      <c r="G3246" s="133"/>
      <c r="H3246" s="99" t="e">
        <f>SUM(H3244:H3245)</f>
        <v>#REF!</v>
      </c>
    </row>
    <row r="3247" spans="1:8" ht="16.5">
      <c r="A3247" s="1"/>
      <c r="B3247" s="117">
        <v>100</v>
      </c>
      <c r="C3247" s="1"/>
      <c r="D3247" s="1"/>
      <c r="E3247" s="1"/>
      <c r="F3247" s="1"/>
      <c r="G3247" s="1"/>
      <c r="H3247" s="1"/>
    </row>
    <row r="3248" spans="1:8" ht="15">
      <c r="A3248" s="31"/>
      <c r="B3248" s="1"/>
      <c r="C3248" s="1"/>
      <c r="D3248" s="1"/>
      <c r="E3248" s="1"/>
      <c r="F3248" s="1"/>
      <c r="G3248" s="1"/>
      <c r="H3248" s="1"/>
    </row>
    <row r="3249" spans="1:8" ht="20.25">
      <c r="A3249" s="260">
        <f>+A3237+1</f>
        <v>194</v>
      </c>
      <c r="B3249" s="877" t="s">
        <v>2379</v>
      </c>
      <c r="C3249" s="878"/>
      <c r="D3249" s="878"/>
      <c r="E3249" s="878"/>
      <c r="F3249" s="878"/>
      <c r="G3249" s="878"/>
      <c r="H3249" s="878"/>
    </row>
    <row r="3250" spans="1:8" ht="14.25">
      <c r="A3250" s="677"/>
      <c r="B3250" s="928" t="s">
        <v>1378</v>
      </c>
      <c r="C3250" s="885"/>
      <c r="D3250" s="885"/>
      <c r="E3250" s="885"/>
      <c r="F3250" s="885"/>
      <c r="G3250" s="885"/>
      <c r="H3250" s="885"/>
    </row>
    <row r="3251" spans="1:8" ht="31.5">
      <c r="A3251" s="1"/>
      <c r="B3251" s="68" t="s">
        <v>2966</v>
      </c>
      <c r="C3251" s="68" t="s">
        <v>2967</v>
      </c>
      <c r="D3251" s="68" t="s">
        <v>2968</v>
      </c>
      <c r="E3251" s="68" t="s">
        <v>2969</v>
      </c>
      <c r="F3251" s="68" t="s">
        <v>2970</v>
      </c>
      <c r="G3251" s="68" t="s">
        <v>2971</v>
      </c>
      <c r="H3251" s="68" t="s">
        <v>1487</v>
      </c>
    </row>
    <row r="3252" spans="1:8" ht="15">
      <c r="A3252" s="1"/>
      <c r="B3252" s="889" t="s">
        <v>2381</v>
      </c>
      <c r="C3252" s="889" t="s">
        <v>2380</v>
      </c>
      <c r="D3252" s="173"/>
      <c r="E3252" s="889" t="s">
        <v>2063</v>
      </c>
      <c r="F3252" s="107"/>
      <c r="G3252" s="187"/>
      <c r="H3252" s="8"/>
    </row>
    <row r="3253" spans="1:8" ht="15">
      <c r="A3253" s="1"/>
      <c r="B3253" s="896"/>
      <c r="C3253" s="896"/>
      <c r="D3253" s="250">
        <v>1</v>
      </c>
      <c r="E3253" s="896"/>
      <c r="F3253" s="123" t="e">
        <f>#REF!</f>
        <v>#REF!</v>
      </c>
      <c r="G3253" s="122" t="e">
        <f>FLOOR(D3253*F3253,0.01)</f>
        <v>#REF!</v>
      </c>
      <c r="H3253" s="123" t="e">
        <f>SUM(G3253+G3254+G3255)</f>
        <v>#REF!</v>
      </c>
    </row>
    <row r="3254" spans="1:8" ht="19.5">
      <c r="A3254" s="1"/>
      <c r="B3254" s="1"/>
      <c r="C3254" s="1"/>
      <c r="D3254" s="1"/>
      <c r="E3254" s="1"/>
      <c r="F3254" s="40" t="s">
        <v>1491</v>
      </c>
      <c r="G3254" s="102"/>
      <c r="H3254" s="63" t="e">
        <f>SUM(H3252:H3253)</f>
        <v>#REF!</v>
      </c>
    </row>
    <row r="3255" spans="1:8" ht="19.5">
      <c r="A3255" s="1"/>
      <c r="B3255" s="1" t="s">
        <v>1493</v>
      </c>
      <c r="C3255" s="1"/>
      <c r="D3255" s="1"/>
      <c r="E3255" s="1"/>
      <c r="F3255" s="40" t="s">
        <v>1471</v>
      </c>
      <c r="G3255" s="102"/>
      <c r="H3255" s="99" t="e">
        <f>FLOOR(H3254*0.15,0.01)</f>
        <v>#REF!</v>
      </c>
    </row>
    <row r="3256" spans="1:8" ht="19.5">
      <c r="A3256" s="27"/>
      <c r="B3256" s="140" t="e">
        <f>+H3256</f>
        <v>#REF!</v>
      </c>
      <c r="C3256" s="27" t="s">
        <v>3801</v>
      </c>
      <c r="D3256" s="99" t="e">
        <f>FLOOR(B3256/B3257,0.01)</f>
        <v>#REF!</v>
      </c>
      <c r="E3256" s="1" t="s">
        <v>3006</v>
      </c>
      <c r="F3256" s="40" t="s">
        <v>1494</v>
      </c>
      <c r="G3256" s="102"/>
      <c r="H3256" s="99" t="e">
        <f>SUM(H3254:H3255)</f>
        <v>#REF!</v>
      </c>
    </row>
    <row r="3257" spans="1:8" ht="16.5">
      <c r="A3257" s="1"/>
      <c r="B3257" s="88">
        <v>1</v>
      </c>
      <c r="C3257" s="1"/>
      <c r="D3257" s="1"/>
      <c r="E3257" s="1"/>
      <c r="F3257" s="1"/>
      <c r="G3257" s="1"/>
      <c r="H3257" s="1"/>
    </row>
    <row r="3258" spans="1:8" ht="16.5">
      <c r="A3258" s="1"/>
      <c r="B3258" s="88"/>
      <c r="C3258" s="1"/>
      <c r="D3258" s="1"/>
      <c r="E3258" s="1"/>
      <c r="F3258" s="1"/>
      <c r="G3258" s="1"/>
      <c r="H3258" s="1"/>
    </row>
    <row r="3259" spans="1:8" ht="16.5">
      <c r="A3259" s="1"/>
      <c r="B3259" s="88"/>
      <c r="C3259" s="1"/>
      <c r="D3259" s="1"/>
      <c r="E3259" s="1"/>
      <c r="F3259" s="1"/>
      <c r="G3259" s="1"/>
      <c r="H3259" s="1"/>
    </row>
    <row r="3260" spans="1:8" ht="16.5">
      <c r="A3260" s="1"/>
      <c r="B3260" s="88"/>
      <c r="C3260" s="1"/>
      <c r="D3260" s="1"/>
      <c r="E3260" s="1"/>
      <c r="F3260" s="1"/>
      <c r="G3260" s="1"/>
      <c r="H3260" s="1"/>
    </row>
    <row r="3261" spans="1:8" ht="20.25">
      <c r="A3261" s="260">
        <f>+A3249+1</f>
        <v>195</v>
      </c>
      <c r="B3261" s="877" t="s">
        <v>3520</v>
      </c>
      <c r="C3261" s="878"/>
      <c r="D3261" s="878"/>
      <c r="E3261" s="878"/>
      <c r="F3261" s="878"/>
      <c r="G3261" s="878"/>
      <c r="H3261" s="878"/>
    </row>
    <row r="3262" spans="1:8" ht="14.25">
      <c r="A3262" s="677"/>
      <c r="B3262" s="879" t="s">
        <v>1379</v>
      </c>
      <c r="C3262" s="879"/>
      <c r="D3262" s="879"/>
      <c r="E3262" s="879"/>
      <c r="F3262" s="879"/>
      <c r="G3262" s="879"/>
      <c r="H3262" s="879"/>
    </row>
    <row r="3263" spans="1:8" ht="31.5">
      <c r="A3263" s="1"/>
      <c r="B3263" s="68" t="s">
        <v>2966</v>
      </c>
      <c r="C3263" s="68" t="s">
        <v>2967</v>
      </c>
      <c r="D3263" s="68" t="s">
        <v>2968</v>
      </c>
      <c r="E3263" s="68" t="s">
        <v>2969</v>
      </c>
      <c r="F3263" s="68" t="s">
        <v>2970</v>
      </c>
      <c r="G3263" s="68" t="s">
        <v>2971</v>
      </c>
      <c r="H3263" s="68" t="s">
        <v>1487</v>
      </c>
    </row>
    <row r="3264" spans="1:8" ht="17.25">
      <c r="A3264" s="27"/>
      <c r="B3264" s="889" t="s">
        <v>520</v>
      </c>
      <c r="C3264" s="80" t="s">
        <v>686</v>
      </c>
      <c r="D3264" s="42">
        <v>5</v>
      </c>
      <c r="E3264" s="53" t="s">
        <v>1490</v>
      </c>
      <c r="F3264" s="116" t="e">
        <f>#REF!</f>
        <v>#REF!</v>
      </c>
      <c r="G3264" s="107" t="e">
        <f>FLOOR(D3264*F3264,0.01)</f>
        <v>#REF!</v>
      </c>
      <c r="H3264" s="108"/>
    </row>
    <row r="3265" spans="1:8" ht="17.25">
      <c r="A3265" s="1"/>
      <c r="B3265" s="942"/>
      <c r="C3265" s="78" t="s">
        <v>521</v>
      </c>
      <c r="D3265" s="43">
        <v>2</v>
      </c>
      <c r="E3265" s="56" t="s">
        <v>1490</v>
      </c>
      <c r="F3265" s="122" t="e">
        <f>#REF!</f>
        <v>#REF!</v>
      </c>
      <c r="G3265" s="122" t="e">
        <f>FLOOR(D3265*F3265,0.01)</f>
        <v>#REF!</v>
      </c>
      <c r="H3265" s="123" t="e">
        <f>SUM(G3264+G3265)</f>
        <v>#REF!</v>
      </c>
    </row>
    <row r="3266" spans="1:8" ht="15">
      <c r="A3266" s="1"/>
      <c r="B3266" s="889" t="s">
        <v>2055</v>
      </c>
      <c r="C3266" s="889" t="s">
        <v>3521</v>
      </c>
      <c r="D3266" s="173"/>
      <c r="E3266" s="889" t="s">
        <v>2517</v>
      </c>
      <c r="F3266" s="107"/>
      <c r="G3266" s="187"/>
      <c r="H3266" s="8"/>
    </row>
    <row r="3267" spans="1:8" ht="15">
      <c r="A3267" s="1"/>
      <c r="B3267" s="942"/>
      <c r="C3267" s="942"/>
      <c r="D3267" s="250">
        <v>9</v>
      </c>
      <c r="E3267" s="942"/>
      <c r="F3267" s="123" t="e">
        <f>#REF!</f>
        <v>#REF!</v>
      </c>
      <c r="G3267" s="122" t="e">
        <f>FLOOR(D3267*F3267,0.01)</f>
        <v>#REF!</v>
      </c>
      <c r="H3267" s="123" t="e">
        <f>SUM(G3267+G3268+G3269)</f>
        <v>#REF!</v>
      </c>
    </row>
    <row r="3268" spans="1:8" ht="19.5">
      <c r="A3268" s="1"/>
      <c r="B3268" s="1"/>
      <c r="C3268" s="1"/>
      <c r="D3268" s="1"/>
      <c r="E3268" s="1"/>
      <c r="F3268" s="40" t="s">
        <v>1491</v>
      </c>
      <c r="G3268" s="102"/>
      <c r="H3268" s="63" t="e">
        <f>SUM(H3264:H3267)</f>
        <v>#REF!</v>
      </c>
    </row>
    <row r="3269" spans="1:8" ht="19.5">
      <c r="A3269" s="1"/>
      <c r="B3269" s="1" t="s">
        <v>1493</v>
      </c>
      <c r="C3269" s="1"/>
      <c r="D3269" s="1"/>
      <c r="E3269" s="1"/>
      <c r="F3269" s="40" t="s">
        <v>1471</v>
      </c>
      <c r="G3269" s="102"/>
      <c r="H3269" s="99" t="e">
        <f>FLOOR(H3268*0.15,0.01)</f>
        <v>#REF!</v>
      </c>
    </row>
    <row r="3270" spans="1:8" ht="19.5">
      <c r="A3270" s="27"/>
      <c r="B3270" s="140" t="e">
        <f>+H3270</f>
        <v>#REF!</v>
      </c>
      <c r="C3270" s="27" t="s">
        <v>3801</v>
      </c>
      <c r="D3270" s="99" t="e">
        <f>FLOOR(B3270/B3271,0.01)</f>
        <v>#REF!</v>
      </c>
      <c r="E3270" s="1" t="s">
        <v>3006</v>
      </c>
      <c r="F3270" s="40" t="s">
        <v>1494</v>
      </c>
      <c r="G3270" s="102"/>
      <c r="H3270" s="99" t="e">
        <f>SUM(H3268:H3269)</f>
        <v>#REF!</v>
      </c>
    </row>
    <row r="3271" spans="1:8" ht="16.5">
      <c r="A3271" s="1"/>
      <c r="B3271" s="88">
        <v>100</v>
      </c>
      <c r="C3271" s="1"/>
      <c r="D3271" s="1"/>
      <c r="E3271" s="1"/>
      <c r="F3271" s="1"/>
      <c r="G3271" s="1"/>
      <c r="H3271" s="1"/>
    </row>
    <row r="3272" spans="1:8" ht="16.5">
      <c r="A3272" s="1"/>
      <c r="B3272" s="88"/>
      <c r="C3272" s="1"/>
      <c r="D3272" s="1"/>
      <c r="E3272" s="1"/>
      <c r="F3272" s="1"/>
      <c r="G3272" s="1"/>
      <c r="H3272" s="1"/>
    </row>
    <row r="3273" spans="1:8" ht="16.5">
      <c r="A3273" s="1"/>
      <c r="B3273" s="88"/>
      <c r="C3273" s="1"/>
      <c r="D3273" s="1"/>
      <c r="E3273" s="1"/>
      <c r="F3273" s="1"/>
      <c r="G3273" s="1"/>
      <c r="H3273" s="1"/>
    </row>
    <row r="3274" spans="1:8" ht="16.5">
      <c r="A3274" s="1"/>
      <c r="B3274" s="88"/>
      <c r="C3274" s="1"/>
      <c r="D3274" s="1"/>
      <c r="E3274" s="1"/>
      <c r="F3274" s="1"/>
      <c r="G3274" s="1"/>
      <c r="H3274" s="1"/>
    </row>
    <row r="3275" spans="1:8" ht="16.5">
      <c r="A3275" s="1"/>
      <c r="B3275" s="88"/>
      <c r="C3275" s="1"/>
      <c r="D3275" s="1"/>
      <c r="E3275" s="1"/>
      <c r="F3275" s="1"/>
      <c r="G3275" s="1"/>
      <c r="H3275" s="1"/>
    </row>
    <row r="3276" spans="1:8" ht="20.25">
      <c r="A3276" s="260">
        <f>+A3261+1</f>
        <v>196</v>
      </c>
      <c r="B3276" s="877" t="s">
        <v>3522</v>
      </c>
      <c r="C3276" s="878"/>
      <c r="D3276" s="878"/>
      <c r="E3276" s="878"/>
      <c r="F3276" s="878"/>
      <c r="G3276" s="878"/>
      <c r="H3276" s="878"/>
    </row>
    <row r="3277" spans="1:8" ht="15">
      <c r="A3277" s="15" t="s">
        <v>109</v>
      </c>
      <c r="B3277" s="879" t="s">
        <v>1379</v>
      </c>
      <c r="C3277" s="879"/>
      <c r="D3277" s="879"/>
      <c r="E3277" s="879"/>
      <c r="F3277" s="879"/>
      <c r="G3277" s="879"/>
      <c r="H3277" s="879"/>
    </row>
    <row r="3278" spans="1:8" ht="31.5">
      <c r="A3278" s="1"/>
      <c r="B3278" s="68" t="s">
        <v>2966</v>
      </c>
      <c r="C3278" s="68" t="s">
        <v>2967</v>
      </c>
      <c r="D3278" s="68" t="s">
        <v>2968</v>
      </c>
      <c r="E3278" s="68" t="s">
        <v>2969</v>
      </c>
      <c r="F3278" s="68" t="s">
        <v>2970</v>
      </c>
      <c r="G3278" s="68" t="s">
        <v>2971</v>
      </c>
      <c r="H3278" s="68" t="s">
        <v>1487</v>
      </c>
    </row>
    <row r="3279" spans="1:8" ht="17.25">
      <c r="A3279" s="27"/>
      <c r="B3279" s="889" t="s">
        <v>520</v>
      </c>
      <c r="C3279" s="80" t="s">
        <v>686</v>
      </c>
      <c r="D3279" s="42">
        <v>9</v>
      </c>
      <c r="E3279" s="53" t="s">
        <v>1490</v>
      </c>
      <c r="F3279" s="116" t="e">
        <f>#REF!</f>
        <v>#REF!</v>
      </c>
      <c r="G3279" s="107" t="e">
        <f>FLOOR(D3279*F3279,0.01)</f>
        <v>#REF!</v>
      </c>
      <c r="H3279" s="108"/>
    </row>
    <row r="3280" spans="1:8" ht="17.25">
      <c r="A3280" s="1"/>
      <c r="B3280" s="942"/>
      <c r="C3280" s="78" t="s">
        <v>521</v>
      </c>
      <c r="D3280" s="43">
        <v>5</v>
      </c>
      <c r="E3280" s="56" t="s">
        <v>1490</v>
      </c>
      <c r="F3280" s="122" t="e">
        <f>#REF!</f>
        <v>#REF!</v>
      </c>
      <c r="G3280" s="63" t="e">
        <f>FLOOR(D3280*F3280,0.01)</f>
        <v>#REF!</v>
      </c>
      <c r="H3280" s="123" t="e">
        <f>SUM(G3279+G3280)</f>
        <v>#REF!</v>
      </c>
    </row>
    <row r="3281" spans="1:8" ht="17.25">
      <c r="A3281" s="1"/>
      <c r="B3281" s="889" t="s">
        <v>2055</v>
      </c>
      <c r="C3281" s="80"/>
      <c r="D3281" s="42"/>
      <c r="E3281" s="53"/>
      <c r="F3281" s="116"/>
      <c r="G3281" s="116"/>
      <c r="H3281" s="108"/>
    </row>
    <row r="3282" spans="1:8" ht="31.5">
      <c r="A3282" s="1"/>
      <c r="B3282" s="943"/>
      <c r="C3282" s="80" t="s">
        <v>3521</v>
      </c>
      <c r="D3282" s="42">
        <v>16</v>
      </c>
      <c r="E3282" s="53" t="s">
        <v>2517</v>
      </c>
      <c r="F3282" s="109" t="e">
        <f>#REF!</f>
        <v>#REF!</v>
      </c>
      <c r="G3282" s="109" t="e">
        <f>FLOOR(D3282*F3282,0.01)</f>
        <v>#REF!</v>
      </c>
      <c r="H3282" s="9"/>
    </row>
    <row r="3283" spans="1:8" ht="19.5">
      <c r="A3283" s="1"/>
      <c r="B3283" s="896"/>
      <c r="C3283" s="78"/>
      <c r="D3283" s="43"/>
      <c r="E3283" s="56"/>
      <c r="F3283" s="122"/>
      <c r="G3283" s="130"/>
      <c r="H3283" s="123" t="e">
        <f>SUM(G3282+G3283+G3284)</f>
        <v>#REF!</v>
      </c>
    </row>
    <row r="3284" spans="1:8" ht="19.5">
      <c r="A3284" s="3"/>
      <c r="B3284" s="1"/>
      <c r="C3284" s="1"/>
      <c r="D3284" s="1"/>
      <c r="E3284" s="1"/>
      <c r="F3284" s="40" t="s">
        <v>1491</v>
      </c>
      <c r="G3284" s="102"/>
      <c r="H3284" s="63" t="e">
        <f>SUM(H3280:H3283)</f>
        <v>#REF!</v>
      </c>
    </row>
    <row r="3285" spans="1:8" ht="19.5">
      <c r="A3285" s="1"/>
      <c r="B3285" s="1" t="s">
        <v>1493</v>
      </c>
      <c r="C3285" s="1"/>
      <c r="D3285" s="1"/>
      <c r="E3285" s="1"/>
      <c r="F3285" s="40" t="s">
        <v>1471</v>
      </c>
      <c r="G3285" s="102"/>
      <c r="H3285" s="99" t="e">
        <f>FLOOR(H3284*0.15,0.01)</f>
        <v>#REF!</v>
      </c>
    </row>
    <row r="3286" spans="1:8" ht="19.5">
      <c r="A3286" s="27"/>
      <c r="B3286" s="140" t="e">
        <f>+H3286</f>
        <v>#REF!</v>
      </c>
      <c r="C3286" s="27" t="s">
        <v>3801</v>
      </c>
      <c r="D3286" s="99" t="e">
        <f>FLOOR(B3286/B3287,0.01)</f>
        <v>#REF!</v>
      </c>
      <c r="E3286" s="1" t="s">
        <v>3006</v>
      </c>
      <c r="F3286" s="40" t="s">
        <v>1494</v>
      </c>
      <c r="G3286" s="102"/>
      <c r="H3286" s="99" t="e">
        <f>SUM(H3284:H3285)</f>
        <v>#REF!</v>
      </c>
    </row>
    <row r="3287" spans="1:8" ht="19.5">
      <c r="A3287" s="27"/>
      <c r="B3287" s="88">
        <v>100</v>
      </c>
      <c r="C3287" s="27"/>
      <c r="D3287" s="141"/>
      <c r="E3287" s="1"/>
      <c r="F3287" s="40"/>
      <c r="G3287" s="102"/>
      <c r="H3287" s="141"/>
    </row>
    <row r="3288" spans="1:8" ht="19.5">
      <c r="A3288" s="27"/>
      <c r="B3288" s="88"/>
      <c r="C3288" s="27"/>
      <c r="D3288" s="141"/>
      <c r="E3288" s="1"/>
      <c r="F3288" s="40"/>
      <c r="G3288" s="102"/>
      <c r="H3288" s="141"/>
    </row>
    <row r="3289" spans="1:8" ht="20.25">
      <c r="A3289" s="260" t="s">
        <v>3803</v>
      </c>
      <c r="B3289" s="877" t="s">
        <v>3766</v>
      </c>
      <c r="C3289" s="878"/>
      <c r="D3289" s="878"/>
      <c r="E3289" s="878"/>
      <c r="F3289" s="878"/>
      <c r="G3289" s="878"/>
      <c r="H3289" s="878"/>
    </row>
    <row r="3290" spans="1:8" ht="14.25">
      <c r="A3290" s="677" t="s">
        <v>3697</v>
      </c>
      <c r="B3290" s="888" t="s">
        <v>1380</v>
      </c>
      <c r="C3290" s="879"/>
      <c r="D3290" s="879"/>
      <c r="E3290" s="879"/>
      <c r="F3290" s="879"/>
      <c r="G3290" s="879"/>
      <c r="H3290" s="879"/>
    </row>
    <row r="3291" spans="1:8" ht="15">
      <c r="A3291" s="1"/>
      <c r="B3291" s="3"/>
      <c r="C3291" s="1"/>
      <c r="D3291" s="1"/>
      <c r="E3291" s="1"/>
      <c r="F3291" s="3"/>
      <c r="G3291" s="3"/>
      <c r="H3291" s="3"/>
    </row>
    <row r="3292" spans="1:8" ht="31.5">
      <c r="A3292" s="1"/>
      <c r="B3292" s="68" t="s">
        <v>2966</v>
      </c>
      <c r="C3292" s="68" t="s">
        <v>2967</v>
      </c>
      <c r="D3292" s="68" t="s">
        <v>2968</v>
      </c>
      <c r="E3292" s="68" t="s">
        <v>2969</v>
      </c>
      <c r="F3292" s="68" t="s">
        <v>2970</v>
      </c>
      <c r="G3292" s="68" t="s">
        <v>2971</v>
      </c>
      <c r="H3292" s="68" t="s">
        <v>1487</v>
      </c>
    </row>
    <row r="3293" spans="1:8" ht="17.25">
      <c r="A3293" s="1"/>
      <c r="B3293" s="889" t="s">
        <v>1488</v>
      </c>
      <c r="C3293" s="58" t="s">
        <v>516</v>
      </c>
      <c r="D3293" s="41">
        <v>5.8</v>
      </c>
      <c r="E3293" s="55" t="s">
        <v>1490</v>
      </c>
      <c r="F3293" s="107" t="e">
        <f>mason</f>
        <v>#REF!</v>
      </c>
      <c r="G3293" s="107" t="e">
        <f>FLOOR(D3293*F3293,0.01)</f>
        <v>#REF!</v>
      </c>
      <c r="H3293" s="108"/>
    </row>
    <row r="3294" spans="1:8" ht="17.25">
      <c r="A3294" s="1"/>
      <c r="B3294" s="887"/>
      <c r="C3294" s="78" t="s">
        <v>1433</v>
      </c>
      <c r="D3294" s="43">
        <v>5.8</v>
      </c>
      <c r="E3294" s="56" t="s">
        <v>1490</v>
      </c>
      <c r="F3294" s="63" t="e">
        <f>#REF!</f>
        <v>#REF!</v>
      </c>
      <c r="G3294" s="63" t="e">
        <f>FLOOR(D3294*F3294,0.01)</f>
        <v>#REF!</v>
      </c>
      <c r="H3294" s="123" t="e">
        <f>SUM(G3293+G3294)</f>
        <v>#REF!</v>
      </c>
    </row>
    <row r="3295" spans="1:8" ht="17.25">
      <c r="A3295" s="1"/>
      <c r="B3295" s="886" t="s">
        <v>2055</v>
      </c>
      <c r="C3295" s="55" t="s">
        <v>1419</v>
      </c>
      <c r="D3295" s="48">
        <v>8</v>
      </c>
      <c r="E3295" s="55" t="s">
        <v>2517</v>
      </c>
      <c r="F3295" s="109" t="e">
        <f>#REF!</f>
        <v>#REF!</v>
      </c>
      <c r="G3295" s="110" t="e">
        <f>FLOOR(D3295*F3295,0.01)</f>
        <v>#REF!</v>
      </c>
      <c r="H3295" s="108"/>
    </row>
    <row r="3296" spans="1:8" ht="17.25">
      <c r="A3296" s="1"/>
      <c r="B3296" s="887"/>
      <c r="C3296" s="56" t="s">
        <v>3767</v>
      </c>
      <c r="D3296" s="43">
        <v>16</v>
      </c>
      <c r="E3296" s="56" t="s">
        <v>2517</v>
      </c>
      <c r="F3296" s="63" t="e">
        <f>#REF!</f>
        <v>#REF!</v>
      </c>
      <c r="G3296" s="63" t="e">
        <f>FLOOR(D3296*F3296,0.01)</f>
        <v>#REF!</v>
      </c>
      <c r="H3296" s="123" t="e">
        <f>SUM(G3295:G3296)</f>
        <v>#REF!</v>
      </c>
    </row>
    <row r="3297" spans="1:8" ht="19.5">
      <c r="A3297" s="1"/>
      <c r="B3297" s="1"/>
      <c r="C3297" s="1"/>
      <c r="D3297" s="1"/>
      <c r="E3297" s="1"/>
      <c r="F3297" s="40" t="s">
        <v>1491</v>
      </c>
      <c r="G3297" s="133"/>
      <c r="H3297" s="63" t="e">
        <f>SUM(H3296,H3294)</f>
        <v>#REF!</v>
      </c>
    </row>
    <row r="3298" spans="1:8" ht="19.5">
      <c r="A3298" s="1"/>
      <c r="B3298" s="1" t="s">
        <v>1493</v>
      </c>
      <c r="C3298" s="1"/>
      <c r="D3298" s="1"/>
      <c r="E3298" s="1"/>
      <c r="F3298" s="40" t="s">
        <v>1472</v>
      </c>
      <c r="G3298" s="133"/>
      <c r="H3298" s="99" t="e">
        <f>FLOOR(H3297*0.15,0.01)</f>
        <v>#REF!</v>
      </c>
    </row>
    <row r="3299" spans="1:8" ht="19.5">
      <c r="B3299" s="140" t="e">
        <f>+H3299</f>
        <v>#REF!</v>
      </c>
      <c r="C3299" s="27" t="s">
        <v>3801</v>
      </c>
      <c r="D3299" s="99" t="e">
        <f>INT(B3299/B3300*100)/100</f>
        <v>#REF!</v>
      </c>
      <c r="E3299" s="1" t="s">
        <v>3006</v>
      </c>
      <c r="F3299" s="40" t="s">
        <v>1494</v>
      </c>
      <c r="G3299" s="133"/>
      <c r="H3299" s="99" t="e">
        <f>SUM(H3297:H3298)</f>
        <v>#REF!</v>
      </c>
    </row>
    <row r="3300" spans="1:8" ht="16.5">
      <c r="A3300" s="1"/>
      <c r="B3300" s="117">
        <v>100</v>
      </c>
      <c r="C3300" s="1"/>
      <c r="D3300" s="1"/>
      <c r="E3300" s="1"/>
      <c r="F3300" s="1"/>
      <c r="G3300" s="1"/>
      <c r="H3300" s="1"/>
    </row>
    <row r="3301" spans="1:8" ht="19.5">
      <c r="A3301" s="27"/>
      <c r="B3301" s="88"/>
      <c r="C3301" s="27"/>
      <c r="D3301" s="141"/>
      <c r="E3301" s="1"/>
      <c r="F3301" s="40"/>
      <c r="G3301" s="102"/>
      <c r="H3301" s="141"/>
    </row>
    <row r="3302" spans="1:8" ht="19.5">
      <c r="A3302" s="27"/>
      <c r="B3302" s="88"/>
      <c r="C3302" s="27"/>
      <c r="D3302" s="141"/>
      <c r="E3302" s="1"/>
      <c r="F3302" s="40"/>
      <c r="G3302" s="102"/>
      <c r="H3302" s="141"/>
    </row>
    <row r="3303" spans="1:8" ht="15">
      <c r="A3303" s="31"/>
      <c r="B3303" s="1"/>
      <c r="C3303" s="1"/>
      <c r="D3303" s="1"/>
      <c r="E3303" s="1"/>
      <c r="F3303" s="1"/>
      <c r="G3303" s="1"/>
      <c r="H3303" s="1"/>
    </row>
    <row r="3304" spans="1:8" ht="20.25">
      <c r="A3304" s="260">
        <f>+A3276+1</f>
        <v>197</v>
      </c>
      <c r="B3304" s="877" t="s">
        <v>2661</v>
      </c>
      <c r="C3304" s="878"/>
      <c r="D3304" s="878"/>
      <c r="E3304" s="878"/>
      <c r="F3304" s="878"/>
      <c r="G3304" s="878"/>
      <c r="H3304" s="878"/>
    </row>
    <row r="3305" spans="1:8" ht="14.25">
      <c r="A3305" s="677" t="s">
        <v>3680</v>
      </c>
      <c r="B3305" s="888" t="s">
        <v>1380</v>
      </c>
      <c r="C3305" s="879"/>
      <c r="D3305" s="879"/>
      <c r="E3305" s="879"/>
      <c r="F3305" s="879"/>
      <c r="G3305" s="879"/>
      <c r="H3305" s="879"/>
    </row>
    <row r="3306" spans="1:8" ht="15">
      <c r="A3306" s="1"/>
      <c r="B3306" s="3"/>
      <c r="C3306" s="1"/>
      <c r="D3306" s="1"/>
      <c r="E3306" s="1"/>
      <c r="F3306" s="3"/>
      <c r="G3306" s="3"/>
      <c r="H3306" s="3"/>
    </row>
    <row r="3307" spans="1:8" ht="31.5">
      <c r="A3307" s="1"/>
      <c r="B3307" s="68" t="s">
        <v>2966</v>
      </c>
      <c r="C3307" s="68" t="s">
        <v>2967</v>
      </c>
      <c r="D3307" s="68" t="s">
        <v>2968</v>
      </c>
      <c r="E3307" s="68" t="s">
        <v>2969</v>
      </c>
      <c r="F3307" s="68" t="s">
        <v>2970</v>
      </c>
      <c r="G3307" s="68" t="s">
        <v>2971</v>
      </c>
      <c r="H3307" s="68" t="s">
        <v>1487</v>
      </c>
    </row>
    <row r="3308" spans="1:8" ht="17.25">
      <c r="A3308" s="1"/>
      <c r="B3308" s="889" t="s">
        <v>1488</v>
      </c>
      <c r="C3308" s="58" t="s">
        <v>516</v>
      </c>
      <c r="D3308" s="41">
        <v>10.75</v>
      </c>
      <c r="E3308" s="55" t="s">
        <v>1490</v>
      </c>
      <c r="F3308" s="107" t="e">
        <f>#REF!</f>
        <v>#REF!</v>
      </c>
      <c r="G3308" s="107" t="e">
        <f>FLOOR(D3308*F3308,0.01)</f>
        <v>#REF!</v>
      </c>
      <c r="H3308" s="108"/>
    </row>
    <row r="3309" spans="1:8" ht="17.25">
      <c r="A3309" s="1"/>
      <c r="B3309" s="887"/>
      <c r="C3309" s="78" t="s">
        <v>1433</v>
      </c>
      <c r="D3309" s="43">
        <v>10.75</v>
      </c>
      <c r="E3309" s="56" t="s">
        <v>1490</v>
      </c>
      <c r="F3309" s="63" t="e">
        <f>#REF!</f>
        <v>#REF!</v>
      </c>
      <c r="G3309" s="63" t="e">
        <f>FLOOR(D3309*F3309,0.01)</f>
        <v>#REF!</v>
      </c>
      <c r="H3309" s="123" t="e">
        <f>SUM(G3308+G3309)</f>
        <v>#REF!</v>
      </c>
    </row>
    <row r="3310" spans="1:8" ht="17.25">
      <c r="A3310" s="1"/>
      <c r="B3310" s="886" t="s">
        <v>2055</v>
      </c>
      <c r="C3310" s="55" t="s">
        <v>1419</v>
      </c>
      <c r="D3310" s="41">
        <v>8.1</v>
      </c>
      <c r="E3310" s="55" t="s">
        <v>2517</v>
      </c>
      <c r="F3310" s="107" t="e">
        <f>#REF!</f>
        <v>#REF!</v>
      </c>
      <c r="G3310" s="110" t="e">
        <f>FLOOR(D3310*F3310,0.01)</f>
        <v>#REF!</v>
      </c>
      <c r="H3310" s="108"/>
    </row>
    <row r="3311" spans="1:8" ht="17.25">
      <c r="A3311" s="1"/>
      <c r="B3311" s="890"/>
      <c r="C3311" s="53" t="s">
        <v>2311</v>
      </c>
      <c r="D3311" s="42">
        <v>10.76</v>
      </c>
      <c r="E3311" s="53" t="s">
        <v>2517</v>
      </c>
      <c r="F3311" s="116" t="e">
        <f>#REF!</f>
        <v>#REF!</v>
      </c>
      <c r="G3311" s="109" t="e">
        <f>FLOOR(D3311*F3311,0.01)</f>
        <v>#REF!</v>
      </c>
      <c r="H3311" s="121"/>
    </row>
    <row r="3312" spans="1:8" ht="17.25">
      <c r="A3312" s="1"/>
      <c r="B3312" s="887"/>
      <c r="C3312" s="56" t="s">
        <v>2660</v>
      </c>
      <c r="D3312" s="43">
        <v>4</v>
      </c>
      <c r="E3312" s="56" t="s">
        <v>699</v>
      </c>
      <c r="F3312" s="122" t="e">
        <f>#REF!</f>
        <v>#REF!</v>
      </c>
      <c r="G3312" s="63" t="e">
        <f>FLOOR(D3312*F3312,0.01)</f>
        <v>#REF!</v>
      </c>
      <c r="H3312" s="123" t="e">
        <f>SUM(G3310:G3312)</f>
        <v>#REF!</v>
      </c>
    </row>
    <row r="3313" spans="1:8" ht="19.5">
      <c r="A3313" s="1"/>
      <c r="B3313" s="1"/>
      <c r="C3313" s="1"/>
      <c r="D3313" s="1"/>
      <c r="E3313" s="1"/>
      <c r="F3313" s="40" t="s">
        <v>1491</v>
      </c>
      <c r="G3313" s="133"/>
      <c r="H3313" s="63" t="e">
        <f>SUM(H3309:H3312)</f>
        <v>#REF!</v>
      </c>
    </row>
    <row r="3314" spans="1:8" ht="19.5">
      <c r="A3314" s="1"/>
      <c r="B3314" s="1" t="s">
        <v>1493</v>
      </c>
      <c r="C3314" s="1"/>
      <c r="D3314" s="1"/>
      <c r="E3314" s="1"/>
      <c r="F3314" s="40" t="s">
        <v>1472</v>
      </c>
      <c r="G3314" s="133"/>
      <c r="H3314" s="99" t="e">
        <f>FLOOR(H3313*0.15,0.01)</f>
        <v>#REF!</v>
      </c>
    </row>
    <row r="3315" spans="1:8" ht="19.5">
      <c r="B3315" s="140" t="e">
        <f>+H3315</f>
        <v>#REF!</v>
      </c>
      <c r="C3315" s="27" t="s">
        <v>3801</v>
      </c>
      <c r="D3315" s="99" t="e">
        <f>INT(B3315/B3316*100)/100</f>
        <v>#REF!</v>
      </c>
      <c r="E3315" s="1" t="s">
        <v>3006</v>
      </c>
      <c r="F3315" s="40" t="s">
        <v>1494</v>
      </c>
      <c r="G3315" s="133"/>
      <c r="H3315" s="99" t="e">
        <f>SUM(H3313:H3314)</f>
        <v>#REF!</v>
      </c>
    </row>
    <row r="3316" spans="1:8" ht="16.5">
      <c r="A3316" s="1"/>
      <c r="B3316" s="117">
        <v>100</v>
      </c>
      <c r="C3316" s="1"/>
      <c r="D3316" s="1"/>
      <c r="E3316" s="1"/>
      <c r="F3316" s="1"/>
      <c r="G3316" s="1"/>
      <c r="H3316" s="1"/>
    </row>
    <row r="3317" spans="1:8" ht="16.5">
      <c r="A3317" s="1"/>
      <c r="B3317" s="117"/>
      <c r="C3317" s="1"/>
      <c r="D3317" s="1"/>
      <c r="E3317" s="1"/>
      <c r="F3317" s="1"/>
      <c r="G3317" s="1"/>
      <c r="H3317" s="1"/>
    </row>
    <row r="3318" spans="1:8" ht="16.5">
      <c r="A3318" s="1"/>
      <c r="B3318" s="117"/>
      <c r="C3318" s="1"/>
      <c r="D3318" s="1"/>
      <c r="E3318" s="1"/>
      <c r="F3318" s="1"/>
      <c r="G3318" s="1"/>
      <c r="H3318" s="1"/>
    </row>
    <row r="3319" spans="1:8" ht="15">
      <c r="A3319" s="1"/>
      <c r="B3319" s="1"/>
      <c r="C3319" s="1"/>
      <c r="D3319" s="1"/>
      <c r="E3319" s="1"/>
      <c r="F3319" s="1"/>
      <c r="G3319" s="1"/>
      <c r="H3319" s="1"/>
    </row>
    <row r="3320" spans="1:8" ht="20.25">
      <c r="A3320" s="260">
        <f>A3304+1</f>
        <v>198</v>
      </c>
      <c r="B3320" s="877" t="s">
        <v>2312</v>
      </c>
      <c r="C3320" s="878"/>
      <c r="D3320" s="878"/>
      <c r="E3320" s="878"/>
      <c r="F3320" s="878"/>
      <c r="G3320" s="878"/>
      <c r="H3320" s="878"/>
    </row>
    <row r="3321" spans="1:8" ht="14.25">
      <c r="A3321" s="677" t="s">
        <v>3681</v>
      </c>
      <c r="B3321" s="888" t="s">
        <v>1380</v>
      </c>
      <c r="C3321" s="879"/>
      <c r="D3321" s="879"/>
      <c r="E3321" s="879"/>
      <c r="F3321" s="879"/>
      <c r="G3321" s="879"/>
      <c r="H3321" s="879"/>
    </row>
    <row r="3322" spans="1:8" ht="31.5">
      <c r="A3322" s="1"/>
      <c r="B3322" s="68" t="s">
        <v>2966</v>
      </c>
      <c r="C3322" s="68" t="s">
        <v>2967</v>
      </c>
      <c r="D3322" s="68" t="s">
        <v>2968</v>
      </c>
      <c r="E3322" s="68" t="s">
        <v>2969</v>
      </c>
      <c r="F3322" s="68" t="s">
        <v>2970</v>
      </c>
      <c r="G3322" s="68" t="s">
        <v>2971</v>
      </c>
      <c r="H3322" s="68" t="s">
        <v>1487</v>
      </c>
    </row>
    <row r="3323" spans="1:8" ht="17.25">
      <c r="A3323" s="1"/>
      <c r="B3323" s="889" t="s">
        <v>1488</v>
      </c>
      <c r="C3323" s="58" t="s">
        <v>516</v>
      </c>
      <c r="D3323" s="41">
        <v>2</v>
      </c>
      <c r="E3323" s="55" t="s">
        <v>1490</v>
      </c>
      <c r="F3323" s="107" t="e">
        <f>#REF!</f>
        <v>#REF!</v>
      </c>
      <c r="G3323" s="107" t="e">
        <f>FLOOR(D3323*F3323,0.01)</f>
        <v>#REF!</v>
      </c>
      <c r="H3323" s="108"/>
    </row>
    <row r="3324" spans="1:8" ht="17.25">
      <c r="A3324" s="1"/>
      <c r="B3324" s="887"/>
      <c r="C3324" s="78" t="s">
        <v>1433</v>
      </c>
      <c r="D3324" s="43">
        <v>2</v>
      </c>
      <c r="E3324" s="56" t="s">
        <v>1490</v>
      </c>
      <c r="F3324" s="63" t="e">
        <f>#REF!</f>
        <v>#REF!</v>
      </c>
      <c r="G3324" s="63" t="e">
        <f>FLOOR(D3324*F3324,0.01)</f>
        <v>#REF!</v>
      </c>
      <c r="H3324" s="123" t="e">
        <f>SUM(G3323+G3324)</f>
        <v>#REF!</v>
      </c>
    </row>
    <row r="3325" spans="1:8" ht="17.25">
      <c r="A3325" s="1"/>
      <c r="B3325" s="66" t="s">
        <v>2055</v>
      </c>
      <c r="C3325" s="68" t="s">
        <v>2313</v>
      </c>
      <c r="D3325" s="44">
        <v>6</v>
      </c>
      <c r="E3325" s="64" t="s">
        <v>2517</v>
      </c>
      <c r="F3325" s="101" t="e">
        <f>#REF!</f>
        <v>#REF!</v>
      </c>
      <c r="G3325" s="99" t="e">
        <f>FLOOR(D3325*F3325,0.01)</f>
        <v>#REF!</v>
      </c>
      <c r="H3325" s="99" t="e">
        <f>(G3325)</f>
        <v>#REF!</v>
      </c>
    </row>
    <row r="3326" spans="1:8" ht="19.5">
      <c r="A3326" s="1"/>
      <c r="B3326" s="188"/>
      <c r="C3326" s="1"/>
      <c r="D3326" s="1"/>
      <c r="E3326" s="1"/>
      <c r="F3326" s="40" t="s">
        <v>1491</v>
      </c>
      <c r="G3326" s="133"/>
      <c r="H3326" s="123" t="e">
        <f>SUM(H3324,H3325)</f>
        <v>#REF!</v>
      </c>
    </row>
    <row r="3327" spans="1:8" ht="19.5">
      <c r="A3327" s="1"/>
      <c r="B3327" s="1" t="s">
        <v>1493</v>
      </c>
      <c r="C3327" s="1"/>
      <c r="D3327" s="1"/>
      <c r="E3327" s="1"/>
      <c r="F3327" s="40" t="s">
        <v>1471</v>
      </c>
      <c r="G3327" s="133"/>
      <c r="H3327" s="99" t="e">
        <f>FLOOR(H3326*0.15,0.01)</f>
        <v>#REF!</v>
      </c>
    </row>
    <row r="3328" spans="1:8" ht="19.5">
      <c r="B3328" s="140" t="e">
        <f>+H3328</f>
        <v>#REF!</v>
      </c>
      <c r="C3328" s="27" t="s">
        <v>3005</v>
      </c>
      <c r="D3328" s="99" t="e">
        <f>INT(B3328/B3329*100)/100</f>
        <v>#REF!</v>
      </c>
      <c r="E3328" s="1" t="s">
        <v>3006</v>
      </c>
      <c r="F3328" s="40" t="s">
        <v>1494</v>
      </c>
      <c r="G3328" s="133"/>
      <c r="H3328" s="99" t="e">
        <f>SUM(H3326:H3327)</f>
        <v>#REF!</v>
      </c>
    </row>
    <row r="3329" spans="1:8" ht="16.5">
      <c r="A3329" s="1"/>
      <c r="B3329" s="117">
        <v>100</v>
      </c>
      <c r="C3329" s="188"/>
      <c r="D3329" s="189"/>
      <c r="E3329" s="188"/>
      <c r="F3329" s="1"/>
      <c r="G3329" s="1"/>
      <c r="H3329" s="1"/>
    </row>
    <row r="3330" spans="1:8" ht="16.5">
      <c r="A3330" s="1"/>
      <c r="B3330" s="117"/>
      <c r="C3330" s="188"/>
      <c r="D3330" s="189"/>
      <c r="E3330" s="188"/>
      <c r="F3330" s="1"/>
      <c r="G3330" s="1"/>
      <c r="H3330" s="1"/>
    </row>
    <row r="3331" spans="1:8" ht="16.5">
      <c r="A3331" s="1"/>
      <c r="B3331" s="117"/>
      <c r="C3331" s="188"/>
      <c r="D3331" s="189"/>
      <c r="E3331" s="188"/>
      <c r="F3331" s="1"/>
      <c r="G3331" s="1"/>
      <c r="H3331" s="1"/>
    </row>
    <row r="3332" spans="1:8" ht="16.5">
      <c r="A3332" s="1"/>
      <c r="B3332" s="117"/>
      <c r="C3332" s="188"/>
      <c r="D3332" s="189"/>
      <c r="E3332" s="188"/>
      <c r="F3332" s="1"/>
      <c r="G3332" s="1"/>
      <c r="H3332" s="1"/>
    </row>
    <row r="3333" spans="1:8" ht="15.75">
      <c r="A3333" s="1"/>
      <c r="B3333" s="188"/>
      <c r="C3333" s="1"/>
      <c r="D3333" s="1"/>
      <c r="E3333" s="1"/>
      <c r="F3333" s="256"/>
      <c r="G3333" s="1"/>
      <c r="H3333" s="1"/>
    </row>
    <row r="3334" spans="1:8" ht="20.25">
      <c r="A3334" s="260">
        <f>+A3320+1</f>
        <v>199</v>
      </c>
      <c r="B3334" s="877" t="s">
        <v>2314</v>
      </c>
      <c r="C3334" s="878"/>
      <c r="D3334" s="878"/>
      <c r="E3334" s="878"/>
      <c r="F3334" s="878"/>
      <c r="G3334" s="878"/>
      <c r="H3334" s="878"/>
    </row>
    <row r="3335" spans="1:8" ht="14.25">
      <c r="A3335" s="677" t="s">
        <v>3681</v>
      </c>
      <c r="B3335" s="888" t="s">
        <v>1380</v>
      </c>
      <c r="C3335" s="879"/>
      <c r="D3335" s="879"/>
      <c r="E3335" s="879"/>
      <c r="F3335" s="879"/>
      <c r="G3335" s="879"/>
      <c r="H3335" s="879"/>
    </row>
    <row r="3336" spans="1:8" ht="15.75">
      <c r="A3336" s="1"/>
      <c r="B3336" s="3"/>
      <c r="C3336" s="188"/>
      <c r="D3336" s="189"/>
      <c r="E3336" s="188"/>
      <c r="F3336" s="3"/>
      <c r="G3336" s="3"/>
      <c r="H3336" s="3"/>
    </row>
    <row r="3337" spans="1:8" ht="31.5">
      <c r="A3337" s="1"/>
      <c r="B3337" s="68" t="s">
        <v>2966</v>
      </c>
      <c r="C3337" s="68" t="s">
        <v>2967</v>
      </c>
      <c r="D3337" s="68" t="s">
        <v>2968</v>
      </c>
      <c r="E3337" s="68" t="s">
        <v>2969</v>
      </c>
      <c r="F3337" s="68" t="s">
        <v>2970</v>
      </c>
      <c r="G3337" s="68" t="s">
        <v>2971</v>
      </c>
      <c r="H3337" s="68" t="s">
        <v>1487</v>
      </c>
    </row>
    <row r="3338" spans="1:8" ht="17.25">
      <c r="A3338" s="1"/>
      <c r="B3338" s="889" t="s">
        <v>1488</v>
      </c>
      <c r="C3338" s="58" t="s">
        <v>516</v>
      </c>
      <c r="D3338" s="41">
        <v>4</v>
      </c>
      <c r="E3338" s="55" t="s">
        <v>1490</v>
      </c>
      <c r="F3338" s="107" t="e">
        <f>#REF!</f>
        <v>#REF!</v>
      </c>
      <c r="G3338" s="107" t="e">
        <f>FLOOR(D3338*F3338,0.01)</f>
        <v>#REF!</v>
      </c>
      <c r="H3338" s="108"/>
    </row>
    <row r="3339" spans="1:8" ht="17.25">
      <c r="A3339" s="1"/>
      <c r="B3339" s="887"/>
      <c r="C3339" s="78" t="s">
        <v>1433</v>
      </c>
      <c r="D3339" s="43">
        <v>4</v>
      </c>
      <c r="E3339" s="56" t="s">
        <v>1490</v>
      </c>
      <c r="F3339" s="63" t="e">
        <f>#REF!</f>
        <v>#REF!</v>
      </c>
      <c r="G3339" s="63" t="e">
        <f>FLOOR(D3339*F3339,0.01)</f>
        <v>#REF!</v>
      </c>
      <c r="H3339" s="123" t="e">
        <f>SUM(G3338+G3339)</f>
        <v>#REF!</v>
      </c>
    </row>
    <row r="3340" spans="1:8" ht="16.5">
      <c r="A3340" s="1"/>
      <c r="B3340" s="66" t="s">
        <v>2055</v>
      </c>
      <c r="C3340" s="66" t="s">
        <v>2313</v>
      </c>
      <c r="D3340" s="657">
        <v>11</v>
      </c>
      <c r="E3340" s="66" t="s">
        <v>2517</v>
      </c>
      <c r="F3340" s="63" t="e">
        <f>#REF!</f>
        <v>#REF!</v>
      </c>
      <c r="G3340" s="99" t="e">
        <f>FLOOR(D3340*F3340,0.01)</f>
        <v>#REF!</v>
      </c>
      <c r="H3340" s="126" t="e">
        <f>SUM(G3340:G3340)</f>
        <v>#REF!</v>
      </c>
    </row>
    <row r="3341" spans="1:8" ht="19.5">
      <c r="A3341" s="1"/>
      <c r="B3341" s="1"/>
      <c r="C3341" s="1"/>
      <c r="D3341" s="1"/>
      <c r="E3341" s="1"/>
      <c r="F3341" s="40" t="s">
        <v>1491</v>
      </c>
      <c r="G3341" s="133"/>
      <c r="H3341" s="63" t="e">
        <f>SUM(H3339:H3340)</f>
        <v>#REF!</v>
      </c>
    </row>
    <row r="3342" spans="1:8" ht="19.5">
      <c r="A3342" s="1"/>
      <c r="B3342" s="1" t="s">
        <v>1493</v>
      </c>
      <c r="C3342" s="1"/>
      <c r="D3342" s="1"/>
      <c r="E3342" s="1"/>
      <c r="F3342" s="40" t="s">
        <v>1471</v>
      </c>
      <c r="G3342" s="133"/>
      <c r="H3342" s="99" t="e">
        <f>FLOOR(H3341*0.15,0.01)</f>
        <v>#REF!</v>
      </c>
    </row>
    <row r="3343" spans="1:8" ht="19.5">
      <c r="B3343" s="140" t="e">
        <f>+H3343</f>
        <v>#REF!</v>
      </c>
      <c r="C3343" s="27" t="s">
        <v>3005</v>
      </c>
      <c r="D3343" s="99" t="e">
        <f>INT(B3343/B3344*100)/100</f>
        <v>#REF!</v>
      </c>
      <c r="E3343" s="1" t="s">
        <v>3006</v>
      </c>
      <c r="F3343" s="40" t="s">
        <v>1494</v>
      </c>
      <c r="G3343" s="133"/>
      <c r="H3343" s="99" t="e">
        <f>SUM(H3341:H3342)</f>
        <v>#REF!</v>
      </c>
    </row>
    <row r="3344" spans="1:8" ht="16.5">
      <c r="A3344" s="1"/>
      <c r="B3344" s="117">
        <v>100</v>
      </c>
      <c r="C3344" s="1"/>
      <c r="D3344" s="1"/>
      <c r="E3344" s="1"/>
      <c r="F3344" s="1"/>
      <c r="G3344" s="1"/>
      <c r="H3344" s="1"/>
    </row>
    <row r="3345" spans="1:8" ht="16.5">
      <c r="A3345" s="1"/>
      <c r="B3345" s="117"/>
      <c r="C3345" s="1"/>
      <c r="D3345" s="1"/>
      <c r="E3345" s="1"/>
      <c r="F3345" s="1"/>
      <c r="G3345" s="1"/>
      <c r="H3345" s="1"/>
    </row>
    <row r="3346" spans="1:8" ht="20.25">
      <c r="A3346" s="260">
        <f>+A3334+1</f>
        <v>200</v>
      </c>
      <c r="B3346" s="877" t="s">
        <v>3013</v>
      </c>
      <c r="C3346" s="878"/>
      <c r="D3346" s="878"/>
      <c r="E3346" s="878"/>
      <c r="F3346" s="878"/>
      <c r="G3346" s="878"/>
      <c r="H3346" s="878"/>
    </row>
    <row r="3347" spans="1:8" ht="14.25">
      <c r="A3347" s="677" t="s">
        <v>3682</v>
      </c>
      <c r="B3347" s="888" t="s">
        <v>1380</v>
      </c>
      <c r="C3347" s="879"/>
      <c r="D3347" s="879"/>
      <c r="E3347" s="879"/>
      <c r="F3347" s="879"/>
      <c r="G3347" s="879"/>
      <c r="H3347" s="879"/>
    </row>
    <row r="3348" spans="1:8" ht="31.5">
      <c r="A3348" s="1"/>
      <c r="B3348" s="68" t="s">
        <v>2966</v>
      </c>
      <c r="C3348" s="68" t="s">
        <v>2967</v>
      </c>
      <c r="D3348" s="68" t="s">
        <v>2968</v>
      </c>
      <c r="E3348" s="68" t="s">
        <v>2969</v>
      </c>
      <c r="F3348" s="68" t="s">
        <v>2970</v>
      </c>
      <c r="G3348" s="68" t="s">
        <v>2971</v>
      </c>
      <c r="H3348" s="68" t="s">
        <v>1487</v>
      </c>
    </row>
    <row r="3349" spans="1:8" ht="17.25">
      <c r="A3349" s="1"/>
      <c r="B3349" s="889" t="s">
        <v>1488</v>
      </c>
      <c r="C3349" s="58" t="s">
        <v>516</v>
      </c>
      <c r="D3349" s="41">
        <v>3</v>
      </c>
      <c r="E3349" s="55" t="s">
        <v>1490</v>
      </c>
      <c r="F3349" s="107" t="e">
        <f>#REF!</f>
        <v>#REF!</v>
      </c>
      <c r="G3349" s="107" t="e">
        <f>FLOOR(D3349*F3349,0.01)</f>
        <v>#REF!</v>
      </c>
      <c r="H3349" s="108"/>
    </row>
    <row r="3350" spans="1:8" ht="17.25">
      <c r="A3350" s="1"/>
      <c r="B3350" s="887"/>
      <c r="C3350" s="78" t="s">
        <v>1433</v>
      </c>
      <c r="D3350" s="43">
        <v>2</v>
      </c>
      <c r="E3350" s="56" t="s">
        <v>1490</v>
      </c>
      <c r="F3350" s="63" t="e">
        <f>#REF!</f>
        <v>#REF!</v>
      </c>
      <c r="G3350" s="63" t="e">
        <f>FLOOR(D3350*F3350,0.01)</f>
        <v>#REF!</v>
      </c>
      <c r="H3350" s="123" t="e">
        <f>SUM(G3349+G3350)</f>
        <v>#REF!</v>
      </c>
    </row>
    <row r="3351" spans="1:8" ht="16.5">
      <c r="A3351" s="1"/>
      <c r="B3351" s="66" t="s">
        <v>2055</v>
      </c>
      <c r="C3351" s="66" t="s">
        <v>2315</v>
      </c>
      <c r="D3351" s="657">
        <v>6</v>
      </c>
      <c r="E3351" s="66" t="s">
        <v>2517</v>
      </c>
      <c r="F3351" s="63" t="e">
        <f>#REF!</f>
        <v>#REF!</v>
      </c>
      <c r="G3351" s="99" t="e">
        <f>FLOOR(D3351*F3351,0.01)</f>
        <v>#REF!</v>
      </c>
      <c r="H3351" s="126" t="e">
        <f>SUM(G3351:G3351)</f>
        <v>#REF!</v>
      </c>
    </row>
    <row r="3352" spans="1:8" ht="19.5">
      <c r="A3352" s="1"/>
      <c r="B3352" s="1"/>
      <c r="C3352" s="1"/>
      <c r="D3352" s="1"/>
      <c r="E3352" s="1"/>
      <c r="F3352" s="40" t="s">
        <v>1491</v>
      </c>
      <c r="G3352" s="133"/>
      <c r="H3352" s="63" t="e">
        <f>SUM(H3350:H3351)</f>
        <v>#REF!</v>
      </c>
    </row>
    <row r="3353" spans="1:8" ht="19.5">
      <c r="A3353" s="1"/>
      <c r="B3353" s="1" t="s">
        <v>1493</v>
      </c>
      <c r="C3353" s="1"/>
      <c r="D3353" s="1"/>
      <c r="E3353" s="1"/>
      <c r="F3353" s="40" t="s">
        <v>1471</v>
      </c>
      <c r="G3353" s="133"/>
      <c r="H3353" s="99" t="e">
        <f>FLOOR(H3352*0.15,0.01)</f>
        <v>#REF!</v>
      </c>
    </row>
    <row r="3354" spans="1:8" ht="19.5">
      <c r="B3354" s="140" t="e">
        <f>+H3354</f>
        <v>#REF!</v>
      </c>
      <c r="C3354" s="27" t="s">
        <v>3801</v>
      </c>
      <c r="D3354" s="99" t="e">
        <f>INT(B3354/B3355*100)/100</f>
        <v>#REF!</v>
      </c>
      <c r="E3354" s="1" t="s">
        <v>3006</v>
      </c>
      <c r="F3354" s="40" t="s">
        <v>1494</v>
      </c>
      <c r="G3354" s="133"/>
      <c r="H3354" s="99" t="e">
        <f>SUM(H3352:H3353)</f>
        <v>#REF!</v>
      </c>
    </row>
    <row r="3355" spans="1:8" ht="16.5">
      <c r="A3355" s="1"/>
      <c r="B3355" s="117">
        <v>100</v>
      </c>
      <c r="C3355" s="1"/>
      <c r="D3355" s="1"/>
      <c r="E3355" s="1"/>
      <c r="F3355" s="1"/>
      <c r="G3355" s="1"/>
      <c r="H3355" s="1"/>
    </row>
    <row r="3356" spans="1:8" ht="16.5">
      <c r="A3356" s="1"/>
      <c r="B3356" s="117"/>
      <c r="C3356" s="1"/>
      <c r="D3356" s="1"/>
      <c r="E3356" s="1"/>
      <c r="F3356" s="1"/>
      <c r="G3356" s="1"/>
      <c r="H3356" s="1"/>
    </row>
    <row r="3357" spans="1:8" ht="15">
      <c r="A3357" s="1"/>
      <c r="B3357" s="1"/>
      <c r="C3357" s="1"/>
      <c r="D3357" s="1"/>
      <c r="E3357" s="1"/>
      <c r="F3357" s="1"/>
      <c r="G3357" s="1"/>
      <c r="H3357" s="1"/>
    </row>
    <row r="3358" spans="1:8" ht="20.25">
      <c r="A3358" s="260">
        <f>+A3346+1</f>
        <v>201</v>
      </c>
      <c r="B3358" s="877" t="s">
        <v>3014</v>
      </c>
      <c r="C3358" s="878"/>
      <c r="D3358" s="878"/>
      <c r="E3358" s="878"/>
      <c r="F3358" s="878"/>
      <c r="G3358" s="878"/>
      <c r="H3358" s="878"/>
    </row>
    <row r="3359" spans="1:8" ht="14.25">
      <c r="A3359" s="677" t="s">
        <v>3682</v>
      </c>
      <c r="B3359" s="888" t="s">
        <v>1380</v>
      </c>
      <c r="C3359" s="879"/>
      <c r="D3359" s="879"/>
      <c r="E3359" s="879"/>
      <c r="F3359" s="879"/>
      <c r="G3359" s="879"/>
      <c r="H3359" s="879"/>
    </row>
    <row r="3360" spans="1:8" ht="15">
      <c r="A3360" s="1"/>
      <c r="B3360" s="3"/>
      <c r="C3360" s="1"/>
      <c r="D3360" s="1"/>
      <c r="E3360" s="1"/>
      <c r="F3360" s="3"/>
      <c r="G3360" s="3"/>
      <c r="H3360" s="3"/>
    </row>
    <row r="3361" spans="1:8" ht="31.5">
      <c r="A3361" s="1"/>
      <c r="B3361" s="68" t="s">
        <v>2966</v>
      </c>
      <c r="C3361" s="68" t="s">
        <v>2967</v>
      </c>
      <c r="D3361" s="68" t="s">
        <v>2968</v>
      </c>
      <c r="E3361" s="68" t="s">
        <v>2969</v>
      </c>
      <c r="F3361" s="68" t="s">
        <v>2970</v>
      </c>
      <c r="G3361" s="68" t="s">
        <v>2971</v>
      </c>
      <c r="H3361" s="68" t="s">
        <v>1487</v>
      </c>
    </row>
    <row r="3362" spans="1:8" ht="17.25">
      <c r="A3362" s="1"/>
      <c r="B3362" s="889" t="s">
        <v>1488</v>
      </c>
      <c r="C3362" s="58" t="s">
        <v>516</v>
      </c>
      <c r="D3362" s="41">
        <v>6</v>
      </c>
      <c r="E3362" s="55" t="s">
        <v>1490</v>
      </c>
      <c r="F3362" s="107" t="e">
        <f>#REF!</f>
        <v>#REF!</v>
      </c>
      <c r="G3362" s="107" t="e">
        <f>FLOOR(D3362*F3362,0.01)</f>
        <v>#REF!</v>
      </c>
      <c r="H3362" s="108"/>
    </row>
    <row r="3363" spans="1:8" ht="17.25">
      <c r="A3363" s="1"/>
      <c r="B3363" s="887"/>
      <c r="C3363" s="78" t="s">
        <v>1433</v>
      </c>
      <c r="D3363" s="43">
        <v>4</v>
      </c>
      <c r="E3363" s="56" t="s">
        <v>1490</v>
      </c>
      <c r="F3363" s="63" t="e">
        <f>#REF!</f>
        <v>#REF!</v>
      </c>
      <c r="G3363" s="63" t="e">
        <f>FLOOR(D3363*F3363,0.01)</f>
        <v>#REF!</v>
      </c>
      <c r="H3363" s="123" t="e">
        <f>SUM(G3362+G3363)</f>
        <v>#REF!</v>
      </c>
    </row>
    <row r="3364" spans="1:8" ht="16.5">
      <c r="A3364" s="1"/>
      <c r="B3364" s="66" t="s">
        <v>2055</v>
      </c>
      <c r="C3364" s="66" t="s">
        <v>2315</v>
      </c>
      <c r="D3364" s="657">
        <v>11</v>
      </c>
      <c r="E3364" s="66" t="s">
        <v>2517</v>
      </c>
      <c r="F3364" s="63" t="e">
        <f>#REF!</f>
        <v>#REF!</v>
      </c>
      <c r="G3364" s="63" t="e">
        <f>FLOOR(D3364*F3364,0.01)</f>
        <v>#REF!</v>
      </c>
      <c r="H3364" s="63" t="e">
        <f>G3364</f>
        <v>#REF!</v>
      </c>
    </row>
    <row r="3365" spans="1:8" ht="19.5">
      <c r="A3365" s="1"/>
      <c r="B3365" s="1"/>
      <c r="C3365" s="1"/>
      <c r="D3365" s="1"/>
      <c r="E3365" s="1"/>
      <c r="F3365" s="40" t="s">
        <v>1491</v>
      </c>
      <c r="G3365" s="133"/>
      <c r="H3365" s="63" t="e">
        <f>SUM(H3363:H3364)</f>
        <v>#REF!</v>
      </c>
    </row>
    <row r="3366" spans="1:8" ht="19.5">
      <c r="A3366" s="1"/>
      <c r="B3366" s="1" t="s">
        <v>1493</v>
      </c>
      <c r="C3366" s="1"/>
      <c r="D3366" s="1"/>
      <c r="E3366" s="1"/>
      <c r="F3366" s="40" t="s">
        <v>1471</v>
      </c>
      <c r="G3366" s="133"/>
      <c r="H3366" s="99" t="e">
        <f>FLOOR(H3365*0.15,0.01)</f>
        <v>#REF!</v>
      </c>
    </row>
    <row r="3367" spans="1:8" ht="19.5">
      <c r="B3367" s="140" t="e">
        <f>+H3367</f>
        <v>#REF!</v>
      </c>
      <c r="C3367" s="27" t="s">
        <v>3801</v>
      </c>
      <c r="D3367" s="99" t="e">
        <f>INT(B3367/B3368*100)/100</f>
        <v>#REF!</v>
      </c>
      <c r="E3367" s="1" t="s">
        <v>3006</v>
      </c>
      <c r="F3367" s="40" t="s">
        <v>1494</v>
      </c>
      <c r="G3367" s="133"/>
      <c r="H3367" s="99" t="e">
        <f>SUM(H3365:H3366)</f>
        <v>#REF!</v>
      </c>
    </row>
    <row r="3368" spans="1:8" ht="16.5">
      <c r="A3368" s="1"/>
      <c r="B3368" s="117">
        <v>100</v>
      </c>
      <c r="C3368" s="1"/>
      <c r="D3368" s="1"/>
      <c r="E3368" s="1"/>
      <c r="F3368" s="1"/>
      <c r="G3368" s="1"/>
      <c r="H3368" s="1"/>
    </row>
    <row r="3369" spans="1:8" ht="16.5">
      <c r="A3369" s="1"/>
      <c r="B3369" s="117"/>
      <c r="C3369" s="1"/>
      <c r="D3369" s="1"/>
      <c r="E3369" s="1"/>
      <c r="F3369" s="1"/>
      <c r="G3369" s="1"/>
      <c r="H3369" s="1"/>
    </row>
    <row r="3370" spans="1:8" ht="16.5">
      <c r="A3370" s="1"/>
      <c r="B3370" s="117"/>
      <c r="C3370" s="1"/>
      <c r="D3370" s="1"/>
      <c r="E3370" s="1"/>
      <c r="F3370" s="1"/>
      <c r="G3370" s="1"/>
      <c r="H3370" s="1"/>
    </row>
    <row r="3371" spans="1:8" ht="16.5">
      <c r="A3371" s="1"/>
      <c r="B3371" s="117"/>
      <c r="C3371" s="1"/>
      <c r="D3371" s="1"/>
      <c r="E3371" s="1"/>
      <c r="F3371" s="1"/>
      <c r="G3371" s="1"/>
      <c r="H3371" s="1"/>
    </row>
    <row r="3372" spans="1:8" ht="15">
      <c r="A3372" s="31"/>
      <c r="B3372" s="1"/>
      <c r="C3372" s="1"/>
      <c r="D3372" s="1"/>
      <c r="E3372" s="1"/>
      <c r="F3372" s="1"/>
      <c r="G3372" s="1"/>
      <c r="H3372" s="1"/>
    </row>
    <row r="3373" spans="1:8" ht="20.25">
      <c r="A3373" s="260">
        <f>+A3358+1</f>
        <v>202</v>
      </c>
      <c r="B3373" s="877" t="s">
        <v>2365</v>
      </c>
      <c r="C3373" s="878"/>
      <c r="D3373" s="878"/>
      <c r="E3373" s="878"/>
      <c r="F3373" s="878"/>
      <c r="G3373" s="878"/>
      <c r="H3373" s="878"/>
    </row>
    <row r="3374" spans="1:8" ht="14.25">
      <c r="A3374" s="677" t="s">
        <v>3683</v>
      </c>
      <c r="B3374" s="888" t="s">
        <v>1380</v>
      </c>
      <c r="C3374" s="879"/>
      <c r="D3374" s="879"/>
      <c r="E3374" s="879"/>
      <c r="F3374" s="879"/>
      <c r="G3374" s="879"/>
      <c r="H3374" s="879"/>
    </row>
    <row r="3375" spans="1:8" ht="31.5">
      <c r="A3375" s="1"/>
      <c r="B3375" s="68" t="s">
        <v>2966</v>
      </c>
      <c r="C3375" s="68" t="s">
        <v>2967</v>
      </c>
      <c r="D3375" s="68" t="s">
        <v>2968</v>
      </c>
      <c r="E3375" s="68" t="s">
        <v>2969</v>
      </c>
      <c r="F3375" s="68" t="s">
        <v>2970</v>
      </c>
      <c r="G3375" s="68" t="s">
        <v>2971</v>
      </c>
      <c r="H3375" s="68" t="s">
        <v>1487</v>
      </c>
    </row>
    <row r="3376" spans="1:8" ht="17.25">
      <c r="A3376" s="1"/>
      <c r="B3376" s="889" t="s">
        <v>1488</v>
      </c>
      <c r="C3376" s="58" t="s">
        <v>516</v>
      </c>
      <c r="D3376" s="41">
        <v>1.5</v>
      </c>
      <c r="E3376" s="55" t="s">
        <v>1490</v>
      </c>
      <c r="F3376" s="107" t="e">
        <f>#REF!</f>
        <v>#REF!</v>
      </c>
      <c r="G3376" s="107" t="e">
        <f>FLOOR(D3376*F3376,0.01)</f>
        <v>#REF!</v>
      </c>
      <c r="H3376" s="108"/>
    </row>
    <row r="3377" spans="1:8" ht="17.25">
      <c r="A3377" s="1"/>
      <c r="B3377" s="887"/>
      <c r="C3377" s="78" t="s">
        <v>1433</v>
      </c>
      <c r="D3377" s="43">
        <v>1</v>
      </c>
      <c r="E3377" s="56" t="s">
        <v>1490</v>
      </c>
      <c r="F3377" s="63" t="e">
        <f>#REF!</f>
        <v>#REF!</v>
      </c>
      <c r="G3377" s="63" t="e">
        <f>FLOOR(D3377*F3377,0.01)</f>
        <v>#REF!</v>
      </c>
      <c r="H3377" s="123" t="e">
        <f>SUM(G3376+G3377)</f>
        <v>#REF!</v>
      </c>
    </row>
    <row r="3378" spans="1:8" ht="17.25">
      <c r="A3378" s="1"/>
      <c r="B3378" s="886" t="s">
        <v>2055</v>
      </c>
      <c r="C3378" s="55"/>
      <c r="D3378" s="41"/>
      <c r="E3378" s="55"/>
      <c r="F3378" s="107"/>
      <c r="G3378" s="110"/>
      <c r="H3378" s="108"/>
    </row>
    <row r="3379" spans="1:8" ht="17.25">
      <c r="A3379" s="1"/>
      <c r="B3379" s="887"/>
      <c r="C3379" s="56" t="s">
        <v>2366</v>
      </c>
      <c r="D3379" s="43">
        <v>7</v>
      </c>
      <c r="E3379" s="56" t="s">
        <v>2517</v>
      </c>
      <c r="F3379" s="122" t="e">
        <f>#REF!</f>
        <v>#REF!</v>
      </c>
      <c r="G3379" s="63" t="e">
        <f>FLOOR(D3379*F3379,0.01)</f>
        <v>#REF!</v>
      </c>
      <c r="H3379" s="123" t="e">
        <f>SUM(G3378:G3379)</f>
        <v>#REF!</v>
      </c>
    </row>
    <row r="3380" spans="1:8" ht="19.5">
      <c r="A3380" s="1"/>
      <c r="B3380" s="1"/>
      <c r="C3380" s="1"/>
      <c r="D3380" s="1"/>
      <c r="E3380" s="1"/>
      <c r="F3380" s="40" t="s">
        <v>1491</v>
      </c>
      <c r="G3380" s="133"/>
      <c r="H3380" s="63" t="e">
        <f>SUM(H3379,H3377)</f>
        <v>#REF!</v>
      </c>
    </row>
    <row r="3381" spans="1:8" ht="19.5">
      <c r="A3381" s="1"/>
      <c r="B3381" s="1" t="s">
        <v>1493</v>
      </c>
      <c r="C3381" s="1"/>
      <c r="D3381" s="1"/>
      <c r="E3381" s="1"/>
      <c r="F3381" s="40" t="s">
        <v>1471</v>
      </c>
      <c r="G3381" s="133"/>
      <c r="H3381" s="99" t="e">
        <f>FLOOR(H3380*0.15,0.01)</f>
        <v>#REF!</v>
      </c>
    </row>
    <row r="3382" spans="1:8" ht="19.5">
      <c r="B3382" s="140" t="e">
        <f>+H3382</f>
        <v>#REF!</v>
      </c>
      <c r="C3382" s="27" t="s">
        <v>3801</v>
      </c>
      <c r="D3382" s="99" t="e">
        <f>INT(B3382/B3383*100)/100</f>
        <v>#REF!</v>
      </c>
      <c r="E3382" s="1" t="s">
        <v>3006</v>
      </c>
      <c r="F3382" s="40" t="s">
        <v>1494</v>
      </c>
      <c r="G3382" s="133"/>
      <c r="H3382" s="99" t="e">
        <f>SUM(H3380:H3381)</f>
        <v>#REF!</v>
      </c>
    </row>
    <row r="3383" spans="1:8" ht="16.5">
      <c r="A3383" s="1"/>
      <c r="B3383" s="117">
        <v>100</v>
      </c>
      <c r="C3383" s="1"/>
      <c r="D3383" s="1"/>
      <c r="E3383" s="1"/>
      <c r="F3383" s="1"/>
      <c r="G3383" s="1"/>
      <c r="H3383" s="1"/>
    </row>
    <row r="3384" spans="1:8" ht="16.5">
      <c r="A3384" s="1"/>
      <c r="B3384" s="117"/>
      <c r="C3384" s="1"/>
      <c r="D3384" s="1"/>
      <c r="E3384" s="1"/>
      <c r="F3384" s="1"/>
      <c r="G3384" s="1"/>
      <c r="H3384" s="1"/>
    </row>
    <row r="3385" spans="1:8" ht="20.25">
      <c r="A3385" s="260">
        <f>+A3373+1</f>
        <v>203</v>
      </c>
      <c r="B3385" s="877" t="s">
        <v>1473</v>
      </c>
      <c r="C3385" s="878"/>
      <c r="D3385" s="878"/>
      <c r="E3385" s="878"/>
      <c r="F3385" s="878"/>
      <c r="G3385" s="878"/>
      <c r="H3385" s="878"/>
    </row>
    <row r="3386" spans="1:8" ht="14.25">
      <c r="A3386" s="677" t="s">
        <v>3683</v>
      </c>
      <c r="B3386" s="888" t="s">
        <v>1380</v>
      </c>
      <c r="C3386" s="879"/>
      <c r="D3386" s="879"/>
      <c r="E3386" s="879"/>
      <c r="F3386" s="879"/>
      <c r="G3386" s="879"/>
      <c r="H3386" s="879"/>
    </row>
    <row r="3387" spans="1:8" ht="31.5">
      <c r="A3387" s="1"/>
      <c r="B3387" s="68" t="s">
        <v>2966</v>
      </c>
      <c r="C3387" s="68" t="s">
        <v>2967</v>
      </c>
      <c r="D3387" s="68" t="s">
        <v>2968</v>
      </c>
      <c r="E3387" s="68" t="s">
        <v>2969</v>
      </c>
      <c r="F3387" s="68" t="s">
        <v>2970</v>
      </c>
      <c r="G3387" s="68" t="s">
        <v>2971</v>
      </c>
      <c r="H3387" s="68" t="s">
        <v>1487</v>
      </c>
    </row>
    <row r="3388" spans="1:8" ht="17.25">
      <c r="A3388" s="1"/>
      <c r="B3388" s="889" t="s">
        <v>1488</v>
      </c>
      <c r="C3388" s="58" t="s">
        <v>516</v>
      </c>
      <c r="D3388" s="41">
        <v>2.5</v>
      </c>
      <c r="E3388" s="55" t="s">
        <v>1490</v>
      </c>
      <c r="F3388" s="107" t="e">
        <f>#REF!</f>
        <v>#REF!</v>
      </c>
      <c r="G3388" s="107" t="e">
        <f>FLOOR(D3388*F3388,0.01)</f>
        <v>#REF!</v>
      </c>
      <c r="H3388" s="108"/>
    </row>
    <row r="3389" spans="1:8" ht="17.25">
      <c r="A3389" s="1"/>
      <c r="B3389" s="887"/>
      <c r="C3389" s="78" t="s">
        <v>1433</v>
      </c>
      <c r="D3389" s="43">
        <v>2</v>
      </c>
      <c r="E3389" s="56" t="s">
        <v>1490</v>
      </c>
      <c r="F3389" s="63" t="e">
        <f>#REF!</f>
        <v>#REF!</v>
      </c>
      <c r="G3389" s="63" t="e">
        <f>FLOOR(D3389*F3389,0.01)</f>
        <v>#REF!</v>
      </c>
      <c r="H3389" s="123" t="e">
        <f>SUM(G3388+G3389)</f>
        <v>#REF!</v>
      </c>
    </row>
    <row r="3390" spans="1:8" ht="17.25">
      <c r="A3390" s="1"/>
      <c r="B3390" s="886" t="s">
        <v>2055</v>
      </c>
      <c r="C3390" s="55"/>
      <c r="D3390" s="41"/>
      <c r="E3390" s="55"/>
      <c r="F3390" s="107"/>
      <c r="G3390" s="110"/>
      <c r="H3390" s="108"/>
    </row>
    <row r="3391" spans="1:8" ht="17.25">
      <c r="A3391" s="1"/>
      <c r="B3391" s="887"/>
      <c r="C3391" s="56" t="s">
        <v>2366</v>
      </c>
      <c r="D3391" s="43">
        <v>12</v>
      </c>
      <c r="E3391" s="56" t="s">
        <v>2517</v>
      </c>
      <c r="F3391" s="122" t="e">
        <f>#REF!</f>
        <v>#REF!</v>
      </c>
      <c r="G3391" s="63" t="e">
        <f>FLOOR(D3391*F3391,0.01)</f>
        <v>#REF!</v>
      </c>
      <c r="H3391" s="123" t="e">
        <f>SUM(G3390:G3391)</f>
        <v>#REF!</v>
      </c>
    </row>
    <row r="3392" spans="1:8" ht="19.5">
      <c r="A3392" s="1"/>
      <c r="B3392" s="1"/>
      <c r="C3392" s="1"/>
      <c r="D3392" s="1"/>
      <c r="E3392" s="1"/>
      <c r="F3392" s="40" t="s">
        <v>1491</v>
      </c>
      <c r="G3392" s="133"/>
      <c r="H3392" s="63" t="e">
        <f>SUM(H3391,H3389)</f>
        <v>#REF!</v>
      </c>
    </row>
    <row r="3393" spans="1:17" ht="19.5">
      <c r="A3393" s="1"/>
      <c r="B3393" s="1" t="s">
        <v>1493</v>
      </c>
      <c r="C3393" s="1"/>
      <c r="D3393" s="1"/>
      <c r="E3393" s="1"/>
      <c r="F3393" s="40" t="s">
        <v>1471</v>
      </c>
      <c r="G3393" s="133"/>
      <c r="H3393" s="99" t="e">
        <f>FLOOR(H3392*0.15,0.01)</f>
        <v>#REF!</v>
      </c>
    </row>
    <row r="3394" spans="1:17" ht="19.5">
      <c r="B3394" s="140" t="e">
        <f>+H3394</f>
        <v>#REF!</v>
      </c>
      <c r="C3394" s="27" t="s">
        <v>3801</v>
      </c>
      <c r="D3394" s="99" t="e">
        <f>INT(B3394/B3395*100)/100</f>
        <v>#REF!</v>
      </c>
      <c r="E3394" s="1" t="s">
        <v>3006</v>
      </c>
      <c r="F3394" s="40" t="s">
        <v>1494</v>
      </c>
      <c r="G3394" s="133"/>
      <c r="H3394" s="99" t="e">
        <f>SUM(H3392:H3393)</f>
        <v>#REF!</v>
      </c>
    </row>
    <row r="3395" spans="1:17" ht="16.5">
      <c r="A3395" s="1"/>
      <c r="B3395" s="117">
        <v>100</v>
      </c>
      <c r="C3395" s="1"/>
      <c r="D3395" s="1"/>
      <c r="E3395" s="1"/>
      <c r="F3395" s="1"/>
      <c r="G3395" s="1"/>
      <c r="H3395" s="1"/>
    </row>
    <row r="3396" spans="1:17" ht="16.5">
      <c r="A3396" s="1"/>
      <c r="B3396" s="117"/>
      <c r="C3396" s="1"/>
      <c r="D3396" s="1"/>
      <c r="E3396" s="1"/>
      <c r="F3396" s="1"/>
      <c r="G3396" s="1"/>
      <c r="H3396" s="1"/>
    </row>
    <row r="3397" spans="1:17" ht="15">
      <c r="A3397" s="1"/>
      <c r="B3397" s="1"/>
      <c r="C3397" s="1"/>
      <c r="D3397" s="1"/>
      <c r="E3397" s="1"/>
      <c r="F3397" s="1"/>
      <c r="G3397" s="1"/>
      <c r="H3397" s="1"/>
    </row>
    <row r="3398" spans="1:17" ht="20.25">
      <c r="A3398" s="260">
        <f>+A3385+1</f>
        <v>204</v>
      </c>
      <c r="B3398" s="877" t="s">
        <v>1474</v>
      </c>
      <c r="C3398" s="878"/>
      <c r="D3398" s="878"/>
      <c r="E3398" s="878"/>
      <c r="F3398" s="878"/>
      <c r="G3398" s="878"/>
      <c r="H3398" s="878"/>
      <c r="J3398" s="260">
        <v>3</v>
      </c>
      <c r="K3398" s="877" t="s">
        <v>1474</v>
      </c>
      <c r="L3398" s="878"/>
      <c r="M3398" s="878"/>
      <c r="N3398" s="878"/>
      <c r="O3398" s="878"/>
      <c r="P3398" s="878"/>
      <c r="Q3398" s="878"/>
    </row>
    <row r="3399" spans="1:17" ht="14.25">
      <c r="A3399" s="677" t="s">
        <v>3684</v>
      </c>
      <c r="B3399" s="888" t="s">
        <v>1380</v>
      </c>
      <c r="C3399" s="879"/>
      <c r="D3399" s="879"/>
      <c r="E3399" s="879"/>
      <c r="F3399" s="879"/>
      <c r="G3399" s="879"/>
      <c r="H3399" s="879"/>
      <c r="J3399" s="677"/>
      <c r="K3399" s="888" t="s">
        <v>1380</v>
      </c>
      <c r="L3399" s="879"/>
      <c r="M3399" s="879"/>
      <c r="N3399" s="879"/>
      <c r="O3399" s="879"/>
      <c r="P3399" s="879"/>
      <c r="Q3399" s="879"/>
    </row>
    <row r="3400" spans="1:17" ht="17.25" customHeight="1">
      <c r="A3400" s="1"/>
      <c r="B3400" s="68" t="s">
        <v>2966</v>
      </c>
      <c r="C3400" s="68" t="s">
        <v>2967</v>
      </c>
      <c r="D3400" s="68" t="s">
        <v>2968</v>
      </c>
      <c r="E3400" s="68" t="s">
        <v>2969</v>
      </c>
      <c r="F3400" s="68" t="s">
        <v>2970</v>
      </c>
      <c r="G3400" s="68" t="s">
        <v>2971</v>
      </c>
      <c r="H3400" s="68" t="s">
        <v>1487</v>
      </c>
      <c r="J3400" s="1"/>
      <c r="K3400" s="68" t="s">
        <v>2966</v>
      </c>
      <c r="L3400" s="68" t="s">
        <v>2967</v>
      </c>
      <c r="M3400" s="68" t="s">
        <v>2968</v>
      </c>
      <c r="N3400" s="68" t="s">
        <v>2969</v>
      </c>
      <c r="O3400" s="68" t="s">
        <v>2970</v>
      </c>
      <c r="P3400" s="68" t="s">
        <v>2971</v>
      </c>
      <c r="Q3400" s="68" t="s">
        <v>1487</v>
      </c>
    </row>
    <row r="3401" spans="1:17" ht="17.25">
      <c r="A3401" s="1"/>
      <c r="B3401" s="889" t="s">
        <v>1488</v>
      </c>
      <c r="C3401" s="58" t="s">
        <v>516</v>
      </c>
      <c r="D3401" s="41">
        <v>10</v>
      </c>
      <c r="E3401" s="55" t="s">
        <v>1490</v>
      </c>
      <c r="F3401" s="107" t="e">
        <f>#REF!</f>
        <v>#REF!</v>
      </c>
      <c r="G3401" s="107" t="e">
        <f>FLOOR(D3401*F3401,0.01)</f>
        <v>#REF!</v>
      </c>
      <c r="H3401" s="108"/>
      <c r="J3401" s="1"/>
      <c r="K3401" s="889" t="s">
        <v>1488</v>
      </c>
      <c r="L3401" s="58" t="s">
        <v>516</v>
      </c>
      <c r="M3401" s="41">
        <v>10</v>
      </c>
      <c r="N3401" s="55" t="s">
        <v>1490</v>
      </c>
      <c r="O3401" s="107" t="e">
        <f>F3401</f>
        <v>#REF!</v>
      </c>
      <c r="P3401" s="107" t="e">
        <f>FLOOR(M3401*O3401,0.01)</f>
        <v>#REF!</v>
      </c>
      <c r="Q3401" s="108"/>
    </row>
    <row r="3402" spans="1:17" ht="17.25">
      <c r="A3402" s="1"/>
      <c r="B3402" s="887"/>
      <c r="C3402" s="78" t="s">
        <v>1433</v>
      </c>
      <c r="D3402" s="43">
        <v>5</v>
      </c>
      <c r="E3402" s="56" t="s">
        <v>1490</v>
      </c>
      <c r="F3402" s="63" t="e">
        <f>#REF!</f>
        <v>#REF!</v>
      </c>
      <c r="G3402" s="63" t="e">
        <f>FLOOR(D3402*F3402,0.01)</f>
        <v>#REF!</v>
      </c>
      <c r="H3402" s="123" t="e">
        <f>SUM(G3401+G3402)</f>
        <v>#REF!</v>
      </c>
      <c r="J3402" s="1"/>
      <c r="K3402" s="887"/>
      <c r="L3402" s="78" t="s">
        <v>1433</v>
      </c>
      <c r="M3402" s="43">
        <v>5</v>
      </c>
      <c r="N3402" s="56" t="s">
        <v>1490</v>
      </c>
      <c r="O3402" s="63" t="e">
        <f>F3402</f>
        <v>#REF!</v>
      </c>
      <c r="P3402" s="63" t="e">
        <f>FLOOR(M3402*O3402,0.01)</f>
        <v>#REF!</v>
      </c>
      <c r="Q3402" s="123" t="e">
        <f>SUM(P3401+P3402)</f>
        <v>#REF!</v>
      </c>
    </row>
    <row r="3403" spans="1:17" ht="17.25">
      <c r="A3403" s="1"/>
      <c r="B3403" s="886" t="s">
        <v>2055</v>
      </c>
      <c r="C3403" s="55" t="s">
        <v>1475</v>
      </c>
      <c r="D3403" s="41">
        <v>2</v>
      </c>
      <c r="E3403" s="55" t="s">
        <v>2748</v>
      </c>
      <c r="F3403" s="107" t="e">
        <f>#REF!</f>
        <v>#REF!</v>
      </c>
      <c r="G3403" s="110" t="e">
        <f>FLOOR(D3403*F3403,0.01)</f>
        <v>#REF!</v>
      </c>
      <c r="H3403" s="108"/>
      <c r="J3403" s="1"/>
      <c r="K3403" s="886" t="s">
        <v>2055</v>
      </c>
      <c r="L3403" s="55" t="s">
        <v>1475</v>
      </c>
      <c r="M3403" s="41">
        <v>2</v>
      </c>
      <c r="N3403" s="55" t="s">
        <v>2748</v>
      </c>
      <c r="O3403" s="107" t="e">
        <f>F3403</f>
        <v>#REF!</v>
      </c>
      <c r="P3403" s="110" t="e">
        <f>FLOOR(M3403*O3403,0.01)</f>
        <v>#REF!</v>
      </c>
      <c r="Q3403" s="108"/>
    </row>
    <row r="3404" spans="1:17" ht="17.25">
      <c r="A3404" s="1"/>
      <c r="B3404" s="887"/>
      <c r="C3404" s="56" t="s">
        <v>1476</v>
      </c>
      <c r="D3404" s="43">
        <v>10</v>
      </c>
      <c r="E3404" s="56" t="s">
        <v>2517</v>
      </c>
      <c r="F3404" s="122" t="e">
        <f>#REF!</f>
        <v>#REF!</v>
      </c>
      <c r="G3404" s="63" t="e">
        <f>FLOOR(D3404*F3404,0.01)</f>
        <v>#REF!</v>
      </c>
      <c r="H3404" s="123" t="e">
        <f>SUM(G3403:G3404)</f>
        <v>#REF!</v>
      </c>
      <c r="J3404" s="1"/>
      <c r="K3404" s="887"/>
      <c r="L3404" s="56" t="s">
        <v>1476</v>
      </c>
      <c r="M3404" s="43">
        <v>10</v>
      </c>
      <c r="N3404" s="56" t="s">
        <v>2517</v>
      </c>
      <c r="O3404" s="122" t="e">
        <f>F3404</f>
        <v>#REF!</v>
      </c>
      <c r="P3404" s="63" t="e">
        <f>FLOOR(M3404*O3404,0.01)</f>
        <v>#REF!</v>
      </c>
      <c r="Q3404" s="123" t="e">
        <f>SUM(P3403:P3404)</f>
        <v>#REF!</v>
      </c>
    </row>
    <row r="3405" spans="1:17" ht="19.5">
      <c r="A3405" s="1"/>
      <c r="B3405" s="1"/>
      <c r="C3405" s="1"/>
      <c r="D3405" s="1"/>
      <c r="E3405" s="1"/>
      <c r="F3405" s="40" t="s">
        <v>1491</v>
      </c>
      <c r="G3405" s="133"/>
      <c r="H3405" s="63" t="e">
        <f>SUM(H3404,H3402)</f>
        <v>#REF!</v>
      </c>
      <c r="J3405" s="1"/>
      <c r="K3405" s="1"/>
      <c r="L3405" s="1"/>
      <c r="M3405" s="1"/>
      <c r="N3405" s="1"/>
      <c r="O3405" s="40" t="s">
        <v>1491</v>
      </c>
      <c r="P3405" s="133"/>
      <c r="Q3405" s="63" t="e">
        <f>SUM(Q3404,Q3402)</f>
        <v>#REF!</v>
      </c>
    </row>
    <row r="3406" spans="1:17" ht="19.5">
      <c r="A3406" s="1"/>
      <c r="B3406" s="1" t="s">
        <v>1493</v>
      </c>
      <c r="C3406" s="1"/>
      <c r="D3406" s="1"/>
      <c r="E3406" s="1"/>
      <c r="F3406" s="40" t="s">
        <v>1471</v>
      </c>
      <c r="G3406" s="133"/>
      <c r="H3406" s="99" t="e">
        <f>FLOOR(H3405*0.15,0.01)</f>
        <v>#REF!</v>
      </c>
      <c r="J3406" s="1"/>
      <c r="K3406" s="1" t="s">
        <v>1493</v>
      </c>
      <c r="L3406" s="1"/>
      <c r="M3406" s="1"/>
      <c r="N3406" s="1"/>
      <c r="O3406" s="40" t="s">
        <v>1471</v>
      </c>
      <c r="P3406" s="133"/>
      <c r="Q3406" s="99" t="e">
        <f>FLOOR(Q3405*0.15,0.01)</f>
        <v>#REF!</v>
      </c>
    </row>
    <row r="3407" spans="1:17" ht="19.5">
      <c r="B3407" s="140" t="e">
        <f>+H3407</f>
        <v>#REF!</v>
      </c>
      <c r="C3407" s="27" t="s">
        <v>3801</v>
      </c>
      <c r="D3407" s="99" t="e">
        <f>INT(B3407/B3408*100)/100</f>
        <v>#REF!</v>
      </c>
      <c r="E3407" s="1" t="s">
        <v>3006</v>
      </c>
      <c r="F3407" s="40" t="s">
        <v>1494</v>
      </c>
      <c r="G3407" s="133"/>
      <c r="H3407" s="99" t="e">
        <f>SUM(H3405:H3406)</f>
        <v>#REF!</v>
      </c>
      <c r="K3407" s="140" t="e">
        <f>+Q3407</f>
        <v>#REF!</v>
      </c>
      <c r="L3407" s="27" t="s">
        <v>3801</v>
      </c>
      <c r="M3407" s="713" t="e">
        <f>INT(K3407/K3408*100)/100</f>
        <v>#REF!</v>
      </c>
      <c r="N3407" s="1" t="s">
        <v>3006</v>
      </c>
      <c r="O3407" s="40" t="s">
        <v>1494</v>
      </c>
      <c r="P3407" s="133"/>
      <c r="Q3407" s="99" t="e">
        <f>SUM(Q3405:Q3406)</f>
        <v>#REF!</v>
      </c>
    </row>
    <row r="3408" spans="1:17" ht="16.5">
      <c r="A3408" s="1"/>
      <c r="B3408" s="117">
        <v>100</v>
      </c>
      <c r="C3408" s="1"/>
      <c r="D3408" s="1"/>
      <c r="E3408" s="1"/>
      <c r="F3408" s="1"/>
      <c r="G3408" s="1"/>
      <c r="H3408" s="1"/>
      <c r="J3408" s="1"/>
      <c r="K3408" s="117">
        <v>100</v>
      </c>
      <c r="L3408" s="1"/>
      <c r="M3408" s="1"/>
      <c r="N3408" s="1"/>
      <c r="O3408" s="1"/>
      <c r="P3408" s="1"/>
      <c r="Q3408" s="1"/>
    </row>
    <row r="3409" spans="1:8" ht="16.5">
      <c r="A3409" s="1"/>
      <c r="B3409" s="117"/>
      <c r="C3409" s="1"/>
      <c r="D3409" s="1"/>
      <c r="E3409" s="1"/>
      <c r="F3409" s="1"/>
      <c r="G3409" s="1"/>
      <c r="H3409" s="1"/>
    </row>
    <row r="3410" spans="1:8" ht="16.5">
      <c r="A3410" s="1"/>
      <c r="B3410" s="117"/>
      <c r="C3410" s="1"/>
      <c r="D3410" s="1"/>
      <c r="E3410" s="1"/>
      <c r="F3410" s="1"/>
      <c r="G3410" s="1"/>
      <c r="H3410" s="1"/>
    </row>
    <row r="3411" spans="1:8" ht="16.5">
      <c r="A3411" s="1"/>
      <c r="B3411" s="117"/>
      <c r="C3411" s="1"/>
      <c r="D3411" s="1"/>
      <c r="E3411" s="1"/>
      <c r="F3411" s="1"/>
      <c r="G3411" s="1"/>
      <c r="H3411" s="1"/>
    </row>
    <row r="3412" spans="1:8" ht="16.5">
      <c r="A3412" s="1"/>
      <c r="B3412" s="117"/>
      <c r="C3412" s="1"/>
      <c r="D3412" s="1"/>
      <c r="E3412" s="1"/>
      <c r="F3412" s="1"/>
      <c r="G3412" s="1"/>
      <c r="H3412" s="1"/>
    </row>
    <row r="3413" spans="1:8" ht="20.25">
      <c r="A3413" s="260">
        <f>+A3398+1</f>
        <v>205</v>
      </c>
      <c r="B3413" s="878" t="s">
        <v>2956</v>
      </c>
      <c r="C3413" s="878"/>
      <c r="D3413" s="878"/>
      <c r="E3413" s="878"/>
      <c r="F3413" s="878"/>
      <c r="G3413" s="878"/>
      <c r="H3413" s="878"/>
    </row>
    <row r="3414" spans="1:8" ht="14.25">
      <c r="A3414" s="677" t="s">
        <v>3685</v>
      </c>
      <c r="B3414" s="888" t="s">
        <v>1380</v>
      </c>
      <c r="C3414" s="879"/>
      <c r="D3414" s="879"/>
      <c r="E3414" s="879"/>
      <c r="F3414" s="879"/>
      <c r="G3414" s="879"/>
      <c r="H3414" s="879"/>
    </row>
    <row r="3415" spans="1:8" ht="31.5">
      <c r="A3415" s="1"/>
      <c r="B3415" s="68" t="s">
        <v>2966</v>
      </c>
      <c r="C3415" s="68" t="s">
        <v>2967</v>
      </c>
      <c r="D3415" s="68" t="s">
        <v>2968</v>
      </c>
      <c r="E3415" s="68" t="s">
        <v>2969</v>
      </c>
      <c r="F3415" s="68" t="s">
        <v>2970</v>
      </c>
      <c r="G3415" s="68" t="s">
        <v>2971</v>
      </c>
      <c r="H3415" s="68" t="s">
        <v>1487</v>
      </c>
    </row>
    <row r="3416" spans="1:8" ht="16.5">
      <c r="A3416" s="1"/>
      <c r="B3416" s="889" t="s">
        <v>1488</v>
      </c>
      <c r="C3416" s="58" t="s">
        <v>516</v>
      </c>
      <c r="D3416" s="41">
        <v>1.7</v>
      </c>
      <c r="E3416" s="11" t="s">
        <v>1490</v>
      </c>
      <c r="F3416" s="107" t="e">
        <f>$F$3401</f>
        <v>#REF!</v>
      </c>
      <c r="G3416" s="107" t="e">
        <f>FLOOR(D3416*F3416,0.01)</f>
        <v>#REF!</v>
      </c>
      <c r="H3416" s="108"/>
    </row>
    <row r="3417" spans="1:8" ht="17.25">
      <c r="A3417" s="1"/>
      <c r="B3417" s="887"/>
      <c r="C3417" s="78" t="s">
        <v>1433</v>
      </c>
      <c r="D3417" s="43">
        <v>1.7</v>
      </c>
      <c r="E3417" s="56" t="s">
        <v>1490</v>
      </c>
      <c r="F3417" s="63" t="e">
        <f>$F$3402</f>
        <v>#REF!</v>
      </c>
      <c r="G3417" s="63" t="e">
        <f>FLOOR(D3417*F3417,0.01)</f>
        <v>#REF!</v>
      </c>
      <c r="H3417" s="123" t="e">
        <f>SUM(G3416+G3417)</f>
        <v>#REF!</v>
      </c>
    </row>
    <row r="3418" spans="1:8" ht="15">
      <c r="A3418" s="1"/>
      <c r="B3418" s="886" t="s">
        <v>2055</v>
      </c>
      <c r="C3418" s="886" t="s">
        <v>2957</v>
      </c>
      <c r="D3418" s="84">
        <v>30</v>
      </c>
      <c r="E3418" s="886" t="s">
        <v>2748</v>
      </c>
      <c r="F3418" s="108" t="e">
        <f>#REF!</f>
        <v>#REF!</v>
      </c>
      <c r="G3418" s="1"/>
      <c r="H3418" s="108"/>
    </row>
    <row r="3419" spans="1:8" ht="16.5">
      <c r="A3419" s="1"/>
      <c r="B3419" s="895"/>
      <c r="C3419" s="895"/>
      <c r="D3419" s="186"/>
      <c r="E3419" s="895"/>
      <c r="F3419" s="186"/>
      <c r="G3419" s="63" t="e">
        <f>FLOOR(D3418*F3418,0.01)</f>
        <v>#REF!</v>
      </c>
      <c r="H3419" s="123" t="e">
        <f>SUM(G3419:G3419)</f>
        <v>#REF!</v>
      </c>
    </row>
    <row r="3420" spans="1:8" ht="19.5">
      <c r="A3420" s="1"/>
      <c r="B3420" s="1"/>
      <c r="C3420" s="1"/>
      <c r="D3420" s="1"/>
      <c r="E3420" s="1"/>
      <c r="F3420" s="40" t="s">
        <v>1491</v>
      </c>
      <c r="G3420" s="102"/>
      <c r="H3420" s="63" t="e">
        <f>SUM(H3417:H3419)</f>
        <v>#REF!</v>
      </c>
    </row>
    <row r="3421" spans="1:8" ht="19.5">
      <c r="A3421" s="1"/>
      <c r="B3421" s="1" t="s">
        <v>1493</v>
      </c>
      <c r="C3421" s="1"/>
      <c r="D3421" s="1"/>
      <c r="E3421" s="1"/>
      <c r="F3421" s="40" t="s">
        <v>1471</v>
      </c>
      <c r="G3421" s="102"/>
      <c r="H3421" s="63" t="e">
        <f>FLOOR(H3420*0.15,0.01)</f>
        <v>#REF!</v>
      </c>
    </row>
    <row r="3422" spans="1:8" ht="19.5">
      <c r="A3422" s="27"/>
      <c r="B3422" s="140" t="e">
        <f>+H3422</f>
        <v>#REF!</v>
      </c>
      <c r="C3422" s="27" t="s">
        <v>3801</v>
      </c>
      <c r="D3422" s="99" t="e">
        <f>INT(B3422/B3423*100)/100</f>
        <v>#REF!</v>
      </c>
      <c r="E3422" s="1" t="s">
        <v>3006</v>
      </c>
      <c r="F3422" s="40" t="s">
        <v>1494</v>
      </c>
      <c r="G3422" s="102"/>
      <c r="H3422" s="99" t="e">
        <f>SUM(H3420:H3421)</f>
        <v>#REF!</v>
      </c>
    </row>
    <row r="3423" spans="1:8" ht="16.5">
      <c r="A3423" s="1"/>
      <c r="B3423" s="117">
        <v>100</v>
      </c>
      <c r="C3423" s="1"/>
      <c r="D3423" s="1"/>
      <c r="E3423" s="1"/>
      <c r="F3423" s="1"/>
      <c r="G3423" s="1"/>
      <c r="H3423" s="1"/>
    </row>
    <row r="3424" spans="1:8" ht="16.5">
      <c r="A3424" s="1"/>
      <c r="B3424" s="117"/>
      <c r="C3424" s="1"/>
      <c r="D3424" s="1"/>
      <c r="E3424" s="1"/>
      <c r="F3424" s="1"/>
      <c r="G3424" s="1"/>
      <c r="H3424" s="1"/>
    </row>
    <row r="3425" spans="1:8" ht="20.25">
      <c r="A3425" s="260">
        <f>+A3413+1</f>
        <v>206</v>
      </c>
      <c r="B3425" s="878" t="s">
        <v>2958</v>
      </c>
      <c r="C3425" s="878"/>
      <c r="D3425" s="878"/>
      <c r="E3425" s="878"/>
      <c r="F3425" s="878"/>
      <c r="G3425" s="878"/>
      <c r="H3425" s="878"/>
    </row>
    <row r="3426" spans="1:8" ht="14.25">
      <c r="A3426" s="677" t="s">
        <v>3685</v>
      </c>
      <c r="B3426" s="888" t="s">
        <v>1380</v>
      </c>
      <c r="C3426" s="879"/>
      <c r="D3426" s="879"/>
      <c r="E3426" s="879"/>
      <c r="F3426" s="879"/>
      <c r="G3426" s="879"/>
      <c r="H3426" s="879"/>
    </row>
    <row r="3427" spans="1:8" ht="31.5">
      <c r="A3427" s="1"/>
      <c r="B3427" s="68" t="s">
        <v>2966</v>
      </c>
      <c r="C3427" s="68" t="s">
        <v>2967</v>
      </c>
      <c r="D3427" s="68" t="s">
        <v>2968</v>
      </c>
      <c r="E3427" s="68" t="s">
        <v>2969</v>
      </c>
      <c r="F3427" s="68" t="s">
        <v>2970</v>
      </c>
      <c r="G3427" s="68" t="s">
        <v>2971</v>
      </c>
      <c r="H3427" s="68" t="s">
        <v>1487</v>
      </c>
    </row>
    <row r="3428" spans="1:8" ht="17.25">
      <c r="A3428" s="1"/>
      <c r="B3428" s="889" t="s">
        <v>1488</v>
      </c>
      <c r="C3428" s="58" t="s">
        <v>516</v>
      </c>
      <c r="D3428" s="41">
        <v>3.5</v>
      </c>
      <c r="E3428" s="55" t="s">
        <v>1490</v>
      </c>
      <c r="F3428" s="107" t="e">
        <f>$F$3416</f>
        <v>#REF!</v>
      </c>
      <c r="G3428" s="107" t="e">
        <f>FLOOR(D3428*F3428,0.01)</f>
        <v>#REF!</v>
      </c>
      <c r="H3428" s="108"/>
    </row>
    <row r="3429" spans="1:8" ht="17.25">
      <c r="A3429" s="1"/>
      <c r="B3429" s="887"/>
      <c r="C3429" s="78" t="s">
        <v>1433</v>
      </c>
      <c r="D3429" s="43">
        <v>3.5</v>
      </c>
      <c r="E3429" s="56" t="s">
        <v>1490</v>
      </c>
      <c r="F3429" s="63" t="e">
        <f>$F$3417</f>
        <v>#REF!</v>
      </c>
      <c r="G3429" s="63" t="e">
        <f>FLOOR(D3429*F3429,0.01)</f>
        <v>#REF!</v>
      </c>
      <c r="H3429" s="123" t="e">
        <f>SUM(G3428+G3429)</f>
        <v>#REF!</v>
      </c>
    </row>
    <row r="3430" spans="1:8" ht="17.25">
      <c r="A3430" s="1"/>
      <c r="B3430" s="66" t="s">
        <v>2055</v>
      </c>
      <c r="C3430" s="64" t="s">
        <v>2957</v>
      </c>
      <c r="D3430" s="586">
        <v>48.5</v>
      </c>
      <c r="E3430" s="64" t="s">
        <v>2748</v>
      </c>
      <c r="F3430" s="99" t="e">
        <f>$F$3418</f>
        <v>#REF!</v>
      </c>
      <c r="G3430" s="99" t="e">
        <f>FLOOR(D3430*F3430,0.01)</f>
        <v>#REF!</v>
      </c>
      <c r="H3430" s="123" t="e">
        <f>SUM(G3430:G3430)</f>
        <v>#REF!</v>
      </c>
    </row>
    <row r="3431" spans="1:8" ht="19.5">
      <c r="A3431" s="1"/>
      <c r="B3431" s="1"/>
      <c r="C3431" s="1"/>
      <c r="D3431" s="1"/>
      <c r="E3431" s="1"/>
      <c r="F3431" s="40" t="s">
        <v>1491</v>
      </c>
      <c r="G3431" s="102"/>
      <c r="H3431" s="123" t="e">
        <f>SUM(H3429:H3430)</f>
        <v>#REF!</v>
      </c>
    </row>
    <row r="3432" spans="1:8" ht="19.5">
      <c r="A3432" s="1"/>
      <c r="B3432" s="1" t="s">
        <v>1493</v>
      </c>
      <c r="C3432" s="1"/>
      <c r="D3432" s="1"/>
      <c r="E3432" s="1"/>
      <c r="F3432" s="40" t="s">
        <v>1471</v>
      </c>
      <c r="G3432" s="102"/>
      <c r="H3432" s="63" t="e">
        <f>FLOOR(H3431*0.15,0.01)</f>
        <v>#REF!</v>
      </c>
    </row>
    <row r="3433" spans="1:8" ht="19.5">
      <c r="B3433" s="140" t="e">
        <f>+H3433</f>
        <v>#REF!</v>
      </c>
      <c r="C3433" s="27" t="s">
        <v>3801</v>
      </c>
      <c r="D3433" s="99" t="e">
        <f>INT(B3433/B3434*100)/100</f>
        <v>#REF!</v>
      </c>
      <c r="E3433" s="1" t="s">
        <v>3006</v>
      </c>
      <c r="F3433" s="40" t="s">
        <v>1494</v>
      </c>
      <c r="G3433" s="102"/>
      <c r="H3433" s="63" t="e">
        <f>SUM(H3431:H3432)</f>
        <v>#REF!</v>
      </c>
    </row>
    <row r="3434" spans="1:8" ht="16.5">
      <c r="A3434" s="1"/>
      <c r="B3434" s="117">
        <v>100</v>
      </c>
      <c r="C3434" s="1"/>
      <c r="D3434" s="1"/>
      <c r="E3434" s="1"/>
      <c r="F3434" s="1"/>
      <c r="G3434" s="1"/>
      <c r="H3434" s="1"/>
    </row>
    <row r="3435" spans="1:8" ht="16.5">
      <c r="A3435" s="1"/>
      <c r="B3435" s="117"/>
      <c r="C3435" s="1"/>
      <c r="D3435" s="1"/>
      <c r="E3435" s="1"/>
      <c r="F3435" s="1"/>
      <c r="G3435" s="1"/>
      <c r="H3435" s="1"/>
    </row>
    <row r="3436" spans="1:8" ht="16.5">
      <c r="A3436" s="1"/>
      <c r="B3436" s="117"/>
      <c r="C3436" s="1"/>
      <c r="D3436" s="1"/>
      <c r="E3436" s="1"/>
      <c r="F3436" s="1"/>
      <c r="G3436" s="1"/>
      <c r="H3436" s="1"/>
    </row>
    <row r="3437" spans="1:8" ht="16.5">
      <c r="A3437" s="1"/>
      <c r="B3437" s="117"/>
      <c r="C3437" s="1"/>
      <c r="D3437" s="1"/>
      <c r="E3437" s="1"/>
      <c r="F3437" s="1"/>
      <c r="G3437" s="1"/>
      <c r="H3437" s="1"/>
    </row>
    <row r="3438" spans="1:8" ht="16.5">
      <c r="A3438" s="1"/>
      <c r="B3438" s="117"/>
      <c r="C3438" s="1"/>
      <c r="D3438" s="1"/>
      <c r="E3438" s="1"/>
      <c r="F3438" s="1"/>
      <c r="G3438" s="1"/>
      <c r="H3438" s="1"/>
    </row>
    <row r="3439" spans="1:8" ht="20.25">
      <c r="A3439" s="260">
        <f>A3425+1</f>
        <v>207</v>
      </c>
      <c r="B3439" s="878" t="s">
        <v>3398</v>
      </c>
      <c r="C3439" s="878"/>
      <c r="D3439" s="878"/>
      <c r="E3439" s="878"/>
      <c r="F3439" s="878"/>
      <c r="G3439" s="878"/>
      <c r="H3439" s="878"/>
    </row>
    <row r="3440" spans="1:8" ht="14.25">
      <c r="A3440" s="677" t="s">
        <v>3686</v>
      </c>
      <c r="B3440" s="888" t="s">
        <v>1380</v>
      </c>
      <c r="C3440" s="879"/>
      <c r="D3440" s="879"/>
      <c r="E3440" s="879"/>
      <c r="F3440" s="879"/>
      <c r="G3440" s="879"/>
      <c r="H3440" s="879"/>
    </row>
    <row r="3441" spans="1:8" ht="31.5">
      <c r="A3441" s="1"/>
      <c r="B3441" s="68" t="s">
        <v>2966</v>
      </c>
      <c r="C3441" s="68" t="s">
        <v>2967</v>
      </c>
      <c r="D3441" s="68" t="s">
        <v>2968</v>
      </c>
      <c r="E3441" s="68" t="s">
        <v>2969</v>
      </c>
      <c r="F3441" s="68" t="s">
        <v>2970</v>
      </c>
      <c r="G3441" s="68" t="s">
        <v>2971</v>
      </c>
      <c r="H3441" s="68" t="s">
        <v>1487</v>
      </c>
    </row>
    <row r="3442" spans="1:8" ht="16.5">
      <c r="A3442" s="1"/>
      <c r="B3442" s="889" t="s">
        <v>1488</v>
      </c>
      <c r="C3442" s="58" t="s">
        <v>516</v>
      </c>
      <c r="D3442" s="41">
        <v>3.5</v>
      </c>
      <c r="E3442" s="11" t="s">
        <v>1490</v>
      </c>
      <c r="F3442" s="107" t="e">
        <f>$F$3401</f>
        <v>#REF!</v>
      </c>
      <c r="G3442" s="107" t="e">
        <f>FLOOR(D3442*F3442,0.01)</f>
        <v>#REF!</v>
      </c>
      <c r="H3442" s="108"/>
    </row>
    <row r="3443" spans="1:8" ht="17.25">
      <c r="A3443" s="1"/>
      <c r="B3443" s="951"/>
      <c r="C3443" s="78" t="s">
        <v>1433</v>
      </c>
      <c r="D3443" s="43">
        <v>3.5</v>
      </c>
      <c r="E3443" s="56" t="s">
        <v>1490</v>
      </c>
      <c r="F3443" s="63" t="e">
        <f>$F$3402</f>
        <v>#REF!</v>
      </c>
      <c r="G3443" s="63" t="e">
        <f>FLOOR(D3443*F3443,0.01)</f>
        <v>#REF!</v>
      </c>
      <c r="H3443" s="123" t="e">
        <f>SUM(G3442+G3443)</f>
        <v>#REF!</v>
      </c>
    </row>
    <row r="3444" spans="1:8" ht="16.5">
      <c r="A3444" s="1"/>
      <c r="B3444" s="585" t="s">
        <v>2055</v>
      </c>
      <c r="C3444" s="66" t="s">
        <v>3399</v>
      </c>
      <c r="D3444" s="657">
        <v>30</v>
      </c>
      <c r="E3444" s="66" t="s">
        <v>2748</v>
      </c>
      <c r="F3444" s="126" t="e">
        <f>#REF!/1000</f>
        <v>#REF!</v>
      </c>
      <c r="G3444" s="63" t="e">
        <f>FLOOR(D3444*F3444,0.01)</f>
        <v>#REF!</v>
      </c>
      <c r="H3444" s="123" t="e">
        <f>SUM(G3444:G3444)</f>
        <v>#REF!</v>
      </c>
    </row>
    <row r="3445" spans="1:8" ht="19.5">
      <c r="A3445" s="1"/>
      <c r="B3445" s="1"/>
      <c r="C3445" s="1"/>
      <c r="D3445" s="1"/>
      <c r="E3445" s="1"/>
      <c r="F3445" s="40" t="s">
        <v>1491</v>
      </c>
      <c r="G3445" s="102"/>
      <c r="H3445" s="63" t="e">
        <f>SUM(H3443:H3444)</f>
        <v>#REF!</v>
      </c>
    </row>
    <row r="3446" spans="1:8" ht="19.5">
      <c r="A3446" s="1"/>
      <c r="B3446" s="1" t="s">
        <v>1493</v>
      </c>
      <c r="C3446" s="1"/>
      <c r="D3446" s="1"/>
      <c r="E3446" s="1"/>
      <c r="F3446" s="40" t="s">
        <v>1471</v>
      </c>
      <c r="G3446" s="102"/>
      <c r="H3446" s="63" t="e">
        <f>FLOOR(H3445*0.15,0.01)</f>
        <v>#REF!</v>
      </c>
    </row>
    <row r="3447" spans="1:8" ht="19.5">
      <c r="A3447" s="27"/>
      <c r="B3447" s="140" t="e">
        <f>+H3447</f>
        <v>#REF!</v>
      </c>
      <c r="C3447" s="27" t="s">
        <v>3801</v>
      </c>
      <c r="D3447" s="99" t="e">
        <f>INT(B3447/B3448*100)/100</f>
        <v>#REF!</v>
      </c>
      <c r="E3447" s="1" t="s">
        <v>3006</v>
      </c>
      <c r="F3447" s="40" t="s">
        <v>1494</v>
      </c>
      <c r="G3447" s="102"/>
      <c r="H3447" s="99" t="e">
        <f>SUM(H3445:H3446)</f>
        <v>#REF!</v>
      </c>
    </row>
    <row r="3448" spans="1:8" ht="16.5">
      <c r="A3448" s="1"/>
      <c r="B3448" s="117">
        <v>100</v>
      </c>
      <c r="C3448" s="1"/>
      <c r="D3448" s="1"/>
      <c r="E3448" s="1"/>
      <c r="F3448" s="1"/>
      <c r="G3448" s="1"/>
      <c r="H3448" s="1"/>
    </row>
    <row r="3449" spans="1:8" ht="16.5">
      <c r="A3449" s="1"/>
      <c r="B3449" s="117"/>
      <c r="C3449" s="1"/>
      <c r="D3449" s="1"/>
      <c r="E3449" s="1"/>
      <c r="F3449" s="1"/>
      <c r="G3449" s="1"/>
      <c r="H3449" s="1"/>
    </row>
    <row r="3450" spans="1:8" ht="16.5">
      <c r="A3450" s="1"/>
      <c r="B3450" s="117"/>
      <c r="C3450" s="1"/>
      <c r="D3450" s="1"/>
      <c r="E3450" s="1"/>
      <c r="F3450" s="1"/>
      <c r="G3450" s="1"/>
      <c r="H3450" s="1"/>
    </row>
    <row r="3451" spans="1:8" ht="20.25">
      <c r="A3451" s="260">
        <f>+A3439+1</f>
        <v>208</v>
      </c>
      <c r="B3451" s="878" t="s">
        <v>3400</v>
      </c>
      <c r="C3451" s="878"/>
      <c r="D3451" s="878"/>
      <c r="E3451" s="878"/>
      <c r="F3451" s="878"/>
      <c r="G3451" s="878"/>
      <c r="H3451" s="878"/>
    </row>
    <row r="3452" spans="1:8" ht="14.25">
      <c r="A3452" s="677" t="s">
        <v>3686</v>
      </c>
      <c r="B3452" s="888" t="s">
        <v>1380</v>
      </c>
      <c r="C3452" s="879"/>
      <c r="D3452" s="879"/>
      <c r="E3452" s="879"/>
      <c r="F3452" s="879"/>
      <c r="G3452" s="879"/>
      <c r="H3452" s="879"/>
    </row>
    <row r="3453" spans="1:8" ht="31.5">
      <c r="A3453" s="1"/>
      <c r="B3453" s="68" t="s">
        <v>2966</v>
      </c>
      <c r="C3453" s="68" t="s">
        <v>2967</v>
      </c>
      <c r="D3453" s="68" t="s">
        <v>2968</v>
      </c>
      <c r="E3453" s="68" t="s">
        <v>2969</v>
      </c>
      <c r="F3453" s="68" t="s">
        <v>2970</v>
      </c>
      <c r="G3453" s="68" t="s">
        <v>2971</v>
      </c>
      <c r="H3453" s="68" t="s">
        <v>1487</v>
      </c>
    </row>
    <row r="3454" spans="1:8" ht="17.25">
      <c r="A3454" s="1"/>
      <c r="B3454" s="889" t="s">
        <v>1488</v>
      </c>
      <c r="C3454" s="58" t="s">
        <v>516</v>
      </c>
      <c r="D3454" s="41">
        <v>6.5</v>
      </c>
      <c r="E3454" s="55" t="s">
        <v>1490</v>
      </c>
      <c r="F3454" s="107" t="e">
        <f>$F$3416</f>
        <v>#REF!</v>
      </c>
      <c r="G3454" s="107" t="e">
        <f>FLOOR(D3454*F3454,0.01)</f>
        <v>#REF!</v>
      </c>
      <c r="H3454" s="108"/>
    </row>
    <row r="3455" spans="1:8" ht="17.25">
      <c r="A3455" s="1"/>
      <c r="B3455" s="887"/>
      <c r="C3455" s="78" t="s">
        <v>1433</v>
      </c>
      <c r="D3455" s="43">
        <v>6.5</v>
      </c>
      <c r="E3455" s="56" t="s">
        <v>1490</v>
      </c>
      <c r="F3455" s="63" t="e">
        <f>$F$3417</f>
        <v>#REF!</v>
      </c>
      <c r="G3455" s="63" t="e">
        <f>FLOOR(D3455*F3455,0.01)</f>
        <v>#REF!</v>
      </c>
      <c r="H3455" s="123" t="e">
        <f>SUM(G3454+G3455)</f>
        <v>#REF!</v>
      </c>
    </row>
    <row r="3456" spans="1:8" ht="17.25">
      <c r="A3456" s="1"/>
      <c r="B3456" s="66" t="s">
        <v>2055</v>
      </c>
      <c r="C3456" s="66" t="s">
        <v>3399</v>
      </c>
      <c r="D3456" s="586">
        <v>50</v>
      </c>
      <c r="E3456" s="64" t="s">
        <v>2748</v>
      </c>
      <c r="F3456" s="126" t="e">
        <f>#REF!/1000</f>
        <v>#REF!</v>
      </c>
      <c r="G3456" s="63" t="e">
        <f>FLOOR(D3456*F3456,0.01)</f>
        <v>#REF!</v>
      </c>
      <c r="H3456" s="123" t="e">
        <f>SUM(G3456:G3456)</f>
        <v>#REF!</v>
      </c>
    </row>
    <row r="3457" spans="1:8" ht="19.5">
      <c r="A3457" s="1"/>
      <c r="B3457" s="1"/>
      <c r="C3457" s="1"/>
      <c r="D3457" s="1"/>
      <c r="E3457" s="1"/>
      <c r="F3457" s="40" t="s">
        <v>1491</v>
      </c>
      <c r="G3457" s="102"/>
      <c r="H3457" s="123" t="e">
        <f>SUM(H3455:H3456)</f>
        <v>#REF!</v>
      </c>
    </row>
    <row r="3458" spans="1:8" ht="19.5">
      <c r="A3458" s="1"/>
      <c r="B3458" s="1" t="s">
        <v>1493</v>
      </c>
      <c r="C3458" s="1"/>
      <c r="D3458" s="1"/>
      <c r="E3458" s="1"/>
      <c r="F3458" s="40" t="s">
        <v>1471</v>
      </c>
      <c r="G3458" s="102"/>
      <c r="H3458" s="63" t="e">
        <f>FLOOR(H3457*0.15,0.01)</f>
        <v>#REF!</v>
      </c>
    </row>
    <row r="3459" spans="1:8" ht="19.5">
      <c r="B3459" s="140" t="e">
        <f>+H3459</f>
        <v>#REF!</v>
      </c>
      <c r="C3459" s="27" t="s">
        <v>3801</v>
      </c>
      <c r="D3459" s="99" t="e">
        <f>INT(B3459/B3460*100)/100</f>
        <v>#REF!</v>
      </c>
      <c r="E3459" s="1" t="s">
        <v>3006</v>
      </c>
      <c r="F3459" s="40" t="s">
        <v>1494</v>
      </c>
      <c r="G3459" s="102"/>
      <c r="H3459" s="63" t="e">
        <f>SUM(H3457:H3458)</f>
        <v>#REF!</v>
      </c>
    </row>
    <row r="3460" spans="1:8" ht="16.5">
      <c r="A3460" s="1"/>
      <c r="B3460" s="117">
        <v>100</v>
      </c>
      <c r="C3460" s="1"/>
      <c r="D3460" s="1"/>
      <c r="E3460" s="1"/>
      <c r="F3460" s="1"/>
      <c r="G3460" s="1"/>
      <c r="H3460" s="1"/>
    </row>
    <row r="3461" spans="1:8" ht="16.5">
      <c r="A3461" s="1"/>
      <c r="B3461" s="117"/>
      <c r="C3461" s="1"/>
      <c r="D3461" s="1"/>
      <c r="E3461" s="1"/>
      <c r="F3461" s="1"/>
      <c r="G3461" s="1"/>
      <c r="H3461" s="1"/>
    </row>
    <row r="3462" spans="1:8" ht="20.25">
      <c r="A3462" s="138">
        <f>A3451+1</f>
        <v>209</v>
      </c>
      <c r="B3462" s="137"/>
      <c r="C3462" s="1"/>
      <c r="D3462" s="1"/>
      <c r="E3462" s="1"/>
      <c r="F3462" s="137"/>
      <c r="G3462" s="137"/>
      <c r="H3462" s="137"/>
    </row>
    <row r="3463" spans="1:8" ht="19.5">
      <c r="A3463" s="677" t="s">
        <v>3687</v>
      </c>
      <c r="B3463" s="878" t="s">
        <v>2378</v>
      </c>
      <c r="C3463" s="878"/>
      <c r="D3463" s="878"/>
      <c r="E3463" s="878"/>
      <c r="F3463" s="878"/>
      <c r="G3463" s="878"/>
      <c r="H3463" s="878"/>
    </row>
    <row r="3464" spans="1:8" ht="15">
      <c r="A3464" s="38"/>
      <c r="B3464" s="885" t="s">
        <v>1379</v>
      </c>
      <c r="C3464" s="885"/>
      <c r="D3464" s="885"/>
      <c r="E3464" s="885"/>
      <c r="F3464" s="885"/>
      <c r="G3464" s="885"/>
      <c r="H3464" s="885"/>
    </row>
    <row r="3465" spans="1:8" ht="31.5">
      <c r="A3465" s="1"/>
      <c r="B3465" s="68" t="s">
        <v>2966</v>
      </c>
      <c r="C3465" s="68" t="s">
        <v>2967</v>
      </c>
      <c r="D3465" s="68" t="s">
        <v>2968</v>
      </c>
      <c r="E3465" s="68" t="s">
        <v>2969</v>
      </c>
      <c r="F3465" s="68" t="s">
        <v>2970</v>
      </c>
      <c r="G3465" s="68" t="s">
        <v>2971</v>
      </c>
      <c r="H3465" s="68" t="s">
        <v>1487</v>
      </c>
    </row>
    <row r="3466" spans="1:8" ht="17.25">
      <c r="A3466" s="1"/>
      <c r="B3466" s="889" t="s">
        <v>520</v>
      </c>
      <c r="C3466" s="80" t="s">
        <v>686</v>
      </c>
      <c r="D3466" s="42">
        <v>2</v>
      </c>
      <c r="E3466" s="53" t="s">
        <v>1490</v>
      </c>
      <c r="F3466" s="116" t="e">
        <f>#REF!</f>
        <v>#REF!</v>
      </c>
      <c r="G3466" s="107" t="e">
        <f>FLOOR(D3466*F3466,0.01)</f>
        <v>#REF!</v>
      </c>
      <c r="H3466" s="108"/>
    </row>
    <row r="3467" spans="1:8" ht="17.25">
      <c r="A3467" s="27"/>
      <c r="B3467" s="942"/>
      <c r="C3467" s="78" t="s">
        <v>521</v>
      </c>
      <c r="D3467" s="43">
        <v>4</v>
      </c>
      <c r="E3467" s="56" t="s">
        <v>1490</v>
      </c>
      <c r="F3467" s="122" t="e">
        <f>#REF!</f>
        <v>#REF!</v>
      </c>
      <c r="G3467" s="63" t="e">
        <f>FLOOR(D3467*F3467,0.01)</f>
        <v>#REF!</v>
      </c>
      <c r="H3467" s="123" t="e">
        <f>SUM(G3466+G3467)</f>
        <v>#REF!</v>
      </c>
    </row>
    <row r="3468" spans="1:8" ht="18">
      <c r="A3468" s="1"/>
      <c r="B3468" s="889" t="s">
        <v>2055</v>
      </c>
      <c r="C3468" s="80" t="s">
        <v>1079</v>
      </c>
      <c r="D3468" s="42">
        <v>10</v>
      </c>
      <c r="E3468" s="53" t="s">
        <v>2748</v>
      </c>
      <c r="F3468" s="109" t="e">
        <f>#REF!</f>
        <v>#REF!</v>
      </c>
      <c r="G3468" s="109" t="e">
        <f>FLOOR(D3468*F3468,0.01)</f>
        <v>#REF!</v>
      </c>
      <c r="H3468" s="131"/>
    </row>
    <row r="3469" spans="1:8" ht="18">
      <c r="A3469" s="1"/>
      <c r="B3469" s="947"/>
      <c r="C3469" s="80" t="s">
        <v>3076</v>
      </c>
      <c r="D3469" s="42">
        <v>0.4</v>
      </c>
      <c r="E3469" s="53" t="s">
        <v>2748</v>
      </c>
      <c r="F3469" s="109" t="e">
        <f>#REF!</f>
        <v>#REF!</v>
      </c>
      <c r="G3469" s="109" t="e">
        <f>FLOOR(D3469*F3469,0.01)</f>
        <v>#REF!</v>
      </c>
      <c r="H3469" s="132"/>
    </row>
    <row r="3470" spans="1:8" ht="17.25">
      <c r="A3470" s="1"/>
      <c r="B3470" s="947"/>
      <c r="C3470" s="80" t="s">
        <v>2771</v>
      </c>
      <c r="D3470" s="42"/>
      <c r="E3470" s="53"/>
      <c r="F3470" s="116"/>
      <c r="G3470" s="109"/>
      <c r="H3470" s="9"/>
    </row>
    <row r="3471" spans="1:8" ht="31.5">
      <c r="A3471" s="1"/>
      <c r="B3471" s="942"/>
      <c r="C3471" s="82" t="s">
        <v>575</v>
      </c>
      <c r="D3471" s="63" t="s">
        <v>2808</v>
      </c>
      <c r="E3471" s="56" t="s">
        <v>2810</v>
      </c>
      <c r="F3471" s="56" t="s">
        <v>2810</v>
      </c>
      <c r="G3471" s="63">
        <v>250</v>
      </c>
      <c r="H3471" s="123" t="e">
        <f>SUM(G3468+G3469+G3471)</f>
        <v>#REF!</v>
      </c>
    </row>
    <row r="3472" spans="1:8" ht="19.5">
      <c r="A3472" s="3"/>
      <c r="B3472" s="1"/>
      <c r="C3472" s="1"/>
      <c r="D3472" s="1"/>
      <c r="E3472" s="1"/>
      <c r="F3472" s="40" t="s">
        <v>1491</v>
      </c>
      <c r="G3472" s="102"/>
      <c r="H3472" s="63" t="e">
        <f>SUM(H3467:H3471)</f>
        <v>#REF!</v>
      </c>
    </row>
    <row r="3473" spans="1:8" ht="19.5">
      <c r="A3473" s="1"/>
      <c r="B3473" s="1" t="s">
        <v>1493</v>
      </c>
      <c r="C3473" s="1"/>
      <c r="D3473" s="1"/>
      <c r="E3473" s="1"/>
      <c r="F3473" s="40" t="s">
        <v>1471</v>
      </c>
      <c r="G3473" s="102"/>
      <c r="H3473" s="99" t="e">
        <f>FLOOR(H3472*0.15,0.01)</f>
        <v>#REF!</v>
      </c>
    </row>
    <row r="3474" spans="1:8" ht="19.5">
      <c r="A3474" s="27"/>
      <c r="B3474" s="140" t="e">
        <f>+H3474</f>
        <v>#REF!</v>
      </c>
      <c r="C3474" s="27" t="s">
        <v>3801</v>
      </c>
      <c r="D3474" s="99" t="e">
        <f>INT(B3474/B3475*100)/100</f>
        <v>#REF!</v>
      </c>
      <c r="E3474" s="1" t="s">
        <v>3006</v>
      </c>
      <c r="F3474" s="40" t="s">
        <v>1494</v>
      </c>
      <c r="G3474" s="102"/>
      <c r="H3474" s="99" t="e">
        <f>SUM(H3472:H3473)</f>
        <v>#REF!</v>
      </c>
    </row>
    <row r="3475" spans="1:8" ht="19.5">
      <c r="A3475" s="27"/>
      <c r="B3475" s="88">
        <v>100</v>
      </c>
      <c r="C3475" s="1"/>
      <c r="D3475" s="1"/>
      <c r="E3475" s="1"/>
      <c r="F3475" s="40"/>
      <c r="G3475" s="102"/>
      <c r="H3475" s="141"/>
    </row>
    <row r="3476" spans="1:8" ht="19.5">
      <c r="A3476" s="27"/>
      <c r="B3476" s="88"/>
      <c r="C3476" s="1"/>
      <c r="D3476" s="1"/>
      <c r="E3476" s="1"/>
      <c r="F3476" s="40"/>
      <c r="G3476" s="102"/>
      <c r="H3476" s="141"/>
    </row>
    <row r="3477" spans="1:8" ht="16.5">
      <c r="A3477" s="1"/>
      <c r="B3477" s="1"/>
      <c r="C3477" s="27"/>
      <c r="D3477" s="141"/>
      <c r="E3477" s="1"/>
      <c r="F3477" s="1"/>
      <c r="G3477" s="1"/>
      <c r="H3477" s="1"/>
    </row>
    <row r="3478" spans="1:8" ht="20.25">
      <c r="A3478" s="138">
        <f>+A3462+1</f>
        <v>210</v>
      </c>
      <c r="B3478" s="877" t="s">
        <v>576</v>
      </c>
      <c r="C3478" s="878"/>
      <c r="D3478" s="878"/>
      <c r="E3478" s="878"/>
      <c r="F3478" s="878"/>
      <c r="G3478" s="878"/>
      <c r="H3478" s="878"/>
    </row>
    <row r="3479" spans="1:8" ht="14.25">
      <c r="A3479" s="677" t="s">
        <v>3688</v>
      </c>
      <c r="B3479" s="885" t="s">
        <v>1379</v>
      </c>
      <c r="C3479" s="885"/>
      <c r="D3479" s="885"/>
      <c r="E3479" s="885"/>
      <c r="F3479" s="885"/>
      <c r="G3479" s="885"/>
      <c r="H3479" s="885"/>
    </row>
    <row r="3480" spans="1:8" ht="31.5">
      <c r="A3480" s="1"/>
      <c r="B3480" s="68" t="s">
        <v>2966</v>
      </c>
      <c r="C3480" s="68" t="s">
        <v>2967</v>
      </c>
      <c r="D3480" s="68" t="s">
        <v>2968</v>
      </c>
      <c r="E3480" s="68" t="s">
        <v>2969</v>
      </c>
      <c r="F3480" s="68" t="s">
        <v>2970</v>
      </c>
      <c r="G3480" s="68" t="s">
        <v>2971</v>
      </c>
      <c r="H3480" s="68" t="s">
        <v>1487</v>
      </c>
    </row>
    <row r="3481" spans="1:8" ht="17.25">
      <c r="A3481" s="1"/>
      <c r="B3481" s="889" t="s">
        <v>520</v>
      </c>
      <c r="C3481" s="80" t="s">
        <v>686</v>
      </c>
      <c r="D3481" s="42">
        <v>2</v>
      </c>
      <c r="E3481" s="53" t="s">
        <v>1490</v>
      </c>
      <c r="F3481" s="116" t="e">
        <f>#REF!</f>
        <v>#REF!</v>
      </c>
      <c r="G3481" s="107" t="e">
        <f>FLOOR(D3481*F3481,0.01)</f>
        <v>#REF!</v>
      </c>
      <c r="H3481" s="108"/>
    </row>
    <row r="3482" spans="1:8" ht="17.25">
      <c r="A3482" s="27"/>
      <c r="B3482" s="942"/>
      <c r="C3482" s="78" t="s">
        <v>521</v>
      </c>
      <c r="D3482" s="43">
        <v>4</v>
      </c>
      <c r="E3482" s="56" t="s">
        <v>1490</v>
      </c>
      <c r="F3482" s="122" t="e">
        <f>#REF!</f>
        <v>#REF!</v>
      </c>
      <c r="G3482" s="63" t="e">
        <f>FLOOR(D3482*F3482,0.01)</f>
        <v>#REF!</v>
      </c>
      <c r="H3482" s="123" t="e">
        <f>SUM(G3481+G3482)</f>
        <v>#REF!</v>
      </c>
    </row>
    <row r="3483" spans="1:8" ht="18">
      <c r="A3483" s="1"/>
      <c r="B3483" s="889" t="s">
        <v>2055</v>
      </c>
      <c r="C3483" s="81" t="s">
        <v>3075</v>
      </c>
      <c r="D3483" s="42">
        <v>10</v>
      </c>
      <c r="E3483" s="53" t="s">
        <v>2748</v>
      </c>
      <c r="F3483" s="109" t="e">
        <f>#REF!</f>
        <v>#REF!</v>
      </c>
      <c r="G3483" s="109" t="e">
        <f>FLOOR(D3483*F3483,0.01)</f>
        <v>#REF!</v>
      </c>
      <c r="H3483" s="131"/>
    </row>
    <row r="3484" spans="1:8" ht="18">
      <c r="A3484" s="1"/>
      <c r="B3484" s="947"/>
      <c r="C3484" s="80" t="s">
        <v>3076</v>
      </c>
      <c r="D3484" s="42">
        <v>0.4</v>
      </c>
      <c r="E3484" s="53" t="s">
        <v>2748</v>
      </c>
      <c r="F3484" s="109" t="e">
        <f>#REF!</f>
        <v>#REF!</v>
      </c>
      <c r="G3484" s="109" t="e">
        <f>FLOOR(D3484*F3484,0.01)</f>
        <v>#REF!</v>
      </c>
      <c r="H3484" s="132"/>
    </row>
    <row r="3485" spans="1:8" ht="17.25">
      <c r="A3485" s="1"/>
      <c r="B3485" s="947"/>
      <c r="C3485" s="80" t="s">
        <v>2771</v>
      </c>
      <c r="D3485" s="42"/>
      <c r="E3485" s="53"/>
      <c r="F3485" s="116"/>
      <c r="G3485" s="109"/>
      <c r="H3485" s="9"/>
    </row>
    <row r="3486" spans="1:8" ht="31.5">
      <c r="A3486" s="1"/>
      <c r="B3486" s="942"/>
      <c r="C3486" s="82" t="s">
        <v>575</v>
      </c>
      <c r="D3486" s="77" t="s">
        <v>2808</v>
      </c>
      <c r="E3486" s="56" t="s">
        <v>2810</v>
      </c>
      <c r="F3486" s="122"/>
      <c r="G3486" s="63">
        <v>250</v>
      </c>
      <c r="H3486" s="123" t="e">
        <f>SUM(G3483+G3484+G3486)</f>
        <v>#REF!</v>
      </c>
    </row>
    <row r="3487" spans="1:8" ht="19.5">
      <c r="A3487" s="3"/>
      <c r="B3487" s="1"/>
      <c r="C3487" s="1"/>
      <c r="D3487" s="1"/>
      <c r="E3487" s="1"/>
      <c r="F3487" s="40" t="s">
        <v>1491</v>
      </c>
      <c r="G3487" s="102"/>
      <c r="H3487" s="63" t="e">
        <f>SUM(H3482:H3486)</f>
        <v>#REF!</v>
      </c>
    </row>
    <row r="3488" spans="1:8" ht="19.5">
      <c r="A3488" s="1"/>
      <c r="B3488" s="1" t="s">
        <v>1493</v>
      </c>
      <c r="C3488" s="1"/>
      <c r="D3488" s="1"/>
      <c r="E3488" s="1"/>
      <c r="F3488" s="40" t="s">
        <v>1471</v>
      </c>
      <c r="G3488" s="102"/>
      <c r="H3488" s="99" t="e">
        <f>FLOOR(H3487*0.15,0.01)</f>
        <v>#REF!</v>
      </c>
    </row>
    <row r="3489" spans="1:8" ht="19.5">
      <c r="A3489" s="27"/>
      <c r="B3489" s="140" t="e">
        <f>+H3489</f>
        <v>#REF!</v>
      </c>
      <c r="C3489" s="27" t="s">
        <v>3801</v>
      </c>
      <c r="D3489" s="99" t="e">
        <f>INT(B3489/B3490*100)/100</f>
        <v>#REF!</v>
      </c>
      <c r="E3489" s="1" t="s">
        <v>3006</v>
      </c>
      <c r="F3489" s="40" t="s">
        <v>1494</v>
      </c>
      <c r="G3489" s="102"/>
      <c r="H3489" s="99" t="e">
        <f>SUM(H3487:H3488)</f>
        <v>#REF!</v>
      </c>
    </row>
    <row r="3490" spans="1:8" ht="16.5">
      <c r="A3490" s="1"/>
      <c r="B3490" s="88">
        <v>100</v>
      </c>
      <c r="C3490" s="1"/>
      <c r="D3490" s="1"/>
      <c r="E3490" s="1"/>
      <c r="F3490" s="1"/>
      <c r="G3490" s="1"/>
      <c r="H3490" s="1"/>
    </row>
    <row r="3491" spans="1:8" ht="16.5">
      <c r="A3491" s="1"/>
      <c r="B3491" s="88"/>
      <c r="C3491" s="1"/>
      <c r="D3491" s="1"/>
      <c r="E3491" s="1"/>
      <c r="F3491" s="1"/>
      <c r="G3491" s="1"/>
      <c r="H3491" s="1"/>
    </row>
    <row r="3492" spans="1:8" ht="16.5">
      <c r="A3492" s="1"/>
      <c r="B3492" s="88"/>
      <c r="C3492" s="1"/>
      <c r="D3492" s="1"/>
      <c r="E3492" s="1"/>
      <c r="F3492" s="1"/>
      <c r="G3492" s="1"/>
      <c r="H3492" s="1"/>
    </row>
    <row r="3493" spans="1:8" ht="16.5">
      <c r="A3493" s="1"/>
      <c r="B3493" s="88"/>
      <c r="C3493" s="1"/>
      <c r="D3493" s="1"/>
      <c r="E3493" s="1"/>
      <c r="F3493" s="1"/>
      <c r="G3493" s="1"/>
      <c r="H3493" s="1"/>
    </row>
    <row r="3494" spans="1:8" ht="20.25">
      <c r="A3494" s="260">
        <f>A3478+1</f>
        <v>211</v>
      </c>
      <c r="B3494" s="877" t="s">
        <v>560</v>
      </c>
      <c r="C3494" s="878"/>
      <c r="D3494" s="878"/>
      <c r="E3494" s="878"/>
      <c r="F3494" s="878"/>
      <c r="G3494" s="878"/>
      <c r="H3494" s="878"/>
    </row>
    <row r="3495" spans="1:8" ht="14.25">
      <c r="A3495" s="677" t="s">
        <v>3689</v>
      </c>
      <c r="B3495" s="888" t="s">
        <v>373</v>
      </c>
      <c r="C3495" s="879"/>
      <c r="D3495" s="879"/>
      <c r="E3495" s="879"/>
      <c r="F3495" s="879"/>
      <c r="G3495" s="879"/>
      <c r="H3495" s="879"/>
    </row>
    <row r="3496" spans="1:8" ht="31.5">
      <c r="A3496" s="1"/>
      <c r="B3496" s="68" t="s">
        <v>2966</v>
      </c>
      <c r="C3496" s="68" t="s">
        <v>2967</v>
      </c>
      <c r="D3496" s="68" t="s">
        <v>2968</v>
      </c>
      <c r="E3496" s="68" t="s">
        <v>2969</v>
      </c>
      <c r="F3496" s="68" t="s">
        <v>2970</v>
      </c>
      <c r="G3496" s="68" t="s">
        <v>2971</v>
      </c>
      <c r="H3496" s="68" t="s">
        <v>1487</v>
      </c>
    </row>
    <row r="3497" spans="1:8" ht="17.25">
      <c r="A3497" s="1"/>
      <c r="B3497" s="889" t="s">
        <v>520</v>
      </c>
      <c r="C3497" s="58" t="s">
        <v>686</v>
      </c>
      <c r="D3497" s="46">
        <v>0.53800000000000003</v>
      </c>
      <c r="E3497" s="55" t="s">
        <v>1490</v>
      </c>
      <c r="F3497" s="107" t="e">
        <f>#REF!</f>
        <v>#REF!</v>
      </c>
      <c r="G3497" s="107" t="e">
        <f>FLOOR(D3497*F3497,0.01)</f>
        <v>#REF!</v>
      </c>
      <c r="H3497" s="108"/>
    </row>
    <row r="3498" spans="1:8" ht="17.25">
      <c r="A3498" s="1"/>
      <c r="B3498" s="952"/>
      <c r="C3498" s="78" t="s">
        <v>521</v>
      </c>
      <c r="D3498" s="49">
        <v>0.53800000000000003</v>
      </c>
      <c r="E3498" s="56" t="s">
        <v>1490</v>
      </c>
      <c r="F3498" s="122" t="e">
        <f>#REF!</f>
        <v>#REF!</v>
      </c>
      <c r="G3498" s="63" t="e">
        <f>FLOOR(D3498*F3498,0.01)</f>
        <v>#REF!</v>
      </c>
      <c r="H3498" s="123" t="e">
        <f>SUM(G3497+G3498)</f>
        <v>#REF!</v>
      </c>
    </row>
    <row r="3499" spans="1:8" ht="17.25">
      <c r="A3499" s="1"/>
      <c r="B3499" s="889" t="s">
        <v>2055</v>
      </c>
      <c r="C3499" s="80" t="s">
        <v>2313</v>
      </c>
      <c r="D3499" s="52">
        <v>0.53800000000000003</v>
      </c>
      <c r="E3499" s="53" t="s">
        <v>2517</v>
      </c>
      <c r="F3499" s="109" t="e">
        <f>#REF!</f>
        <v>#REF!</v>
      </c>
      <c r="G3499" s="110" t="e">
        <f>FLOOR(D3499*F3499,0.01)</f>
        <v>#REF!</v>
      </c>
      <c r="H3499" s="108"/>
    </row>
    <row r="3500" spans="1:8" ht="31.5">
      <c r="A3500" s="1"/>
      <c r="B3500" s="943"/>
      <c r="C3500" s="80" t="s">
        <v>2604</v>
      </c>
      <c r="D3500" s="52">
        <v>1.6140000000000001</v>
      </c>
      <c r="E3500" s="53" t="s">
        <v>2517</v>
      </c>
      <c r="F3500" s="109" t="e">
        <f>#REF!</f>
        <v>#REF!</v>
      </c>
      <c r="G3500" s="109" t="e">
        <f>FLOOR(D3500*F3500,0.01)</f>
        <v>#REF!</v>
      </c>
      <c r="H3500" s="121" t="e">
        <f>SUM(G3499+G3500+G3501)</f>
        <v>#REF!</v>
      </c>
    </row>
    <row r="3501" spans="1:8" ht="17.25">
      <c r="A3501" s="1"/>
      <c r="B3501" s="78"/>
      <c r="C3501" s="78"/>
      <c r="D3501" s="47"/>
      <c r="E3501" s="56"/>
      <c r="F3501" s="122"/>
      <c r="G3501" s="63"/>
      <c r="H3501" s="10"/>
    </row>
    <row r="3502" spans="1:8" ht="19.5">
      <c r="A3502" s="1"/>
      <c r="B3502" s="1"/>
      <c r="C3502" s="1"/>
      <c r="D3502" s="1"/>
      <c r="E3502" s="1"/>
      <c r="F3502" s="40" t="s">
        <v>1491</v>
      </c>
      <c r="G3502" s="102"/>
      <c r="H3502" s="63" t="e">
        <f>SUM(H3498:H3500)</f>
        <v>#REF!</v>
      </c>
    </row>
    <row r="3503" spans="1:8" ht="19.5">
      <c r="A3503" s="1"/>
      <c r="B3503" s="1" t="s">
        <v>1493</v>
      </c>
      <c r="C3503" s="1"/>
      <c r="D3503" s="1"/>
      <c r="E3503" s="1"/>
      <c r="F3503" s="40" t="s">
        <v>1471</v>
      </c>
      <c r="G3503" s="102"/>
      <c r="H3503" s="99" t="e">
        <f>FLOOR(H3502*0.15,0.01)</f>
        <v>#REF!</v>
      </c>
    </row>
    <row r="3504" spans="1:8" ht="19.5">
      <c r="A3504" s="97"/>
      <c r="B3504" s="140" t="e">
        <f>+H3504</f>
        <v>#REF!</v>
      </c>
      <c r="C3504" s="27" t="s">
        <v>3801</v>
      </c>
      <c r="D3504" s="99" t="e">
        <f>INT(B3504/B3505*100)/100</f>
        <v>#REF!</v>
      </c>
      <c r="E3504" s="1" t="s">
        <v>3006</v>
      </c>
      <c r="F3504" s="40" t="s">
        <v>1494</v>
      </c>
      <c r="G3504" s="102"/>
      <c r="H3504" s="99" t="e">
        <f>SUM(H3502:H3503)</f>
        <v>#REF!</v>
      </c>
    </row>
    <row r="3505" spans="1:8" ht="16.5">
      <c r="A3505" s="1"/>
      <c r="B3505" s="117">
        <v>10</v>
      </c>
      <c r="C3505" s="1"/>
      <c r="D3505" s="1"/>
      <c r="E3505" s="1"/>
      <c r="F3505" s="1"/>
      <c r="G3505" s="1"/>
      <c r="H3505" s="1"/>
    </row>
    <row r="3506" spans="1:8" ht="16.5">
      <c r="A3506" s="1"/>
      <c r="B3506" s="88"/>
      <c r="C3506" s="1"/>
      <c r="D3506" s="1"/>
      <c r="E3506" s="1"/>
      <c r="F3506" s="1"/>
      <c r="G3506" s="1"/>
      <c r="H3506" s="1"/>
    </row>
    <row r="3507" spans="1:8" ht="20.25">
      <c r="A3507" s="260">
        <f>+A3494+1</f>
        <v>212</v>
      </c>
      <c r="B3507" s="877" t="s">
        <v>10</v>
      </c>
      <c r="C3507" s="878"/>
      <c r="D3507" s="878"/>
      <c r="E3507" s="878"/>
      <c r="F3507" s="878"/>
      <c r="G3507" s="878"/>
      <c r="H3507" s="878"/>
    </row>
    <row r="3508" spans="1:8" ht="14.25">
      <c r="A3508" s="677" t="s">
        <v>3690</v>
      </c>
      <c r="B3508" s="928" t="s">
        <v>1379</v>
      </c>
      <c r="C3508" s="885"/>
      <c r="D3508" s="885"/>
      <c r="E3508" s="885"/>
      <c r="F3508" s="885"/>
      <c r="G3508" s="885"/>
      <c r="H3508" s="885"/>
    </row>
    <row r="3509" spans="1:8" ht="31.5">
      <c r="A3509" s="1"/>
      <c r="B3509" s="68" t="s">
        <v>2966</v>
      </c>
      <c r="C3509" s="68" t="s">
        <v>2967</v>
      </c>
      <c r="D3509" s="68" t="s">
        <v>2968</v>
      </c>
      <c r="E3509" s="68" t="s">
        <v>2969</v>
      </c>
      <c r="F3509" s="68" t="s">
        <v>2970</v>
      </c>
      <c r="G3509" s="68" t="s">
        <v>2971</v>
      </c>
      <c r="H3509" s="68" t="s">
        <v>1487</v>
      </c>
    </row>
    <row r="3510" spans="1:8" ht="17.25">
      <c r="A3510" s="27"/>
      <c r="B3510" s="889" t="s">
        <v>520</v>
      </c>
      <c r="C3510" s="80" t="s">
        <v>686</v>
      </c>
      <c r="D3510" s="42">
        <v>5</v>
      </c>
      <c r="E3510" s="53" t="s">
        <v>1490</v>
      </c>
      <c r="F3510" s="116" t="e">
        <f>#REF!</f>
        <v>#REF!</v>
      </c>
      <c r="G3510" s="107" t="e">
        <f>FLOOR(D3510*F3510,0.01)</f>
        <v>#REF!</v>
      </c>
      <c r="H3510" s="108"/>
    </row>
    <row r="3511" spans="1:8" ht="17.25">
      <c r="A3511" s="1"/>
      <c r="B3511" s="942"/>
      <c r="C3511" s="78" t="s">
        <v>521</v>
      </c>
      <c r="D3511" s="43">
        <v>2</v>
      </c>
      <c r="E3511" s="56" t="s">
        <v>1490</v>
      </c>
      <c r="F3511" s="122" t="e">
        <f>#REF!</f>
        <v>#REF!</v>
      </c>
      <c r="G3511" s="116" t="e">
        <f>FLOOR(D3511*F3511,0.01)</f>
        <v>#REF!</v>
      </c>
      <c r="H3511" s="123" t="e">
        <f>SUM(G3510+G3511)</f>
        <v>#REF!</v>
      </c>
    </row>
    <row r="3512" spans="1:8" ht="18">
      <c r="A3512" s="1"/>
      <c r="B3512" s="889" t="s">
        <v>2055</v>
      </c>
      <c r="C3512" s="58" t="s">
        <v>2772</v>
      </c>
      <c r="D3512" s="41"/>
      <c r="E3512" s="55"/>
      <c r="F3512" s="107"/>
      <c r="G3512" s="131"/>
      <c r="H3512" s="131"/>
    </row>
    <row r="3513" spans="1:8" ht="17.25">
      <c r="A3513" s="1"/>
      <c r="B3513" s="942"/>
      <c r="C3513" s="78" t="s">
        <v>1427</v>
      </c>
      <c r="D3513" s="43">
        <v>9</v>
      </c>
      <c r="E3513" s="56" t="s">
        <v>2517</v>
      </c>
      <c r="F3513" s="63" t="e">
        <f>#REF!</f>
        <v>#REF!</v>
      </c>
      <c r="G3513" s="109" t="e">
        <f>FLOOR(D3513*F3513,0.01)</f>
        <v>#REF!</v>
      </c>
      <c r="H3513" s="63" t="e">
        <f>SUM(G3513)</f>
        <v>#REF!</v>
      </c>
    </row>
    <row r="3514" spans="1:8" ht="17.25">
      <c r="A3514" s="1"/>
      <c r="B3514" s="1"/>
      <c r="C3514" s="1"/>
      <c r="D3514" s="1"/>
      <c r="E3514" s="1"/>
      <c r="F3514" s="40" t="s">
        <v>1491</v>
      </c>
      <c r="G3514" s="125"/>
      <c r="H3514" s="63" t="e">
        <f>SUM(H3511:H3513)</f>
        <v>#REF!</v>
      </c>
    </row>
    <row r="3515" spans="1:8" ht="19.5">
      <c r="A3515" s="1"/>
      <c r="B3515" s="1" t="s">
        <v>1493</v>
      </c>
      <c r="C3515" s="1"/>
      <c r="D3515" s="1"/>
      <c r="E3515" s="1"/>
      <c r="F3515" s="40" t="s">
        <v>1471</v>
      </c>
      <c r="G3515" s="102"/>
      <c r="H3515" s="99" t="e">
        <f>FLOOR(H3514*0.15,0.01)</f>
        <v>#REF!</v>
      </c>
    </row>
    <row r="3516" spans="1:8" ht="19.5">
      <c r="A3516" s="27"/>
      <c r="B3516" s="140" t="e">
        <f>+H3516</f>
        <v>#REF!</v>
      </c>
      <c r="C3516" s="27" t="s">
        <v>3801</v>
      </c>
      <c r="D3516" s="99" t="e">
        <f>INT(B3516/B3517*100)/100</f>
        <v>#REF!</v>
      </c>
      <c r="E3516" s="1" t="s">
        <v>3006</v>
      </c>
      <c r="F3516" s="40" t="s">
        <v>1494</v>
      </c>
      <c r="G3516" s="102"/>
      <c r="H3516" s="99" t="e">
        <f>SUM(H3514:H3515)</f>
        <v>#REF!</v>
      </c>
    </row>
    <row r="3517" spans="1:8" ht="17.25">
      <c r="A3517" s="1"/>
      <c r="B3517" s="88">
        <v>100</v>
      </c>
      <c r="C3517" s="1"/>
      <c r="D3517" s="1"/>
      <c r="E3517" s="1"/>
      <c r="F3517" s="1"/>
      <c r="G3517" s="40"/>
      <c r="H3517" s="1"/>
    </row>
    <row r="3518" spans="1:8" ht="17.25">
      <c r="A3518" s="1"/>
      <c r="B3518" s="88"/>
      <c r="C3518" s="1"/>
      <c r="D3518" s="1"/>
      <c r="E3518" s="1"/>
      <c r="F3518" s="1"/>
      <c r="G3518" s="40"/>
      <c r="H3518" s="1"/>
    </row>
    <row r="3519" spans="1:8" ht="17.25">
      <c r="A3519" s="1"/>
      <c r="B3519" s="88"/>
      <c r="C3519" s="1"/>
      <c r="D3519" s="1"/>
      <c r="E3519" s="1"/>
      <c r="F3519" s="1"/>
      <c r="G3519" s="40"/>
      <c r="H3519" s="1"/>
    </row>
    <row r="3520" spans="1:8" ht="20.25">
      <c r="A3520" s="260">
        <f>+A3507+1</f>
        <v>213</v>
      </c>
      <c r="B3520" s="877" t="s">
        <v>579</v>
      </c>
      <c r="C3520" s="878"/>
      <c r="D3520" s="878"/>
      <c r="E3520" s="878"/>
      <c r="F3520" s="878"/>
      <c r="G3520" s="878"/>
      <c r="H3520" s="878"/>
    </row>
    <row r="3521" spans="1:8" ht="14.25">
      <c r="A3521" s="677" t="s">
        <v>3691</v>
      </c>
      <c r="B3521" s="879" t="s">
        <v>1379</v>
      </c>
      <c r="C3521" s="879"/>
      <c r="D3521" s="879"/>
      <c r="E3521" s="879"/>
      <c r="F3521" s="879"/>
      <c r="G3521" s="879"/>
      <c r="H3521" s="879"/>
    </row>
    <row r="3522" spans="1:8" ht="31.5">
      <c r="A3522" s="1"/>
      <c r="B3522" s="68" t="s">
        <v>2966</v>
      </c>
      <c r="C3522" s="68" t="s">
        <v>2967</v>
      </c>
      <c r="D3522" s="68" t="s">
        <v>2968</v>
      </c>
      <c r="E3522" s="68" t="s">
        <v>2969</v>
      </c>
      <c r="F3522" s="68" t="s">
        <v>2970</v>
      </c>
      <c r="G3522" s="68" t="s">
        <v>2971</v>
      </c>
      <c r="H3522" s="68" t="s">
        <v>1487</v>
      </c>
    </row>
    <row r="3523" spans="1:8" ht="17.25">
      <c r="A3523" s="27"/>
      <c r="B3523" s="889" t="s">
        <v>520</v>
      </c>
      <c r="C3523" s="80" t="s">
        <v>686</v>
      </c>
      <c r="D3523" s="50">
        <v>9</v>
      </c>
      <c r="E3523" s="53" t="s">
        <v>1490</v>
      </c>
      <c r="F3523" s="116" t="e">
        <f>#REF!</f>
        <v>#REF!</v>
      </c>
      <c r="G3523" s="107" t="e">
        <f>FLOOR(D3523*F3523,0.01)</f>
        <v>#REF!</v>
      </c>
      <c r="H3523" s="108"/>
    </row>
    <row r="3524" spans="1:8" ht="17.25">
      <c r="A3524" s="1"/>
      <c r="B3524" s="942"/>
      <c r="C3524" s="78" t="s">
        <v>521</v>
      </c>
      <c r="D3524" s="51">
        <v>5</v>
      </c>
      <c r="E3524" s="56" t="s">
        <v>1490</v>
      </c>
      <c r="F3524" s="122" t="e">
        <f>#REF!</f>
        <v>#REF!</v>
      </c>
      <c r="G3524" s="109" t="e">
        <f>FLOOR(D3524*F3524,0.01)</f>
        <v>#REF!</v>
      </c>
      <c r="H3524" s="123" t="e">
        <f>SUM(G3523+G3524)</f>
        <v>#REF!</v>
      </c>
    </row>
    <row r="3525" spans="1:8" ht="18">
      <c r="A3525" s="1"/>
      <c r="B3525" s="889" t="s">
        <v>2055</v>
      </c>
      <c r="C3525" s="58" t="s">
        <v>2772</v>
      </c>
      <c r="D3525" s="110"/>
      <c r="E3525" s="55"/>
      <c r="F3525" s="107"/>
      <c r="G3525" s="131"/>
      <c r="H3525" s="131"/>
    </row>
    <row r="3526" spans="1:8" ht="17.25">
      <c r="A3526" s="1"/>
      <c r="B3526" s="942"/>
      <c r="C3526" s="78" t="s">
        <v>1427</v>
      </c>
      <c r="D3526" s="43">
        <v>16</v>
      </c>
      <c r="E3526" s="56" t="s">
        <v>2517</v>
      </c>
      <c r="F3526" s="63" t="e">
        <f>#REF!</f>
        <v>#REF!</v>
      </c>
      <c r="G3526" s="63" t="e">
        <f>FLOOR(D3526*F3526,0.01)</f>
        <v>#REF!</v>
      </c>
      <c r="H3526" s="123" t="e">
        <f>G3526</f>
        <v>#REF!</v>
      </c>
    </row>
    <row r="3527" spans="1:8" ht="17.25">
      <c r="A3527" s="1"/>
      <c r="B3527" s="1"/>
      <c r="C3527" s="1"/>
      <c r="D3527" s="1"/>
      <c r="E3527" s="1"/>
      <c r="F3527" s="40" t="s">
        <v>1491</v>
      </c>
      <c r="G3527" s="206"/>
      <c r="H3527" s="63" t="e">
        <f>SUM(H3524:H3526)</f>
        <v>#REF!</v>
      </c>
    </row>
    <row r="3528" spans="1:8" ht="19.5">
      <c r="A3528" s="1"/>
      <c r="B3528" s="1" t="s">
        <v>1493</v>
      </c>
      <c r="C3528" s="1"/>
      <c r="D3528" s="1"/>
      <c r="E3528" s="1"/>
      <c r="F3528" s="40" t="s">
        <v>1471</v>
      </c>
      <c r="G3528" s="102"/>
      <c r="H3528" s="99" t="e">
        <f>FLOOR(H3527*0.15,0.01)</f>
        <v>#REF!</v>
      </c>
    </row>
    <row r="3529" spans="1:8" ht="19.5">
      <c r="A3529" s="27"/>
      <c r="B3529" s="140" t="e">
        <f>+H3529</f>
        <v>#REF!</v>
      </c>
      <c r="C3529" s="27" t="s">
        <v>3801</v>
      </c>
      <c r="D3529" s="99" t="e">
        <f>INT(B3529/B3530*100)/100</f>
        <v>#REF!</v>
      </c>
      <c r="E3529" s="1" t="s">
        <v>3006</v>
      </c>
      <c r="F3529" s="40" t="s">
        <v>1494</v>
      </c>
      <c r="G3529" s="102"/>
      <c r="H3529" s="99" t="e">
        <f>SUM(H3527:H3528)</f>
        <v>#REF!</v>
      </c>
    </row>
    <row r="3530" spans="1:8" ht="16.5">
      <c r="A3530" s="1"/>
      <c r="B3530" s="88">
        <v>100</v>
      </c>
      <c r="C3530" s="1"/>
      <c r="D3530" s="1"/>
      <c r="E3530" s="1"/>
      <c r="F3530" s="1"/>
      <c r="G3530" s="1"/>
      <c r="H3530" s="1"/>
    </row>
    <row r="3531" spans="1:8" ht="16.5">
      <c r="A3531" s="1"/>
      <c r="B3531" s="88"/>
      <c r="C3531" s="1"/>
      <c r="D3531" s="1"/>
      <c r="E3531" s="1"/>
      <c r="F3531" s="1"/>
      <c r="G3531" s="1"/>
      <c r="H3531" s="1"/>
    </row>
    <row r="3532" spans="1:8" ht="16.5">
      <c r="A3532" s="1"/>
      <c r="B3532" s="88"/>
      <c r="C3532" s="1"/>
      <c r="D3532" s="1"/>
      <c r="E3532" s="1"/>
      <c r="F3532" s="1"/>
      <c r="G3532" s="1"/>
      <c r="H3532" s="1"/>
    </row>
    <row r="3533" spans="1:8" ht="15">
      <c r="A3533" s="1"/>
      <c r="B3533" s="1"/>
      <c r="C3533" s="1"/>
      <c r="D3533" s="1"/>
      <c r="E3533" s="1"/>
      <c r="F3533" s="1"/>
      <c r="G3533" s="1"/>
      <c r="H3533" s="1"/>
    </row>
    <row r="3534" spans="1:8" ht="15">
      <c r="A3534" s="1"/>
      <c r="B3534" s="1"/>
      <c r="C3534" s="1"/>
      <c r="D3534" s="1"/>
      <c r="E3534" s="1"/>
      <c r="F3534" s="1"/>
      <c r="G3534" s="1"/>
      <c r="H3534" s="1"/>
    </row>
    <row r="3535" spans="1:8" ht="20.25">
      <c r="A3535" s="260">
        <f>+A3520+1</f>
        <v>214</v>
      </c>
      <c r="B3535" s="877" t="s">
        <v>3016</v>
      </c>
      <c r="C3535" s="878"/>
      <c r="D3535" s="878"/>
      <c r="E3535" s="878"/>
      <c r="F3535" s="878"/>
      <c r="G3535" s="878"/>
      <c r="H3535" s="878"/>
    </row>
    <row r="3536" spans="1:8" ht="14.25">
      <c r="A3536" s="677" t="s">
        <v>3692</v>
      </c>
      <c r="B3536" s="879" t="s">
        <v>1379</v>
      </c>
      <c r="C3536" s="879"/>
      <c r="D3536" s="879"/>
      <c r="E3536" s="879"/>
      <c r="F3536" s="879"/>
      <c r="G3536" s="879"/>
      <c r="H3536" s="879"/>
    </row>
    <row r="3537" spans="1:8" ht="31.5">
      <c r="A3537" s="1"/>
      <c r="B3537" s="68" t="s">
        <v>2966</v>
      </c>
      <c r="C3537" s="68" t="s">
        <v>2967</v>
      </c>
      <c r="D3537" s="68" t="s">
        <v>2968</v>
      </c>
      <c r="E3537" s="68" t="s">
        <v>2969</v>
      </c>
      <c r="F3537" s="68" t="s">
        <v>2970</v>
      </c>
      <c r="G3537" s="68" t="s">
        <v>2971</v>
      </c>
      <c r="H3537" s="68" t="s">
        <v>1487</v>
      </c>
    </row>
    <row r="3538" spans="1:8" ht="17.25">
      <c r="A3538" s="27"/>
      <c r="B3538" s="889" t="s">
        <v>520</v>
      </c>
      <c r="C3538" s="80" t="s">
        <v>686</v>
      </c>
      <c r="D3538" s="42">
        <v>5</v>
      </c>
      <c r="E3538" s="53" t="s">
        <v>1490</v>
      </c>
      <c r="F3538" s="116" t="e">
        <f>#REF!</f>
        <v>#REF!</v>
      </c>
      <c r="G3538" s="107" t="e">
        <f>FLOOR(D3538*F3538,0.01)</f>
        <v>#REF!</v>
      </c>
      <c r="H3538" s="108"/>
    </row>
    <row r="3539" spans="1:8" ht="17.25">
      <c r="A3539" s="1"/>
      <c r="B3539" s="942"/>
      <c r="C3539" s="78" t="s">
        <v>521</v>
      </c>
      <c r="D3539" s="43">
        <v>2</v>
      </c>
      <c r="E3539" s="56" t="s">
        <v>1490</v>
      </c>
      <c r="F3539" s="122" t="e">
        <f>#REF!</f>
        <v>#REF!</v>
      </c>
      <c r="G3539" s="122" t="e">
        <f>FLOOR(D3539*F3539,0.01)</f>
        <v>#REF!</v>
      </c>
      <c r="H3539" s="123" t="e">
        <f>SUM(G3538+G3539)</f>
        <v>#REF!</v>
      </c>
    </row>
    <row r="3540" spans="1:8" ht="15">
      <c r="A3540" s="1"/>
      <c r="B3540" s="889" t="s">
        <v>2055</v>
      </c>
      <c r="C3540" s="889" t="s">
        <v>577</v>
      </c>
      <c r="D3540" s="173"/>
      <c r="E3540" s="889" t="s">
        <v>2517</v>
      </c>
      <c r="F3540" s="107"/>
      <c r="G3540" s="187"/>
      <c r="H3540" s="8"/>
    </row>
    <row r="3541" spans="1:8" ht="15">
      <c r="A3541" s="1"/>
      <c r="B3541" s="942"/>
      <c r="C3541" s="942"/>
      <c r="D3541" s="250">
        <v>9</v>
      </c>
      <c r="E3541" s="942"/>
      <c r="F3541" s="123" t="e">
        <f>#REF!</f>
        <v>#REF!</v>
      </c>
      <c r="G3541" s="122" t="e">
        <f>FLOOR(D3541*F3541,0.01)</f>
        <v>#REF!</v>
      </c>
      <c r="H3541" s="123" t="e">
        <f>SUM(G3541+G3542+G3543)</f>
        <v>#REF!</v>
      </c>
    </row>
    <row r="3542" spans="1:8" ht="19.5">
      <c r="A3542" s="1"/>
      <c r="B3542" s="1"/>
      <c r="C3542" s="1"/>
      <c r="D3542" s="1"/>
      <c r="E3542" s="1"/>
      <c r="F3542" s="40" t="s">
        <v>1491</v>
      </c>
      <c r="G3542" s="102"/>
      <c r="H3542" s="63" t="e">
        <f>SUM(H3538:H3541)</f>
        <v>#REF!</v>
      </c>
    </row>
    <row r="3543" spans="1:8" ht="19.5">
      <c r="A3543" s="1"/>
      <c r="B3543" s="1" t="s">
        <v>1493</v>
      </c>
      <c r="C3543" s="1"/>
      <c r="D3543" s="1"/>
      <c r="E3543" s="1"/>
      <c r="F3543" s="40" t="s">
        <v>1471</v>
      </c>
      <c r="G3543" s="102"/>
      <c r="H3543" s="99" t="e">
        <f>FLOOR(H3542*0.15,0.01)</f>
        <v>#REF!</v>
      </c>
    </row>
    <row r="3544" spans="1:8" ht="19.5">
      <c r="A3544" s="27"/>
      <c r="B3544" s="140" t="e">
        <f>+H3544</f>
        <v>#REF!</v>
      </c>
      <c r="C3544" s="27" t="s">
        <v>3801</v>
      </c>
      <c r="D3544" s="99" t="e">
        <f>INT(B3544/B3545*100)/100</f>
        <v>#REF!</v>
      </c>
      <c r="E3544" s="1" t="s">
        <v>3006</v>
      </c>
      <c r="F3544" s="40" t="s">
        <v>1494</v>
      </c>
      <c r="G3544" s="102"/>
      <c r="H3544" s="99" t="e">
        <f>SUM(H3542:H3543)</f>
        <v>#REF!</v>
      </c>
    </row>
    <row r="3545" spans="1:8" ht="16.5">
      <c r="A3545" s="1"/>
      <c r="B3545" s="88">
        <v>100</v>
      </c>
      <c r="C3545" s="1"/>
      <c r="D3545" s="1"/>
      <c r="E3545" s="1"/>
      <c r="F3545" s="1"/>
      <c r="G3545" s="1"/>
      <c r="H3545" s="1"/>
    </row>
    <row r="3546" spans="1:8" ht="16.5">
      <c r="A3546" s="1"/>
      <c r="B3546" s="88"/>
      <c r="C3546" s="1"/>
      <c r="D3546" s="1"/>
      <c r="E3546" s="1"/>
      <c r="F3546" s="1"/>
      <c r="G3546" s="1"/>
      <c r="H3546" s="1"/>
    </row>
    <row r="3547" spans="1:8" ht="15">
      <c r="A3547" s="1"/>
      <c r="B3547" s="1"/>
      <c r="C3547" s="1"/>
      <c r="D3547" s="1"/>
      <c r="E3547" s="1"/>
      <c r="F3547" s="1"/>
      <c r="G3547" s="1"/>
      <c r="H3547" s="1"/>
    </row>
    <row r="3548" spans="1:8" ht="20.25">
      <c r="A3548" s="260">
        <f>+A3535+1</f>
        <v>215</v>
      </c>
      <c r="B3548" s="877" t="s">
        <v>578</v>
      </c>
      <c r="C3548" s="878"/>
      <c r="D3548" s="878"/>
      <c r="E3548" s="878"/>
      <c r="F3548" s="878"/>
      <c r="G3548" s="878"/>
      <c r="H3548" s="878"/>
    </row>
    <row r="3549" spans="1:8" ht="14.25">
      <c r="A3549" s="677" t="s">
        <v>3691</v>
      </c>
      <c r="B3549" s="879" t="s">
        <v>1379</v>
      </c>
      <c r="C3549" s="879"/>
      <c r="D3549" s="879"/>
      <c r="E3549" s="879"/>
      <c r="F3549" s="879"/>
      <c r="G3549" s="879"/>
      <c r="H3549" s="879"/>
    </row>
    <row r="3550" spans="1:8" ht="31.5">
      <c r="A3550" s="1"/>
      <c r="B3550" s="68" t="s">
        <v>2966</v>
      </c>
      <c r="C3550" s="68" t="s">
        <v>2967</v>
      </c>
      <c r="D3550" s="68" t="s">
        <v>2968</v>
      </c>
      <c r="E3550" s="68" t="s">
        <v>2969</v>
      </c>
      <c r="F3550" s="68" t="s">
        <v>2970</v>
      </c>
      <c r="G3550" s="68" t="s">
        <v>2971</v>
      </c>
      <c r="H3550" s="68" t="s">
        <v>1487</v>
      </c>
    </row>
    <row r="3551" spans="1:8" ht="17.25">
      <c r="A3551" s="27"/>
      <c r="B3551" s="889" t="s">
        <v>520</v>
      </c>
      <c r="C3551" s="80" t="s">
        <v>686</v>
      </c>
      <c r="D3551" s="42">
        <v>9</v>
      </c>
      <c r="E3551" s="53" t="s">
        <v>1490</v>
      </c>
      <c r="F3551" s="116" t="e">
        <f>#REF!</f>
        <v>#REF!</v>
      </c>
      <c r="G3551" s="107" t="e">
        <f>FLOOR(D3551*F3551,0.01)</f>
        <v>#REF!</v>
      </c>
      <c r="H3551" s="108"/>
    </row>
    <row r="3552" spans="1:8" ht="17.25">
      <c r="A3552" s="1"/>
      <c r="B3552" s="942"/>
      <c r="C3552" s="78" t="s">
        <v>521</v>
      </c>
      <c r="D3552" s="43">
        <v>5</v>
      </c>
      <c r="E3552" s="56" t="s">
        <v>1490</v>
      </c>
      <c r="F3552" s="122" t="e">
        <f>#REF!</f>
        <v>#REF!</v>
      </c>
      <c r="G3552" s="63" t="e">
        <f>FLOOR(D3552*F3552,0.01)</f>
        <v>#REF!</v>
      </c>
      <c r="H3552" s="123" t="e">
        <f>SUM(G3551+G3552)</f>
        <v>#REF!</v>
      </c>
    </row>
    <row r="3553" spans="1:8" ht="17.25">
      <c r="A3553" s="1"/>
      <c r="B3553" s="889" t="s">
        <v>2055</v>
      </c>
      <c r="C3553" s="80" t="s">
        <v>2772</v>
      </c>
      <c r="D3553" s="42"/>
      <c r="E3553" s="53"/>
      <c r="F3553" s="116"/>
      <c r="G3553" s="116"/>
      <c r="H3553" s="108"/>
    </row>
    <row r="3554" spans="1:8" ht="17.25">
      <c r="A3554" s="1"/>
      <c r="B3554" s="947"/>
      <c r="C3554" s="80" t="s">
        <v>2421</v>
      </c>
      <c r="D3554" s="42">
        <v>16</v>
      </c>
      <c r="E3554" s="53" t="s">
        <v>2517</v>
      </c>
      <c r="F3554" s="109" t="e">
        <f>#REF!</f>
        <v>#REF!</v>
      </c>
      <c r="G3554" s="109" t="e">
        <f>FLOOR(D3554*F3554,0.01)</f>
        <v>#REF!</v>
      </c>
      <c r="H3554" s="9"/>
    </row>
    <row r="3555" spans="1:8" ht="19.5">
      <c r="A3555" s="1"/>
      <c r="B3555" s="942"/>
      <c r="C3555" s="78"/>
      <c r="D3555" s="43"/>
      <c r="E3555" s="56"/>
      <c r="F3555" s="122"/>
      <c r="G3555" s="130"/>
      <c r="H3555" s="123" t="e">
        <f>SUM(G3554+G3555+G3556)</f>
        <v>#REF!</v>
      </c>
    </row>
    <row r="3556" spans="1:8" ht="19.5">
      <c r="A3556" s="3"/>
      <c r="B3556" s="1"/>
      <c r="C3556" s="1"/>
      <c r="D3556" s="1"/>
      <c r="E3556" s="1"/>
      <c r="F3556" s="40" t="s">
        <v>1491</v>
      </c>
      <c r="G3556" s="102"/>
      <c r="H3556" s="63" t="e">
        <f>SUM(H3552:H3555)</f>
        <v>#REF!</v>
      </c>
    </row>
    <row r="3557" spans="1:8" ht="19.5">
      <c r="A3557" s="1"/>
      <c r="B3557" s="1" t="s">
        <v>1493</v>
      </c>
      <c r="C3557" s="1"/>
      <c r="D3557" s="1"/>
      <c r="E3557" s="1"/>
      <c r="F3557" s="40" t="s">
        <v>1471</v>
      </c>
      <c r="G3557" s="102"/>
      <c r="H3557" s="99" t="e">
        <f>FLOOR(H3556*0.15,0.01)</f>
        <v>#REF!</v>
      </c>
    </row>
    <row r="3558" spans="1:8" ht="19.5">
      <c r="A3558" s="27"/>
      <c r="B3558" s="140" t="e">
        <f>+H3558</f>
        <v>#REF!</v>
      </c>
      <c r="C3558" s="27" t="s">
        <v>3801</v>
      </c>
      <c r="D3558" s="99" t="e">
        <f>INT(B3558/B3559*100)/100</f>
        <v>#REF!</v>
      </c>
      <c r="E3558" s="1" t="s">
        <v>3006</v>
      </c>
      <c r="F3558" s="40" t="s">
        <v>1494</v>
      </c>
      <c r="G3558" s="102"/>
      <c r="H3558" s="99" t="e">
        <f>SUM(H3556:H3557)</f>
        <v>#REF!</v>
      </c>
    </row>
    <row r="3559" spans="1:8" ht="16.5">
      <c r="A3559" s="1"/>
      <c r="B3559" s="88">
        <v>100</v>
      </c>
      <c r="C3559" s="1"/>
      <c r="D3559" s="1"/>
      <c r="E3559" s="1"/>
      <c r="F3559" s="1"/>
      <c r="G3559" s="1"/>
      <c r="H3559" s="1"/>
    </row>
    <row r="3560" spans="1:8" ht="16.5">
      <c r="A3560" s="1"/>
      <c r="B3560" s="88"/>
      <c r="C3560" s="1"/>
      <c r="D3560" s="1"/>
      <c r="E3560" s="1"/>
      <c r="F3560" s="1"/>
      <c r="G3560" s="1"/>
      <c r="H3560" s="1"/>
    </row>
    <row r="3561" spans="1:8" ht="16.5">
      <c r="A3561" s="1"/>
      <c r="B3561" s="88"/>
      <c r="C3561" s="1"/>
      <c r="D3561" s="1"/>
      <c r="E3561" s="1"/>
      <c r="F3561" s="1"/>
      <c r="G3561" s="1"/>
      <c r="H3561" s="1"/>
    </row>
    <row r="3562" spans="1:8" ht="16.5">
      <c r="A3562" s="260">
        <f>+A3548+1</f>
        <v>216</v>
      </c>
      <c r="B3562" s="1"/>
      <c r="C3562" s="1"/>
      <c r="D3562" s="1"/>
      <c r="E3562" s="1"/>
      <c r="F3562" s="1"/>
      <c r="G3562" s="1"/>
      <c r="H3562" s="1"/>
    </row>
    <row r="3563" spans="1:8" ht="19.5">
      <c r="A3563" s="677" t="s">
        <v>3693</v>
      </c>
      <c r="B3563" s="877" t="s">
        <v>11</v>
      </c>
      <c r="C3563" s="878"/>
      <c r="D3563" s="878"/>
      <c r="E3563" s="878"/>
      <c r="F3563" s="878"/>
      <c r="G3563" s="878"/>
      <c r="H3563" s="878"/>
    </row>
    <row r="3564" spans="1:8" ht="15">
      <c r="A3564" s="1"/>
      <c r="B3564" s="879" t="s">
        <v>1379</v>
      </c>
      <c r="C3564" s="879"/>
      <c r="D3564" s="879"/>
      <c r="E3564" s="879"/>
      <c r="F3564" s="879"/>
      <c r="G3564" s="879"/>
      <c r="H3564" s="879"/>
    </row>
    <row r="3565" spans="1:8" ht="31.5">
      <c r="A3565" s="1"/>
      <c r="B3565" s="68" t="s">
        <v>2966</v>
      </c>
      <c r="C3565" s="68" t="s">
        <v>2967</v>
      </c>
      <c r="D3565" s="68" t="s">
        <v>2968</v>
      </c>
      <c r="E3565" s="68" t="s">
        <v>2969</v>
      </c>
      <c r="F3565" s="68" t="s">
        <v>2970</v>
      </c>
      <c r="G3565" s="68" t="s">
        <v>2971</v>
      </c>
      <c r="H3565" s="68" t="s">
        <v>1487</v>
      </c>
    </row>
    <row r="3566" spans="1:8" ht="17.25">
      <c r="A3566" s="27"/>
      <c r="B3566" s="889" t="s">
        <v>520</v>
      </c>
      <c r="C3566" s="80" t="s">
        <v>686</v>
      </c>
      <c r="D3566" s="42">
        <v>3.75</v>
      </c>
      <c r="E3566" s="53" t="s">
        <v>1490</v>
      </c>
      <c r="F3566" s="116" t="e">
        <f>mason</f>
        <v>#REF!</v>
      </c>
      <c r="G3566" s="107" t="e">
        <f>FLOOR(D3566*F3566,0.01)</f>
        <v>#REF!</v>
      </c>
      <c r="H3566" s="108"/>
    </row>
    <row r="3567" spans="1:8" ht="17.25">
      <c r="A3567" s="1"/>
      <c r="B3567" s="942"/>
      <c r="C3567" s="78" t="s">
        <v>521</v>
      </c>
      <c r="D3567" s="43">
        <v>3.75</v>
      </c>
      <c r="E3567" s="56" t="s">
        <v>1490</v>
      </c>
      <c r="F3567" s="122" t="e">
        <f>#REF!</f>
        <v>#REF!</v>
      </c>
      <c r="G3567" s="63" t="e">
        <f>FLOOR(D3567*F3567,0.01)</f>
        <v>#REF!</v>
      </c>
      <c r="H3567" s="123" t="e">
        <f>SUM(G3566+G3567)</f>
        <v>#REF!</v>
      </c>
    </row>
    <row r="3568" spans="1:8" ht="17.25">
      <c r="A3568" s="1"/>
      <c r="B3568" s="889" t="s">
        <v>2055</v>
      </c>
      <c r="C3568" s="80" t="s">
        <v>2772</v>
      </c>
      <c r="D3568" s="42"/>
      <c r="E3568" s="53"/>
      <c r="F3568" s="116"/>
      <c r="G3568" s="116"/>
      <c r="H3568" s="121"/>
    </row>
    <row r="3569" spans="1:8" ht="17.25">
      <c r="A3569" s="1"/>
      <c r="B3569" s="947"/>
      <c r="C3569" s="80" t="s">
        <v>2665</v>
      </c>
      <c r="D3569" s="42">
        <v>5.38</v>
      </c>
      <c r="E3569" s="53" t="s">
        <v>2517</v>
      </c>
      <c r="F3569" s="109" t="e">
        <f>#REF!</f>
        <v>#REF!</v>
      </c>
      <c r="G3569" s="109" t="e">
        <f>FLOOR(D3569*F3569,0.01)</f>
        <v>#REF!</v>
      </c>
      <c r="H3569" s="121"/>
    </row>
    <row r="3570" spans="1:8" ht="17.25">
      <c r="A3570" s="1"/>
      <c r="B3570" s="942"/>
      <c r="C3570" s="78" t="s">
        <v>2660</v>
      </c>
      <c r="D3570" s="43">
        <v>3</v>
      </c>
      <c r="E3570" s="56" t="s">
        <v>1470</v>
      </c>
      <c r="F3570" s="63" t="e">
        <f>#REF!</f>
        <v>#REF!</v>
      </c>
      <c r="G3570" s="63" t="e">
        <f>FLOOR(D3570*F3570,0.01)</f>
        <v>#REF!</v>
      </c>
      <c r="H3570" s="123" t="e">
        <f>SUM(G3569+G3570)</f>
        <v>#REF!</v>
      </c>
    </row>
    <row r="3571" spans="1:8" ht="19.5">
      <c r="A3571" s="1"/>
      <c r="B3571" s="1"/>
      <c r="C3571" s="1"/>
      <c r="D3571" s="1"/>
      <c r="E3571" s="1"/>
      <c r="F3571" s="40" t="s">
        <v>1491</v>
      </c>
      <c r="G3571" s="102"/>
      <c r="H3571" s="63" t="e">
        <f>SUM(H3567:H3570)</f>
        <v>#REF!</v>
      </c>
    </row>
    <row r="3572" spans="1:8" ht="19.5">
      <c r="A3572" s="1"/>
      <c r="B3572" s="1" t="s">
        <v>1493</v>
      </c>
      <c r="C3572" s="1"/>
      <c r="D3572" s="1"/>
      <c r="E3572" s="1"/>
      <c r="F3572" s="40" t="s">
        <v>1471</v>
      </c>
      <c r="G3572" s="102"/>
      <c r="H3572" s="99" t="e">
        <f>FLOOR(H3571*0.15,0.01)</f>
        <v>#REF!</v>
      </c>
    </row>
    <row r="3573" spans="1:8" ht="19.5">
      <c r="A3573" s="27"/>
      <c r="B3573" s="140" t="e">
        <f>+H3573</f>
        <v>#REF!</v>
      </c>
      <c r="C3573" s="27" t="s">
        <v>3801</v>
      </c>
      <c r="D3573" s="99" t="e">
        <f>INT(B3573/B3574*100)/100</f>
        <v>#REF!</v>
      </c>
      <c r="E3573" s="1" t="s">
        <v>3006</v>
      </c>
      <c r="F3573" s="40" t="s">
        <v>1494</v>
      </c>
      <c r="G3573" s="102"/>
      <c r="H3573" s="99" t="e">
        <f>SUM(H3571:H3572)</f>
        <v>#REF!</v>
      </c>
    </row>
    <row r="3574" spans="1:8" ht="17.25">
      <c r="A3574" s="1"/>
      <c r="B3574" s="88">
        <v>100</v>
      </c>
      <c r="C3574" s="1"/>
      <c r="D3574" s="1"/>
      <c r="E3574" s="1"/>
      <c r="F3574" s="40"/>
      <c r="G3574" s="40"/>
      <c r="H3574" s="1"/>
    </row>
    <row r="3575" spans="1:8" ht="17.25">
      <c r="A3575" s="1"/>
      <c r="B3575" s="88"/>
      <c r="C3575" s="1"/>
      <c r="D3575" s="1"/>
      <c r="E3575" s="1"/>
      <c r="F3575" s="40"/>
      <c r="G3575" s="40"/>
      <c r="H3575" s="1"/>
    </row>
    <row r="3576" spans="1:8" ht="17.25">
      <c r="A3576" s="1"/>
      <c r="B3576" s="88"/>
      <c r="C3576" s="1"/>
      <c r="D3576" s="1"/>
      <c r="E3576" s="1"/>
      <c r="F3576" s="40"/>
      <c r="G3576" s="40"/>
      <c r="H3576" s="1"/>
    </row>
    <row r="3577" spans="1:8" ht="17.25">
      <c r="A3577" s="1"/>
      <c r="B3577" s="88"/>
      <c r="C3577" s="1"/>
      <c r="D3577" s="1"/>
      <c r="E3577" s="1"/>
      <c r="F3577" s="40"/>
      <c r="G3577" s="40"/>
      <c r="H3577" s="1"/>
    </row>
    <row r="3578" spans="1:8" ht="17.25">
      <c r="A3578" s="1"/>
      <c r="B3578" s="88"/>
      <c r="C3578" s="1"/>
      <c r="D3578" s="1"/>
      <c r="E3578" s="1"/>
      <c r="F3578" s="40"/>
      <c r="G3578" s="40"/>
      <c r="H3578" s="1"/>
    </row>
    <row r="3579" spans="1:8" ht="20.25">
      <c r="A3579" s="260">
        <f>+A3562+1</f>
        <v>217</v>
      </c>
      <c r="B3579" s="877" t="s">
        <v>1885</v>
      </c>
      <c r="C3579" s="878"/>
      <c r="D3579" s="878"/>
      <c r="E3579" s="878"/>
      <c r="F3579" s="878"/>
      <c r="G3579" s="878"/>
      <c r="H3579" s="878"/>
    </row>
    <row r="3580" spans="1:8" ht="14.25">
      <c r="A3580" s="677" t="s">
        <v>3694</v>
      </c>
      <c r="B3580" s="888" t="s">
        <v>1379</v>
      </c>
      <c r="C3580" s="879"/>
      <c r="D3580" s="879"/>
      <c r="E3580" s="879"/>
      <c r="F3580" s="879"/>
      <c r="G3580" s="879"/>
      <c r="H3580" s="879"/>
    </row>
    <row r="3581" spans="1:8" ht="31.5">
      <c r="A3581" s="1"/>
      <c r="B3581" s="68" t="s">
        <v>2966</v>
      </c>
      <c r="C3581" s="68" t="s">
        <v>2967</v>
      </c>
      <c r="D3581" s="68" t="s">
        <v>2968</v>
      </c>
      <c r="E3581" s="68" t="s">
        <v>2969</v>
      </c>
      <c r="F3581" s="68" t="s">
        <v>2970</v>
      </c>
      <c r="G3581" s="68" t="s">
        <v>2971</v>
      </c>
      <c r="H3581" s="68" t="s">
        <v>1487</v>
      </c>
    </row>
    <row r="3582" spans="1:8" ht="17.25">
      <c r="A3582" s="27"/>
      <c r="B3582" s="889" t="s">
        <v>520</v>
      </c>
      <c r="C3582" s="80" t="s">
        <v>686</v>
      </c>
      <c r="D3582" s="42">
        <v>7.75</v>
      </c>
      <c r="E3582" s="53" t="s">
        <v>1490</v>
      </c>
      <c r="F3582" s="116" t="e">
        <f>#REF!</f>
        <v>#REF!</v>
      </c>
      <c r="G3582" s="107" t="e">
        <f>FLOOR(D3582*F3582,0.01)</f>
        <v>#REF!</v>
      </c>
      <c r="H3582" s="108"/>
    </row>
    <row r="3583" spans="1:8" ht="17.25">
      <c r="A3583" s="1"/>
      <c r="B3583" s="942"/>
      <c r="C3583" s="78" t="s">
        <v>521</v>
      </c>
      <c r="D3583" s="43">
        <v>7.75</v>
      </c>
      <c r="E3583" s="56" t="s">
        <v>1490</v>
      </c>
      <c r="F3583" s="122" t="e">
        <f>#REF!</f>
        <v>#REF!</v>
      </c>
      <c r="G3583" s="63" t="e">
        <f>FLOOR(D3583*F3583,0.01)</f>
        <v>#REF!</v>
      </c>
      <c r="H3583" s="123" t="e">
        <f>SUM(G3582+G3583)</f>
        <v>#REF!</v>
      </c>
    </row>
    <row r="3584" spans="1:8" ht="17.25">
      <c r="A3584" s="1"/>
      <c r="B3584" s="889" t="s">
        <v>2055</v>
      </c>
      <c r="C3584" s="80" t="s">
        <v>2772</v>
      </c>
      <c r="D3584" s="42"/>
      <c r="E3584" s="53"/>
      <c r="F3584" s="107"/>
      <c r="G3584" s="116"/>
      <c r="H3584" s="121"/>
    </row>
    <row r="3585" spans="1:8" ht="17.25">
      <c r="A3585" s="1"/>
      <c r="B3585" s="947"/>
      <c r="C3585" s="80" t="s">
        <v>2665</v>
      </c>
      <c r="D3585" s="42">
        <v>10.76</v>
      </c>
      <c r="E3585" s="53" t="s">
        <v>2517</v>
      </c>
      <c r="F3585" s="109" t="e">
        <f>#REF!</f>
        <v>#REF!</v>
      </c>
      <c r="G3585" s="109" t="e">
        <f>FLOOR(D3585*F3585,0.01)</f>
        <v>#REF!</v>
      </c>
      <c r="H3585" s="121"/>
    </row>
    <row r="3586" spans="1:8" ht="17.25">
      <c r="A3586" s="1"/>
      <c r="B3586" s="942"/>
      <c r="C3586" s="78" t="s">
        <v>2660</v>
      </c>
      <c r="D3586" s="43">
        <v>4</v>
      </c>
      <c r="E3586" s="56" t="s">
        <v>1470</v>
      </c>
      <c r="F3586" s="63" t="e">
        <f>#REF!</f>
        <v>#REF!</v>
      </c>
      <c r="G3586" s="63" t="e">
        <f>FLOOR(D3586*F3586,0.01)</f>
        <v>#REF!</v>
      </c>
      <c r="H3586" s="123" t="e">
        <f>SUM(G3585+G3586)</f>
        <v>#REF!</v>
      </c>
    </row>
    <row r="3587" spans="1:8" ht="19.5">
      <c r="A3587" s="1"/>
      <c r="B3587" s="1"/>
      <c r="C3587" s="1"/>
      <c r="D3587" s="1"/>
      <c r="E3587" s="1"/>
      <c r="F3587" s="40" t="s">
        <v>1491</v>
      </c>
      <c r="G3587" s="102"/>
      <c r="H3587" s="63" t="e">
        <f>SUM(H3583:H3586)</f>
        <v>#REF!</v>
      </c>
    </row>
    <row r="3588" spans="1:8" ht="19.5">
      <c r="A3588" s="1"/>
      <c r="B3588" s="1" t="s">
        <v>1493</v>
      </c>
      <c r="C3588" s="1"/>
      <c r="D3588" s="1"/>
      <c r="E3588" s="1"/>
      <c r="F3588" s="40" t="s">
        <v>1471</v>
      </c>
      <c r="G3588" s="102"/>
      <c r="H3588" s="99" t="e">
        <f>FLOOR(H3587*0.15,0.01)</f>
        <v>#REF!</v>
      </c>
    </row>
    <row r="3589" spans="1:8" ht="19.5">
      <c r="A3589" s="27"/>
      <c r="B3589" s="140" t="e">
        <f>+H3589</f>
        <v>#REF!</v>
      </c>
      <c r="C3589" s="27" t="s">
        <v>3801</v>
      </c>
      <c r="D3589" s="99" t="e">
        <f>INT(B3589/B3590*100)/100</f>
        <v>#REF!</v>
      </c>
      <c r="E3589" s="1" t="s">
        <v>3006</v>
      </c>
      <c r="F3589" s="40" t="s">
        <v>1494</v>
      </c>
      <c r="G3589" s="102"/>
      <c r="H3589" s="99" t="e">
        <f>SUM(H3587:H3588)</f>
        <v>#REF!</v>
      </c>
    </row>
    <row r="3590" spans="1:8" ht="16.5">
      <c r="A3590" s="1"/>
      <c r="B3590" s="88">
        <v>100</v>
      </c>
      <c r="C3590" s="1"/>
      <c r="D3590" s="1"/>
      <c r="E3590" s="1"/>
      <c r="F3590" s="1"/>
      <c r="G3590" s="1"/>
      <c r="H3590" s="1"/>
    </row>
    <row r="3591" spans="1:8" ht="16.5">
      <c r="A3591" s="1"/>
      <c r="B3591" s="88"/>
      <c r="C3591" s="1"/>
      <c r="D3591" s="1"/>
      <c r="E3591" s="1"/>
      <c r="F3591" s="1"/>
      <c r="G3591" s="1"/>
      <c r="H3591" s="1"/>
    </row>
    <row r="3592" spans="1:8" ht="16.5">
      <c r="A3592" s="1"/>
      <c r="B3592" s="88"/>
      <c r="C3592" s="1"/>
      <c r="D3592" s="1"/>
      <c r="E3592" s="1"/>
      <c r="F3592" s="1"/>
      <c r="G3592" s="1"/>
      <c r="H3592" s="1"/>
    </row>
    <row r="3593" spans="1:8" ht="20.25">
      <c r="A3593" s="260">
        <f>+A3579+1</f>
        <v>218</v>
      </c>
      <c r="B3593" s="877" t="s">
        <v>1530</v>
      </c>
      <c r="C3593" s="878"/>
      <c r="D3593" s="878"/>
      <c r="E3593" s="878"/>
      <c r="F3593" s="878"/>
      <c r="G3593" s="878"/>
      <c r="H3593" s="878"/>
    </row>
    <row r="3594" spans="1:8" ht="14.25">
      <c r="A3594" s="677" t="s">
        <v>3695</v>
      </c>
      <c r="B3594" s="879" t="s">
        <v>1379</v>
      </c>
      <c r="C3594" s="879"/>
      <c r="D3594" s="879"/>
      <c r="E3594" s="879"/>
      <c r="F3594" s="879"/>
      <c r="G3594" s="879"/>
      <c r="H3594" s="879"/>
    </row>
    <row r="3595" spans="1:8" ht="31.5">
      <c r="A3595" s="1"/>
      <c r="B3595" s="68" t="s">
        <v>2966</v>
      </c>
      <c r="C3595" s="68" t="s">
        <v>2967</v>
      </c>
      <c r="D3595" s="68" t="s">
        <v>2968</v>
      </c>
      <c r="E3595" s="68" t="s">
        <v>2969</v>
      </c>
      <c r="F3595" s="68" t="s">
        <v>2970</v>
      </c>
      <c r="G3595" s="68" t="s">
        <v>2971</v>
      </c>
      <c r="H3595" s="68" t="s">
        <v>1487</v>
      </c>
    </row>
    <row r="3596" spans="1:8" ht="17.25">
      <c r="A3596" s="27"/>
      <c r="B3596" s="889" t="s">
        <v>520</v>
      </c>
      <c r="C3596" s="80" t="s">
        <v>686</v>
      </c>
      <c r="D3596" s="42">
        <v>4.3</v>
      </c>
      <c r="E3596" s="53" t="s">
        <v>1490</v>
      </c>
      <c r="F3596" s="116" t="e">
        <f>#REF!</f>
        <v>#REF!</v>
      </c>
      <c r="G3596" s="107" t="e">
        <f>SUM(4.3*F3596)</f>
        <v>#REF!</v>
      </c>
      <c r="H3596" s="108"/>
    </row>
    <row r="3597" spans="1:8" ht="17.25">
      <c r="A3597" s="1"/>
      <c r="B3597" s="942"/>
      <c r="C3597" s="78" t="s">
        <v>521</v>
      </c>
      <c r="D3597" s="43">
        <v>4</v>
      </c>
      <c r="E3597" s="56" t="s">
        <v>1490</v>
      </c>
      <c r="F3597" s="122" t="e">
        <f>#REF!</f>
        <v>#REF!</v>
      </c>
      <c r="G3597" s="122" t="e">
        <f>SUM(4.33*F3597)</f>
        <v>#REF!</v>
      </c>
      <c r="H3597" s="123" t="e">
        <f>SUM(G3596+G3597)</f>
        <v>#REF!</v>
      </c>
    </row>
    <row r="3598" spans="1:8" ht="17.25">
      <c r="A3598" s="1"/>
      <c r="B3598" s="889" t="s">
        <v>2055</v>
      </c>
      <c r="C3598" s="190" t="s">
        <v>1886</v>
      </c>
      <c r="D3598" s="110"/>
      <c r="E3598" s="55"/>
      <c r="F3598" s="107"/>
      <c r="G3598" s="107"/>
      <c r="H3598" s="121"/>
    </row>
    <row r="3599" spans="1:8" ht="17.25">
      <c r="A3599" s="1"/>
      <c r="B3599" s="942"/>
      <c r="C3599" s="78" t="s">
        <v>1887</v>
      </c>
      <c r="D3599" s="43">
        <v>7.5</v>
      </c>
      <c r="E3599" s="56" t="s">
        <v>2517</v>
      </c>
      <c r="F3599" s="63" t="e">
        <f>#REF!</f>
        <v>#REF!</v>
      </c>
      <c r="G3599" s="63" t="e">
        <f>SUM(7.5*F3599)</f>
        <v>#REF!</v>
      </c>
      <c r="H3599" s="123" t="e">
        <f>SUM(G3599)</f>
        <v>#REF!</v>
      </c>
    </row>
    <row r="3600" spans="1:8" ht="19.5">
      <c r="A3600" s="1"/>
      <c r="B3600" s="1"/>
      <c r="C3600" s="1"/>
      <c r="D3600" s="1"/>
      <c r="E3600" s="1"/>
      <c r="F3600" s="1" t="s">
        <v>1491</v>
      </c>
      <c r="G3600" s="102"/>
      <c r="H3600" s="63" t="e">
        <f>SUM(H3597:H3599)</f>
        <v>#REF!</v>
      </c>
    </row>
    <row r="3601" spans="1:8" ht="19.5">
      <c r="A3601" s="1"/>
      <c r="B3601" s="1" t="s">
        <v>1493</v>
      </c>
      <c r="C3601" s="1"/>
      <c r="D3601" s="1"/>
      <c r="E3601" s="1"/>
      <c r="F3601" s="1" t="s">
        <v>1471</v>
      </c>
      <c r="G3601" s="102"/>
      <c r="H3601" s="99" t="e">
        <f>FLOOR(H3600*0.15,0.01)</f>
        <v>#REF!</v>
      </c>
    </row>
    <row r="3602" spans="1:8" ht="19.5">
      <c r="A3602" s="27"/>
      <c r="B3602" s="140" t="e">
        <f>+H3602</f>
        <v>#REF!</v>
      </c>
      <c r="C3602" s="27" t="s">
        <v>3801</v>
      </c>
      <c r="D3602" s="99" t="e">
        <f>INT(B3602/B3603*100)/100</f>
        <v>#REF!</v>
      </c>
      <c r="E3602" s="1" t="s">
        <v>3006</v>
      </c>
      <c r="F3602" s="1" t="s">
        <v>1494</v>
      </c>
      <c r="G3602" s="102"/>
      <c r="H3602" s="99" t="e">
        <f>SUM(H3600:H3601)</f>
        <v>#REF!</v>
      </c>
    </row>
    <row r="3603" spans="1:8" ht="16.5">
      <c r="A3603" s="1"/>
      <c r="B3603" s="88">
        <v>100</v>
      </c>
      <c r="C3603" s="1"/>
      <c r="D3603" s="1"/>
      <c r="E3603" s="1"/>
      <c r="F3603" s="1"/>
      <c r="G3603" s="1"/>
      <c r="H3603" s="1"/>
    </row>
    <row r="3604" spans="1:8" ht="16.5">
      <c r="A3604" s="1"/>
      <c r="B3604" s="88"/>
      <c r="C3604" s="1"/>
      <c r="D3604" s="1"/>
      <c r="E3604" s="1"/>
      <c r="F3604" s="1"/>
      <c r="G3604" s="1"/>
      <c r="H3604" s="1"/>
    </row>
    <row r="3605" spans="1:8" ht="15">
      <c r="A3605" s="1"/>
      <c r="B3605" s="1"/>
      <c r="C3605" s="1"/>
      <c r="D3605" s="1"/>
      <c r="E3605" s="1"/>
      <c r="F3605" s="1"/>
      <c r="G3605" s="1"/>
      <c r="H3605" s="1"/>
    </row>
    <row r="3606" spans="1:8" ht="20.25">
      <c r="A3606" s="260">
        <f>+A3593+1</f>
        <v>219</v>
      </c>
      <c r="B3606" s="877" t="s">
        <v>1053</v>
      </c>
      <c r="C3606" s="878"/>
      <c r="D3606" s="878"/>
      <c r="E3606" s="878"/>
      <c r="F3606" s="878"/>
      <c r="G3606" s="878"/>
      <c r="H3606" s="878"/>
    </row>
    <row r="3607" spans="1:8" ht="14.25">
      <c r="A3607" s="677" t="s">
        <v>3696</v>
      </c>
      <c r="B3607" s="888" t="s">
        <v>1379</v>
      </c>
      <c r="C3607" s="879"/>
      <c r="D3607" s="879"/>
      <c r="E3607" s="879"/>
      <c r="F3607" s="879"/>
      <c r="G3607" s="879"/>
      <c r="H3607" s="879"/>
    </row>
    <row r="3608" spans="1:8" ht="15">
      <c r="A3608" s="90"/>
      <c r="B3608" s="3"/>
      <c r="C3608" s="1"/>
      <c r="D3608" s="1"/>
      <c r="E3608" s="1"/>
      <c r="F3608" s="3"/>
      <c r="G3608" s="3"/>
      <c r="H3608" s="3"/>
    </row>
    <row r="3609" spans="1:8" ht="31.5">
      <c r="A3609" s="1"/>
      <c r="B3609" s="68" t="s">
        <v>2966</v>
      </c>
      <c r="C3609" s="68" t="s">
        <v>2967</v>
      </c>
      <c r="D3609" s="68" t="s">
        <v>2968</v>
      </c>
      <c r="E3609" s="68" t="s">
        <v>2969</v>
      </c>
      <c r="F3609" s="68" t="s">
        <v>2970</v>
      </c>
      <c r="G3609" s="68" t="s">
        <v>2971</v>
      </c>
      <c r="H3609" s="68" t="s">
        <v>1487</v>
      </c>
    </row>
    <row r="3610" spans="1:8" ht="17.25">
      <c r="A3610" s="27"/>
      <c r="B3610" s="889" t="s">
        <v>520</v>
      </c>
      <c r="C3610" s="80" t="s">
        <v>686</v>
      </c>
      <c r="D3610" s="42">
        <v>8.67</v>
      </c>
      <c r="E3610" s="53" t="s">
        <v>1490</v>
      </c>
      <c r="F3610" s="116" t="e">
        <f>mason</f>
        <v>#REF!</v>
      </c>
      <c r="G3610" s="107" t="e">
        <f>SUM(8.67*F3610)</f>
        <v>#REF!</v>
      </c>
      <c r="H3610" s="108"/>
    </row>
    <row r="3611" spans="1:8" ht="17.25">
      <c r="A3611" s="1"/>
      <c r="B3611" s="942"/>
      <c r="C3611" s="78" t="s">
        <v>521</v>
      </c>
      <c r="D3611" s="43">
        <v>8</v>
      </c>
      <c r="E3611" s="56" t="s">
        <v>1490</v>
      </c>
      <c r="F3611" s="122" t="e">
        <f>#REF!</f>
        <v>#REF!</v>
      </c>
      <c r="G3611" s="63" t="e">
        <f>SUM(8*F3611)</f>
        <v>#REF!</v>
      </c>
      <c r="H3611" s="123" t="e">
        <f>SUM(G3610+G3611)</f>
        <v>#REF!</v>
      </c>
    </row>
    <row r="3612" spans="1:8" ht="17.25">
      <c r="A3612" s="1"/>
      <c r="B3612" s="889" t="s">
        <v>2055</v>
      </c>
      <c r="C3612" s="190" t="s">
        <v>1886</v>
      </c>
      <c r="D3612" s="41"/>
      <c r="E3612" s="55"/>
      <c r="F3612" s="107"/>
      <c r="G3612" s="116"/>
      <c r="H3612" s="121"/>
    </row>
    <row r="3613" spans="1:8" ht="17.25">
      <c r="A3613" s="1"/>
      <c r="B3613" s="942"/>
      <c r="C3613" s="78" t="s">
        <v>1887</v>
      </c>
      <c r="D3613" s="43">
        <v>15</v>
      </c>
      <c r="E3613" s="56" t="s">
        <v>2517</v>
      </c>
      <c r="F3613" s="63" t="e">
        <f>#REF!</f>
        <v>#REF!</v>
      </c>
      <c r="G3613" s="63" t="e">
        <f>FLOOR(D3613*F3613,0.01)</f>
        <v>#REF!</v>
      </c>
      <c r="H3613" s="123" t="e">
        <f>SUM(G3613)</f>
        <v>#REF!</v>
      </c>
    </row>
    <row r="3614" spans="1:8" ht="19.5">
      <c r="A3614" s="1"/>
      <c r="B3614" s="1"/>
      <c r="C3614" s="1"/>
      <c r="D3614" s="1"/>
      <c r="E3614" s="1"/>
      <c r="F3614" s="40" t="s">
        <v>1491</v>
      </c>
      <c r="G3614" s="102"/>
      <c r="H3614" s="63" t="e">
        <f>SUM(H3611:H3613)</f>
        <v>#REF!</v>
      </c>
    </row>
    <row r="3615" spans="1:8" ht="19.5">
      <c r="A3615" s="1"/>
      <c r="B3615" s="1" t="s">
        <v>1493</v>
      </c>
      <c r="C3615" s="1"/>
      <c r="D3615" s="1"/>
      <c r="E3615" s="1"/>
      <c r="F3615" s="40" t="s">
        <v>1471</v>
      </c>
      <c r="G3615" s="102"/>
      <c r="H3615" s="99" t="e">
        <f>FLOOR(H3614*0.15,0.01)</f>
        <v>#REF!</v>
      </c>
    </row>
    <row r="3616" spans="1:8" ht="19.5">
      <c r="A3616" s="27"/>
      <c r="B3616" s="140" t="e">
        <f>+H3616</f>
        <v>#REF!</v>
      </c>
      <c r="C3616" s="27" t="s">
        <v>3801</v>
      </c>
      <c r="D3616" s="99" t="e">
        <f>INT(B3616/B3617*100)/100</f>
        <v>#REF!</v>
      </c>
      <c r="E3616" s="1" t="s">
        <v>3006</v>
      </c>
      <c r="F3616" s="40" t="s">
        <v>1494</v>
      </c>
      <c r="G3616" s="102"/>
      <c r="H3616" s="99" t="e">
        <f>SUM(H3614:H3615)</f>
        <v>#REF!</v>
      </c>
    </row>
    <row r="3617" spans="1:8" ht="19.5">
      <c r="A3617" s="27"/>
      <c r="B3617" s="88">
        <v>100</v>
      </c>
      <c r="C3617" s="1"/>
      <c r="D3617" s="1"/>
      <c r="E3617" s="1"/>
      <c r="F3617" s="40"/>
      <c r="G3617" s="102"/>
      <c r="H3617" s="141"/>
    </row>
    <row r="3618" spans="1:8" ht="19.5">
      <c r="A3618" s="27"/>
      <c r="B3618" s="88"/>
      <c r="C3618" s="1"/>
      <c r="D3618" s="1"/>
      <c r="E3618" s="1"/>
      <c r="F3618" s="40"/>
      <c r="G3618" s="102"/>
      <c r="H3618" s="141"/>
    </row>
    <row r="3619" spans="1:8" ht="19.5">
      <c r="A3619" s="27"/>
      <c r="B3619" s="88"/>
      <c r="C3619" s="1"/>
      <c r="D3619" s="1"/>
      <c r="E3619" s="1"/>
      <c r="F3619" s="40"/>
      <c r="G3619" s="102"/>
      <c r="H3619" s="141"/>
    </row>
    <row r="3620" spans="1:8" ht="19.5">
      <c r="A3620" s="27"/>
      <c r="B3620" s="88"/>
      <c r="C3620" s="1"/>
      <c r="D3620" s="1"/>
      <c r="E3620" s="1"/>
      <c r="F3620" s="40"/>
      <c r="G3620" s="102"/>
      <c r="H3620" s="141"/>
    </row>
    <row r="3621" spans="1:8" ht="15">
      <c r="A3621" s="1"/>
      <c r="B3621" s="1"/>
      <c r="C3621" s="1"/>
      <c r="D3621" s="1"/>
      <c r="E3621" s="1"/>
      <c r="F3621" s="1"/>
      <c r="G3621" s="1"/>
      <c r="H3621" s="1"/>
    </row>
    <row r="3622" spans="1:8" ht="20.25">
      <c r="A3622" s="260">
        <f>A3606+1</f>
        <v>220</v>
      </c>
      <c r="B3622" s="877" t="s">
        <v>2663</v>
      </c>
      <c r="C3622" s="878"/>
      <c r="D3622" s="878"/>
      <c r="E3622" s="878"/>
      <c r="F3622" s="878"/>
      <c r="G3622" s="878"/>
      <c r="H3622" s="878"/>
    </row>
    <row r="3623" spans="1:8" ht="14.25">
      <c r="A3623" s="677" t="s">
        <v>3697</v>
      </c>
      <c r="B3623" s="888" t="s">
        <v>1380</v>
      </c>
      <c r="C3623" s="879"/>
      <c r="D3623" s="879"/>
      <c r="E3623" s="879"/>
      <c r="F3623" s="879"/>
      <c r="G3623" s="879"/>
      <c r="H3623" s="879"/>
    </row>
    <row r="3624" spans="1:8" ht="15">
      <c r="A3624" s="1"/>
      <c r="B3624" s="3"/>
      <c r="C3624" s="1"/>
      <c r="D3624" s="1"/>
      <c r="E3624" s="1"/>
      <c r="F3624" s="3"/>
      <c r="G3624" s="3"/>
      <c r="H3624" s="3"/>
    </row>
    <row r="3625" spans="1:8" ht="31.5">
      <c r="A3625" s="1"/>
      <c r="B3625" s="68" t="s">
        <v>2966</v>
      </c>
      <c r="C3625" s="68" t="s">
        <v>2967</v>
      </c>
      <c r="D3625" s="68" t="s">
        <v>2968</v>
      </c>
      <c r="E3625" s="68" t="s">
        <v>2969</v>
      </c>
      <c r="F3625" s="68" t="s">
        <v>2970</v>
      </c>
      <c r="G3625" s="68" t="s">
        <v>2971</v>
      </c>
      <c r="H3625" s="68" t="s">
        <v>1487</v>
      </c>
    </row>
    <row r="3626" spans="1:8" ht="17.25">
      <c r="A3626" s="1"/>
      <c r="B3626" s="889" t="s">
        <v>1488</v>
      </c>
      <c r="C3626" s="58" t="s">
        <v>516</v>
      </c>
      <c r="D3626" s="41">
        <v>5.8</v>
      </c>
      <c r="E3626" s="55" t="s">
        <v>1490</v>
      </c>
      <c r="F3626" s="107" t="e">
        <f>mason</f>
        <v>#REF!</v>
      </c>
      <c r="G3626" s="107" t="e">
        <f>FLOOR(D3626*F3626,0.01)</f>
        <v>#REF!</v>
      </c>
      <c r="H3626" s="108"/>
    </row>
    <row r="3627" spans="1:8" ht="17.25">
      <c r="A3627" s="1"/>
      <c r="B3627" s="887"/>
      <c r="C3627" s="78" t="s">
        <v>1433</v>
      </c>
      <c r="D3627" s="43">
        <v>5.8</v>
      </c>
      <c r="E3627" s="56" t="s">
        <v>1490</v>
      </c>
      <c r="F3627" s="63" t="e">
        <f>#REF!</f>
        <v>#REF!</v>
      </c>
      <c r="G3627" s="63" t="e">
        <f>FLOOR(D3627*F3627,0.01)</f>
        <v>#REF!</v>
      </c>
      <c r="H3627" s="123" t="e">
        <f>SUM(G3626+G3627)</f>
        <v>#REF!</v>
      </c>
    </row>
    <row r="3628" spans="1:8" ht="17.25">
      <c r="A3628" s="1"/>
      <c r="B3628" s="886" t="s">
        <v>2055</v>
      </c>
      <c r="C3628" s="55" t="s">
        <v>1419</v>
      </c>
      <c r="D3628" s="48">
        <v>8</v>
      </c>
      <c r="E3628" s="55" t="s">
        <v>2517</v>
      </c>
      <c r="F3628" s="109" t="e">
        <f>#REF!</f>
        <v>#REF!</v>
      </c>
      <c r="G3628" s="110" t="e">
        <f>FLOOR(D3628*F3628,0.01)</f>
        <v>#REF!</v>
      </c>
      <c r="H3628" s="108"/>
    </row>
    <row r="3629" spans="1:8" ht="17.25">
      <c r="A3629" s="1"/>
      <c r="B3629" s="887"/>
      <c r="C3629" s="56" t="s">
        <v>2662</v>
      </c>
      <c r="D3629" s="43">
        <v>16</v>
      </c>
      <c r="E3629" s="56" t="s">
        <v>2517</v>
      </c>
      <c r="F3629" s="63" t="e">
        <f>#REF!</f>
        <v>#REF!</v>
      </c>
      <c r="G3629" s="63" t="e">
        <f>FLOOR(D3629*F3629,0.01)</f>
        <v>#REF!</v>
      </c>
      <c r="H3629" s="123" t="e">
        <f>SUM(G3628:G3629)</f>
        <v>#REF!</v>
      </c>
    </row>
    <row r="3630" spans="1:8" ht="19.5">
      <c r="A3630" s="1"/>
      <c r="B3630" s="1"/>
      <c r="C3630" s="1"/>
      <c r="D3630" s="1"/>
      <c r="E3630" s="1"/>
      <c r="F3630" s="40" t="s">
        <v>1491</v>
      </c>
      <c r="G3630" s="133"/>
      <c r="H3630" s="63" t="e">
        <f>SUM(H3629,H3627)</f>
        <v>#REF!</v>
      </c>
    </row>
    <row r="3631" spans="1:8" ht="19.5">
      <c r="A3631" s="1"/>
      <c r="B3631" s="1" t="s">
        <v>1493</v>
      </c>
      <c r="C3631" s="1"/>
      <c r="D3631" s="1"/>
      <c r="E3631" s="1"/>
      <c r="F3631" s="40" t="s">
        <v>1472</v>
      </c>
      <c r="G3631" s="133"/>
      <c r="H3631" s="99" t="e">
        <f>FLOOR(H3630*0.15,0.01)</f>
        <v>#REF!</v>
      </c>
    </row>
    <row r="3632" spans="1:8" ht="19.5">
      <c r="B3632" s="140" t="e">
        <f>+H3632</f>
        <v>#REF!</v>
      </c>
      <c r="C3632" s="27" t="s">
        <v>3801</v>
      </c>
      <c r="D3632" s="99" t="e">
        <f>INT(B3632/B3633*100)/100</f>
        <v>#REF!</v>
      </c>
      <c r="E3632" s="1" t="s">
        <v>3006</v>
      </c>
      <c r="F3632" s="40" t="s">
        <v>1494</v>
      </c>
      <c r="G3632" s="133"/>
      <c r="H3632" s="99" t="e">
        <f>SUM(H3630:H3631)</f>
        <v>#REF!</v>
      </c>
    </row>
    <row r="3633" spans="1:8" ht="16.5">
      <c r="A3633" s="1"/>
      <c r="B3633" s="117">
        <v>100</v>
      </c>
      <c r="C3633" s="1"/>
      <c r="D3633" s="1"/>
      <c r="E3633" s="1"/>
      <c r="F3633" s="1"/>
      <c r="G3633" s="1"/>
      <c r="H3633" s="1"/>
    </row>
    <row r="3634" spans="1:8" ht="16.5">
      <c r="A3634" s="1"/>
      <c r="B3634" s="117"/>
      <c r="C3634" s="1"/>
      <c r="D3634" s="1"/>
      <c r="E3634" s="1"/>
      <c r="F3634" s="1"/>
      <c r="G3634" s="1"/>
      <c r="H3634" s="1"/>
    </row>
    <row r="3635" spans="1:8">
      <c r="B3635" s="106"/>
    </row>
    <row r="3636" spans="1:8" ht="16.5">
      <c r="A3636" s="260">
        <f>A3622+1</f>
        <v>221</v>
      </c>
      <c r="B3636" s="953" t="s">
        <v>2410</v>
      </c>
      <c r="C3636" s="954"/>
      <c r="D3636" s="954"/>
      <c r="E3636" s="954"/>
      <c r="F3636" s="954"/>
      <c r="G3636" s="954"/>
      <c r="H3636" s="954"/>
    </row>
    <row r="3637" spans="1:8" ht="14.25">
      <c r="A3637" s="677" t="s">
        <v>3698</v>
      </c>
      <c r="B3637" s="888" t="s">
        <v>1382</v>
      </c>
      <c r="C3637" s="879"/>
      <c r="D3637" s="879"/>
      <c r="E3637" s="879"/>
      <c r="F3637" s="879"/>
      <c r="G3637" s="879"/>
      <c r="H3637" s="879"/>
    </row>
    <row r="3638" spans="1:8" ht="31.5">
      <c r="A3638" s="1"/>
      <c r="B3638" s="68" t="s">
        <v>2966</v>
      </c>
      <c r="C3638" s="68" t="s">
        <v>2967</v>
      </c>
      <c r="D3638" s="68" t="s">
        <v>2968</v>
      </c>
      <c r="E3638" s="68" t="s">
        <v>2969</v>
      </c>
      <c r="F3638" s="68" t="s">
        <v>2970</v>
      </c>
      <c r="G3638" s="68" t="s">
        <v>2971</v>
      </c>
      <c r="H3638" s="68" t="s">
        <v>1487</v>
      </c>
    </row>
    <row r="3639" spans="1:8" ht="16.5">
      <c r="A3639" s="1"/>
      <c r="B3639" s="886" t="s">
        <v>2055</v>
      </c>
      <c r="C3639" s="886" t="s">
        <v>3556</v>
      </c>
      <c r="D3639" s="200"/>
      <c r="E3639" s="886" t="s">
        <v>2807</v>
      </c>
      <c r="F3639" s="109"/>
      <c r="G3639" s="18"/>
      <c r="H3639" s="26"/>
    </row>
    <row r="3640" spans="1:8" ht="16.5">
      <c r="A3640" s="1"/>
      <c r="B3640" s="895"/>
      <c r="C3640" s="895"/>
      <c r="D3640" s="87">
        <v>10</v>
      </c>
      <c r="E3640" s="895"/>
      <c r="F3640" s="63" t="e">
        <f>#REF!</f>
        <v>#REF!</v>
      </c>
      <c r="G3640" s="63" t="e">
        <f>FLOOR(D3640*F3640,0.01)</f>
        <v>#REF!</v>
      </c>
      <c r="H3640" s="123" t="e">
        <f>SUM(G3639:G3640)</f>
        <v>#REF!</v>
      </c>
    </row>
    <row r="3641" spans="1:8" ht="19.5">
      <c r="A3641" s="1"/>
      <c r="B3641" s="1"/>
      <c r="C3641" s="1"/>
      <c r="D3641" s="1"/>
      <c r="E3641" s="1"/>
      <c r="F3641" s="40" t="s">
        <v>1491</v>
      </c>
      <c r="G3641" s="102"/>
      <c r="H3641" s="63" t="e">
        <f>SUM(H3640)</f>
        <v>#REF!</v>
      </c>
    </row>
    <row r="3642" spans="1:8" ht="19.5">
      <c r="A3642" s="1"/>
      <c r="B3642" s="1" t="s">
        <v>1493</v>
      </c>
      <c r="C3642" s="1"/>
      <c r="D3642" s="1"/>
      <c r="E3642" s="1"/>
      <c r="F3642" s="40" t="s">
        <v>1472</v>
      </c>
      <c r="G3642" s="102"/>
      <c r="H3642" s="99" t="e">
        <f>FLOOR(H3641*0.15,0.01)</f>
        <v>#REF!</v>
      </c>
    </row>
    <row r="3643" spans="1:8" ht="19.5">
      <c r="B3643" s="140" t="e">
        <f>+H3643</f>
        <v>#REF!</v>
      </c>
      <c r="C3643" s="27" t="s">
        <v>3801</v>
      </c>
      <c r="D3643" s="99" t="e">
        <f>INT(B3643/B3644*100)/100</f>
        <v>#REF!</v>
      </c>
      <c r="E3643" s="1" t="s">
        <v>3006</v>
      </c>
      <c r="F3643" s="40" t="s">
        <v>1494</v>
      </c>
      <c r="G3643" s="102"/>
      <c r="H3643" s="99" t="e">
        <f>SUM(H3641:H3642)</f>
        <v>#REF!</v>
      </c>
    </row>
    <row r="3644" spans="1:8" ht="16.5">
      <c r="A3644" s="1"/>
      <c r="B3644" s="117">
        <v>10</v>
      </c>
      <c r="C3644" s="1"/>
      <c r="D3644" s="1"/>
      <c r="E3644" s="1"/>
      <c r="F3644" s="1"/>
      <c r="G3644" s="1"/>
      <c r="H3644" s="1"/>
    </row>
    <row r="3645" spans="1:8" ht="16.5">
      <c r="A3645" s="1"/>
      <c r="B3645" s="117"/>
      <c r="C3645" s="1"/>
      <c r="D3645" s="1"/>
      <c r="E3645" s="1"/>
      <c r="F3645" s="1"/>
      <c r="G3645" s="1"/>
      <c r="H3645" s="1"/>
    </row>
    <row r="3646" spans="1:8" ht="15">
      <c r="A3646" s="1"/>
      <c r="B3646" s="1"/>
      <c r="C3646" s="1"/>
      <c r="D3646" s="1"/>
      <c r="E3646" s="1"/>
      <c r="F3646" s="1"/>
      <c r="G3646" s="1"/>
      <c r="H3646" s="1"/>
    </row>
    <row r="3647" spans="1:8" ht="15">
      <c r="A3647" s="1"/>
      <c r="B3647" s="1"/>
      <c r="C3647" s="1"/>
      <c r="D3647" s="1"/>
      <c r="E3647" s="1"/>
      <c r="F3647" s="1"/>
      <c r="G3647" s="1"/>
      <c r="H3647" s="1"/>
    </row>
    <row r="3648" spans="1:8" ht="16.5">
      <c r="A3648" s="260">
        <f>A3636+1</f>
        <v>222</v>
      </c>
      <c r="B3648" s="953" t="s">
        <v>2411</v>
      </c>
      <c r="C3648" s="954"/>
      <c r="D3648" s="954"/>
      <c r="E3648" s="954"/>
      <c r="F3648" s="954"/>
      <c r="G3648" s="954"/>
      <c r="H3648" s="954"/>
    </row>
    <row r="3649" spans="1:8" ht="14.25">
      <c r="A3649" s="677" t="s">
        <v>3698</v>
      </c>
      <c r="B3649" s="888" t="s">
        <v>1382</v>
      </c>
      <c r="C3649" s="879"/>
      <c r="D3649" s="879"/>
      <c r="E3649" s="879"/>
      <c r="F3649" s="879"/>
      <c r="G3649" s="879"/>
      <c r="H3649" s="879"/>
    </row>
    <row r="3650" spans="1:8" ht="31.5">
      <c r="A3650" s="1"/>
      <c r="B3650" s="68" t="s">
        <v>2966</v>
      </c>
      <c r="C3650" s="68" t="s">
        <v>2967</v>
      </c>
      <c r="D3650" s="68" t="s">
        <v>2968</v>
      </c>
      <c r="E3650" s="68" t="s">
        <v>2969</v>
      </c>
      <c r="F3650" s="68" t="s">
        <v>2970</v>
      </c>
      <c r="G3650" s="68" t="s">
        <v>2971</v>
      </c>
      <c r="H3650" s="68" t="s">
        <v>1487</v>
      </c>
    </row>
    <row r="3651" spans="1:8" ht="16.5">
      <c r="A3651" s="1"/>
      <c r="B3651" s="886" t="s">
        <v>2055</v>
      </c>
      <c r="C3651" s="886" t="s">
        <v>1717</v>
      </c>
      <c r="D3651" s="200"/>
      <c r="E3651" s="886" t="s">
        <v>2807</v>
      </c>
      <c r="F3651" s="109"/>
      <c r="G3651" s="18"/>
      <c r="H3651" s="26"/>
    </row>
    <row r="3652" spans="1:8" ht="16.5">
      <c r="A3652" s="1"/>
      <c r="B3652" s="895"/>
      <c r="C3652" s="895"/>
      <c r="D3652" s="87">
        <v>10</v>
      </c>
      <c r="E3652" s="895"/>
      <c r="F3652" s="63" t="e">
        <f>#REF!</f>
        <v>#REF!</v>
      </c>
      <c r="G3652" s="63" t="e">
        <f>FLOOR(D3652*F3652,0.01)</f>
        <v>#REF!</v>
      </c>
      <c r="H3652" s="123" t="e">
        <f>SUM(G3651:G3652)</f>
        <v>#REF!</v>
      </c>
    </row>
    <row r="3653" spans="1:8" ht="19.5">
      <c r="A3653" s="1"/>
      <c r="B3653" s="1"/>
      <c r="C3653" s="1"/>
      <c r="D3653" s="1"/>
      <c r="E3653" s="1"/>
      <c r="F3653" s="40" t="s">
        <v>1491</v>
      </c>
      <c r="G3653" s="102"/>
      <c r="H3653" s="63" t="e">
        <f>SUM(H3652)</f>
        <v>#REF!</v>
      </c>
    </row>
    <row r="3654" spans="1:8" ht="19.5">
      <c r="A3654" s="1"/>
      <c r="B3654" s="1" t="s">
        <v>1493</v>
      </c>
      <c r="C3654" s="1"/>
      <c r="D3654" s="1"/>
      <c r="E3654" s="1"/>
      <c r="F3654" s="40" t="s">
        <v>1472</v>
      </c>
      <c r="G3654" s="102"/>
      <c r="H3654" s="99" t="e">
        <f>FLOOR(H3653*0.15,0.01)</f>
        <v>#REF!</v>
      </c>
    </row>
    <row r="3655" spans="1:8" ht="19.5">
      <c r="B3655" s="140" t="e">
        <f>+H3655</f>
        <v>#REF!</v>
      </c>
      <c r="C3655" s="27" t="s">
        <v>3801</v>
      </c>
      <c r="D3655" s="99" t="e">
        <f>INT(B3655/B3656*100)/100</f>
        <v>#REF!</v>
      </c>
      <c r="E3655" s="1" t="s">
        <v>3006</v>
      </c>
      <c r="F3655" s="40" t="s">
        <v>1494</v>
      </c>
      <c r="G3655" s="102"/>
      <c r="H3655" s="99" t="e">
        <f>SUM(H3653:H3654)</f>
        <v>#REF!</v>
      </c>
    </row>
    <row r="3656" spans="1:8" ht="16.5">
      <c r="A3656" s="1"/>
      <c r="B3656" s="117">
        <v>10</v>
      </c>
      <c r="C3656" s="1"/>
      <c r="D3656" s="1"/>
      <c r="E3656" s="1"/>
      <c r="F3656" s="1"/>
      <c r="G3656" s="1"/>
      <c r="H3656" s="1"/>
    </row>
    <row r="3657" spans="1:8" ht="15">
      <c r="A3657" s="1"/>
      <c r="B3657" s="1"/>
      <c r="C3657" s="1"/>
      <c r="D3657" s="1"/>
      <c r="E3657" s="1"/>
      <c r="F3657" s="1"/>
      <c r="G3657" s="1"/>
      <c r="H3657" s="1"/>
    </row>
    <row r="3658" spans="1:8" ht="16.5">
      <c r="A3658" s="260">
        <f>A3648+1</f>
        <v>223</v>
      </c>
      <c r="B3658" s="953" t="s">
        <v>3106</v>
      </c>
      <c r="C3658" s="954"/>
      <c r="D3658" s="954"/>
      <c r="E3658" s="954"/>
      <c r="F3658" s="954"/>
      <c r="G3658" s="954"/>
      <c r="H3658" s="954"/>
    </row>
    <row r="3659" spans="1:8" ht="14.25">
      <c r="A3659" s="677" t="s">
        <v>3698</v>
      </c>
      <c r="B3659" s="888" t="s">
        <v>1382</v>
      </c>
      <c r="C3659" s="879"/>
      <c r="D3659" s="879"/>
      <c r="E3659" s="879"/>
      <c r="F3659" s="879"/>
      <c r="G3659" s="879"/>
      <c r="H3659" s="879"/>
    </row>
    <row r="3660" spans="1:8" ht="31.5">
      <c r="A3660" s="1"/>
      <c r="B3660" s="68" t="s">
        <v>2966</v>
      </c>
      <c r="C3660" s="68" t="s">
        <v>2967</v>
      </c>
      <c r="D3660" s="68" t="s">
        <v>2968</v>
      </c>
      <c r="E3660" s="68" t="s">
        <v>2969</v>
      </c>
      <c r="F3660" s="68" t="s">
        <v>2970</v>
      </c>
      <c r="G3660" s="68" t="s">
        <v>2971</v>
      </c>
      <c r="H3660" s="68" t="s">
        <v>1487</v>
      </c>
    </row>
    <row r="3661" spans="1:8" ht="16.5">
      <c r="A3661" s="1"/>
      <c r="B3661" s="886" t="s">
        <v>2055</v>
      </c>
      <c r="C3661" s="886" t="s">
        <v>1717</v>
      </c>
      <c r="D3661" s="200"/>
      <c r="E3661" s="886" t="s">
        <v>2807</v>
      </c>
      <c r="F3661" s="109"/>
      <c r="G3661" s="18"/>
      <c r="H3661" s="26"/>
    </row>
    <row r="3662" spans="1:8" ht="16.5">
      <c r="A3662" s="1"/>
      <c r="B3662" s="895"/>
      <c r="C3662" s="895"/>
      <c r="D3662" s="87">
        <v>10</v>
      </c>
      <c r="E3662" s="895"/>
      <c r="F3662" s="63" t="e">
        <f>#REF!</f>
        <v>#REF!</v>
      </c>
      <c r="G3662" s="63" t="e">
        <f>FLOOR(D3662*F3662,0.01)</f>
        <v>#REF!</v>
      </c>
      <c r="H3662" s="123" t="e">
        <f>SUM(G3661:G3662)</f>
        <v>#REF!</v>
      </c>
    </row>
    <row r="3663" spans="1:8" ht="19.5">
      <c r="A3663" s="1"/>
      <c r="B3663" s="1"/>
      <c r="C3663" s="1"/>
      <c r="D3663" s="1"/>
      <c r="E3663" s="1"/>
      <c r="F3663" s="40" t="s">
        <v>1491</v>
      </c>
      <c r="G3663" s="102"/>
      <c r="H3663" s="63" t="e">
        <f>SUM(H3662)</f>
        <v>#REF!</v>
      </c>
    </row>
    <row r="3664" spans="1:8" ht="19.5">
      <c r="A3664" s="1"/>
      <c r="B3664" s="1" t="s">
        <v>1493</v>
      </c>
      <c r="C3664" s="1"/>
      <c r="D3664" s="1"/>
      <c r="E3664" s="1"/>
      <c r="F3664" s="40" t="s">
        <v>1472</v>
      </c>
      <c r="G3664" s="102"/>
      <c r="H3664" s="99" t="e">
        <f>FLOOR(H3663*0.15,0.01)</f>
        <v>#REF!</v>
      </c>
    </row>
    <row r="3665" spans="1:8" ht="19.5">
      <c r="B3665" s="140" t="e">
        <f>+H3665</f>
        <v>#REF!</v>
      </c>
      <c r="C3665" s="27" t="s">
        <v>3801</v>
      </c>
      <c r="D3665" s="99" t="e">
        <f>INT(B3665/B3666*100)/100</f>
        <v>#REF!</v>
      </c>
      <c r="E3665" s="1" t="s">
        <v>3006</v>
      </c>
      <c r="F3665" s="40" t="s">
        <v>1494</v>
      </c>
      <c r="G3665" s="102"/>
      <c r="H3665" s="99" t="e">
        <f>SUM(H3663:H3664)</f>
        <v>#REF!</v>
      </c>
    </row>
    <row r="3666" spans="1:8" ht="16.5">
      <c r="A3666" s="1"/>
      <c r="B3666" s="117">
        <v>10</v>
      </c>
      <c r="C3666" s="1"/>
      <c r="D3666" s="1"/>
      <c r="E3666" s="1"/>
      <c r="F3666" s="1"/>
      <c r="G3666" s="1"/>
      <c r="H3666" s="1"/>
    </row>
    <row r="3667" spans="1:8" ht="16.5">
      <c r="A3667" s="1"/>
      <c r="B3667" s="117"/>
      <c r="C3667" s="1"/>
      <c r="D3667" s="1"/>
      <c r="E3667" s="1"/>
      <c r="F3667" s="1"/>
      <c r="G3667" s="1"/>
      <c r="H3667" s="1"/>
    </row>
    <row r="3668" spans="1:8" ht="16.5">
      <c r="A3668" s="1"/>
      <c r="B3668" s="117"/>
      <c r="C3668" s="1"/>
      <c r="D3668" s="1"/>
      <c r="E3668" s="1"/>
      <c r="F3668" s="1"/>
      <c r="G3668" s="1"/>
      <c r="H3668" s="1"/>
    </row>
    <row r="3669" spans="1:8" ht="16.5">
      <c r="A3669" s="1"/>
      <c r="B3669" s="117"/>
      <c r="C3669" s="1"/>
      <c r="D3669" s="1"/>
      <c r="E3669" s="1"/>
      <c r="F3669" s="1"/>
      <c r="G3669" s="1"/>
      <c r="H3669" s="1"/>
    </row>
    <row r="3670" spans="1:8" ht="15">
      <c r="A3670" s="1"/>
      <c r="B3670" s="1"/>
      <c r="C3670" s="1"/>
      <c r="D3670" s="1"/>
      <c r="E3670" s="1"/>
      <c r="F3670" s="1"/>
      <c r="G3670" s="1"/>
      <c r="H3670" s="1"/>
    </row>
    <row r="3671" spans="1:8" ht="16.5">
      <c r="A3671" s="260">
        <f>A3658+1</f>
        <v>224</v>
      </c>
      <c r="B3671" s="953" t="s">
        <v>2873</v>
      </c>
      <c r="C3671" s="954"/>
      <c r="D3671" s="954"/>
      <c r="E3671" s="954"/>
      <c r="F3671" s="954"/>
      <c r="G3671" s="954"/>
      <c r="H3671" s="954"/>
    </row>
    <row r="3672" spans="1:8" ht="14.25">
      <c r="A3672" s="677" t="s">
        <v>3698</v>
      </c>
      <c r="B3672" s="888" t="s">
        <v>1382</v>
      </c>
      <c r="C3672" s="879"/>
      <c r="D3672" s="879"/>
      <c r="E3672" s="879"/>
      <c r="F3672" s="879"/>
      <c r="G3672" s="879"/>
      <c r="H3672" s="879"/>
    </row>
    <row r="3673" spans="1:8" ht="31.5">
      <c r="A3673" s="1"/>
      <c r="B3673" s="68" t="s">
        <v>2966</v>
      </c>
      <c r="C3673" s="68" t="s">
        <v>2967</v>
      </c>
      <c r="D3673" s="68" t="s">
        <v>2968</v>
      </c>
      <c r="E3673" s="68" t="s">
        <v>2969</v>
      </c>
      <c r="F3673" s="68" t="s">
        <v>2970</v>
      </c>
      <c r="G3673" s="68" t="s">
        <v>2971</v>
      </c>
      <c r="H3673" s="68" t="s">
        <v>1487</v>
      </c>
    </row>
    <row r="3674" spans="1:8" ht="16.5">
      <c r="A3674" s="1"/>
      <c r="B3674" s="886" t="s">
        <v>2055</v>
      </c>
      <c r="C3674" s="886" t="s">
        <v>1717</v>
      </c>
      <c r="D3674" s="200"/>
      <c r="E3674" s="886" t="s">
        <v>2807</v>
      </c>
      <c r="F3674" s="109"/>
      <c r="G3674" s="18"/>
      <c r="H3674" s="26"/>
    </row>
    <row r="3675" spans="1:8" ht="16.5">
      <c r="A3675" s="1"/>
      <c r="B3675" s="895"/>
      <c r="C3675" s="895"/>
      <c r="D3675" s="87">
        <v>10</v>
      </c>
      <c r="E3675" s="895"/>
      <c r="F3675" s="63" t="e">
        <f>#REF!</f>
        <v>#REF!</v>
      </c>
      <c r="G3675" s="63" t="e">
        <f>FLOOR(D3675*F3675,0.01)</f>
        <v>#REF!</v>
      </c>
      <c r="H3675" s="123" t="e">
        <f>SUM(G3674:G3675)</f>
        <v>#REF!</v>
      </c>
    </row>
    <row r="3676" spans="1:8" ht="19.5">
      <c r="A3676" s="1"/>
      <c r="B3676" s="1"/>
      <c r="C3676" s="1"/>
      <c r="D3676" s="1"/>
      <c r="E3676" s="1"/>
      <c r="F3676" s="40" t="s">
        <v>1491</v>
      </c>
      <c r="G3676" s="102"/>
      <c r="H3676" s="63" t="e">
        <f>SUM(H3675)</f>
        <v>#REF!</v>
      </c>
    </row>
    <row r="3677" spans="1:8" ht="19.5">
      <c r="A3677" s="1"/>
      <c r="B3677" s="1" t="s">
        <v>1493</v>
      </c>
      <c r="C3677" s="1"/>
      <c r="D3677" s="1"/>
      <c r="E3677" s="1"/>
      <c r="F3677" s="40" t="s">
        <v>1472</v>
      </c>
      <c r="G3677" s="102"/>
      <c r="H3677" s="99" t="e">
        <f>FLOOR(H3676*0.15,0.01)</f>
        <v>#REF!</v>
      </c>
    </row>
    <row r="3678" spans="1:8" ht="19.5">
      <c r="B3678" s="140" t="e">
        <f>+H3678</f>
        <v>#REF!</v>
      </c>
      <c r="C3678" s="27" t="s">
        <v>3801</v>
      </c>
      <c r="D3678" s="99" t="e">
        <f>INT(B3678/B3679*100)/100</f>
        <v>#REF!</v>
      </c>
      <c r="E3678" s="1" t="s">
        <v>3006</v>
      </c>
      <c r="F3678" s="40" t="s">
        <v>1494</v>
      </c>
      <c r="G3678" s="102"/>
      <c r="H3678" s="99" t="e">
        <f>SUM(H3676:H3677)</f>
        <v>#REF!</v>
      </c>
    </row>
    <row r="3679" spans="1:8" ht="16.5">
      <c r="A3679" s="1"/>
      <c r="B3679" s="117">
        <v>10</v>
      </c>
      <c r="C3679" s="1"/>
      <c r="D3679" s="1"/>
      <c r="E3679" s="1"/>
      <c r="F3679" s="1"/>
      <c r="G3679" s="1"/>
      <c r="H3679" s="1"/>
    </row>
    <row r="3680" spans="1:8" ht="15">
      <c r="A3680" s="1"/>
      <c r="B3680" s="1"/>
      <c r="C3680" s="1"/>
      <c r="D3680" s="1"/>
      <c r="E3680" s="1"/>
      <c r="F3680" s="1"/>
      <c r="G3680" s="1"/>
      <c r="H3680" s="1"/>
    </row>
    <row r="3681" spans="1:8" ht="16.5">
      <c r="A3681" s="260">
        <f>A3671+1</f>
        <v>225</v>
      </c>
      <c r="B3681" s="953" t="s">
        <v>2407</v>
      </c>
      <c r="C3681" s="954"/>
      <c r="D3681" s="954"/>
      <c r="E3681" s="954"/>
      <c r="F3681" s="954"/>
      <c r="G3681" s="954"/>
      <c r="H3681" s="954"/>
    </row>
    <row r="3682" spans="1:8" ht="14.25">
      <c r="A3682" s="677" t="s">
        <v>3698</v>
      </c>
      <c r="B3682" s="888" t="s">
        <v>1382</v>
      </c>
      <c r="C3682" s="879"/>
      <c r="D3682" s="879"/>
      <c r="E3682" s="879"/>
      <c r="F3682" s="879"/>
      <c r="G3682" s="879"/>
      <c r="H3682" s="879"/>
    </row>
    <row r="3683" spans="1:8" ht="31.5">
      <c r="A3683" s="1"/>
      <c r="B3683" s="68" t="s">
        <v>2966</v>
      </c>
      <c r="C3683" s="68" t="s">
        <v>2967</v>
      </c>
      <c r="D3683" s="68" t="s">
        <v>2968</v>
      </c>
      <c r="E3683" s="68" t="s">
        <v>2969</v>
      </c>
      <c r="F3683" s="68" t="s">
        <v>2970</v>
      </c>
      <c r="G3683" s="68" t="s">
        <v>2971</v>
      </c>
      <c r="H3683" s="68" t="s">
        <v>1487</v>
      </c>
    </row>
    <row r="3684" spans="1:8" ht="16.5">
      <c r="A3684" s="1"/>
      <c r="B3684" s="886" t="s">
        <v>2055</v>
      </c>
      <c r="C3684" s="886" t="s">
        <v>1717</v>
      </c>
      <c r="D3684" s="200"/>
      <c r="E3684" s="886" t="s">
        <v>2807</v>
      </c>
      <c r="F3684" s="109"/>
      <c r="G3684" s="18"/>
      <c r="H3684" s="26"/>
    </row>
    <row r="3685" spans="1:8" ht="16.5">
      <c r="A3685" s="1"/>
      <c r="B3685" s="895"/>
      <c r="C3685" s="895"/>
      <c r="D3685" s="87">
        <v>10</v>
      </c>
      <c r="E3685" s="895"/>
      <c r="F3685" s="63" t="e">
        <f>#REF!</f>
        <v>#REF!</v>
      </c>
      <c r="G3685" s="63" t="e">
        <f>FLOOR(D3685*F3685,0.01)</f>
        <v>#REF!</v>
      </c>
      <c r="H3685" s="123" t="e">
        <f>SUM(G3684:G3685)</f>
        <v>#REF!</v>
      </c>
    </row>
    <row r="3686" spans="1:8" ht="19.5">
      <c r="A3686" s="1"/>
      <c r="B3686" s="1"/>
      <c r="C3686" s="1"/>
      <c r="D3686" s="1"/>
      <c r="E3686" s="1"/>
      <c r="F3686" s="40" t="s">
        <v>1491</v>
      </c>
      <c r="G3686" s="102"/>
      <c r="H3686" s="63" t="e">
        <f>SUM(H3685)</f>
        <v>#REF!</v>
      </c>
    </row>
    <row r="3687" spans="1:8" ht="19.5">
      <c r="A3687" s="1"/>
      <c r="B3687" s="1" t="s">
        <v>1493</v>
      </c>
      <c r="C3687" s="1"/>
      <c r="D3687" s="1"/>
      <c r="E3687" s="1"/>
      <c r="F3687" s="40" t="s">
        <v>1472</v>
      </c>
      <c r="G3687" s="102"/>
      <c r="H3687" s="99" t="e">
        <f>FLOOR(H3686*0.15,0.01)</f>
        <v>#REF!</v>
      </c>
    </row>
    <row r="3688" spans="1:8" ht="19.5">
      <c r="B3688" s="140" t="e">
        <f>+H3688</f>
        <v>#REF!</v>
      </c>
      <c r="C3688" s="27" t="s">
        <v>3801</v>
      </c>
      <c r="D3688" s="99" t="e">
        <f>INT(B3688/B3689*100)/100</f>
        <v>#REF!</v>
      </c>
      <c r="E3688" s="1" t="s">
        <v>3006</v>
      </c>
      <c r="F3688" s="40" t="s">
        <v>1494</v>
      </c>
      <c r="G3688" s="102"/>
      <c r="H3688" s="99" t="e">
        <f>SUM(H3686:H3687)</f>
        <v>#REF!</v>
      </c>
    </row>
    <row r="3689" spans="1:8" ht="16.5">
      <c r="A3689" s="1"/>
      <c r="B3689" s="117">
        <v>10</v>
      </c>
      <c r="C3689" s="1"/>
      <c r="D3689" s="1"/>
      <c r="E3689" s="1"/>
      <c r="F3689" s="1"/>
      <c r="G3689" s="1"/>
      <c r="H3689" s="1"/>
    </row>
    <row r="3690" spans="1:8" ht="16.5">
      <c r="A3690" s="1"/>
      <c r="B3690" s="117"/>
      <c r="C3690" s="1"/>
      <c r="D3690" s="1"/>
      <c r="E3690" s="1"/>
      <c r="F3690" s="1"/>
      <c r="G3690" s="1"/>
      <c r="H3690" s="1"/>
    </row>
    <row r="3691" spans="1:8" ht="16.5">
      <c r="A3691" s="1"/>
      <c r="B3691" s="117"/>
      <c r="C3691" s="1"/>
      <c r="D3691" s="1"/>
      <c r="E3691" s="1"/>
      <c r="F3691" s="1"/>
      <c r="G3691" s="1"/>
      <c r="H3691" s="1"/>
    </row>
    <row r="3692" spans="1:8">
      <c r="B3692" s="106"/>
    </row>
    <row r="3693" spans="1:8" ht="16.5">
      <c r="A3693" s="260">
        <f>A3681+1</f>
        <v>226</v>
      </c>
      <c r="B3693" s="953" t="s">
        <v>882</v>
      </c>
      <c r="C3693" s="954"/>
      <c r="D3693" s="954"/>
      <c r="E3693" s="954"/>
      <c r="F3693" s="954"/>
      <c r="G3693" s="954"/>
      <c r="H3693" s="954"/>
    </row>
    <row r="3694" spans="1:8" ht="14.25">
      <c r="A3694" s="677" t="s">
        <v>3699</v>
      </c>
      <c r="B3694" s="888" t="s">
        <v>1382</v>
      </c>
      <c r="C3694" s="879"/>
      <c r="D3694" s="879"/>
      <c r="E3694" s="879"/>
      <c r="F3694" s="879"/>
      <c r="G3694" s="879"/>
      <c r="H3694" s="879"/>
    </row>
    <row r="3695" spans="1:8" ht="31.5">
      <c r="A3695" s="1"/>
      <c r="B3695" s="68" t="s">
        <v>2966</v>
      </c>
      <c r="C3695" s="68" t="s">
        <v>2967</v>
      </c>
      <c r="D3695" s="68" t="s">
        <v>2968</v>
      </c>
      <c r="E3695" s="68" t="s">
        <v>2969</v>
      </c>
      <c r="F3695" s="68" t="s">
        <v>2970</v>
      </c>
      <c r="G3695" s="68" t="s">
        <v>2971</v>
      </c>
      <c r="H3695" s="68" t="s">
        <v>1487</v>
      </c>
    </row>
    <row r="3696" spans="1:8" ht="16.5">
      <c r="A3696" s="1"/>
      <c r="B3696" s="886" t="s">
        <v>2055</v>
      </c>
      <c r="C3696" s="955" t="s">
        <v>882</v>
      </c>
      <c r="D3696" s="200"/>
      <c r="E3696" s="711"/>
      <c r="F3696" s="109"/>
      <c r="G3696" s="18"/>
      <c r="H3696" s="26"/>
    </row>
    <row r="3697" spans="1:8" ht="24.75" customHeight="1">
      <c r="A3697" s="1"/>
      <c r="B3697" s="895"/>
      <c r="C3697" s="956"/>
      <c r="D3697" s="87">
        <v>10</v>
      </c>
      <c r="E3697" s="65" t="s">
        <v>2807</v>
      </c>
      <c r="F3697" s="63" t="e">
        <f>#REF!</f>
        <v>#REF!</v>
      </c>
      <c r="G3697" s="63" t="e">
        <f>FLOOR(D3697*F3697,0.01)</f>
        <v>#REF!</v>
      </c>
      <c r="H3697" s="123" t="e">
        <f>SUM(G3696:G3697)</f>
        <v>#REF!</v>
      </c>
    </row>
    <row r="3698" spans="1:8" ht="19.5">
      <c r="A3698" s="1"/>
      <c r="B3698" s="1"/>
      <c r="C3698" s="1"/>
      <c r="D3698" s="1"/>
      <c r="E3698" s="1"/>
      <c r="F3698" s="40" t="s">
        <v>1491</v>
      </c>
      <c r="G3698" s="102"/>
      <c r="H3698" s="63" t="e">
        <f>SUM(H3697)</f>
        <v>#REF!</v>
      </c>
    </row>
    <row r="3699" spans="1:8" ht="19.5">
      <c r="A3699" s="1"/>
      <c r="B3699" s="1" t="s">
        <v>1493</v>
      </c>
      <c r="C3699" s="1"/>
      <c r="D3699" s="1"/>
      <c r="E3699" s="1"/>
      <c r="F3699" s="40" t="s">
        <v>1472</v>
      </c>
      <c r="G3699" s="102"/>
      <c r="H3699" s="99" t="e">
        <f>FLOOR(H3698*0.15,0.01)</f>
        <v>#REF!</v>
      </c>
    </row>
    <row r="3700" spans="1:8" ht="19.5">
      <c r="B3700" s="140" t="e">
        <f>+H3700</f>
        <v>#REF!</v>
      </c>
      <c r="C3700" s="27" t="s">
        <v>3801</v>
      </c>
      <c r="D3700" s="99" t="e">
        <f>INT(B3700/B3701*100)/100</f>
        <v>#REF!</v>
      </c>
      <c r="E3700" s="1" t="s">
        <v>3006</v>
      </c>
      <c r="F3700" s="40" t="s">
        <v>1494</v>
      </c>
      <c r="G3700" s="102"/>
      <c r="H3700" s="99" t="e">
        <f>SUM(H3698:H3699)</f>
        <v>#REF!</v>
      </c>
    </row>
    <row r="3701" spans="1:8" ht="16.5">
      <c r="A3701" s="1"/>
      <c r="B3701" s="117">
        <v>10</v>
      </c>
      <c r="C3701" s="1"/>
      <c r="D3701" s="1"/>
      <c r="E3701" s="1"/>
      <c r="F3701" s="1"/>
      <c r="G3701" s="1"/>
      <c r="H3701" s="1"/>
    </row>
    <row r="3702" spans="1:8" ht="16.5">
      <c r="A3702" s="1"/>
      <c r="B3702" s="117"/>
      <c r="C3702" s="1"/>
      <c r="D3702" s="1"/>
      <c r="E3702" s="1"/>
      <c r="F3702" s="1"/>
      <c r="G3702" s="1"/>
      <c r="H3702" s="1"/>
    </row>
    <row r="3703" spans="1:8" ht="16.5">
      <c r="A3703" s="1"/>
      <c r="B3703" s="117"/>
      <c r="C3703" s="1"/>
      <c r="D3703" s="1"/>
      <c r="E3703" s="1"/>
      <c r="F3703" s="1"/>
      <c r="G3703" s="1"/>
      <c r="H3703" s="1"/>
    </row>
    <row r="3704" spans="1:8" ht="16.5">
      <c r="A3704" s="1"/>
      <c r="B3704" s="117"/>
      <c r="C3704" s="1"/>
      <c r="D3704" s="1"/>
      <c r="E3704" s="1"/>
      <c r="F3704" s="1"/>
      <c r="G3704" s="1"/>
      <c r="H3704" s="1"/>
    </row>
    <row r="3705" spans="1:8" ht="16.5">
      <c r="A3705" s="1"/>
      <c r="B3705" s="117"/>
      <c r="C3705" s="1"/>
      <c r="D3705" s="1"/>
      <c r="E3705" s="1"/>
      <c r="F3705" s="1"/>
      <c r="G3705" s="1"/>
      <c r="H3705" s="1"/>
    </row>
    <row r="3706" spans="1:8" ht="20.25">
      <c r="A3706" s="260">
        <f>A3693+1</f>
        <v>227</v>
      </c>
      <c r="B3706" s="877" t="s">
        <v>547</v>
      </c>
      <c r="C3706" s="878"/>
      <c r="D3706" s="878"/>
      <c r="E3706" s="878"/>
      <c r="F3706" s="878"/>
      <c r="G3706" s="878"/>
      <c r="H3706" s="878"/>
    </row>
    <row r="3707" spans="1:8" ht="14.25">
      <c r="A3707" s="677" t="s">
        <v>3700</v>
      </c>
      <c r="B3707" s="879" t="s">
        <v>1382</v>
      </c>
      <c r="C3707" s="879"/>
      <c r="D3707" s="879"/>
      <c r="E3707" s="879"/>
      <c r="F3707" s="879"/>
      <c r="G3707" s="879"/>
      <c r="H3707" s="879"/>
    </row>
    <row r="3708" spans="1:8" ht="31.5">
      <c r="A3708" s="1"/>
      <c r="B3708" s="68" t="s">
        <v>2966</v>
      </c>
      <c r="C3708" s="68" t="s">
        <v>2967</v>
      </c>
      <c r="D3708" s="68" t="s">
        <v>2968</v>
      </c>
      <c r="E3708" s="68" t="s">
        <v>2969</v>
      </c>
      <c r="F3708" s="68" t="s">
        <v>2970</v>
      </c>
      <c r="G3708" s="68" t="s">
        <v>2971</v>
      </c>
      <c r="H3708" s="68" t="s">
        <v>1487</v>
      </c>
    </row>
    <row r="3709" spans="1:8" ht="17.25">
      <c r="A3709" s="1"/>
      <c r="B3709" s="58" t="s">
        <v>1488</v>
      </c>
      <c r="C3709" s="58" t="s">
        <v>516</v>
      </c>
      <c r="D3709" s="41">
        <v>1.1000000000000001</v>
      </c>
      <c r="E3709" s="55" t="s">
        <v>1490</v>
      </c>
      <c r="F3709" s="107" t="e">
        <f>mason</f>
        <v>#REF!</v>
      </c>
      <c r="G3709" s="107" t="e">
        <f t="shared" ref="G3709:G3714" si="74">FLOOR(D3709*F3709,0.01)</f>
        <v>#REF!</v>
      </c>
      <c r="H3709" s="108"/>
    </row>
    <row r="3710" spans="1:8" ht="17.25">
      <c r="A3710" s="1"/>
      <c r="B3710" s="186"/>
      <c r="C3710" s="78" t="s">
        <v>1433</v>
      </c>
      <c r="D3710" s="43">
        <v>3.5</v>
      </c>
      <c r="E3710" s="56" t="s">
        <v>1490</v>
      </c>
      <c r="F3710" s="63" t="e">
        <f>#REF!</f>
        <v>#REF!</v>
      </c>
      <c r="G3710" s="63" t="e">
        <f t="shared" si="74"/>
        <v>#REF!</v>
      </c>
      <c r="H3710" s="123" t="e">
        <f>SUM(G3709+G3710)</f>
        <v>#REF!</v>
      </c>
    </row>
    <row r="3711" spans="1:8" ht="17.25">
      <c r="A3711" s="1"/>
      <c r="B3711" s="76" t="s">
        <v>2055</v>
      </c>
      <c r="C3711" s="55" t="s">
        <v>548</v>
      </c>
      <c r="D3711" s="48">
        <v>11</v>
      </c>
      <c r="E3711" s="55" t="s">
        <v>2807</v>
      </c>
      <c r="F3711" s="107" t="e">
        <f>#REF!</f>
        <v>#REF!</v>
      </c>
      <c r="G3711" s="110" t="e">
        <f t="shared" si="74"/>
        <v>#REF!</v>
      </c>
      <c r="H3711" s="108"/>
    </row>
    <row r="3712" spans="1:8" ht="17.25">
      <c r="A3712" s="1"/>
      <c r="B3712" s="199"/>
      <c r="C3712" s="53" t="s">
        <v>549</v>
      </c>
      <c r="D3712" s="193">
        <v>15</v>
      </c>
      <c r="E3712" s="53" t="s">
        <v>2748</v>
      </c>
      <c r="F3712" s="116" t="e">
        <f>#REF!</f>
        <v>#REF!</v>
      </c>
      <c r="G3712" s="109" t="e">
        <f t="shared" si="74"/>
        <v>#REF!</v>
      </c>
      <c r="H3712" s="121"/>
    </row>
    <row r="3713" spans="1:8" ht="17.25">
      <c r="A3713" s="1"/>
      <c r="B3713" s="199"/>
      <c r="C3713" s="53" t="s">
        <v>2766</v>
      </c>
      <c r="D3713" s="193">
        <v>60</v>
      </c>
      <c r="E3713" s="53" t="s">
        <v>2748</v>
      </c>
      <c r="F3713" s="116" t="e">
        <f>#REF!</f>
        <v>#REF!</v>
      </c>
      <c r="G3713" s="109" t="e">
        <f t="shared" si="74"/>
        <v>#REF!</v>
      </c>
      <c r="H3713" s="121"/>
    </row>
    <row r="3714" spans="1:8" ht="17.25">
      <c r="A3714" s="1"/>
      <c r="B3714" s="186"/>
      <c r="C3714" s="56" t="s">
        <v>550</v>
      </c>
      <c r="D3714" s="43">
        <v>0.31</v>
      </c>
      <c r="E3714" s="56" t="s">
        <v>2062</v>
      </c>
      <c r="F3714" s="63" t="e">
        <f>#REF!</f>
        <v>#REF!</v>
      </c>
      <c r="G3714" s="63" t="e">
        <f t="shared" si="74"/>
        <v>#REF!</v>
      </c>
      <c r="H3714" s="123" t="e">
        <f>SUM(G3711:G3714)</f>
        <v>#REF!</v>
      </c>
    </row>
    <row r="3715" spans="1:8" ht="19.5">
      <c r="A3715" s="1"/>
      <c r="B3715" s="1"/>
      <c r="C3715" s="1"/>
      <c r="D3715" s="1"/>
      <c r="E3715" s="1"/>
      <c r="F3715" s="40" t="s">
        <v>1491</v>
      </c>
      <c r="G3715" s="133"/>
      <c r="H3715" s="63" t="e">
        <f>SUM(H3714,H3710)</f>
        <v>#REF!</v>
      </c>
    </row>
    <row r="3716" spans="1:8" ht="19.5">
      <c r="A3716" s="1"/>
      <c r="B3716" s="1" t="s">
        <v>1493</v>
      </c>
      <c r="C3716" s="1"/>
      <c r="D3716" s="1"/>
      <c r="E3716" s="1"/>
      <c r="F3716" s="40" t="s">
        <v>1472</v>
      </c>
      <c r="G3716" s="133"/>
      <c r="H3716" s="99" t="e">
        <f>FLOOR(H3715*0.15,0.01)</f>
        <v>#REF!</v>
      </c>
    </row>
    <row r="3717" spans="1:8" ht="19.5">
      <c r="B3717" s="140" t="e">
        <f>+H3717</f>
        <v>#REF!</v>
      </c>
      <c r="C3717" s="27" t="s">
        <v>3801</v>
      </c>
      <c r="D3717" s="99" t="e">
        <f>FLOOR(B3717/B3718,0.01)</f>
        <v>#REF!</v>
      </c>
      <c r="E3717" s="1" t="s">
        <v>3006</v>
      </c>
      <c r="F3717" s="40" t="s">
        <v>1494</v>
      </c>
      <c r="G3717" s="133"/>
      <c r="H3717" s="99" t="e">
        <f>SUM(H3715:H3716)</f>
        <v>#REF!</v>
      </c>
    </row>
    <row r="3718" spans="1:8" ht="16.5">
      <c r="A3718" s="1"/>
      <c r="B3718" s="117">
        <v>10</v>
      </c>
      <c r="C3718" s="1"/>
      <c r="D3718" s="1"/>
      <c r="E3718" s="1"/>
      <c r="F3718" s="1"/>
      <c r="G3718" s="1"/>
      <c r="H3718" s="1"/>
    </row>
    <row r="3719" spans="1:8" ht="16.5">
      <c r="A3719" s="1"/>
      <c r="B3719" s="117"/>
      <c r="C3719" s="1"/>
      <c r="D3719" s="1"/>
      <c r="E3719" s="1"/>
      <c r="F3719" s="1"/>
      <c r="G3719" s="1"/>
      <c r="H3719" s="1"/>
    </row>
    <row r="3720" spans="1:8" ht="15">
      <c r="A3720" s="1"/>
      <c r="B3720" s="1"/>
      <c r="C3720" s="1"/>
      <c r="D3720" s="1"/>
      <c r="E3720" s="1"/>
      <c r="F3720" s="1"/>
      <c r="G3720" s="1"/>
      <c r="H3720" s="1"/>
    </row>
    <row r="3721" spans="1:8" ht="20.25">
      <c r="A3721" s="260">
        <f>+A3706+1</f>
        <v>228</v>
      </c>
      <c r="B3721" s="877" t="s">
        <v>551</v>
      </c>
      <c r="C3721" s="878"/>
      <c r="D3721" s="878"/>
      <c r="E3721" s="878"/>
      <c r="F3721" s="878"/>
      <c r="G3721" s="878"/>
      <c r="H3721" s="878"/>
    </row>
    <row r="3722" spans="1:8" ht="14.25">
      <c r="A3722" s="677" t="s">
        <v>3701</v>
      </c>
      <c r="B3722" s="879" t="s">
        <v>1382</v>
      </c>
      <c r="C3722" s="879"/>
      <c r="D3722" s="879"/>
      <c r="E3722" s="879"/>
      <c r="F3722" s="879"/>
      <c r="G3722" s="879"/>
      <c r="H3722" s="879"/>
    </row>
    <row r="3723" spans="1:8" ht="15">
      <c r="A3723" s="38"/>
      <c r="B3723" s="1"/>
      <c r="C3723" s="1"/>
      <c r="D3723" s="1"/>
      <c r="E3723" s="1"/>
      <c r="F3723" s="1"/>
      <c r="G3723" s="1"/>
      <c r="H3723" s="1"/>
    </row>
    <row r="3724" spans="1:8" ht="31.5">
      <c r="A3724" s="1"/>
      <c r="B3724" s="68" t="s">
        <v>2966</v>
      </c>
      <c r="C3724" s="68" t="s">
        <v>2967</v>
      </c>
      <c r="D3724" s="68" t="s">
        <v>2968</v>
      </c>
      <c r="E3724" s="68" t="s">
        <v>2969</v>
      </c>
      <c r="F3724" s="68" t="s">
        <v>2970</v>
      </c>
      <c r="G3724" s="68" t="s">
        <v>2971</v>
      </c>
      <c r="H3724" s="68" t="s">
        <v>1487</v>
      </c>
    </row>
    <row r="3725" spans="1:8" ht="17.25">
      <c r="A3725" s="1"/>
      <c r="B3725" s="58" t="s">
        <v>1488</v>
      </c>
      <c r="C3725" s="58" t="s">
        <v>516</v>
      </c>
      <c r="D3725" s="41">
        <v>2.2999999999999998</v>
      </c>
      <c r="E3725" s="55" t="s">
        <v>1490</v>
      </c>
      <c r="F3725" s="107" t="e">
        <f>mason</f>
        <v>#REF!</v>
      </c>
      <c r="G3725" s="107" t="e">
        <f t="shared" ref="G3725:G3730" si="75">FLOOR(D3725*F3725,0.01)</f>
        <v>#REF!</v>
      </c>
      <c r="H3725" s="108"/>
    </row>
    <row r="3726" spans="1:8" ht="17.25">
      <c r="A3726" s="1"/>
      <c r="B3726" s="186"/>
      <c r="C3726" s="78" t="s">
        <v>1433</v>
      </c>
      <c r="D3726" s="43">
        <v>4.5999999999999996</v>
      </c>
      <c r="E3726" s="56" t="s">
        <v>1490</v>
      </c>
      <c r="F3726" s="63" t="e">
        <f>#REF!</f>
        <v>#REF!</v>
      </c>
      <c r="G3726" s="63" t="e">
        <f t="shared" si="75"/>
        <v>#REF!</v>
      </c>
      <c r="H3726" s="123" t="e">
        <f>SUM(G3725+G3726)</f>
        <v>#REF!</v>
      </c>
    </row>
    <row r="3727" spans="1:8" ht="17.25">
      <c r="A3727" s="1"/>
      <c r="B3727" s="76" t="s">
        <v>2055</v>
      </c>
      <c r="C3727" s="55" t="s">
        <v>548</v>
      </c>
      <c r="D3727" s="41">
        <v>22</v>
      </c>
      <c r="E3727" s="55" t="s">
        <v>2807</v>
      </c>
      <c r="F3727" s="107" t="e">
        <f>#REF!</f>
        <v>#REF!</v>
      </c>
      <c r="G3727" s="110" t="e">
        <f t="shared" si="75"/>
        <v>#REF!</v>
      </c>
      <c r="H3727" s="108"/>
    </row>
    <row r="3728" spans="1:8" ht="17.25">
      <c r="A3728" s="1"/>
      <c r="B3728" s="199"/>
      <c r="C3728" s="53" t="s">
        <v>549</v>
      </c>
      <c r="D3728" s="42">
        <v>25</v>
      </c>
      <c r="E3728" s="53" t="s">
        <v>2748</v>
      </c>
      <c r="F3728" s="116" t="e">
        <f>#REF!</f>
        <v>#REF!</v>
      </c>
      <c r="G3728" s="109" t="e">
        <f t="shared" si="75"/>
        <v>#REF!</v>
      </c>
      <c r="H3728" s="121"/>
    </row>
    <row r="3729" spans="1:8" ht="17.25">
      <c r="A3729" s="1"/>
      <c r="B3729" s="199"/>
      <c r="C3729" s="53" t="s">
        <v>2766</v>
      </c>
      <c r="D3729" s="42">
        <v>80</v>
      </c>
      <c r="E3729" s="53" t="s">
        <v>2748</v>
      </c>
      <c r="F3729" s="116" t="e">
        <f>#REF!</f>
        <v>#REF!</v>
      </c>
      <c r="G3729" s="109" t="e">
        <f t="shared" si="75"/>
        <v>#REF!</v>
      </c>
      <c r="H3729" s="121"/>
    </row>
    <row r="3730" spans="1:8" ht="17.25">
      <c r="A3730" s="1"/>
      <c r="B3730" s="186"/>
      <c r="C3730" s="56" t="s">
        <v>550</v>
      </c>
      <c r="D3730" s="43">
        <v>0.31</v>
      </c>
      <c r="E3730" s="56" t="s">
        <v>2062</v>
      </c>
      <c r="F3730" s="63" t="e">
        <f>#REF!</f>
        <v>#REF!</v>
      </c>
      <c r="G3730" s="63" t="e">
        <f t="shared" si="75"/>
        <v>#REF!</v>
      </c>
      <c r="H3730" s="123" t="e">
        <f>SUM(G3727:G3730)</f>
        <v>#REF!</v>
      </c>
    </row>
    <row r="3731" spans="1:8" ht="19.5">
      <c r="A3731" s="1"/>
      <c r="B3731" s="1"/>
      <c r="C3731" s="1"/>
      <c r="D3731" s="1"/>
      <c r="E3731" s="1"/>
      <c r="F3731" s="40" t="s">
        <v>1491</v>
      </c>
      <c r="G3731" s="133"/>
      <c r="H3731" s="63" t="e">
        <f>SUM(H3730,H3726)</f>
        <v>#REF!</v>
      </c>
    </row>
    <row r="3732" spans="1:8" ht="19.5">
      <c r="A3732" s="1"/>
      <c r="B3732" s="1" t="s">
        <v>1493</v>
      </c>
      <c r="C3732" s="1"/>
      <c r="D3732" s="1"/>
      <c r="E3732" s="1"/>
      <c r="F3732" s="40" t="s">
        <v>1472</v>
      </c>
      <c r="G3732" s="133"/>
      <c r="H3732" s="99" t="e">
        <f>FLOOR(H3731*0.15,0.01)</f>
        <v>#REF!</v>
      </c>
    </row>
    <row r="3733" spans="1:8" ht="19.5">
      <c r="B3733" s="140" t="e">
        <f>+H3733</f>
        <v>#REF!</v>
      </c>
      <c r="C3733" s="27" t="s">
        <v>3801</v>
      </c>
      <c r="D3733" s="99" t="e">
        <f>FLOOR(B3733/B3734,0.01)</f>
        <v>#REF!</v>
      </c>
      <c r="E3733" s="1" t="s">
        <v>3006</v>
      </c>
      <c r="F3733" s="40" t="s">
        <v>1494</v>
      </c>
      <c r="G3733" s="133"/>
      <c r="H3733" s="99" t="e">
        <f>SUM(H3731:H3732)</f>
        <v>#REF!</v>
      </c>
    </row>
    <row r="3734" spans="1:8" ht="16.5">
      <c r="A3734" s="1"/>
      <c r="B3734" s="117">
        <v>10</v>
      </c>
      <c r="C3734" s="1"/>
      <c r="D3734" s="1"/>
      <c r="E3734" s="1"/>
      <c r="F3734" s="1"/>
      <c r="G3734" s="1"/>
      <c r="H3734" s="1"/>
    </row>
    <row r="3735" spans="1:8" ht="16.5">
      <c r="A3735" s="1"/>
      <c r="B3735" s="117"/>
      <c r="C3735" s="1"/>
      <c r="D3735" s="1"/>
      <c r="E3735" s="1"/>
      <c r="F3735" s="1"/>
      <c r="G3735" s="1"/>
      <c r="H3735" s="1"/>
    </row>
    <row r="3736" spans="1:8" ht="16.5">
      <c r="A3736" s="1"/>
      <c r="B3736" s="117"/>
      <c r="C3736" s="1"/>
      <c r="D3736" s="1"/>
      <c r="E3736" s="1"/>
      <c r="F3736" s="1"/>
      <c r="G3736" s="1"/>
      <c r="H3736" s="1"/>
    </row>
    <row r="3737" spans="1:8" ht="16.5">
      <c r="A3737" s="1"/>
      <c r="B3737" s="117"/>
      <c r="C3737" s="1"/>
      <c r="D3737" s="1"/>
      <c r="E3737" s="1"/>
      <c r="F3737" s="1"/>
      <c r="G3737" s="1"/>
      <c r="H3737" s="1"/>
    </row>
    <row r="3738" spans="1:8" ht="19.5">
      <c r="A3738" s="31"/>
      <c r="B3738" s="909" t="s">
        <v>1316</v>
      </c>
      <c r="C3738" s="909"/>
      <c r="D3738" s="909"/>
      <c r="E3738" s="909"/>
      <c r="F3738" s="909"/>
      <c r="G3738" s="909"/>
      <c r="H3738" s="909"/>
    </row>
    <row r="3739" spans="1:8" ht="20.25">
      <c r="A3739" s="260">
        <f>A3721+1</f>
        <v>229</v>
      </c>
      <c r="B3739" s="877" t="s">
        <v>1797</v>
      </c>
      <c r="C3739" s="878"/>
      <c r="D3739" s="878"/>
      <c r="E3739" s="878"/>
      <c r="F3739" s="878"/>
      <c r="G3739" s="878"/>
      <c r="H3739" s="878"/>
    </row>
    <row r="3740" spans="1:8" ht="14.25">
      <c r="A3740" s="677" t="s">
        <v>3702</v>
      </c>
      <c r="B3740" s="888" t="s">
        <v>1382</v>
      </c>
      <c r="C3740" s="879"/>
      <c r="D3740" s="879"/>
      <c r="E3740" s="879"/>
      <c r="F3740" s="879"/>
      <c r="G3740" s="879"/>
      <c r="H3740" s="879"/>
    </row>
    <row r="3741" spans="1:8" ht="31.5">
      <c r="A3741" s="1"/>
      <c r="B3741" s="68" t="s">
        <v>2966</v>
      </c>
      <c r="C3741" s="68" t="s">
        <v>2967</v>
      </c>
      <c r="D3741" s="68" t="s">
        <v>2968</v>
      </c>
      <c r="E3741" s="68" t="s">
        <v>2969</v>
      </c>
      <c r="F3741" s="68" t="s">
        <v>2970</v>
      </c>
      <c r="G3741" s="68" t="s">
        <v>2971</v>
      </c>
      <c r="H3741" s="68" t="s">
        <v>1487</v>
      </c>
    </row>
    <row r="3742" spans="1:8" ht="17.25">
      <c r="A3742" s="1"/>
      <c r="B3742" s="889" t="s">
        <v>1488</v>
      </c>
      <c r="C3742" s="58" t="s">
        <v>516</v>
      </c>
      <c r="D3742" s="41">
        <v>0.75</v>
      </c>
      <c r="E3742" s="55" t="s">
        <v>1490</v>
      </c>
      <c r="F3742" s="107" t="e">
        <f>#REF!</f>
        <v>#REF!</v>
      </c>
      <c r="G3742" s="107" t="e">
        <f>FLOOR(D3742*F3742,0.01)</f>
        <v>#REF!</v>
      </c>
      <c r="H3742" s="108"/>
    </row>
    <row r="3743" spans="1:8" ht="17.25">
      <c r="A3743" s="1"/>
      <c r="B3743" s="887"/>
      <c r="C3743" s="78" t="s">
        <v>1433</v>
      </c>
      <c r="D3743" s="43">
        <v>0.8</v>
      </c>
      <c r="E3743" s="56" t="s">
        <v>1490</v>
      </c>
      <c r="F3743" s="63" t="e">
        <f>#REF!</f>
        <v>#REF!</v>
      </c>
      <c r="G3743" s="63" t="e">
        <f>FLOOR(D3743*F3743,0.01)</f>
        <v>#REF!</v>
      </c>
      <c r="H3743" s="123" t="e">
        <f>SUM(G3742+G3743)</f>
        <v>#REF!</v>
      </c>
    </row>
    <row r="3744" spans="1:8" ht="17.25">
      <c r="A3744" s="1"/>
      <c r="B3744" s="886" t="s">
        <v>2055</v>
      </c>
      <c r="C3744" s="55" t="s">
        <v>1436</v>
      </c>
      <c r="D3744" s="46">
        <v>0.13500000000000001</v>
      </c>
      <c r="E3744" s="55" t="s">
        <v>700</v>
      </c>
      <c r="F3744" s="110" t="e">
        <f>#REF!</f>
        <v>#REF!</v>
      </c>
      <c r="G3744" s="110" t="e">
        <f>FLOOR(D3744*F3744,0.01)</f>
        <v>#REF!</v>
      </c>
      <c r="H3744" s="108"/>
    </row>
    <row r="3745" spans="1:8" ht="17.25">
      <c r="A3745" s="1"/>
      <c r="B3745" s="890"/>
      <c r="C3745" s="53" t="s">
        <v>697</v>
      </c>
      <c r="D3745" s="42">
        <v>0.18</v>
      </c>
      <c r="E3745" s="53" t="s">
        <v>2232</v>
      </c>
      <c r="F3745" s="109" t="e">
        <f>#REF!</f>
        <v>#REF!</v>
      </c>
      <c r="G3745" s="109" t="e">
        <f>FLOOR(D3745*F3745,0.01)</f>
        <v>#REF!</v>
      </c>
      <c r="H3745" s="9"/>
    </row>
    <row r="3746" spans="1:8" ht="17.25">
      <c r="A3746" s="1"/>
      <c r="B3746" s="887"/>
      <c r="C3746" s="56" t="s">
        <v>2443</v>
      </c>
      <c r="D3746" s="43">
        <v>2.7</v>
      </c>
      <c r="E3746" s="56" t="s">
        <v>2748</v>
      </c>
      <c r="F3746" s="63" t="e">
        <f>#REF!</f>
        <v>#REF!</v>
      </c>
      <c r="G3746" s="63" t="e">
        <f>FLOOR(D3746*F3746,0.01)</f>
        <v>#REF!</v>
      </c>
      <c r="H3746" s="123" t="e">
        <f>SUM(G3744+G3745+G3746)</f>
        <v>#REF!</v>
      </c>
    </row>
    <row r="3747" spans="1:8" ht="19.5">
      <c r="A3747" s="1"/>
      <c r="B3747" s="1"/>
      <c r="C3747" s="1"/>
      <c r="D3747" s="1"/>
      <c r="E3747" s="1"/>
      <c r="F3747" s="40" t="s">
        <v>1491</v>
      </c>
      <c r="G3747" s="102"/>
      <c r="H3747" s="63" t="e">
        <f>SUM(H3743:H3746)</f>
        <v>#REF!</v>
      </c>
    </row>
    <row r="3748" spans="1:8" ht="19.5">
      <c r="A3748" s="1"/>
      <c r="B3748" s="1" t="s">
        <v>1493</v>
      </c>
      <c r="C3748" s="1"/>
      <c r="D3748" s="1"/>
      <c r="E3748" s="1"/>
      <c r="F3748" s="40" t="s">
        <v>1471</v>
      </c>
      <c r="G3748" s="102"/>
      <c r="H3748" s="99" t="e">
        <f>FLOOR(H3747*0.15,0.01)</f>
        <v>#REF!</v>
      </c>
    </row>
    <row r="3749" spans="1:8" ht="19.5">
      <c r="B3749" s="140" t="e">
        <f>+H3749</f>
        <v>#REF!</v>
      </c>
      <c r="C3749" s="27" t="s">
        <v>3801</v>
      </c>
      <c r="D3749" s="99" t="e">
        <f>INT(B3749/B3750*100)/100</f>
        <v>#REF!</v>
      </c>
      <c r="E3749" s="1" t="s">
        <v>3006</v>
      </c>
      <c r="F3749" s="40" t="s">
        <v>1494</v>
      </c>
      <c r="G3749" s="102"/>
      <c r="H3749" s="99" t="e">
        <f>SUM(H3747:H3748)</f>
        <v>#REF!</v>
      </c>
    </row>
    <row r="3750" spans="1:8" ht="19.5">
      <c r="B3750" s="117">
        <v>10</v>
      </c>
      <c r="C3750" s="1"/>
      <c r="D3750" s="1"/>
      <c r="E3750" s="1"/>
      <c r="F3750" s="40"/>
      <c r="G3750" s="102"/>
      <c r="H3750" s="141"/>
    </row>
    <row r="3751" spans="1:8" ht="19.5">
      <c r="B3751" s="117"/>
      <c r="C3751" s="1"/>
      <c r="D3751" s="1"/>
      <c r="E3751" s="1"/>
      <c r="F3751" s="40"/>
      <c r="G3751" s="102"/>
      <c r="H3751" s="141"/>
    </row>
    <row r="3752" spans="1:8" ht="19.5">
      <c r="B3752" s="117"/>
      <c r="C3752" s="1"/>
      <c r="D3752" s="1"/>
      <c r="E3752" s="1"/>
      <c r="F3752" s="40"/>
      <c r="G3752" s="102"/>
      <c r="H3752" s="141"/>
    </row>
    <row r="3753" spans="1:8" ht="19.5">
      <c r="B3753" s="117"/>
      <c r="C3753" s="1"/>
      <c r="D3753" s="1"/>
      <c r="E3753" s="1"/>
      <c r="F3753" s="40"/>
      <c r="G3753" s="102"/>
      <c r="H3753" s="141"/>
    </row>
    <row r="3754" spans="1:8" ht="15">
      <c r="A3754" s="1"/>
      <c r="B3754" s="1"/>
      <c r="C3754" s="1"/>
      <c r="D3754" s="1"/>
      <c r="E3754" s="1"/>
      <c r="F3754" s="1"/>
      <c r="G3754" s="1"/>
      <c r="H3754" s="1"/>
    </row>
    <row r="3755" spans="1:8" ht="22.5">
      <c r="A3755" s="260">
        <f>+A3739+1</f>
        <v>230</v>
      </c>
      <c r="B3755" s="935" t="s">
        <v>2760</v>
      </c>
      <c r="C3755" s="909"/>
      <c r="D3755" s="909"/>
      <c r="E3755" s="909"/>
      <c r="F3755" s="909"/>
      <c r="G3755" s="909"/>
      <c r="H3755" s="909"/>
    </row>
    <row r="3756" spans="1:8" ht="14.25">
      <c r="A3756" s="677" t="s">
        <v>3703</v>
      </c>
      <c r="B3756" s="888" t="s">
        <v>1317</v>
      </c>
      <c r="C3756" s="879"/>
      <c r="D3756" s="879"/>
      <c r="E3756" s="879"/>
      <c r="F3756" s="879"/>
      <c r="G3756" s="879"/>
      <c r="H3756" s="879"/>
    </row>
    <row r="3757" spans="1:8" ht="31.5">
      <c r="A3757" s="1"/>
      <c r="B3757" s="68" t="s">
        <v>2966</v>
      </c>
      <c r="C3757" s="68" t="s">
        <v>2967</v>
      </c>
      <c r="D3757" s="68" t="s">
        <v>2968</v>
      </c>
      <c r="E3757" s="68" t="s">
        <v>2969</v>
      </c>
      <c r="F3757" s="68" t="s">
        <v>2970</v>
      </c>
      <c r="G3757" s="68" t="s">
        <v>2971</v>
      </c>
      <c r="H3757" s="68" t="s">
        <v>1487</v>
      </c>
    </row>
    <row r="3758" spans="1:8" ht="17.25">
      <c r="A3758" s="1"/>
      <c r="B3758" s="889" t="s">
        <v>1488</v>
      </c>
      <c r="C3758" s="58" t="s">
        <v>516</v>
      </c>
      <c r="D3758" s="41">
        <v>1</v>
      </c>
      <c r="E3758" s="55" t="s">
        <v>1490</v>
      </c>
      <c r="F3758" s="107" t="e">
        <f>#REF!</f>
        <v>#REF!</v>
      </c>
      <c r="G3758" s="107" t="e">
        <f t="shared" ref="G3758:G3763" si="76">FLOOR(D3758*F3758,0.01)</f>
        <v>#REF!</v>
      </c>
      <c r="H3758" s="108"/>
    </row>
    <row r="3759" spans="1:8" ht="17.25">
      <c r="A3759" s="1"/>
      <c r="B3759" s="887"/>
      <c r="C3759" s="78" t="s">
        <v>1433</v>
      </c>
      <c r="D3759" s="43">
        <v>1.25</v>
      </c>
      <c r="E3759" s="56" t="s">
        <v>1490</v>
      </c>
      <c r="F3759" s="63" t="e">
        <f>#REF!</f>
        <v>#REF!</v>
      </c>
      <c r="G3759" s="63" t="e">
        <f t="shared" si="76"/>
        <v>#REF!</v>
      </c>
      <c r="H3759" s="123" t="e">
        <f>SUM(G3758+G3759)</f>
        <v>#REF!</v>
      </c>
    </row>
    <row r="3760" spans="1:8" ht="17.25">
      <c r="A3760" s="1"/>
      <c r="B3760" s="886" t="s">
        <v>2055</v>
      </c>
      <c r="C3760" s="55" t="s">
        <v>1436</v>
      </c>
      <c r="D3760" s="46">
        <v>0.112</v>
      </c>
      <c r="E3760" s="55" t="s">
        <v>700</v>
      </c>
      <c r="F3760" s="110" t="e">
        <f>#REF!</f>
        <v>#REF!</v>
      </c>
      <c r="G3760" s="110" t="e">
        <f t="shared" si="76"/>
        <v>#REF!</v>
      </c>
      <c r="H3760" s="108"/>
    </row>
    <row r="3761" spans="1:8" ht="18">
      <c r="A3761" s="1"/>
      <c r="B3761" s="890"/>
      <c r="C3761" s="53" t="s">
        <v>697</v>
      </c>
      <c r="D3761" s="52">
        <v>0.113</v>
      </c>
      <c r="E3761" s="53" t="s">
        <v>2232</v>
      </c>
      <c r="F3761" s="109" t="e">
        <f>#REF!</f>
        <v>#REF!</v>
      </c>
      <c r="G3761" s="109" t="e">
        <f t="shared" si="76"/>
        <v>#REF!</v>
      </c>
      <c r="H3761" s="132"/>
    </row>
    <row r="3762" spans="1:8" ht="17.25">
      <c r="A3762" s="1"/>
      <c r="B3762" s="890"/>
      <c r="C3762" s="53" t="s">
        <v>2443</v>
      </c>
      <c r="D3762" s="42">
        <v>2.25</v>
      </c>
      <c r="E3762" s="53" t="s">
        <v>2748</v>
      </c>
      <c r="F3762" s="109" t="e">
        <f>#REF!</f>
        <v>#REF!</v>
      </c>
      <c r="G3762" s="109" t="e">
        <f t="shared" si="76"/>
        <v>#REF!</v>
      </c>
      <c r="H3762" s="9"/>
    </row>
    <row r="3763" spans="1:8" ht="17.25">
      <c r="A3763" s="1"/>
      <c r="B3763" s="887"/>
      <c r="C3763" s="56" t="s">
        <v>2761</v>
      </c>
      <c r="D3763" s="43">
        <v>0.25</v>
      </c>
      <c r="E3763" s="56" t="s">
        <v>2232</v>
      </c>
      <c r="F3763" s="63" t="e">
        <f>#REF!</f>
        <v>#REF!</v>
      </c>
      <c r="G3763" s="63" t="e">
        <f t="shared" si="76"/>
        <v>#REF!</v>
      </c>
      <c r="H3763" s="123" t="e">
        <f>SUM(G3760+G3761+G3762+G3763)</f>
        <v>#REF!</v>
      </c>
    </row>
    <row r="3764" spans="1:8" ht="18">
      <c r="A3764" s="1"/>
      <c r="B3764" s="1"/>
      <c r="C3764" s="1"/>
      <c r="D3764" s="1"/>
      <c r="E3764" s="1"/>
      <c r="F3764" s="1" t="s">
        <v>1491</v>
      </c>
      <c r="G3764" s="2"/>
      <c r="H3764" s="63" t="e">
        <f>SUM(H3759:H3763)</f>
        <v>#REF!</v>
      </c>
    </row>
    <row r="3765" spans="1:8" ht="18">
      <c r="A3765" s="1"/>
      <c r="B3765" s="1" t="s">
        <v>1493</v>
      </c>
      <c r="C3765" s="1"/>
      <c r="D3765" s="1"/>
      <c r="E3765" s="1"/>
      <c r="F3765" s="1" t="s">
        <v>1471</v>
      </c>
      <c r="G3765" s="2"/>
      <c r="H3765" s="99" t="e">
        <f>FLOOR(H3764*0.15,0.01)</f>
        <v>#REF!</v>
      </c>
    </row>
    <row r="3766" spans="1:8" ht="18">
      <c r="B3766" s="140" t="e">
        <f>+H3766</f>
        <v>#REF!</v>
      </c>
      <c r="C3766" s="27" t="s">
        <v>3801</v>
      </c>
      <c r="D3766" s="99" t="e">
        <f>INT(B3766/B3767*100)/100</f>
        <v>#REF!</v>
      </c>
      <c r="E3766" s="1" t="s">
        <v>3006</v>
      </c>
      <c r="F3766" s="1" t="s">
        <v>1494</v>
      </c>
      <c r="G3766" s="2"/>
      <c r="H3766" s="99" t="e">
        <f>SUM(H3764:H3765)</f>
        <v>#REF!</v>
      </c>
    </row>
    <row r="3767" spans="1:8" ht="16.5">
      <c r="A3767" s="27"/>
      <c r="B3767" s="117">
        <v>10</v>
      </c>
      <c r="C3767" s="1"/>
      <c r="D3767" s="1"/>
      <c r="E3767" s="1"/>
      <c r="F3767" s="1"/>
      <c r="G3767" s="1"/>
      <c r="H3767" s="19"/>
    </row>
    <row r="3768" spans="1:8" ht="16.5">
      <c r="A3768" s="27"/>
      <c r="B3768" s="117"/>
      <c r="C3768" s="1"/>
      <c r="D3768" s="1"/>
      <c r="E3768" s="1"/>
      <c r="F3768" s="1"/>
      <c r="G3768" s="1"/>
      <c r="H3768" s="19"/>
    </row>
    <row r="3769" spans="1:8" ht="20.25">
      <c r="A3769" s="260">
        <f>+A3755+1</f>
        <v>231</v>
      </c>
      <c r="B3769" s="877" t="s">
        <v>2762</v>
      </c>
      <c r="C3769" s="878"/>
      <c r="D3769" s="878"/>
      <c r="E3769" s="878"/>
      <c r="F3769" s="878"/>
      <c r="G3769" s="878"/>
      <c r="H3769" s="878"/>
    </row>
    <row r="3770" spans="1:8" ht="14.25">
      <c r="A3770" s="677" t="s">
        <v>3703</v>
      </c>
      <c r="B3770" s="888" t="s">
        <v>1382</v>
      </c>
      <c r="C3770" s="879"/>
      <c r="D3770" s="879"/>
      <c r="E3770" s="879"/>
      <c r="F3770" s="879"/>
      <c r="G3770" s="879"/>
      <c r="H3770" s="879"/>
    </row>
    <row r="3771" spans="1:8" ht="31.5">
      <c r="A3771" s="1"/>
      <c r="B3771" s="68" t="s">
        <v>2966</v>
      </c>
      <c r="C3771" s="68" t="s">
        <v>2967</v>
      </c>
      <c r="D3771" s="68" t="s">
        <v>2968</v>
      </c>
      <c r="E3771" s="68" t="s">
        <v>2969</v>
      </c>
      <c r="F3771" s="68" t="s">
        <v>2970</v>
      </c>
      <c r="G3771" s="68" t="s">
        <v>2971</v>
      </c>
      <c r="H3771" s="68" t="s">
        <v>1487</v>
      </c>
    </row>
    <row r="3772" spans="1:8" ht="17.25">
      <c r="A3772" s="1"/>
      <c r="B3772" s="889" t="s">
        <v>1488</v>
      </c>
      <c r="C3772" s="58" t="s">
        <v>516</v>
      </c>
      <c r="D3772" s="41">
        <v>1</v>
      </c>
      <c r="E3772" s="55" t="s">
        <v>1490</v>
      </c>
      <c r="F3772" s="107" t="e">
        <f>#REF!</f>
        <v>#REF!</v>
      </c>
      <c r="G3772" s="107" t="e">
        <f t="shared" ref="G3772:G3777" si="77">FLOOR(D3772*F3772,0.01)</f>
        <v>#REF!</v>
      </c>
      <c r="H3772" s="108"/>
    </row>
    <row r="3773" spans="1:8" ht="17.25">
      <c r="A3773" s="1"/>
      <c r="B3773" s="887"/>
      <c r="C3773" s="78" t="s">
        <v>1433</v>
      </c>
      <c r="D3773" s="43">
        <v>2</v>
      </c>
      <c r="E3773" s="56" t="s">
        <v>1490</v>
      </c>
      <c r="F3773" s="63" t="e">
        <f>#REF!</f>
        <v>#REF!</v>
      </c>
      <c r="G3773" s="63" t="e">
        <f t="shared" si="77"/>
        <v>#REF!</v>
      </c>
      <c r="H3773" s="123" t="e">
        <f>SUM(G3772+G3773)</f>
        <v>#REF!</v>
      </c>
    </row>
    <row r="3774" spans="1:8" ht="17.25">
      <c r="A3774" s="1"/>
      <c r="B3774" s="886" t="s">
        <v>2055</v>
      </c>
      <c r="C3774" s="55" t="s">
        <v>1436</v>
      </c>
      <c r="D3774" s="41">
        <v>0.12</v>
      </c>
      <c r="E3774" s="55" t="s">
        <v>700</v>
      </c>
      <c r="F3774" s="110" t="e">
        <f>#REF!</f>
        <v>#REF!</v>
      </c>
      <c r="G3774" s="110" t="e">
        <f t="shared" si="77"/>
        <v>#REF!</v>
      </c>
      <c r="H3774" s="108"/>
    </row>
    <row r="3775" spans="1:8" ht="18">
      <c r="A3775" s="1"/>
      <c r="B3775" s="890"/>
      <c r="C3775" s="53" t="s">
        <v>697</v>
      </c>
      <c r="D3775" s="42">
        <v>0.17</v>
      </c>
      <c r="E3775" s="53" t="s">
        <v>2232</v>
      </c>
      <c r="F3775" s="109" t="e">
        <f>#REF!</f>
        <v>#REF!</v>
      </c>
      <c r="G3775" s="109" t="e">
        <f t="shared" si="77"/>
        <v>#REF!</v>
      </c>
      <c r="H3775" s="132"/>
    </row>
    <row r="3776" spans="1:8" ht="17.25">
      <c r="A3776" s="1"/>
      <c r="B3776" s="890"/>
      <c r="C3776" s="53" t="s">
        <v>2443</v>
      </c>
      <c r="D3776" s="42">
        <v>2.88</v>
      </c>
      <c r="E3776" s="53" t="s">
        <v>2748</v>
      </c>
      <c r="F3776" s="109" t="e">
        <f>#REF!</f>
        <v>#REF!</v>
      </c>
      <c r="G3776" s="109" t="e">
        <f t="shared" si="77"/>
        <v>#REF!</v>
      </c>
      <c r="H3776" s="9"/>
    </row>
    <row r="3777" spans="1:8" ht="17.25">
      <c r="A3777" s="1"/>
      <c r="B3777" s="887"/>
      <c r="C3777" s="56" t="s">
        <v>2761</v>
      </c>
      <c r="D3777" s="43">
        <v>0.34</v>
      </c>
      <c r="E3777" s="56" t="s">
        <v>2232</v>
      </c>
      <c r="F3777" s="63" t="e">
        <f>#REF!</f>
        <v>#REF!</v>
      </c>
      <c r="G3777" s="63" t="e">
        <f t="shared" si="77"/>
        <v>#REF!</v>
      </c>
      <c r="H3777" s="123" t="e">
        <f>SUM(G3774+G3775+G3776+G3777)</f>
        <v>#REF!</v>
      </c>
    </row>
    <row r="3778" spans="1:8" ht="18">
      <c r="A3778" s="1"/>
      <c r="B3778" s="1"/>
      <c r="C3778" s="1"/>
      <c r="D3778" s="1"/>
      <c r="E3778" s="1"/>
      <c r="F3778" s="40" t="s">
        <v>1491</v>
      </c>
      <c r="G3778" s="2"/>
      <c r="H3778" s="63" t="e">
        <f>SUM(H3773:H3777)</f>
        <v>#REF!</v>
      </c>
    </row>
    <row r="3779" spans="1:8" ht="18">
      <c r="A3779" s="1"/>
      <c r="B3779" s="1" t="s">
        <v>1493</v>
      </c>
      <c r="C3779" s="1"/>
      <c r="D3779" s="1"/>
      <c r="E3779" s="1"/>
      <c r="F3779" s="40" t="s">
        <v>1471</v>
      </c>
      <c r="G3779" s="2"/>
      <c r="H3779" s="99" t="e">
        <f>FLOOR(H3778*0.15,0.01)</f>
        <v>#REF!</v>
      </c>
    </row>
    <row r="3780" spans="1:8" ht="18">
      <c r="B3780" s="140" t="e">
        <f>+H3780</f>
        <v>#REF!</v>
      </c>
      <c r="C3780" s="27" t="s">
        <v>3801</v>
      </c>
      <c r="D3780" s="99" t="e">
        <f>INT(B3780/B3781*100)/100</f>
        <v>#REF!</v>
      </c>
      <c r="E3780" s="1" t="s">
        <v>3006</v>
      </c>
      <c r="F3780" s="40" t="s">
        <v>1494</v>
      </c>
      <c r="G3780" s="2"/>
      <c r="H3780" s="99" t="e">
        <f>SUM(H3778:H3779)</f>
        <v>#REF!</v>
      </c>
    </row>
    <row r="3781" spans="1:8" ht="16.5">
      <c r="A3781" s="1"/>
      <c r="B3781" s="117">
        <v>10</v>
      </c>
      <c r="C3781" s="1"/>
      <c r="D3781" s="1"/>
      <c r="E3781" s="1"/>
      <c r="F3781" s="1"/>
      <c r="G3781" s="1"/>
      <c r="H3781" s="1"/>
    </row>
    <row r="3782" spans="1:8" ht="16.5">
      <c r="A3782" s="1"/>
      <c r="B3782" s="117"/>
      <c r="C3782" s="1"/>
      <c r="D3782" s="1"/>
      <c r="E3782" s="1"/>
      <c r="F3782" s="1"/>
      <c r="G3782" s="1"/>
      <c r="H3782" s="1"/>
    </row>
    <row r="3783" spans="1:8" ht="16.5">
      <c r="A3783" s="1"/>
      <c r="B3783" s="117"/>
      <c r="C3783" s="1"/>
      <c r="D3783" s="1"/>
      <c r="E3783" s="1"/>
      <c r="F3783" s="1"/>
      <c r="G3783" s="1"/>
      <c r="H3783" s="1"/>
    </row>
    <row r="3784" spans="1:8" ht="20.25">
      <c r="A3784" s="260">
        <f>+A3769+1</f>
        <v>232</v>
      </c>
      <c r="B3784" s="877" t="s">
        <v>2763</v>
      </c>
      <c r="C3784" s="878"/>
      <c r="D3784" s="878"/>
      <c r="E3784" s="878"/>
      <c r="F3784" s="878"/>
      <c r="G3784" s="878"/>
      <c r="H3784" s="878"/>
    </row>
    <row r="3785" spans="1:8" ht="14.25">
      <c r="A3785" s="677" t="s">
        <v>3704</v>
      </c>
      <c r="B3785" s="888" t="s">
        <v>1382</v>
      </c>
      <c r="C3785" s="879"/>
      <c r="D3785" s="879"/>
      <c r="E3785" s="879"/>
      <c r="F3785" s="879"/>
      <c r="G3785" s="879"/>
      <c r="H3785" s="879"/>
    </row>
    <row r="3786" spans="1:8" ht="31.5">
      <c r="A3786" s="1"/>
      <c r="B3786" s="68" t="s">
        <v>2966</v>
      </c>
      <c r="C3786" s="68" t="s">
        <v>2967</v>
      </c>
      <c r="D3786" s="68" t="s">
        <v>2968</v>
      </c>
      <c r="E3786" s="68" t="s">
        <v>2969</v>
      </c>
      <c r="F3786" s="68" t="s">
        <v>2970</v>
      </c>
      <c r="G3786" s="68" t="s">
        <v>2971</v>
      </c>
      <c r="H3786" s="68" t="s">
        <v>1487</v>
      </c>
    </row>
    <row r="3787" spans="1:8" ht="17.25">
      <c r="A3787" s="1"/>
      <c r="B3787" s="58" t="s">
        <v>1488</v>
      </c>
      <c r="C3787" s="78" t="s">
        <v>1040</v>
      </c>
      <c r="D3787" s="43">
        <v>0.6</v>
      </c>
      <c r="E3787" s="56" t="s">
        <v>1490</v>
      </c>
      <c r="F3787" s="63" t="e">
        <f>#REF!</f>
        <v>#REF!</v>
      </c>
      <c r="G3787" s="63" t="e">
        <f>FLOOR(D3787*F3787,0.01)</f>
        <v>#REF!</v>
      </c>
      <c r="H3787" s="63" t="e">
        <f>SUM(G3787)</f>
        <v>#REF!</v>
      </c>
    </row>
    <row r="3788" spans="1:8" ht="17.25">
      <c r="A3788" s="1"/>
      <c r="B3788" s="886" t="s">
        <v>2055</v>
      </c>
      <c r="C3788" s="55" t="s">
        <v>2764</v>
      </c>
      <c r="D3788" s="41">
        <v>10</v>
      </c>
      <c r="E3788" s="55" t="s">
        <v>2748</v>
      </c>
      <c r="F3788" s="109" t="e">
        <f>#REF!</f>
        <v>#REF!</v>
      </c>
      <c r="G3788" s="110" t="e">
        <f>FLOOR(D3788*F3788,0.01)</f>
        <v>#REF!</v>
      </c>
      <c r="H3788" s="108"/>
    </row>
    <row r="3789" spans="1:8" ht="17.25">
      <c r="A3789" s="1"/>
      <c r="B3789" s="890"/>
      <c r="C3789" s="53" t="s">
        <v>2765</v>
      </c>
      <c r="D3789" s="42">
        <v>0.02</v>
      </c>
      <c r="E3789" s="53" t="s">
        <v>2232</v>
      </c>
      <c r="F3789" s="109" t="e">
        <f>#REF!</f>
        <v>#REF!</v>
      </c>
      <c r="G3789" s="109" t="e">
        <f>FLOOR(D3789*F3789,0.01)</f>
        <v>#REF!</v>
      </c>
      <c r="H3789" s="9"/>
    </row>
    <row r="3790" spans="1:8" ht="17.25">
      <c r="A3790" s="1"/>
      <c r="B3790" s="887"/>
      <c r="C3790" s="56" t="s">
        <v>2766</v>
      </c>
      <c r="D3790" s="43">
        <v>30</v>
      </c>
      <c r="E3790" s="56" t="s">
        <v>2748</v>
      </c>
      <c r="F3790" s="63" t="e">
        <f>#REF!</f>
        <v>#REF!</v>
      </c>
      <c r="G3790" s="63" t="e">
        <f>FLOOR(D3790*F3790,0.01)</f>
        <v>#REF!</v>
      </c>
      <c r="H3790" s="123" t="e">
        <f>SUM(G3788+G3789+G3790+G3791)</f>
        <v>#REF!</v>
      </c>
    </row>
    <row r="3791" spans="1:8" ht="19.5">
      <c r="A3791" s="1"/>
      <c r="B3791" s="1"/>
      <c r="C3791" s="1"/>
      <c r="D3791" s="1"/>
      <c r="E3791" s="1"/>
      <c r="F3791" s="40" t="s">
        <v>1491</v>
      </c>
      <c r="G3791" s="102"/>
      <c r="H3791" s="63" t="e">
        <f>SUM(H3787:H3790)</f>
        <v>#REF!</v>
      </c>
    </row>
    <row r="3792" spans="1:8" ht="19.5">
      <c r="A3792" s="1"/>
      <c r="B3792" s="1" t="s">
        <v>1493</v>
      </c>
      <c r="C3792" s="1"/>
      <c r="D3792" s="1"/>
      <c r="E3792" s="1"/>
      <c r="F3792" s="40" t="s">
        <v>1471</v>
      </c>
      <c r="G3792" s="102"/>
      <c r="H3792" s="99" t="e">
        <f>FLOOR(H3791*0.15,0.01)</f>
        <v>#REF!</v>
      </c>
    </row>
    <row r="3793" spans="1:8" ht="19.5">
      <c r="B3793" s="140" t="e">
        <f>+H3793</f>
        <v>#REF!</v>
      </c>
      <c r="C3793" s="27" t="s">
        <v>3801</v>
      </c>
      <c r="D3793" s="99" t="e">
        <f>INT(B3793/B3794*100)/100</f>
        <v>#REF!</v>
      </c>
      <c r="E3793" s="1" t="s">
        <v>3006</v>
      </c>
      <c r="F3793" s="40" t="s">
        <v>1494</v>
      </c>
      <c r="G3793" s="102"/>
      <c r="H3793" s="99" t="e">
        <f>SUM(H3791:H3792)</f>
        <v>#REF!</v>
      </c>
    </row>
    <row r="3794" spans="1:8" ht="16.5">
      <c r="A3794" s="1"/>
      <c r="B3794" s="117">
        <v>10</v>
      </c>
      <c r="C3794" s="1"/>
      <c r="D3794" s="1"/>
      <c r="E3794" s="1"/>
      <c r="F3794" s="1"/>
      <c r="G3794" s="1"/>
      <c r="H3794" s="1"/>
    </row>
    <row r="3795" spans="1:8" ht="16.5">
      <c r="A3795" s="1"/>
      <c r="B3795" s="117"/>
      <c r="C3795" s="1"/>
      <c r="D3795" s="1"/>
      <c r="E3795" s="1"/>
      <c r="F3795" s="1"/>
      <c r="G3795" s="1"/>
      <c r="H3795" s="1"/>
    </row>
    <row r="3796" spans="1:8" ht="16.5">
      <c r="A3796" s="1"/>
      <c r="B3796" s="117"/>
      <c r="C3796" s="1"/>
      <c r="D3796" s="1"/>
      <c r="E3796" s="1"/>
      <c r="F3796" s="1"/>
      <c r="G3796" s="1"/>
      <c r="H3796" s="1"/>
    </row>
    <row r="3797" spans="1:8" ht="16.5">
      <c r="A3797" s="1"/>
      <c r="B3797" s="117"/>
      <c r="C3797" s="1"/>
      <c r="D3797" s="1"/>
      <c r="E3797" s="1"/>
      <c r="F3797" s="1"/>
      <c r="G3797" s="1"/>
      <c r="H3797" s="1"/>
    </row>
    <row r="3798" spans="1:8" ht="20.25">
      <c r="A3798" s="260">
        <f>+A3784+1</f>
        <v>233</v>
      </c>
      <c r="B3798" s="877" t="s">
        <v>971</v>
      </c>
      <c r="C3798" s="878"/>
      <c r="D3798" s="878"/>
      <c r="E3798" s="878"/>
      <c r="F3798" s="878"/>
      <c r="G3798" s="878"/>
      <c r="H3798" s="878"/>
    </row>
    <row r="3799" spans="1:8" ht="14.25">
      <c r="A3799" s="677" t="s">
        <v>3705</v>
      </c>
      <c r="B3799" s="888" t="s">
        <v>1382</v>
      </c>
      <c r="C3799" s="879"/>
      <c r="D3799" s="879"/>
      <c r="E3799" s="879"/>
      <c r="F3799" s="879"/>
      <c r="G3799" s="879"/>
      <c r="H3799" s="879"/>
    </row>
    <row r="3800" spans="1:8" ht="31.5">
      <c r="A3800" s="1"/>
      <c r="B3800" s="68" t="s">
        <v>2966</v>
      </c>
      <c r="C3800" s="68" t="s">
        <v>2967</v>
      </c>
      <c r="D3800" s="68" t="s">
        <v>2968</v>
      </c>
      <c r="E3800" s="68" t="s">
        <v>2969</v>
      </c>
      <c r="F3800" s="68" t="s">
        <v>2970</v>
      </c>
      <c r="G3800" s="68" t="s">
        <v>2971</v>
      </c>
      <c r="H3800" s="68" t="s">
        <v>1487</v>
      </c>
    </row>
    <row r="3801" spans="1:8" ht="17.25">
      <c r="A3801" s="1"/>
      <c r="B3801" s="889" t="s">
        <v>1488</v>
      </c>
      <c r="C3801" s="58" t="s">
        <v>516</v>
      </c>
      <c r="D3801" s="41">
        <v>0.6</v>
      </c>
      <c r="E3801" s="55" t="s">
        <v>1490</v>
      </c>
      <c r="F3801" s="107" t="e">
        <f>#REF!</f>
        <v>#REF!</v>
      </c>
      <c r="G3801" s="107" t="e">
        <f>FLOOR(D3801*F3801,0.01)</f>
        <v>#REF!</v>
      </c>
      <c r="H3801" s="108"/>
    </row>
    <row r="3802" spans="1:8" ht="17.25">
      <c r="A3802" s="1"/>
      <c r="B3802" s="887"/>
      <c r="C3802" s="78" t="s">
        <v>1433</v>
      </c>
      <c r="D3802" s="43">
        <v>0.6</v>
      </c>
      <c r="E3802" s="56" t="s">
        <v>1490</v>
      </c>
      <c r="F3802" s="63" t="e">
        <f>#REF!</f>
        <v>#REF!</v>
      </c>
      <c r="G3802" s="63" t="e">
        <f>FLOOR(D3802*F3802,0.01)</f>
        <v>#REF!</v>
      </c>
      <c r="H3802" s="123" t="e">
        <f>SUM(G3801+G3802)</f>
        <v>#REF!</v>
      </c>
    </row>
    <row r="3803" spans="1:8" ht="31.5">
      <c r="A3803" s="1"/>
      <c r="B3803" s="66" t="s">
        <v>2055</v>
      </c>
      <c r="C3803" s="68" t="s">
        <v>1041</v>
      </c>
      <c r="D3803" s="657">
        <v>11</v>
      </c>
      <c r="E3803" s="66" t="s">
        <v>2807</v>
      </c>
      <c r="F3803" s="126" t="e">
        <f>#REF!</f>
        <v>#REF!</v>
      </c>
      <c r="G3803" s="123" t="e">
        <f>FLOOR(D3803*F3803,0.01)</f>
        <v>#REF!</v>
      </c>
      <c r="H3803" s="123" t="e">
        <f>SUM(G3803)</f>
        <v>#REF!</v>
      </c>
    </row>
    <row r="3804" spans="1:8" ht="19.5">
      <c r="A3804" s="1"/>
      <c r="B3804" s="1"/>
      <c r="C3804" s="1"/>
      <c r="D3804" s="1"/>
      <c r="E3804" s="1"/>
      <c r="F3804" s="40" t="s">
        <v>1491</v>
      </c>
      <c r="G3804" s="102"/>
      <c r="H3804" s="63" t="e">
        <f>SUM(H3801:H3803)</f>
        <v>#REF!</v>
      </c>
    </row>
    <row r="3805" spans="1:8" ht="19.5">
      <c r="A3805" s="1"/>
      <c r="B3805" s="1" t="s">
        <v>1493</v>
      </c>
      <c r="C3805" s="1"/>
      <c r="D3805" s="1"/>
      <c r="E3805" s="1"/>
      <c r="F3805" s="40" t="s">
        <v>1471</v>
      </c>
      <c r="G3805" s="102"/>
      <c r="H3805" s="99" t="e">
        <f>FLOOR(H3804*0.15,0.01)</f>
        <v>#REF!</v>
      </c>
    </row>
    <row r="3806" spans="1:8" ht="19.5">
      <c r="B3806" s="140" t="e">
        <f>+H3806</f>
        <v>#REF!</v>
      </c>
      <c r="C3806" s="27" t="s">
        <v>3801</v>
      </c>
      <c r="D3806" s="99" t="e">
        <f>INT(B3806/B3807*100)/100</f>
        <v>#REF!</v>
      </c>
      <c r="E3806" s="1" t="s">
        <v>3006</v>
      </c>
      <c r="F3806" s="40" t="s">
        <v>1494</v>
      </c>
      <c r="G3806" s="102"/>
      <c r="H3806" s="99" t="e">
        <f>SUM(H3804:H3805)</f>
        <v>#REF!</v>
      </c>
    </row>
    <row r="3807" spans="1:8" ht="16.5">
      <c r="A3807" s="27"/>
      <c r="B3807" s="117">
        <v>10</v>
      </c>
      <c r="C3807" s="1"/>
      <c r="D3807" s="1"/>
      <c r="E3807" s="1"/>
      <c r="F3807" s="1"/>
      <c r="G3807" s="1"/>
      <c r="H3807" s="19"/>
    </row>
    <row r="3808" spans="1:8" ht="16.5">
      <c r="A3808" s="1"/>
      <c r="B3808" s="117"/>
      <c r="C3808" s="1"/>
      <c r="D3808" s="1"/>
      <c r="E3808" s="1"/>
      <c r="F3808" s="1"/>
      <c r="G3808" s="1"/>
      <c r="H3808" s="1"/>
    </row>
    <row r="3809" spans="1:8" ht="16.5">
      <c r="A3809" s="1"/>
      <c r="B3809" s="117"/>
      <c r="C3809" s="1"/>
      <c r="D3809" s="1"/>
      <c r="E3809" s="1"/>
      <c r="F3809" s="1"/>
      <c r="G3809" s="1"/>
      <c r="H3809" s="1"/>
    </row>
    <row r="3810" spans="1:8" ht="20.25">
      <c r="A3810" s="260">
        <f>A3798+1</f>
        <v>234</v>
      </c>
      <c r="B3810" s="877" t="s">
        <v>2767</v>
      </c>
      <c r="C3810" s="878"/>
      <c r="D3810" s="878"/>
      <c r="E3810" s="878"/>
      <c r="F3810" s="878"/>
      <c r="G3810" s="878"/>
      <c r="H3810" s="878"/>
    </row>
    <row r="3811" spans="1:8" ht="14.25">
      <c r="A3811" s="677" t="s">
        <v>3706</v>
      </c>
      <c r="B3811" s="888" t="s">
        <v>1382</v>
      </c>
      <c r="C3811" s="879"/>
      <c r="D3811" s="879"/>
      <c r="E3811" s="879"/>
      <c r="F3811" s="879"/>
      <c r="G3811" s="879"/>
      <c r="H3811" s="879"/>
    </row>
    <row r="3812" spans="1:8" ht="31.5">
      <c r="A3812" s="1"/>
      <c r="B3812" s="68" t="s">
        <v>2966</v>
      </c>
      <c r="C3812" s="68" t="s">
        <v>2967</v>
      </c>
      <c r="D3812" s="68" t="s">
        <v>2968</v>
      </c>
      <c r="E3812" s="68" t="s">
        <v>2969</v>
      </c>
      <c r="F3812" s="68" t="s">
        <v>2970</v>
      </c>
      <c r="G3812" s="68" t="s">
        <v>2971</v>
      </c>
      <c r="H3812" s="68" t="s">
        <v>1487</v>
      </c>
    </row>
    <row r="3813" spans="1:8" ht="17.25">
      <c r="A3813" s="1"/>
      <c r="B3813" s="889" t="s">
        <v>1488</v>
      </c>
      <c r="C3813" s="58" t="s">
        <v>516</v>
      </c>
      <c r="D3813" s="41">
        <v>1.1000000000000001</v>
      </c>
      <c r="E3813" s="55" t="s">
        <v>1490</v>
      </c>
      <c r="F3813" s="107" t="e">
        <f>#REF!</f>
        <v>#REF!</v>
      </c>
      <c r="G3813" s="107" t="e">
        <f t="shared" ref="G3813:G3818" si="78">FLOOR(D3813*F3813,0.01)</f>
        <v>#REF!</v>
      </c>
      <c r="H3813" s="108"/>
    </row>
    <row r="3814" spans="1:8" ht="17.25">
      <c r="A3814" s="1"/>
      <c r="B3814" s="887"/>
      <c r="C3814" s="78" t="s">
        <v>1433</v>
      </c>
      <c r="D3814" s="43">
        <v>3.5</v>
      </c>
      <c r="E3814" s="56" t="s">
        <v>1490</v>
      </c>
      <c r="F3814" s="63" t="e">
        <f>#REF!</f>
        <v>#REF!</v>
      </c>
      <c r="G3814" s="63" t="e">
        <f t="shared" si="78"/>
        <v>#REF!</v>
      </c>
      <c r="H3814" s="123" t="e">
        <f>SUM(G3813+G3814)</f>
        <v>#REF!</v>
      </c>
    </row>
    <row r="3815" spans="1:8" ht="17.25">
      <c r="A3815" s="1"/>
      <c r="B3815" s="886" t="s">
        <v>2055</v>
      </c>
      <c r="C3815" s="55" t="s">
        <v>517</v>
      </c>
      <c r="D3815" s="41">
        <v>11</v>
      </c>
      <c r="E3815" s="55" t="s">
        <v>2807</v>
      </c>
      <c r="F3815" s="109" t="e">
        <f>#REF!</f>
        <v>#REF!</v>
      </c>
      <c r="G3815" s="110" t="e">
        <f t="shared" si="78"/>
        <v>#REF!</v>
      </c>
      <c r="H3815" s="108"/>
    </row>
    <row r="3816" spans="1:8" ht="18">
      <c r="A3816" s="1"/>
      <c r="B3816" s="890"/>
      <c r="C3816" s="53" t="s">
        <v>2764</v>
      </c>
      <c r="D3816" s="42">
        <v>15</v>
      </c>
      <c r="E3816" s="53" t="s">
        <v>2748</v>
      </c>
      <c r="F3816" s="109" t="e">
        <f>#REF!</f>
        <v>#REF!</v>
      </c>
      <c r="G3816" s="109" t="e">
        <f t="shared" si="78"/>
        <v>#REF!</v>
      </c>
      <c r="H3816" s="132"/>
    </row>
    <row r="3817" spans="1:8" ht="17.25">
      <c r="A3817" s="1"/>
      <c r="B3817" s="890"/>
      <c r="C3817" s="53" t="s">
        <v>2766</v>
      </c>
      <c r="D3817" s="42">
        <v>60</v>
      </c>
      <c r="E3817" s="53" t="s">
        <v>2748</v>
      </c>
      <c r="F3817" s="109" t="e">
        <f>#REF!</f>
        <v>#REF!</v>
      </c>
      <c r="G3817" s="109" t="e">
        <f t="shared" si="78"/>
        <v>#REF!</v>
      </c>
      <c r="H3817" s="9"/>
    </row>
    <row r="3818" spans="1:8" ht="17.25">
      <c r="A3818" s="1"/>
      <c r="B3818" s="887"/>
      <c r="C3818" s="56" t="s">
        <v>2765</v>
      </c>
      <c r="D3818" s="43">
        <v>0.31</v>
      </c>
      <c r="E3818" s="56" t="s">
        <v>2232</v>
      </c>
      <c r="F3818" s="63" t="e">
        <f>#REF!</f>
        <v>#REF!</v>
      </c>
      <c r="G3818" s="63" t="e">
        <f t="shared" si="78"/>
        <v>#REF!</v>
      </c>
      <c r="H3818" s="123" t="e">
        <f>SUM(G3815+G3816+G3817+G3818)</f>
        <v>#REF!</v>
      </c>
    </row>
    <row r="3819" spans="1:8" ht="18">
      <c r="A3819" s="1"/>
      <c r="B3819" s="1"/>
      <c r="C3819" s="1"/>
      <c r="D3819" s="1"/>
      <c r="E3819" s="1"/>
      <c r="F3819" s="40" t="s">
        <v>1491</v>
      </c>
      <c r="G3819" s="2"/>
      <c r="H3819" s="63" t="e">
        <f>SUM(H3818,H3814)</f>
        <v>#REF!</v>
      </c>
    </row>
    <row r="3820" spans="1:8" ht="18">
      <c r="A3820" s="1"/>
      <c r="B3820" s="1" t="s">
        <v>1493</v>
      </c>
      <c r="C3820" s="1"/>
      <c r="D3820" s="1"/>
      <c r="E3820" s="1"/>
      <c r="F3820" s="40" t="s">
        <v>1471</v>
      </c>
      <c r="G3820" s="2"/>
      <c r="H3820" s="99" t="e">
        <f>FLOOR(H3819*0.15,0.01)</f>
        <v>#REF!</v>
      </c>
    </row>
    <row r="3821" spans="1:8" ht="18">
      <c r="B3821" s="140" t="e">
        <f>+H3821</f>
        <v>#REF!</v>
      </c>
      <c r="C3821" s="27" t="s">
        <v>3801</v>
      </c>
      <c r="D3821" s="99" t="e">
        <f>INT(B3821/B3822*100)/100</f>
        <v>#REF!</v>
      </c>
      <c r="E3821" s="1" t="s">
        <v>3006</v>
      </c>
      <c r="F3821" s="40" t="s">
        <v>1494</v>
      </c>
      <c r="G3821" s="2"/>
      <c r="H3821" s="99" t="e">
        <f>SUM(H3819:H3820)</f>
        <v>#REF!</v>
      </c>
    </row>
    <row r="3822" spans="1:8" ht="19.5">
      <c r="A3822" s="27"/>
      <c r="B3822" s="117">
        <v>10</v>
      </c>
      <c r="C3822" s="1"/>
      <c r="D3822" s="1"/>
      <c r="E3822" s="1"/>
      <c r="F3822" s="40"/>
      <c r="G3822" s="102"/>
      <c r="H3822" s="19"/>
    </row>
    <row r="3823" spans="1:8" ht="19.5">
      <c r="A3823" s="27"/>
      <c r="B3823" s="117"/>
      <c r="C3823" s="1"/>
      <c r="D3823" s="1"/>
      <c r="E3823" s="1"/>
      <c r="F3823" s="40"/>
      <c r="G3823" s="102"/>
      <c r="H3823" s="19"/>
    </row>
    <row r="3824" spans="1:8" ht="19.5">
      <c r="A3824" s="27"/>
      <c r="B3824" s="117"/>
      <c r="C3824" s="1"/>
      <c r="D3824" s="1"/>
      <c r="E3824" s="1"/>
      <c r="F3824" s="40"/>
      <c r="G3824" s="102"/>
      <c r="H3824" s="19"/>
    </row>
    <row r="3825" spans="1:8" ht="15">
      <c r="A3825" s="31"/>
      <c r="B3825" s="1"/>
      <c r="C3825" s="1"/>
      <c r="D3825" s="1"/>
      <c r="E3825" s="1"/>
      <c r="F3825" s="1"/>
      <c r="G3825" s="1"/>
      <c r="H3825" s="1"/>
    </row>
    <row r="3826" spans="1:8" ht="20.25">
      <c r="A3826" s="260">
        <f>+A3810+1</f>
        <v>235</v>
      </c>
      <c r="B3826" s="877" t="s">
        <v>518</v>
      </c>
      <c r="C3826" s="878"/>
      <c r="D3826" s="878"/>
      <c r="E3826" s="878"/>
      <c r="F3826" s="878"/>
      <c r="G3826" s="878"/>
      <c r="H3826" s="878"/>
    </row>
    <row r="3827" spans="1:8" ht="14.25">
      <c r="A3827" s="677" t="s">
        <v>3706</v>
      </c>
      <c r="B3827" s="888" t="s">
        <v>1382</v>
      </c>
      <c r="C3827" s="879"/>
      <c r="D3827" s="879"/>
      <c r="E3827" s="879"/>
      <c r="F3827" s="879"/>
      <c r="G3827" s="879"/>
      <c r="H3827" s="879"/>
    </row>
    <row r="3828" spans="1:8" ht="31.5">
      <c r="A3828" s="1"/>
      <c r="B3828" s="68" t="s">
        <v>2966</v>
      </c>
      <c r="C3828" s="68" t="s">
        <v>2967</v>
      </c>
      <c r="D3828" s="68" t="s">
        <v>2968</v>
      </c>
      <c r="E3828" s="68" t="s">
        <v>2969</v>
      </c>
      <c r="F3828" s="68" t="s">
        <v>2970</v>
      </c>
      <c r="G3828" s="68" t="s">
        <v>2971</v>
      </c>
      <c r="H3828" s="68" t="s">
        <v>1487</v>
      </c>
    </row>
    <row r="3829" spans="1:8" ht="17.25">
      <c r="A3829" s="1"/>
      <c r="B3829" s="889" t="s">
        <v>1488</v>
      </c>
      <c r="C3829" s="58" t="s">
        <v>516</v>
      </c>
      <c r="D3829" s="41">
        <v>2.2999999999999998</v>
      </c>
      <c r="E3829" s="55" t="s">
        <v>1490</v>
      </c>
      <c r="F3829" s="107" t="e">
        <f>#REF!</f>
        <v>#REF!</v>
      </c>
      <c r="G3829" s="107" t="e">
        <f t="shared" ref="G3829:G3834" si="79">FLOOR(D3829*F3829,0.01)</f>
        <v>#REF!</v>
      </c>
      <c r="H3829" s="108"/>
    </row>
    <row r="3830" spans="1:8" ht="17.25">
      <c r="A3830" s="1"/>
      <c r="B3830" s="887"/>
      <c r="C3830" s="78" t="s">
        <v>1433</v>
      </c>
      <c r="D3830" s="43">
        <v>4.5999999999999996</v>
      </c>
      <c r="E3830" s="56" t="s">
        <v>1490</v>
      </c>
      <c r="F3830" s="63" t="e">
        <f>#REF!</f>
        <v>#REF!</v>
      </c>
      <c r="G3830" s="63" t="e">
        <f t="shared" si="79"/>
        <v>#REF!</v>
      </c>
      <c r="H3830" s="123" t="e">
        <f>SUM(G3829+G3830)</f>
        <v>#REF!</v>
      </c>
    </row>
    <row r="3831" spans="1:8" ht="17.25">
      <c r="A3831" s="1"/>
      <c r="B3831" s="886" t="s">
        <v>2055</v>
      </c>
      <c r="C3831" s="55" t="s">
        <v>517</v>
      </c>
      <c r="D3831" s="41">
        <v>22</v>
      </c>
      <c r="E3831" s="55" t="s">
        <v>2807</v>
      </c>
      <c r="F3831" s="109" t="e">
        <f>#REF!</f>
        <v>#REF!</v>
      </c>
      <c r="G3831" s="110" t="e">
        <f t="shared" si="79"/>
        <v>#REF!</v>
      </c>
      <c r="H3831" s="108"/>
    </row>
    <row r="3832" spans="1:8" ht="18">
      <c r="A3832" s="1"/>
      <c r="B3832" s="890"/>
      <c r="C3832" s="53" t="s">
        <v>2764</v>
      </c>
      <c r="D3832" s="42">
        <v>25</v>
      </c>
      <c r="E3832" s="53" t="s">
        <v>2748</v>
      </c>
      <c r="F3832" s="109" t="e">
        <f>#REF!</f>
        <v>#REF!</v>
      </c>
      <c r="G3832" s="109" t="e">
        <f t="shared" si="79"/>
        <v>#REF!</v>
      </c>
      <c r="H3832" s="132"/>
    </row>
    <row r="3833" spans="1:8" ht="17.25">
      <c r="A3833" s="1"/>
      <c r="B3833" s="890"/>
      <c r="C3833" s="53" t="s">
        <v>2766</v>
      </c>
      <c r="D3833" s="42">
        <v>80</v>
      </c>
      <c r="E3833" s="53" t="s">
        <v>2748</v>
      </c>
      <c r="F3833" s="109" t="e">
        <f>#REF!</f>
        <v>#REF!</v>
      </c>
      <c r="G3833" s="109" t="e">
        <f t="shared" si="79"/>
        <v>#REF!</v>
      </c>
      <c r="H3833" s="9"/>
    </row>
    <row r="3834" spans="1:8" ht="17.25">
      <c r="A3834" s="1"/>
      <c r="B3834" s="887"/>
      <c r="C3834" s="56" t="s">
        <v>2765</v>
      </c>
      <c r="D3834" s="43">
        <v>0.31</v>
      </c>
      <c r="E3834" s="56" t="s">
        <v>2232</v>
      </c>
      <c r="F3834" s="63" t="e">
        <f>#REF!</f>
        <v>#REF!</v>
      </c>
      <c r="G3834" s="63" t="e">
        <f t="shared" si="79"/>
        <v>#REF!</v>
      </c>
      <c r="H3834" s="123" t="e">
        <f>SUM(G3831+G3832+G3833+G3834)</f>
        <v>#REF!</v>
      </c>
    </row>
    <row r="3835" spans="1:8" ht="18">
      <c r="A3835" s="1"/>
      <c r="B3835" s="1"/>
      <c r="C3835" s="1"/>
      <c r="D3835" s="1"/>
      <c r="E3835" s="1"/>
      <c r="F3835" s="40" t="s">
        <v>1491</v>
      </c>
      <c r="G3835" s="2"/>
      <c r="H3835" s="63" t="e">
        <f>SUM(H3834,H3830)</f>
        <v>#REF!</v>
      </c>
    </row>
    <row r="3836" spans="1:8" ht="18">
      <c r="A3836" s="1"/>
      <c r="B3836" s="1" t="s">
        <v>1493</v>
      </c>
      <c r="C3836" s="1"/>
      <c r="D3836" s="1"/>
      <c r="E3836" s="1"/>
      <c r="F3836" s="40" t="s">
        <v>1471</v>
      </c>
      <c r="G3836" s="2"/>
      <c r="H3836" s="63" t="e">
        <f>FLOOR((H3835*0.15*100)/100,0.01)</f>
        <v>#REF!</v>
      </c>
    </row>
    <row r="3837" spans="1:8" ht="18">
      <c r="B3837" s="140" t="e">
        <f>+H3837</f>
        <v>#REF!</v>
      </c>
      <c r="C3837" s="27" t="s">
        <v>3801</v>
      </c>
      <c r="D3837" s="99" t="e">
        <f>INT(B3837/B3838*100)/100</f>
        <v>#REF!</v>
      </c>
      <c r="E3837" s="1" t="s">
        <v>3006</v>
      </c>
      <c r="F3837" s="40" t="s">
        <v>1494</v>
      </c>
      <c r="G3837" s="2"/>
      <c r="H3837" s="99" t="e">
        <f>SUM(H3835:H3836)</f>
        <v>#REF!</v>
      </c>
    </row>
    <row r="3838" spans="1:8" ht="16.5">
      <c r="A3838" s="1"/>
      <c r="B3838" s="117">
        <v>10</v>
      </c>
      <c r="C3838" s="1"/>
      <c r="D3838" s="1"/>
      <c r="E3838" s="1"/>
      <c r="F3838" s="1"/>
      <c r="G3838" s="1"/>
      <c r="H3838" s="1"/>
    </row>
    <row r="3839" spans="1:8" ht="16.5">
      <c r="A3839" s="1"/>
      <c r="B3839" s="117"/>
      <c r="C3839" s="1"/>
      <c r="D3839" s="1"/>
      <c r="E3839" s="1"/>
      <c r="F3839" s="1"/>
      <c r="G3839" s="1"/>
      <c r="H3839" s="1"/>
    </row>
    <row r="3840" spans="1:8" ht="16.5">
      <c r="A3840" s="1"/>
      <c r="B3840" s="117"/>
      <c r="C3840" s="1"/>
      <c r="D3840" s="1"/>
      <c r="E3840" s="1"/>
      <c r="F3840" s="1"/>
      <c r="G3840" s="1"/>
      <c r="H3840" s="1"/>
    </row>
    <row r="3841" spans="1:8" ht="16.5">
      <c r="A3841" s="1"/>
      <c r="B3841" s="117"/>
      <c r="C3841" s="1"/>
      <c r="D3841" s="1"/>
      <c r="E3841" s="1"/>
      <c r="F3841" s="1"/>
      <c r="G3841" s="1"/>
      <c r="H3841" s="1"/>
    </row>
    <row r="3842" spans="1:8" ht="16.5">
      <c r="A3842" s="1"/>
      <c r="B3842" s="117"/>
      <c r="C3842" s="1"/>
      <c r="D3842" s="1"/>
      <c r="E3842" s="1"/>
      <c r="F3842" s="1"/>
      <c r="G3842" s="1"/>
      <c r="H3842" s="1"/>
    </row>
    <row r="3843" spans="1:8" ht="20.25">
      <c r="A3843" s="260">
        <f>+A3826+1</f>
        <v>236</v>
      </c>
      <c r="B3843" s="877" t="s">
        <v>519</v>
      </c>
      <c r="C3843" s="878"/>
      <c r="D3843" s="878"/>
      <c r="E3843" s="878"/>
      <c r="F3843" s="878"/>
      <c r="G3843" s="878"/>
      <c r="H3843" s="878"/>
    </row>
    <row r="3844" spans="1:8" ht="14.25">
      <c r="A3844" s="677" t="s">
        <v>3707</v>
      </c>
      <c r="B3844" s="888" t="s">
        <v>1382</v>
      </c>
      <c r="C3844" s="879"/>
      <c r="D3844" s="879"/>
      <c r="E3844" s="879"/>
      <c r="F3844" s="879"/>
      <c r="G3844" s="879"/>
      <c r="H3844" s="879"/>
    </row>
    <row r="3845" spans="1:8" ht="31.5">
      <c r="A3845" s="1"/>
      <c r="B3845" s="68" t="s">
        <v>2966</v>
      </c>
      <c r="C3845" s="68" t="s">
        <v>2967</v>
      </c>
      <c r="D3845" s="68" t="s">
        <v>2968</v>
      </c>
      <c r="E3845" s="68" t="s">
        <v>2969</v>
      </c>
      <c r="F3845" s="68" t="s">
        <v>2970</v>
      </c>
      <c r="G3845" s="68" t="s">
        <v>2971</v>
      </c>
      <c r="H3845" s="68" t="s">
        <v>1487</v>
      </c>
    </row>
    <row r="3846" spans="1:8" ht="17.25">
      <c r="A3846" s="1"/>
      <c r="B3846" s="889" t="s">
        <v>1488</v>
      </c>
      <c r="C3846" s="58" t="s">
        <v>516</v>
      </c>
      <c r="D3846" s="41">
        <v>2.35</v>
      </c>
      <c r="E3846" s="55" t="s">
        <v>1490</v>
      </c>
      <c r="F3846" s="107" t="e">
        <f>#REF!</f>
        <v>#REF!</v>
      </c>
      <c r="G3846" s="107" t="e">
        <f t="shared" ref="G3846:G3851" si="80">FLOOR(D3846*F3846,0.01)</f>
        <v>#REF!</v>
      </c>
      <c r="H3846" s="108"/>
    </row>
    <row r="3847" spans="1:8" ht="17.25">
      <c r="A3847" s="1"/>
      <c r="B3847" s="887"/>
      <c r="C3847" s="78" t="s">
        <v>1433</v>
      </c>
      <c r="D3847" s="43">
        <v>4.5999999999999996</v>
      </c>
      <c r="E3847" s="56" t="s">
        <v>1490</v>
      </c>
      <c r="F3847" s="63" t="e">
        <f>#REF!</f>
        <v>#REF!</v>
      </c>
      <c r="G3847" s="63" t="e">
        <f t="shared" si="80"/>
        <v>#REF!</v>
      </c>
      <c r="H3847" s="123" t="e">
        <f>SUM(G3846+G3847)</f>
        <v>#REF!</v>
      </c>
    </row>
    <row r="3848" spans="1:8" ht="17.25">
      <c r="A3848" s="1"/>
      <c r="B3848" s="886" t="s">
        <v>2055</v>
      </c>
      <c r="C3848" s="55" t="s">
        <v>517</v>
      </c>
      <c r="D3848" s="41">
        <v>11</v>
      </c>
      <c r="E3848" s="55" t="s">
        <v>2807</v>
      </c>
      <c r="F3848" s="109" t="e">
        <f>#REF!</f>
        <v>#REF!</v>
      </c>
      <c r="G3848" s="110" t="e">
        <f t="shared" si="80"/>
        <v>#REF!</v>
      </c>
      <c r="H3848" s="108"/>
    </row>
    <row r="3849" spans="1:8" ht="18">
      <c r="A3849" s="1"/>
      <c r="B3849" s="890"/>
      <c r="C3849" s="53" t="s">
        <v>2764</v>
      </c>
      <c r="D3849" s="42">
        <v>17</v>
      </c>
      <c r="E3849" s="53" t="s">
        <v>2748</v>
      </c>
      <c r="F3849" s="109" t="e">
        <f>#REF!</f>
        <v>#REF!</v>
      </c>
      <c r="G3849" s="109" t="e">
        <f t="shared" si="80"/>
        <v>#REF!</v>
      </c>
      <c r="H3849" s="132"/>
    </row>
    <row r="3850" spans="1:8" ht="17.25">
      <c r="A3850" s="1"/>
      <c r="B3850" s="890"/>
      <c r="C3850" s="53" t="s">
        <v>2766</v>
      </c>
      <c r="D3850" s="42">
        <v>60</v>
      </c>
      <c r="E3850" s="53" t="s">
        <v>2748</v>
      </c>
      <c r="F3850" s="109" t="e">
        <f>#REF!</f>
        <v>#REF!</v>
      </c>
      <c r="G3850" s="109" t="e">
        <f t="shared" si="80"/>
        <v>#REF!</v>
      </c>
      <c r="H3850" s="9"/>
    </row>
    <row r="3851" spans="1:8" ht="17.25">
      <c r="A3851" s="1"/>
      <c r="B3851" s="887"/>
      <c r="C3851" s="56" t="s">
        <v>2765</v>
      </c>
      <c r="D3851" s="43">
        <v>0.31</v>
      </c>
      <c r="E3851" s="56" t="s">
        <v>2232</v>
      </c>
      <c r="F3851" s="63" t="e">
        <f>#REF!</f>
        <v>#REF!</v>
      </c>
      <c r="G3851" s="63" t="e">
        <f t="shared" si="80"/>
        <v>#REF!</v>
      </c>
      <c r="H3851" s="123" t="e">
        <f>SUM(G3848+G3849+G3850+G3851)</f>
        <v>#REF!</v>
      </c>
    </row>
    <row r="3852" spans="1:8" ht="18">
      <c r="A3852" s="1"/>
      <c r="B3852" s="1"/>
      <c r="C3852" s="1"/>
      <c r="D3852" s="1"/>
      <c r="E3852" s="1"/>
      <c r="F3852" s="40" t="s">
        <v>1491</v>
      </c>
      <c r="G3852" s="2"/>
      <c r="H3852" s="63" t="e">
        <f>SUM(H3851,H3847)</f>
        <v>#REF!</v>
      </c>
    </row>
    <row r="3853" spans="1:8" ht="18">
      <c r="A3853" s="1"/>
      <c r="B3853" s="1" t="s">
        <v>1493</v>
      </c>
      <c r="C3853" s="1"/>
      <c r="D3853" s="1"/>
      <c r="E3853" s="1"/>
      <c r="F3853" s="40" t="s">
        <v>1471</v>
      </c>
      <c r="G3853" s="2"/>
      <c r="H3853" s="99" t="e">
        <f>FLOOR(H3852*0.15,0.01)</f>
        <v>#REF!</v>
      </c>
    </row>
    <row r="3854" spans="1:8" ht="18">
      <c r="B3854" s="140" t="e">
        <f>+H3854</f>
        <v>#REF!</v>
      </c>
      <c r="C3854" s="27" t="s">
        <v>3801</v>
      </c>
      <c r="D3854" s="99" t="e">
        <f>INT(B3854/B3855*100)/100</f>
        <v>#REF!</v>
      </c>
      <c r="E3854" s="1" t="s">
        <v>3006</v>
      </c>
      <c r="F3854" s="40" t="s">
        <v>1494</v>
      </c>
      <c r="G3854" s="2"/>
      <c r="H3854" s="99" t="e">
        <f>SUM(H3852:H3853)</f>
        <v>#REF!</v>
      </c>
    </row>
    <row r="3855" spans="1:8" ht="16.5">
      <c r="A3855" s="1"/>
      <c r="B3855" s="117">
        <v>10</v>
      </c>
      <c r="C3855" s="1"/>
      <c r="D3855" s="1"/>
      <c r="E3855" s="1"/>
      <c r="F3855" s="1"/>
      <c r="G3855" s="1"/>
      <c r="H3855" s="1"/>
    </row>
    <row r="3856" spans="1:8">
      <c r="B3856" s="106"/>
    </row>
    <row r="3857" spans="1:8" ht="15.75">
      <c r="A3857" s="138">
        <f>A3843+1</f>
        <v>237</v>
      </c>
      <c r="B3857" s="957" t="s">
        <v>3011</v>
      </c>
      <c r="C3857" s="957"/>
      <c r="D3857" s="957"/>
      <c r="E3857" s="957"/>
      <c r="F3857" s="957"/>
      <c r="G3857" s="957"/>
      <c r="H3857" s="957"/>
    </row>
    <row r="3858" spans="1:8" ht="14.25">
      <c r="A3858" s="677" t="s">
        <v>3708</v>
      </c>
      <c r="B3858" s="957" t="s">
        <v>3804</v>
      </c>
      <c r="C3858" s="958"/>
      <c r="D3858" s="958"/>
      <c r="E3858" s="958"/>
      <c r="F3858" s="958"/>
      <c r="G3858" s="958"/>
      <c r="H3858" s="958"/>
    </row>
    <row r="3859" spans="1:8" ht="15">
      <c r="A3859" s="194"/>
      <c r="B3859" s="957" t="s">
        <v>436</v>
      </c>
      <c r="C3859" s="958"/>
      <c r="D3859" s="958"/>
      <c r="E3859" s="958"/>
      <c r="F3859" s="958"/>
      <c r="G3859" s="958"/>
      <c r="H3859" s="958"/>
    </row>
    <row r="3860" spans="1:8" ht="15">
      <c r="A3860" s="1"/>
      <c r="B3860" s="885" t="s">
        <v>1392</v>
      </c>
      <c r="C3860" s="885"/>
      <c r="D3860" s="885"/>
      <c r="E3860" s="885"/>
      <c r="F3860" s="885"/>
      <c r="G3860" s="885"/>
      <c r="H3860" s="885"/>
    </row>
    <row r="3861" spans="1:8" ht="31.5">
      <c r="A3861" s="1"/>
      <c r="B3861" s="68" t="s">
        <v>2966</v>
      </c>
      <c r="C3861" s="68" t="s">
        <v>2967</v>
      </c>
      <c r="D3861" s="68" t="s">
        <v>2968</v>
      </c>
      <c r="E3861" s="68" t="s">
        <v>2969</v>
      </c>
      <c r="F3861" s="68" t="s">
        <v>2970</v>
      </c>
      <c r="G3861" s="68" t="s">
        <v>2971</v>
      </c>
      <c r="H3861" s="68" t="s">
        <v>1487</v>
      </c>
    </row>
    <row r="3862" spans="1:8" ht="63">
      <c r="A3862" s="1"/>
      <c r="B3862" s="58" t="s">
        <v>2055</v>
      </c>
      <c r="C3862" s="58" t="s">
        <v>437</v>
      </c>
      <c r="D3862" s="8"/>
      <c r="E3862" s="8"/>
      <c r="F3862" s="107"/>
      <c r="G3862" s="107"/>
      <c r="H3862" s="108"/>
    </row>
    <row r="3863" spans="1:8" ht="17.25">
      <c r="A3863" s="1"/>
      <c r="B3863" s="81" t="s">
        <v>370</v>
      </c>
      <c r="C3863" s="80" t="s">
        <v>1372</v>
      </c>
      <c r="D3863" s="42">
        <v>1</v>
      </c>
      <c r="E3863" s="53" t="s">
        <v>2807</v>
      </c>
      <c r="F3863" s="116" t="e">
        <f>#REF!</f>
        <v>#REF!</v>
      </c>
      <c r="G3863" s="109" t="e">
        <f>FLOOR(D3863*F3863,0.01)</f>
        <v>#REF!</v>
      </c>
      <c r="H3863" s="9"/>
    </row>
    <row r="3864" spans="1:8" ht="17.25">
      <c r="A3864" s="1"/>
      <c r="B3864" s="78"/>
      <c r="C3864" s="78"/>
      <c r="D3864" s="51"/>
      <c r="E3864" s="56"/>
      <c r="F3864" s="122"/>
      <c r="G3864" s="122"/>
      <c r="H3864" s="123" t="e">
        <f>SUM(G3863)</f>
        <v>#REF!</v>
      </c>
    </row>
    <row r="3865" spans="1:8" ht="19.5">
      <c r="A3865" s="1"/>
      <c r="B3865" s="1"/>
      <c r="C3865" s="1"/>
      <c r="D3865" s="1"/>
      <c r="E3865" s="1"/>
      <c r="F3865" s="40" t="s">
        <v>1491</v>
      </c>
      <c r="G3865" s="102"/>
      <c r="H3865" s="63" t="e">
        <f>SUM(H3861:H3864)</f>
        <v>#REF!</v>
      </c>
    </row>
    <row r="3866" spans="1:8" ht="19.5">
      <c r="A3866" s="1"/>
      <c r="B3866" s="1" t="s">
        <v>372</v>
      </c>
      <c r="C3866" s="1"/>
      <c r="D3866" s="1"/>
      <c r="E3866" s="1"/>
      <c r="F3866" s="40" t="s">
        <v>1471</v>
      </c>
      <c r="G3866" s="102"/>
      <c r="H3866" s="63" t="e">
        <f>FLOOR(H3865*0.15,0.01)</f>
        <v>#REF!</v>
      </c>
    </row>
    <row r="3867" spans="1:8" ht="19.5">
      <c r="A3867" s="27" t="s">
        <v>3005</v>
      </c>
      <c r="B3867" s="99" t="e">
        <f>+H3867</f>
        <v>#REF!</v>
      </c>
      <c r="C3867" s="1" t="s">
        <v>3006</v>
      </c>
      <c r="D3867" s="1"/>
      <c r="E3867" s="1"/>
      <c r="F3867" s="40" t="s">
        <v>1494</v>
      </c>
      <c r="G3867" s="102"/>
      <c r="H3867" s="99" t="e">
        <f>SUM(H3865:H3866)</f>
        <v>#REF!</v>
      </c>
    </row>
    <row r="3868" spans="1:8" ht="19.5">
      <c r="A3868" s="27"/>
      <c r="B3868" s="141"/>
      <c r="C3868" s="1"/>
      <c r="D3868" s="1"/>
      <c r="E3868" s="1"/>
      <c r="F3868" s="40"/>
      <c r="G3868" s="102"/>
      <c r="H3868" s="141"/>
    </row>
    <row r="3869" spans="1:8" ht="19.5">
      <c r="A3869" s="27"/>
      <c r="B3869" s="141"/>
      <c r="C3869" s="1"/>
      <c r="D3869" s="1"/>
      <c r="E3869" s="1"/>
      <c r="F3869" s="40"/>
      <c r="G3869" s="102"/>
      <c r="H3869" s="141"/>
    </row>
    <row r="3870" spans="1:8" ht="19.5">
      <c r="A3870" s="27"/>
      <c r="B3870" s="141"/>
      <c r="C3870" s="1"/>
      <c r="D3870" s="1"/>
      <c r="E3870" s="1"/>
      <c r="F3870" s="40"/>
      <c r="G3870" s="102"/>
      <c r="H3870" s="141"/>
    </row>
    <row r="3871" spans="1:8" ht="15.75">
      <c r="A3871" s="138">
        <f>A3857+1</f>
        <v>238</v>
      </c>
      <c r="B3871" s="957" t="s">
        <v>3409</v>
      </c>
      <c r="C3871" s="957"/>
      <c r="D3871" s="957"/>
      <c r="E3871" s="957"/>
      <c r="F3871" s="957"/>
      <c r="G3871" s="957"/>
      <c r="H3871" s="957"/>
    </row>
    <row r="3872" spans="1:8" ht="14.25">
      <c r="A3872" s="677" t="s">
        <v>3708</v>
      </c>
      <c r="B3872" s="957" t="s">
        <v>3410</v>
      </c>
      <c r="C3872" s="958"/>
      <c r="D3872" s="958"/>
      <c r="E3872" s="958"/>
      <c r="F3872" s="958"/>
      <c r="G3872" s="958"/>
      <c r="H3872" s="958"/>
    </row>
    <row r="3873" spans="1:8" ht="15">
      <c r="A3873" s="194"/>
      <c r="B3873" s="957"/>
      <c r="C3873" s="958"/>
      <c r="D3873" s="958"/>
      <c r="E3873" s="958"/>
      <c r="F3873" s="958"/>
      <c r="G3873" s="958"/>
      <c r="H3873" s="958"/>
    </row>
    <row r="3874" spans="1:8" ht="15">
      <c r="A3874" s="1"/>
      <c r="B3874" s="885" t="s">
        <v>1392</v>
      </c>
      <c r="C3874" s="885"/>
      <c r="D3874" s="885"/>
      <c r="E3874" s="885"/>
      <c r="F3874" s="885"/>
      <c r="G3874" s="885"/>
      <c r="H3874" s="885"/>
    </row>
    <row r="3875" spans="1:8" ht="31.5">
      <c r="A3875" s="1"/>
      <c r="B3875" s="68" t="s">
        <v>2966</v>
      </c>
      <c r="C3875" s="68" t="s">
        <v>2967</v>
      </c>
      <c r="D3875" s="68" t="s">
        <v>2968</v>
      </c>
      <c r="E3875" s="68" t="s">
        <v>2969</v>
      </c>
      <c r="F3875" s="68" t="s">
        <v>2970</v>
      </c>
      <c r="G3875" s="68" t="s">
        <v>2971</v>
      </c>
      <c r="H3875" s="68" t="s">
        <v>1487</v>
      </c>
    </row>
    <row r="3876" spans="1:8" ht="31.5">
      <c r="A3876" s="1"/>
      <c r="B3876" s="58" t="s">
        <v>2055</v>
      </c>
      <c r="C3876" s="58" t="s">
        <v>3411</v>
      </c>
      <c r="D3876" s="8"/>
      <c r="E3876" s="8"/>
      <c r="F3876" s="107"/>
      <c r="G3876" s="107"/>
      <c r="H3876" s="108"/>
    </row>
    <row r="3877" spans="1:8" ht="17.25">
      <c r="A3877" s="1"/>
      <c r="B3877" s="81" t="s">
        <v>370</v>
      </c>
      <c r="C3877" s="80" t="s">
        <v>1372</v>
      </c>
      <c r="D3877" s="42">
        <v>1</v>
      </c>
      <c r="E3877" s="53" t="s">
        <v>2807</v>
      </c>
      <c r="F3877" s="116" t="e">
        <f>#REF!</f>
        <v>#REF!</v>
      </c>
      <c r="G3877" s="109" t="e">
        <f>FLOOR(D3877*F3877,0.01)</f>
        <v>#REF!</v>
      </c>
      <c r="H3877" s="9"/>
    </row>
    <row r="3878" spans="1:8" ht="17.25">
      <c r="A3878" s="1"/>
      <c r="B3878" s="78"/>
      <c r="C3878" s="78"/>
      <c r="D3878" s="51"/>
      <c r="E3878" s="56"/>
      <c r="F3878" s="122"/>
      <c r="G3878" s="122"/>
      <c r="H3878" s="123" t="e">
        <f>SUM(G3877)</f>
        <v>#REF!</v>
      </c>
    </row>
    <row r="3879" spans="1:8" ht="19.5">
      <c r="A3879" s="1"/>
      <c r="B3879" s="1"/>
      <c r="C3879" s="1"/>
      <c r="D3879" s="1"/>
      <c r="E3879" s="1"/>
      <c r="F3879" s="40" t="s">
        <v>1491</v>
      </c>
      <c r="G3879" s="102"/>
      <c r="H3879" s="63" t="e">
        <f>SUM(H3875:H3878)</f>
        <v>#REF!</v>
      </c>
    </row>
    <row r="3880" spans="1:8" ht="19.5">
      <c r="A3880" s="1"/>
      <c r="B3880" s="1" t="s">
        <v>372</v>
      </c>
      <c r="C3880" s="1"/>
      <c r="D3880" s="1"/>
      <c r="E3880" s="1"/>
      <c r="F3880" s="40" t="s">
        <v>1471</v>
      </c>
      <c r="G3880" s="102"/>
      <c r="H3880" s="63" t="e">
        <f>FLOOR(H3879*0.15,0.01)</f>
        <v>#REF!</v>
      </c>
    </row>
    <row r="3881" spans="1:8" ht="19.5">
      <c r="A3881" s="27" t="s">
        <v>3005</v>
      </c>
      <c r="B3881" s="99" t="e">
        <f>+H3881</f>
        <v>#REF!</v>
      </c>
      <c r="C3881" s="1" t="s">
        <v>3006</v>
      </c>
      <c r="D3881" s="1"/>
      <c r="E3881" s="1"/>
      <c r="F3881" s="40" t="s">
        <v>1494</v>
      </c>
      <c r="G3881" s="102"/>
      <c r="H3881" s="99" t="e">
        <f>SUM(H3879:H3880)</f>
        <v>#REF!</v>
      </c>
    </row>
    <row r="3882" spans="1:8" ht="19.5">
      <c r="A3882" s="27"/>
      <c r="B3882" s="141"/>
      <c r="C3882" s="1"/>
      <c r="D3882" s="1"/>
      <c r="E3882" s="1"/>
      <c r="F3882" s="40"/>
      <c r="G3882" s="102"/>
      <c r="H3882" s="141"/>
    </row>
    <row r="3883" spans="1:8" ht="19.5">
      <c r="A3883" s="27"/>
      <c r="B3883" s="141"/>
      <c r="C3883" s="1"/>
      <c r="D3883" s="1"/>
      <c r="E3883" s="1"/>
      <c r="F3883" s="40"/>
      <c r="G3883" s="102"/>
      <c r="H3883" s="141"/>
    </row>
    <row r="3884" spans="1:8" ht="15">
      <c r="A3884" s="1"/>
      <c r="B3884" s="1"/>
      <c r="C3884" s="1"/>
      <c r="D3884" s="1"/>
      <c r="E3884" s="1"/>
      <c r="F3884" s="1"/>
      <c r="G3884" s="1"/>
      <c r="H3884" s="1"/>
    </row>
    <row r="3885" spans="1:8" ht="15.75">
      <c r="A3885" s="138">
        <f>A3871+1</f>
        <v>239</v>
      </c>
      <c r="B3885" s="957" t="s">
        <v>3401</v>
      </c>
      <c r="C3885" s="957"/>
      <c r="D3885" s="957"/>
      <c r="E3885" s="957"/>
      <c r="F3885" s="957"/>
      <c r="G3885" s="957"/>
      <c r="H3885" s="957"/>
    </row>
    <row r="3886" spans="1:8" ht="14.25">
      <c r="A3886" s="677"/>
      <c r="B3886" s="885" t="s">
        <v>1392</v>
      </c>
      <c r="C3886" s="885"/>
      <c r="D3886" s="885"/>
      <c r="E3886" s="885"/>
      <c r="F3886" s="885"/>
      <c r="G3886" s="885"/>
      <c r="H3886" s="885"/>
    </row>
    <row r="3887" spans="1:8" ht="31.5">
      <c r="A3887" s="1"/>
      <c r="B3887" s="68" t="s">
        <v>2966</v>
      </c>
      <c r="C3887" s="68" t="s">
        <v>2967</v>
      </c>
      <c r="D3887" s="68" t="s">
        <v>2968</v>
      </c>
      <c r="E3887" s="68" t="s">
        <v>2969</v>
      </c>
      <c r="F3887" s="68" t="s">
        <v>2970</v>
      </c>
      <c r="G3887" s="68" t="s">
        <v>2971</v>
      </c>
      <c r="H3887" s="68" t="s">
        <v>1487</v>
      </c>
    </row>
    <row r="3888" spans="1:8" ht="15.75">
      <c r="A3888" s="1"/>
      <c r="B3888" s="58" t="s">
        <v>2055</v>
      </c>
      <c r="C3888" s="58" t="s">
        <v>3402</v>
      </c>
      <c r="D3888" s="8"/>
      <c r="E3888" s="8"/>
      <c r="F3888" s="107"/>
      <c r="G3888" s="107"/>
      <c r="H3888" s="108"/>
    </row>
    <row r="3889" spans="1:8" ht="17.25">
      <c r="A3889" s="1"/>
      <c r="B3889" s="81" t="s">
        <v>370</v>
      </c>
      <c r="C3889" s="80" t="s">
        <v>1372</v>
      </c>
      <c r="D3889" s="42">
        <v>1</v>
      </c>
      <c r="E3889" s="53" t="s">
        <v>2807</v>
      </c>
      <c r="F3889" s="116" t="e">
        <f>#REF!</f>
        <v>#REF!</v>
      </c>
      <c r="G3889" s="109" t="e">
        <f>FLOOR(D3889*F3889,0.01)</f>
        <v>#REF!</v>
      </c>
      <c r="H3889" s="9"/>
    </row>
    <row r="3890" spans="1:8" ht="17.25">
      <c r="A3890" s="1"/>
      <c r="B3890" s="78"/>
      <c r="C3890" s="78"/>
      <c r="D3890" s="51"/>
      <c r="E3890" s="56"/>
      <c r="F3890" s="122"/>
      <c r="G3890" s="122"/>
      <c r="H3890" s="123" t="e">
        <f>SUM(G3889)</f>
        <v>#REF!</v>
      </c>
    </row>
    <row r="3891" spans="1:8" ht="19.5">
      <c r="A3891" s="1"/>
      <c r="B3891" s="1"/>
      <c r="C3891" s="1"/>
      <c r="D3891" s="1"/>
      <c r="E3891" s="1"/>
      <c r="F3891" s="40" t="s">
        <v>1491</v>
      </c>
      <c r="G3891" s="102"/>
      <c r="H3891" s="63" t="e">
        <f>SUM(H3887:H3890)</f>
        <v>#REF!</v>
      </c>
    </row>
    <row r="3892" spans="1:8" ht="19.5">
      <c r="A3892" s="1"/>
      <c r="B3892" s="1" t="s">
        <v>372</v>
      </c>
      <c r="C3892" s="1"/>
      <c r="D3892" s="1"/>
      <c r="E3892" s="1"/>
      <c r="F3892" s="40" t="s">
        <v>1471</v>
      </c>
      <c r="G3892" s="102"/>
      <c r="H3892" s="63" t="e">
        <f>FLOOR(H3891*0.15,0.01)</f>
        <v>#REF!</v>
      </c>
    </row>
    <row r="3893" spans="1:8" ht="19.5">
      <c r="A3893" s="27" t="s">
        <v>3005</v>
      </c>
      <c r="B3893" s="99" t="e">
        <f>+H3893</f>
        <v>#REF!</v>
      </c>
      <c r="C3893" s="1" t="s">
        <v>3006</v>
      </c>
      <c r="D3893" s="1"/>
      <c r="E3893" s="1"/>
      <c r="F3893" s="40" t="s">
        <v>1494</v>
      </c>
      <c r="G3893" s="102"/>
      <c r="H3893" s="99" t="e">
        <f>SUM(H3891:H3892)</f>
        <v>#REF!</v>
      </c>
    </row>
    <row r="3894" spans="1:8" ht="19.5">
      <c r="A3894" s="27"/>
      <c r="B3894" s="141"/>
      <c r="C3894" s="1"/>
      <c r="D3894" s="1"/>
      <c r="E3894" s="1"/>
      <c r="F3894" s="40"/>
      <c r="G3894" s="102"/>
      <c r="H3894" s="141"/>
    </row>
    <row r="3895" spans="1:8" ht="19.5">
      <c r="A3895" s="27"/>
      <c r="B3895" s="141"/>
      <c r="C3895" s="1"/>
      <c r="D3895" s="1"/>
      <c r="E3895" s="1"/>
      <c r="F3895" s="40"/>
      <c r="G3895" s="102"/>
      <c r="H3895" s="141"/>
    </row>
    <row r="3896" spans="1:8" ht="19.5">
      <c r="A3896" s="27"/>
      <c r="B3896" s="141"/>
      <c r="C3896" s="1"/>
      <c r="D3896" s="1"/>
      <c r="E3896" s="1"/>
      <c r="F3896" s="40"/>
      <c r="G3896" s="102"/>
      <c r="H3896" s="141"/>
    </row>
    <row r="3897" spans="1:8" ht="15.75">
      <c r="A3897" s="138">
        <f>A3885+1</f>
        <v>240</v>
      </c>
      <c r="B3897" s="957" t="s">
        <v>3403</v>
      </c>
      <c r="C3897" s="957"/>
      <c r="D3897" s="957"/>
      <c r="E3897" s="957"/>
      <c r="F3897" s="957"/>
      <c r="G3897" s="957"/>
      <c r="H3897" s="957"/>
    </row>
    <row r="3898" spans="1:8" ht="15">
      <c r="A3898" s="15"/>
      <c r="B3898" s="885" t="s">
        <v>1392</v>
      </c>
      <c r="C3898" s="885"/>
      <c r="D3898" s="885"/>
      <c r="E3898" s="885"/>
      <c r="F3898" s="885"/>
      <c r="G3898" s="885"/>
      <c r="H3898" s="885"/>
    </row>
    <row r="3899" spans="1:8" ht="31.5">
      <c r="A3899" s="1"/>
      <c r="B3899" s="68" t="s">
        <v>2966</v>
      </c>
      <c r="C3899" s="68" t="s">
        <v>2967</v>
      </c>
      <c r="D3899" s="68" t="s">
        <v>2968</v>
      </c>
      <c r="E3899" s="68" t="s">
        <v>2969</v>
      </c>
      <c r="F3899" s="68" t="s">
        <v>2970</v>
      </c>
      <c r="G3899" s="68" t="s">
        <v>2971</v>
      </c>
      <c r="H3899" s="68" t="s">
        <v>1487</v>
      </c>
    </row>
    <row r="3900" spans="1:8" ht="15.75">
      <c r="A3900" s="1"/>
      <c r="B3900" s="58" t="s">
        <v>2055</v>
      </c>
      <c r="C3900" s="58" t="s">
        <v>3402</v>
      </c>
      <c r="D3900" s="8"/>
      <c r="E3900" s="8"/>
      <c r="F3900" s="107"/>
      <c r="G3900" s="107"/>
      <c r="H3900" s="108"/>
    </row>
    <row r="3901" spans="1:8" ht="17.25">
      <c r="A3901" s="1"/>
      <c r="B3901" s="81" t="s">
        <v>370</v>
      </c>
      <c r="C3901" s="80" t="s">
        <v>1372</v>
      </c>
      <c r="D3901" s="42">
        <v>1</v>
      </c>
      <c r="E3901" s="53" t="s">
        <v>2807</v>
      </c>
      <c r="F3901" s="116" t="e">
        <f>#REF!</f>
        <v>#REF!</v>
      </c>
      <c r="G3901" s="109" t="e">
        <f>FLOOR(D3901*F3901,0.01)</f>
        <v>#REF!</v>
      </c>
      <c r="H3901" s="9"/>
    </row>
    <row r="3902" spans="1:8" ht="17.25">
      <c r="A3902" s="1"/>
      <c r="B3902" s="78"/>
      <c r="C3902" s="78"/>
      <c r="D3902" s="51"/>
      <c r="E3902" s="56"/>
      <c r="F3902" s="122"/>
      <c r="G3902" s="122"/>
      <c r="H3902" s="123" t="e">
        <f>SUM(G3901)</f>
        <v>#REF!</v>
      </c>
    </row>
    <row r="3903" spans="1:8" ht="19.5">
      <c r="A3903" s="1"/>
      <c r="B3903" s="1"/>
      <c r="C3903" s="1"/>
      <c r="D3903" s="1"/>
      <c r="E3903" s="1"/>
      <c r="F3903" s="40" t="s">
        <v>1491</v>
      </c>
      <c r="G3903" s="102"/>
      <c r="H3903" s="63" t="e">
        <f>SUM(H3899:H3902)</f>
        <v>#REF!</v>
      </c>
    </row>
    <row r="3904" spans="1:8" ht="19.5">
      <c r="A3904" s="1"/>
      <c r="B3904" s="1" t="s">
        <v>372</v>
      </c>
      <c r="C3904" s="1"/>
      <c r="D3904" s="1"/>
      <c r="E3904" s="1"/>
      <c r="F3904" s="40" t="s">
        <v>1471</v>
      </c>
      <c r="G3904" s="102"/>
      <c r="H3904" s="63" t="e">
        <f>FLOOR(H3903*0.15,0.01)</f>
        <v>#REF!</v>
      </c>
    </row>
    <row r="3905" spans="1:8" ht="19.5">
      <c r="A3905" s="27" t="s">
        <v>3005</v>
      </c>
      <c r="B3905" s="99" t="e">
        <f>+H3905</f>
        <v>#REF!</v>
      </c>
      <c r="C3905" s="1" t="s">
        <v>3006</v>
      </c>
      <c r="D3905" s="1"/>
      <c r="E3905" s="1"/>
      <c r="F3905" s="40" t="s">
        <v>1494</v>
      </c>
      <c r="G3905" s="102"/>
      <c r="H3905" s="99" t="e">
        <f>SUM(H3903:H3904)</f>
        <v>#REF!</v>
      </c>
    </row>
    <row r="3906" spans="1:8" ht="15">
      <c r="A3906" s="1"/>
      <c r="B3906" s="1"/>
      <c r="C3906" s="1"/>
      <c r="D3906" s="1"/>
      <c r="E3906" s="1"/>
      <c r="F3906" s="1"/>
      <c r="G3906" s="1"/>
      <c r="H3906" s="1"/>
    </row>
    <row r="3907" spans="1:8" ht="15.75">
      <c r="A3907" s="138">
        <f>A3897+1</f>
        <v>241</v>
      </c>
      <c r="B3907" s="957" t="s">
        <v>3404</v>
      </c>
      <c r="C3907" s="957"/>
      <c r="D3907" s="957"/>
      <c r="E3907" s="957"/>
      <c r="F3907" s="957"/>
      <c r="G3907" s="957"/>
      <c r="H3907" s="957"/>
    </row>
    <row r="3908" spans="1:8" ht="15">
      <c r="A3908" s="15"/>
      <c r="B3908" s="885" t="s">
        <v>1392</v>
      </c>
      <c r="C3908" s="885"/>
      <c r="D3908" s="885"/>
      <c r="E3908" s="885"/>
      <c r="F3908" s="885"/>
      <c r="G3908" s="885"/>
      <c r="H3908" s="885"/>
    </row>
    <row r="3909" spans="1:8" ht="31.5">
      <c r="A3909" s="1"/>
      <c r="B3909" s="68" t="s">
        <v>2966</v>
      </c>
      <c r="C3909" s="68" t="s">
        <v>2967</v>
      </c>
      <c r="D3909" s="68" t="s">
        <v>2968</v>
      </c>
      <c r="E3909" s="68" t="s">
        <v>2969</v>
      </c>
      <c r="F3909" s="68" t="s">
        <v>2970</v>
      </c>
      <c r="G3909" s="68" t="s">
        <v>2971</v>
      </c>
      <c r="H3909" s="68" t="s">
        <v>1487</v>
      </c>
    </row>
    <row r="3910" spans="1:8" ht="15.75">
      <c r="A3910" s="1"/>
      <c r="B3910" s="58" t="s">
        <v>2055</v>
      </c>
      <c r="C3910" s="58" t="s">
        <v>3402</v>
      </c>
      <c r="D3910" s="8"/>
      <c r="E3910" s="8"/>
      <c r="F3910" s="107"/>
      <c r="G3910" s="107"/>
      <c r="H3910" s="108"/>
    </row>
    <row r="3911" spans="1:8" ht="17.25">
      <c r="A3911" s="1"/>
      <c r="B3911" s="81" t="s">
        <v>370</v>
      </c>
      <c r="C3911" s="80" t="s">
        <v>1372</v>
      </c>
      <c r="D3911" s="42">
        <v>1</v>
      </c>
      <c r="E3911" s="53" t="s">
        <v>2807</v>
      </c>
      <c r="F3911" s="116" t="e">
        <f>#REF!</f>
        <v>#REF!</v>
      </c>
      <c r="G3911" s="109" t="e">
        <f>FLOOR(D3911*F3911,0.01)</f>
        <v>#REF!</v>
      </c>
      <c r="H3911" s="9"/>
    </row>
    <row r="3912" spans="1:8" ht="17.25">
      <c r="A3912" s="1"/>
      <c r="B3912" s="78"/>
      <c r="C3912" s="78"/>
      <c r="D3912" s="51"/>
      <c r="E3912" s="56"/>
      <c r="F3912" s="122"/>
      <c r="G3912" s="122"/>
      <c r="H3912" s="123" t="e">
        <f>SUM(G3911)</f>
        <v>#REF!</v>
      </c>
    </row>
    <row r="3913" spans="1:8" ht="19.5">
      <c r="A3913" s="1"/>
      <c r="B3913" s="1"/>
      <c r="C3913" s="1"/>
      <c r="D3913" s="1"/>
      <c r="E3913" s="1"/>
      <c r="F3913" s="40" t="s">
        <v>1491</v>
      </c>
      <c r="G3913" s="102"/>
      <c r="H3913" s="63" t="e">
        <f>SUM(H3909:H3912)</f>
        <v>#REF!</v>
      </c>
    </row>
    <row r="3914" spans="1:8" ht="19.5">
      <c r="A3914" s="1"/>
      <c r="B3914" s="1" t="s">
        <v>372</v>
      </c>
      <c r="C3914" s="1"/>
      <c r="D3914" s="1"/>
      <c r="E3914" s="1"/>
      <c r="F3914" s="40" t="s">
        <v>1471</v>
      </c>
      <c r="G3914" s="102"/>
      <c r="H3914" s="63" t="e">
        <f>FLOOR(H3913*0.15,0.01)</f>
        <v>#REF!</v>
      </c>
    </row>
    <row r="3915" spans="1:8" ht="19.5">
      <c r="A3915" s="27" t="s">
        <v>3005</v>
      </c>
      <c r="B3915" s="99" t="e">
        <f>+H3915</f>
        <v>#REF!</v>
      </c>
      <c r="C3915" s="1" t="s">
        <v>3006</v>
      </c>
      <c r="D3915" s="1"/>
      <c r="E3915" s="1"/>
      <c r="F3915" s="40" t="s">
        <v>1494</v>
      </c>
      <c r="G3915" s="102"/>
      <c r="H3915" s="99" t="e">
        <f>SUM(H3913:H3914)</f>
        <v>#REF!</v>
      </c>
    </row>
    <row r="3916" spans="1:8" ht="19.5">
      <c r="A3916" s="27"/>
      <c r="B3916" s="141"/>
      <c r="C3916" s="1"/>
      <c r="D3916" s="1"/>
      <c r="E3916" s="1"/>
      <c r="F3916" s="40"/>
      <c r="G3916" s="102"/>
      <c r="H3916" s="141"/>
    </row>
    <row r="3917" spans="1:8" ht="15">
      <c r="A3917" s="1"/>
      <c r="B3917" s="1"/>
      <c r="C3917" s="1"/>
      <c r="D3917" s="1"/>
      <c r="E3917" s="1"/>
      <c r="F3917" s="1"/>
      <c r="G3917" s="1"/>
      <c r="H3917" s="1"/>
    </row>
    <row r="3918" spans="1:8" ht="15.75">
      <c r="A3918" s="138">
        <f>A3907+1</f>
        <v>242</v>
      </c>
      <c r="B3918" s="957" t="s">
        <v>3405</v>
      </c>
      <c r="C3918" s="957"/>
      <c r="D3918" s="957"/>
      <c r="E3918" s="957"/>
      <c r="F3918" s="957"/>
      <c r="G3918" s="957"/>
      <c r="H3918" s="957"/>
    </row>
    <row r="3919" spans="1:8" ht="15">
      <c r="A3919" s="15"/>
      <c r="B3919" s="885" t="s">
        <v>3406</v>
      </c>
      <c r="C3919" s="885"/>
      <c r="D3919" s="885"/>
      <c r="E3919" s="885"/>
      <c r="F3919" s="885"/>
      <c r="G3919" s="885"/>
      <c r="H3919" s="885"/>
    </row>
    <row r="3920" spans="1:8" ht="31.5">
      <c r="A3920" s="1"/>
      <c r="B3920" s="68" t="s">
        <v>2966</v>
      </c>
      <c r="C3920" s="68" t="s">
        <v>2967</v>
      </c>
      <c r="D3920" s="68" t="s">
        <v>2968</v>
      </c>
      <c r="E3920" s="68" t="s">
        <v>2969</v>
      </c>
      <c r="F3920" s="68" t="s">
        <v>2970</v>
      </c>
      <c r="G3920" s="68" t="s">
        <v>2971</v>
      </c>
      <c r="H3920" s="68" t="s">
        <v>1487</v>
      </c>
    </row>
    <row r="3921" spans="1:8" ht="15.75">
      <c r="A3921" s="1"/>
      <c r="B3921" s="58" t="s">
        <v>2055</v>
      </c>
      <c r="C3921" s="58" t="s">
        <v>3402</v>
      </c>
      <c r="D3921" s="8"/>
      <c r="E3921" s="8"/>
      <c r="F3921" s="107"/>
      <c r="G3921" s="107"/>
      <c r="H3921" s="108"/>
    </row>
    <row r="3922" spans="1:8" ht="17.25">
      <c r="A3922" s="1"/>
      <c r="B3922" s="81" t="s">
        <v>370</v>
      </c>
      <c r="C3922" s="80" t="s">
        <v>1372</v>
      </c>
      <c r="D3922" s="42">
        <v>1</v>
      </c>
      <c r="E3922" s="53" t="s">
        <v>3407</v>
      </c>
      <c r="F3922" s="116" t="e">
        <f>#REF!</f>
        <v>#REF!</v>
      </c>
      <c r="G3922" s="109" t="e">
        <f>FLOOR(D3922*F3922,0.01)</f>
        <v>#REF!</v>
      </c>
      <c r="H3922" s="9"/>
    </row>
    <row r="3923" spans="1:8" ht="17.25">
      <c r="A3923" s="1"/>
      <c r="B3923" s="78"/>
      <c r="C3923" s="78"/>
      <c r="D3923" s="51"/>
      <c r="E3923" s="56"/>
      <c r="F3923" s="122"/>
      <c r="G3923" s="122"/>
      <c r="H3923" s="123" t="e">
        <f>SUM(G3922)</f>
        <v>#REF!</v>
      </c>
    </row>
    <row r="3924" spans="1:8" ht="19.5">
      <c r="A3924" s="1"/>
      <c r="B3924" s="1"/>
      <c r="C3924" s="1"/>
      <c r="D3924" s="1"/>
      <c r="E3924" s="1"/>
      <c r="F3924" s="40" t="s">
        <v>1491</v>
      </c>
      <c r="G3924" s="102"/>
      <c r="H3924" s="63" t="e">
        <f>SUM(H3920:H3923)</f>
        <v>#REF!</v>
      </c>
    </row>
    <row r="3925" spans="1:8" ht="19.5">
      <c r="A3925" s="1"/>
      <c r="B3925" s="1" t="s">
        <v>3408</v>
      </c>
      <c r="C3925" s="1"/>
      <c r="D3925" s="1"/>
      <c r="E3925" s="1"/>
      <c r="F3925" s="40" t="s">
        <v>1471</v>
      </c>
      <c r="G3925" s="102"/>
      <c r="H3925" s="63" t="e">
        <f>FLOOR(H3924*0.15,0.01)</f>
        <v>#REF!</v>
      </c>
    </row>
    <row r="3926" spans="1:8" ht="19.5">
      <c r="A3926" s="27" t="s">
        <v>3005</v>
      </c>
      <c r="B3926" s="99" t="e">
        <f>+H3926</f>
        <v>#REF!</v>
      </c>
      <c r="C3926" s="1" t="s">
        <v>3006</v>
      </c>
      <c r="D3926" s="1"/>
      <c r="E3926" s="1"/>
      <c r="F3926" s="40" t="s">
        <v>1494</v>
      </c>
      <c r="G3926" s="102"/>
      <c r="H3926" s="99" t="e">
        <f>SUM(H3924:H3925)</f>
        <v>#REF!</v>
      </c>
    </row>
    <row r="3927" spans="1:8" ht="15">
      <c r="A3927" s="1"/>
      <c r="B3927" s="1"/>
      <c r="C3927" s="1"/>
      <c r="D3927" s="1"/>
      <c r="E3927" s="1"/>
      <c r="F3927" s="1"/>
      <c r="G3927" s="1"/>
      <c r="H3927" s="1"/>
    </row>
    <row r="3928" spans="1:8" ht="15">
      <c r="A3928" s="1"/>
      <c r="B3928" s="1"/>
      <c r="C3928" s="1"/>
      <c r="D3928" s="1"/>
      <c r="E3928" s="1"/>
      <c r="F3928" s="1"/>
      <c r="G3928" s="1"/>
      <c r="H3928" s="1"/>
    </row>
    <row r="3929" spans="1:8" ht="15.75">
      <c r="A3929" s="138">
        <f>A3918+1</f>
        <v>243</v>
      </c>
      <c r="B3929" s="957" t="s">
        <v>3412</v>
      </c>
      <c r="C3929" s="959"/>
      <c r="D3929" s="959"/>
      <c r="E3929" s="959"/>
      <c r="F3929" s="959"/>
      <c r="G3929" s="959"/>
      <c r="H3929" s="959"/>
    </row>
    <row r="3930" spans="1:8" ht="15">
      <c r="A3930" s="15"/>
      <c r="B3930" s="957" t="s">
        <v>3414</v>
      </c>
      <c r="C3930" s="958"/>
      <c r="D3930" s="958"/>
      <c r="E3930" s="958"/>
      <c r="F3930" s="958"/>
      <c r="G3930" s="958"/>
      <c r="H3930" s="958"/>
    </row>
    <row r="3931" spans="1:8" ht="15">
      <c r="A3931" s="194"/>
      <c r="B3931" s="957" t="s">
        <v>3413</v>
      </c>
      <c r="C3931" s="958"/>
      <c r="D3931" s="958"/>
      <c r="E3931" s="958"/>
      <c r="F3931" s="958"/>
      <c r="G3931" s="958"/>
      <c r="H3931" s="958"/>
    </row>
    <row r="3932" spans="1:8" ht="15">
      <c r="A3932" s="1"/>
      <c r="B3932" s="885" t="s">
        <v>1392</v>
      </c>
      <c r="C3932" s="885"/>
      <c r="D3932" s="885"/>
      <c r="E3932" s="885"/>
      <c r="F3932" s="885"/>
      <c r="G3932" s="885"/>
      <c r="H3932" s="885"/>
    </row>
    <row r="3933" spans="1:8" ht="31.5">
      <c r="A3933" s="1"/>
      <c r="B3933" s="68" t="s">
        <v>2966</v>
      </c>
      <c r="C3933" s="68" t="s">
        <v>2967</v>
      </c>
      <c r="D3933" s="68" t="s">
        <v>2968</v>
      </c>
      <c r="E3933" s="68" t="s">
        <v>2969</v>
      </c>
      <c r="F3933" s="68" t="s">
        <v>2970</v>
      </c>
      <c r="G3933" s="68" t="s">
        <v>2971</v>
      </c>
      <c r="H3933" s="68" t="s">
        <v>1487</v>
      </c>
    </row>
    <row r="3934" spans="1:8" ht="15.75">
      <c r="A3934" s="1"/>
      <c r="B3934" s="58" t="s">
        <v>2055</v>
      </c>
      <c r="C3934" s="58" t="s">
        <v>3415</v>
      </c>
      <c r="D3934" s="8"/>
      <c r="E3934" s="8"/>
      <c r="F3934" s="107"/>
      <c r="G3934" s="107"/>
      <c r="H3934" s="108"/>
    </row>
    <row r="3935" spans="1:8" ht="17.25">
      <c r="A3935" s="1"/>
      <c r="B3935" s="81" t="s">
        <v>370</v>
      </c>
      <c r="C3935" s="80" t="s">
        <v>1372</v>
      </c>
      <c r="D3935" s="42">
        <v>1</v>
      </c>
      <c r="E3935" s="53" t="s">
        <v>2807</v>
      </c>
      <c r="F3935" s="116" t="e">
        <f>+#REF!</f>
        <v>#REF!</v>
      </c>
      <c r="G3935" s="109" t="e">
        <f>FLOOR(D3935*F3935,0.01)</f>
        <v>#REF!</v>
      </c>
      <c r="H3935" s="9"/>
    </row>
    <row r="3936" spans="1:8" ht="17.25">
      <c r="A3936" s="1"/>
      <c r="B3936" s="78"/>
      <c r="C3936" s="78"/>
      <c r="D3936" s="51"/>
      <c r="E3936" s="56"/>
      <c r="F3936" s="122"/>
      <c r="G3936" s="122"/>
      <c r="H3936" s="123" t="e">
        <f>SUM(G3935)</f>
        <v>#REF!</v>
      </c>
    </row>
    <row r="3937" spans="1:8" ht="19.5">
      <c r="A3937" s="1"/>
      <c r="B3937" s="1"/>
      <c r="C3937" s="1"/>
      <c r="D3937" s="1"/>
      <c r="E3937" s="1"/>
      <c r="F3937" s="40" t="s">
        <v>1491</v>
      </c>
      <c r="G3937" s="102"/>
      <c r="H3937" s="63" t="e">
        <f>SUM(H3933:H3936)</f>
        <v>#REF!</v>
      </c>
    </row>
    <row r="3938" spans="1:8" ht="19.5">
      <c r="A3938" s="1"/>
      <c r="B3938" s="1" t="s">
        <v>372</v>
      </c>
      <c r="C3938" s="1"/>
      <c r="D3938" s="1"/>
      <c r="E3938" s="1"/>
      <c r="F3938" s="40" t="s">
        <v>1471</v>
      </c>
      <c r="G3938" s="102"/>
      <c r="H3938" s="63" t="e">
        <f>FLOOR(H3937*0.15,0.01)</f>
        <v>#REF!</v>
      </c>
    </row>
    <row r="3939" spans="1:8" ht="19.5">
      <c r="A3939" s="27" t="s">
        <v>3005</v>
      </c>
      <c r="B3939" s="99" t="e">
        <f>+H3939</f>
        <v>#REF!</v>
      </c>
      <c r="C3939" s="1" t="s">
        <v>3006</v>
      </c>
      <c r="D3939" s="1"/>
      <c r="E3939" s="1"/>
      <c r="F3939" s="40" t="s">
        <v>1494</v>
      </c>
      <c r="G3939" s="102"/>
      <c r="H3939" s="99" t="e">
        <f>SUM(H3937:H3938)</f>
        <v>#REF!</v>
      </c>
    </row>
    <row r="3940" spans="1:8" ht="15">
      <c r="A3940" s="1"/>
      <c r="B3940" s="1"/>
      <c r="C3940" s="1"/>
      <c r="D3940" s="1"/>
      <c r="E3940" s="1"/>
      <c r="F3940" s="1"/>
      <c r="G3940" s="1"/>
      <c r="H3940" s="1"/>
    </row>
    <row r="3941" spans="1:8" ht="19.5">
      <c r="A3941" s="31"/>
      <c r="B3941" s="878" t="s">
        <v>2056</v>
      </c>
      <c r="C3941" s="878"/>
      <c r="D3941" s="878"/>
      <c r="E3941" s="878"/>
      <c r="F3941" s="878"/>
      <c r="G3941" s="878"/>
      <c r="H3941" s="878"/>
    </row>
    <row r="3942" spans="1:8" ht="20.25">
      <c r="A3942" s="260">
        <f>A3929+1</f>
        <v>244</v>
      </c>
      <c r="B3942" s="877" t="s">
        <v>525</v>
      </c>
      <c r="C3942" s="878"/>
      <c r="D3942" s="878"/>
      <c r="E3942" s="878"/>
      <c r="F3942" s="878"/>
      <c r="G3942" s="878"/>
      <c r="H3942" s="878"/>
    </row>
    <row r="3943" spans="1:8" ht="14.25">
      <c r="A3943" s="677" t="s">
        <v>3709</v>
      </c>
      <c r="B3943" s="888" t="s">
        <v>1468</v>
      </c>
      <c r="C3943" s="879"/>
      <c r="D3943" s="879"/>
      <c r="E3943" s="879"/>
      <c r="F3943" s="879"/>
      <c r="G3943" s="879"/>
      <c r="H3943" s="879"/>
    </row>
    <row r="3944" spans="1:8" ht="31.5">
      <c r="A3944" s="1"/>
      <c r="B3944" s="68" t="s">
        <v>2966</v>
      </c>
      <c r="C3944" s="68" t="s">
        <v>2967</v>
      </c>
      <c r="D3944" s="68" t="s">
        <v>2968</v>
      </c>
      <c r="E3944" s="68" t="s">
        <v>2969</v>
      </c>
      <c r="F3944" s="68" t="s">
        <v>2970</v>
      </c>
      <c r="G3944" s="68" t="s">
        <v>2971</v>
      </c>
      <c r="H3944" s="68" t="s">
        <v>1487</v>
      </c>
    </row>
    <row r="3945" spans="1:8" ht="17.25">
      <c r="A3945" s="1"/>
      <c r="B3945" s="58" t="s">
        <v>520</v>
      </c>
      <c r="C3945" s="58" t="s">
        <v>521</v>
      </c>
      <c r="D3945" s="41">
        <v>1.06</v>
      </c>
      <c r="E3945" s="55" t="s">
        <v>1429</v>
      </c>
      <c r="F3945" s="152" t="e">
        <f>#REF!</f>
        <v>#REF!</v>
      </c>
      <c r="G3945" s="109" t="e">
        <f>FLOOR(D3945*F3945,0.01)</f>
        <v>#REF!</v>
      </c>
      <c r="H3945" s="153" t="e">
        <f>SUM(G3945)</f>
        <v>#REF!</v>
      </c>
    </row>
    <row r="3946" spans="1:8" ht="17.25">
      <c r="A3946" s="1"/>
      <c r="B3946" s="78"/>
      <c r="C3946" s="78"/>
      <c r="D3946" s="43"/>
      <c r="E3946" s="56"/>
      <c r="F3946" s="122"/>
      <c r="G3946" s="122"/>
      <c r="H3946" s="123"/>
    </row>
    <row r="3947" spans="1:8" ht="19.5">
      <c r="A3947" s="1"/>
      <c r="B3947" s="1"/>
      <c r="C3947" s="1"/>
      <c r="D3947" s="1"/>
      <c r="E3947" s="1"/>
      <c r="F3947" s="40" t="s">
        <v>1491</v>
      </c>
      <c r="G3947" s="102"/>
      <c r="H3947" s="63" t="e">
        <f>SUM(H3944:H3946)</f>
        <v>#REF!</v>
      </c>
    </row>
    <row r="3948" spans="1:8" ht="19.5">
      <c r="A3948" s="1"/>
      <c r="B3948" s="1" t="s">
        <v>3233</v>
      </c>
      <c r="C3948" s="1"/>
      <c r="D3948" s="1"/>
      <c r="E3948" s="1"/>
      <c r="F3948" s="40" t="s">
        <v>1471</v>
      </c>
      <c r="G3948" s="102"/>
      <c r="H3948" s="99" t="e">
        <f>FLOOR(H3947*0.15,0.01)</f>
        <v>#REF!</v>
      </c>
    </row>
    <row r="3949" spans="1:8" ht="19.5">
      <c r="A3949" s="27" t="s">
        <v>3005</v>
      </c>
      <c r="B3949" s="99" t="e">
        <f>+H3949</f>
        <v>#REF!</v>
      </c>
      <c r="C3949" s="1" t="s">
        <v>3006</v>
      </c>
      <c r="D3949" s="1"/>
      <c r="E3949" s="1"/>
      <c r="F3949" s="40" t="s">
        <v>1494</v>
      </c>
      <c r="G3949" s="102"/>
      <c r="H3949" s="99" t="e">
        <f>SUM(H3947:H3948)</f>
        <v>#REF!</v>
      </c>
    </row>
    <row r="3950" spans="1:8" ht="15">
      <c r="A3950" s="1"/>
      <c r="B3950" s="1"/>
      <c r="C3950" s="1"/>
      <c r="D3950" s="1"/>
      <c r="E3950" s="1"/>
      <c r="F3950" s="1"/>
      <c r="G3950" s="1"/>
      <c r="H3950" s="1"/>
    </row>
    <row r="3951" spans="1:8" ht="15">
      <c r="A3951" s="1"/>
      <c r="B3951" s="1"/>
      <c r="C3951" s="1"/>
      <c r="D3951" s="1"/>
      <c r="E3951" s="1"/>
      <c r="F3951" s="1"/>
      <c r="G3951" s="1"/>
      <c r="H3951" s="1"/>
    </row>
    <row r="3952" spans="1:8" ht="20.25">
      <c r="A3952" s="260">
        <f>+A3942+1</f>
        <v>245</v>
      </c>
      <c r="B3952" s="878" t="s">
        <v>561</v>
      </c>
      <c r="C3952" s="878"/>
      <c r="D3952" s="878"/>
      <c r="E3952" s="878"/>
      <c r="F3952" s="878"/>
      <c r="G3952" s="878"/>
      <c r="H3952" s="878"/>
    </row>
    <row r="3953" spans="1:8" ht="14.25">
      <c r="A3953" s="677" t="s">
        <v>3710</v>
      </c>
      <c r="B3953" s="888" t="s">
        <v>1468</v>
      </c>
      <c r="C3953" s="879"/>
      <c r="D3953" s="879"/>
      <c r="E3953" s="879"/>
      <c r="F3953" s="879"/>
      <c r="G3953" s="879"/>
      <c r="H3953" s="879"/>
    </row>
    <row r="3954" spans="1:8" ht="31.5">
      <c r="A3954" s="1"/>
      <c r="B3954" s="68" t="s">
        <v>2966</v>
      </c>
      <c r="C3954" s="68" t="s">
        <v>2967</v>
      </c>
      <c r="D3954" s="68" t="s">
        <v>2968</v>
      </c>
      <c r="E3954" s="68" t="s">
        <v>2969</v>
      </c>
      <c r="F3954" s="68" t="s">
        <v>2970</v>
      </c>
      <c r="G3954" s="68" t="s">
        <v>2971</v>
      </c>
      <c r="H3954" s="68" t="s">
        <v>1487</v>
      </c>
    </row>
    <row r="3955" spans="1:8" ht="17.25">
      <c r="A3955" s="1"/>
      <c r="B3955" s="58" t="s">
        <v>520</v>
      </c>
      <c r="C3955" s="58" t="s">
        <v>521</v>
      </c>
      <c r="D3955" s="41">
        <v>2.12</v>
      </c>
      <c r="E3955" s="55" t="s">
        <v>1429</v>
      </c>
      <c r="F3955" s="152" t="e">
        <f>#REF!</f>
        <v>#REF!</v>
      </c>
      <c r="G3955" s="109" t="e">
        <f>FLOOR(D3955*F3955,0.01)</f>
        <v>#REF!</v>
      </c>
      <c r="H3955" s="153" t="e">
        <f>SUM(G3955)</f>
        <v>#REF!</v>
      </c>
    </row>
    <row r="3956" spans="1:8" ht="17.25">
      <c r="A3956" s="1"/>
      <c r="B3956" s="78"/>
      <c r="C3956" s="78"/>
      <c r="D3956" s="43"/>
      <c r="E3956" s="56"/>
      <c r="F3956" s="122"/>
      <c r="G3956" s="122"/>
      <c r="H3956" s="123"/>
    </row>
    <row r="3957" spans="1:8" ht="19.5">
      <c r="A3957" s="1"/>
      <c r="B3957" s="1"/>
      <c r="C3957" s="1"/>
      <c r="D3957" s="1"/>
      <c r="E3957" s="1"/>
      <c r="F3957" s="40" t="s">
        <v>1491</v>
      </c>
      <c r="G3957" s="102"/>
      <c r="H3957" s="63" t="e">
        <f>SUM(H3954:H3956)</f>
        <v>#REF!</v>
      </c>
    </row>
    <row r="3958" spans="1:8" ht="19.5">
      <c r="A3958" s="1"/>
      <c r="B3958" s="1" t="s">
        <v>3233</v>
      </c>
      <c r="C3958" s="1"/>
      <c r="D3958" s="1"/>
      <c r="E3958" s="1"/>
      <c r="F3958" s="40" t="s">
        <v>1471</v>
      </c>
      <c r="G3958" s="102"/>
      <c r="H3958" s="99" t="e">
        <f>FLOOR(H3957*0.15,0.01)</f>
        <v>#REF!</v>
      </c>
    </row>
    <row r="3959" spans="1:8" ht="19.5">
      <c r="A3959" s="27" t="s">
        <v>3005</v>
      </c>
      <c r="B3959" s="99" t="e">
        <f>+H3959</f>
        <v>#REF!</v>
      </c>
      <c r="C3959" s="1" t="s">
        <v>3006</v>
      </c>
      <c r="D3959" s="1"/>
      <c r="E3959" s="1"/>
      <c r="F3959" s="40" t="s">
        <v>1494</v>
      </c>
      <c r="G3959" s="102"/>
      <c r="H3959" s="99" t="e">
        <f>SUM(H3957:H3958)</f>
        <v>#REF!</v>
      </c>
    </row>
    <row r="3960" spans="1:8" ht="15">
      <c r="A3960" s="1"/>
      <c r="B3960" s="1"/>
      <c r="C3960" s="1"/>
      <c r="D3960" s="1"/>
      <c r="E3960" s="1"/>
      <c r="F3960" s="1"/>
      <c r="G3960" s="1"/>
      <c r="H3960" s="1"/>
    </row>
    <row r="3961" spans="1:8" ht="15">
      <c r="A3961" s="1"/>
      <c r="B3961" s="1"/>
      <c r="C3961" s="1"/>
      <c r="D3961" s="1"/>
      <c r="E3961" s="1"/>
      <c r="F3961" s="1"/>
      <c r="G3961" s="1"/>
      <c r="H3961" s="1"/>
    </row>
    <row r="3962" spans="1:8" ht="19.5">
      <c r="A3962" s="31"/>
      <c r="B3962" s="878" t="s">
        <v>2057</v>
      </c>
      <c r="C3962" s="878"/>
      <c r="D3962" s="878"/>
      <c r="E3962" s="878"/>
      <c r="F3962" s="878"/>
      <c r="G3962" s="878"/>
      <c r="H3962" s="878"/>
    </row>
    <row r="3963" spans="1:8" ht="20.25">
      <c r="A3963" s="260">
        <f>+A3952+1</f>
        <v>246</v>
      </c>
      <c r="B3963" s="877" t="s">
        <v>858</v>
      </c>
      <c r="C3963" s="878"/>
      <c r="D3963" s="878"/>
      <c r="E3963" s="878"/>
      <c r="F3963" s="878"/>
      <c r="G3963" s="878"/>
      <c r="H3963" s="878"/>
    </row>
    <row r="3964" spans="1:8" ht="14.25">
      <c r="A3964" s="677" t="s">
        <v>3711</v>
      </c>
      <c r="B3964" s="888" t="s">
        <v>1468</v>
      </c>
      <c r="C3964" s="879"/>
      <c r="D3964" s="879"/>
      <c r="E3964" s="879"/>
      <c r="F3964" s="879"/>
      <c r="G3964" s="879"/>
      <c r="H3964" s="879"/>
    </row>
    <row r="3965" spans="1:8" ht="31.5">
      <c r="A3965" s="1"/>
      <c r="B3965" s="68" t="s">
        <v>2966</v>
      </c>
      <c r="C3965" s="68" t="s">
        <v>2967</v>
      </c>
      <c r="D3965" s="68" t="s">
        <v>2968</v>
      </c>
      <c r="E3965" s="68" t="s">
        <v>2969</v>
      </c>
      <c r="F3965" s="68" t="s">
        <v>2970</v>
      </c>
      <c r="G3965" s="68" t="s">
        <v>2971</v>
      </c>
      <c r="H3965" s="68" t="s">
        <v>1487</v>
      </c>
    </row>
    <row r="3966" spans="1:8" ht="17.25">
      <c r="A3966" s="1"/>
      <c r="B3966" s="58" t="s">
        <v>520</v>
      </c>
      <c r="C3966" s="58" t="s">
        <v>521</v>
      </c>
      <c r="D3966" s="41">
        <v>11</v>
      </c>
      <c r="E3966" s="55" t="s">
        <v>1429</v>
      </c>
      <c r="F3966" s="152" t="e">
        <f>#REF!</f>
        <v>#REF!</v>
      </c>
      <c r="G3966" s="109" t="e">
        <f>FLOOR(D3966*F3966,0.01)</f>
        <v>#REF!</v>
      </c>
      <c r="H3966" s="153" t="e">
        <f>SUM(G3966)</f>
        <v>#REF!</v>
      </c>
    </row>
    <row r="3967" spans="1:8" ht="17.25">
      <c r="A3967" s="1"/>
      <c r="B3967" s="78"/>
      <c r="C3967" s="78"/>
      <c r="D3967" s="43"/>
      <c r="E3967" s="56"/>
      <c r="F3967" s="122"/>
      <c r="G3967" s="122"/>
      <c r="H3967" s="123"/>
    </row>
    <row r="3968" spans="1:8" ht="19.5">
      <c r="A3968" s="1"/>
      <c r="B3968" s="1"/>
      <c r="C3968" s="1"/>
      <c r="D3968" s="1"/>
      <c r="E3968" s="1"/>
      <c r="F3968" s="40" t="s">
        <v>1491</v>
      </c>
      <c r="G3968" s="102"/>
      <c r="H3968" s="63" t="e">
        <f>SUM(H3965:H3967)</f>
        <v>#REF!</v>
      </c>
    </row>
    <row r="3969" spans="1:8" ht="19.5">
      <c r="A3969" s="1"/>
      <c r="B3969" s="1" t="s">
        <v>3233</v>
      </c>
      <c r="C3969" s="1"/>
      <c r="D3969" s="1"/>
      <c r="E3969" s="1"/>
      <c r="F3969" s="40" t="s">
        <v>1471</v>
      </c>
      <c r="G3969" s="102"/>
      <c r="H3969" s="99" t="e">
        <f>FLOOR(H3968*0.15,0.01)</f>
        <v>#REF!</v>
      </c>
    </row>
    <row r="3970" spans="1:8" ht="19.5">
      <c r="A3970" s="27" t="s">
        <v>3005</v>
      </c>
      <c r="B3970" s="99" t="e">
        <f>+H3970</f>
        <v>#REF!</v>
      </c>
      <c r="C3970" s="1" t="s">
        <v>3006</v>
      </c>
      <c r="D3970" s="1"/>
      <c r="E3970" s="1"/>
      <c r="F3970" s="40" t="s">
        <v>1494</v>
      </c>
      <c r="G3970" s="102"/>
      <c r="H3970" s="99" t="e">
        <f>SUM(H3968:H3969)</f>
        <v>#REF!</v>
      </c>
    </row>
    <row r="3971" spans="1:8" ht="15">
      <c r="A3971" s="1"/>
      <c r="B3971" s="1"/>
      <c r="C3971" s="1"/>
      <c r="D3971" s="1"/>
      <c r="E3971" s="1"/>
      <c r="F3971" s="1"/>
      <c r="G3971" s="1"/>
      <c r="H3971" s="1"/>
    </row>
    <row r="3972" spans="1:8" ht="15">
      <c r="A3972" s="1"/>
      <c r="B3972" s="1"/>
      <c r="C3972" s="1"/>
      <c r="D3972" s="1"/>
      <c r="E3972" s="1"/>
      <c r="F3972" s="1"/>
      <c r="G3972" s="1"/>
      <c r="H3972" s="1"/>
    </row>
    <row r="3973" spans="1:8" ht="15">
      <c r="A3973" s="1"/>
      <c r="B3973" s="1"/>
      <c r="C3973" s="1"/>
      <c r="D3973" s="1"/>
      <c r="E3973" s="1"/>
      <c r="F3973" s="1"/>
      <c r="G3973" s="1"/>
      <c r="H3973" s="1"/>
    </row>
    <row r="3974" spans="1:8" ht="19.5">
      <c r="A3974" s="31"/>
      <c r="B3974" s="878" t="s">
        <v>2058</v>
      </c>
      <c r="C3974" s="878"/>
      <c r="D3974" s="878"/>
      <c r="E3974" s="878"/>
      <c r="F3974" s="878"/>
      <c r="G3974" s="878"/>
      <c r="H3974" s="878"/>
    </row>
    <row r="3975" spans="1:8" ht="20.25">
      <c r="A3975" s="260">
        <f>+A3963+1</f>
        <v>247</v>
      </c>
      <c r="B3975" s="877" t="s">
        <v>1065</v>
      </c>
      <c r="C3975" s="878"/>
      <c r="D3975" s="878"/>
      <c r="E3975" s="878"/>
      <c r="F3975" s="878"/>
      <c r="G3975" s="878"/>
      <c r="H3975" s="878"/>
    </row>
    <row r="3976" spans="1:8" ht="14.25">
      <c r="A3976" s="677" t="s">
        <v>3712</v>
      </c>
      <c r="B3976" s="888" t="s">
        <v>1468</v>
      </c>
      <c r="C3976" s="879"/>
      <c r="D3976" s="879"/>
      <c r="E3976" s="879"/>
      <c r="F3976" s="879"/>
      <c r="G3976" s="879"/>
      <c r="H3976" s="879"/>
    </row>
    <row r="3977" spans="1:8" ht="31.5">
      <c r="A3977" s="1"/>
      <c r="B3977" s="68" t="s">
        <v>2966</v>
      </c>
      <c r="C3977" s="68" t="s">
        <v>2967</v>
      </c>
      <c r="D3977" s="68" t="s">
        <v>2968</v>
      </c>
      <c r="E3977" s="68" t="s">
        <v>2969</v>
      </c>
      <c r="F3977" s="68" t="s">
        <v>2970</v>
      </c>
      <c r="G3977" s="68" t="s">
        <v>2971</v>
      </c>
      <c r="H3977" s="68" t="s">
        <v>1487</v>
      </c>
    </row>
    <row r="3978" spans="1:8" ht="17.25">
      <c r="A3978" s="1"/>
      <c r="B3978" s="58" t="s">
        <v>520</v>
      </c>
      <c r="C3978" s="58" t="s">
        <v>521</v>
      </c>
      <c r="D3978" s="675">
        <v>4</v>
      </c>
      <c r="E3978" s="55" t="s">
        <v>1429</v>
      </c>
      <c r="F3978" s="152" t="e">
        <f>#REF!</f>
        <v>#REF!</v>
      </c>
      <c r="G3978" s="109" t="e">
        <f>FLOOR(D3978*F3978,0.01)</f>
        <v>#REF!</v>
      </c>
      <c r="H3978" s="153" t="e">
        <f>SUM(G3978)</f>
        <v>#REF!</v>
      </c>
    </row>
    <row r="3979" spans="1:8" ht="17.25">
      <c r="A3979" s="1"/>
      <c r="B3979" s="78"/>
      <c r="C3979" s="78"/>
      <c r="D3979" s="43"/>
      <c r="E3979" s="56"/>
      <c r="F3979" s="122"/>
      <c r="G3979" s="122"/>
      <c r="H3979" s="123"/>
    </row>
    <row r="3980" spans="1:8" ht="19.5">
      <c r="A3980" s="1"/>
      <c r="B3980" s="1"/>
      <c r="C3980" s="1"/>
      <c r="D3980" s="1"/>
      <c r="E3980" s="1"/>
      <c r="F3980" s="40" t="s">
        <v>1491</v>
      </c>
      <c r="G3980" s="102"/>
      <c r="H3980" s="63" t="e">
        <f>SUM(H3977:H3979)</f>
        <v>#REF!</v>
      </c>
    </row>
    <row r="3981" spans="1:8" ht="19.5">
      <c r="A3981" s="1"/>
      <c r="B3981" s="1" t="s">
        <v>3233</v>
      </c>
      <c r="C3981" s="1"/>
      <c r="D3981" s="1"/>
      <c r="E3981" s="1"/>
      <c r="F3981" s="40" t="s">
        <v>1471</v>
      </c>
      <c r="G3981" s="102"/>
      <c r="H3981" s="99" t="e">
        <f>FLOOR(H3980*0.15,0.01)</f>
        <v>#REF!</v>
      </c>
    </row>
    <row r="3982" spans="1:8" ht="19.5">
      <c r="A3982" s="27" t="s">
        <v>3005</v>
      </c>
      <c r="B3982" s="99" t="e">
        <f>+H3982</f>
        <v>#REF!</v>
      </c>
      <c r="C3982" s="1" t="s">
        <v>3006</v>
      </c>
      <c r="D3982" s="1"/>
      <c r="E3982" s="1"/>
      <c r="F3982" s="40" t="s">
        <v>1494</v>
      </c>
      <c r="G3982" s="102"/>
      <c r="H3982" s="99" t="e">
        <f>SUM(H3980:H3981)</f>
        <v>#REF!</v>
      </c>
    </row>
    <row r="3983" spans="1:8" ht="16.5">
      <c r="A3983" s="27"/>
      <c r="B3983" s="117"/>
      <c r="C3983" s="1"/>
      <c r="D3983" s="1"/>
      <c r="E3983" s="1"/>
      <c r="F3983" s="1"/>
      <c r="G3983" s="1"/>
      <c r="H3983" s="19"/>
    </row>
    <row r="3984" spans="1:8" ht="16.5">
      <c r="A3984" s="27"/>
      <c r="B3984" s="117"/>
      <c r="C3984" s="1"/>
      <c r="D3984" s="1"/>
      <c r="E3984" s="1"/>
      <c r="F3984" s="1"/>
      <c r="G3984" s="1"/>
      <c r="H3984" s="19"/>
    </row>
    <row r="3985" spans="1:8" ht="16.5">
      <c r="A3985" s="27"/>
      <c r="B3985" s="117"/>
      <c r="C3985" s="1"/>
      <c r="D3985" s="1"/>
      <c r="E3985" s="1"/>
      <c r="F3985" s="1"/>
      <c r="G3985" s="1"/>
      <c r="H3985" s="19"/>
    </row>
    <row r="3986" spans="1:8" ht="20.25">
      <c r="A3986" s="260">
        <f>A3975+1</f>
        <v>248</v>
      </c>
      <c r="B3986" s="877" t="s">
        <v>1428</v>
      </c>
      <c r="C3986" s="878"/>
      <c r="D3986" s="878"/>
      <c r="E3986" s="878"/>
      <c r="F3986" s="878"/>
      <c r="G3986" s="878"/>
      <c r="H3986" s="878"/>
    </row>
    <row r="3987" spans="1:8" ht="14.25">
      <c r="A3987" s="677" t="s">
        <v>3713</v>
      </c>
      <c r="B3987" s="888" t="s">
        <v>374</v>
      </c>
      <c r="C3987" s="879"/>
      <c r="D3987" s="879"/>
      <c r="E3987" s="879"/>
      <c r="F3987" s="879"/>
      <c r="G3987" s="879"/>
      <c r="H3987" s="879"/>
    </row>
    <row r="3988" spans="1:8" ht="31.5">
      <c r="A3988" s="1"/>
      <c r="B3988" s="68" t="s">
        <v>2966</v>
      </c>
      <c r="C3988" s="68" t="s">
        <v>2967</v>
      </c>
      <c r="D3988" s="68" t="s">
        <v>2968</v>
      </c>
      <c r="E3988" s="68" t="s">
        <v>2969</v>
      </c>
      <c r="F3988" s="68" t="s">
        <v>2970</v>
      </c>
      <c r="G3988" s="68" t="s">
        <v>2971</v>
      </c>
      <c r="H3988" s="68" t="s">
        <v>1487</v>
      </c>
    </row>
    <row r="3989" spans="1:8" ht="17.25">
      <c r="A3989" s="1"/>
      <c r="B3989" s="58" t="s">
        <v>520</v>
      </c>
      <c r="C3989" s="58" t="s">
        <v>521</v>
      </c>
      <c r="D3989" s="46">
        <v>0.108</v>
      </c>
      <c r="E3989" s="55" t="s">
        <v>1429</v>
      </c>
      <c r="F3989" s="107" t="e">
        <f>#REF!</f>
        <v>#REF!</v>
      </c>
      <c r="G3989" s="109" t="e">
        <f>FLOOR(D3989*F3989,0.01)</f>
        <v>#REF!</v>
      </c>
      <c r="H3989" s="121" t="e">
        <f>SUM(G3989)</f>
        <v>#REF!</v>
      </c>
    </row>
    <row r="3990" spans="1:8" ht="17.25">
      <c r="A3990" s="1"/>
      <c r="B3990" s="78"/>
      <c r="C3990" s="78"/>
      <c r="D3990" s="49"/>
      <c r="E3990" s="56"/>
      <c r="F3990" s="122"/>
      <c r="G3990" s="122"/>
      <c r="H3990" s="123"/>
    </row>
    <row r="3991" spans="1:8" ht="19.5">
      <c r="A3991" s="1"/>
      <c r="B3991" s="1"/>
      <c r="C3991" s="1"/>
      <c r="D3991" s="1"/>
      <c r="E3991" s="1"/>
      <c r="F3991" s="40" t="s">
        <v>1491</v>
      </c>
      <c r="G3991" s="102"/>
      <c r="H3991" s="63" t="e">
        <f>SUM(H3988:H3990)</f>
        <v>#REF!</v>
      </c>
    </row>
    <row r="3992" spans="1:8" ht="19.5">
      <c r="A3992" s="1"/>
      <c r="B3992" s="1" t="s">
        <v>1493</v>
      </c>
      <c r="C3992" s="1"/>
      <c r="D3992" s="1"/>
      <c r="E3992" s="1"/>
      <c r="F3992" s="40" t="s">
        <v>1471</v>
      </c>
      <c r="G3992" s="102"/>
      <c r="H3992" s="99" t="e">
        <f>FLOOR(H3991*0.15,0.01)</f>
        <v>#REF!</v>
      </c>
    </row>
    <row r="3993" spans="1:8" ht="19.5">
      <c r="A3993" s="27" t="s">
        <v>3005</v>
      </c>
      <c r="B3993" s="99" t="e">
        <f>+H3993</f>
        <v>#REF!</v>
      </c>
      <c r="C3993" s="1" t="s">
        <v>3006</v>
      </c>
      <c r="D3993" s="1"/>
      <c r="E3993" s="1"/>
      <c r="F3993" s="40" t="s">
        <v>1494</v>
      </c>
      <c r="G3993" s="102"/>
      <c r="H3993" s="99" t="e">
        <f>SUM(H3991:H3992)</f>
        <v>#REF!</v>
      </c>
    </row>
    <row r="3994" spans="1:8" ht="16.5">
      <c r="A3994" s="27"/>
      <c r="B3994" s="1"/>
      <c r="C3994" s="1"/>
      <c r="D3994" s="1"/>
      <c r="E3994" s="1"/>
      <c r="F3994" s="1"/>
      <c r="G3994" s="1"/>
      <c r="H3994" s="117"/>
    </row>
    <row r="3995" spans="1:8" ht="16.5">
      <c r="A3995" s="27"/>
      <c r="B3995" s="1"/>
      <c r="C3995" s="1"/>
      <c r="D3995" s="1"/>
      <c r="E3995" s="1"/>
      <c r="F3995" s="1"/>
      <c r="G3995" s="1"/>
      <c r="H3995" s="117"/>
    </row>
    <row r="3996" spans="1:8" ht="19.5">
      <c r="A3996" s="31"/>
      <c r="B3996" s="878" t="s">
        <v>523</v>
      </c>
      <c r="C3996" s="878"/>
      <c r="D3996" s="878"/>
      <c r="E3996" s="878"/>
      <c r="F3996" s="878"/>
      <c r="G3996" s="878"/>
      <c r="H3996" s="878"/>
    </row>
    <row r="3997" spans="1:8" ht="20.25">
      <c r="A3997" s="260">
        <f>+A3986+1</f>
        <v>249</v>
      </c>
      <c r="B3997" s="935" t="s">
        <v>524</v>
      </c>
      <c r="C3997" s="909"/>
      <c r="D3997" s="909"/>
      <c r="E3997" s="909"/>
      <c r="F3997" s="909"/>
      <c r="G3997" s="909"/>
      <c r="H3997" s="909"/>
    </row>
    <row r="3998" spans="1:8" ht="14.25">
      <c r="A3998" s="677" t="s">
        <v>3714</v>
      </c>
      <c r="B3998" s="888" t="s">
        <v>374</v>
      </c>
      <c r="C3998" s="879"/>
      <c r="D3998" s="879"/>
      <c r="E3998" s="879"/>
      <c r="F3998" s="879"/>
      <c r="G3998" s="879"/>
      <c r="H3998" s="879"/>
    </row>
    <row r="3999" spans="1:8" ht="31.5">
      <c r="A3999" s="1"/>
      <c r="B3999" s="68" t="s">
        <v>2966</v>
      </c>
      <c r="C3999" s="68" t="s">
        <v>2967</v>
      </c>
      <c r="D3999" s="68" t="s">
        <v>2968</v>
      </c>
      <c r="E3999" s="68" t="s">
        <v>2969</v>
      </c>
      <c r="F3999" s="68" t="s">
        <v>2970</v>
      </c>
      <c r="G3999" s="68" t="s">
        <v>2971</v>
      </c>
      <c r="H3999" s="68" t="s">
        <v>1487</v>
      </c>
    </row>
    <row r="4000" spans="1:8" ht="17.25">
      <c r="A4000" s="1"/>
      <c r="B4000" s="889" t="s">
        <v>520</v>
      </c>
      <c r="C4000" s="58" t="s">
        <v>686</v>
      </c>
      <c r="D4000" s="46">
        <v>5.3999999999999999E-2</v>
      </c>
      <c r="E4000" s="55" t="s">
        <v>1429</v>
      </c>
      <c r="F4000" s="107" t="e">
        <f>#REF!</f>
        <v>#REF!</v>
      </c>
      <c r="G4000" s="109" t="e">
        <f>FLOOR(D4000*F4000,0.01)</f>
        <v>#REF!</v>
      </c>
      <c r="H4000" s="121"/>
    </row>
    <row r="4001" spans="1:8" ht="17.25">
      <c r="A4001" s="1"/>
      <c r="B4001" s="942"/>
      <c r="C4001" s="78" t="s">
        <v>521</v>
      </c>
      <c r="D4001" s="49">
        <v>8.1000000000000003E-2</v>
      </c>
      <c r="E4001" s="56" t="s">
        <v>1429</v>
      </c>
      <c r="F4001" s="122" t="e">
        <f>#REF!</f>
        <v>#REF!</v>
      </c>
      <c r="G4001" s="63" t="e">
        <f>FLOOR(D4001*F4001,0.01)</f>
        <v>#REF!</v>
      </c>
      <c r="H4001" s="123" t="e">
        <f>SUM(G4000+G4001)</f>
        <v>#REF!</v>
      </c>
    </row>
    <row r="4002" spans="1:8" ht="19.5">
      <c r="A4002" s="1"/>
      <c r="B4002" s="1"/>
      <c r="C4002" s="1"/>
      <c r="D4002" s="1"/>
      <c r="E4002" s="1"/>
      <c r="F4002" s="40" t="s">
        <v>1491</v>
      </c>
      <c r="G4002" s="102"/>
      <c r="H4002" s="63" t="e">
        <f>SUM(H3999:H4001)</f>
        <v>#REF!</v>
      </c>
    </row>
    <row r="4003" spans="1:8" ht="19.5">
      <c r="A4003" s="1"/>
      <c r="B4003" s="1" t="s">
        <v>1493</v>
      </c>
      <c r="C4003" s="1"/>
      <c r="D4003" s="1"/>
      <c r="E4003" s="1"/>
      <c r="F4003" s="40" t="s">
        <v>1471</v>
      </c>
      <c r="G4003" s="102"/>
      <c r="H4003" s="99" t="e">
        <f>FLOOR(H4002*0.15,0.01)</f>
        <v>#REF!</v>
      </c>
    </row>
    <row r="4004" spans="1:8" ht="19.5">
      <c r="A4004" s="27" t="s">
        <v>3005</v>
      </c>
      <c r="B4004" s="99" t="e">
        <f>+H4004</f>
        <v>#REF!</v>
      </c>
      <c r="C4004" s="1" t="s">
        <v>3006</v>
      </c>
      <c r="D4004" s="1"/>
      <c r="E4004" s="1"/>
      <c r="F4004" s="40" t="s">
        <v>1494</v>
      </c>
      <c r="G4004" s="102"/>
      <c r="H4004" s="99" t="e">
        <f>SUM(H4002:H4003)</f>
        <v>#REF!</v>
      </c>
    </row>
    <row r="4005" spans="1:8" ht="19.5">
      <c r="A4005" s="27"/>
      <c r="B4005" s="141"/>
      <c r="C4005" s="1"/>
      <c r="D4005" s="1"/>
      <c r="E4005" s="1"/>
      <c r="F4005" s="40"/>
      <c r="G4005" s="102"/>
      <c r="H4005" s="141"/>
    </row>
    <row r="4006" spans="1:8" ht="19.5">
      <c r="A4006" s="27"/>
      <c r="B4006" s="141"/>
      <c r="C4006" s="1"/>
      <c r="D4006" s="1"/>
      <c r="E4006" s="1"/>
      <c r="F4006" s="40"/>
      <c r="G4006" s="102"/>
      <c r="H4006" s="141"/>
    </row>
    <row r="4007" spans="1:8" ht="16.5">
      <c r="A4007" s="27"/>
      <c r="B4007" s="117"/>
      <c r="C4007" s="1"/>
      <c r="D4007" s="1"/>
      <c r="E4007" s="1"/>
      <c r="F4007" s="1"/>
      <c r="G4007" s="1"/>
      <c r="H4007" s="19"/>
    </row>
    <row r="4008" spans="1:8" ht="20.25">
      <c r="A4008" s="260">
        <f>A3997+1</f>
        <v>250</v>
      </c>
      <c r="B4008" s="877" t="s">
        <v>684</v>
      </c>
      <c r="C4008" s="878"/>
      <c r="D4008" s="878"/>
      <c r="E4008" s="878"/>
      <c r="F4008" s="878"/>
      <c r="G4008" s="878"/>
      <c r="H4008" s="878"/>
    </row>
    <row r="4009" spans="1:8" ht="19.5">
      <c r="A4009" s="677" t="s">
        <v>3716</v>
      </c>
      <c r="B4009" s="877" t="s">
        <v>685</v>
      </c>
      <c r="C4009" s="878"/>
      <c r="D4009" s="878"/>
      <c r="E4009" s="878"/>
      <c r="F4009" s="878"/>
      <c r="G4009" s="878"/>
      <c r="H4009" s="878"/>
    </row>
    <row r="4010" spans="1:8" ht="15">
      <c r="A4010" s="90"/>
      <c r="B4010" s="879" t="s">
        <v>1468</v>
      </c>
      <c r="C4010" s="879"/>
      <c r="D4010" s="879"/>
      <c r="E4010" s="879"/>
      <c r="F4010" s="879"/>
      <c r="G4010" s="879"/>
      <c r="H4010" s="879"/>
    </row>
    <row r="4011" spans="1:8" ht="31.5">
      <c r="A4011" s="1"/>
      <c r="B4011" s="68" t="s">
        <v>2966</v>
      </c>
      <c r="C4011" s="68" t="s">
        <v>2967</v>
      </c>
      <c r="D4011" s="68" t="s">
        <v>2968</v>
      </c>
      <c r="E4011" s="68" t="s">
        <v>2969</v>
      </c>
      <c r="F4011" s="68" t="s">
        <v>2970</v>
      </c>
      <c r="G4011" s="68" t="s">
        <v>2971</v>
      </c>
      <c r="H4011" s="68" t="s">
        <v>1487</v>
      </c>
    </row>
    <row r="4012" spans="1:8" ht="17.25">
      <c r="A4012" s="1"/>
      <c r="B4012" s="889" t="s">
        <v>520</v>
      </c>
      <c r="C4012" s="58" t="s">
        <v>686</v>
      </c>
      <c r="D4012" s="41">
        <v>3.53</v>
      </c>
      <c r="E4012" s="55" t="s">
        <v>1490</v>
      </c>
      <c r="F4012" s="107" t="e">
        <f>#REF!</f>
        <v>#REF!</v>
      </c>
      <c r="G4012" s="107" t="e">
        <f>FLOOR(D4012*F4012,0.01)</f>
        <v>#REF!</v>
      </c>
      <c r="H4012" s="108"/>
    </row>
    <row r="4013" spans="1:8" ht="17.25">
      <c r="A4013" s="1"/>
      <c r="B4013" s="942"/>
      <c r="C4013" s="78" t="s">
        <v>521</v>
      </c>
      <c r="D4013" s="43">
        <v>7.06</v>
      </c>
      <c r="E4013" s="56"/>
      <c r="F4013" s="63" t="e">
        <f>#REF!</f>
        <v>#REF!</v>
      </c>
      <c r="G4013" s="63" t="e">
        <f>FLOOR(D4013*F4013,0.01)</f>
        <v>#REF!</v>
      </c>
      <c r="H4013" s="123" t="e">
        <f>SUM(G4012+G4013)</f>
        <v>#REF!</v>
      </c>
    </row>
    <row r="4014" spans="1:8" ht="17.25">
      <c r="A4014" s="1"/>
      <c r="B4014" s="889" t="s">
        <v>2055</v>
      </c>
      <c r="C4014" s="80" t="s">
        <v>687</v>
      </c>
      <c r="D4014" s="42">
        <v>560</v>
      </c>
      <c r="E4014" s="53" t="s">
        <v>699</v>
      </c>
      <c r="F4014" s="116" t="e">
        <f>#REF!</f>
        <v>#REF!</v>
      </c>
      <c r="G4014" s="110" t="e">
        <f>FLOOR(D4014*F4014,0.01)</f>
        <v>#REF!</v>
      </c>
      <c r="H4014" s="108"/>
    </row>
    <row r="4015" spans="1:8" ht="18">
      <c r="A4015" s="1"/>
      <c r="B4015" s="947"/>
      <c r="C4015" s="80" t="s">
        <v>1436</v>
      </c>
      <c r="D4015" s="52">
        <v>8.4000000000000005E-2</v>
      </c>
      <c r="E4015" s="53" t="s">
        <v>700</v>
      </c>
      <c r="F4015" s="116" t="e">
        <f>#REF!</f>
        <v>#REF!</v>
      </c>
      <c r="G4015" s="109" t="e">
        <f>FLOOR(D4015*F4015,0.01)</f>
        <v>#REF!</v>
      </c>
      <c r="H4015" s="132"/>
    </row>
    <row r="4016" spans="1:8" ht="17.25">
      <c r="A4016" s="1"/>
      <c r="B4016" s="942"/>
      <c r="C4016" s="78" t="s">
        <v>1426</v>
      </c>
      <c r="D4016" s="43">
        <v>0.36</v>
      </c>
      <c r="E4016" s="56" t="s">
        <v>2232</v>
      </c>
      <c r="F4016" s="122" t="e">
        <f>#REF!</f>
        <v>#REF!</v>
      </c>
      <c r="G4016" s="63" t="e">
        <f>FLOOR(D4016*F4016,0.01)</f>
        <v>#REF!</v>
      </c>
      <c r="H4016" s="123" t="e">
        <f>SUM(G4014+G4015+G4016)</f>
        <v>#REF!</v>
      </c>
    </row>
    <row r="4017" spans="1:8" ht="19.5">
      <c r="A4017" s="1"/>
      <c r="B4017" s="1"/>
      <c r="C4017" s="1"/>
      <c r="D4017" s="1"/>
      <c r="E4017" s="1"/>
      <c r="F4017" s="40" t="s">
        <v>1491</v>
      </c>
      <c r="G4017" s="102"/>
      <c r="H4017" s="63" t="e">
        <f>SUM(H4013:H4016)</f>
        <v>#REF!</v>
      </c>
    </row>
    <row r="4018" spans="1:8" ht="19.5">
      <c r="A4018" s="1"/>
      <c r="B4018" s="1" t="s">
        <v>3233</v>
      </c>
      <c r="C4018" s="1"/>
      <c r="D4018" s="1"/>
      <c r="E4018" s="1"/>
      <c r="F4018" s="40" t="s">
        <v>1471</v>
      </c>
      <c r="G4018" s="102"/>
      <c r="H4018" s="99" t="e">
        <f>FLOOR(H4017*0.15,0.01)</f>
        <v>#REF!</v>
      </c>
    </row>
    <row r="4019" spans="1:8" ht="19.5">
      <c r="A4019" s="27" t="s">
        <v>3005</v>
      </c>
      <c r="B4019" s="99" t="e">
        <f>+H4019</f>
        <v>#REF!</v>
      </c>
      <c r="C4019" s="1" t="s">
        <v>3006</v>
      </c>
      <c r="D4019" s="1"/>
      <c r="E4019" s="1"/>
      <c r="F4019" s="40" t="s">
        <v>1494</v>
      </c>
      <c r="G4019" s="102"/>
      <c r="H4019" s="99" t="e">
        <f>SUM(H4017:H4018)</f>
        <v>#REF!</v>
      </c>
    </row>
    <row r="4020" spans="1:8" ht="19.5">
      <c r="A4020" s="27"/>
      <c r="B4020" s="141"/>
      <c r="C4020" s="1"/>
      <c r="D4020" s="1"/>
      <c r="E4020" s="1"/>
      <c r="F4020" s="40"/>
      <c r="G4020" s="102"/>
      <c r="H4020" s="141"/>
    </row>
    <row r="4021" spans="1:8" ht="19.5">
      <c r="A4021" s="27"/>
      <c r="B4021" s="141"/>
      <c r="C4021" s="1"/>
      <c r="D4021" s="1"/>
      <c r="E4021" s="1"/>
      <c r="F4021" s="40"/>
      <c r="G4021" s="102"/>
      <c r="H4021" s="141"/>
    </row>
    <row r="4022" spans="1:8" ht="19.5">
      <c r="A4022" s="27"/>
      <c r="B4022" s="141"/>
      <c r="C4022" s="1"/>
      <c r="D4022" s="1"/>
      <c r="E4022" s="1"/>
      <c r="F4022" s="40"/>
      <c r="G4022" s="102"/>
      <c r="H4022" s="141"/>
    </row>
    <row r="4023" spans="1:8" ht="19.5">
      <c r="A4023" s="27"/>
      <c r="B4023" s="141"/>
      <c r="C4023" s="1"/>
      <c r="D4023" s="1"/>
      <c r="E4023" s="1"/>
      <c r="F4023" s="40"/>
      <c r="G4023" s="102"/>
      <c r="H4023" s="141"/>
    </row>
    <row r="4024" spans="1:8" ht="19.5">
      <c r="A4024" s="202"/>
      <c r="B4024" s="878" t="s">
        <v>2047</v>
      </c>
      <c r="C4024" s="878"/>
      <c r="D4024" s="878"/>
      <c r="E4024" s="878"/>
      <c r="F4024" s="878"/>
      <c r="G4024" s="878"/>
      <c r="H4024" s="878"/>
    </row>
    <row r="4025" spans="1:8" ht="20.25">
      <c r="A4025" s="138">
        <f>A4008+1</f>
        <v>251</v>
      </c>
      <c r="B4025" s="878" t="s">
        <v>2048</v>
      </c>
      <c r="C4025" s="878"/>
      <c r="D4025" s="878"/>
      <c r="E4025" s="878"/>
      <c r="F4025" s="878"/>
      <c r="G4025" s="878"/>
      <c r="H4025" s="878"/>
    </row>
    <row r="4026" spans="1:8" ht="14.25">
      <c r="A4026" s="677" t="s">
        <v>3715</v>
      </c>
      <c r="B4026" s="961" t="s">
        <v>2780</v>
      </c>
      <c r="C4026" s="962"/>
      <c r="D4026" s="962"/>
      <c r="E4026" s="962"/>
      <c r="F4026" s="962"/>
      <c r="G4026" s="962"/>
      <c r="H4026" s="962"/>
    </row>
    <row r="4027" spans="1:8" ht="15">
      <c r="A4027" s="1"/>
      <c r="B4027" s="879" t="s">
        <v>2454</v>
      </c>
      <c r="C4027" s="879"/>
      <c r="D4027" s="879"/>
      <c r="E4027" s="879"/>
      <c r="F4027" s="879"/>
      <c r="G4027" s="879"/>
      <c r="H4027" s="879"/>
    </row>
    <row r="4028" spans="1:8" ht="31.5">
      <c r="A4028" s="1"/>
      <c r="B4028" s="68" t="s">
        <v>2966</v>
      </c>
      <c r="C4028" s="68" t="s">
        <v>2967</v>
      </c>
      <c r="D4028" s="68" t="s">
        <v>2968</v>
      </c>
      <c r="E4028" s="68" t="s">
        <v>2969</v>
      </c>
      <c r="F4028" s="68" t="s">
        <v>2970</v>
      </c>
      <c r="G4028" s="68" t="s">
        <v>2971</v>
      </c>
      <c r="H4028" s="68" t="s">
        <v>1487</v>
      </c>
    </row>
    <row r="4029" spans="1:8" ht="15.75">
      <c r="A4029" s="1"/>
      <c r="B4029" s="58" t="s">
        <v>1488</v>
      </c>
      <c r="C4029" s="886" t="s">
        <v>521</v>
      </c>
      <c r="D4029" s="963">
        <f>13.5/4</f>
        <v>3.375</v>
      </c>
      <c r="E4029" s="886" t="s">
        <v>1490</v>
      </c>
      <c r="F4029" s="218"/>
      <c r="G4029" s="218"/>
      <c r="H4029" s="218"/>
    </row>
    <row r="4030" spans="1:8" ht="17.25">
      <c r="A4030" s="1"/>
      <c r="B4030" s="62"/>
      <c r="C4030" s="895"/>
      <c r="D4030" s="964"/>
      <c r="E4030" s="887"/>
      <c r="F4030" s="63" t="e">
        <f>#REF!</f>
        <v>#REF!</v>
      </c>
      <c r="G4030" s="219" t="e">
        <f>INT(13.5*1/4*F4030*100)/100</f>
        <v>#REF!</v>
      </c>
      <c r="H4030" s="219" t="e">
        <f>+G4030</f>
        <v>#REF!</v>
      </c>
    </row>
    <row r="4031" spans="1:8" ht="16.5">
      <c r="A4031" s="1"/>
      <c r="B4031" s="886" t="s">
        <v>2055</v>
      </c>
      <c r="C4031" s="58" t="s">
        <v>2781</v>
      </c>
      <c r="D4031" s="220">
        <v>0.185</v>
      </c>
      <c r="E4031" s="76" t="s">
        <v>2748</v>
      </c>
      <c r="F4031" s="221" t="e">
        <f>#REF!</f>
        <v>#REF!</v>
      </c>
      <c r="G4031" s="221" t="e">
        <f>INT(0.37/2*F4031*100)/100</f>
        <v>#REF!</v>
      </c>
      <c r="H4031" s="9"/>
    </row>
    <row r="4032" spans="1:8" ht="16.5">
      <c r="A4032" s="1"/>
      <c r="B4032" s="895"/>
      <c r="C4032" s="78" t="s">
        <v>2782</v>
      </c>
      <c r="D4032" s="65" t="s">
        <v>2808</v>
      </c>
      <c r="E4032" s="186" t="s">
        <v>2810</v>
      </c>
      <c r="F4032" s="219"/>
      <c r="G4032" s="219">
        <v>58.26</v>
      </c>
      <c r="H4032" s="219" t="e">
        <f>SUM(G4031:G4032)</f>
        <v>#REF!</v>
      </c>
    </row>
    <row r="4033" spans="1:17" ht="17.25">
      <c r="A4033" s="1"/>
      <c r="B4033" s="1"/>
      <c r="C4033" s="1"/>
      <c r="D4033" s="1"/>
      <c r="E4033" s="1"/>
      <c r="F4033" s="40" t="s">
        <v>1491</v>
      </c>
      <c r="G4033" s="40"/>
      <c r="H4033" s="219" t="e">
        <f>SUM(H4030:H4032)</f>
        <v>#REF!</v>
      </c>
    </row>
    <row r="4034" spans="1:17" ht="17.25">
      <c r="A4034" s="1"/>
      <c r="B4034" s="1" t="s">
        <v>2783</v>
      </c>
      <c r="C4034" s="1"/>
      <c r="D4034" s="1"/>
      <c r="E4034" s="1"/>
      <c r="F4034" s="40" t="s">
        <v>1472</v>
      </c>
      <c r="G4034" s="40"/>
      <c r="H4034" s="219" t="e">
        <f>FLOOR(H4033*0.15,0.01)</f>
        <v>#REF!</v>
      </c>
    </row>
    <row r="4035" spans="1:17" ht="17.25">
      <c r="A4035" s="1"/>
      <c r="B4035" s="140" t="e">
        <f>+H4035</f>
        <v>#REF!</v>
      </c>
      <c r="C4035" s="27" t="s">
        <v>3802</v>
      </c>
      <c r="D4035" s="99" t="e">
        <f>FLOOR(B4035/B4036,0.01)</f>
        <v>#REF!</v>
      </c>
      <c r="E4035" s="1" t="s">
        <v>3006</v>
      </c>
      <c r="F4035" s="40" t="s">
        <v>1494</v>
      </c>
      <c r="G4035" s="40"/>
      <c r="H4035" s="219" t="e">
        <f>SUM(H4033:H4034)</f>
        <v>#REF!</v>
      </c>
    </row>
    <row r="4036" spans="1:17" ht="16.5">
      <c r="A4036" s="1"/>
      <c r="B4036" s="216">
        <v>10</v>
      </c>
      <c r="C4036" s="1"/>
      <c r="D4036" s="1"/>
      <c r="E4036" s="1"/>
      <c r="F4036" s="1"/>
      <c r="G4036" s="1"/>
      <c r="H4036" s="1"/>
    </row>
    <row r="4037" spans="1:17" ht="16.5">
      <c r="A4037" s="1"/>
      <c r="B4037" s="217"/>
      <c r="C4037" s="1"/>
      <c r="D4037" s="1"/>
      <c r="E4037" s="1"/>
      <c r="F4037" s="1"/>
      <c r="G4037" s="1"/>
      <c r="H4037" s="1"/>
      <c r="J4037" s="138"/>
      <c r="K4037" s="1"/>
      <c r="L4037" s="1"/>
      <c r="M4037" s="1"/>
      <c r="N4037" s="1"/>
      <c r="O4037" s="1"/>
      <c r="P4037" s="1"/>
      <c r="Q4037" s="1"/>
    </row>
    <row r="4038" spans="1:17" ht="20.25">
      <c r="A4038" s="138">
        <f>+A4025+1</f>
        <v>252</v>
      </c>
      <c r="B4038" s="1"/>
      <c r="C4038" s="1"/>
      <c r="D4038" s="1"/>
      <c r="E4038" s="1"/>
      <c r="F4038" s="1"/>
      <c r="G4038" s="1"/>
      <c r="H4038" s="1"/>
      <c r="J4038" s="677">
        <v>4</v>
      </c>
      <c r="K4038" s="878" t="s">
        <v>2784</v>
      </c>
      <c r="L4038" s="878"/>
      <c r="M4038" s="878"/>
      <c r="N4038" s="878"/>
      <c r="O4038" s="878"/>
      <c r="P4038" s="878"/>
      <c r="Q4038" s="878"/>
    </row>
    <row r="4039" spans="1:17" ht="19.5">
      <c r="A4039" s="677" t="s">
        <v>3717</v>
      </c>
      <c r="B4039" s="878" t="s">
        <v>2784</v>
      </c>
      <c r="C4039" s="878"/>
      <c r="D4039" s="878"/>
      <c r="E4039" s="878"/>
      <c r="F4039" s="878"/>
      <c r="G4039" s="878"/>
      <c r="H4039" s="878"/>
      <c r="J4039" s="1"/>
      <c r="K4039" s="879" t="s">
        <v>2454</v>
      </c>
      <c r="L4039" s="879"/>
      <c r="M4039" s="879"/>
      <c r="N4039" s="879"/>
      <c r="O4039" s="879"/>
      <c r="P4039" s="879"/>
      <c r="Q4039" s="879"/>
    </row>
    <row r="4040" spans="1:17" ht="23.25" customHeight="1">
      <c r="A4040" s="1"/>
      <c r="B4040" s="879" t="s">
        <v>2454</v>
      </c>
      <c r="C4040" s="879"/>
      <c r="D4040" s="879"/>
      <c r="E4040" s="879"/>
      <c r="F4040" s="879"/>
      <c r="G4040" s="879"/>
      <c r="H4040" s="879"/>
      <c r="J4040" s="1"/>
      <c r="K4040" s="68" t="s">
        <v>2966</v>
      </c>
      <c r="L4040" s="68" t="s">
        <v>2967</v>
      </c>
      <c r="M4040" s="68" t="s">
        <v>2968</v>
      </c>
      <c r="N4040" s="68" t="s">
        <v>2969</v>
      </c>
      <c r="O4040" s="68" t="s">
        <v>2970</v>
      </c>
      <c r="P4040" s="68" t="s">
        <v>2971</v>
      </c>
      <c r="Q4040" s="68" t="s">
        <v>1487</v>
      </c>
    </row>
    <row r="4041" spans="1:17" ht="31.5">
      <c r="A4041" s="1"/>
      <c r="B4041" s="68" t="s">
        <v>2966</v>
      </c>
      <c r="C4041" s="68" t="s">
        <v>2967</v>
      </c>
      <c r="D4041" s="68" t="s">
        <v>2968</v>
      </c>
      <c r="E4041" s="68" t="s">
        <v>2969</v>
      </c>
      <c r="F4041" s="68" t="s">
        <v>2970</v>
      </c>
      <c r="G4041" s="68" t="s">
        <v>2971</v>
      </c>
      <c r="H4041" s="68" t="s">
        <v>1487</v>
      </c>
      <c r="J4041" s="1"/>
      <c r="K4041" s="58" t="s">
        <v>1488</v>
      </c>
      <c r="L4041" s="886" t="s">
        <v>521</v>
      </c>
      <c r="M4041" s="84"/>
      <c r="N4041" s="886" t="s">
        <v>1490</v>
      </c>
      <c r="O4041" s="218"/>
      <c r="P4041" s="218"/>
      <c r="Q4041" s="218"/>
    </row>
    <row r="4042" spans="1:17" ht="17.25">
      <c r="A4042" s="1"/>
      <c r="B4042" s="58" t="s">
        <v>1488</v>
      </c>
      <c r="C4042" s="886" t="s">
        <v>521</v>
      </c>
      <c r="D4042" s="84"/>
      <c r="E4042" s="886" t="s">
        <v>1490</v>
      </c>
      <c r="F4042" s="218"/>
      <c r="G4042" s="218"/>
      <c r="H4042" s="218"/>
      <c r="J4042" s="1"/>
      <c r="K4042" s="62"/>
      <c r="L4042" s="887"/>
      <c r="M4042" s="686">
        <f>0.75/2</f>
        <v>0.375</v>
      </c>
      <c r="N4042" s="887"/>
      <c r="O4042" s="219" t="e">
        <f>$F$4030</f>
        <v>#REF!</v>
      </c>
      <c r="P4042" s="219" t="e">
        <f>INT(0.75*1/2*O4042*100)/100</f>
        <v>#REF!</v>
      </c>
      <c r="Q4042" s="219" t="e">
        <f>+P4042</f>
        <v>#REF!</v>
      </c>
    </row>
    <row r="4043" spans="1:17" ht="17.25">
      <c r="A4043" s="1"/>
      <c r="B4043" s="62"/>
      <c r="C4043" s="887"/>
      <c r="D4043" s="686">
        <f>0.75/2</f>
        <v>0.375</v>
      </c>
      <c r="E4043" s="887"/>
      <c r="F4043" s="219" t="e">
        <f>$F$4030</f>
        <v>#REF!</v>
      </c>
      <c r="G4043" s="219" t="e">
        <f>INT(0.75*1/2*F4043*100)/100</f>
        <v>#REF!</v>
      </c>
      <c r="H4043" s="219" t="e">
        <f>+G4043</f>
        <v>#REF!</v>
      </c>
      <c r="J4043" s="1"/>
      <c r="K4043" s="74" t="s">
        <v>2055</v>
      </c>
      <c r="L4043" s="55" t="s">
        <v>2660</v>
      </c>
      <c r="M4043" s="55" t="s">
        <v>2808</v>
      </c>
      <c r="N4043" s="55" t="s">
        <v>2810</v>
      </c>
      <c r="O4043" s="55" t="s">
        <v>2810</v>
      </c>
      <c r="P4043" s="650">
        <v>110</v>
      </c>
      <c r="Q4043" s="641"/>
    </row>
    <row r="4044" spans="1:17" ht="17.25">
      <c r="A4044" s="1"/>
      <c r="B4044" s="74" t="s">
        <v>2055</v>
      </c>
      <c r="C4044" s="55" t="s">
        <v>2660</v>
      </c>
      <c r="D4044" s="55" t="s">
        <v>2808</v>
      </c>
      <c r="E4044" s="55" t="s">
        <v>2810</v>
      </c>
      <c r="F4044" s="55" t="s">
        <v>2810</v>
      </c>
      <c r="G4044" s="650">
        <v>110</v>
      </c>
      <c r="H4044" s="641"/>
      <c r="J4044" s="1"/>
      <c r="K4044" s="62"/>
      <c r="L4044" s="56" t="s">
        <v>2051</v>
      </c>
      <c r="M4044" s="56" t="s">
        <v>2808</v>
      </c>
      <c r="N4044" s="56" t="s">
        <v>2810</v>
      </c>
      <c r="O4044" s="56" t="s">
        <v>2810</v>
      </c>
      <c r="P4044" s="219">
        <v>110</v>
      </c>
      <c r="Q4044" s="219">
        <f>SUM(P4043:P4044)</f>
        <v>220</v>
      </c>
    </row>
    <row r="4045" spans="1:17" ht="17.25">
      <c r="A4045" s="1"/>
      <c r="B4045" s="62"/>
      <c r="C4045" s="56" t="s">
        <v>2051</v>
      </c>
      <c r="D4045" s="56" t="s">
        <v>2808</v>
      </c>
      <c r="E4045" s="56" t="s">
        <v>2810</v>
      </c>
      <c r="F4045" s="56" t="s">
        <v>2810</v>
      </c>
      <c r="G4045" s="219">
        <v>110</v>
      </c>
      <c r="H4045" s="219">
        <f>SUM(G4044:G4045)</f>
        <v>220</v>
      </c>
      <c r="J4045" s="1"/>
      <c r="K4045" s="1"/>
      <c r="L4045" s="1"/>
      <c r="M4045" s="1"/>
      <c r="N4045" s="1"/>
      <c r="O4045" s="40" t="s">
        <v>1491</v>
      </c>
      <c r="P4045" s="40"/>
      <c r="Q4045" s="219" t="e">
        <f>SUM(Q4042:Q4044)</f>
        <v>#REF!</v>
      </c>
    </row>
    <row r="4046" spans="1:17" ht="17.25">
      <c r="A4046" s="1"/>
      <c r="B4046" s="1"/>
      <c r="C4046" s="1"/>
      <c r="D4046" s="1"/>
      <c r="E4046" s="1"/>
      <c r="F4046" s="40" t="s">
        <v>1491</v>
      </c>
      <c r="G4046" s="40"/>
      <c r="H4046" s="219" t="e">
        <f>SUM(H4043:H4045)</f>
        <v>#REF!</v>
      </c>
      <c r="J4046" s="1"/>
      <c r="K4046" s="1" t="s">
        <v>1493</v>
      </c>
      <c r="L4046" s="1"/>
      <c r="M4046" s="1"/>
      <c r="N4046" s="1"/>
      <c r="O4046" s="40" t="s">
        <v>1472</v>
      </c>
      <c r="P4046" s="40"/>
      <c r="Q4046" s="219" t="e">
        <f>FLOOR(Q4045*0.15,0.01)</f>
        <v>#REF!</v>
      </c>
    </row>
    <row r="4047" spans="1:17" ht="17.25">
      <c r="A4047" s="1"/>
      <c r="B4047" s="1" t="s">
        <v>1493</v>
      </c>
      <c r="C4047" s="1"/>
      <c r="D4047" s="1"/>
      <c r="E4047" s="1"/>
      <c r="F4047" s="40" t="s">
        <v>1472</v>
      </c>
      <c r="G4047" s="40"/>
      <c r="H4047" s="219" t="e">
        <f>FLOOR(H4046*0.15,0.01)</f>
        <v>#REF!</v>
      </c>
      <c r="J4047" s="1"/>
      <c r="K4047" s="140" t="e">
        <f>+Q4047</f>
        <v>#REF!</v>
      </c>
      <c r="L4047" s="27" t="s">
        <v>3801</v>
      </c>
      <c r="M4047" s="713" t="e">
        <f>FLOOR(K4047/K4048,0.01)</f>
        <v>#REF!</v>
      </c>
      <c r="N4047" s="1" t="s">
        <v>3006</v>
      </c>
      <c r="O4047" s="40" t="s">
        <v>1494</v>
      </c>
      <c r="P4047" s="40"/>
      <c r="Q4047" s="219" t="e">
        <f>SUM(Q4045:Q4046)</f>
        <v>#REF!</v>
      </c>
    </row>
    <row r="4048" spans="1:17" ht="17.25">
      <c r="A4048" s="1"/>
      <c r="B4048" s="140" t="e">
        <f>+H4048</f>
        <v>#REF!</v>
      </c>
      <c r="C4048" s="27" t="s">
        <v>3801</v>
      </c>
      <c r="D4048" s="99" t="e">
        <f>FLOOR(B4048/B4049,0.01)</f>
        <v>#REF!</v>
      </c>
      <c r="E4048" s="1" t="s">
        <v>3006</v>
      </c>
      <c r="F4048" s="40" t="s">
        <v>1494</v>
      </c>
      <c r="G4048" s="40"/>
      <c r="H4048" s="219" t="e">
        <f>SUM(H4046:H4047)</f>
        <v>#REF!</v>
      </c>
      <c r="J4048" s="1"/>
      <c r="K4048" s="222">
        <v>10</v>
      </c>
      <c r="L4048" s="1"/>
      <c r="M4048" s="1"/>
      <c r="N4048" s="1"/>
      <c r="O4048" s="1"/>
      <c r="P4048" s="1"/>
      <c r="Q4048" s="1"/>
    </row>
    <row r="4049" spans="1:18" ht="16.5">
      <c r="A4049" s="1"/>
      <c r="B4049" s="222">
        <v>10</v>
      </c>
      <c r="C4049" s="1"/>
      <c r="D4049" s="1"/>
      <c r="E4049" s="1"/>
      <c r="F4049" s="1"/>
      <c r="G4049" s="1"/>
      <c r="H4049" s="1"/>
      <c r="J4049" s="1"/>
      <c r="K4049" s="223"/>
      <c r="L4049" s="1"/>
      <c r="M4049" s="1"/>
      <c r="N4049" s="1"/>
      <c r="O4049" s="1"/>
      <c r="P4049" s="1"/>
      <c r="Q4049" s="1"/>
    </row>
    <row r="4050" spans="1:18" ht="16.5">
      <c r="A4050" s="1"/>
      <c r="B4050" s="223"/>
      <c r="C4050" s="1"/>
      <c r="D4050" s="1"/>
      <c r="E4050" s="1"/>
      <c r="F4050" s="1"/>
      <c r="G4050" s="1"/>
      <c r="H4050" s="1"/>
      <c r="J4050" s="1"/>
      <c r="K4050" s="223"/>
      <c r="L4050" s="1"/>
      <c r="M4050" s="1"/>
      <c r="N4050" s="1"/>
      <c r="O4050" s="1"/>
      <c r="P4050" s="1"/>
      <c r="Q4050" s="1"/>
    </row>
    <row r="4051" spans="1:18" ht="20.25">
      <c r="A4051" s="1"/>
      <c r="B4051" s="223"/>
      <c r="C4051" s="1"/>
      <c r="D4051" s="1"/>
      <c r="E4051" s="1"/>
      <c r="F4051" s="1"/>
      <c r="G4051" s="1"/>
      <c r="H4051" s="1"/>
      <c r="J4051" s="138">
        <v>5</v>
      </c>
      <c r="K4051" s="878" t="s">
        <v>2785</v>
      </c>
      <c r="L4051" s="878"/>
      <c r="M4051" s="878"/>
      <c r="N4051" s="878"/>
      <c r="O4051" s="878"/>
      <c r="P4051" s="878"/>
      <c r="Q4051" s="878"/>
    </row>
    <row r="4052" spans="1:18" ht="20.25">
      <c r="A4052" s="138">
        <f>+A4038+1</f>
        <v>253</v>
      </c>
      <c r="B4052" s="878" t="s">
        <v>2785</v>
      </c>
      <c r="C4052" s="878"/>
      <c r="D4052" s="878"/>
      <c r="E4052" s="878"/>
      <c r="F4052" s="878"/>
      <c r="G4052" s="878"/>
      <c r="H4052" s="878"/>
      <c r="J4052" s="677"/>
      <c r="K4052" s="877" t="s">
        <v>2786</v>
      </c>
      <c r="L4052" s="878"/>
      <c r="M4052" s="878"/>
      <c r="N4052" s="878"/>
      <c r="O4052" s="878"/>
      <c r="P4052" s="878"/>
      <c r="Q4052" s="878"/>
    </row>
    <row r="4053" spans="1:18" ht="19.5">
      <c r="A4053" s="677" t="s">
        <v>3718</v>
      </c>
      <c r="B4053" s="877" t="s">
        <v>2786</v>
      </c>
      <c r="C4053" s="878"/>
      <c r="D4053" s="878"/>
      <c r="E4053" s="878"/>
      <c r="F4053" s="878"/>
      <c r="G4053" s="878"/>
      <c r="H4053" s="878"/>
      <c r="J4053" s="1"/>
      <c r="K4053" s="879" t="s">
        <v>2454</v>
      </c>
      <c r="L4053" s="879"/>
      <c r="M4053" s="879"/>
      <c r="N4053" s="879"/>
      <c r="O4053" s="879"/>
      <c r="P4053" s="879"/>
      <c r="Q4053" s="879"/>
    </row>
    <row r="4054" spans="1:18" ht="19.5" customHeight="1">
      <c r="A4054" s="1"/>
      <c r="B4054" s="960" t="s">
        <v>2454</v>
      </c>
      <c r="C4054" s="960"/>
      <c r="D4054" s="960"/>
      <c r="E4054" s="960"/>
      <c r="F4054" s="960"/>
      <c r="G4054" s="960"/>
      <c r="H4054" s="960"/>
      <c r="I4054" s="509"/>
      <c r="J4054" s="270"/>
      <c r="K4054" s="68" t="s">
        <v>2966</v>
      </c>
      <c r="L4054" s="68" t="s">
        <v>2967</v>
      </c>
      <c r="M4054" s="68" t="s">
        <v>2968</v>
      </c>
      <c r="N4054" s="68" t="s">
        <v>2969</v>
      </c>
      <c r="O4054" s="68" t="s">
        <v>2970</v>
      </c>
      <c r="P4054" s="68" t="s">
        <v>2971</v>
      </c>
      <c r="Q4054" s="68" t="s">
        <v>1487</v>
      </c>
      <c r="R4054" s="509"/>
    </row>
    <row r="4055" spans="1:18" ht="31.5">
      <c r="A4055" s="1"/>
      <c r="B4055" s="68" t="s">
        <v>2966</v>
      </c>
      <c r="C4055" s="68" t="s">
        <v>2967</v>
      </c>
      <c r="D4055" s="68" t="s">
        <v>2968</v>
      </c>
      <c r="E4055" s="68" t="s">
        <v>2969</v>
      </c>
      <c r="F4055" s="68" t="s">
        <v>2970</v>
      </c>
      <c r="G4055" s="68" t="s">
        <v>2971</v>
      </c>
      <c r="H4055" s="68" t="s">
        <v>1487</v>
      </c>
      <c r="J4055" s="1"/>
      <c r="K4055" s="58" t="s">
        <v>1488</v>
      </c>
      <c r="L4055" s="886" t="s">
        <v>521</v>
      </c>
      <c r="M4055" s="220">
        <f>13.5/4</f>
        <v>3.375</v>
      </c>
      <c r="N4055" s="886" t="s">
        <v>1490</v>
      </c>
      <c r="O4055" s="218"/>
      <c r="P4055" s="218"/>
      <c r="Q4055" s="218"/>
    </row>
    <row r="4056" spans="1:18" ht="17.25">
      <c r="A4056" s="1"/>
      <c r="B4056" s="58" t="s">
        <v>1488</v>
      </c>
      <c r="C4056" s="886" t="s">
        <v>521</v>
      </c>
      <c r="D4056" s="220">
        <f>13.5/4</f>
        <v>3.375</v>
      </c>
      <c r="E4056" s="886" t="s">
        <v>1490</v>
      </c>
      <c r="F4056" s="218"/>
      <c r="G4056" s="218"/>
      <c r="H4056" s="218"/>
      <c r="J4056" s="1"/>
      <c r="K4056" s="62"/>
      <c r="L4056" s="887"/>
      <c r="M4056" s="186"/>
      <c r="N4056" s="887"/>
      <c r="O4056" s="219" t="e">
        <f>$F$4043</f>
        <v>#REF!</v>
      </c>
      <c r="P4056" s="219" t="e">
        <f>INT(13.5*1/4*O4056*100)/100</f>
        <v>#REF!</v>
      </c>
      <c r="Q4056" s="219" t="e">
        <f>+P4056</f>
        <v>#REF!</v>
      </c>
    </row>
    <row r="4057" spans="1:18" ht="17.25">
      <c r="A4057" s="1"/>
      <c r="B4057" s="62"/>
      <c r="C4057" s="887"/>
      <c r="D4057" s="186"/>
      <c r="E4057" s="887"/>
      <c r="F4057" s="219" t="e">
        <f>$F$4043</f>
        <v>#REF!</v>
      </c>
      <c r="G4057" s="219" t="e">
        <f>INT(13.5*1/4*F4057*100)/100</f>
        <v>#REF!</v>
      </c>
      <c r="H4057" s="219" t="e">
        <f>+G4057</f>
        <v>#REF!</v>
      </c>
      <c r="J4057" s="1"/>
      <c r="K4057" s="73" t="s">
        <v>2055</v>
      </c>
      <c r="L4057" s="55" t="s">
        <v>1562</v>
      </c>
      <c r="M4057" s="46">
        <v>0.37</v>
      </c>
      <c r="N4057" s="55" t="s">
        <v>2748</v>
      </c>
      <c r="O4057" s="221" t="e">
        <f>$F$4031</f>
        <v>#REF!</v>
      </c>
      <c r="P4057" s="221" t="e">
        <f>FLOOR(M4057*O4057,0.01)</f>
        <v>#REF!</v>
      </c>
      <c r="Q4057" s="221"/>
    </row>
    <row r="4058" spans="1:18" ht="17.25">
      <c r="A4058" s="1"/>
      <c r="B4058" s="73" t="s">
        <v>2055</v>
      </c>
      <c r="C4058" s="55" t="s">
        <v>1562</v>
      </c>
      <c r="D4058" s="46">
        <v>0.37</v>
      </c>
      <c r="E4058" s="55" t="s">
        <v>2748</v>
      </c>
      <c r="F4058" s="221" t="e">
        <f>$F$4031</f>
        <v>#REF!</v>
      </c>
      <c r="G4058" s="221" t="e">
        <f>FLOOR(D4058*F4058,0.01)</f>
        <v>#REF!</v>
      </c>
      <c r="H4058" s="221"/>
      <c r="J4058" s="1"/>
      <c r="K4058" s="73"/>
      <c r="L4058" s="53" t="s">
        <v>2051</v>
      </c>
      <c r="M4058" s="52">
        <v>0.11799999999999999</v>
      </c>
      <c r="N4058" s="53" t="s">
        <v>2748</v>
      </c>
      <c r="O4058" s="221" t="e">
        <f>F4059</f>
        <v>#REF!</v>
      </c>
      <c r="P4058" s="221" t="e">
        <f>FLOOR(M4058*O4058,0.01)</f>
        <v>#REF!</v>
      </c>
      <c r="Q4058" s="221"/>
    </row>
    <row r="4059" spans="1:18" ht="17.25">
      <c r="A4059" s="1"/>
      <c r="B4059" s="73"/>
      <c r="C4059" s="53" t="s">
        <v>2051</v>
      </c>
      <c r="D4059" s="52">
        <v>0.11799999999999999</v>
      </c>
      <c r="E4059" s="53" t="s">
        <v>2748</v>
      </c>
      <c r="F4059" s="221" t="e">
        <f>#REF!</f>
        <v>#REF!</v>
      </c>
      <c r="G4059" s="221" t="e">
        <f>FLOOR(D4059*F4059,0.01)</f>
        <v>#REF!</v>
      </c>
      <c r="H4059" s="221"/>
      <c r="J4059" s="1"/>
      <c r="K4059" s="73"/>
      <c r="L4059" s="53" t="s">
        <v>2014</v>
      </c>
      <c r="M4059" s="52">
        <v>0.53800000000000003</v>
      </c>
      <c r="N4059" s="53" t="s">
        <v>2787</v>
      </c>
      <c r="O4059" s="221" t="e">
        <f>F4060</f>
        <v>#REF!</v>
      </c>
      <c r="P4059" s="221" t="e">
        <f>FLOOR(M4059*O4059,0.01)</f>
        <v>#REF!</v>
      </c>
      <c r="Q4059" s="221"/>
    </row>
    <row r="4060" spans="1:18" ht="17.25">
      <c r="A4060" s="1"/>
      <c r="B4060" s="73"/>
      <c r="C4060" s="53" t="s">
        <v>2014</v>
      </c>
      <c r="D4060" s="52">
        <v>0.53800000000000003</v>
      </c>
      <c r="E4060" s="53" t="s">
        <v>2787</v>
      </c>
      <c r="F4060" s="221" t="e">
        <f>#REF!</f>
        <v>#REF!</v>
      </c>
      <c r="G4060" s="221" t="e">
        <f>FLOOR(D4060*F4060,0.01)</f>
        <v>#REF!</v>
      </c>
      <c r="H4060" s="221"/>
      <c r="J4060" s="1"/>
      <c r="K4060" s="62"/>
      <c r="L4060" s="197" t="s">
        <v>2788</v>
      </c>
      <c r="M4060" s="56" t="s">
        <v>2808</v>
      </c>
      <c r="N4060" s="56" t="s">
        <v>2810</v>
      </c>
      <c r="O4060" s="23" t="s">
        <v>2810</v>
      </c>
      <c r="P4060" s="219">
        <v>60</v>
      </c>
      <c r="Q4060" s="219" t="e">
        <f>SUM(P4057:P4060)</f>
        <v>#REF!</v>
      </c>
    </row>
    <row r="4061" spans="1:18" ht="17.25">
      <c r="A4061" s="1"/>
      <c r="B4061" s="62"/>
      <c r="C4061" s="197" t="s">
        <v>2788</v>
      </c>
      <c r="D4061" s="56" t="s">
        <v>2808</v>
      </c>
      <c r="E4061" s="56" t="s">
        <v>2810</v>
      </c>
      <c r="F4061" s="23" t="s">
        <v>2810</v>
      </c>
      <c r="G4061" s="219">
        <v>60</v>
      </c>
      <c r="H4061" s="219" t="e">
        <f>SUM(G4058:G4061)</f>
        <v>#REF!</v>
      </c>
      <c r="J4061" s="1"/>
      <c r="K4061" s="1"/>
      <c r="L4061" s="1"/>
      <c r="M4061" s="1"/>
      <c r="N4061" s="1"/>
      <c r="O4061" s="40" t="s">
        <v>1491</v>
      </c>
      <c r="P4061" s="40"/>
      <c r="Q4061" s="219" t="e">
        <f>SUM(Q4056:Q4060)</f>
        <v>#REF!</v>
      </c>
    </row>
    <row r="4062" spans="1:18" ht="17.25">
      <c r="A4062" s="1"/>
      <c r="B4062" s="1"/>
      <c r="C4062" s="1"/>
      <c r="D4062" s="1"/>
      <c r="E4062" s="1"/>
      <c r="F4062" s="40" t="s">
        <v>1491</v>
      </c>
      <c r="G4062" s="40"/>
      <c r="H4062" s="219" t="e">
        <f>SUM(H4057:H4061)</f>
        <v>#REF!</v>
      </c>
      <c r="J4062" s="1"/>
      <c r="K4062" s="1" t="s">
        <v>2783</v>
      </c>
      <c r="L4062" s="1"/>
      <c r="M4062" s="1"/>
      <c r="N4062" s="1"/>
      <c r="O4062" s="40" t="s">
        <v>1472</v>
      </c>
      <c r="P4062" s="40"/>
      <c r="Q4062" s="219" t="e">
        <f>FLOOR(Q4061*0.15,0.01)</f>
        <v>#REF!</v>
      </c>
    </row>
    <row r="4063" spans="1:18" ht="17.25">
      <c r="A4063" s="1"/>
      <c r="B4063" s="1" t="s">
        <v>2783</v>
      </c>
      <c r="C4063" s="1"/>
      <c r="D4063" s="1"/>
      <c r="E4063" s="1"/>
      <c r="F4063" s="40" t="s">
        <v>1472</v>
      </c>
      <c r="G4063" s="40"/>
      <c r="H4063" s="219" t="e">
        <f>FLOOR(H4062*0.15,0.01)</f>
        <v>#REF!</v>
      </c>
      <c r="J4063" s="1"/>
      <c r="K4063" s="140" t="e">
        <f>+Q4063</f>
        <v>#REF!</v>
      </c>
      <c r="L4063" s="27" t="s">
        <v>3801</v>
      </c>
      <c r="M4063" s="713" t="e">
        <f>FLOOR(K4063/K4064,0.01)</f>
        <v>#REF!</v>
      </c>
      <c r="N4063" s="1" t="s">
        <v>3006</v>
      </c>
      <c r="O4063" s="40" t="s">
        <v>1494</v>
      </c>
      <c r="P4063" s="40"/>
      <c r="Q4063" s="219" t="e">
        <f>SUM(Q4061:Q4062)</f>
        <v>#REF!</v>
      </c>
    </row>
    <row r="4064" spans="1:18" ht="17.25">
      <c r="A4064" s="1"/>
      <c r="B4064" s="140" t="e">
        <f>+H4064</f>
        <v>#REF!</v>
      </c>
      <c r="C4064" s="27" t="s">
        <v>3801</v>
      </c>
      <c r="D4064" s="99" t="e">
        <f>FLOOR(B4064/B4065,0.01)</f>
        <v>#REF!</v>
      </c>
      <c r="E4064" s="1" t="s">
        <v>3006</v>
      </c>
      <c r="F4064" s="40" t="s">
        <v>1494</v>
      </c>
      <c r="G4064" s="40"/>
      <c r="H4064" s="219" t="e">
        <f>SUM(H4062:H4063)</f>
        <v>#REF!</v>
      </c>
      <c r="J4064" s="1"/>
      <c r="K4064" s="222">
        <v>10</v>
      </c>
      <c r="L4064" s="1"/>
      <c r="M4064" s="1"/>
      <c r="N4064" s="1"/>
      <c r="O4064" s="1"/>
      <c r="P4064" s="1"/>
      <c r="Q4064" s="1"/>
    </row>
    <row r="4065" spans="1:8" ht="16.5">
      <c r="A4065" s="1"/>
      <c r="B4065" s="222">
        <v>10</v>
      </c>
      <c r="C4065" s="1"/>
      <c r="D4065" s="1"/>
      <c r="E4065" s="1"/>
      <c r="F4065" s="1"/>
      <c r="G4065" s="1"/>
      <c r="H4065" s="1"/>
    </row>
    <row r="4066" spans="1:8" ht="16.5">
      <c r="A4066" s="1"/>
      <c r="B4066" s="223"/>
      <c r="C4066" s="1"/>
      <c r="D4066" s="1"/>
      <c r="E4066" s="1"/>
      <c r="F4066" s="1"/>
      <c r="G4066" s="1"/>
      <c r="H4066" s="1"/>
    </row>
    <row r="4067" spans="1:8" ht="16.5">
      <c r="A4067" s="1"/>
      <c r="B4067" s="223"/>
      <c r="C4067" s="1"/>
      <c r="D4067" s="1"/>
      <c r="E4067" s="1"/>
      <c r="F4067" s="1"/>
      <c r="G4067" s="1"/>
      <c r="H4067" s="1"/>
    </row>
    <row r="4068" spans="1:8" ht="16.5">
      <c r="A4068" s="1"/>
      <c r="B4068" s="223"/>
      <c r="C4068" s="1"/>
      <c r="D4068" s="1"/>
      <c r="E4068" s="1"/>
      <c r="F4068" s="1"/>
      <c r="G4068" s="1"/>
      <c r="H4068" s="1"/>
    </row>
    <row r="4069" spans="1:8" ht="15">
      <c r="A4069" s="1"/>
      <c r="B4069" s="1"/>
      <c r="C4069" s="1"/>
      <c r="D4069" s="1"/>
      <c r="E4069" s="1"/>
      <c r="F4069" s="1"/>
      <c r="G4069" s="1"/>
      <c r="H4069" s="1"/>
    </row>
    <row r="4070" spans="1:8" ht="20.25">
      <c r="A4070" s="260">
        <f>A4052+1</f>
        <v>254</v>
      </c>
      <c r="B4070" s="877" t="s">
        <v>3417</v>
      </c>
      <c r="C4070" s="878"/>
      <c r="D4070" s="878"/>
      <c r="E4070" s="878"/>
      <c r="F4070" s="878"/>
      <c r="G4070" s="878"/>
      <c r="H4070" s="878"/>
    </row>
    <row r="4071" spans="1:8" ht="19.5">
      <c r="A4071" s="677" t="s">
        <v>3719</v>
      </c>
      <c r="B4071" s="877" t="s">
        <v>3416</v>
      </c>
      <c r="C4071" s="878"/>
      <c r="D4071" s="878"/>
      <c r="E4071" s="878"/>
      <c r="F4071" s="878"/>
      <c r="G4071" s="878"/>
      <c r="H4071" s="878"/>
    </row>
    <row r="4072" spans="1:8" ht="15">
      <c r="A4072" s="90"/>
      <c r="B4072" s="879" t="s">
        <v>3418</v>
      </c>
      <c r="C4072" s="879"/>
      <c r="D4072" s="879"/>
      <c r="E4072" s="879"/>
      <c r="F4072" s="879"/>
      <c r="G4072" s="879"/>
      <c r="H4072" s="879"/>
    </row>
    <row r="4073" spans="1:8" ht="31.5">
      <c r="A4073" s="1"/>
      <c r="B4073" s="68" t="s">
        <v>2966</v>
      </c>
      <c r="C4073" s="68" t="s">
        <v>2967</v>
      </c>
      <c r="D4073" s="68" t="s">
        <v>2968</v>
      </c>
      <c r="E4073" s="68" t="s">
        <v>2969</v>
      </c>
      <c r="F4073" s="68" t="s">
        <v>2970</v>
      </c>
      <c r="G4073" s="68" t="s">
        <v>2971</v>
      </c>
      <c r="H4073" s="68" t="s">
        <v>1487</v>
      </c>
    </row>
    <row r="4074" spans="1:8" ht="17.25">
      <c r="A4074" s="1"/>
      <c r="B4074" s="889" t="s">
        <v>520</v>
      </c>
      <c r="C4074" s="58" t="s">
        <v>686</v>
      </c>
      <c r="D4074" s="41">
        <v>0.04</v>
      </c>
      <c r="E4074" s="55" t="s">
        <v>1490</v>
      </c>
      <c r="F4074" s="107" t="e">
        <f>#REF!</f>
        <v>#REF!</v>
      </c>
      <c r="G4074" s="107" t="e">
        <f>FLOOR(D4074*F4074,0.01)</f>
        <v>#REF!</v>
      </c>
      <c r="H4074" s="108"/>
    </row>
    <row r="4075" spans="1:8" ht="17.25">
      <c r="A4075" s="1"/>
      <c r="B4075" s="942"/>
      <c r="C4075" s="78" t="s">
        <v>521</v>
      </c>
      <c r="D4075" s="43">
        <v>3.9</v>
      </c>
      <c r="E4075" s="56" t="s">
        <v>1490</v>
      </c>
      <c r="F4075" s="63" t="e">
        <f>#REF!</f>
        <v>#REF!</v>
      </c>
      <c r="G4075" s="63" t="e">
        <f>FLOOR(D4075*F4075,0.01)</f>
        <v>#REF!</v>
      </c>
      <c r="H4075" s="123" t="e">
        <f>SUM(G4074+G4075)</f>
        <v>#REF!</v>
      </c>
    </row>
    <row r="4076" spans="1:8" ht="31.5">
      <c r="A4076" s="1"/>
      <c r="B4076" s="68" t="s">
        <v>1879</v>
      </c>
      <c r="C4076" s="68" t="s">
        <v>3419</v>
      </c>
      <c r="D4076" s="649"/>
      <c r="E4076" s="64"/>
      <c r="F4076" s="101"/>
      <c r="G4076" s="99"/>
      <c r="H4076" s="126" t="e">
        <f>+H4075*0.1</f>
        <v>#REF!</v>
      </c>
    </row>
    <row r="4077" spans="1:8" ht="19.5">
      <c r="A4077" s="1"/>
      <c r="B4077" s="1"/>
      <c r="C4077" s="1"/>
      <c r="D4077" s="1"/>
      <c r="E4077" s="1"/>
      <c r="F4077" s="40" t="s">
        <v>1491</v>
      </c>
      <c r="G4077" s="102"/>
      <c r="H4077" s="63" t="e">
        <f>SUM(H4075:H4076)</f>
        <v>#REF!</v>
      </c>
    </row>
    <row r="4078" spans="1:8" ht="19.5">
      <c r="A4078" s="1"/>
      <c r="B4078" s="1" t="s">
        <v>3420</v>
      </c>
      <c r="C4078" s="1"/>
      <c r="D4078" s="1"/>
      <c r="E4078" s="1"/>
      <c r="F4078" s="40" t="s">
        <v>1471</v>
      </c>
      <c r="G4078" s="102"/>
      <c r="H4078" s="99" t="e">
        <f>FLOOR(H4077*0.15,0.01)</f>
        <v>#REF!</v>
      </c>
    </row>
    <row r="4079" spans="1:8" ht="19.5">
      <c r="A4079" s="27" t="s">
        <v>3005</v>
      </c>
      <c r="B4079" s="99" t="e">
        <f>+H4079</f>
        <v>#REF!</v>
      </c>
      <c r="C4079" s="27" t="s">
        <v>3801</v>
      </c>
      <c r="D4079" s="99" t="e">
        <f>FLOOR(B4079/B4080,0.01)</f>
        <v>#REF!</v>
      </c>
      <c r="E4079" s="1" t="s">
        <v>3006</v>
      </c>
      <c r="F4079" s="40" t="s">
        <v>1494</v>
      </c>
      <c r="G4079" s="102"/>
      <c r="H4079" s="99" t="e">
        <f>SUM(H4077:H4078)</f>
        <v>#REF!</v>
      </c>
    </row>
    <row r="4080" spans="1:8" ht="16.5">
      <c r="A4080" s="1"/>
      <c r="B4080" s="222">
        <v>1000</v>
      </c>
      <c r="C4080" s="1"/>
      <c r="D4080" s="1"/>
      <c r="E4080" s="1"/>
      <c r="F4080" s="1"/>
      <c r="G4080" s="1"/>
      <c r="H4080" s="1"/>
    </row>
    <row r="4081" spans="1:8" ht="15">
      <c r="A4081" s="1"/>
      <c r="B4081" s="1"/>
      <c r="C4081" s="1"/>
      <c r="D4081" s="1"/>
      <c r="E4081" s="1"/>
      <c r="F4081" s="1"/>
      <c r="G4081" s="1"/>
      <c r="H4081" s="1"/>
    </row>
    <row r="4082" spans="1:8" ht="20.25">
      <c r="A4082" s="260">
        <f>A4070+1</f>
        <v>255</v>
      </c>
      <c r="B4082" s="877" t="s">
        <v>3421</v>
      </c>
      <c r="C4082" s="878"/>
      <c r="D4082" s="878"/>
      <c r="E4082" s="878"/>
      <c r="F4082" s="878"/>
      <c r="G4082" s="878"/>
      <c r="H4082" s="878"/>
    </row>
    <row r="4083" spans="1:8" ht="19.5">
      <c r="A4083" s="677" t="s">
        <v>3719</v>
      </c>
      <c r="B4083" s="877" t="s">
        <v>3416</v>
      </c>
      <c r="C4083" s="878"/>
      <c r="D4083" s="878"/>
      <c r="E4083" s="878"/>
      <c r="F4083" s="878"/>
      <c r="G4083" s="878"/>
      <c r="H4083" s="878"/>
    </row>
    <row r="4084" spans="1:8" ht="15">
      <c r="A4084" s="90"/>
      <c r="B4084" s="879" t="s">
        <v>3418</v>
      </c>
      <c r="C4084" s="879"/>
      <c r="D4084" s="879"/>
      <c r="E4084" s="879"/>
      <c r="F4084" s="879"/>
      <c r="G4084" s="879"/>
      <c r="H4084" s="879"/>
    </row>
    <row r="4085" spans="1:8" ht="31.5">
      <c r="A4085" s="1"/>
      <c r="B4085" s="68" t="s">
        <v>2966</v>
      </c>
      <c r="C4085" s="68" t="s">
        <v>2967</v>
      </c>
      <c r="D4085" s="68" t="s">
        <v>2968</v>
      </c>
      <c r="E4085" s="68" t="s">
        <v>2969</v>
      </c>
      <c r="F4085" s="68" t="s">
        <v>2970</v>
      </c>
      <c r="G4085" s="68" t="s">
        <v>2971</v>
      </c>
      <c r="H4085" s="68" t="s">
        <v>1487</v>
      </c>
    </row>
    <row r="4086" spans="1:8" ht="17.25">
      <c r="A4086" s="1"/>
      <c r="B4086" s="889" t="s">
        <v>520</v>
      </c>
      <c r="C4086" s="58" t="s">
        <v>686</v>
      </c>
      <c r="D4086" s="41">
        <v>0.75</v>
      </c>
      <c r="E4086" s="55" t="s">
        <v>1490</v>
      </c>
      <c r="F4086" s="107" t="e">
        <f>#REF!</f>
        <v>#REF!</v>
      </c>
      <c r="G4086" s="107" t="e">
        <f>FLOOR(D4086*F4086,0.01)</f>
        <v>#REF!</v>
      </c>
      <c r="H4086" s="108"/>
    </row>
    <row r="4087" spans="1:8" ht="17.25">
      <c r="A4087" s="1"/>
      <c r="B4087" s="942"/>
      <c r="C4087" s="78" t="s">
        <v>521</v>
      </c>
      <c r="D4087" s="43">
        <v>4.0999999999999996</v>
      </c>
      <c r="E4087" s="56" t="s">
        <v>1490</v>
      </c>
      <c r="F4087" s="63" t="e">
        <f>#REF!</f>
        <v>#REF!</v>
      </c>
      <c r="G4087" s="63" t="e">
        <f>FLOOR(D4087*F4087,0.01)</f>
        <v>#REF!</v>
      </c>
      <c r="H4087" s="123" t="e">
        <f>SUM(G4086+G4087)</f>
        <v>#REF!</v>
      </c>
    </row>
    <row r="4088" spans="1:8" ht="31.5">
      <c r="A4088" s="1"/>
      <c r="B4088" s="68" t="s">
        <v>1879</v>
      </c>
      <c r="C4088" s="68" t="s">
        <v>3419</v>
      </c>
      <c r="D4088" s="649"/>
      <c r="E4088" s="64"/>
      <c r="F4088" s="101"/>
      <c r="G4088" s="99"/>
      <c r="H4088" s="126" t="e">
        <f>+H4087*0.1</f>
        <v>#REF!</v>
      </c>
    </row>
    <row r="4089" spans="1:8" ht="19.5">
      <c r="A4089" s="1"/>
      <c r="B4089" s="1"/>
      <c r="C4089" s="1"/>
      <c r="D4089" s="1"/>
      <c r="E4089" s="1"/>
      <c r="F4089" s="40" t="s">
        <v>1491</v>
      </c>
      <c r="G4089" s="102"/>
      <c r="H4089" s="63" t="e">
        <f>SUM(H4087:H4088)</f>
        <v>#REF!</v>
      </c>
    </row>
    <row r="4090" spans="1:8" ht="19.5">
      <c r="A4090" s="1"/>
      <c r="B4090" s="1" t="s">
        <v>3420</v>
      </c>
      <c r="C4090" s="1"/>
      <c r="D4090" s="1"/>
      <c r="E4090" s="1"/>
      <c r="F4090" s="40" t="s">
        <v>1471</v>
      </c>
      <c r="G4090" s="102"/>
      <c r="H4090" s="99" t="e">
        <f>FLOOR(H4089*0.15,0.01)</f>
        <v>#REF!</v>
      </c>
    </row>
    <row r="4091" spans="1:8" ht="19.5">
      <c r="A4091" s="27" t="s">
        <v>3005</v>
      </c>
      <c r="B4091" s="99" t="e">
        <f>+H4091</f>
        <v>#REF!</v>
      </c>
      <c r="C4091" s="27" t="s">
        <v>3801</v>
      </c>
      <c r="D4091" s="99" t="e">
        <f>FLOOR(B4091/B4092,0.01)</f>
        <v>#REF!</v>
      </c>
      <c r="E4091" s="1" t="s">
        <v>3006</v>
      </c>
      <c r="F4091" s="40" t="s">
        <v>1494</v>
      </c>
      <c r="G4091" s="102"/>
      <c r="H4091" s="99" t="e">
        <f>SUM(H4089:H4090)</f>
        <v>#REF!</v>
      </c>
    </row>
    <row r="4092" spans="1:8" ht="16.5">
      <c r="A4092" s="1"/>
      <c r="B4092" s="222">
        <v>1000</v>
      </c>
      <c r="C4092" s="1"/>
      <c r="D4092" s="1"/>
      <c r="E4092" s="1"/>
      <c r="F4092" s="1"/>
      <c r="G4092" s="1"/>
      <c r="H4092" s="1"/>
    </row>
    <row r="4093" spans="1:8" ht="15">
      <c r="A4093" s="1"/>
      <c r="B4093" s="1"/>
      <c r="C4093" s="1"/>
      <c r="D4093" s="1"/>
      <c r="E4093" s="1"/>
      <c r="F4093" s="1"/>
      <c r="G4093" s="1"/>
      <c r="H4093" s="1"/>
    </row>
    <row r="4094" spans="1:8" ht="15">
      <c r="A4094" s="1"/>
      <c r="B4094" s="1"/>
      <c r="C4094" s="1"/>
      <c r="D4094" s="1"/>
      <c r="E4094" s="1"/>
      <c r="F4094" s="1"/>
      <c r="G4094" s="1"/>
      <c r="H4094" s="1"/>
    </row>
    <row r="4095" spans="1:8" ht="20.25">
      <c r="A4095" s="260">
        <f>A4082+1</f>
        <v>256</v>
      </c>
      <c r="B4095" s="877" t="s">
        <v>3422</v>
      </c>
      <c r="C4095" s="878"/>
      <c r="D4095" s="878"/>
      <c r="E4095" s="878"/>
      <c r="F4095" s="878"/>
      <c r="G4095" s="878"/>
      <c r="H4095" s="878"/>
    </row>
    <row r="4096" spans="1:8" ht="19.5">
      <c r="A4096" s="677" t="s">
        <v>3719</v>
      </c>
      <c r="B4096" s="877" t="s">
        <v>3416</v>
      </c>
      <c r="C4096" s="878"/>
      <c r="D4096" s="878"/>
      <c r="E4096" s="878"/>
      <c r="F4096" s="878"/>
      <c r="G4096" s="878"/>
      <c r="H4096" s="878"/>
    </row>
    <row r="4097" spans="1:8" ht="15">
      <c r="A4097" s="90"/>
      <c r="B4097" s="879" t="s">
        <v>3418</v>
      </c>
      <c r="C4097" s="879"/>
      <c r="D4097" s="879"/>
      <c r="E4097" s="879"/>
      <c r="F4097" s="879"/>
      <c r="G4097" s="879"/>
      <c r="H4097" s="879"/>
    </row>
    <row r="4098" spans="1:8" ht="31.5">
      <c r="A4098" s="1"/>
      <c r="B4098" s="68" t="s">
        <v>2966</v>
      </c>
      <c r="C4098" s="68" t="s">
        <v>2967</v>
      </c>
      <c r="D4098" s="68" t="s">
        <v>2968</v>
      </c>
      <c r="E4098" s="68" t="s">
        <v>2969</v>
      </c>
      <c r="F4098" s="68" t="s">
        <v>2970</v>
      </c>
      <c r="G4098" s="68" t="s">
        <v>2971</v>
      </c>
      <c r="H4098" s="68" t="s">
        <v>1487</v>
      </c>
    </row>
    <row r="4099" spans="1:8" ht="17.25">
      <c r="A4099" s="1"/>
      <c r="B4099" s="889" t="s">
        <v>520</v>
      </c>
      <c r="C4099" s="58" t="s">
        <v>686</v>
      </c>
      <c r="D4099" s="41">
        <v>1.2</v>
      </c>
      <c r="E4099" s="55" t="s">
        <v>1490</v>
      </c>
      <c r="F4099" s="107" t="e">
        <f>#REF!</f>
        <v>#REF!</v>
      </c>
      <c r="G4099" s="107" t="e">
        <f>FLOOR(D4099*F4099,0.01)</f>
        <v>#REF!</v>
      </c>
      <c r="H4099" s="108"/>
    </row>
    <row r="4100" spans="1:8" ht="17.25">
      <c r="A4100" s="1"/>
      <c r="B4100" s="942"/>
      <c r="C4100" s="78" t="s">
        <v>521</v>
      </c>
      <c r="D4100" s="43">
        <v>4.8499999999999996</v>
      </c>
      <c r="E4100" s="56" t="s">
        <v>1490</v>
      </c>
      <c r="F4100" s="63" t="e">
        <f>#REF!</f>
        <v>#REF!</v>
      </c>
      <c r="G4100" s="63" t="e">
        <f>FLOOR(D4100*F4100,0.01)</f>
        <v>#REF!</v>
      </c>
      <c r="H4100" s="123" t="e">
        <f>SUM(G4099+G4100)</f>
        <v>#REF!</v>
      </c>
    </row>
    <row r="4101" spans="1:8" ht="31.5">
      <c r="A4101" s="1"/>
      <c r="B4101" s="68" t="s">
        <v>1879</v>
      </c>
      <c r="C4101" s="68" t="s">
        <v>3419</v>
      </c>
      <c r="D4101" s="649"/>
      <c r="E4101" s="64"/>
      <c r="F4101" s="101"/>
      <c r="G4101" s="99"/>
      <c r="H4101" s="126" t="e">
        <f>+H4100*0.1</f>
        <v>#REF!</v>
      </c>
    </row>
    <row r="4102" spans="1:8" ht="19.5">
      <c r="A4102" s="1"/>
      <c r="B4102" s="1"/>
      <c r="C4102" s="1"/>
      <c r="D4102" s="1"/>
      <c r="E4102" s="1"/>
      <c r="F4102" s="40" t="s">
        <v>1491</v>
      </c>
      <c r="G4102" s="102"/>
      <c r="H4102" s="63" t="e">
        <f>SUM(H4100:H4101)</f>
        <v>#REF!</v>
      </c>
    </row>
    <row r="4103" spans="1:8" ht="19.5">
      <c r="A4103" s="1"/>
      <c r="B4103" s="1" t="s">
        <v>3420</v>
      </c>
      <c r="C4103" s="1"/>
      <c r="D4103" s="1"/>
      <c r="E4103" s="1"/>
      <c r="F4103" s="40" t="s">
        <v>1471</v>
      </c>
      <c r="G4103" s="102"/>
      <c r="H4103" s="99" t="e">
        <f>FLOOR(H4102*0.15,0.01)</f>
        <v>#REF!</v>
      </c>
    </row>
    <row r="4104" spans="1:8" ht="19.5">
      <c r="A4104" s="27" t="s">
        <v>3005</v>
      </c>
      <c r="B4104" s="99" t="e">
        <f>+H4104</f>
        <v>#REF!</v>
      </c>
      <c r="C4104" s="27" t="s">
        <v>3801</v>
      </c>
      <c r="D4104" s="99" t="e">
        <f>FLOOR(B4104/B4105,0.01)</f>
        <v>#REF!</v>
      </c>
      <c r="E4104" s="1" t="s">
        <v>3006</v>
      </c>
      <c r="F4104" s="40" t="s">
        <v>1494</v>
      </c>
      <c r="G4104" s="102"/>
      <c r="H4104" s="99" t="e">
        <f>SUM(H4102:H4103)</f>
        <v>#REF!</v>
      </c>
    </row>
    <row r="4105" spans="1:8" ht="16.5">
      <c r="A4105" s="1"/>
      <c r="B4105" s="222">
        <v>1000</v>
      </c>
      <c r="C4105" s="1"/>
      <c r="D4105" s="1"/>
      <c r="E4105" s="1"/>
      <c r="F4105" s="1"/>
      <c r="G4105" s="1"/>
      <c r="H4105" s="1"/>
    </row>
    <row r="4106" spans="1:8" ht="15">
      <c r="A4106" s="1"/>
      <c r="B4106" s="1"/>
      <c r="C4106" s="1"/>
      <c r="D4106" s="1"/>
      <c r="E4106" s="1"/>
      <c r="F4106" s="1"/>
      <c r="G4106" s="1"/>
      <c r="H4106" s="1"/>
    </row>
    <row r="4107" spans="1:8" ht="15">
      <c r="A4107" s="1"/>
      <c r="B4107" s="1"/>
      <c r="C4107" s="1"/>
      <c r="D4107" s="1"/>
      <c r="E4107" s="1"/>
      <c r="F4107" s="1"/>
      <c r="G4107" s="1"/>
      <c r="H4107" s="1"/>
    </row>
    <row r="4108" spans="1:8" ht="16.5">
      <c r="A4108" s="260">
        <f>A4095+1</f>
        <v>257</v>
      </c>
      <c r="B4108" s="1"/>
      <c r="C4108" s="1"/>
      <c r="D4108" s="1"/>
      <c r="E4108" s="1"/>
      <c r="F4108" s="1"/>
      <c r="G4108" s="1"/>
      <c r="H4108" s="1"/>
    </row>
    <row r="4109" spans="1:8" ht="19.5">
      <c r="A4109" s="677" t="s">
        <v>3720</v>
      </c>
      <c r="B4109" s="877" t="s">
        <v>3423</v>
      </c>
      <c r="C4109" s="878"/>
      <c r="D4109" s="878"/>
      <c r="E4109" s="878"/>
      <c r="F4109" s="878"/>
      <c r="G4109" s="878"/>
      <c r="H4109" s="878"/>
    </row>
    <row r="4110" spans="1:8" ht="15">
      <c r="A4110" s="90"/>
      <c r="B4110" s="879" t="s">
        <v>1468</v>
      </c>
      <c r="C4110" s="879"/>
      <c r="D4110" s="879"/>
      <c r="E4110" s="879"/>
      <c r="F4110" s="879"/>
      <c r="G4110" s="879"/>
      <c r="H4110" s="879"/>
    </row>
    <row r="4111" spans="1:8" ht="31.5">
      <c r="A4111" s="1"/>
      <c r="B4111" s="68" t="s">
        <v>2966</v>
      </c>
      <c r="C4111" s="68" t="s">
        <v>2967</v>
      </c>
      <c r="D4111" s="68" t="s">
        <v>2968</v>
      </c>
      <c r="E4111" s="68" t="s">
        <v>2969</v>
      </c>
      <c r="F4111" s="68" t="s">
        <v>2970</v>
      </c>
      <c r="G4111" s="68" t="s">
        <v>2971</v>
      </c>
      <c r="H4111" s="68" t="s">
        <v>1487</v>
      </c>
    </row>
    <row r="4112" spans="1:8" ht="17.25">
      <c r="A4112" s="1"/>
      <c r="B4112" s="889" t="s">
        <v>520</v>
      </c>
      <c r="C4112" s="58" t="s">
        <v>686</v>
      </c>
      <c r="D4112" s="41">
        <v>0.1</v>
      </c>
      <c r="E4112" s="55" t="s">
        <v>1490</v>
      </c>
      <c r="F4112" s="107" t="e">
        <f>#REF!</f>
        <v>#REF!</v>
      </c>
      <c r="G4112" s="107" t="e">
        <f>FLOOR(D4112*F4112,0.01)</f>
        <v>#REF!</v>
      </c>
      <c r="H4112" s="108"/>
    </row>
    <row r="4113" spans="1:8" ht="17.25">
      <c r="A4113" s="1"/>
      <c r="B4113" s="942"/>
      <c r="C4113" s="78" t="s">
        <v>521</v>
      </c>
      <c r="D4113" s="43">
        <v>1.4</v>
      </c>
      <c r="E4113" s="56" t="s">
        <v>1490</v>
      </c>
      <c r="F4113" s="63" t="e">
        <f>#REF!</f>
        <v>#REF!</v>
      </c>
      <c r="G4113" s="63" t="e">
        <f>FLOOR(D4113*F4113,0.01)</f>
        <v>#REF!</v>
      </c>
      <c r="H4113" s="123" t="e">
        <f>SUM(G4112+G4113)</f>
        <v>#REF!</v>
      </c>
    </row>
    <row r="4114" spans="1:8" ht="31.5">
      <c r="A4114" s="1"/>
      <c r="B4114" s="68" t="s">
        <v>1879</v>
      </c>
      <c r="C4114" s="68" t="s">
        <v>3419</v>
      </c>
      <c r="D4114" s="649"/>
      <c r="E4114" s="64"/>
      <c r="F4114" s="101"/>
      <c r="G4114" s="99"/>
      <c r="H4114" s="126" t="e">
        <f>+H4113*0.05</f>
        <v>#REF!</v>
      </c>
    </row>
    <row r="4115" spans="1:8" ht="19.5">
      <c r="A4115" s="1"/>
      <c r="B4115" s="1"/>
      <c r="C4115" s="1"/>
      <c r="D4115" s="1"/>
      <c r="E4115" s="1"/>
      <c r="F4115" s="40" t="s">
        <v>1491</v>
      </c>
      <c r="G4115" s="102"/>
      <c r="H4115" s="63" t="e">
        <f>SUM(H4113:H4114)</f>
        <v>#REF!</v>
      </c>
    </row>
    <row r="4116" spans="1:8" ht="19.5">
      <c r="A4116" s="1"/>
      <c r="B4116" s="1" t="s">
        <v>3233</v>
      </c>
      <c r="C4116" s="1"/>
      <c r="D4116" s="1"/>
      <c r="E4116" s="1"/>
      <c r="F4116" s="40" t="s">
        <v>1471</v>
      </c>
      <c r="G4116" s="102"/>
      <c r="H4116" s="99" t="e">
        <f>FLOOR(H4115*0.15,0.01)</f>
        <v>#REF!</v>
      </c>
    </row>
    <row r="4117" spans="1:8" ht="19.5">
      <c r="A4117" s="27" t="s">
        <v>3005</v>
      </c>
      <c r="B4117" s="99" t="e">
        <f>FLOOR(H4117/1,0.01)</f>
        <v>#REF!</v>
      </c>
      <c r="C4117" s="1" t="s">
        <v>3006</v>
      </c>
      <c r="D4117" s="141"/>
      <c r="E4117" s="1"/>
      <c r="F4117" s="40" t="s">
        <v>1494</v>
      </c>
      <c r="G4117" s="102"/>
      <c r="H4117" s="99" t="e">
        <f>SUM(H4115:H4116)</f>
        <v>#REF!</v>
      </c>
    </row>
    <row r="4118" spans="1:8" ht="16.5">
      <c r="A4118" s="1"/>
      <c r="B4118" s="222"/>
      <c r="C4118" s="1"/>
      <c r="D4118" s="1"/>
      <c r="E4118" s="1"/>
      <c r="F4118" s="1"/>
      <c r="G4118" s="1"/>
      <c r="H4118" s="1"/>
    </row>
    <row r="4119" spans="1:8" ht="15">
      <c r="A4119" s="31"/>
      <c r="B4119" s="1"/>
      <c r="C4119" s="1"/>
      <c r="D4119" s="1"/>
      <c r="E4119" s="1"/>
      <c r="F4119" s="1"/>
      <c r="G4119" s="1"/>
      <c r="H4119" s="1"/>
    </row>
    <row r="4120" spans="1:8" ht="16.5">
      <c r="A4120" s="260">
        <f>A4108+1</f>
        <v>258</v>
      </c>
      <c r="B4120" s="1"/>
      <c r="C4120" s="1"/>
      <c r="D4120" s="1"/>
      <c r="E4120" s="1"/>
      <c r="F4120" s="1"/>
      <c r="G4120" s="1"/>
      <c r="H4120" s="1"/>
    </row>
    <row r="4121" spans="1:8" ht="19.5">
      <c r="A4121" s="677" t="s">
        <v>3720</v>
      </c>
      <c r="B4121" s="877" t="s">
        <v>3424</v>
      </c>
      <c r="C4121" s="878"/>
      <c r="D4121" s="878"/>
      <c r="E4121" s="878"/>
      <c r="F4121" s="878"/>
      <c r="G4121" s="878"/>
      <c r="H4121" s="878"/>
    </row>
    <row r="4122" spans="1:8" ht="15">
      <c r="A4122" s="90"/>
      <c r="B4122" s="879" t="s">
        <v>3425</v>
      </c>
      <c r="C4122" s="879"/>
      <c r="D4122" s="879"/>
      <c r="E4122" s="879"/>
      <c r="F4122" s="879"/>
      <c r="G4122" s="879"/>
      <c r="H4122" s="879"/>
    </row>
    <row r="4123" spans="1:8" ht="31.5">
      <c r="A4123" s="1"/>
      <c r="B4123" s="68" t="s">
        <v>2966</v>
      </c>
      <c r="C4123" s="68" t="s">
        <v>2967</v>
      </c>
      <c r="D4123" s="68" t="s">
        <v>2968</v>
      </c>
      <c r="E4123" s="68" t="s">
        <v>2969</v>
      </c>
      <c r="F4123" s="68" t="s">
        <v>2970</v>
      </c>
      <c r="G4123" s="68" t="s">
        <v>2971</v>
      </c>
      <c r="H4123" s="68" t="s">
        <v>1487</v>
      </c>
    </row>
    <row r="4124" spans="1:8" ht="17.25">
      <c r="A4124" s="1"/>
      <c r="B4124" s="889" t="s">
        <v>520</v>
      </c>
      <c r="C4124" s="58" t="s">
        <v>686</v>
      </c>
      <c r="D4124" s="41">
        <v>0.1</v>
      </c>
      <c r="E4124" s="55" t="s">
        <v>1490</v>
      </c>
      <c r="F4124" s="107" t="e">
        <f>#REF!</f>
        <v>#REF!</v>
      </c>
      <c r="G4124" s="107" t="e">
        <f>FLOOR(D4124*F4124,0.01)</f>
        <v>#REF!</v>
      </c>
      <c r="H4124" s="108"/>
    </row>
    <row r="4125" spans="1:8" ht="17.25">
      <c r="A4125" s="1"/>
      <c r="B4125" s="942"/>
      <c r="C4125" s="78" t="s">
        <v>521</v>
      </c>
      <c r="D4125" s="43">
        <v>2.7</v>
      </c>
      <c r="E4125" s="56" t="s">
        <v>1490</v>
      </c>
      <c r="F4125" s="63" t="e">
        <f>#REF!</f>
        <v>#REF!</v>
      </c>
      <c r="G4125" s="63" t="e">
        <f>FLOOR(D4125*F4125,0.01)</f>
        <v>#REF!</v>
      </c>
      <c r="H4125" s="123" t="e">
        <f>SUM(G4124+G4125)</f>
        <v>#REF!</v>
      </c>
    </row>
    <row r="4126" spans="1:8" ht="31.5">
      <c r="A4126" s="1"/>
      <c r="B4126" s="68" t="s">
        <v>1879</v>
      </c>
      <c r="C4126" s="68" t="s">
        <v>3419</v>
      </c>
      <c r="D4126" s="649"/>
      <c r="E4126" s="64"/>
      <c r="F4126" s="101"/>
      <c r="G4126" s="99"/>
      <c r="H4126" s="126" t="e">
        <f>+H4125*0.05</f>
        <v>#REF!</v>
      </c>
    </row>
    <row r="4127" spans="1:8" ht="19.5">
      <c r="A4127" s="1"/>
      <c r="B4127" s="1"/>
      <c r="C4127" s="1"/>
      <c r="D4127" s="1"/>
      <c r="E4127" s="1"/>
      <c r="F4127" s="40" t="s">
        <v>1491</v>
      </c>
      <c r="G4127" s="102"/>
      <c r="H4127" s="63" t="e">
        <f>SUM(H4125:H4126)</f>
        <v>#REF!</v>
      </c>
    </row>
    <row r="4128" spans="1:8" ht="19.5">
      <c r="A4128" s="1"/>
      <c r="B4128" s="1" t="s">
        <v>3233</v>
      </c>
      <c r="C4128" s="1"/>
      <c r="D4128" s="1"/>
      <c r="E4128" s="1"/>
      <c r="F4128" s="40" t="s">
        <v>1471</v>
      </c>
      <c r="G4128" s="102"/>
      <c r="H4128" s="99" t="e">
        <f>FLOOR(H4127*0.15,0.01)</f>
        <v>#REF!</v>
      </c>
    </row>
    <row r="4129" spans="1:8" ht="19.5">
      <c r="A4129" s="27" t="s">
        <v>3005</v>
      </c>
      <c r="B4129" s="99" t="e">
        <f>FLOOR(H4129/1,0.01)</f>
        <v>#REF!</v>
      </c>
      <c r="C4129" s="1" t="s">
        <v>3006</v>
      </c>
      <c r="D4129" s="141"/>
      <c r="E4129" s="1"/>
      <c r="F4129" s="40" t="s">
        <v>1494</v>
      </c>
      <c r="G4129" s="102"/>
      <c r="H4129" s="99" t="e">
        <f>SUM(H4127:H4128)</f>
        <v>#REF!</v>
      </c>
    </row>
    <row r="4130" spans="1:8" ht="16.5">
      <c r="A4130" s="1"/>
      <c r="B4130" s="222"/>
      <c r="C4130" s="1"/>
      <c r="D4130" s="1"/>
      <c r="E4130" s="1"/>
      <c r="F4130" s="1"/>
      <c r="G4130" s="1"/>
      <c r="H4130" s="1"/>
    </row>
    <row r="4131" spans="1:8" ht="16.5">
      <c r="A4131" s="1"/>
      <c r="B4131" s="223"/>
      <c r="C4131" s="1"/>
      <c r="D4131" s="1"/>
      <c r="E4131" s="1"/>
      <c r="F4131" s="1"/>
      <c r="G4131" s="1"/>
      <c r="H4131" s="1"/>
    </row>
    <row r="4132" spans="1:8" ht="16.5">
      <c r="A4132" s="260">
        <f>A4120+1</f>
        <v>259</v>
      </c>
      <c r="B4132" s="1"/>
      <c r="C4132" s="1"/>
      <c r="D4132" s="1"/>
      <c r="E4132" s="1"/>
      <c r="F4132" s="1"/>
      <c r="G4132" s="1"/>
      <c r="H4132" s="1"/>
    </row>
    <row r="4133" spans="1:8" ht="19.5">
      <c r="A4133" s="677" t="s">
        <v>3721</v>
      </c>
      <c r="B4133" s="877" t="s">
        <v>3428</v>
      </c>
      <c r="C4133" s="878"/>
      <c r="D4133" s="878"/>
      <c r="E4133" s="878"/>
      <c r="F4133" s="878"/>
      <c r="G4133" s="878"/>
      <c r="H4133" s="878"/>
    </row>
    <row r="4134" spans="1:8" ht="15">
      <c r="A4134" s="90"/>
      <c r="B4134" s="879" t="s">
        <v>3426</v>
      </c>
      <c r="C4134" s="879"/>
      <c r="D4134" s="879"/>
      <c r="E4134" s="879"/>
      <c r="F4134" s="879"/>
      <c r="G4134" s="879"/>
      <c r="H4134" s="879"/>
    </row>
    <row r="4135" spans="1:8" ht="31.5">
      <c r="A4135" s="1"/>
      <c r="B4135" s="68" t="s">
        <v>2966</v>
      </c>
      <c r="C4135" s="68" t="s">
        <v>2967</v>
      </c>
      <c r="D4135" s="68" t="s">
        <v>2968</v>
      </c>
      <c r="E4135" s="68" t="s">
        <v>2969</v>
      </c>
      <c r="F4135" s="68" t="s">
        <v>2970</v>
      </c>
      <c r="G4135" s="68" t="s">
        <v>2971</v>
      </c>
      <c r="H4135" s="68" t="s">
        <v>1487</v>
      </c>
    </row>
    <row r="4136" spans="1:8" ht="17.25">
      <c r="A4136" s="1"/>
      <c r="B4136" s="889" t="s">
        <v>520</v>
      </c>
      <c r="C4136" s="58" t="s">
        <v>686</v>
      </c>
      <c r="D4136" s="41">
        <v>0.5</v>
      </c>
      <c r="E4136" s="55" t="s">
        <v>1490</v>
      </c>
      <c r="F4136" s="107" t="e">
        <f>#REF!</f>
        <v>#REF!</v>
      </c>
      <c r="G4136" s="107" t="e">
        <f>FLOOR(D4136*F4136,0.01)</f>
        <v>#REF!</v>
      </c>
      <c r="H4136" s="108"/>
    </row>
    <row r="4137" spans="1:8" ht="17.25">
      <c r="A4137" s="1"/>
      <c r="B4137" s="942"/>
      <c r="C4137" s="78" t="s">
        <v>521</v>
      </c>
      <c r="D4137" s="43">
        <v>3</v>
      </c>
      <c r="E4137" s="56" t="s">
        <v>1490</v>
      </c>
      <c r="F4137" s="63" t="e">
        <f>#REF!</f>
        <v>#REF!</v>
      </c>
      <c r="G4137" s="63" t="e">
        <f>FLOOR(D4137*F4137,0.01)</f>
        <v>#REF!</v>
      </c>
      <c r="H4137" s="123" t="e">
        <f>SUM(G4136+G4137)</f>
        <v>#REF!</v>
      </c>
    </row>
    <row r="4138" spans="1:8" ht="31.5">
      <c r="A4138" s="1"/>
      <c r="B4138" s="68" t="s">
        <v>1879</v>
      </c>
      <c r="C4138" s="68" t="s">
        <v>3427</v>
      </c>
      <c r="D4138" s="649"/>
      <c r="E4138" s="64"/>
      <c r="F4138" s="101"/>
      <c r="G4138" s="99"/>
      <c r="H4138" s="126" t="e">
        <f>+H4137*0.05</f>
        <v>#REF!</v>
      </c>
    </row>
    <row r="4139" spans="1:8" ht="19.5">
      <c r="A4139" s="1"/>
      <c r="B4139" s="1"/>
      <c r="C4139" s="1"/>
      <c r="D4139" s="1"/>
      <c r="E4139" s="1"/>
      <c r="F4139" s="40" t="s">
        <v>1491</v>
      </c>
      <c r="G4139" s="102"/>
      <c r="H4139" s="63" t="e">
        <f>SUM(H4137:H4138)</f>
        <v>#REF!</v>
      </c>
    </row>
    <row r="4140" spans="1:8" ht="19.5">
      <c r="A4140" s="1"/>
      <c r="B4140" s="1" t="s">
        <v>941</v>
      </c>
      <c r="C4140" s="1"/>
      <c r="D4140" s="1"/>
      <c r="E4140" s="1"/>
      <c r="F4140" s="40" t="s">
        <v>1471</v>
      </c>
      <c r="G4140" s="102"/>
      <c r="H4140" s="99" t="e">
        <f>FLOOR(H4139*0.15,0.01)</f>
        <v>#REF!</v>
      </c>
    </row>
    <row r="4141" spans="1:8" ht="19.5">
      <c r="A4141" s="27" t="s">
        <v>3005</v>
      </c>
      <c r="B4141" s="99" t="e">
        <f>FLOOR(H4141/1,0.01)</f>
        <v>#REF!</v>
      </c>
      <c r="C4141" s="1" t="s">
        <v>3006</v>
      </c>
      <c r="D4141" s="141"/>
      <c r="E4141" s="1"/>
      <c r="F4141" s="40" t="s">
        <v>1494</v>
      </c>
      <c r="G4141" s="102"/>
      <c r="H4141" s="99" t="e">
        <f>SUM(H4139:H4140)</f>
        <v>#REF!</v>
      </c>
    </row>
    <row r="4142" spans="1:8" ht="19.5">
      <c r="A4142" s="27"/>
      <c r="B4142" s="141"/>
      <c r="C4142" s="1"/>
      <c r="D4142" s="141"/>
      <c r="E4142" s="1"/>
      <c r="F4142" s="40"/>
      <c r="G4142" s="102"/>
      <c r="H4142" s="141"/>
    </row>
    <row r="4143" spans="1:8" ht="15">
      <c r="A4143" s="31"/>
      <c r="B4143" s="1"/>
      <c r="C4143" s="1"/>
      <c r="D4143" s="1"/>
      <c r="E4143" s="1"/>
      <c r="F4143" s="1"/>
      <c r="G4143" s="1"/>
      <c r="H4143" s="1"/>
    </row>
    <row r="4144" spans="1:8" ht="16.5">
      <c r="A4144" s="260">
        <f>A4132+1</f>
        <v>260</v>
      </c>
      <c r="B4144" s="1"/>
      <c r="C4144" s="1"/>
      <c r="D4144" s="1"/>
      <c r="E4144" s="1"/>
      <c r="F4144" s="1"/>
      <c r="G4144" s="1"/>
      <c r="H4144" s="1"/>
    </row>
    <row r="4145" spans="1:8" ht="19.5">
      <c r="A4145" s="677" t="s">
        <v>3722</v>
      </c>
      <c r="B4145" s="877" t="s">
        <v>3429</v>
      </c>
      <c r="C4145" s="878"/>
      <c r="D4145" s="878"/>
      <c r="E4145" s="878"/>
      <c r="F4145" s="878"/>
      <c r="G4145" s="878"/>
      <c r="H4145" s="878"/>
    </row>
    <row r="4146" spans="1:8" ht="15">
      <c r="A4146" s="90"/>
      <c r="B4146" s="879" t="s">
        <v>3430</v>
      </c>
      <c r="C4146" s="879"/>
      <c r="D4146" s="879"/>
      <c r="E4146" s="879"/>
      <c r="F4146" s="879"/>
      <c r="G4146" s="879"/>
      <c r="H4146" s="879"/>
    </row>
    <row r="4147" spans="1:8" ht="31.5">
      <c r="A4147" s="1"/>
      <c r="B4147" s="68" t="s">
        <v>2966</v>
      </c>
      <c r="C4147" s="68" t="s">
        <v>2967</v>
      </c>
      <c r="D4147" s="68" t="s">
        <v>2968</v>
      </c>
      <c r="E4147" s="68" t="s">
        <v>2969</v>
      </c>
      <c r="F4147" s="68" t="s">
        <v>2970</v>
      </c>
      <c r="G4147" s="68" t="s">
        <v>2971</v>
      </c>
      <c r="H4147" s="68" t="s">
        <v>1487</v>
      </c>
    </row>
    <row r="4148" spans="1:8" ht="17.25">
      <c r="A4148" s="1"/>
      <c r="B4148" s="593" t="s">
        <v>520</v>
      </c>
      <c r="C4148" s="68" t="s">
        <v>521</v>
      </c>
      <c r="D4148" s="44">
        <v>0.45</v>
      </c>
      <c r="E4148" s="64" t="s">
        <v>1490</v>
      </c>
      <c r="F4148" s="101" t="e">
        <f>#REF!</f>
        <v>#REF!</v>
      </c>
      <c r="G4148" s="101" t="e">
        <f>FLOOR(D4148*F4148,0.01)</f>
        <v>#REF!</v>
      </c>
      <c r="H4148" s="123" t="e">
        <f>SUM(G4148)</f>
        <v>#REF!</v>
      </c>
    </row>
    <row r="4149" spans="1:8" ht="19.5">
      <c r="A4149" s="1"/>
      <c r="B4149" s="1"/>
      <c r="C4149" s="1"/>
      <c r="D4149" s="1"/>
      <c r="E4149" s="1"/>
      <c r="F4149" s="40" t="s">
        <v>1491</v>
      </c>
      <c r="G4149" s="102"/>
      <c r="H4149" s="63" t="e">
        <f>SUM(H4148:H4148)</f>
        <v>#REF!</v>
      </c>
    </row>
    <row r="4150" spans="1:8" ht="19.5">
      <c r="A4150" s="1"/>
      <c r="B4150" s="1" t="s">
        <v>1493</v>
      </c>
      <c r="C4150" s="1"/>
      <c r="D4150" s="1"/>
      <c r="E4150" s="1"/>
      <c r="F4150" s="40" t="s">
        <v>1471</v>
      </c>
      <c r="G4150" s="102"/>
      <c r="H4150" s="99" t="e">
        <f>FLOOR(H4149*0.15,0.01)</f>
        <v>#REF!</v>
      </c>
    </row>
    <row r="4151" spans="1:8" ht="19.5">
      <c r="A4151" s="27" t="s">
        <v>3005</v>
      </c>
      <c r="B4151" s="99" t="e">
        <f>FLOOR(H4151/1,0.01)</f>
        <v>#REF!</v>
      </c>
      <c r="C4151" s="1" t="s">
        <v>3006</v>
      </c>
      <c r="D4151" s="141"/>
      <c r="E4151" s="1"/>
      <c r="F4151" s="40" t="s">
        <v>1494</v>
      </c>
      <c r="G4151" s="102"/>
      <c r="H4151" s="99" t="e">
        <f>SUM(H4149:H4150)</f>
        <v>#REF!</v>
      </c>
    </row>
    <row r="4152" spans="1:8" ht="15">
      <c r="A4152" s="1"/>
      <c r="B4152" s="1"/>
      <c r="C4152" s="1"/>
      <c r="D4152" s="1"/>
      <c r="E4152" s="1"/>
      <c r="F4152" s="1"/>
      <c r="G4152" s="1"/>
      <c r="H4152" s="1"/>
    </row>
    <row r="4153" spans="1:8" ht="15">
      <c r="A4153" s="31"/>
      <c r="B4153" s="1"/>
      <c r="C4153" s="1"/>
      <c r="D4153" s="1"/>
      <c r="E4153" s="1"/>
      <c r="F4153" s="1"/>
      <c r="G4153" s="1"/>
      <c r="H4153" s="1"/>
    </row>
    <row r="4154" spans="1:8" ht="16.5">
      <c r="A4154" s="260">
        <f>A4144+1</f>
        <v>261</v>
      </c>
      <c r="B4154" s="1"/>
      <c r="C4154" s="1"/>
      <c r="D4154" s="1"/>
      <c r="E4154" s="1"/>
      <c r="F4154" s="1"/>
      <c r="G4154" s="1"/>
      <c r="H4154" s="1"/>
    </row>
    <row r="4155" spans="1:8" ht="19.5">
      <c r="A4155" s="677" t="s">
        <v>3722</v>
      </c>
      <c r="B4155" s="877" t="s">
        <v>3431</v>
      </c>
      <c r="C4155" s="878"/>
      <c r="D4155" s="878"/>
      <c r="E4155" s="878"/>
      <c r="F4155" s="878"/>
      <c r="G4155" s="878"/>
      <c r="H4155" s="878"/>
    </row>
    <row r="4156" spans="1:8" ht="15">
      <c r="A4156" s="90"/>
      <c r="B4156" s="879" t="s">
        <v>3430</v>
      </c>
      <c r="C4156" s="879"/>
      <c r="D4156" s="879"/>
      <c r="E4156" s="879"/>
      <c r="F4156" s="879"/>
      <c r="G4156" s="879"/>
      <c r="H4156" s="879"/>
    </row>
    <row r="4157" spans="1:8" ht="31.5">
      <c r="A4157" s="1"/>
      <c r="B4157" s="68" t="s">
        <v>2966</v>
      </c>
      <c r="C4157" s="68" t="s">
        <v>2967</v>
      </c>
      <c r="D4157" s="68" t="s">
        <v>2968</v>
      </c>
      <c r="E4157" s="68" t="s">
        <v>2969</v>
      </c>
      <c r="F4157" s="68" t="s">
        <v>2970</v>
      </c>
      <c r="G4157" s="68" t="s">
        <v>2971</v>
      </c>
      <c r="H4157" s="68" t="s">
        <v>1487</v>
      </c>
    </row>
    <row r="4158" spans="1:8" ht="17.25">
      <c r="A4158" s="1"/>
      <c r="B4158" s="593" t="s">
        <v>520</v>
      </c>
      <c r="C4158" s="68" t="s">
        <v>521</v>
      </c>
      <c r="D4158" s="44">
        <v>0.42</v>
      </c>
      <c r="E4158" s="64" t="s">
        <v>1490</v>
      </c>
      <c r="F4158" s="101" t="e">
        <f>#REF!</f>
        <v>#REF!</v>
      </c>
      <c r="G4158" s="101" t="e">
        <f>FLOOR(D4158*F4158,0.01)</f>
        <v>#REF!</v>
      </c>
      <c r="H4158" s="123" t="e">
        <f>SUM(G4158)</f>
        <v>#REF!</v>
      </c>
    </row>
    <row r="4159" spans="1:8" ht="19.5">
      <c r="A4159" s="1"/>
      <c r="B4159" s="1"/>
      <c r="C4159" s="1"/>
      <c r="D4159" s="1"/>
      <c r="E4159" s="1"/>
      <c r="F4159" s="40" t="s">
        <v>1491</v>
      </c>
      <c r="G4159" s="102"/>
      <c r="H4159" s="63" t="e">
        <f>SUM(H4158:H4158)</f>
        <v>#REF!</v>
      </c>
    </row>
    <row r="4160" spans="1:8" ht="19.5">
      <c r="A4160" s="1"/>
      <c r="B4160" s="1" t="s">
        <v>1493</v>
      </c>
      <c r="C4160" s="1"/>
      <c r="D4160" s="1"/>
      <c r="E4160" s="1"/>
      <c r="F4160" s="40" t="s">
        <v>1471</v>
      </c>
      <c r="G4160" s="102"/>
      <c r="H4160" s="99" t="e">
        <f>FLOOR(H4159*0.15,0.01)</f>
        <v>#REF!</v>
      </c>
    </row>
    <row r="4161" spans="1:8" ht="19.5">
      <c r="A4161" s="27" t="s">
        <v>3005</v>
      </c>
      <c r="B4161" s="99" t="e">
        <f>+H4161</f>
        <v>#REF!</v>
      </c>
      <c r="C4161" s="1" t="s">
        <v>3006</v>
      </c>
      <c r="D4161" s="141"/>
      <c r="E4161" s="1"/>
      <c r="F4161" s="40" t="s">
        <v>1494</v>
      </c>
      <c r="G4161" s="102"/>
      <c r="H4161" s="99" t="e">
        <f>SUM(H4159:H4160)</f>
        <v>#REF!</v>
      </c>
    </row>
    <row r="4162" spans="1:8" ht="15">
      <c r="A4162" s="1"/>
      <c r="B4162" s="1"/>
      <c r="C4162" s="1"/>
      <c r="D4162" s="1"/>
      <c r="E4162" s="1"/>
      <c r="F4162" s="1"/>
      <c r="G4162" s="1"/>
      <c r="H4162" s="1"/>
    </row>
    <row r="4163" spans="1:8" ht="16.5">
      <c r="A4163" s="260">
        <f>A4154+1</f>
        <v>262</v>
      </c>
      <c r="B4163" s="1"/>
      <c r="C4163" s="1"/>
      <c r="D4163" s="1"/>
      <c r="E4163" s="1"/>
      <c r="F4163" s="1"/>
      <c r="G4163" s="1"/>
      <c r="H4163" s="1"/>
    </row>
    <row r="4164" spans="1:8" ht="19.5">
      <c r="A4164" s="677" t="s">
        <v>3722</v>
      </c>
      <c r="B4164" s="877" t="s">
        <v>3432</v>
      </c>
      <c r="C4164" s="878"/>
      <c r="D4164" s="878"/>
      <c r="E4164" s="878"/>
      <c r="F4164" s="878"/>
      <c r="G4164" s="878"/>
      <c r="H4164" s="878"/>
    </row>
    <row r="4165" spans="1:8" ht="15">
      <c r="A4165" s="90"/>
      <c r="B4165" s="879" t="s">
        <v>3430</v>
      </c>
      <c r="C4165" s="879"/>
      <c r="D4165" s="879"/>
      <c r="E4165" s="879"/>
      <c r="F4165" s="879"/>
      <c r="G4165" s="879"/>
      <c r="H4165" s="879"/>
    </row>
    <row r="4166" spans="1:8" ht="31.5">
      <c r="A4166" s="1"/>
      <c r="B4166" s="68" t="s">
        <v>2966</v>
      </c>
      <c r="C4166" s="68" t="s">
        <v>2967</v>
      </c>
      <c r="D4166" s="68" t="s">
        <v>2968</v>
      </c>
      <c r="E4166" s="68" t="s">
        <v>2969</v>
      </c>
      <c r="F4166" s="68" t="s">
        <v>2970</v>
      </c>
      <c r="G4166" s="68" t="s">
        <v>2971</v>
      </c>
      <c r="H4166" s="68" t="s">
        <v>1487</v>
      </c>
    </row>
    <row r="4167" spans="1:8" ht="17.25">
      <c r="A4167" s="1"/>
      <c r="B4167" s="593" t="s">
        <v>520</v>
      </c>
      <c r="C4167" s="68" t="s">
        <v>521</v>
      </c>
      <c r="D4167" s="44">
        <v>0.4</v>
      </c>
      <c r="E4167" s="64" t="s">
        <v>1490</v>
      </c>
      <c r="F4167" s="101" t="e">
        <f>#REF!</f>
        <v>#REF!</v>
      </c>
      <c r="G4167" s="101" t="e">
        <f>FLOOR(D4167*F4167,0.01)</f>
        <v>#REF!</v>
      </c>
      <c r="H4167" s="123" t="e">
        <f>SUM(G4167)</f>
        <v>#REF!</v>
      </c>
    </row>
    <row r="4168" spans="1:8" ht="19.5">
      <c r="A4168" s="1"/>
      <c r="B4168" s="1"/>
      <c r="C4168" s="1"/>
      <c r="D4168" s="1"/>
      <c r="E4168" s="1"/>
      <c r="F4168" s="40" t="s">
        <v>1491</v>
      </c>
      <c r="G4168" s="102"/>
      <c r="H4168" s="63" t="e">
        <f>SUM(H4167:H4167)</f>
        <v>#REF!</v>
      </c>
    </row>
    <row r="4169" spans="1:8" ht="19.5">
      <c r="A4169" s="1"/>
      <c r="B4169" s="1" t="s">
        <v>1493</v>
      </c>
      <c r="C4169" s="1"/>
      <c r="D4169" s="1"/>
      <c r="E4169" s="1"/>
      <c r="F4169" s="40" t="s">
        <v>1471</v>
      </c>
      <c r="G4169" s="102"/>
      <c r="H4169" s="99" t="e">
        <f>FLOOR(H4168*0.15,0.01)</f>
        <v>#REF!</v>
      </c>
    </row>
    <row r="4170" spans="1:8" ht="19.5">
      <c r="A4170" s="27" t="s">
        <v>3005</v>
      </c>
      <c r="B4170" s="99" t="e">
        <f>+H4170</f>
        <v>#REF!</v>
      </c>
      <c r="C4170" s="1" t="s">
        <v>3006</v>
      </c>
      <c r="D4170" s="141"/>
      <c r="E4170" s="1"/>
      <c r="F4170" s="40" t="s">
        <v>1494</v>
      </c>
      <c r="G4170" s="102"/>
      <c r="H4170" s="99" t="e">
        <f>SUM(H4168:H4169)</f>
        <v>#REF!</v>
      </c>
    </row>
    <row r="4171" spans="1:8" ht="15">
      <c r="A4171" s="1"/>
      <c r="B4171" s="1"/>
      <c r="C4171" s="1"/>
      <c r="D4171" s="1"/>
      <c r="E4171" s="1"/>
      <c r="F4171" s="1"/>
      <c r="G4171" s="1"/>
      <c r="H4171" s="1"/>
    </row>
    <row r="4172" spans="1:8" ht="15">
      <c r="A4172" s="1"/>
      <c r="B4172" s="1"/>
      <c r="C4172" s="1"/>
      <c r="D4172" s="1"/>
      <c r="E4172" s="1"/>
      <c r="F4172" s="1"/>
      <c r="G4172" s="1"/>
      <c r="H4172" s="1"/>
    </row>
    <row r="4173" spans="1:8" ht="20.25">
      <c r="A4173" s="138">
        <f>A4163+1</f>
        <v>263</v>
      </c>
      <c r="B4173" s="878" t="s">
        <v>1373</v>
      </c>
      <c r="C4173" s="878"/>
      <c r="D4173" s="878"/>
      <c r="E4173" s="878"/>
      <c r="F4173" s="878"/>
      <c r="G4173" s="878"/>
      <c r="H4173" s="878"/>
    </row>
    <row r="4174" spans="1:8" ht="19.5">
      <c r="A4174" s="677" t="s">
        <v>3723</v>
      </c>
      <c r="B4174" s="877" t="s">
        <v>1707</v>
      </c>
      <c r="C4174" s="878"/>
      <c r="D4174" s="878"/>
      <c r="E4174" s="878"/>
      <c r="F4174" s="878"/>
      <c r="G4174" s="878"/>
      <c r="H4174" s="878"/>
    </row>
    <row r="4175" spans="1:8" ht="15">
      <c r="A4175" s="1"/>
      <c r="B4175" s="879" t="s">
        <v>2318</v>
      </c>
      <c r="C4175" s="879"/>
      <c r="D4175" s="879"/>
      <c r="E4175" s="879"/>
      <c r="F4175" s="879"/>
      <c r="G4175" s="879"/>
      <c r="H4175" s="879"/>
    </row>
    <row r="4176" spans="1:8" ht="31.5">
      <c r="A4176" s="1"/>
      <c r="B4176" s="68" t="s">
        <v>2966</v>
      </c>
      <c r="C4176" s="68" t="s">
        <v>2967</v>
      </c>
      <c r="D4176" s="68" t="s">
        <v>2968</v>
      </c>
      <c r="E4176" s="68" t="s">
        <v>2969</v>
      </c>
      <c r="F4176" s="68" t="s">
        <v>2970</v>
      </c>
      <c r="G4176" s="68" t="s">
        <v>2971</v>
      </c>
      <c r="H4176" s="68" t="s">
        <v>1487</v>
      </c>
    </row>
    <row r="4177" spans="1:8" ht="17.25">
      <c r="A4177" s="1"/>
      <c r="B4177" s="58" t="s">
        <v>1488</v>
      </c>
      <c r="C4177" s="58" t="s">
        <v>516</v>
      </c>
      <c r="D4177" s="46">
        <v>2.7E-2</v>
      </c>
      <c r="E4177" s="55" t="s">
        <v>1490</v>
      </c>
      <c r="F4177" s="107" t="e">
        <f>#REF!</f>
        <v>#REF!</v>
      </c>
      <c r="G4177" s="229" t="e">
        <f>FLOOR(D4177*F4177,0.01)</f>
        <v>#REF!</v>
      </c>
      <c r="H4177" s="230"/>
    </row>
    <row r="4178" spans="1:8" ht="17.25">
      <c r="A4178" s="1"/>
      <c r="B4178" s="62"/>
      <c r="C4178" s="56" t="s">
        <v>1433</v>
      </c>
      <c r="D4178" s="43">
        <v>0.04</v>
      </c>
      <c r="E4178" s="56" t="s">
        <v>1490</v>
      </c>
      <c r="F4178" s="63" t="e">
        <f>#REF!</f>
        <v>#REF!</v>
      </c>
      <c r="G4178" s="227" t="e">
        <f>FLOOR(D4178*F4178,0.01)</f>
        <v>#REF!</v>
      </c>
      <c r="H4178" s="116" t="e">
        <f>G4177+G4178</f>
        <v>#REF!</v>
      </c>
    </row>
    <row r="4179" spans="1:8" ht="17.25">
      <c r="A4179" s="1"/>
      <c r="B4179" s="1"/>
      <c r="C4179" s="1"/>
      <c r="D4179" s="1"/>
      <c r="E4179" s="1"/>
      <c r="F4179" s="40" t="s">
        <v>1491</v>
      </c>
      <c r="G4179" s="106"/>
      <c r="H4179" s="99" t="e">
        <f>SUM(H4178:H4178)</f>
        <v>#REF!</v>
      </c>
    </row>
    <row r="4180" spans="1:8" ht="17.25">
      <c r="A4180" s="1"/>
      <c r="B4180" s="1" t="s">
        <v>1493</v>
      </c>
      <c r="C4180" s="1"/>
      <c r="D4180" s="1"/>
      <c r="E4180" s="1"/>
      <c r="F4180" s="40" t="s">
        <v>1472</v>
      </c>
      <c r="G4180" s="106"/>
      <c r="H4180" s="99" t="e">
        <f>FLOOR(H4179*0.15,0.01)</f>
        <v>#REF!</v>
      </c>
    </row>
    <row r="4181" spans="1:8" ht="17.25">
      <c r="A4181" s="1"/>
      <c r="B4181" s="99" t="e">
        <f>H4181</f>
        <v>#REF!</v>
      </c>
      <c r="C4181" s="214"/>
      <c r="D4181" s="143"/>
      <c r="E4181" s="1"/>
      <c r="F4181" s="40" t="s">
        <v>1494</v>
      </c>
      <c r="G4181" s="106"/>
      <c r="H4181" s="99" t="e">
        <f>SUM(H4179:H4180)</f>
        <v>#REF!</v>
      </c>
    </row>
    <row r="4182" spans="1:8" ht="17.25">
      <c r="A4182" s="144" t="s">
        <v>1708</v>
      </c>
      <c r="B4182" s="141"/>
      <c r="C4182" s="214"/>
      <c r="D4182" s="143"/>
      <c r="E4182" s="1"/>
      <c r="F4182" s="40"/>
      <c r="G4182" s="106"/>
      <c r="H4182" s="141"/>
    </row>
    <row r="4183" spans="1:8" ht="17.25">
      <c r="A4183" s="1"/>
      <c r="B4183" s="141"/>
      <c r="C4183" s="214"/>
      <c r="D4183" s="143"/>
      <c r="E4183" s="1"/>
      <c r="F4183" s="40"/>
      <c r="G4183" s="106"/>
      <c r="H4183" s="141"/>
    </row>
    <row r="4184" spans="1:8" ht="17.25">
      <c r="A4184" s="1"/>
      <c r="B4184" s="141"/>
      <c r="C4184" s="214"/>
      <c r="D4184" s="143"/>
      <c r="E4184" s="1"/>
      <c r="F4184" s="40"/>
      <c r="G4184" s="106"/>
      <c r="H4184" s="141"/>
    </row>
    <row r="4185" spans="1:8" ht="15">
      <c r="A4185" s="1"/>
      <c r="B4185" s="1"/>
      <c r="C4185" s="1"/>
      <c r="D4185" s="1"/>
      <c r="E4185" s="1"/>
      <c r="F4185" s="1"/>
      <c r="G4185" s="1"/>
      <c r="H4185" s="1"/>
    </row>
    <row r="4186" spans="1:8" ht="20.25">
      <c r="A4186" s="260">
        <f>A4173+1</f>
        <v>264</v>
      </c>
      <c r="B4186" s="878" t="s">
        <v>2024</v>
      </c>
      <c r="C4186" s="878"/>
      <c r="D4186" s="878"/>
      <c r="E4186" s="878"/>
      <c r="F4186" s="878"/>
      <c r="G4186" s="878"/>
      <c r="H4186" s="878"/>
    </row>
    <row r="4187" spans="1:8" ht="14.25">
      <c r="A4187" s="677"/>
      <c r="B4187" s="888" t="s">
        <v>2026</v>
      </c>
      <c r="C4187" s="879"/>
      <c r="D4187" s="879"/>
      <c r="E4187" s="879"/>
      <c r="F4187" s="879"/>
      <c r="G4187" s="879"/>
      <c r="H4187" s="879"/>
    </row>
    <row r="4188" spans="1:8" ht="31.5">
      <c r="A4188" s="1"/>
      <c r="B4188" s="68" t="s">
        <v>2966</v>
      </c>
      <c r="C4188" s="68" t="s">
        <v>2967</v>
      </c>
      <c r="D4188" s="68" t="s">
        <v>2968</v>
      </c>
      <c r="E4188" s="68" t="s">
        <v>2969</v>
      </c>
      <c r="F4188" s="68" t="s">
        <v>2970</v>
      </c>
      <c r="G4188" s="68" t="s">
        <v>2971</v>
      </c>
      <c r="H4188" s="68" t="s">
        <v>1487</v>
      </c>
    </row>
    <row r="4189" spans="1:8" ht="17.25">
      <c r="A4189" s="1"/>
      <c r="B4189" s="889" t="s">
        <v>2055</v>
      </c>
      <c r="C4189" s="58" t="s">
        <v>2025</v>
      </c>
      <c r="D4189" s="41">
        <v>10</v>
      </c>
      <c r="E4189" s="55" t="s">
        <v>2748</v>
      </c>
      <c r="F4189" s="109" t="e">
        <f>#REF!</f>
        <v>#REF!</v>
      </c>
      <c r="G4189" s="109" t="e">
        <f>FLOOR(D4189*F4189,0.01)</f>
        <v>#REF!</v>
      </c>
      <c r="H4189" s="8"/>
    </row>
    <row r="4190" spans="1:8" ht="16.5">
      <c r="A4190" s="1"/>
      <c r="B4190" s="952"/>
      <c r="C4190" s="78" t="s">
        <v>859</v>
      </c>
      <c r="D4190" s="43"/>
      <c r="E4190" s="15"/>
      <c r="F4190" s="122"/>
      <c r="G4190" s="122"/>
      <c r="H4190" s="155" t="e">
        <f>SUM(G4189)</f>
        <v>#REF!</v>
      </c>
    </row>
    <row r="4191" spans="1:8" ht="19.5">
      <c r="A4191" s="1"/>
      <c r="B4191" s="1"/>
      <c r="C4191" s="1"/>
      <c r="D4191" s="1"/>
      <c r="E4191" s="1"/>
      <c r="F4191" s="40" t="s">
        <v>1491</v>
      </c>
      <c r="G4191" s="102"/>
      <c r="H4191" s="63" t="e">
        <f>SUM(H4188:H4190)</f>
        <v>#REF!</v>
      </c>
    </row>
    <row r="4192" spans="1:8" ht="19.5">
      <c r="A4192" s="1"/>
      <c r="B4192" s="1" t="s">
        <v>2027</v>
      </c>
      <c r="C4192" s="1"/>
      <c r="D4192" s="1"/>
      <c r="E4192" s="1"/>
      <c r="F4192" s="40" t="s">
        <v>1471</v>
      </c>
      <c r="G4192" s="102"/>
      <c r="H4192" s="99" t="e">
        <f>FLOOR(H4191*0.15,0.01)</f>
        <v>#REF!</v>
      </c>
    </row>
    <row r="4193" spans="1:8" ht="19.5">
      <c r="A4193" s="97"/>
      <c r="B4193" s="140" t="e">
        <f>+H4193</f>
        <v>#REF!</v>
      </c>
      <c r="C4193" s="27" t="s">
        <v>3801</v>
      </c>
      <c r="D4193" s="99" t="e">
        <f>INT(B4193/B4194*100)/100</f>
        <v>#REF!</v>
      </c>
      <c r="E4193" s="1" t="s">
        <v>3006</v>
      </c>
      <c r="F4193" s="40" t="s">
        <v>1494</v>
      </c>
      <c r="G4193" s="102"/>
      <c r="H4193" s="99" t="e">
        <f>SUM(H4191:H4192)</f>
        <v>#REF!</v>
      </c>
    </row>
    <row r="4194" spans="1:8" ht="16.5">
      <c r="A4194" s="1"/>
      <c r="B4194" s="117">
        <v>10</v>
      </c>
      <c r="C4194" s="1"/>
      <c r="D4194" s="1"/>
      <c r="E4194" s="1"/>
      <c r="F4194" s="1"/>
      <c r="G4194" s="1"/>
      <c r="H4194" s="1"/>
    </row>
    <row r="4195" spans="1:8" ht="15">
      <c r="A4195" s="1"/>
      <c r="B4195" s="1"/>
      <c r="C4195" s="1"/>
      <c r="D4195" s="1"/>
      <c r="E4195" s="1"/>
      <c r="F4195" s="1"/>
      <c r="G4195" s="1"/>
      <c r="H4195" s="1"/>
    </row>
    <row r="4196" spans="1:8" ht="15">
      <c r="A4196" s="1"/>
      <c r="B4196" s="1"/>
      <c r="C4196" s="1"/>
      <c r="D4196" s="1"/>
      <c r="E4196" s="1"/>
      <c r="F4196" s="1"/>
      <c r="G4196" s="1"/>
      <c r="H4196" s="1"/>
    </row>
    <row r="4197" spans="1:8" ht="20.25">
      <c r="A4197" s="260">
        <f>+A4186+1</f>
        <v>265</v>
      </c>
      <c r="B4197" s="877" t="s">
        <v>3433</v>
      </c>
      <c r="C4197" s="878"/>
      <c r="D4197" s="878"/>
      <c r="E4197" s="878"/>
      <c r="F4197" s="878"/>
      <c r="G4197" s="878"/>
      <c r="H4197" s="878"/>
    </row>
    <row r="4198" spans="1:8" ht="14.25">
      <c r="A4198" s="677" t="s">
        <v>3725</v>
      </c>
      <c r="B4198" s="879" t="s">
        <v>1382</v>
      </c>
      <c r="C4198" s="879"/>
      <c r="D4198" s="879"/>
      <c r="E4198" s="879"/>
      <c r="F4198" s="879"/>
      <c r="G4198" s="879"/>
      <c r="H4198" s="879"/>
    </row>
    <row r="4199" spans="1:8" ht="31.5">
      <c r="A4199" s="1"/>
      <c r="B4199" s="68" t="s">
        <v>2966</v>
      </c>
      <c r="C4199" s="68" t="s">
        <v>2967</v>
      </c>
      <c r="D4199" s="68" t="s">
        <v>2968</v>
      </c>
      <c r="E4199" s="68" t="s">
        <v>2969</v>
      </c>
      <c r="F4199" s="68" t="s">
        <v>2970</v>
      </c>
      <c r="G4199" s="68" t="s">
        <v>2971</v>
      </c>
      <c r="H4199" s="68" t="s">
        <v>1487</v>
      </c>
    </row>
    <row r="4200" spans="1:8" ht="47.25">
      <c r="A4200" s="1"/>
      <c r="B4200" s="889" t="s">
        <v>2055</v>
      </c>
      <c r="C4200" s="58" t="s">
        <v>3436</v>
      </c>
      <c r="D4200" s="41">
        <v>10</v>
      </c>
      <c r="E4200" s="55" t="s">
        <v>2807</v>
      </c>
      <c r="F4200" s="109" t="e">
        <f>#REF!</f>
        <v>#REF!</v>
      </c>
      <c r="G4200" s="109" t="e">
        <f>FLOOR(D4200*F4200,0.01)</f>
        <v>#REF!</v>
      </c>
      <c r="H4200" s="8"/>
    </row>
    <row r="4201" spans="1:8" ht="17.25">
      <c r="A4201" s="1"/>
      <c r="B4201" s="952"/>
      <c r="C4201" s="78"/>
      <c r="D4201" s="43"/>
      <c r="E4201" s="56"/>
      <c r="F4201" s="122"/>
      <c r="G4201" s="122"/>
      <c r="H4201" s="155" t="e">
        <f>SUM(G4200)</f>
        <v>#REF!</v>
      </c>
    </row>
    <row r="4202" spans="1:8" ht="19.5">
      <c r="A4202" s="1"/>
      <c r="B4202" s="1"/>
      <c r="C4202" s="1"/>
      <c r="D4202" s="1"/>
      <c r="E4202" s="1"/>
      <c r="F4202" s="40" t="s">
        <v>1491</v>
      </c>
      <c r="G4202" s="102"/>
      <c r="H4202" s="63" t="e">
        <f>SUM(H4199:H4201)</f>
        <v>#REF!</v>
      </c>
    </row>
    <row r="4203" spans="1:8" ht="19.5">
      <c r="A4203" s="1"/>
      <c r="B4203" s="1" t="s">
        <v>1493</v>
      </c>
      <c r="C4203" s="1"/>
      <c r="D4203" s="1"/>
      <c r="E4203" s="1"/>
      <c r="F4203" s="40" t="s">
        <v>1471</v>
      </c>
      <c r="G4203" s="102"/>
      <c r="H4203" s="99" t="e">
        <f>FLOOR(H4202*0.15,0.01)</f>
        <v>#REF!</v>
      </c>
    </row>
    <row r="4204" spans="1:8" ht="19.5">
      <c r="A4204" s="97"/>
      <c r="B4204" s="140" t="e">
        <f>+H4204</f>
        <v>#REF!</v>
      </c>
      <c r="C4204" s="27" t="s">
        <v>3801</v>
      </c>
      <c r="D4204" s="99" t="e">
        <f>INT(B4204/B4205*100)/100</f>
        <v>#REF!</v>
      </c>
      <c r="E4204" s="1" t="s">
        <v>3006</v>
      </c>
      <c r="F4204" s="40" t="s">
        <v>1494</v>
      </c>
      <c r="G4204" s="102"/>
      <c r="H4204" s="99" t="e">
        <f>SUM(H4202:H4203)</f>
        <v>#REF!</v>
      </c>
    </row>
    <row r="4205" spans="1:8" ht="18">
      <c r="A4205" s="1"/>
      <c r="B4205" s="117">
        <v>10</v>
      </c>
      <c r="C4205" s="1"/>
      <c r="D4205" s="1"/>
      <c r="E4205" s="1"/>
      <c r="F4205" s="1"/>
      <c r="G4205" s="2"/>
      <c r="H4205" s="2"/>
    </row>
    <row r="4206" spans="1:8" ht="18">
      <c r="A4206" s="1" t="s">
        <v>2632</v>
      </c>
      <c r="B4206" s="1"/>
      <c r="C4206" s="1"/>
      <c r="D4206" s="1"/>
      <c r="E4206" s="1"/>
      <c r="F4206" s="1"/>
      <c r="G4206" s="2"/>
      <c r="H4206" s="2"/>
    </row>
    <row r="4207" spans="1:8" ht="15">
      <c r="A4207" s="1"/>
      <c r="B4207" s="1"/>
      <c r="C4207" s="1"/>
      <c r="D4207" s="1"/>
      <c r="E4207" s="1"/>
      <c r="F4207" s="1"/>
      <c r="G4207" s="1"/>
      <c r="H4207" s="1"/>
    </row>
    <row r="4208" spans="1:8" ht="20.25">
      <c r="A4208" s="260">
        <f>A4197+1</f>
        <v>266</v>
      </c>
      <c r="B4208" s="878" t="s">
        <v>3434</v>
      </c>
      <c r="C4208" s="878"/>
      <c r="D4208" s="878"/>
      <c r="E4208" s="878"/>
      <c r="F4208" s="878"/>
      <c r="G4208" s="878"/>
      <c r="H4208" s="878"/>
    </row>
    <row r="4209" spans="1:8" ht="14.25">
      <c r="A4209" s="677" t="s">
        <v>3724</v>
      </c>
      <c r="B4209" s="888" t="s">
        <v>1382</v>
      </c>
      <c r="C4209" s="879"/>
      <c r="D4209" s="879"/>
      <c r="E4209" s="879"/>
      <c r="F4209" s="879"/>
      <c r="G4209" s="879"/>
      <c r="H4209" s="879"/>
    </row>
    <row r="4210" spans="1:8" ht="31.5">
      <c r="A4210" s="1"/>
      <c r="B4210" s="68" t="s">
        <v>2966</v>
      </c>
      <c r="C4210" s="68" t="s">
        <v>2967</v>
      </c>
      <c r="D4210" s="68" t="s">
        <v>2968</v>
      </c>
      <c r="E4210" s="68" t="s">
        <v>2969</v>
      </c>
      <c r="F4210" s="68" t="s">
        <v>2970</v>
      </c>
      <c r="G4210" s="68" t="s">
        <v>2971</v>
      </c>
      <c r="H4210" s="68" t="s">
        <v>1487</v>
      </c>
    </row>
    <row r="4211" spans="1:8" ht="31.5">
      <c r="A4211" s="1"/>
      <c r="B4211" s="889" t="s">
        <v>2055</v>
      </c>
      <c r="C4211" s="58" t="s">
        <v>3435</v>
      </c>
      <c r="D4211" s="41">
        <v>10</v>
      </c>
      <c r="E4211" s="55" t="s">
        <v>2807</v>
      </c>
      <c r="F4211" s="109" t="e">
        <f>#REF!</f>
        <v>#REF!</v>
      </c>
      <c r="G4211" s="109" t="e">
        <f>FLOOR(D4211*F4211,0.01)</f>
        <v>#REF!</v>
      </c>
      <c r="H4211" s="8"/>
    </row>
    <row r="4212" spans="1:8" ht="16.5">
      <c r="A4212" s="1"/>
      <c r="B4212" s="952"/>
      <c r="C4212" s="78" t="s">
        <v>859</v>
      </c>
      <c r="D4212" s="43"/>
      <c r="E4212" s="15"/>
      <c r="F4212" s="122"/>
      <c r="G4212" s="122"/>
      <c r="H4212" s="155" t="e">
        <f>SUM(G4211)</f>
        <v>#REF!</v>
      </c>
    </row>
    <row r="4213" spans="1:8" ht="19.5">
      <c r="A4213" s="1"/>
      <c r="B4213" s="1"/>
      <c r="C4213" s="1"/>
      <c r="D4213" s="1"/>
      <c r="E4213" s="1"/>
      <c r="F4213" s="40" t="s">
        <v>1491</v>
      </c>
      <c r="G4213" s="102"/>
      <c r="H4213" s="63" t="e">
        <f>SUM(H4210:H4212)</f>
        <v>#REF!</v>
      </c>
    </row>
    <row r="4214" spans="1:8" ht="19.5">
      <c r="A4214" s="1"/>
      <c r="B4214" s="1" t="s">
        <v>1493</v>
      </c>
      <c r="C4214" s="1"/>
      <c r="D4214" s="1"/>
      <c r="E4214" s="1"/>
      <c r="F4214" s="40" t="s">
        <v>1471</v>
      </c>
      <c r="G4214" s="102"/>
      <c r="H4214" s="99" t="e">
        <f>FLOOR(H4213*0.15,0.01)</f>
        <v>#REF!</v>
      </c>
    </row>
    <row r="4215" spans="1:8" ht="19.5">
      <c r="A4215" s="97"/>
      <c r="B4215" s="140" t="e">
        <f>+H4215</f>
        <v>#REF!</v>
      </c>
      <c r="C4215" s="27" t="s">
        <v>3801</v>
      </c>
      <c r="D4215" s="99" t="e">
        <f>INT(B4215/B4216*100)/100</f>
        <v>#REF!</v>
      </c>
      <c r="E4215" s="1" t="s">
        <v>3006</v>
      </c>
      <c r="F4215" s="40" t="s">
        <v>1494</v>
      </c>
      <c r="G4215" s="102"/>
      <c r="H4215" s="99" t="e">
        <f>SUM(H4213:H4214)</f>
        <v>#REF!</v>
      </c>
    </row>
    <row r="4216" spans="1:8" ht="16.5">
      <c r="A4216" s="1"/>
      <c r="B4216" s="117">
        <v>10</v>
      </c>
      <c r="C4216" s="1"/>
      <c r="D4216" s="1"/>
      <c r="E4216" s="1"/>
      <c r="F4216" s="1"/>
      <c r="G4216" s="1"/>
      <c r="H4216" s="1"/>
    </row>
    <row r="4217" spans="1:8" ht="15">
      <c r="A4217" s="1" t="s">
        <v>2631</v>
      </c>
      <c r="B4217" s="1"/>
      <c r="C4217" s="1"/>
      <c r="D4217" s="1"/>
      <c r="E4217" s="1"/>
      <c r="F4217" s="1"/>
      <c r="G4217" s="1"/>
      <c r="H4217" s="1"/>
    </row>
    <row r="4218" spans="1:8" ht="15">
      <c r="A4218" s="1"/>
      <c r="B4218" s="1"/>
      <c r="C4218" s="1"/>
      <c r="D4218" s="1"/>
      <c r="E4218" s="1"/>
      <c r="F4218" s="1"/>
      <c r="G4218" s="1"/>
      <c r="H4218" s="1"/>
    </row>
    <row r="4219" spans="1:8" ht="15">
      <c r="A4219" s="1"/>
      <c r="B4219" s="1"/>
      <c r="C4219" s="1"/>
      <c r="D4219" s="1"/>
      <c r="E4219" s="1"/>
      <c r="F4219" s="1"/>
      <c r="G4219" s="1"/>
      <c r="H4219" s="1"/>
    </row>
    <row r="4220" spans="1:8" ht="15">
      <c r="A4220" s="1"/>
      <c r="B4220" s="1"/>
      <c r="C4220" s="1"/>
      <c r="D4220" s="1"/>
      <c r="E4220" s="1"/>
      <c r="F4220" s="1"/>
      <c r="G4220" s="1"/>
      <c r="H4220" s="1"/>
    </row>
    <row r="4221" spans="1:8" ht="15">
      <c r="A4221" s="1"/>
      <c r="B4221" s="1"/>
      <c r="C4221" s="1"/>
      <c r="D4221" s="1"/>
      <c r="E4221" s="1"/>
      <c r="F4221" s="1"/>
      <c r="G4221" s="1"/>
      <c r="H4221" s="1"/>
    </row>
    <row r="4222" spans="1:8" ht="20.25">
      <c r="A4222" s="260">
        <f>A4208+1</f>
        <v>267</v>
      </c>
      <c r="B4222" s="966" t="s">
        <v>2934</v>
      </c>
      <c r="C4222" s="967"/>
      <c r="D4222" s="967"/>
      <c r="E4222" s="967"/>
      <c r="F4222" s="967"/>
      <c r="G4222" s="967"/>
      <c r="H4222" s="967"/>
    </row>
    <row r="4223" spans="1:8" ht="14.25">
      <c r="A4223" s="677" t="s">
        <v>3726</v>
      </c>
      <c r="B4223" s="879" t="s">
        <v>1382</v>
      </c>
      <c r="C4223" s="879"/>
      <c r="D4223" s="879"/>
      <c r="E4223" s="879"/>
      <c r="F4223" s="879"/>
      <c r="G4223" s="879"/>
      <c r="H4223" s="879"/>
    </row>
    <row r="4224" spans="1:8" ht="31.5">
      <c r="A4224" s="274"/>
      <c r="B4224" s="68" t="s">
        <v>2966</v>
      </c>
      <c r="C4224" s="68" t="s">
        <v>2967</v>
      </c>
      <c r="D4224" s="68" t="s">
        <v>2968</v>
      </c>
      <c r="E4224" s="68" t="s">
        <v>2969</v>
      </c>
      <c r="F4224" s="68" t="s">
        <v>2970</v>
      </c>
      <c r="G4224" s="68" t="s">
        <v>2971</v>
      </c>
      <c r="H4224" s="68" t="s">
        <v>1487</v>
      </c>
    </row>
    <row r="4225" spans="1:8" ht="17.25">
      <c r="A4225" s="1"/>
      <c r="B4225" s="58" t="s">
        <v>1488</v>
      </c>
      <c r="C4225" s="58" t="s">
        <v>516</v>
      </c>
      <c r="D4225" s="46">
        <v>0.7</v>
      </c>
      <c r="E4225" s="55" t="s">
        <v>1490</v>
      </c>
      <c r="F4225" s="107" t="e">
        <f>#REF!</f>
        <v>#REF!</v>
      </c>
      <c r="G4225" s="229" t="e">
        <f>FLOOR(D4225*F4225,0.01)</f>
        <v>#REF!</v>
      </c>
      <c r="H4225" s="230"/>
    </row>
    <row r="4226" spans="1:8" ht="17.25">
      <c r="A4226" s="1"/>
      <c r="B4226" s="62"/>
      <c r="C4226" s="56" t="s">
        <v>1433</v>
      </c>
      <c r="D4226" s="43">
        <v>0.6</v>
      </c>
      <c r="E4226" s="56" t="s">
        <v>1490</v>
      </c>
      <c r="F4226" s="63" t="e">
        <f>#REF!</f>
        <v>#REF!</v>
      </c>
      <c r="G4226" s="227" t="e">
        <f>FLOOR(D4226*F4226,0.01)</f>
        <v>#REF!</v>
      </c>
      <c r="H4226" s="116" t="e">
        <f>G4225+G4226</f>
        <v>#REF!</v>
      </c>
    </row>
    <row r="4227" spans="1:8" ht="31.5">
      <c r="A4227" s="142"/>
      <c r="B4227" s="889" t="s">
        <v>2055</v>
      </c>
      <c r="C4227" s="58" t="s">
        <v>2638</v>
      </c>
      <c r="D4227" s="41">
        <v>28.24</v>
      </c>
      <c r="E4227" s="55" t="s">
        <v>2637</v>
      </c>
      <c r="F4227" s="110" t="e">
        <f>#REF!</f>
        <v>#REF!</v>
      </c>
      <c r="G4227" s="110" t="e">
        <f>FLOOR(D4227*F4227,0.01)</f>
        <v>#REF!</v>
      </c>
      <c r="H4227" s="8"/>
    </row>
    <row r="4228" spans="1:8" ht="48">
      <c r="A4228" s="142"/>
      <c r="B4228" s="943"/>
      <c r="C4228" s="80" t="s">
        <v>2639</v>
      </c>
      <c r="D4228" s="42">
        <v>215</v>
      </c>
      <c r="E4228" s="53" t="s">
        <v>2637</v>
      </c>
      <c r="F4228" s="109" t="e">
        <f>+#REF!</f>
        <v>#REF!</v>
      </c>
      <c r="G4228" s="109" t="e">
        <f>FLOOR(D4228*F4228,0.01)</f>
        <v>#REF!</v>
      </c>
      <c r="H4228" s="9"/>
    </row>
    <row r="4229" spans="1:8" ht="17.25">
      <c r="A4229" s="142"/>
      <c r="B4229" s="896"/>
      <c r="C4229" s="78" t="s">
        <v>3437</v>
      </c>
      <c r="D4229" s="51"/>
      <c r="E4229" s="56"/>
      <c r="F4229" s="63"/>
      <c r="G4229" s="63"/>
      <c r="H4229" s="155" t="e">
        <f>SUM(G4227:G4229)</f>
        <v>#REF!</v>
      </c>
    </row>
    <row r="4230" spans="1:8" ht="19.5">
      <c r="A4230" s="1"/>
      <c r="B4230" s="1"/>
      <c r="C4230" s="1"/>
      <c r="D4230" s="1"/>
      <c r="E4230" s="1"/>
      <c r="F4230" s="40" t="s">
        <v>1491</v>
      </c>
      <c r="G4230" s="102"/>
      <c r="H4230" s="63" t="e">
        <f>SUM(H4224:H4229)</f>
        <v>#REF!</v>
      </c>
    </row>
    <row r="4231" spans="1:8" ht="19.5">
      <c r="A4231" s="1"/>
      <c r="B4231" s="1" t="s">
        <v>1493</v>
      </c>
      <c r="C4231" s="1"/>
      <c r="D4231" s="1"/>
      <c r="E4231" s="1"/>
      <c r="F4231" s="40" t="s">
        <v>1471</v>
      </c>
      <c r="G4231" s="102"/>
      <c r="H4231" s="99" t="e">
        <f>FLOOR(H4230*0.15,0.01)</f>
        <v>#REF!</v>
      </c>
    </row>
    <row r="4232" spans="1:8" ht="19.5">
      <c r="B4232" s="140" t="e">
        <f>+H4232</f>
        <v>#REF!</v>
      </c>
      <c r="C4232" s="27" t="s">
        <v>3801</v>
      </c>
      <c r="D4232" s="99" t="e">
        <f>INT(B4232/B4233*100)/100</f>
        <v>#REF!</v>
      </c>
      <c r="E4232" s="1" t="s">
        <v>3006</v>
      </c>
      <c r="F4232" s="40" t="s">
        <v>1494</v>
      </c>
      <c r="G4232" s="102"/>
      <c r="H4232" s="99" t="e">
        <f>SUM(H4230:H4231)</f>
        <v>#REF!</v>
      </c>
    </row>
    <row r="4233" spans="1:8" ht="18">
      <c r="A4233" s="1"/>
      <c r="B4233" s="117">
        <v>10</v>
      </c>
      <c r="C4233" s="1"/>
      <c r="D4233" s="1"/>
      <c r="E4233" s="1"/>
      <c r="F4233" s="1"/>
      <c r="G4233" s="2"/>
      <c r="H4233" s="2"/>
    </row>
    <row r="4234" spans="1:8" ht="18">
      <c r="A4234" s="1" t="s">
        <v>2632</v>
      </c>
      <c r="B4234" s="1"/>
      <c r="C4234" s="1"/>
      <c r="D4234" s="1"/>
      <c r="E4234" s="1"/>
      <c r="F4234" s="1"/>
      <c r="G4234" s="2"/>
      <c r="H4234" s="2"/>
    </row>
    <row r="4235" spans="1:8" ht="18">
      <c r="A4235" s="1"/>
      <c r="B4235" s="1"/>
      <c r="C4235" s="1"/>
      <c r="D4235" s="1"/>
      <c r="E4235" s="1"/>
      <c r="F4235" s="1"/>
      <c r="G4235" s="2"/>
      <c r="H4235" s="2"/>
    </row>
    <row r="4236" spans="1:8" ht="18">
      <c r="A4236" s="1"/>
      <c r="B4236" s="1"/>
      <c r="C4236" s="1"/>
      <c r="D4236" s="1"/>
      <c r="E4236" s="1"/>
      <c r="F4236" s="1"/>
      <c r="G4236" s="2"/>
      <c r="H4236" s="2"/>
    </row>
    <row r="4237" spans="1:8" ht="18">
      <c r="A4237" s="1"/>
      <c r="B4237" s="1"/>
      <c r="C4237" s="1"/>
      <c r="D4237" s="1"/>
      <c r="E4237" s="1"/>
      <c r="F4237" s="1"/>
      <c r="G4237" s="2"/>
      <c r="H4237" s="2"/>
    </row>
    <row r="4238" spans="1:8" ht="15">
      <c r="A4238" s="1"/>
      <c r="B4238" s="1"/>
      <c r="C4238" s="1"/>
      <c r="D4238" s="1"/>
      <c r="E4238" s="1"/>
      <c r="F4238" s="1"/>
      <c r="G4238" s="1"/>
      <c r="H4238" s="1"/>
    </row>
    <row r="4239" spans="1:8" ht="20.25">
      <c r="A4239" s="260">
        <f>A4222+1</f>
        <v>268</v>
      </c>
      <c r="B4239" s="878" t="s">
        <v>1063</v>
      </c>
      <c r="C4239" s="878"/>
      <c r="D4239" s="878"/>
      <c r="E4239" s="878"/>
      <c r="F4239" s="878"/>
      <c r="G4239" s="878"/>
      <c r="H4239" s="878"/>
    </row>
    <row r="4240" spans="1:8" ht="14.25">
      <c r="A4240" s="677" t="s">
        <v>3727</v>
      </c>
      <c r="B4240" s="879" t="s">
        <v>2101</v>
      </c>
      <c r="C4240" s="879"/>
      <c r="D4240" s="879"/>
      <c r="E4240" s="879"/>
      <c r="F4240" s="879"/>
      <c r="G4240" s="879"/>
      <c r="H4240" s="879"/>
    </row>
    <row r="4241" spans="1:8" ht="31.5">
      <c r="A4241" s="1"/>
      <c r="B4241" s="68" t="s">
        <v>2966</v>
      </c>
      <c r="C4241" s="68" t="s">
        <v>2967</v>
      </c>
      <c r="D4241" s="68" t="s">
        <v>2968</v>
      </c>
      <c r="E4241" s="68" t="s">
        <v>2969</v>
      </c>
      <c r="F4241" s="68" t="s">
        <v>2970</v>
      </c>
      <c r="G4241" s="68" t="s">
        <v>2971</v>
      </c>
      <c r="H4241" s="68" t="s">
        <v>1487</v>
      </c>
    </row>
    <row r="4242" spans="1:8" ht="17.25">
      <c r="A4242" s="1"/>
      <c r="B4242" s="58" t="s">
        <v>1488</v>
      </c>
      <c r="C4242" s="58" t="s">
        <v>2567</v>
      </c>
      <c r="D4242" s="46">
        <v>0.68700000000000006</v>
      </c>
      <c r="E4242" s="55" t="s">
        <v>1490</v>
      </c>
      <c r="F4242" s="107" t="e">
        <f>#REF!</f>
        <v>#REF!</v>
      </c>
      <c r="G4242" s="107" t="e">
        <f>FLOOR(D4242*F4242,0.01)</f>
        <v>#REF!</v>
      </c>
      <c r="H4242" s="107"/>
    </row>
    <row r="4243" spans="1:8" ht="17.25">
      <c r="A4243" s="1"/>
      <c r="B4243" s="62"/>
      <c r="C4243" s="53" t="s">
        <v>1930</v>
      </c>
      <c r="D4243" s="52">
        <v>0.78100000000000003</v>
      </c>
      <c r="E4243" s="53" t="s">
        <v>1490</v>
      </c>
      <c r="F4243" s="63" t="e">
        <f>#REF!</f>
        <v>#REF!</v>
      </c>
      <c r="G4243" s="122" t="e">
        <f>FLOOR(D4243*F4243,0.01)</f>
        <v>#REF!</v>
      </c>
      <c r="H4243" s="122" t="e">
        <f>SUM(G4242:G4243)</f>
        <v>#REF!</v>
      </c>
    </row>
    <row r="4244" spans="1:8" ht="17.25">
      <c r="A4244" s="1"/>
      <c r="B4244" s="880" t="s">
        <v>2055</v>
      </c>
      <c r="C4244" s="55" t="s">
        <v>2102</v>
      </c>
      <c r="D4244" s="41"/>
      <c r="E4244" s="55"/>
      <c r="F4244" s="107"/>
      <c r="G4244" s="107"/>
      <c r="H4244" s="196"/>
    </row>
    <row r="4245" spans="1:8" ht="17.25">
      <c r="A4245" s="1"/>
      <c r="B4245" s="938"/>
      <c r="C4245" s="53" t="s">
        <v>2103</v>
      </c>
      <c r="D4245" s="52">
        <v>18.940000000000001</v>
      </c>
      <c r="E4245" s="53" t="s">
        <v>2748</v>
      </c>
      <c r="F4245" s="109" t="e">
        <f>#REF!</f>
        <v>#REF!</v>
      </c>
      <c r="G4245" s="116" t="e">
        <f>FLOOR(D4245*F4245,0.01)</f>
        <v>#REF!</v>
      </c>
      <c r="H4245" s="196"/>
    </row>
    <row r="4246" spans="1:8" ht="16.5">
      <c r="A4246" s="1"/>
      <c r="B4246" s="882"/>
      <c r="C4246" s="213" t="s">
        <v>2069</v>
      </c>
      <c r="D4246" s="49" t="s">
        <v>380</v>
      </c>
      <c r="E4246" s="198" t="s">
        <v>2808</v>
      </c>
      <c r="F4246" s="63"/>
      <c r="G4246" s="122">
        <v>110</v>
      </c>
      <c r="H4246" s="63" t="e">
        <f>SUM(G4245:G4246)</f>
        <v>#REF!</v>
      </c>
    </row>
    <row r="4247" spans="1:8" ht="17.25">
      <c r="A4247" s="1"/>
      <c r="B4247" s="1"/>
      <c r="C4247" s="1"/>
      <c r="D4247" s="1"/>
      <c r="E4247" s="1"/>
      <c r="F4247" s="40" t="s">
        <v>1491</v>
      </c>
      <c r="G4247" s="40"/>
      <c r="H4247" s="99" t="e">
        <f>SUM(H4243:H4246)</f>
        <v>#REF!</v>
      </c>
    </row>
    <row r="4248" spans="1:8" ht="17.25">
      <c r="A4248" s="1"/>
      <c r="B4248" s="1" t="s">
        <v>2104</v>
      </c>
      <c r="C4248" s="1"/>
      <c r="D4248" s="1"/>
      <c r="E4248" s="1"/>
      <c r="F4248" s="40" t="s">
        <v>1472</v>
      </c>
      <c r="G4248" s="40"/>
      <c r="H4248" s="99" t="e">
        <f>FLOOR(H4247*0.15,0.01)</f>
        <v>#REF!</v>
      </c>
    </row>
    <row r="4249" spans="1:8" ht="17.25">
      <c r="A4249" s="1"/>
      <c r="B4249" s="141" t="e">
        <f>+H4249</f>
        <v>#REF!</v>
      </c>
      <c r="C4249" s="27" t="s">
        <v>3801</v>
      </c>
      <c r="D4249" s="99" t="e">
        <f>FLOOR(B4249/B4250,0.01)</f>
        <v>#REF!</v>
      </c>
      <c r="E4249" s="1" t="s">
        <v>3006</v>
      </c>
      <c r="F4249" s="40" t="s">
        <v>1494</v>
      </c>
      <c r="G4249" s="40"/>
      <c r="H4249" s="99" t="e">
        <f>SUM(H4247:H4248)</f>
        <v>#REF!</v>
      </c>
    </row>
    <row r="4250" spans="1:8" ht="17.25">
      <c r="A4250" s="1"/>
      <c r="B4250" s="215">
        <v>18.940000000000001</v>
      </c>
      <c r="C4250" s="1"/>
      <c r="D4250" s="1"/>
      <c r="E4250" s="1"/>
      <c r="F4250" s="40"/>
      <c r="G4250" s="40"/>
      <c r="H4250" s="19"/>
    </row>
    <row r="4251" spans="1:8" ht="17.25">
      <c r="A4251" s="1"/>
      <c r="B4251" s="143"/>
      <c r="C4251" s="1"/>
      <c r="D4251" s="1"/>
      <c r="E4251" s="1"/>
      <c r="F4251" s="40"/>
      <c r="G4251" s="40"/>
      <c r="H4251" s="19"/>
    </row>
    <row r="4252" spans="1:8" ht="20.25">
      <c r="A4252" s="138">
        <f>A4239+1</f>
        <v>269</v>
      </c>
      <c r="B4252" s="878" t="s">
        <v>893</v>
      </c>
      <c r="C4252" s="878"/>
      <c r="D4252" s="878"/>
      <c r="E4252" s="878"/>
      <c r="F4252" s="878"/>
      <c r="G4252" s="878"/>
      <c r="H4252" s="878"/>
    </row>
    <row r="4253" spans="1:8" ht="25.5">
      <c r="A4253" s="677" t="s">
        <v>3728</v>
      </c>
      <c r="B4253" s="965" t="s">
        <v>892</v>
      </c>
      <c r="C4253" s="878"/>
      <c r="D4253" s="878"/>
      <c r="E4253" s="878"/>
      <c r="F4253" s="878"/>
      <c r="G4253" s="878"/>
      <c r="H4253" s="878"/>
    </row>
    <row r="4254" spans="1:8" ht="19.5">
      <c r="A4254" s="3"/>
      <c r="B4254" s="878" t="s">
        <v>1374</v>
      </c>
      <c r="C4254" s="878"/>
      <c r="D4254" s="878"/>
      <c r="E4254" s="878"/>
      <c r="F4254" s="878"/>
      <c r="G4254" s="878"/>
      <c r="H4254" s="878"/>
    </row>
    <row r="4255" spans="1:8" ht="18">
      <c r="A4255" s="1"/>
      <c r="B4255" s="879" t="s">
        <v>3438</v>
      </c>
      <c r="C4255" s="879"/>
      <c r="D4255" s="879"/>
      <c r="E4255" s="879"/>
      <c r="F4255" s="879"/>
      <c r="G4255" s="879"/>
      <c r="H4255" s="879"/>
    </row>
    <row r="4256" spans="1:8" ht="31.5">
      <c r="A4256" s="1"/>
      <c r="B4256" s="68" t="s">
        <v>2966</v>
      </c>
      <c r="C4256" s="68" t="s">
        <v>2967</v>
      </c>
      <c r="D4256" s="68" t="s">
        <v>2968</v>
      </c>
      <c r="E4256" s="68" t="s">
        <v>2969</v>
      </c>
      <c r="F4256" s="68" t="s">
        <v>2970</v>
      </c>
      <c r="G4256" s="68" t="s">
        <v>2971</v>
      </c>
      <c r="H4256" s="68" t="s">
        <v>1487</v>
      </c>
    </row>
    <row r="4257" spans="1:8" ht="17.25">
      <c r="A4257" s="1"/>
      <c r="B4257" s="233" t="s">
        <v>2055</v>
      </c>
      <c r="C4257" s="55" t="s">
        <v>438</v>
      </c>
      <c r="D4257" s="41">
        <v>1</v>
      </c>
      <c r="E4257" s="224" t="s">
        <v>2605</v>
      </c>
      <c r="F4257" s="110" t="e">
        <f>#REF!</f>
        <v>#REF!</v>
      </c>
      <c r="G4257" s="109" t="e">
        <f>FLOOR(D4257*F4257,0.01)</f>
        <v>#REF!</v>
      </c>
      <c r="H4257" s="196"/>
    </row>
    <row r="4258" spans="1:8" ht="16.5">
      <c r="A4258" s="1"/>
      <c r="B4258" s="82" t="s">
        <v>370</v>
      </c>
      <c r="C4258" s="234"/>
      <c r="D4258" s="198"/>
      <c r="E4258" s="198"/>
      <c r="F4258" s="234"/>
      <c r="G4258" s="235"/>
      <c r="H4258" s="63" t="e">
        <f>SUM(G4257)</f>
        <v>#REF!</v>
      </c>
    </row>
    <row r="4259" spans="1:8" ht="17.25">
      <c r="A4259" s="1"/>
      <c r="B4259" s="1"/>
      <c r="C4259" s="1"/>
      <c r="D4259" s="1"/>
      <c r="E4259" s="1"/>
      <c r="F4259" s="40" t="s">
        <v>1491</v>
      </c>
      <c r="G4259" s="40"/>
      <c r="H4259" s="99" t="e">
        <f>SUM(H4257:H4258)</f>
        <v>#REF!</v>
      </c>
    </row>
    <row r="4260" spans="1:8" ht="17.25">
      <c r="A4260" s="1"/>
      <c r="B4260" s="1" t="s">
        <v>1334</v>
      </c>
      <c r="C4260" s="1"/>
      <c r="D4260" s="1"/>
      <c r="E4260" s="1"/>
      <c r="F4260" s="40" t="s">
        <v>1472</v>
      </c>
      <c r="G4260" s="40"/>
      <c r="H4260" s="99" t="e">
        <f>FLOOR(H4259*0.15,0.01)</f>
        <v>#REF!</v>
      </c>
    </row>
    <row r="4261" spans="1:8" ht="17.25">
      <c r="A4261" s="1"/>
      <c r="B4261" s="236" t="e">
        <f>H4261</f>
        <v>#REF!</v>
      </c>
      <c r="C4261" s="27" t="s">
        <v>3801</v>
      </c>
      <c r="D4261" s="99" t="e">
        <f>FLOOR(B4261/B4262,0.01)</f>
        <v>#REF!</v>
      </c>
      <c r="E4261" s="1" t="s">
        <v>3006</v>
      </c>
      <c r="F4261" s="40" t="s">
        <v>1494</v>
      </c>
      <c r="G4261" s="40"/>
      <c r="H4261" s="99" t="e">
        <f>SUM(H4259:H4260)</f>
        <v>#REF!</v>
      </c>
    </row>
    <row r="4262" spans="1:8" ht="17.25">
      <c r="A4262" s="1"/>
      <c r="B4262" s="215">
        <v>1</v>
      </c>
      <c r="C4262" s="214"/>
      <c r="D4262" s="143"/>
      <c r="E4262" s="1"/>
      <c r="F4262" s="40"/>
      <c r="G4262" s="40"/>
      <c r="H4262" s="19"/>
    </row>
    <row r="4263" spans="1:8" ht="15">
      <c r="A4263" s="1"/>
      <c r="B4263" s="1"/>
      <c r="C4263" s="1"/>
      <c r="D4263" s="1"/>
      <c r="E4263" s="1"/>
      <c r="F4263" s="1"/>
      <c r="G4263" s="1"/>
      <c r="H4263" s="1"/>
    </row>
    <row r="4264" spans="1:8" ht="20.25">
      <c r="A4264" s="260">
        <f>A4252+1</f>
        <v>270</v>
      </c>
      <c r="B4264" s="877" t="s">
        <v>891</v>
      </c>
      <c r="C4264" s="878"/>
      <c r="D4264" s="878"/>
      <c r="E4264" s="878"/>
      <c r="F4264" s="878"/>
      <c r="G4264" s="878"/>
      <c r="H4264" s="878"/>
    </row>
    <row r="4265" spans="1:8" ht="14.25">
      <c r="A4265" s="677" t="s">
        <v>3729</v>
      </c>
      <c r="B4265" s="879" t="s">
        <v>1382</v>
      </c>
      <c r="C4265" s="879"/>
      <c r="D4265" s="879"/>
      <c r="E4265" s="879"/>
      <c r="F4265" s="879"/>
      <c r="G4265" s="879"/>
      <c r="H4265" s="879"/>
    </row>
    <row r="4266" spans="1:8" ht="31.5">
      <c r="A4266" s="1"/>
      <c r="B4266" s="68" t="s">
        <v>2966</v>
      </c>
      <c r="C4266" s="68" t="s">
        <v>2967</v>
      </c>
      <c r="D4266" s="68" t="s">
        <v>2968</v>
      </c>
      <c r="E4266" s="68" t="s">
        <v>2969</v>
      </c>
      <c r="F4266" s="68" t="s">
        <v>2970</v>
      </c>
      <c r="G4266" s="68" t="s">
        <v>2971</v>
      </c>
      <c r="H4266" s="68" t="s">
        <v>1487</v>
      </c>
    </row>
    <row r="4267" spans="1:8" ht="17.25">
      <c r="A4267" s="1"/>
      <c r="B4267" s="58" t="s">
        <v>2055</v>
      </c>
      <c r="C4267" s="58" t="s">
        <v>970</v>
      </c>
      <c r="D4267" s="41">
        <v>10</v>
      </c>
      <c r="E4267" s="154" t="s">
        <v>2807</v>
      </c>
      <c r="F4267" s="109" t="e">
        <f>#REF!</f>
        <v>#REF!</v>
      </c>
      <c r="G4267" s="153" t="e">
        <f>FLOOR(D4267*F4267,0.01)</f>
        <v>#REF!</v>
      </c>
      <c r="H4267" s="8"/>
    </row>
    <row r="4268" spans="1:8" ht="17.25">
      <c r="A4268" s="1"/>
      <c r="B4268" s="78"/>
      <c r="C4268" s="10"/>
      <c r="D4268" s="17"/>
      <c r="E4268" s="56"/>
      <c r="F4268" s="122"/>
      <c r="G4268" s="122"/>
      <c r="H4268" s="155" t="e">
        <f>SUM(G4267)</f>
        <v>#REF!</v>
      </c>
    </row>
    <row r="4269" spans="1:8" ht="19.5">
      <c r="A4269" s="1"/>
      <c r="B4269" s="1"/>
      <c r="C4269" s="1"/>
      <c r="D4269" s="1"/>
      <c r="E4269" s="1"/>
      <c r="F4269" s="40" t="s">
        <v>1491</v>
      </c>
      <c r="G4269" s="102"/>
      <c r="H4269" s="63" t="e">
        <f>SUM(H4266:H4268)</f>
        <v>#REF!</v>
      </c>
    </row>
    <row r="4270" spans="1:8" ht="19.5">
      <c r="A4270" s="1"/>
      <c r="B4270" s="1" t="s">
        <v>1493</v>
      </c>
      <c r="C4270" s="1"/>
      <c r="D4270" s="1"/>
      <c r="E4270" s="1"/>
      <c r="F4270" s="40" t="s">
        <v>1471</v>
      </c>
      <c r="G4270" s="102"/>
      <c r="H4270" s="99" t="e">
        <f>FLOOR(H4269*0.15,0.01)</f>
        <v>#REF!</v>
      </c>
    </row>
    <row r="4271" spans="1:8" ht="19.5">
      <c r="B4271" s="140" t="e">
        <f>+H4271</f>
        <v>#REF!</v>
      </c>
      <c r="C4271" s="27" t="s">
        <v>3801</v>
      </c>
      <c r="D4271" s="99" t="e">
        <f>INT(B4271/B4272*100)/100</f>
        <v>#REF!</v>
      </c>
      <c r="E4271" s="1" t="s">
        <v>3006</v>
      </c>
      <c r="F4271" s="40" t="s">
        <v>1494</v>
      </c>
      <c r="G4271" s="102"/>
      <c r="H4271" s="99" t="e">
        <f>SUM(H4269:H4270)</f>
        <v>#REF!</v>
      </c>
    </row>
    <row r="4272" spans="1:8" ht="16.5">
      <c r="A4272" s="1"/>
      <c r="B4272" s="117">
        <v>10</v>
      </c>
      <c r="C4272" s="1"/>
      <c r="D4272" s="1"/>
      <c r="E4272" s="1"/>
      <c r="F4272" s="1"/>
      <c r="G4272" s="1"/>
      <c r="H4272" s="1"/>
    </row>
    <row r="4273" spans="1:8" ht="15">
      <c r="A4273" s="30" t="s">
        <v>3015</v>
      </c>
      <c r="B4273" s="1"/>
      <c r="C4273" s="1"/>
      <c r="D4273" s="1"/>
      <c r="E4273" s="1"/>
      <c r="F4273" s="1"/>
      <c r="G4273" s="1"/>
      <c r="H4273" s="1"/>
    </row>
    <row r="4274" spans="1:8" ht="17.25">
      <c r="A4274" s="1"/>
      <c r="B4274" s="143"/>
      <c r="C4274" s="1"/>
      <c r="D4274" s="1"/>
      <c r="E4274" s="1"/>
      <c r="F4274" s="40"/>
      <c r="G4274" s="40"/>
      <c r="H4274" s="19"/>
    </row>
    <row r="4275" spans="1:8" ht="15">
      <c r="A4275" s="1"/>
      <c r="B4275" s="1"/>
      <c r="C4275" s="1"/>
      <c r="D4275" s="1"/>
      <c r="E4275" s="1"/>
      <c r="F4275" s="1"/>
      <c r="G4275" s="1"/>
      <c r="H4275" s="1"/>
    </row>
    <row r="4276" spans="1:8" ht="20.25">
      <c r="A4276" s="260">
        <f>A4264+1</f>
        <v>271</v>
      </c>
      <c r="B4276" s="877" t="s">
        <v>964</v>
      </c>
      <c r="C4276" s="878"/>
      <c r="D4276" s="878"/>
      <c r="E4276" s="878"/>
      <c r="F4276" s="878"/>
      <c r="G4276" s="878"/>
      <c r="H4276" s="878"/>
    </row>
    <row r="4277" spans="1:8" ht="14.25">
      <c r="A4277" s="677" t="s">
        <v>3730</v>
      </c>
      <c r="B4277" s="879" t="s">
        <v>1382</v>
      </c>
      <c r="C4277" s="879"/>
      <c r="D4277" s="879"/>
      <c r="E4277" s="879"/>
      <c r="F4277" s="879"/>
      <c r="G4277" s="879"/>
      <c r="H4277" s="879"/>
    </row>
    <row r="4278" spans="1:8" ht="31.5">
      <c r="A4278" s="1"/>
      <c r="B4278" s="68" t="s">
        <v>2966</v>
      </c>
      <c r="C4278" s="68" t="s">
        <v>2967</v>
      </c>
      <c r="D4278" s="68" t="s">
        <v>2968</v>
      </c>
      <c r="E4278" s="68" t="s">
        <v>2969</v>
      </c>
      <c r="F4278" s="68" t="s">
        <v>2970</v>
      </c>
      <c r="G4278" s="68" t="s">
        <v>2971</v>
      </c>
      <c r="H4278" s="68" t="s">
        <v>1487</v>
      </c>
    </row>
    <row r="4279" spans="1:8" ht="17.25">
      <c r="A4279" s="1"/>
      <c r="B4279" s="58" t="s">
        <v>2055</v>
      </c>
      <c r="C4279" s="58" t="s">
        <v>969</v>
      </c>
      <c r="D4279" s="41">
        <v>10</v>
      </c>
      <c r="E4279" s="55" t="s">
        <v>2807</v>
      </c>
      <c r="F4279" s="109" t="e">
        <f>#REF!</f>
        <v>#REF!</v>
      </c>
      <c r="G4279" s="109" t="e">
        <f>FLOOR(D4279*F4279,0.01)</f>
        <v>#REF!</v>
      </c>
      <c r="H4279" s="153" t="e">
        <f>SUM(G4279)</f>
        <v>#REF!</v>
      </c>
    </row>
    <row r="4280" spans="1:8" ht="17.25">
      <c r="A4280" s="1"/>
      <c r="B4280" s="78"/>
      <c r="C4280" s="78"/>
      <c r="D4280" s="43"/>
      <c r="E4280" s="56"/>
      <c r="F4280" s="122"/>
      <c r="G4280" s="122"/>
      <c r="H4280" s="123"/>
    </row>
    <row r="4281" spans="1:8" ht="19.5">
      <c r="A4281" s="1"/>
      <c r="B4281" s="1"/>
      <c r="C4281" s="1"/>
      <c r="D4281" s="1"/>
      <c r="E4281" s="1"/>
      <c r="F4281" s="40" t="s">
        <v>1491</v>
      </c>
      <c r="G4281" s="102"/>
      <c r="H4281" s="63" t="e">
        <f>SUM(H4278:H4280)</f>
        <v>#REF!</v>
      </c>
    </row>
    <row r="4282" spans="1:8" ht="19.5">
      <c r="A4282" s="1"/>
      <c r="B4282" s="1" t="s">
        <v>1493</v>
      </c>
      <c r="C4282" s="1"/>
      <c r="D4282" s="1"/>
      <c r="E4282" s="1"/>
      <c r="F4282" s="40" t="s">
        <v>1471</v>
      </c>
      <c r="G4282" s="102"/>
      <c r="H4282" s="99" t="e">
        <f>FLOOR(H4281*0.15,0.01)</f>
        <v>#REF!</v>
      </c>
    </row>
    <row r="4283" spans="1:8" ht="19.5">
      <c r="B4283" s="140" t="e">
        <f>+H4283</f>
        <v>#REF!</v>
      </c>
      <c r="C4283" s="27" t="s">
        <v>3801</v>
      </c>
      <c r="D4283" s="99" t="e">
        <f>INT(B4283/B4284*100)/100</f>
        <v>#REF!</v>
      </c>
      <c r="E4283" s="1" t="s">
        <v>3006</v>
      </c>
      <c r="F4283" s="40" t="s">
        <v>1494</v>
      </c>
      <c r="G4283" s="102"/>
      <c r="H4283" s="99" t="e">
        <f>SUM(H4281:H4282)</f>
        <v>#REF!</v>
      </c>
    </row>
    <row r="4284" spans="1:8" ht="16.5">
      <c r="A4284" s="27"/>
      <c r="B4284" s="117">
        <v>10</v>
      </c>
      <c r="C4284" s="1"/>
      <c r="D4284" s="1"/>
      <c r="E4284" s="1"/>
      <c r="F4284" s="1"/>
      <c r="G4284" s="1"/>
      <c r="H4284" s="19"/>
    </row>
    <row r="4285" spans="1:8" ht="16.5">
      <c r="A4285" s="27"/>
      <c r="B4285" s="117"/>
      <c r="C4285" s="1"/>
      <c r="D4285" s="1"/>
      <c r="E4285" s="1"/>
      <c r="F4285" s="1"/>
      <c r="G4285" s="1"/>
      <c r="H4285" s="19"/>
    </row>
    <row r="4286" spans="1:8" ht="15">
      <c r="A4286" s="1"/>
      <c r="B4286" s="1"/>
      <c r="C4286" s="1"/>
      <c r="D4286" s="1"/>
      <c r="E4286" s="1"/>
      <c r="F4286" s="1"/>
      <c r="G4286" s="1"/>
      <c r="H4286" s="1"/>
    </row>
    <row r="4287" spans="1:8" ht="20.25">
      <c r="A4287" s="260">
        <f>A4276+1</f>
        <v>272</v>
      </c>
      <c r="B4287" s="877" t="s">
        <v>3439</v>
      </c>
      <c r="C4287" s="878"/>
      <c r="D4287" s="878"/>
      <c r="E4287" s="878"/>
      <c r="F4287" s="878"/>
      <c r="G4287" s="878"/>
      <c r="H4287" s="878"/>
    </row>
    <row r="4288" spans="1:8" ht="14.25">
      <c r="A4288" s="677" t="s">
        <v>3731</v>
      </c>
      <c r="B4288" s="879" t="s">
        <v>1461</v>
      </c>
      <c r="C4288" s="879"/>
      <c r="D4288" s="879"/>
      <c r="E4288" s="879"/>
      <c r="F4288" s="879"/>
      <c r="G4288" s="879"/>
      <c r="H4288" s="879"/>
    </row>
    <row r="4289" spans="1:8" ht="31.5">
      <c r="A4289" s="1"/>
      <c r="B4289" s="68" t="s">
        <v>2966</v>
      </c>
      <c r="C4289" s="68" t="s">
        <v>2967</v>
      </c>
      <c r="D4289" s="68" t="s">
        <v>2968</v>
      </c>
      <c r="E4289" s="68" t="s">
        <v>2969</v>
      </c>
      <c r="F4289" s="68" t="s">
        <v>2970</v>
      </c>
      <c r="G4289" s="68" t="s">
        <v>2971</v>
      </c>
      <c r="H4289" s="68" t="s">
        <v>1487</v>
      </c>
    </row>
    <row r="4290" spans="1:8" ht="17.25">
      <c r="A4290" s="1"/>
      <c r="B4290" s="58" t="s">
        <v>2055</v>
      </c>
      <c r="C4290" s="58" t="s">
        <v>969</v>
      </c>
      <c r="D4290" s="41">
        <v>10</v>
      </c>
      <c r="E4290" s="154" t="s">
        <v>2807</v>
      </c>
      <c r="F4290" s="109" t="e">
        <f>#REF!</f>
        <v>#REF!</v>
      </c>
      <c r="G4290" s="109" t="e">
        <f>FLOOR(D4290*F4290,0.01)</f>
        <v>#REF!</v>
      </c>
      <c r="H4290" s="8"/>
    </row>
    <row r="4291" spans="1:8" ht="16.5">
      <c r="A4291" s="1"/>
      <c r="B4291" s="78"/>
      <c r="C4291" s="78"/>
      <c r="D4291" s="43"/>
      <c r="E4291" s="15"/>
      <c r="F4291" s="122"/>
      <c r="G4291" s="122"/>
      <c r="H4291" s="63" t="e">
        <f>SUM(G4290)</f>
        <v>#REF!</v>
      </c>
    </row>
    <row r="4292" spans="1:8" ht="19.5">
      <c r="A4292" s="1"/>
      <c r="B4292" s="1"/>
      <c r="C4292" s="1"/>
      <c r="D4292" s="1"/>
      <c r="E4292" s="1"/>
      <c r="F4292" s="40" t="s">
        <v>1491</v>
      </c>
      <c r="G4292" s="102"/>
      <c r="H4292" s="63" t="e">
        <f>SUM(H4289:H4291)</f>
        <v>#REF!</v>
      </c>
    </row>
    <row r="4293" spans="1:8" ht="19.5">
      <c r="A4293" s="1"/>
      <c r="B4293" s="1" t="s">
        <v>1493</v>
      </c>
      <c r="C4293" s="1"/>
      <c r="D4293" s="1"/>
      <c r="E4293" s="1"/>
      <c r="F4293" s="40" t="s">
        <v>1471</v>
      </c>
      <c r="G4293" s="102"/>
      <c r="H4293" s="99" t="e">
        <f>FLOOR(H4292*0.15,0.01)</f>
        <v>#REF!</v>
      </c>
    </row>
    <row r="4294" spans="1:8" ht="19.5">
      <c r="B4294" s="140" t="e">
        <f>+H4294</f>
        <v>#REF!</v>
      </c>
      <c r="C4294" s="27" t="s">
        <v>3801</v>
      </c>
      <c r="D4294" s="99" t="e">
        <f>INT(B4294/B4295*100)/100</f>
        <v>#REF!</v>
      </c>
      <c r="E4294" s="1" t="s">
        <v>3006</v>
      </c>
      <c r="F4294" s="40" t="s">
        <v>1494</v>
      </c>
      <c r="G4294" s="102"/>
      <c r="H4294" s="99" t="e">
        <f>SUM(H4292:H4293)</f>
        <v>#REF!</v>
      </c>
    </row>
    <row r="4295" spans="1:8" ht="16.5">
      <c r="A4295" s="1"/>
      <c r="B4295" s="117">
        <v>10</v>
      </c>
      <c r="C4295" s="1"/>
      <c r="D4295" s="1"/>
      <c r="E4295" s="1"/>
      <c r="F4295" s="1"/>
      <c r="G4295" s="1"/>
      <c r="H4295" s="1"/>
    </row>
    <row r="4296" spans="1:8" ht="15">
      <c r="A4296" s="144"/>
      <c r="B4296" s="1"/>
      <c r="C4296" s="1"/>
      <c r="D4296" s="1"/>
      <c r="E4296" s="1"/>
      <c r="F4296" s="1"/>
      <c r="G4296" s="1"/>
      <c r="H4296" s="1"/>
    </row>
    <row r="4297" spans="1:8" ht="15">
      <c r="A4297" s="1"/>
      <c r="B4297" s="1"/>
      <c r="C4297" s="1"/>
      <c r="D4297" s="1"/>
      <c r="E4297" s="1"/>
      <c r="F4297" s="1"/>
      <c r="G4297" s="1"/>
      <c r="H4297" s="1"/>
    </row>
    <row r="4298" spans="1:8" ht="20.25">
      <c r="A4298" s="260">
        <f>+A4287+1</f>
        <v>273</v>
      </c>
      <c r="B4298" s="877" t="s">
        <v>1574</v>
      </c>
      <c r="C4298" s="878"/>
      <c r="D4298" s="878"/>
      <c r="E4298" s="878"/>
      <c r="F4298" s="878"/>
      <c r="G4298" s="878"/>
      <c r="H4298" s="878"/>
    </row>
    <row r="4299" spans="1:8" ht="14.25">
      <c r="A4299" s="677" t="s">
        <v>3732</v>
      </c>
      <c r="B4299" s="888" t="s">
        <v>1391</v>
      </c>
      <c r="C4299" s="879"/>
      <c r="D4299" s="879"/>
      <c r="E4299" s="879"/>
      <c r="F4299" s="879"/>
      <c r="G4299" s="879"/>
      <c r="H4299" s="879"/>
    </row>
    <row r="4300" spans="1:8" ht="31.5">
      <c r="A4300" s="1"/>
      <c r="B4300" s="68" t="s">
        <v>2966</v>
      </c>
      <c r="C4300" s="68" t="s">
        <v>2967</v>
      </c>
      <c r="D4300" s="68" t="s">
        <v>2968</v>
      </c>
      <c r="E4300" s="68" t="s">
        <v>2969</v>
      </c>
      <c r="F4300" s="68" t="s">
        <v>2970</v>
      </c>
      <c r="G4300" s="68" t="s">
        <v>2971</v>
      </c>
      <c r="H4300" s="68" t="s">
        <v>1487</v>
      </c>
    </row>
    <row r="4301" spans="1:8" ht="16.5">
      <c r="A4301" s="1"/>
      <c r="B4301" s="889" t="s">
        <v>1488</v>
      </c>
      <c r="C4301" s="58" t="s">
        <v>686</v>
      </c>
      <c r="D4301" s="46">
        <v>1.0760000000000001</v>
      </c>
      <c r="E4301" s="11" t="s">
        <v>1429</v>
      </c>
      <c r="F4301" s="107" t="e">
        <f>#REF!</f>
        <v>#REF!</v>
      </c>
      <c r="G4301" s="107" t="e">
        <f>FLOOR(D4301*F4301,0.01)</f>
        <v>#REF!</v>
      </c>
      <c r="H4301" s="108"/>
    </row>
    <row r="4302" spans="1:8" ht="16.5">
      <c r="A4302" s="1"/>
      <c r="B4302" s="952"/>
      <c r="C4302" s="80" t="s">
        <v>521</v>
      </c>
      <c r="D4302" s="43">
        <v>5.38</v>
      </c>
      <c r="E4302" s="80" t="s">
        <v>1429</v>
      </c>
      <c r="F4302" s="116" t="e">
        <f>#REF!</f>
        <v>#REF!</v>
      </c>
      <c r="G4302" s="63" t="e">
        <f>FLOOR(D4302*F4302,0.01)</f>
        <v>#REF!</v>
      </c>
      <c r="H4302" s="123" t="e">
        <f>SUM(G4301+G4302)</f>
        <v>#REF!</v>
      </c>
    </row>
    <row r="4303" spans="1:8" ht="17.25">
      <c r="A4303" s="1"/>
      <c r="B4303" s="889" t="s">
        <v>2055</v>
      </c>
      <c r="C4303" s="58" t="s">
        <v>1575</v>
      </c>
      <c r="D4303" s="41">
        <v>110</v>
      </c>
      <c r="E4303" s="55" t="s">
        <v>2876</v>
      </c>
      <c r="F4303" s="107" t="e">
        <f>giwar</f>
        <v>#REF!</v>
      </c>
      <c r="G4303" s="110" t="e">
        <f>FLOOR(D4303*F4303,0.01)</f>
        <v>#REF!</v>
      </c>
      <c r="H4303" s="9"/>
    </row>
    <row r="4304" spans="1:8" ht="17.25">
      <c r="A4304" s="1"/>
      <c r="B4304" s="971"/>
      <c r="C4304" s="81" t="s">
        <v>1576</v>
      </c>
      <c r="D4304" s="50"/>
      <c r="E4304" s="53"/>
      <c r="F4304" s="116"/>
      <c r="G4304" s="116"/>
      <c r="H4304" s="9"/>
    </row>
    <row r="4305" spans="1:8" ht="17.25">
      <c r="A4305" s="1"/>
      <c r="B4305" s="952"/>
      <c r="C4305" s="78" t="s">
        <v>2875</v>
      </c>
      <c r="D4305" s="63" t="s">
        <v>2808</v>
      </c>
      <c r="E4305" s="56"/>
      <c r="F4305" s="78" t="s">
        <v>2810</v>
      </c>
      <c r="G4305" s="122">
        <v>185</v>
      </c>
      <c r="H4305" s="123" t="e">
        <f>SUM(G4303+G4305)</f>
        <v>#REF!</v>
      </c>
    </row>
    <row r="4306" spans="1:8" ht="19.5">
      <c r="A4306" s="1"/>
      <c r="B4306" s="1"/>
      <c r="C4306" s="1"/>
      <c r="D4306" s="1"/>
      <c r="E4306" s="1"/>
      <c r="F4306" s="40" t="s">
        <v>1491</v>
      </c>
      <c r="G4306" s="102"/>
      <c r="H4306" s="63" t="e">
        <f>SUM(H4302:H4305)</f>
        <v>#REF!</v>
      </c>
    </row>
    <row r="4307" spans="1:8" ht="19.5">
      <c r="A4307" s="1"/>
      <c r="B4307" s="1" t="s">
        <v>1334</v>
      </c>
      <c r="C4307" s="1"/>
      <c r="D4307" s="1"/>
      <c r="E4307" s="1"/>
      <c r="F4307" s="40" t="s">
        <v>1471</v>
      </c>
      <c r="G4307" s="102"/>
      <c r="H4307" s="99" t="e">
        <f>FLOOR(H4306*0.15,0.01)</f>
        <v>#REF!</v>
      </c>
    </row>
    <row r="4308" spans="1:8" ht="19.5">
      <c r="A4308" s="97"/>
      <c r="B4308" s="140" t="e">
        <f>+H4308</f>
        <v>#REF!</v>
      </c>
      <c r="C4308" s="27" t="s">
        <v>3801</v>
      </c>
      <c r="D4308" s="99" t="e">
        <f>INT(B4308/B4309*100)/100</f>
        <v>#REF!</v>
      </c>
      <c r="E4308" s="1" t="s">
        <v>3006</v>
      </c>
      <c r="F4308" s="40" t="s">
        <v>1494</v>
      </c>
      <c r="G4308" s="102"/>
      <c r="H4308" s="99" t="e">
        <f>SUM(H4306:H4307)</f>
        <v>#REF!</v>
      </c>
    </row>
    <row r="4309" spans="1:8" ht="16.5">
      <c r="A4309" s="1"/>
      <c r="B4309" s="117">
        <v>100</v>
      </c>
      <c r="C4309" s="1"/>
      <c r="D4309" s="1"/>
      <c r="E4309" s="1"/>
      <c r="F4309" s="1"/>
      <c r="G4309" s="1"/>
      <c r="H4309" s="1"/>
    </row>
    <row r="4310" spans="1:8" ht="16.5">
      <c r="A4310" s="1"/>
      <c r="B4310" s="117"/>
      <c r="C4310" s="1"/>
      <c r="D4310" s="1"/>
      <c r="E4310" s="1"/>
      <c r="F4310" s="1"/>
      <c r="G4310" s="1"/>
      <c r="H4310" s="1"/>
    </row>
    <row r="4311" spans="1:8" ht="15">
      <c r="A4311" s="1"/>
      <c r="B4311" s="1"/>
      <c r="C4311" s="1"/>
      <c r="D4311" s="1"/>
      <c r="E4311" s="1"/>
      <c r="F4311" s="1"/>
      <c r="G4311" s="1"/>
      <c r="H4311" s="1"/>
    </row>
    <row r="4312" spans="1:8" ht="20.25">
      <c r="A4312" s="260">
        <f>+A4298+1</f>
        <v>274</v>
      </c>
      <c r="B4312" s="877" t="s">
        <v>2877</v>
      </c>
      <c r="C4312" s="878"/>
      <c r="D4312" s="878"/>
      <c r="E4312" s="878"/>
      <c r="F4312" s="878"/>
      <c r="G4312" s="878"/>
      <c r="H4312" s="878"/>
    </row>
    <row r="4313" spans="1:8" ht="19.5">
      <c r="A4313" s="677" t="s">
        <v>3733</v>
      </c>
      <c r="B4313" s="877" t="s">
        <v>3440</v>
      </c>
      <c r="C4313" s="878"/>
      <c r="D4313" s="878"/>
      <c r="E4313" s="878"/>
      <c r="F4313" s="878"/>
      <c r="G4313" s="878"/>
      <c r="H4313" s="878"/>
    </row>
    <row r="4314" spans="1:8" ht="14.25">
      <c r="A4314" s="879" t="s">
        <v>2455</v>
      </c>
      <c r="B4314" s="879"/>
      <c r="C4314" s="879"/>
      <c r="D4314" s="879"/>
      <c r="E4314" s="879"/>
      <c r="F4314" s="879"/>
      <c r="G4314" s="879"/>
      <c r="H4314" s="879"/>
    </row>
    <row r="4315" spans="1:8" ht="31.5">
      <c r="A4315" s="1"/>
      <c r="B4315" s="68" t="s">
        <v>2966</v>
      </c>
      <c r="C4315" s="68" t="s">
        <v>2967</v>
      </c>
      <c r="D4315" s="68" t="s">
        <v>2968</v>
      </c>
      <c r="E4315" s="68" t="s">
        <v>2969</v>
      </c>
      <c r="F4315" s="68" t="s">
        <v>2970</v>
      </c>
      <c r="G4315" s="68" t="s">
        <v>2971</v>
      </c>
      <c r="H4315" s="68" t="s">
        <v>1487</v>
      </c>
    </row>
    <row r="4316" spans="1:8" ht="17.25">
      <c r="A4316" s="1"/>
      <c r="B4316" s="889" t="s">
        <v>1488</v>
      </c>
      <c r="C4316" s="58" t="s">
        <v>686</v>
      </c>
      <c r="D4316" s="41">
        <v>1</v>
      </c>
      <c r="E4316" s="55" t="s">
        <v>1429</v>
      </c>
      <c r="F4316" s="107" t="e">
        <f>#REF!</f>
        <v>#REF!</v>
      </c>
      <c r="G4316" s="107" t="e">
        <f>FLOOR(D4316*F4316,0.01)</f>
        <v>#REF!</v>
      </c>
      <c r="H4316" s="108"/>
    </row>
    <row r="4317" spans="1:8" ht="16.5">
      <c r="A4317" s="1"/>
      <c r="B4317" s="952"/>
      <c r="C4317" s="80" t="s">
        <v>521</v>
      </c>
      <c r="D4317" s="43">
        <v>2</v>
      </c>
      <c r="E4317" s="80" t="s">
        <v>1429</v>
      </c>
      <c r="F4317" s="122" t="e">
        <f>#REF!</f>
        <v>#REF!</v>
      </c>
      <c r="G4317" s="63" t="e">
        <f>FLOOR(D4317*F4317,0.01)</f>
        <v>#REF!</v>
      </c>
      <c r="H4317" s="123" t="e">
        <f>SUM(G4316+G4317)</f>
        <v>#REF!</v>
      </c>
    </row>
    <row r="4318" spans="1:8" ht="18">
      <c r="A4318" s="1"/>
      <c r="B4318" s="58" t="s">
        <v>2055</v>
      </c>
      <c r="C4318" s="58" t="s">
        <v>2878</v>
      </c>
      <c r="D4318" s="41">
        <v>0.19</v>
      </c>
      <c r="E4318" s="55" t="s">
        <v>2232</v>
      </c>
      <c r="F4318" s="109" t="e">
        <f>#REF!</f>
        <v>#REF!</v>
      </c>
      <c r="G4318" s="110" t="e">
        <f>FLOOR(D4318*F4318,0.01)</f>
        <v>#REF!</v>
      </c>
      <c r="H4318" s="131"/>
    </row>
    <row r="4319" spans="1:8" ht="17.25">
      <c r="A4319" s="1"/>
      <c r="B4319" s="273"/>
      <c r="C4319" s="80" t="s">
        <v>2879</v>
      </c>
      <c r="D4319" s="42">
        <v>250</v>
      </c>
      <c r="E4319" s="53" t="s">
        <v>2881</v>
      </c>
      <c r="F4319" s="116" t="e">
        <f>Diagowar</f>
        <v>#REF!</v>
      </c>
      <c r="G4319" s="109" t="e">
        <f>FLOOR(D4319*F4319,0.01)</f>
        <v>#REF!</v>
      </c>
      <c r="H4319" s="9"/>
    </row>
    <row r="4320" spans="1:8" ht="17.25">
      <c r="A4320" s="1"/>
      <c r="B4320" s="651"/>
      <c r="C4320" s="78" t="s">
        <v>2880</v>
      </c>
      <c r="D4320" s="43">
        <v>77</v>
      </c>
      <c r="E4320" s="56" t="s">
        <v>1429</v>
      </c>
      <c r="F4320" s="63" t="s">
        <v>3443</v>
      </c>
      <c r="G4320" s="63">
        <v>77</v>
      </c>
      <c r="H4320" s="123" t="e">
        <f>SUM(G4318+G4319+G4320)</f>
        <v>#REF!</v>
      </c>
    </row>
    <row r="4321" spans="1:27" ht="19.5">
      <c r="A4321" s="1"/>
      <c r="B4321" s="1"/>
      <c r="C4321" s="1"/>
      <c r="D4321" s="1"/>
      <c r="E4321" s="1"/>
      <c r="F4321" s="40" t="s">
        <v>1491</v>
      </c>
      <c r="G4321" s="102"/>
      <c r="H4321" s="63" t="e">
        <f>SUM(H4317:H4320)</f>
        <v>#REF!</v>
      </c>
    </row>
    <row r="4322" spans="1:27" ht="19.5">
      <c r="A4322" s="1"/>
      <c r="B4322" s="1" t="s">
        <v>1334</v>
      </c>
      <c r="C4322" s="1"/>
      <c r="D4322" s="1"/>
      <c r="E4322" s="1"/>
      <c r="F4322" s="40" t="s">
        <v>1471</v>
      </c>
      <c r="G4322" s="102"/>
      <c r="H4322" s="99" t="e">
        <f>FLOOR(H4321*0.15,0.01)</f>
        <v>#REF!</v>
      </c>
    </row>
    <row r="4323" spans="1:27" ht="19.5">
      <c r="A4323" s="97"/>
      <c r="B4323" s="140" t="e">
        <f>+H4323</f>
        <v>#REF!</v>
      </c>
      <c r="C4323" s="27" t="s">
        <v>3801</v>
      </c>
      <c r="D4323" s="99" t="e">
        <f>INT(B4323/B4324*100)/100</f>
        <v>#REF!</v>
      </c>
      <c r="E4323" s="1" t="s">
        <v>3006</v>
      </c>
      <c r="F4323" s="40" t="s">
        <v>1494</v>
      </c>
      <c r="G4323" s="102"/>
      <c r="H4323" s="99" t="e">
        <f>SUM(H4321:H4322)</f>
        <v>#REF!</v>
      </c>
    </row>
    <row r="4324" spans="1:27" ht="16.5">
      <c r="A4324" s="1"/>
      <c r="B4324" s="117">
        <v>30</v>
      </c>
      <c r="C4324" s="1"/>
      <c r="D4324" s="1"/>
      <c r="E4324" s="1"/>
      <c r="F4324" s="1"/>
      <c r="G4324" s="1"/>
      <c r="H4324" s="1"/>
    </row>
    <row r="4325" spans="1:27" ht="15">
      <c r="A4325" s="1" t="s">
        <v>2456</v>
      </c>
      <c r="B4325" s="1"/>
      <c r="C4325" s="1"/>
      <c r="D4325" s="1"/>
      <c r="E4325" s="1"/>
      <c r="F4325" s="1"/>
      <c r="G4325" s="1"/>
      <c r="H4325" s="1"/>
    </row>
    <row r="4326" spans="1:27" ht="16.5">
      <c r="A4326" s="1"/>
      <c r="B4326" s="88"/>
      <c r="C4326" s="1"/>
      <c r="D4326" s="1"/>
      <c r="E4326" s="1"/>
      <c r="F4326" s="1"/>
      <c r="G4326" s="1"/>
      <c r="H4326" s="1"/>
    </row>
    <row r="4327" spans="1:27" ht="16.5">
      <c r="A4327" s="138">
        <f>A4312+1</f>
        <v>275</v>
      </c>
      <c r="B4327" s="88"/>
      <c r="C4327" s="1"/>
      <c r="D4327" s="1"/>
      <c r="E4327" s="1"/>
      <c r="F4327" s="1"/>
      <c r="G4327" s="1"/>
      <c r="H4327" s="1"/>
      <c r="I4327" s="386"/>
      <c r="J4327" s="280"/>
      <c r="K4327" s="280"/>
      <c r="L4327" s="280"/>
      <c r="M4327" s="280"/>
      <c r="N4327" s="280"/>
      <c r="O4327" s="280"/>
      <c r="Y4327" s="280"/>
      <c r="Z4327" s="280"/>
      <c r="AA4327" s="717"/>
    </row>
    <row r="4328" spans="1:27" ht="19.5">
      <c r="A4328" s="677" t="s">
        <v>3734</v>
      </c>
      <c r="B4328" s="970" t="s">
        <v>3442</v>
      </c>
      <c r="C4328" s="878"/>
      <c r="D4328" s="878"/>
      <c r="E4328" s="878"/>
      <c r="F4328" s="878"/>
      <c r="G4328" s="878"/>
      <c r="H4328" s="878"/>
      <c r="I4328" s="985" t="s">
        <v>3825</v>
      </c>
      <c r="J4328" s="962"/>
      <c r="K4328" s="962"/>
      <c r="L4328" s="962"/>
      <c r="M4328" s="962"/>
      <c r="N4328" s="962"/>
      <c r="O4328" s="962"/>
      <c r="Y4328" s="280"/>
      <c r="Z4328" s="280"/>
      <c r="AA4328" s="717"/>
    </row>
    <row r="4329" spans="1:27" ht="15">
      <c r="A4329" s="1"/>
      <c r="B4329" s="879" t="s">
        <v>2070</v>
      </c>
      <c r="C4329" s="879"/>
      <c r="D4329" s="879"/>
      <c r="E4329" s="879"/>
      <c r="F4329" s="879"/>
      <c r="G4329" s="879"/>
      <c r="H4329" s="879"/>
      <c r="I4329" s="962" t="s">
        <v>2070</v>
      </c>
      <c r="J4329" s="962"/>
      <c r="K4329" s="962"/>
      <c r="L4329" s="962"/>
      <c r="M4329" s="962"/>
      <c r="N4329" s="962"/>
      <c r="O4329" s="962"/>
      <c r="Y4329" s="280"/>
      <c r="Z4329" s="280"/>
      <c r="AA4329" s="717"/>
    </row>
    <row r="4330" spans="1:27" ht="31.5">
      <c r="A4330" s="1"/>
      <c r="B4330" s="68" t="s">
        <v>2966</v>
      </c>
      <c r="C4330" s="68" t="s">
        <v>2967</v>
      </c>
      <c r="D4330" s="68" t="s">
        <v>2968</v>
      </c>
      <c r="E4330" s="68" t="s">
        <v>2969</v>
      </c>
      <c r="F4330" s="68" t="s">
        <v>2970</v>
      </c>
      <c r="G4330" s="68" t="s">
        <v>2971</v>
      </c>
      <c r="H4330" s="68" t="s">
        <v>1487</v>
      </c>
      <c r="I4330" s="719" t="s">
        <v>2966</v>
      </c>
      <c r="J4330" s="719" t="s">
        <v>2967</v>
      </c>
      <c r="K4330" s="719" t="s">
        <v>2968</v>
      </c>
      <c r="L4330" s="719" t="s">
        <v>2969</v>
      </c>
      <c r="M4330" s="719" t="s">
        <v>2970</v>
      </c>
      <c r="N4330" s="719" t="s">
        <v>2971</v>
      </c>
      <c r="O4330" s="719" t="s">
        <v>1487</v>
      </c>
      <c r="Y4330" s="280"/>
      <c r="Z4330" s="280"/>
      <c r="AA4330" s="717"/>
    </row>
    <row r="4331" spans="1:27" ht="17.25">
      <c r="A4331" s="1"/>
      <c r="B4331" s="889" t="s">
        <v>1488</v>
      </c>
      <c r="C4331" s="58" t="s">
        <v>686</v>
      </c>
      <c r="D4331" s="46">
        <v>0.68700000000000006</v>
      </c>
      <c r="E4331" s="55" t="s">
        <v>1429</v>
      </c>
      <c r="F4331" s="107" t="e">
        <f>#REF!</f>
        <v>#REF!</v>
      </c>
      <c r="G4331" s="107" t="e">
        <f>FLOOR(D4331*F4331,0.01)</f>
        <v>#REF!</v>
      </c>
      <c r="H4331" s="108"/>
      <c r="I4331" s="986" t="s">
        <v>1488</v>
      </c>
      <c r="J4331" s="720" t="s">
        <v>686</v>
      </c>
      <c r="K4331" s="721">
        <v>0.68700000000000006</v>
      </c>
      <c r="L4331" s="722" t="s">
        <v>1429</v>
      </c>
      <c r="M4331" s="723">
        <v>650</v>
      </c>
      <c r="N4331" s="723">
        <f>FLOOR(K4331*M4331,0.01)</f>
        <v>446.55</v>
      </c>
      <c r="O4331" s="724"/>
      <c r="Y4331" s="280"/>
      <c r="Z4331" s="280"/>
      <c r="AA4331" s="717"/>
    </row>
    <row r="4332" spans="1:27" ht="16.5">
      <c r="A4332" s="1"/>
      <c r="B4332" s="952"/>
      <c r="C4332" s="80" t="s">
        <v>521</v>
      </c>
      <c r="D4332" s="49">
        <v>0.78100000000000003</v>
      </c>
      <c r="E4332" s="80" t="s">
        <v>1429</v>
      </c>
      <c r="F4332" s="116" t="e">
        <f>#REF!</f>
        <v>#REF!</v>
      </c>
      <c r="G4332" s="109" t="e">
        <f>FLOOR(D4332*F4332,0.01)</f>
        <v>#REF!</v>
      </c>
      <c r="H4332" s="123" t="e">
        <f>SUM(G4331+G4332)</f>
        <v>#REF!</v>
      </c>
      <c r="I4332" s="987"/>
      <c r="J4332" s="725" t="s">
        <v>521</v>
      </c>
      <c r="K4332" s="726">
        <v>0.78100000000000003</v>
      </c>
      <c r="L4332" s="725" t="s">
        <v>1429</v>
      </c>
      <c r="M4332" s="727">
        <v>475</v>
      </c>
      <c r="N4332" s="728">
        <f>FLOOR(K4332*M4332,0.01)</f>
        <v>370.97</v>
      </c>
      <c r="O4332" s="729">
        <f>SUM(N4331+N4332)</f>
        <v>817.52</v>
      </c>
      <c r="Y4332" s="280"/>
      <c r="Z4332" s="280"/>
      <c r="AA4332" s="717"/>
    </row>
    <row r="4333" spans="1:27" ht="25.5">
      <c r="A4333" s="1"/>
      <c r="B4333" s="273"/>
      <c r="C4333" s="80"/>
      <c r="D4333" s="52"/>
      <c r="E4333" s="80"/>
      <c r="F4333" s="116"/>
      <c r="G4333" s="109"/>
      <c r="H4333" s="121"/>
      <c r="I4333" s="987"/>
      <c r="J4333" s="730" t="s">
        <v>3820</v>
      </c>
      <c r="K4333" s="726"/>
      <c r="L4333" s="725"/>
      <c r="M4333" s="727"/>
      <c r="N4333" s="728"/>
      <c r="O4333" s="729"/>
      <c r="Y4333" s="280"/>
      <c r="Z4333" s="280"/>
      <c r="AA4333" s="717"/>
    </row>
    <row r="4334" spans="1:27" ht="16.5">
      <c r="A4334" s="1"/>
      <c r="B4334" s="273"/>
      <c r="C4334" s="80"/>
      <c r="D4334" s="52"/>
      <c r="E4334" s="80"/>
      <c r="F4334" s="116"/>
      <c r="G4334" s="109"/>
      <c r="H4334" s="121"/>
      <c r="I4334" s="987"/>
      <c r="J4334" s="725" t="s">
        <v>686</v>
      </c>
      <c r="K4334" s="726">
        <f>K4331*2</f>
        <v>1.3740000000000001</v>
      </c>
      <c r="L4334" s="731" t="s">
        <v>1429</v>
      </c>
      <c r="M4334" s="727">
        <f>M4331</f>
        <v>650</v>
      </c>
      <c r="N4334" s="728">
        <f>FLOOR(K4334*M4334,0.01)</f>
        <v>893.1</v>
      </c>
      <c r="O4334" s="729"/>
      <c r="P4334" t="s">
        <v>3836</v>
      </c>
      <c r="Y4334" s="717" t="s">
        <v>3824</v>
      </c>
      <c r="Z4334" s="717"/>
      <c r="AA4334" s="717"/>
    </row>
    <row r="4335" spans="1:27" ht="22.5" customHeight="1">
      <c r="A4335" s="1"/>
      <c r="B4335" s="273"/>
      <c r="C4335" s="80"/>
      <c r="D4335" s="52"/>
      <c r="E4335" s="80"/>
      <c r="F4335" s="116"/>
      <c r="G4335" s="109"/>
      <c r="H4335" s="121"/>
      <c r="I4335" s="988"/>
      <c r="J4335" s="725" t="s">
        <v>521</v>
      </c>
      <c r="K4335" s="726">
        <f>K4332*4</f>
        <v>3.1240000000000001</v>
      </c>
      <c r="L4335" s="725" t="s">
        <v>1429</v>
      </c>
      <c r="M4335" s="727">
        <f>M4332</f>
        <v>475</v>
      </c>
      <c r="N4335" s="728">
        <f>FLOOR(K4335*M4335,0.01)</f>
        <v>1483.9</v>
      </c>
      <c r="O4335" s="729">
        <f>N4335+N4334</f>
        <v>2377</v>
      </c>
      <c r="P4335" t="s">
        <v>3837</v>
      </c>
      <c r="Y4335" s="717">
        <f>3.5*4+3.05*5</f>
        <v>29.25</v>
      </c>
      <c r="Z4335" s="717"/>
      <c r="AA4335" s="717"/>
    </row>
    <row r="4336" spans="1:27" ht="18">
      <c r="A4336" s="1"/>
      <c r="B4336" s="889" t="s">
        <v>2055</v>
      </c>
      <c r="C4336" s="58" t="s">
        <v>2071</v>
      </c>
      <c r="D4336" s="41"/>
      <c r="E4336" s="55"/>
      <c r="F4336" s="107"/>
      <c r="G4336" s="131"/>
      <c r="H4336" s="131"/>
      <c r="I4336" s="986" t="s">
        <v>2055</v>
      </c>
      <c r="J4336" s="730" t="s">
        <v>3818</v>
      </c>
      <c r="K4336" s="732">
        <f>18.94*0.5*1/3</f>
        <v>3.1566666666666667</v>
      </c>
      <c r="L4336" s="731" t="s">
        <v>3819</v>
      </c>
      <c r="M4336" s="727" t="e">
        <f>#REF!</f>
        <v>#REF!</v>
      </c>
      <c r="N4336" s="728" t="e">
        <f>FLOOR(K4336*M4336,0.01)</f>
        <v>#REF!</v>
      </c>
      <c r="O4336" s="733"/>
      <c r="P4336" s="717" t="s">
        <v>3838</v>
      </c>
      <c r="Y4336" s="718">
        <f>3.5*3.05</f>
        <v>10.674999999999999</v>
      </c>
      <c r="Z4336" s="718">
        <f>29.25*0.73</f>
        <v>21.352499999999999</v>
      </c>
      <c r="AA4336" s="717"/>
    </row>
    <row r="4337" spans="1:27" ht="18">
      <c r="A4337" s="1"/>
      <c r="B4337" s="971"/>
      <c r="C4337" s="80" t="s">
        <v>1015</v>
      </c>
      <c r="D4337" s="1"/>
      <c r="E4337" s="9"/>
      <c r="F4337" s="116"/>
      <c r="G4337" s="9"/>
      <c r="H4337" s="132"/>
      <c r="I4337" s="989"/>
      <c r="J4337" s="725" t="s">
        <v>3822</v>
      </c>
      <c r="K4337" s="732">
        <v>1</v>
      </c>
      <c r="L4337" s="731" t="s">
        <v>2748</v>
      </c>
      <c r="M4337" s="727" t="e">
        <f>giwire</f>
        <v>#REF!</v>
      </c>
      <c r="N4337" s="728" t="e">
        <f>FLOOR(K4337*M4337,0.01)</f>
        <v>#REF!</v>
      </c>
      <c r="O4337" s="733"/>
      <c r="Y4337" s="718" t="s">
        <v>3361</v>
      </c>
      <c r="Z4337" s="718" t="s">
        <v>2960</v>
      </c>
      <c r="AA4337" s="717"/>
    </row>
    <row r="4338" spans="1:27" ht="25.5">
      <c r="A4338" s="1"/>
      <c r="B4338" s="971"/>
      <c r="C4338" s="80" t="s">
        <v>3441</v>
      </c>
      <c r="D4338" s="42">
        <v>18.940000000000001</v>
      </c>
      <c r="E4338" s="53" t="s">
        <v>2748</v>
      </c>
      <c r="F4338" s="109" t="e">
        <f>#REF!</f>
        <v>#REF!</v>
      </c>
      <c r="G4338" s="109" t="e">
        <f>FLOOR(D4338*F4338,0.01)</f>
        <v>#REF!</v>
      </c>
      <c r="H4338" s="9"/>
      <c r="I4338" s="989"/>
      <c r="J4338" s="725" t="s">
        <v>3821</v>
      </c>
      <c r="K4338" s="732">
        <v>18.940000000000001</v>
      </c>
      <c r="L4338" s="731" t="s">
        <v>2748</v>
      </c>
      <c r="M4338" s="728" t="e">
        <f>#REF!</f>
        <v>#REF!</v>
      </c>
      <c r="N4338" s="728" t="e">
        <f>FLOOR(K4338*M4338,0.01)</f>
        <v>#REF!</v>
      </c>
      <c r="O4338" s="734"/>
      <c r="Y4338" s="717" t="s">
        <v>3823</v>
      </c>
      <c r="Z4338" s="717"/>
      <c r="AA4338" s="717"/>
    </row>
    <row r="4339" spans="1:27" ht="17.25">
      <c r="A4339" s="1"/>
      <c r="B4339" s="952"/>
      <c r="C4339" s="78" t="s">
        <v>2069</v>
      </c>
      <c r="D4339" s="57" t="s">
        <v>2808</v>
      </c>
      <c r="E4339" s="56" t="s">
        <v>2810</v>
      </c>
      <c r="F4339" s="56" t="s">
        <v>2810</v>
      </c>
      <c r="G4339" s="63">
        <v>110</v>
      </c>
      <c r="H4339" s="123" t="e">
        <f>SUM(G4338+G4339)</f>
        <v>#REF!</v>
      </c>
      <c r="I4339" s="990"/>
      <c r="J4339" s="735" t="s">
        <v>2069</v>
      </c>
      <c r="K4339" s="736" t="s">
        <v>2808</v>
      </c>
      <c r="L4339" s="737" t="s">
        <v>2810</v>
      </c>
      <c r="M4339" s="737" t="s">
        <v>2810</v>
      </c>
      <c r="N4339" s="738" t="e">
        <f>#REF!/2</f>
        <v>#REF!</v>
      </c>
      <c r="O4339" s="739" t="e">
        <f>N4339+N4338+N4337+N4336</f>
        <v>#REF!</v>
      </c>
      <c r="Y4339" s="280"/>
      <c r="Z4339" s="280"/>
      <c r="AA4339" s="717"/>
    </row>
    <row r="4340" spans="1:27" ht="19.5">
      <c r="A4340" s="1"/>
      <c r="B4340" s="1"/>
      <c r="C4340" s="1"/>
      <c r="D4340" s="1"/>
      <c r="E4340" s="1"/>
      <c r="F4340" s="40" t="s">
        <v>1491</v>
      </c>
      <c r="G4340" s="102"/>
      <c r="H4340" s="63" t="e">
        <f>SUM(H4332:H4339)</f>
        <v>#REF!</v>
      </c>
      <c r="I4340" s="106"/>
      <c r="J4340" s="106"/>
      <c r="K4340" s="106"/>
      <c r="L4340" s="106"/>
      <c r="M4340" s="106" t="s">
        <v>1491</v>
      </c>
      <c r="N4340" s="92"/>
      <c r="O4340" s="63" t="e">
        <f>O4339+O4335+O4332</f>
        <v>#REF!</v>
      </c>
      <c r="Y4340" s="280"/>
      <c r="Z4340" s="280"/>
      <c r="AA4340" s="717"/>
    </row>
    <row r="4341" spans="1:27" ht="19.5">
      <c r="A4341" s="1"/>
      <c r="B4341" s="1" t="s">
        <v>108</v>
      </c>
      <c r="C4341" s="1"/>
      <c r="D4341" s="1"/>
      <c r="E4341" s="1"/>
      <c r="F4341" s="40" t="s">
        <v>1471</v>
      </c>
      <c r="G4341" s="102"/>
      <c r="H4341" s="99" t="e">
        <f>FLOOR(H4340*0.15,0.01)</f>
        <v>#REF!</v>
      </c>
      <c r="I4341" s="106" t="s">
        <v>108</v>
      </c>
      <c r="J4341" s="106"/>
      <c r="K4341" s="106"/>
      <c r="L4341" s="106"/>
      <c r="M4341" s="106" t="s">
        <v>1471</v>
      </c>
      <c r="N4341" s="92"/>
      <c r="O4341" s="99" t="e">
        <f>FLOOR(O4340*0.15,0.01)</f>
        <v>#REF!</v>
      </c>
      <c r="Y4341" s="280"/>
      <c r="Z4341" s="280"/>
      <c r="AA4341" s="717"/>
    </row>
    <row r="4342" spans="1:27" ht="19.5">
      <c r="A4342" s="27"/>
      <c r="B4342" s="140" t="e">
        <f>+H4342</f>
        <v>#REF!</v>
      </c>
      <c r="C4342" s="27" t="s">
        <v>3801</v>
      </c>
      <c r="D4342" s="99" t="e">
        <f>INT(B4342/B4343*100)/100</f>
        <v>#REF!</v>
      </c>
      <c r="E4342" s="1" t="s">
        <v>3006</v>
      </c>
      <c r="F4342" s="40" t="s">
        <v>1494</v>
      </c>
      <c r="G4342" s="102"/>
      <c r="H4342" s="99" t="e">
        <f>SUM(H4340:H4341)</f>
        <v>#REF!</v>
      </c>
      <c r="I4342" s="140" t="e">
        <f>+O4342</f>
        <v>#REF!</v>
      </c>
      <c r="J4342" s="740" t="s">
        <v>3801</v>
      </c>
      <c r="K4342" s="713" t="e">
        <f>INT(I4342/I4343*100)/100</f>
        <v>#REF!</v>
      </c>
      <c r="L4342" s="106" t="s">
        <v>3006</v>
      </c>
      <c r="M4342" s="106" t="s">
        <v>1494</v>
      </c>
      <c r="N4342" s="92"/>
      <c r="O4342" s="99" t="e">
        <f>SUM(O4340:O4341)</f>
        <v>#REF!</v>
      </c>
      <c r="Y4342" s="280"/>
      <c r="Z4342" s="280"/>
      <c r="AA4342" s="717"/>
    </row>
    <row r="4343" spans="1:27" ht="16.5">
      <c r="A4343" s="1"/>
      <c r="B4343" s="88">
        <v>18.940000000000001</v>
      </c>
      <c r="C4343" s="1"/>
      <c r="D4343" s="1"/>
      <c r="E4343" s="1"/>
      <c r="F4343" s="1"/>
      <c r="G4343" s="1"/>
      <c r="H4343" s="1"/>
      <c r="I4343" s="280">
        <v>18.940000000000001</v>
      </c>
      <c r="J4343" s="280"/>
      <c r="K4343" s="280"/>
      <c r="L4343" s="280"/>
      <c r="M4343" s="280"/>
      <c r="N4343" s="280"/>
      <c r="O4343" s="280"/>
      <c r="Y4343" s="280"/>
      <c r="Z4343" s="280"/>
      <c r="AA4343" s="717"/>
    </row>
    <row r="4344" spans="1:27" ht="19.5">
      <c r="A4344" s="27"/>
      <c r="B4344" s="88"/>
      <c r="C4344" s="1"/>
      <c r="D4344" s="1"/>
      <c r="E4344" s="1"/>
      <c r="F4344" s="40"/>
      <c r="G4344" s="102"/>
      <c r="H4344" s="141"/>
    </row>
    <row r="4345" spans="1:27" ht="15">
      <c r="A4345" s="138">
        <f>A4327+1</f>
        <v>276</v>
      </c>
      <c r="B4345" s="972" t="s">
        <v>255</v>
      </c>
      <c r="C4345" s="969"/>
      <c r="D4345" s="969"/>
      <c r="E4345" s="969"/>
      <c r="F4345" s="969"/>
      <c r="G4345" s="969"/>
      <c r="H4345" s="969"/>
    </row>
    <row r="4346" spans="1:27" ht="15">
      <c r="A4346" s="677" t="s">
        <v>3735</v>
      </c>
      <c r="B4346" s="968" t="s">
        <v>643</v>
      </c>
      <c r="C4346" s="969"/>
      <c r="D4346" s="969"/>
      <c r="E4346" s="969"/>
      <c r="F4346" s="969"/>
      <c r="G4346" s="969"/>
      <c r="H4346" s="969"/>
    </row>
    <row r="4347" spans="1:27" ht="15">
      <c r="A4347" s="90"/>
      <c r="B4347" s="969" t="s">
        <v>644</v>
      </c>
      <c r="C4347" s="969"/>
      <c r="D4347" s="969"/>
      <c r="E4347" s="969"/>
      <c r="F4347" s="969"/>
      <c r="G4347" s="969"/>
      <c r="H4347" s="969"/>
    </row>
    <row r="4348" spans="1:27" ht="15">
      <c r="A4348" s="204"/>
      <c r="B4348" s="969" t="s">
        <v>1057</v>
      </c>
      <c r="C4348" s="969"/>
      <c r="D4348" s="969"/>
      <c r="E4348" s="969"/>
      <c r="F4348" s="969"/>
      <c r="G4348" s="969"/>
      <c r="H4348" s="969"/>
    </row>
    <row r="4349" spans="1:27" ht="14.25">
      <c r="A4349" s="204"/>
      <c r="B4349" s="885" t="s">
        <v>2059</v>
      </c>
      <c r="C4349" s="885"/>
      <c r="D4349" s="885"/>
      <c r="E4349" s="885"/>
      <c r="F4349" s="885"/>
      <c r="G4349" s="885"/>
      <c r="H4349" s="885"/>
    </row>
    <row r="4350" spans="1:27" ht="31.5">
      <c r="A4350" s="1"/>
      <c r="B4350" s="68" t="s">
        <v>2966</v>
      </c>
      <c r="C4350" s="68" t="s">
        <v>2967</v>
      </c>
      <c r="D4350" s="68" t="s">
        <v>2968</v>
      </c>
      <c r="E4350" s="68" t="s">
        <v>2969</v>
      </c>
      <c r="F4350" s="68" t="s">
        <v>2970</v>
      </c>
      <c r="G4350" s="68" t="s">
        <v>2971</v>
      </c>
      <c r="H4350" s="68" t="s">
        <v>1487</v>
      </c>
    </row>
    <row r="4351" spans="1:27" ht="17.25">
      <c r="A4351" s="27"/>
      <c r="B4351" s="889" t="s">
        <v>520</v>
      </c>
      <c r="C4351" s="80" t="s">
        <v>686</v>
      </c>
      <c r="D4351" s="42">
        <v>7</v>
      </c>
      <c r="E4351" s="53" t="s">
        <v>1490</v>
      </c>
      <c r="F4351" s="107" t="e">
        <f>#REF!</f>
        <v>#REF!</v>
      </c>
      <c r="G4351" s="107" t="e">
        <f t="shared" ref="G4351:G4357" si="81">FLOOR(D4351*F4351,0.01)</f>
        <v>#REF!</v>
      </c>
      <c r="H4351" s="108"/>
    </row>
    <row r="4352" spans="1:27" ht="17.25">
      <c r="A4352" s="1"/>
      <c r="B4352" s="942"/>
      <c r="C4352" s="78" t="s">
        <v>521</v>
      </c>
      <c r="D4352" s="43">
        <v>5</v>
      </c>
      <c r="E4352" s="56" t="s">
        <v>1490</v>
      </c>
      <c r="F4352" s="122" t="e">
        <f>#REF!</f>
        <v>#REF!</v>
      </c>
      <c r="G4352" s="116" t="e">
        <f t="shared" si="81"/>
        <v>#REF!</v>
      </c>
      <c r="H4352" s="123" t="e">
        <f>SUM(G4351+G4352)</f>
        <v>#REF!</v>
      </c>
    </row>
    <row r="4353" spans="1:8" ht="17.25">
      <c r="A4353" s="1"/>
      <c r="B4353" s="889" t="s">
        <v>2055</v>
      </c>
      <c r="C4353" s="80" t="s">
        <v>1058</v>
      </c>
      <c r="D4353" s="42">
        <v>35.51</v>
      </c>
      <c r="E4353" s="53" t="s">
        <v>2748</v>
      </c>
      <c r="F4353" s="116" t="e">
        <f>Jwarling</f>
        <v>#REF!</v>
      </c>
      <c r="G4353" s="110" t="e">
        <f t="shared" si="81"/>
        <v>#REF!</v>
      </c>
      <c r="H4353" s="121"/>
    </row>
    <row r="4354" spans="1:8" ht="28.5">
      <c r="A4354" s="1"/>
      <c r="B4354" s="947"/>
      <c r="C4354" s="207" t="s">
        <v>257</v>
      </c>
      <c r="D4354" s="42">
        <v>32.06</v>
      </c>
      <c r="E4354" s="53" t="s">
        <v>2748</v>
      </c>
      <c r="F4354" s="116" t="e">
        <f>$F$4355</f>
        <v>#REF!</v>
      </c>
      <c r="G4354" s="109" t="e">
        <f t="shared" si="81"/>
        <v>#REF!</v>
      </c>
      <c r="H4354" s="121"/>
    </row>
    <row r="4355" spans="1:8" ht="17.25">
      <c r="A4355" s="1"/>
      <c r="B4355" s="947"/>
      <c r="C4355" s="207" t="s">
        <v>256</v>
      </c>
      <c r="D4355" s="42">
        <v>25.19</v>
      </c>
      <c r="E4355" s="53" t="s">
        <v>2748</v>
      </c>
      <c r="F4355" s="116" t="e">
        <f>#REF!</f>
        <v>#REF!</v>
      </c>
      <c r="G4355" s="109" t="e">
        <f t="shared" si="81"/>
        <v>#REF!</v>
      </c>
      <c r="H4355" s="121"/>
    </row>
    <row r="4356" spans="1:8" ht="28.5">
      <c r="A4356" s="1"/>
      <c r="B4356" s="947"/>
      <c r="C4356" s="205" t="s">
        <v>259</v>
      </c>
      <c r="D4356" s="42">
        <v>14.76</v>
      </c>
      <c r="E4356" s="53" t="s">
        <v>2748</v>
      </c>
      <c r="F4356" s="116" t="e">
        <f>#REF!</f>
        <v>#REF!</v>
      </c>
      <c r="G4356" s="109" t="e">
        <f t="shared" si="81"/>
        <v>#REF!</v>
      </c>
      <c r="H4356" s="121"/>
    </row>
    <row r="4357" spans="1:8" ht="42.75">
      <c r="A4357" s="1"/>
      <c r="B4357" s="942"/>
      <c r="C4357" s="205" t="s">
        <v>258</v>
      </c>
      <c r="D4357" s="43">
        <v>10</v>
      </c>
      <c r="E4357" s="56" t="s">
        <v>2807</v>
      </c>
      <c r="F4357" s="122" t="e">
        <f>#REF!</f>
        <v>#REF!</v>
      </c>
      <c r="G4357" s="63" t="e">
        <f t="shared" si="81"/>
        <v>#REF!</v>
      </c>
      <c r="H4357" s="123" t="e">
        <f>SUM(G4353:G4357)</f>
        <v>#REF!</v>
      </c>
    </row>
    <row r="4358" spans="1:8" ht="18">
      <c r="A4358" s="1"/>
      <c r="B4358" s="208"/>
      <c r="C4358" s="203"/>
      <c r="D4358" s="209"/>
      <c r="E4358" s="210"/>
      <c r="F4358" s="211" t="s">
        <v>1062</v>
      </c>
      <c r="G4358" s="212"/>
      <c r="H4358" s="123" t="e">
        <f>H4357*0.15</f>
        <v>#REF!</v>
      </c>
    </row>
    <row r="4359" spans="1:8" ht="19.5">
      <c r="A4359" s="1"/>
      <c r="B4359" s="1"/>
      <c r="C4359" s="1"/>
      <c r="D4359" s="1"/>
      <c r="E4359" s="1"/>
      <c r="F4359" s="40" t="s">
        <v>1491</v>
      </c>
      <c r="G4359" s="102"/>
      <c r="H4359" s="63" t="e">
        <f>SUM(H4352:H4358)</f>
        <v>#REF!</v>
      </c>
    </row>
    <row r="4360" spans="1:8" ht="19.5">
      <c r="A4360" s="1"/>
      <c r="B4360" s="1" t="s">
        <v>1493</v>
      </c>
      <c r="C4360" s="1"/>
      <c r="D4360" s="1"/>
      <c r="E4360" s="1"/>
      <c r="F4360" s="40" t="s">
        <v>1471</v>
      </c>
      <c r="G4360" s="102"/>
      <c r="H4360" s="63" t="e">
        <f>FLOOR(H4359*0.15,0.01)</f>
        <v>#REF!</v>
      </c>
    </row>
    <row r="4361" spans="1:8" ht="19.5">
      <c r="A4361" s="27"/>
      <c r="B4361" s="140" t="e">
        <f>+H4361</f>
        <v>#REF!</v>
      </c>
      <c r="C4361" s="27" t="s">
        <v>3801</v>
      </c>
      <c r="D4361" s="99" t="e">
        <f>FLOOR(B4361/B4362,0.01)</f>
        <v>#REF!</v>
      </c>
      <c r="E4361" s="1" t="s">
        <v>3006</v>
      </c>
      <c r="F4361" s="40" t="s">
        <v>1494</v>
      </c>
      <c r="G4361" s="102"/>
      <c r="H4361" s="99" t="e">
        <f>SUM(H4359:H4360)</f>
        <v>#REF!</v>
      </c>
    </row>
    <row r="4362" spans="1:8" ht="19.5">
      <c r="A4362" s="27"/>
      <c r="B4362" s="88">
        <v>10</v>
      </c>
      <c r="C4362" s="27"/>
      <c r="D4362" s="141"/>
      <c r="E4362" s="1"/>
      <c r="F4362" s="40"/>
      <c r="G4362" s="102"/>
      <c r="H4362" s="141"/>
    </row>
    <row r="4363" spans="1:8" ht="19.5">
      <c r="A4363" s="27"/>
      <c r="B4363" s="88"/>
      <c r="C4363" s="1"/>
      <c r="D4363" s="1"/>
      <c r="E4363" s="1"/>
      <c r="F4363" s="40"/>
      <c r="G4363" s="102"/>
      <c r="H4363" s="141"/>
    </row>
    <row r="4364" spans="1:8" ht="18">
      <c r="A4364" s="138">
        <f>+A4345+1</f>
        <v>277</v>
      </c>
      <c r="B4364" s="973" t="s">
        <v>1054</v>
      </c>
      <c r="C4364" s="974"/>
      <c r="D4364" s="974"/>
      <c r="E4364" s="974"/>
      <c r="F4364" s="974"/>
      <c r="G4364" s="974"/>
      <c r="H4364" s="974"/>
    </row>
    <row r="4365" spans="1:8" ht="18">
      <c r="A4365" s="677" t="s">
        <v>3736</v>
      </c>
      <c r="B4365" s="975" t="s">
        <v>1055</v>
      </c>
      <c r="C4365" s="974"/>
      <c r="D4365" s="974"/>
      <c r="E4365" s="974"/>
      <c r="F4365" s="974"/>
      <c r="G4365" s="974"/>
      <c r="H4365" s="974"/>
    </row>
    <row r="4366" spans="1:8" ht="15">
      <c r="A4366" s="90"/>
      <c r="B4366" s="969" t="s">
        <v>1056</v>
      </c>
      <c r="C4366" s="969"/>
      <c r="D4366" s="969"/>
      <c r="E4366" s="969"/>
      <c r="F4366" s="969"/>
      <c r="G4366" s="969"/>
      <c r="H4366" s="969"/>
    </row>
    <row r="4367" spans="1:8" ht="15">
      <c r="A4367" s="204"/>
      <c r="B4367" s="969" t="s">
        <v>1057</v>
      </c>
      <c r="C4367" s="969"/>
      <c r="D4367" s="969"/>
      <c r="E4367" s="969"/>
      <c r="F4367" s="969"/>
      <c r="G4367" s="969"/>
      <c r="H4367" s="969"/>
    </row>
    <row r="4368" spans="1:8" ht="14.25">
      <c r="A4368" s="204"/>
      <c r="B4368" s="885" t="s">
        <v>2059</v>
      </c>
      <c r="C4368" s="885"/>
      <c r="D4368" s="885"/>
      <c r="E4368" s="885"/>
      <c r="F4368" s="885"/>
      <c r="G4368" s="885"/>
      <c r="H4368" s="885"/>
    </row>
    <row r="4369" spans="1:8" ht="31.5">
      <c r="A4369" s="1"/>
      <c r="B4369" s="68" t="s">
        <v>2966</v>
      </c>
      <c r="C4369" s="68" t="s">
        <v>2967</v>
      </c>
      <c r="D4369" s="68" t="s">
        <v>2968</v>
      </c>
      <c r="E4369" s="68" t="s">
        <v>2969</v>
      </c>
      <c r="F4369" s="68" t="s">
        <v>2970</v>
      </c>
      <c r="G4369" s="68" t="s">
        <v>2971</v>
      </c>
      <c r="H4369" s="68" t="s">
        <v>1487</v>
      </c>
    </row>
    <row r="4370" spans="1:8" ht="17.25">
      <c r="A4370" s="27"/>
      <c r="B4370" s="889" t="s">
        <v>520</v>
      </c>
      <c r="C4370" s="80" t="s">
        <v>686</v>
      </c>
      <c r="D4370" s="42">
        <v>7</v>
      </c>
      <c r="E4370" s="53" t="s">
        <v>1490</v>
      </c>
      <c r="F4370" s="107" t="e">
        <f>#REF!</f>
        <v>#REF!</v>
      </c>
      <c r="G4370" s="107" t="e">
        <f t="shared" ref="G4370:G4375" si="82">FLOOR(D4370*F4370,0.01)</f>
        <v>#REF!</v>
      </c>
      <c r="H4370" s="108"/>
    </row>
    <row r="4371" spans="1:8" ht="17.25">
      <c r="A4371" s="1"/>
      <c r="B4371" s="942"/>
      <c r="C4371" s="78" t="s">
        <v>521</v>
      </c>
      <c r="D4371" s="43">
        <v>5</v>
      </c>
      <c r="E4371" s="56" t="s">
        <v>1490</v>
      </c>
      <c r="F4371" s="122" t="e">
        <f>#REF!</f>
        <v>#REF!</v>
      </c>
      <c r="G4371" s="116" t="e">
        <f t="shared" si="82"/>
        <v>#REF!</v>
      </c>
      <c r="H4371" s="123" t="e">
        <f>SUM(G4370+G4371)</f>
        <v>#REF!</v>
      </c>
    </row>
    <row r="4372" spans="1:8" ht="17.25">
      <c r="A4372" s="1"/>
      <c r="B4372" s="889" t="s">
        <v>2055</v>
      </c>
      <c r="C4372" s="80" t="s">
        <v>1058</v>
      </c>
      <c r="D4372" s="42">
        <v>35.51</v>
      </c>
      <c r="E4372" s="53" t="s">
        <v>2748</v>
      </c>
      <c r="F4372" s="116" t="e">
        <f>Jparling</f>
        <v>#REF!</v>
      </c>
      <c r="G4372" s="110" t="e">
        <f t="shared" si="82"/>
        <v>#REF!</v>
      </c>
      <c r="H4372" s="121"/>
    </row>
    <row r="4373" spans="1:8" ht="28.5">
      <c r="A4373" s="1"/>
      <c r="B4373" s="947"/>
      <c r="C4373" s="207" t="s">
        <v>1059</v>
      </c>
      <c r="D4373" s="42">
        <v>32.06</v>
      </c>
      <c r="E4373" s="53" t="s">
        <v>2748</v>
      </c>
      <c r="F4373" s="116" t="e">
        <f>#REF!</f>
        <v>#REF!</v>
      </c>
      <c r="G4373" s="109" t="e">
        <f t="shared" si="82"/>
        <v>#REF!</v>
      </c>
      <c r="H4373" s="121"/>
    </row>
    <row r="4374" spans="1:8" ht="31.5">
      <c r="A4374" s="1"/>
      <c r="B4374" s="947"/>
      <c r="C4374" s="80" t="s">
        <v>1060</v>
      </c>
      <c r="D4374" s="42">
        <v>14.76</v>
      </c>
      <c r="E4374" s="53" t="s">
        <v>2748</v>
      </c>
      <c r="F4374" s="116" t="e">
        <f>$F$4356</f>
        <v>#REF!</v>
      </c>
      <c r="G4374" s="109" t="e">
        <f t="shared" si="82"/>
        <v>#REF!</v>
      </c>
      <c r="H4374" s="121"/>
    </row>
    <row r="4375" spans="1:8" ht="31.5">
      <c r="A4375" s="1"/>
      <c r="B4375" s="942"/>
      <c r="C4375" s="78" t="s">
        <v>1061</v>
      </c>
      <c r="D4375" s="43">
        <v>66.489999999999995</v>
      </c>
      <c r="E4375" s="56" t="s">
        <v>2748</v>
      </c>
      <c r="F4375" s="155" t="e">
        <f>#REF!</f>
        <v>#REF!</v>
      </c>
      <c r="G4375" s="63" t="e">
        <f t="shared" si="82"/>
        <v>#REF!</v>
      </c>
      <c r="H4375" s="123" t="e">
        <f>SUM(G4372:G4375)</f>
        <v>#REF!</v>
      </c>
    </row>
    <row r="4376" spans="1:8" ht="18">
      <c r="A4376" s="1"/>
      <c r="B4376" s="208"/>
      <c r="C4376" s="203"/>
      <c r="D4376" s="209"/>
      <c r="E4376" s="210"/>
      <c r="F4376" s="211" t="s">
        <v>1062</v>
      </c>
      <c r="G4376" s="212"/>
      <c r="H4376" s="123" t="e">
        <f>H4375*0.15</f>
        <v>#REF!</v>
      </c>
    </row>
    <row r="4377" spans="1:8" ht="19.5">
      <c r="A4377" s="1"/>
      <c r="B4377" s="1"/>
      <c r="C4377" s="1"/>
      <c r="D4377" s="1"/>
      <c r="E4377" s="1"/>
      <c r="F4377" s="40" t="s">
        <v>1491</v>
      </c>
      <c r="G4377" s="102"/>
      <c r="H4377" s="63" t="e">
        <f>SUM(H4371:H4376)</f>
        <v>#REF!</v>
      </c>
    </row>
    <row r="4378" spans="1:8" ht="19.5">
      <c r="A4378" s="1"/>
      <c r="B4378" s="1" t="s">
        <v>1493</v>
      </c>
      <c r="C4378" s="1"/>
      <c r="D4378" s="1"/>
      <c r="E4378" s="1"/>
      <c r="F4378" s="40" t="s">
        <v>1471</v>
      </c>
      <c r="G4378" s="102"/>
      <c r="H4378" s="63" t="e">
        <f>FLOOR(H4377*0.15,0.01)</f>
        <v>#REF!</v>
      </c>
    </row>
    <row r="4379" spans="1:8" ht="19.5">
      <c r="A4379" s="27"/>
      <c r="B4379" s="140" t="e">
        <f>+H4379</f>
        <v>#REF!</v>
      </c>
      <c r="C4379" s="27" t="s">
        <v>3801</v>
      </c>
      <c r="D4379" s="99" t="e">
        <f>B4379/B4380</f>
        <v>#REF!</v>
      </c>
      <c r="E4379" s="1" t="s">
        <v>3006</v>
      </c>
      <c r="F4379" s="40" t="s">
        <v>1494</v>
      </c>
      <c r="G4379" s="102"/>
      <c r="H4379" s="99" t="e">
        <f>SUM(H4377:H4378)</f>
        <v>#REF!</v>
      </c>
    </row>
    <row r="4380" spans="1:8" ht="19.5">
      <c r="A4380" s="27"/>
      <c r="B4380" s="88">
        <v>10</v>
      </c>
      <c r="C4380" s="27"/>
      <c r="D4380" s="141"/>
      <c r="E4380" s="1"/>
      <c r="F4380" s="40"/>
      <c r="G4380" s="102"/>
      <c r="H4380" s="141"/>
    </row>
    <row r="4381" spans="1:8" ht="19.5">
      <c r="A4381" s="27"/>
      <c r="B4381" s="88"/>
      <c r="C4381" s="27"/>
      <c r="D4381" s="141"/>
      <c r="E4381" s="1"/>
      <c r="F4381" s="40"/>
      <c r="G4381" s="102"/>
      <c r="H4381" s="141"/>
    </row>
    <row r="4382" spans="1:8" ht="17.25">
      <c r="B4382" s="141"/>
      <c r="C4382" s="27"/>
      <c r="D4382" s="141"/>
      <c r="E4382" s="1"/>
      <c r="F4382" s="40"/>
      <c r="G4382" s="40"/>
      <c r="H4382" s="141"/>
    </row>
    <row r="4383" spans="1:8" ht="15">
      <c r="A4383" s="260">
        <f>A4364+1</f>
        <v>278</v>
      </c>
      <c r="B4383" s="966" t="s">
        <v>3445</v>
      </c>
      <c r="C4383" s="967"/>
      <c r="D4383" s="967"/>
      <c r="E4383" s="967"/>
      <c r="F4383" s="967"/>
      <c r="G4383" s="967"/>
      <c r="H4383" s="967"/>
    </row>
    <row r="4384" spans="1:8" ht="27.75" customHeight="1">
      <c r="A4384" s="677"/>
      <c r="B4384" s="966"/>
      <c r="C4384" s="967"/>
      <c r="D4384" s="967"/>
      <c r="E4384" s="967"/>
      <c r="F4384" s="967"/>
      <c r="G4384" s="967"/>
      <c r="H4384" s="967"/>
    </row>
    <row r="4385" spans="1:8" ht="15">
      <c r="A4385" s="3"/>
      <c r="B4385" s="885" t="s">
        <v>155</v>
      </c>
      <c r="C4385" s="885"/>
      <c r="D4385" s="885"/>
      <c r="E4385" s="885"/>
      <c r="F4385" s="885"/>
      <c r="G4385" s="885"/>
      <c r="H4385" s="885"/>
    </row>
    <row r="4386" spans="1:8" ht="31.5">
      <c r="A4386" s="1"/>
      <c r="B4386" s="68" t="s">
        <v>2966</v>
      </c>
      <c r="C4386" s="68" t="s">
        <v>2967</v>
      </c>
      <c r="D4386" s="68" t="s">
        <v>2968</v>
      </c>
      <c r="E4386" s="68" t="s">
        <v>2969</v>
      </c>
      <c r="F4386" s="68" t="s">
        <v>2970</v>
      </c>
      <c r="G4386" s="68" t="s">
        <v>2971</v>
      </c>
      <c r="H4386" s="68" t="s">
        <v>1487</v>
      </c>
    </row>
    <row r="4387" spans="1:8" ht="78.75">
      <c r="A4387" s="1"/>
      <c r="B4387" s="593" t="s">
        <v>2055</v>
      </c>
      <c r="C4387" s="68" t="s">
        <v>3446</v>
      </c>
      <c r="D4387" s="44">
        <v>1</v>
      </c>
      <c r="E4387" s="64" t="s">
        <v>2605</v>
      </c>
      <c r="F4387" s="99" t="e">
        <f>#REF!</f>
        <v>#REF!</v>
      </c>
      <c r="G4387" s="99" t="e">
        <f>FLOOR(D4387*F4387,0.01)</f>
        <v>#REF!</v>
      </c>
      <c r="H4387" s="155" t="e">
        <f>SUM(G4387:G4387)</f>
        <v>#REF!</v>
      </c>
    </row>
    <row r="4388" spans="1:8" ht="19.5">
      <c r="A4388" s="1"/>
      <c r="B4388" s="1"/>
      <c r="C4388" s="1"/>
      <c r="D4388" s="1"/>
      <c r="E4388" s="1"/>
      <c r="F4388" s="40" t="s">
        <v>1491</v>
      </c>
      <c r="G4388" s="102"/>
      <c r="H4388" s="63" t="e">
        <f>SUM(H4386:H4387)</f>
        <v>#REF!</v>
      </c>
    </row>
    <row r="4389" spans="1:8" ht="19.5">
      <c r="A4389" s="1"/>
      <c r="B4389" s="1" t="s">
        <v>3757</v>
      </c>
      <c r="C4389" s="1"/>
      <c r="D4389" s="1"/>
      <c r="E4389" s="1"/>
      <c r="F4389" s="40" t="s">
        <v>1471</v>
      </c>
      <c r="G4389" s="102"/>
      <c r="H4389" s="99" t="e">
        <f>FLOOR(H4388*0.15,0.01)</f>
        <v>#REF!</v>
      </c>
    </row>
    <row r="4390" spans="1:8" ht="19.5">
      <c r="A4390" s="27" t="s">
        <v>3005</v>
      </c>
      <c r="B4390" s="99" t="e">
        <f>+H4390</f>
        <v>#REF!</v>
      </c>
      <c r="C4390" s="1" t="s">
        <v>3006</v>
      </c>
      <c r="D4390" s="141"/>
      <c r="E4390" s="1"/>
      <c r="F4390" s="40" t="s">
        <v>1494</v>
      </c>
      <c r="G4390" s="102"/>
      <c r="H4390" s="99" t="e">
        <f>SUM(H4388:H4389)</f>
        <v>#REF!</v>
      </c>
    </row>
    <row r="4391" spans="1:8" ht="18">
      <c r="A4391" s="1"/>
      <c r="B4391" s="117"/>
      <c r="C4391" s="1"/>
      <c r="D4391" s="1"/>
      <c r="E4391" s="1"/>
      <c r="F4391" s="1"/>
      <c r="G4391" s="2"/>
      <c r="H4391" s="2"/>
    </row>
    <row r="4392" spans="1:8" ht="15">
      <c r="A4392" s="260">
        <f>A4383+1</f>
        <v>279</v>
      </c>
      <c r="B4392" s="966" t="s">
        <v>3447</v>
      </c>
      <c r="C4392" s="967"/>
      <c r="D4392" s="967"/>
      <c r="E4392" s="967"/>
      <c r="F4392" s="967"/>
      <c r="G4392" s="967"/>
      <c r="H4392" s="967"/>
    </row>
    <row r="4393" spans="1:8" ht="42.75" customHeight="1">
      <c r="A4393" s="677" t="s">
        <v>83</v>
      </c>
      <c r="B4393" s="966"/>
      <c r="C4393" s="967"/>
      <c r="D4393" s="967"/>
      <c r="E4393" s="967"/>
      <c r="F4393" s="967"/>
      <c r="G4393" s="967"/>
      <c r="H4393" s="967"/>
    </row>
    <row r="4394" spans="1:8" ht="15">
      <c r="A4394" s="3"/>
      <c r="B4394" s="879" t="s">
        <v>2653</v>
      </c>
      <c r="C4394" s="879"/>
      <c r="D4394" s="879"/>
      <c r="E4394" s="879"/>
      <c r="F4394" s="879"/>
      <c r="G4394" s="879"/>
      <c r="H4394" s="879"/>
    </row>
    <row r="4395" spans="1:8" ht="31.5">
      <c r="A4395" s="1"/>
      <c r="B4395" s="68" t="s">
        <v>2966</v>
      </c>
      <c r="C4395" s="68" t="s">
        <v>2967</v>
      </c>
      <c r="D4395" s="68" t="s">
        <v>2968</v>
      </c>
      <c r="E4395" s="68" t="s">
        <v>2969</v>
      </c>
      <c r="F4395" s="68" t="s">
        <v>2970</v>
      </c>
      <c r="G4395" s="68" t="s">
        <v>2971</v>
      </c>
      <c r="H4395" s="68" t="s">
        <v>1487</v>
      </c>
    </row>
    <row r="4396" spans="1:8" ht="17.25">
      <c r="A4396" s="27"/>
      <c r="B4396" s="889" t="s">
        <v>520</v>
      </c>
      <c r="C4396" s="80" t="s">
        <v>686</v>
      </c>
      <c r="D4396" s="42">
        <v>7.78</v>
      </c>
      <c r="E4396" s="53" t="s">
        <v>1490</v>
      </c>
      <c r="F4396" s="107" t="e">
        <f>#REF!</f>
        <v>#REF!</v>
      </c>
      <c r="G4396" s="107" t="e">
        <f>FLOOR(D4396*F4396,0.01)</f>
        <v>#REF!</v>
      </c>
      <c r="H4396" s="108"/>
    </row>
    <row r="4397" spans="1:8" ht="17.25">
      <c r="A4397" s="1"/>
      <c r="B4397" s="942"/>
      <c r="C4397" s="78" t="s">
        <v>521</v>
      </c>
      <c r="D4397" s="43">
        <v>11.35</v>
      </c>
      <c r="E4397" s="56" t="s">
        <v>1490</v>
      </c>
      <c r="F4397" s="122" t="e">
        <f>#REF!</f>
        <v>#REF!</v>
      </c>
      <c r="G4397" s="116" t="e">
        <f>FLOOR(D4397*F4397,0.01)</f>
        <v>#REF!</v>
      </c>
      <c r="H4397" s="123" t="e">
        <f>SUM(G4396+G4397)</f>
        <v>#REF!</v>
      </c>
    </row>
    <row r="4398" spans="1:8" ht="31.5">
      <c r="A4398" s="1"/>
      <c r="B4398" s="889" t="s">
        <v>2055</v>
      </c>
      <c r="C4398" s="58" t="s">
        <v>3524</v>
      </c>
      <c r="D4398" s="41">
        <v>15.49</v>
      </c>
      <c r="E4398" s="55" t="s">
        <v>2881</v>
      </c>
      <c r="F4398" s="107" t="e">
        <f>#REF!</f>
        <v>#REF!</v>
      </c>
      <c r="G4398" s="110" t="e">
        <f>FLOOR(D4398*F4398,0.01)</f>
        <v>#REF!</v>
      </c>
      <c r="H4398" s="121"/>
    </row>
    <row r="4399" spans="1:8" ht="28.5">
      <c r="A4399" s="1"/>
      <c r="B4399" s="947"/>
      <c r="C4399" s="207" t="s">
        <v>3448</v>
      </c>
      <c r="D4399" s="42">
        <v>20</v>
      </c>
      <c r="E4399" s="53" t="s">
        <v>2881</v>
      </c>
      <c r="F4399" s="116" t="e">
        <f>#REF!</f>
        <v>#REF!</v>
      </c>
      <c r="G4399" s="109" t="e">
        <f>FLOOR(D4399*F4399,0.01)</f>
        <v>#REF!</v>
      </c>
      <c r="H4399" s="121"/>
    </row>
    <row r="4400" spans="1:8" ht="63">
      <c r="A4400" s="1"/>
      <c r="B4400" s="942"/>
      <c r="C4400" s="197" t="s">
        <v>3523</v>
      </c>
      <c r="D4400" s="659" t="s">
        <v>2810</v>
      </c>
      <c r="E4400" s="56" t="s">
        <v>2808</v>
      </c>
      <c r="F4400" s="122">
        <v>0</v>
      </c>
      <c r="G4400" s="63">
        <v>500</v>
      </c>
      <c r="H4400" s="123" t="e">
        <f>SUM(G4398:G4400)</f>
        <v>#REF!</v>
      </c>
    </row>
    <row r="4401" spans="1:8" ht="19.5">
      <c r="A4401" s="1"/>
      <c r="B4401" s="1"/>
      <c r="C4401" s="1"/>
      <c r="D4401" s="1"/>
      <c r="E4401" s="1"/>
      <c r="F4401" s="40" t="s">
        <v>1491</v>
      </c>
      <c r="G4401" s="102"/>
      <c r="H4401" s="63" t="e">
        <f>SUM(H4397:H4400)</f>
        <v>#REF!</v>
      </c>
    </row>
    <row r="4402" spans="1:8" ht="19.5">
      <c r="A4402" s="1"/>
      <c r="B4402" s="1" t="s">
        <v>1493</v>
      </c>
      <c r="C4402" s="1"/>
      <c r="D4402" s="1"/>
      <c r="E4402" s="1"/>
      <c r="F4402" s="40" t="s">
        <v>1471</v>
      </c>
      <c r="G4402" s="102"/>
      <c r="H4402" s="63" t="e">
        <f>FLOOR(H4401*0.15,0.01)</f>
        <v>#REF!</v>
      </c>
    </row>
    <row r="4403" spans="1:8" ht="19.5">
      <c r="A4403" s="27"/>
      <c r="B4403" s="140" t="e">
        <f>+H4403</f>
        <v>#REF!</v>
      </c>
      <c r="C4403" s="27" t="s">
        <v>3801</v>
      </c>
      <c r="D4403" s="99" t="e">
        <f>FLOOR(B4403/B4404,0.01)</f>
        <v>#REF!</v>
      </c>
      <c r="E4403" s="1" t="s">
        <v>3006</v>
      </c>
      <c r="F4403" s="40" t="s">
        <v>1494</v>
      </c>
      <c r="G4403" s="102"/>
      <c r="H4403" s="99" t="e">
        <f>SUM(H4401:H4402)</f>
        <v>#REF!</v>
      </c>
    </row>
    <row r="4404" spans="1:8" ht="19.5">
      <c r="A4404" s="27"/>
      <c r="B4404" s="88">
        <v>9.15</v>
      </c>
      <c r="C4404" s="27"/>
      <c r="D4404" s="141"/>
      <c r="E4404" s="1"/>
      <c r="F4404" s="40"/>
      <c r="G4404" s="102"/>
      <c r="H4404" s="141"/>
    </row>
    <row r="4405" spans="1:8" ht="19.5">
      <c r="A4405" s="27"/>
      <c r="B4405" s="88"/>
      <c r="C4405" s="27"/>
      <c r="D4405" s="141"/>
      <c r="E4405" s="1"/>
      <c r="F4405" s="40"/>
      <c r="G4405" s="102"/>
      <c r="H4405" s="141"/>
    </row>
    <row r="4406" spans="1:8" ht="19.5">
      <c r="A4406" s="27"/>
      <c r="B4406" s="88"/>
      <c r="C4406" s="27"/>
      <c r="D4406" s="141"/>
      <c r="E4406" s="1"/>
      <c r="F4406" s="40"/>
      <c r="G4406" s="102"/>
      <c r="H4406" s="141"/>
    </row>
    <row r="4407" spans="1:8" ht="19.5">
      <c r="A4407" s="27"/>
      <c r="B4407" s="88"/>
      <c r="C4407" s="27"/>
      <c r="D4407" s="141"/>
      <c r="E4407" s="1"/>
      <c r="F4407" s="40"/>
      <c r="G4407" s="102"/>
      <c r="H4407" s="141"/>
    </row>
    <row r="4408" spans="1:8" ht="15">
      <c r="A4408" s="260">
        <f>A4392+1</f>
        <v>280</v>
      </c>
      <c r="B4408" s="966" t="s">
        <v>3738</v>
      </c>
      <c r="C4408" s="967"/>
      <c r="D4408" s="967"/>
      <c r="E4408" s="967"/>
      <c r="F4408" s="967"/>
      <c r="G4408" s="967"/>
      <c r="H4408" s="967"/>
    </row>
    <row r="4409" spans="1:8" ht="41.25" customHeight="1">
      <c r="A4409" s="677" t="s">
        <v>3737</v>
      </c>
      <c r="B4409" s="966"/>
      <c r="C4409" s="967"/>
      <c r="D4409" s="967"/>
      <c r="E4409" s="967"/>
      <c r="F4409" s="967"/>
      <c r="G4409" s="967"/>
      <c r="H4409" s="967"/>
    </row>
    <row r="4410" spans="1:8" ht="15">
      <c r="A4410" s="3"/>
      <c r="B4410" s="879" t="s">
        <v>3449</v>
      </c>
      <c r="C4410" s="879"/>
      <c r="D4410" s="879"/>
      <c r="E4410" s="879"/>
      <c r="F4410" s="879"/>
      <c r="G4410" s="879"/>
      <c r="H4410" s="879"/>
    </row>
    <row r="4411" spans="1:8" ht="31.5">
      <c r="A4411" s="1"/>
      <c r="B4411" s="68" t="s">
        <v>2966</v>
      </c>
      <c r="C4411" s="68" t="s">
        <v>2967</v>
      </c>
      <c r="D4411" s="68" t="s">
        <v>2968</v>
      </c>
      <c r="E4411" s="68" t="s">
        <v>2969</v>
      </c>
      <c r="F4411" s="68" t="s">
        <v>2970</v>
      </c>
      <c r="G4411" s="68" t="s">
        <v>2971</v>
      </c>
      <c r="H4411" s="68" t="s">
        <v>1487</v>
      </c>
    </row>
    <row r="4412" spans="1:8" ht="17.25">
      <c r="A4412" s="27"/>
      <c r="B4412" s="889" t="s">
        <v>520</v>
      </c>
      <c r="C4412" s="80" t="s">
        <v>686</v>
      </c>
      <c r="D4412" s="42">
        <v>5.27</v>
      </c>
      <c r="E4412" s="53" t="s">
        <v>1490</v>
      </c>
      <c r="F4412" s="107" t="e">
        <f>#REF!</f>
        <v>#REF!</v>
      </c>
      <c r="G4412" s="107" t="e">
        <f>FLOOR(D4412*F4412,0.01)</f>
        <v>#REF!</v>
      </c>
      <c r="H4412" s="108"/>
    </row>
    <row r="4413" spans="1:8" ht="17.25">
      <c r="A4413" s="1"/>
      <c r="B4413" s="942"/>
      <c r="C4413" s="78" t="s">
        <v>521</v>
      </c>
      <c r="D4413" s="43">
        <v>0.52</v>
      </c>
      <c r="E4413" s="56" t="s">
        <v>1490</v>
      </c>
      <c r="F4413" s="122" t="e">
        <f>#REF!</f>
        <v>#REF!</v>
      </c>
      <c r="G4413" s="116" t="e">
        <f>FLOOR(D4413*F4413,0.01)</f>
        <v>#REF!</v>
      </c>
      <c r="H4413" s="123" t="e">
        <f>SUM(G4412+G4413)</f>
        <v>#REF!</v>
      </c>
    </row>
    <row r="4414" spans="1:8" ht="15.75">
      <c r="A4414" s="1"/>
      <c r="B4414" s="68" t="s">
        <v>2055</v>
      </c>
      <c r="C4414" s="68" t="s">
        <v>3454</v>
      </c>
      <c r="D4414" s="652">
        <v>0.32900000000000001</v>
      </c>
      <c r="E4414" s="66" t="s">
        <v>2232</v>
      </c>
      <c r="F4414" s="101" t="e">
        <f>#REF!</f>
        <v>#REF!</v>
      </c>
      <c r="G4414" s="126" t="e">
        <f>FLOOR(D4414*F4414,0.01)</f>
        <v>#REF!</v>
      </c>
      <c r="H4414" s="123" t="e">
        <f>SUM(G4414:G4414)</f>
        <v>#REF!</v>
      </c>
    </row>
    <row r="4415" spans="1:8" ht="19.5">
      <c r="A4415" s="1"/>
      <c r="B4415" s="1"/>
      <c r="C4415" s="1"/>
      <c r="D4415" s="1"/>
      <c r="E4415" s="1"/>
      <c r="F4415" s="40" t="s">
        <v>1491</v>
      </c>
      <c r="G4415" s="102"/>
      <c r="H4415" s="63" t="e">
        <f>SUM(H4413:H4414)</f>
        <v>#REF!</v>
      </c>
    </row>
    <row r="4416" spans="1:8" ht="19.5">
      <c r="A4416" s="1"/>
      <c r="B4416" s="1" t="s">
        <v>1493</v>
      </c>
      <c r="C4416" s="1"/>
      <c r="D4416" s="1"/>
      <c r="E4416" s="1"/>
      <c r="F4416" s="40" t="s">
        <v>1471</v>
      </c>
      <c r="G4416" s="102"/>
      <c r="H4416" s="63" t="e">
        <f>FLOOR(H4415*0.15,0.01)</f>
        <v>#REF!</v>
      </c>
    </row>
    <row r="4417" spans="1:8" ht="19.5">
      <c r="A4417" s="27"/>
      <c r="B4417" s="140" t="e">
        <f>+H4417</f>
        <v>#REF!</v>
      </c>
      <c r="C4417" s="27" t="s">
        <v>3801</v>
      </c>
      <c r="D4417" s="99" t="e">
        <f>FLOOR(B4417/B4418,0.01)</f>
        <v>#REF!</v>
      </c>
      <c r="E4417" s="1" t="s">
        <v>3006</v>
      </c>
      <c r="F4417" s="40" t="s">
        <v>1494</v>
      </c>
      <c r="G4417" s="102"/>
      <c r="H4417" s="99" t="e">
        <f>SUM(H4415:H4416)</f>
        <v>#REF!</v>
      </c>
    </row>
    <row r="4418" spans="1:8" ht="19.5">
      <c r="A4418" s="27"/>
      <c r="B4418" s="88">
        <v>9</v>
      </c>
      <c r="C4418" s="27"/>
      <c r="D4418" s="141"/>
      <c r="E4418" s="1"/>
      <c r="F4418" s="40"/>
      <c r="G4418" s="102"/>
      <c r="H4418" s="141"/>
    </row>
    <row r="4419" spans="1:8" ht="19.5">
      <c r="A4419" s="27"/>
      <c r="B4419" s="88"/>
      <c r="C4419" s="27"/>
      <c r="D4419" s="141"/>
      <c r="E4419" s="1"/>
      <c r="F4419" s="40"/>
      <c r="G4419" s="102"/>
      <c r="H4419" s="141"/>
    </row>
    <row r="4420" spans="1:8" ht="19.5">
      <c r="A4420" s="27"/>
      <c r="B4420" s="88"/>
      <c r="C4420" s="27"/>
      <c r="D4420" s="141"/>
      <c r="E4420" s="1"/>
      <c r="F4420" s="40"/>
      <c r="G4420" s="102"/>
      <c r="H4420" s="141"/>
    </row>
    <row r="4421" spans="1:8" ht="19.5">
      <c r="A4421" s="27"/>
      <c r="B4421" s="88"/>
      <c r="C4421" s="27"/>
      <c r="D4421" s="141"/>
      <c r="E4421" s="1"/>
      <c r="F4421" s="40"/>
      <c r="G4421" s="102"/>
      <c r="H4421" s="141"/>
    </row>
    <row r="4422" spans="1:8" ht="19.5">
      <c r="A4422" s="27"/>
      <c r="B4422" s="88"/>
      <c r="C4422" s="27"/>
      <c r="D4422" s="141"/>
      <c r="E4422" s="1"/>
      <c r="F4422" s="40"/>
      <c r="G4422" s="102"/>
      <c r="H4422" s="141"/>
    </row>
    <row r="4423" spans="1:8" ht="15">
      <c r="A4423" s="260">
        <f>A4408+1</f>
        <v>281</v>
      </c>
      <c r="B4423" s="966" t="s">
        <v>3455</v>
      </c>
      <c r="C4423" s="967"/>
      <c r="D4423" s="967"/>
      <c r="E4423" s="967"/>
      <c r="F4423" s="967"/>
      <c r="G4423" s="967"/>
      <c r="H4423" s="967"/>
    </row>
    <row r="4424" spans="1:8" ht="39" customHeight="1">
      <c r="A4424" s="677" t="s">
        <v>3737</v>
      </c>
      <c r="B4424" s="966"/>
      <c r="C4424" s="967"/>
      <c r="D4424" s="967"/>
      <c r="E4424" s="967"/>
      <c r="F4424" s="967"/>
      <c r="G4424" s="967"/>
      <c r="H4424" s="967"/>
    </row>
    <row r="4425" spans="1:8" ht="15">
      <c r="A4425" s="3"/>
      <c r="B4425" s="879" t="s">
        <v>3449</v>
      </c>
      <c r="C4425" s="879"/>
      <c r="D4425" s="879"/>
      <c r="E4425" s="879"/>
      <c r="F4425" s="879"/>
      <c r="G4425" s="879"/>
      <c r="H4425" s="879"/>
    </row>
    <row r="4426" spans="1:8" ht="31.5">
      <c r="A4426" s="1"/>
      <c r="B4426" s="68" t="s">
        <v>2966</v>
      </c>
      <c r="C4426" s="68" t="s">
        <v>2967</v>
      </c>
      <c r="D4426" s="68" t="s">
        <v>2968</v>
      </c>
      <c r="E4426" s="68" t="s">
        <v>2969</v>
      </c>
      <c r="F4426" s="68" t="s">
        <v>2970</v>
      </c>
      <c r="G4426" s="68" t="s">
        <v>2971</v>
      </c>
      <c r="H4426" s="68" t="s">
        <v>1487</v>
      </c>
    </row>
    <row r="4427" spans="1:8" ht="17.25">
      <c r="A4427" s="27"/>
      <c r="B4427" s="889" t="s">
        <v>520</v>
      </c>
      <c r="C4427" s="80" t="s">
        <v>686</v>
      </c>
      <c r="D4427" s="42">
        <v>5.27</v>
      </c>
      <c r="E4427" s="53" t="s">
        <v>1490</v>
      </c>
      <c r="F4427" s="107" t="e">
        <f>#REF!</f>
        <v>#REF!</v>
      </c>
      <c r="G4427" s="107" t="e">
        <f>FLOOR(D4427*F4427,0.01)</f>
        <v>#REF!</v>
      </c>
      <c r="H4427" s="108"/>
    </row>
    <row r="4428" spans="1:8" ht="17.25">
      <c r="A4428" s="1"/>
      <c r="B4428" s="942"/>
      <c r="C4428" s="78" t="s">
        <v>521</v>
      </c>
      <c r="D4428" s="43">
        <v>0.52</v>
      </c>
      <c r="E4428" s="56" t="s">
        <v>1490</v>
      </c>
      <c r="F4428" s="122" t="e">
        <f>#REF!</f>
        <v>#REF!</v>
      </c>
      <c r="G4428" s="116" t="e">
        <f>FLOOR(D4428*F4428,0.01)</f>
        <v>#REF!</v>
      </c>
      <c r="H4428" s="123" t="e">
        <f>SUM(G4427+G4428)</f>
        <v>#REF!</v>
      </c>
    </row>
    <row r="4429" spans="1:8" ht="15.75">
      <c r="A4429" s="1"/>
      <c r="B4429" s="68" t="s">
        <v>2055</v>
      </c>
      <c r="C4429" s="68" t="s">
        <v>2878</v>
      </c>
      <c r="D4429" s="652">
        <v>0.32900000000000001</v>
      </c>
      <c r="E4429" s="66" t="s">
        <v>2232</v>
      </c>
      <c r="F4429" s="101" t="e">
        <f>Swood</f>
        <v>#REF!</v>
      </c>
      <c r="G4429" s="126" t="e">
        <f>FLOOR(D4429*F4429,0.01)</f>
        <v>#REF!</v>
      </c>
      <c r="H4429" s="123" t="e">
        <f>SUM(G4429:G4429)</f>
        <v>#REF!</v>
      </c>
    </row>
    <row r="4430" spans="1:8" ht="19.5">
      <c r="A4430" s="1"/>
      <c r="B4430" s="1"/>
      <c r="C4430" s="1"/>
      <c r="D4430" s="1"/>
      <c r="E4430" s="1"/>
      <c r="F4430" s="40" t="s">
        <v>1491</v>
      </c>
      <c r="G4430" s="102"/>
      <c r="H4430" s="63" t="e">
        <f>SUM(H4428:H4429)</f>
        <v>#REF!</v>
      </c>
    </row>
    <row r="4431" spans="1:8" ht="19.5">
      <c r="A4431" s="1"/>
      <c r="B4431" s="1" t="s">
        <v>1493</v>
      </c>
      <c r="C4431" s="1"/>
      <c r="D4431" s="1"/>
      <c r="E4431" s="1"/>
      <c r="F4431" s="40" t="s">
        <v>1471</v>
      </c>
      <c r="G4431" s="102"/>
      <c r="H4431" s="63" t="e">
        <f>FLOOR(H4430*0.15,0.01)</f>
        <v>#REF!</v>
      </c>
    </row>
    <row r="4432" spans="1:8" ht="19.5">
      <c r="A4432" s="27"/>
      <c r="B4432" s="140" t="e">
        <f>+H4432</f>
        <v>#REF!</v>
      </c>
      <c r="C4432" s="27" t="s">
        <v>3801</v>
      </c>
      <c r="D4432" s="99" t="e">
        <f>FLOOR(B4432/B4433,0.01)</f>
        <v>#REF!</v>
      </c>
      <c r="E4432" s="1" t="s">
        <v>3006</v>
      </c>
      <c r="F4432" s="40" t="s">
        <v>1494</v>
      </c>
      <c r="G4432" s="102"/>
      <c r="H4432" s="99" t="e">
        <f>SUM(H4430:H4431)</f>
        <v>#REF!</v>
      </c>
    </row>
    <row r="4433" spans="1:8" ht="19.5">
      <c r="A4433" s="27"/>
      <c r="B4433" s="88">
        <v>9</v>
      </c>
      <c r="C4433" s="27"/>
      <c r="D4433" s="141"/>
      <c r="E4433" s="1"/>
      <c r="F4433" s="40"/>
      <c r="G4433" s="102"/>
      <c r="H4433" s="141"/>
    </row>
    <row r="4434" spans="1:8" ht="19.5">
      <c r="A4434" s="27"/>
      <c r="B4434" s="88"/>
      <c r="C4434" s="27"/>
      <c r="D4434" s="141"/>
      <c r="E4434" s="1"/>
      <c r="F4434" s="40"/>
      <c r="G4434" s="102"/>
      <c r="H4434" s="141"/>
    </row>
    <row r="4435" spans="1:8" ht="15">
      <c r="A4435" s="260">
        <f>A4423+1</f>
        <v>282</v>
      </c>
      <c r="B4435" s="966" t="s">
        <v>3452</v>
      </c>
      <c r="C4435" s="967"/>
      <c r="D4435" s="967"/>
      <c r="E4435" s="967"/>
      <c r="F4435" s="967"/>
      <c r="G4435" s="967"/>
      <c r="H4435" s="967"/>
    </row>
    <row r="4436" spans="1:8" ht="14.25">
      <c r="A4436" s="677" t="s">
        <v>3739</v>
      </c>
      <c r="B4436" s="966"/>
      <c r="C4436" s="967"/>
      <c r="D4436" s="967"/>
      <c r="E4436" s="967"/>
      <c r="F4436" s="967"/>
      <c r="G4436" s="967"/>
      <c r="H4436" s="967"/>
    </row>
    <row r="4437" spans="1:8" ht="15">
      <c r="A4437" s="3"/>
      <c r="B4437" s="879" t="s">
        <v>3450</v>
      </c>
      <c r="C4437" s="879"/>
      <c r="D4437" s="879"/>
      <c r="E4437" s="879"/>
      <c r="F4437" s="879"/>
      <c r="G4437" s="879"/>
      <c r="H4437" s="879"/>
    </row>
    <row r="4438" spans="1:8" ht="31.5">
      <c r="A4438" s="1"/>
      <c r="B4438" s="68" t="s">
        <v>2966</v>
      </c>
      <c r="C4438" s="68" t="s">
        <v>2967</v>
      </c>
      <c r="D4438" s="68" t="s">
        <v>2968</v>
      </c>
      <c r="E4438" s="68" t="s">
        <v>2969</v>
      </c>
      <c r="F4438" s="68" t="s">
        <v>2970</v>
      </c>
      <c r="G4438" s="68" t="s">
        <v>2971</v>
      </c>
      <c r="H4438" s="68" t="s">
        <v>1487</v>
      </c>
    </row>
    <row r="4439" spans="1:8" ht="78.75">
      <c r="A4439" s="1"/>
      <c r="B4439" s="593" t="s">
        <v>2055</v>
      </c>
      <c r="C4439" s="68" t="s">
        <v>3451</v>
      </c>
      <c r="D4439" s="44">
        <v>1</v>
      </c>
      <c r="E4439" s="64" t="s">
        <v>2605</v>
      </c>
      <c r="F4439" s="99" t="e">
        <f>#REF!</f>
        <v>#REF!</v>
      </c>
      <c r="G4439" s="99" t="e">
        <f>FLOOR(D4439*F4439,0.01)</f>
        <v>#REF!</v>
      </c>
      <c r="H4439" s="155" t="e">
        <f>SUM(G4439:G4439)</f>
        <v>#REF!</v>
      </c>
    </row>
    <row r="4440" spans="1:8" ht="19.5">
      <c r="A4440" s="1"/>
      <c r="B4440" s="1"/>
      <c r="C4440" s="1"/>
      <c r="D4440" s="1"/>
      <c r="E4440" s="1"/>
      <c r="F4440" s="40" t="s">
        <v>1491</v>
      </c>
      <c r="G4440" s="102"/>
      <c r="H4440" s="63" t="e">
        <f>SUM(H4438:H4439)</f>
        <v>#REF!</v>
      </c>
    </row>
    <row r="4441" spans="1:8" ht="19.5">
      <c r="A4441" s="1"/>
      <c r="B4441" s="1" t="s">
        <v>3453</v>
      </c>
      <c r="C4441" s="1"/>
      <c r="D4441" s="1"/>
      <c r="E4441" s="1"/>
      <c r="F4441" s="40" t="s">
        <v>1471</v>
      </c>
      <c r="G4441" s="102"/>
      <c r="H4441" s="99" t="e">
        <f>FLOOR(H4440*0.15,0.01)</f>
        <v>#REF!</v>
      </c>
    </row>
    <row r="4442" spans="1:8" ht="19.5">
      <c r="A4442" s="27" t="s">
        <v>3005</v>
      </c>
      <c r="B4442" s="99" t="e">
        <f>+H4442</f>
        <v>#REF!</v>
      </c>
      <c r="C4442" s="1" t="s">
        <v>3006</v>
      </c>
      <c r="D4442" s="141"/>
      <c r="E4442" s="1"/>
      <c r="F4442" s="40" t="s">
        <v>1494</v>
      </c>
      <c r="G4442" s="102"/>
      <c r="H4442" s="99" t="e">
        <f>SUM(H4440:H4441)</f>
        <v>#REF!</v>
      </c>
    </row>
    <row r="4443" spans="1:8" ht="18">
      <c r="A4443" s="1"/>
      <c r="B4443" s="117"/>
      <c r="C4443" s="1"/>
      <c r="D4443" s="1"/>
      <c r="E4443" s="1"/>
      <c r="F4443" s="1"/>
      <c r="G4443" s="2"/>
      <c r="H4443" s="2"/>
    </row>
    <row r="4444" spans="1:8" ht="18">
      <c r="A4444" s="1"/>
      <c r="B4444" s="117"/>
      <c r="C4444" s="1"/>
      <c r="D4444" s="1"/>
      <c r="E4444" s="1"/>
      <c r="F4444" s="1"/>
      <c r="G4444" s="2"/>
      <c r="H4444" s="2"/>
    </row>
    <row r="4445" spans="1:8" ht="18">
      <c r="A4445" s="1"/>
      <c r="B4445" s="117"/>
      <c r="C4445" s="1"/>
      <c r="D4445" s="1"/>
      <c r="E4445" s="1"/>
      <c r="F4445" s="1"/>
      <c r="G4445" s="2"/>
      <c r="H4445" s="2"/>
    </row>
    <row r="4446" spans="1:8" ht="18">
      <c r="A4446" s="1"/>
      <c r="B4446" s="117"/>
      <c r="C4446" s="1"/>
      <c r="D4446" s="1"/>
      <c r="E4446" s="1"/>
      <c r="F4446" s="1"/>
      <c r="G4446" s="2"/>
      <c r="H4446" s="2"/>
    </row>
    <row r="4447" spans="1:8" ht="18">
      <c r="A4447" s="1"/>
      <c r="B4447" s="117"/>
      <c r="C4447" s="1"/>
      <c r="D4447" s="1"/>
      <c r="E4447" s="1"/>
      <c r="F4447" s="1"/>
      <c r="G4447" s="2"/>
      <c r="H4447" s="2"/>
    </row>
    <row r="4448" spans="1:8" ht="18">
      <c r="A4448" s="1"/>
      <c r="B4448" s="1"/>
      <c r="C4448" s="1"/>
      <c r="D4448" s="446"/>
      <c r="E4448" s="1"/>
      <c r="F4448" s="1"/>
      <c r="G4448" s="1"/>
      <c r="H4448" s="1"/>
    </row>
    <row r="4449" spans="1:8" ht="19.5">
      <c r="A4449" s="1"/>
      <c r="B4449" s="878"/>
      <c r="C4449" s="878"/>
      <c r="D4449" s="878"/>
      <c r="E4449" s="878"/>
      <c r="F4449" s="878"/>
      <c r="G4449" s="878"/>
      <c r="H4449" s="878"/>
    </row>
    <row r="4450" spans="1:8" ht="20.25">
      <c r="A4450" s="260">
        <f>A4435+1</f>
        <v>283</v>
      </c>
      <c r="B4450" s="877" t="s">
        <v>3458</v>
      </c>
      <c r="C4450" s="878"/>
      <c r="D4450" s="878"/>
      <c r="E4450" s="878"/>
      <c r="F4450" s="878"/>
      <c r="G4450" s="878"/>
      <c r="H4450" s="878"/>
    </row>
    <row r="4451" spans="1:8" ht="19.5">
      <c r="A4451" s="677" t="s">
        <v>3740</v>
      </c>
      <c r="B4451" s="877" t="s">
        <v>3459</v>
      </c>
      <c r="C4451" s="878"/>
      <c r="D4451" s="878"/>
      <c r="E4451" s="878"/>
      <c r="F4451" s="878"/>
      <c r="G4451" s="878"/>
      <c r="H4451" s="878"/>
    </row>
    <row r="4452" spans="1:8" ht="15">
      <c r="A4452" s="1"/>
      <c r="B4452" s="939" t="s">
        <v>2454</v>
      </c>
      <c r="C4452" s="939"/>
      <c r="D4452" s="939"/>
      <c r="E4452" s="939"/>
      <c r="F4452" s="939"/>
      <c r="G4452" s="939"/>
      <c r="H4452" s="939"/>
    </row>
    <row r="4453" spans="1:8" ht="31.5">
      <c r="A4453" s="1"/>
      <c r="B4453" s="68" t="s">
        <v>2966</v>
      </c>
      <c r="C4453" s="68" t="s">
        <v>2967</v>
      </c>
      <c r="D4453" s="68" t="s">
        <v>2968</v>
      </c>
      <c r="E4453" s="68" t="s">
        <v>2969</v>
      </c>
      <c r="F4453" s="68" t="s">
        <v>2970</v>
      </c>
      <c r="G4453" s="68" t="s">
        <v>2971</v>
      </c>
      <c r="H4453" s="68" t="s">
        <v>1487</v>
      </c>
    </row>
    <row r="4454" spans="1:8" ht="17.25">
      <c r="A4454" s="1"/>
      <c r="B4454" s="889" t="s">
        <v>1488</v>
      </c>
      <c r="C4454" s="58" t="s">
        <v>516</v>
      </c>
      <c r="D4454" s="41">
        <v>1.8</v>
      </c>
      <c r="E4454" s="55" t="s">
        <v>1490</v>
      </c>
      <c r="F4454" s="107" t="e">
        <f>#REF!</f>
        <v>#REF!</v>
      </c>
      <c r="G4454" s="107" t="e">
        <f>FLOOR(D4454*F4454,0.01)</f>
        <v>#REF!</v>
      </c>
      <c r="H4454" s="108"/>
    </row>
    <row r="4455" spans="1:8" ht="17.25">
      <c r="A4455" s="1"/>
      <c r="B4455" s="887"/>
      <c r="C4455" s="56" t="s">
        <v>1433</v>
      </c>
      <c r="D4455" s="43">
        <v>1.5</v>
      </c>
      <c r="E4455" s="56" t="s">
        <v>1490</v>
      </c>
      <c r="F4455" s="122" t="e">
        <f>#REF!</f>
        <v>#REF!</v>
      </c>
      <c r="G4455" s="63" t="e">
        <f>FLOOR(D4455*F4455,0.01)</f>
        <v>#REF!</v>
      </c>
      <c r="H4455" s="121" t="e">
        <f>SUM(G4454+G4455)</f>
        <v>#REF!</v>
      </c>
    </row>
    <row r="4456" spans="1:8" ht="17.25">
      <c r="A4456" s="1"/>
      <c r="B4456" s="886" t="s">
        <v>2055</v>
      </c>
      <c r="C4456" s="55" t="s">
        <v>3457</v>
      </c>
      <c r="D4456" s="41">
        <v>0.26</v>
      </c>
      <c r="E4456" s="55" t="s">
        <v>2232</v>
      </c>
      <c r="F4456" s="110" t="e">
        <f>#REF!</f>
        <v>#REF!</v>
      </c>
      <c r="G4456" s="110" t="e">
        <f>FLOOR(D4456*F4456,0.01)</f>
        <v>#REF!</v>
      </c>
      <c r="H4456" s="84"/>
    </row>
    <row r="4457" spans="1:8" ht="17.25">
      <c r="A4457" s="1"/>
      <c r="B4457" s="890"/>
      <c r="C4457" s="53" t="s">
        <v>2010</v>
      </c>
      <c r="D4457" s="42">
        <v>0.4</v>
      </c>
      <c r="E4457" s="53" t="s">
        <v>2748</v>
      </c>
      <c r="F4457" s="109" t="e">
        <f>#REF!</f>
        <v>#REF!</v>
      </c>
      <c r="G4457" s="109" t="e">
        <f>FLOOR(D4457*F4457,0.01)</f>
        <v>#REF!</v>
      </c>
      <c r="H4457" s="9"/>
    </row>
    <row r="4458" spans="1:8" ht="17.25">
      <c r="A4458" s="1"/>
      <c r="B4458" s="887"/>
      <c r="C4458" s="56" t="s">
        <v>3456</v>
      </c>
      <c r="D4458" s="243">
        <v>160</v>
      </c>
      <c r="E4458" s="56" t="s">
        <v>1429</v>
      </c>
      <c r="F4458" s="63" t="e">
        <f>pkila</f>
        <v>#REF!</v>
      </c>
      <c r="G4458" s="63" t="e">
        <f>FLOOR(D4458*F4458,0.01)</f>
        <v>#REF!</v>
      </c>
      <c r="H4458" s="123" t="e">
        <f>SUM(G4456:G4458)</f>
        <v>#REF!</v>
      </c>
    </row>
    <row r="4459" spans="1:8" ht="17.25">
      <c r="A4459" s="1"/>
      <c r="B4459" s="1"/>
      <c r="C4459" s="1"/>
      <c r="D4459" s="1"/>
      <c r="E4459" s="1"/>
      <c r="F4459" s="40" t="s">
        <v>1491</v>
      </c>
      <c r="G4459" s="40"/>
      <c r="H4459" s="63" t="e">
        <f>SUM(H4455:H4458)</f>
        <v>#REF!</v>
      </c>
    </row>
    <row r="4460" spans="1:8" ht="17.25">
      <c r="A4460" s="1"/>
      <c r="B4460" s="1" t="s">
        <v>1493</v>
      </c>
      <c r="C4460" s="1"/>
      <c r="D4460" s="1"/>
      <c r="E4460" s="1"/>
      <c r="F4460" s="40" t="s">
        <v>1472</v>
      </c>
      <c r="G4460" s="40"/>
      <c r="H4460" s="99" t="e">
        <f>FLOOR(H4459*0.15,0.01)</f>
        <v>#REF!</v>
      </c>
    </row>
    <row r="4461" spans="1:8" ht="17.25">
      <c r="B4461" s="140" t="e">
        <f>+H4461</f>
        <v>#REF!</v>
      </c>
      <c r="C4461" s="27" t="s">
        <v>3801</v>
      </c>
      <c r="D4461" s="99" t="e">
        <f>INT(B4461/B4462*100)/100</f>
        <v>#REF!</v>
      </c>
      <c r="E4461" s="1" t="s">
        <v>3006</v>
      </c>
      <c r="F4461" s="40" t="s">
        <v>1494</v>
      </c>
      <c r="G4461" s="40"/>
      <c r="H4461" s="99" t="e">
        <f>SUM(H4459:H4460)</f>
        <v>#REF!</v>
      </c>
    </row>
    <row r="4462" spans="1:8" ht="20.25">
      <c r="A4462" s="1"/>
      <c r="B4462" s="88">
        <v>10</v>
      </c>
      <c r="C4462" s="1"/>
      <c r="D4462" s="1"/>
      <c r="E4462" s="1"/>
      <c r="F4462" s="36"/>
      <c r="G4462" s="36"/>
      <c r="H4462" s="36"/>
    </row>
    <row r="4463" spans="1:8" ht="18">
      <c r="A4463" s="1"/>
      <c r="B4463" s="1"/>
      <c r="C4463" s="1"/>
      <c r="D4463" s="446"/>
      <c r="E4463" s="1"/>
      <c r="F4463" s="1"/>
      <c r="G4463" s="1"/>
      <c r="H4463" s="1"/>
    </row>
    <row r="4464" spans="1:8" ht="16.5">
      <c r="A4464" s="260">
        <f>A4450+1</f>
        <v>284</v>
      </c>
      <c r="B4464" s="1"/>
      <c r="C4464" s="1"/>
      <c r="D4464" s="1"/>
      <c r="E4464" s="1"/>
      <c r="F4464" s="1"/>
      <c r="G4464" s="1"/>
      <c r="H4464" s="1"/>
    </row>
    <row r="4465" spans="1:8" ht="19.5">
      <c r="A4465" s="677" t="s">
        <v>3741</v>
      </c>
      <c r="B4465" s="877" t="s">
        <v>3463</v>
      </c>
      <c r="C4465" s="878"/>
      <c r="D4465" s="878"/>
      <c r="E4465" s="878"/>
      <c r="F4465" s="878"/>
      <c r="G4465" s="878"/>
      <c r="H4465" s="878"/>
    </row>
    <row r="4466" spans="1:8" ht="15">
      <c r="A4466" s="1"/>
      <c r="B4466" s="939" t="s">
        <v>2454</v>
      </c>
      <c r="C4466" s="939"/>
      <c r="D4466" s="939"/>
      <c r="E4466" s="939"/>
      <c r="F4466" s="939"/>
      <c r="G4466" s="939"/>
      <c r="H4466" s="939"/>
    </row>
    <row r="4467" spans="1:8" ht="31.5">
      <c r="A4467" s="1"/>
      <c r="B4467" s="68" t="s">
        <v>2966</v>
      </c>
      <c r="C4467" s="68" t="s">
        <v>2967</v>
      </c>
      <c r="D4467" s="68" t="s">
        <v>2968</v>
      </c>
      <c r="E4467" s="68" t="s">
        <v>2969</v>
      </c>
      <c r="F4467" s="68" t="s">
        <v>2970</v>
      </c>
      <c r="G4467" s="68" t="s">
        <v>2971</v>
      </c>
      <c r="H4467" s="68" t="s">
        <v>1487</v>
      </c>
    </row>
    <row r="4468" spans="1:8" ht="17.25">
      <c r="A4468" s="1"/>
      <c r="B4468" s="889" t="s">
        <v>1488</v>
      </c>
      <c r="C4468" s="58" t="s">
        <v>516</v>
      </c>
      <c r="D4468" s="41">
        <v>2</v>
      </c>
      <c r="E4468" s="55" t="s">
        <v>1490</v>
      </c>
      <c r="F4468" s="107" t="e">
        <f>#REF!</f>
        <v>#REF!</v>
      </c>
      <c r="G4468" s="107" t="e">
        <f t="shared" ref="G4468:G4474" si="83">FLOOR(D4468*F4468,0.01)</f>
        <v>#REF!</v>
      </c>
      <c r="H4468" s="108"/>
    </row>
    <row r="4469" spans="1:8" ht="17.25">
      <c r="A4469" s="1"/>
      <c r="B4469" s="887"/>
      <c r="C4469" s="56" t="s">
        <v>1433</v>
      </c>
      <c r="D4469" s="43">
        <v>2</v>
      </c>
      <c r="E4469" s="56" t="s">
        <v>1490</v>
      </c>
      <c r="F4469" s="122" t="e">
        <f>#REF!</f>
        <v>#REF!</v>
      </c>
      <c r="G4469" s="63" t="e">
        <f t="shared" si="83"/>
        <v>#REF!</v>
      </c>
      <c r="H4469" s="121" t="e">
        <f>SUM(G4468+G4469)</f>
        <v>#REF!</v>
      </c>
    </row>
    <row r="4470" spans="1:8" ht="17.25">
      <c r="A4470" s="1"/>
      <c r="B4470" s="886" t="s">
        <v>2055</v>
      </c>
      <c r="C4470" s="224" t="s">
        <v>3464</v>
      </c>
      <c r="D4470" s="46">
        <v>10.5</v>
      </c>
      <c r="E4470" s="55" t="s">
        <v>2807</v>
      </c>
      <c r="F4470" s="110" t="e">
        <f>#REF!</f>
        <v>#REF!</v>
      </c>
      <c r="G4470" s="110" t="e">
        <f t="shared" si="83"/>
        <v>#REF!</v>
      </c>
      <c r="H4470" s="84"/>
    </row>
    <row r="4471" spans="1:8" ht="17.25">
      <c r="A4471" s="1"/>
      <c r="B4471" s="894"/>
      <c r="C4471" s="53" t="s">
        <v>3576</v>
      </c>
      <c r="D4471" s="52">
        <v>0.03</v>
      </c>
      <c r="E4471" s="53" t="s">
        <v>2232</v>
      </c>
      <c r="F4471" s="109" t="e">
        <f>#REF!</f>
        <v>#REF!</v>
      </c>
      <c r="G4471" s="109" t="e">
        <f t="shared" si="83"/>
        <v>#REF!</v>
      </c>
      <c r="H4471" s="86"/>
    </row>
    <row r="4472" spans="1:8" ht="17.25">
      <c r="A4472" s="1"/>
      <c r="B4472" s="894"/>
      <c r="C4472" s="53" t="s">
        <v>3460</v>
      </c>
      <c r="D4472" s="52">
        <v>70</v>
      </c>
      <c r="E4472" s="53" t="s">
        <v>1429</v>
      </c>
      <c r="F4472" s="109" t="e">
        <f>#REF!</f>
        <v>#REF!</v>
      </c>
      <c r="G4472" s="109" t="e">
        <f t="shared" si="83"/>
        <v>#REF!</v>
      </c>
      <c r="H4472" s="86"/>
    </row>
    <row r="4473" spans="1:8" ht="17.25">
      <c r="A4473" s="1"/>
      <c r="B4473" s="890"/>
      <c r="C4473" s="53" t="s">
        <v>3461</v>
      </c>
      <c r="D4473" s="52">
        <v>160</v>
      </c>
      <c r="E4473" s="53" t="s">
        <v>1429</v>
      </c>
      <c r="F4473" s="109" t="e">
        <f>#REF!</f>
        <v>#REF!</v>
      </c>
      <c r="G4473" s="109" t="e">
        <f t="shared" si="83"/>
        <v>#REF!</v>
      </c>
      <c r="H4473" s="9"/>
    </row>
    <row r="4474" spans="1:8" ht="17.25">
      <c r="A4474" s="1"/>
      <c r="B4474" s="887"/>
      <c r="C4474" s="56" t="s">
        <v>3462</v>
      </c>
      <c r="D4474" s="43">
        <v>0.36</v>
      </c>
      <c r="E4474" s="56" t="s">
        <v>2748</v>
      </c>
      <c r="F4474" s="63" t="e">
        <f>#REF!</f>
        <v>#REF!</v>
      </c>
      <c r="G4474" s="63" t="e">
        <f t="shared" si="83"/>
        <v>#REF!</v>
      </c>
      <c r="H4474" s="123" t="e">
        <f>SUM(G4470:G4474)</f>
        <v>#REF!</v>
      </c>
    </row>
    <row r="4475" spans="1:8" ht="17.25">
      <c r="A4475" s="1"/>
      <c r="B4475" s="1"/>
      <c r="C4475" s="1"/>
      <c r="D4475" s="1"/>
      <c r="E4475" s="1"/>
      <c r="F4475" s="40" t="s">
        <v>1491</v>
      </c>
      <c r="G4475" s="40"/>
      <c r="H4475" s="63" t="e">
        <f>SUM(H4469:H4474)</f>
        <v>#REF!</v>
      </c>
    </row>
    <row r="4476" spans="1:8" ht="17.25">
      <c r="A4476" s="1"/>
      <c r="B4476" s="1" t="s">
        <v>1493</v>
      </c>
      <c r="C4476" s="1"/>
      <c r="D4476" s="1"/>
      <c r="E4476" s="1"/>
      <c r="F4476" s="40" t="s">
        <v>1472</v>
      </c>
      <c r="G4476" s="40"/>
      <c r="H4476" s="99" t="e">
        <f>FLOOR(H4475*0.15,0.01)</f>
        <v>#REF!</v>
      </c>
    </row>
    <row r="4477" spans="1:8" ht="17.25">
      <c r="B4477" s="140" t="e">
        <f>+H4477</f>
        <v>#REF!</v>
      </c>
      <c r="C4477" s="27" t="s">
        <v>3801</v>
      </c>
      <c r="D4477" s="99" t="e">
        <f>INT(B4477/B4478*100)/100</f>
        <v>#REF!</v>
      </c>
      <c r="E4477" s="1" t="s">
        <v>3006</v>
      </c>
      <c r="F4477" s="40" t="s">
        <v>1494</v>
      </c>
      <c r="G4477" s="40"/>
      <c r="H4477" s="99" t="e">
        <f>SUM(H4475:H4476)</f>
        <v>#REF!</v>
      </c>
    </row>
    <row r="4478" spans="1:8" ht="20.25">
      <c r="A4478" s="1"/>
      <c r="B4478" s="88">
        <v>10</v>
      </c>
      <c r="C4478" s="1"/>
      <c r="D4478" s="1"/>
      <c r="E4478" s="1"/>
      <c r="F4478" s="36"/>
      <c r="G4478" s="36"/>
      <c r="H4478" s="36"/>
    </row>
    <row r="4479" spans="1:8" ht="20.25">
      <c r="A4479" s="1"/>
      <c r="B4479" s="88"/>
      <c r="C4479" s="1"/>
      <c r="D4479" s="1"/>
      <c r="E4479" s="1"/>
      <c r="F4479" s="36"/>
      <c r="G4479" s="36"/>
      <c r="H4479" s="36"/>
    </row>
    <row r="4480" spans="1:8" ht="20.25">
      <c r="A4480" s="260">
        <f>A4464+1</f>
        <v>285</v>
      </c>
      <c r="B4480" s="877" t="s">
        <v>3467</v>
      </c>
      <c r="C4480" s="878"/>
      <c r="D4480" s="878"/>
      <c r="E4480" s="878"/>
      <c r="F4480" s="878"/>
      <c r="G4480" s="878"/>
      <c r="H4480" s="878"/>
    </row>
    <row r="4481" spans="1:8" ht="19.5">
      <c r="A4481" s="677" t="s">
        <v>3742</v>
      </c>
      <c r="B4481" s="653" t="s">
        <v>3468</v>
      </c>
      <c r="C4481" s="1"/>
      <c r="D4481" s="1"/>
      <c r="E4481" s="1"/>
      <c r="F4481" s="1"/>
      <c r="G4481" s="1"/>
      <c r="H4481" s="1"/>
    </row>
    <row r="4482" spans="1:8" ht="15">
      <c r="A4482" s="1"/>
      <c r="B4482" s="939" t="s">
        <v>3465</v>
      </c>
      <c r="C4482" s="939"/>
      <c r="D4482" s="939"/>
      <c r="E4482" s="939"/>
      <c r="F4482" s="939"/>
      <c r="G4482" s="939"/>
      <c r="H4482" s="939"/>
    </row>
    <row r="4483" spans="1:8" ht="31.5">
      <c r="A4483" s="1"/>
      <c r="B4483" s="68" t="s">
        <v>2966</v>
      </c>
      <c r="C4483" s="68" t="s">
        <v>2967</v>
      </c>
      <c r="D4483" s="68" t="s">
        <v>2968</v>
      </c>
      <c r="E4483" s="68" t="s">
        <v>2969</v>
      </c>
      <c r="F4483" s="68" t="s">
        <v>2970</v>
      </c>
      <c r="G4483" s="68" t="s">
        <v>2971</v>
      </c>
      <c r="H4483" s="68" t="s">
        <v>1487</v>
      </c>
    </row>
    <row r="4484" spans="1:8" ht="17.25">
      <c r="A4484" s="1"/>
      <c r="B4484" s="889" t="s">
        <v>1488</v>
      </c>
      <c r="C4484" s="58" t="s">
        <v>516</v>
      </c>
      <c r="D4484" s="41">
        <v>23</v>
      </c>
      <c r="E4484" s="55" t="s">
        <v>1490</v>
      </c>
      <c r="F4484" s="107" t="e">
        <f>#REF!</f>
        <v>#REF!</v>
      </c>
      <c r="G4484" s="107" t="e">
        <f>FLOOR(D4484*F4484,0.01)</f>
        <v>#REF!</v>
      </c>
      <c r="H4484" s="108"/>
    </row>
    <row r="4485" spans="1:8" ht="17.25">
      <c r="A4485" s="1"/>
      <c r="B4485" s="887"/>
      <c r="C4485" s="56" t="s">
        <v>1433</v>
      </c>
      <c r="D4485" s="43">
        <v>2.2999999999999998</v>
      </c>
      <c r="E4485" s="56" t="s">
        <v>1490</v>
      </c>
      <c r="F4485" s="122" t="e">
        <f>#REF!</f>
        <v>#REF!</v>
      </c>
      <c r="G4485" s="63" t="e">
        <f>FLOOR(D4485*F4485,0.01)</f>
        <v>#REF!</v>
      </c>
      <c r="H4485" s="121" t="e">
        <f>SUM(G4484+G4485)</f>
        <v>#REF!</v>
      </c>
    </row>
    <row r="4486" spans="1:8" ht="17.25">
      <c r="A4486" s="1"/>
      <c r="B4486" s="886" t="s">
        <v>2055</v>
      </c>
      <c r="C4486" s="55" t="s">
        <v>1932</v>
      </c>
      <c r="D4486" s="46">
        <v>0.35</v>
      </c>
      <c r="E4486" s="55" t="s">
        <v>2232</v>
      </c>
      <c r="F4486" s="110" t="e">
        <f>awood</f>
        <v>#REF!</v>
      </c>
      <c r="G4486" s="110" t="e">
        <f>FLOOR(D4486*F4486,0.01)</f>
        <v>#REF!</v>
      </c>
      <c r="H4486" s="84"/>
    </row>
    <row r="4487" spans="1:8" ht="17.25">
      <c r="A4487" s="1"/>
      <c r="B4487" s="894"/>
      <c r="C4487" s="53" t="s">
        <v>3353</v>
      </c>
      <c r="D4487" s="52">
        <v>75</v>
      </c>
      <c r="E4487" s="53" t="s">
        <v>2807</v>
      </c>
      <c r="F4487" s="109" t="e">
        <f>plywood4</f>
        <v>#REF!</v>
      </c>
      <c r="G4487" s="109" t="e">
        <f>FLOOR(D4487*F4487,0.01)</f>
        <v>#REF!</v>
      </c>
      <c r="H4487" s="86"/>
    </row>
    <row r="4488" spans="1:8" ht="17.25">
      <c r="A4488" s="1"/>
      <c r="B4488" s="894"/>
      <c r="C4488" s="53" t="s">
        <v>3466</v>
      </c>
      <c r="D4488" s="53" t="s">
        <v>2810</v>
      </c>
      <c r="E4488" s="53" t="s">
        <v>2808</v>
      </c>
      <c r="F4488" s="109">
        <v>1250</v>
      </c>
      <c r="G4488" s="109">
        <f>F4488</f>
        <v>1250</v>
      </c>
      <c r="H4488" s="86"/>
    </row>
    <row r="4489" spans="1:8" ht="17.25">
      <c r="A4489" s="1"/>
      <c r="B4489" s="887"/>
      <c r="C4489" s="56" t="s">
        <v>2010</v>
      </c>
      <c r="D4489" s="56" t="s">
        <v>2810</v>
      </c>
      <c r="E4489" s="56" t="s">
        <v>2808</v>
      </c>
      <c r="F4489" s="63">
        <v>125</v>
      </c>
      <c r="G4489" s="63">
        <f>F4489</f>
        <v>125</v>
      </c>
      <c r="H4489" s="123" t="e">
        <f>SUM(G4486:G4489)</f>
        <v>#REF!</v>
      </c>
    </row>
    <row r="4490" spans="1:8" ht="17.25">
      <c r="A4490" s="1"/>
      <c r="B4490" s="1"/>
      <c r="C4490" s="1"/>
      <c r="D4490" s="1"/>
      <c r="E4490" s="1"/>
      <c r="F4490" s="40" t="s">
        <v>1491</v>
      </c>
      <c r="G4490" s="40"/>
      <c r="H4490" s="63" t="e">
        <f>SUM(H4485:H4489)</f>
        <v>#REF!</v>
      </c>
    </row>
    <row r="4491" spans="1:8" ht="17.25">
      <c r="A4491" s="1"/>
      <c r="B4491" s="1" t="s">
        <v>1493</v>
      </c>
      <c r="C4491" s="1"/>
      <c r="D4491" s="1"/>
      <c r="E4491" s="1"/>
      <c r="F4491" s="40" t="s">
        <v>1472</v>
      </c>
      <c r="G4491" s="40"/>
      <c r="H4491" s="99" t="e">
        <f>FLOOR(H4490*0.15,0.01)</f>
        <v>#REF!</v>
      </c>
    </row>
    <row r="4492" spans="1:8" ht="17.25">
      <c r="B4492" s="140" t="e">
        <f>+H4492</f>
        <v>#REF!</v>
      </c>
      <c r="C4492" s="27" t="s">
        <v>3801</v>
      </c>
      <c r="D4492" s="99" t="e">
        <f>INT(B4492/B4493*100)/100</f>
        <v>#REF!</v>
      </c>
      <c r="E4492" s="1" t="s">
        <v>3006</v>
      </c>
      <c r="F4492" s="40" t="s">
        <v>1494</v>
      </c>
      <c r="G4492" s="40"/>
      <c r="H4492" s="99" t="e">
        <f>SUM(H4490:H4491)</f>
        <v>#REF!</v>
      </c>
    </row>
    <row r="4493" spans="1:8" ht="20.25">
      <c r="A4493" s="1"/>
      <c r="B4493" s="88">
        <v>35.58</v>
      </c>
      <c r="C4493" s="1"/>
      <c r="D4493" s="1"/>
      <c r="E4493" s="1"/>
      <c r="F4493" s="36"/>
      <c r="G4493" s="36"/>
      <c r="H4493" s="36"/>
    </row>
    <row r="4494" spans="1:8" ht="20.25">
      <c r="A4494" s="1"/>
      <c r="B4494" s="88"/>
      <c r="C4494" s="1"/>
      <c r="D4494" s="1"/>
      <c r="E4494" s="1"/>
      <c r="F4494" s="36"/>
      <c r="G4494" s="36"/>
      <c r="H4494" s="36"/>
    </row>
    <row r="4495" spans="1:8" ht="20.25">
      <c r="A4495" s="260">
        <f>A4480+1</f>
        <v>286</v>
      </c>
      <c r="B4495" s="877" t="s">
        <v>3467</v>
      </c>
      <c r="C4495" s="878"/>
      <c r="D4495" s="878"/>
      <c r="E4495" s="878"/>
      <c r="F4495" s="878"/>
      <c r="G4495" s="878"/>
      <c r="H4495" s="878"/>
    </row>
    <row r="4496" spans="1:8" ht="19.5">
      <c r="A4496" s="677" t="s">
        <v>3743</v>
      </c>
      <c r="B4496" s="653" t="s">
        <v>3469</v>
      </c>
      <c r="C4496" s="1"/>
      <c r="D4496" s="1"/>
      <c r="E4496" s="1"/>
      <c r="F4496" s="1"/>
      <c r="G4496" s="1"/>
      <c r="H4496" s="1"/>
    </row>
    <row r="4497" spans="1:8" ht="15">
      <c r="A4497" s="1"/>
      <c r="B4497" s="939" t="s">
        <v>3465</v>
      </c>
      <c r="C4497" s="939"/>
      <c r="D4497" s="939"/>
      <c r="E4497" s="939"/>
      <c r="F4497" s="939"/>
      <c r="G4497" s="939"/>
      <c r="H4497" s="939"/>
    </row>
    <row r="4498" spans="1:8" ht="31.5">
      <c r="A4498" s="1"/>
      <c r="B4498" s="68" t="s">
        <v>2966</v>
      </c>
      <c r="C4498" s="68" t="s">
        <v>2967</v>
      </c>
      <c r="D4498" s="68" t="s">
        <v>2968</v>
      </c>
      <c r="E4498" s="68" t="s">
        <v>2969</v>
      </c>
      <c r="F4498" s="68" t="s">
        <v>2970</v>
      </c>
      <c r="G4498" s="68" t="s">
        <v>2971</v>
      </c>
      <c r="H4498" s="68" t="s">
        <v>1487</v>
      </c>
    </row>
    <row r="4499" spans="1:8" ht="17.25">
      <c r="A4499" s="1"/>
      <c r="B4499" s="889" t="s">
        <v>1488</v>
      </c>
      <c r="C4499" s="58" t="s">
        <v>516</v>
      </c>
      <c r="D4499" s="41">
        <v>30</v>
      </c>
      <c r="E4499" s="55" t="s">
        <v>1490</v>
      </c>
      <c r="F4499" s="107" t="e">
        <f>#REF!</f>
        <v>#REF!</v>
      </c>
      <c r="G4499" s="107" t="e">
        <f>FLOOR(D4499*F4499,0.01)</f>
        <v>#REF!</v>
      </c>
      <c r="H4499" s="108"/>
    </row>
    <row r="4500" spans="1:8" ht="17.25">
      <c r="A4500" s="1"/>
      <c r="B4500" s="887"/>
      <c r="C4500" s="56" t="s">
        <v>1433</v>
      </c>
      <c r="D4500" s="43">
        <v>3</v>
      </c>
      <c r="E4500" s="56" t="s">
        <v>1490</v>
      </c>
      <c r="F4500" s="122" t="e">
        <f>#REF!</f>
        <v>#REF!</v>
      </c>
      <c r="G4500" s="63" t="e">
        <f>FLOOR(D4500*F4500,0.01)</f>
        <v>#REF!</v>
      </c>
      <c r="H4500" s="121" t="e">
        <f>SUM(G4499+G4500)</f>
        <v>#REF!</v>
      </c>
    </row>
    <row r="4501" spans="1:8" ht="17.25">
      <c r="A4501" s="1"/>
      <c r="B4501" s="886" t="s">
        <v>2055</v>
      </c>
      <c r="C4501" s="55" t="s">
        <v>1932</v>
      </c>
      <c r="D4501" s="46">
        <v>1.7669999999999999</v>
      </c>
      <c r="E4501" s="55" t="s">
        <v>2232</v>
      </c>
      <c r="F4501" s="110" t="e">
        <f>awood</f>
        <v>#REF!</v>
      </c>
      <c r="G4501" s="110" t="e">
        <f>FLOOR(D4501*F4501,0.01)</f>
        <v>#REF!</v>
      </c>
      <c r="H4501" s="84"/>
    </row>
    <row r="4502" spans="1:8" ht="17.25">
      <c r="A4502" s="1"/>
      <c r="B4502" s="894"/>
      <c r="C4502" s="53" t="s">
        <v>3466</v>
      </c>
      <c r="D4502" s="53" t="s">
        <v>2810</v>
      </c>
      <c r="E4502" s="53" t="s">
        <v>2808</v>
      </c>
      <c r="F4502" s="109">
        <v>1250</v>
      </c>
      <c r="G4502" s="109">
        <f>F4502</f>
        <v>1250</v>
      </c>
      <c r="H4502" s="86"/>
    </row>
    <row r="4503" spans="1:8" ht="17.25">
      <c r="A4503" s="1"/>
      <c r="B4503" s="887"/>
      <c r="C4503" s="56" t="s">
        <v>2010</v>
      </c>
      <c r="D4503" s="56" t="s">
        <v>2810</v>
      </c>
      <c r="E4503" s="56" t="s">
        <v>2808</v>
      </c>
      <c r="F4503" s="63">
        <v>125</v>
      </c>
      <c r="G4503" s="63">
        <f>F4503</f>
        <v>125</v>
      </c>
      <c r="H4503" s="123" t="e">
        <f>SUM(G4501:G4503)</f>
        <v>#REF!</v>
      </c>
    </row>
    <row r="4504" spans="1:8" ht="17.25">
      <c r="A4504" s="1"/>
      <c r="B4504" s="1"/>
      <c r="C4504" s="1"/>
      <c r="D4504" s="1"/>
      <c r="E4504" s="1"/>
      <c r="F4504" s="40" t="s">
        <v>1491</v>
      </c>
      <c r="G4504" s="40"/>
      <c r="H4504" s="63" t="e">
        <f>SUM(H4500:H4503)</f>
        <v>#REF!</v>
      </c>
    </row>
    <row r="4505" spans="1:8" ht="17.25">
      <c r="A4505" s="1"/>
      <c r="B4505" s="1" t="s">
        <v>1493</v>
      </c>
      <c r="C4505" s="1"/>
      <c r="D4505" s="1"/>
      <c r="E4505" s="1"/>
      <c r="F4505" s="40" t="s">
        <v>1472</v>
      </c>
      <c r="G4505" s="40"/>
      <c r="H4505" s="99" t="e">
        <f>FLOOR(H4504*0.15,0.01)</f>
        <v>#REF!</v>
      </c>
    </row>
    <row r="4506" spans="1:8" ht="31.5" customHeight="1">
      <c r="B4506" s="140" t="e">
        <f>+H4506</f>
        <v>#REF!</v>
      </c>
      <c r="C4506" s="27" t="s">
        <v>3801</v>
      </c>
      <c r="D4506" s="742" t="e">
        <f>INT(B4506/B4507*100)/100</f>
        <v>#REF!</v>
      </c>
      <c r="E4506" s="1" t="s">
        <v>3006</v>
      </c>
      <c r="F4506" s="40" t="s">
        <v>1494</v>
      </c>
      <c r="G4506" s="40"/>
      <c r="H4506" s="99" t="e">
        <f>SUM(H4504:H4505)</f>
        <v>#REF!</v>
      </c>
    </row>
    <row r="4507" spans="1:8" ht="20.25">
      <c r="A4507" s="1"/>
      <c r="B4507" s="88">
        <v>35.567999999999998</v>
      </c>
      <c r="C4507" s="1"/>
      <c r="D4507" s="1"/>
      <c r="E4507" s="1"/>
      <c r="F4507" s="36"/>
      <c r="G4507" s="36"/>
      <c r="H4507" s="36"/>
    </row>
    <row r="4508" spans="1:8" ht="20.25">
      <c r="A4508" s="1"/>
      <c r="B4508" s="88"/>
      <c r="C4508" s="1"/>
      <c r="D4508" s="1"/>
      <c r="E4508" s="1"/>
      <c r="F4508" s="36"/>
      <c r="G4508" s="36"/>
      <c r="H4508" s="36"/>
    </row>
    <row r="4509" spans="1:8" ht="20.25">
      <c r="A4509" s="260">
        <f>A4495+1</f>
        <v>287</v>
      </c>
      <c r="B4509" s="877" t="s">
        <v>3470</v>
      </c>
      <c r="C4509" s="878"/>
      <c r="D4509" s="878"/>
      <c r="E4509" s="878"/>
      <c r="F4509" s="878"/>
      <c r="G4509" s="878"/>
      <c r="H4509" s="878"/>
    </row>
    <row r="4510" spans="1:8" ht="19.5">
      <c r="A4510" s="677" t="s">
        <v>3744</v>
      </c>
      <c r="B4510" s="877" t="s">
        <v>3471</v>
      </c>
      <c r="C4510" s="878"/>
      <c r="D4510" s="878"/>
      <c r="E4510" s="878"/>
      <c r="F4510" s="878"/>
      <c r="G4510" s="878"/>
      <c r="H4510" s="878"/>
    </row>
    <row r="4511" spans="1:8" ht="15">
      <c r="A4511" s="1"/>
      <c r="B4511" s="939" t="s">
        <v>3465</v>
      </c>
      <c r="C4511" s="939"/>
      <c r="D4511" s="939"/>
      <c r="E4511" s="939"/>
      <c r="F4511" s="939"/>
      <c r="G4511" s="939"/>
      <c r="H4511" s="939"/>
    </row>
    <row r="4512" spans="1:8" ht="31.5">
      <c r="A4512" s="1"/>
      <c r="B4512" s="68" t="s">
        <v>2966</v>
      </c>
      <c r="C4512" s="68" t="s">
        <v>2967</v>
      </c>
      <c r="D4512" s="68" t="s">
        <v>2968</v>
      </c>
      <c r="E4512" s="68" t="s">
        <v>2969</v>
      </c>
      <c r="F4512" s="68" t="s">
        <v>2970</v>
      </c>
      <c r="G4512" s="68" t="s">
        <v>2971</v>
      </c>
      <c r="H4512" s="68" t="s">
        <v>1487</v>
      </c>
    </row>
    <row r="4513" spans="1:8" ht="17.25">
      <c r="A4513" s="1"/>
      <c r="B4513" s="889" t="s">
        <v>1488</v>
      </c>
      <c r="C4513" s="58" t="s">
        <v>516</v>
      </c>
      <c r="D4513" s="41">
        <v>23</v>
      </c>
      <c r="E4513" s="55" t="s">
        <v>1490</v>
      </c>
      <c r="F4513" s="107" t="e">
        <f>#REF!</f>
        <v>#REF!</v>
      </c>
      <c r="G4513" s="107" t="e">
        <f>FLOOR(D4513*F4513,0.01)</f>
        <v>#REF!</v>
      </c>
      <c r="H4513" s="108"/>
    </row>
    <row r="4514" spans="1:8" ht="17.25">
      <c r="A4514" s="1"/>
      <c r="B4514" s="887"/>
      <c r="C4514" s="56" t="s">
        <v>1433</v>
      </c>
      <c r="D4514" s="43">
        <v>2.2999999999999998</v>
      </c>
      <c r="E4514" s="56" t="s">
        <v>1490</v>
      </c>
      <c r="F4514" s="122" t="e">
        <f>#REF!</f>
        <v>#REF!</v>
      </c>
      <c r="G4514" s="63" t="e">
        <f>FLOOR(D4514*F4514,0.01)</f>
        <v>#REF!</v>
      </c>
      <c r="H4514" s="121" t="e">
        <f>SUM(G4513+G4514)</f>
        <v>#REF!</v>
      </c>
    </row>
    <row r="4515" spans="1:8" ht="17.25">
      <c r="A4515" s="1"/>
      <c r="B4515" s="886" t="s">
        <v>2055</v>
      </c>
      <c r="C4515" s="55" t="s">
        <v>1932</v>
      </c>
      <c r="D4515" s="46">
        <v>0.45</v>
      </c>
      <c r="E4515" s="55" t="s">
        <v>2232</v>
      </c>
      <c r="F4515" s="110" t="e">
        <f>awood</f>
        <v>#REF!</v>
      </c>
      <c r="G4515" s="110" t="e">
        <f>FLOOR(D4515*F4515,0.01)</f>
        <v>#REF!</v>
      </c>
      <c r="H4515" s="84"/>
    </row>
    <row r="4516" spans="1:8" ht="17.25">
      <c r="A4516" s="1"/>
      <c r="B4516" s="894"/>
      <c r="C4516" s="53" t="s">
        <v>3472</v>
      </c>
      <c r="D4516" s="52">
        <v>37.5</v>
      </c>
      <c r="E4516" s="53" t="s">
        <v>2807</v>
      </c>
      <c r="F4516" s="109" t="e">
        <f>#REF!</f>
        <v>#REF!</v>
      </c>
      <c r="G4516" s="109" t="e">
        <f>FLOOR(D4516*F4516,0.01)</f>
        <v>#REF!</v>
      </c>
      <c r="H4516" s="86"/>
    </row>
    <row r="4517" spans="1:8" ht="17.25">
      <c r="A4517" s="1"/>
      <c r="B4517" s="894"/>
      <c r="C4517" s="53" t="s">
        <v>3466</v>
      </c>
      <c r="D4517" s="53" t="s">
        <v>2810</v>
      </c>
      <c r="E4517" s="53" t="s">
        <v>2808</v>
      </c>
      <c r="F4517" s="109">
        <v>1250</v>
      </c>
      <c r="G4517" s="109">
        <f>F4517</f>
        <v>1250</v>
      </c>
      <c r="H4517" s="86"/>
    </row>
    <row r="4518" spans="1:8" ht="17.25">
      <c r="A4518" s="1"/>
      <c r="B4518" s="887"/>
      <c r="C4518" s="56" t="s">
        <v>2010</v>
      </c>
      <c r="D4518" s="56" t="s">
        <v>2810</v>
      </c>
      <c r="E4518" s="56" t="s">
        <v>2808</v>
      </c>
      <c r="F4518" s="63">
        <v>125</v>
      </c>
      <c r="G4518" s="63">
        <f>F4518</f>
        <v>125</v>
      </c>
      <c r="H4518" s="123" t="e">
        <f>SUM(G4515:G4518)</f>
        <v>#REF!</v>
      </c>
    </row>
    <row r="4519" spans="1:8" ht="17.25">
      <c r="A4519" s="1"/>
      <c r="B4519" s="1"/>
      <c r="C4519" s="1"/>
      <c r="D4519" s="1"/>
      <c r="E4519" s="1"/>
      <c r="F4519" s="40" t="s">
        <v>1491</v>
      </c>
      <c r="G4519" s="40"/>
      <c r="H4519" s="63" t="e">
        <f>SUM(H4514:H4518)</f>
        <v>#REF!</v>
      </c>
    </row>
    <row r="4520" spans="1:8" ht="17.25">
      <c r="A4520" s="1"/>
      <c r="B4520" s="1" t="s">
        <v>1493</v>
      </c>
      <c r="C4520" s="1"/>
      <c r="D4520" s="1"/>
      <c r="E4520" s="1"/>
      <c r="F4520" s="40" t="s">
        <v>1472</v>
      </c>
      <c r="G4520" s="40"/>
      <c r="H4520" s="99" t="e">
        <f>FLOOR(H4519*0.15,0.01)</f>
        <v>#REF!</v>
      </c>
    </row>
    <row r="4521" spans="1:8" ht="17.25">
      <c r="B4521" s="140" t="e">
        <f>+H4521</f>
        <v>#REF!</v>
      </c>
      <c r="C4521" s="27" t="s">
        <v>3801</v>
      </c>
      <c r="D4521" s="99" t="e">
        <f>INT(B4521/B4522*100)/100</f>
        <v>#REF!</v>
      </c>
      <c r="E4521" s="1" t="s">
        <v>3006</v>
      </c>
      <c r="F4521" s="40" t="s">
        <v>1494</v>
      </c>
      <c r="G4521" s="40"/>
      <c r="H4521" s="99" t="e">
        <f>SUM(H4519:H4520)</f>
        <v>#REF!</v>
      </c>
    </row>
    <row r="4522" spans="1:8" ht="20.25">
      <c r="A4522" s="1"/>
      <c r="B4522" s="88">
        <v>35.58</v>
      </c>
      <c r="C4522" s="1"/>
      <c r="D4522" s="1"/>
      <c r="E4522" s="1"/>
      <c r="F4522" s="36"/>
      <c r="G4522" s="36"/>
      <c r="H4522" s="36"/>
    </row>
    <row r="4523" spans="1:8" ht="20.25">
      <c r="A4523" s="1"/>
      <c r="B4523" s="88"/>
      <c r="C4523" s="1"/>
      <c r="D4523" s="1"/>
      <c r="E4523" s="1"/>
      <c r="F4523" s="36"/>
      <c r="G4523" s="36"/>
      <c r="H4523" s="36"/>
    </row>
    <row r="4524" spans="1:8" ht="20.25">
      <c r="A4524" s="1"/>
      <c r="B4524" s="88"/>
      <c r="C4524" s="1"/>
      <c r="D4524" s="1"/>
      <c r="E4524" s="1"/>
      <c r="F4524" s="36"/>
      <c r="G4524" s="36"/>
      <c r="H4524" s="36"/>
    </row>
    <row r="4525" spans="1:8" ht="20.25">
      <c r="A4525" s="1"/>
      <c r="B4525" s="88"/>
      <c r="C4525" s="1"/>
      <c r="D4525" s="1"/>
      <c r="E4525" s="1"/>
      <c r="F4525" s="36"/>
      <c r="G4525" s="36"/>
      <c r="H4525" s="36"/>
    </row>
    <row r="4526" spans="1:8" ht="20.25">
      <c r="A4526" s="1"/>
      <c r="B4526" s="88"/>
      <c r="C4526" s="1"/>
      <c r="D4526" s="1"/>
      <c r="E4526" s="1"/>
      <c r="F4526" s="36"/>
      <c r="G4526" s="36"/>
      <c r="H4526" s="36"/>
    </row>
    <row r="4527" spans="1:8" ht="20.25">
      <c r="A4527" s="1"/>
      <c r="B4527" s="88"/>
      <c r="C4527" s="1"/>
      <c r="D4527" s="1"/>
      <c r="E4527" s="1"/>
      <c r="F4527" s="36"/>
      <c r="G4527" s="36"/>
      <c r="H4527" s="36"/>
    </row>
    <row r="4528" spans="1:8" ht="20.25">
      <c r="A4528" s="1"/>
      <c r="B4528" s="88"/>
      <c r="C4528" s="1"/>
      <c r="D4528" s="1"/>
      <c r="E4528" s="1"/>
      <c r="F4528" s="36"/>
      <c r="G4528" s="36"/>
      <c r="H4528" s="36"/>
    </row>
    <row r="4529" spans="1:8" ht="20.25">
      <c r="A4529" s="1"/>
      <c r="B4529" s="88"/>
      <c r="C4529" s="1"/>
      <c r="D4529" s="1"/>
      <c r="E4529" s="1"/>
      <c r="F4529" s="36"/>
      <c r="G4529" s="36"/>
      <c r="H4529" s="36"/>
    </row>
    <row r="4530" spans="1:8" ht="19.5">
      <c r="A4530" s="31"/>
      <c r="B4530" s="878" t="s">
        <v>2933</v>
      </c>
      <c r="C4530" s="878"/>
      <c r="D4530" s="878"/>
      <c r="E4530" s="878"/>
      <c r="F4530" s="878"/>
      <c r="G4530" s="878"/>
      <c r="H4530" s="878"/>
    </row>
    <row r="4531" spans="1:8" ht="20.25">
      <c r="A4531" s="260">
        <f>A4509+1</f>
        <v>288</v>
      </c>
      <c r="B4531" s="878" t="s">
        <v>2759</v>
      </c>
      <c r="C4531" s="878"/>
      <c r="D4531" s="878"/>
      <c r="E4531" s="878"/>
      <c r="F4531" s="878"/>
      <c r="G4531" s="878"/>
      <c r="H4531" s="878"/>
    </row>
    <row r="4532" spans="1:8" ht="19.5">
      <c r="A4532" s="677" t="s">
        <v>3745</v>
      </c>
      <c r="B4532" s="878" t="s">
        <v>2635</v>
      </c>
      <c r="C4532" s="878"/>
      <c r="D4532" s="878"/>
      <c r="E4532" s="878"/>
      <c r="F4532" s="878"/>
      <c r="G4532" s="878"/>
      <c r="H4532" s="878"/>
    </row>
    <row r="4533" spans="1:8" ht="15">
      <c r="A4533" s="15" t="s">
        <v>3119</v>
      </c>
      <c r="B4533" s="879" t="s">
        <v>104</v>
      </c>
      <c r="C4533" s="879"/>
      <c r="D4533" s="879"/>
      <c r="E4533" s="879"/>
      <c r="F4533" s="879"/>
      <c r="G4533" s="879"/>
      <c r="H4533" s="879"/>
    </row>
    <row r="4534" spans="1:8" ht="31.5">
      <c r="A4534" s="1"/>
      <c r="B4534" s="68" t="s">
        <v>2966</v>
      </c>
      <c r="C4534" s="68" t="s">
        <v>2967</v>
      </c>
      <c r="D4534" s="68" t="s">
        <v>2968</v>
      </c>
      <c r="E4534" s="68" t="s">
        <v>2969</v>
      </c>
      <c r="F4534" s="68" t="s">
        <v>2970</v>
      </c>
      <c r="G4534" s="68" t="s">
        <v>2971</v>
      </c>
      <c r="H4534" s="68" t="s">
        <v>1487</v>
      </c>
    </row>
    <row r="4535" spans="1:8" ht="17.25">
      <c r="A4535" s="1"/>
      <c r="B4535" s="12" t="s">
        <v>1488</v>
      </c>
      <c r="C4535" s="58" t="s">
        <v>516</v>
      </c>
      <c r="D4535" s="41">
        <v>4.26</v>
      </c>
      <c r="E4535" s="55" t="s">
        <v>1490</v>
      </c>
      <c r="F4535" s="107" t="e">
        <f>mason</f>
        <v>#REF!</v>
      </c>
      <c r="G4535" s="107" t="e">
        <f t="shared" ref="G4535:G4542" si="84">FLOOR(D4535*F4535,0.01)</f>
        <v>#REF!</v>
      </c>
      <c r="H4535" s="108"/>
    </row>
    <row r="4536" spans="1:8" ht="17.25">
      <c r="A4536" s="1"/>
      <c r="B4536" s="15"/>
      <c r="C4536" s="56" t="s">
        <v>1433</v>
      </c>
      <c r="D4536" s="49">
        <v>0.42599999999999999</v>
      </c>
      <c r="E4536" s="56" t="s">
        <v>1490</v>
      </c>
      <c r="F4536" s="63" t="e">
        <f>#REF!</f>
        <v>#REF!</v>
      </c>
      <c r="G4536" s="63" t="e">
        <f t="shared" si="84"/>
        <v>#REF!</v>
      </c>
      <c r="H4536" s="121" t="e">
        <f>SUM(G4535:G4536)</f>
        <v>#REF!</v>
      </c>
    </row>
    <row r="4537" spans="1:8" ht="17.25">
      <c r="A4537" s="1"/>
      <c r="B4537" s="894" t="s">
        <v>2055</v>
      </c>
      <c r="C4537" s="272" t="s">
        <v>3755</v>
      </c>
      <c r="D4537" s="52">
        <v>0.5</v>
      </c>
      <c r="E4537" s="53" t="s">
        <v>2232</v>
      </c>
      <c r="F4537" s="109" t="e">
        <f>awood</f>
        <v>#REF!</v>
      </c>
      <c r="G4537" s="109" t="e">
        <f t="shared" si="84"/>
        <v>#REF!</v>
      </c>
      <c r="H4537" s="84"/>
    </row>
    <row r="4538" spans="1:8" ht="17.25">
      <c r="A4538" s="1"/>
      <c r="B4538" s="890"/>
      <c r="C4538" s="61" t="s">
        <v>2874</v>
      </c>
      <c r="D4538" s="42">
        <v>31.54</v>
      </c>
      <c r="E4538" s="53" t="s">
        <v>2807</v>
      </c>
      <c r="F4538" s="109" t="e">
        <f>#REF!</f>
        <v>#REF!</v>
      </c>
      <c r="G4538" s="109" t="e">
        <f t="shared" si="84"/>
        <v>#REF!</v>
      </c>
      <c r="H4538" s="9"/>
    </row>
    <row r="4539" spans="1:8" ht="17.25">
      <c r="A4539" s="1"/>
      <c r="B4539" s="890"/>
      <c r="C4539" s="61" t="s">
        <v>2636</v>
      </c>
      <c r="D4539" s="42">
        <v>31.54</v>
      </c>
      <c r="E4539" s="53" t="s">
        <v>2807</v>
      </c>
      <c r="F4539" s="109" t="e">
        <f>#REF!</f>
        <v>#REF!</v>
      </c>
      <c r="G4539" s="109" t="e">
        <f t="shared" si="84"/>
        <v>#REF!</v>
      </c>
      <c r="H4539" s="9"/>
    </row>
    <row r="4540" spans="1:8" ht="17.25">
      <c r="A4540" s="1"/>
      <c r="B4540" s="890"/>
      <c r="C4540" s="61" t="s">
        <v>3076</v>
      </c>
      <c r="D4540" s="193">
        <v>1</v>
      </c>
      <c r="E4540" s="53" t="s">
        <v>2637</v>
      </c>
      <c r="F4540" s="109" t="e">
        <f>#REF!</f>
        <v>#REF!</v>
      </c>
      <c r="G4540" s="109" t="e">
        <f t="shared" si="84"/>
        <v>#REF!</v>
      </c>
      <c r="H4540" s="9"/>
    </row>
    <row r="4541" spans="1:8" ht="17.25">
      <c r="A4541" s="1"/>
      <c r="B4541" s="890"/>
      <c r="C4541" s="53" t="s">
        <v>1066</v>
      </c>
      <c r="D4541" s="193">
        <v>149.6</v>
      </c>
      <c r="E4541" s="53" t="s">
        <v>557</v>
      </c>
      <c r="F4541" s="109" t="e">
        <f>#REF!</f>
        <v>#REF!</v>
      </c>
      <c r="G4541" s="109" t="e">
        <f t="shared" si="84"/>
        <v>#REF!</v>
      </c>
      <c r="H4541" s="86"/>
    </row>
    <row r="4542" spans="1:8" ht="17.25">
      <c r="A4542" s="1"/>
      <c r="B4542" s="887"/>
      <c r="C4542" s="56" t="s">
        <v>2010</v>
      </c>
      <c r="D4542" s="47">
        <v>3</v>
      </c>
      <c r="E4542" s="56" t="s">
        <v>558</v>
      </c>
      <c r="F4542" s="63" t="e">
        <f>#REF!</f>
        <v>#REF!</v>
      </c>
      <c r="G4542" s="63" t="e">
        <f t="shared" si="84"/>
        <v>#REF!</v>
      </c>
      <c r="H4542" s="123" t="e">
        <f>SUM(G4537:G4542)</f>
        <v>#REF!</v>
      </c>
    </row>
    <row r="4543" spans="1:8" ht="17.25">
      <c r="A4543" s="1"/>
      <c r="B4543" s="1"/>
      <c r="C4543" s="1"/>
      <c r="D4543" s="1"/>
      <c r="E4543" s="1"/>
      <c r="F4543" s="40" t="s">
        <v>1491</v>
      </c>
      <c r="G4543" s="40"/>
      <c r="H4543" s="63" t="e">
        <f>SUM(H4536:H4542)</f>
        <v>#REF!</v>
      </c>
    </row>
    <row r="4544" spans="1:8" ht="17.25">
      <c r="A4544" s="1"/>
      <c r="B4544" s="1" t="s">
        <v>1493</v>
      </c>
      <c r="C4544" s="1"/>
      <c r="D4544" s="1"/>
      <c r="E4544" s="1"/>
      <c r="F4544" s="40" t="s">
        <v>1472</v>
      </c>
      <c r="G4544" s="40"/>
      <c r="H4544" s="99" t="e">
        <f>FLOOR(H4543*0.15,0.01)</f>
        <v>#REF!</v>
      </c>
    </row>
    <row r="4545" spans="1:8" ht="17.25">
      <c r="B4545" s="140" t="e">
        <f>+H4545</f>
        <v>#REF!</v>
      </c>
      <c r="C4545" s="27" t="s">
        <v>3801</v>
      </c>
      <c r="D4545" s="99" t="e">
        <f>FLOOR(B4545/B4546,0.01)</f>
        <v>#REF!</v>
      </c>
      <c r="E4545" s="1" t="s">
        <v>3006</v>
      </c>
      <c r="F4545" s="40" t="s">
        <v>1494</v>
      </c>
      <c r="G4545" s="40"/>
      <c r="H4545" s="99" t="e">
        <f>SUM(H4543:H4544)</f>
        <v>#REF!</v>
      </c>
    </row>
    <row r="4546" spans="1:8" ht="17.25">
      <c r="B4546" s="88">
        <v>35.58</v>
      </c>
      <c r="C4546" s="27"/>
      <c r="D4546" s="141"/>
      <c r="E4546" s="1"/>
      <c r="F4546" s="40"/>
      <c r="G4546" s="40"/>
      <c r="H4546" s="141"/>
    </row>
    <row r="4547" spans="1:8" ht="19.5">
      <c r="A4547" s="27"/>
      <c r="B4547" s="141"/>
      <c r="C4547" s="1"/>
      <c r="D4547" s="1"/>
      <c r="E4547" s="1"/>
      <c r="F4547" s="40"/>
      <c r="G4547" s="102"/>
      <c r="H4547" s="141"/>
    </row>
    <row r="4548" spans="1:8" ht="19.5">
      <c r="A4548" s="31"/>
      <c r="B4548" s="878" t="s">
        <v>2933</v>
      </c>
      <c r="C4548" s="878"/>
      <c r="D4548" s="878"/>
      <c r="E4548" s="878"/>
      <c r="F4548" s="878"/>
      <c r="G4548" s="878"/>
      <c r="H4548" s="878"/>
    </row>
    <row r="4549" spans="1:8" ht="20.25">
      <c r="A4549" s="260">
        <f>A4531+1</f>
        <v>289</v>
      </c>
      <c r="B4549" s="878" t="s">
        <v>1064</v>
      </c>
      <c r="C4549" s="878"/>
      <c r="D4549" s="878"/>
      <c r="E4549" s="878"/>
      <c r="F4549" s="878"/>
      <c r="G4549" s="878"/>
      <c r="H4549" s="878"/>
    </row>
    <row r="4550" spans="1:8" ht="19.5">
      <c r="A4550" s="15" t="s">
        <v>522</v>
      </c>
      <c r="B4550" s="878" t="s">
        <v>2635</v>
      </c>
      <c r="C4550" s="878"/>
      <c r="D4550" s="878"/>
      <c r="E4550" s="878"/>
      <c r="F4550" s="878"/>
      <c r="G4550" s="878"/>
      <c r="H4550" s="878"/>
    </row>
    <row r="4551" spans="1:8" ht="14.25">
      <c r="A4551" s="677" t="s">
        <v>3746</v>
      </c>
      <c r="B4551" s="879" t="s">
        <v>104</v>
      </c>
      <c r="C4551" s="879"/>
      <c r="D4551" s="879"/>
      <c r="E4551" s="879"/>
      <c r="F4551" s="879"/>
      <c r="G4551" s="879"/>
      <c r="H4551" s="879"/>
    </row>
    <row r="4552" spans="1:8" ht="31.5">
      <c r="A4552" s="1"/>
      <c r="B4552" s="68" t="s">
        <v>2966</v>
      </c>
      <c r="C4552" s="68" t="s">
        <v>2967</v>
      </c>
      <c r="D4552" s="68" t="s">
        <v>2968</v>
      </c>
      <c r="E4552" s="68" t="s">
        <v>2969</v>
      </c>
      <c r="F4552" s="68" t="s">
        <v>2970</v>
      </c>
      <c r="G4552" s="68" t="s">
        <v>2971</v>
      </c>
      <c r="H4552" s="68" t="s">
        <v>1487</v>
      </c>
    </row>
    <row r="4553" spans="1:8" ht="17.25">
      <c r="A4553" s="1"/>
      <c r="B4553" s="12" t="s">
        <v>1488</v>
      </c>
      <c r="C4553" s="58" t="s">
        <v>516</v>
      </c>
      <c r="D4553" s="41">
        <v>6.39</v>
      </c>
      <c r="E4553" s="55" t="s">
        <v>1490</v>
      </c>
      <c r="F4553" s="107" t="e">
        <f>mason</f>
        <v>#REF!</v>
      </c>
      <c r="G4553" s="107" t="e">
        <f t="shared" ref="G4553:G4560" si="85">FLOOR(D4553*F4553,0.01)</f>
        <v>#REF!</v>
      </c>
      <c r="H4553" s="108"/>
    </row>
    <row r="4554" spans="1:8" ht="17.25">
      <c r="A4554" s="1"/>
      <c r="B4554" s="15"/>
      <c r="C4554" s="56" t="s">
        <v>1433</v>
      </c>
      <c r="D4554" s="49">
        <v>0.63900000000000001</v>
      </c>
      <c r="E4554" s="56" t="s">
        <v>1490</v>
      </c>
      <c r="F4554" s="63" t="e">
        <f>#REF!</f>
        <v>#REF!</v>
      </c>
      <c r="G4554" s="63" t="e">
        <f t="shared" si="85"/>
        <v>#REF!</v>
      </c>
      <c r="H4554" s="121" t="e">
        <f>SUM(G4553:G4554)</f>
        <v>#REF!</v>
      </c>
    </row>
    <row r="4555" spans="1:8" ht="17.25">
      <c r="A4555" s="1"/>
      <c r="B4555" s="894" t="s">
        <v>2055</v>
      </c>
      <c r="C4555" s="272" t="s">
        <v>1932</v>
      </c>
      <c r="D4555" s="52">
        <v>0.5</v>
      </c>
      <c r="E4555" s="53" t="s">
        <v>2232</v>
      </c>
      <c r="F4555" s="109" t="e">
        <f>awood</f>
        <v>#REF!</v>
      </c>
      <c r="G4555" s="109" t="e">
        <f t="shared" si="85"/>
        <v>#REF!</v>
      </c>
      <c r="H4555" s="84"/>
    </row>
    <row r="4556" spans="1:8" ht="17.25">
      <c r="A4556" s="1"/>
      <c r="B4556" s="890"/>
      <c r="C4556" s="61" t="s">
        <v>2874</v>
      </c>
      <c r="D4556" s="42">
        <v>31.54</v>
      </c>
      <c r="E4556" s="53" t="s">
        <v>2807</v>
      </c>
      <c r="F4556" s="109" t="e">
        <f>#REF!</f>
        <v>#REF!</v>
      </c>
      <c r="G4556" s="109" t="e">
        <f t="shared" si="85"/>
        <v>#REF!</v>
      </c>
      <c r="H4556" s="9"/>
    </row>
    <row r="4557" spans="1:8" ht="17.25">
      <c r="A4557" s="1"/>
      <c r="B4557" s="890"/>
      <c r="C4557" s="61" t="s">
        <v>2636</v>
      </c>
      <c r="D4557" s="42">
        <v>63.08</v>
      </c>
      <c r="E4557" s="53" t="s">
        <v>2807</v>
      </c>
      <c r="F4557" s="109" t="e">
        <f>#REF!</f>
        <v>#REF!</v>
      </c>
      <c r="G4557" s="109" t="e">
        <f t="shared" si="85"/>
        <v>#REF!</v>
      </c>
      <c r="H4557" s="9"/>
    </row>
    <row r="4558" spans="1:8" ht="17.25">
      <c r="A4558" s="1"/>
      <c r="B4558" s="890"/>
      <c r="C4558" s="61" t="s">
        <v>3076</v>
      </c>
      <c r="D4558" s="193">
        <v>2</v>
      </c>
      <c r="E4558" s="53" t="s">
        <v>2637</v>
      </c>
      <c r="F4558" s="109" t="e">
        <f>#REF!</f>
        <v>#REF!</v>
      </c>
      <c r="G4558" s="109" t="e">
        <f t="shared" si="85"/>
        <v>#REF!</v>
      </c>
      <c r="H4558" s="9"/>
    </row>
    <row r="4559" spans="1:8" ht="17.25">
      <c r="A4559" s="1"/>
      <c r="B4559" s="890"/>
      <c r="C4559" s="53" t="s">
        <v>1066</v>
      </c>
      <c r="D4559" s="193">
        <v>149.6</v>
      </c>
      <c r="E4559" s="53" t="s">
        <v>557</v>
      </c>
      <c r="F4559" s="109" t="e">
        <f>#REF!</f>
        <v>#REF!</v>
      </c>
      <c r="G4559" s="109" t="e">
        <f t="shared" si="85"/>
        <v>#REF!</v>
      </c>
      <c r="H4559" s="86"/>
    </row>
    <row r="4560" spans="1:8" ht="17.25">
      <c r="A4560" s="1"/>
      <c r="B4560" s="887"/>
      <c r="C4560" s="56" t="s">
        <v>2010</v>
      </c>
      <c r="D4560" s="47">
        <v>3</v>
      </c>
      <c r="E4560" s="56" t="s">
        <v>558</v>
      </c>
      <c r="F4560" s="63" t="e">
        <f>kila</f>
        <v>#REF!</v>
      </c>
      <c r="G4560" s="63" t="e">
        <f t="shared" si="85"/>
        <v>#REF!</v>
      </c>
      <c r="H4560" s="123" t="e">
        <f>SUM(G4555:G4560)</f>
        <v>#REF!</v>
      </c>
    </row>
    <row r="4561" spans="1:8" ht="17.25">
      <c r="A4561" s="1"/>
      <c r="B4561" s="1"/>
      <c r="C4561" s="1"/>
      <c r="D4561" s="1"/>
      <c r="E4561" s="1"/>
      <c r="F4561" s="40" t="s">
        <v>1491</v>
      </c>
      <c r="G4561" s="40"/>
      <c r="H4561" s="63" t="e">
        <f>SUM(H4554:H4560)</f>
        <v>#REF!</v>
      </c>
    </row>
    <row r="4562" spans="1:8" ht="17.25">
      <c r="A4562" s="1"/>
      <c r="B4562" s="1" t="s">
        <v>1493</v>
      </c>
      <c r="C4562" s="1"/>
      <c r="D4562" s="1"/>
      <c r="E4562" s="1"/>
      <c r="F4562" s="40" t="s">
        <v>1472</v>
      </c>
      <c r="G4562" s="40"/>
      <c r="H4562" s="99" t="e">
        <f>FLOOR(H4561*0.15,0.01)</f>
        <v>#REF!</v>
      </c>
    </row>
    <row r="4563" spans="1:8" ht="17.25">
      <c r="B4563" s="140" t="e">
        <f>+H4563</f>
        <v>#REF!</v>
      </c>
      <c r="C4563" s="27" t="s">
        <v>3801</v>
      </c>
      <c r="D4563" s="99" t="e">
        <f>FLOOR(B4563/B4564,0.01)</f>
        <v>#REF!</v>
      </c>
      <c r="E4563" s="1" t="s">
        <v>3006</v>
      </c>
      <c r="F4563" s="40" t="s">
        <v>1494</v>
      </c>
      <c r="G4563" s="40"/>
      <c r="H4563" s="99" t="e">
        <f>SUM(H4561:H4562)</f>
        <v>#REF!</v>
      </c>
    </row>
    <row r="4564" spans="1:8" ht="17.25">
      <c r="B4564" s="88">
        <v>35.58</v>
      </c>
      <c r="C4564" s="27"/>
      <c r="D4564" s="141"/>
      <c r="E4564" s="1"/>
      <c r="F4564" s="40"/>
      <c r="G4564" s="40"/>
      <c r="H4564" s="141"/>
    </row>
    <row r="4565" spans="1:8" ht="15">
      <c r="A4565" s="1"/>
      <c r="B4565" s="957"/>
      <c r="C4565" s="957"/>
      <c r="D4565" s="957"/>
      <c r="E4565" s="957"/>
      <c r="F4565" s="957"/>
      <c r="G4565" s="957"/>
      <c r="H4565" s="957"/>
    </row>
    <row r="4566" spans="1:8" ht="15.75">
      <c r="A4566" s="260">
        <f>A4549+1</f>
        <v>290</v>
      </c>
      <c r="B4566" s="957"/>
      <c r="C4566" s="958"/>
      <c r="D4566" s="958"/>
      <c r="E4566" s="958"/>
      <c r="F4566" s="958"/>
      <c r="G4566" s="958"/>
      <c r="H4566" s="958"/>
    </row>
    <row r="4567" spans="1:8" ht="19.5">
      <c r="A4567" s="677" t="s">
        <v>3747</v>
      </c>
      <c r="B4567" s="878" t="s">
        <v>3473</v>
      </c>
      <c r="C4567" s="878"/>
      <c r="D4567" s="878"/>
      <c r="E4567" s="878"/>
      <c r="F4567" s="878"/>
      <c r="G4567" s="878"/>
      <c r="H4567" s="878"/>
    </row>
    <row r="4568" spans="1:8" ht="19.5">
      <c r="A4568" s="3"/>
      <c r="B4568" s="878" t="s">
        <v>3477</v>
      </c>
      <c r="C4568" s="878"/>
      <c r="D4568" s="878"/>
      <c r="E4568" s="878"/>
      <c r="F4568" s="878"/>
      <c r="G4568" s="878"/>
      <c r="H4568" s="878"/>
    </row>
    <row r="4569" spans="1:8" ht="15">
      <c r="A4569" s="1"/>
      <c r="B4569" s="885" t="s">
        <v>3482</v>
      </c>
      <c r="C4569" s="885"/>
      <c r="D4569" s="885"/>
      <c r="E4569" s="885"/>
      <c r="F4569" s="885"/>
      <c r="G4569" s="885"/>
      <c r="H4569" s="885"/>
    </row>
    <row r="4570" spans="1:8" ht="31.5">
      <c r="A4570" s="1"/>
      <c r="B4570" s="68" t="s">
        <v>2966</v>
      </c>
      <c r="C4570" s="68" t="s">
        <v>2967</v>
      </c>
      <c r="D4570" s="68" t="s">
        <v>2968</v>
      </c>
      <c r="E4570" s="68" t="s">
        <v>2969</v>
      </c>
      <c r="F4570" s="68" t="s">
        <v>2970</v>
      </c>
      <c r="G4570" s="68" t="s">
        <v>2971</v>
      </c>
      <c r="H4570" s="68" t="s">
        <v>1487</v>
      </c>
    </row>
    <row r="4571" spans="1:8" ht="31.5">
      <c r="A4571" s="1"/>
      <c r="B4571" s="58" t="s">
        <v>2055</v>
      </c>
      <c r="C4571" s="58" t="s">
        <v>3475</v>
      </c>
      <c r="D4571" s="8"/>
      <c r="E4571" s="8"/>
      <c r="F4571" s="107"/>
      <c r="G4571" s="107"/>
      <c r="H4571" s="108"/>
    </row>
    <row r="4572" spans="1:8" ht="17.25">
      <c r="A4572" s="1"/>
      <c r="B4572" s="82" t="s">
        <v>370</v>
      </c>
      <c r="C4572" s="78" t="s">
        <v>3476</v>
      </c>
      <c r="D4572" s="43">
        <v>1</v>
      </c>
      <c r="E4572" s="56" t="s">
        <v>2807</v>
      </c>
      <c r="F4572" s="122" t="e">
        <f>#REF!</f>
        <v>#REF!</v>
      </c>
      <c r="G4572" s="63" t="e">
        <f>SUM(D4572*F4572)</f>
        <v>#REF!</v>
      </c>
      <c r="H4572" s="123" t="e">
        <f>SUM(G4572)</f>
        <v>#REF!</v>
      </c>
    </row>
    <row r="4573" spans="1:8" ht="19.5">
      <c r="A4573" s="1"/>
      <c r="B4573" s="1"/>
      <c r="C4573" s="1"/>
      <c r="D4573" s="1"/>
      <c r="E4573" s="1"/>
      <c r="F4573" s="40" t="s">
        <v>1491</v>
      </c>
      <c r="G4573" s="102"/>
      <c r="H4573" s="63" t="e">
        <f>SUM(H4570:H4572)</f>
        <v>#REF!</v>
      </c>
    </row>
    <row r="4574" spans="1:8" ht="19.5">
      <c r="A4574" s="1"/>
      <c r="B4574" s="1" t="s">
        <v>372</v>
      </c>
      <c r="C4574" s="1"/>
      <c r="D4574" s="1"/>
      <c r="E4574" s="1"/>
      <c r="F4574" s="40" t="s">
        <v>1471</v>
      </c>
      <c r="G4574" s="102"/>
      <c r="H4574" s="63" t="e">
        <f>FLOOR(H4573*0.15,0.01)</f>
        <v>#REF!</v>
      </c>
    </row>
    <row r="4575" spans="1:8" ht="19.5">
      <c r="A4575" s="27" t="s">
        <v>3005</v>
      </c>
      <c r="B4575" s="99" t="e">
        <f>+H4575</f>
        <v>#REF!</v>
      </c>
      <c r="C4575" s="1" t="s">
        <v>3006</v>
      </c>
      <c r="D4575" s="1"/>
      <c r="E4575" s="1"/>
      <c r="F4575" s="40" t="s">
        <v>1494</v>
      </c>
      <c r="G4575" s="102"/>
      <c r="H4575" s="99" t="e">
        <f>SUM(H4573:H4574)</f>
        <v>#REF!</v>
      </c>
    </row>
    <row r="4576" spans="1:8" ht="19.5">
      <c r="A4576" s="27"/>
      <c r="B4576" s="141"/>
      <c r="C4576" s="1"/>
      <c r="D4576" s="1"/>
      <c r="E4576" s="1"/>
      <c r="F4576" s="40"/>
      <c r="G4576" s="102"/>
      <c r="H4576" s="141"/>
    </row>
    <row r="4577" spans="1:8" ht="19.5">
      <c r="A4577" s="27"/>
      <c r="B4577" s="141"/>
      <c r="C4577" s="1"/>
      <c r="D4577" s="1"/>
      <c r="E4577" s="1"/>
      <c r="F4577" s="40"/>
      <c r="G4577" s="102"/>
      <c r="H4577" s="141"/>
    </row>
    <row r="4578" spans="1:8" ht="20.25">
      <c r="A4578" s="1"/>
      <c r="B4578" s="88"/>
      <c r="C4578" s="1"/>
      <c r="D4578" s="1"/>
      <c r="E4578" s="1"/>
      <c r="F4578" s="36"/>
      <c r="G4578" s="36"/>
      <c r="H4578" s="36"/>
    </row>
    <row r="4579" spans="1:8" ht="15.75">
      <c r="A4579" s="260">
        <f>A4566+1</f>
        <v>291</v>
      </c>
      <c r="B4579" s="957"/>
      <c r="C4579" s="958"/>
      <c r="D4579" s="958"/>
      <c r="E4579" s="958"/>
      <c r="F4579" s="958"/>
      <c r="G4579" s="958"/>
      <c r="H4579" s="958"/>
    </row>
    <row r="4580" spans="1:8" ht="19.5">
      <c r="A4580" s="677" t="s">
        <v>3749</v>
      </c>
      <c r="B4580" s="878" t="s">
        <v>3473</v>
      </c>
      <c r="C4580" s="878"/>
      <c r="D4580" s="878"/>
      <c r="E4580" s="878"/>
      <c r="F4580" s="878"/>
      <c r="G4580" s="878"/>
      <c r="H4580" s="878"/>
    </row>
    <row r="4581" spans="1:8" ht="19.5">
      <c r="A4581" s="3"/>
      <c r="B4581" s="878" t="s">
        <v>3478</v>
      </c>
      <c r="C4581" s="878"/>
      <c r="D4581" s="878"/>
      <c r="E4581" s="878"/>
      <c r="F4581" s="878"/>
      <c r="G4581" s="878"/>
      <c r="H4581" s="878"/>
    </row>
    <row r="4582" spans="1:8" ht="15">
      <c r="A4582" s="1"/>
      <c r="B4582" s="885" t="s">
        <v>1392</v>
      </c>
      <c r="C4582" s="885"/>
      <c r="D4582" s="885"/>
      <c r="E4582" s="885"/>
      <c r="F4582" s="885"/>
      <c r="G4582" s="885"/>
      <c r="H4582" s="885"/>
    </row>
    <row r="4583" spans="1:8" ht="31.5">
      <c r="A4583" s="1"/>
      <c r="B4583" s="68" t="s">
        <v>2966</v>
      </c>
      <c r="C4583" s="68" t="s">
        <v>2967</v>
      </c>
      <c r="D4583" s="68" t="s">
        <v>2968</v>
      </c>
      <c r="E4583" s="68" t="s">
        <v>2969</v>
      </c>
      <c r="F4583" s="68" t="s">
        <v>2970</v>
      </c>
      <c r="G4583" s="68" t="s">
        <v>2971</v>
      </c>
      <c r="H4583" s="68" t="s">
        <v>1487</v>
      </c>
    </row>
    <row r="4584" spans="1:8" ht="31.5">
      <c r="A4584" s="1"/>
      <c r="B4584" s="58" t="s">
        <v>2055</v>
      </c>
      <c r="C4584" s="58" t="s">
        <v>3479</v>
      </c>
      <c r="D4584" s="8"/>
      <c r="E4584" s="8"/>
      <c r="F4584" s="107"/>
      <c r="G4584" s="107"/>
      <c r="H4584" s="108"/>
    </row>
    <row r="4585" spans="1:8" ht="17.25">
      <c r="A4585" s="1"/>
      <c r="B4585" s="82" t="s">
        <v>370</v>
      </c>
      <c r="C4585" s="78" t="s">
        <v>3476</v>
      </c>
      <c r="D4585" s="43">
        <v>1</v>
      </c>
      <c r="E4585" s="56" t="s">
        <v>2807</v>
      </c>
      <c r="F4585" s="122" t="e">
        <f>#REF!</f>
        <v>#REF!</v>
      </c>
      <c r="G4585" s="63" t="e">
        <f>SUM(D4585*F4585)</f>
        <v>#REF!</v>
      </c>
      <c r="H4585" s="123" t="e">
        <f>SUM(G4585)</f>
        <v>#REF!</v>
      </c>
    </row>
    <row r="4586" spans="1:8" ht="19.5">
      <c r="A4586" s="1"/>
      <c r="B4586" s="1"/>
      <c r="C4586" s="1"/>
      <c r="D4586" s="1"/>
      <c r="E4586" s="1"/>
      <c r="F4586" s="40" t="s">
        <v>1491</v>
      </c>
      <c r="G4586" s="102"/>
      <c r="H4586" s="63" t="e">
        <f>SUM(H4583:H4585)</f>
        <v>#REF!</v>
      </c>
    </row>
    <row r="4587" spans="1:8" ht="19.5">
      <c r="A4587" s="1"/>
      <c r="B4587" s="1" t="s">
        <v>372</v>
      </c>
      <c r="C4587" s="1"/>
      <c r="D4587" s="1"/>
      <c r="E4587" s="1"/>
      <c r="F4587" s="40" t="s">
        <v>1471</v>
      </c>
      <c r="G4587" s="102"/>
      <c r="H4587" s="63" t="e">
        <f>FLOOR(H4586*0.15,0.01)</f>
        <v>#REF!</v>
      </c>
    </row>
    <row r="4588" spans="1:8" ht="19.5">
      <c r="A4588" s="27" t="s">
        <v>3005</v>
      </c>
      <c r="B4588" s="99" t="e">
        <f>+H4588</f>
        <v>#REF!</v>
      </c>
      <c r="C4588" s="1" t="s">
        <v>3006</v>
      </c>
      <c r="D4588" s="1"/>
      <c r="E4588" s="1"/>
      <c r="F4588" s="40" t="s">
        <v>1494</v>
      </c>
      <c r="G4588" s="102"/>
      <c r="H4588" s="99" t="e">
        <f>SUM(H4586:H4587)</f>
        <v>#REF!</v>
      </c>
    </row>
    <row r="4589" spans="1:8" ht="20.25">
      <c r="A4589" s="1"/>
      <c r="B4589" s="88"/>
      <c r="C4589" s="1"/>
      <c r="D4589" s="1"/>
      <c r="E4589" s="1"/>
      <c r="F4589" s="36"/>
      <c r="G4589" s="36"/>
      <c r="H4589" s="36"/>
    </row>
    <row r="4590" spans="1:8" ht="20.25">
      <c r="A4590" s="1"/>
      <c r="B4590" s="88"/>
      <c r="C4590" s="1"/>
      <c r="D4590" s="1"/>
      <c r="E4590" s="1"/>
      <c r="F4590" s="36"/>
      <c r="G4590" s="36"/>
      <c r="H4590" s="36"/>
    </row>
    <row r="4591" spans="1:8" ht="15.75">
      <c r="A4591" s="260">
        <f>A4579+1</f>
        <v>292</v>
      </c>
      <c r="B4591" s="957"/>
      <c r="C4591" s="958"/>
      <c r="D4591" s="958"/>
      <c r="E4591" s="958"/>
      <c r="F4591" s="958"/>
      <c r="G4591" s="958"/>
      <c r="H4591" s="958"/>
    </row>
    <row r="4592" spans="1:8" ht="19.5">
      <c r="A4592" s="677" t="s">
        <v>3748</v>
      </c>
      <c r="B4592" s="878" t="s">
        <v>3480</v>
      </c>
      <c r="C4592" s="878"/>
      <c r="D4592" s="878"/>
      <c r="E4592" s="878"/>
      <c r="F4592" s="878"/>
      <c r="G4592" s="878"/>
      <c r="H4592" s="878"/>
    </row>
    <row r="4593" spans="1:8" ht="19.5">
      <c r="A4593" s="3"/>
      <c r="B4593" s="878" t="s">
        <v>3481</v>
      </c>
      <c r="C4593" s="878"/>
      <c r="D4593" s="878"/>
      <c r="E4593" s="878"/>
      <c r="F4593" s="878"/>
      <c r="G4593" s="878"/>
      <c r="H4593" s="878"/>
    </row>
    <row r="4594" spans="1:8" ht="15">
      <c r="A4594" s="1"/>
      <c r="B4594" s="885" t="s">
        <v>1392</v>
      </c>
      <c r="C4594" s="885"/>
      <c r="D4594" s="885"/>
      <c r="E4594" s="885"/>
      <c r="F4594" s="885"/>
      <c r="G4594" s="885"/>
      <c r="H4594" s="885"/>
    </row>
    <row r="4595" spans="1:8" ht="31.5">
      <c r="A4595" s="1"/>
      <c r="B4595" s="68" t="s">
        <v>2966</v>
      </c>
      <c r="C4595" s="68" t="s">
        <v>2967</v>
      </c>
      <c r="D4595" s="68" t="s">
        <v>2968</v>
      </c>
      <c r="E4595" s="68" t="s">
        <v>2969</v>
      </c>
      <c r="F4595" s="68" t="s">
        <v>2970</v>
      </c>
      <c r="G4595" s="68" t="s">
        <v>2971</v>
      </c>
      <c r="H4595" s="68" t="s">
        <v>1487</v>
      </c>
    </row>
    <row r="4596" spans="1:8" ht="47.25">
      <c r="A4596" s="1"/>
      <c r="B4596" s="58" t="s">
        <v>2055</v>
      </c>
      <c r="C4596" s="58" t="s">
        <v>3483</v>
      </c>
      <c r="D4596" s="8"/>
      <c r="E4596" s="8"/>
      <c r="F4596" s="107"/>
      <c r="G4596" s="107"/>
      <c r="H4596" s="108"/>
    </row>
    <row r="4597" spans="1:8" ht="17.25">
      <c r="A4597" s="1"/>
      <c r="B4597" s="82" t="s">
        <v>370</v>
      </c>
      <c r="C4597" s="78" t="s">
        <v>3476</v>
      </c>
      <c r="D4597" s="43">
        <v>1</v>
      </c>
      <c r="E4597" s="56" t="s">
        <v>2807</v>
      </c>
      <c r="F4597" s="122" t="e">
        <f>#REF!</f>
        <v>#REF!</v>
      </c>
      <c r="G4597" s="63" t="e">
        <f>SUM(D4597*F4597)</f>
        <v>#REF!</v>
      </c>
      <c r="H4597" s="123" t="e">
        <f>SUM(G4597)</f>
        <v>#REF!</v>
      </c>
    </row>
    <row r="4598" spans="1:8" ht="19.5">
      <c r="A4598" s="1"/>
      <c r="B4598" s="1"/>
      <c r="C4598" s="1"/>
      <c r="D4598" s="1"/>
      <c r="E4598" s="1"/>
      <c r="F4598" s="40" t="s">
        <v>1491</v>
      </c>
      <c r="G4598" s="102"/>
      <c r="H4598" s="63" t="e">
        <f>SUM(H4595:H4597)</f>
        <v>#REF!</v>
      </c>
    </row>
    <row r="4599" spans="1:8" ht="19.5">
      <c r="A4599" s="1"/>
      <c r="B4599" s="1" t="s">
        <v>372</v>
      </c>
      <c r="C4599" s="1"/>
      <c r="D4599" s="1"/>
      <c r="E4599" s="1"/>
      <c r="F4599" s="40" t="s">
        <v>1471</v>
      </c>
      <c r="G4599" s="102"/>
      <c r="H4599" s="63" t="e">
        <f>FLOOR(H4598*0.15,0.01)</f>
        <v>#REF!</v>
      </c>
    </row>
    <row r="4600" spans="1:8" ht="19.5">
      <c r="A4600" s="27" t="s">
        <v>3005</v>
      </c>
      <c r="B4600" s="99" t="e">
        <f>+H4600</f>
        <v>#REF!</v>
      </c>
      <c r="C4600" s="1" t="s">
        <v>3006</v>
      </c>
      <c r="D4600" s="1"/>
      <c r="E4600" s="1"/>
      <c r="F4600" s="40" t="s">
        <v>1494</v>
      </c>
      <c r="G4600" s="102"/>
      <c r="H4600" s="99" t="e">
        <f>SUM(H4598:H4599)</f>
        <v>#REF!</v>
      </c>
    </row>
    <row r="4601" spans="1:8" ht="20.25">
      <c r="A4601" s="1"/>
      <c r="B4601" s="88"/>
      <c r="C4601" s="1"/>
      <c r="D4601" s="1"/>
      <c r="E4601" s="1"/>
      <c r="F4601" s="36"/>
      <c r="G4601" s="36"/>
      <c r="H4601" s="36"/>
    </row>
    <row r="4602" spans="1:8" ht="15.75">
      <c r="A4602" s="260">
        <f>A4591+1</f>
        <v>293</v>
      </c>
      <c r="B4602" s="957"/>
      <c r="C4602" s="958"/>
      <c r="D4602" s="958"/>
      <c r="E4602" s="958"/>
      <c r="F4602" s="958"/>
      <c r="G4602" s="958"/>
      <c r="H4602" s="958"/>
    </row>
    <row r="4603" spans="1:8" ht="19.5">
      <c r="A4603" s="677" t="s">
        <v>3748</v>
      </c>
      <c r="B4603" s="878" t="s">
        <v>3485</v>
      </c>
      <c r="C4603" s="878"/>
      <c r="D4603" s="878"/>
      <c r="E4603" s="878"/>
      <c r="F4603" s="878"/>
      <c r="G4603" s="878"/>
      <c r="H4603" s="878"/>
    </row>
    <row r="4604" spans="1:8" ht="19.5">
      <c r="A4604" s="3"/>
      <c r="B4604" s="878" t="s">
        <v>3481</v>
      </c>
      <c r="C4604" s="878"/>
      <c r="D4604" s="878"/>
      <c r="E4604" s="878"/>
      <c r="F4604" s="878"/>
      <c r="G4604" s="878"/>
      <c r="H4604" s="878"/>
    </row>
    <row r="4605" spans="1:8" ht="15">
      <c r="A4605" s="1"/>
      <c r="B4605" s="885" t="s">
        <v>3474</v>
      </c>
      <c r="C4605" s="885"/>
      <c r="D4605" s="885"/>
      <c r="E4605" s="885"/>
      <c r="F4605" s="885"/>
      <c r="G4605" s="885"/>
      <c r="H4605" s="885"/>
    </row>
    <row r="4606" spans="1:8" ht="31.5">
      <c r="A4606" s="1"/>
      <c r="B4606" s="68" t="s">
        <v>2966</v>
      </c>
      <c r="C4606" s="68" t="s">
        <v>2967</v>
      </c>
      <c r="D4606" s="68" t="s">
        <v>2968</v>
      </c>
      <c r="E4606" s="68" t="s">
        <v>2969</v>
      </c>
      <c r="F4606" s="68" t="s">
        <v>2970</v>
      </c>
      <c r="G4606" s="68" t="s">
        <v>2971</v>
      </c>
      <c r="H4606" s="68" t="s">
        <v>1487</v>
      </c>
    </row>
    <row r="4607" spans="1:8" ht="47.25">
      <c r="A4607" s="1"/>
      <c r="B4607" s="58" t="s">
        <v>2055</v>
      </c>
      <c r="C4607" s="58" t="s">
        <v>3484</v>
      </c>
      <c r="D4607" s="8"/>
      <c r="E4607" s="8"/>
      <c r="F4607" s="107"/>
      <c r="G4607" s="107"/>
      <c r="H4607" s="108"/>
    </row>
    <row r="4608" spans="1:8" ht="17.25">
      <c r="A4608" s="1"/>
      <c r="B4608" s="82" t="s">
        <v>370</v>
      </c>
      <c r="C4608" s="78" t="s">
        <v>3476</v>
      </c>
      <c r="D4608" s="43">
        <v>1</v>
      </c>
      <c r="E4608" s="56" t="s">
        <v>2807</v>
      </c>
      <c r="F4608" s="122" t="e">
        <f>#REF!</f>
        <v>#REF!</v>
      </c>
      <c r="G4608" s="63" t="e">
        <f>SUM(D4608*F4608)</f>
        <v>#REF!</v>
      </c>
      <c r="H4608" s="123" t="e">
        <f>SUM(G4608)</f>
        <v>#REF!</v>
      </c>
    </row>
    <row r="4609" spans="1:8" ht="19.5">
      <c r="A4609" s="1"/>
      <c r="B4609" s="1"/>
      <c r="C4609" s="1"/>
      <c r="D4609" s="1"/>
      <c r="E4609" s="1"/>
      <c r="F4609" s="40" t="s">
        <v>1491</v>
      </c>
      <c r="G4609" s="102"/>
      <c r="H4609" s="63" t="e">
        <f>SUM(H4606:H4608)</f>
        <v>#REF!</v>
      </c>
    </row>
    <row r="4610" spans="1:8" ht="19.5">
      <c r="A4610" s="1"/>
      <c r="B4610" s="1" t="s">
        <v>372</v>
      </c>
      <c r="C4610" s="1"/>
      <c r="D4610" s="1"/>
      <c r="E4610" s="1"/>
      <c r="F4610" s="40" t="s">
        <v>1471</v>
      </c>
      <c r="G4610" s="102"/>
      <c r="H4610" s="63" t="e">
        <f>FLOOR(H4609*0.15,0.01)</f>
        <v>#REF!</v>
      </c>
    </row>
    <row r="4611" spans="1:8" ht="19.5">
      <c r="A4611" s="27" t="s">
        <v>3005</v>
      </c>
      <c r="B4611" s="99" t="e">
        <f>+H4611</f>
        <v>#REF!</v>
      </c>
      <c r="C4611" s="1" t="s">
        <v>3006</v>
      </c>
      <c r="D4611" s="1"/>
      <c r="E4611" s="1"/>
      <c r="F4611" s="40" t="s">
        <v>1494</v>
      </c>
      <c r="G4611" s="102"/>
      <c r="H4611" s="99" t="e">
        <f>SUM(H4609:H4610)</f>
        <v>#REF!</v>
      </c>
    </row>
    <row r="4612" spans="1:8" ht="20.25">
      <c r="A4612" s="1"/>
      <c r="B4612" s="88"/>
      <c r="C4612" s="1"/>
      <c r="D4612" s="1"/>
      <c r="E4612" s="1"/>
      <c r="F4612" s="36"/>
      <c r="G4612" s="36"/>
      <c r="H4612" s="36"/>
    </row>
    <row r="4613" spans="1:8" ht="15.75">
      <c r="A4613" s="260">
        <f>A4602+1</f>
        <v>294</v>
      </c>
      <c r="B4613" s="957"/>
      <c r="C4613" s="958"/>
      <c r="D4613" s="958"/>
      <c r="E4613" s="958"/>
      <c r="F4613" s="958"/>
      <c r="G4613" s="958"/>
      <c r="H4613" s="958"/>
    </row>
    <row r="4614" spans="1:8" ht="19.5">
      <c r="A4614" s="677" t="s">
        <v>3750</v>
      </c>
      <c r="B4614" s="878" t="s">
        <v>3486</v>
      </c>
      <c r="C4614" s="878"/>
      <c r="D4614" s="878"/>
      <c r="E4614" s="878"/>
      <c r="F4614" s="878"/>
      <c r="G4614" s="878"/>
      <c r="H4614" s="878"/>
    </row>
    <row r="4615" spans="1:8" ht="19.5">
      <c r="A4615" s="3"/>
      <c r="B4615" s="909" t="s">
        <v>3487</v>
      </c>
      <c r="C4615" s="878"/>
      <c r="D4615" s="878"/>
      <c r="E4615" s="878"/>
      <c r="F4615" s="878"/>
      <c r="G4615" s="878"/>
      <c r="H4615" s="878"/>
    </row>
    <row r="4616" spans="1:8" ht="15">
      <c r="A4616" s="1"/>
      <c r="B4616" s="885" t="s">
        <v>3474</v>
      </c>
      <c r="C4616" s="885"/>
      <c r="D4616" s="885"/>
      <c r="E4616" s="885"/>
      <c r="F4616" s="885"/>
      <c r="G4616" s="885"/>
      <c r="H4616" s="885"/>
    </row>
    <row r="4617" spans="1:8" ht="31.5">
      <c r="A4617" s="1"/>
      <c r="B4617" s="68" t="s">
        <v>2966</v>
      </c>
      <c r="C4617" s="68" t="s">
        <v>2967</v>
      </c>
      <c r="D4617" s="68" t="s">
        <v>2968</v>
      </c>
      <c r="E4617" s="68" t="s">
        <v>2969</v>
      </c>
      <c r="F4617" s="68" t="s">
        <v>2970</v>
      </c>
      <c r="G4617" s="68" t="s">
        <v>2971</v>
      </c>
      <c r="H4617" s="68" t="s">
        <v>1487</v>
      </c>
    </row>
    <row r="4618" spans="1:8" ht="31.5">
      <c r="A4618" s="1"/>
      <c r="B4618" s="58" t="s">
        <v>2055</v>
      </c>
      <c r="C4618" s="58" t="s">
        <v>3488</v>
      </c>
      <c r="D4618" s="8"/>
      <c r="E4618" s="8"/>
      <c r="F4618" s="107"/>
      <c r="G4618" s="107"/>
      <c r="H4618" s="108"/>
    </row>
    <row r="4619" spans="1:8" ht="17.25">
      <c r="A4619" s="1"/>
      <c r="B4619" s="82" t="s">
        <v>370</v>
      </c>
      <c r="C4619" s="78" t="s">
        <v>3476</v>
      </c>
      <c r="D4619" s="43">
        <v>1</v>
      </c>
      <c r="E4619" s="56" t="s">
        <v>2807</v>
      </c>
      <c r="F4619" s="122" t="e">
        <f>#REF!</f>
        <v>#REF!</v>
      </c>
      <c r="G4619" s="63" t="e">
        <f>SUM(D4619*F4619)</f>
        <v>#REF!</v>
      </c>
      <c r="H4619" s="123" t="e">
        <f>SUM(G4619)</f>
        <v>#REF!</v>
      </c>
    </row>
    <row r="4620" spans="1:8" ht="19.5">
      <c r="A4620" s="1"/>
      <c r="B4620" s="1"/>
      <c r="C4620" s="1"/>
      <c r="D4620" s="1"/>
      <c r="E4620" s="1"/>
      <c r="F4620" s="40" t="s">
        <v>1491</v>
      </c>
      <c r="G4620" s="102"/>
      <c r="H4620" s="63" t="e">
        <f>SUM(H4617:H4619)</f>
        <v>#REF!</v>
      </c>
    </row>
    <row r="4621" spans="1:8" ht="19.5">
      <c r="A4621" s="1"/>
      <c r="B4621" s="1" t="s">
        <v>372</v>
      </c>
      <c r="C4621" s="1"/>
      <c r="D4621" s="1"/>
      <c r="E4621" s="1"/>
      <c r="F4621" s="40" t="s">
        <v>1471</v>
      </c>
      <c r="G4621" s="102"/>
      <c r="H4621" s="63" t="e">
        <f>FLOOR(H4620*0.15,0.01)</f>
        <v>#REF!</v>
      </c>
    </row>
    <row r="4622" spans="1:8" ht="19.5">
      <c r="A4622" s="27" t="s">
        <v>3005</v>
      </c>
      <c r="B4622" s="99" t="e">
        <f>+H4622</f>
        <v>#REF!</v>
      </c>
      <c r="C4622" s="1" t="s">
        <v>3006</v>
      </c>
      <c r="D4622" s="1"/>
      <c r="E4622" s="1"/>
      <c r="F4622" s="40" t="s">
        <v>1494</v>
      </c>
      <c r="G4622" s="102"/>
      <c r="H4622" s="99" t="e">
        <f>SUM(H4620:H4621)</f>
        <v>#REF!</v>
      </c>
    </row>
    <row r="4623" spans="1:8" ht="20.25">
      <c r="A4623" s="1"/>
      <c r="B4623" s="88"/>
      <c r="C4623" s="1"/>
      <c r="D4623" s="1"/>
      <c r="E4623" s="1"/>
      <c r="F4623" s="36"/>
      <c r="G4623" s="36"/>
      <c r="H4623" s="36"/>
    </row>
    <row r="4624" spans="1:8" ht="15">
      <c r="A4624" s="138">
        <f>A4613+1</f>
        <v>295</v>
      </c>
      <c r="B4624" s="883" t="s">
        <v>3577</v>
      </c>
      <c r="C4624" s="884"/>
      <c r="D4624" s="884"/>
      <c r="E4624" s="884"/>
      <c r="F4624" s="884"/>
      <c r="G4624" s="884"/>
      <c r="H4624" s="884"/>
    </row>
    <row r="4625" spans="1:16" ht="14.25">
      <c r="A4625" s="677"/>
      <c r="B4625" s="883"/>
      <c r="C4625" s="884"/>
      <c r="D4625" s="884"/>
      <c r="E4625" s="884"/>
      <c r="F4625" s="884"/>
      <c r="G4625" s="884"/>
      <c r="H4625" s="884"/>
    </row>
    <row r="4626" spans="1:16" ht="15">
      <c r="A4626" s="1"/>
      <c r="B4626" s="885" t="s">
        <v>1392</v>
      </c>
      <c r="C4626" s="885"/>
      <c r="D4626" s="885"/>
      <c r="E4626" s="885"/>
      <c r="F4626" s="885"/>
      <c r="G4626" s="885"/>
      <c r="H4626" s="885"/>
    </row>
    <row r="4627" spans="1:16" ht="31.5">
      <c r="A4627" s="1"/>
      <c r="B4627" s="68" t="s">
        <v>2966</v>
      </c>
      <c r="C4627" s="68" t="s">
        <v>2967</v>
      </c>
      <c r="D4627" s="68" t="s">
        <v>2968</v>
      </c>
      <c r="E4627" s="68" t="s">
        <v>2969</v>
      </c>
      <c r="F4627" s="68" t="s">
        <v>2970</v>
      </c>
      <c r="G4627" s="68" t="s">
        <v>2971</v>
      </c>
      <c r="H4627" s="68" t="s">
        <v>1487</v>
      </c>
    </row>
    <row r="4628" spans="1:16" ht="15.75">
      <c r="A4628" s="1"/>
      <c r="B4628" s="58" t="s">
        <v>2055</v>
      </c>
      <c r="C4628" s="58" t="s">
        <v>371</v>
      </c>
      <c r="D4628" s="8"/>
      <c r="E4628" s="8"/>
      <c r="F4628" s="8"/>
      <c r="G4628" s="8"/>
      <c r="H4628" s="8"/>
    </row>
    <row r="4629" spans="1:16" ht="63.75">
      <c r="A4629" s="1"/>
      <c r="B4629" s="81" t="s">
        <v>370</v>
      </c>
      <c r="C4629" s="83" t="s">
        <v>3578</v>
      </c>
      <c r="D4629" s="42">
        <v>1</v>
      </c>
      <c r="E4629" s="53" t="s">
        <v>2807</v>
      </c>
      <c r="F4629" s="109" t="e">
        <f>#REF!</f>
        <v>#REF!</v>
      </c>
      <c r="G4629" s="109" t="e">
        <f>FLOOR(D4629*F4629,0.01)</f>
        <v>#REF!</v>
      </c>
      <c r="H4629" s="9"/>
    </row>
    <row r="4630" spans="1:16" ht="17.25">
      <c r="A4630" s="1"/>
      <c r="B4630" s="78"/>
      <c r="C4630" s="78" t="s">
        <v>2922</v>
      </c>
      <c r="D4630" s="51"/>
      <c r="E4630" s="56"/>
      <c r="F4630" s="122"/>
      <c r="G4630" s="122"/>
      <c r="H4630" s="123" t="e">
        <f>SUM(G4629)</f>
        <v>#REF!</v>
      </c>
    </row>
    <row r="4631" spans="1:16" ht="19.5">
      <c r="A4631" s="1"/>
      <c r="B4631" s="1"/>
      <c r="C4631" s="1"/>
      <c r="D4631" s="1"/>
      <c r="E4631" s="1"/>
      <c r="F4631" s="40" t="s">
        <v>1491</v>
      </c>
      <c r="G4631" s="102"/>
      <c r="H4631" s="63" t="e">
        <f>SUM(H4627:H4630)</f>
        <v>#REF!</v>
      </c>
    </row>
    <row r="4632" spans="1:16" ht="19.5">
      <c r="A4632" s="1"/>
      <c r="B4632" s="1" t="s">
        <v>372</v>
      </c>
      <c r="C4632" s="1"/>
      <c r="D4632" s="1"/>
      <c r="E4632" s="1"/>
      <c r="F4632" s="40" t="s">
        <v>1471</v>
      </c>
      <c r="G4632" s="102"/>
      <c r="H4632" s="99" t="e">
        <f>FLOOR(H4631*0.15,0.01)</f>
        <v>#REF!</v>
      </c>
    </row>
    <row r="4633" spans="1:16" ht="19.5">
      <c r="A4633" s="27" t="s">
        <v>3005</v>
      </c>
      <c r="B4633" s="99" t="e">
        <f>+H4633</f>
        <v>#REF!</v>
      </c>
      <c r="C4633" s="1" t="s">
        <v>3006</v>
      </c>
      <c r="D4633" s="1"/>
      <c r="E4633" s="1"/>
      <c r="F4633" s="40" t="s">
        <v>1494</v>
      </c>
      <c r="G4633" s="102"/>
      <c r="H4633" s="99" t="e">
        <f>SUM(H4631:H4632)</f>
        <v>#REF!</v>
      </c>
    </row>
    <row r="4634" spans="1:16" ht="15">
      <c r="A4634" s="1"/>
      <c r="B4634" s="1"/>
      <c r="C4634" s="1"/>
      <c r="D4634" s="1"/>
      <c r="E4634" s="1"/>
      <c r="F4634" s="1"/>
      <c r="G4634" s="1"/>
      <c r="H4634" s="1"/>
    </row>
    <row r="4635" spans="1:16" ht="15">
      <c r="A4635" s="138">
        <f>+A4624+1</f>
        <v>296</v>
      </c>
      <c r="B4635" s="883" t="s">
        <v>3579</v>
      </c>
      <c r="C4635" s="884"/>
      <c r="D4635" s="884"/>
      <c r="E4635" s="884"/>
      <c r="F4635" s="884"/>
      <c r="G4635" s="884"/>
      <c r="H4635" s="884"/>
      <c r="I4635" s="138">
        <v>7</v>
      </c>
      <c r="J4635" s="883" t="s">
        <v>3579</v>
      </c>
      <c r="K4635" s="884"/>
      <c r="L4635" s="884"/>
      <c r="M4635" s="884"/>
      <c r="N4635" s="884"/>
      <c r="O4635" s="884"/>
      <c r="P4635" s="884"/>
    </row>
    <row r="4636" spans="1:16" ht="15">
      <c r="A4636" s="15"/>
      <c r="B4636" s="883"/>
      <c r="C4636" s="884"/>
      <c r="D4636" s="884"/>
      <c r="E4636" s="884"/>
      <c r="F4636" s="884"/>
      <c r="G4636" s="884"/>
      <c r="H4636" s="884"/>
      <c r="I4636" s="15"/>
      <c r="J4636" s="883"/>
      <c r="K4636" s="884"/>
      <c r="L4636" s="884"/>
      <c r="M4636" s="884"/>
      <c r="N4636" s="884"/>
      <c r="O4636" s="884"/>
      <c r="P4636" s="884"/>
    </row>
    <row r="4637" spans="1:16" ht="15">
      <c r="A4637" s="1"/>
      <c r="B4637" s="885" t="s">
        <v>1392</v>
      </c>
      <c r="C4637" s="885"/>
      <c r="D4637" s="885"/>
      <c r="E4637" s="885"/>
      <c r="F4637" s="885"/>
      <c r="G4637" s="885"/>
      <c r="H4637" s="885"/>
      <c r="I4637" s="1"/>
      <c r="J4637" s="885" t="s">
        <v>1392</v>
      </c>
      <c r="K4637" s="885"/>
      <c r="L4637" s="885"/>
      <c r="M4637" s="885"/>
      <c r="N4637" s="885"/>
      <c r="O4637" s="885"/>
      <c r="P4637" s="885"/>
    </row>
    <row r="4638" spans="1:16" ht="63">
      <c r="A4638" s="1"/>
      <c r="B4638" s="68" t="s">
        <v>2966</v>
      </c>
      <c r="C4638" s="68" t="s">
        <v>2967</v>
      </c>
      <c r="D4638" s="68" t="s">
        <v>2968</v>
      </c>
      <c r="E4638" s="68" t="s">
        <v>2969</v>
      </c>
      <c r="F4638" s="68" t="s">
        <v>2970</v>
      </c>
      <c r="G4638" s="68" t="s">
        <v>2971</v>
      </c>
      <c r="H4638" s="68" t="s">
        <v>1487</v>
      </c>
      <c r="I4638" s="1"/>
      <c r="J4638" s="68" t="s">
        <v>2966</v>
      </c>
      <c r="K4638" s="68" t="s">
        <v>2967</v>
      </c>
      <c r="L4638" s="68" t="s">
        <v>2968</v>
      </c>
      <c r="M4638" s="68" t="s">
        <v>2969</v>
      </c>
      <c r="N4638" s="68" t="s">
        <v>2970</v>
      </c>
      <c r="O4638" s="68" t="s">
        <v>2971</v>
      </c>
      <c r="P4638" s="68" t="s">
        <v>1487</v>
      </c>
    </row>
    <row r="4639" spans="1:16" ht="31.5">
      <c r="A4639" s="1"/>
      <c r="B4639" s="58" t="s">
        <v>2055</v>
      </c>
      <c r="C4639" s="58" t="s">
        <v>371</v>
      </c>
      <c r="D4639" s="41"/>
      <c r="E4639" s="55"/>
      <c r="F4639" s="107"/>
      <c r="G4639" s="107"/>
      <c r="H4639" s="108"/>
      <c r="I4639" s="1"/>
      <c r="J4639" s="58" t="s">
        <v>2055</v>
      </c>
      <c r="K4639" s="58" t="s">
        <v>371</v>
      </c>
      <c r="L4639" s="41"/>
      <c r="M4639" s="55"/>
      <c r="N4639" s="107"/>
      <c r="O4639" s="107"/>
      <c r="P4639" s="108"/>
    </row>
    <row r="4640" spans="1:16" ht="45">
      <c r="A4640" s="1"/>
      <c r="B4640" s="82" t="s">
        <v>370</v>
      </c>
      <c r="C4640" s="35" t="s">
        <v>3580</v>
      </c>
      <c r="D4640" s="43">
        <v>1</v>
      </c>
      <c r="E4640" s="56" t="s">
        <v>2807</v>
      </c>
      <c r="F4640" s="63" t="e">
        <f>#REF!</f>
        <v>#REF!</v>
      </c>
      <c r="G4640" s="63" t="e">
        <f>FLOOR(D4640*F4640,0.01)</f>
        <v>#REF!</v>
      </c>
      <c r="H4640" s="123" t="e">
        <f>SUM(G4640)</f>
        <v>#REF!</v>
      </c>
      <c r="I4640" s="1"/>
      <c r="J4640" s="82" t="s">
        <v>370</v>
      </c>
      <c r="K4640" s="35" t="s">
        <v>3580</v>
      </c>
      <c r="L4640" s="43">
        <v>1</v>
      </c>
      <c r="M4640" s="56" t="s">
        <v>2807</v>
      </c>
      <c r="N4640" s="63" t="e">
        <f>F4640</f>
        <v>#REF!</v>
      </c>
      <c r="O4640" s="63" t="e">
        <f>FLOOR(L4640*N4640,0.01)</f>
        <v>#REF!</v>
      </c>
      <c r="P4640" s="123" t="e">
        <f>SUM(O4640)</f>
        <v>#REF!</v>
      </c>
    </row>
    <row r="4641" spans="1:16" ht="19.5">
      <c r="A4641" s="1"/>
      <c r="B4641" s="1"/>
      <c r="C4641" s="1"/>
      <c r="D4641" s="1"/>
      <c r="E4641" s="1"/>
      <c r="F4641" s="40" t="s">
        <v>1491</v>
      </c>
      <c r="G4641" s="102"/>
      <c r="H4641" s="63" t="e">
        <f>SUM(H4639:H4640)</f>
        <v>#REF!</v>
      </c>
      <c r="I4641" s="1"/>
      <c r="J4641" s="1"/>
      <c r="K4641" s="1"/>
      <c r="L4641" s="1"/>
      <c r="M4641" s="1"/>
      <c r="N4641" s="40" t="s">
        <v>1491</v>
      </c>
      <c r="O4641" s="102"/>
      <c r="P4641" s="63" t="e">
        <f>SUM(P4639:P4640)</f>
        <v>#REF!</v>
      </c>
    </row>
    <row r="4642" spans="1:16" ht="19.5">
      <c r="A4642" s="1"/>
      <c r="B4642" s="1" t="s">
        <v>372</v>
      </c>
      <c r="C4642" s="1"/>
      <c r="D4642" s="1"/>
      <c r="E4642" s="1"/>
      <c r="F4642" s="40" t="s">
        <v>1471</v>
      </c>
      <c r="G4642" s="102"/>
      <c r="H4642" s="99" t="e">
        <f>FLOOR(H4641*0.15,0.01)</f>
        <v>#REF!</v>
      </c>
      <c r="I4642" s="1"/>
      <c r="J4642" s="1" t="s">
        <v>372</v>
      </c>
      <c r="K4642" s="1"/>
      <c r="L4642" s="1"/>
      <c r="M4642" s="1"/>
      <c r="N4642" s="40" t="s">
        <v>1471</v>
      </c>
      <c r="O4642" s="102"/>
      <c r="P4642" s="99" t="e">
        <f>FLOOR(P4641*0.15,0.01)</f>
        <v>#REF!</v>
      </c>
    </row>
    <row r="4643" spans="1:16" ht="19.5">
      <c r="A4643" s="27" t="s">
        <v>3005</v>
      </c>
      <c r="B4643" s="99" t="e">
        <f>+H4643</f>
        <v>#REF!</v>
      </c>
      <c r="C4643" s="1" t="s">
        <v>3006</v>
      </c>
      <c r="D4643" s="1"/>
      <c r="E4643" s="1"/>
      <c r="F4643" s="40" t="s">
        <v>1494</v>
      </c>
      <c r="G4643" s="102"/>
      <c r="H4643" s="99" t="e">
        <f>SUM(H4641:H4642)</f>
        <v>#REF!</v>
      </c>
      <c r="I4643" s="27" t="s">
        <v>3005</v>
      </c>
      <c r="J4643" s="713" t="e">
        <f>+P4643</f>
        <v>#REF!</v>
      </c>
      <c r="K4643" s="1" t="s">
        <v>3006</v>
      </c>
      <c r="L4643" s="1"/>
      <c r="M4643" s="1"/>
      <c r="N4643" s="40" t="s">
        <v>1494</v>
      </c>
      <c r="O4643" s="102"/>
      <c r="P4643" s="99" t="e">
        <f>SUM(P4641:P4642)</f>
        <v>#REF!</v>
      </c>
    </row>
    <row r="4644" spans="1:16" ht="15">
      <c r="A4644" s="1"/>
      <c r="B4644" s="1"/>
      <c r="C4644" s="1"/>
      <c r="D4644" s="1"/>
      <c r="E4644" s="1"/>
      <c r="F4644" s="1"/>
      <c r="G4644" s="1"/>
      <c r="H4644" s="1"/>
    </row>
    <row r="4645" spans="1:16" ht="16.5">
      <c r="A4645" s="138">
        <f>+A4635+1</f>
        <v>297</v>
      </c>
      <c r="B4645" s="1"/>
      <c r="C4645" s="1"/>
      <c r="D4645" s="1"/>
      <c r="E4645" s="1"/>
      <c r="F4645" s="1"/>
      <c r="G4645" s="1"/>
      <c r="H4645" s="1"/>
    </row>
    <row r="4646" spans="1:16" ht="15">
      <c r="A4646" s="15"/>
      <c r="B4646" s="884" t="s">
        <v>3591</v>
      </c>
      <c r="C4646" s="884"/>
      <c r="D4646" s="884"/>
      <c r="E4646" s="884"/>
      <c r="F4646" s="884"/>
      <c r="G4646" s="884"/>
      <c r="H4646" s="884"/>
    </row>
    <row r="4647" spans="1:16" ht="15">
      <c r="A4647" s="3"/>
      <c r="B4647" s="884"/>
      <c r="C4647" s="884"/>
      <c r="D4647" s="884"/>
      <c r="E4647" s="884"/>
      <c r="F4647" s="884"/>
      <c r="G4647" s="884"/>
      <c r="H4647" s="884"/>
    </row>
    <row r="4648" spans="1:16" ht="15">
      <c r="A4648" s="1"/>
      <c r="B4648" s="885" t="s">
        <v>1392</v>
      </c>
      <c r="C4648" s="885"/>
      <c r="D4648" s="885"/>
      <c r="E4648" s="885"/>
      <c r="F4648" s="885"/>
      <c r="G4648" s="885"/>
      <c r="H4648" s="885"/>
    </row>
    <row r="4649" spans="1:16" ht="31.5">
      <c r="A4649" s="1"/>
      <c r="B4649" s="68" t="s">
        <v>2966</v>
      </c>
      <c r="C4649" s="68" t="s">
        <v>2967</v>
      </c>
      <c r="D4649" s="68" t="s">
        <v>2968</v>
      </c>
      <c r="E4649" s="68" t="s">
        <v>2969</v>
      </c>
      <c r="F4649" s="68" t="s">
        <v>2970</v>
      </c>
      <c r="G4649" s="68" t="s">
        <v>2971</v>
      </c>
      <c r="H4649" s="68" t="s">
        <v>1487</v>
      </c>
    </row>
    <row r="4650" spans="1:16" ht="15.75">
      <c r="A4650" s="1"/>
      <c r="B4650" s="58" t="s">
        <v>2055</v>
      </c>
      <c r="C4650" s="58" t="s">
        <v>371</v>
      </c>
      <c r="D4650" s="8"/>
      <c r="E4650" s="8"/>
      <c r="F4650" s="107"/>
      <c r="G4650" s="107"/>
      <c r="H4650" s="108"/>
    </row>
    <row r="4651" spans="1:16" ht="22.5">
      <c r="A4651" s="1"/>
      <c r="B4651" s="81" t="s">
        <v>370</v>
      </c>
      <c r="C4651" s="34" t="s">
        <v>3592</v>
      </c>
      <c r="D4651" s="42">
        <v>1</v>
      </c>
      <c r="E4651" s="53" t="s">
        <v>2807</v>
      </c>
      <c r="F4651" s="109" t="e">
        <f>#REF!</f>
        <v>#REF!</v>
      </c>
      <c r="G4651" s="109" t="e">
        <f>FLOOR(D4651*F4651,0.01)</f>
        <v>#REF!</v>
      </c>
      <c r="H4651" s="121" t="e">
        <f>SUM(G4651)</f>
        <v>#REF!</v>
      </c>
    </row>
    <row r="4652" spans="1:16" ht="16.5">
      <c r="A4652" s="1"/>
      <c r="B4652" s="33"/>
      <c r="C4652" s="78" t="s">
        <v>2458</v>
      </c>
      <c r="D4652" s="51"/>
      <c r="E4652" s="15"/>
      <c r="F4652" s="122"/>
      <c r="G4652" s="122"/>
      <c r="H4652" s="10"/>
    </row>
    <row r="4653" spans="1:16" ht="19.5">
      <c r="A4653" s="1"/>
      <c r="B4653" s="1"/>
      <c r="C4653" s="1"/>
      <c r="D4653" s="1"/>
      <c r="E4653" s="1"/>
      <c r="F4653" s="40" t="s">
        <v>1491</v>
      </c>
      <c r="G4653" s="102"/>
      <c r="H4653" s="63" t="e">
        <f>SUM(H4649:H4651)</f>
        <v>#REF!</v>
      </c>
    </row>
    <row r="4654" spans="1:16" ht="19.5">
      <c r="A4654" s="1"/>
      <c r="B4654" s="1" t="s">
        <v>372</v>
      </c>
      <c r="C4654" s="1"/>
      <c r="D4654" s="1"/>
      <c r="E4654" s="1"/>
      <c r="F4654" s="40" t="s">
        <v>1471</v>
      </c>
      <c r="G4654" s="102"/>
      <c r="H4654" s="99" t="e">
        <f>FLOOR(H4653*0.15,0.01)</f>
        <v>#REF!</v>
      </c>
    </row>
    <row r="4655" spans="1:16" ht="19.5">
      <c r="A4655" s="27" t="s">
        <v>3005</v>
      </c>
      <c r="B4655" s="99" t="e">
        <f>+H4655</f>
        <v>#REF!</v>
      </c>
      <c r="C4655" s="1" t="s">
        <v>3006</v>
      </c>
      <c r="D4655" s="1"/>
      <c r="E4655" s="1"/>
      <c r="F4655" s="40" t="s">
        <v>1494</v>
      </c>
      <c r="G4655" s="102"/>
      <c r="H4655" s="99" t="e">
        <f>SUM(H4653:H4654)</f>
        <v>#REF!</v>
      </c>
    </row>
    <row r="4656" spans="1:16" ht="15">
      <c r="A4656" s="1"/>
      <c r="B4656" s="1"/>
      <c r="C4656" s="1"/>
      <c r="D4656" s="1"/>
      <c r="E4656" s="1"/>
      <c r="F4656" s="1"/>
      <c r="G4656" s="1"/>
      <c r="H4656" s="1"/>
    </row>
    <row r="4657" spans="1:8" ht="15">
      <c r="A4657" s="1"/>
      <c r="B4657" s="1"/>
      <c r="C4657" s="1"/>
      <c r="D4657" s="1"/>
      <c r="E4657" s="1"/>
      <c r="F4657" s="1"/>
      <c r="G4657" s="1"/>
      <c r="H4657" s="1"/>
    </row>
    <row r="4658" spans="1:8" ht="16.5">
      <c r="A4658" s="138">
        <f>+A4645+1</f>
        <v>298</v>
      </c>
      <c r="B4658" s="970"/>
      <c r="C4658" s="976"/>
      <c r="D4658" s="976"/>
      <c r="E4658" s="976"/>
      <c r="F4658" s="976"/>
      <c r="G4658" s="976"/>
      <c r="H4658" s="976"/>
    </row>
    <row r="4659" spans="1:8" ht="15">
      <c r="A4659" s="15"/>
      <c r="B4659" s="884" t="s">
        <v>3583</v>
      </c>
      <c r="C4659" s="884"/>
      <c r="D4659" s="884"/>
      <c r="E4659" s="884"/>
      <c r="F4659" s="884"/>
      <c r="G4659" s="884"/>
      <c r="H4659" s="884"/>
    </row>
    <row r="4660" spans="1:8" ht="15">
      <c r="A4660" s="3"/>
      <c r="B4660" s="884"/>
      <c r="C4660" s="884"/>
      <c r="D4660" s="884"/>
      <c r="E4660" s="884"/>
      <c r="F4660" s="884"/>
      <c r="G4660" s="884"/>
      <c r="H4660" s="884"/>
    </row>
    <row r="4661" spans="1:8" ht="15">
      <c r="A4661" s="1"/>
      <c r="B4661" s="885" t="s">
        <v>1392</v>
      </c>
      <c r="C4661" s="885"/>
      <c r="D4661" s="885"/>
      <c r="E4661" s="885"/>
      <c r="F4661" s="885"/>
      <c r="G4661" s="885"/>
      <c r="H4661" s="885"/>
    </row>
    <row r="4662" spans="1:8" ht="31.5">
      <c r="A4662" s="1"/>
      <c r="B4662" s="68" t="s">
        <v>2966</v>
      </c>
      <c r="C4662" s="68" t="s">
        <v>2967</v>
      </c>
      <c r="D4662" s="68" t="s">
        <v>2968</v>
      </c>
      <c r="E4662" s="68" t="s">
        <v>2969</v>
      </c>
      <c r="F4662" s="68" t="s">
        <v>2970</v>
      </c>
      <c r="G4662" s="68" t="s">
        <v>2971</v>
      </c>
      <c r="H4662" s="68" t="s">
        <v>1487</v>
      </c>
    </row>
    <row r="4663" spans="1:8" ht="15.75">
      <c r="A4663" s="1"/>
      <c r="B4663" s="58" t="s">
        <v>371</v>
      </c>
      <c r="C4663" s="58" t="s">
        <v>371</v>
      </c>
      <c r="D4663" s="8"/>
      <c r="E4663" s="8"/>
      <c r="F4663" s="107"/>
      <c r="G4663" s="107"/>
      <c r="H4663" s="108"/>
    </row>
    <row r="4664" spans="1:8" ht="22.5">
      <c r="A4664" s="1"/>
      <c r="B4664" s="81" t="s">
        <v>2055</v>
      </c>
      <c r="C4664" s="34" t="s">
        <v>3581</v>
      </c>
      <c r="D4664" s="50"/>
      <c r="E4664" s="12"/>
      <c r="F4664" s="116"/>
      <c r="G4664" s="116"/>
      <c r="H4664" s="121"/>
    </row>
    <row r="4665" spans="1:8" ht="17.25">
      <c r="A4665" s="1"/>
      <c r="B4665" s="81" t="s">
        <v>370</v>
      </c>
      <c r="C4665" s="80" t="s">
        <v>2458</v>
      </c>
      <c r="D4665" s="42">
        <v>1</v>
      </c>
      <c r="E4665" s="53" t="s">
        <v>2807</v>
      </c>
      <c r="F4665" s="109" t="e">
        <f>#REF!</f>
        <v>#REF!</v>
      </c>
      <c r="G4665" s="109" t="e">
        <f>FLOOR(D4665*F4665,0.01)</f>
        <v>#REF!</v>
      </c>
      <c r="H4665" s="9"/>
    </row>
    <row r="4666" spans="1:8" ht="16.5">
      <c r="A4666" s="1"/>
      <c r="B4666" s="82"/>
      <c r="C4666" s="82" t="s">
        <v>2239</v>
      </c>
      <c r="D4666" s="51"/>
      <c r="E4666" s="15"/>
      <c r="F4666" s="122"/>
      <c r="G4666" s="122"/>
      <c r="H4666" s="123" t="e">
        <f>SUM(G4665)</f>
        <v>#REF!</v>
      </c>
    </row>
    <row r="4667" spans="1:8" ht="19.5">
      <c r="A4667" s="1"/>
      <c r="B4667" s="1"/>
      <c r="C4667" s="1"/>
      <c r="D4667" s="1"/>
      <c r="E4667" s="1"/>
      <c r="F4667" s="40" t="s">
        <v>1491</v>
      </c>
      <c r="G4667" s="102"/>
      <c r="H4667" s="63" t="e">
        <f>SUM(H4663:H4666)</f>
        <v>#REF!</v>
      </c>
    </row>
    <row r="4668" spans="1:8" ht="19.5">
      <c r="A4668" s="1"/>
      <c r="B4668" s="1" t="s">
        <v>372</v>
      </c>
      <c r="C4668" s="1"/>
      <c r="D4668" s="1"/>
      <c r="E4668" s="1"/>
      <c r="F4668" s="40" t="s">
        <v>1471</v>
      </c>
      <c r="G4668" s="102"/>
      <c r="H4668" s="99" t="e">
        <f>FLOOR(H4667*0.15,0.01)</f>
        <v>#REF!</v>
      </c>
    </row>
    <row r="4669" spans="1:8" ht="19.5">
      <c r="A4669" s="27" t="s">
        <v>3005</v>
      </c>
      <c r="B4669" s="99" t="e">
        <f>+H4669</f>
        <v>#REF!</v>
      </c>
      <c r="C4669" s="1" t="s">
        <v>3006</v>
      </c>
      <c r="D4669" s="1"/>
      <c r="E4669" s="1"/>
      <c r="F4669" s="40" t="s">
        <v>1494</v>
      </c>
      <c r="G4669" s="102"/>
      <c r="H4669" s="99" t="e">
        <f>SUM(H4667:H4668)</f>
        <v>#REF!</v>
      </c>
    </row>
    <row r="4670" spans="1:8" ht="15">
      <c r="A4670" s="1"/>
      <c r="B4670" s="1"/>
      <c r="C4670" s="1"/>
      <c r="D4670" s="1"/>
      <c r="E4670" s="1"/>
      <c r="F4670" s="1"/>
      <c r="G4670" s="1"/>
      <c r="H4670" s="1"/>
    </row>
    <row r="4671" spans="1:8" ht="16.5">
      <c r="A4671" s="138">
        <f>+A4658+1</f>
        <v>299</v>
      </c>
      <c r="B4671" s="970"/>
      <c r="C4671" s="976"/>
      <c r="D4671" s="976"/>
      <c r="E4671" s="976"/>
      <c r="F4671" s="976"/>
      <c r="G4671" s="976"/>
      <c r="H4671" s="976"/>
    </row>
    <row r="4672" spans="1:8" ht="15">
      <c r="A4672" s="15"/>
      <c r="B4672" s="884" t="s">
        <v>3584</v>
      </c>
      <c r="C4672" s="884"/>
      <c r="D4672" s="884"/>
      <c r="E4672" s="884"/>
      <c r="F4672" s="884"/>
      <c r="G4672" s="884"/>
      <c r="H4672" s="884"/>
    </row>
    <row r="4673" spans="1:8" ht="15">
      <c r="A4673" s="3"/>
      <c r="B4673" s="884"/>
      <c r="C4673" s="884"/>
      <c r="D4673" s="884"/>
      <c r="E4673" s="884"/>
      <c r="F4673" s="884"/>
      <c r="G4673" s="884"/>
      <c r="H4673" s="884"/>
    </row>
    <row r="4674" spans="1:8" ht="15">
      <c r="A4674" s="3"/>
      <c r="B4674" s="885" t="s">
        <v>1392</v>
      </c>
      <c r="C4674" s="885"/>
      <c r="D4674" s="885"/>
      <c r="E4674" s="885"/>
      <c r="F4674" s="885"/>
      <c r="G4674" s="885"/>
      <c r="H4674" s="885"/>
    </row>
    <row r="4675" spans="1:8" ht="31.5">
      <c r="A4675" s="1"/>
      <c r="B4675" s="68" t="s">
        <v>2966</v>
      </c>
      <c r="C4675" s="68" t="s">
        <v>2967</v>
      </c>
      <c r="D4675" s="68" t="s">
        <v>2968</v>
      </c>
      <c r="E4675" s="68" t="s">
        <v>2969</v>
      </c>
      <c r="F4675" s="68" t="s">
        <v>2970</v>
      </c>
      <c r="G4675" s="68" t="s">
        <v>2971</v>
      </c>
      <c r="H4675" s="68" t="s">
        <v>1487</v>
      </c>
    </row>
    <row r="4676" spans="1:8" ht="15.75">
      <c r="A4676" s="1"/>
      <c r="B4676" s="58" t="s">
        <v>371</v>
      </c>
      <c r="C4676" s="58" t="s">
        <v>371</v>
      </c>
      <c r="D4676" s="8"/>
      <c r="E4676" s="8"/>
      <c r="F4676" s="107"/>
      <c r="G4676" s="107"/>
      <c r="H4676" s="108"/>
    </row>
    <row r="4677" spans="1:8" ht="16.5">
      <c r="A4677" s="1"/>
      <c r="B4677" s="81" t="s">
        <v>2055</v>
      </c>
      <c r="C4677" s="34" t="s">
        <v>3582</v>
      </c>
      <c r="D4677" s="50"/>
      <c r="E4677" s="12"/>
      <c r="F4677" s="116"/>
      <c r="G4677" s="116"/>
      <c r="H4677" s="121"/>
    </row>
    <row r="4678" spans="1:8" ht="17.25">
      <c r="A4678" s="1"/>
      <c r="B4678" s="81" t="s">
        <v>370</v>
      </c>
      <c r="C4678" s="34" t="s">
        <v>3593</v>
      </c>
      <c r="D4678" s="42">
        <v>1</v>
      </c>
      <c r="E4678" s="53" t="s">
        <v>2807</v>
      </c>
      <c r="F4678" s="109" t="e">
        <f>#REF!</f>
        <v>#REF!</v>
      </c>
      <c r="G4678" s="109" t="e">
        <f>FLOOR(D4678*F4678,0.01)</f>
        <v>#REF!</v>
      </c>
      <c r="H4678" s="9"/>
    </row>
    <row r="4679" spans="1:8" ht="16.5">
      <c r="A4679" s="1"/>
      <c r="B4679" s="33"/>
      <c r="C4679" s="78" t="s">
        <v>2064</v>
      </c>
      <c r="D4679" s="51"/>
      <c r="E4679" s="15"/>
      <c r="F4679" s="122"/>
      <c r="G4679" s="122"/>
      <c r="H4679" s="123" t="e">
        <f>SUM(G4678)</f>
        <v>#REF!</v>
      </c>
    </row>
    <row r="4680" spans="1:8" ht="19.5">
      <c r="A4680" s="1"/>
      <c r="B4680" s="1"/>
      <c r="C4680" s="1"/>
      <c r="D4680" s="1"/>
      <c r="E4680" s="1"/>
      <c r="F4680" s="40" t="s">
        <v>1491</v>
      </c>
      <c r="G4680" s="102"/>
      <c r="H4680" s="63" t="e">
        <f>SUM(H4676:H4679)</f>
        <v>#REF!</v>
      </c>
    </row>
    <row r="4681" spans="1:8" ht="19.5">
      <c r="A4681" s="1"/>
      <c r="B4681" s="1" t="s">
        <v>372</v>
      </c>
      <c r="C4681" s="1"/>
      <c r="D4681" s="1"/>
      <c r="E4681" s="1"/>
      <c r="F4681" s="40" t="s">
        <v>1471</v>
      </c>
      <c r="G4681" s="102"/>
      <c r="H4681" s="99" t="e">
        <f>FLOOR(H4680*0.15,0.01)</f>
        <v>#REF!</v>
      </c>
    </row>
    <row r="4682" spans="1:8" ht="19.5">
      <c r="A4682" s="27" t="s">
        <v>3005</v>
      </c>
      <c r="B4682" s="99" t="e">
        <f>+H4682</f>
        <v>#REF!</v>
      </c>
      <c r="C4682" s="1" t="s">
        <v>3006</v>
      </c>
      <c r="D4682" s="1"/>
      <c r="E4682" s="1"/>
      <c r="F4682" s="40" t="s">
        <v>1494</v>
      </c>
      <c r="G4682" s="102"/>
      <c r="H4682" s="99" t="e">
        <f>SUM(H4680:H4681)</f>
        <v>#REF!</v>
      </c>
    </row>
    <row r="4683" spans="1:8" ht="15">
      <c r="A4683" s="1"/>
      <c r="B4683" s="1"/>
      <c r="C4683" s="1"/>
      <c r="D4683" s="1"/>
      <c r="E4683" s="1"/>
      <c r="F4683" s="1"/>
      <c r="G4683" s="1"/>
      <c r="H4683" s="1"/>
    </row>
    <row r="4684" spans="1:8" ht="46.5" customHeight="1">
      <c r="A4684" s="138">
        <f>+A4671+1</f>
        <v>300</v>
      </c>
      <c r="B4684" s="977" t="s">
        <v>3586</v>
      </c>
      <c r="C4684" s="978"/>
      <c r="D4684" s="978"/>
      <c r="E4684" s="978"/>
      <c r="F4684" s="978"/>
      <c r="G4684" s="978"/>
      <c r="H4684" s="978"/>
    </row>
    <row r="4685" spans="1:8" ht="15">
      <c r="A4685" s="15"/>
      <c r="B4685" s="979"/>
      <c r="C4685" s="957"/>
      <c r="D4685" s="957"/>
      <c r="E4685" s="957"/>
      <c r="F4685" s="957"/>
      <c r="G4685" s="957"/>
      <c r="H4685" s="957"/>
    </row>
    <row r="4686" spans="1:8" ht="15">
      <c r="A4686" s="1"/>
      <c r="B4686" s="885" t="s">
        <v>1392</v>
      </c>
      <c r="C4686" s="885"/>
      <c r="D4686" s="885"/>
      <c r="E4686" s="885"/>
      <c r="F4686" s="885"/>
      <c r="G4686" s="885"/>
      <c r="H4686" s="885"/>
    </row>
    <row r="4687" spans="1:8" ht="31.5">
      <c r="A4687" s="1"/>
      <c r="B4687" s="68" t="s">
        <v>2966</v>
      </c>
      <c r="C4687" s="68" t="s">
        <v>2967</v>
      </c>
      <c r="D4687" s="68" t="s">
        <v>2968</v>
      </c>
      <c r="E4687" s="68" t="s">
        <v>2969</v>
      </c>
      <c r="F4687" s="68" t="s">
        <v>2970</v>
      </c>
      <c r="G4687" s="68" t="s">
        <v>2971</v>
      </c>
      <c r="H4687" s="68" t="s">
        <v>1487</v>
      </c>
    </row>
    <row r="4688" spans="1:8" ht="15.75">
      <c r="A4688" s="1"/>
      <c r="B4688" s="58" t="s">
        <v>371</v>
      </c>
      <c r="C4688" s="58" t="s">
        <v>371</v>
      </c>
      <c r="D4688" s="8"/>
      <c r="E4688" s="8"/>
      <c r="F4688" s="107"/>
      <c r="G4688" s="107"/>
      <c r="H4688" s="108"/>
    </row>
    <row r="4689" spans="1:8" ht="22.5">
      <c r="A4689" s="1"/>
      <c r="B4689" s="81" t="s">
        <v>2055</v>
      </c>
      <c r="C4689" s="34" t="s">
        <v>3594</v>
      </c>
      <c r="D4689" s="50"/>
      <c r="E4689" s="12"/>
      <c r="F4689" s="116"/>
      <c r="G4689" s="116"/>
      <c r="H4689" s="121"/>
    </row>
    <row r="4690" spans="1:8" ht="22.5">
      <c r="A4690" s="1"/>
      <c r="B4690" s="81" t="s">
        <v>370</v>
      </c>
      <c r="C4690" s="34" t="s">
        <v>3595</v>
      </c>
      <c r="D4690" s="42">
        <v>1</v>
      </c>
      <c r="E4690" s="53" t="s">
        <v>2807</v>
      </c>
      <c r="F4690" s="109" t="e">
        <f>#REF!</f>
        <v>#REF!</v>
      </c>
      <c r="G4690" s="109" t="e">
        <f>FLOOR(D4690*F4690,0.01)</f>
        <v>#REF!</v>
      </c>
      <c r="H4690" s="9"/>
    </row>
    <row r="4691" spans="1:8" ht="16.5">
      <c r="A4691" s="1"/>
      <c r="B4691" s="33"/>
      <c r="C4691" s="78" t="s">
        <v>2065</v>
      </c>
      <c r="D4691" s="51"/>
      <c r="E4691" s="15"/>
      <c r="F4691" s="122"/>
      <c r="G4691" s="122"/>
      <c r="H4691" s="123" t="e">
        <f>SUM(G4690)</f>
        <v>#REF!</v>
      </c>
    </row>
    <row r="4692" spans="1:8" ht="19.5">
      <c r="A4692" s="1"/>
      <c r="B4692" s="1"/>
      <c r="C4692" s="1"/>
      <c r="D4692" s="1"/>
      <c r="E4692" s="1"/>
      <c r="F4692" s="40" t="s">
        <v>1491</v>
      </c>
      <c r="G4692" s="102"/>
      <c r="H4692" s="63" t="e">
        <f>SUM(H4688:H4691)</f>
        <v>#REF!</v>
      </c>
    </row>
    <row r="4693" spans="1:8" ht="19.5">
      <c r="A4693" s="1"/>
      <c r="B4693" s="1" t="s">
        <v>372</v>
      </c>
      <c r="C4693" s="1"/>
      <c r="D4693" s="1"/>
      <c r="E4693" s="1"/>
      <c r="F4693" s="40" t="s">
        <v>1471</v>
      </c>
      <c r="G4693" s="102"/>
      <c r="H4693" s="99" t="e">
        <f>FLOOR(H4692*0.15,0.01)</f>
        <v>#REF!</v>
      </c>
    </row>
    <row r="4694" spans="1:8" ht="19.5">
      <c r="A4694" s="27" t="s">
        <v>3005</v>
      </c>
      <c r="B4694" s="99" t="e">
        <f>+H4694</f>
        <v>#REF!</v>
      </c>
      <c r="C4694" s="1" t="s">
        <v>3006</v>
      </c>
      <c r="D4694" s="1"/>
      <c r="E4694" s="1"/>
      <c r="F4694" s="40" t="s">
        <v>1494</v>
      </c>
      <c r="G4694" s="102"/>
      <c r="H4694" s="99" t="e">
        <f>SUM(H4692:H4693)</f>
        <v>#REF!</v>
      </c>
    </row>
    <row r="4695" spans="1:8" ht="19.5">
      <c r="A4695" s="27"/>
      <c r="B4695" s="141"/>
      <c r="C4695" s="1"/>
      <c r="D4695" s="1"/>
      <c r="E4695" s="1"/>
      <c r="F4695" s="40"/>
      <c r="G4695" s="102"/>
      <c r="H4695" s="141"/>
    </row>
    <row r="4696" spans="1:8" ht="42" customHeight="1">
      <c r="A4696" s="138">
        <f>A4684+1</f>
        <v>301</v>
      </c>
      <c r="B4696" s="977" t="s">
        <v>3585</v>
      </c>
      <c r="C4696" s="978"/>
      <c r="D4696" s="978"/>
      <c r="E4696" s="978"/>
      <c r="F4696" s="978"/>
      <c r="G4696" s="978"/>
      <c r="H4696" s="978"/>
    </row>
    <row r="4697" spans="1:8" ht="15">
      <c r="A4697" s="15"/>
      <c r="B4697" s="979"/>
      <c r="C4697" s="957"/>
      <c r="D4697" s="957"/>
      <c r="E4697" s="957"/>
      <c r="F4697" s="957"/>
      <c r="G4697" s="957"/>
      <c r="H4697" s="957"/>
    </row>
    <row r="4698" spans="1:8" ht="15">
      <c r="A4698" s="1"/>
      <c r="B4698" s="885" t="s">
        <v>1392</v>
      </c>
      <c r="C4698" s="885"/>
      <c r="D4698" s="885"/>
      <c r="E4698" s="885"/>
      <c r="F4698" s="885"/>
      <c r="G4698" s="885"/>
      <c r="H4698" s="885"/>
    </row>
    <row r="4699" spans="1:8" ht="31.5">
      <c r="A4699" s="1"/>
      <c r="B4699" s="68" t="s">
        <v>2966</v>
      </c>
      <c r="C4699" s="68" t="s">
        <v>2967</v>
      </c>
      <c r="D4699" s="68" t="s">
        <v>2968</v>
      </c>
      <c r="E4699" s="68" t="s">
        <v>2969</v>
      </c>
      <c r="F4699" s="68" t="s">
        <v>2970</v>
      </c>
      <c r="G4699" s="68" t="s">
        <v>2971</v>
      </c>
      <c r="H4699" s="68" t="s">
        <v>1487</v>
      </c>
    </row>
    <row r="4700" spans="1:8" ht="15.75">
      <c r="A4700" s="1"/>
      <c r="B4700" s="58" t="s">
        <v>371</v>
      </c>
      <c r="C4700" s="58" t="s">
        <v>371</v>
      </c>
      <c r="D4700" s="8"/>
      <c r="E4700" s="8"/>
      <c r="F4700" s="107"/>
      <c r="G4700" s="107"/>
      <c r="H4700" s="108"/>
    </row>
    <row r="4701" spans="1:8" ht="16.5">
      <c r="A4701" s="1"/>
      <c r="B4701" s="81" t="s">
        <v>2055</v>
      </c>
      <c r="C4701" s="34" t="s">
        <v>3596</v>
      </c>
      <c r="D4701" s="50"/>
      <c r="E4701" s="12"/>
      <c r="F4701" s="116"/>
      <c r="G4701" s="116"/>
      <c r="H4701" s="121"/>
    </row>
    <row r="4702" spans="1:8" ht="17.25">
      <c r="A4702" s="1"/>
      <c r="B4702" s="82" t="s">
        <v>370</v>
      </c>
      <c r="C4702" s="35" t="s">
        <v>3603</v>
      </c>
      <c r="D4702" s="43">
        <v>1</v>
      </c>
      <c r="E4702" s="56" t="s">
        <v>2807</v>
      </c>
      <c r="F4702" s="63" t="e">
        <f>#REF!</f>
        <v>#REF!</v>
      </c>
      <c r="G4702" s="63" t="e">
        <f>FLOOR(D4702*F4702,0.01)</f>
        <v>#REF!</v>
      </c>
      <c r="H4702" s="123" t="e">
        <f>SUM(G4702)</f>
        <v>#REF!</v>
      </c>
    </row>
    <row r="4703" spans="1:8" ht="19.5">
      <c r="A4703" s="1"/>
      <c r="B4703" s="1"/>
      <c r="C4703" s="1"/>
      <c r="D4703" s="1"/>
      <c r="E4703" s="1"/>
      <c r="F4703" s="40" t="s">
        <v>1491</v>
      </c>
      <c r="G4703" s="102"/>
      <c r="H4703" s="63" t="e">
        <f>SUM(H4700:H4702)</f>
        <v>#REF!</v>
      </c>
    </row>
    <row r="4704" spans="1:8" ht="19.5">
      <c r="A4704" s="1"/>
      <c r="B4704" s="1" t="s">
        <v>372</v>
      </c>
      <c r="C4704" s="1"/>
      <c r="D4704" s="1"/>
      <c r="E4704" s="1"/>
      <c r="F4704" s="40" t="s">
        <v>1471</v>
      </c>
      <c r="G4704" s="102"/>
      <c r="H4704" s="99" t="e">
        <f>FLOOR(H4703*0.15,0.01)</f>
        <v>#REF!</v>
      </c>
    </row>
    <row r="4705" spans="1:8" ht="19.5">
      <c r="A4705" s="27" t="s">
        <v>3005</v>
      </c>
      <c r="B4705" s="99" t="e">
        <f>+H4705</f>
        <v>#REF!</v>
      </c>
      <c r="C4705" s="1" t="s">
        <v>3006</v>
      </c>
      <c r="D4705" s="1"/>
      <c r="E4705" s="1"/>
      <c r="F4705" s="40" t="s">
        <v>1494</v>
      </c>
      <c r="G4705" s="102"/>
      <c r="H4705" s="99" t="e">
        <f>SUM(H4703:H4704)</f>
        <v>#REF!</v>
      </c>
    </row>
    <row r="4706" spans="1:8" ht="19.5">
      <c r="A4706" s="27"/>
      <c r="B4706" s="141"/>
      <c r="C4706" s="1"/>
      <c r="D4706" s="1"/>
      <c r="E4706" s="1"/>
      <c r="F4706" s="40"/>
      <c r="G4706" s="102"/>
      <c r="H4706" s="141"/>
    </row>
    <row r="4707" spans="1:8" ht="16.5">
      <c r="A4707" s="138">
        <f>A4696+1</f>
        <v>302</v>
      </c>
      <c r="B4707" s="1"/>
      <c r="C4707" s="1"/>
      <c r="D4707" s="1"/>
      <c r="E4707" s="1"/>
      <c r="F4707" s="1"/>
      <c r="G4707" s="1"/>
      <c r="H4707" s="1"/>
    </row>
    <row r="4708" spans="1:8" ht="15">
      <c r="A4708" s="15"/>
      <c r="B4708" s="977" t="s">
        <v>3587</v>
      </c>
      <c r="C4708" s="978"/>
      <c r="D4708" s="978"/>
      <c r="E4708" s="978"/>
      <c r="F4708" s="978"/>
      <c r="G4708" s="978"/>
      <c r="H4708" s="978"/>
    </row>
    <row r="4709" spans="1:8" ht="15">
      <c r="A4709" s="1"/>
      <c r="B4709" s="885" t="s">
        <v>1392</v>
      </c>
      <c r="C4709" s="885"/>
      <c r="D4709" s="885"/>
      <c r="E4709" s="885"/>
      <c r="F4709" s="885"/>
      <c r="G4709" s="885"/>
      <c r="H4709" s="885"/>
    </row>
    <row r="4710" spans="1:8" ht="31.5">
      <c r="A4710" s="1"/>
      <c r="B4710" s="68" t="s">
        <v>2966</v>
      </c>
      <c r="C4710" s="68" t="s">
        <v>2967</v>
      </c>
      <c r="D4710" s="68" t="s">
        <v>2968</v>
      </c>
      <c r="E4710" s="68" t="s">
        <v>2969</v>
      </c>
      <c r="F4710" s="68" t="s">
        <v>2970</v>
      </c>
      <c r="G4710" s="68" t="s">
        <v>2971</v>
      </c>
      <c r="H4710" s="68" t="s">
        <v>1487</v>
      </c>
    </row>
    <row r="4711" spans="1:8" ht="15.75">
      <c r="A4711" s="1"/>
      <c r="B4711" s="58" t="s">
        <v>371</v>
      </c>
      <c r="C4711" s="58" t="s">
        <v>371</v>
      </c>
      <c r="D4711" s="8"/>
      <c r="E4711" s="8"/>
      <c r="F4711" s="107"/>
      <c r="G4711" s="107"/>
      <c r="H4711" s="108"/>
    </row>
    <row r="4712" spans="1:8" ht="16.5">
      <c r="A4712" s="1"/>
      <c r="B4712" s="81" t="s">
        <v>2055</v>
      </c>
      <c r="C4712" s="34" t="s">
        <v>2457</v>
      </c>
      <c r="D4712" s="50"/>
      <c r="E4712" s="12"/>
      <c r="F4712" s="116"/>
      <c r="G4712" s="116"/>
      <c r="H4712" s="121"/>
    </row>
    <row r="4713" spans="1:8" ht="17.25">
      <c r="A4713" s="1"/>
      <c r="B4713" s="82" t="s">
        <v>370</v>
      </c>
      <c r="C4713" s="78" t="s">
        <v>2065</v>
      </c>
      <c r="D4713" s="43">
        <v>1</v>
      </c>
      <c r="E4713" s="56" t="s">
        <v>2807</v>
      </c>
      <c r="F4713" s="63" t="e">
        <f>#REF!</f>
        <v>#REF!</v>
      </c>
      <c r="G4713" s="63" t="e">
        <f>FLOOR(D4713*F4713,0.01)</f>
        <v>#REF!</v>
      </c>
      <c r="H4713" s="123" t="e">
        <f>SUM(G4713)</f>
        <v>#REF!</v>
      </c>
    </row>
    <row r="4714" spans="1:8" ht="19.5">
      <c r="A4714" s="1"/>
      <c r="B4714" s="1"/>
      <c r="C4714" s="1"/>
      <c r="D4714" s="1"/>
      <c r="E4714" s="1"/>
      <c r="F4714" s="40" t="s">
        <v>1491</v>
      </c>
      <c r="G4714" s="102"/>
      <c r="H4714" s="63" t="e">
        <f>SUM(H4711:H4713)</f>
        <v>#REF!</v>
      </c>
    </row>
    <row r="4715" spans="1:8" ht="19.5">
      <c r="A4715" s="1"/>
      <c r="B4715" s="1" t="s">
        <v>372</v>
      </c>
      <c r="C4715" s="1"/>
      <c r="D4715" s="1"/>
      <c r="E4715" s="1"/>
      <c r="F4715" s="40" t="s">
        <v>1471</v>
      </c>
      <c r="G4715" s="102"/>
      <c r="H4715" s="99" t="e">
        <f>FLOOR(H4714*0.15,0.01)</f>
        <v>#REF!</v>
      </c>
    </row>
    <row r="4716" spans="1:8" ht="19.5">
      <c r="A4716" s="27" t="s">
        <v>3005</v>
      </c>
      <c r="B4716" s="99" t="e">
        <f>+H4716</f>
        <v>#REF!</v>
      </c>
      <c r="C4716" s="1" t="s">
        <v>3006</v>
      </c>
      <c r="D4716" s="1"/>
      <c r="E4716" s="1"/>
      <c r="F4716" s="40" t="s">
        <v>1494</v>
      </c>
      <c r="G4716" s="102"/>
      <c r="H4716" s="99" t="e">
        <f>SUM(H4714:H4715)</f>
        <v>#REF!</v>
      </c>
    </row>
    <row r="4717" spans="1:8" ht="19.5">
      <c r="A4717" s="27"/>
      <c r="B4717" s="141"/>
      <c r="C4717" s="1"/>
      <c r="D4717" s="1"/>
      <c r="E4717" s="1"/>
      <c r="F4717" s="40"/>
      <c r="G4717" s="102"/>
      <c r="H4717" s="141"/>
    </row>
    <row r="4718" spans="1:8" ht="16.5">
      <c r="A4718" s="138">
        <f>A4707+1</f>
        <v>303</v>
      </c>
      <c r="B4718" s="1"/>
      <c r="C4718" s="1"/>
      <c r="D4718" s="1"/>
      <c r="E4718" s="1"/>
      <c r="F4718" s="1"/>
      <c r="G4718" s="1"/>
      <c r="H4718" s="1"/>
    </row>
    <row r="4719" spans="1:8" ht="33.75" customHeight="1">
      <c r="A4719" s="15"/>
      <c r="B4719" s="977" t="s">
        <v>3796</v>
      </c>
      <c r="C4719" s="978"/>
      <c r="D4719" s="978"/>
      <c r="E4719" s="978"/>
      <c r="F4719" s="978"/>
      <c r="G4719" s="978"/>
      <c r="H4719" s="978"/>
    </row>
    <row r="4720" spans="1:8" ht="15">
      <c r="A4720" s="1"/>
      <c r="B4720" s="885" t="s">
        <v>1392</v>
      </c>
      <c r="C4720" s="885"/>
      <c r="D4720" s="885"/>
      <c r="E4720" s="885"/>
      <c r="F4720" s="885"/>
      <c r="G4720" s="885"/>
      <c r="H4720" s="885"/>
    </row>
    <row r="4721" spans="1:8" ht="31.5">
      <c r="A4721" s="1"/>
      <c r="B4721" s="68" t="s">
        <v>2966</v>
      </c>
      <c r="C4721" s="68" t="s">
        <v>2967</v>
      </c>
      <c r="D4721" s="68" t="s">
        <v>2968</v>
      </c>
      <c r="E4721" s="68" t="s">
        <v>2969</v>
      </c>
      <c r="F4721" s="68" t="s">
        <v>2970</v>
      </c>
      <c r="G4721" s="68" t="s">
        <v>2971</v>
      </c>
      <c r="H4721" s="68" t="s">
        <v>1487</v>
      </c>
    </row>
    <row r="4722" spans="1:8" ht="15.75">
      <c r="A4722" s="1"/>
      <c r="B4722" s="58" t="s">
        <v>371</v>
      </c>
      <c r="C4722" s="58" t="s">
        <v>371</v>
      </c>
      <c r="D4722" s="8"/>
      <c r="E4722" s="8"/>
      <c r="F4722" s="107"/>
      <c r="G4722" s="107"/>
      <c r="H4722" s="108"/>
    </row>
    <row r="4723" spans="1:8" ht="22.5">
      <c r="A4723" s="1"/>
      <c r="B4723" s="81" t="s">
        <v>2055</v>
      </c>
      <c r="C4723" s="34" t="s">
        <v>3597</v>
      </c>
      <c r="D4723" s="50"/>
      <c r="E4723" s="12"/>
      <c r="F4723" s="116"/>
      <c r="G4723" s="116"/>
      <c r="H4723" s="121"/>
    </row>
    <row r="4724" spans="1:8" ht="17.25">
      <c r="A4724" s="1"/>
      <c r="B4724" s="81" t="s">
        <v>370</v>
      </c>
      <c r="C4724" s="80" t="s">
        <v>2065</v>
      </c>
      <c r="D4724" s="42">
        <v>1</v>
      </c>
      <c r="E4724" s="53" t="s">
        <v>2807</v>
      </c>
      <c r="F4724" s="109" t="e">
        <f>#REF!</f>
        <v>#REF!</v>
      </c>
      <c r="G4724" s="109" t="e">
        <f>FLOOR(D4724*F4724,0.01)</f>
        <v>#REF!</v>
      </c>
      <c r="H4724" s="9"/>
    </row>
    <row r="4725" spans="1:8" ht="16.5">
      <c r="A4725" s="1"/>
      <c r="B4725" s="33"/>
      <c r="C4725" s="10"/>
      <c r="D4725" s="51"/>
      <c r="E4725" s="15"/>
      <c r="F4725" s="122"/>
      <c r="G4725" s="122"/>
      <c r="H4725" s="123" t="e">
        <f>SUM(G4724)</f>
        <v>#REF!</v>
      </c>
    </row>
    <row r="4726" spans="1:8" ht="19.5">
      <c r="A4726" s="1"/>
      <c r="B4726" s="1"/>
      <c r="C4726" s="1"/>
      <c r="D4726" s="1"/>
      <c r="E4726" s="1"/>
      <c r="F4726" s="40" t="s">
        <v>1491</v>
      </c>
      <c r="G4726" s="102"/>
      <c r="H4726" s="63" t="e">
        <f>SUM(H4722:H4725)</f>
        <v>#REF!</v>
      </c>
    </row>
    <row r="4727" spans="1:8" ht="19.5">
      <c r="A4727" s="1"/>
      <c r="B4727" s="1" t="s">
        <v>372</v>
      </c>
      <c r="C4727" s="1"/>
      <c r="D4727" s="1"/>
      <c r="E4727" s="1"/>
      <c r="F4727" s="40" t="s">
        <v>1471</v>
      </c>
      <c r="G4727" s="102"/>
      <c r="H4727" s="99" t="e">
        <f>FLOOR(H4726*0.15,0.01)</f>
        <v>#REF!</v>
      </c>
    </row>
    <row r="4728" spans="1:8" ht="19.5">
      <c r="A4728" s="27" t="s">
        <v>3005</v>
      </c>
      <c r="B4728" s="99" t="e">
        <f>+H4728</f>
        <v>#REF!</v>
      </c>
      <c r="C4728" s="1" t="s">
        <v>3006</v>
      </c>
      <c r="D4728" s="1"/>
      <c r="E4728" s="1"/>
      <c r="F4728" s="40" t="s">
        <v>1494</v>
      </c>
      <c r="G4728" s="102"/>
      <c r="H4728" s="99" t="e">
        <f>SUM(H4726:H4727)</f>
        <v>#REF!</v>
      </c>
    </row>
    <row r="4729" spans="1:8" ht="16.5">
      <c r="A4729" s="138">
        <f>A4718+1</f>
        <v>304</v>
      </c>
      <c r="B4729" s="1"/>
      <c r="C4729" s="1"/>
      <c r="D4729" s="1"/>
      <c r="E4729" s="1"/>
      <c r="F4729" s="1"/>
      <c r="G4729" s="1"/>
      <c r="H4729" s="1"/>
    </row>
    <row r="4730" spans="1:8" ht="31.5" customHeight="1">
      <c r="A4730" s="15"/>
      <c r="B4730" s="977" t="s">
        <v>3588</v>
      </c>
      <c r="C4730" s="978"/>
      <c r="D4730" s="978"/>
      <c r="E4730" s="978"/>
      <c r="F4730" s="978"/>
      <c r="G4730" s="978"/>
      <c r="H4730" s="978"/>
    </row>
    <row r="4731" spans="1:8" ht="15">
      <c r="A4731" s="1"/>
      <c r="B4731" s="885" t="s">
        <v>1392</v>
      </c>
      <c r="C4731" s="885"/>
      <c r="D4731" s="885"/>
      <c r="E4731" s="885"/>
      <c r="F4731" s="885"/>
      <c r="G4731" s="885"/>
      <c r="H4731" s="885"/>
    </row>
    <row r="4732" spans="1:8" ht="31.5">
      <c r="A4732" s="1"/>
      <c r="B4732" s="68" t="s">
        <v>2966</v>
      </c>
      <c r="C4732" s="68" t="s">
        <v>2967</v>
      </c>
      <c r="D4732" s="68" t="s">
        <v>2968</v>
      </c>
      <c r="E4732" s="68" t="s">
        <v>2969</v>
      </c>
      <c r="F4732" s="68" t="s">
        <v>2970</v>
      </c>
      <c r="G4732" s="68" t="s">
        <v>2971</v>
      </c>
      <c r="H4732" s="68" t="s">
        <v>1487</v>
      </c>
    </row>
    <row r="4733" spans="1:8" ht="15.75">
      <c r="A4733" s="1"/>
      <c r="B4733" s="58" t="s">
        <v>371</v>
      </c>
      <c r="C4733" s="58" t="s">
        <v>371</v>
      </c>
      <c r="D4733" s="8"/>
      <c r="E4733" s="8"/>
      <c r="F4733" s="107"/>
      <c r="G4733" s="107"/>
      <c r="H4733" s="108"/>
    </row>
    <row r="4734" spans="1:8" ht="22.5">
      <c r="A4734" s="1"/>
      <c r="B4734" s="81" t="s">
        <v>2055</v>
      </c>
      <c r="C4734" s="34" t="s">
        <v>3598</v>
      </c>
      <c r="D4734" s="50"/>
      <c r="E4734" s="12"/>
      <c r="F4734" s="116"/>
      <c r="G4734" s="116"/>
      <c r="H4734" s="121"/>
    </row>
    <row r="4735" spans="1:8" ht="22.5">
      <c r="A4735" s="1"/>
      <c r="B4735" s="81" t="s">
        <v>370</v>
      </c>
      <c r="C4735" s="34" t="s">
        <v>3599</v>
      </c>
      <c r="D4735" s="42">
        <v>1</v>
      </c>
      <c r="E4735" s="53" t="s">
        <v>2807</v>
      </c>
      <c r="F4735" s="109" t="e">
        <f>#REF!</f>
        <v>#REF!</v>
      </c>
      <c r="G4735" s="109" t="e">
        <f>FLOOR(D4735*F4735,0.01)</f>
        <v>#REF!</v>
      </c>
      <c r="H4735" s="9"/>
    </row>
    <row r="4736" spans="1:8" ht="16.5">
      <c r="A4736" s="1"/>
      <c r="B4736" s="33"/>
      <c r="C4736" s="78" t="s">
        <v>2065</v>
      </c>
      <c r="D4736" s="51"/>
      <c r="E4736" s="15"/>
      <c r="F4736" s="122"/>
      <c r="G4736" s="122"/>
      <c r="H4736" s="123" t="e">
        <f>SUM(G4735)</f>
        <v>#REF!</v>
      </c>
    </row>
    <row r="4737" spans="1:8" ht="19.5">
      <c r="A4737" s="1"/>
      <c r="B4737" s="1"/>
      <c r="C4737" s="1"/>
      <c r="D4737" s="1"/>
      <c r="E4737" s="1"/>
      <c r="F4737" s="40" t="s">
        <v>1491</v>
      </c>
      <c r="G4737" s="102"/>
      <c r="H4737" s="63" t="e">
        <f>SUM(H4733:H4736)</f>
        <v>#REF!</v>
      </c>
    </row>
    <row r="4738" spans="1:8" ht="19.5">
      <c r="A4738" s="1"/>
      <c r="B4738" s="1" t="s">
        <v>372</v>
      </c>
      <c r="C4738" s="1"/>
      <c r="D4738" s="1"/>
      <c r="E4738" s="1"/>
      <c r="F4738" s="40" t="s">
        <v>1471</v>
      </c>
      <c r="G4738" s="102"/>
      <c r="H4738" s="99" t="e">
        <f>FLOOR(H4737*0.15,0.01)</f>
        <v>#REF!</v>
      </c>
    </row>
    <row r="4739" spans="1:8" ht="19.5">
      <c r="A4739" s="27" t="s">
        <v>3005</v>
      </c>
      <c r="B4739" s="99" t="e">
        <f>+H4739</f>
        <v>#REF!</v>
      </c>
      <c r="C4739" s="1" t="s">
        <v>3006</v>
      </c>
      <c r="D4739" s="1"/>
      <c r="E4739" s="1"/>
      <c r="F4739" s="40" t="s">
        <v>1494</v>
      </c>
      <c r="G4739" s="102"/>
      <c r="H4739" s="99" t="e">
        <f>SUM(H4737:H4738)</f>
        <v>#REF!</v>
      </c>
    </row>
    <row r="4740" spans="1:8" ht="19.5">
      <c r="A4740" s="27"/>
      <c r="B4740" s="141"/>
      <c r="C4740" s="1"/>
      <c r="D4740" s="1"/>
      <c r="E4740" s="1"/>
      <c r="F4740" s="40"/>
      <c r="G4740" s="102"/>
      <c r="H4740" s="141"/>
    </row>
    <row r="4741" spans="1:8" ht="16.5">
      <c r="A4741" s="138">
        <f>A4729+1</f>
        <v>305</v>
      </c>
      <c r="B4741" s="1"/>
      <c r="C4741" s="1"/>
      <c r="D4741" s="1"/>
      <c r="E4741" s="1"/>
      <c r="F4741" s="1"/>
      <c r="G4741" s="1"/>
      <c r="H4741" s="1"/>
    </row>
    <row r="4742" spans="1:8" ht="15">
      <c r="A4742" s="15"/>
      <c r="B4742" s="977" t="s">
        <v>3589</v>
      </c>
      <c r="C4742" s="978"/>
      <c r="D4742" s="978"/>
      <c r="E4742" s="978"/>
      <c r="F4742" s="978"/>
      <c r="G4742" s="978"/>
      <c r="H4742" s="978"/>
    </row>
    <row r="4743" spans="1:8" ht="15">
      <c r="A4743" s="1"/>
      <c r="B4743" s="885" t="s">
        <v>1392</v>
      </c>
      <c r="C4743" s="885"/>
      <c r="D4743" s="885"/>
      <c r="E4743" s="885"/>
      <c r="F4743" s="885"/>
      <c r="G4743" s="885"/>
      <c r="H4743" s="885"/>
    </row>
    <row r="4744" spans="1:8" ht="31.5">
      <c r="A4744" s="1"/>
      <c r="B4744" s="68" t="s">
        <v>2966</v>
      </c>
      <c r="C4744" s="68" t="s">
        <v>2967</v>
      </c>
      <c r="D4744" s="68" t="s">
        <v>2968</v>
      </c>
      <c r="E4744" s="68" t="s">
        <v>2969</v>
      </c>
      <c r="F4744" s="68" t="s">
        <v>2970</v>
      </c>
      <c r="G4744" s="68" t="s">
        <v>2971</v>
      </c>
      <c r="H4744" s="68" t="s">
        <v>1487</v>
      </c>
    </row>
    <row r="4745" spans="1:8" ht="15.75">
      <c r="A4745" s="1"/>
      <c r="B4745" s="58" t="s">
        <v>371</v>
      </c>
      <c r="C4745" s="58" t="s">
        <v>371</v>
      </c>
      <c r="D4745" s="8"/>
      <c r="E4745" s="8"/>
      <c r="F4745" s="107"/>
      <c r="G4745" s="107"/>
      <c r="H4745" s="108"/>
    </row>
    <row r="4746" spans="1:8" ht="22.5">
      <c r="A4746" s="1"/>
      <c r="B4746" s="81" t="s">
        <v>2055</v>
      </c>
      <c r="C4746" s="34" t="s">
        <v>3600</v>
      </c>
      <c r="D4746" s="50"/>
      <c r="E4746" s="12"/>
      <c r="F4746" s="116"/>
      <c r="G4746" s="116"/>
      <c r="H4746" s="121"/>
    </row>
    <row r="4747" spans="1:8" ht="22.5">
      <c r="A4747" s="1"/>
      <c r="B4747" s="81" t="s">
        <v>370</v>
      </c>
      <c r="C4747" s="34" t="s">
        <v>3601</v>
      </c>
      <c r="D4747" s="42">
        <v>1</v>
      </c>
      <c r="E4747" s="53" t="s">
        <v>2807</v>
      </c>
      <c r="F4747" s="109" t="e">
        <f>#REF!</f>
        <v>#REF!</v>
      </c>
      <c r="G4747" s="109" t="e">
        <f>FLOOR(D4747*F4747,0.01)</f>
        <v>#REF!</v>
      </c>
      <c r="H4747" s="9"/>
    </row>
    <row r="4748" spans="1:8" ht="16.5">
      <c r="A4748" s="1"/>
      <c r="B4748" s="33"/>
      <c r="C4748" s="78" t="s">
        <v>2065</v>
      </c>
      <c r="D4748" s="51"/>
      <c r="E4748" s="15"/>
      <c r="F4748" s="122"/>
      <c r="G4748" s="122"/>
      <c r="H4748" s="123" t="e">
        <f>SUM(G4747)</f>
        <v>#REF!</v>
      </c>
    </row>
    <row r="4749" spans="1:8" ht="19.5">
      <c r="A4749" s="1"/>
      <c r="B4749" s="1"/>
      <c r="C4749" s="1"/>
      <c r="D4749" s="1"/>
      <c r="E4749" s="1"/>
      <c r="F4749" s="40" t="s">
        <v>1491</v>
      </c>
      <c r="G4749" s="102"/>
      <c r="H4749" s="63" t="e">
        <f>SUM(H4745:H4748)</f>
        <v>#REF!</v>
      </c>
    </row>
    <row r="4750" spans="1:8" ht="19.5">
      <c r="A4750" s="1"/>
      <c r="B4750" s="1" t="s">
        <v>372</v>
      </c>
      <c r="C4750" s="1"/>
      <c r="D4750" s="1"/>
      <c r="E4750" s="1"/>
      <c r="F4750" s="40" t="s">
        <v>1471</v>
      </c>
      <c r="G4750" s="102"/>
      <c r="H4750" s="99" t="e">
        <f>FLOOR(H4749*0.15,0.01)</f>
        <v>#REF!</v>
      </c>
    </row>
    <row r="4751" spans="1:8" ht="19.5">
      <c r="A4751" s="27" t="s">
        <v>3005</v>
      </c>
      <c r="B4751" s="99" t="e">
        <f>+H4751</f>
        <v>#REF!</v>
      </c>
      <c r="C4751" s="1" t="s">
        <v>3006</v>
      </c>
      <c r="D4751" s="1"/>
      <c r="E4751" s="1"/>
      <c r="F4751" s="40" t="s">
        <v>1494</v>
      </c>
      <c r="G4751" s="102"/>
      <c r="H4751" s="99" t="e">
        <f>SUM(H4749:H4750)</f>
        <v>#REF!</v>
      </c>
    </row>
    <row r="4752" spans="1:8" ht="19.5">
      <c r="A4752" s="27"/>
      <c r="B4752" s="141"/>
      <c r="C4752" s="1"/>
      <c r="D4752" s="1"/>
      <c r="E4752" s="1"/>
      <c r="F4752" s="40"/>
      <c r="G4752" s="102"/>
      <c r="H4752" s="141"/>
    </row>
    <row r="4753" spans="1:8" ht="16.5">
      <c r="A4753" s="138">
        <f>A4741+1</f>
        <v>306</v>
      </c>
      <c r="B4753" s="1"/>
      <c r="C4753" s="1"/>
      <c r="D4753" s="1"/>
      <c r="E4753" s="1"/>
      <c r="F4753" s="1"/>
      <c r="G4753" s="1"/>
      <c r="H4753" s="1"/>
    </row>
    <row r="4754" spans="1:8" ht="37.5" customHeight="1">
      <c r="A4754" s="15"/>
      <c r="B4754" s="977" t="s">
        <v>3590</v>
      </c>
      <c r="C4754" s="978"/>
      <c r="D4754" s="978"/>
      <c r="E4754" s="978"/>
      <c r="F4754" s="978"/>
      <c r="G4754" s="978"/>
      <c r="H4754" s="978"/>
    </row>
    <row r="4755" spans="1:8" ht="15">
      <c r="A4755" s="1"/>
      <c r="B4755" s="885" t="s">
        <v>1392</v>
      </c>
      <c r="C4755" s="885"/>
      <c r="D4755" s="885"/>
      <c r="E4755" s="885"/>
      <c r="F4755" s="885"/>
      <c r="G4755" s="885"/>
      <c r="H4755" s="885"/>
    </row>
    <row r="4756" spans="1:8" ht="31.5">
      <c r="A4756" s="1"/>
      <c r="B4756" s="68" t="s">
        <v>2966</v>
      </c>
      <c r="C4756" s="68" t="s">
        <v>2967</v>
      </c>
      <c r="D4756" s="68" t="s">
        <v>2968</v>
      </c>
      <c r="E4756" s="68" t="s">
        <v>2969</v>
      </c>
      <c r="F4756" s="68" t="s">
        <v>2970</v>
      </c>
      <c r="G4756" s="68" t="s">
        <v>2971</v>
      </c>
      <c r="H4756" s="68" t="s">
        <v>1487</v>
      </c>
    </row>
    <row r="4757" spans="1:8" ht="15.75">
      <c r="A4757" s="1"/>
      <c r="B4757" s="58" t="s">
        <v>371</v>
      </c>
      <c r="C4757" s="58" t="s">
        <v>371</v>
      </c>
      <c r="D4757" s="8"/>
      <c r="E4757" s="8"/>
      <c r="F4757" s="107"/>
      <c r="G4757" s="107"/>
      <c r="H4757" s="108"/>
    </row>
    <row r="4758" spans="1:8" ht="22.5">
      <c r="A4758" s="1"/>
      <c r="B4758" s="81" t="s">
        <v>2055</v>
      </c>
      <c r="C4758" s="34" t="s">
        <v>3600</v>
      </c>
      <c r="D4758" s="50"/>
      <c r="E4758" s="12"/>
      <c r="F4758" s="116"/>
      <c r="G4758" s="116"/>
      <c r="H4758" s="121"/>
    </row>
    <row r="4759" spans="1:8" ht="22.5">
      <c r="A4759" s="1"/>
      <c r="B4759" s="81" t="s">
        <v>370</v>
      </c>
      <c r="C4759" s="34" t="s">
        <v>3601</v>
      </c>
      <c r="D4759" s="42">
        <v>1</v>
      </c>
      <c r="E4759" s="53" t="s">
        <v>2807</v>
      </c>
      <c r="F4759" s="109" t="e">
        <f>#REF!</f>
        <v>#REF!</v>
      </c>
      <c r="G4759" s="109" t="e">
        <f>FLOOR(D4759*F4759,0.01)</f>
        <v>#REF!</v>
      </c>
      <c r="H4759" s="9"/>
    </row>
    <row r="4760" spans="1:8" ht="16.5">
      <c r="A4760" s="1"/>
      <c r="B4760" s="33"/>
      <c r="C4760" s="78" t="s">
        <v>2065</v>
      </c>
      <c r="D4760" s="51"/>
      <c r="E4760" s="15"/>
      <c r="F4760" s="122"/>
      <c r="G4760" s="122"/>
      <c r="H4760" s="123" t="e">
        <f>SUM(G4759)</f>
        <v>#REF!</v>
      </c>
    </row>
    <row r="4761" spans="1:8" ht="19.5">
      <c r="A4761" s="1"/>
      <c r="B4761" s="1"/>
      <c r="C4761" s="1"/>
      <c r="D4761" s="1"/>
      <c r="E4761" s="1"/>
      <c r="F4761" s="40" t="s">
        <v>1491</v>
      </c>
      <c r="G4761" s="102"/>
      <c r="H4761" s="63" t="e">
        <f>SUM(H4757:H4760)</f>
        <v>#REF!</v>
      </c>
    </row>
    <row r="4762" spans="1:8" ht="19.5">
      <c r="A4762" s="1"/>
      <c r="B4762" s="1" t="s">
        <v>372</v>
      </c>
      <c r="C4762" s="1"/>
      <c r="D4762" s="1"/>
      <c r="E4762" s="1"/>
      <c r="F4762" s="40" t="s">
        <v>1471</v>
      </c>
      <c r="G4762" s="102"/>
      <c r="H4762" s="99" t="e">
        <f>FLOOR(H4761*0.15,0.01)</f>
        <v>#REF!</v>
      </c>
    </row>
    <row r="4763" spans="1:8" ht="19.5">
      <c r="A4763" s="27" t="s">
        <v>3005</v>
      </c>
      <c r="B4763" s="99" t="e">
        <f>+H4763</f>
        <v>#REF!</v>
      </c>
      <c r="C4763" s="1" t="s">
        <v>3006</v>
      </c>
      <c r="D4763" s="1"/>
      <c r="E4763" s="1"/>
      <c r="F4763" s="40" t="s">
        <v>1494</v>
      </c>
      <c r="G4763" s="102"/>
      <c r="H4763" s="99" t="e">
        <f>SUM(H4761:H4762)</f>
        <v>#REF!</v>
      </c>
    </row>
    <row r="4764" spans="1:8" ht="18">
      <c r="A4764" s="1"/>
      <c r="B4764" s="1"/>
      <c r="C4764" s="1"/>
      <c r="D4764" s="446"/>
      <c r="E4764" s="1"/>
      <c r="F4764" s="1"/>
      <c r="G4764" s="1"/>
      <c r="H4764" s="1"/>
    </row>
    <row r="4765" spans="1:8" ht="16.5">
      <c r="A4765" s="426">
        <f>A4753+1</f>
        <v>307</v>
      </c>
      <c r="B4765" s="1"/>
      <c r="C4765" s="1"/>
      <c r="D4765" s="1"/>
      <c r="E4765" s="1"/>
      <c r="F4765" s="1"/>
      <c r="G4765" s="1"/>
      <c r="H4765" s="1"/>
    </row>
    <row r="4766" spans="1:8" ht="29.25" customHeight="1">
      <c r="A4766" s="658" t="s">
        <v>3751</v>
      </c>
      <c r="B4766" s="977" t="s">
        <v>2203</v>
      </c>
      <c r="C4766" s="978"/>
      <c r="D4766" s="978"/>
      <c r="E4766" s="978"/>
      <c r="F4766" s="978"/>
      <c r="G4766" s="978"/>
      <c r="H4766" s="978"/>
    </row>
    <row r="4767" spans="1:8" ht="14.25">
      <c r="A4767" s="879" t="s">
        <v>1392</v>
      </c>
      <c r="B4767" s="879"/>
      <c r="C4767" s="879"/>
      <c r="D4767" s="879"/>
      <c r="E4767" s="879"/>
      <c r="F4767" s="879"/>
      <c r="G4767" s="879"/>
      <c r="H4767" s="879"/>
    </row>
    <row r="4768" spans="1:8" ht="31.5">
      <c r="A4768" s="1"/>
      <c r="B4768" s="68" t="s">
        <v>2966</v>
      </c>
      <c r="C4768" s="68" t="s">
        <v>2967</v>
      </c>
      <c r="D4768" s="68" t="s">
        <v>2968</v>
      </c>
      <c r="E4768" s="68" t="s">
        <v>2969</v>
      </c>
      <c r="F4768" s="68" t="s">
        <v>2970</v>
      </c>
      <c r="G4768" s="68" t="s">
        <v>2971</v>
      </c>
      <c r="H4768" s="68" t="s">
        <v>1487</v>
      </c>
    </row>
    <row r="4769" spans="1:8" ht="15.75">
      <c r="A4769" s="1"/>
      <c r="B4769" s="58" t="s">
        <v>2055</v>
      </c>
      <c r="C4769" s="263" t="s">
        <v>3214</v>
      </c>
      <c r="D4769" s="8"/>
      <c r="E4769" s="8"/>
      <c r="F4769" s="107"/>
      <c r="G4769" s="107"/>
      <c r="H4769" s="108"/>
    </row>
    <row r="4770" spans="1:8" ht="17.25">
      <c r="A4770" s="1"/>
      <c r="B4770" s="82" t="s">
        <v>370</v>
      </c>
      <c r="C4770" s="78" t="s">
        <v>1372</v>
      </c>
      <c r="D4770" s="43">
        <v>1</v>
      </c>
      <c r="E4770" s="56" t="s">
        <v>2807</v>
      </c>
      <c r="F4770" s="122" t="e">
        <f>+#REF!</f>
        <v>#REF!</v>
      </c>
      <c r="G4770" s="63" t="e">
        <f>FLOOR(D4770*F4770,0.01)</f>
        <v>#REF!</v>
      </c>
      <c r="H4770" s="123" t="e">
        <f>SUM(G4770)</f>
        <v>#REF!</v>
      </c>
    </row>
    <row r="4771" spans="1:8" ht="19.5">
      <c r="A4771" s="1"/>
      <c r="B4771" s="1"/>
      <c r="C4771" s="1"/>
      <c r="D4771" s="1"/>
      <c r="E4771" s="1"/>
      <c r="F4771" s="40" t="s">
        <v>1491</v>
      </c>
      <c r="G4771" s="102"/>
      <c r="H4771" s="63" t="e">
        <f>SUM(H4768:H4770)</f>
        <v>#REF!</v>
      </c>
    </row>
    <row r="4772" spans="1:8" ht="19.5">
      <c r="A4772" s="1"/>
      <c r="B4772" s="1" t="s">
        <v>372</v>
      </c>
      <c r="C4772" s="1"/>
      <c r="D4772" s="1"/>
      <c r="E4772" s="1"/>
      <c r="F4772" s="40" t="s">
        <v>1471</v>
      </c>
      <c r="G4772" s="102"/>
      <c r="H4772" s="63" t="e">
        <f>FLOOR(H4771*0.15,0.01)</f>
        <v>#REF!</v>
      </c>
    </row>
    <row r="4773" spans="1:8" ht="19.5">
      <c r="A4773" s="27" t="s">
        <v>3005</v>
      </c>
      <c r="B4773" s="99" t="e">
        <f>+H4773</f>
        <v>#REF!</v>
      </c>
      <c r="C4773" s="1" t="s">
        <v>3006</v>
      </c>
      <c r="D4773" s="1"/>
      <c r="E4773" s="1"/>
      <c r="F4773" s="40" t="s">
        <v>1494</v>
      </c>
      <c r="G4773" s="102"/>
      <c r="H4773" s="99" t="e">
        <f>SUM(H4771:H4772)</f>
        <v>#REF!</v>
      </c>
    </row>
    <row r="4774" spans="1:8" ht="19.5">
      <c r="A4774" s="27"/>
      <c r="B4774" s="141"/>
      <c r="C4774" s="1"/>
      <c r="D4774" s="1"/>
      <c r="E4774" s="1"/>
      <c r="F4774" s="40"/>
      <c r="G4774" s="102"/>
      <c r="H4774" s="141"/>
    </row>
    <row r="4775" spans="1:8" ht="15.75">
      <c r="A4775" s="426">
        <f>A4765+1</f>
        <v>308</v>
      </c>
      <c r="B4775" s="979"/>
      <c r="C4775" s="957"/>
      <c r="D4775" s="957"/>
      <c r="E4775" s="957"/>
      <c r="F4775" s="957"/>
      <c r="G4775" s="957"/>
      <c r="H4775" s="957"/>
    </row>
    <row r="4776" spans="1:8" ht="15">
      <c r="A4776" s="658" t="s">
        <v>3751</v>
      </c>
      <c r="B4776" s="980" t="s">
        <v>3493</v>
      </c>
      <c r="C4776" s="981"/>
      <c r="D4776" s="981"/>
      <c r="E4776" s="981"/>
      <c r="F4776" s="981"/>
      <c r="G4776" s="981"/>
      <c r="H4776" s="981"/>
    </row>
    <row r="4777" spans="1:8" ht="15">
      <c r="A4777" s="1"/>
      <c r="B4777" s="885" t="s">
        <v>1392</v>
      </c>
      <c r="C4777" s="885"/>
      <c r="D4777" s="885"/>
      <c r="E4777" s="885"/>
      <c r="F4777" s="885"/>
      <c r="G4777" s="885"/>
      <c r="H4777" s="885"/>
    </row>
    <row r="4778" spans="1:8" ht="31.5">
      <c r="A4778" s="1"/>
      <c r="B4778" s="68" t="s">
        <v>2966</v>
      </c>
      <c r="C4778" s="68" t="s">
        <v>2967</v>
      </c>
      <c r="D4778" s="68" t="s">
        <v>2968</v>
      </c>
      <c r="E4778" s="68" t="s">
        <v>2969</v>
      </c>
      <c r="F4778" s="68" t="s">
        <v>2970</v>
      </c>
      <c r="G4778" s="68" t="s">
        <v>2971</v>
      </c>
      <c r="H4778" s="68" t="s">
        <v>1487</v>
      </c>
    </row>
    <row r="4779" spans="1:8" ht="31.5">
      <c r="A4779" s="1"/>
      <c r="B4779" s="58" t="s">
        <v>2055</v>
      </c>
      <c r="C4779" s="263" t="s">
        <v>3498</v>
      </c>
      <c r="D4779" s="8"/>
      <c r="E4779" s="8"/>
      <c r="F4779" s="107"/>
      <c r="G4779" s="107"/>
      <c r="H4779" s="108"/>
    </row>
    <row r="4780" spans="1:8" ht="17.25">
      <c r="A4780" s="1"/>
      <c r="B4780" s="82" t="s">
        <v>370</v>
      </c>
      <c r="C4780" s="78" t="s">
        <v>1372</v>
      </c>
      <c r="D4780" s="43">
        <v>1</v>
      </c>
      <c r="E4780" s="56" t="s">
        <v>2807</v>
      </c>
      <c r="F4780" s="122" t="e">
        <f>+#REF!</f>
        <v>#REF!</v>
      </c>
      <c r="G4780" s="63" t="e">
        <f>FLOOR(D4780*F4780,0.01)</f>
        <v>#REF!</v>
      </c>
      <c r="H4780" s="123" t="e">
        <f>SUM(G4780)</f>
        <v>#REF!</v>
      </c>
    </row>
    <row r="4781" spans="1:8" ht="19.5">
      <c r="A4781" s="1"/>
      <c r="B4781" s="1"/>
      <c r="C4781" s="1"/>
      <c r="D4781" s="1"/>
      <c r="E4781" s="1"/>
      <c r="F4781" s="40" t="s">
        <v>1491</v>
      </c>
      <c r="G4781" s="102"/>
      <c r="H4781" s="63" t="e">
        <f>SUM(H4778:H4780)</f>
        <v>#REF!</v>
      </c>
    </row>
    <row r="4782" spans="1:8" ht="19.5">
      <c r="A4782" s="1"/>
      <c r="B4782" s="1" t="s">
        <v>372</v>
      </c>
      <c r="C4782" s="1"/>
      <c r="D4782" s="1"/>
      <c r="E4782" s="1"/>
      <c r="F4782" s="40" t="s">
        <v>1471</v>
      </c>
      <c r="G4782" s="102"/>
      <c r="H4782" s="63" t="e">
        <f>FLOOR(H4781*0.15,0.01)</f>
        <v>#REF!</v>
      </c>
    </row>
    <row r="4783" spans="1:8" ht="19.5">
      <c r="A4783" s="27" t="s">
        <v>3005</v>
      </c>
      <c r="B4783" s="99" t="e">
        <f>+H4783</f>
        <v>#REF!</v>
      </c>
      <c r="C4783" s="1" t="s">
        <v>3006</v>
      </c>
      <c r="D4783" s="1"/>
      <c r="E4783" s="1"/>
      <c r="F4783" s="40" t="s">
        <v>1494</v>
      </c>
      <c r="G4783" s="102"/>
      <c r="H4783" s="99" t="e">
        <f>SUM(H4781:H4782)</f>
        <v>#REF!</v>
      </c>
    </row>
    <row r="4784" spans="1:8" ht="15">
      <c r="A4784" s="1"/>
      <c r="B4784" s="1"/>
      <c r="C4784" s="1"/>
      <c r="D4784" s="1"/>
      <c r="E4784" s="1"/>
      <c r="F4784" s="1"/>
      <c r="G4784" s="1"/>
      <c r="H4784" s="1"/>
    </row>
    <row r="4785" spans="1:8" ht="15.75">
      <c r="A4785" s="426">
        <f>A4775+1</f>
        <v>309</v>
      </c>
      <c r="B4785" s="979"/>
      <c r="C4785" s="957"/>
      <c r="D4785" s="957"/>
      <c r="E4785" s="957"/>
      <c r="F4785" s="957"/>
      <c r="G4785" s="957"/>
      <c r="H4785" s="957"/>
    </row>
    <row r="4786" spans="1:8" ht="15">
      <c r="A4786" s="658" t="s">
        <v>3751</v>
      </c>
      <c r="B4786" s="982" t="s">
        <v>3494</v>
      </c>
      <c r="C4786" s="983"/>
      <c r="D4786" s="983"/>
      <c r="E4786" s="983"/>
      <c r="F4786" s="983"/>
      <c r="G4786" s="983"/>
      <c r="H4786" s="983"/>
    </row>
    <row r="4787" spans="1:8" ht="15">
      <c r="A4787" s="90"/>
      <c r="B4787" s="204"/>
      <c r="C4787" s="204"/>
      <c r="D4787" s="204"/>
      <c r="E4787" s="204"/>
      <c r="F4787" s="204"/>
      <c r="G4787" s="204"/>
      <c r="H4787" s="204"/>
    </row>
    <row r="4788" spans="1:8" ht="15">
      <c r="A4788" s="1"/>
      <c r="B4788" s="885" t="s">
        <v>1392</v>
      </c>
      <c r="C4788" s="885"/>
      <c r="D4788" s="885"/>
      <c r="E4788" s="885"/>
      <c r="F4788" s="885"/>
      <c r="G4788" s="885"/>
      <c r="H4788" s="885"/>
    </row>
    <row r="4789" spans="1:8" ht="31.5">
      <c r="A4789" s="1"/>
      <c r="B4789" s="68" t="s">
        <v>2966</v>
      </c>
      <c r="C4789" s="68" t="s">
        <v>2967</v>
      </c>
      <c r="D4789" s="68" t="s">
        <v>2968</v>
      </c>
      <c r="E4789" s="68" t="s">
        <v>2969</v>
      </c>
      <c r="F4789" s="68" t="s">
        <v>2970</v>
      </c>
      <c r="G4789" s="68" t="s">
        <v>2971</v>
      </c>
      <c r="H4789" s="68" t="s">
        <v>1487</v>
      </c>
    </row>
    <row r="4790" spans="1:8" ht="47.25">
      <c r="A4790" s="1"/>
      <c r="B4790" s="58" t="s">
        <v>2055</v>
      </c>
      <c r="C4790" s="263" t="s">
        <v>3499</v>
      </c>
      <c r="D4790" s="8"/>
      <c r="E4790" s="8"/>
      <c r="F4790" s="107"/>
      <c r="G4790" s="107"/>
      <c r="H4790" s="108"/>
    </row>
    <row r="4791" spans="1:8" ht="17.25">
      <c r="A4791" s="1"/>
      <c r="B4791" s="82" t="s">
        <v>370</v>
      </c>
      <c r="C4791" s="78" t="s">
        <v>1372</v>
      </c>
      <c r="D4791" s="43">
        <v>1</v>
      </c>
      <c r="E4791" s="56" t="s">
        <v>2807</v>
      </c>
      <c r="F4791" s="122" t="e">
        <f>#REF!</f>
        <v>#REF!</v>
      </c>
      <c r="G4791" s="63" t="e">
        <f>FLOOR(D4791*F4791,0.01)</f>
        <v>#REF!</v>
      </c>
      <c r="H4791" s="123" t="e">
        <f>SUM(G4791)</f>
        <v>#REF!</v>
      </c>
    </row>
    <row r="4792" spans="1:8" ht="19.5">
      <c r="A4792" s="1"/>
      <c r="B4792" s="1"/>
      <c r="C4792" s="1"/>
      <c r="D4792" s="1"/>
      <c r="E4792" s="1"/>
      <c r="F4792" s="40" t="s">
        <v>1491</v>
      </c>
      <c r="G4792" s="102"/>
      <c r="H4792" s="63" t="e">
        <f>SUM(H4789:H4791)</f>
        <v>#REF!</v>
      </c>
    </row>
    <row r="4793" spans="1:8" ht="19.5">
      <c r="A4793" s="1"/>
      <c r="B4793" s="1" t="s">
        <v>372</v>
      </c>
      <c r="C4793" s="1"/>
      <c r="D4793" s="1"/>
      <c r="E4793" s="1"/>
      <c r="F4793" s="40" t="s">
        <v>1471</v>
      </c>
      <c r="G4793" s="102"/>
      <c r="H4793" s="63" t="e">
        <f>FLOOR(H4792*0.15,0.01)</f>
        <v>#REF!</v>
      </c>
    </row>
    <row r="4794" spans="1:8" ht="19.5">
      <c r="A4794" s="27" t="s">
        <v>3005</v>
      </c>
      <c r="B4794" s="99" t="e">
        <f>+H4794</f>
        <v>#REF!</v>
      </c>
      <c r="C4794" s="1" t="s">
        <v>3006</v>
      </c>
      <c r="D4794" s="1"/>
      <c r="E4794" s="1"/>
      <c r="F4794" s="40" t="s">
        <v>1494</v>
      </c>
      <c r="G4794" s="102"/>
      <c r="H4794" s="99" t="e">
        <f>SUM(H4792:H4793)</f>
        <v>#REF!</v>
      </c>
    </row>
    <row r="4795" spans="1:8" ht="15">
      <c r="A4795" s="1"/>
      <c r="B4795" s="1"/>
      <c r="C4795" s="1"/>
      <c r="D4795" s="1"/>
      <c r="E4795" s="1"/>
      <c r="F4795" s="1"/>
      <c r="G4795" s="1"/>
      <c r="H4795" s="1"/>
    </row>
    <row r="4796" spans="1:8" ht="15">
      <c r="A4796" s="1"/>
      <c r="B4796" s="1"/>
      <c r="C4796" s="1"/>
      <c r="D4796" s="1"/>
      <c r="E4796" s="1"/>
      <c r="F4796" s="1"/>
      <c r="G4796" s="1"/>
      <c r="H4796" s="1"/>
    </row>
    <row r="4797" spans="1:8" ht="15.75">
      <c r="A4797" s="426">
        <f>A4785+1</f>
        <v>310</v>
      </c>
      <c r="B4797" s="979"/>
      <c r="C4797" s="957"/>
      <c r="D4797" s="957"/>
      <c r="E4797" s="957"/>
      <c r="F4797" s="957"/>
      <c r="G4797" s="957"/>
      <c r="H4797" s="957"/>
    </row>
    <row r="4798" spans="1:8" ht="15">
      <c r="A4798" s="658" t="s">
        <v>3751</v>
      </c>
      <c r="B4798" s="977" t="s">
        <v>3489</v>
      </c>
      <c r="C4798" s="978"/>
      <c r="D4798" s="978"/>
      <c r="E4798" s="978"/>
      <c r="F4798" s="978"/>
      <c r="G4798" s="978"/>
      <c r="H4798" s="978"/>
    </row>
    <row r="4799" spans="1:8" ht="15">
      <c r="A4799" s="1"/>
      <c r="B4799" s="885" t="s">
        <v>1392</v>
      </c>
      <c r="C4799" s="885"/>
      <c r="D4799" s="885"/>
      <c r="E4799" s="885"/>
      <c r="F4799" s="885"/>
      <c r="G4799" s="885"/>
      <c r="H4799" s="885"/>
    </row>
    <row r="4800" spans="1:8" ht="31.5">
      <c r="A4800" s="1"/>
      <c r="B4800" s="68" t="s">
        <v>2966</v>
      </c>
      <c r="C4800" s="68" t="s">
        <v>2967</v>
      </c>
      <c r="D4800" s="68" t="s">
        <v>2968</v>
      </c>
      <c r="E4800" s="68" t="s">
        <v>2969</v>
      </c>
      <c r="F4800" s="68" t="s">
        <v>2970</v>
      </c>
      <c r="G4800" s="68" t="s">
        <v>2971</v>
      </c>
      <c r="H4800" s="68" t="s">
        <v>1487</v>
      </c>
    </row>
    <row r="4801" spans="1:8" ht="47.25">
      <c r="A4801" s="1"/>
      <c r="B4801" s="58" t="s">
        <v>2055</v>
      </c>
      <c r="C4801" s="263" t="s">
        <v>3500</v>
      </c>
      <c r="D4801" s="8"/>
      <c r="E4801" s="8"/>
      <c r="F4801" s="107"/>
      <c r="G4801" s="107"/>
      <c r="H4801" s="108"/>
    </row>
    <row r="4802" spans="1:8" ht="17.25">
      <c r="A4802" s="1"/>
      <c r="B4802" s="82" t="s">
        <v>370</v>
      </c>
      <c r="C4802" s="78" t="s">
        <v>1372</v>
      </c>
      <c r="D4802" s="43">
        <v>1</v>
      </c>
      <c r="E4802" s="56" t="s">
        <v>2807</v>
      </c>
      <c r="F4802" s="122" t="e">
        <f>#REF!</f>
        <v>#REF!</v>
      </c>
      <c r="G4802" s="63" t="e">
        <f>FLOOR(D4802*F4802,0.01)</f>
        <v>#REF!</v>
      </c>
      <c r="H4802" s="123" t="e">
        <f>SUM(G4802)</f>
        <v>#REF!</v>
      </c>
    </row>
    <row r="4803" spans="1:8" ht="19.5">
      <c r="A4803" s="1"/>
      <c r="B4803" s="1"/>
      <c r="C4803" s="1"/>
      <c r="D4803" s="1"/>
      <c r="E4803" s="1"/>
      <c r="F4803" s="40" t="s">
        <v>1491</v>
      </c>
      <c r="G4803" s="102"/>
      <c r="H4803" s="63" t="e">
        <f>SUM(H4800:H4802)</f>
        <v>#REF!</v>
      </c>
    </row>
    <row r="4804" spans="1:8" ht="19.5">
      <c r="A4804" s="1"/>
      <c r="B4804" s="1" t="s">
        <v>372</v>
      </c>
      <c r="C4804" s="1"/>
      <c r="D4804" s="1"/>
      <c r="E4804" s="1"/>
      <c r="F4804" s="40" t="s">
        <v>1471</v>
      </c>
      <c r="G4804" s="102"/>
      <c r="H4804" s="63" t="e">
        <f>FLOOR(H4803*0.15,0.01)</f>
        <v>#REF!</v>
      </c>
    </row>
    <row r="4805" spans="1:8" ht="19.5">
      <c r="A4805" s="27" t="s">
        <v>3005</v>
      </c>
      <c r="B4805" s="99" t="e">
        <f>+H4805</f>
        <v>#REF!</v>
      </c>
      <c r="C4805" s="1" t="s">
        <v>3006</v>
      </c>
      <c r="D4805" s="1"/>
      <c r="E4805" s="1"/>
      <c r="F4805" s="40" t="s">
        <v>1494</v>
      </c>
      <c r="G4805" s="102"/>
      <c r="H4805" s="99" t="e">
        <f>SUM(H4803:H4804)</f>
        <v>#REF!</v>
      </c>
    </row>
    <row r="4806" spans="1:8" ht="19.5">
      <c r="A4806" s="27"/>
      <c r="B4806" s="177"/>
      <c r="C4806" s="1"/>
      <c r="D4806" s="1"/>
      <c r="E4806" s="1"/>
      <c r="F4806" s="40"/>
      <c r="G4806" s="102"/>
      <c r="H4806" s="141"/>
    </row>
    <row r="4807" spans="1:8" ht="15.75">
      <c r="A4807" s="426">
        <f>A4797+1</f>
        <v>311</v>
      </c>
      <c r="B4807" s="979"/>
      <c r="C4807" s="957"/>
      <c r="D4807" s="957"/>
      <c r="E4807" s="957"/>
      <c r="F4807" s="957"/>
      <c r="G4807" s="957"/>
      <c r="H4807" s="957"/>
    </row>
    <row r="4808" spans="1:8" ht="15">
      <c r="A4808" s="658" t="s">
        <v>3751</v>
      </c>
      <c r="B4808" s="977" t="s">
        <v>3490</v>
      </c>
      <c r="C4808" s="978"/>
      <c r="D4808" s="978"/>
      <c r="E4808" s="978"/>
      <c r="F4808" s="978"/>
      <c r="G4808" s="978"/>
      <c r="H4808" s="978"/>
    </row>
    <row r="4809" spans="1:8" ht="15">
      <c r="A4809" s="90"/>
      <c r="B4809" s="204"/>
      <c r="C4809" s="204"/>
      <c r="D4809" s="204"/>
      <c r="E4809" s="204"/>
      <c r="F4809" s="204"/>
      <c r="G4809" s="204"/>
      <c r="H4809" s="204"/>
    </row>
    <row r="4810" spans="1:8" ht="15">
      <c r="A4810" s="1"/>
      <c r="B4810" s="885" t="s">
        <v>1392</v>
      </c>
      <c r="C4810" s="885"/>
      <c r="D4810" s="885"/>
      <c r="E4810" s="885"/>
      <c r="F4810" s="885"/>
      <c r="G4810" s="885"/>
      <c r="H4810" s="885"/>
    </row>
    <row r="4811" spans="1:8" ht="31.5">
      <c r="A4811" s="1"/>
      <c r="B4811" s="68" t="s">
        <v>2966</v>
      </c>
      <c r="C4811" s="68" t="s">
        <v>2967</v>
      </c>
      <c r="D4811" s="68" t="s">
        <v>2968</v>
      </c>
      <c r="E4811" s="68" t="s">
        <v>2969</v>
      </c>
      <c r="F4811" s="68" t="s">
        <v>2970</v>
      </c>
      <c r="G4811" s="68" t="s">
        <v>2971</v>
      </c>
      <c r="H4811" s="68" t="s">
        <v>1487</v>
      </c>
    </row>
    <row r="4812" spans="1:8" ht="47.25">
      <c r="A4812" s="1"/>
      <c r="B4812" s="58" t="s">
        <v>2055</v>
      </c>
      <c r="C4812" s="263" t="s">
        <v>3501</v>
      </c>
      <c r="D4812" s="8"/>
      <c r="E4812" s="8"/>
      <c r="F4812" s="107"/>
      <c r="G4812" s="107"/>
      <c r="H4812" s="108"/>
    </row>
    <row r="4813" spans="1:8" ht="17.25">
      <c r="A4813" s="1"/>
      <c r="B4813" s="82" t="s">
        <v>370</v>
      </c>
      <c r="C4813" s="78" t="s">
        <v>1372</v>
      </c>
      <c r="D4813" s="43">
        <v>1</v>
      </c>
      <c r="E4813" s="56" t="s">
        <v>2807</v>
      </c>
      <c r="F4813" s="122" t="e">
        <f>#REF!</f>
        <v>#REF!</v>
      </c>
      <c r="G4813" s="63" t="e">
        <f>FLOOR(D4813*F4813,0.01)</f>
        <v>#REF!</v>
      </c>
      <c r="H4813" s="123" t="e">
        <f>SUM(G4813)</f>
        <v>#REF!</v>
      </c>
    </row>
    <row r="4814" spans="1:8" ht="19.5">
      <c r="A4814" s="1"/>
      <c r="B4814" s="1"/>
      <c r="C4814" s="1"/>
      <c r="D4814" s="1"/>
      <c r="E4814" s="1"/>
      <c r="F4814" s="40" t="s">
        <v>1491</v>
      </c>
      <c r="G4814" s="102"/>
      <c r="H4814" s="63" t="e">
        <f>SUM(H4811:H4813)</f>
        <v>#REF!</v>
      </c>
    </row>
    <row r="4815" spans="1:8" ht="19.5">
      <c r="A4815" s="1"/>
      <c r="B4815" s="1" t="s">
        <v>372</v>
      </c>
      <c r="C4815" s="1"/>
      <c r="D4815" s="1"/>
      <c r="E4815" s="1"/>
      <c r="F4815" s="40" t="s">
        <v>1471</v>
      </c>
      <c r="G4815" s="102"/>
      <c r="H4815" s="63" t="e">
        <f>FLOOR(H4814*0.15,0.01)</f>
        <v>#REF!</v>
      </c>
    </row>
    <row r="4816" spans="1:8" ht="19.5">
      <c r="A4816" s="27" t="s">
        <v>3005</v>
      </c>
      <c r="B4816" s="99" t="e">
        <f>+H4816</f>
        <v>#REF!</v>
      </c>
      <c r="C4816" s="1" t="s">
        <v>3006</v>
      </c>
      <c r="D4816" s="1"/>
      <c r="E4816" s="1"/>
      <c r="F4816" s="40" t="s">
        <v>1494</v>
      </c>
      <c r="G4816" s="102"/>
      <c r="H4816" s="99" t="e">
        <f>SUM(H4814:H4815)</f>
        <v>#REF!</v>
      </c>
    </row>
    <row r="4817" spans="1:8" ht="15">
      <c r="A4817" s="1"/>
      <c r="B4817" s="1"/>
      <c r="C4817" s="1"/>
      <c r="D4817" s="1"/>
      <c r="E4817" s="1"/>
      <c r="F4817" s="1"/>
      <c r="G4817" s="1"/>
      <c r="H4817" s="1"/>
    </row>
    <row r="4818" spans="1:8" ht="15.75">
      <c r="A4818" s="426">
        <f>A4807+1</f>
        <v>312</v>
      </c>
      <c r="B4818" s="979"/>
      <c r="C4818" s="957"/>
      <c r="D4818" s="957"/>
      <c r="E4818" s="957"/>
      <c r="F4818" s="957"/>
      <c r="G4818" s="957"/>
      <c r="H4818" s="957"/>
    </row>
    <row r="4819" spans="1:8" ht="15">
      <c r="A4819" s="658" t="s">
        <v>3751</v>
      </c>
      <c r="B4819" s="977" t="s">
        <v>3491</v>
      </c>
      <c r="C4819" s="978"/>
      <c r="D4819" s="978"/>
      <c r="E4819" s="978"/>
      <c r="F4819" s="978"/>
      <c r="G4819" s="978"/>
      <c r="H4819" s="978"/>
    </row>
    <row r="4820" spans="1:8" ht="15">
      <c r="A4820" s="90"/>
      <c r="B4820" s="204"/>
      <c r="C4820" s="204"/>
      <c r="D4820" s="204"/>
      <c r="E4820" s="204"/>
      <c r="F4820" s="204"/>
      <c r="G4820" s="204"/>
      <c r="H4820" s="204"/>
    </row>
    <row r="4821" spans="1:8" ht="15">
      <c r="A4821" s="1"/>
      <c r="B4821" s="885" t="s">
        <v>1392</v>
      </c>
      <c r="C4821" s="885"/>
      <c r="D4821" s="885"/>
      <c r="E4821" s="885"/>
      <c r="F4821" s="885"/>
      <c r="G4821" s="885"/>
      <c r="H4821" s="885"/>
    </row>
    <row r="4822" spans="1:8" ht="31.5">
      <c r="A4822" s="1"/>
      <c r="B4822" s="68" t="s">
        <v>2966</v>
      </c>
      <c r="C4822" s="68" t="s">
        <v>2967</v>
      </c>
      <c r="D4822" s="68" t="s">
        <v>2968</v>
      </c>
      <c r="E4822" s="68" t="s">
        <v>2969</v>
      </c>
      <c r="F4822" s="68" t="s">
        <v>2970</v>
      </c>
      <c r="G4822" s="68" t="s">
        <v>2971</v>
      </c>
      <c r="H4822" s="68" t="s">
        <v>1487</v>
      </c>
    </row>
    <row r="4823" spans="1:8" ht="47.25">
      <c r="A4823" s="1"/>
      <c r="B4823" s="58" t="s">
        <v>2055</v>
      </c>
      <c r="C4823" s="263" t="s">
        <v>3502</v>
      </c>
      <c r="D4823" s="8"/>
      <c r="E4823" s="8"/>
      <c r="F4823" s="107"/>
      <c r="G4823" s="107"/>
      <c r="H4823" s="108"/>
    </row>
    <row r="4824" spans="1:8" ht="17.25">
      <c r="A4824" s="1"/>
      <c r="B4824" s="82" t="s">
        <v>370</v>
      </c>
      <c r="C4824" s="78" t="s">
        <v>1372</v>
      </c>
      <c r="D4824" s="43">
        <v>1</v>
      </c>
      <c r="E4824" s="56" t="s">
        <v>2807</v>
      </c>
      <c r="F4824" s="122" t="e">
        <f>#REF!</f>
        <v>#REF!</v>
      </c>
      <c r="G4824" s="63" t="e">
        <f>FLOOR(D4824*F4824,0.01)</f>
        <v>#REF!</v>
      </c>
      <c r="H4824" s="123" t="e">
        <f>SUM(G4824)</f>
        <v>#REF!</v>
      </c>
    </row>
    <row r="4825" spans="1:8" ht="19.5">
      <c r="A4825" s="1"/>
      <c r="B4825" s="1"/>
      <c r="C4825" s="1"/>
      <c r="D4825" s="1"/>
      <c r="E4825" s="1"/>
      <c r="F4825" s="40" t="s">
        <v>1491</v>
      </c>
      <c r="G4825" s="102"/>
      <c r="H4825" s="63" t="e">
        <f>SUM(H4822:H4824)</f>
        <v>#REF!</v>
      </c>
    </row>
    <row r="4826" spans="1:8" ht="19.5">
      <c r="A4826" s="1"/>
      <c r="B4826" s="1" t="s">
        <v>372</v>
      </c>
      <c r="C4826" s="1"/>
      <c r="D4826" s="1"/>
      <c r="E4826" s="1"/>
      <c r="F4826" s="40" t="s">
        <v>1471</v>
      </c>
      <c r="G4826" s="102"/>
      <c r="H4826" s="63" t="e">
        <f>FLOOR(H4825*0.15,0.01)</f>
        <v>#REF!</v>
      </c>
    </row>
    <row r="4827" spans="1:8" ht="19.5">
      <c r="A4827" s="27" t="s">
        <v>3005</v>
      </c>
      <c r="B4827" s="99" t="e">
        <f>+H4827</f>
        <v>#REF!</v>
      </c>
      <c r="C4827" s="1" t="s">
        <v>3006</v>
      </c>
      <c r="D4827" s="1"/>
      <c r="E4827" s="1"/>
      <c r="F4827" s="40" t="s">
        <v>1494</v>
      </c>
      <c r="G4827" s="102"/>
      <c r="H4827" s="99" t="e">
        <f>SUM(H4825:H4826)</f>
        <v>#REF!</v>
      </c>
    </row>
    <row r="4828" spans="1:8" ht="15">
      <c r="A4828" s="1"/>
      <c r="B4828" s="1"/>
      <c r="C4828" s="1"/>
      <c r="D4828" s="1"/>
      <c r="E4828" s="1"/>
      <c r="F4828" s="1"/>
      <c r="G4828" s="1"/>
      <c r="H4828" s="1"/>
    </row>
    <row r="4829" spans="1:8" ht="15">
      <c r="A4829" s="1"/>
      <c r="B4829" s="1"/>
      <c r="C4829" s="1"/>
      <c r="D4829" s="1"/>
      <c r="E4829" s="1"/>
      <c r="F4829" s="1"/>
      <c r="G4829" s="1"/>
      <c r="H4829" s="1"/>
    </row>
    <row r="4830" spans="1:8" ht="15">
      <c r="A4830" s="1"/>
      <c r="B4830" s="1"/>
      <c r="C4830" s="1"/>
      <c r="D4830" s="1"/>
      <c r="E4830" s="1"/>
      <c r="F4830" s="1"/>
      <c r="G4830" s="1"/>
      <c r="H4830" s="1"/>
    </row>
    <row r="4831" spans="1:8" ht="15.75">
      <c r="A4831" s="426">
        <f>A4818+1</f>
        <v>313</v>
      </c>
      <c r="B4831" s="979"/>
      <c r="C4831" s="957"/>
      <c r="D4831" s="957"/>
      <c r="E4831" s="957"/>
      <c r="F4831" s="957"/>
      <c r="G4831" s="957"/>
      <c r="H4831" s="957"/>
    </row>
    <row r="4832" spans="1:8" ht="15">
      <c r="A4832" s="658" t="s">
        <v>3751</v>
      </c>
      <c r="B4832" s="977" t="s">
        <v>3492</v>
      </c>
      <c r="C4832" s="978"/>
      <c r="D4832" s="978"/>
      <c r="E4832" s="978"/>
      <c r="F4832" s="978"/>
      <c r="G4832" s="978"/>
      <c r="H4832" s="978"/>
    </row>
    <row r="4833" spans="1:8" ht="15">
      <c r="A4833" s="1"/>
      <c r="B4833" s="885" t="s">
        <v>1392</v>
      </c>
      <c r="C4833" s="885"/>
      <c r="D4833" s="885"/>
      <c r="E4833" s="885"/>
      <c r="F4833" s="885"/>
      <c r="G4833" s="885"/>
      <c r="H4833" s="885"/>
    </row>
    <row r="4834" spans="1:8" ht="31.5">
      <c r="A4834" s="1"/>
      <c r="B4834" s="68" t="s">
        <v>2966</v>
      </c>
      <c r="C4834" s="68" t="s">
        <v>2967</v>
      </c>
      <c r="D4834" s="68" t="s">
        <v>2968</v>
      </c>
      <c r="E4834" s="68" t="s">
        <v>2969</v>
      </c>
      <c r="F4834" s="68" t="s">
        <v>2970</v>
      </c>
      <c r="G4834" s="68" t="s">
        <v>2971</v>
      </c>
      <c r="H4834" s="68" t="s">
        <v>1487</v>
      </c>
    </row>
    <row r="4835" spans="1:8" ht="47.25">
      <c r="A4835" s="1"/>
      <c r="B4835" s="58" t="s">
        <v>2055</v>
      </c>
      <c r="C4835" s="263" t="s">
        <v>3503</v>
      </c>
      <c r="D4835" s="8"/>
      <c r="E4835" s="8"/>
      <c r="F4835" s="107"/>
      <c r="G4835" s="107"/>
      <c r="H4835" s="108"/>
    </row>
    <row r="4836" spans="1:8" ht="17.25">
      <c r="A4836" s="1"/>
      <c r="B4836" s="82" t="s">
        <v>370</v>
      </c>
      <c r="C4836" s="78" t="s">
        <v>1372</v>
      </c>
      <c r="D4836" s="43">
        <v>1</v>
      </c>
      <c r="E4836" s="56" t="s">
        <v>2807</v>
      </c>
      <c r="F4836" s="122" t="e">
        <f>#REF!</f>
        <v>#REF!</v>
      </c>
      <c r="G4836" s="63" t="e">
        <f>FLOOR(D4836*F4836,0.01)</f>
        <v>#REF!</v>
      </c>
      <c r="H4836" s="123" t="e">
        <f>SUM(G4836)</f>
        <v>#REF!</v>
      </c>
    </row>
    <row r="4837" spans="1:8" ht="19.5">
      <c r="A4837" s="1"/>
      <c r="B4837" s="1"/>
      <c r="C4837" s="1"/>
      <c r="D4837" s="1"/>
      <c r="E4837" s="1"/>
      <c r="F4837" s="40" t="s">
        <v>1491</v>
      </c>
      <c r="G4837" s="102"/>
      <c r="H4837" s="63" t="e">
        <f>SUM(H4834:H4836)</f>
        <v>#REF!</v>
      </c>
    </row>
    <row r="4838" spans="1:8" ht="19.5">
      <c r="A4838" s="1"/>
      <c r="B4838" s="1" t="s">
        <v>372</v>
      </c>
      <c r="C4838" s="1"/>
      <c r="D4838" s="1"/>
      <c r="E4838" s="1"/>
      <c r="F4838" s="40" t="s">
        <v>1471</v>
      </c>
      <c r="G4838" s="102"/>
      <c r="H4838" s="63" t="e">
        <f>FLOOR(H4837*0.15,0.01)</f>
        <v>#REF!</v>
      </c>
    </row>
    <row r="4839" spans="1:8" ht="19.5">
      <c r="A4839" s="27" t="s">
        <v>3005</v>
      </c>
      <c r="B4839" s="99" t="e">
        <f>+H4839</f>
        <v>#REF!</v>
      </c>
      <c r="C4839" s="1" t="s">
        <v>3006</v>
      </c>
      <c r="D4839" s="1"/>
      <c r="E4839" s="1"/>
      <c r="F4839" s="40" t="s">
        <v>1494</v>
      </c>
      <c r="G4839" s="102"/>
      <c r="H4839" s="99" t="e">
        <f>SUM(H4837:H4838)</f>
        <v>#REF!</v>
      </c>
    </row>
    <row r="4840" spans="1:8" ht="15">
      <c r="A4840" s="1"/>
      <c r="B4840" s="1"/>
      <c r="C4840" s="1"/>
      <c r="D4840" s="1"/>
      <c r="E4840" s="1"/>
      <c r="F4840" s="1"/>
      <c r="G4840" s="1"/>
      <c r="H4840" s="1"/>
    </row>
    <row r="4841" spans="1:8" ht="15">
      <c r="A4841" s="1"/>
      <c r="B4841" s="1"/>
      <c r="C4841" s="1"/>
      <c r="D4841" s="1"/>
      <c r="E4841" s="1"/>
      <c r="F4841" s="1"/>
      <c r="G4841" s="1"/>
      <c r="H4841" s="1"/>
    </row>
    <row r="4842" spans="1:8" ht="15.75">
      <c r="A4842" s="426">
        <f>A4831+1</f>
        <v>314</v>
      </c>
      <c r="B4842" s="979"/>
      <c r="C4842" s="957"/>
      <c r="D4842" s="957"/>
      <c r="E4842" s="957"/>
      <c r="F4842" s="957"/>
      <c r="G4842" s="957"/>
      <c r="H4842" s="957"/>
    </row>
    <row r="4843" spans="1:8" ht="15">
      <c r="A4843" s="658" t="s">
        <v>3751</v>
      </c>
      <c r="B4843" s="977" t="s">
        <v>3495</v>
      </c>
      <c r="C4843" s="978"/>
      <c r="D4843" s="978"/>
      <c r="E4843" s="978"/>
      <c r="F4843" s="978"/>
      <c r="G4843" s="978"/>
      <c r="H4843" s="978"/>
    </row>
    <row r="4844" spans="1:8" ht="15">
      <c r="A4844" s="1"/>
      <c r="B4844" s="885" t="s">
        <v>1392</v>
      </c>
      <c r="C4844" s="885"/>
      <c r="D4844" s="885"/>
      <c r="E4844" s="885"/>
      <c r="F4844" s="885"/>
      <c r="G4844" s="885"/>
      <c r="H4844" s="885"/>
    </row>
    <row r="4845" spans="1:8" ht="31.5">
      <c r="A4845" s="1"/>
      <c r="B4845" s="68" t="s">
        <v>2966</v>
      </c>
      <c r="C4845" s="68" t="s">
        <v>2967</v>
      </c>
      <c r="D4845" s="68" t="s">
        <v>2968</v>
      </c>
      <c r="E4845" s="68" t="s">
        <v>2969</v>
      </c>
      <c r="F4845" s="68" t="s">
        <v>2970</v>
      </c>
      <c r="G4845" s="68" t="s">
        <v>2971</v>
      </c>
      <c r="H4845" s="68" t="s">
        <v>1487</v>
      </c>
    </row>
    <row r="4846" spans="1:8" ht="31.5">
      <c r="A4846" s="1"/>
      <c r="B4846" s="58" t="s">
        <v>2055</v>
      </c>
      <c r="C4846" s="263" t="s">
        <v>3504</v>
      </c>
      <c r="D4846" s="8"/>
      <c r="E4846" s="8"/>
      <c r="F4846" s="107"/>
      <c r="G4846" s="107"/>
      <c r="H4846" s="108"/>
    </row>
    <row r="4847" spans="1:8" ht="17.25">
      <c r="A4847" s="1"/>
      <c r="B4847" s="82" t="s">
        <v>370</v>
      </c>
      <c r="C4847" s="78" t="s">
        <v>1372</v>
      </c>
      <c r="D4847" s="43">
        <v>1</v>
      </c>
      <c r="E4847" s="56" t="s">
        <v>2807</v>
      </c>
      <c r="F4847" s="122" t="e">
        <f>#REF!</f>
        <v>#REF!</v>
      </c>
      <c r="G4847" s="63" t="e">
        <f>FLOOR(D4847*F4847,0.01)</f>
        <v>#REF!</v>
      </c>
      <c r="H4847" s="123" t="e">
        <f>SUM(G4847)</f>
        <v>#REF!</v>
      </c>
    </row>
    <row r="4848" spans="1:8" ht="19.5">
      <c r="A4848" s="1"/>
      <c r="B4848" s="1"/>
      <c r="C4848" s="1"/>
      <c r="D4848" s="1"/>
      <c r="E4848" s="1"/>
      <c r="F4848" s="40" t="s">
        <v>1491</v>
      </c>
      <c r="G4848" s="102"/>
      <c r="H4848" s="63" t="e">
        <f>SUM(H4845:H4847)</f>
        <v>#REF!</v>
      </c>
    </row>
    <row r="4849" spans="1:8" ht="19.5">
      <c r="A4849" s="1"/>
      <c r="B4849" s="1" t="s">
        <v>372</v>
      </c>
      <c r="C4849" s="1"/>
      <c r="D4849" s="1"/>
      <c r="E4849" s="1"/>
      <c r="F4849" s="40" t="s">
        <v>1471</v>
      </c>
      <c r="G4849" s="102"/>
      <c r="H4849" s="63" t="e">
        <f>FLOOR(H4848*0.15,0.01)</f>
        <v>#REF!</v>
      </c>
    </row>
    <row r="4850" spans="1:8" ht="19.5">
      <c r="A4850" s="27" t="s">
        <v>3005</v>
      </c>
      <c r="B4850" s="99" t="e">
        <f>+H4850</f>
        <v>#REF!</v>
      </c>
      <c r="C4850" s="1" t="s">
        <v>3006</v>
      </c>
      <c r="D4850" s="1"/>
      <c r="E4850" s="1"/>
      <c r="F4850" s="40" t="s">
        <v>1494</v>
      </c>
      <c r="G4850" s="102"/>
      <c r="H4850" s="99" t="e">
        <f>SUM(H4848:H4849)</f>
        <v>#REF!</v>
      </c>
    </row>
    <row r="4851" spans="1:8" ht="15">
      <c r="A4851" s="1"/>
      <c r="B4851" s="1"/>
      <c r="C4851" s="1"/>
      <c r="D4851" s="1"/>
      <c r="E4851" s="1"/>
      <c r="F4851" s="1"/>
      <c r="G4851" s="1"/>
      <c r="H4851" s="1"/>
    </row>
    <row r="4852" spans="1:8" ht="15">
      <c r="A4852" s="1"/>
      <c r="B4852" s="1"/>
      <c r="C4852" s="1"/>
      <c r="D4852" s="1"/>
      <c r="E4852" s="1"/>
      <c r="F4852" s="1"/>
      <c r="G4852" s="1"/>
      <c r="H4852" s="1"/>
    </row>
    <row r="4853" spans="1:8" ht="15.75">
      <c r="A4853" s="426">
        <f>A4842+1</f>
        <v>315</v>
      </c>
      <c r="B4853" s="979"/>
      <c r="C4853" s="957"/>
      <c r="D4853" s="957"/>
      <c r="E4853" s="957"/>
      <c r="F4853" s="957"/>
      <c r="G4853" s="957"/>
      <c r="H4853" s="957"/>
    </row>
    <row r="4854" spans="1:8" ht="15">
      <c r="A4854" s="658" t="s">
        <v>3751</v>
      </c>
      <c r="B4854" s="977" t="s">
        <v>3496</v>
      </c>
      <c r="C4854" s="978"/>
      <c r="D4854" s="978"/>
      <c r="E4854" s="978"/>
      <c r="F4854" s="978"/>
      <c r="G4854" s="978"/>
      <c r="H4854" s="978"/>
    </row>
    <row r="4855" spans="1:8" ht="15">
      <c r="A4855" s="90"/>
      <c r="B4855" s="204"/>
      <c r="C4855" s="204"/>
      <c r="D4855" s="204"/>
      <c r="E4855" s="204"/>
      <c r="F4855" s="204"/>
      <c r="G4855" s="204"/>
      <c r="H4855" s="204"/>
    </row>
    <row r="4856" spans="1:8" ht="15">
      <c r="A4856" s="1"/>
      <c r="B4856" s="885" t="s">
        <v>1392</v>
      </c>
      <c r="C4856" s="885"/>
      <c r="D4856" s="885"/>
      <c r="E4856" s="885"/>
      <c r="F4856" s="885"/>
      <c r="G4856" s="885"/>
      <c r="H4856" s="885"/>
    </row>
    <row r="4857" spans="1:8" ht="31.5">
      <c r="A4857" s="1"/>
      <c r="B4857" s="68" t="s">
        <v>2966</v>
      </c>
      <c r="C4857" s="68" t="s">
        <v>2967</v>
      </c>
      <c r="D4857" s="68" t="s">
        <v>2968</v>
      </c>
      <c r="E4857" s="68" t="s">
        <v>2969</v>
      </c>
      <c r="F4857" s="68" t="s">
        <v>2970</v>
      </c>
      <c r="G4857" s="68" t="s">
        <v>2971</v>
      </c>
      <c r="H4857" s="68" t="s">
        <v>1487</v>
      </c>
    </row>
    <row r="4858" spans="1:8" ht="47.25">
      <c r="A4858" s="1"/>
      <c r="B4858" s="58" t="s">
        <v>2055</v>
      </c>
      <c r="C4858" s="263" t="s">
        <v>3505</v>
      </c>
      <c r="D4858" s="8"/>
      <c r="E4858" s="8"/>
      <c r="F4858" s="107"/>
      <c r="G4858" s="107"/>
      <c r="H4858" s="108"/>
    </row>
    <row r="4859" spans="1:8" ht="17.25">
      <c r="A4859" s="1"/>
      <c r="B4859" s="82" t="s">
        <v>370</v>
      </c>
      <c r="C4859" s="78" t="s">
        <v>1372</v>
      </c>
      <c r="D4859" s="43">
        <v>1</v>
      </c>
      <c r="E4859" s="56" t="s">
        <v>2807</v>
      </c>
      <c r="F4859" s="122" t="e">
        <f>#REF!</f>
        <v>#REF!</v>
      </c>
      <c r="G4859" s="63" t="e">
        <f>FLOOR(D4859*F4859,0.01)</f>
        <v>#REF!</v>
      </c>
      <c r="H4859" s="123" t="e">
        <f>SUM(G4859)</f>
        <v>#REF!</v>
      </c>
    </row>
    <row r="4860" spans="1:8" ht="19.5">
      <c r="A4860" s="1"/>
      <c r="B4860" s="1"/>
      <c r="C4860" s="1"/>
      <c r="D4860" s="1"/>
      <c r="E4860" s="1"/>
      <c r="F4860" s="40" t="s">
        <v>1491</v>
      </c>
      <c r="G4860" s="102"/>
      <c r="H4860" s="63" t="e">
        <f>SUM(H4857:H4859)</f>
        <v>#REF!</v>
      </c>
    </row>
    <row r="4861" spans="1:8" ht="19.5">
      <c r="A4861" s="1"/>
      <c r="B4861" s="1" t="s">
        <v>372</v>
      </c>
      <c r="C4861" s="1"/>
      <c r="D4861" s="1"/>
      <c r="E4861" s="1"/>
      <c r="F4861" s="40" t="s">
        <v>1471</v>
      </c>
      <c r="G4861" s="102"/>
      <c r="H4861" s="63" t="e">
        <f>FLOOR(H4860*0.15,0.01)</f>
        <v>#REF!</v>
      </c>
    </row>
    <row r="4862" spans="1:8" ht="19.5">
      <c r="A4862" s="27" t="s">
        <v>3005</v>
      </c>
      <c r="B4862" s="99" t="e">
        <f>+H4862</f>
        <v>#REF!</v>
      </c>
      <c r="C4862" s="1" t="s">
        <v>3006</v>
      </c>
      <c r="D4862" s="1"/>
      <c r="E4862" s="1"/>
      <c r="F4862" s="40" t="s">
        <v>1494</v>
      </c>
      <c r="G4862" s="102"/>
      <c r="H4862" s="99" t="e">
        <f>SUM(H4860:H4861)</f>
        <v>#REF!</v>
      </c>
    </row>
    <row r="4863" spans="1:8" ht="15">
      <c r="A4863" s="1"/>
      <c r="B4863" s="1"/>
      <c r="C4863" s="1"/>
      <c r="D4863" s="1"/>
      <c r="E4863" s="1"/>
      <c r="F4863" s="1"/>
      <c r="G4863" s="1"/>
      <c r="H4863" s="1"/>
    </row>
    <row r="4864" spans="1:8" ht="15.75">
      <c r="A4864" s="426">
        <f>A4853+1</f>
        <v>316</v>
      </c>
      <c r="B4864" s="979"/>
      <c r="C4864" s="957"/>
      <c r="D4864" s="957"/>
      <c r="E4864" s="957"/>
      <c r="F4864" s="957"/>
      <c r="G4864" s="957"/>
      <c r="H4864" s="957"/>
    </row>
    <row r="4865" spans="1:8" ht="15">
      <c r="A4865" s="658" t="s">
        <v>3751</v>
      </c>
      <c r="B4865" s="977" t="s">
        <v>3497</v>
      </c>
      <c r="C4865" s="978"/>
      <c r="D4865" s="978"/>
      <c r="E4865" s="978"/>
      <c r="F4865" s="978"/>
      <c r="G4865" s="978"/>
      <c r="H4865" s="978"/>
    </row>
    <row r="4866" spans="1:8" ht="15">
      <c r="A4866" s="1"/>
      <c r="B4866" s="885" t="s">
        <v>1392</v>
      </c>
      <c r="C4866" s="885"/>
      <c r="D4866" s="885"/>
      <c r="E4866" s="885"/>
      <c r="F4866" s="885"/>
      <c r="G4866" s="885"/>
      <c r="H4866" s="885"/>
    </row>
    <row r="4867" spans="1:8" ht="31.5">
      <c r="A4867" s="1"/>
      <c r="B4867" s="68" t="s">
        <v>2966</v>
      </c>
      <c r="C4867" s="68" t="s">
        <v>2967</v>
      </c>
      <c r="D4867" s="68" t="s">
        <v>2968</v>
      </c>
      <c r="E4867" s="68" t="s">
        <v>2969</v>
      </c>
      <c r="F4867" s="68" t="s">
        <v>2970</v>
      </c>
      <c r="G4867" s="68" t="s">
        <v>2971</v>
      </c>
      <c r="H4867" s="68" t="s">
        <v>1487</v>
      </c>
    </row>
    <row r="4868" spans="1:8" ht="31.5">
      <c r="A4868" s="1"/>
      <c r="B4868" s="58" t="s">
        <v>2055</v>
      </c>
      <c r="C4868" s="263" t="s">
        <v>3506</v>
      </c>
      <c r="D4868" s="8"/>
      <c r="E4868" s="8"/>
      <c r="F4868" s="107"/>
      <c r="G4868" s="107"/>
      <c r="H4868" s="108"/>
    </row>
    <row r="4869" spans="1:8" ht="17.25">
      <c r="A4869" s="1"/>
      <c r="B4869" s="82" t="s">
        <v>370</v>
      </c>
      <c r="C4869" s="78" t="s">
        <v>1372</v>
      </c>
      <c r="D4869" s="43">
        <v>1</v>
      </c>
      <c r="E4869" s="56" t="s">
        <v>2807</v>
      </c>
      <c r="F4869" s="122" t="e">
        <f>#REF!</f>
        <v>#REF!</v>
      </c>
      <c r="G4869" s="63" t="e">
        <f>FLOOR(D4869*F4869,0.01)</f>
        <v>#REF!</v>
      </c>
      <c r="H4869" s="123" t="e">
        <f>SUM(G4869)</f>
        <v>#REF!</v>
      </c>
    </row>
    <row r="4870" spans="1:8" ht="19.5">
      <c r="A4870" s="1"/>
      <c r="B4870" s="1"/>
      <c r="C4870" s="1"/>
      <c r="D4870" s="1"/>
      <c r="E4870" s="1"/>
      <c r="F4870" s="40" t="s">
        <v>1491</v>
      </c>
      <c r="G4870" s="102"/>
      <c r="H4870" s="63" t="e">
        <f>SUM(H4867:H4869)</f>
        <v>#REF!</v>
      </c>
    </row>
    <row r="4871" spans="1:8" ht="19.5">
      <c r="A4871" s="1"/>
      <c r="B4871" s="1" t="s">
        <v>372</v>
      </c>
      <c r="C4871" s="1"/>
      <c r="D4871" s="1"/>
      <c r="E4871" s="1"/>
      <c r="F4871" s="40" t="s">
        <v>1471</v>
      </c>
      <c r="G4871" s="102"/>
      <c r="H4871" s="63" t="e">
        <f>FLOOR(H4870*0.15,0.01)</f>
        <v>#REF!</v>
      </c>
    </row>
    <row r="4872" spans="1:8" ht="19.5">
      <c r="A4872" s="27" t="s">
        <v>3005</v>
      </c>
      <c r="B4872" s="99" t="e">
        <f>+H4872</f>
        <v>#REF!</v>
      </c>
      <c r="C4872" s="1" t="s">
        <v>3006</v>
      </c>
      <c r="D4872" s="1"/>
      <c r="E4872" s="1"/>
      <c r="F4872" s="40" t="s">
        <v>1494</v>
      </c>
      <c r="G4872" s="102"/>
      <c r="H4872" s="99" t="e">
        <f>SUM(H4870:H4871)</f>
        <v>#REF!</v>
      </c>
    </row>
    <row r="4873" spans="1:8" ht="18">
      <c r="A4873" s="1"/>
      <c r="B4873" s="1"/>
      <c r="C4873" s="1"/>
      <c r="D4873" s="446"/>
      <c r="E4873" s="1"/>
      <c r="F4873" s="1"/>
      <c r="G4873" s="1"/>
      <c r="H4873" s="1"/>
    </row>
    <row r="4874" spans="1:8" ht="15.75">
      <c r="A4874" s="426">
        <f>A4864+1</f>
        <v>317</v>
      </c>
      <c r="B4874" s="979"/>
      <c r="C4874" s="957"/>
      <c r="D4874" s="957"/>
      <c r="E4874" s="957"/>
      <c r="F4874" s="957"/>
      <c r="G4874" s="957"/>
      <c r="H4874" s="957"/>
    </row>
    <row r="4875" spans="1:8" ht="15">
      <c r="A4875" s="658" t="s">
        <v>3751</v>
      </c>
      <c r="B4875" s="977" t="s">
        <v>3575</v>
      </c>
      <c r="C4875" s="978"/>
      <c r="D4875" s="978"/>
      <c r="E4875" s="978"/>
      <c r="F4875" s="978"/>
      <c r="G4875" s="978"/>
      <c r="H4875" s="978"/>
    </row>
    <row r="4876" spans="1:8" ht="15">
      <c r="A4876" s="1"/>
      <c r="B4876" s="885" t="s">
        <v>1392</v>
      </c>
      <c r="C4876" s="885"/>
      <c r="D4876" s="885"/>
      <c r="E4876" s="885"/>
      <c r="F4876" s="885"/>
      <c r="G4876" s="885"/>
      <c r="H4876" s="885"/>
    </row>
    <row r="4877" spans="1:8" ht="31.5">
      <c r="A4877" s="1"/>
      <c r="B4877" s="68" t="s">
        <v>2966</v>
      </c>
      <c r="C4877" s="68" t="s">
        <v>2967</v>
      </c>
      <c r="D4877" s="68" t="s">
        <v>2968</v>
      </c>
      <c r="E4877" s="68" t="s">
        <v>2969</v>
      </c>
      <c r="F4877" s="68" t="s">
        <v>2970</v>
      </c>
      <c r="G4877" s="68" t="s">
        <v>2971</v>
      </c>
      <c r="H4877" s="68" t="s">
        <v>1487</v>
      </c>
    </row>
    <row r="4878" spans="1:8" ht="31.5">
      <c r="A4878" s="1"/>
      <c r="B4878" s="58" t="s">
        <v>2055</v>
      </c>
      <c r="C4878" s="263" t="s">
        <v>3602</v>
      </c>
      <c r="D4878" s="8"/>
      <c r="E4878" s="8"/>
      <c r="F4878" s="107"/>
      <c r="G4878" s="107"/>
      <c r="H4878" s="108"/>
    </row>
    <row r="4879" spans="1:8" ht="17.25">
      <c r="A4879" s="1"/>
      <c r="B4879" s="82" t="s">
        <v>370</v>
      </c>
      <c r="C4879" s="78" t="s">
        <v>1372</v>
      </c>
      <c r="D4879" s="43">
        <v>1</v>
      </c>
      <c r="E4879" s="56" t="s">
        <v>2807</v>
      </c>
      <c r="F4879" s="122" t="e">
        <f>#REF!</f>
        <v>#REF!</v>
      </c>
      <c r="G4879" s="63" t="e">
        <f>FLOOR(D4879*F4879,0.01)</f>
        <v>#REF!</v>
      </c>
      <c r="H4879" s="123" t="e">
        <f>SUM(G4879)</f>
        <v>#REF!</v>
      </c>
    </row>
    <row r="4880" spans="1:8" ht="19.5">
      <c r="A4880" s="1"/>
      <c r="B4880" s="1"/>
      <c r="C4880" s="1"/>
      <c r="D4880" s="1"/>
      <c r="E4880" s="1"/>
      <c r="F4880" s="40" t="s">
        <v>1491</v>
      </c>
      <c r="G4880" s="102"/>
      <c r="H4880" s="63" t="e">
        <f>SUM(H4877:H4879)</f>
        <v>#REF!</v>
      </c>
    </row>
    <row r="4881" spans="1:14" ht="19.5">
      <c r="A4881" s="1"/>
      <c r="B4881" s="1" t="s">
        <v>372</v>
      </c>
      <c r="C4881" s="1"/>
      <c r="D4881" s="1"/>
      <c r="E4881" s="1"/>
      <c r="F4881" s="40" t="s">
        <v>1471</v>
      </c>
      <c r="G4881" s="102"/>
      <c r="H4881" s="63" t="e">
        <f>FLOOR(H4880*0.15,0.01)</f>
        <v>#REF!</v>
      </c>
    </row>
    <row r="4882" spans="1:14" ht="19.5">
      <c r="A4882" s="27" t="s">
        <v>3005</v>
      </c>
      <c r="B4882" s="99" t="e">
        <f>+H4882</f>
        <v>#REF!</v>
      </c>
      <c r="C4882" s="1" t="s">
        <v>3006</v>
      </c>
      <c r="D4882" s="1"/>
      <c r="E4882" s="1"/>
      <c r="F4882" s="40" t="s">
        <v>1494</v>
      </c>
      <c r="G4882" s="102"/>
      <c r="H4882" s="99" t="e">
        <f>SUM(H4880:H4881)</f>
        <v>#REF!</v>
      </c>
    </row>
    <row r="4883" spans="1:14" ht="18">
      <c r="A4883" s="571"/>
      <c r="B4883" s="570"/>
      <c r="C4883" s="570"/>
      <c r="D4883" s="1"/>
      <c r="E4883" s="571"/>
      <c r="F4883" s="571"/>
      <c r="G4883" s="571"/>
      <c r="H4883" s="572"/>
    </row>
    <row r="4884" spans="1:14" ht="53.25" customHeight="1">
      <c r="A4884" s="669">
        <f>A4874+1</f>
        <v>318</v>
      </c>
      <c r="B4884" s="875" t="s">
        <v>1739</v>
      </c>
      <c r="C4884" s="876"/>
      <c r="D4884" s="876"/>
      <c r="E4884" s="876"/>
      <c r="F4884" s="876"/>
      <c r="G4884" s="714"/>
      <c r="H4884" s="714"/>
      <c r="I4884" s="96">
        <v>8</v>
      </c>
      <c r="J4884" s="876" t="s">
        <v>1739</v>
      </c>
      <c r="K4884" s="876"/>
      <c r="L4884" s="876"/>
      <c r="M4884" s="876"/>
      <c r="N4884" s="876"/>
    </row>
    <row r="4885" spans="1:14" ht="18">
      <c r="A4885" s="384" t="s">
        <v>1721</v>
      </c>
      <c r="B4885" s="570"/>
      <c r="C4885" s="570"/>
      <c r="D4885" s="570"/>
      <c r="E4885" s="570"/>
      <c r="F4885" s="570"/>
      <c r="G4885" s="570"/>
      <c r="H4885" s="570"/>
      <c r="J4885" s="570"/>
      <c r="K4885" s="570"/>
      <c r="L4885" s="570"/>
      <c r="M4885" s="570"/>
      <c r="N4885" s="570"/>
    </row>
    <row r="4886" spans="1:14" ht="15">
      <c r="A4886" s="1"/>
      <c r="C4886" s="383" t="s">
        <v>3554</v>
      </c>
      <c r="D4886" s="670" t="s">
        <v>1722</v>
      </c>
      <c r="E4886" s="381" t="s">
        <v>3765</v>
      </c>
      <c r="F4886" s="489"/>
      <c r="K4886" s="383" t="s">
        <v>3554</v>
      </c>
      <c r="L4886" s="670" t="s">
        <v>1722</v>
      </c>
      <c r="M4886" s="381" t="s">
        <v>3765</v>
      </c>
      <c r="N4886" s="489"/>
    </row>
    <row r="4887" spans="1:14" ht="20.25">
      <c r="A4887" s="1"/>
      <c r="B4887" s="447"/>
      <c r="C4887" s="383" t="s">
        <v>1723</v>
      </c>
      <c r="D4887" s="384" t="s">
        <v>1724</v>
      </c>
      <c r="E4887" s="383" t="s">
        <v>3753</v>
      </c>
      <c r="F4887" s="383" t="s">
        <v>3752</v>
      </c>
      <c r="G4887" s="574"/>
      <c r="H4887" s="574"/>
      <c r="J4887" s="447"/>
      <c r="K4887" s="383" t="s">
        <v>1723</v>
      </c>
      <c r="L4887" s="384" t="s">
        <v>1724</v>
      </c>
      <c r="M4887" s="383" t="s">
        <v>3753</v>
      </c>
      <c r="N4887" s="383" t="s">
        <v>3752</v>
      </c>
    </row>
    <row r="4888" spans="1:14" ht="20.25">
      <c r="A4888" s="1"/>
      <c r="B4888" s="447"/>
      <c r="C4888" s="383" t="s">
        <v>1725</v>
      </c>
      <c r="D4888" s="384" t="s">
        <v>1726</v>
      </c>
      <c r="E4888" s="381" t="s">
        <v>3807</v>
      </c>
      <c r="F4888" s="383"/>
      <c r="G4888" s="574"/>
      <c r="H4888" s="574"/>
      <c r="J4888" s="447"/>
      <c r="K4888" s="383" t="s">
        <v>1725</v>
      </c>
      <c r="L4888" s="384" t="s">
        <v>1726</v>
      </c>
      <c r="M4888" s="381" t="s">
        <v>3807</v>
      </c>
      <c r="N4888" s="383"/>
    </row>
    <row r="4889" spans="1:14" ht="39.75">
      <c r="A4889" s="1"/>
      <c r="B4889" s="447"/>
      <c r="C4889" s="341" t="s">
        <v>1727</v>
      </c>
      <c r="D4889" s="384" t="s">
        <v>1728</v>
      </c>
      <c r="E4889" s="383" t="s">
        <v>1729</v>
      </c>
      <c r="F4889" s="384" t="s">
        <v>1730</v>
      </c>
      <c r="G4889" s="574"/>
      <c r="H4889" s="574"/>
      <c r="J4889" s="447"/>
      <c r="K4889" s="341" t="s">
        <v>1727</v>
      </c>
      <c r="L4889" s="384" t="s">
        <v>1728</v>
      </c>
      <c r="M4889" s="383" t="s">
        <v>1729</v>
      </c>
      <c r="N4889" s="384" t="s">
        <v>1730</v>
      </c>
    </row>
    <row r="4890" spans="1:14" ht="27">
      <c r="A4890" s="1"/>
      <c r="B4890" s="447"/>
      <c r="C4890" s="341" t="s">
        <v>3759</v>
      </c>
      <c r="D4890" s="384" t="s">
        <v>1731</v>
      </c>
      <c r="E4890" s="383" t="s">
        <v>3758</v>
      </c>
      <c r="F4890" s="384" t="s">
        <v>1732</v>
      </c>
      <c r="G4890" s="574"/>
      <c r="H4890" s="574"/>
      <c r="J4890" s="447"/>
      <c r="K4890" s="341" t="s">
        <v>3759</v>
      </c>
      <c r="L4890" s="384" t="s">
        <v>1731</v>
      </c>
      <c r="M4890" s="383" t="s">
        <v>3758</v>
      </c>
      <c r="N4890" s="384" t="s">
        <v>1732</v>
      </c>
    </row>
    <row r="4891" spans="1:14" ht="20.25">
      <c r="A4891" s="1"/>
      <c r="B4891" s="447"/>
      <c r="C4891" s="383" t="s">
        <v>3553</v>
      </c>
      <c r="D4891" s="383"/>
      <c r="E4891" s="383"/>
      <c r="F4891" s="383"/>
      <c r="G4891" s="574"/>
      <c r="H4891" s="574"/>
      <c r="J4891" s="447"/>
      <c r="K4891" s="383" t="s">
        <v>3553</v>
      </c>
      <c r="L4891" s="383"/>
      <c r="M4891" s="383"/>
      <c r="N4891" s="383"/>
    </row>
    <row r="4892" spans="1:14" ht="20.25">
      <c r="A4892" s="1"/>
      <c r="B4892" s="447"/>
      <c r="C4892" s="383" t="s">
        <v>3760</v>
      </c>
      <c r="D4892" s="383"/>
      <c r="E4892" s="381" t="s">
        <v>3809</v>
      </c>
      <c r="F4892" s="383"/>
      <c r="G4892" s="574"/>
      <c r="H4892" s="574"/>
      <c r="J4892" s="447"/>
      <c r="K4892" s="383" t="s">
        <v>3760</v>
      </c>
      <c r="L4892" s="383"/>
      <c r="M4892" s="381" t="s">
        <v>3809</v>
      </c>
      <c r="N4892" s="383"/>
    </row>
    <row r="4893" spans="1:14" ht="20.25">
      <c r="A4893" s="1"/>
      <c r="B4893" s="447"/>
      <c r="C4893" s="383" t="s">
        <v>1733</v>
      </c>
      <c r="D4893" s="383" t="s">
        <v>1734</v>
      </c>
      <c r="E4893" s="381" t="s">
        <v>3808</v>
      </c>
      <c r="F4893" s="383">
        <f>0.4*475</f>
        <v>190</v>
      </c>
      <c r="G4893" s="574"/>
      <c r="H4893" s="574"/>
      <c r="J4893" s="447"/>
      <c r="K4893" s="383" t="s">
        <v>1733</v>
      </c>
      <c r="L4893" s="383" t="s">
        <v>1734</v>
      </c>
      <c r="M4893" s="381" t="s">
        <v>3808</v>
      </c>
      <c r="N4893" s="383">
        <f>0.4*475</f>
        <v>190</v>
      </c>
    </row>
    <row r="4894" spans="1:14" ht="20.25">
      <c r="A4894" s="1"/>
      <c r="B4894" s="447"/>
      <c r="C4894" s="383" t="s">
        <v>3552</v>
      </c>
      <c r="D4894" s="383" t="s">
        <v>1735</v>
      </c>
      <c r="E4894" s="381" t="s">
        <v>3764</v>
      </c>
      <c r="F4894" s="383">
        <f>FLOOR(3.2*0.5*93.36,0.01)</f>
        <v>149.37</v>
      </c>
      <c r="G4894" s="574"/>
      <c r="H4894" s="574"/>
      <c r="J4894" s="447"/>
      <c r="K4894" s="383" t="s">
        <v>3552</v>
      </c>
      <c r="L4894" s="383" t="s">
        <v>1735</v>
      </c>
      <c r="M4894" s="381" t="s">
        <v>3764</v>
      </c>
      <c r="N4894" s="383">
        <f>FLOOR(3.2*0.5*93.36,0.01)</f>
        <v>149.37</v>
      </c>
    </row>
    <row r="4895" spans="1:14" ht="20.25">
      <c r="A4895" s="1"/>
      <c r="B4895" s="447"/>
      <c r="C4895" s="383" t="s">
        <v>1736</v>
      </c>
      <c r="D4895" s="383"/>
      <c r="E4895" s="383" t="s">
        <v>3754</v>
      </c>
      <c r="F4895" s="383">
        <f>0.4*(0.5+0.75)*100</f>
        <v>50</v>
      </c>
      <c r="G4895" s="574"/>
      <c r="H4895" s="574"/>
      <c r="J4895" s="447"/>
      <c r="K4895" s="383" t="s">
        <v>1736</v>
      </c>
      <c r="L4895" s="383"/>
      <c r="M4895" s="383" t="s">
        <v>3754</v>
      </c>
      <c r="N4895" s="383">
        <f>0.4*(0.5+0.75)*100</f>
        <v>50</v>
      </c>
    </row>
    <row r="4896" spans="1:14" ht="20.25">
      <c r="A4896" s="1"/>
      <c r="B4896" s="447"/>
      <c r="C4896" s="1"/>
      <c r="D4896" s="447" t="s">
        <v>1737</v>
      </c>
      <c r="E4896" s="1"/>
      <c r="F4896" s="687">
        <f>SUM(F4893:F4895)</f>
        <v>389.37</v>
      </c>
      <c r="G4896" s="574"/>
      <c r="H4896" s="688"/>
      <c r="J4896" s="447"/>
      <c r="K4896" s="1"/>
      <c r="L4896" s="447" t="s">
        <v>1737</v>
      </c>
      <c r="M4896" s="1"/>
      <c r="N4896" s="687">
        <f>SUM(N4893:N4895)</f>
        <v>389.37</v>
      </c>
    </row>
    <row r="4897" spans="1:14" ht="15">
      <c r="A4897" s="1"/>
      <c r="C4897" s="1"/>
      <c r="D4897" s="97" t="s">
        <v>1738</v>
      </c>
      <c r="E4897" s="1"/>
      <c r="F4897" s="683">
        <f>FLOOR(F4896*0.15,0.01)</f>
        <v>58.4</v>
      </c>
      <c r="K4897" s="1"/>
      <c r="L4897" s="97" t="s">
        <v>1738</v>
      </c>
      <c r="M4897" s="1"/>
      <c r="N4897" s="683">
        <f>FLOOR(N4896*0.15,0.01)</f>
        <v>58.4</v>
      </c>
    </row>
    <row r="4898" spans="1:14" ht="15">
      <c r="A4898" s="1"/>
      <c r="D4898" s="575" t="s">
        <v>1740</v>
      </c>
      <c r="E4898" s="1"/>
      <c r="F4898" s="683">
        <f>F4897+F4896</f>
        <v>447.77</v>
      </c>
      <c r="L4898" s="575" t="s">
        <v>1740</v>
      </c>
      <c r="M4898" s="1"/>
      <c r="N4898" s="716">
        <f>N4897+N4896</f>
        <v>447.77</v>
      </c>
    </row>
    <row r="4899" spans="1:14" ht="15">
      <c r="A4899" s="692" t="s">
        <v>3763</v>
      </c>
      <c r="B4899" s="1"/>
      <c r="C4899" s="1"/>
      <c r="D4899" s="1"/>
      <c r="E4899" s="1"/>
      <c r="F4899" s="1"/>
      <c r="G4899" s="1"/>
      <c r="H4899" s="1"/>
      <c r="I4899" s="96">
        <v>9</v>
      </c>
      <c r="K4899" s="280" t="s">
        <v>3810</v>
      </c>
    </row>
    <row r="4900" spans="1:14" ht="15">
      <c r="A4900" s="1"/>
      <c r="B4900" s="1"/>
      <c r="C4900" s="1"/>
      <c r="D4900" s="1"/>
      <c r="E4900" s="1"/>
      <c r="F4900" s="1"/>
      <c r="G4900" s="1"/>
      <c r="H4900" s="1"/>
      <c r="K4900" s="280" t="s">
        <v>3811</v>
      </c>
    </row>
    <row r="4901" spans="1:14" ht="20.25">
      <c r="A4901" s="138">
        <f>A4884+1</f>
        <v>319</v>
      </c>
      <c r="B4901" s="878" t="s">
        <v>3768</v>
      </c>
      <c r="C4901" s="878"/>
      <c r="D4901" s="878"/>
      <c r="E4901" s="878"/>
      <c r="F4901" s="878"/>
      <c r="G4901" s="878"/>
      <c r="H4901" s="878"/>
      <c r="K4901" s="280" t="s">
        <v>3812</v>
      </c>
    </row>
    <row r="4902" spans="1:14" ht="15.75">
      <c r="A4902" s="582" t="s">
        <v>3797</v>
      </c>
      <c r="B4902" s="976" t="s">
        <v>3798</v>
      </c>
      <c r="C4902" s="914"/>
      <c r="D4902" s="914"/>
      <c r="E4902" s="914"/>
      <c r="F4902" s="914"/>
      <c r="G4902" s="914"/>
      <c r="H4902" s="914"/>
      <c r="L4902" s="386" t="s">
        <v>3813</v>
      </c>
      <c r="M4902" s="280" t="s">
        <v>3816</v>
      </c>
      <c r="N4902">
        <f>158/25</f>
        <v>6.32</v>
      </c>
    </row>
    <row r="4903" spans="1:14" ht="15">
      <c r="A4903" s="1"/>
      <c r="B4903" s="879" t="s">
        <v>1382</v>
      </c>
      <c r="C4903" s="879"/>
      <c r="D4903" s="879"/>
      <c r="E4903" s="879"/>
      <c r="F4903" s="879"/>
      <c r="G4903" s="879"/>
      <c r="H4903" s="879"/>
      <c r="M4903" s="280" t="s">
        <v>3817</v>
      </c>
      <c r="N4903">
        <f>N4902*2620</f>
        <v>16558.400000000001</v>
      </c>
    </row>
    <row r="4904" spans="1:14" ht="31.5">
      <c r="A4904" s="1"/>
      <c r="B4904" s="68" t="s">
        <v>2966</v>
      </c>
      <c r="C4904" s="68" t="s">
        <v>2967</v>
      </c>
      <c r="D4904" s="68" t="s">
        <v>2968</v>
      </c>
      <c r="E4904" s="68" t="s">
        <v>2969</v>
      </c>
      <c r="F4904" s="68" t="s">
        <v>2970</v>
      </c>
      <c r="G4904" s="68" t="s">
        <v>2971</v>
      </c>
      <c r="H4904" s="68" t="s">
        <v>1487</v>
      </c>
      <c r="M4904" s="715">
        <v>0.15</v>
      </c>
      <c r="N4904">
        <f>N4902*0.15</f>
        <v>0.94799999999999995</v>
      </c>
    </row>
    <row r="4905" spans="1:14" ht="17.25">
      <c r="A4905" s="1"/>
      <c r="B4905" s="58" t="s">
        <v>1488</v>
      </c>
      <c r="C4905" s="58" t="s">
        <v>2567</v>
      </c>
      <c r="D4905" s="41">
        <v>1.1000000000000001</v>
      </c>
      <c r="E4905" s="55" t="s">
        <v>1490</v>
      </c>
      <c r="F4905" s="107" t="e">
        <f>mason</f>
        <v>#REF!</v>
      </c>
      <c r="G4905" s="107" t="e">
        <f>FLOOR(D4905*F4905,0.01)</f>
        <v>#REF!</v>
      </c>
      <c r="H4905" s="107"/>
      <c r="M4905" s="447" t="s">
        <v>3816</v>
      </c>
      <c r="N4905" s="746">
        <f>FLOOR(N4904+N4902,0.01)</f>
        <v>7.26</v>
      </c>
    </row>
    <row r="4906" spans="1:14" ht="17.25">
      <c r="A4906" s="1"/>
      <c r="B4906" s="62"/>
      <c r="C4906" s="53" t="s">
        <v>1930</v>
      </c>
      <c r="D4906" s="42">
        <v>1.25</v>
      </c>
      <c r="E4906" s="53" t="s">
        <v>1490</v>
      </c>
      <c r="F4906" s="63" t="e">
        <f>#REF!</f>
        <v>#REF!</v>
      </c>
      <c r="G4906" s="122" t="e">
        <f>FLOOR(D4906*F4906,0.01)</f>
        <v>#REF!</v>
      </c>
      <c r="H4906" s="122" t="e">
        <f>SUM(G4905:G4906)</f>
        <v>#REF!</v>
      </c>
      <c r="I4906" s="96">
        <v>10</v>
      </c>
      <c r="K4906" s="280" t="s">
        <v>3815</v>
      </c>
      <c r="N4906" s="386" t="s">
        <v>3814</v>
      </c>
    </row>
    <row r="4907" spans="1:14" ht="17.25">
      <c r="A4907" s="1"/>
      <c r="B4907" s="880" t="s">
        <v>2055</v>
      </c>
      <c r="C4907" s="640" t="s">
        <v>3769</v>
      </c>
      <c r="D4907" s="41">
        <v>12</v>
      </c>
      <c r="E4907" s="55" t="s">
        <v>2807</v>
      </c>
      <c r="F4907" s="152" t="e">
        <f>#REF!</f>
        <v>#REF!</v>
      </c>
      <c r="G4907" s="152" t="e">
        <f>FLOOR(D4907*F4907,0.01)</f>
        <v>#REF!</v>
      </c>
      <c r="H4907" s="196"/>
      <c r="M4907" s="280" t="s">
        <v>3817</v>
      </c>
      <c r="N4907" s="259" t="e">
        <f>#REF!</f>
        <v>#REF!</v>
      </c>
    </row>
    <row r="4908" spans="1:14" ht="31.5">
      <c r="A4908" s="1"/>
      <c r="B4908" s="881"/>
      <c r="C4908" s="671" t="s">
        <v>3770</v>
      </c>
      <c r="D4908" s="42">
        <v>28</v>
      </c>
      <c r="E4908" s="53" t="s">
        <v>699</v>
      </c>
      <c r="F4908" s="116" t="e">
        <f>#REF!</f>
        <v>#REF!</v>
      </c>
      <c r="G4908" s="153" t="e">
        <f>FLOOR(D4908*F4908,0.01)</f>
        <v>#REF!</v>
      </c>
      <c r="H4908" s="196"/>
      <c r="M4908" s="715">
        <v>0.15</v>
      </c>
      <c r="N4908" t="e">
        <f>FLOOR(N4907*0.15,0.01)</f>
        <v>#REF!</v>
      </c>
    </row>
    <row r="4909" spans="1:14" ht="17.25">
      <c r="A4909" s="1"/>
      <c r="B4909" s="938"/>
      <c r="C4909" s="695" t="s">
        <v>3789</v>
      </c>
      <c r="D4909" s="42">
        <v>14</v>
      </c>
      <c r="E4909" s="53" t="s">
        <v>699</v>
      </c>
      <c r="F4909" s="109" t="e">
        <f>#REF!</f>
        <v>#REF!</v>
      </c>
      <c r="G4909" s="153" t="e">
        <f>FLOOR(D4909*F4909,0.01)</f>
        <v>#REF!</v>
      </c>
      <c r="H4909" s="196"/>
      <c r="M4909" s="447" t="str">
        <f>M4907</f>
        <v>Per Cum</v>
      </c>
      <c r="N4909" s="746" t="e">
        <f>N4908+N4907</f>
        <v>#REF!</v>
      </c>
    </row>
    <row r="4910" spans="1:14" ht="16.5">
      <c r="A4910" s="1"/>
      <c r="B4910" s="882"/>
      <c r="C4910" s="213"/>
      <c r="D4910" s="43"/>
      <c r="E4910" s="198"/>
      <c r="F4910" s="63"/>
      <c r="G4910" s="155"/>
      <c r="H4910" s="63" t="e">
        <f>SUM(G4907:G4910)</f>
        <v>#REF!</v>
      </c>
    </row>
    <row r="4911" spans="1:14" ht="17.25">
      <c r="A4911" s="1"/>
      <c r="B4911" s="1"/>
      <c r="C4911" s="1"/>
      <c r="D4911" s="1"/>
      <c r="E4911" s="1"/>
      <c r="F4911" s="40" t="s">
        <v>1491</v>
      </c>
      <c r="G4911" s="40"/>
      <c r="H4911" s="99" t="e">
        <f>SUM(H4906:H4910)</f>
        <v>#REF!</v>
      </c>
      <c r="I4911" s="96">
        <v>11</v>
      </c>
      <c r="K4911" s="280" t="s">
        <v>3832</v>
      </c>
    </row>
    <row r="4912" spans="1:14" ht="17.25">
      <c r="A4912" s="1"/>
      <c r="B4912" s="1" t="s">
        <v>1493</v>
      </c>
      <c r="C4912" s="1"/>
      <c r="D4912" s="1"/>
      <c r="E4912" s="1"/>
      <c r="F4912" s="40" t="s">
        <v>1472</v>
      </c>
      <c r="G4912" s="40"/>
      <c r="H4912" s="99" t="e">
        <f>FLOOR(H4911*0.15,0.01)</f>
        <v>#REF!</v>
      </c>
      <c r="I4912" s="96"/>
      <c r="M4912" s="280" t="s">
        <v>3833</v>
      </c>
      <c r="N4912">
        <v>17800</v>
      </c>
    </row>
    <row r="4913" spans="1:14" ht="17.25">
      <c r="A4913" s="1"/>
      <c r="B4913" s="141" t="e">
        <f>+H4913</f>
        <v>#REF!</v>
      </c>
      <c r="C4913" s="27" t="s">
        <v>3801</v>
      </c>
      <c r="D4913" s="99" t="e">
        <f>B4913/B4914</f>
        <v>#REF!</v>
      </c>
      <c r="E4913" s="1" t="s">
        <v>3006</v>
      </c>
      <c r="F4913" s="40" t="s">
        <v>1494</v>
      </c>
      <c r="G4913" s="40"/>
      <c r="H4913" s="99" t="e">
        <f>SUM(H4911:H4912)</f>
        <v>#REF!</v>
      </c>
      <c r="I4913" s="96"/>
      <c r="M4913" s="715">
        <v>0.15</v>
      </c>
      <c r="N4913">
        <f>FLOOR(N4912*0.15,0.01)</f>
        <v>2670</v>
      </c>
    </row>
    <row r="4914" spans="1:14" ht="17.25">
      <c r="A4914" s="1"/>
      <c r="B4914" s="216">
        <v>10</v>
      </c>
      <c r="C4914" s="1"/>
      <c r="D4914" s="1"/>
      <c r="E4914" s="1"/>
      <c r="F4914" s="40"/>
      <c r="G4914" s="40"/>
      <c r="H4914" s="19"/>
      <c r="I4914" s="96"/>
      <c r="M4914" s="447" t="str">
        <f>M4912</f>
        <v>Per piece</v>
      </c>
      <c r="N4914" s="447">
        <f>N4912+N4913</f>
        <v>20470</v>
      </c>
    </row>
    <row r="4915" spans="1:14" ht="41.25" customHeight="1">
      <c r="A4915" s="1"/>
      <c r="B4915" s="1"/>
      <c r="C4915" s="1"/>
      <c r="D4915" s="1"/>
      <c r="E4915" s="1"/>
      <c r="F4915" s="1"/>
      <c r="G4915" s="1"/>
      <c r="H4915" s="1"/>
      <c r="I4915" s="96">
        <v>12</v>
      </c>
      <c r="K4915" s="984" t="s">
        <v>3834</v>
      </c>
      <c r="L4915" s="984"/>
      <c r="M4915" s="984"/>
      <c r="N4915" s="984"/>
    </row>
    <row r="4916" spans="1:14" ht="15">
      <c r="A4916" s="1"/>
      <c r="B4916" s="1"/>
      <c r="C4916" s="1"/>
      <c r="D4916" s="1"/>
      <c r="E4916" s="1"/>
      <c r="F4916" s="1"/>
      <c r="G4916" s="1"/>
      <c r="H4916" s="1"/>
      <c r="M4916" s="280" t="s">
        <v>3835</v>
      </c>
      <c r="N4916" s="745">
        <v>50</v>
      </c>
    </row>
    <row r="4917" spans="1:14" ht="20.25">
      <c r="A4917" s="260">
        <f>A4901+1</f>
        <v>320</v>
      </c>
      <c r="B4917" s="878" t="s">
        <v>3772</v>
      </c>
      <c r="C4917" s="878"/>
      <c r="D4917" s="878"/>
      <c r="E4917" s="878"/>
      <c r="F4917" s="878"/>
      <c r="G4917" s="878"/>
      <c r="H4917" s="878"/>
      <c r="M4917" s="715">
        <v>0.15</v>
      </c>
      <c r="N4917">
        <f>FLOOR(N4916*0.15,0.01)</f>
        <v>7.5</v>
      </c>
    </row>
    <row r="4918" spans="1:14" ht="15">
      <c r="A4918" s="1"/>
      <c r="B4918" s="976" t="s">
        <v>3798</v>
      </c>
      <c r="C4918" s="914"/>
      <c r="D4918" s="914"/>
      <c r="E4918" s="914"/>
      <c r="F4918" s="914"/>
      <c r="G4918" s="914"/>
      <c r="H4918" s="914"/>
      <c r="M4918" s="447" t="str">
        <f>M4916</f>
        <v>Per Rm</v>
      </c>
      <c r="N4918" s="447">
        <f>N4917+N4916</f>
        <v>57.5</v>
      </c>
    </row>
    <row r="4919" spans="1:14" ht="15">
      <c r="A4919" s="1"/>
      <c r="B4919" s="879" t="s">
        <v>1382</v>
      </c>
      <c r="C4919" s="879"/>
      <c r="D4919" s="879"/>
      <c r="E4919" s="879"/>
      <c r="F4919" s="879"/>
      <c r="G4919" s="879"/>
      <c r="H4919" s="879"/>
    </row>
    <row r="4920" spans="1:14" ht="31.5">
      <c r="A4920" s="1"/>
      <c r="B4920" s="68" t="s">
        <v>2966</v>
      </c>
      <c r="C4920" s="68" t="s">
        <v>2967</v>
      </c>
      <c r="D4920" s="68" t="s">
        <v>2968</v>
      </c>
      <c r="E4920" s="68" t="s">
        <v>2969</v>
      </c>
      <c r="F4920" s="68" t="s">
        <v>2970</v>
      </c>
      <c r="G4920" s="68" t="s">
        <v>2971</v>
      </c>
      <c r="H4920" s="68" t="s">
        <v>1487</v>
      </c>
    </row>
    <row r="4921" spans="1:14" ht="17.25">
      <c r="A4921" s="1"/>
      <c r="B4921" s="58" t="s">
        <v>1488</v>
      </c>
      <c r="C4921" s="58" t="s">
        <v>2567</v>
      </c>
      <c r="D4921" s="41">
        <v>1.1000000000000001</v>
      </c>
      <c r="E4921" s="55" t="s">
        <v>1490</v>
      </c>
      <c r="F4921" s="107" t="e">
        <f>F4905</f>
        <v>#REF!</v>
      </c>
      <c r="G4921" s="107" t="e">
        <f>FLOOR(D4921*F4921,0.01)</f>
        <v>#REF!</v>
      </c>
      <c r="H4921" s="107"/>
    </row>
    <row r="4922" spans="1:14" ht="17.25">
      <c r="A4922" s="1"/>
      <c r="B4922" s="62"/>
      <c r="C4922" s="53" t="s">
        <v>1930</v>
      </c>
      <c r="D4922" s="42">
        <v>1.25</v>
      </c>
      <c r="E4922" s="53" t="s">
        <v>1490</v>
      </c>
      <c r="F4922" s="63" t="e">
        <f>F4906</f>
        <v>#REF!</v>
      </c>
      <c r="G4922" s="122" t="e">
        <f>FLOOR(D4922*F4922,0.01)</f>
        <v>#REF!</v>
      </c>
      <c r="H4922" s="122" t="e">
        <f>SUM(G4921:G4922)</f>
        <v>#REF!</v>
      </c>
    </row>
    <row r="4923" spans="1:14" ht="17.25">
      <c r="A4923" s="707"/>
      <c r="B4923" s="880" t="s">
        <v>2055</v>
      </c>
      <c r="C4923" s="694" t="e">
        <f>#REF!</f>
        <v>#REF!</v>
      </c>
      <c r="D4923" s="41">
        <v>12</v>
      </c>
      <c r="E4923" s="55" t="s">
        <v>2807</v>
      </c>
      <c r="F4923" s="152" t="e">
        <f>#REF!</f>
        <v>#REF!</v>
      </c>
      <c r="G4923" s="152" t="e">
        <f>FLOOR(D4923*F4923,0.01)</f>
        <v>#REF!</v>
      </c>
      <c r="H4923" s="196"/>
    </row>
    <row r="4924" spans="1:14" ht="25.5">
      <c r="A4924" s="1"/>
      <c r="B4924" s="881"/>
      <c r="C4924" s="694" t="str">
        <f>C4908</f>
        <v>Self Tapping Screw 3"</v>
      </c>
      <c r="D4924" s="42">
        <v>28</v>
      </c>
      <c r="E4924" s="53" t="s">
        <v>699</v>
      </c>
      <c r="F4924" s="116" t="e">
        <f>F4908</f>
        <v>#REF!</v>
      </c>
      <c r="G4924" s="153" t="e">
        <f>FLOOR(D4924*F4924,0.01)</f>
        <v>#REF!</v>
      </c>
      <c r="H4924" s="196"/>
    </row>
    <row r="4925" spans="1:14" ht="17.25">
      <c r="A4925" s="1"/>
      <c r="B4925" s="938"/>
      <c r="C4925" s="695" t="s">
        <v>3789</v>
      </c>
      <c r="D4925" s="42">
        <v>14</v>
      </c>
      <c r="E4925" s="53" t="s">
        <v>699</v>
      </c>
      <c r="F4925" s="109" t="e">
        <f>#REF!</f>
        <v>#REF!</v>
      </c>
      <c r="G4925" s="153" t="e">
        <f>FLOOR(D4925*F4925,0.01)</f>
        <v>#REF!</v>
      </c>
      <c r="H4925" s="196"/>
    </row>
    <row r="4926" spans="1:14" ht="16.5">
      <c r="A4926" s="1"/>
      <c r="B4926" s="882"/>
      <c r="C4926" s="213"/>
      <c r="D4926" s="43"/>
      <c r="E4926" s="198"/>
      <c r="F4926" s="63"/>
      <c r="G4926" s="155"/>
      <c r="H4926" s="63" t="e">
        <f>SUM(G4923:G4926)</f>
        <v>#REF!</v>
      </c>
    </row>
    <row r="4927" spans="1:14" ht="17.25">
      <c r="A4927" s="1"/>
      <c r="B4927" s="1"/>
      <c r="C4927" s="1"/>
      <c r="D4927" s="1"/>
      <c r="E4927" s="1"/>
      <c r="F4927" s="40" t="s">
        <v>1491</v>
      </c>
      <c r="G4927" s="40"/>
      <c r="H4927" s="99" t="e">
        <f>SUM(H4922:H4926)</f>
        <v>#REF!</v>
      </c>
    </row>
    <row r="4928" spans="1:14" ht="17.25">
      <c r="A4928" s="1"/>
      <c r="B4928" s="1" t="s">
        <v>1493</v>
      </c>
      <c r="C4928" s="1"/>
      <c r="D4928" s="1"/>
      <c r="E4928" s="1"/>
      <c r="F4928" s="40" t="s">
        <v>1472</v>
      </c>
      <c r="G4928" s="40"/>
      <c r="H4928" s="99" t="e">
        <f>FLOOR(H4927*0.15,0.01)</f>
        <v>#REF!</v>
      </c>
    </row>
    <row r="4929" spans="1:8" ht="17.25">
      <c r="A4929" s="1"/>
      <c r="B4929" s="141" t="e">
        <f>+H4929</f>
        <v>#REF!</v>
      </c>
      <c r="C4929" s="27" t="s">
        <v>3801</v>
      </c>
      <c r="D4929" s="99" t="e">
        <f>B4929/B4930</f>
        <v>#REF!</v>
      </c>
      <c r="E4929" s="1" t="s">
        <v>3006</v>
      </c>
      <c r="F4929" s="40" t="s">
        <v>1494</v>
      </c>
      <c r="G4929" s="40"/>
      <c r="H4929" s="99" t="e">
        <f>SUM(H4927:H4928)</f>
        <v>#REF!</v>
      </c>
    </row>
    <row r="4930" spans="1:8" ht="17.25">
      <c r="A4930" s="1"/>
      <c r="B4930" s="216">
        <v>10</v>
      </c>
      <c r="C4930" s="1"/>
      <c r="D4930" s="1"/>
      <c r="E4930" s="1"/>
      <c r="F4930" s="40"/>
      <c r="G4930" s="40"/>
      <c r="H4930" s="19"/>
    </row>
    <row r="4931" spans="1:8" ht="20.25">
      <c r="A4931" s="260">
        <f>A4917+1</f>
        <v>321</v>
      </c>
      <c r="B4931" s="878" t="s">
        <v>3773</v>
      </c>
      <c r="C4931" s="878"/>
      <c r="D4931" s="878"/>
      <c r="E4931" s="878"/>
      <c r="F4931" s="878"/>
      <c r="G4931" s="878"/>
      <c r="H4931" s="878"/>
    </row>
    <row r="4932" spans="1:8" ht="20.25">
      <c r="A4932" s="223"/>
      <c r="B4932" s="36"/>
      <c r="C4932" s="36"/>
      <c r="D4932" s="36"/>
      <c r="E4932" s="36"/>
      <c r="F4932" s="36"/>
      <c r="G4932" s="36"/>
      <c r="H4932" s="36"/>
    </row>
    <row r="4933" spans="1:8" ht="15">
      <c r="A4933" s="1"/>
      <c r="B4933" s="879" t="s">
        <v>2317</v>
      </c>
      <c r="C4933" s="879"/>
      <c r="D4933" s="879"/>
      <c r="E4933" s="879"/>
      <c r="F4933" s="879"/>
      <c r="G4933" s="879"/>
      <c r="H4933" s="879"/>
    </row>
    <row r="4934" spans="1:8" ht="31.5">
      <c r="A4934" s="1"/>
      <c r="B4934" s="68" t="s">
        <v>2966</v>
      </c>
      <c r="C4934" s="68" t="s">
        <v>2967</v>
      </c>
      <c r="D4934" s="68" t="s">
        <v>2968</v>
      </c>
      <c r="E4934" s="68" t="s">
        <v>2969</v>
      </c>
      <c r="F4934" s="68" t="s">
        <v>2970</v>
      </c>
      <c r="G4934" s="68" t="s">
        <v>2971</v>
      </c>
      <c r="H4934" s="68" t="s">
        <v>1487</v>
      </c>
    </row>
    <row r="4935" spans="1:8" ht="17.25">
      <c r="A4935" s="1"/>
      <c r="B4935" s="58" t="s">
        <v>1488</v>
      </c>
      <c r="C4935" s="58" t="s">
        <v>2567</v>
      </c>
      <c r="D4935" s="41">
        <v>1.5</v>
      </c>
      <c r="E4935" s="55" t="s">
        <v>1490</v>
      </c>
      <c r="F4935" s="107" t="e">
        <f>mason</f>
        <v>#REF!</v>
      </c>
      <c r="G4935" s="107" t="e">
        <f>FLOOR(D4935*F4935,0.01)</f>
        <v>#REF!</v>
      </c>
      <c r="H4935" s="107"/>
    </row>
    <row r="4936" spans="1:8" ht="17.25">
      <c r="A4936" s="1"/>
      <c r="B4936" s="62"/>
      <c r="C4936" s="53" t="s">
        <v>1930</v>
      </c>
      <c r="D4936" s="42">
        <v>1</v>
      </c>
      <c r="E4936" s="53" t="s">
        <v>1490</v>
      </c>
      <c r="F4936" s="63" t="e">
        <f>#REF!</f>
        <v>#REF!</v>
      </c>
      <c r="G4936" s="122" t="e">
        <f>FLOOR(D4936*F4936,0.01)</f>
        <v>#REF!</v>
      </c>
      <c r="H4936" s="122" t="e">
        <f>SUM(G4935:G4936)</f>
        <v>#REF!</v>
      </c>
    </row>
    <row r="4937" spans="1:8" ht="17.25">
      <c r="A4937" s="1"/>
      <c r="B4937" s="880" t="s">
        <v>2055</v>
      </c>
      <c r="C4937" s="640" t="s">
        <v>3348</v>
      </c>
      <c r="D4937" s="41">
        <v>12</v>
      </c>
      <c r="E4937" s="55" t="s">
        <v>2605</v>
      </c>
      <c r="F4937" s="152" t="e">
        <f>#REF!</f>
        <v>#REF!</v>
      </c>
      <c r="G4937" s="152" t="e">
        <f>FLOOR(D4937*F4937,0.01)</f>
        <v>#REF!</v>
      </c>
      <c r="H4937" s="196"/>
    </row>
    <row r="4938" spans="1:8" ht="17.25">
      <c r="A4938" s="1"/>
      <c r="B4938" s="881"/>
      <c r="C4938" s="696" t="s">
        <v>3789</v>
      </c>
      <c r="D4938" s="42">
        <v>14</v>
      </c>
      <c r="E4938" s="53" t="s">
        <v>1429</v>
      </c>
      <c r="F4938" s="116" t="e">
        <f>#REF!</f>
        <v>#REF!</v>
      </c>
      <c r="G4938" s="153">
        <v>70</v>
      </c>
      <c r="H4938" s="196"/>
    </row>
    <row r="4939" spans="1:8" ht="28.5">
      <c r="A4939" s="1"/>
      <c r="B4939" s="882"/>
      <c r="C4939" s="704" t="s">
        <v>3771</v>
      </c>
      <c r="D4939" s="43">
        <v>28</v>
      </c>
      <c r="E4939" s="56" t="s">
        <v>1429</v>
      </c>
      <c r="F4939" s="63" t="e">
        <f>#REF!</f>
        <v>#REF!</v>
      </c>
      <c r="G4939" s="155" t="e">
        <f>FLOOR(D4939*F4939,0.01)</f>
        <v>#REF!</v>
      </c>
      <c r="H4939" s="63" t="e">
        <f>SUM(G4937:G4939)</f>
        <v>#REF!</v>
      </c>
    </row>
    <row r="4940" spans="1:8" ht="17.25">
      <c r="A4940" s="1"/>
      <c r="B4940" s="1"/>
      <c r="C4940" s="1"/>
      <c r="D4940" s="1"/>
      <c r="E4940" s="1"/>
      <c r="F4940" s="40" t="s">
        <v>1491</v>
      </c>
      <c r="G4940" s="40"/>
      <c r="H4940" s="99" t="e">
        <f>SUM(H4936:H4939)</f>
        <v>#REF!</v>
      </c>
    </row>
    <row r="4941" spans="1:8" ht="17.25">
      <c r="A4941" s="1"/>
      <c r="B4941" s="1" t="s">
        <v>1493</v>
      </c>
      <c r="C4941" s="1"/>
      <c r="D4941" s="1"/>
      <c r="E4941" s="1"/>
      <c r="F4941" s="40" t="s">
        <v>1472</v>
      </c>
      <c r="G4941" s="40"/>
      <c r="H4941" s="99" t="e">
        <f>FLOOR(H4940*0.15,0.01)</f>
        <v>#REF!</v>
      </c>
    </row>
    <row r="4942" spans="1:8" ht="17.25">
      <c r="A4942" s="1"/>
      <c r="B4942" s="141" t="e">
        <f>+H4942</f>
        <v>#REF!</v>
      </c>
      <c r="C4942" s="27" t="s">
        <v>3801</v>
      </c>
      <c r="D4942" s="99" t="e">
        <f>B4942/B4943</f>
        <v>#REF!</v>
      </c>
      <c r="E4942" s="1" t="s">
        <v>3006</v>
      </c>
      <c r="F4942" s="40" t="s">
        <v>1494</v>
      </c>
      <c r="G4942" s="40"/>
      <c r="H4942" s="99" t="e">
        <f>SUM(H4940:H4941)</f>
        <v>#REF!</v>
      </c>
    </row>
    <row r="4943" spans="1:8" ht="17.25">
      <c r="A4943" s="1"/>
      <c r="B4943" s="216">
        <v>10</v>
      </c>
      <c r="C4943" s="1"/>
      <c r="D4943" s="1"/>
      <c r="E4943" s="1"/>
      <c r="F4943" s="40"/>
      <c r="G4943" s="40"/>
      <c r="H4943" s="19"/>
    </row>
    <row r="4944" spans="1:8" ht="15">
      <c r="A4944" s="1"/>
      <c r="B4944" s="1"/>
      <c r="C4944" s="1"/>
      <c r="D4944" s="1"/>
      <c r="E4944" s="1"/>
      <c r="F4944" s="1"/>
      <c r="G4944" s="1"/>
      <c r="H4944" s="1"/>
    </row>
    <row r="4945" spans="1:8" ht="15">
      <c r="A4945" s="1"/>
      <c r="B4945" s="1"/>
      <c r="C4945" s="1"/>
      <c r="D4945" s="1"/>
      <c r="E4945" s="1"/>
      <c r="F4945" s="1"/>
      <c r="G4945" s="1"/>
      <c r="H4945" s="1"/>
    </row>
    <row r="4946" spans="1:8" ht="15">
      <c r="A4946" s="1"/>
      <c r="B4946" s="1"/>
      <c r="C4946" s="1"/>
      <c r="D4946" s="1"/>
      <c r="E4946" s="1"/>
      <c r="F4946" s="1"/>
      <c r="G4946" s="1"/>
      <c r="H4946" s="1"/>
    </row>
    <row r="4947" spans="1:8" ht="20.25">
      <c r="A4947" s="260">
        <f>A4931+1</f>
        <v>322</v>
      </c>
      <c r="B4947" s="878" t="s">
        <v>3774</v>
      </c>
      <c r="C4947" s="878"/>
      <c r="D4947" s="878"/>
      <c r="E4947" s="878"/>
      <c r="F4947" s="878"/>
      <c r="G4947" s="878"/>
      <c r="H4947" s="878"/>
    </row>
    <row r="4948" spans="1:8" ht="15">
      <c r="A4948" s="1"/>
      <c r="B4948" s="879" t="s">
        <v>2317</v>
      </c>
      <c r="C4948" s="879"/>
      <c r="D4948" s="879"/>
      <c r="E4948" s="879"/>
      <c r="F4948" s="879"/>
      <c r="G4948" s="879"/>
      <c r="H4948" s="879"/>
    </row>
    <row r="4949" spans="1:8" ht="15">
      <c r="A4949" s="1"/>
      <c r="B4949" s="1"/>
      <c r="C4949" s="1"/>
      <c r="D4949" s="1"/>
      <c r="E4949" s="1"/>
      <c r="F4949" s="1"/>
      <c r="G4949" s="1"/>
      <c r="H4949" s="1"/>
    </row>
    <row r="4950" spans="1:8" ht="15">
      <c r="A4950" s="1"/>
      <c r="B4950" s="1"/>
      <c r="C4950" s="1"/>
      <c r="D4950" s="1"/>
      <c r="E4950" s="1"/>
      <c r="F4950" s="1"/>
      <c r="G4950" s="1"/>
      <c r="H4950" s="1"/>
    </row>
    <row r="4951" spans="1:8" ht="31.5">
      <c r="A4951" s="1"/>
      <c r="B4951" s="68" t="s">
        <v>2966</v>
      </c>
      <c r="C4951" s="68" t="s">
        <v>2967</v>
      </c>
      <c r="D4951" s="68" t="s">
        <v>2968</v>
      </c>
      <c r="E4951" s="68" t="s">
        <v>2969</v>
      </c>
      <c r="F4951" s="68" t="s">
        <v>2970</v>
      </c>
      <c r="G4951" s="68" t="s">
        <v>2971</v>
      </c>
      <c r="H4951" s="68" t="s">
        <v>1487</v>
      </c>
    </row>
    <row r="4952" spans="1:8" ht="17.25">
      <c r="A4952" s="1"/>
      <c r="B4952" s="58" t="s">
        <v>1488</v>
      </c>
      <c r="C4952" s="58" t="s">
        <v>2567</v>
      </c>
      <c r="D4952" s="41">
        <v>1.5</v>
      </c>
      <c r="E4952" s="55" t="s">
        <v>1490</v>
      </c>
      <c r="F4952" s="107" t="e">
        <f>F4935</f>
        <v>#REF!</v>
      </c>
      <c r="G4952" s="107" t="e">
        <f>FLOOR(D4952*F4952,0.01)</f>
        <v>#REF!</v>
      </c>
      <c r="H4952" s="107"/>
    </row>
    <row r="4953" spans="1:8" ht="17.25">
      <c r="A4953" s="1"/>
      <c r="B4953" s="62"/>
      <c r="C4953" s="53" t="s">
        <v>1930</v>
      </c>
      <c r="D4953" s="42">
        <v>1</v>
      </c>
      <c r="E4953" s="53" t="s">
        <v>1490</v>
      </c>
      <c r="F4953" s="63" t="e">
        <f>F4936</f>
        <v>#REF!</v>
      </c>
      <c r="G4953" s="122" t="e">
        <f>FLOOR(D4953*F4953,0.01)</f>
        <v>#REF!</v>
      </c>
      <c r="H4953" s="122" t="e">
        <f>SUM(G4952:G4953)</f>
        <v>#REF!</v>
      </c>
    </row>
    <row r="4954" spans="1:8" ht="17.25">
      <c r="A4954" s="1"/>
      <c r="B4954" s="880" t="s">
        <v>2055</v>
      </c>
      <c r="C4954" s="640" t="s">
        <v>3348</v>
      </c>
      <c r="D4954" s="41">
        <v>12</v>
      </c>
      <c r="E4954" s="55" t="s">
        <v>2605</v>
      </c>
      <c r="F4954" s="152" t="e">
        <f>#REF!</f>
        <v>#REF!</v>
      </c>
      <c r="G4954" s="152" t="e">
        <f>FLOOR(D4954*F4954,0.01)</f>
        <v>#REF!</v>
      </c>
      <c r="H4954" s="196"/>
    </row>
    <row r="4955" spans="1:8" ht="17.25">
      <c r="A4955" s="1"/>
      <c r="B4955" s="881"/>
      <c r="C4955" s="695" t="s">
        <v>3790</v>
      </c>
      <c r="D4955" s="42">
        <v>14</v>
      </c>
      <c r="E4955" s="53" t="s">
        <v>1429</v>
      </c>
      <c r="F4955" s="116" t="e">
        <f>#REF!</f>
        <v>#REF!</v>
      </c>
      <c r="G4955" s="153">
        <v>70</v>
      </c>
      <c r="H4955" s="196"/>
    </row>
    <row r="4956" spans="1:8" ht="33">
      <c r="A4956" s="1"/>
      <c r="B4956" s="882"/>
      <c r="C4956" s="697" t="str">
        <f>C4939</f>
        <v>Self Tapping Screw 2.5"</v>
      </c>
      <c r="D4956" s="43">
        <v>28</v>
      </c>
      <c r="E4956" s="56" t="s">
        <v>1429</v>
      </c>
      <c r="F4956" s="63" t="e">
        <f>#REF!</f>
        <v>#REF!</v>
      </c>
      <c r="G4956" s="155" t="e">
        <f>FLOOR(D4956*F4956,0.01)</f>
        <v>#REF!</v>
      </c>
      <c r="H4956" s="63" t="e">
        <f>SUM(G4954:G4956)</f>
        <v>#REF!</v>
      </c>
    </row>
    <row r="4957" spans="1:8" ht="17.25">
      <c r="A4957" s="1"/>
      <c r="B4957" s="1"/>
      <c r="C4957" s="1"/>
      <c r="D4957" s="1"/>
      <c r="E4957" s="1"/>
      <c r="F4957" s="40" t="s">
        <v>1491</v>
      </c>
      <c r="G4957" s="40"/>
      <c r="H4957" s="99" t="e">
        <f>SUM(H4953:H4956)</f>
        <v>#REF!</v>
      </c>
    </row>
    <row r="4958" spans="1:8" ht="17.25">
      <c r="A4958" s="1"/>
      <c r="B4958" s="1" t="s">
        <v>1493</v>
      </c>
      <c r="C4958" s="1"/>
      <c r="D4958" s="1"/>
      <c r="E4958" s="1"/>
      <c r="F4958" s="40" t="s">
        <v>1472</v>
      </c>
      <c r="G4958" s="40"/>
      <c r="H4958" s="99" t="e">
        <f>FLOOR(H4957*0.15,0.01)</f>
        <v>#REF!</v>
      </c>
    </row>
    <row r="4959" spans="1:8" ht="17.25">
      <c r="A4959" s="1"/>
      <c r="B4959" s="141" t="e">
        <f>+H4959</f>
        <v>#REF!</v>
      </c>
      <c r="C4959" s="27" t="s">
        <v>3801</v>
      </c>
      <c r="D4959" s="99" t="e">
        <f>B4959/B4960</f>
        <v>#REF!</v>
      </c>
      <c r="E4959" s="1" t="s">
        <v>3006</v>
      </c>
      <c r="F4959" s="40" t="s">
        <v>1494</v>
      </c>
      <c r="G4959" s="40"/>
      <c r="H4959" s="99" t="e">
        <f>SUM(H4957:H4958)</f>
        <v>#REF!</v>
      </c>
    </row>
    <row r="4960" spans="1:8" ht="17.25">
      <c r="A4960" s="1"/>
      <c r="B4960" s="216">
        <v>10</v>
      </c>
      <c r="C4960" s="1"/>
      <c r="D4960" s="1"/>
      <c r="E4960" s="1"/>
      <c r="F4960" s="40"/>
      <c r="G4960" s="40"/>
      <c r="H4960" s="19"/>
    </row>
    <row r="4961" spans="1:8" ht="29.25">
      <c r="A4961" s="1"/>
      <c r="B4961" s="1"/>
      <c r="C4961" s="1"/>
      <c r="D4961" s="1"/>
      <c r="E4961" s="1"/>
      <c r="F4961" s="691"/>
      <c r="G4961" s="1"/>
      <c r="H4961" s="1"/>
    </row>
    <row r="4962" spans="1:8" ht="15">
      <c r="A4962" s="1"/>
      <c r="B4962" s="1"/>
      <c r="C4962" s="1"/>
      <c r="D4962" s="1"/>
      <c r="E4962" s="1"/>
      <c r="F4962" s="1"/>
      <c r="G4962" s="1"/>
      <c r="H4962" s="1"/>
    </row>
    <row r="4963" spans="1:8" ht="30">
      <c r="A4963" s="1"/>
      <c r="B4963" s="1"/>
      <c r="C4963" s="1"/>
      <c r="D4963" s="691" t="s">
        <v>3800</v>
      </c>
      <c r="E4963" s="1"/>
      <c r="F4963" s="1"/>
      <c r="G4963" s="1"/>
      <c r="H4963" s="1"/>
    </row>
    <row r="4964" spans="1:8" ht="15">
      <c r="A4964" s="1"/>
      <c r="B4964" s="1"/>
      <c r="C4964" s="1"/>
      <c r="D4964" s="1"/>
      <c r="E4964" s="1"/>
      <c r="F4964" s="1"/>
      <c r="G4964" s="1"/>
      <c r="H4964" s="1"/>
    </row>
    <row r="4965" spans="1:8" ht="15">
      <c r="A4965" s="1"/>
      <c r="B4965" s="1"/>
      <c r="C4965" s="1"/>
      <c r="D4965" s="1"/>
      <c r="E4965" s="1"/>
      <c r="F4965" s="1"/>
      <c r="G4965" s="1"/>
      <c r="H4965" s="1"/>
    </row>
    <row r="4966" spans="1:8" ht="15">
      <c r="A4966" s="1"/>
      <c r="B4966" s="1"/>
      <c r="C4966" s="1"/>
      <c r="D4966" s="1"/>
      <c r="E4966" s="1"/>
      <c r="F4966" s="1"/>
      <c r="G4966" s="1"/>
      <c r="H4966" s="1"/>
    </row>
    <row r="4967" spans="1:8" ht="15">
      <c r="A4967" s="1"/>
      <c r="B4967" s="1"/>
      <c r="C4967" s="1"/>
      <c r="D4967" s="1"/>
      <c r="E4967" s="1"/>
      <c r="F4967" s="1"/>
      <c r="G4967" s="1"/>
      <c r="H4967" s="1"/>
    </row>
    <row r="4968" spans="1:8" ht="15">
      <c r="A4968" s="1"/>
      <c r="B4968" s="1"/>
      <c r="C4968" s="1"/>
      <c r="D4968" s="1"/>
      <c r="E4968" s="1"/>
      <c r="F4968" s="1"/>
      <c r="G4968" s="1"/>
      <c r="H4968" s="1"/>
    </row>
    <row r="4969" spans="1:8" ht="15">
      <c r="A4969" s="1"/>
      <c r="B4969" s="1"/>
      <c r="C4969" s="1"/>
      <c r="D4969" s="1"/>
      <c r="E4969" s="1"/>
      <c r="F4969" s="1"/>
      <c r="G4969" s="1"/>
      <c r="H4969" s="1"/>
    </row>
    <row r="4970" spans="1:8" ht="15">
      <c r="A4970" s="1"/>
      <c r="B4970" s="1"/>
      <c r="C4970" s="1"/>
      <c r="D4970" s="1"/>
      <c r="E4970" s="1"/>
      <c r="F4970" s="1"/>
      <c r="G4970" s="1"/>
      <c r="H4970" s="1"/>
    </row>
    <row r="4971" spans="1:8" ht="15">
      <c r="A4971" s="1"/>
      <c r="B4971" s="1"/>
      <c r="C4971" s="1"/>
      <c r="D4971" s="1"/>
      <c r="E4971" s="1"/>
      <c r="F4971" s="1"/>
      <c r="G4971" s="1"/>
      <c r="H4971" s="1"/>
    </row>
    <row r="4972" spans="1:8" ht="15">
      <c r="A4972" s="1"/>
      <c r="B4972" s="1"/>
      <c r="C4972" s="1"/>
      <c r="D4972" s="1"/>
      <c r="E4972" s="1"/>
      <c r="F4972" s="1"/>
      <c r="G4972" s="1"/>
      <c r="H4972" s="1"/>
    </row>
    <row r="4973" spans="1:8" ht="15">
      <c r="A4973" s="1"/>
      <c r="B4973" s="1"/>
      <c r="C4973" s="1"/>
      <c r="D4973" s="1"/>
      <c r="E4973" s="1"/>
      <c r="F4973" s="1"/>
      <c r="G4973" s="1"/>
      <c r="H4973" s="1"/>
    </row>
    <row r="4974" spans="1:8" ht="15">
      <c r="A4974" s="1"/>
      <c r="B4974" s="1"/>
      <c r="C4974" s="1"/>
      <c r="D4974" s="1"/>
      <c r="E4974" s="1"/>
      <c r="F4974" s="1"/>
      <c r="G4974" s="1"/>
      <c r="H4974" s="1"/>
    </row>
  </sheetData>
  <mergeCells count="1421">
    <mergeCell ref="K4915:N4915"/>
    <mergeCell ref="I4328:O4328"/>
    <mergeCell ref="I4329:O4329"/>
    <mergeCell ref="I4331:I4335"/>
    <mergeCell ref="I4336:I4339"/>
    <mergeCell ref="K1967:Q1967"/>
    <mergeCell ref="K1968:Q1968"/>
    <mergeCell ref="K1970:K1971"/>
    <mergeCell ref="K1972:K1978"/>
    <mergeCell ref="B4931:H4931"/>
    <mergeCell ref="B4933:H4933"/>
    <mergeCell ref="B4937:B4939"/>
    <mergeCell ref="B4947:H4947"/>
    <mergeCell ref="B4948:H4948"/>
    <mergeCell ref="B4954:B4956"/>
    <mergeCell ref="B4903:H4903"/>
    <mergeCell ref="B4907:B4910"/>
    <mergeCell ref="B4917:H4917"/>
    <mergeCell ref="B4918:H4918"/>
    <mergeCell ref="B4919:H4919"/>
    <mergeCell ref="B4923:B4926"/>
    <mergeCell ref="B4874:H4874"/>
    <mergeCell ref="B4875:H4875"/>
    <mergeCell ref="B4876:H4876"/>
    <mergeCell ref="B4901:H4901"/>
    <mergeCell ref="B4902:H4902"/>
    <mergeCell ref="B4853:H4853"/>
    <mergeCell ref="B4854:H4854"/>
    <mergeCell ref="B4856:H4856"/>
    <mergeCell ref="B4864:H4864"/>
    <mergeCell ref="B4865:H4865"/>
    <mergeCell ref="B4866:H4866"/>
    <mergeCell ref="B4831:H4831"/>
    <mergeCell ref="B4832:H4832"/>
    <mergeCell ref="B4833:H4833"/>
    <mergeCell ref="B4842:H4842"/>
    <mergeCell ref="B4843:H4843"/>
    <mergeCell ref="B4844:H4844"/>
    <mergeCell ref="B4807:H4807"/>
    <mergeCell ref="B4808:H4808"/>
    <mergeCell ref="B4810:H4810"/>
    <mergeCell ref="B4818:H4818"/>
    <mergeCell ref="B4819:H4819"/>
    <mergeCell ref="B4821:H4821"/>
    <mergeCell ref="B4785:H4785"/>
    <mergeCell ref="B4786:H4786"/>
    <mergeCell ref="B4788:H4788"/>
    <mergeCell ref="B4797:H4797"/>
    <mergeCell ref="B4798:H4798"/>
    <mergeCell ref="B4799:H4799"/>
    <mergeCell ref="B4755:H4755"/>
    <mergeCell ref="B4766:H4766"/>
    <mergeCell ref="A4767:H4767"/>
    <mergeCell ref="B4775:H4775"/>
    <mergeCell ref="B4776:H4776"/>
    <mergeCell ref="B4777:H4777"/>
    <mergeCell ref="B4720:H4720"/>
    <mergeCell ref="B4730:H4730"/>
    <mergeCell ref="B4731:H4731"/>
    <mergeCell ref="B4742:H4742"/>
    <mergeCell ref="B4743:H4743"/>
    <mergeCell ref="B4754:H4754"/>
    <mergeCell ref="B4696:H4696"/>
    <mergeCell ref="B4697:H4697"/>
    <mergeCell ref="B4698:H4698"/>
    <mergeCell ref="B4708:H4708"/>
    <mergeCell ref="B4709:H4709"/>
    <mergeCell ref="B4719:H4719"/>
    <mergeCell ref="B4671:H4671"/>
    <mergeCell ref="B4672:H4673"/>
    <mergeCell ref="B4674:H4674"/>
    <mergeCell ref="B4684:H4684"/>
    <mergeCell ref="B4685:H4685"/>
    <mergeCell ref="B4686:H4686"/>
    <mergeCell ref="B4637:H4637"/>
    <mergeCell ref="B4646:H4647"/>
    <mergeCell ref="B4648:H4648"/>
    <mergeCell ref="B4658:H4658"/>
    <mergeCell ref="B4659:H4660"/>
    <mergeCell ref="B4661:H4661"/>
    <mergeCell ref="B4614:H4614"/>
    <mergeCell ref="B4615:H4615"/>
    <mergeCell ref="B4616:H4616"/>
    <mergeCell ref="B4624:H4625"/>
    <mergeCell ref="B4626:H4626"/>
    <mergeCell ref="B4635:H4636"/>
    <mergeCell ref="B4594:H4594"/>
    <mergeCell ref="B4602:H4602"/>
    <mergeCell ref="B4603:H4603"/>
    <mergeCell ref="B4604:H4604"/>
    <mergeCell ref="B4605:H4605"/>
    <mergeCell ref="B4613:H4613"/>
    <mergeCell ref="B4580:H4580"/>
    <mergeCell ref="B4581:H4581"/>
    <mergeCell ref="B4582:H4582"/>
    <mergeCell ref="B4591:H4591"/>
    <mergeCell ref="B4592:H4592"/>
    <mergeCell ref="B4593:H4593"/>
    <mergeCell ref="B4565:H4565"/>
    <mergeCell ref="B4566:H4566"/>
    <mergeCell ref="B4567:H4567"/>
    <mergeCell ref="B4568:H4568"/>
    <mergeCell ref="B4569:H4569"/>
    <mergeCell ref="B4579:H4579"/>
    <mergeCell ref="B4537:B4542"/>
    <mergeCell ref="B4548:H4548"/>
    <mergeCell ref="B4549:H4549"/>
    <mergeCell ref="B4550:H4550"/>
    <mergeCell ref="B4551:H4551"/>
    <mergeCell ref="B4555:B4560"/>
    <mergeCell ref="B4513:B4514"/>
    <mergeCell ref="B4515:B4518"/>
    <mergeCell ref="B4530:H4530"/>
    <mergeCell ref="B4531:H4531"/>
    <mergeCell ref="B4532:H4532"/>
    <mergeCell ref="B4533:H4533"/>
    <mergeCell ref="B4497:H4497"/>
    <mergeCell ref="B4499:B4500"/>
    <mergeCell ref="B4501:B4503"/>
    <mergeCell ref="B4509:H4509"/>
    <mergeCell ref="B4510:H4510"/>
    <mergeCell ref="B4511:H4511"/>
    <mergeCell ref="B4470:B4474"/>
    <mergeCell ref="B4480:H4480"/>
    <mergeCell ref="B4482:H4482"/>
    <mergeCell ref="B4484:B4485"/>
    <mergeCell ref="B4486:B4489"/>
    <mergeCell ref="B4495:H4495"/>
    <mergeCell ref="B4452:H4452"/>
    <mergeCell ref="B4454:B4455"/>
    <mergeCell ref="B4456:B4458"/>
    <mergeCell ref="B4465:H4465"/>
    <mergeCell ref="B4466:H4466"/>
    <mergeCell ref="B4468:B4469"/>
    <mergeCell ref="B4427:B4428"/>
    <mergeCell ref="B4435:H4436"/>
    <mergeCell ref="B4437:H4437"/>
    <mergeCell ref="B4449:H4449"/>
    <mergeCell ref="B4450:H4450"/>
    <mergeCell ref="B4451:H4451"/>
    <mergeCell ref="B4398:B4400"/>
    <mergeCell ref="B4408:H4409"/>
    <mergeCell ref="B4410:H4410"/>
    <mergeCell ref="B4412:B4413"/>
    <mergeCell ref="B4423:H4424"/>
    <mergeCell ref="B4425:H4425"/>
    <mergeCell ref="B4372:B4375"/>
    <mergeCell ref="B4383:H4384"/>
    <mergeCell ref="B4385:H4385"/>
    <mergeCell ref="B4392:H4393"/>
    <mergeCell ref="B4394:H4394"/>
    <mergeCell ref="B4396:B4397"/>
    <mergeCell ref="B4364:H4364"/>
    <mergeCell ref="B4365:H4365"/>
    <mergeCell ref="B4366:H4366"/>
    <mergeCell ref="B4367:H4367"/>
    <mergeCell ref="B4368:H4368"/>
    <mergeCell ref="B4370:B4371"/>
    <mergeCell ref="B4346:H4346"/>
    <mergeCell ref="B4347:H4347"/>
    <mergeCell ref="B4348:H4348"/>
    <mergeCell ref="B4349:H4349"/>
    <mergeCell ref="B4351:B4352"/>
    <mergeCell ref="B4353:B4357"/>
    <mergeCell ref="B4316:B4317"/>
    <mergeCell ref="B4328:H4328"/>
    <mergeCell ref="B4329:H4329"/>
    <mergeCell ref="B4331:B4332"/>
    <mergeCell ref="B4336:B4339"/>
    <mergeCell ref="B4345:H4345"/>
    <mergeCell ref="B4299:H4299"/>
    <mergeCell ref="B4301:B4302"/>
    <mergeCell ref="B4303:B4305"/>
    <mergeCell ref="B4312:H4312"/>
    <mergeCell ref="B4313:H4313"/>
    <mergeCell ref="A4314:H4314"/>
    <mergeCell ref="B4265:H4265"/>
    <mergeCell ref="B4276:H4276"/>
    <mergeCell ref="B4277:H4277"/>
    <mergeCell ref="B4287:H4287"/>
    <mergeCell ref="B4288:H4288"/>
    <mergeCell ref="B4298:H4298"/>
    <mergeCell ref="B4244:B4246"/>
    <mergeCell ref="B4252:H4252"/>
    <mergeCell ref="B4253:H4253"/>
    <mergeCell ref="B4254:H4254"/>
    <mergeCell ref="B4255:H4255"/>
    <mergeCell ref="B4264:H4264"/>
    <mergeCell ref="B4211:B4212"/>
    <mergeCell ref="B4222:H4222"/>
    <mergeCell ref="B4223:H4223"/>
    <mergeCell ref="B4227:B4229"/>
    <mergeCell ref="B4239:H4239"/>
    <mergeCell ref="B4240:H4240"/>
    <mergeCell ref="B4189:B4190"/>
    <mergeCell ref="B4197:H4197"/>
    <mergeCell ref="B4198:H4198"/>
    <mergeCell ref="B4200:B4201"/>
    <mergeCell ref="B4208:H4208"/>
    <mergeCell ref="B4209:H4209"/>
    <mergeCell ref="B4165:H4165"/>
    <mergeCell ref="B4173:H4173"/>
    <mergeCell ref="B4174:H4174"/>
    <mergeCell ref="B4175:H4175"/>
    <mergeCell ref="B4186:H4186"/>
    <mergeCell ref="B4187:H4187"/>
    <mergeCell ref="B4136:B4137"/>
    <mergeCell ref="B4145:H4145"/>
    <mergeCell ref="B4146:H4146"/>
    <mergeCell ref="B4155:H4155"/>
    <mergeCell ref="B4156:H4156"/>
    <mergeCell ref="B4164:H4164"/>
    <mergeCell ref="B4112:B4113"/>
    <mergeCell ref="B4121:H4121"/>
    <mergeCell ref="B4122:H4122"/>
    <mergeCell ref="B4124:B4125"/>
    <mergeCell ref="B4133:H4133"/>
    <mergeCell ref="B4134:H4134"/>
    <mergeCell ref="B4095:H4095"/>
    <mergeCell ref="B4096:H4096"/>
    <mergeCell ref="B4097:H4097"/>
    <mergeCell ref="B4099:B4100"/>
    <mergeCell ref="B4109:H4109"/>
    <mergeCell ref="B4110:H4110"/>
    <mergeCell ref="B4072:H4072"/>
    <mergeCell ref="B4074:B4075"/>
    <mergeCell ref="B4082:H4082"/>
    <mergeCell ref="B4083:H4083"/>
    <mergeCell ref="B4084:H4084"/>
    <mergeCell ref="B4086:B4087"/>
    <mergeCell ref="B4053:H4053"/>
    <mergeCell ref="B4054:H4054"/>
    <mergeCell ref="C4056:C4057"/>
    <mergeCell ref="E4056:E4057"/>
    <mergeCell ref="B4070:H4070"/>
    <mergeCell ref="B4071:H4071"/>
    <mergeCell ref="B4031:B4032"/>
    <mergeCell ref="B4039:H4039"/>
    <mergeCell ref="B4040:H4040"/>
    <mergeCell ref="C4042:C4043"/>
    <mergeCell ref="E4042:E4043"/>
    <mergeCell ref="B4052:H4052"/>
    <mergeCell ref="B4025:H4025"/>
    <mergeCell ref="B4026:H4026"/>
    <mergeCell ref="B4027:H4027"/>
    <mergeCell ref="C4029:C4030"/>
    <mergeCell ref="D4029:D4030"/>
    <mergeCell ref="E4029:E4030"/>
    <mergeCell ref="B4008:H4008"/>
    <mergeCell ref="B4009:H4009"/>
    <mergeCell ref="B4010:H4010"/>
    <mergeCell ref="B4012:B4013"/>
    <mergeCell ref="B4014:B4016"/>
    <mergeCell ref="B4024:H4024"/>
    <mergeCell ref="B3986:H3986"/>
    <mergeCell ref="B3987:H3987"/>
    <mergeCell ref="B3996:H3996"/>
    <mergeCell ref="B3997:H3997"/>
    <mergeCell ref="B3998:H3998"/>
    <mergeCell ref="B4000:B4001"/>
    <mergeCell ref="B3962:H3962"/>
    <mergeCell ref="B3963:H3963"/>
    <mergeCell ref="B3964:H3964"/>
    <mergeCell ref="B3974:H3974"/>
    <mergeCell ref="B3975:H3975"/>
    <mergeCell ref="B3976:H3976"/>
    <mergeCell ref="B3932:H3932"/>
    <mergeCell ref="B3941:H3941"/>
    <mergeCell ref="B3942:H3942"/>
    <mergeCell ref="B3943:H3943"/>
    <mergeCell ref="B3952:H3952"/>
    <mergeCell ref="B3953:H3953"/>
    <mergeCell ref="B3908:H3908"/>
    <mergeCell ref="B3918:H3918"/>
    <mergeCell ref="B3919:H3919"/>
    <mergeCell ref="B3929:H3929"/>
    <mergeCell ref="B3930:H3930"/>
    <mergeCell ref="B3931:H3931"/>
    <mergeCell ref="B3874:H3874"/>
    <mergeCell ref="B3885:H3885"/>
    <mergeCell ref="B3886:H3886"/>
    <mergeCell ref="B3897:H3897"/>
    <mergeCell ref="B3898:H3898"/>
    <mergeCell ref="B3907:H3907"/>
    <mergeCell ref="B3858:H3858"/>
    <mergeCell ref="B3859:H3859"/>
    <mergeCell ref="B3860:H3860"/>
    <mergeCell ref="B3871:H3871"/>
    <mergeCell ref="B3872:H3872"/>
    <mergeCell ref="B3873:H3873"/>
    <mergeCell ref="B3831:B3834"/>
    <mergeCell ref="B3843:H3843"/>
    <mergeCell ref="B3844:H3844"/>
    <mergeCell ref="B3846:B3847"/>
    <mergeCell ref="B3848:B3851"/>
    <mergeCell ref="B3857:H3857"/>
    <mergeCell ref="B3811:H3811"/>
    <mergeCell ref="B3813:B3814"/>
    <mergeCell ref="B3815:B3818"/>
    <mergeCell ref="B3826:H3826"/>
    <mergeCell ref="B3827:H3827"/>
    <mergeCell ref="B3829:B3830"/>
    <mergeCell ref="B3785:H3785"/>
    <mergeCell ref="B3788:B3790"/>
    <mergeCell ref="B3798:H3798"/>
    <mergeCell ref="B3799:H3799"/>
    <mergeCell ref="B3801:B3802"/>
    <mergeCell ref="B3810:H3810"/>
    <mergeCell ref="B3760:B3763"/>
    <mergeCell ref="B3769:H3769"/>
    <mergeCell ref="B3770:H3770"/>
    <mergeCell ref="B3772:B3773"/>
    <mergeCell ref="B3774:B3777"/>
    <mergeCell ref="B3784:H3784"/>
    <mergeCell ref="B3740:H3740"/>
    <mergeCell ref="B3742:B3743"/>
    <mergeCell ref="B3744:B3746"/>
    <mergeCell ref="B3755:H3755"/>
    <mergeCell ref="B3756:H3756"/>
    <mergeCell ref="B3758:B3759"/>
    <mergeCell ref="B3706:H3706"/>
    <mergeCell ref="B3707:H3707"/>
    <mergeCell ref="B3721:H3721"/>
    <mergeCell ref="B3722:H3722"/>
    <mergeCell ref="B3738:H3738"/>
    <mergeCell ref="B3739:H3739"/>
    <mergeCell ref="B3684:B3685"/>
    <mergeCell ref="C3684:C3685"/>
    <mergeCell ref="E3684:E3685"/>
    <mergeCell ref="B3693:H3693"/>
    <mergeCell ref="B3694:H3694"/>
    <mergeCell ref="B3696:B3697"/>
    <mergeCell ref="C3696:C3697"/>
    <mergeCell ref="B3672:H3672"/>
    <mergeCell ref="B3674:B3675"/>
    <mergeCell ref="C3674:C3675"/>
    <mergeCell ref="E3674:E3675"/>
    <mergeCell ref="B3681:H3681"/>
    <mergeCell ref="B3682:H3682"/>
    <mergeCell ref="B3658:H3658"/>
    <mergeCell ref="B3659:H3659"/>
    <mergeCell ref="B3661:B3662"/>
    <mergeCell ref="C3661:C3662"/>
    <mergeCell ref="E3661:E3662"/>
    <mergeCell ref="B3671:H3671"/>
    <mergeCell ref="B3639:B3640"/>
    <mergeCell ref="C3639:C3640"/>
    <mergeCell ref="E3639:E3640"/>
    <mergeCell ref="B3648:H3648"/>
    <mergeCell ref="B3649:H3649"/>
    <mergeCell ref="B3651:B3652"/>
    <mergeCell ref="C3651:C3652"/>
    <mergeCell ref="E3651:E3652"/>
    <mergeCell ref="B3622:H3622"/>
    <mergeCell ref="B3623:H3623"/>
    <mergeCell ref="B3626:B3627"/>
    <mergeCell ref="B3628:B3629"/>
    <mergeCell ref="B3636:H3636"/>
    <mergeCell ref="B3637:H3637"/>
    <mergeCell ref="B3596:B3597"/>
    <mergeCell ref="B3598:B3599"/>
    <mergeCell ref="B3606:H3606"/>
    <mergeCell ref="B3607:H3607"/>
    <mergeCell ref="B3610:B3611"/>
    <mergeCell ref="B3612:B3613"/>
    <mergeCell ref="B3579:H3579"/>
    <mergeCell ref="B3580:H3580"/>
    <mergeCell ref="B3582:B3583"/>
    <mergeCell ref="B3584:B3586"/>
    <mergeCell ref="B3593:H3593"/>
    <mergeCell ref="B3594:H3594"/>
    <mergeCell ref="B3551:B3552"/>
    <mergeCell ref="B3553:B3555"/>
    <mergeCell ref="B3563:H3563"/>
    <mergeCell ref="B3564:H3564"/>
    <mergeCell ref="B3566:B3567"/>
    <mergeCell ref="B3568:B3570"/>
    <mergeCell ref="B3538:B3539"/>
    <mergeCell ref="B3540:B3541"/>
    <mergeCell ref="C3540:C3541"/>
    <mergeCell ref="E3540:E3541"/>
    <mergeCell ref="B3548:H3548"/>
    <mergeCell ref="B3549:H3549"/>
    <mergeCell ref="B3520:H3520"/>
    <mergeCell ref="B3521:H3521"/>
    <mergeCell ref="B3523:B3524"/>
    <mergeCell ref="B3525:B3526"/>
    <mergeCell ref="B3535:H3535"/>
    <mergeCell ref="B3536:H3536"/>
    <mergeCell ref="B3497:B3498"/>
    <mergeCell ref="B3499:B3500"/>
    <mergeCell ref="B3507:H3507"/>
    <mergeCell ref="B3508:H3508"/>
    <mergeCell ref="B3510:B3511"/>
    <mergeCell ref="B3512:B3513"/>
    <mergeCell ref="B3478:H3478"/>
    <mergeCell ref="B3479:H3479"/>
    <mergeCell ref="B3481:B3482"/>
    <mergeCell ref="B3483:B3486"/>
    <mergeCell ref="B3494:H3494"/>
    <mergeCell ref="B3495:H3495"/>
    <mergeCell ref="B3452:H3452"/>
    <mergeCell ref="B3454:B3455"/>
    <mergeCell ref="B3463:H3463"/>
    <mergeCell ref="B3464:H3464"/>
    <mergeCell ref="B3466:B3467"/>
    <mergeCell ref="B3468:B3471"/>
    <mergeCell ref="B3426:H3426"/>
    <mergeCell ref="B3428:B3429"/>
    <mergeCell ref="B3439:H3439"/>
    <mergeCell ref="B3440:H3440"/>
    <mergeCell ref="B3442:B3443"/>
    <mergeCell ref="B3451:H3451"/>
    <mergeCell ref="B3414:H3414"/>
    <mergeCell ref="B3416:B3417"/>
    <mergeCell ref="B3418:B3419"/>
    <mergeCell ref="C3418:C3419"/>
    <mergeCell ref="E3418:E3419"/>
    <mergeCell ref="B3425:H3425"/>
    <mergeCell ref="B3390:B3391"/>
    <mergeCell ref="B3398:H3398"/>
    <mergeCell ref="B3399:H3399"/>
    <mergeCell ref="B3401:B3402"/>
    <mergeCell ref="B3403:B3404"/>
    <mergeCell ref="B3413:H3413"/>
    <mergeCell ref="B3374:H3374"/>
    <mergeCell ref="B3376:B3377"/>
    <mergeCell ref="B3378:B3379"/>
    <mergeCell ref="B3385:H3385"/>
    <mergeCell ref="B3386:H3386"/>
    <mergeCell ref="B3388:B3389"/>
    <mergeCell ref="B3347:H3347"/>
    <mergeCell ref="B3349:B3350"/>
    <mergeCell ref="B3358:H3358"/>
    <mergeCell ref="B3359:H3359"/>
    <mergeCell ref="B3362:B3363"/>
    <mergeCell ref="B3373:H3373"/>
    <mergeCell ref="B3321:H3321"/>
    <mergeCell ref="B3323:B3324"/>
    <mergeCell ref="B3334:H3334"/>
    <mergeCell ref="B3335:H3335"/>
    <mergeCell ref="B3338:B3339"/>
    <mergeCell ref="B3346:H3346"/>
    <mergeCell ref="B3295:B3296"/>
    <mergeCell ref="B3304:H3304"/>
    <mergeCell ref="B3305:H3305"/>
    <mergeCell ref="B3308:B3309"/>
    <mergeCell ref="B3310:B3312"/>
    <mergeCell ref="B3320:H3320"/>
    <mergeCell ref="B3277:H3277"/>
    <mergeCell ref="B3279:B3280"/>
    <mergeCell ref="B3281:B3283"/>
    <mergeCell ref="B3289:H3289"/>
    <mergeCell ref="B3290:H3290"/>
    <mergeCell ref="B3293:B3294"/>
    <mergeCell ref="B3262:H3262"/>
    <mergeCell ref="B3264:B3265"/>
    <mergeCell ref="B3266:B3267"/>
    <mergeCell ref="C3266:C3267"/>
    <mergeCell ref="E3266:E3267"/>
    <mergeCell ref="B3276:H3276"/>
    <mergeCell ref="B3249:H3249"/>
    <mergeCell ref="B3250:H3250"/>
    <mergeCell ref="B3252:B3253"/>
    <mergeCell ref="C3252:C3253"/>
    <mergeCell ref="E3252:E3253"/>
    <mergeCell ref="B3261:H3261"/>
    <mergeCell ref="B3223:H3223"/>
    <mergeCell ref="B3236:H3236"/>
    <mergeCell ref="B3237:H3237"/>
    <mergeCell ref="B3238:H3238"/>
    <mergeCell ref="B3240:B3241"/>
    <mergeCell ref="B3242:B3243"/>
    <mergeCell ref="B3208:H3208"/>
    <mergeCell ref="B3209:H3209"/>
    <mergeCell ref="B3211:B3212"/>
    <mergeCell ref="B3213:B3214"/>
    <mergeCell ref="B3221:H3221"/>
    <mergeCell ref="B3222:H3222"/>
    <mergeCell ref="B3194:H3194"/>
    <mergeCell ref="B3195:H3195"/>
    <mergeCell ref="B3196:H3196"/>
    <mergeCell ref="B3198:B3199"/>
    <mergeCell ref="B3200:B3201"/>
    <mergeCell ref="B3207:H3207"/>
    <mergeCell ref="B3179:H3179"/>
    <mergeCell ref="B3180:H3180"/>
    <mergeCell ref="B3182:B3183"/>
    <mergeCell ref="B3184:B3185"/>
    <mergeCell ref="C3184:C3185"/>
    <mergeCell ref="D3184:D3185"/>
    <mergeCell ref="E3184:E3185"/>
    <mergeCell ref="F3184:F3185"/>
    <mergeCell ref="G3184:G3185"/>
    <mergeCell ref="H3184:H3185"/>
    <mergeCell ref="B3166:H3166"/>
    <mergeCell ref="B3168:B3169"/>
    <mergeCell ref="B3170:B3171"/>
    <mergeCell ref="C3170:C3171"/>
    <mergeCell ref="D3170:D3171"/>
    <mergeCell ref="E3170:E3171"/>
    <mergeCell ref="F3170:F3171"/>
    <mergeCell ref="G3170:G3171"/>
    <mergeCell ref="H3170:H3171"/>
    <mergeCell ref="B3142:B3143"/>
    <mergeCell ref="B3152:H3152"/>
    <mergeCell ref="B3153:H3153"/>
    <mergeCell ref="B3156:B3157"/>
    <mergeCell ref="B3158:B3159"/>
    <mergeCell ref="B3165:H3165"/>
    <mergeCell ref="B3124:H3124"/>
    <mergeCell ref="B3126:B3127"/>
    <mergeCell ref="B3128:B3129"/>
    <mergeCell ref="B3137:H3137"/>
    <mergeCell ref="B3138:H3138"/>
    <mergeCell ref="B3140:B3141"/>
    <mergeCell ref="B3102:B3103"/>
    <mergeCell ref="B3111:H3111"/>
    <mergeCell ref="B3112:H3112"/>
    <mergeCell ref="B3114:B3115"/>
    <mergeCell ref="B3116:B3117"/>
    <mergeCell ref="B3123:H3123"/>
    <mergeCell ref="B3083:H3083"/>
    <mergeCell ref="B3085:B3086"/>
    <mergeCell ref="B3087:B3088"/>
    <mergeCell ref="B3097:H3097"/>
    <mergeCell ref="B3098:H3098"/>
    <mergeCell ref="B3100:B3101"/>
    <mergeCell ref="B3062:B3063"/>
    <mergeCell ref="B3070:H3070"/>
    <mergeCell ref="B3071:H3071"/>
    <mergeCell ref="B3073:B3074"/>
    <mergeCell ref="B3075:B3076"/>
    <mergeCell ref="B3082:H3082"/>
    <mergeCell ref="B3042:B3044"/>
    <mergeCell ref="B3049:H3049"/>
    <mergeCell ref="B3050:H3050"/>
    <mergeCell ref="B3051:H3051"/>
    <mergeCell ref="B3059:H3059"/>
    <mergeCell ref="B3060:H3060"/>
    <mergeCell ref="B3024:H3024"/>
    <mergeCell ref="B3025:H3025"/>
    <mergeCell ref="B3027:B3028"/>
    <mergeCell ref="B3037:H3037"/>
    <mergeCell ref="B3038:H3038"/>
    <mergeCell ref="B3040:B3041"/>
    <mergeCell ref="B2996:B2997"/>
    <mergeCell ref="B2998:B2999"/>
    <mergeCell ref="B3007:H3007"/>
    <mergeCell ref="B3008:H3008"/>
    <mergeCell ref="B3010:B3011"/>
    <mergeCell ref="B3012:B3013"/>
    <mergeCell ref="B2980:H2980"/>
    <mergeCell ref="B2981:H2981"/>
    <mergeCell ref="B2983:B2984"/>
    <mergeCell ref="B2985:B2987"/>
    <mergeCell ref="B2993:H2993"/>
    <mergeCell ref="B2994:H2994"/>
    <mergeCell ref="B2953:B2954"/>
    <mergeCell ref="B2955:B2956"/>
    <mergeCell ref="B2965:H2965"/>
    <mergeCell ref="B2966:H2966"/>
    <mergeCell ref="B2968:B2969"/>
    <mergeCell ref="B2970:B2971"/>
    <mergeCell ref="B2938:H2938"/>
    <mergeCell ref="B2940:B2941"/>
    <mergeCell ref="B2942:B2943"/>
    <mergeCell ref="B2949:H2949"/>
    <mergeCell ref="B2950:H2950"/>
    <mergeCell ref="B2951:H2951"/>
    <mergeCell ref="B2910:B2912"/>
    <mergeCell ref="B2921:H2921"/>
    <mergeCell ref="B2922:H2922"/>
    <mergeCell ref="B2924:B2925"/>
    <mergeCell ref="B2926:B2927"/>
    <mergeCell ref="B2937:H2937"/>
    <mergeCell ref="B2894:B2895"/>
    <mergeCell ref="B2896:B2898"/>
    <mergeCell ref="B2904:H2904"/>
    <mergeCell ref="B2905:H2905"/>
    <mergeCell ref="B2906:H2906"/>
    <mergeCell ref="B2908:B2909"/>
    <mergeCell ref="B2876:H2876"/>
    <mergeCell ref="B2878:B2879"/>
    <mergeCell ref="B2880:B2881"/>
    <mergeCell ref="B2890:H2890"/>
    <mergeCell ref="B2891:H2891"/>
    <mergeCell ref="B2892:H2892"/>
    <mergeCell ref="B2853:B2854"/>
    <mergeCell ref="B2859:H2859"/>
    <mergeCell ref="B2860:H2860"/>
    <mergeCell ref="B2862:B2863"/>
    <mergeCell ref="B2864:B2865"/>
    <mergeCell ref="B2875:H2875"/>
    <mergeCell ref="B2833:H2833"/>
    <mergeCell ref="B2836:B2837"/>
    <mergeCell ref="B2838:B2839"/>
    <mergeCell ref="B2848:H2848"/>
    <mergeCell ref="B2849:H2849"/>
    <mergeCell ref="B2851:B2852"/>
    <mergeCell ref="B2810:B2811"/>
    <mergeCell ref="B2817:H2817"/>
    <mergeCell ref="B2818:H2818"/>
    <mergeCell ref="B2820:B2821"/>
    <mergeCell ref="B2822:B2823"/>
    <mergeCell ref="B2832:H2832"/>
    <mergeCell ref="B2790:H2790"/>
    <mergeCell ref="B2792:B2793"/>
    <mergeCell ref="B2794:B2795"/>
    <mergeCell ref="B2805:H2805"/>
    <mergeCell ref="B2806:H2806"/>
    <mergeCell ref="B2808:B2809"/>
    <mergeCell ref="B2774:H2774"/>
    <mergeCell ref="B2775:H2775"/>
    <mergeCell ref="B2777:B2778"/>
    <mergeCell ref="B2779:B2780"/>
    <mergeCell ref="B2788:H2788"/>
    <mergeCell ref="B2789:H2789"/>
    <mergeCell ref="B2748:B2749"/>
    <mergeCell ref="B2750:B2753"/>
    <mergeCell ref="B2762:H2762"/>
    <mergeCell ref="B2763:H2763"/>
    <mergeCell ref="B2765:B2766"/>
    <mergeCell ref="B2767:B2768"/>
    <mergeCell ref="B2730:H2730"/>
    <mergeCell ref="B2732:B2733"/>
    <mergeCell ref="B2734:B2735"/>
    <mergeCell ref="B2744:H2744"/>
    <mergeCell ref="B2745:H2745"/>
    <mergeCell ref="B2746:H2746"/>
    <mergeCell ref="B2705:H2705"/>
    <mergeCell ref="B2706:H2706"/>
    <mergeCell ref="B2718:H2718"/>
    <mergeCell ref="B2719:H2719"/>
    <mergeCell ref="B2728:H2728"/>
    <mergeCell ref="B2729:H2729"/>
    <mergeCell ref="B2675:B2681"/>
    <mergeCell ref="B2686:H2686"/>
    <mergeCell ref="B2687:H2687"/>
    <mergeCell ref="B2688:H2688"/>
    <mergeCell ref="B2690:B2691"/>
    <mergeCell ref="B2692:B2698"/>
    <mergeCell ref="B2647:B2648"/>
    <mergeCell ref="B2649:B2655"/>
    <mergeCell ref="B2669:H2669"/>
    <mergeCell ref="B2670:H2670"/>
    <mergeCell ref="B2671:H2671"/>
    <mergeCell ref="B2673:B2674"/>
    <mergeCell ref="B2626:H2626"/>
    <mergeCell ref="B2628:B2629"/>
    <mergeCell ref="B2630:B2636"/>
    <mergeCell ref="B2643:H2643"/>
    <mergeCell ref="B2644:H2644"/>
    <mergeCell ref="B2645:H2645"/>
    <mergeCell ref="B2602:B2603"/>
    <mergeCell ref="B2604:B2607"/>
    <mergeCell ref="B2613:H2613"/>
    <mergeCell ref="B2614:H2614"/>
    <mergeCell ref="B2624:H2624"/>
    <mergeCell ref="B2625:H2625"/>
    <mergeCell ref="B2585:H2585"/>
    <mergeCell ref="B2586:H2586"/>
    <mergeCell ref="B2588:B2589"/>
    <mergeCell ref="B2590:B2592"/>
    <mergeCell ref="B2599:H2599"/>
    <mergeCell ref="B2600:H2600"/>
    <mergeCell ref="B2555:B2557"/>
    <mergeCell ref="B2564:H2564"/>
    <mergeCell ref="B2565:H2565"/>
    <mergeCell ref="B2566:H2566"/>
    <mergeCell ref="B2568:B2570"/>
    <mergeCell ref="B2571:B2577"/>
    <mergeCell ref="B2538:H2538"/>
    <mergeCell ref="B2540:B2541"/>
    <mergeCell ref="B2542:B2544"/>
    <mergeCell ref="B2550:H2550"/>
    <mergeCell ref="B2551:H2551"/>
    <mergeCell ref="B2553:B2554"/>
    <mergeCell ref="B2508:B2510"/>
    <mergeCell ref="B2519:H2519"/>
    <mergeCell ref="B2520:H2520"/>
    <mergeCell ref="B2522:B2523"/>
    <mergeCell ref="B2524:B2526"/>
    <mergeCell ref="B2537:H2537"/>
    <mergeCell ref="B2496:B2497"/>
    <mergeCell ref="C2496:C2497"/>
    <mergeCell ref="E2496:E2497"/>
    <mergeCell ref="B2503:H2503"/>
    <mergeCell ref="B2504:H2504"/>
    <mergeCell ref="B2506:B2507"/>
    <mergeCell ref="B2477:B2479"/>
    <mergeCell ref="H2477:H2479"/>
    <mergeCell ref="B2480:B2482"/>
    <mergeCell ref="B2491:H2491"/>
    <mergeCell ref="B2492:H2492"/>
    <mergeCell ref="B2494:B2495"/>
    <mergeCell ref="B2459:H2459"/>
    <mergeCell ref="B2461:B2463"/>
    <mergeCell ref="H2461:H2463"/>
    <mergeCell ref="B2464:B2466"/>
    <mergeCell ref="B2474:H2474"/>
    <mergeCell ref="B2475:H2475"/>
    <mergeCell ref="B2445:H2445"/>
    <mergeCell ref="B2446:H2446"/>
    <mergeCell ref="B2447:H2447"/>
    <mergeCell ref="B2449:B2450"/>
    <mergeCell ref="B2451:B2452"/>
    <mergeCell ref="B2458:H2458"/>
    <mergeCell ref="B2433:H2433"/>
    <mergeCell ref="B2434:H2434"/>
    <mergeCell ref="B2436:B2437"/>
    <mergeCell ref="B2438:B2439"/>
    <mergeCell ref="C2438:C2439"/>
    <mergeCell ref="E2438:E2439"/>
    <mergeCell ref="B2419:H2419"/>
    <mergeCell ref="B2420:H2420"/>
    <mergeCell ref="B2422:B2423"/>
    <mergeCell ref="B2424:B2425"/>
    <mergeCell ref="C2424:C2425"/>
    <mergeCell ref="E2424:E2425"/>
    <mergeCell ref="B2394:B2395"/>
    <mergeCell ref="B2396:B2397"/>
    <mergeCell ref="B2406:H2406"/>
    <mergeCell ref="B2407:H2407"/>
    <mergeCell ref="B2409:B2410"/>
    <mergeCell ref="B2411:B2412"/>
    <mergeCell ref="C2411:C2412"/>
    <mergeCell ref="E2411:E2412"/>
    <mergeCell ref="B2374:H2374"/>
    <mergeCell ref="B2377:B2378"/>
    <mergeCell ref="B2379:B2381"/>
    <mergeCell ref="B2390:H2390"/>
    <mergeCell ref="B2391:H2391"/>
    <mergeCell ref="B2392:H2392"/>
    <mergeCell ref="B2360:H2360"/>
    <mergeCell ref="B2361:H2361"/>
    <mergeCell ref="B2363:B2364"/>
    <mergeCell ref="B2365:B2366"/>
    <mergeCell ref="B2372:H2372"/>
    <mergeCell ref="B2373:H2373"/>
    <mergeCell ref="B2333:B2334"/>
    <mergeCell ref="B2335:B2336"/>
    <mergeCell ref="B2345:H2345"/>
    <mergeCell ref="B2346:H2346"/>
    <mergeCell ref="B2348:B2349"/>
    <mergeCell ref="B2350:B2351"/>
    <mergeCell ref="B2317:H2317"/>
    <mergeCell ref="B2318:H2318"/>
    <mergeCell ref="B2320:B2321"/>
    <mergeCell ref="B2322:B2324"/>
    <mergeCell ref="B2330:H2330"/>
    <mergeCell ref="B2331:H2331"/>
    <mergeCell ref="B2290:B2292"/>
    <mergeCell ref="B2300:H2300"/>
    <mergeCell ref="B2301:H2301"/>
    <mergeCell ref="B2302:H2302"/>
    <mergeCell ref="B2304:B2305"/>
    <mergeCell ref="B2306:B2308"/>
    <mergeCell ref="B2271:B2272"/>
    <mergeCell ref="B2273:B2277"/>
    <mergeCell ref="B2284:H2284"/>
    <mergeCell ref="B2285:H2285"/>
    <mergeCell ref="B2286:H2286"/>
    <mergeCell ref="B2288:B2289"/>
    <mergeCell ref="B2252:H2252"/>
    <mergeCell ref="B2255:B2256"/>
    <mergeCell ref="B2257:B2259"/>
    <mergeCell ref="B2266:H2266"/>
    <mergeCell ref="B2267:H2267"/>
    <mergeCell ref="B2268:H2268"/>
    <mergeCell ref="B2230:B2232"/>
    <mergeCell ref="B2238:H2238"/>
    <mergeCell ref="B2239:H2239"/>
    <mergeCell ref="B2241:B2242"/>
    <mergeCell ref="B2243:B2244"/>
    <mergeCell ref="B2251:H2251"/>
    <mergeCell ref="B2203:B2204"/>
    <mergeCell ref="B2205:B2209"/>
    <mergeCell ref="B2224:H2224"/>
    <mergeCell ref="B2225:H2225"/>
    <mergeCell ref="B2226:H2226"/>
    <mergeCell ref="B2228:B2229"/>
    <mergeCell ref="B2186:H2186"/>
    <mergeCell ref="B2187:H2187"/>
    <mergeCell ref="B2189:B2190"/>
    <mergeCell ref="B2191:B2194"/>
    <mergeCell ref="B2200:H2200"/>
    <mergeCell ref="B2201:H2201"/>
    <mergeCell ref="B2162:B2163"/>
    <mergeCell ref="B2164:B2167"/>
    <mergeCell ref="B2172:H2172"/>
    <mergeCell ref="B2173:H2173"/>
    <mergeCell ref="B2175:B2176"/>
    <mergeCell ref="B2177:B2180"/>
    <mergeCell ref="B2139:H2139"/>
    <mergeCell ref="B2140:H2140"/>
    <mergeCell ref="B2142:B2143"/>
    <mergeCell ref="B2144:B2150"/>
    <mergeCell ref="B2159:H2159"/>
    <mergeCell ref="B2160:H2160"/>
    <mergeCell ref="B2112:H2112"/>
    <mergeCell ref="B2113:H2113"/>
    <mergeCell ref="B2114:H2114"/>
    <mergeCell ref="B2115:H2115"/>
    <mergeCell ref="B2117:B2118"/>
    <mergeCell ref="B2138:H2138"/>
    <mergeCell ref="B2008:B2010"/>
    <mergeCell ref="B2015:H2015"/>
    <mergeCell ref="B2016:H2016"/>
    <mergeCell ref="B2017:H2017"/>
    <mergeCell ref="B2019:B2020"/>
    <mergeCell ref="B2002:H2002"/>
    <mergeCell ref="B2003:H2003"/>
    <mergeCell ref="B2092:H2092"/>
    <mergeCell ref="B2093:H2093"/>
    <mergeCell ref="B2094:H2094"/>
    <mergeCell ref="B2095:H2095"/>
    <mergeCell ref="B2097:B2098"/>
    <mergeCell ref="B2099:B2106"/>
    <mergeCell ref="B2065:H2065"/>
    <mergeCell ref="B2066:H2066"/>
    <mergeCell ref="B2067:H2067"/>
    <mergeCell ref="B2068:H2068"/>
    <mergeCell ref="B2070:B2071"/>
    <mergeCell ref="B2072:B2081"/>
    <mergeCell ref="B2049:H2049"/>
    <mergeCell ref="B2050:H2050"/>
    <mergeCell ref="B2051:H2051"/>
    <mergeCell ref="B2053:B2054"/>
    <mergeCell ref="B2055:B2057"/>
    <mergeCell ref="B2064:H2064"/>
    <mergeCell ref="B1953:B1954"/>
    <mergeCell ref="B1955:B1961"/>
    <mergeCell ref="B1967:H1967"/>
    <mergeCell ref="B1968:H1968"/>
    <mergeCell ref="B1970:B1971"/>
    <mergeCell ref="B1972:B1978"/>
    <mergeCell ref="B1929:H1929"/>
    <mergeCell ref="B1930:H1930"/>
    <mergeCell ref="B1932:B1933"/>
    <mergeCell ref="B1934:B1940"/>
    <mergeCell ref="B1950:H1950"/>
    <mergeCell ref="B1951:H1951"/>
    <mergeCell ref="B1891:B1892"/>
    <mergeCell ref="B1893:B1901"/>
    <mergeCell ref="B1912:H1912"/>
    <mergeCell ref="B1913:H1913"/>
    <mergeCell ref="B1915:B1916"/>
    <mergeCell ref="B1917:B1923"/>
    <mergeCell ref="B1870:H1870"/>
    <mergeCell ref="B1872:B1873"/>
    <mergeCell ref="B1874:B1882"/>
    <mergeCell ref="B1887:H1887"/>
    <mergeCell ref="B1888:H1888"/>
    <mergeCell ref="B1889:H1889"/>
    <mergeCell ref="B1845:H1845"/>
    <mergeCell ref="B1846:H1846"/>
    <mergeCell ref="B1848:B1849"/>
    <mergeCell ref="B1850:B1859"/>
    <mergeCell ref="B1868:H1868"/>
    <mergeCell ref="B1869:H1869"/>
    <mergeCell ref="B1821:B1824"/>
    <mergeCell ref="A1832:H1832"/>
    <mergeCell ref="B1833:H1833"/>
    <mergeCell ref="B1834:H1834"/>
    <mergeCell ref="B1836:B1837"/>
    <mergeCell ref="B1844:H1844"/>
    <mergeCell ref="B1804:B1807"/>
    <mergeCell ref="A1814:H1814"/>
    <mergeCell ref="A1815:H1815"/>
    <mergeCell ref="B1816:H1816"/>
    <mergeCell ref="B1817:H1817"/>
    <mergeCell ref="B1819:B1820"/>
    <mergeCell ref="B1788:B1791"/>
    <mergeCell ref="A1797:H1797"/>
    <mergeCell ref="B1798:H1798"/>
    <mergeCell ref="B1799:H1799"/>
    <mergeCell ref="B1800:H1800"/>
    <mergeCell ref="B1802:B1803"/>
    <mergeCell ref="B1769:H1769"/>
    <mergeCell ref="B1773:B1775"/>
    <mergeCell ref="B1782:H1782"/>
    <mergeCell ref="B1783:H1783"/>
    <mergeCell ref="B1784:H1784"/>
    <mergeCell ref="B1786:B1787"/>
    <mergeCell ref="B1746:B1748"/>
    <mergeCell ref="B1753:H1753"/>
    <mergeCell ref="B1754:H1754"/>
    <mergeCell ref="B1758:B1760"/>
    <mergeCell ref="B1767:H1767"/>
    <mergeCell ref="B1768:H1768"/>
    <mergeCell ref="B1727:H1727"/>
    <mergeCell ref="B1729:B1730"/>
    <mergeCell ref="B1731:B1733"/>
    <mergeCell ref="B1741:H1741"/>
    <mergeCell ref="B1742:H1742"/>
    <mergeCell ref="B1744:B1745"/>
    <mergeCell ref="B1703:B1705"/>
    <mergeCell ref="B1711:H1711"/>
    <mergeCell ref="B1712:H1712"/>
    <mergeCell ref="B1714:B1715"/>
    <mergeCell ref="B1716:B1718"/>
    <mergeCell ref="B1726:H1726"/>
    <mergeCell ref="B1681:H1681"/>
    <mergeCell ref="B1683:B1684"/>
    <mergeCell ref="B1685:B1692"/>
    <mergeCell ref="B1698:H1698"/>
    <mergeCell ref="B1699:H1699"/>
    <mergeCell ref="B1701:B1702"/>
    <mergeCell ref="B1662:H1662"/>
    <mergeCell ref="B1663:H1663"/>
    <mergeCell ref="B1665:B1666"/>
    <mergeCell ref="B1667:B1673"/>
    <mergeCell ref="B1679:H1679"/>
    <mergeCell ref="B1680:H1680"/>
    <mergeCell ref="B1643:H1643"/>
    <mergeCell ref="B1644:H1644"/>
    <mergeCell ref="B1645:H1645"/>
    <mergeCell ref="B1647:B1648"/>
    <mergeCell ref="B1649:B1655"/>
    <mergeCell ref="B1661:H1661"/>
    <mergeCell ref="B1606:B1612"/>
    <mergeCell ref="B1618:H1618"/>
    <mergeCell ref="B1619:H1619"/>
    <mergeCell ref="B1620:H1620"/>
    <mergeCell ref="B1622:B1623"/>
    <mergeCell ref="B1624:B1629"/>
    <mergeCell ref="B1582:B1583"/>
    <mergeCell ref="B1584:B1589"/>
    <mergeCell ref="B1600:H1600"/>
    <mergeCell ref="B1601:H1601"/>
    <mergeCell ref="B1602:H1602"/>
    <mergeCell ref="B1604:B1605"/>
    <mergeCell ref="B1562:H1562"/>
    <mergeCell ref="B1564:B1565"/>
    <mergeCell ref="B1566:B1571"/>
    <mergeCell ref="B1578:H1578"/>
    <mergeCell ref="B1579:H1579"/>
    <mergeCell ref="B1580:H1580"/>
    <mergeCell ref="B1537:H1537"/>
    <mergeCell ref="B1538:H1538"/>
    <mergeCell ref="B1540:B1541"/>
    <mergeCell ref="B1542:B1547"/>
    <mergeCell ref="B1560:H1560"/>
    <mergeCell ref="B1561:H1561"/>
    <mergeCell ref="B1518:H1518"/>
    <mergeCell ref="B1519:H1519"/>
    <mergeCell ref="B1520:H1520"/>
    <mergeCell ref="B1522:B1523"/>
    <mergeCell ref="B1524:B1531"/>
    <mergeCell ref="B1536:H1536"/>
    <mergeCell ref="B1490:B1491"/>
    <mergeCell ref="B1492:B1493"/>
    <mergeCell ref="B1500:H1500"/>
    <mergeCell ref="B1501:H1501"/>
    <mergeCell ref="B1503:B1504"/>
    <mergeCell ref="B1505:B1507"/>
    <mergeCell ref="B1473:H1473"/>
    <mergeCell ref="B1474:H1474"/>
    <mergeCell ref="B1476:B1477"/>
    <mergeCell ref="B1478:B1479"/>
    <mergeCell ref="B1487:H1487"/>
    <mergeCell ref="B1488:H1488"/>
    <mergeCell ref="B1446:H1446"/>
    <mergeCell ref="B1450:B1451"/>
    <mergeCell ref="B1456:H1456"/>
    <mergeCell ref="B1457:H1457"/>
    <mergeCell ref="B1458:H1458"/>
    <mergeCell ref="B1462:B1465"/>
    <mergeCell ref="B1419:B1421"/>
    <mergeCell ref="B1427:H1427"/>
    <mergeCell ref="B1428:H1428"/>
    <mergeCell ref="B1429:H1429"/>
    <mergeCell ref="B1433:B1436"/>
    <mergeCell ref="B1445:H1445"/>
    <mergeCell ref="B1401:H1401"/>
    <mergeCell ref="B1403:B1404"/>
    <mergeCell ref="B1405:B1407"/>
    <mergeCell ref="B1414:H1414"/>
    <mergeCell ref="B1415:H1415"/>
    <mergeCell ref="B1417:B1418"/>
    <mergeCell ref="B1373:B1376"/>
    <mergeCell ref="B1386:H1386"/>
    <mergeCell ref="B1387:H1387"/>
    <mergeCell ref="B1389:B1390"/>
    <mergeCell ref="B1391:B1393"/>
    <mergeCell ref="B1400:H1400"/>
    <mergeCell ref="B1352:B1353"/>
    <mergeCell ref="B1354:B1357"/>
    <mergeCell ref="B1367:H1367"/>
    <mergeCell ref="B1368:H1368"/>
    <mergeCell ref="B1369:H1369"/>
    <mergeCell ref="B1371:B1372"/>
    <mergeCell ref="B1324:H1324"/>
    <mergeCell ref="B1326:B1327"/>
    <mergeCell ref="B1328:B1329"/>
    <mergeCell ref="B1348:H1348"/>
    <mergeCell ref="B1349:H1349"/>
    <mergeCell ref="B1350:H1350"/>
    <mergeCell ref="B1307:H1307"/>
    <mergeCell ref="B1308:H1308"/>
    <mergeCell ref="B1310:B1311"/>
    <mergeCell ref="B1312:B1313"/>
    <mergeCell ref="B1322:H1322"/>
    <mergeCell ref="B1323:H1323"/>
    <mergeCell ref="B1290:H1290"/>
    <mergeCell ref="B1291:H1291"/>
    <mergeCell ref="B1292:H1292"/>
    <mergeCell ref="B1294:B1295"/>
    <mergeCell ref="B1296:B1299"/>
    <mergeCell ref="B1306:H1306"/>
    <mergeCell ref="B1266:B1269"/>
    <mergeCell ref="B1274:H1274"/>
    <mergeCell ref="B1275:H1275"/>
    <mergeCell ref="B1276:H1276"/>
    <mergeCell ref="B1278:B1279"/>
    <mergeCell ref="B1280:B1283"/>
    <mergeCell ref="B1248:B1249"/>
    <mergeCell ref="B1250:B1251"/>
    <mergeCell ref="B1260:H1260"/>
    <mergeCell ref="B1261:H1261"/>
    <mergeCell ref="B1262:H1262"/>
    <mergeCell ref="B1264:B1265"/>
    <mergeCell ref="B1228:H1228"/>
    <mergeCell ref="B1230:B1231"/>
    <mergeCell ref="B1232:B1233"/>
    <mergeCell ref="B1244:H1244"/>
    <mergeCell ref="B1245:H1245"/>
    <mergeCell ref="B1246:H1246"/>
    <mergeCell ref="B1212:H1212"/>
    <mergeCell ref="B1213:H1213"/>
    <mergeCell ref="B1215:B1216"/>
    <mergeCell ref="B1217:B1220"/>
    <mergeCell ref="B1226:H1226"/>
    <mergeCell ref="B1227:H1227"/>
    <mergeCell ref="B1182:B1183"/>
    <mergeCell ref="B1184:B1187"/>
    <mergeCell ref="B1195:H1195"/>
    <mergeCell ref="B1196:H1196"/>
    <mergeCell ref="B1198:B1199"/>
    <mergeCell ref="B1200:B1203"/>
    <mergeCell ref="B1166:H1166"/>
    <mergeCell ref="B1167:H1167"/>
    <mergeCell ref="B1169:B1170"/>
    <mergeCell ref="B1171:B1173"/>
    <mergeCell ref="B1179:H1179"/>
    <mergeCell ref="B1180:H1180"/>
    <mergeCell ref="B1139:H1139"/>
    <mergeCell ref="B1140:H1140"/>
    <mergeCell ref="B1141:H1141"/>
    <mergeCell ref="B1143:B1144"/>
    <mergeCell ref="B1145:B1147"/>
    <mergeCell ref="B1165:H1165"/>
    <mergeCell ref="A1117:H1117"/>
    <mergeCell ref="B1118:H1118"/>
    <mergeCell ref="B1124:B1127"/>
    <mergeCell ref="A1132:H1132"/>
    <mergeCell ref="A1134:H1134"/>
    <mergeCell ref="A1136:H1136"/>
    <mergeCell ref="B1090:H1090"/>
    <mergeCell ref="B1091:H1091"/>
    <mergeCell ref="B1093:B1094"/>
    <mergeCell ref="A1103:H1103"/>
    <mergeCell ref="A1105:H1105"/>
    <mergeCell ref="A1107:H1107"/>
    <mergeCell ref="B1075:H1075"/>
    <mergeCell ref="B1076:H1076"/>
    <mergeCell ref="B1077:H1077"/>
    <mergeCell ref="B1079:B1080"/>
    <mergeCell ref="B1081:B1082"/>
    <mergeCell ref="A1089:H1089"/>
    <mergeCell ref="B1053:H1053"/>
    <mergeCell ref="B1054:H1054"/>
    <mergeCell ref="B1055:H1055"/>
    <mergeCell ref="B1057:B1058"/>
    <mergeCell ref="B1059:B1060"/>
    <mergeCell ref="B1074:H1074"/>
    <mergeCell ref="B1035:B1036"/>
    <mergeCell ref="B1037:B1040"/>
    <mergeCell ref="A1045:H1045"/>
    <mergeCell ref="A1047:H1047"/>
    <mergeCell ref="A1049:H1049"/>
    <mergeCell ref="B1052:H1052"/>
    <mergeCell ref="B1014:H1014"/>
    <mergeCell ref="B1016:B1017"/>
    <mergeCell ref="B1018:B1019"/>
    <mergeCell ref="B1031:H1031"/>
    <mergeCell ref="B1032:H1032"/>
    <mergeCell ref="B1033:H1033"/>
    <mergeCell ref="B999:H999"/>
    <mergeCell ref="B1001:B1002"/>
    <mergeCell ref="B1003:B1004"/>
    <mergeCell ref="B1011:H1011"/>
    <mergeCell ref="B1012:H1012"/>
    <mergeCell ref="B1013:H1013"/>
    <mergeCell ref="B986:H986"/>
    <mergeCell ref="B988:B989"/>
    <mergeCell ref="B990:B991"/>
    <mergeCell ref="B996:H996"/>
    <mergeCell ref="B997:H997"/>
    <mergeCell ref="B998:H998"/>
    <mergeCell ref="B969:B970"/>
    <mergeCell ref="B971:B976"/>
    <mergeCell ref="B977:B978"/>
    <mergeCell ref="B983:H983"/>
    <mergeCell ref="B984:H984"/>
    <mergeCell ref="B985:H985"/>
    <mergeCell ref="B955:H955"/>
    <mergeCell ref="B957:B958"/>
    <mergeCell ref="B964:H964"/>
    <mergeCell ref="B965:H965"/>
    <mergeCell ref="B966:H966"/>
    <mergeCell ref="B967:H967"/>
    <mergeCell ref="B929:H929"/>
    <mergeCell ref="B931:B932"/>
    <mergeCell ref="B933:B940"/>
    <mergeCell ref="B941:B942"/>
    <mergeCell ref="B953:H953"/>
    <mergeCell ref="B954:H954"/>
    <mergeCell ref="B911:B912"/>
    <mergeCell ref="B913:B919"/>
    <mergeCell ref="B920:B921"/>
    <mergeCell ref="B926:H926"/>
    <mergeCell ref="B927:H927"/>
    <mergeCell ref="B928:H928"/>
    <mergeCell ref="B888:B894"/>
    <mergeCell ref="B895:B896"/>
    <mergeCell ref="B906:H906"/>
    <mergeCell ref="B907:H907"/>
    <mergeCell ref="B908:H908"/>
    <mergeCell ref="B909:H909"/>
    <mergeCell ref="B875:B876"/>
    <mergeCell ref="B881:H881"/>
    <mergeCell ref="B882:H882"/>
    <mergeCell ref="B883:H883"/>
    <mergeCell ref="B884:H884"/>
    <mergeCell ref="B886:B887"/>
    <mergeCell ref="B861:H861"/>
    <mergeCell ref="B862:H862"/>
    <mergeCell ref="B863:H863"/>
    <mergeCell ref="B864:H864"/>
    <mergeCell ref="B866:B867"/>
    <mergeCell ref="B868:B874"/>
    <mergeCell ref="B836:H836"/>
    <mergeCell ref="B837:H837"/>
    <mergeCell ref="B838:H838"/>
    <mergeCell ref="B840:B841"/>
    <mergeCell ref="B842:B848"/>
    <mergeCell ref="B849:B850"/>
    <mergeCell ref="B820:H820"/>
    <mergeCell ref="B821:H821"/>
    <mergeCell ref="B822:H822"/>
    <mergeCell ref="B824:B825"/>
    <mergeCell ref="B826:B830"/>
    <mergeCell ref="B835:H835"/>
    <mergeCell ref="B797:H797"/>
    <mergeCell ref="B798:H798"/>
    <mergeCell ref="B799:H799"/>
    <mergeCell ref="B801:B802"/>
    <mergeCell ref="B803:B807"/>
    <mergeCell ref="B819:H819"/>
    <mergeCell ref="B779:H779"/>
    <mergeCell ref="B780:H780"/>
    <mergeCell ref="B781:H781"/>
    <mergeCell ref="B782:H782"/>
    <mergeCell ref="B786:B791"/>
    <mergeCell ref="B796:H796"/>
    <mergeCell ref="B757:H757"/>
    <mergeCell ref="B758:H758"/>
    <mergeCell ref="B759:H759"/>
    <mergeCell ref="B760:H760"/>
    <mergeCell ref="B762:B763"/>
    <mergeCell ref="B764:B769"/>
    <mergeCell ref="B733:B737"/>
    <mergeCell ref="B743:H743"/>
    <mergeCell ref="B744:H744"/>
    <mergeCell ref="B745:H745"/>
    <mergeCell ref="B747:B748"/>
    <mergeCell ref="B749:B753"/>
    <mergeCell ref="B714:B717"/>
    <mergeCell ref="B726:H726"/>
    <mergeCell ref="B727:H727"/>
    <mergeCell ref="B728:H728"/>
    <mergeCell ref="B729:H729"/>
    <mergeCell ref="B731:B732"/>
    <mergeCell ref="B700:H700"/>
    <mergeCell ref="B703:B704"/>
    <mergeCell ref="B708:H708"/>
    <mergeCell ref="B709:H709"/>
    <mergeCell ref="B710:H710"/>
    <mergeCell ref="B712:B713"/>
    <mergeCell ref="B681:H681"/>
    <mergeCell ref="B682:H682"/>
    <mergeCell ref="B685:B686"/>
    <mergeCell ref="B687:B690"/>
    <mergeCell ref="B698:H698"/>
    <mergeCell ref="B699:H699"/>
    <mergeCell ref="B664:H664"/>
    <mergeCell ref="B665:H665"/>
    <mergeCell ref="B666:H666"/>
    <mergeCell ref="B667:H667"/>
    <mergeCell ref="B669:B670"/>
    <mergeCell ref="B671:B674"/>
    <mergeCell ref="B651:H651"/>
    <mergeCell ref="B652:H652"/>
    <mergeCell ref="B653:H653"/>
    <mergeCell ref="B654:H654"/>
    <mergeCell ref="B656:B657"/>
    <mergeCell ref="B658:B659"/>
    <mergeCell ref="B635:H635"/>
    <mergeCell ref="B636:H636"/>
    <mergeCell ref="B637:H637"/>
    <mergeCell ref="B638:H638"/>
    <mergeCell ref="B640:B641"/>
    <mergeCell ref="B642:B646"/>
    <mergeCell ref="B619:H619"/>
    <mergeCell ref="B620:H620"/>
    <mergeCell ref="B621:H621"/>
    <mergeCell ref="B622:H622"/>
    <mergeCell ref="B624:B625"/>
    <mergeCell ref="B626:B630"/>
    <mergeCell ref="B602:H602"/>
    <mergeCell ref="B603:H603"/>
    <mergeCell ref="B604:H604"/>
    <mergeCell ref="B605:H605"/>
    <mergeCell ref="B607:B608"/>
    <mergeCell ref="B609:B613"/>
    <mergeCell ref="B578:H578"/>
    <mergeCell ref="B579:H579"/>
    <mergeCell ref="B580:H580"/>
    <mergeCell ref="B582:B584"/>
    <mergeCell ref="B586:B588"/>
    <mergeCell ref="D589:E589"/>
    <mergeCell ref="B560:H560"/>
    <mergeCell ref="B561:H561"/>
    <mergeCell ref="B563:B565"/>
    <mergeCell ref="B567:B571"/>
    <mergeCell ref="D572:E572"/>
    <mergeCell ref="B577:H577"/>
    <mergeCell ref="B540:H540"/>
    <mergeCell ref="B541:H541"/>
    <mergeCell ref="B543:B545"/>
    <mergeCell ref="D549:E549"/>
    <mergeCell ref="B558:H558"/>
    <mergeCell ref="B559:H559"/>
    <mergeCell ref="B522:H522"/>
    <mergeCell ref="B523:H523"/>
    <mergeCell ref="B524:H524"/>
    <mergeCell ref="B526:B528"/>
    <mergeCell ref="B538:H538"/>
    <mergeCell ref="B539:H539"/>
    <mergeCell ref="B497:H497"/>
    <mergeCell ref="B498:H498"/>
    <mergeCell ref="B499:H499"/>
    <mergeCell ref="B501:B503"/>
    <mergeCell ref="D508:E508"/>
    <mergeCell ref="B521:H521"/>
    <mergeCell ref="B480:H480"/>
    <mergeCell ref="B481:H481"/>
    <mergeCell ref="B482:H482"/>
    <mergeCell ref="B484:B486"/>
    <mergeCell ref="D491:E491"/>
    <mergeCell ref="B496:H496"/>
    <mergeCell ref="B456:H456"/>
    <mergeCell ref="B457:H457"/>
    <mergeCell ref="B458:H458"/>
    <mergeCell ref="B460:B462"/>
    <mergeCell ref="D467:E467"/>
    <mergeCell ref="B479:H479"/>
    <mergeCell ref="B439:H439"/>
    <mergeCell ref="B440:H440"/>
    <mergeCell ref="B441:H441"/>
    <mergeCell ref="B443:B445"/>
    <mergeCell ref="D450:E450"/>
    <mergeCell ref="B455:H455"/>
    <mergeCell ref="B416:H416"/>
    <mergeCell ref="B417:H417"/>
    <mergeCell ref="B418:H418"/>
    <mergeCell ref="B420:B422"/>
    <mergeCell ref="D427:E427"/>
    <mergeCell ref="B438:H438"/>
    <mergeCell ref="B399:H399"/>
    <mergeCell ref="B400:H400"/>
    <mergeCell ref="B401:H401"/>
    <mergeCell ref="B403:B405"/>
    <mergeCell ref="B406:B409"/>
    <mergeCell ref="B415:H415"/>
    <mergeCell ref="B374:H374"/>
    <mergeCell ref="B375:H375"/>
    <mergeCell ref="B376:H376"/>
    <mergeCell ref="B378:B380"/>
    <mergeCell ref="B381:B384"/>
    <mergeCell ref="B398:H398"/>
    <mergeCell ref="B357:H357"/>
    <mergeCell ref="B358:H358"/>
    <mergeCell ref="B359:H359"/>
    <mergeCell ref="B361:B363"/>
    <mergeCell ref="B364:B366"/>
    <mergeCell ref="B373:H373"/>
    <mergeCell ref="B331:H331"/>
    <mergeCell ref="B332:H332"/>
    <mergeCell ref="B333:H333"/>
    <mergeCell ref="B334:H334"/>
    <mergeCell ref="B336:B338"/>
    <mergeCell ref="B356:H356"/>
    <mergeCell ref="B313:H313"/>
    <mergeCell ref="B314:H314"/>
    <mergeCell ref="B315:H315"/>
    <mergeCell ref="B316:H316"/>
    <mergeCell ref="B318:B320"/>
    <mergeCell ref="B321:B324"/>
    <mergeCell ref="B286:H286"/>
    <mergeCell ref="B287:H287"/>
    <mergeCell ref="B288:H288"/>
    <mergeCell ref="B289:H289"/>
    <mergeCell ref="B291:B293"/>
    <mergeCell ref="B294:B297"/>
    <mergeCell ref="B254:H254"/>
    <mergeCell ref="B255:H255"/>
    <mergeCell ref="B265:H265"/>
    <mergeCell ref="B266:H266"/>
    <mergeCell ref="B276:H276"/>
    <mergeCell ref="B277:H277"/>
    <mergeCell ref="B222:H222"/>
    <mergeCell ref="B223:H223"/>
    <mergeCell ref="B232:H232"/>
    <mergeCell ref="B233:H233"/>
    <mergeCell ref="B244:H244"/>
    <mergeCell ref="B245:H245"/>
    <mergeCell ref="B200:H200"/>
    <mergeCell ref="B209:H209"/>
    <mergeCell ref="B210:H210"/>
    <mergeCell ref="B211:H211"/>
    <mergeCell ref="B214:B215"/>
    <mergeCell ref="B221:H221"/>
    <mergeCell ref="B180:B181"/>
    <mergeCell ref="B186:H186"/>
    <mergeCell ref="B187:H187"/>
    <mergeCell ref="B188:H188"/>
    <mergeCell ref="B191:B192"/>
    <mergeCell ref="B199:H199"/>
    <mergeCell ref="B163:H163"/>
    <mergeCell ref="B164:H164"/>
    <mergeCell ref="C167:F167"/>
    <mergeCell ref="B175:H175"/>
    <mergeCell ref="B176:H176"/>
    <mergeCell ref="B177:H177"/>
    <mergeCell ref="B137:H137"/>
    <mergeCell ref="B147:H147"/>
    <mergeCell ref="B148:H148"/>
    <mergeCell ref="B149:H149"/>
    <mergeCell ref="C152:F152"/>
    <mergeCell ref="B162:H162"/>
    <mergeCell ref="B113:H113"/>
    <mergeCell ref="B115:B118"/>
    <mergeCell ref="B119:B120"/>
    <mergeCell ref="B122:B123"/>
    <mergeCell ref="B135:H135"/>
    <mergeCell ref="B136:H136"/>
    <mergeCell ref="B96:H96"/>
    <mergeCell ref="B97:H97"/>
    <mergeCell ref="B99:B100"/>
    <mergeCell ref="B101:B104"/>
    <mergeCell ref="B111:H111"/>
    <mergeCell ref="B112:H112"/>
    <mergeCell ref="B76:H76"/>
    <mergeCell ref="B84:H84"/>
    <mergeCell ref="B85:H85"/>
    <mergeCell ref="B86:H86"/>
    <mergeCell ref="B89:B90"/>
    <mergeCell ref="B95:H95"/>
    <mergeCell ref="B47:H47"/>
    <mergeCell ref="B59:H59"/>
    <mergeCell ref="B60:H60"/>
    <mergeCell ref="B61:H61"/>
    <mergeCell ref="B74:H74"/>
    <mergeCell ref="B75:H75"/>
    <mergeCell ref="B20:H20"/>
    <mergeCell ref="B33:H33"/>
    <mergeCell ref="B34:H34"/>
    <mergeCell ref="B36:H36"/>
    <mergeCell ref="B44:H44"/>
    <mergeCell ref="B45:H45"/>
    <mergeCell ref="B1:H1"/>
    <mergeCell ref="B2:H2"/>
    <mergeCell ref="B3:H3"/>
    <mergeCell ref="B5:H5"/>
    <mergeCell ref="B17:H17"/>
    <mergeCell ref="B18:H18"/>
    <mergeCell ref="B4884:F4884"/>
    <mergeCell ref="J4884:N4884"/>
    <mergeCell ref="K1984:Q1984"/>
    <mergeCell ref="K1985:Q1985"/>
    <mergeCell ref="K1986:Q1986"/>
    <mergeCell ref="K1990:K1992"/>
    <mergeCell ref="J4635:P4636"/>
    <mergeCell ref="J4637:P4637"/>
    <mergeCell ref="K4038:Q4038"/>
    <mergeCell ref="K4039:Q4039"/>
    <mergeCell ref="L4041:L4042"/>
    <mergeCell ref="N4041:N4042"/>
    <mergeCell ref="K4051:Q4051"/>
    <mergeCell ref="K4052:Q4052"/>
    <mergeCell ref="K4053:Q4053"/>
    <mergeCell ref="L4055:L4056"/>
    <mergeCell ref="N4055:N4056"/>
    <mergeCell ref="K3398:Q3398"/>
    <mergeCell ref="K3399:Q3399"/>
    <mergeCell ref="K3401:K3402"/>
    <mergeCell ref="K3403:K3404"/>
    <mergeCell ref="B2021:B2023"/>
    <mergeCell ref="B2032:H2032"/>
    <mergeCell ref="B2033:H2033"/>
    <mergeCell ref="B2034:H2034"/>
    <mergeCell ref="B2036:B2037"/>
    <mergeCell ref="B2038:B2040"/>
    <mergeCell ref="B2004:H2004"/>
    <mergeCell ref="B1987:H1987"/>
    <mergeCell ref="B1988:H1988"/>
    <mergeCell ref="B1989:H1989"/>
    <mergeCell ref="B1993:B1995"/>
  </mergeCells>
  <hyperlinks>
    <hyperlink ref="C1851" r:id="rId1" display="!@ dL=dL=sdl;{on KnfO{" xr:uid="{00000000-0004-0000-0200-000000000000}"/>
    <hyperlink ref="C1875" r:id="rId2" display="!@ dL=dL=sdl;{on KnfO{" xr:uid="{00000000-0004-0000-0200-000001000000}"/>
    <hyperlink ref="C1894" r:id="rId3" display="!@ dL=dL=sdl;{on KnfO{" xr:uid="{00000000-0004-0000-0200-000002000000}"/>
    <hyperlink ref="B2" r:id="rId4" xr:uid="{00000000-0004-0000-0200-000003000000}"/>
    <hyperlink ref="B17" r:id="rId5" display="!@–#) ;]=dL= uf]nfO{sf] ?v 9fNg] sfo{ xfFufx? sf6L ?vsf] 6'qmf kf/L lgdf{0f :ynaf6 " xr:uid="{00000000-0004-0000-0200-000004000000}"/>
  </hyperlinks>
  <pageMargins left="0.42" right="0.26" top="0.49" bottom="0.4" header="0.3" footer="0.3"/>
  <pageSetup orientation="portrait" r:id="rId6"/>
  <rowBreaks count="6" manualBreakCount="6">
    <brk id="1983" max="16383" man="1"/>
    <brk id="4037" max="16383" man="1"/>
    <brk id="4326" max="16383" man="1"/>
    <brk id="4634" max="16383" man="1"/>
    <brk id="4883" max="16383" man="1"/>
    <brk id="4918" max="16383" man="1"/>
  </rowBreaks>
  <colBreaks count="1" manualBreakCount="1">
    <brk id="8" max="1048575" man="1"/>
  </colBreaks>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BA093-DE62-49A7-892D-9F9D92BFBCF6}">
  <sheetPr>
    <pageSetUpPr fitToPage="1"/>
  </sheetPr>
  <dimension ref="A1:N43"/>
  <sheetViews>
    <sheetView tabSelected="1" view="pageBreakPreview" topLeftCell="A5" zoomScaleNormal="100" zoomScaleSheetLayoutView="100" workbookViewId="0">
      <selection activeCell="H12" sqref="H12"/>
    </sheetView>
  </sheetViews>
  <sheetFormatPr defaultRowHeight="12.75"/>
  <cols>
    <col min="1" max="1" width="8.5703125" style="760" bestFit="1" customWidth="1"/>
    <col min="2" max="2" width="32.5703125" style="852" bestFit="1" customWidth="1"/>
    <col min="3" max="3" width="7.28515625" style="852" bestFit="1" customWidth="1"/>
    <col min="4" max="4" width="9.140625" style="852" bestFit="1" customWidth="1"/>
    <col min="5" max="5" width="10.140625" style="852" bestFit="1" customWidth="1"/>
    <col min="6" max="6" width="8.85546875" style="852" bestFit="1" customWidth="1"/>
    <col min="7" max="7" width="12.85546875" style="852" customWidth="1"/>
    <col min="8" max="8" width="7.140625" style="852" customWidth="1"/>
    <col min="9" max="9" width="13" style="852" customWidth="1"/>
    <col min="10" max="10" width="13.42578125" style="852" customWidth="1"/>
    <col min="11" max="11" width="13.7109375" style="852" customWidth="1"/>
    <col min="12" max="12" width="9.140625" style="852"/>
    <col min="13" max="13" width="19.42578125" style="852" bestFit="1" customWidth="1"/>
    <col min="14" max="14" width="11" style="852" bestFit="1" customWidth="1"/>
    <col min="15" max="16384" width="9.140625" style="852"/>
  </cols>
  <sheetData>
    <row r="1" spans="1:14" ht="15.75">
      <c r="A1" s="993" t="s">
        <v>3849</v>
      </c>
      <c r="B1" s="993"/>
      <c r="C1" s="993"/>
      <c r="D1" s="993"/>
      <c r="E1" s="993"/>
      <c r="F1" s="993"/>
      <c r="G1" s="993"/>
      <c r="H1" s="993"/>
      <c r="I1" s="993"/>
      <c r="J1" s="993"/>
      <c r="K1" s="993"/>
      <c r="L1" s="753"/>
    </row>
    <row r="2" spans="1:14" ht="18.75">
      <c r="A2" s="994" t="s">
        <v>3850</v>
      </c>
      <c r="B2" s="994"/>
      <c r="C2" s="994"/>
      <c r="D2" s="994"/>
      <c r="E2" s="994"/>
      <c r="F2" s="994"/>
      <c r="G2" s="994"/>
      <c r="H2" s="994"/>
      <c r="I2" s="994"/>
      <c r="J2" s="994"/>
      <c r="K2" s="994"/>
      <c r="L2" s="754"/>
    </row>
    <row r="3" spans="1:14" ht="15.75">
      <c r="A3" s="995" t="s">
        <v>3851</v>
      </c>
      <c r="B3" s="995"/>
      <c r="C3" s="995"/>
      <c r="D3" s="995"/>
      <c r="E3" s="995"/>
      <c r="F3" s="995"/>
      <c r="G3" s="995"/>
      <c r="H3" s="995"/>
      <c r="I3" s="995"/>
      <c r="J3" s="995"/>
      <c r="K3" s="995"/>
      <c r="L3" s="752"/>
      <c r="M3" s="852" t="s">
        <v>3879</v>
      </c>
      <c r="N3" s="852" t="s">
        <v>544</v>
      </c>
    </row>
    <row r="4" spans="1:14" ht="18.75">
      <c r="A4" s="854"/>
      <c r="B4" s="854"/>
      <c r="C4" s="854"/>
      <c r="D4" s="854"/>
      <c r="E4" s="854"/>
      <c r="F4" s="854"/>
      <c r="G4" s="854"/>
      <c r="H4" s="854"/>
      <c r="I4" s="854"/>
      <c r="J4" s="854"/>
      <c r="K4" s="854"/>
      <c r="L4" s="852" t="s">
        <v>3877</v>
      </c>
      <c r="M4" s="852">
        <v>20</v>
      </c>
      <c r="N4" s="852">
        <v>7.5</v>
      </c>
    </row>
    <row r="5" spans="1:14" ht="18.75">
      <c r="A5" s="996" t="s">
        <v>3880</v>
      </c>
      <c r="B5" s="996"/>
      <c r="C5" s="996"/>
      <c r="D5" s="996"/>
      <c r="E5" s="996"/>
      <c r="F5" s="996"/>
      <c r="G5" s="996"/>
      <c r="H5" s="996"/>
      <c r="I5" s="996"/>
      <c r="J5" s="996"/>
      <c r="K5" s="996"/>
      <c r="L5" s="852" t="s">
        <v>3878</v>
      </c>
      <c r="M5" s="852">
        <v>13.5</v>
      </c>
      <c r="N5" s="852">
        <v>4.0999999999999996</v>
      </c>
    </row>
    <row r="6" spans="1:14" ht="18.75">
      <c r="A6" s="854"/>
      <c r="B6" s="854"/>
      <c r="C6" s="854"/>
      <c r="D6" s="854"/>
      <c r="E6" s="854"/>
      <c r="F6" s="854"/>
      <c r="G6" s="854"/>
      <c r="H6" s="854"/>
      <c r="I6" s="854"/>
      <c r="J6" s="854"/>
      <c r="K6" s="854"/>
      <c r="L6" s="854"/>
    </row>
    <row r="7" spans="1:14" ht="19.5">
      <c r="A7" s="762" t="s">
        <v>3868</v>
      </c>
      <c r="B7" s="763" t="s">
        <v>3920</v>
      </c>
      <c r="C7" s="762"/>
      <c r="D7" s="762"/>
      <c r="E7" s="762"/>
      <c r="F7" s="762"/>
      <c r="G7" s="853"/>
      <c r="H7" s="997" t="s">
        <v>3876</v>
      </c>
      <c r="I7" s="998"/>
      <c r="J7" s="998"/>
      <c r="K7" s="998"/>
    </row>
    <row r="8" spans="1:14" ht="15.75">
      <c r="A8" s="991" t="s">
        <v>3863</v>
      </c>
      <c r="B8" s="991"/>
      <c r="C8" s="991"/>
      <c r="D8" s="991"/>
      <c r="E8" s="991"/>
      <c r="F8" s="991"/>
      <c r="G8" s="748"/>
      <c r="H8" s="992" t="s">
        <v>3912</v>
      </c>
      <c r="I8" s="992"/>
      <c r="J8" s="992"/>
      <c r="K8" s="992"/>
    </row>
    <row r="9" spans="1:14" ht="26.25" customHeight="1">
      <c r="A9" s="761" t="s">
        <v>440</v>
      </c>
      <c r="B9" s="756" t="s">
        <v>3852</v>
      </c>
      <c r="C9" s="757" t="s">
        <v>3853</v>
      </c>
      <c r="D9" s="758" t="s">
        <v>3854</v>
      </c>
      <c r="E9" s="758" t="s">
        <v>3855</v>
      </c>
      <c r="F9" s="758" t="s">
        <v>3856</v>
      </c>
      <c r="G9" s="758" t="s">
        <v>3826</v>
      </c>
      <c r="H9" s="755" t="s">
        <v>443</v>
      </c>
      <c r="I9" s="758" t="s">
        <v>444</v>
      </c>
      <c r="J9" s="758" t="s">
        <v>3857</v>
      </c>
      <c r="K9" s="759" t="s">
        <v>3827</v>
      </c>
    </row>
    <row r="10" spans="1:14" ht="37.5">
      <c r="A10" s="796">
        <v>1</v>
      </c>
      <c r="B10" s="797" t="s">
        <v>3865</v>
      </c>
      <c r="C10" s="782">
        <v>1</v>
      </c>
      <c r="D10" s="781">
        <v>6</v>
      </c>
      <c r="E10" s="781">
        <v>4.3</v>
      </c>
      <c r="F10" s="781">
        <v>0.15</v>
      </c>
      <c r="G10" s="781">
        <f>F10*E10*D10*C10</f>
        <v>3.8699999999999992</v>
      </c>
      <c r="H10" s="800"/>
      <c r="I10" s="799"/>
      <c r="J10" s="799"/>
      <c r="K10" s="801"/>
    </row>
    <row r="11" spans="1:14" ht="15.75">
      <c r="A11" s="794"/>
      <c r="B11" s="783"/>
      <c r="G11" s="781">
        <f>SUM(G10)</f>
        <v>3.8699999999999992</v>
      </c>
      <c r="H11" s="780" t="s">
        <v>1775</v>
      </c>
      <c r="I11" s="771">
        <f>'[3]Table of Content 2'!$H$19</f>
        <v>663.31</v>
      </c>
      <c r="J11" s="781">
        <f>I11*G11</f>
        <v>2567.0096999999992</v>
      </c>
      <c r="K11" s="776"/>
    </row>
    <row r="12" spans="1:14" ht="15.75">
      <c r="A12" s="794"/>
      <c r="B12" s="783"/>
      <c r="C12" s="782"/>
      <c r="D12" s="781"/>
      <c r="E12" s="781"/>
      <c r="F12" s="781"/>
      <c r="G12" s="781"/>
      <c r="H12" s="780"/>
      <c r="I12" s="781"/>
      <c r="J12" s="781"/>
      <c r="K12" s="776"/>
    </row>
    <row r="13" spans="1:14" ht="37.5">
      <c r="A13" s="794">
        <v>2</v>
      </c>
      <c r="B13" s="775" t="s">
        <v>3862</v>
      </c>
      <c r="C13" s="782"/>
      <c r="D13" s="782"/>
      <c r="E13" s="782"/>
      <c r="F13" s="781"/>
      <c r="G13" s="781"/>
      <c r="H13" s="780"/>
      <c r="I13" s="781"/>
      <c r="J13" s="781"/>
      <c r="K13" s="776"/>
    </row>
    <row r="14" spans="1:14" ht="15.75">
      <c r="A14" s="794"/>
      <c r="B14" s="771"/>
      <c r="C14" s="782">
        <f>C10</f>
        <v>1</v>
      </c>
      <c r="D14" s="782">
        <f>D10</f>
        <v>6</v>
      </c>
      <c r="E14" s="782">
        <f>E10</f>
        <v>4.3</v>
      </c>
      <c r="F14" s="781">
        <v>0.1</v>
      </c>
      <c r="G14" s="781">
        <f t="shared" ref="G14" si="0">F14*E14*D14*C14</f>
        <v>2.58</v>
      </c>
      <c r="H14" s="780"/>
      <c r="I14" s="781"/>
      <c r="J14" s="781"/>
      <c r="K14" s="776"/>
    </row>
    <row r="15" spans="1:14" ht="19.5">
      <c r="A15" s="794"/>
      <c r="B15" s="790"/>
      <c r="C15" s="782"/>
      <c r="D15" s="781"/>
      <c r="E15" s="781"/>
      <c r="F15" s="781"/>
      <c r="G15" s="772">
        <f>SUM(G14:G14)</f>
        <v>2.58</v>
      </c>
      <c r="H15" s="780" t="s">
        <v>1775</v>
      </c>
      <c r="I15" s="772">
        <f>'[3]Table of Content 2'!$H$58</f>
        <v>4473.1499999999996</v>
      </c>
      <c r="J15" s="772">
        <f>I15*G15</f>
        <v>11540.726999999999</v>
      </c>
      <c r="K15" s="776"/>
      <c r="M15" s="763"/>
    </row>
    <row r="16" spans="1:14" ht="19.5">
      <c r="A16" s="794"/>
      <c r="B16" s="777" t="s">
        <v>3890</v>
      </c>
      <c r="C16" s="782"/>
      <c r="D16" s="781"/>
      <c r="E16" s="781"/>
      <c r="F16" s="781"/>
      <c r="G16" s="772"/>
      <c r="H16" s="771"/>
      <c r="I16" s="772"/>
      <c r="J16" s="772">
        <f>'[3]Update Descrip'!$H$588*G15*0.13</f>
        <v>1037.4425100000001</v>
      </c>
      <c r="K16" s="776"/>
      <c r="M16" s="763"/>
    </row>
    <row r="17" spans="1:14" ht="15.75">
      <c r="A17" s="794"/>
      <c r="B17" s="783"/>
      <c r="C17" s="782"/>
      <c r="D17" s="781"/>
      <c r="E17" s="781"/>
      <c r="F17" s="781"/>
      <c r="G17" s="771"/>
      <c r="H17" s="771"/>
      <c r="I17" s="771"/>
      <c r="J17" s="771"/>
      <c r="K17" s="776"/>
    </row>
    <row r="18" spans="1:14" ht="37.5">
      <c r="A18" s="794">
        <v>3</v>
      </c>
      <c r="B18" s="775" t="s">
        <v>3864</v>
      </c>
      <c r="C18" s="782"/>
      <c r="D18" s="781"/>
      <c r="E18" s="781"/>
      <c r="F18" s="781"/>
      <c r="G18" s="781"/>
      <c r="H18" s="780"/>
      <c r="I18" s="781"/>
      <c r="J18" s="781"/>
      <c r="K18" s="776"/>
      <c r="N18" s="852">
        <f>9/0.35</f>
        <v>25.714285714285715</v>
      </c>
    </row>
    <row r="19" spans="1:14" ht="15.75">
      <c r="A19" s="794"/>
      <c r="B19" s="783">
        <f>B11</f>
        <v>0</v>
      </c>
      <c r="C19" s="788">
        <v>1</v>
      </c>
      <c r="D19" s="788">
        <f>D10</f>
        <v>6</v>
      </c>
      <c r="E19" s="788">
        <f>E10</f>
        <v>4.3</v>
      </c>
      <c r="F19" s="813">
        <v>0.1</v>
      </c>
      <c r="G19" s="781">
        <f t="shared" ref="G19" si="1">F19*E19*D19*C19</f>
        <v>2.58</v>
      </c>
      <c r="H19" s="780"/>
      <c r="I19" s="781"/>
      <c r="J19" s="781"/>
      <c r="K19" s="776"/>
    </row>
    <row r="20" spans="1:14" ht="15.75">
      <c r="A20" s="794"/>
      <c r="B20" s="784"/>
      <c r="C20" s="782"/>
      <c r="D20" s="781"/>
      <c r="E20" s="781"/>
      <c r="F20" s="781"/>
      <c r="G20" s="772">
        <f>SUM(G19:G19)</f>
        <v>2.58</v>
      </c>
      <c r="H20" s="780" t="s">
        <v>1775</v>
      </c>
      <c r="I20" s="772">
        <f>'[3]Table of Content 2'!$H$66</f>
        <v>15498.1</v>
      </c>
      <c r="J20" s="772">
        <f>I20*G20</f>
        <v>39985.098000000005</v>
      </c>
      <c r="K20" s="776"/>
    </row>
    <row r="21" spans="1:14" ht="19.5">
      <c r="A21" s="794"/>
      <c r="B21" s="772" t="s">
        <v>3885</v>
      </c>
      <c r="C21" s="782"/>
      <c r="D21" s="781"/>
      <c r="E21" s="781"/>
      <c r="F21" s="781"/>
      <c r="G21" s="772"/>
      <c r="H21" s="771"/>
      <c r="I21" s="772"/>
      <c r="J21" s="772">
        <f>'[3]Update Descrip'!$G$660*G20*0.13</f>
        <v>1301.9959680000002</v>
      </c>
      <c r="K21" s="776"/>
      <c r="M21" s="763" t="s">
        <v>3906</v>
      </c>
      <c r="N21" s="852">
        <v>9866863731</v>
      </c>
    </row>
    <row r="22" spans="1:14" ht="19.5">
      <c r="A22" s="794"/>
      <c r="B22" s="772" t="s">
        <v>3886</v>
      </c>
      <c r="C22" s="782"/>
      <c r="D22" s="781"/>
      <c r="E22" s="781"/>
      <c r="F22" s="781"/>
      <c r="G22" s="772"/>
      <c r="H22" s="771"/>
      <c r="I22" s="772"/>
      <c r="J22" s="772">
        <f>'[3]Update Descrip'!$G$664*G20*0.13</f>
        <v>474.30926400000004</v>
      </c>
      <c r="K22" s="776"/>
      <c r="M22" s="763" t="s">
        <v>3907</v>
      </c>
      <c r="N22" s="852">
        <v>9745549080</v>
      </c>
    </row>
    <row r="23" spans="1:14" ht="19.5">
      <c r="A23" s="794"/>
      <c r="B23" s="772" t="s">
        <v>3887</v>
      </c>
      <c r="C23" s="782"/>
      <c r="D23" s="781"/>
      <c r="E23" s="781"/>
      <c r="F23" s="781"/>
      <c r="G23" s="772"/>
      <c r="H23" s="771"/>
      <c r="I23" s="772"/>
      <c r="J23" s="772">
        <f>('[3]Update Descrip'!$G$661+'[3]Update Descrip'!$G$662+'[3]Update Descrip'!$G$663)*G20*0.13</f>
        <v>919.00606200000016</v>
      </c>
      <c r="K23" s="776"/>
      <c r="M23" s="763" t="s">
        <v>3908</v>
      </c>
      <c r="N23" s="852">
        <v>9861605879</v>
      </c>
    </row>
    <row r="24" spans="1:14" ht="19.5">
      <c r="A24" s="794"/>
      <c r="B24" s="789"/>
      <c r="C24" s="782"/>
      <c r="D24" s="781"/>
      <c r="E24" s="779"/>
      <c r="F24" s="781"/>
      <c r="G24" s="771"/>
      <c r="H24" s="780"/>
      <c r="I24" s="781"/>
      <c r="J24" s="781"/>
      <c r="K24" s="776"/>
      <c r="M24" s="763" t="s">
        <v>3909</v>
      </c>
      <c r="N24" s="852">
        <v>9849523356</v>
      </c>
    </row>
    <row r="25" spans="1:14" ht="37.5">
      <c r="A25" s="794">
        <v>6</v>
      </c>
      <c r="B25" s="773" t="s">
        <v>3913</v>
      </c>
      <c r="C25" s="782">
        <v>2</v>
      </c>
      <c r="D25" s="782">
        <v>1</v>
      </c>
      <c r="E25" s="782">
        <v>0.1</v>
      </c>
      <c r="F25" s="782">
        <v>0.6</v>
      </c>
      <c r="G25" s="781">
        <f>C25*D25*E25*F25</f>
        <v>0.12</v>
      </c>
      <c r="H25" s="781"/>
      <c r="I25" s="781"/>
      <c r="J25" s="781"/>
      <c r="K25" s="781"/>
      <c r="M25" s="763" t="s">
        <v>3910</v>
      </c>
      <c r="N25" s="852">
        <v>9863648428</v>
      </c>
    </row>
    <row r="26" spans="1:14" ht="19.5">
      <c r="A26" s="778"/>
      <c r="B26" s="792"/>
      <c r="C26" s="782">
        <v>2</v>
      </c>
      <c r="D26" s="782">
        <v>0.7</v>
      </c>
      <c r="E26" s="782">
        <v>0.1</v>
      </c>
      <c r="F26" s="782">
        <v>0.6</v>
      </c>
      <c r="G26" s="781">
        <f>C26*D26*E26*F26</f>
        <v>8.3999999999999991E-2</v>
      </c>
      <c r="H26" s="780"/>
      <c r="I26" s="772"/>
      <c r="J26" s="793"/>
      <c r="K26" s="776"/>
      <c r="M26" s="763" t="s">
        <v>3911</v>
      </c>
      <c r="N26" s="852">
        <v>9860874984</v>
      </c>
    </row>
    <row r="27" spans="1:14" ht="18.75">
      <c r="A27" s="778"/>
      <c r="B27" s="773"/>
      <c r="C27" s="791"/>
      <c r="D27" s="781"/>
      <c r="E27" s="781"/>
      <c r="F27" s="781"/>
      <c r="G27" s="781">
        <f>SUM(G25:G26)</f>
        <v>0.20399999999999999</v>
      </c>
      <c r="H27" s="780" t="s">
        <v>1775</v>
      </c>
      <c r="I27" s="772">
        <f>'[3]Table of Content 2'!$H$45</f>
        <v>14362.76</v>
      </c>
      <c r="J27" s="771">
        <f>G27*I27</f>
        <v>2930.0030400000001</v>
      </c>
      <c r="K27" s="776"/>
    </row>
    <row r="28" spans="1:14" ht="15.75">
      <c r="A28" s="778"/>
      <c r="B28" s="795" t="s">
        <v>3914</v>
      </c>
      <c r="C28" s="782"/>
      <c r="D28" s="781"/>
      <c r="E28" s="781"/>
      <c r="F28" s="781"/>
      <c r="G28" s="781"/>
      <c r="H28" s="780"/>
      <c r="I28" s="772"/>
      <c r="J28" s="771">
        <f>G27*'[3]Update Descrip'!$G$431*0.13</f>
        <v>224.921424</v>
      </c>
      <c r="K28" s="776"/>
    </row>
    <row r="29" spans="1:14" ht="15.75">
      <c r="A29" s="778"/>
      <c r="B29" s="795" t="s">
        <v>3885</v>
      </c>
      <c r="C29" s="782"/>
      <c r="D29" s="781"/>
      <c r="E29" s="781"/>
      <c r="F29" s="781"/>
      <c r="G29" s="781"/>
      <c r="H29" s="780"/>
      <c r="I29" s="772"/>
      <c r="J29" s="771">
        <f>'[3]Update Descrip'!$G$432*G27*0.13</f>
        <v>22.519988400000003</v>
      </c>
      <c r="K29" s="776"/>
    </row>
    <row r="30" spans="1:14" ht="15.75">
      <c r="A30" s="778"/>
      <c r="B30" s="795" t="s">
        <v>3886</v>
      </c>
      <c r="C30" s="781"/>
      <c r="D30" s="781"/>
      <c r="E30" s="781"/>
      <c r="F30" s="781"/>
      <c r="G30" s="781"/>
      <c r="H30" s="781"/>
      <c r="I30" s="781"/>
      <c r="J30" s="771">
        <f>'[3]Update Descrip'!$G$433*G27*0.13</f>
        <v>25.283372399999998</v>
      </c>
      <c r="K30" s="776"/>
    </row>
    <row r="31" spans="1:14" ht="15.75">
      <c r="A31" s="778"/>
      <c r="B31" s="792"/>
      <c r="C31" s="782"/>
      <c r="D31" s="781"/>
      <c r="E31" s="781"/>
      <c r="F31" s="781"/>
      <c r="G31" s="781"/>
      <c r="H31" s="780"/>
      <c r="I31" s="772"/>
      <c r="J31" s="793"/>
      <c r="K31" s="776"/>
    </row>
    <row r="32" spans="1:14" ht="15.75">
      <c r="A32" s="794">
        <v>4</v>
      </c>
      <c r="B32" s="795" t="s">
        <v>3873</v>
      </c>
      <c r="C32" s="782"/>
      <c r="D32" s="781"/>
      <c r="E32" s="781"/>
      <c r="F32" s="781"/>
      <c r="G32" s="781">
        <v>1</v>
      </c>
      <c r="H32" s="780" t="s">
        <v>3063</v>
      </c>
      <c r="I32" s="772">
        <v>500</v>
      </c>
      <c r="J32" s="771">
        <f>G32*I32</f>
        <v>500</v>
      </c>
      <c r="K32" s="776"/>
    </row>
    <row r="33" spans="1:11" ht="15.75">
      <c r="A33" s="805"/>
      <c r="B33" s="806"/>
      <c r="C33" s="807"/>
      <c r="D33" s="808"/>
      <c r="E33" s="808"/>
      <c r="F33" s="808"/>
      <c r="G33" s="808"/>
      <c r="H33" s="809"/>
      <c r="I33" s="810"/>
      <c r="J33" s="811"/>
      <c r="K33" s="812"/>
    </row>
    <row r="34" spans="1:11" ht="15.75">
      <c r="A34" s="802"/>
      <c r="B34" s="804" t="s">
        <v>3871</v>
      </c>
      <c r="C34" s="803"/>
      <c r="D34" s="803"/>
      <c r="E34" s="803"/>
      <c r="F34" s="803"/>
      <c r="G34" s="803"/>
      <c r="H34" s="803"/>
      <c r="I34" s="803"/>
      <c r="J34" s="858">
        <f>SUM(J11:J33)</f>
        <v>61528.316328800014</v>
      </c>
      <c r="K34" s="802"/>
    </row>
    <row r="36" spans="1:11" ht="15.75">
      <c r="B36" s="750"/>
    </row>
    <row r="37" spans="1:11" ht="15.75">
      <c r="B37" s="751"/>
      <c r="F37" s="768"/>
      <c r="G37" s="768"/>
      <c r="H37" s="764" t="s">
        <v>3858</v>
      </c>
      <c r="I37" s="764"/>
      <c r="J37" s="764" t="s">
        <v>3870</v>
      </c>
      <c r="K37" s="764" t="s">
        <v>3869</v>
      </c>
    </row>
    <row r="38" spans="1:11" ht="15.75">
      <c r="B38" s="750"/>
      <c r="F38" s="769"/>
      <c r="G38" s="769"/>
      <c r="H38" s="765" t="s">
        <v>3859</v>
      </c>
      <c r="I38" s="765"/>
      <c r="J38" s="822">
        <f>J34</f>
        <v>61528.316328800014</v>
      </c>
      <c r="K38" s="766">
        <v>100</v>
      </c>
    </row>
    <row r="39" spans="1:11" ht="15.75">
      <c r="F39" s="769"/>
      <c r="G39" s="769"/>
      <c r="H39" s="765" t="s">
        <v>3860</v>
      </c>
      <c r="I39" s="766"/>
      <c r="J39" s="822">
        <v>60000</v>
      </c>
      <c r="K39" s="749"/>
    </row>
    <row r="40" spans="1:11" ht="15.75">
      <c r="F40" s="769"/>
      <c r="G40" s="769"/>
      <c r="H40" s="765" t="s">
        <v>3892</v>
      </c>
      <c r="I40" s="766"/>
      <c r="J40" s="822">
        <v>30000</v>
      </c>
      <c r="K40" s="766">
        <f>J40/J38*100</f>
        <v>48.758038233459153</v>
      </c>
    </row>
    <row r="41" spans="1:11" ht="15.75">
      <c r="F41" s="769"/>
      <c r="G41" s="769"/>
      <c r="H41" s="765" t="s">
        <v>3861</v>
      </c>
      <c r="I41" s="765"/>
      <c r="J41" s="822">
        <f>J38-J40</f>
        <v>31528.316328800014</v>
      </c>
      <c r="K41" s="766">
        <f>J41/J38*100</f>
        <v>51.241961766540854</v>
      </c>
    </row>
    <row r="42" spans="1:11" ht="15.75">
      <c r="F42" s="770"/>
      <c r="G42" s="770"/>
      <c r="H42" s="767" t="s">
        <v>3874</v>
      </c>
      <c r="I42" s="767"/>
      <c r="J42" s="822">
        <f>J39*3%</f>
        <v>1800</v>
      </c>
      <c r="K42" s="766">
        <v>3</v>
      </c>
    </row>
    <row r="43" spans="1:11" ht="15.75">
      <c r="F43" s="770"/>
      <c r="G43" s="770"/>
      <c r="H43" s="767" t="s">
        <v>3875</v>
      </c>
      <c r="I43" s="767"/>
      <c r="J43" s="822">
        <f>J39*2%</f>
        <v>1200</v>
      </c>
      <c r="K43" s="766">
        <v>2</v>
      </c>
    </row>
  </sheetData>
  <mergeCells count="7">
    <mergeCell ref="A8:F8"/>
    <mergeCell ref="H8:K8"/>
    <mergeCell ref="A1:K1"/>
    <mergeCell ref="A2:K2"/>
    <mergeCell ref="A3:K3"/>
    <mergeCell ref="A5:K5"/>
    <mergeCell ref="H7:K7"/>
  </mergeCells>
  <pageMargins left="0.43" right="0.43" top="0.3" bottom="1.48" header="0.3" footer="0.3"/>
  <pageSetup scale="72" fitToHeight="0" orientation="portrait" r:id="rId1"/>
  <headerFooter>
    <oddHeader>&amp;RPage &amp;P of &amp;N</oddHeader>
    <oddFooter>&amp;LPrepared By
Nitesh Basukala
Sub Engineer&amp;CChecked By
Nabin KC
Engineer&amp;RApproved By
Prakash Singh Saud
Engineer</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FACF7-729A-4E11-8298-0ADCD41257A5}">
  <sheetPr>
    <pageSetUpPr fitToPage="1"/>
  </sheetPr>
  <dimension ref="A1:N42"/>
  <sheetViews>
    <sheetView view="pageBreakPreview" topLeftCell="A2" zoomScaleNormal="100" zoomScaleSheetLayoutView="100" workbookViewId="0">
      <selection activeCell="E10" sqref="E10"/>
    </sheetView>
  </sheetViews>
  <sheetFormatPr defaultRowHeight="12.75"/>
  <cols>
    <col min="1" max="1" width="8.5703125" style="760" bestFit="1" customWidth="1"/>
    <col min="2" max="2" width="32.5703125" style="815" bestFit="1" customWidth="1"/>
    <col min="3" max="3" width="7.28515625" style="815" bestFit="1" customWidth="1"/>
    <col min="4" max="4" width="9.140625" style="815" bestFit="1" customWidth="1"/>
    <col min="5" max="5" width="10.140625" style="815" bestFit="1" customWidth="1"/>
    <col min="6" max="6" width="8.85546875" style="815" bestFit="1" customWidth="1"/>
    <col min="7" max="7" width="12.85546875" style="815" customWidth="1"/>
    <col min="8" max="8" width="7.140625" style="815" customWidth="1"/>
    <col min="9" max="9" width="13" style="815" customWidth="1"/>
    <col min="10" max="10" width="13.42578125" style="815" customWidth="1"/>
    <col min="11" max="11" width="13.7109375" style="815" customWidth="1"/>
    <col min="12" max="12" width="9.140625" style="815"/>
    <col min="13" max="13" width="19.42578125" style="815" bestFit="1" customWidth="1"/>
    <col min="14" max="14" width="11" style="815" bestFit="1" customWidth="1"/>
    <col min="15" max="16384" width="9.140625" style="815"/>
  </cols>
  <sheetData>
    <row r="1" spans="1:14" ht="15.75">
      <c r="A1" s="993" t="s">
        <v>3849</v>
      </c>
      <c r="B1" s="993"/>
      <c r="C1" s="993"/>
      <c r="D1" s="993"/>
      <c r="E1" s="993"/>
      <c r="F1" s="993"/>
      <c r="G1" s="993"/>
      <c r="H1" s="993"/>
      <c r="I1" s="993"/>
      <c r="J1" s="993"/>
      <c r="K1" s="993"/>
      <c r="L1" s="753"/>
    </row>
    <row r="2" spans="1:14" ht="18.75">
      <c r="A2" s="994" t="s">
        <v>3850</v>
      </c>
      <c r="B2" s="994"/>
      <c r="C2" s="994"/>
      <c r="D2" s="994"/>
      <c r="E2" s="994"/>
      <c r="F2" s="994"/>
      <c r="G2" s="994"/>
      <c r="H2" s="994"/>
      <c r="I2" s="994"/>
      <c r="J2" s="994"/>
      <c r="K2" s="994"/>
      <c r="L2" s="754"/>
    </row>
    <row r="3" spans="1:14" ht="15.75">
      <c r="A3" s="995" t="s">
        <v>3851</v>
      </c>
      <c r="B3" s="995"/>
      <c r="C3" s="995"/>
      <c r="D3" s="995"/>
      <c r="E3" s="995"/>
      <c r="F3" s="995"/>
      <c r="G3" s="995"/>
      <c r="H3" s="995"/>
      <c r="I3" s="995"/>
      <c r="J3" s="995"/>
      <c r="K3" s="995"/>
      <c r="L3" s="752"/>
      <c r="M3" s="815" t="s">
        <v>3879</v>
      </c>
      <c r="N3" s="815" t="s">
        <v>544</v>
      </c>
    </row>
    <row r="4" spans="1:14" ht="18.75">
      <c r="A4" s="817"/>
      <c r="B4" s="817"/>
      <c r="C4" s="817"/>
      <c r="D4" s="817"/>
      <c r="E4" s="817"/>
      <c r="F4" s="817"/>
      <c r="G4" s="817"/>
      <c r="H4" s="817"/>
      <c r="I4" s="817"/>
      <c r="J4" s="817"/>
      <c r="K4" s="817"/>
      <c r="L4" s="815" t="s">
        <v>3877</v>
      </c>
      <c r="M4" s="815">
        <v>20</v>
      </c>
      <c r="N4" s="815">
        <v>7.5</v>
      </c>
    </row>
    <row r="5" spans="1:14" ht="18.75">
      <c r="A5" s="996" t="s">
        <v>3880</v>
      </c>
      <c r="B5" s="996"/>
      <c r="C5" s="996"/>
      <c r="D5" s="996"/>
      <c r="E5" s="996"/>
      <c r="F5" s="996"/>
      <c r="G5" s="996"/>
      <c r="H5" s="996"/>
      <c r="I5" s="996"/>
      <c r="J5" s="996"/>
      <c r="K5" s="996"/>
      <c r="L5" s="815" t="s">
        <v>3878</v>
      </c>
      <c r="M5" s="815">
        <v>13.5</v>
      </c>
      <c r="N5" s="815">
        <v>4.0999999999999996</v>
      </c>
    </row>
    <row r="6" spans="1:14" ht="18.75">
      <c r="A6" s="817"/>
      <c r="B6" s="817"/>
      <c r="C6" s="817"/>
      <c r="D6" s="817"/>
      <c r="E6" s="817"/>
      <c r="F6" s="817"/>
      <c r="G6" s="817"/>
      <c r="H6" s="817"/>
      <c r="I6" s="817"/>
      <c r="J6" s="817"/>
      <c r="K6" s="817"/>
      <c r="L6" s="817"/>
    </row>
    <row r="7" spans="1:14" ht="19.5">
      <c r="A7" s="762" t="s">
        <v>3868</v>
      </c>
      <c r="B7" s="763" t="s">
        <v>3906</v>
      </c>
      <c r="C7" s="762"/>
      <c r="D7" s="762"/>
      <c r="E7" s="762"/>
      <c r="F7" s="762"/>
      <c r="G7" s="816"/>
      <c r="H7" s="997" t="s">
        <v>3876</v>
      </c>
      <c r="I7" s="998"/>
      <c r="J7" s="998"/>
      <c r="K7" s="998"/>
    </row>
    <row r="8" spans="1:14" ht="15.75">
      <c r="A8" s="991" t="s">
        <v>3863</v>
      </c>
      <c r="B8" s="991"/>
      <c r="C8" s="991"/>
      <c r="D8" s="991"/>
      <c r="E8" s="991"/>
      <c r="F8" s="991"/>
      <c r="G8" s="748"/>
      <c r="H8" s="992" t="s">
        <v>3912</v>
      </c>
      <c r="I8" s="992"/>
      <c r="J8" s="992"/>
      <c r="K8" s="992"/>
    </row>
    <row r="9" spans="1:14" ht="26.25" customHeight="1">
      <c r="A9" s="761" t="s">
        <v>440</v>
      </c>
      <c r="B9" s="756" t="s">
        <v>3852</v>
      </c>
      <c r="C9" s="757" t="s">
        <v>3853</v>
      </c>
      <c r="D9" s="758" t="s">
        <v>3854</v>
      </c>
      <c r="E9" s="758" t="s">
        <v>3855</v>
      </c>
      <c r="F9" s="758" t="s">
        <v>3856</v>
      </c>
      <c r="G9" s="758" t="s">
        <v>3826</v>
      </c>
      <c r="H9" s="755" t="s">
        <v>443</v>
      </c>
      <c r="I9" s="758" t="s">
        <v>444</v>
      </c>
      <c r="J9" s="758" t="s">
        <v>3857</v>
      </c>
      <c r="K9" s="759" t="s">
        <v>3827</v>
      </c>
    </row>
    <row r="10" spans="1:14" ht="37.5">
      <c r="A10" s="796">
        <v>1</v>
      </c>
      <c r="B10" s="797" t="s">
        <v>3865</v>
      </c>
      <c r="C10" s="798"/>
      <c r="D10" s="799"/>
      <c r="E10" s="799"/>
      <c r="F10" s="799" t="s">
        <v>1866</v>
      </c>
      <c r="G10" s="799"/>
      <c r="H10" s="800"/>
      <c r="I10" s="799"/>
      <c r="J10" s="799"/>
      <c r="K10" s="801"/>
    </row>
    <row r="11" spans="1:14" ht="15.75">
      <c r="A11" s="794"/>
      <c r="B11" s="783"/>
      <c r="C11" s="782">
        <v>1</v>
      </c>
      <c r="D11" s="781">
        <f>17/3.28</f>
        <v>5.1829268292682933</v>
      </c>
      <c r="E11" s="781">
        <f>6.25/3.28</f>
        <v>1.9054878048780488</v>
      </c>
      <c r="F11" s="781">
        <v>0.2</v>
      </c>
      <c r="G11" s="781">
        <f t="shared" ref="G11" si="0">F11*E11*D11*C11</f>
        <v>1.9752007733491972</v>
      </c>
      <c r="H11" s="780"/>
      <c r="I11" s="781"/>
      <c r="J11" s="781"/>
      <c r="K11" s="776"/>
    </row>
    <row r="12" spans="1:14" ht="15.75">
      <c r="A12" s="794"/>
      <c r="B12" s="784"/>
      <c r="C12" s="782"/>
      <c r="D12" s="781"/>
      <c r="E12" s="781"/>
      <c r="F12" s="781"/>
      <c r="G12" s="781">
        <f>SUM(G11:G11)</f>
        <v>1.9752007733491972</v>
      </c>
      <c r="H12" s="780" t="s">
        <v>1775</v>
      </c>
      <c r="I12" s="771">
        <f>'[3]Table of Content 2'!$H$19</f>
        <v>663.31</v>
      </c>
      <c r="J12" s="781">
        <f>I12*G12</f>
        <v>1310.1704249702559</v>
      </c>
      <c r="K12" s="776"/>
    </row>
    <row r="13" spans="1:14" ht="37.5">
      <c r="A13" s="794">
        <v>2</v>
      </c>
      <c r="B13" s="775" t="s">
        <v>3862</v>
      </c>
      <c r="C13" s="782"/>
      <c r="D13" s="782"/>
      <c r="E13" s="782"/>
      <c r="F13" s="781"/>
      <c r="G13" s="781"/>
      <c r="H13" s="780"/>
      <c r="I13" s="781"/>
      <c r="J13" s="781"/>
      <c r="K13" s="776"/>
    </row>
    <row r="14" spans="1:14" s="851" customFormat="1" ht="19.5">
      <c r="A14" s="794"/>
      <c r="B14" s="771"/>
      <c r="C14" s="782">
        <f>C11</f>
        <v>1</v>
      </c>
      <c r="D14" s="782">
        <f>D11</f>
        <v>5.1829268292682933</v>
      </c>
      <c r="E14" s="782">
        <f>E11</f>
        <v>1.9054878048780488</v>
      </c>
      <c r="F14" s="781">
        <v>0.15</v>
      </c>
      <c r="G14" s="781">
        <f t="shared" ref="G14" si="1">F14*E14*D14*C14</f>
        <v>1.4814005800118979</v>
      </c>
      <c r="H14" s="780"/>
      <c r="I14" s="781"/>
      <c r="J14" s="781"/>
      <c r="K14" s="776"/>
      <c r="M14" s="763"/>
    </row>
    <row r="15" spans="1:14" s="851" customFormat="1" ht="19.5">
      <c r="A15" s="794"/>
      <c r="B15" s="790"/>
      <c r="C15" s="782"/>
      <c r="D15" s="781"/>
      <c r="E15" s="781"/>
      <c r="F15" s="781"/>
      <c r="G15" s="772">
        <f>SUM(G14:G14)</f>
        <v>1.4814005800118979</v>
      </c>
      <c r="H15" s="780" t="s">
        <v>1775</v>
      </c>
      <c r="I15" s="772">
        <f>'[3]Table of Content 2'!$H$58</f>
        <v>4473.1499999999996</v>
      </c>
      <c r="J15" s="772">
        <f>I15*G15</f>
        <v>6626.527004480221</v>
      </c>
      <c r="K15" s="776"/>
      <c r="M15" s="763"/>
    </row>
    <row r="16" spans="1:14" s="851" customFormat="1" ht="15.75">
      <c r="A16" s="794"/>
      <c r="B16" s="777" t="s">
        <v>3890</v>
      </c>
      <c r="C16" s="782"/>
      <c r="D16" s="781"/>
      <c r="E16" s="781"/>
      <c r="F16" s="781"/>
      <c r="G16" s="772"/>
      <c r="H16" s="771"/>
      <c r="I16" s="772"/>
      <c r="J16" s="772">
        <f>'[3]Update Descrip'!$H$588*G15*0.13</f>
        <v>595.68524652829433</v>
      </c>
      <c r="K16" s="776"/>
    </row>
    <row r="17" spans="1:14" s="851" customFormat="1" ht="15.75">
      <c r="A17" s="794"/>
      <c r="B17" s="785"/>
      <c r="C17" s="780"/>
      <c r="D17" s="780"/>
      <c r="E17" s="780"/>
      <c r="F17" s="780"/>
      <c r="G17" s="780"/>
      <c r="H17" s="780"/>
      <c r="I17" s="780"/>
      <c r="J17" s="780"/>
      <c r="K17" s="774"/>
    </row>
    <row r="18" spans="1:14" ht="37.5">
      <c r="A18" s="794">
        <v>4</v>
      </c>
      <c r="B18" s="775" t="s">
        <v>3864</v>
      </c>
      <c r="C18" s="782"/>
      <c r="D18" s="781"/>
      <c r="E18" s="781"/>
      <c r="F18" s="781"/>
      <c r="G18" s="781"/>
      <c r="H18" s="780"/>
      <c r="I18" s="781"/>
      <c r="J18" s="781"/>
      <c r="K18" s="776"/>
      <c r="N18" s="815">
        <f>9/0.35</f>
        <v>25.714285714285715</v>
      </c>
    </row>
    <row r="19" spans="1:14" ht="15.75">
      <c r="A19" s="794"/>
      <c r="B19" s="783">
        <f>B11</f>
        <v>0</v>
      </c>
      <c r="C19" s="788">
        <v>1</v>
      </c>
      <c r="D19" s="788">
        <f>D11</f>
        <v>5.1829268292682933</v>
      </c>
      <c r="E19" s="788">
        <f>E11</f>
        <v>1.9054878048780488</v>
      </c>
      <c r="F19" s="813">
        <v>0.1</v>
      </c>
      <c r="G19" s="781">
        <f t="shared" ref="G19" si="2">F19*E19*D19*C19</f>
        <v>0.9876003866745986</v>
      </c>
      <c r="H19" s="780"/>
      <c r="I19" s="781"/>
      <c r="J19" s="781"/>
      <c r="K19" s="776"/>
    </row>
    <row r="20" spans="1:14" ht="15.75">
      <c r="A20" s="794"/>
      <c r="B20" s="783"/>
      <c r="C20" s="788"/>
      <c r="D20" s="788"/>
      <c r="E20" s="788"/>
      <c r="F20" s="813"/>
      <c r="G20" s="781"/>
      <c r="H20" s="780"/>
      <c r="I20" s="781"/>
      <c r="J20" s="781"/>
      <c r="K20" s="776"/>
    </row>
    <row r="21" spans="1:14" ht="15.75">
      <c r="A21" s="794"/>
      <c r="B21" s="784"/>
      <c r="C21" s="782"/>
      <c r="D21" s="781"/>
      <c r="E21" s="781"/>
      <c r="F21" s="781"/>
      <c r="G21" s="772">
        <f>SUM(G19:G20)</f>
        <v>0.9876003866745986</v>
      </c>
      <c r="H21" s="780" t="s">
        <v>1775</v>
      </c>
      <c r="I21" s="772">
        <f>'[3]Table of Content 2'!$H$66</f>
        <v>15498.1</v>
      </c>
      <c r="J21" s="772">
        <f>I21*G21</f>
        <v>15305.929552721596</v>
      </c>
      <c r="K21" s="776"/>
    </row>
    <row r="22" spans="1:14" ht="15.75">
      <c r="A22" s="794"/>
      <c r="B22" s="772" t="s">
        <v>3885</v>
      </c>
      <c r="C22" s="782"/>
      <c r="D22" s="781"/>
      <c r="E22" s="781"/>
      <c r="F22" s="781"/>
      <c r="G22" s="772"/>
      <c r="H22" s="771"/>
      <c r="I22" s="772"/>
      <c r="J22" s="772">
        <f>'[3]Update Descrip'!$G$660*G21*0.13</f>
        <v>498.39214009518156</v>
      </c>
      <c r="K22" s="776"/>
    </row>
    <row r="23" spans="1:14" ht="15.75">
      <c r="A23" s="794"/>
      <c r="B23" s="772" t="s">
        <v>3886</v>
      </c>
      <c r="C23" s="782"/>
      <c r="D23" s="781"/>
      <c r="E23" s="781"/>
      <c r="F23" s="781"/>
      <c r="G23" s="772"/>
      <c r="H23" s="771"/>
      <c r="I23" s="772"/>
      <c r="J23" s="772">
        <f>'[3]Update Descrip'!$G$664*G21*0.13</f>
        <v>181.56124516656755</v>
      </c>
      <c r="K23" s="776"/>
    </row>
    <row r="24" spans="1:14" ht="15.75">
      <c r="A24" s="794"/>
      <c r="B24" s="772" t="s">
        <v>3887</v>
      </c>
      <c r="C24" s="782"/>
      <c r="D24" s="781"/>
      <c r="E24" s="781"/>
      <c r="F24" s="781"/>
      <c r="G24" s="772"/>
      <c r="H24" s="771"/>
      <c r="I24" s="772"/>
      <c r="J24" s="772">
        <f>('[3]Update Descrip'!$G$661+'[3]Update Descrip'!$G$662+'[3]Update Descrip'!$G$663)*G21*0.13</f>
        <v>351.78710937500006</v>
      </c>
      <c r="K24" s="776"/>
    </row>
    <row r="25" spans="1:14" ht="15.75">
      <c r="A25" s="794"/>
      <c r="B25" s="814"/>
      <c r="C25" s="791"/>
      <c r="D25" s="781"/>
      <c r="E25" s="781"/>
      <c r="F25" s="781"/>
      <c r="G25" s="781"/>
      <c r="H25" s="780"/>
      <c r="I25" s="772"/>
      <c r="J25" s="771"/>
      <c r="K25" s="776"/>
    </row>
    <row r="26" spans="1:14" ht="56.25">
      <c r="A26" s="794">
        <v>6</v>
      </c>
      <c r="B26" s="775" t="s">
        <v>3867</v>
      </c>
      <c r="C26" s="834">
        <v>2</v>
      </c>
      <c r="D26" s="834">
        <f>21/3.28</f>
        <v>6.4024390243902447</v>
      </c>
      <c r="E26" s="834"/>
      <c r="F26" s="834">
        <f>8/3.28</f>
        <v>2.4390243902439024</v>
      </c>
      <c r="G26" s="834">
        <f>D26*F26</f>
        <v>15.615704937537181</v>
      </c>
      <c r="H26" s="825"/>
      <c r="I26" s="825"/>
      <c r="J26" s="825"/>
      <c r="K26" s="776"/>
      <c r="M26" s="763" t="s">
        <v>3906</v>
      </c>
    </row>
    <row r="27" spans="1:14" s="852" customFormat="1" ht="19.5">
      <c r="A27" s="794"/>
      <c r="B27" s="775"/>
      <c r="C27" s="834">
        <v>1</v>
      </c>
      <c r="D27" s="834">
        <f>21.5/3.28</f>
        <v>6.5548780487804885</v>
      </c>
      <c r="E27" s="834"/>
      <c r="F27" s="834">
        <f>7/3.28</f>
        <v>2.1341463414634148</v>
      </c>
      <c r="G27" s="834">
        <f>D27*F27</f>
        <v>13.989069006543726</v>
      </c>
      <c r="H27" s="836"/>
      <c r="I27" s="771"/>
      <c r="J27" s="772"/>
      <c r="K27" s="776"/>
      <c r="M27" s="763" t="s">
        <v>3907</v>
      </c>
    </row>
    <row r="28" spans="1:14" s="852" customFormat="1" ht="19.5">
      <c r="A28" s="794"/>
      <c r="B28" s="775"/>
      <c r="C28" s="834"/>
      <c r="D28" s="834"/>
      <c r="E28" s="834"/>
      <c r="F28" s="834"/>
      <c r="G28" s="834">
        <f>SUM(G26:G27)</f>
        <v>29.604773944080907</v>
      </c>
      <c r="H28" s="836" t="s">
        <v>1769</v>
      </c>
      <c r="I28" s="771">
        <f>'[3]Table of Content 2'!$H$100</f>
        <v>1070.9043478260869</v>
      </c>
      <c r="J28" s="772">
        <f>I28*G28</f>
        <v>31703.881133124694</v>
      </c>
      <c r="K28" s="776"/>
      <c r="M28" s="763" t="s">
        <v>3908</v>
      </c>
    </row>
    <row r="29" spans="1:14" s="852" customFormat="1" ht="19.5">
      <c r="A29" s="794"/>
      <c r="B29" s="814" t="s">
        <v>3888</v>
      </c>
      <c r="C29" s="834"/>
      <c r="D29" s="834"/>
      <c r="E29" s="834"/>
      <c r="F29" s="834"/>
      <c r="G29" s="834"/>
      <c r="H29" s="836"/>
      <c r="I29" s="772"/>
      <c r="J29" s="771">
        <f>'[3]Update Descrip'!$H$1144/10*G28*0.13</f>
        <v>3160.3409995910174</v>
      </c>
      <c r="K29" s="776"/>
      <c r="M29" s="763" t="s">
        <v>3909</v>
      </c>
    </row>
    <row r="30" spans="1:14" ht="19.5">
      <c r="A30" s="778"/>
      <c r="B30" s="792"/>
      <c r="C30" s="782"/>
      <c r="D30" s="781"/>
      <c r="E30" s="781"/>
      <c r="F30" s="781"/>
      <c r="G30" s="781"/>
      <c r="H30" s="780"/>
      <c r="I30" s="772"/>
      <c r="J30" s="793"/>
      <c r="K30" s="776"/>
      <c r="M30" s="763" t="s">
        <v>3910</v>
      </c>
    </row>
    <row r="31" spans="1:14" ht="19.5">
      <c r="A31" s="794">
        <v>7</v>
      </c>
      <c r="B31" s="795" t="s">
        <v>3873</v>
      </c>
      <c r="C31" s="782"/>
      <c r="D31" s="781"/>
      <c r="E31" s="781"/>
      <c r="F31" s="781"/>
      <c r="G31" s="781">
        <v>1</v>
      </c>
      <c r="H31" s="780" t="s">
        <v>3063</v>
      </c>
      <c r="I31" s="772">
        <v>500</v>
      </c>
      <c r="J31" s="771">
        <f>G31*I31</f>
        <v>500</v>
      </c>
      <c r="K31" s="776"/>
      <c r="M31" s="763" t="s">
        <v>3911</v>
      </c>
    </row>
    <row r="32" spans="1:14" ht="15.75">
      <c r="A32" s="794"/>
      <c r="B32" s="795"/>
      <c r="C32" s="782"/>
      <c r="D32" s="781"/>
      <c r="E32" s="781"/>
      <c r="F32" s="781"/>
      <c r="G32" s="781"/>
      <c r="H32" s="780"/>
      <c r="I32" s="772"/>
      <c r="J32" s="771"/>
      <c r="K32" s="776"/>
    </row>
    <row r="33" spans="1:11" ht="15.75">
      <c r="A33" s="802"/>
      <c r="B33" s="804" t="s">
        <v>3871</v>
      </c>
      <c r="C33" s="803"/>
      <c r="D33" s="803"/>
      <c r="E33" s="803"/>
      <c r="F33" s="803"/>
      <c r="G33" s="803"/>
      <c r="H33" s="803"/>
      <c r="I33" s="803"/>
      <c r="J33" s="821">
        <f>SUM(J10:J31)</f>
        <v>60234.274856052827</v>
      </c>
      <c r="K33" s="802"/>
    </row>
    <row r="35" spans="1:11" ht="15.75">
      <c r="B35" s="750"/>
    </row>
    <row r="36" spans="1:11" ht="15.75">
      <c r="B36" s="751"/>
      <c r="F36" s="768"/>
      <c r="G36" s="768"/>
      <c r="H36" s="764" t="s">
        <v>3858</v>
      </c>
      <c r="I36" s="764"/>
      <c r="J36" s="764" t="s">
        <v>3870</v>
      </c>
      <c r="K36" s="764" t="s">
        <v>3869</v>
      </c>
    </row>
    <row r="37" spans="1:11" ht="15.75">
      <c r="B37" s="750"/>
      <c r="F37" s="769"/>
      <c r="G37" s="769"/>
      <c r="H37" s="765" t="s">
        <v>3859</v>
      </c>
      <c r="I37" s="765"/>
      <c r="J37" s="822">
        <f>J33</f>
        <v>60234.274856052827</v>
      </c>
      <c r="K37" s="766">
        <v>100</v>
      </c>
    </row>
    <row r="38" spans="1:11" ht="15.75">
      <c r="F38" s="769"/>
      <c r="G38" s="769"/>
      <c r="H38" s="765" t="s">
        <v>3860</v>
      </c>
      <c r="I38" s="766"/>
      <c r="J38" s="822">
        <v>30000</v>
      </c>
      <c r="K38" s="749"/>
    </row>
    <row r="39" spans="1:11" ht="15.75">
      <c r="F39" s="769"/>
      <c r="G39" s="769"/>
      <c r="H39" s="765" t="s">
        <v>3892</v>
      </c>
      <c r="I39" s="766"/>
      <c r="J39" s="822">
        <v>30000</v>
      </c>
      <c r="K39" s="766">
        <f>J39/J37*100</f>
        <v>49.805530276065667</v>
      </c>
    </row>
    <row r="40" spans="1:11" ht="15.75">
      <c r="F40" s="769"/>
      <c r="G40" s="769"/>
      <c r="H40" s="765" t="s">
        <v>3861</v>
      </c>
      <c r="I40" s="765"/>
      <c r="J40" s="822">
        <f>J37-J39</f>
        <v>30234.274856052827</v>
      </c>
      <c r="K40" s="766">
        <f>J40/J37*100</f>
        <v>50.194469723934333</v>
      </c>
    </row>
    <row r="41" spans="1:11" ht="15.75">
      <c r="F41" s="770"/>
      <c r="G41" s="770"/>
      <c r="H41" s="767" t="s">
        <v>3874</v>
      </c>
      <c r="I41" s="767"/>
      <c r="J41" s="822">
        <f>J38*3%</f>
        <v>900</v>
      </c>
      <c r="K41" s="766">
        <v>3</v>
      </c>
    </row>
    <row r="42" spans="1:11" ht="15.75">
      <c r="F42" s="770"/>
      <c r="G42" s="770"/>
      <c r="H42" s="767" t="s">
        <v>3875</v>
      </c>
      <c r="I42" s="767"/>
      <c r="J42" s="822">
        <f>J38*2%</f>
        <v>600</v>
      </c>
      <c r="K42" s="766">
        <v>2</v>
      </c>
    </row>
  </sheetData>
  <mergeCells count="7">
    <mergeCell ref="A8:F8"/>
    <mergeCell ref="H8:K8"/>
    <mergeCell ref="A1:K1"/>
    <mergeCell ref="A2:K2"/>
    <mergeCell ref="A3:K3"/>
    <mergeCell ref="A5:K5"/>
    <mergeCell ref="H7:K7"/>
  </mergeCells>
  <pageMargins left="0.43" right="0.43" top="0.3" bottom="1.48" header="0.3" footer="0.3"/>
  <pageSetup scale="72" fitToHeight="0" orientation="portrait" r:id="rId1"/>
  <headerFooter>
    <oddHeader>&amp;RPage &amp;P of &amp;N</oddHeader>
    <oddFooter>&amp;LPrepared By
Nitesh Basukala
Sub Engineer&amp;CChecked By
Nabin KC
Engineer&amp;RApproved By
Prakash Singh Saud
Engineer</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447B8-57FF-4F8F-807D-317ABB247534}">
  <sheetPr>
    <pageSetUpPr fitToPage="1"/>
  </sheetPr>
  <dimension ref="A1:N36"/>
  <sheetViews>
    <sheetView view="pageBreakPreview" zoomScaleNormal="100" zoomScaleSheetLayoutView="100" workbookViewId="0">
      <selection activeCell="H9" sqref="H9"/>
    </sheetView>
  </sheetViews>
  <sheetFormatPr defaultRowHeight="12.75"/>
  <cols>
    <col min="1" max="1" width="8.5703125" style="760" bestFit="1" customWidth="1"/>
    <col min="2" max="2" width="32.5703125" style="852" bestFit="1" customWidth="1"/>
    <col min="3" max="3" width="7.28515625" style="852" bestFit="1" customWidth="1"/>
    <col min="4" max="4" width="9.140625" style="852" bestFit="1" customWidth="1"/>
    <col min="5" max="5" width="10.140625" style="852" bestFit="1" customWidth="1"/>
    <col min="6" max="6" width="8.85546875" style="852" bestFit="1" customWidth="1"/>
    <col min="7" max="7" width="12.85546875" style="852" customWidth="1"/>
    <col min="8" max="8" width="7.140625" style="852" customWidth="1"/>
    <col min="9" max="9" width="13" style="852" customWidth="1"/>
    <col min="10" max="10" width="13.42578125" style="852" customWidth="1"/>
    <col min="11" max="11" width="13.7109375" style="852" customWidth="1"/>
    <col min="12" max="12" width="9.140625" style="852"/>
    <col min="13" max="13" width="19.42578125" style="852" bestFit="1" customWidth="1"/>
    <col min="14" max="14" width="11" style="852" bestFit="1" customWidth="1"/>
    <col min="15" max="16384" width="9.140625" style="852"/>
  </cols>
  <sheetData>
    <row r="1" spans="1:14" ht="15.75">
      <c r="A1" s="993" t="s">
        <v>3849</v>
      </c>
      <c r="B1" s="993"/>
      <c r="C1" s="993"/>
      <c r="D1" s="993"/>
      <c r="E1" s="993"/>
      <c r="F1" s="993"/>
      <c r="G1" s="993"/>
      <c r="H1" s="993"/>
      <c r="I1" s="993"/>
      <c r="J1" s="993"/>
      <c r="K1" s="993"/>
      <c r="L1" s="753"/>
    </row>
    <row r="2" spans="1:14" ht="18.75">
      <c r="A2" s="994" t="s">
        <v>3850</v>
      </c>
      <c r="B2" s="994"/>
      <c r="C2" s="994"/>
      <c r="D2" s="994"/>
      <c r="E2" s="994"/>
      <c r="F2" s="994"/>
      <c r="G2" s="994"/>
      <c r="H2" s="994"/>
      <c r="I2" s="994"/>
      <c r="J2" s="994"/>
      <c r="K2" s="994"/>
      <c r="L2" s="754"/>
    </row>
    <row r="3" spans="1:14" ht="15.75">
      <c r="A3" s="995" t="s">
        <v>3851</v>
      </c>
      <c r="B3" s="995"/>
      <c r="C3" s="995"/>
      <c r="D3" s="995"/>
      <c r="E3" s="995"/>
      <c r="F3" s="995"/>
      <c r="G3" s="995"/>
      <c r="H3" s="995"/>
      <c r="I3" s="995"/>
      <c r="J3" s="995"/>
      <c r="K3" s="995"/>
      <c r="L3" s="752"/>
      <c r="M3" s="852" t="s">
        <v>3879</v>
      </c>
      <c r="N3" s="852" t="s">
        <v>544</v>
      </c>
    </row>
    <row r="4" spans="1:14" ht="18.75">
      <c r="A4" s="854"/>
      <c r="B4" s="854"/>
      <c r="C4" s="854"/>
      <c r="D4" s="854"/>
      <c r="E4" s="854"/>
      <c r="F4" s="854"/>
      <c r="G4" s="854"/>
      <c r="H4" s="854"/>
      <c r="I4" s="854"/>
      <c r="J4" s="854"/>
      <c r="K4" s="854"/>
      <c r="L4" s="852" t="s">
        <v>3877</v>
      </c>
      <c r="M4" s="852">
        <v>20</v>
      </c>
      <c r="N4" s="852">
        <v>7.5</v>
      </c>
    </row>
    <row r="5" spans="1:14" ht="18.75">
      <c r="A5" s="996" t="s">
        <v>3880</v>
      </c>
      <c r="B5" s="996"/>
      <c r="C5" s="996"/>
      <c r="D5" s="996"/>
      <c r="E5" s="996"/>
      <c r="F5" s="996"/>
      <c r="G5" s="996"/>
      <c r="H5" s="996"/>
      <c r="I5" s="996"/>
      <c r="J5" s="996"/>
      <c r="K5" s="996"/>
      <c r="L5" s="852" t="s">
        <v>3878</v>
      </c>
      <c r="M5" s="852">
        <v>13.5</v>
      </c>
      <c r="N5" s="852">
        <v>4.0999999999999996</v>
      </c>
    </row>
    <row r="6" spans="1:14" ht="18.75">
      <c r="A6" s="854"/>
      <c r="B6" s="854"/>
      <c r="C6" s="854"/>
      <c r="D6" s="854"/>
      <c r="E6" s="854"/>
      <c r="F6" s="854"/>
      <c r="G6" s="854"/>
      <c r="H6" s="854"/>
      <c r="I6" s="854"/>
      <c r="J6" s="854"/>
      <c r="K6" s="854"/>
      <c r="L6" s="854"/>
    </row>
    <row r="7" spans="1:14" ht="19.5">
      <c r="A7" s="762" t="s">
        <v>3868</v>
      </c>
      <c r="B7" s="763" t="s">
        <v>3909</v>
      </c>
      <c r="C7" s="762"/>
      <c r="D7" s="762"/>
      <c r="E7" s="762"/>
      <c r="F7" s="762"/>
      <c r="G7" s="853"/>
      <c r="H7" s="997" t="s">
        <v>3876</v>
      </c>
      <c r="I7" s="998"/>
      <c r="J7" s="998"/>
      <c r="K7" s="998"/>
    </row>
    <row r="8" spans="1:14" ht="15.75">
      <c r="A8" s="991" t="s">
        <v>3863</v>
      </c>
      <c r="B8" s="991"/>
      <c r="C8" s="991"/>
      <c r="D8" s="991"/>
      <c r="E8" s="991"/>
      <c r="F8" s="991"/>
      <c r="G8" s="748"/>
      <c r="H8" s="992" t="s">
        <v>3919</v>
      </c>
      <c r="I8" s="992"/>
      <c r="J8" s="992"/>
      <c r="K8" s="992"/>
    </row>
    <row r="9" spans="1:14" ht="26.25" customHeight="1">
      <c r="A9" s="761" t="s">
        <v>440</v>
      </c>
      <c r="B9" s="756" t="s">
        <v>3852</v>
      </c>
      <c r="C9" s="757" t="s">
        <v>3853</v>
      </c>
      <c r="D9" s="758" t="s">
        <v>3854</v>
      </c>
      <c r="E9" s="758" t="s">
        <v>3855</v>
      </c>
      <c r="F9" s="758" t="s">
        <v>3856</v>
      </c>
      <c r="G9" s="758" t="s">
        <v>3826</v>
      </c>
      <c r="H9" s="755" t="s">
        <v>443</v>
      </c>
      <c r="I9" s="758" t="s">
        <v>444</v>
      </c>
      <c r="J9" s="758" t="s">
        <v>3857</v>
      </c>
      <c r="K9" s="759" t="s">
        <v>3827</v>
      </c>
    </row>
    <row r="10" spans="1:14" ht="37.5">
      <c r="A10" s="796">
        <v>1</v>
      </c>
      <c r="B10" s="797" t="s">
        <v>3865</v>
      </c>
      <c r="C10" s="798"/>
      <c r="D10" s="799"/>
      <c r="E10" s="799"/>
      <c r="F10" s="799" t="s">
        <v>1866</v>
      </c>
      <c r="G10" s="799"/>
      <c r="H10" s="800"/>
      <c r="I10" s="799"/>
      <c r="J10" s="799"/>
      <c r="K10" s="801"/>
    </row>
    <row r="11" spans="1:14" ht="15.75">
      <c r="A11" s="794"/>
      <c r="B11" s="783"/>
      <c r="C11" s="782">
        <v>1</v>
      </c>
      <c r="D11" s="781">
        <f>20/3.28</f>
        <v>6.0975609756097562</v>
      </c>
      <c r="E11" s="781">
        <v>1</v>
      </c>
      <c r="F11" s="781">
        <v>0.6</v>
      </c>
      <c r="G11" s="781">
        <f t="shared" ref="G11" si="0">F11*E11*D11*C11</f>
        <v>3.6585365853658534</v>
      </c>
      <c r="H11" s="780"/>
      <c r="I11" s="781"/>
      <c r="J11" s="781"/>
      <c r="K11" s="776"/>
    </row>
    <row r="12" spans="1:14" ht="15.75">
      <c r="A12" s="794"/>
      <c r="B12" s="784"/>
      <c r="C12" s="782"/>
      <c r="D12" s="781"/>
      <c r="E12" s="781"/>
      <c r="F12" s="781"/>
      <c r="G12" s="781">
        <f>SUM(G11:G11)</f>
        <v>3.6585365853658534</v>
      </c>
      <c r="H12" s="780" t="s">
        <v>1775</v>
      </c>
      <c r="I12" s="771">
        <f>'[3]Table of Content 2'!$H$19</f>
        <v>663.31</v>
      </c>
      <c r="J12" s="781">
        <f>I12*G12</f>
        <v>2426.7439024390242</v>
      </c>
      <c r="K12" s="776"/>
    </row>
    <row r="13" spans="1:14" ht="37.5">
      <c r="A13" s="794">
        <v>2</v>
      </c>
      <c r="B13" s="775" t="s">
        <v>3862</v>
      </c>
      <c r="C13" s="782"/>
      <c r="D13" s="782"/>
      <c r="E13" s="782"/>
      <c r="F13" s="781"/>
      <c r="G13" s="781"/>
      <c r="H13" s="780"/>
      <c r="I13" s="781"/>
      <c r="J13" s="781"/>
      <c r="K13" s="776"/>
    </row>
    <row r="14" spans="1:14" ht="19.5">
      <c r="A14" s="794"/>
      <c r="B14" s="771"/>
      <c r="C14" s="782">
        <f>C11</f>
        <v>1</v>
      </c>
      <c r="D14" s="782">
        <f>D11</f>
        <v>6.0975609756097562</v>
      </c>
      <c r="E14" s="782">
        <v>0.75</v>
      </c>
      <c r="F14" s="781">
        <v>0.15</v>
      </c>
      <c r="G14" s="781">
        <f t="shared" ref="G14" si="1">F14*E14*D14*C14</f>
        <v>0.6859756097560975</v>
      </c>
      <c r="H14" s="780"/>
      <c r="I14" s="781"/>
      <c r="J14" s="781"/>
      <c r="K14" s="776"/>
      <c r="M14" s="763"/>
    </row>
    <row r="15" spans="1:14" ht="19.5">
      <c r="A15" s="794"/>
      <c r="B15" s="790"/>
      <c r="C15" s="782"/>
      <c r="D15" s="781"/>
      <c r="E15" s="781"/>
      <c r="F15" s="781"/>
      <c r="G15" s="772">
        <f>SUM(G14:G14)</f>
        <v>0.6859756097560975</v>
      </c>
      <c r="H15" s="780" t="s">
        <v>1775</v>
      </c>
      <c r="I15" s="772">
        <f>'[3]Table of Content 2'!$H$58</f>
        <v>4473.1499999999996</v>
      </c>
      <c r="J15" s="772">
        <f>I15*G15</f>
        <v>3068.4717987804875</v>
      </c>
      <c r="K15" s="776"/>
      <c r="M15" s="763"/>
    </row>
    <row r="16" spans="1:14" ht="15.75">
      <c r="A16" s="794"/>
      <c r="B16" s="777" t="s">
        <v>3890</v>
      </c>
      <c r="C16" s="782"/>
      <c r="D16" s="781"/>
      <c r="E16" s="781"/>
      <c r="F16" s="781"/>
      <c r="G16" s="772"/>
      <c r="H16" s="771"/>
      <c r="I16" s="772"/>
      <c r="J16" s="772">
        <f>'[3]Update Descrip'!$H$588*G15*0.13</f>
        <v>275.83730945121948</v>
      </c>
      <c r="K16" s="776"/>
    </row>
    <row r="17" spans="1:14" ht="15.75">
      <c r="A17" s="794"/>
      <c r="B17" s="785"/>
      <c r="C17" s="780"/>
      <c r="D17" s="780"/>
      <c r="E17" s="780"/>
      <c r="F17" s="780"/>
      <c r="G17" s="780"/>
      <c r="H17" s="780"/>
      <c r="I17" s="780"/>
      <c r="J17" s="780"/>
      <c r="K17" s="774"/>
    </row>
    <row r="18" spans="1:14" ht="18">
      <c r="A18" s="794">
        <v>3</v>
      </c>
      <c r="B18" s="786" t="s">
        <v>3872</v>
      </c>
      <c r="C18" s="782"/>
      <c r="D18" s="781"/>
      <c r="E18" s="781"/>
      <c r="F18" s="781"/>
      <c r="G18" s="781"/>
      <c r="H18" s="780"/>
      <c r="I18" s="781"/>
      <c r="J18" s="781"/>
      <c r="K18" s="776"/>
      <c r="N18" s="852">
        <f>9/0.35</f>
        <v>25.714285714285715</v>
      </c>
    </row>
    <row r="19" spans="1:14" ht="15.75">
      <c r="A19" s="794"/>
      <c r="B19" s="783"/>
      <c r="C19" s="788">
        <v>1</v>
      </c>
      <c r="D19" s="788">
        <f>D14</f>
        <v>6.0975609756097562</v>
      </c>
      <c r="E19" s="788">
        <f>(0.75+0.35)/2</f>
        <v>0.55000000000000004</v>
      </c>
      <c r="F19" s="813">
        <v>1.5</v>
      </c>
      <c r="G19" s="781">
        <f t="shared" ref="G19" si="2">F19*E19*D19*C19</f>
        <v>5.0304878048780495</v>
      </c>
      <c r="H19" s="780"/>
      <c r="I19" s="781"/>
      <c r="J19" s="781"/>
      <c r="K19" s="776"/>
    </row>
    <row r="20" spans="1:14" ht="15.75">
      <c r="A20" s="794"/>
      <c r="B20" s="787"/>
      <c r="C20" s="782"/>
      <c r="D20" s="781"/>
      <c r="E20" s="781"/>
      <c r="F20" s="781"/>
      <c r="G20" s="771">
        <f>SUM(G19)</f>
        <v>5.0304878048780495</v>
      </c>
      <c r="H20" s="780" t="s">
        <v>1775</v>
      </c>
      <c r="I20" s="843">
        <f>'[3]Table of Content 2'!$H$55</f>
        <v>12071.97</v>
      </c>
      <c r="J20" s="843">
        <f>G20*I20</f>
        <v>60727.897865853665</v>
      </c>
      <c r="K20" s="776"/>
    </row>
    <row r="21" spans="1:14" ht="15.75">
      <c r="A21" s="794"/>
      <c r="B21" s="772" t="s">
        <v>3885</v>
      </c>
      <c r="C21" s="782"/>
      <c r="D21" s="781"/>
      <c r="E21" s="781"/>
      <c r="F21" s="781"/>
      <c r="G21" s="771"/>
      <c r="H21" s="771"/>
      <c r="I21" s="843"/>
      <c r="J21" s="843">
        <f>'[3]Update Descrip'!$G$547*G20*0.13</f>
        <v>840.91847560975623</v>
      </c>
      <c r="K21" s="776"/>
    </row>
    <row r="22" spans="1:14" ht="15.75">
      <c r="A22" s="794"/>
      <c r="B22" s="772" t="s">
        <v>3886</v>
      </c>
      <c r="C22" s="782"/>
      <c r="D22" s="781"/>
      <c r="E22" s="781"/>
      <c r="F22" s="781"/>
      <c r="G22" s="771"/>
      <c r="H22" s="771"/>
      <c r="I22" s="843"/>
      <c r="J22" s="843">
        <f>'[3]Update Descrip'!$G$548*G20*0.13</f>
        <v>976.7662957317076</v>
      </c>
      <c r="K22" s="776"/>
    </row>
    <row r="23" spans="1:14" ht="15.75">
      <c r="A23" s="794"/>
      <c r="B23" s="772" t="s">
        <v>3884</v>
      </c>
      <c r="C23" s="782"/>
      <c r="D23" s="781"/>
      <c r="E23" s="781"/>
      <c r="F23" s="781"/>
      <c r="G23" s="771"/>
      <c r="H23" s="771"/>
      <c r="I23" s="843"/>
      <c r="J23" s="843">
        <f>'[3]Update Descrip'!$G$549*G20*0.13</f>
        <v>1685.675716463415</v>
      </c>
      <c r="K23" s="776"/>
    </row>
    <row r="24" spans="1:14" ht="15.75">
      <c r="A24" s="794"/>
      <c r="B24" s="772"/>
      <c r="C24" s="782"/>
      <c r="D24" s="781"/>
      <c r="E24" s="781"/>
      <c r="F24" s="781"/>
      <c r="G24" s="771"/>
      <c r="H24" s="771"/>
      <c r="I24" s="843"/>
      <c r="J24" s="843"/>
      <c r="K24" s="776"/>
    </row>
    <row r="25" spans="1:14" ht="19.5">
      <c r="A25" s="794">
        <v>4</v>
      </c>
      <c r="B25" s="795" t="s">
        <v>3873</v>
      </c>
      <c r="C25" s="782"/>
      <c r="D25" s="781"/>
      <c r="E25" s="781"/>
      <c r="F25" s="781"/>
      <c r="G25" s="781">
        <v>1</v>
      </c>
      <c r="H25" s="780" t="s">
        <v>3063</v>
      </c>
      <c r="I25" s="772">
        <v>500</v>
      </c>
      <c r="J25" s="771">
        <f>G25*I25</f>
        <v>500</v>
      </c>
      <c r="K25" s="776"/>
      <c r="M25" s="763"/>
    </row>
    <row r="26" spans="1:14" ht="15.75">
      <c r="A26" s="794"/>
      <c r="B26" s="795"/>
      <c r="C26" s="782"/>
      <c r="D26" s="781"/>
      <c r="E26" s="781"/>
      <c r="F26" s="781"/>
      <c r="G26" s="781"/>
      <c r="H26" s="780"/>
      <c r="I26" s="772"/>
      <c r="J26" s="771"/>
      <c r="K26" s="776"/>
    </row>
    <row r="27" spans="1:14" ht="15.75">
      <c r="A27" s="802"/>
      <c r="B27" s="804" t="s">
        <v>3871</v>
      </c>
      <c r="C27" s="803"/>
      <c r="D27" s="803"/>
      <c r="E27" s="803"/>
      <c r="F27" s="803"/>
      <c r="G27" s="803"/>
      <c r="H27" s="803"/>
      <c r="I27" s="803"/>
      <c r="J27" s="821">
        <f>SUM(J10:J25)</f>
        <v>70502.311364329275</v>
      </c>
      <c r="K27" s="802"/>
    </row>
    <row r="29" spans="1:14" ht="15.75">
      <c r="B29" s="750"/>
    </row>
    <row r="30" spans="1:14" ht="15.75">
      <c r="B30" s="751"/>
      <c r="F30" s="768"/>
      <c r="G30" s="768"/>
      <c r="H30" s="764" t="s">
        <v>3858</v>
      </c>
      <c r="I30" s="764"/>
      <c r="J30" s="764" t="s">
        <v>3870</v>
      </c>
      <c r="K30" s="764" t="s">
        <v>3869</v>
      </c>
    </row>
    <row r="31" spans="1:14" ht="15.75">
      <c r="B31" s="750"/>
      <c r="F31" s="769"/>
      <c r="G31" s="769"/>
      <c r="H31" s="765" t="s">
        <v>3859</v>
      </c>
      <c r="I31" s="765"/>
      <c r="J31" s="822">
        <f>J27</f>
        <v>70502.311364329275</v>
      </c>
      <c r="K31" s="766">
        <v>100</v>
      </c>
    </row>
    <row r="32" spans="1:14" ht="15.75">
      <c r="F32" s="769"/>
      <c r="G32" s="769"/>
      <c r="H32" s="765" t="s">
        <v>3860</v>
      </c>
      <c r="I32" s="766"/>
      <c r="J32" s="822">
        <v>30000</v>
      </c>
      <c r="K32" s="749"/>
    </row>
    <row r="33" spans="6:11" ht="15.75">
      <c r="F33" s="769"/>
      <c r="G33" s="769"/>
      <c r="H33" s="765" t="s">
        <v>3892</v>
      </c>
      <c r="I33" s="766"/>
      <c r="J33" s="822">
        <v>30000</v>
      </c>
      <c r="K33" s="766">
        <f>J33/J31*100</f>
        <v>42.551796415540686</v>
      </c>
    </row>
    <row r="34" spans="6:11" ht="15.75">
      <c r="F34" s="769"/>
      <c r="G34" s="769"/>
      <c r="H34" s="765" t="s">
        <v>3861</v>
      </c>
      <c r="I34" s="765"/>
      <c r="J34" s="822">
        <f>J31-J33</f>
        <v>40502.311364329275</v>
      </c>
      <c r="K34" s="766">
        <f>J34/J31*100</f>
        <v>57.448203584459314</v>
      </c>
    </row>
    <row r="35" spans="6:11" ht="15.75">
      <c r="F35" s="770"/>
      <c r="G35" s="770"/>
      <c r="H35" s="767" t="s">
        <v>3874</v>
      </c>
      <c r="I35" s="767"/>
      <c r="J35" s="822">
        <f>J32*3%</f>
        <v>900</v>
      </c>
      <c r="K35" s="766">
        <v>3</v>
      </c>
    </row>
    <row r="36" spans="6:11" ht="15.75">
      <c r="F36" s="770"/>
      <c r="G36" s="770"/>
      <c r="H36" s="767" t="s">
        <v>3875</v>
      </c>
      <c r="I36" s="767"/>
      <c r="J36" s="822">
        <f>J32*2%</f>
        <v>600</v>
      </c>
      <c r="K36" s="766">
        <v>2</v>
      </c>
    </row>
  </sheetData>
  <mergeCells count="7">
    <mergeCell ref="A8:F8"/>
    <mergeCell ref="H8:K8"/>
    <mergeCell ref="A1:K1"/>
    <mergeCell ref="A2:K2"/>
    <mergeCell ref="A3:K3"/>
    <mergeCell ref="A5:K5"/>
    <mergeCell ref="H7:K7"/>
  </mergeCells>
  <pageMargins left="0.43" right="0.43" top="0.3" bottom="1.48" header="0.3" footer="0.3"/>
  <pageSetup scale="72" fitToHeight="0" orientation="portrait" r:id="rId1"/>
  <headerFooter>
    <oddHeader>&amp;RPage &amp;P of &amp;N</oddHeader>
    <oddFooter>&amp;LPrepared By
Nitesh Basukala
Sub Engineer&amp;CChecked By
Nabin KC
Engineer&amp;RApproved By
Prakash Singh Saud
Engineer</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E8CA8-2DC1-47CF-ABE9-224055FEDB73}">
  <sheetPr>
    <pageSetUpPr fitToPage="1"/>
  </sheetPr>
  <dimension ref="A1:O44"/>
  <sheetViews>
    <sheetView view="pageBreakPreview" zoomScaleNormal="100" zoomScaleSheetLayoutView="100" workbookViewId="0">
      <selection activeCell="H9" sqref="H9"/>
    </sheetView>
  </sheetViews>
  <sheetFormatPr defaultRowHeight="12.75"/>
  <cols>
    <col min="1" max="1" width="8.5703125" style="760" bestFit="1" customWidth="1"/>
    <col min="2" max="2" width="32.5703125" style="855" bestFit="1" customWidth="1"/>
    <col min="3" max="3" width="7.28515625" style="855" bestFit="1" customWidth="1"/>
    <col min="4" max="4" width="9.140625" style="855" bestFit="1" customWidth="1"/>
    <col min="5" max="5" width="10.140625" style="855" bestFit="1" customWidth="1"/>
    <col min="6" max="6" width="8.85546875" style="855" bestFit="1" customWidth="1"/>
    <col min="7" max="7" width="12.85546875" style="855" customWidth="1"/>
    <col min="8" max="8" width="7.140625" style="855" customWidth="1"/>
    <col min="9" max="9" width="13" style="855" customWidth="1"/>
    <col min="10" max="10" width="13.42578125" style="855" customWidth="1"/>
    <col min="11" max="11" width="13.7109375" style="855" customWidth="1"/>
    <col min="12" max="12" width="9.140625" style="855"/>
    <col min="13" max="13" width="19.42578125" style="855" bestFit="1" customWidth="1"/>
    <col min="14" max="14" width="11" style="855" bestFit="1" customWidth="1"/>
    <col min="15" max="16384" width="9.140625" style="855"/>
  </cols>
  <sheetData>
    <row r="1" spans="1:14" ht="15.75">
      <c r="A1" s="993" t="s">
        <v>3849</v>
      </c>
      <c r="B1" s="993"/>
      <c r="C1" s="993"/>
      <c r="D1" s="993"/>
      <c r="E1" s="993"/>
      <c r="F1" s="993"/>
      <c r="G1" s="993"/>
      <c r="H1" s="993"/>
      <c r="I1" s="993"/>
      <c r="J1" s="993"/>
      <c r="K1" s="993"/>
      <c r="L1" s="753"/>
    </row>
    <row r="2" spans="1:14" ht="18.75">
      <c r="A2" s="994" t="s">
        <v>3850</v>
      </c>
      <c r="B2" s="994"/>
      <c r="C2" s="994"/>
      <c r="D2" s="994"/>
      <c r="E2" s="994"/>
      <c r="F2" s="994"/>
      <c r="G2" s="994"/>
      <c r="H2" s="994"/>
      <c r="I2" s="994"/>
      <c r="J2" s="994"/>
      <c r="K2" s="994"/>
      <c r="L2" s="754"/>
    </row>
    <row r="3" spans="1:14" ht="15.75">
      <c r="A3" s="995" t="s">
        <v>3851</v>
      </c>
      <c r="B3" s="995"/>
      <c r="C3" s="995"/>
      <c r="D3" s="995"/>
      <c r="E3" s="995"/>
      <c r="F3" s="995"/>
      <c r="G3" s="995"/>
      <c r="H3" s="995"/>
      <c r="I3" s="995"/>
      <c r="J3" s="995"/>
      <c r="K3" s="995"/>
      <c r="L3" s="752"/>
      <c r="M3" s="855" t="s">
        <v>3879</v>
      </c>
      <c r="N3" s="855" t="s">
        <v>544</v>
      </c>
    </row>
    <row r="4" spans="1:14" ht="18.75">
      <c r="A4" s="857"/>
      <c r="B4" s="857"/>
      <c r="C4" s="857"/>
      <c r="D4" s="857"/>
      <c r="E4" s="857"/>
      <c r="F4" s="857"/>
      <c r="G4" s="857"/>
      <c r="H4" s="857"/>
      <c r="I4" s="857"/>
      <c r="J4" s="857"/>
      <c r="K4" s="857"/>
      <c r="L4" s="855" t="s">
        <v>3877</v>
      </c>
      <c r="M4" s="855">
        <v>20</v>
      </c>
      <c r="N4" s="855">
        <v>7.5</v>
      </c>
    </row>
    <row r="5" spans="1:14" ht="18.75">
      <c r="A5" s="996" t="s">
        <v>3880</v>
      </c>
      <c r="B5" s="996"/>
      <c r="C5" s="996"/>
      <c r="D5" s="996"/>
      <c r="E5" s="996"/>
      <c r="F5" s="996"/>
      <c r="G5" s="996"/>
      <c r="H5" s="996"/>
      <c r="I5" s="996"/>
      <c r="J5" s="996"/>
      <c r="K5" s="996"/>
      <c r="L5" s="855" t="s">
        <v>3878</v>
      </c>
      <c r="M5" s="855">
        <v>13.5</v>
      </c>
      <c r="N5" s="855">
        <v>4.0999999999999996</v>
      </c>
    </row>
    <row r="6" spans="1:14" ht="18.75">
      <c r="A6" s="857"/>
      <c r="B6" s="857"/>
      <c r="C6" s="857"/>
      <c r="D6" s="857"/>
      <c r="E6" s="857"/>
      <c r="F6" s="857"/>
      <c r="G6" s="857"/>
      <c r="H6" s="857"/>
      <c r="I6" s="857"/>
      <c r="J6" s="857"/>
      <c r="K6" s="857"/>
      <c r="L6" s="857"/>
    </row>
    <row r="7" spans="1:14" ht="19.5">
      <c r="A7" s="762" t="s">
        <v>3868</v>
      </c>
      <c r="B7" s="763" t="s">
        <v>3907</v>
      </c>
      <c r="C7" s="762"/>
      <c r="D7" s="762"/>
      <c r="E7" s="762"/>
      <c r="F7" s="762"/>
      <c r="G7" s="856"/>
      <c r="H7" s="997" t="s">
        <v>3876</v>
      </c>
      <c r="I7" s="998"/>
      <c r="J7" s="998"/>
      <c r="K7" s="998"/>
    </row>
    <row r="8" spans="1:14" ht="15.75">
      <c r="A8" s="991" t="s">
        <v>3863</v>
      </c>
      <c r="B8" s="991"/>
      <c r="C8" s="991"/>
      <c r="D8" s="991"/>
      <c r="E8" s="991"/>
      <c r="F8" s="991"/>
      <c r="G8" s="748"/>
      <c r="H8" s="992" t="s">
        <v>3918</v>
      </c>
      <c r="I8" s="992"/>
      <c r="J8" s="992"/>
      <c r="K8" s="992"/>
    </row>
    <row r="9" spans="1:14" ht="26.25" customHeight="1">
      <c r="A9" s="761" t="s">
        <v>440</v>
      </c>
      <c r="B9" s="756" t="s">
        <v>3852</v>
      </c>
      <c r="C9" s="757" t="s">
        <v>3853</v>
      </c>
      <c r="D9" s="758" t="s">
        <v>3854</v>
      </c>
      <c r="E9" s="758" t="s">
        <v>3855</v>
      </c>
      <c r="F9" s="758" t="s">
        <v>3856</v>
      </c>
      <c r="G9" s="758" t="s">
        <v>3826</v>
      </c>
      <c r="H9" s="755" t="s">
        <v>443</v>
      </c>
      <c r="I9" s="758" t="s">
        <v>444</v>
      </c>
      <c r="J9" s="758" t="s">
        <v>3857</v>
      </c>
      <c r="K9" s="759" t="s">
        <v>3827</v>
      </c>
    </row>
    <row r="10" spans="1:14" ht="37.5">
      <c r="A10" s="796">
        <v>1</v>
      </c>
      <c r="B10" s="797" t="s">
        <v>3865</v>
      </c>
      <c r="C10" s="798"/>
      <c r="D10" s="799"/>
      <c r="E10" s="799"/>
      <c r="F10" s="799" t="s">
        <v>1866</v>
      </c>
      <c r="G10" s="799"/>
      <c r="H10" s="800"/>
      <c r="I10" s="799"/>
      <c r="J10" s="799"/>
      <c r="K10" s="801"/>
    </row>
    <row r="11" spans="1:14" ht="15.75">
      <c r="A11" s="794"/>
      <c r="B11" s="783"/>
      <c r="C11" s="782">
        <v>1</v>
      </c>
      <c r="D11" s="781">
        <v>5.7</v>
      </c>
      <c r="E11" s="781">
        <f>8.5/3.28</f>
        <v>2.5914634146341466</v>
      </c>
      <c r="F11" s="781">
        <v>0.3</v>
      </c>
      <c r="G11" s="781">
        <f t="shared" ref="G11" si="0">F11*E11*D11*C11</f>
        <v>4.4314024390243905</v>
      </c>
      <c r="H11" s="780"/>
      <c r="I11" s="781"/>
      <c r="J11" s="781"/>
      <c r="K11" s="776"/>
    </row>
    <row r="12" spans="1:14" ht="15.75">
      <c r="A12" s="794"/>
      <c r="B12" s="784"/>
      <c r="C12" s="782"/>
      <c r="D12" s="781"/>
      <c r="E12" s="781"/>
      <c r="F12" s="781"/>
      <c r="G12" s="781">
        <f>SUM(G11:G11)</f>
        <v>4.4314024390243905</v>
      </c>
      <c r="H12" s="780" t="s">
        <v>1775</v>
      </c>
      <c r="I12" s="771">
        <f>'[3]Table of Content 2'!$H$19</f>
        <v>663.31</v>
      </c>
      <c r="J12" s="781">
        <f>I12*G12</f>
        <v>2939.3935518292683</v>
      </c>
      <c r="K12" s="776"/>
    </row>
    <row r="13" spans="1:14" ht="37.5">
      <c r="A13" s="794">
        <v>2</v>
      </c>
      <c r="B13" s="775" t="s">
        <v>3862</v>
      </c>
      <c r="C13" s="782"/>
      <c r="D13" s="782"/>
      <c r="E13" s="782"/>
      <c r="F13" s="781"/>
      <c r="G13" s="781"/>
      <c r="H13" s="780"/>
      <c r="I13" s="781"/>
      <c r="J13" s="781"/>
      <c r="K13" s="776"/>
    </row>
    <row r="14" spans="1:14" ht="19.5">
      <c r="A14" s="794"/>
      <c r="B14" s="771"/>
      <c r="C14" s="782">
        <f>C11</f>
        <v>1</v>
      </c>
      <c r="D14" s="782">
        <f>D11</f>
        <v>5.7</v>
      </c>
      <c r="E14" s="782">
        <f>E11</f>
        <v>2.5914634146341466</v>
      </c>
      <c r="F14" s="781">
        <v>0.15</v>
      </c>
      <c r="G14" s="781">
        <f t="shared" ref="G14" si="1">F14*E14*D14*C14</f>
        <v>2.2157012195121952</v>
      </c>
      <c r="H14" s="780"/>
      <c r="I14" s="781"/>
      <c r="J14" s="781"/>
      <c r="K14" s="776"/>
      <c r="M14" s="763"/>
    </row>
    <row r="15" spans="1:14" ht="19.5">
      <c r="A15" s="794"/>
      <c r="B15" s="790"/>
      <c r="C15" s="782"/>
      <c r="D15" s="781"/>
      <c r="E15" s="781"/>
      <c r="F15" s="781"/>
      <c r="G15" s="772">
        <f>SUM(G14:G14)</f>
        <v>2.2157012195121952</v>
      </c>
      <c r="H15" s="780" t="s">
        <v>1775</v>
      </c>
      <c r="I15" s="772">
        <f>'[3]Table of Content 2'!$H$58</f>
        <v>4473.1499999999996</v>
      </c>
      <c r="J15" s="772">
        <f>I15*G15</f>
        <v>9911.1639100609755</v>
      </c>
      <c r="K15" s="776"/>
      <c r="M15" s="763"/>
    </row>
    <row r="16" spans="1:14" ht="15.75">
      <c r="A16" s="794"/>
      <c r="B16" s="777" t="s">
        <v>3890</v>
      </c>
      <c r="C16" s="782"/>
      <c r="D16" s="781"/>
      <c r="E16" s="781"/>
      <c r="F16" s="781"/>
      <c r="G16" s="772"/>
      <c r="H16" s="771"/>
      <c r="I16" s="772"/>
      <c r="J16" s="772">
        <f>'[3]Update Descrip'!$H$588*G15*0.13</f>
        <v>890.95450952743909</v>
      </c>
      <c r="K16" s="776"/>
    </row>
    <row r="17" spans="1:15" ht="15.75">
      <c r="A17" s="794"/>
      <c r="B17" s="785"/>
      <c r="C17" s="780"/>
      <c r="D17" s="780"/>
      <c r="E17" s="780"/>
      <c r="F17" s="780"/>
      <c r="G17" s="780"/>
      <c r="H17" s="780"/>
      <c r="I17" s="780"/>
      <c r="J17" s="780"/>
      <c r="K17" s="774"/>
      <c r="N17" s="855">
        <f>2.5*800*4*0.5</f>
        <v>4000</v>
      </c>
      <c r="O17" s="855">
        <f>N17*65</f>
        <v>260000</v>
      </c>
    </row>
    <row r="18" spans="1:15" ht="37.5">
      <c r="A18" s="794">
        <v>3</v>
      </c>
      <c r="B18" s="775" t="s">
        <v>3864</v>
      </c>
      <c r="C18" s="782"/>
      <c r="D18" s="781"/>
      <c r="E18" s="781"/>
      <c r="F18" s="781"/>
      <c r="G18" s="781"/>
      <c r="H18" s="780"/>
      <c r="I18" s="781"/>
      <c r="J18" s="781"/>
      <c r="K18" s="774"/>
    </row>
    <row r="19" spans="1:15" ht="15.75">
      <c r="A19" s="794"/>
      <c r="B19" s="783">
        <f>B11</f>
        <v>0</v>
      </c>
      <c r="C19" s="788">
        <v>1</v>
      </c>
      <c r="D19" s="788">
        <f>D11</f>
        <v>5.7</v>
      </c>
      <c r="E19" s="788">
        <f>E11</f>
        <v>2.5914634146341466</v>
      </c>
      <c r="F19" s="813">
        <v>7.4999999999999997E-2</v>
      </c>
      <c r="G19" s="781">
        <f t="shared" ref="G19" si="2">F19*E19*D19*C19</f>
        <v>1.1078506097560976</v>
      </c>
      <c r="H19" s="780"/>
      <c r="I19" s="781"/>
      <c r="J19" s="781"/>
      <c r="K19" s="774"/>
    </row>
    <row r="20" spans="1:15" ht="15.75">
      <c r="A20" s="794"/>
      <c r="B20" s="783"/>
      <c r="C20" s="788"/>
      <c r="D20" s="788"/>
      <c r="E20" s="788"/>
      <c r="F20" s="813"/>
      <c r="G20" s="781"/>
      <c r="H20" s="780"/>
      <c r="I20" s="781"/>
      <c r="J20" s="781"/>
      <c r="K20" s="774"/>
    </row>
    <row r="21" spans="1:15" ht="15.75">
      <c r="A21" s="794"/>
      <c r="B21" s="784"/>
      <c r="C21" s="782"/>
      <c r="D21" s="781"/>
      <c r="E21" s="781"/>
      <c r="F21" s="781"/>
      <c r="G21" s="772">
        <f>SUM(G19:G20)</f>
        <v>1.1078506097560976</v>
      </c>
      <c r="H21" s="780" t="s">
        <v>1775</v>
      </c>
      <c r="I21" s="772">
        <f>'[3]Table of Content 2'!$H$66</f>
        <v>15498.1</v>
      </c>
      <c r="J21" s="772">
        <f>I21*G21</f>
        <v>17169.579535060977</v>
      </c>
      <c r="K21" s="774"/>
    </row>
    <row r="22" spans="1:15" ht="15.75">
      <c r="A22" s="794"/>
      <c r="B22" s="772" t="s">
        <v>3885</v>
      </c>
      <c r="C22" s="782"/>
      <c r="D22" s="781"/>
      <c r="E22" s="781"/>
      <c r="F22" s="781"/>
      <c r="G22" s="772"/>
      <c r="H22" s="771"/>
      <c r="I22" s="772"/>
      <c r="J22" s="772">
        <f>'[3]Update Descrip'!$G$660*G21*0.13</f>
        <v>559.07636707317079</v>
      </c>
      <c r="K22" s="774"/>
    </row>
    <row r="23" spans="1:15" ht="15.75">
      <c r="A23" s="794"/>
      <c r="B23" s="772" t="s">
        <v>3886</v>
      </c>
      <c r="C23" s="782"/>
      <c r="D23" s="781"/>
      <c r="E23" s="781"/>
      <c r="F23" s="781"/>
      <c r="G23" s="772"/>
      <c r="H23" s="771"/>
      <c r="I23" s="772"/>
      <c r="J23" s="772">
        <f>'[3]Update Descrip'!$G$664*G21*0.13</f>
        <v>203.66814237804883</v>
      </c>
      <c r="K23" s="774"/>
    </row>
    <row r="24" spans="1:15" ht="15.75">
      <c r="A24" s="794"/>
      <c r="B24" s="772" t="s">
        <v>3887</v>
      </c>
      <c r="C24" s="782"/>
      <c r="D24" s="781"/>
      <c r="E24" s="781"/>
      <c r="F24" s="781"/>
      <c r="G24" s="772"/>
      <c r="H24" s="771"/>
      <c r="I24" s="772"/>
      <c r="J24" s="772">
        <f>('[3]Update Descrip'!$G$661+'[3]Update Descrip'!$G$662+'[3]Update Descrip'!$G$663)*G21*0.13</f>
        <v>394.62070781250009</v>
      </c>
      <c r="K24" s="774"/>
    </row>
    <row r="25" spans="1:15" ht="15.75">
      <c r="A25" s="794"/>
      <c r="B25" s="785"/>
      <c r="C25" s="780"/>
      <c r="D25" s="780"/>
      <c r="E25" s="780"/>
      <c r="F25" s="780"/>
      <c r="G25" s="780"/>
      <c r="H25" s="780"/>
      <c r="I25" s="780"/>
      <c r="J25" s="780"/>
      <c r="K25" s="774"/>
    </row>
    <row r="26" spans="1:15" ht="15.75">
      <c r="A26" s="794"/>
      <c r="B26" s="785"/>
      <c r="C26" s="780"/>
      <c r="D26" s="780"/>
      <c r="E26" s="780"/>
      <c r="F26" s="780"/>
      <c r="G26" s="780"/>
      <c r="H26" s="780"/>
      <c r="I26" s="780"/>
      <c r="J26" s="780"/>
      <c r="K26" s="774"/>
    </row>
    <row r="27" spans="1:15" ht="15.75">
      <c r="A27" s="794">
        <v>4</v>
      </c>
      <c r="B27" s="859" t="s">
        <v>3916</v>
      </c>
      <c r="C27" s="780">
        <v>1</v>
      </c>
      <c r="D27" s="780"/>
      <c r="E27" s="780"/>
      <c r="F27" s="780"/>
      <c r="G27" s="780">
        <v>1000</v>
      </c>
      <c r="H27" s="780" t="s">
        <v>572</v>
      </c>
      <c r="I27" s="780">
        <v>10</v>
      </c>
      <c r="J27" s="780">
        <f>G27*I27</f>
        <v>10000</v>
      </c>
      <c r="K27" s="774"/>
      <c r="L27" s="855" t="s">
        <v>3915</v>
      </c>
    </row>
    <row r="28" spans="1:15" ht="15.75">
      <c r="A28" s="794"/>
      <c r="B28" s="772" t="s">
        <v>3888</v>
      </c>
      <c r="C28" s="780"/>
      <c r="D28" s="780"/>
      <c r="E28" s="780"/>
      <c r="F28" s="780"/>
      <c r="G28" s="780"/>
      <c r="H28" s="780"/>
      <c r="I28" s="780"/>
      <c r="J28" s="780">
        <f>0.13*J27</f>
        <v>1300</v>
      </c>
      <c r="K28" s="774"/>
    </row>
    <row r="29" spans="1:15" ht="15.75">
      <c r="A29" s="794"/>
      <c r="B29" s="785"/>
      <c r="C29" s="780"/>
      <c r="D29" s="780"/>
      <c r="E29" s="780"/>
      <c r="F29" s="780"/>
      <c r="G29" s="780"/>
      <c r="H29" s="780"/>
      <c r="I29" s="780"/>
      <c r="J29" s="780"/>
      <c r="K29" s="774"/>
    </row>
    <row r="30" spans="1:15" ht="31.5">
      <c r="A30" s="794">
        <v>5</v>
      </c>
      <c r="B30" s="860" t="s">
        <v>3866</v>
      </c>
      <c r="C30" s="780">
        <v>8</v>
      </c>
      <c r="D30" s="780">
        <f>6/3.28</f>
        <v>1.8292682926829269</v>
      </c>
      <c r="E30" s="780">
        <v>5.71</v>
      </c>
      <c r="F30" s="780"/>
      <c r="G30" s="780">
        <f>C30*D30*E30</f>
        <v>83.560975609756099</v>
      </c>
      <c r="H30" s="780" t="s">
        <v>2960</v>
      </c>
      <c r="I30" s="844">
        <f>'[3]Table of Content 2'!$H$343</f>
        <v>181.17</v>
      </c>
      <c r="J30" s="843">
        <f>I30*G30</f>
        <v>15138.741951219512</v>
      </c>
      <c r="K30" s="774"/>
      <c r="L30" s="280" t="s">
        <v>3917</v>
      </c>
    </row>
    <row r="31" spans="1:15" ht="15.75">
      <c r="A31" s="794"/>
      <c r="B31" s="785"/>
      <c r="C31" s="780"/>
      <c r="D31" s="780"/>
      <c r="E31" s="780"/>
      <c r="F31" s="780"/>
      <c r="G31" s="780"/>
      <c r="H31" s="780"/>
      <c r="I31" s="844"/>
      <c r="J31" s="843">
        <f>0.13*J30</f>
        <v>1968.0364536585366</v>
      </c>
      <c r="K31" s="774"/>
    </row>
    <row r="32" spans="1:15" ht="15.75">
      <c r="A32" s="794"/>
      <c r="B32" s="772"/>
      <c r="C32" s="782"/>
      <c r="D32" s="781"/>
      <c r="E32" s="781"/>
      <c r="F32" s="781"/>
      <c r="G32" s="771"/>
      <c r="H32" s="771"/>
      <c r="I32" s="843"/>
      <c r="J32" s="843"/>
      <c r="K32" s="776"/>
    </row>
    <row r="33" spans="1:13" ht="19.5">
      <c r="A33" s="794">
        <v>6</v>
      </c>
      <c r="B33" s="795" t="s">
        <v>3873</v>
      </c>
      <c r="C33" s="782"/>
      <c r="D33" s="781"/>
      <c r="E33" s="781"/>
      <c r="F33" s="781"/>
      <c r="G33" s="781">
        <v>1</v>
      </c>
      <c r="H33" s="780" t="s">
        <v>3063</v>
      </c>
      <c r="I33" s="772">
        <v>500</v>
      </c>
      <c r="J33" s="771">
        <f>G33*I33</f>
        <v>500</v>
      </c>
      <c r="K33" s="776"/>
      <c r="M33" s="763"/>
    </row>
    <row r="34" spans="1:13" ht="15.75">
      <c r="A34" s="794"/>
      <c r="B34" s="795"/>
      <c r="C34" s="782"/>
      <c r="D34" s="781"/>
      <c r="E34" s="781"/>
      <c r="F34" s="781"/>
      <c r="G34" s="781"/>
      <c r="H34" s="780"/>
      <c r="I34" s="772"/>
      <c r="J34" s="771"/>
      <c r="K34" s="776"/>
    </row>
    <row r="35" spans="1:13" ht="15.75">
      <c r="A35" s="802"/>
      <c r="B35" s="804" t="s">
        <v>3871</v>
      </c>
      <c r="C35" s="803"/>
      <c r="D35" s="803"/>
      <c r="E35" s="803"/>
      <c r="F35" s="803"/>
      <c r="G35" s="803"/>
      <c r="H35" s="803"/>
      <c r="I35" s="803"/>
      <c r="J35" s="821">
        <f>SUM(J10:J33)</f>
        <v>60975.235128620436</v>
      </c>
      <c r="K35" s="802"/>
    </row>
    <row r="37" spans="1:13" ht="15.75">
      <c r="B37" s="750"/>
    </row>
    <row r="38" spans="1:13" ht="15.75">
      <c r="B38" s="751"/>
      <c r="F38" s="768"/>
      <c r="G38" s="768"/>
      <c r="H38" s="764" t="s">
        <v>3858</v>
      </c>
      <c r="I38" s="764"/>
      <c r="J38" s="764" t="s">
        <v>3870</v>
      </c>
      <c r="K38" s="764" t="s">
        <v>3869</v>
      </c>
    </row>
    <row r="39" spans="1:13" ht="15.75">
      <c r="B39" s="750"/>
      <c r="F39" s="769"/>
      <c r="G39" s="769"/>
      <c r="H39" s="765" t="s">
        <v>3859</v>
      </c>
      <c r="I39" s="765"/>
      <c r="J39" s="822">
        <f>J35</f>
        <v>60975.235128620436</v>
      </c>
      <c r="K39" s="766">
        <v>100</v>
      </c>
    </row>
    <row r="40" spans="1:13" ht="15.75">
      <c r="F40" s="769"/>
      <c r="G40" s="769"/>
      <c r="H40" s="765" t="s">
        <v>3860</v>
      </c>
      <c r="I40" s="766"/>
      <c r="J40" s="822">
        <v>30000</v>
      </c>
      <c r="K40" s="749"/>
    </row>
    <row r="41" spans="1:13" ht="15.75">
      <c r="F41" s="769"/>
      <c r="G41" s="769"/>
      <c r="H41" s="765" t="s">
        <v>3892</v>
      </c>
      <c r="I41" s="766"/>
      <c r="J41" s="822">
        <v>30000</v>
      </c>
      <c r="K41" s="766">
        <f>J41/J39*100</f>
        <v>49.200302281275924</v>
      </c>
    </row>
    <row r="42" spans="1:13" ht="15.75">
      <c r="F42" s="769"/>
      <c r="G42" s="769"/>
      <c r="H42" s="765" t="s">
        <v>3861</v>
      </c>
      <c r="I42" s="765"/>
      <c r="J42" s="822">
        <f>J39-J41</f>
        <v>30975.235128620436</v>
      </c>
      <c r="K42" s="766">
        <f>J42/J39*100</f>
        <v>50.799697718724076</v>
      </c>
    </row>
    <row r="43" spans="1:13" ht="15.75">
      <c r="F43" s="770"/>
      <c r="G43" s="770"/>
      <c r="H43" s="767" t="s">
        <v>3874</v>
      </c>
      <c r="I43" s="767"/>
      <c r="J43" s="822">
        <f>J40*3%</f>
        <v>900</v>
      </c>
      <c r="K43" s="766">
        <v>3</v>
      </c>
    </row>
    <row r="44" spans="1:13" ht="15.75">
      <c r="F44" s="770"/>
      <c r="G44" s="770"/>
      <c r="H44" s="767" t="s">
        <v>3875</v>
      </c>
      <c r="I44" s="767"/>
      <c r="J44" s="822">
        <f>J40*2%</f>
        <v>600</v>
      </c>
      <c r="K44" s="766">
        <v>2</v>
      </c>
    </row>
  </sheetData>
  <mergeCells count="7">
    <mergeCell ref="A8:F8"/>
    <mergeCell ref="H8:K8"/>
    <mergeCell ref="A1:K1"/>
    <mergeCell ref="A2:K2"/>
    <mergeCell ref="A3:K3"/>
    <mergeCell ref="A5:K5"/>
    <mergeCell ref="H7:K7"/>
  </mergeCells>
  <pageMargins left="0.43" right="0.43" top="0.3" bottom="1.48" header="0.3" footer="0.3"/>
  <pageSetup scale="72" fitToHeight="0" orientation="portrait" r:id="rId1"/>
  <headerFooter>
    <oddHeader>&amp;RPage &amp;P of &amp;N</oddHeader>
    <oddFooter>&amp;LPrepared By
Nitesh Basukala
Sub Engineer&amp;CChecked By
Nabin KC
Engineer&amp;RApproved By
Prakash Singh Saud
Engineer</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E620-4A47-4AD2-839E-2E6C74E67062}">
  <sheetPr>
    <pageSetUpPr fitToPage="1"/>
  </sheetPr>
  <dimension ref="A1:O49"/>
  <sheetViews>
    <sheetView view="pageBreakPreview" topLeftCell="A28" zoomScaleNormal="100" zoomScaleSheetLayoutView="100" workbookViewId="0">
      <selection activeCell="I30" sqref="I30"/>
    </sheetView>
  </sheetViews>
  <sheetFormatPr defaultRowHeight="12.75"/>
  <cols>
    <col min="1" max="1" width="8.5703125" style="760" bestFit="1" customWidth="1"/>
    <col min="2" max="2" width="32.5703125" style="855" bestFit="1" customWidth="1"/>
    <col min="3" max="3" width="7.28515625" style="855" bestFit="1" customWidth="1"/>
    <col min="4" max="4" width="9.140625" style="855" bestFit="1" customWidth="1"/>
    <col min="5" max="5" width="10.140625" style="855" bestFit="1" customWidth="1"/>
    <col min="6" max="6" width="8.85546875" style="855" bestFit="1" customWidth="1"/>
    <col min="7" max="7" width="12.85546875" style="855" customWidth="1"/>
    <col min="8" max="8" width="7.140625" style="855" customWidth="1"/>
    <col min="9" max="9" width="13" style="855" customWidth="1"/>
    <col min="10" max="10" width="13.42578125" style="855" customWidth="1"/>
    <col min="11" max="11" width="13.7109375" style="855" customWidth="1"/>
    <col min="12" max="12" width="9.140625" style="855"/>
    <col min="13" max="13" width="19.42578125" style="855" bestFit="1" customWidth="1"/>
    <col min="14" max="14" width="11" style="855" bestFit="1" customWidth="1"/>
    <col min="15" max="16384" width="9.140625" style="855"/>
  </cols>
  <sheetData>
    <row r="1" spans="1:14" ht="15.75">
      <c r="A1" s="993" t="s">
        <v>3849</v>
      </c>
      <c r="B1" s="993"/>
      <c r="C1" s="993"/>
      <c r="D1" s="993"/>
      <c r="E1" s="993"/>
      <c r="F1" s="993"/>
      <c r="G1" s="993"/>
      <c r="H1" s="993"/>
      <c r="I1" s="993"/>
      <c r="J1" s="993"/>
      <c r="K1" s="993"/>
      <c r="L1" s="753"/>
    </row>
    <row r="2" spans="1:14" ht="18.75">
      <c r="A2" s="994" t="s">
        <v>3850</v>
      </c>
      <c r="B2" s="994"/>
      <c r="C2" s="994"/>
      <c r="D2" s="994"/>
      <c r="E2" s="994"/>
      <c r="F2" s="994"/>
      <c r="G2" s="994"/>
      <c r="H2" s="994"/>
      <c r="I2" s="994"/>
      <c r="J2" s="994"/>
      <c r="K2" s="994"/>
      <c r="L2" s="754"/>
    </row>
    <row r="3" spans="1:14" ht="15.75">
      <c r="A3" s="995" t="s">
        <v>3851</v>
      </c>
      <c r="B3" s="995"/>
      <c r="C3" s="995"/>
      <c r="D3" s="995"/>
      <c r="E3" s="995"/>
      <c r="F3" s="995"/>
      <c r="G3" s="995"/>
      <c r="H3" s="995"/>
      <c r="I3" s="995"/>
      <c r="J3" s="995"/>
      <c r="K3" s="995"/>
      <c r="L3" s="752"/>
      <c r="M3" s="855" t="s">
        <v>3879</v>
      </c>
      <c r="N3" s="855" t="s">
        <v>544</v>
      </c>
    </row>
    <row r="4" spans="1:14" ht="18.75">
      <c r="A4" s="857"/>
      <c r="B4" s="857"/>
      <c r="C4" s="857"/>
      <c r="D4" s="857"/>
      <c r="E4" s="857"/>
      <c r="F4" s="857"/>
      <c r="G4" s="857"/>
      <c r="H4" s="857"/>
      <c r="I4" s="857"/>
      <c r="J4" s="857"/>
      <c r="K4" s="857"/>
      <c r="L4" s="855" t="s">
        <v>3877</v>
      </c>
      <c r="M4" s="855">
        <v>20</v>
      </c>
      <c r="N4" s="855">
        <v>7.5</v>
      </c>
    </row>
    <row r="5" spans="1:14" ht="18.75">
      <c r="A5" s="996" t="s">
        <v>3880</v>
      </c>
      <c r="B5" s="996"/>
      <c r="C5" s="996"/>
      <c r="D5" s="996"/>
      <c r="E5" s="996"/>
      <c r="F5" s="996"/>
      <c r="G5" s="996"/>
      <c r="H5" s="996"/>
      <c r="I5" s="996"/>
      <c r="J5" s="996"/>
      <c r="K5" s="996"/>
      <c r="L5" s="855" t="s">
        <v>3878</v>
      </c>
      <c r="M5" s="855">
        <v>13.5</v>
      </c>
      <c r="N5" s="855">
        <v>4.0999999999999996</v>
      </c>
    </row>
    <row r="6" spans="1:14" ht="18.75">
      <c r="A6" s="857"/>
      <c r="B6" s="857"/>
      <c r="C6" s="857"/>
      <c r="D6" s="857"/>
      <c r="E6" s="857"/>
      <c r="F6" s="857"/>
      <c r="G6" s="857"/>
      <c r="H6" s="857"/>
      <c r="I6" s="857"/>
      <c r="J6" s="857"/>
      <c r="K6" s="857"/>
      <c r="L6" s="857"/>
    </row>
    <row r="7" spans="1:14" ht="19.5">
      <c r="A7" s="762" t="s">
        <v>3868</v>
      </c>
      <c r="B7" s="763" t="s">
        <v>3910</v>
      </c>
      <c r="C7" s="762"/>
      <c r="D7" s="762"/>
      <c r="E7" s="762"/>
      <c r="F7" s="762"/>
      <c r="G7" s="856"/>
      <c r="H7" s="997" t="s">
        <v>3876</v>
      </c>
      <c r="I7" s="998"/>
      <c r="J7" s="998"/>
      <c r="K7" s="998"/>
    </row>
    <row r="8" spans="1:14" ht="15.75">
      <c r="A8" s="991" t="s">
        <v>3863</v>
      </c>
      <c r="B8" s="991"/>
      <c r="C8" s="991"/>
      <c r="D8" s="991"/>
      <c r="E8" s="991"/>
      <c r="F8" s="991"/>
      <c r="G8" s="748"/>
      <c r="H8" s="992" t="s">
        <v>3921</v>
      </c>
      <c r="I8" s="992"/>
      <c r="J8" s="992"/>
      <c r="K8" s="992"/>
    </row>
    <row r="9" spans="1:14" ht="26.25" customHeight="1">
      <c r="A9" s="761" t="s">
        <v>440</v>
      </c>
      <c r="B9" s="756" t="s">
        <v>3852</v>
      </c>
      <c r="C9" s="757" t="s">
        <v>3853</v>
      </c>
      <c r="D9" s="758" t="s">
        <v>3854</v>
      </c>
      <c r="E9" s="758" t="s">
        <v>3855</v>
      </c>
      <c r="F9" s="758" t="s">
        <v>3856</v>
      </c>
      <c r="G9" s="758" t="s">
        <v>3826</v>
      </c>
      <c r="H9" s="755" t="s">
        <v>443</v>
      </c>
      <c r="I9" s="758" t="s">
        <v>444</v>
      </c>
      <c r="J9" s="758" t="s">
        <v>3857</v>
      </c>
      <c r="K9" s="759" t="s">
        <v>3827</v>
      </c>
    </row>
    <row r="10" spans="1:14" ht="37.5">
      <c r="A10" s="796">
        <v>1</v>
      </c>
      <c r="B10" s="797" t="s">
        <v>3865</v>
      </c>
      <c r="C10" s="798"/>
      <c r="D10" s="799"/>
      <c r="E10" s="799"/>
      <c r="F10" s="799" t="s">
        <v>1866</v>
      </c>
      <c r="G10" s="799"/>
      <c r="H10" s="800"/>
      <c r="I10" s="799"/>
      <c r="J10" s="799"/>
      <c r="K10" s="801"/>
    </row>
    <row r="11" spans="1:14" ht="15.75">
      <c r="A11" s="794"/>
      <c r="B11" s="783"/>
      <c r="C11" s="782">
        <v>9</v>
      </c>
      <c r="D11" s="781">
        <v>0.3</v>
      </c>
      <c r="E11" s="781">
        <v>0.3</v>
      </c>
      <c r="F11" s="781">
        <v>0.6</v>
      </c>
      <c r="G11" s="781">
        <f t="shared" ref="G11" si="0">F11*E11*D11*C11</f>
        <v>0.48599999999999999</v>
      </c>
      <c r="H11" s="780"/>
      <c r="I11" s="781"/>
      <c r="J11" s="781"/>
      <c r="K11" s="776"/>
    </row>
    <row r="12" spans="1:14" ht="15.75">
      <c r="A12" s="794"/>
      <c r="B12" s="784"/>
      <c r="C12" s="782"/>
      <c r="D12" s="781"/>
      <c r="E12" s="781"/>
      <c r="F12" s="781"/>
      <c r="G12" s="781">
        <f>SUM(G11:G11)</f>
        <v>0.48599999999999999</v>
      </c>
      <c r="H12" s="780" t="s">
        <v>1775</v>
      </c>
      <c r="I12" s="771">
        <f>'[3]Table of Content 2'!$H$19</f>
        <v>663.31</v>
      </c>
      <c r="J12" s="781">
        <f>I12*G12</f>
        <v>322.36865999999998</v>
      </c>
      <c r="K12" s="776"/>
    </row>
    <row r="13" spans="1:14" ht="37.5">
      <c r="A13" s="794">
        <v>2</v>
      </c>
      <c r="B13" s="775" t="s">
        <v>3862</v>
      </c>
      <c r="C13" s="782"/>
      <c r="D13" s="782"/>
      <c r="E13" s="782"/>
      <c r="F13" s="781"/>
      <c r="G13" s="781"/>
      <c r="H13" s="780"/>
      <c r="I13" s="781"/>
      <c r="J13" s="781"/>
      <c r="K13" s="776"/>
    </row>
    <row r="14" spans="1:14" ht="19.5">
      <c r="A14" s="794"/>
      <c r="B14" s="771"/>
      <c r="C14" s="782">
        <v>0</v>
      </c>
      <c r="D14" s="782">
        <f>D11</f>
        <v>0.3</v>
      </c>
      <c r="E14" s="782">
        <f>E11</f>
        <v>0.3</v>
      </c>
      <c r="F14" s="781">
        <v>0.15</v>
      </c>
      <c r="G14" s="781">
        <f t="shared" ref="G14" si="1">F14*E14*D14*C14</f>
        <v>0</v>
      </c>
      <c r="H14" s="780"/>
      <c r="I14" s="781"/>
      <c r="J14" s="781"/>
      <c r="K14" s="776"/>
      <c r="M14" s="763"/>
    </row>
    <row r="15" spans="1:14" ht="19.5">
      <c r="A15" s="794"/>
      <c r="B15" s="790"/>
      <c r="C15" s="782"/>
      <c r="D15" s="781"/>
      <c r="E15" s="781"/>
      <c r="F15" s="781"/>
      <c r="G15" s="772">
        <f>SUM(G14:G14)</f>
        <v>0</v>
      </c>
      <c r="H15" s="780" t="s">
        <v>1775</v>
      </c>
      <c r="I15" s="772">
        <f>'[3]Table of Content 2'!$H$58</f>
        <v>4473.1499999999996</v>
      </c>
      <c r="J15" s="772">
        <f>I15*G15</f>
        <v>0</v>
      </c>
      <c r="K15" s="776"/>
      <c r="M15" s="763"/>
    </row>
    <row r="16" spans="1:14" ht="15.75">
      <c r="A16" s="794"/>
      <c r="B16" s="777" t="s">
        <v>3890</v>
      </c>
      <c r="C16" s="782"/>
      <c r="D16" s="781"/>
      <c r="E16" s="781"/>
      <c r="F16" s="781"/>
      <c r="G16" s="772"/>
      <c r="H16" s="771"/>
      <c r="I16" s="772"/>
      <c r="J16" s="772">
        <f>'[3]Update Descrip'!$H$588*G15*0.13</f>
        <v>0</v>
      </c>
      <c r="K16" s="776"/>
    </row>
    <row r="17" spans="1:15" ht="15.75">
      <c r="A17" s="794"/>
      <c r="B17" s="785"/>
      <c r="C17" s="780"/>
      <c r="D17" s="780"/>
      <c r="E17" s="780"/>
      <c r="F17" s="780"/>
      <c r="G17" s="780"/>
      <c r="H17" s="780"/>
      <c r="I17" s="780"/>
      <c r="J17" s="780"/>
      <c r="K17" s="774"/>
      <c r="N17" s="855">
        <f>2.5*800*4*0.5</f>
        <v>4000</v>
      </c>
      <c r="O17" s="855">
        <f>N17*65</f>
        <v>260000</v>
      </c>
    </row>
    <row r="18" spans="1:15" ht="37.5">
      <c r="A18" s="794">
        <v>3</v>
      </c>
      <c r="B18" s="775" t="s">
        <v>3864</v>
      </c>
      <c r="C18" s="782"/>
      <c r="D18" s="781"/>
      <c r="E18" s="781"/>
      <c r="F18" s="781"/>
      <c r="G18" s="781"/>
      <c r="H18" s="780"/>
      <c r="I18" s="781"/>
      <c r="J18" s="781"/>
      <c r="K18" s="774"/>
    </row>
    <row r="19" spans="1:15" ht="15.75">
      <c r="A19" s="794"/>
      <c r="B19" s="783">
        <f>B11</f>
        <v>0</v>
      </c>
      <c r="C19" s="788"/>
      <c r="D19" s="788"/>
      <c r="E19" s="788"/>
      <c r="F19" s="813"/>
      <c r="G19" s="781"/>
      <c r="H19" s="780"/>
      <c r="I19" s="781"/>
      <c r="J19" s="781"/>
      <c r="K19" s="774"/>
    </row>
    <row r="20" spans="1:15" ht="15.75">
      <c r="A20" s="794"/>
      <c r="B20" s="783"/>
      <c r="C20" s="788">
        <v>9</v>
      </c>
      <c r="D20" s="788">
        <v>0.3</v>
      </c>
      <c r="E20" s="788">
        <v>0.3</v>
      </c>
      <c r="F20" s="813">
        <v>0.45</v>
      </c>
      <c r="G20" s="781">
        <f t="shared" ref="G20" si="2">F20*E20*D20*C20</f>
        <v>0.36449999999999999</v>
      </c>
      <c r="H20" s="780"/>
      <c r="I20" s="781"/>
      <c r="J20" s="781"/>
      <c r="K20" s="774"/>
    </row>
    <row r="21" spans="1:15" ht="15.75">
      <c r="A21" s="794"/>
      <c r="B21" s="784"/>
      <c r="C21" s="782"/>
      <c r="D21" s="781"/>
      <c r="E21" s="781"/>
      <c r="F21" s="781"/>
      <c r="G21" s="772">
        <f>SUM(G19:G20)</f>
        <v>0.36449999999999999</v>
      </c>
      <c r="H21" s="780" t="s">
        <v>1775</v>
      </c>
      <c r="I21" s="772">
        <f>'[3]Table of Content 2'!$H$66</f>
        <v>15498.1</v>
      </c>
      <c r="J21" s="772">
        <f>I21*G21</f>
        <v>5649.0574500000002</v>
      </c>
      <c r="K21" s="774"/>
    </row>
    <row r="22" spans="1:15" ht="15.75">
      <c r="A22" s="794"/>
      <c r="B22" s="772" t="s">
        <v>3885</v>
      </c>
      <c r="C22" s="782"/>
      <c r="D22" s="781"/>
      <c r="E22" s="781"/>
      <c r="F22" s="781"/>
      <c r="G22" s="772"/>
      <c r="H22" s="771"/>
      <c r="I22" s="772"/>
      <c r="J22" s="772">
        <f>'[3]Update Descrip'!$G$660*G21*0.13</f>
        <v>183.9447792</v>
      </c>
      <c r="K22" s="774"/>
    </row>
    <row r="23" spans="1:15" ht="15.75">
      <c r="A23" s="794"/>
      <c r="B23" s="772" t="s">
        <v>3886</v>
      </c>
      <c r="C23" s="782"/>
      <c r="D23" s="781"/>
      <c r="E23" s="781"/>
      <c r="F23" s="781"/>
      <c r="G23" s="772"/>
      <c r="H23" s="771"/>
      <c r="I23" s="772"/>
      <c r="J23" s="772">
        <f>'[3]Update Descrip'!$G$664*G21*0.13</f>
        <v>67.0099716</v>
      </c>
      <c r="K23" s="774"/>
    </row>
    <row r="24" spans="1:15" ht="15.75">
      <c r="A24" s="794"/>
      <c r="B24" s="772" t="s">
        <v>3887</v>
      </c>
      <c r="C24" s="782"/>
      <c r="D24" s="781"/>
      <c r="E24" s="781"/>
      <c r="F24" s="781"/>
      <c r="G24" s="772"/>
      <c r="H24" s="771"/>
      <c r="I24" s="772"/>
      <c r="J24" s="772">
        <f>('[3]Update Descrip'!$G$661+'[3]Update Descrip'!$G$662+'[3]Update Descrip'!$G$663)*G21*0.13</f>
        <v>129.83632155000001</v>
      </c>
      <c r="K24" s="774"/>
    </row>
    <row r="25" spans="1:15" ht="15.75">
      <c r="A25" s="794"/>
      <c r="B25" s="785"/>
      <c r="C25" s="780"/>
      <c r="D25" s="780"/>
      <c r="E25" s="780"/>
      <c r="F25" s="780"/>
      <c r="G25" s="780"/>
      <c r="H25" s="780"/>
      <c r="I25" s="780"/>
      <c r="J25" s="780"/>
      <c r="K25" s="774"/>
    </row>
    <row r="26" spans="1:15" ht="56.25">
      <c r="A26" s="794">
        <v>4</v>
      </c>
      <c r="B26" s="775" t="s">
        <v>3867</v>
      </c>
      <c r="C26" s="834">
        <v>1</v>
      </c>
      <c r="D26" s="834">
        <f>22/3.28</f>
        <v>6.7073170731707323</v>
      </c>
      <c r="E26" s="834"/>
      <c r="F26" s="834">
        <f>22/3.28</f>
        <v>6.7073170731707323</v>
      </c>
      <c r="G26" s="834">
        <f>D26*F26</f>
        <v>44.988102320047602</v>
      </c>
      <c r="H26" s="825"/>
      <c r="I26" s="825"/>
      <c r="J26" s="825"/>
      <c r="K26" s="774"/>
    </row>
    <row r="27" spans="1:15" ht="18.75">
      <c r="A27" s="794"/>
      <c r="B27" s="775"/>
      <c r="C27" s="834"/>
      <c r="D27" s="834"/>
      <c r="E27" s="834"/>
      <c r="F27" s="834"/>
      <c r="G27" s="834">
        <f>SUM(G26:G26)</f>
        <v>44.988102320047602</v>
      </c>
      <c r="H27" s="836" t="s">
        <v>1769</v>
      </c>
      <c r="I27" s="771">
        <f>'[3]Table of Content 2'!$H$100</f>
        <v>1070.9043478260869</v>
      </c>
      <c r="J27" s="772">
        <f>I27*G27</f>
        <v>48177.954374983841</v>
      </c>
      <c r="K27" s="774"/>
    </row>
    <row r="28" spans="1:15" ht="15.75">
      <c r="A28" s="794"/>
      <c r="B28" s="814" t="s">
        <v>3888</v>
      </c>
      <c r="C28" s="834"/>
      <c r="D28" s="834"/>
      <c r="E28" s="834"/>
      <c r="F28" s="834"/>
      <c r="G28" s="834"/>
      <c r="H28" s="836"/>
      <c r="I28" s="772"/>
      <c r="J28" s="771">
        <f>'[3]Update Descrip'!$H$1144/10*G27*0.13</f>
        <v>4802.5276100535411</v>
      </c>
      <c r="K28" s="774"/>
    </row>
    <row r="29" spans="1:15" ht="15.75">
      <c r="A29" s="794"/>
      <c r="B29" s="785"/>
      <c r="C29" s="780"/>
      <c r="D29" s="780"/>
      <c r="E29" s="780"/>
      <c r="F29" s="780"/>
      <c r="G29" s="780"/>
      <c r="H29" s="780"/>
      <c r="I29" s="780"/>
      <c r="J29" s="780"/>
      <c r="K29" s="774"/>
    </row>
    <row r="30" spans="1:15" ht="31.5">
      <c r="A30" s="794">
        <v>5</v>
      </c>
      <c r="B30" s="860" t="s">
        <v>3866</v>
      </c>
      <c r="C30" s="780"/>
      <c r="D30" s="780"/>
      <c r="E30" s="780"/>
      <c r="F30" s="780"/>
      <c r="G30" s="780"/>
      <c r="H30" s="780"/>
      <c r="I30" s="780"/>
      <c r="J30" s="780"/>
      <c r="K30" s="774"/>
      <c r="L30" s="280"/>
    </row>
    <row r="31" spans="1:15" ht="15.75">
      <c r="A31" s="794"/>
      <c r="B31" s="833" t="s">
        <v>3897</v>
      </c>
      <c r="C31" s="835">
        <v>6</v>
      </c>
      <c r="D31" s="831">
        <f>9/3.28</f>
        <v>2.7439024390243905</v>
      </c>
      <c r="E31" s="831"/>
      <c r="F31" s="831">
        <v>3.32</v>
      </c>
      <c r="G31" s="831">
        <f t="shared" ref="G31:G33" si="3">C31*D31*F31</f>
        <v>54.658536585365859</v>
      </c>
      <c r="H31" s="780"/>
      <c r="I31" s="844"/>
      <c r="J31" s="843"/>
      <c r="K31" s="774"/>
      <c r="L31" s="280"/>
    </row>
    <row r="32" spans="1:15" ht="15.75">
      <c r="A32" s="794"/>
      <c r="B32" s="833"/>
      <c r="C32" s="835">
        <v>3</v>
      </c>
      <c r="D32" s="831">
        <f>6/3.28</f>
        <v>1.8292682926829269</v>
      </c>
      <c r="E32" s="831"/>
      <c r="F32" s="831">
        <v>3.32</v>
      </c>
      <c r="G32" s="831">
        <f t="shared" si="3"/>
        <v>18.219512195121951</v>
      </c>
      <c r="H32" s="780"/>
      <c r="I32" s="844"/>
      <c r="J32" s="843"/>
      <c r="K32" s="774"/>
      <c r="L32" s="280"/>
    </row>
    <row r="33" spans="1:13" ht="15.75">
      <c r="A33" s="794"/>
      <c r="B33" s="833" t="s">
        <v>3898</v>
      </c>
      <c r="C33" s="834">
        <f>ROUNDUP(22/3.28,0)</f>
        <v>7</v>
      </c>
      <c r="D33" s="831">
        <f>22/3.28</f>
        <v>6.7073170731707323</v>
      </c>
      <c r="E33" s="831"/>
      <c r="F33" s="831">
        <v>3.32</v>
      </c>
      <c r="G33" s="831">
        <f t="shared" si="3"/>
        <v>155.8780487804878</v>
      </c>
      <c r="H33" s="780"/>
      <c r="I33" s="844"/>
      <c r="J33" s="843"/>
      <c r="K33" s="774"/>
      <c r="L33" s="280"/>
    </row>
    <row r="34" spans="1:13" ht="15.75">
      <c r="A34" s="794"/>
      <c r="B34" s="833" t="s">
        <v>3881</v>
      </c>
      <c r="C34" s="834">
        <f>ROUNDUP(22/3.28,0)</f>
        <v>7</v>
      </c>
      <c r="D34" s="831">
        <f>23/3.28</f>
        <v>7.01219512195122</v>
      </c>
      <c r="E34" s="831"/>
      <c r="F34" s="831">
        <v>3.32</v>
      </c>
      <c r="G34" s="831">
        <f>C34*D34*F34</f>
        <v>162.96341463414635</v>
      </c>
      <c r="H34" s="780"/>
      <c r="I34" s="844"/>
      <c r="J34" s="843"/>
      <c r="K34" s="774"/>
      <c r="L34" s="280"/>
    </row>
    <row r="35" spans="1:13" ht="15.75">
      <c r="A35" s="794"/>
      <c r="B35" s="860"/>
      <c r="C35" s="780"/>
      <c r="D35" s="780"/>
      <c r="E35" s="780"/>
      <c r="F35" s="780"/>
      <c r="G35" s="780">
        <f>SUM(G31:G34)</f>
        <v>391.71951219512198</v>
      </c>
      <c r="H35" s="780" t="s">
        <v>2960</v>
      </c>
      <c r="I35" s="844">
        <f>'[3]Table of Content 2'!$H$343</f>
        <v>181.17</v>
      </c>
      <c r="J35" s="843">
        <f>I35*G35</f>
        <v>70967.82402439024</v>
      </c>
      <c r="K35" s="774"/>
      <c r="L35" s="280"/>
    </row>
    <row r="36" spans="1:13" ht="15.75">
      <c r="A36" s="794"/>
      <c r="B36" s="814" t="s">
        <v>3888</v>
      </c>
      <c r="C36" s="780"/>
      <c r="D36" s="780"/>
      <c r="E36" s="780"/>
      <c r="F36" s="780"/>
      <c r="G36" s="780"/>
      <c r="H36" s="780"/>
      <c r="I36" s="844"/>
      <c r="J36" s="843">
        <f>0.13*J35</f>
        <v>9225.8171231707311</v>
      </c>
      <c r="K36" s="774"/>
    </row>
    <row r="37" spans="1:13" ht="15.75">
      <c r="A37" s="794"/>
      <c r="B37" s="772"/>
      <c r="C37" s="782"/>
      <c r="D37" s="781"/>
      <c r="E37" s="781"/>
      <c r="F37" s="781"/>
      <c r="G37" s="771"/>
      <c r="H37" s="771"/>
      <c r="I37" s="843"/>
      <c r="J37" s="843"/>
      <c r="K37" s="776"/>
    </row>
    <row r="38" spans="1:13" ht="19.5">
      <c r="A38" s="794">
        <v>6</v>
      </c>
      <c r="B38" s="795" t="s">
        <v>3873</v>
      </c>
      <c r="C38" s="782"/>
      <c r="D38" s="781"/>
      <c r="E38" s="781"/>
      <c r="F38" s="781"/>
      <c r="G38" s="781">
        <v>1</v>
      </c>
      <c r="H38" s="780" t="s">
        <v>3063</v>
      </c>
      <c r="I38" s="772">
        <v>500</v>
      </c>
      <c r="J38" s="771">
        <f>G38*I38</f>
        <v>500</v>
      </c>
      <c r="K38" s="776"/>
      <c r="M38" s="763"/>
    </row>
    <row r="39" spans="1:13" ht="15.75">
      <c r="A39" s="794"/>
      <c r="B39" s="795"/>
      <c r="C39" s="782"/>
      <c r="D39" s="781"/>
      <c r="E39" s="781"/>
      <c r="F39" s="781"/>
      <c r="G39" s="781"/>
      <c r="H39" s="780"/>
      <c r="I39" s="772"/>
      <c r="J39" s="771"/>
      <c r="K39" s="776"/>
    </row>
    <row r="40" spans="1:13" ht="15.75">
      <c r="A40" s="802"/>
      <c r="B40" s="804" t="s">
        <v>3871</v>
      </c>
      <c r="C40" s="803"/>
      <c r="D40" s="803"/>
      <c r="E40" s="803"/>
      <c r="F40" s="803"/>
      <c r="G40" s="803"/>
      <c r="H40" s="803"/>
      <c r="I40" s="803"/>
      <c r="J40" s="821">
        <f>SUM(J10:J38)</f>
        <v>140026.34031494835</v>
      </c>
      <c r="K40" s="802"/>
    </row>
    <row r="42" spans="1:13" ht="15.75">
      <c r="B42" s="750"/>
    </row>
    <row r="43" spans="1:13" ht="15.75">
      <c r="B43" s="751"/>
      <c r="F43" s="768"/>
      <c r="G43" s="768"/>
      <c r="H43" s="764" t="s">
        <v>3858</v>
      </c>
      <c r="I43" s="764"/>
      <c r="J43" s="764" t="s">
        <v>3870</v>
      </c>
      <c r="K43" s="764" t="s">
        <v>3869</v>
      </c>
    </row>
    <row r="44" spans="1:13" ht="15.75">
      <c r="B44" s="750"/>
      <c r="F44" s="769"/>
      <c r="G44" s="769"/>
      <c r="H44" s="765" t="s">
        <v>3859</v>
      </c>
      <c r="I44" s="765"/>
      <c r="J44" s="822">
        <f>J40</f>
        <v>140026.34031494835</v>
      </c>
      <c r="K44" s="766">
        <v>100</v>
      </c>
    </row>
    <row r="45" spans="1:13" ht="15.75">
      <c r="F45" s="769"/>
      <c r="G45" s="769"/>
      <c r="H45" s="765" t="s">
        <v>3860</v>
      </c>
      <c r="I45" s="766"/>
      <c r="J45" s="822">
        <v>30000</v>
      </c>
      <c r="K45" s="749"/>
    </row>
    <row r="46" spans="1:13" ht="15.75">
      <c r="F46" s="769"/>
      <c r="G46" s="769"/>
      <c r="H46" s="765" t="s">
        <v>3892</v>
      </c>
      <c r="I46" s="766"/>
      <c r="J46" s="822">
        <v>30000</v>
      </c>
      <c r="K46" s="766">
        <f>J46/J44*100</f>
        <v>21.424540506110322</v>
      </c>
    </row>
    <row r="47" spans="1:13" ht="15.75">
      <c r="F47" s="769"/>
      <c r="G47" s="769"/>
      <c r="H47" s="765" t="s">
        <v>3861</v>
      </c>
      <c r="I47" s="765"/>
      <c r="J47" s="822">
        <f>J44-J46</f>
        <v>110026.34031494835</v>
      </c>
      <c r="K47" s="766">
        <f>J47/J44*100</f>
        <v>78.575459493889682</v>
      </c>
    </row>
    <row r="48" spans="1:13" ht="15.75">
      <c r="F48" s="770"/>
      <c r="G48" s="770"/>
      <c r="H48" s="767" t="s">
        <v>3874</v>
      </c>
      <c r="I48" s="767"/>
      <c r="J48" s="822">
        <f>J45*3%</f>
        <v>900</v>
      </c>
      <c r="K48" s="766">
        <v>3</v>
      </c>
    </row>
    <row r="49" spans="6:11" ht="15.75">
      <c r="F49" s="770"/>
      <c r="G49" s="770"/>
      <c r="H49" s="767" t="s">
        <v>3875</v>
      </c>
      <c r="I49" s="767"/>
      <c r="J49" s="822">
        <f>J45*2%</f>
        <v>600</v>
      </c>
      <c r="K49" s="766">
        <v>2</v>
      </c>
    </row>
  </sheetData>
  <mergeCells count="7">
    <mergeCell ref="A8:F8"/>
    <mergeCell ref="H8:K8"/>
    <mergeCell ref="A1:K1"/>
    <mergeCell ref="A2:K2"/>
    <mergeCell ref="A3:K3"/>
    <mergeCell ref="A5:K5"/>
    <mergeCell ref="H7:K7"/>
  </mergeCells>
  <pageMargins left="0.43" right="0.43" top="0.3" bottom="1.48" header="0.3" footer="0.3"/>
  <pageSetup scale="72" fitToHeight="0" orientation="portrait" r:id="rId1"/>
  <headerFooter>
    <oddHeader>&amp;RPage &amp;P of &amp;N</oddHeader>
    <oddFooter>&amp;LPrepared By
Nitesh Basukala
Sub Engineer&amp;CChecked By
Nabin KC
Engineer&amp;RApproved By
Prakash Singh Saud
Engineer</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EA59D-841F-4CF3-B581-956141885F82}">
  <sheetPr>
    <pageSetUpPr fitToPage="1"/>
  </sheetPr>
  <dimension ref="A1:O56"/>
  <sheetViews>
    <sheetView view="pageBreakPreview" zoomScaleNormal="100" zoomScaleSheetLayoutView="100" workbookViewId="0">
      <selection activeCell="A5" sqref="A5:K5"/>
    </sheetView>
  </sheetViews>
  <sheetFormatPr defaultRowHeight="12.75"/>
  <cols>
    <col min="1" max="1" width="8.5703125" style="760" bestFit="1" customWidth="1"/>
    <col min="2" max="2" width="32.5703125" style="855" bestFit="1" customWidth="1"/>
    <col min="3" max="3" width="7.28515625" style="855" bestFit="1" customWidth="1"/>
    <col min="4" max="4" width="9.140625" style="855" bestFit="1" customWidth="1"/>
    <col min="5" max="5" width="10.140625" style="855" bestFit="1" customWidth="1"/>
    <col min="6" max="6" width="8.85546875" style="855" bestFit="1" customWidth="1"/>
    <col min="7" max="7" width="12.85546875" style="855" customWidth="1"/>
    <col min="8" max="8" width="7.140625" style="855" customWidth="1"/>
    <col min="9" max="9" width="13" style="855" customWidth="1"/>
    <col min="10" max="10" width="13.42578125" style="855" customWidth="1"/>
    <col min="11" max="11" width="13.7109375" style="855" customWidth="1"/>
    <col min="12" max="12" width="9.140625" style="855"/>
    <col min="13" max="13" width="19.42578125" style="855" bestFit="1" customWidth="1"/>
    <col min="14" max="14" width="11" style="855" bestFit="1" customWidth="1"/>
    <col min="15" max="16384" width="9.140625" style="855"/>
  </cols>
  <sheetData>
    <row r="1" spans="1:14" ht="15.75">
      <c r="A1" s="993" t="s">
        <v>3849</v>
      </c>
      <c r="B1" s="993"/>
      <c r="C1" s="993"/>
      <c r="D1" s="993"/>
      <c r="E1" s="993"/>
      <c r="F1" s="993"/>
      <c r="G1" s="993"/>
      <c r="H1" s="993"/>
      <c r="I1" s="993"/>
      <c r="J1" s="993"/>
      <c r="K1" s="993"/>
      <c r="L1" s="753"/>
    </row>
    <row r="2" spans="1:14" ht="18.75">
      <c r="A2" s="994" t="s">
        <v>3850</v>
      </c>
      <c r="B2" s="994"/>
      <c r="C2" s="994"/>
      <c r="D2" s="994"/>
      <c r="E2" s="994"/>
      <c r="F2" s="994"/>
      <c r="G2" s="994"/>
      <c r="H2" s="994"/>
      <c r="I2" s="994"/>
      <c r="J2" s="994"/>
      <c r="K2" s="994"/>
      <c r="L2" s="754"/>
    </row>
    <row r="3" spans="1:14" ht="15.75">
      <c r="A3" s="995" t="s">
        <v>3851</v>
      </c>
      <c r="B3" s="995"/>
      <c r="C3" s="995"/>
      <c r="D3" s="995"/>
      <c r="E3" s="995"/>
      <c r="F3" s="995"/>
      <c r="G3" s="995"/>
      <c r="H3" s="995"/>
      <c r="I3" s="995"/>
      <c r="J3" s="995"/>
      <c r="K3" s="995"/>
      <c r="L3" s="752"/>
      <c r="M3" s="855" t="s">
        <v>3879</v>
      </c>
      <c r="N3" s="855" t="s">
        <v>544</v>
      </c>
    </row>
    <row r="4" spans="1:14" ht="18.75">
      <c r="A4" s="857"/>
      <c r="B4" s="857"/>
      <c r="C4" s="857"/>
      <c r="D4" s="857"/>
      <c r="E4" s="857"/>
      <c r="F4" s="857"/>
      <c r="G4" s="857"/>
      <c r="H4" s="857"/>
      <c r="I4" s="857"/>
      <c r="J4" s="857"/>
      <c r="K4" s="857"/>
      <c r="L4" s="855" t="s">
        <v>3877</v>
      </c>
      <c r="M4" s="855">
        <v>20</v>
      </c>
      <c r="N4" s="855">
        <v>7.5</v>
      </c>
    </row>
    <row r="5" spans="1:14" ht="18.75">
      <c r="A5" s="996" t="s">
        <v>3880</v>
      </c>
      <c r="B5" s="996"/>
      <c r="C5" s="996"/>
      <c r="D5" s="996"/>
      <c r="E5" s="996"/>
      <c r="F5" s="996"/>
      <c r="G5" s="996"/>
      <c r="H5" s="996"/>
      <c r="I5" s="996"/>
      <c r="J5" s="996"/>
      <c r="K5" s="996"/>
      <c r="L5" s="855" t="s">
        <v>3878</v>
      </c>
      <c r="M5" s="855">
        <v>13.5</v>
      </c>
      <c r="N5" s="855">
        <v>4.0999999999999996</v>
      </c>
    </row>
    <row r="6" spans="1:14" ht="18.75">
      <c r="A6" s="857"/>
      <c r="B6" s="857"/>
      <c r="C6" s="857"/>
      <c r="D6" s="857"/>
      <c r="E6" s="857"/>
      <c r="F6" s="857"/>
      <c r="G6" s="857"/>
      <c r="H6" s="857"/>
      <c r="I6" s="857"/>
      <c r="J6" s="857"/>
      <c r="K6" s="857"/>
      <c r="L6" s="857"/>
    </row>
    <row r="7" spans="1:14" ht="19.5">
      <c r="A7" s="762" t="s">
        <v>3868</v>
      </c>
      <c r="B7" s="763" t="s">
        <v>3911</v>
      </c>
      <c r="C7" s="762"/>
      <c r="D7" s="762"/>
      <c r="E7" s="762"/>
      <c r="F7" s="762"/>
      <c r="G7" s="856"/>
      <c r="H7" s="997" t="s">
        <v>3876</v>
      </c>
      <c r="I7" s="998"/>
      <c r="J7" s="998"/>
      <c r="K7" s="998"/>
    </row>
    <row r="8" spans="1:14" ht="15.75">
      <c r="A8" s="991" t="s">
        <v>3863</v>
      </c>
      <c r="B8" s="991"/>
      <c r="C8" s="991"/>
      <c r="D8" s="991"/>
      <c r="E8" s="991"/>
      <c r="F8" s="991"/>
      <c r="G8" s="748"/>
      <c r="H8" s="992" t="s">
        <v>3921</v>
      </c>
      <c r="I8" s="992"/>
      <c r="J8" s="992"/>
      <c r="K8" s="992"/>
    </row>
    <row r="9" spans="1:14" ht="26.25" customHeight="1">
      <c r="A9" s="761" t="s">
        <v>440</v>
      </c>
      <c r="B9" s="756" t="s">
        <v>3852</v>
      </c>
      <c r="C9" s="757" t="s">
        <v>3853</v>
      </c>
      <c r="D9" s="758" t="s">
        <v>3854</v>
      </c>
      <c r="E9" s="758" t="s">
        <v>3855</v>
      </c>
      <c r="F9" s="758" t="s">
        <v>3856</v>
      </c>
      <c r="G9" s="758" t="s">
        <v>3826</v>
      </c>
      <c r="H9" s="755" t="s">
        <v>443</v>
      </c>
      <c r="I9" s="758" t="s">
        <v>444</v>
      </c>
      <c r="J9" s="758" t="s">
        <v>3857</v>
      </c>
      <c r="K9" s="759" t="s">
        <v>3827</v>
      </c>
    </row>
    <row r="10" spans="1:14" ht="37.5">
      <c r="A10" s="796">
        <v>1</v>
      </c>
      <c r="B10" s="797" t="s">
        <v>3865</v>
      </c>
      <c r="C10" s="798"/>
      <c r="D10" s="799"/>
      <c r="E10" s="799"/>
      <c r="F10" s="799" t="s">
        <v>1866</v>
      </c>
      <c r="G10" s="799"/>
      <c r="H10" s="800"/>
      <c r="I10" s="799"/>
      <c r="J10" s="799"/>
      <c r="K10" s="801"/>
    </row>
    <row r="11" spans="1:14" ht="15.75">
      <c r="A11" s="794"/>
      <c r="B11" s="783"/>
      <c r="C11" s="782">
        <v>1</v>
      </c>
      <c r="D11" s="781">
        <v>2</v>
      </c>
      <c r="E11" s="781">
        <v>1</v>
      </c>
      <c r="F11" s="781">
        <v>0.3</v>
      </c>
      <c r="G11" s="781">
        <f t="shared" ref="G11" si="0">F11*E11*D11*C11</f>
        <v>0.6</v>
      </c>
      <c r="H11" s="780"/>
      <c r="I11" s="781"/>
      <c r="J11" s="781"/>
      <c r="K11" s="776"/>
    </row>
    <row r="12" spans="1:14" ht="15.75">
      <c r="A12" s="794"/>
      <c r="B12" s="784"/>
      <c r="C12" s="782"/>
      <c r="D12" s="781"/>
      <c r="E12" s="781"/>
      <c r="F12" s="781"/>
      <c r="G12" s="781">
        <f>SUM(G11:G11)</f>
        <v>0.6</v>
      </c>
      <c r="H12" s="780" t="s">
        <v>1775</v>
      </c>
      <c r="I12" s="771">
        <f>'[3]Table of Content 2'!$H$19</f>
        <v>663.31</v>
      </c>
      <c r="J12" s="781">
        <f>I12*G12</f>
        <v>397.98599999999993</v>
      </c>
      <c r="K12" s="776"/>
    </row>
    <row r="13" spans="1:14" ht="37.5">
      <c r="A13" s="794">
        <v>2</v>
      </c>
      <c r="B13" s="775" t="s">
        <v>3862</v>
      </c>
      <c r="C13" s="782"/>
      <c r="D13" s="782"/>
      <c r="E13" s="782"/>
      <c r="F13" s="781"/>
      <c r="G13" s="781"/>
      <c r="H13" s="780"/>
      <c r="I13" s="781"/>
      <c r="J13" s="781"/>
      <c r="K13" s="776"/>
    </row>
    <row r="14" spans="1:14" ht="19.5">
      <c r="A14" s="794"/>
      <c r="B14" s="771"/>
      <c r="C14" s="782">
        <f>C11</f>
        <v>1</v>
      </c>
      <c r="D14" s="782">
        <f>D11</f>
        <v>2</v>
      </c>
      <c r="E14" s="782">
        <f>E11</f>
        <v>1</v>
      </c>
      <c r="F14" s="781">
        <v>0.15</v>
      </c>
      <c r="G14" s="781">
        <f t="shared" ref="G14" si="1">F14*E14*D14*C14</f>
        <v>0.3</v>
      </c>
      <c r="H14" s="780"/>
      <c r="I14" s="781"/>
      <c r="J14" s="781"/>
      <c r="K14" s="776"/>
      <c r="M14" s="763"/>
    </row>
    <row r="15" spans="1:14" ht="19.5">
      <c r="A15" s="794"/>
      <c r="B15" s="790"/>
      <c r="C15" s="782"/>
      <c r="D15" s="781"/>
      <c r="E15" s="781"/>
      <c r="F15" s="781"/>
      <c r="G15" s="772">
        <f>SUM(G14:G14)</f>
        <v>0.3</v>
      </c>
      <c r="H15" s="780" t="s">
        <v>1775</v>
      </c>
      <c r="I15" s="772">
        <f>'[3]Table of Content 2'!$H$58</f>
        <v>4473.1499999999996</v>
      </c>
      <c r="J15" s="772">
        <f>I15*G15</f>
        <v>1341.9449999999999</v>
      </c>
      <c r="K15" s="776"/>
      <c r="M15" s="763"/>
    </row>
    <row r="16" spans="1:14" ht="15.75">
      <c r="A16" s="794"/>
      <c r="B16" s="777" t="s">
        <v>3890</v>
      </c>
      <c r="C16" s="782"/>
      <c r="D16" s="781"/>
      <c r="E16" s="781"/>
      <c r="F16" s="781"/>
      <c r="G16" s="772"/>
      <c r="H16" s="771"/>
      <c r="I16" s="772"/>
      <c r="J16" s="772">
        <f>'[3]Update Descrip'!$H$588*G15*0.13</f>
        <v>120.63284999999999</v>
      </c>
      <c r="K16" s="776"/>
    </row>
    <row r="17" spans="1:15" ht="15.75">
      <c r="A17" s="794"/>
      <c r="B17" s="785"/>
      <c r="C17" s="780"/>
      <c r="D17" s="780"/>
      <c r="E17" s="780"/>
      <c r="F17" s="780"/>
      <c r="G17" s="780"/>
      <c r="H17" s="780"/>
      <c r="I17" s="780"/>
      <c r="J17" s="780"/>
      <c r="K17" s="774"/>
      <c r="N17" s="855">
        <f>2.5*800*4*0.5</f>
        <v>4000</v>
      </c>
      <c r="O17" s="855">
        <f>N17*65</f>
        <v>260000</v>
      </c>
    </row>
    <row r="18" spans="1:15" ht="18">
      <c r="A18" s="794">
        <v>3</v>
      </c>
      <c r="B18" s="786" t="s">
        <v>3872</v>
      </c>
      <c r="C18" s="782"/>
      <c r="D18" s="781"/>
      <c r="E18" s="781"/>
      <c r="F18" s="781"/>
      <c r="G18" s="781"/>
      <c r="H18" s="780"/>
      <c r="I18" s="781"/>
      <c r="J18" s="781"/>
      <c r="K18" s="774"/>
    </row>
    <row r="19" spans="1:15" ht="15.75">
      <c r="A19" s="794"/>
      <c r="B19" s="783"/>
      <c r="C19" s="788">
        <v>1</v>
      </c>
      <c r="D19" s="788">
        <f>D14</f>
        <v>2</v>
      </c>
      <c r="E19" s="788">
        <f>(0.75+0.35)/2</f>
        <v>0.55000000000000004</v>
      </c>
      <c r="F19" s="813">
        <v>2</v>
      </c>
      <c r="G19" s="781">
        <f t="shared" ref="G19" si="2">F19*E19*D19*C19</f>
        <v>2.2000000000000002</v>
      </c>
      <c r="H19" s="780"/>
      <c r="I19" s="781"/>
      <c r="J19" s="781"/>
      <c r="K19" s="774"/>
    </row>
    <row r="20" spans="1:15" ht="15.75">
      <c r="A20" s="794"/>
      <c r="B20" s="787"/>
      <c r="C20" s="782"/>
      <c r="D20" s="781"/>
      <c r="E20" s="781"/>
      <c r="F20" s="781"/>
      <c r="G20" s="771">
        <f>SUM(G19)</f>
        <v>2.2000000000000002</v>
      </c>
      <c r="H20" s="780" t="s">
        <v>1775</v>
      </c>
      <c r="I20" s="843">
        <f>'[3]Table of Content 2'!$H$55</f>
        <v>12071.97</v>
      </c>
      <c r="J20" s="843">
        <f>G20*I20</f>
        <v>26558.333999999999</v>
      </c>
      <c r="K20" s="774"/>
    </row>
    <row r="21" spans="1:15" ht="15.75">
      <c r="A21" s="794"/>
      <c r="B21" s="772" t="s">
        <v>3885</v>
      </c>
      <c r="C21" s="782"/>
      <c r="D21" s="781"/>
      <c r="E21" s="781"/>
      <c r="F21" s="781"/>
      <c r="G21" s="771"/>
      <c r="H21" s="771"/>
      <c r="I21" s="843"/>
      <c r="J21" s="843">
        <f>'[3]Update Descrip'!$G$547*G20*0.13</f>
        <v>367.76168000000007</v>
      </c>
      <c r="K21" s="774"/>
    </row>
    <row r="22" spans="1:15" ht="15.75">
      <c r="A22" s="794"/>
      <c r="B22" s="772" t="s">
        <v>3886</v>
      </c>
      <c r="C22" s="782"/>
      <c r="D22" s="781"/>
      <c r="E22" s="781"/>
      <c r="F22" s="781"/>
      <c r="G22" s="771"/>
      <c r="H22" s="771"/>
      <c r="I22" s="843"/>
      <c r="J22" s="843">
        <f>'[3]Update Descrip'!$G$548*G20*0.13</f>
        <v>427.17246000000006</v>
      </c>
      <c r="K22" s="774"/>
    </row>
    <row r="23" spans="1:15" ht="15.75">
      <c r="A23" s="794"/>
      <c r="B23" s="772" t="s">
        <v>3884</v>
      </c>
      <c r="C23" s="782"/>
      <c r="D23" s="781"/>
      <c r="E23" s="781"/>
      <c r="F23" s="781"/>
      <c r="G23" s="771"/>
      <c r="H23" s="771"/>
      <c r="I23" s="843"/>
      <c r="J23" s="843">
        <f>'[3]Update Descrip'!$G$549*G20*0.13</f>
        <v>737.20218000000011</v>
      </c>
      <c r="K23" s="774"/>
    </row>
    <row r="24" spans="1:15" ht="15.75">
      <c r="A24" s="794"/>
      <c r="B24" s="785"/>
      <c r="C24" s="780"/>
      <c r="D24" s="780"/>
      <c r="E24" s="780"/>
      <c r="F24" s="780"/>
      <c r="G24" s="780"/>
      <c r="H24" s="780"/>
      <c r="I24" s="780"/>
      <c r="J24" s="780"/>
      <c r="K24" s="774"/>
    </row>
    <row r="25" spans="1:15" ht="37.5">
      <c r="A25" s="794">
        <v>4</v>
      </c>
      <c r="B25" s="775" t="s">
        <v>3864</v>
      </c>
      <c r="C25" s="782"/>
      <c r="D25" s="781"/>
      <c r="E25" s="781"/>
      <c r="F25" s="781"/>
      <c r="G25" s="781"/>
      <c r="H25" s="780"/>
      <c r="I25" s="781"/>
      <c r="J25" s="781"/>
      <c r="K25" s="774"/>
    </row>
    <row r="26" spans="1:15" ht="15.75">
      <c r="A26" s="794"/>
      <c r="B26" s="783">
        <f>B11</f>
        <v>0</v>
      </c>
      <c r="C26" s="788">
        <v>1</v>
      </c>
      <c r="D26" s="788">
        <f>D11</f>
        <v>2</v>
      </c>
      <c r="E26" s="788">
        <f>E19</f>
        <v>0.55000000000000004</v>
      </c>
      <c r="F26" s="813">
        <v>7.4999999999999997E-2</v>
      </c>
      <c r="G26" s="781">
        <f t="shared" ref="G26:G27" si="3">F26*E26*D26*C26</f>
        <v>8.2500000000000004E-2</v>
      </c>
      <c r="H26" s="780"/>
      <c r="I26" s="781"/>
      <c r="J26" s="781"/>
      <c r="K26" s="774"/>
    </row>
    <row r="27" spans="1:15" ht="15.75">
      <c r="A27" s="794"/>
      <c r="B27" s="783"/>
      <c r="C27" s="788">
        <v>8</v>
      </c>
      <c r="D27" s="788">
        <v>0.3</v>
      </c>
      <c r="E27" s="788">
        <v>0.3</v>
      </c>
      <c r="F27" s="813">
        <v>0.45</v>
      </c>
      <c r="G27" s="781">
        <f t="shared" si="3"/>
        <v>0.32400000000000001</v>
      </c>
      <c r="H27" s="780"/>
      <c r="I27" s="781"/>
      <c r="J27" s="781"/>
      <c r="K27" s="774"/>
    </row>
    <row r="28" spans="1:15" ht="15.75">
      <c r="A28" s="794"/>
      <c r="B28" s="784"/>
      <c r="C28" s="782"/>
      <c r="D28" s="781"/>
      <c r="E28" s="781"/>
      <c r="F28" s="781"/>
      <c r="G28" s="772">
        <f>SUM(G26:G27)</f>
        <v>0.40650000000000003</v>
      </c>
      <c r="H28" s="780" t="s">
        <v>1775</v>
      </c>
      <c r="I28" s="772">
        <f>'[3]Table of Content 2'!$H$66</f>
        <v>15498.1</v>
      </c>
      <c r="J28" s="772">
        <f>I28*G28</f>
        <v>6299.9776500000007</v>
      </c>
      <c r="K28" s="774"/>
    </row>
    <row r="29" spans="1:15" ht="15.75">
      <c r="A29" s="794"/>
      <c r="B29" s="772" t="s">
        <v>3885</v>
      </c>
      <c r="C29" s="782"/>
      <c r="D29" s="781"/>
      <c r="E29" s="781"/>
      <c r="F29" s="781"/>
      <c r="G29" s="772"/>
      <c r="H29" s="771"/>
      <c r="I29" s="772"/>
      <c r="J29" s="772">
        <f>'[3]Update Descrip'!$G$660*G28*0.13</f>
        <v>205.14006240000003</v>
      </c>
      <c r="K29" s="774"/>
    </row>
    <row r="30" spans="1:15" ht="15.75">
      <c r="A30" s="794"/>
      <c r="B30" s="772" t="s">
        <v>3886</v>
      </c>
      <c r="C30" s="782"/>
      <c r="D30" s="781"/>
      <c r="E30" s="781"/>
      <c r="F30" s="781"/>
      <c r="G30" s="772"/>
      <c r="H30" s="771"/>
      <c r="I30" s="772"/>
      <c r="J30" s="772">
        <f>'[3]Update Descrip'!$G$664*G28*0.13</f>
        <v>74.731285200000016</v>
      </c>
      <c r="K30" s="774"/>
    </row>
    <row r="31" spans="1:15" ht="15.75">
      <c r="A31" s="794"/>
      <c r="B31" s="772" t="s">
        <v>3887</v>
      </c>
      <c r="C31" s="782"/>
      <c r="D31" s="781"/>
      <c r="E31" s="781"/>
      <c r="F31" s="781"/>
      <c r="G31" s="772"/>
      <c r="H31" s="771"/>
      <c r="I31" s="772"/>
      <c r="J31" s="772">
        <f>('[3]Update Descrip'!$G$661+'[3]Update Descrip'!$G$662+'[3]Update Descrip'!$G$663)*G28*0.13</f>
        <v>144.79688535000003</v>
      </c>
      <c r="K31" s="774"/>
    </row>
    <row r="32" spans="1:15" ht="15.75">
      <c r="A32" s="794"/>
      <c r="B32" s="785"/>
      <c r="C32" s="780"/>
      <c r="D32" s="780"/>
      <c r="E32" s="780"/>
      <c r="F32" s="780"/>
      <c r="G32" s="780"/>
      <c r="H32" s="780"/>
      <c r="I32" s="780"/>
      <c r="J32" s="780"/>
      <c r="K32" s="774"/>
    </row>
    <row r="33" spans="1:13" ht="15.75">
      <c r="A33" s="794"/>
      <c r="B33" s="785"/>
      <c r="C33" s="780"/>
      <c r="D33" s="780"/>
      <c r="E33" s="780"/>
      <c r="F33" s="780"/>
      <c r="G33" s="780"/>
      <c r="H33" s="780"/>
      <c r="I33" s="780"/>
      <c r="J33" s="780"/>
      <c r="K33" s="774"/>
    </row>
    <row r="34" spans="1:13" ht="56.25">
      <c r="A34" s="794">
        <v>5</v>
      </c>
      <c r="B34" s="775" t="s">
        <v>3867</v>
      </c>
      <c r="C34" s="834">
        <v>1</v>
      </c>
      <c r="D34" s="834">
        <f>12/3.28</f>
        <v>3.6585365853658538</v>
      </c>
      <c r="E34" s="834"/>
      <c r="F34" s="834">
        <f>9/3.28</f>
        <v>2.7439024390243905</v>
      </c>
      <c r="G34" s="834">
        <f>D34*F34</f>
        <v>10.038667459845332</v>
      </c>
      <c r="H34" s="825"/>
      <c r="I34" s="825"/>
      <c r="J34" s="825"/>
      <c r="K34" s="774"/>
    </row>
    <row r="35" spans="1:13" ht="18.75">
      <c r="A35" s="794"/>
      <c r="B35" s="775"/>
      <c r="C35" s="834"/>
      <c r="D35" s="834"/>
      <c r="E35" s="834"/>
      <c r="F35" s="834"/>
      <c r="G35" s="834">
        <f>SUM(G34:G34)</f>
        <v>10.038667459845332</v>
      </c>
      <c r="H35" s="836" t="s">
        <v>1769</v>
      </c>
      <c r="I35" s="771">
        <f>'[3]Table of Content 2'!$H$100</f>
        <v>1070.9043478260869</v>
      </c>
      <c r="J35" s="772">
        <f>I35*G35</f>
        <v>10750.452629128626</v>
      </c>
      <c r="K35" s="774"/>
    </row>
    <row r="36" spans="1:13" ht="15.75">
      <c r="A36" s="794"/>
      <c r="B36" s="814" t="s">
        <v>3888</v>
      </c>
      <c r="C36" s="834"/>
      <c r="D36" s="834"/>
      <c r="E36" s="834"/>
      <c r="F36" s="834"/>
      <c r="G36" s="834"/>
      <c r="H36" s="836"/>
      <c r="I36" s="772"/>
      <c r="J36" s="771">
        <f>'[3]Update Descrip'!$H$1144/10*G35*0.13</f>
        <v>1071.6383923259966</v>
      </c>
      <c r="K36" s="774"/>
    </row>
    <row r="37" spans="1:13" ht="15.75">
      <c r="A37" s="794"/>
      <c r="B37" s="785"/>
      <c r="C37" s="780"/>
      <c r="D37" s="780"/>
      <c r="E37" s="780"/>
      <c r="F37" s="780"/>
      <c r="G37" s="780"/>
      <c r="H37" s="780"/>
      <c r="I37" s="780"/>
      <c r="J37" s="780"/>
      <c r="K37" s="774"/>
    </row>
    <row r="38" spans="1:13" ht="31.5">
      <c r="A38" s="794">
        <v>6</v>
      </c>
      <c r="B38" s="860" t="s">
        <v>3866</v>
      </c>
      <c r="C38" s="780"/>
      <c r="D38" s="780"/>
      <c r="E38" s="780"/>
      <c r="F38" s="780"/>
      <c r="G38" s="780"/>
      <c r="H38" s="780"/>
      <c r="I38" s="780"/>
      <c r="J38" s="780"/>
      <c r="K38" s="774"/>
      <c r="L38" s="280"/>
    </row>
    <row r="39" spans="1:13" ht="15.75">
      <c r="A39" s="794"/>
      <c r="B39" s="833" t="s">
        <v>3897</v>
      </c>
      <c r="C39" s="835">
        <v>4</v>
      </c>
      <c r="D39" s="831">
        <f>9/3.28</f>
        <v>2.7439024390243905</v>
      </c>
      <c r="E39" s="831"/>
      <c r="F39" s="831">
        <v>3.32</v>
      </c>
      <c r="G39" s="831">
        <f t="shared" ref="G39:G40" si="4">C39*D39*F39</f>
        <v>36.439024390243901</v>
      </c>
      <c r="H39" s="780"/>
      <c r="I39" s="844"/>
      <c r="J39" s="843"/>
      <c r="K39" s="774"/>
      <c r="L39" s="280"/>
    </row>
    <row r="40" spans="1:13" ht="15.75">
      <c r="A40" s="794"/>
      <c r="B40" s="833" t="s">
        <v>3898</v>
      </c>
      <c r="C40" s="834">
        <v>3</v>
      </c>
      <c r="D40" s="831">
        <f>10/3.28</f>
        <v>3.0487804878048781</v>
      </c>
      <c r="E40" s="831"/>
      <c r="F40" s="831">
        <v>3.32</v>
      </c>
      <c r="G40" s="831">
        <f t="shared" si="4"/>
        <v>30.365853658536583</v>
      </c>
      <c r="H40" s="780"/>
      <c r="I40" s="844"/>
      <c r="J40" s="843"/>
      <c r="K40" s="774"/>
      <c r="L40" s="280"/>
    </row>
    <row r="41" spans="1:13" ht="15.75">
      <c r="A41" s="794"/>
      <c r="B41" s="833" t="s">
        <v>3881</v>
      </c>
      <c r="C41" s="834">
        <v>3</v>
      </c>
      <c r="D41" s="831">
        <f>12/3.28</f>
        <v>3.6585365853658538</v>
      </c>
      <c r="E41" s="831"/>
      <c r="F41" s="831">
        <v>3.32</v>
      </c>
      <c r="G41" s="831">
        <f>C41*D41*F41</f>
        <v>36.439024390243901</v>
      </c>
      <c r="H41" s="780"/>
      <c r="I41" s="844"/>
      <c r="J41" s="843"/>
      <c r="K41" s="774"/>
      <c r="L41" s="280"/>
    </row>
    <row r="42" spans="1:13" ht="15.75">
      <c r="A42" s="794"/>
      <c r="B42" s="860"/>
      <c r="C42" s="780"/>
      <c r="D42" s="780"/>
      <c r="E42" s="780"/>
      <c r="F42" s="780"/>
      <c r="G42" s="780">
        <f>SUM(G39:G41)</f>
        <v>103.24390243902438</v>
      </c>
      <c r="H42" s="780" t="s">
        <v>2960</v>
      </c>
      <c r="I42" s="844">
        <f>'[3]Table of Content 2'!$H$343</f>
        <v>181.17</v>
      </c>
      <c r="J42" s="843">
        <f>I42*G42</f>
        <v>18704.697804878047</v>
      </c>
      <c r="K42" s="774"/>
      <c r="L42" s="280"/>
    </row>
    <row r="43" spans="1:13" ht="15.75">
      <c r="A43" s="794"/>
      <c r="B43" s="814" t="s">
        <v>3888</v>
      </c>
      <c r="C43" s="780"/>
      <c r="D43" s="780"/>
      <c r="E43" s="780"/>
      <c r="F43" s="780"/>
      <c r="G43" s="780"/>
      <c r="H43" s="780"/>
      <c r="I43" s="844"/>
      <c r="J43" s="843">
        <f>0.13*J42</f>
        <v>2431.6107146341465</v>
      </c>
      <c r="K43" s="774"/>
    </row>
    <row r="44" spans="1:13" ht="15.75">
      <c r="A44" s="794"/>
      <c r="B44" s="772"/>
      <c r="C44" s="782"/>
      <c r="D44" s="781"/>
      <c r="E44" s="781"/>
      <c r="F44" s="781"/>
      <c r="G44" s="771"/>
      <c r="H44" s="771"/>
      <c r="I44" s="843"/>
      <c r="J44" s="843"/>
      <c r="K44" s="776"/>
    </row>
    <row r="45" spans="1:13" ht="19.5">
      <c r="A45" s="794">
        <v>7</v>
      </c>
      <c r="B45" s="795" t="s">
        <v>3873</v>
      </c>
      <c r="C45" s="782"/>
      <c r="D45" s="781"/>
      <c r="E45" s="781"/>
      <c r="F45" s="781"/>
      <c r="G45" s="781">
        <v>1</v>
      </c>
      <c r="H45" s="780" t="s">
        <v>3063</v>
      </c>
      <c r="I45" s="772">
        <v>500</v>
      </c>
      <c r="J45" s="771">
        <f>G45*I45</f>
        <v>500</v>
      </c>
      <c r="K45" s="776"/>
      <c r="M45" s="763"/>
    </row>
    <row r="46" spans="1:13" ht="15.75">
      <c r="A46" s="794"/>
      <c r="B46" s="795"/>
      <c r="C46" s="782"/>
      <c r="D46" s="781"/>
      <c r="E46" s="781"/>
      <c r="F46" s="781"/>
      <c r="G46" s="781"/>
      <c r="H46" s="780"/>
      <c r="I46" s="772"/>
      <c r="J46" s="771"/>
      <c r="K46" s="776"/>
    </row>
    <row r="47" spans="1:13" ht="15.75">
      <c r="A47" s="802"/>
      <c r="B47" s="804" t="s">
        <v>3871</v>
      </c>
      <c r="C47" s="803"/>
      <c r="D47" s="803"/>
      <c r="E47" s="803"/>
      <c r="F47" s="803"/>
      <c r="G47" s="803"/>
      <c r="H47" s="803"/>
      <c r="I47" s="803"/>
      <c r="J47" s="821">
        <f>SUM(J10:J45)</f>
        <v>70134.079593916831</v>
      </c>
      <c r="K47" s="802"/>
    </row>
    <row r="49" spans="2:11" ht="15.75">
      <c r="B49" s="750"/>
    </row>
    <row r="50" spans="2:11" ht="15.75">
      <c r="B50" s="751"/>
      <c r="F50" s="768"/>
      <c r="G50" s="768"/>
      <c r="H50" s="764" t="s">
        <v>3858</v>
      </c>
      <c r="I50" s="764"/>
      <c r="J50" s="764" t="s">
        <v>3870</v>
      </c>
      <c r="K50" s="764" t="s">
        <v>3869</v>
      </c>
    </row>
    <row r="51" spans="2:11" ht="15.75">
      <c r="B51" s="750"/>
      <c r="F51" s="769"/>
      <c r="G51" s="769"/>
      <c r="H51" s="765" t="s">
        <v>3859</v>
      </c>
      <c r="I51" s="765"/>
      <c r="J51" s="822">
        <f>J47</f>
        <v>70134.079593916831</v>
      </c>
      <c r="K51" s="766">
        <v>100</v>
      </c>
    </row>
    <row r="52" spans="2:11" ht="15.75">
      <c r="F52" s="769"/>
      <c r="G52" s="769"/>
      <c r="H52" s="765" t="s">
        <v>3860</v>
      </c>
      <c r="I52" s="766"/>
      <c r="J52" s="822">
        <v>30000</v>
      </c>
      <c r="K52" s="749"/>
    </row>
    <row r="53" spans="2:11" ht="15.75">
      <c r="F53" s="769"/>
      <c r="G53" s="769"/>
      <c r="H53" s="765" t="s">
        <v>3892</v>
      </c>
      <c r="I53" s="766"/>
      <c r="J53" s="822">
        <v>30000</v>
      </c>
      <c r="K53" s="766">
        <f>J53/J51*100</f>
        <v>42.775210245436924</v>
      </c>
    </row>
    <row r="54" spans="2:11" ht="15.75">
      <c r="F54" s="769"/>
      <c r="G54" s="769"/>
      <c r="H54" s="765" t="s">
        <v>3861</v>
      </c>
      <c r="I54" s="765"/>
      <c r="J54" s="822">
        <f>J51-J53</f>
        <v>40134.079593916831</v>
      </c>
      <c r="K54" s="766">
        <f>J54/J51*100</f>
        <v>57.224789754563076</v>
      </c>
    </row>
    <row r="55" spans="2:11" ht="15.75">
      <c r="F55" s="770"/>
      <c r="G55" s="770"/>
      <c r="H55" s="767" t="s">
        <v>3874</v>
      </c>
      <c r="I55" s="767"/>
      <c r="J55" s="822">
        <f>J52*3%</f>
        <v>900</v>
      </c>
      <c r="K55" s="766">
        <v>3</v>
      </c>
    </row>
    <row r="56" spans="2:11" ht="15.75">
      <c r="F56" s="770"/>
      <c r="G56" s="770"/>
      <c r="H56" s="767" t="s">
        <v>3875</v>
      </c>
      <c r="I56" s="767"/>
      <c r="J56" s="822">
        <f>J52*2%</f>
        <v>600</v>
      </c>
      <c r="K56" s="766">
        <v>2</v>
      </c>
    </row>
  </sheetData>
  <mergeCells count="7">
    <mergeCell ref="A8:F8"/>
    <mergeCell ref="H8:K8"/>
    <mergeCell ref="A1:K1"/>
    <mergeCell ref="A2:K2"/>
    <mergeCell ref="A3:K3"/>
    <mergeCell ref="A5:K5"/>
    <mergeCell ref="H7:K7"/>
  </mergeCells>
  <pageMargins left="0.43" right="0.43" top="0.3" bottom="1.48" header="0.3" footer="0.3"/>
  <pageSetup scale="72" fitToHeight="0" orientation="portrait" r:id="rId1"/>
  <headerFooter>
    <oddHeader>&amp;RPage &amp;P of &amp;N</oddHeader>
    <oddFooter>&amp;LPrepared By
Nitesh Basukala
Sub Engineer&amp;CChecked By
Nabin KC
Engineer&amp;RApproved By
Prakash Singh Saud
Engineer</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CFEE0-66DA-4E77-9FF9-75D0747A09C7}">
  <sheetPr>
    <pageSetUpPr fitToPage="1"/>
  </sheetPr>
  <dimension ref="A1:L78"/>
  <sheetViews>
    <sheetView view="pageBreakPreview" topLeftCell="A28" zoomScaleNormal="100" zoomScaleSheetLayoutView="100" workbookViewId="0">
      <selection activeCell="I39" sqref="I39"/>
    </sheetView>
  </sheetViews>
  <sheetFormatPr defaultRowHeight="12.75"/>
  <cols>
    <col min="1" max="1" width="8.5703125" style="760" bestFit="1" customWidth="1"/>
    <col min="2" max="2" width="32.5703125" style="840" bestFit="1" customWidth="1"/>
    <col min="3" max="3" width="7.28515625" style="840" bestFit="1" customWidth="1"/>
    <col min="4" max="4" width="9.140625" style="840" bestFit="1" customWidth="1"/>
    <col min="5" max="5" width="10.140625" style="840" bestFit="1" customWidth="1"/>
    <col min="6" max="6" width="8.85546875" style="840" bestFit="1" customWidth="1"/>
    <col min="7" max="7" width="12.85546875" style="840" customWidth="1"/>
    <col min="8" max="8" width="7.140625" style="840" customWidth="1"/>
    <col min="9" max="9" width="13.7109375" style="840" customWidth="1"/>
    <col min="10" max="10" width="9.140625" style="840"/>
    <col min="11" max="11" width="12.85546875" style="840" customWidth="1"/>
    <col min="12" max="16384" width="9.140625" style="840"/>
  </cols>
  <sheetData>
    <row r="1" spans="1:12" ht="15.75">
      <c r="A1" s="993" t="s">
        <v>3849</v>
      </c>
      <c r="B1" s="993"/>
      <c r="C1" s="993"/>
      <c r="D1" s="993"/>
      <c r="E1" s="993"/>
      <c r="F1" s="993"/>
      <c r="G1" s="993"/>
      <c r="H1" s="993"/>
      <c r="I1" s="993"/>
      <c r="J1" s="753"/>
    </row>
    <row r="2" spans="1:12" ht="18.75">
      <c r="A2" s="994" t="s">
        <v>3850</v>
      </c>
      <c r="B2" s="994"/>
      <c r="C2" s="994"/>
      <c r="D2" s="994"/>
      <c r="E2" s="994"/>
      <c r="F2" s="994"/>
      <c r="G2" s="994"/>
      <c r="H2" s="994"/>
      <c r="I2" s="994"/>
      <c r="J2" s="754"/>
    </row>
    <row r="3" spans="1:12" ht="15.75">
      <c r="A3" s="995" t="s">
        <v>3851</v>
      </c>
      <c r="B3" s="995"/>
      <c r="C3" s="995"/>
      <c r="D3" s="995"/>
      <c r="E3" s="995"/>
      <c r="F3" s="995"/>
      <c r="G3" s="995"/>
      <c r="H3" s="995"/>
      <c r="I3" s="995"/>
      <c r="J3" s="752"/>
      <c r="K3" s="840" t="s">
        <v>3879</v>
      </c>
      <c r="L3" s="840" t="s">
        <v>544</v>
      </c>
    </row>
    <row r="4" spans="1:12" ht="18.75">
      <c r="A4" s="842"/>
      <c r="B4" s="842"/>
      <c r="C4" s="842"/>
      <c r="D4" s="842"/>
      <c r="E4" s="842"/>
      <c r="F4" s="842"/>
      <c r="G4" s="842"/>
      <c r="H4" s="842"/>
      <c r="I4" s="842"/>
      <c r="J4" s="840" t="s">
        <v>3877</v>
      </c>
      <c r="K4" s="840">
        <v>20</v>
      </c>
      <c r="L4" s="840">
        <v>7.5</v>
      </c>
    </row>
    <row r="5" spans="1:12" ht="18.75">
      <c r="A5" s="996" t="s">
        <v>3905</v>
      </c>
      <c r="B5" s="996"/>
      <c r="C5" s="996"/>
      <c r="D5" s="996"/>
      <c r="E5" s="996"/>
      <c r="F5" s="996"/>
      <c r="G5" s="996"/>
      <c r="H5" s="996"/>
      <c r="I5" s="996"/>
      <c r="J5" s="840" t="s">
        <v>3878</v>
      </c>
      <c r="K5" s="840">
        <v>13.5</v>
      </c>
      <c r="L5" s="840">
        <v>4.0999999999999996</v>
      </c>
    </row>
    <row r="6" spans="1:12" ht="18.75">
      <c r="A6" s="842"/>
      <c r="B6" s="842"/>
      <c r="C6" s="842"/>
      <c r="D6" s="842"/>
      <c r="E6" s="842"/>
      <c r="F6" s="842"/>
      <c r="G6" s="842"/>
      <c r="H6" s="842"/>
      <c r="I6" s="842"/>
      <c r="J6" s="842"/>
    </row>
    <row r="7" spans="1:12" ht="19.5">
      <c r="A7" s="762" t="s">
        <v>3868</v>
      </c>
      <c r="B7" s="763" t="s">
        <v>3899</v>
      </c>
      <c r="C7" s="762"/>
      <c r="D7" s="762"/>
      <c r="E7" s="762"/>
      <c r="F7" s="762"/>
      <c r="G7" s="841"/>
      <c r="H7" s="997" t="s">
        <v>3876</v>
      </c>
      <c r="I7" s="998"/>
    </row>
    <row r="8" spans="1:12" ht="15.75">
      <c r="A8" s="991" t="s">
        <v>3863</v>
      </c>
      <c r="B8" s="991"/>
      <c r="C8" s="991"/>
      <c r="D8" s="991"/>
      <c r="E8" s="991"/>
      <c r="F8" s="991"/>
      <c r="G8" s="748"/>
      <c r="H8" s="992" t="s">
        <v>3902</v>
      </c>
      <c r="I8" s="992"/>
    </row>
    <row r="9" spans="1:12" ht="26.25" customHeight="1">
      <c r="A9" s="761" t="s">
        <v>440</v>
      </c>
      <c r="B9" s="756" t="s">
        <v>3852</v>
      </c>
      <c r="C9" s="757" t="s">
        <v>3853</v>
      </c>
      <c r="D9" s="758" t="s">
        <v>3854</v>
      </c>
      <c r="E9" s="758" t="s">
        <v>3855</v>
      </c>
      <c r="F9" s="758" t="s">
        <v>3856</v>
      </c>
      <c r="G9" s="758" t="s">
        <v>3826</v>
      </c>
      <c r="H9" s="755" t="s">
        <v>443</v>
      </c>
      <c r="I9" s="759" t="s">
        <v>3827</v>
      </c>
    </row>
    <row r="10" spans="1:12" ht="37.5">
      <c r="A10" s="796">
        <v>1</v>
      </c>
      <c r="B10" s="797" t="s">
        <v>3865</v>
      </c>
      <c r="C10" s="798"/>
      <c r="D10" s="799"/>
      <c r="E10" s="799"/>
      <c r="F10" s="799" t="s">
        <v>1866</v>
      </c>
      <c r="G10" s="799"/>
      <c r="H10" s="800"/>
      <c r="I10" s="801"/>
    </row>
    <row r="11" spans="1:12" ht="15.75">
      <c r="A11" s="794"/>
      <c r="B11" s="783" t="s">
        <v>3896</v>
      </c>
      <c r="C11" s="782">
        <v>1</v>
      </c>
      <c r="D11" s="781">
        <v>14.5</v>
      </c>
      <c r="E11" s="781">
        <v>0.5</v>
      </c>
      <c r="F11" s="781">
        <v>1</v>
      </c>
      <c r="G11" s="781">
        <f t="shared" ref="G11:G13" si="0">F11*E11*D11*C11</f>
        <v>7.25</v>
      </c>
      <c r="H11" s="780"/>
      <c r="I11" s="776"/>
    </row>
    <row r="12" spans="1:12" ht="15.75">
      <c r="A12" s="794"/>
      <c r="B12" s="783"/>
      <c r="C12" s="782">
        <v>1</v>
      </c>
      <c r="D12" s="781">
        <v>9</v>
      </c>
      <c r="E12" s="781">
        <v>0.5</v>
      </c>
      <c r="F12" s="781">
        <v>1</v>
      </c>
      <c r="G12" s="781">
        <f t="shared" si="0"/>
        <v>4.5</v>
      </c>
      <c r="H12" s="780"/>
      <c r="I12" s="776"/>
    </row>
    <row r="13" spans="1:12" ht="15.75">
      <c r="A13" s="794"/>
      <c r="B13" s="814" t="s">
        <v>3891</v>
      </c>
      <c r="C13" s="782">
        <v>5</v>
      </c>
      <c r="D13" s="781">
        <v>1.5</v>
      </c>
      <c r="E13" s="781">
        <v>1.2</v>
      </c>
      <c r="F13" s="781">
        <v>0.3</v>
      </c>
      <c r="G13" s="781">
        <f t="shared" si="0"/>
        <v>2.7</v>
      </c>
      <c r="H13" s="780"/>
      <c r="I13" s="776"/>
    </row>
    <row r="14" spans="1:12" ht="15.75">
      <c r="A14" s="794"/>
      <c r="B14" s="784"/>
      <c r="C14" s="782"/>
      <c r="D14" s="781"/>
      <c r="E14" s="781"/>
      <c r="F14" s="781"/>
      <c r="G14" s="781">
        <f>SUM(G11:G13)</f>
        <v>14.45</v>
      </c>
      <c r="H14" s="780" t="s">
        <v>1775</v>
      </c>
      <c r="I14" s="776"/>
    </row>
    <row r="15" spans="1:12" ht="15.75">
      <c r="A15" s="794"/>
      <c r="B15" s="785"/>
      <c r="C15" s="780"/>
      <c r="D15" s="780"/>
      <c r="E15" s="780"/>
      <c r="F15" s="780"/>
      <c r="G15" s="780"/>
      <c r="H15" s="780"/>
      <c r="I15" s="774"/>
    </row>
    <row r="16" spans="1:12" ht="18">
      <c r="A16" s="794">
        <v>2</v>
      </c>
      <c r="B16" s="786" t="s">
        <v>3872</v>
      </c>
      <c r="C16" s="782"/>
      <c r="D16" s="781"/>
      <c r="E16" s="781"/>
      <c r="F16" s="781"/>
      <c r="G16" s="781"/>
      <c r="H16" s="780"/>
      <c r="I16" s="776"/>
    </row>
    <row r="17" spans="1:12" ht="15.75">
      <c r="A17" s="794"/>
      <c r="B17" s="783" t="str">
        <f>B11</f>
        <v>Peripheral wall</v>
      </c>
      <c r="C17" s="782">
        <f>C11</f>
        <v>1</v>
      </c>
      <c r="D17" s="782">
        <f>D11</f>
        <v>14.5</v>
      </c>
      <c r="E17" s="782">
        <f>E11</f>
        <v>0.5</v>
      </c>
      <c r="F17" s="781">
        <v>1.4</v>
      </c>
      <c r="G17" s="781">
        <f t="shared" ref="G17:G23" si="1">F17*E17*D17*C17</f>
        <v>10.149999999999999</v>
      </c>
      <c r="H17" s="780"/>
      <c r="I17" s="776"/>
      <c r="K17" s="840">
        <f>7.5*3.28</f>
        <v>24.599999999999998</v>
      </c>
    </row>
    <row r="18" spans="1:12" ht="15.75">
      <c r="A18" s="794" t="s">
        <v>1866</v>
      </c>
      <c r="B18" s="783"/>
      <c r="C18" s="782">
        <f>C12</f>
        <v>1</v>
      </c>
      <c r="D18" s="782">
        <f>D12</f>
        <v>9</v>
      </c>
      <c r="E18" s="782">
        <f>E12</f>
        <v>0.5</v>
      </c>
      <c r="F18" s="781">
        <v>1.4</v>
      </c>
      <c r="G18" s="781">
        <f t="shared" si="1"/>
        <v>6.3</v>
      </c>
      <c r="H18" s="780"/>
      <c r="I18" s="776"/>
    </row>
    <row r="19" spans="1:12" ht="15.75">
      <c r="A19" s="794"/>
      <c r="B19" s="783" t="str">
        <f>B13</f>
        <v>steps</v>
      </c>
      <c r="C19" s="782">
        <v>1</v>
      </c>
      <c r="D19" s="782">
        <v>2.95</v>
      </c>
      <c r="E19" s="782">
        <v>0.3</v>
      </c>
      <c r="F19" s="781">
        <v>0.15</v>
      </c>
      <c r="G19" s="781">
        <f t="shared" si="1"/>
        <v>0.13275000000000001</v>
      </c>
      <c r="H19" s="780"/>
      <c r="I19" s="776"/>
      <c r="K19" s="840">
        <v>0.15</v>
      </c>
    </row>
    <row r="20" spans="1:12" ht="15.75">
      <c r="A20" s="794"/>
      <c r="B20" s="783"/>
      <c r="C20" s="782">
        <v>1</v>
      </c>
      <c r="D20" s="782">
        <v>2.95</v>
      </c>
      <c r="E20" s="782">
        <v>0.4</v>
      </c>
      <c r="F20" s="781">
        <f>0.15*2</f>
        <v>0.3</v>
      </c>
      <c r="G20" s="781">
        <f t="shared" si="1"/>
        <v>0.35399999999999998</v>
      </c>
      <c r="H20" s="780"/>
      <c r="I20" s="776"/>
      <c r="K20" s="840">
        <v>0.15</v>
      </c>
    </row>
    <row r="21" spans="1:12" ht="15.75">
      <c r="A21" s="794"/>
      <c r="B21" s="783"/>
      <c r="C21" s="782">
        <v>2</v>
      </c>
      <c r="D21" s="782">
        <v>1.4</v>
      </c>
      <c r="E21" s="782">
        <v>0.3</v>
      </c>
      <c r="F21" s="781">
        <f>F20+0.2</f>
        <v>0.5</v>
      </c>
      <c r="G21" s="781">
        <f t="shared" si="1"/>
        <v>0.42</v>
      </c>
      <c r="H21" s="780"/>
      <c r="I21" s="776"/>
      <c r="K21" s="840">
        <v>0.2</v>
      </c>
    </row>
    <row r="22" spans="1:12" ht="15.75">
      <c r="A22" s="794"/>
      <c r="B22" s="783"/>
      <c r="C22" s="782">
        <v>1</v>
      </c>
      <c r="D22" s="782">
        <v>1.4</v>
      </c>
      <c r="E22" s="782">
        <v>0.5</v>
      </c>
      <c r="F22" s="781">
        <f>F21+0.2</f>
        <v>0.7</v>
      </c>
      <c r="G22" s="781">
        <f t="shared" si="1"/>
        <v>0.48999999999999994</v>
      </c>
      <c r="H22" s="780"/>
      <c r="I22" s="776"/>
      <c r="K22" s="840">
        <v>0.2</v>
      </c>
    </row>
    <row r="23" spans="1:12" ht="15.75">
      <c r="A23" s="794"/>
      <c r="B23" s="783"/>
      <c r="C23" s="782">
        <v>1</v>
      </c>
      <c r="D23" s="782">
        <v>1.4</v>
      </c>
      <c r="E23" s="782">
        <v>0.95</v>
      </c>
      <c r="F23" s="781">
        <v>0.4</v>
      </c>
      <c r="G23" s="781">
        <f t="shared" si="1"/>
        <v>0.53199999999999992</v>
      </c>
      <c r="H23" s="780"/>
      <c r="I23" s="776"/>
      <c r="K23" s="840">
        <v>0.2</v>
      </c>
    </row>
    <row r="24" spans="1:12" ht="15.75">
      <c r="A24" s="794"/>
      <c r="B24" s="787"/>
      <c r="C24" s="782"/>
      <c r="D24" s="781"/>
      <c r="E24" s="781"/>
      <c r="F24" s="781"/>
      <c r="G24" s="771">
        <f>SUM(G17:G23)</f>
        <v>18.37875</v>
      </c>
      <c r="H24" s="780" t="s">
        <v>1775</v>
      </c>
      <c r="I24" s="776"/>
      <c r="K24" s="840">
        <v>0.4</v>
      </c>
    </row>
    <row r="25" spans="1:12" ht="15.75">
      <c r="A25" s="794"/>
      <c r="B25" s="783"/>
      <c r="C25" s="782"/>
      <c r="D25" s="781"/>
      <c r="E25" s="781"/>
      <c r="F25" s="781"/>
      <c r="G25" s="771"/>
      <c r="H25" s="771"/>
      <c r="I25" s="776"/>
    </row>
    <row r="26" spans="1:12" ht="37.5">
      <c r="A26" s="794">
        <v>3</v>
      </c>
      <c r="B26" s="775" t="s">
        <v>3864</v>
      </c>
      <c r="C26" s="782"/>
      <c r="D26" s="781"/>
      <c r="E26" s="781"/>
      <c r="F26" s="781"/>
      <c r="G26" s="781"/>
      <c r="H26" s="780"/>
      <c r="I26" s="776"/>
      <c r="L26" s="840">
        <f>9/0.35</f>
        <v>25.714285714285715</v>
      </c>
    </row>
    <row r="27" spans="1:12" ht="15.75">
      <c r="A27" s="794"/>
      <c r="B27" s="783" t="str">
        <f>B11</f>
        <v>Peripheral wall</v>
      </c>
      <c r="C27" s="788">
        <v>1</v>
      </c>
      <c r="D27" s="788">
        <f>D17</f>
        <v>14.5</v>
      </c>
      <c r="E27" s="788">
        <v>0.5</v>
      </c>
      <c r="F27" s="813">
        <v>7.4999999999999997E-2</v>
      </c>
      <c r="G27" s="781">
        <f t="shared" ref="G27:G30" si="2">F27*E27*D27*C27</f>
        <v>0.54374999999999996</v>
      </c>
      <c r="H27" s="780"/>
      <c r="I27" s="776"/>
    </row>
    <row r="28" spans="1:12" ht="15.75">
      <c r="A28" s="794"/>
      <c r="B28" s="783"/>
      <c r="C28" s="788">
        <v>1</v>
      </c>
      <c r="D28" s="788">
        <f>D18</f>
        <v>9</v>
      </c>
      <c r="E28" s="788">
        <v>0.5</v>
      </c>
      <c r="F28" s="813">
        <v>7.4999999999999997E-2</v>
      </c>
      <c r="G28" s="781">
        <f t="shared" si="2"/>
        <v>0.33749999999999997</v>
      </c>
      <c r="H28" s="780"/>
      <c r="I28" s="776"/>
    </row>
    <row r="29" spans="1:12" ht="15.75">
      <c r="A29" s="794"/>
      <c r="B29" s="783" t="str">
        <f>B13</f>
        <v>steps</v>
      </c>
      <c r="C29" s="788">
        <v>0</v>
      </c>
      <c r="D29" s="788">
        <v>1.2</v>
      </c>
      <c r="E29" s="788">
        <v>0.4</v>
      </c>
      <c r="F29" s="813">
        <v>7.4999999999999997E-2</v>
      </c>
      <c r="G29" s="781">
        <f t="shared" si="2"/>
        <v>0</v>
      </c>
      <c r="H29" s="780"/>
      <c r="I29" s="776"/>
    </row>
    <row r="30" spans="1:12" ht="15.75">
      <c r="A30" s="794"/>
      <c r="B30" s="783"/>
      <c r="C30" s="788">
        <v>1</v>
      </c>
      <c r="D30" s="788">
        <v>11</v>
      </c>
      <c r="E30" s="788">
        <v>0.3</v>
      </c>
      <c r="F30" s="813">
        <v>0.2</v>
      </c>
      <c r="G30" s="781">
        <f t="shared" si="2"/>
        <v>0.65999999999999992</v>
      </c>
      <c r="H30" s="780"/>
      <c r="I30" s="776"/>
    </row>
    <row r="31" spans="1:12" ht="15.75">
      <c r="A31" s="794"/>
      <c r="B31" s="784"/>
      <c r="C31" s="782"/>
      <c r="D31" s="781"/>
      <c r="E31" s="781"/>
      <c r="F31" s="781"/>
      <c r="G31" s="772">
        <f>SUM(G27:G30)</f>
        <v>1.5412499999999998</v>
      </c>
      <c r="H31" s="780" t="s">
        <v>1775</v>
      </c>
      <c r="I31" s="776"/>
    </row>
    <row r="32" spans="1:12" ht="15.75">
      <c r="A32" s="794"/>
      <c r="B32" s="789"/>
      <c r="C32" s="782"/>
      <c r="D32" s="781"/>
      <c r="E32" s="779"/>
      <c r="F32" s="781"/>
      <c r="G32" s="771"/>
      <c r="H32" s="780"/>
      <c r="I32" s="776"/>
    </row>
    <row r="33" spans="1:11" ht="37.5">
      <c r="A33" s="794">
        <v>4</v>
      </c>
      <c r="B33" s="775" t="s">
        <v>3862</v>
      </c>
      <c r="C33" s="782"/>
      <c r="D33" s="782"/>
      <c r="E33" s="782"/>
      <c r="F33" s="781"/>
      <c r="G33" s="781"/>
      <c r="H33" s="780"/>
      <c r="I33" s="776"/>
    </row>
    <row r="34" spans="1:11" ht="15.75">
      <c r="A34" s="794"/>
      <c r="B34" s="771" t="str">
        <f>B11</f>
        <v>Peripheral wall</v>
      </c>
      <c r="C34" s="782">
        <f>C11</f>
        <v>1</v>
      </c>
      <c r="D34" s="782">
        <f>D11</f>
        <v>14.5</v>
      </c>
      <c r="E34" s="782">
        <f>E27</f>
        <v>0.5</v>
      </c>
      <c r="F34" s="781">
        <v>0.15</v>
      </c>
      <c r="G34" s="781">
        <f t="shared" ref="G34:G35" si="3">F34*E34*D34*C34</f>
        <v>1.0874999999999999</v>
      </c>
      <c r="H34" s="780"/>
      <c r="I34" s="776"/>
    </row>
    <row r="35" spans="1:11" ht="15.75">
      <c r="A35" s="794"/>
      <c r="B35" s="771"/>
      <c r="C35" s="782">
        <f>C12</f>
        <v>1</v>
      </c>
      <c r="D35" s="782">
        <f>D12</f>
        <v>9</v>
      </c>
      <c r="E35" s="782">
        <f>E28</f>
        <v>0.5</v>
      </c>
      <c r="F35" s="781">
        <v>0.15</v>
      </c>
      <c r="G35" s="781">
        <f t="shared" si="3"/>
        <v>0.67499999999999993</v>
      </c>
      <c r="H35" s="780"/>
      <c r="I35" s="776"/>
    </row>
    <row r="36" spans="1:11" ht="15.75">
      <c r="A36" s="794"/>
      <c r="B36" s="790"/>
      <c r="C36" s="782"/>
      <c r="D36" s="781"/>
      <c r="E36" s="781"/>
      <c r="F36" s="781"/>
      <c r="G36" s="772">
        <f>SUM(G34:G35)</f>
        <v>1.7624999999999997</v>
      </c>
      <c r="H36" s="780" t="s">
        <v>1775</v>
      </c>
      <c r="I36" s="776"/>
    </row>
    <row r="37" spans="1:11" ht="15.75">
      <c r="A37" s="794"/>
      <c r="B37" s="772"/>
      <c r="C37" s="782"/>
      <c r="D37" s="781"/>
      <c r="E37" s="781"/>
      <c r="F37" s="781"/>
      <c r="G37" s="781"/>
      <c r="H37" s="780"/>
      <c r="I37" s="776"/>
    </row>
    <row r="38" spans="1:11" ht="31.5">
      <c r="A38" s="794">
        <v>5</v>
      </c>
      <c r="B38" s="829" t="s">
        <v>3866</v>
      </c>
      <c r="C38" s="830"/>
      <c r="D38" s="831"/>
      <c r="E38" s="831"/>
      <c r="F38" s="831"/>
      <c r="G38" s="831"/>
      <c r="H38" s="828"/>
      <c r="I38" s="832"/>
      <c r="K38" s="259"/>
    </row>
    <row r="39" spans="1:11" ht="15.75">
      <c r="A39" s="794"/>
      <c r="B39" s="833" t="s">
        <v>3897</v>
      </c>
      <c r="C39" s="835">
        <f>ROUNDUP((D34+D35)/3,0)</f>
        <v>8</v>
      </c>
      <c r="D39" s="831">
        <f>8/3.28</f>
        <v>2.4390243902439024</v>
      </c>
      <c r="E39" s="831"/>
      <c r="F39" s="831">
        <v>3.32</v>
      </c>
      <c r="G39" s="831">
        <f t="shared" ref="G39:G43" si="4">C39*D39*F39</f>
        <v>64.780487804878049</v>
      </c>
      <c r="H39" s="825"/>
      <c r="I39" s="825"/>
    </row>
    <row r="40" spans="1:11" ht="15.75">
      <c r="A40" s="794"/>
      <c r="B40" s="833"/>
      <c r="C40" s="835">
        <v>4</v>
      </c>
      <c r="D40" s="831">
        <v>1.9</v>
      </c>
      <c r="E40" s="831"/>
      <c r="F40" s="831">
        <v>3.32</v>
      </c>
      <c r="G40" s="831">
        <f t="shared" si="4"/>
        <v>25.231999999999999</v>
      </c>
      <c r="H40" s="825"/>
      <c r="I40" s="825"/>
    </row>
    <row r="41" spans="1:11" ht="15.75">
      <c r="A41" s="794"/>
      <c r="B41" s="833" t="s">
        <v>3898</v>
      </c>
      <c r="C41" s="834">
        <v>1</v>
      </c>
      <c r="D41" s="831">
        <f>D34+D35</f>
        <v>23.5</v>
      </c>
      <c r="E41" s="831"/>
      <c r="F41" s="831">
        <v>3.32</v>
      </c>
      <c r="G41" s="831">
        <f t="shared" si="4"/>
        <v>78.02</v>
      </c>
      <c r="H41" s="825"/>
      <c r="I41" s="825"/>
    </row>
    <row r="42" spans="1:11" ht="15.75">
      <c r="A42" s="794"/>
      <c r="B42" s="833"/>
      <c r="C42" s="834">
        <v>8</v>
      </c>
      <c r="D42" s="831">
        <v>1.7</v>
      </c>
      <c r="E42" s="831"/>
      <c r="F42" s="831">
        <v>3.32</v>
      </c>
      <c r="G42" s="831">
        <f t="shared" si="4"/>
        <v>45.151999999999994</v>
      </c>
      <c r="H42" s="825"/>
      <c r="I42" s="849"/>
    </row>
    <row r="43" spans="1:11" ht="15.75">
      <c r="A43" s="794"/>
      <c r="B43" s="833"/>
      <c r="C43" s="834">
        <v>8</v>
      </c>
      <c r="D43" s="831">
        <v>1.4</v>
      </c>
      <c r="E43" s="831"/>
      <c r="F43" s="831">
        <v>3.32</v>
      </c>
      <c r="G43" s="831">
        <f t="shared" si="4"/>
        <v>37.183999999999997</v>
      </c>
      <c r="H43" s="825"/>
      <c r="I43" s="849"/>
    </row>
    <row r="44" spans="1:11" ht="15.75">
      <c r="A44" s="794"/>
      <c r="B44" s="833" t="s">
        <v>3881</v>
      </c>
      <c r="C44" s="834">
        <v>8</v>
      </c>
      <c r="D44" s="831">
        <v>3</v>
      </c>
      <c r="E44" s="831"/>
      <c r="F44" s="831">
        <v>3.32</v>
      </c>
      <c r="G44" s="831">
        <f>C44*D44*F44</f>
        <v>79.679999999999993</v>
      </c>
      <c r="H44" s="825"/>
    </row>
    <row r="45" spans="1:11" ht="15.75">
      <c r="A45" s="794"/>
      <c r="B45" s="833" t="s">
        <v>3903</v>
      </c>
      <c r="C45" s="834">
        <v>4</v>
      </c>
      <c r="D45" s="831">
        <v>2.9</v>
      </c>
      <c r="E45" s="831"/>
      <c r="F45" s="831">
        <v>3.32</v>
      </c>
      <c r="G45" s="831">
        <f t="shared" ref="G45:G46" si="5">C45*D45*F45</f>
        <v>38.512</v>
      </c>
      <c r="H45" s="825"/>
    </row>
    <row r="46" spans="1:11" ht="15.75">
      <c r="A46" s="794"/>
      <c r="B46" s="833"/>
      <c r="C46" s="834">
        <v>2</v>
      </c>
      <c r="D46" s="831">
        <v>0.7</v>
      </c>
      <c r="E46" s="831"/>
      <c r="F46" s="831">
        <v>3.32</v>
      </c>
      <c r="G46" s="831">
        <f t="shared" si="5"/>
        <v>4.6479999999999997</v>
      </c>
      <c r="H46" s="825"/>
    </row>
    <row r="47" spans="1:11" ht="15.75">
      <c r="A47" s="794"/>
      <c r="B47" s="833"/>
      <c r="C47" s="834"/>
      <c r="D47" s="831"/>
      <c r="E47" s="831"/>
      <c r="F47" s="831"/>
      <c r="G47" s="781">
        <f>SUM(G39:G46)</f>
        <v>373.20848780487802</v>
      </c>
      <c r="H47" s="825"/>
    </row>
    <row r="48" spans="1:11" ht="15.75">
      <c r="A48" s="794"/>
      <c r="B48" s="833" t="s">
        <v>3904</v>
      </c>
      <c r="C48" s="834"/>
      <c r="D48" s="831"/>
      <c r="E48" s="831"/>
      <c r="F48" s="831"/>
      <c r="G48" s="831">
        <f>0.05*G47</f>
        <v>18.6604243902439</v>
      </c>
      <c r="H48" s="825"/>
    </row>
    <row r="49" spans="1:9" ht="15.75">
      <c r="A49" s="794"/>
      <c r="B49" s="814"/>
      <c r="C49" s="791"/>
      <c r="D49" s="781"/>
      <c r="E49" s="781"/>
      <c r="F49" s="781"/>
      <c r="G49" s="831">
        <f>SUM(G47:G48)</f>
        <v>391.86891219512194</v>
      </c>
      <c r="H49" s="828" t="s">
        <v>2960</v>
      </c>
      <c r="I49" s="776"/>
    </row>
    <row r="50" spans="1:9" ht="15.75">
      <c r="A50" s="794"/>
      <c r="B50" s="814"/>
      <c r="C50" s="791"/>
      <c r="D50" s="781"/>
      <c r="E50" s="781"/>
      <c r="F50" s="781"/>
      <c r="G50" s="781"/>
      <c r="H50" s="828"/>
      <c r="I50" s="776"/>
    </row>
    <row r="51" spans="1:9" ht="15.75">
      <c r="A51" s="794"/>
      <c r="B51" s="814"/>
      <c r="C51" s="791"/>
      <c r="D51" s="781"/>
      <c r="E51" s="781"/>
      <c r="F51" s="781"/>
      <c r="G51" s="781"/>
      <c r="H51" s="780"/>
      <c r="I51" s="776"/>
    </row>
    <row r="52" spans="1:9" ht="56.25">
      <c r="A52" s="794">
        <v>6</v>
      </c>
      <c r="B52" s="775" t="s">
        <v>3867</v>
      </c>
      <c r="C52" s="834">
        <v>1</v>
      </c>
      <c r="D52" s="834">
        <f>25</f>
        <v>25</v>
      </c>
      <c r="E52" s="834"/>
      <c r="F52" s="834">
        <v>3</v>
      </c>
      <c r="G52" s="850">
        <f>D52*F52</f>
        <v>75</v>
      </c>
      <c r="I52" s="776"/>
    </row>
    <row r="53" spans="1:9" ht="15.75">
      <c r="A53" s="794"/>
      <c r="B53" s="833" t="s">
        <v>3904</v>
      </c>
      <c r="C53" s="834"/>
      <c r="D53" s="834"/>
      <c r="E53" s="834"/>
      <c r="F53" s="834"/>
      <c r="G53" s="850">
        <f>G52*0.05</f>
        <v>3.75</v>
      </c>
      <c r="H53" s="836"/>
      <c r="I53" s="776"/>
    </row>
    <row r="54" spans="1:9" ht="15.75">
      <c r="A54" s="794"/>
      <c r="C54" s="791"/>
      <c r="D54" s="781"/>
      <c r="E54" s="781"/>
      <c r="F54" s="781"/>
      <c r="G54" s="781">
        <f>SUM(G52:G53)</f>
        <v>78.75</v>
      </c>
      <c r="H54" s="836" t="s">
        <v>1769</v>
      </c>
      <c r="I54" s="776"/>
    </row>
    <row r="55" spans="1:9" ht="15.75">
      <c r="A55" s="794"/>
      <c r="B55" s="814"/>
      <c r="C55" s="791"/>
      <c r="D55" s="781"/>
      <c r="E55" s="781"/>
      <c r="F55" s="781"/>
      <c r="G55" s="781"/>
      <c r="H55" s="780"/>
      <c r="I55" s="776"/>
    </row>
    <row r="56" spans="1:9" ht="37.5" hidden="1">
      <c r="A56" s="794">
        <v>10</v>
      </c>
      <c r="B56" s="773" t="s">
        <v>3299</v>
      </c>
      <c r="C56" s="782">
        <v>0</v>
      </c>
      <c r="D56" s="782">
        <f>L4</f>
        <v>7.5</v>
      </c>
      <c r="E56" s="782"/>
      <c r="F56" s="782">
        <f>9/3.28</f>
        <v>2.7439024390243905</v>
      </c>
      <c r="G56" s="781">
        <f>C56*D56*F56</f>
        <v>0</v>
      </c>
      <c r="H56" s="781"/>
      <c r="I56" s="781"/>
    </row>
    <row r="57" spans="1:9" ht="15.75" hidden="1">
      <c r="A57" s="778"/>
      <c r="B57" s="792"/>
      <c r="C57" s="782">
        <v>0</v>
      </c>
      <c r="D57" s="782">
        <f>L5-0.15*2</f>
        <v>3.8</v>
      </c>
      <c r="E57" s="782"/>
      <c r="F57" s="782">
        <f>9/3.28</f>
        <v>2.7439024390243905</v>
      </c>
      <c r="G57" s="781">
        <f>C57*D57*F57</f>
        <v>0</v>
      </c>
      <c r="H57" s="780"/>
      <c r="I57" s="776"/>
    </row>
    <row r="58" spans="1:9" ht="15.75" hidden="1">
      <c r="A58" s="778"/>
      <c r="B58" s="792" t="s">
        <v>3882</v>
      </c>
      <c r="C58" s="782">
        <v>0</v>
      </c>
      <c r="D58" s="782">
        <f>4/3.28</f>
        <v>1.2195121951219512</v>
      </c>
      <c r="E58" s="782"/>
      <c r="F58" s="782">
        <f>7/3.28</f>
        <v>2.1341463414634148</v>
      </c>
      <c r="G58" s="781">
        <f t="shared" ref="G58:G59" si="6">C58*D58*F58</f>
        <v>0</v>
      </c>
      <c r="H58" s="780"/>
      <c r="I58" s="776"/>
    </row>
    <row r="59" spans="1:9" ht="15.75" hidden="1">
      <c r="A59" s="778"/>
      <c r="B59" s="792" t="s">
        <v>3883</v>
      </c>
      <c r="C59" s="782">
        <v>0</v>
      </c>
      <c r="D59" s="782">
        <f>3/3.28</f>
        <v>0.91463414634146345</v>
      </c>
      <c r="E59" s="782"/>
      <c r="F59" s="782">
        <f>4/3.28</f>
        <v>1.2195121951219512</v>
      </c>
      <c r="G59" s="781">
        <f t="shared" si="6"/>
        <v>0</v>
      </c>
      <c r="H59" s="780"/>
      <c r="I59" s="776"/>
    </row>
    <row r="60" spans="1:9" ht="15.75" hidden="1">
      <c r="A60" s="778"/>
      <c r="B60" s="792"/>
      <c r="C60" s="782"/>
      <c r="D60" s="781"/>
      <c r="E60" s="781"/>
      <c r="F60" s="781"/>
      <c r="G60" s="781">
        <f>SUM(G56:G59)</f>
        <v>0</v>
      </c>
      <c r="H60" s="780" t="s">
        <v>3839</v>
      </c>
      <c r="I60" s="776"/>
    </row>
    <row r="61" spans="1:9" ht="15.75" hidden="1">
      <c r="A61" s="778"/>
      <c r="B61" s="795" t="s">
        <v>3889</v>
      </c>
      <c r="C61" s="782"/>
      <c r="D61" s="781"/>
      <c r="E61" s="781"/>
      <c r="F61" s="781"/>
      <c r="G61" s="781"/>
      <c r="H61" s="780"/>
      <c r="I61" s="776"/>
    </row>
    <row r="62" spans="1:9" ht="15.75" hidden="1">
      <c r="A62" s="778"/>
      <c r="B62" s="795" t="s">
        <v>3885</v>
      </c>
      <c r="C62" s="782"/>
      <c r="D62" s="781"/>
      <c r="E62" s="781"/>
      <c r="F62" s="781"/>
      <c r="G62" s="781"/>
      <c r="H62" s="780"/>
      <c r="I62" s="776"/>
    </row>
    <row r="63" spans="1:9" ht="15.75" hidden="1">
      <c r="A63" s="778"/>
      <c r="B63" s="795" t="s">
        <v>3886</v>
      </c>
      <c r="C63" s="782"/>
      <c r="D63" s="781"/>
      <c r="E63" s="781"/>
      <c r="F63" s="781"/>
      <c r="G63" s="781"/>
      <c r="H63" s="780"/>
      <c r="I63" s="776"/>
    </row>
    <row r="64" spans="1:9" ht="15.75" hidden="1">
      <c r="A64" s="778"/>
      <c r="B64" s="792"/>
      <c r="C64" s="782"/>
      <c r="D64" s="781"/>
      <c r="E64" s="781"/>
      <c r="F64" s="781"/>
      <c r="G64" s="781"/>
      <c r="H64" s="780"/>
      <c r="I64" s="776"/>
    </row>
    <row r="65" spans="1:9" ht="15.75" hidden="1">
      <c r="A65" s="794">
        <v>11</v>
      </c>
      <c r="B65" s="795"/>
      <c r="C65" s="782"/>
      <c r="D65" s="781"/>
      <c r="E65" s="781"/>
      <c r="F65" s="781"/>
      <c r="G65" s="781"/>
      <c r="H65" s="780"/>
      <c r="I65" s="776"/>
    </row>
    <row r="66" spans="1:9" ht="15.75" hidden="1">
      <c r="A66" s="778"/>
      <c r="B66" s="792"/>
      <c r="C66" s="782"/>
      <c r="D66" s="781"/>
      <c r="E66" s="781"/>
      <c r="F66" s="781"/>
      <c r="G66" s="781"/>
      <c r="H66" s="780"/>
      <c r="I66" s="776"/>
    </row>
    <row r="67" spans="1:9" ht="15.75">
      <c r="A67" s="794">
        <v>7</v>
      </c>
      <c r="B67" s="795" t="s">
        <v>3873</v>
      </c>
      <c r="C67" s="782"/>
      <c r="D67" s="781"/>
      <c r="E67" s="781"/>
      <c r="F67" s="781"/>
      <c r="G67" s="781">
        <v>1</v>
      </c>
      <c r="H67" s="780" t="s">
        <v>3063</v>
      </c>
      <c r="I67" s="776"/>
    </row>
    <row r="68" spans="1:9" ht="15.75">
      <c r="A68" s="805"/>
      <c r="B68" s="806"/>
      <c r="C68" s="807"/>
      <c r="D68" s="808"/>
      <c r="E68" s="808"/>
      <c r="F68" s="808"/>
      <c r="G68" s="808"/>
      <c r="H68" s="809"/>
      <c r="I68" s="812"/>
    </row>
    <row r="69" spans="1:9" ht="15.75">
      <c r="A69" s="802"/>
      <c r="B69" s="804" t="s">
        <v>3871</v>
      </c>
      <c r="C69" s="803"/>
      <c r="D69" s="803"/>
      <c r="E69" s="803"/>
      <c r="F69" s="803"/>
      <c r="G69" s="803"/>
      <c r="H69" s="803"/>
      <c r="I69" s="802"/>
    </row>
    <row r="71" spans="1:9" ht="15.75">
      <c r="B71" s="750"/>
    </row>
    <row r="72" spans="1:9" ht="15.75">
      <c r="B72" s="751"/>
      <c r="F72" s="768"/>
      <c r="G72" s="768"/>
      <c r="H72" s="764" t="s">
        <v>3858</v>
      </c>
      <c r="I72" s="764" t="s">
        <v>3869</v>
      </c>
    </row>
    <row r="73" spans="1:9" ht="15.75">
      <c r="B73" s="750"/>
      <c r="F73" s="769"/>
      <c r="G73" s="769"/>
      <c r="H73" s="765" t="s">
        <v>3901</v>
      </c>
      <c r="I73" s="766">
        <v>100</v>
      </c>
    </row>
    <row r="74" spans="1:9" ht="15.75">
      <c r="F74" s="769"/>
      <c r="G74" s="769"/>
      <c r="H74" s="765" t="s">
        <v>3860</v>
      </c>
      <c r="I74" s="749"/>
    </row>
    <row r="75" spans="1:9" ht="15.75">
      <c r="F75" s="769"/>
      <c r="G75" s="769"/>
      <c r="H75" s="765" t="s">
        <v>3892</v>
      </c>
      <c r="I75" s="766" t="e">
        <f>#REF!/#REF!*100</f>
        <v>#REF!</v>
      </c>
    </row>
    <row r="76" spans="1:9" ht="15.75">
      <c r="F76" s="769"/>
      <c r="G76" s="769"/>
      <c r="H76" s="765" t="s">
        <v>3861</v>
      </c>
      <c r="I76" s="766" t="e">
        <f>#REF!/#REF!*100</f>
        <v>#REF!</v>
      </c>
    </row>
    <row r="77" spans="1:9" ht="15.75">
      <c r="F77" s="770"/>
      <c r="G77" s="770"/>
      <c r="H77" s="767" t="s">
        <v>3874</v>
      </c>
      <c r="I77" s="766">
        <v>3</v>
      </c>
    </row>
    <row r="78" spans="1:9" ht="15.75">
      <c r="F78" s="770"/>
      <c r="G78" s="770"/>
      <c r="H78" s="767" t="s">
        <v>3875</v>
      </c>
      <c r="I78" s="766">
        <v>2</v>
      </c>
    </row>
  </sheetData>
  <mergeCells count="7">
    <mergeCell ref="A8:F8"/>
    <mergeCell ref="H8:I8"/>
    <mergeCell ref="A1:I1"/>
    <mergeCell ref="A2:I2"/>
    <mergeCell ref="A3:I3"/>
    <mergeCell ref="A5:I5"/>
    <mergeCell ref="H7:I7"/>
  </mergeCells>
  <pageMargins left="0.43" right="0.43" top="0.3" bottom="1.48" header="0.3" footer="0.3"/>
  <pageSetup scale="90" fitToHeight="0" orientation="portrait" r:id="rId1"/>
  <headerFooter>
    <oddHeader>&amp;RPage &amp;P of &amp;N</oddHeader>
    <oddFooter>&amp;LPrepared By
Nitesh Basukala
Sub Engineer&amp;CChecked By
Nabin KC
Engineer&amp;RApproved By
Prakash Singh Saud
Engineer</oddFooter>
  </headerFooter>
  <rowBreaks count="1" manualBreakCount="1">
    <brk id="69" max="10"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35132-2E78-429B-81C9-60530022CE5A}">
  <sheetPr>
    <pageSetUpPr fitToPage="1"/>
  </sheetPr>
  <dimension ref="A1:N86"/>
  <sheetViews>
    <sheetView view="pageBreakPreview" topLeftCell="A13" zoomScale="85" zoomScaleNormal="100" zoomScaleSheetLayoutView="85" workbookViewId="0">
      <selection activeCell="I56" sqref="I56:J57"/>
    </sheetView>
  </sheetViews>
  <sheetFormatPr defaultRowHeight="12.75"/>
  <cols>
    <col min="1" max="1" width="8.5703125" style="760" bestFit="1" customWidth="1"/>
    <col min="2" max="2" width="32.5703125" style="837" bestFit="1" customWidth="1"/>
    <col min="3" max="3" width="7.28515625" style="837" bestFit="1" customWidth="1"/>
    <col min="4" max="4" width="9.140625" style="837" bestFit="1" customWidth="1"/>
    <col min="5" max="5" width="10.140625" style="837" bestFit="1" customWidth="1"/>
    <col min="6" max="6" width="8.85546875" style="837" bestFit="1" customWidth="1"/>
    <col min="7" max="7" width="12.85546875" style="837" customWidth="1"/>
    <col min="8" max="8" width="7.140625" style="837" customWidth="1"/>
    <col min="9" max="9" width="13" style="837" customWidth="1"/>
    <col min="10" max="10" width="13.42578125" style="837" customWidth="1"/>
    <col min="11" max="11" width="13.7109375" style="837" customWidth="1"/>
    <col min="12" max="12" width="9.140625" style="837"/>
    <col min="13" max="13" width="12.85546875" style="837" customWidth="1"/>
    <col min="14" max="16384" width="9.140625" style="837"/>
  </cols>
  <sheetData>
    <row r="1" spans="1:14" ht="15.75">
      <c r="A1" s="993" t="s">
        <v>3849</v>
      </c>
      <c r="B1" s="993"/>
      <c r="C1" s="993"/>
      <c r="D1" s="993"/>
      <c r="E1" s="993"/>
      <c r="F1" s="993"/>
      <c r="G1" s="993"/>
      <c r="H1" s="993"/>
      <c r="I1" s="993"/>
      <c r="J1" s="993"/>
      <c r="K1" s="993"/>
      <c r="L1" s="753"/>
    </row>
    <row r="2" spans="1:14" ht="18.75">
      <c r="A2" s="994" t="s">
        <v>3850</v>
      </c>
      <c r="B2" s="994"/>
      <c r="C2" s="994"/>
      <c r="D2" s="994"/>
      <c r="E2" s="994"/>
      <c r="F2" s="994"/>
      <c r="G2" s="994"/>
      <c r="H2" s="994"/>
      <c r="I2" s="994"/>
      <c r="J2" s="994"/>
      <c r="K2" s="994"/>
      <c r="L2" s="754"/>
    </row>
    <row r="3" spans="1:14" ht="15.75">
      <c r="A3" s="995" t="s">
        <v>3851</v>
      </c>
      <c r="B3" s="995"/>
      <c r="C3" s="995"/>
      <c r="D3" s="995"/>
      <c r="E3" s="995"/>
      <c r="F3" s="995"/>
      <c r="G3" s="995"/>
      <c r="H3" s="995"/>
      <c r="I3" s="995"/>
      <c r="J3" s="995"/>
      <c r="K3" s="995"/>
      <c r="L3" s="752"/>
      <c r="M3" s="837" t="s">
        <v>3879</v>
      </c>
      <c r="N3" s="837" t="s">
        <v>544</v>
      </c>
    </row>
    <row r="4" spans="1:14" ht="18.75">
      <c r="A4" s="839"/>
      <c r="B4" s="839"/>
      <c r="C4" s="839"/>
      <c r="D4" s="839"/>
      <c r="E4" s="839"/>
      <c r="F4" s="839"/>
      <c r="G4" s="839"/>
      <c r="H4" s="839"/>
      <c r="I4" s="839"/>
      <c r="J4" s="839"/>
      <c r="K4" s="839"/>
      <c r="L4" s="837" t="s">
        <v>3877</v>
      </c>
      <c r="M4" s="837">
        <v>20</v>
      </c>
      <c r="N4" s="837">
        <v>7.5</v>
      </c>
    </row>
    <row r="5" spans="1:14" ht="18.75">
      <c r="A5" s="996" t="s">
        <v>3900</v>
      </c>
      <c r="B5" s="996"/>
      <c r="C5" s="996"/>
      <c r="D5" s="996"/>
      <c r="E5" s="996"/>
      <c r="F5" s="996"/>
      <c r="G5" s="996"/>
      <c r="H5" s="996"/>
      <c r="I5" s="996"/>
      <c r="J5" s="996"/>
      <c r="K5" s="996"/>
      <c r="L5" s="837" t="s">
        <v>3878</v>
      </c>
      <c r="M5" s="837">
        <v>13.5</v>
      </c>
      <c r="N5" s="837">
        <v>4.0999999999999996</v>
      </c>
    </row>
    <row r="6" spans="1:14" ht="18.75">
      <c r="A6" s="839"/>
      <c r="B6" s="839"/>
      <c r="C6" s="839"/>
      <c r="D6" s="839"/>
      <c r="E6" s="839"/>
      <c r="F6" s="839"/>
      <c r="G6" s="839"/>
      <c r="H6" s="839"/>
      <c r="I6" s="839"/>
      <c r="J6" s="839"/>
      <c r="K6" s="839"/>
      <c r="L6" s="839"/>
    </row>
    <row r="7" spans="1:14" ht="19.5">
      <c r="A7" s="762" t="s">
        <v>3868</v>
      </c>
      <c r="B7" s="763" t="s">
        <v>3899</v>
      </c>
      <c r="C7" s="762"/>
      <c r="D7" s="762"/>
      <c r="E7" s="762"/>
      <c r="F7" s="762"/>
      <c r="G7" s="838"/>
      <c r="H7" s="997" t="s">
        <v>3876</v>
      </c>
      <c r="I7" s="998"/>
      <c r="J7" s="998"/>
      <c r="K7" s="998"/>
    </row>
    <row r="8" spans="1:14" ht="15.75">
      <c r="A8" s="991" t="s">
        <v>3863</v>
      </c>
      <c r="B8" s="991"/>
      <c r="C8" s="991"/>
      <c r="D8" s="991"/>
      <c r="E8" s="991"/>
      <c r="F8" s="991"/>
      <c r="G8" s="748"/>
      <c r="H8" s="992" t="s">
        <v>3902</v>
      </c>
      <c r="I8" s="992"/>
      <c r="J8" s="992"/>
      <c r="K8" s="992"/>
    </row>
    <row r="9" spans="1:14" ht="26.25" customHeight="1">
      <c r="A9" s="761" t="s">
        <v>440</v>
      </c>
      <c r="B9" s="756" t="s">
        <v>3852</v>
      </c>
      <c r="C9" s="757" t="s">
        <v>3853</v>
      </c>
      <c r="D9" s="758" t="s">
        <v>3854</v>
      </c>
      <c r="E9" s="758" t="s">
        <v>3855</v>
      </c>
      <c r="F9" s="758" t="s">
        <v>3856</v>
      </c>
      <c r="G9" s="758" t="s">
        <v>3826</v>
      </c>
      <c r="H9" s="755" t="s">
        <v>443</v>
      </c>
      <c r="I9" s="758" t="s">
        <v>444</v>
      </c>
      <c r="J9" s="758" t="s">
        <v>3857</v>
      </c>
      <c r="K9" s="759" t="s">
        <v>3827</v>
      </c>
    </row>
    <row r="10" spans="1:14" ht="37.5">
      <c r="A10" s="796">
        <v>1</v>
      </c>
      <c r="B10" s="797" t="s">
        <v>3865</v>
      </c>
      <c r="C10" s="798"/>
      <c r="D10" s="799"/>
      <c r="E10" s="799"/>
      <c r="F10" s="799" t="s">
        <v>1866</v>
      </c>
      <c r="G10" s="799"/>
      <c r="H10" s="800"/>
      <c r="I10" s="799"/>
      <c r="J10" s="799"/>
      <c r="K10" s="801"/>
    </row>
    <row r="11" spans="1:14" ht="15.75">
      <c r="A11" s="794"/>
      <c r="B11" s="783" t="s">
        <v>3896</v>
      </c>
      <c r="C11" s="782">
        <v>1</v>
      </c>
      <c r="D11" s="781">
        <v>14.5</v>
      </c>
      <c r="E11" s="781">
        <v>0.5</v>
      </c>
      <c r="F11" s="781">
        <v>1</v>
      </c>
      <c r="G11" s="781">
        <f t="shared" ref="G11:G13" si="0">F11*E11*D11*C11</f>
        <v>7.25</v>
      </c>
      <c r="H11" s="780"/>
      <c r="I11" s="781"/>
      <c r="J11" s="781"/>
      <c r="K11" s="776"/>
    </row>
    <row r="12" spans="1:14" ht="15.75">
      <c r="A12" s="794"/>
      <c r="B12" s="783"/>
      <c r="C12" s="782">
        <v>1</v>
      </c>
      <c r="D12" s="781">
        <v>9</v>
      </c>
      <c r="E12" s="781">
        <v>0.5</v>
      </c>
      <c r="F12" s="781">
        <v>1</v>
      </c>
      <c r="G12" s="781">
        <f t="shared" si="0"/>
        <v>4.5</v>
      </c>
      <c r="H12" s="780"/>
      <c r="I12" s="781"/>
      <c r="J12" s="781"/>
      <c r="K12" s="776"/>
    </row>
    <row r="13" spans="1:14" ht="15.75">
      <c r="A13" s="794"/>
      <c r="B13" s="814" t="s">
        <v>3891</v>
      </c>
      <c r="C13" s="782">
        <v>5</v>
      </c>
      <c r="D13" s="781">
        <v>1.5</v>
      </c>
      <c r="E13" s="781">
        <v>1.2</v>
      </c>
      <c r="F13" s="781">
        <v>0.3</v>
      </c>
      <c r="G13" s="781">
        <f t="shared" si="0"/>
        <v>2.7</v>
      </c>
      <c r="H13" s="780"/>
      <c r="I13" s="781"/>
      <c r="J13" s="781"/>
      <c r="K13" s="776"/>
    </row>
    <row r="14" spans="1:14" ht="15.75">
      <c r="A14" s="794"/>
      <c r="B14" s="784"/>
      <c r="C14" s="782"/>
      <c r="D14" s="781"/>
      <c r="E14" s="781"/>
      <c r="F14" s="781"/>
      <c r="G14" s="781">
        <f>SUM(G11:G13)</f>
        <v>14.45</v>
      </c>
      <c r="H14" s="780" t="s">
        <v>1775</v>
      </c>
      <c r="I14" s="843">
        <f>'[3]Table of Content 2'!$H$19</f>
        <v>663.31</v>
      </c>
      <c r="J14" s="844">
        <f>I14*G14</f>
        <v>9584.829499999998</v>
      </c>
      <c r="K14" s="776"/>
    </row>
    <row r="15" spans="1:14" ht="15.75">
      <c r="A15" s="794"/>
      <c r="B15" s="785"/>
      <c r="C15" s="780"/>
      <c r="D15" s="780"/>
      <c r="E15" s="780"/>
      <c r="F15" s="780"/>
      <c r="G15" s="780"/>
      <c r="H15" s="780"/>
      <c r="I15" s="844"/>
      <c r="J15" s="844"/>
      <c r="K15" s="774"/>
    </row>
    <row r="16" spans="1:14" ht="18">
      <c r="A16" s="794">
        <v>2</v>
      </c>
      <c r="B16" s="786" t="s">
        <v>3872</v>
      </c>
      <c r="C16" s="782"/>
      <c r="D16" s="781"/>
      <c r="E16" s="781"/>
      <c r="F16" s="781"/>
      <c r="G16" s="781"/>
      <c r="H16" s="780"/>
      <c r="I16" s="844"/>
      <c r="J16" s="844"/>
      <c r="K16" s="776"/>
    </row>
    <row r="17" spans="1:14" ht="15.75">
      <c r="A17" s="794"/>
      <c r="B17" s="783" t="str">
        <f>B11</f>
        <v>Peripheral wall</v>
      </c>
      <c r="C17" s="782">
        <f>C11</f>
        <v>1</v>
      </c>
      <c r="D17" s="782">
        <f>D11</f>
        <v>14.5</v>
      </c>
      <c r="E17" s="782">
        <f>E11</f>
        <v>0.5</v>
      </c>
      <c r="F17" s="781">
        <v>1.4</v>
      </c>
      <c r="G17" s="781">
        <f t="shared" ref="G17:G23" si="1">F17*E17*D17*C17</f>
        <v>10.149999999999999</v>
      </c>
      <c r="H17" s="780"/>
      <c r="I17" s="844"/>
      <c r="J17" s="844"/>
      <c r="K17" s="776"/>
      <c r="M17" s="837">
        <f>7.5*3.28</f>
        <v>24.599999999999998</v>
      </c>
    </row>
    <row r="18" spans="1:14" ht="15.75">
      <c r="A18" s="794" t="s">
        <v>1866</v>
      </c>
      <c r="B18" s="783"/>
      <c r="C18" s="782">
        <f>C12</f>
        <v>1</v>
      </c>
      <c r="D18" s="782">
        <f>D12</f>
        <v>9</v>
      </c>
      <c r="E18" s="782">
        <f>E12</f>
        <v>0.5</v>
      </c>
      <c r="F18" s="781">
        <v>1.4</v>
      </c>
      <c r="G18" s="781">
        <f t="shared" si="1"/>
        <v>6.3</v>
      </c>
      <c r="H18" s="780"/>
      <c r="I18" s="844"/>
      <c r="J18" s="844"/>
      <c r="K18" s="776"/>
    </row>
    <row r="19" spans="1:14" ht="15.75">
      <c r="A19" s="794"/>
      <c r="B19" s="783" t="str">
        <f>B13</f>
        <v>steps</v>
      </c>
      <c r="C19" s="782">
        <v>1</v>
      </c>
      <c r="D19" s="782">
        <v>2.95</v>
      </c>
      <c r="E19" s="782">
        <v>0.3</v>
      </c>
      <c r="F19" s="781">
        <v>0.15</v>
      </c>
      <c r="G19" s="781">
        <f t="shared" si="1"/>
        <v>0.13275000000000001</v>
      </c>
      <c r="H19" s="780"/>
      <c r="I19" s="844"/>
      <c r="J19" s="844"/>
      <c r="K19" s="776"/>
      <c r="M19" s="837">
        <v>0.15</v>
      </c>
    </row>
    <row r="20" spans="1:14" s="840" customFormat="1" ht="15.75">
      <c r="A20" s="794"/>
      <c r="B20" s="783"/>
      <c r="C20" s="782">
        <v>1</v>
      </c>
      <c r="D20" s="782">
        <v>2.95</v>
      </c>
      <c r="E20" s="782">
        <v>0.4</v>
      </c>
      <c r="F20" s="781">
        <f>0.15*2</f>
        <v>0.3</v>
      </c>
      <c r="G20" s="781">
        <f t="shared" si="1"/>
        <v>0.35399999999999998</v>
      </c>
      <c r="H20" s="780"/>
      <c r="I20" s="844"/>
      <c r="J20" s="844"/>
      <c r="K20" s="776"/>
      <c r="M20" s="840">
        <v>0.15</v>
      </c>
    </row>
    <row r="21" spans="1:14" s="840" customFormat="1" ht="15.75">
      <c r="A21" s="794"/>
      <c r="B21" s="783"/>
      <c r="C21" s="782">
        <v>2</v>
      </c>
      <c r="D21" s="782">
        <v>1.4</v>
      </c>
      <c r="E21" s="782">
        <v>0.3</v>
      </c>
      <c r="F21" s="781">
        <f>F20+0.2</f>
        <v>0.5</v>
      </c>
      <c r="G21" s="781">
        <f t="shared" si="1"/>
        <v>0.42</v>
      </c>
      <c r="H21" s="780"/>
      <c r="I21" s="844"/>
      <c r="J21" s="844"/>
      <c r="K21" s="776"/>
      <c r="M21" s="840">
        <v>0.2</v>
      </c>
    </row>
    <row r="22" spans="1:14" s="840" customFormat="1" ht="15.75">
      <c r="A22" s="794"/>
      <c r="B22" s="783"/>
      <c r="C22" s="782">
        <v>1</v>
      </c>
      <c r="D22" s="782">
        <v>1.4</v>
      </c>
      <c r="E22" s="782">
        <v>0.5</v>
      </c>
      <c r="F22" s="781">
        <v>1.1000000000000001</v>
      </c>
      <c r="G22" s="781">
        <f t="shared" si="1"/>
        <v>0.77</v>
      </c>
      <c r="H22" s="780"/>
      <c r="I22" s="844"/>
      <c r="J22" s="844"/>
      <c r="K22" s="776"/>
      <c r="M22" s="840">
        <v>0.2</v>
      </c>
    </row>
    <row r="23" spans="1:14" s="840" customFormat="1" ht="15.75">
      <c r="A23" s="794"/>
      <c r="B23" s="783"/>
      <c r="C23" s="782">
        <v>1</v>
      </c>
      <c r="D23" s="782">
        <v>1.4</v>
      </c>
      <c r="E23" s="782">
        <v>0.95</v>
      </c>
      <c r="F23" s="781">
        <v>0.4</v>
      </c>
      <c r="G23" s="781">
        <f t="shared" si="1"/>
        <v>0.53199999999999992</v>
      </c>
      <c r="H23" s="780"/>
      <c r="I23" s="844"/>
      <c r="J23" s="844"/>
      <c r="K23" s="776"/>
      <c r="M23" s="840">
        <v>0.2</v>
      </c>
    </row>
    <row r="24" spans="1:14" ht="15.75">
      <c r="A24" s="794"/>
      <c r="B24" s="787"/>
      <c r="C24" s="782"/>
      <c r="D24" s="781"/>
      <c r="E24" s="781"/>
      <c r="F24" s="781"/>
      <c r="G24" s="771">
        <f>SUM(G17:G23)</f>
        <v>18.658750000000001</v>
      </c>
      <c r="H24" s="780" t="s">
        <v>1775</v>
      </c>
      <c r="I24" s="843">
        <f>'[3]Table of Content 2'!$H$55</f>
        <v>12071.97</v>
      </c>
      <c r="J24" s="843">
        <f>G24*I24</f>
        <v>225247.8702375</v>
      </c>
      <c r="K24" s="776"/>
      <c r="M24" s="837">
        <v>0.4</v>
      </c>
    </row>
    <row r="25" spans="1:14" ht="15.75">
      <c r="A25" s="794"/>
      <c r="B25" s="772" t="s">
        <v>3885</v>
      </c>
      <c r="C25" s="782"/>
      <c r="D25" s="781"/>
      <c r="E25" s="781"/>
      <c r="F25" s="781"/>
      <c r="G25" s="771"/>
      <c r="H25" s="771"/>
      <c r="I25" s="843"/>
      <c r="J25" s="843">
        <f>'[3]Update Descrip'!$G$547*G24*0.13</f>
        <v>3119.0787485000005</v>
      </c>
      <c r="K25" s="776"/>
    </row>
    <row r="26" spans="1:14" ht="15.75">
      <c r="A26" s="794"/>
      <c r="B26" s="772" t="s">
        <v>3886</v>
      </c>
      <c r="C26" s="782"/>
      <c r="D26" s="781"/>
      <c r="E26" s="781"/>
      <c r="F26" s="781"/>
      <c r="G26" s="771"/>
      <c r="H26" s="771"/>
      <c r="I26" s="843"/>
      <c r="J26" s="843">
        <f>'[3]Update Descrip'!$G$548*G24*0.13</f>
        <v>3622.9564263750003</v>
      </c>
      <c r="K26" s="776"/>
    </row>
    <row r="27" spans="1:14" ht="15.75">
      <c r="A27" s="794"/>
      <c r="B27" s="772" t="s">
        <v>3884</v>
      </c>
      <c r="C27" s="782"/>
      <c r="D27" s="781"/>
      <c r="E27" s="781"/>
      <c r="F27" s="781"/>
      <c r="G27" s="771"/>
      <c r="H27" s="771"/>
      <c r="I27" s="843"/>
      <c r="J27" s="843">
        <f>'[3]Update Descrip'!$G$549*G24*0.13</f>
        <v>6252.3959891250006</v>
      </c>
      <c r="K27" s="776"/>
    </row>
    <row r="28" spans="1:14" ht="15.75">
      <c r="A28" s="794"/>
      <c r="B28" s="783"/>
      <c r="C28" s="782"/>
      <c r="D28" s="781"/>
      <c r="E28" s="781"/>
      <c r="F28" s="781"/>
      <c r="G28" s="771"/>
      <c r="H28" s="771"/>
      <c r="I28" s="843"/>
      <c r="J28" s="843"/>
      <c r="K28" s="776"/>
    </row>
    <row r="29" spans="1:14" ht="37.5">
      <c r="A29" s="794">
        <v>3</v>
      </c>
      <c r="B29" s="775" t="s">
        <v>3864</v>
      </c>
      <c r="C29" s="782"/>
      <c r="D29" s="781"/>
      <c r="E29" s="781"/>
      <c r="F29" s="781"/>
      <c r="G29" s="781"/>
      <c r="H29" s="780"/>
      <c r="I29" s="844"/>
      <c r="J29" s="844"/>
      <c r="K29" s="776"/>
      <c r="N29" s="837">
        <f>9/0.35</f>
        <v>25.714285714285715</v>
      </c>
    </row>
    <row r="30" spans="1:14" ht="15.75">
      <c r="A30" s="794"/>
      <c r="B30" s="783" t="str">
        <f>B11</f>
        <v>Peripheral wall</v>
      </c>
      <c r="C30" s="788">
        <v>1</v>
      </c>
      <c r="D30" s="788">
        <f>D17</f>
        <v>14.5</v>
      </c>
      <c r="E30" s="788">
        <v>0.5</v>
      </c>
      <c r="F30" s="813">
        <v>7.4999999999999997E-2</v>
      </c>
      <c r="G30" s="781">
        <f t="shared" ref="G30:G33" si="2">F30*E30*D30*C30</f>
        <v>0.54374999999999996</v>
      </c>
      <c r="H30" s="780"/>
      <c r="I30" s="844"/>
      <c r="J30" s="844"/>
      <c r="K30" s="776"/>
    </row>
    <row r="31" spans="1:14" ht="15.75">
      <c r="A31" s="794"/>
      <c r="B31" s="783"/>
      <c r="C31" s="788">
        <v>1</v>
      </c>
      <c r="D31" s="788">
        <f>D18</f>
        <v>9</v>
      </c>
      <c r="E31" s="788">
        <v>0.5</v>
      </c>
      <c r="F31" s="813">
        <v>7.4999999999999997E-2</v>
      </c>
      <c r="G31" s="781">
        <f t="shared" si="2"/>
        <v>0.33749999999999997</v>
      </c>
      <c r="H31" s="780"/>
      <c r="I31" s="844"/>
      <c r="J31" s="844"/>
      <c r="K31" s="776"/>
    </row>
    <row r="32" spans="1:14" ht="15.75">
      <c r="A32" s="794"/>
      <c r="B32" s="783" t="str">
        <f>B13</f>
        <v>steps</v>
      </c>
      <c r="C32" s="788">
        <v>0</v>
      </c>
      <c r="D32" s="788">
        <v>1.2</v>
      </c>
      <c r="E32" s="788">
        <v>0.4</v>
      </c>
      <c r="F32" s="813">
        <v>7.4999999999999997E-2</v>
      </c>
      <c r="G32" s="781">
        <f t="shared" si="2"/>
        <v>0</v>
      </c>
      <c r="H32" s="780"/>
      <c r="I32" s="844"/>
      <c r="J32" s="844"/>
      <c r="K32" s="776"/>
    </row>
    <row r="33" spans="1:13" s="840" customFormat="1" ht="15.75">
      <c r="A33" s="794"/>
      <c r="B33" s="783"/>
      <c r="C33" s="788">
        <v>1</v>
      </c>
      <c r="D33" s="788">
        <v>11</v>
      </c>
      <c r="E33" s="788">
        <v>0.3</v>
      </c>
      <c r="F33" s="813">
        <v>0.2</v>
      </c>
      <c r="G33" s="781">
        <f t="shared" si="2"/>
        <v>0.65999999999999992</v>
      </c>
      <c r="H33" s="780"/>
      <c r="I33" s="844"/>
      <c r="J33" s="844"/>
      <c r="K33" s="776"/>
    </row>
    <row r="34" spans="1:13" ht="15.75">
      <c r="A34" s="794"/>
      <c r="B34" s="784"/>
      <c r="C34" s="782"/>
      <c r="D34" s="781"/>
      <c r="E34" s="781"/>
      <c r="F34" s="781"/>
      <c r="G34" s="772">
        <f>SUM(G30:G33)</f>
        <v>1.5412499999999998</v>
      </c>
      <c r="H34" s="780" t="s">
        <v>1775</v>
      </c>
      <c r="I34" s="843">
        <f>'[3]Table of Content 2'!$H$66</f>
        <v>15498.1</v>
      </c>
      <c r="J34" s="843">
        <f>I34*G34</f>
        <v>23886.446624999997</v>
      </c>
      <c r="K34" s="776"/>
    </row>
    <row r="35" spans="1:13" ht="15.75">
      <c r="A35" s="794"/>
      <c r="B35" s="772" t="s">
        <v>3885</v>
      </c>
      <c r="C35" s="782"/>
      <c r="D35" s="781"/>
      <c r="E35" s="781"/>
      <c r="F35" s="781"/>
      <c r="G35" s="772"/>
      <c r="H35" s="771"/>
      <c r="I35" s="843"/>
      <c r="J35" s="843">
        <f>'[3]Update Descrip'!$G$660*G34*0.13</f>
        <v>777.79119600000001</v>
      </c>
      <c r="K35" s="776"/>
    </row>
    <row r="36" spans="1:13" ht="15.75">
      <c r="A36" s="794"/>
      <c r="B36" s="772" t="s">
        <v>3886</v>
      </c>
      <c r="C36" s="782"/>
      <c r="D36" s="781"/>
      <c r="E36" s="781"/>
      <c r="F36" s="781"/>
      <c r="G36" s="772"/>
      <c r="H36" s="771"/>
      <c r="I36" s="843"/>
      <c r="J36" s="843">
        <f>'[3]Update Descrip'!$G$664*G34*0.13</f>
        <v>283.34463299999999</v>
      </c>
      <c r="K36" s="776"/>
    </row>
    <row r="37" spans="1:13" ht="15.75">
      <c r="A37" s="794"/>
      <c r="B37" s="772" t="s">
        <v>3887</v>
      </c>
      <c r="C37" s="782"/>
      <c r="D37" s="781"/>
      <c r="E37" s="781"/>
      <c r="F37" s="781"/>
      <c r="G37" s="772"/>
      <c r="H37" s="771"/>
      <c r="I37" s="843"/>
      <c r="J37" s="843">
        <f>('[3]Update Descrip'!$G$661+'[3]Update Descrip'!$G$662+'[3]Update Descrip'!$G$663)*G34*0.13</f>
        <v>548.99926087499989</v>
      </c>
      <c r="K37" s="776"/>
    </row>
    <row r="38" spans="1:13" ht="15.75">
      <c r="A38" s="794"/>
      <c r="B38" s="789"/>
      <c r="C38" s="782"/>
      <c r="D38" s="781"/>
      <c r="E38" s="779"/>
      <c r="F38" s="781"/>
      <c r="G38" s="771"/>
      <c r="H38" s="780"/>
      <c r="I38" s="844"/>
      <c r="J38" s="844"/>
      <c r="K38" s="776"/>
    </row>
    <row r="39" spans="1:13" ht="37.5">
      <c r="A39" s="794">
        <v>4</v>
      </c>
      <c r="B39" s="775" t="s">
        <v>3862</v>
      </c>
      <c r="C39" s="782"/>
      <c r="D39" s="782"/>
      <c r="E39" s="782"/>
      <c r="F39" s="781"/>
      <c r="G39" s="781"/>
      <c r="H39" s="780"/>
      <c r="I39" s="844"/>
      <c r="J39" s="844"/>
      <c r="K39" s="776"/>
    </row>
    <row r="40" spans="1:13" ht="15.75">
      <c r="A40" s="794"/>
      <c r="B40" s="771" t="str">
        <f>B11</f>
        <v>Peripheral wall</v>
      </c>
      <c r="C40" s="782">
        <f>C11</f>
        <v>1</v>
      </c>
      <c r="D40" s="782">
        <f>D11</f>
        <v>14.5</v>
      </c>
      <c r="E40" s="782">
        <f>E30</f>
        <v>0.5</v>
      </c>
      <c r="F40" s="781">
        <v>0.15</v>
      </c>
      <c r="G40" s="781">
        <f t="shared" ref="G40:G41" si="3">F40*E40*D40*C40</f>
        <v>1.0874999999999999</v>
      </c>
      <c r="H40" s="780"/>
      <c r="I40" s="844"/>
      <c r="J40" s="844"/>
      <c r="K40" s="776"/>
    </row>
    <row r="41" spans="1:13" ht="15.75">
      <c r="A41" s="794"/>
      <c r="B41" s="771"/>
      <c r="C41" s="782">
        <f>C12</f>
        <v>1</v>
      </c>
      <c r="D41" s="782">
        <f>D12</f>
        <v>9</v>
      </c>
      <c r="E41" s="782">
        <f>E31</f>
        <v>0.5</v>
      </c>
      <c r="F41" s="781">
        <v>0.15</v>
      </c>
      <c r="G41" s="781">
        <f t="shared" si="3"/>
        <v>0.67499999999999993</v>
      </c>
      <c r="H41" s="780"/>
      <c r="I41" s="844"/>
      <c r="J41" s="844"/>
      <c r="K41" s="776"/>
    </row>
    <row r="42" spans="1:13" ht="15.75">
      <c r="A42" s="794"/>
      <c r="B42" s="790"/>
      <c r="C42" s="782"/>
      <c r="D42" s="781"/>
      <c r="E42" s="781"/>
      <c r="F42" s="781"/>
      <c r="G42" s="772">
        <f>SUM(G40:G41)</f>
        <v>1.7624999999999997</v>
      </c>
      <c r="H42" s="780" t="s">
        <v>1775</v>
      </c>
      <c r="I42" s="843">
        <f>'[3]Table of Content 2'!$H$58</f>
        <v>4473.1499999999996</v>
      </c>
      <c r="J42" s="843">
        <f>I42*G42</f>
        <v>7883.9268749999983</v>
      </c>
      <c r="K42" s="776"/>
    </row>
    <row r="43" spans="1:13" ht="15.75">
      <c r="A43" s="794"/>
      <c r="B43" s="777" t="s">
        <v>3890</v>
      </c>
      <c r="C43" s="782"/>
      <c r="D43" s="781"/>
      <c r="E43" s="781"/>
      <c r="F43" s="781"/>
      <c r="G43" s="772"/>
      <c r="H43" s="771"/>
      <c r="I43" s="843"/>
      <c r="J43" s="843">
        <f>'[3]Update Descrip'!$H$588*G42*0.13</f>
        <v>708.71799374999989</v>
      </c>
      <c r="K43" s="776"/>
    </row>
    <row r="44" spans="1:13" ht="15.75">
      <c r="A44" s="794"/>
      <c r="B44" s="772"/>
      <c r="C44" s="782"/>
      <c r="D44" s="781"/>
      <c r="E44" s="781"/>
      <c r="F44" s="781"/>
      <c r="G44" s="781"/>
      <c r="H44" s="780"/>
      <c r="I44" s="843"/>
      <c r="J44" s="843"/>
      <c r="K44" s="776"/>
    </row>
    <row r="45" spans="1:13" ht="31.5">
      <c r="A45" s="794">
        <v>5</v>
      </c>
      <c r="B45" s="829" t="s">
        <v>3866</v>
      </c>
      <c r="C45" s="830"/>
      <c r="D45" s="831"/>
      <c r="E45" s="831"/>
      <c r="F45" s="831"/>
      <c r="G45" s="831"/>
      <c r="H45" s="828"/>
      <c r="I45" s="845"/>
      <c r="J45" s="846"/>
      <c r="K45" s="832"/>
      <c r="M45" s="259"/>
    </row>
    <row r="46" spans="1:13" ht="15.75">
      <c r="A46" s="794"/>
      <c r="B46" s="833" t="s">
        <v>3897</v>
      </c>
      <c r="C46" s="835">
        <f>ROUNDUP((D40+D41)/3,0)</f>
        <v>8</v>
      </c>
      <c r="D46" s="831">
        <f>8/3.28</f>
        <v>2.4390243902439024</v>
      </c>
      <c r="E46" s="831"/>
      <c r="F46" s="831">
        <v>3.32</v>
      </c>
      <c r="G46" s="831">
        <f t="shared" ref="G46:G50" si="4">C46*D46*F46</f>
        <v>64.780487804878049</v>
      </c>
      <c r="H46" s="825"/>
      <c r="I46" s="847"/>
      <c r="J46" s="847"/>
      <c r="K46" s="825"/>
    </row>
    <row r="47" spans="1:13" s="840" customFormat="1" ht="15.75">
      <c r="A47" s="794"/>
      <c r="B47" s="833"/>
      <c r="C47" s="835">
        <v>4</v>
      </c>
      <c r="D47" s="831">
        <v>1.9</v>
      </c>
      <c r="E47" s="831"/>
      <c r="F47" s="831">
        <v>3.32</v>
      </c>
      <c r="G47" s="831">
        <f t="shared" si="4"/>
        <v>25.231999999999999</v>
      </c>
      <c r="H47" s="825"/>
      <c r="I47" s="847"/>
      <c r="J47" s="847"/>
      <c r="K47" s="825"/>
    </row>
    <row r="48" spans="1:13" ht="15.75">
      <c r="A48" s="794"/>
      <c r="B48" s="833" t="s">
        <v>3898</v>
      </c>
      <c r="C48" s="834">
        <v>1</v>
      </c>
      <c r="D48" s="831">
        <f>D40+D41</f>
        <v>23.5</v>
      </c>
      <c r="E48" s="831"/>
      <c r="F48" s="831">
        <v>3.32</v>
      </c>
      <c r="G48" s="831">
        <f t="shared" si="4"/>
        <v>78.02</v>
      </c>
      <c r="H48" s="825"/>
      <c r="I48" s="847"/>
      <c r="J48" s="847"/>
      <c r="K48" s="825"/>
    </row>
    <row r="49" spans="1:11" s="840" customFormat="1" ht="15.75">
      <c r="A49" s="794"/>
      <c r="B49" s="833"/>
      <c r="C49" s="834">
        <v>8</v>
      </c>
      <c r="D49" s="831">
        <v>1.7</v>
      </c>
      <c r="E49" s="831"/>
      <c r="F49" s="831">
        <v>3.32</v>
      </c>
      <c r="G49" s="831">
        <f t="shared" si="4"/>
        <v>45.151999999999994</v>
      </c>
      <c r="H49" s="825"/>
      <c r="I49" s="847"/>
      <c r="J49" s="847"/>
      <c r="K49" s="849"/>
    </row>
    <row r="50" spans="1:11" s="840" customFormat="1" ht="15.75">
      <c r="A50" s="794"/>
      <c r="B50" s="833"/>
      <c r="C50" s="834">
        <v>8</v>
      </c>
      <c r="D50" s="831">
        <v>1.4</v>
      </c>
      <c r="E50" s="831"/>
      <c r="F50" s="831">
        <v>3.32</v>
      </c>
      <c r="G50" s="831">
        <f t="shared" si="4"/>
        <v>37.183999999999997</v>
      </c>
      <c r="H50" s="825"/>
      <c r="I50" s="847"/>
      <c r="J50" s="847"/>
      <c r="K50" s="849"/>
    </row>
    <row r="51" spans="1:11" ht="15.75">
      <c r="A51" s="794"/>
      <c r="B51" s="833" t="s">
        <v>3881</v>
      </c>
      <c r="C51" s="834">
        <v>8</v>
      </c>
      <c r="D51" s="831">
        <v>3</v>
      </c>
      <c r="E51" s="831"/>
      <c r="F51" s="831">
        <v>3.32</v>
      </c>
      <c r="G51" s="831">
        <f>C51*D51*F51</f>
        <v>79.679999999999993</v>
      </c>
      <c r="H51" s="825"/>
      <c r="I51" s="847"/>
      <c r="J51" s="847"/>
    </row>
    <row r="52" spans="1:11" s="840" customFormat="1" ht="15.75">
      <c r="A52" s="794"/>
      <c r="B52" s="833" t="s">
        <v>3903</v>
      </c>
      <c r="C52" s="834">
        <v>4</v>
      </c>
      <c r="D52" s="831">
        <v>2.9</v>
      </c>
      <c r="E52" s="831"/>
      <c r="F52" s="831">
        <v>3.32</v>
      </c>
      <c r="G52" s="831">
        <f t="shared" ref="G52:G53" si="5">C52*D52*F52</f>
        <v>38.512</v>
      </c>
      <c r="H52" s="825"/>
      <c r="I52" s="847"/>
      <c r="J52" s="847"/>
    </row>
    <row r="53" spans="1:11" s="840" customFormat="1" ht="15.75">
      <c r="A53" s="794"/>
      <c r="B53" s="833"/>
      <c r="C53" s="834">
        <v>2</v>
      </c>
      <c r="D53" s="831">
        <v>0.7</v>
      </c>
      <c r="E53" s="831"/>
      <c r="F53" s="831">
        <v>3.32</v>
      </c>
      <c r="G53" s="831">
        <f t="shared" si="5"/>
        <v>4.6479999999999997</v>
      </c>
      <c r="H53" s="825"/>
      <c r="I53" s="847"/>
      <c r="J53" s="847"/>
    </row>
    <row r="54" spans="1:11" s="840" customFormat="1" ht="15.75">
      <c r="A54" s="794"/>
      <c r="B54" s="833"/>
      <c r="C54" s="834"/>
      <c r="D54" s="831"/>
      <c r="E54" s="831"/>
      <c r="F54" s="831"/>
      <c r="G54" s="781">
        <f>SUM(G46:G53)</f>
        <v>373.20848780487802</v>
      </c>
      <c r="H54" s="825"/>
      <c r="I54" s="847"/>
      <c r="J54" s="847"/>
    </row>
    <row r="55" spans="1:11" s="840" customFormat="1" ht="15.75">
      <c r="A55" s="794"/>
      <c r="B55" s="833" t="s">
        <v>3904</v>
      </c>
      <c r="C55" s="834"/>
      <c r="D55" s="831"/>
      <c r="E55" s="831"/>
      <c r="F55" s="831"/>
      <c r="G55" s="831">
        <f>0.05*G54</f>
        <v>18.6604243902439</v>
      </c>
      <c r="H55" s="825"/>
      <c r="I55" s="847"/>
      <c r="J55" s="847"/>
    </row>
    <row r="56" spans="1:11" ht="15.75">
      <c r="A56" s="794"/>
      <c r="B56" s="814"/>
      <c r="C56" s="791"/>
      <c r="D56" s="781"/>
      <c r="E56" s="781"/>
      <c r="F56" s="781"/>
      <c r="G56" s="831">
        <f>SUM(G54:G55)</f>
        <v>391.86891219512194</v>
      </c>
      <c r="H56" s="828" t="s">
        <v>2960</v>
      </c>
      <c r="I56" s="844">
        <f>'[3]Table of Content 2'!$H$343</f>
        <v>181.17</v>
      </c>
      <c r="J56" s="843">
        <f>I56*G56</f>
        <v>70994.89082239024</v>
      </c>
      <c r="K56" s="776"/>
    </row>
    <row r="57" spans="1:11" ht="15.75">
      <c r="A57" s="794"/>
      <c r="B57" s="814"/>
      <c r="C57" s="791"/>
      <c r="D57" s="781"/>
      <c r="E57" s="781"/>
      <c r="F57" s="781"/>
      <c r="G57" s="781"/>
      <c r="H57" s="828"/>
      <c r="I57" s="844"/>
      <c r="J57" s="843">
        <f>0.13*J56</f>
        <v>9229.3358069107308</v>
      </c>
      <c r="K57" s="776"/>
    </row>
    <row r="58" spans="1:11" ht="15.75">
      <c r="A58" s="794"/>
      <c r="B58" s="814"/>
      <c r="C58" s="791"/>
      <c r="D58" s="781"/>
      <c r="E58" s="781"/>
      <c r="F58" s="781"/>
      <c r="G58" s="781"/>
      <c r="H58" s="780"/>
      <c r="I58" s="843"/>
      <c r="J58" s="843"/>
      <c r="K58" s="776"/>
    </row>
    <row r="59" spans="1:11" ht="56.25">
      <c r="A59" s="794">
        <v>6</v>
      </c>
      <c r="B59" s="775" t="s">
        <v>3867</v>
      </c>
      <c r="C59" s="834">
        <v>1</v>
      </c>
      <c r="D59" s="834">
        <f>25</f>
        <v>25</v>
      </c>
      <c r="E59" s="834"/>
      <c r="F59" s="834">
        <v>3</v>
      </c>
      <c r="G59" s="834">
        <f>D59*F59</f>
        <v>75</v>
      </c>
      <c r="K59" s="776"/>
    </row>
    <row r="60" spans="1:11" s="840" customFormat="1" ht="15.75">
      <c r="A60" s="794"/>
      <c r="C60" s="834"/>
      <c r="D60" s="834"/>
      <c r="E60" s="834"/>
      <c r="F60" s="834"/>
      <c r="G60" s="834">
        <f>G59*0.05</f>
        <v>3.75</v>
      </c>
      <c r="H60" s="836"/>
      <c r="I60" s="843"/>
      <c r="J60" s="843"/>
      <c r="K60" s="776"/>
    </row>
    <row r="61" spans="1:11" ht="15.75">
      <c r="A61" s="794"/>
      <c r="B61" s="833" t="s">
        <v>3904</v>
      </c>
      <c r="C61" s="791"/>
      <c r="D61" s="781"/>
      <c r="E61" s="781"/>
      <c r="F61" s="781"/>
      <c r="G61" s="781">
        <f>SUM(G59:G60)</f>
        <v>78.75</v>
      </c>
      <c r="H61" s="836" t="s">
        <v>1769</v>
      </c>
      <c r="I61" s="843">
        <f>'[3]Table of Content 2'!$H$100</f>
        <v>1070.9043478260869</v>
      </c>
      <c r="J61" s="843">
        <f>I61*G61</f>
        <v>84333.717391304337</v>
      </c>
      <c r="K61" s="776"/>
    </row>
    <row r="62" spans="1:11" s="840" customFormat="1" ht="15.75">
      <c r="A62" s="794"/>
      <c r="B62" s="814" t="s">
        <v>3888</v>
      </c>
      <c r="C62" s="791"/>
      <c r="D62" s="781"/>
      <c r="E62" s="781"/>
      <c r="F62" s="781"/>
      <c r="G62" s="781"/>
      <c r="H62" s="836"/>
      <c r="I62" s="843"/>
      <c r="J62" s="843">
        <f>'[3]Update Descrip'!$H$1144/10*G61*0.13</f>
        <v>8406.6459749999995</v>
      </c>
      <c r="K62" s="776"/>
    </row>
    <row r="63" spans="1:11" ht="15.75">
      <c r="A63" s="794"/>
      <c r="B63" s="814"/>
      <c r="C63" s="791"/>
      <c r="D63" s="781"/>
      <c r="E63" s="781"/>
      <c r="F63" s="781"/>
      <c r="G63" s="781"/>
      <c r="H63" s="780"/>
      <c r="I63" s="843"/>
      <c r="J63" s="843"/>
      <c r="K63" s="776"/>
    </row>
    <row r="64" spans="1:11" ht="37.5" hidden="1">
      <c r="A64" s="794">
        <v>10</v>
      </c>
      <c r="B64" s="773" t="s">
        <v>3299</v>
      </c>
      <c r="C64" s="782">
        <v>0</v>
      </c>
      <c r="D64" s="782">
        <f>N4</f>
        <v>7.5</v>
      </c>
      <c r="E64" s="782"/>
      <c r="F64" s="782">
        <f>9/3.28</f>
        <v>2.7439024390243905</v>
      </c>
      <c r="G64" s="781">
        <f>C64*D64*F64</f>
        <v>0</v>
      </c>
      <c r="H64" s="781"/>
      <c r="I64" s="844"/>
      <c r="J64" s="844"/>
      <c r="K64" s="781"/>
    </row>
    <row r="65" spans="1:11" ht="15.75" hidden="1">
      <c r="A65" s="778"/>
      <c r="B65" s="792"/>
      <c r="C65" s="782">
        <v>0</v>
      </c>
      <c r="D65" s="782">
        <f>N5-0.15*2</f>
        <v>3.8</v>
      </c>
      <c r="E65" s="782"/>
      <c r="F65" s="782">
        <f>9/3.28</f>
        <v>2.7439024390243905</v>
      </c>
      <c r="G65" s="781">
        <f>C65*D65*F65</f>
        <v>0</v>
      </c>
      <c r="H65" s="780"/>
      <c r="I65" s="843"/>
      <c r="J65" s="848"/>
      <c r="K65" s="776"/>
    </row>
    <row r="66" spans="1:11" ht="15.75" hidden="1">
      <c r="A66" s="778"/>
      <c r="B66" s="792" t="s">
        <v>3882</v>
      </c>
      <c r="C66" s="782">
        <v>0</v>
      </c>
      <c r="D66" s="782">
        <f>4/3.28</f>
        <v>1.2195121951219512</v>
      </c>
      <c r="E66" s="782"/>
      <c r="F66" s="782">
        <f>7/3.28</f>
        <v>2.1341463414634148</v>
      </c>
      <c r="G66" s="781">
        <f t="shared" ref="G66:G67" si="6">C66*D66*F66</f>
        <v>0</v>
      </c>
      <c r="H66" s="780"/>
      <c r="I66" s="843"/>
      <c r="J66" s="848"/>
      <c r="K66" s="776"/>
    </row>
    <row r="67" spans="1:11" ht="15.75" hidden="1">
      <c r="A67" s="778"/>
      <c r="B67" s="792" t="s">
        <v>3883</v>
      </c>
      <c r="C67" s="782">
        <v>0</v>
      </c>
      <c r="D67" s="782">
        <f>3/3.28</f>
        <v>0.91463414634146345</v>
      </c>
      <c r="E67" s="782"/>
      <c r="F67" s="782">
        <f>4/3.28</f>
        <v>1.2195121951219512</v>
      </c>
      <c r="G67" s="781">
        <f t="shared" si="6"/>
        <v>0</v>
      </c>
      <c r="H67" s="780"/>
      <c r="I67" s="843"/>
      <c r="J67" s="848"/>
      <c r="K67" s="776"/>
    </row>
    <row r="68" spans="1:11" ht="15.75" hidden="1">
      <c r="A68" s="778"/>
      <c r="B68" s="792"/>
      <c r="C68" s="782"/>
      <c r="D68" s="781"/>
      <c r="E68" s="781"/>
      <c r="F68" s="781"/>
      <c r="G68" s="781">
        <f>SUM(G64:G67)</f>
        <v>0</v>
      </c>
      <c r="H68" s="780" t="s">
        <v>3839</v>
      </c>
      <c r="I68" s="843">
        <f>'[3]Table of Content 2'!$H$62</f>
        <v>1876.25</v>
      </c>
      <c r="J68" s="843">
        <f>G68*I68</f>
        <v>0</v>
      </c>
      <c r="K68" s="776"/>
    </row>
    <row r="69" spans="1:11" ht="15.75" hidden="1">
      <c r="A69" s="778"/>
      <c r="B69" s="795" t="s">
        <v>3889</v>
      </c>
      <c r="C69" s="782"/>
      <c r="D69" s="781"/>
      <c r="E69" s="781"/>
      <c r="F69" s="781"/>
      <c r="G69" s="781"/>
      <c r="H69" s="780"/>
      <c r="I69" s="843"/>
      <c r="J69" s="843">
        <f>'[3]Update Descrip'!$G$598*G68*0.13</f>
        <v>0</v>
      </c>
      <c r="K69" s="776"/>
    </row>
    <row r="70" spans="1:11" ht="15.75" hidden="1">
      <c r="A70" s="778"/>
      <c r="B70" s="795" t="s">
        <v>3885</v>
      </c>
      <c r="C70" s="782"/>
      <c r="D70" s="781"/>
      <c r="E70" s="781"/>
      <c r="F70" s="781"/>
      <c r="G70" s="781"/>
      <c r="H70" s="780"/>
      <c r="I70" s="843"/>
      <c r="J70" s="843">
        <f>'[3]Update Descrip'!$G$599*G68*0.13</f>
        <v>0</v>
      </c>
      <c r="K70" s="776"/>
    </row>
    <row r="71" spans="1:11" ht="15.75" hidden="1">
      <c r="A71" s="778"/>
      <c r="B71" s="795" t="s">
        <v>3886</v>
      </c>
      <c r="C71" s="782"/>
      <c r="D71" s="781"/>
      <c r="E71" s="781"/>
      <c r="F71" s="781"/>
      <c r="G71" s="781"/>
      <c r="H71" s="780"/>
      <c r="I71" s="843"/>
      <c r="J71" s="843">
        <f>'[3]Update Descrip'!$G$600*G68*0.13</f>
        <v>0</v>
      </c>
      <c r="K71" s="776"/>
    </row>
    <row r="72" spans="1:11" ht="15.75" hidden="1">
      <c r="A72" s="778"/>
      <c r="B72" s="792"/>
      <c r="C72" s="782"/>
      <c r="D72" s="781"/>
      <c r="E72" s="781"/>
      <c r="F72" s="781"/>
      <c r="G72" s="781"/>
      <c r="H72" s="780"/>
      <c r="I72" s="843"/>
      <c r="J72" s="843"/>
      <c r="K72" s="776"/>
    </row>
    <row r="73" spans="1:11" ht="15.75" hidden="1">
      <c r="A73" s="794">
        <v>11</v>
      </c>
      <c r="B73" s="795"/>
      <c r="C73" s="782"/>
      <c r="D73" s="781"/>
      <c r="E73" s="781"/>
      <c r="F73" s="781"/>
      <c r="G73" s="781"/>
      <c r="H73" s="780"/>
      <c r="I73" s="843"/>
      <c r="J73" s="843"/>
      <c r="K73" s="776"/>
    </row>
    <row r="74" spans="1:11" ht="15.75" hidden="1">
      <c r="A74" s="778"/>
      <c r="B74" s="792"/>
      <c r="C74" s="782"/>
      <c r="D74" s="781"/>
      <c r="E74" s="781"/>
      <c r="F74" s="781"/>
      <c r="G74" s="781"/>
      <c r="H74" s="780"/>
      <c r="I74" s="843"/>
      <c r="J74" s="848"/>
      <c r="K74" s="776"/>
    </row>
    <row r="75" spans="1:11" ht="15.75">
      <c r="A75" s="794">
        <v>7</v>
      </c>
      <c r="B75" s="795" t="s">
        <v>3873</v>
      </c>
      <c r="C75" s="782"/>
      <c r="D75" s="781"/>
      <c r="E75" s="781"/>
      <c r="F75" s="781"/>
      <c r="G75" s="781">
        <v>1</v>
      </c>
      <c r="H75" s="780" t="s">
        <v>3063</v>
      </c>
      <c r="I75" s="843">
        <v>1000</v>
      </c>
      <c r="J75" s="843">
        <f>G75*I75</f>
        <v>1000</v>
      </c>
      <c r="K75" s="776"/>
    </row>
    <row r="76" spans="1:11" ht="15.75">
      <c r="A76" s="805"/>
      <c r="B76" s="806"/>
      <c r="C76" s="807"/>
      <c r="D76" s="808"/>
      <c r="E76" s="808"/>
      <c r="F76" s="808"/>
      <c r="G76" s="808"/>
      <c r="H76" s="809"/>
      <c r="I76" s="810"/>
      <c r="J76" s="811"/>
      <c r="K76" s="812"/>
    </row>
    <row r="77" spans="1:11" ht="15.75">
      <c r="A77" s="802"/>
      <c r="B77" s="804" t="s">
        <v>3871</v>
      </c>
      <c r="C77" s="803"/>
      <c r="D77" s="803"/>
      <c r="E77" s="803"/>
      <c r="F77" s="803"/>
      <c r="G77" s="803"/>
      <c r="H77" s="803"/>
      <c r="I77" s="803"/>
      <c r="J77" s="821">
        <f>SUM(J10:J75)</f>
        <v>455880.94748073019</v>
      </c>
      <c r="K77" s="802"/>
    </row>
    <row r="79" spans="1:11" ht="15.75">
      <c r="B79" s="750"/>
    </row>
    <row r="80" spans="1:11" ht="15.75">
      <c r="B80" s="751"/>
      <c r="F80" s="768"/>
      <c r="G80" s="768"/>
      <c r="H80" s="764" t="s">
        <v>3858</v>
      </c>
      <c r="I80" s="764"/>
      <c r="J80" s="764" t="s">
        <v>3870</v>
      </c>
      <c r="K80" s="764" t="s">
        <v>3869</v>
      </c>
    </row>
    <row r="81" spans="2:11" ht="15.75">
      <c r="B81" s="750"/>
      <c r="F81" s="769"/>
      <c r="G81" s="769"/>
      <c r="H81" s="765" t="s">
        <v>3901</v>
      </c>
      <c r="I81" s="765"/>
      <c r="J81" s="822">
        <f>J77</f>
        <v>455880.94748073019</v>
      </c>
      <c r="K81" s="766">
        <v>100</v>
      </c>
    </row>
    <row r="82" spans="2:11" ht="15.75">
      <c r="F82" s="769"/>
      <c r="G82" s="769"/>
      <c r="H82" s="765" t="s">
        <v>3860</v>
      </c>
      <c r="I82" s="766"/>
      <c r="J82" s="822">
        <v>400000</v>
      </c>
      <c r="K82" s="749"/>
    </row>
    <row r="83" spans="2:11" ht="15.75">
      <c r="F83" s="769"/>
      <c r="G83" s="769"/>
      <c r="H83" s="765" t="s">
        <v>3892</v>
      </c>
      <c r="I83" s="766"/>
      <c r="J83" s="822">
        <f>J82*0.95</f>
        <v>380000</v>
      </c>
      <c r="K83" s="766">
        <f>J83/J81*100</f>
        <v>83.355095688894167</v>
      </c>
    </row>
    <row r="84" spans="2:11" ht="15.75">
      <c r="F84" s="769"/>
      <c r="G84" s="769"/>
      <c r="H84" s="765" t="s">
        <v>3861</v>
      </c>
      <c r="I84" s="765"/>
      <c r="J84" s="822">
        <f>J81-J83</f>
        <v>75880.947480730189</v>
      </c>
      <c r="K84" s="766">
        <f>J84/J81*100</f>
        <v>16.644904311105833</v>
      </c>
    </row>
    <row r="85" spans="2:11" ht="15.75">
      <c r="F85" s="770"/>
      <c r="G85" s="770"/>
      <c r="H85" s="767" t="s">
        <v>3874</v>
      </c>
      <c r="I85" s="767"/>
      <c r="J85" s="822">
        <f>J82*3%</f>
        <v>12000</v>
      </c>
      <c r="K85" s="766">
        <v>3</v>
      </c>
    </row>
    <row r="86" spans="2:11" ht="15.75">
      <c r="F86" s="770"/>
      <c r="G86" s="770"/>
      <c r="H86" s="767" t="s">
        <v>3875</v>
      </c>
      <c r="I86" s="767"/>
      <c r="J86" s="822">
        <f>J82*2%</f>
        <v>8000</v>
      </c>
      <c r="K86" s="766">
        <v>2</v>
      </c>
    </row>
  </sheetData>
  <mergeCells count="7">
    <mergeCell ref="A8:F8"/>
    <mergeCell ref="H8:K8"/>
    <mergeCell ref="A1:K1"/>
    <mergeCell ref="A2:K2"/>
    <mergeCell ref="A3:K3"/>
    <mergeCell ref="A5:K5"/>
    <mergeCell ref="H7:K7"/>
  </mergeCells>
  <pageMargins left="0.43" right="0.43" top="0.3" bottom="1.48" header="0.3" footer="0.3"/>
  <pageSetup scale="72" fitToHeight="0" orientation="portrait" r:id="rId1"/>
  <headerFooter>
    <oddHeader>&amp;RPage &amp;P of &amp;N</oddHeader>
    <oddFooter>&amp;LPrepared By
Nitesh Basukala
Sub Engineer&amp;CChecked By
Nabin KC
Engineer&amp;RApproved By
Prakash Singh Saud
Engineer</oddFooter>
  </headerFooter>
  <rowBreaks count="1" manualBreakCount="1">
    <brk id="77" max="10"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31730-DA97-483D-A0C9-F5B5E41A962A}">
  <sheetPr>
    <pageSetUpPr fitToPage="1"/>
  </sheetPr>
  <dimension ref="A1:N33"/>
  <sheetViews>
    <sheetView view="pageBreakPreview" topLeftCell="A10" zoomScaleNormal="100" zoomScaleSheetLayoutView="100" workbookViewId="0">
      <selection activeCell="G21" sqref="G21"/>
    </sheetView>
  </sheetViews>
  <sheetFormatPr defaultRowHeight="12.75"/>
  <cols>
    <col min="1" max="1" width="8.5703125" style="760" bestFit="1" customWidth="1"/>
    <col min="2" max="2" width="32.5703125" style="818" bestFit="1" customWidth="1"/>
    <col min="3" max="3" width="7.28515625" style="818" bestFit="1" customWidth="1"/>
    <col min="4" max="4" width="9.140625" style="818" bestFit="1" customWidth="1"/>
    <col min="5" max="5" width="10.140625" style="818" bestFit="1" customWidth="1"/>
    <col min="6" max="6" width="8.85546875" style="818" bestFit="1" customWidth="1"/>
    <col min="7" max="7" width="12.85546875" style="818" customWidth="1"/>
    <col min="8" max="8" width="7.140625" style="818" customWidth="1"/>
    <col min="9" max="9" width="13" style="818" customWidth="1"/>
    <col min="10" max="10" width="13.42578125" style="818" customWidth="1"/>
    <col min="11" max="11" width="13.7109375" style="818" customWidth="1"/>
    <col min="12" max="12" width="9.140625" style="818"/>
    <col min="13" max="13" width="12.85546875" style="818" customWidth="1"/>
    <col min="14" max="16384" width="9.140625" style="818"/>
  </cols>
  <sheetData>
    <row r="1" spans="1:14" ht="15.75">
      <c r="A1" s="993" t="s">
        <v>3849</v>
      </c>
      <c r="B1" s="993"/>
      <c r="C1" s="993"/>
      <c r="D1" s="993"/>
      <c r="E1" s="993"/>
      <c r="F1" s="993"/>
      <c r="G1" s="993"/>
      <c r="H1" s="993"/>
      <c r="I1" s="993"/>
      <c r="J1" s="993"/>
      <c r="K1" s="993"/>
      <c r="L1" s="753"/>
    </row>
    <row r="2" spans="1:14" ht="18.75">
      <c r="A2" s="994" t="s">
        <v>3850</v>
      </c>
      <c r="B2" s="994"/>
      <c r="C2" s="994"/>
      <c r="D2" s="994"/>
      <c r="E2" s="994"/>
      <c r="F2" s="994"/>
      <c r="G2" s="994"/>
      <c r="H2" s="994"/>
      <c r="I2" s="994"/>
      <c r="J2" s="994"/>
      <c r="K2" s="994"/>
      <c r="L2" s="754"/>
    </row>
    <row r="3" spans="1:14" ht="15.75">
      <c r="A3" s="995" t="s">
        <v>3851</v>
      </c>
      <c r="B3" s="995"/>
      <c r="C3" s="995"/>
      <c r="D3" s="995"/>
      <c r="E3" s="995"/>
      <c r="F3" s="995"/>
      <c r="G3" s="995"/>
      <c r="H3" s="995"/>
      <c r="I3" s="995"/>
      <c r="J3" s="995"/>
      <c r="K3" s="995"/>
      <c r="L3" s="752"/>
      <c r="M3" s="818" t="s">
        <v>3879</v>
      </c>
      <c r="N3" s="818" t="s">
        <v>544</v>
      </c>
    </row>
    <row r="4" spans="1:14" ht="18.75">
      <c r="A4" s="820"/>
      <c r="B4" s="820"/>
      <c r="C4" s="820"/>
      <c r="D4" s="820"/>
      <c r="E4" s="820"/>
      <c r="F4" s="820"/>
      <c r="G4" s="820"/>
      <c r="H4" s="820"/>
      <c r="I4" s="820"/>
      <c r="J4" s="820"/>
      <c r="K4" s="820"/>
      <c r="L4" s="818" t="s">
        <v>3877</v>
      </c>
      <c r="M4" s="818">
        <v>20</v>
      </c>
      <c r="N4" s="818">
        <v>7.5</v>
      </c>
    </row>
    <row r="5" spans="1:14" ht="18.75">
      <c r="A5" s="996" t="s">
        <v>3880</v>
      </c>
      <c r="B5" s="996"/>
      <c r="C5" s="996"/>
      <c r="D5" s="996"/>
      <c r="E5" s="996"/>
      <c r="F5" s="996"/>
      <c r="G5" s="996"/>
      <c r="H5" s="996"/>
      <c r="I5" s="996"/>
      <c r="J5" s="996"/>
      <c r="K5" s="996"/>
      <c r="L5" s="818" t="s">
        <v>3878</v>
      </c>
      <c r="M5" s="818">
        <v>13.5</v>
      </c>
      <c r="N5" s="818">
        <v>4.0999999999999996</v>
      </c>
    </row>
    <row r="6" spans="1:14" ht="18.75">
      <c r="A6" s="820"/>
      <c r="B6" s="820"/>
      <c r="C6" s="820"/>
      <c r="D6" s="820"/>
      <c r="E6" s="820"/>
      <c r="F6" s="820"/>
      <c r="G6" s="820"/>
      <c r="H6" s="820"/>
      <c r="I6" s="820"/>
      <c r="J6" s="820"/>
      <c r="K6" s="820"/>
      <c r="L6" s="820"/>
    </row>
    <row r="7" spans="1:14" ht="19.5">
      <c r="A7" s="762" t="s">
        <v>3868</v>
      </c>
      <c r="B7" s="763" t="s">
        <v>3894</v>
      </c>
      <c r="C7" s="762"/>
      <c r="D7" s="762"/>
      <c r="E7" s="762"/>
      <c r="F7" s="762"/>
      <c r="G7" s="819"/>
      <c r="H7" s="997" t="s">
        <v>3876</v>
      </c>
      <c r="I7" s="998"/>
      <c r="J7" s="998"/>
      <c r="K7" s="998"/>
    </row>
    <row r="8" spans="1:14" ht="15.75">
      <c r="A8" s="991" t="s">
        <v>3863</v>
      </c>
      <c r="B8" s="991"/>
      <c r="C8" s="991"/>
      <c r="D8" s="991"/>
      <c r="E8" s="991"/>
      <c r="F8" s="991"/>
      <c r="G8" s="748"/>
      <c r="H8" s="992" t="s">
        <v>3895</v>
      </c>
      <c r="I8" s="992"/>
      <c r="J8" s="992"/>
      <c r="K8" s="992"/>
    </row>
    <row r="9" spans="1:14" ht="26.25" customHeight="1">
      <c r="A9" s="761" t="s">
        <v>440</v>
      </c>
      <c r="B9" s="756" t="s">
        <v>3852</v>
      </c>
      <c r="C9" s="757" t="s">
        <v>3853</v>
      </c>
      <c r="D9" s="758" t="s">
        <v>3854</v>
      </c>
      <c r="E9" s="758" t="s">
        <v>3855</v>
      </c>
      <c r="F9" s="758" t="s">
        <v>3856</v>
      </c>
      <c r="G9" s="758" t="s">
        <v>3826</v>
      </c>
      <c r="H9" s="755" t="s">
        <v>443</v>
      </c>
      <c r="I9" s="758" t="s">
        <v>444</v>
      </c>
      <c r="J9" s="758" t="s">
        <v>3857</v>
      </c>
      <c r="K9" s="759" t="s">
        <v>3827</v>
      </c>
    </row>
    <row r="10" spans="1:14" ht="37.5">
      <c r="A10" s="796">
        <v>1</v>
      </c>
      <c r="B10" s="823" t="s">
        <v>3893</v>
      </c>
      <c r="C10" s="798"/>
      <c r="D10" s="799"/>
      <c r="E10" s="799"/>
      <c r="F10" s="799"/>
      <c r="G10" s="799"/>
      <c r="H10" s="824"/>
      <c r="I10" s="824"/>
      <c r="J10" s="824"/>
      <c r="K10" s="801"/>
    </row>
    <row r="11" spans="1:14" ht="18.75">
      <c r="A11" s="794"/>
      <c r="B11" s="773"/>
      <c r="C11" s="782">
        <v>4</v>
      </c>
      <c r="D11" s="781">
        <v>4.0999999999999996</v>
      </c>
      <c r="E11" s="781"/>
      <c r="F11" s="781">
        <v>2.35</v>
      </c>
      <c r="G11" s="781">
        <f>C11*D11*F11</f>
        <v>38.54</v>
      </c>
      <c r="H11" s="780"/>
      <c r="I11" s="772"/>
      <c r="J11" s="771"/>
      <c r="K11" s="776"/>
    </row>
    <row r="12" spans="1:14" ht="18.75">
      <c r="A12" s="794"/>
      <c r="B12" s="773"/>
      <c r="C12" s="782">
        <v>4</v>
      </c>
      <c r="D12" s="781">
        <v>3.6</v>
      </c>
      <c r="E12" s="781"/>
      <c r="F12" s="781">
        <v>2.35</v>
      </c>
      <c r="G12" s="781">
        <f>C12*D12*F12</f>
        <v>33.840000000000003</v>
      </c>
      <c r="H12" s="780"/>
      <c r="I12" s="772"/>
      <c r="J12" s="771"/>
      <c r="K12" s="776"/>
    </row>
    <row r="13" spans="1:14" ht="18.75">
      <c r="A13" s="794"/>
      <c r="B13" s="773"/>
      <c r="C13" s="782">
        <v>-4</v>
      </c>
      <c r="D13" s="781">
        <v>1.5</v>
      </c>
      <c r="E13" s="781"/>
      <c r="F13" s="781">
        <v>1.35</v>
      </c>
      <c r="G13" s="781">
        <f t="shared" ref="G13:G14" si="0">C13*D13*F13</f>
        <v>-8.1000000000000014</v>
      </c>
      <c r="H13" s="780"/>
      <c r="I13" s="772"/>
      <c r="J13" s="771"/>
      <c r="K13" s="776"/>
    </row>
    <row r="14" spans="1:14" ht="18.75">
      <c r="A14" s="794"/>
      <c r="B14" s="773"/>
      <c r="C14" s="782">
        <v>-2</v>
      </c>
      <c r="D14" s="781">
        <v>0.9</v>
      </c>
      <c r="E14" s="781"/>
      <c r="F14" s="781">
        <f>6/3.28</f>
        <v>1.8292682926829269</v>
      </c>
      <c r="G14" s="781">
        <f t="shared" si="0"/>
        <v>-3.2926829268292686</v>
      </c>
      <c r="H14" s="780"/>
      <c r="I14" s="772"/>
      <c r="J14" s="771"/>
      <c r="K14" s="776"/>
    </row>
    <row r="15" spans="1:14" ht="18.75">
      <c r="A15" s="794"/>
      <c r="B15" s="773"/>
      <c r="C15" s="782"/>
      <c r="D15" s="781"/>
      <c r="E15" s="781"/>
      <c r="F15" s="781"/>
      <c r="G15" s="781">
        <f>SUM(G11:G14)</f>
        <v>60.987317073170729</v>
      </c>
      <c r="H15" s="780" t="s">
        <v>1769</v>
      </c>
      <c r="I15" s="772">
        <f>63.69</f>
        <v>63.69</v>
      </c>
      <c r="J15" s="771">
        <f>G15*I15</f>
        <v>3884.2822243902438</v>
      </c>
      <c r="K15" s="776"/>
    </row>
    <row r="16" spans="1:14" ht="15.75">
      <c r="A16" s="794"/>
      <c r="B16" s="772" t="s">
        <v>3888</v>
      </c>
      <c r="C16" s="782"/>
      <c r="D16" s="781"/>
      <c r="E16" s="781"/>
      <c r="F16" s="781"/>
      <c r="G16" s="781"/>
      <c r="H16" s="780"/>
      <c r="I16" s="772"/>
      <c r="J16" s="771">
        <f>0.13*J15</f>
        <v>504.95668917073169</v>
      </c>
      <c r="K16" s="776"/>
    </row>
    <row r="17" spans="1:11" ht="15.75">
      <c r="A17" s="778"/>
      <c r="B17" s="825"/>
      <c r="C17" s="782"/>
      <c r="D17" s="781"/>
      <c r="E17" s="781"/>
      <c r="F17" s="781"/>
      <c r="G17" s="781"/>
      <c r="H17" s="780"/>
      <c r="I17" s="772"/>
      <c r="J17" s="771"/>
      <c r="K17" s="776"/>
    </row>
    <row r="18" spans="1:11" ht="56.25">
      <c r="A18" s="794">
        <v>2</v>
      </c>
      <c r="B18" s="826" t="s">
        <v>560</v>
      </c>
      <c r="C18" s="782"/>
      <c r="D18" s="781"/>
      <c r="E18" s="781"/>
      <c r="F18" s="781"/>
      <c r="G18" s="781"/>
      <c r="H18" s="780"/>
      <c r="I18" s="772"/>
      <c r="J18" s="771"/>
      <c r="K18" s="776"/>
    </row>
    <row r="19" spans="1:11" ht="15.75">
      <c r="A19" s="778"/>
      <c r="B19" s="827" t="s">
        <v>3882</v>
      </c>
      <c r="C19" s="782">
        <v>2</v>
      </c>
      <c r="D19" s="771">
        <f t="shared" ref="D19:F19" si="1">D14</f>
        <v>0.9</v>
      </c>
      <c r="E19" s="771"/>
      <c r="F19" s="771">
        <f t="shared" si="1"/>
        <v>1.8292682926829269</v>
      </c>
      <c r="G19" s="781">
        <f>C19*D19*F19</f>
        <v>3.2926829268292686</v>
      </c>
      <c r="H19" s="780"/>
      <c r="I19" s="772"/>
      <c r="J19" s="771"/>
      <c r="K19" s="776"/>
    </row>
    <row r="20" spans="1:11" ht="15.75">
      <c r="A20" s="778"/>
      <c r="B20" s="827" t="s">
        <v>3883</v>
      </c>
      <c r="C20" s="782">
        <v>4</v>
      </c>
      <c r="D20" s="772">
        <f>D13</f>
        <v>1.5</v>
      </c>
      <c r="E20" s="772"/>
      <c r="F20" s="772">
        <f t="shared" ref="F20" si="2">F13</f>
        <v>1.35</v>
      </c>
      <c r="G20" s="781">
        <f>C20*D20*F20</f>
        <v>8.1000000000000014</v>
      </c>
      <c r="H20" s="780"/>
      <c r="I20" s="772"/>
      <c r="J20" s="771"/>
      <c r="K20" s="776"/>
    </row>
    <row r="21" spans="1:11" ht="15.75">
      <c r="A21" s="778"/>
      <c r="B21" s="825"/>
      <c r="C21" s="782"/>
      <c r="D21" s="781"/>
      <c r="E21" s="781"/>
      <c r="F21" s="781"/>
      <c r="G21" s="781">
        <f>SUM(G19:G20)</f>
        <v>11.39268292682927</v>
      </c>
      <c r="H21" s="780" t="s">
        <v>1769</v>
      </c>
      <c r="I21" s="772">
        <f>'[3]Table of Content 2'!$H$268</f>
        <v>213.8</v>
      </c>
      <c r="J21" s="771">
        <f>G21*I21</f>
        <v>2435.7556097560982</v>
      </c>
      <c r="K21" s="776"/>
    </row>
    <row r="22" spans="1:11" ht="15.75">
      <c r="A22" s="778"/>
      <c r="B22" s="772" t="s">
        <v>3888</v>
      </c>
      <c r="C22" s="782"/>
      <c r="D22" s="781"/>
      <c r="E22" s="781"/>
      <c r="F22" s="781"/>
      <c r="G22" s="781"/>
      <c r="H22" s="780"/>
      <c r="I22" s="772"/>
      <c r="J22" s="771">
        <f>0.13*J21</f>
        <v>316.64822926829277</v>
      </c>
      <c r="K22" s="776"/>
    </row>
    <row r="23" spans="1:11" ht="15.75">
      <c r="A23" s="794"/>
      <c r="B23" s="795"/>
      <c r="C23" s="782"/>
      <c r="D23" s="781"/>
      <c r="E23" s="781"/>
      <c r="F23" s="781"/>
      <c r="G23" s="781"/>
      <c r="H23" s="780"/>
      <c r="I23" s="772"/>
      <c r="J23" s="771"/>
      <c r="K23" s="776"/>
    </row>
    <row r="24" spans="1:11" ht="15.75">
      <c r="A24" s="802"/>
      <c r="B24" s="804" t="s">
        <v>3871</v>
      </c>
      <c r="C24" s="803"/>
      <c r="D24" s="803"/>
      <c r="E24" s="803"/>
      <c r="F24" s="803"/>
      <c r="G24" s="803"/>
      <c r="H24" s="803"/>
      <c r="I24" s="803"/>
      <c r="J24" s="821">
        <f>SUM(J10:J22)</f>
        <v>7141.6427525853669</v>
      </c>
      <c r="K24" s="802"/>
    </row>
    <row r="26" spans="1:11" ht="15.75">
      <c r="B26" s="750"/>
    </row>
    <row r="27" spans="1:11" ht="15.75">
      <c r="B27" s="751"/>
      <c r="F27" s="768"/>
      <c r="G27" s="768"/>
      <c r="H27" s="764" t="s">
        <v>3858</v>
      </c>
      <c r="I27" s="764"/>
      <c r="J27" s="764" t="s">
        <v>3870</v>
      </c>
      <c r="K27" s="764" t="s">
        <v>3869</v>
      </c>
    </row>
    <row r="28" spans="1:11" ht="15.75">
      <c r="B28" s="750"/>
      <c r="F28" s="769"/>
      <c r="G28" s="769"/>
      <c r="H28" s="765" t="s">
        <v>3859</v>
      </c>
      <c r="I28" s="765"/>
      <c r="J28" s="822">
        <f>J24</f>
        <v>7141.6427525853669</v>
      </c>
      <c r="K28" s="766">
        <v>100</v>
      </c>
    </row>
    <row r="29" spans="1:11" ht="15.75">
      <c r="F29" s="769"/>
      <c r="G29" s="769"/>
      <c r="H29" s="765" t="s">
        <v>3860</v>
      </c>
      <c r="I29" s="766"/>
      <c r="J29" s="822">
        <v>500000</v>
      </c>
      <c r="K29" s="749"/>
    </row>
    <row r="30" spans="1:11" ht="15.75">
      <c r="F30" s="769"/>
      <c r="G30" s="769"/>
      <c r="H30" s="765" t="s">
        <v>3892</v>
      </c>
      <c r="I30" s="766"/>
      <c r="J30" s="822">
        <f>J29*0.95</f>
        <v>475000</v>
      </c>
      <c r="K30" s="766">
        <f>J30/J28*100</f>
        <v>6651.1307895938071</v>
      </c>
    </row>
    <row r="31" spans="1:11" ht="15.75">
      <c r="F31" s="769"/>
      <c r="G31" s="769"/>
      <c r="H31" s="765" t="s">
        <v>3861</v>
      </c>
      <c r="I31" s="765"/>
      <c r="J31" s="822">
        <f>J28-J30</f>
        <v>-467858.35724741465</v>
      </c>
      <c r="K31" s="766">
        <f>J31/J28*100</f>
        <v>-6551.1307895938071</v>
      </c>
    </row>
    <row r="32" spans="1:11" ht="15.75">
      <c r="F32" s="770"/>
      <c r="G32" s="770"/>
      <c r="H32" s="767" t="s">
        <v>3874</v>
      </c>
      <c r="I32" s="767"/>
      <c r="J32" s="822">
        <f>J29*3%</f>
        <v>15000</v>
      </c>
      <c r="K32" s="766">
        <v>3</v>
      </c>
    </row>
    <row r="33" spans="6:11" ht="15.75">
      <c r="F33" s="770"/>
      <c r="G33" s="770"/>
      <c r="H33" s="767" t="s">
        <v>3875</v>
      </c>
      <c r="I33" s="767"/>
      <c r="J33" s="822">
        <f>J29*2%</f>
        <v>10000</v>
      </c>
      <c r="K33" s="766">
        <v>2</v>
      </c>
    </row>
  </sheetData>
  <mergeCells count="7">
    <mergeCell ref="A8:F8"/>
    <mergeCell ref="H8:K8"/>
    <mergeCell ref="A1:K1"/>
    <mergeCell ref="A2:K2"/>
    <mergeCell ref="A3:K3"/>
    <mergeCell ref="A5:K5"/>
    <mergeCell ref="H7:K7"/>
  </mergeCells>
  <pageMargins left="0.43" right="0.43" top="0.3" bottom="1.48" header="0.3" footer="0.3"/>
  <pageSetup scale="72" fitToHeight="0" orientation="portrait" r:id="rId1"/>
  <headerFooter>
    <oddHeader>&amp;RPage &amp;P of &amp;N</oddHeader>
    <oddFooter>&amp;LPrepared By
Nitesh Basukala
Sub Engineer&amp;CChecked By
Nabin KC
Engineer&amp;RApproved By
Prakash Singh Saud
Engineer</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E20"/>
  <sheetViews>
    <sheetView workbookViewId="0">
      <selection activeCell="D5" sqref="D5"/>
    </sheetView>
  </sheetViews>
  <sheetFormatPr defaultColWidth="9.140625" defaultRowHeight="15"/>
  <cols>
    <col min="1" max="1" width="9.140625" style="92"/>
    <col min="2" max="2" width="12.7109375" style="92" bestFit="1" customWidth="1"/>
    <col min="3" max="3" width="34.7109375" style="92" customWidth="1"/>
    <col min="4" max="4" width="13" style="92" bestFit="1" customWidth="1"/>
    <col min="5" max="5" width="17" style="92" bestFit="1" customWidth="1"/>
    <col min="6" max="16384" width="9.140625" style="92"/>
  </cols>
  <sheetData>
    <row r="1" spans="2:5" ht="30.75">
      <c r="B1" s="999" t="s">
        <v>2889</v>
      </c>
      <c r="C1" s="999"/>
      <c r="D1" s="999"/>
      <c r="E1" s="999"/>
    </row>
    <row r="2" spans="2:5" ht="15.75" thickBot="1"/>
    <row r="3" spans="2:5" ht="18">
      <c r="B3" s="1002" t="s">
        <v>704</v>
      </c>
      <c r="C3" s="1004" t="s">
        <v>705</v>
      </c>
      <c r="D3" s="1000" t="s">
        <v>2891</v>
      </c>
      <c r="E3" s="1001"/>
    </row>
    <row r="4" spans="2:5" ht="18.75" thickBot="1">
      <c r="B4" s="1003"/>
      <c r="C4" s="1005"/>
      <c r="D4" s="444" t="s">
        <v>2892</v>
      </c>
      <c r="E4" s="445" t="s">
        <v>2890</v>
      </c>
    </row>
    <row r="5" spans="2:5" ht="21">
      <c r="B5" s="440" t="s">
        <v>721</v>
      </c>
      <c r="C5" s="441" t="s">
        <v>3049</v>
      </c>
      <c r="D5" s="442" t="s">
        <v>701</v>
      </c>
      <c r="E5" s="443" t="s">
        <v>3033</v>
      </c>
    </row>
    <row r="6" spans="2:5" ht="21">
      <c r="B6" s="434" t="s">
        <v>706</v>
      </c>
      <c r="C6" s="433" t="s">
        <v>722</v>
      </c>
      <c r="D6" s="432" t="s">
        <v>736</v>
      </c>
      <c r="E6" s="435" t="s">
        <v>3034</v>
      </c>
    </row>
    <row r="7" spans="2:5" ht="21">
      <c r="B7" s="434" t="s">
        <v>707</v>
      </c>
      <c r="C7" s="433" t="s">
        <v>723</v>
      </c>
      <c r="D7" s="432" t="s">
        <v>737</v>
      </c>
      <c r="E7" s="435" t="s">
        <v>3035</v>
      </c>
    </row>
    <row r="8" spans="2:5" ht="21">
      <c r="B8" s="434" t="s">
        <v>708</v>
      </c>
      <c r="C8" s="433" t="s">
        <v>724</v>
      </c>
      <c r="D8" s="432" t="s">
        <v>738</v>
      </c>
      <c r="E8" s="435" t="s">
        <v>3036</v>
      </c>
    </row>
    <row r="9" spans="2:5" ht="21">
      <c r="B9" s="434" t="s">
        <v>709</v>
      </c>
      <c r="C9" s="433" t="s">
        <v>725</v>
      </c>
      <c r="D9" s="432" t="s">
        <v>739</v>
      </c>
      <c r="E9" s="435" t="s">
        <v>3037</v>
      </c>
    </row>
    <row r="10" spans="2:5" ht="21">
      <c r="B10" s="434" t="s">
        <v>710</v>
      </c>
      <c r="C10" s="433" t="s">
        <v>726</v>
      </c>
      <c r="D10" s="432" t="s">
        <v>740</v>
      </c>
      <c r="E10" s="435" t="s">
        <v>3038</v>
      </c>
    </row>
    <row r="11" spans="2:5" ht="21">
      <c r="B11" s="434" t="s">
        <v>711</v>
      </c>
      <c r="C11" s="433" t="s">
        <v>727</v>
      </c>
      <c r="D11" s="432" t="s">
        <v>741</v>
      </c>
      <c r="E11" s="435" t="s">
        <v>3039</v>
      </c>
    </row>
    <row r="12" spans="2:5" ht="21">
      <c r="B12" s="434" t="s">
        <v>712</v>
      </c>
      <c r="C12" s="433" t="s">
        <v>728</v>
      </c>
      <c r="D12" s="432" t="s">
        <v>742</v>
      </c>
      <c r="E12" s="435" t="s">
        <v>3040</v>
      </c>
    </row>
    <row r="13" spans="2:5" ht="21">
      <c r="B13" s="434" t="s">
        <v>713</v>
      </c>
      <c r="C13" s="433" t="s">
        <v>729</v>
      </c>
      <c r="D13" s="432" t="s">
        <v>743</v>
      </c>
      <c r="E13" s="435" t="s">
        <v>3041</v>
      </c>
    </row>
    <row r="14" spans="2:5" ht="21">
      <c r="B14" s="434" t="s">
        <v>714</v>
      </c>
      <c r="C14" s="433" t="s">
        <v>3048</v>
      </c>
      <c r="D14" s="432" t="s">
        <v>744</v>
      </c>
      <c r="E14" s="435" t="s">
        <v>3042</v>
      </c>
    </row>
    <row r="15" spans="2:5" ht="21">
      <c r="B15" s="434" t="s">
        <v>715</v>
      </c>
      <c r="C15" s="433" t="s">
        <v>730</v>
      </c>
      <c r="D15" s="432" t="s">
        <v>745</v>
      </c>
      <c r="E15" s="435" t="s">
        <v>3043</v>
      </c>
    </row>
    <row r="16" spans="2:5" ht="21">
      <c r="B16" s="434" t="s">
        <v>716</v>
      </c>
      <c r="C16" s="433" t="s">
        <v>731</v>
      </c>
      <c r="D16" s="432" t="s">
        <v>746</v>
      </c>
      <c r="E16" s="435" t="s">
        <v>3044</v>
      </c>
    </row>
    <row r="17" spans="2:5" ht="21">
      <c r="B17" s="434" t="s">
        <v>717</v>
      </c>
      <c r="C17" s="433" t="s">
        <v>732</v>
      </c>
      <c r="D17" s="432" t="s">
        <v>747</v>
      </c>
      <c r="E17" s="435" t="s">
        <v>3045</v>
      </c>
    </row>
    <row r="18" spans="2:5" ht="21">
      <c r="B18" s="434" t="s">
        <v>718</v>
      </c>
      <c r="C18" s="433" t="s">
        <v>733</v>
      </c>
      <c r="D18" s="432" t="s">
        <v>748</v>
      </c>
      <c r="E18" s="435" t="s">
        <v>3046</v>
      </c>
    </row>
    <row r="19" spans="2:5" ht="21">
      <c r="B19" s="434" t="s">
        <v>719</v>
      </c>
      <c r="C19" s="433" t="s">
        <v>734</v>
      </c>
      <c r="D19" s="432" t="s">
        <v>749</v>
      </c>
      <c r="E19" s="435" t="s">
        <v>3047</v>
      </c>
    </row>
    <row r="20" spans="2:5" ht="21.75" thickBot="1">
      <c r="B20" s="436" t="s">
        <v>720</v>
      </c>
      <c r="C20" s="437" t="s">
        <v>735</v>
      </c>
      <c r="D20" s="438" t="s">
        <v>1799</v>
      </c>
      <c r="E20" s="439" t="s">
        <v>1798</v>
      </c>
    </row>
  </sheetData>
  <sheetProtection sheet="1"/>
  <mergeCells count="4">
    <mergeCell ref="B1:E1"/>
    <mergeCell ref="D3:E3"/>
    <mergeCell ref="B3:B4"/>
    <mergeCell ref="C3:C4"/>
  </mergeCells>
  <phoneticPr fontId="54" type="noConversion"/>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3:T760"/>
  <sheetViews>
    <sheetView topLeftCell="A209" workbookViewId="0">
      <selection activeCell="F220" sqref="F220"/>
    </sheetView>
  </sheetViews>
  <sheetFormatPr defaultRowHeight="12.75"/>
  <cols>
    <col min="2" max="2" width="4.85546875" customWidth="1"/>
    <col min="3" max="3" width="11.85546875" customWidth="1"/>
    <col min="4" max="4" width="25.5703125" customWidth="1"/>
    <col min="9" max="9" width="18.42578125" customWidth="1"/>
  </cols>
  <sheetData>
    <row r="3" spans="1:8" s="1" customFormat="1" ht="20.25">
      <c r="A3" s="552" t="e">
        <f>#REF!+1</f>
        <v>#REF!</v>
      </c>
      <c r="B3" s="1007" t="s">
        <v>168</v>
      </c>
      <c r="C3" s="1008"/>
      <c r="D3" s="1008"/>
      <c r="E3" s="1008"/>
      <c r="F3" s="1008"/>
      <c r="G3" s="1008"/>
      <c r="H3" s="1008"/>
    </row>
    <row r="4" spans="1:8" s="1" customFormat="1" ht="19.5">
      <c r="A4" s="523"/>
      <c r="B4" s="1012" t="s">
        <v>1014</v>
      </c>
      <c r="C4" s="1013"/>
      <c r="D4" s="1013"/>
      <c r="E4" s="1013"/>
      <c r="F4" s="1013"/>
      <c r="G4" s="1013"/>
      <c r="H4" s="1013"/>
    </row>
    <row r="5" spans="1:8" s="1" customFormat="1" ht="18" customHeight="1">
      <c r="A5" s="522"/>
      <c r="B5" s="1006" t="s">
        <v>2066</v>
      </c>
      <c r="C5" s="1006"/>
      <c r="D5" s="1006"/>
      <c r="E5" s="1006"/>
      <c r="F5" s="1006"/>
      <c r="G5" s="1006"/>
      <c r="H5" s="1006"/>
    </row>
    <row r="6" spans="1:8" s="1" customFormat="1" ht="63">
      <c r="A6" s="522"/>
      <c r="B6" s="524" t="s">
        <v>2966</v>
      </c>
      <c r="C6" s="524" t="s">
        <v>2967</v>
      </c>
      <c r="D6" s="524" t="s">
        <v>2968</v>
      </c>
      <c r="E6" s="524" t="s">
        <v>2969</v>
      </c>
      <c r="F6" s="524" t="s">
        <v>2970</v>
      </c>
      <c r="G6" s="524" t="s">
        <v>2971</v>
      </c>
      <c r="H6" s="524" t="s">
        <v>1487</v>
      </c>
    </row>
    <row r="7" spans="1:8" s="1" customFormat="1" ht="16.5">
      <c r="A7" s="522"/>
      <c r="B7" s="1009" t="s">
        <v>1488</v>
      </c>
      <c r="C7" s="525" t="s">
        <v>686</v>
      </c>
      <c r="D7" s="536">
        <v>3</v>
      </c>
      <c r="E7" s="543" t="s">
        <v>1429</v>
      </c>
      <c r="F7" s="526" t="e">
        <f>#REF!</f>
        <v>#REF!</v>
      </c>
      <c r="G7" s="526" t="e">
        <f>FLOOR(D7*F7,0.01)</f>
        <v>#REF!</v>
      </c>
      <c r="H7" s="527"/>
    </row>
    <row r="8" spans="1:8" s="1" customFormat="1" ht="18" customHeight="1">
      <c r="A8" s="522"/>
      <c r="B8" s="1010"/>
      <c r="C8" s="549" t="s">
        <v>521</v>
      </c>
      <c r="D8" s="538">
        <v>4</v>
      </c>
      <c r="E8" s="553" t="s">
        <v>1429</v>
      </c>
      <c r="F8" s="551" t="e">
        <f>#REF!</f>
        <v>#REF!</v>
      </c>
      <c r="G8" s="529" t="e">
        <f>FLOOR(D8*F8,0.01)</f>
        <v>#REF!</v>
      </c>
      <c r="H8" s="532" t="e">
        <f>SUM(G7+G8)</f>
        <v>#REF!</v>
      </c>
    </row>
    <row r="9" spans="1:8" ht="18">
      <c r="A9" s="522"/>
      <c r="B9" s="1009" t="s">
        <v>2055</v>
      </c>
      <c r="C9" s="525" t="s">
        <v>2067</v>
      </c>
      <c r="D9" s="536"/>
      <c r="E9" s="543"/>
      <c r="F9" s="526"/>
      <c r="G9" s="550"/>
      <c r="H9" s="550"/>
    </row>
    <row r="10" spans="1:8" s="1" customFormat="1" ht="18" customHeight="1">
      <c r="A10" s="522"/>
      <c r="B10" s="1011"/>
      <c r="C10" s="549" t="s">
        <v>1015</v>
      </c>
      <c r="D10" s="537">
        <v>59.34</v>
      </c>
      <c r="E10" s="554" t="s">
        <v>2748</v>
      </c>
      <c r="F10" s="529" t="e">
        <f>Jparling</f>
        <v>#REF!</v>
      </c>
      <c r="G10" s="529" t="e">
        <f>FLOOR(D10*F10,0.01)</f>
        <v>#REF!</v>
      </c>
      <c r="H10" s="555"/>
    </row>
    <row r="11" spans="1:8" s="1" customFormat="1" ht="18" customHeight="1">
      <c r="A11" s="522"/>
      <c r="B11" s="1011"/>
      <c r="C11" s="549" t="s">
        <v>2068</v>
      </c>
      <c r="D11" s="537">
        <v>54</v>
      </c>
      <c r="E11" s="554" t="s">
        <v>699</v>
      </c>
      <c r="F11" s="529" t="e">
        <f>#REF!</f>
        <v>#REF!</v>
      </c>
      <c r="G11" s="529" t="e">
        <f>FLOOR(D11*F11,0.01)</f>
        <v>#REF!</v>
      </c>
      <c r="H11" s="544"/>
    </row>
    <row r="12" spans="1:8" s="1" customFormat="1" ht="16.5">
      <c r="A12" s="522"/>
      <c r="B12" s="1010"/>
      <c r="C12" s="547" t="s">
        <v>2069</v>
      </c>
      <c r="D12" s="523" t="s">
        <v>2808</v>
      </c>
      <c r="E12" s="523" t="s">
        <v>2810</v>
      </c>
      <c r="F12" s="523" t="s">
        <v>2810</v>
      </c>
      <c r="G12" s="531">
        <v>110</v>
      </c>
      <c r="H12" s="532" t="e">
        <f>SUM(G10+G11+G12)</f>
        <v>#REF!</v>
      </c>
    </row>
    <row r="13" spans="1:8" s="1" customFormat="1" ht="19.5">
      <c r="A13" s="522"/>
      <c r="B13" s="522"/>
      <c r="C13" s="522"/>
      <c r="D13" s="522"/>
      <c r="E13" s="522"/>
      <c r="F13" s="533" t="s">
        <v>1491</v>
      </c>
      <c r="G13" s="548"/>
      <c r="H13" s="531" t="e">
        <f>SUM(H8:H12)</f>
        <v>#REF!</v>
      </c>
    </row>
    <row r="14" spans="1:8" s="1" customFormat="1" ht="18" customHeight="1">
      <c r="A14" s="522"/>
      <c r="B14" s="522" t="s">
        <v>108</v>
      </c>
      <c r="C14" s="522"/>
      <c r="D14" s="522"/>
      <c r="E14" s="522"/>
      <c r="F14" s="533" t="s">
        <v>1471</v>
      </c>
      <c r="G14" s="548"/>
      <c r="H14" s="534" t="e">
        <f>FLOOR(H13*0.15,0.01)</f>
        <v>#REF!</v>
      </c>
    </row>
    <row r="15" spans="1:8" s="1" customFormat="1" ht="19.5">
      <c r="A15" s="535"/>
      <c r="B15" s="540" t="e">
        <f>+H15</f>
        <v>#REF!</v>
      </c>
      <c r="C15" s="535" t="s">
        <v>3005</v>
      </c>
      <c r="D15" s="534" t="e">
        <f>INT(B15/B16*100)/100</f>
        <v>#REF!</v>
      </c>
      <c r="E15" s="522" t="s">
        <v>3006</v>
      </c>
      <c r="F15" s="533" t="s">
        <v>1494</v>
      </c>
      <c r="G15" s="548"/>
      <c r="H15" s="534" t="e">
        <f>SUM(H13:H14)</f>
        <v>#REF!</v>
      </c>
    </row>
    <row r="16" spans="1:8" s="1" customFormat="1" ht="16.5">
      <c r="A16" s="522"/>
      <c r="B16" s="556">
        <v>59.34</v>
      </c>
      <c r="C16" s="522"/>
      <c r="D16" s="522"/>
      <c r="E16" s="522"/>
      <c r="F16" s="522"/>
      <c r="G16" s="522"/>
      <c r="H16" s="522"/>
    </row>
    <row r="17" spans="1:8" s="1" customFormat="1" ht="18" customHeight="1">
      <c r="B17" s="88"/>
    </row>
    <row r="18" spans="1:8" s="1" customFormat="1" ht="15">
      <c r="A18" s="90"/>
      <c r="B18" s="976"/>
      <c r="C18" s="976"/>
      <c r="D18" s="976"/>
      <c r="E18" s="976"/>
      <c r="F18" s="976"/>
      <c r="G18" s="976"/>
      <c r="H18" s="976"/>
    </row>
    <row r="19" spans="1:8" s="1" customFormat="1" ht="15">
      <c r="B19" s="885" t="s">
        <v>1392</v>
      </c>
      <c r="C19" s="885"/>
      <c r="D19" s="885"/>
      <c r="E19" s="885"/>
      <c r="F19" s="885"/>
      <c r="G19" s="885"/>
      <c r="H19" s="885"/>
    </row>
    <row r="20" spans="1:8" s="1" customFormat="1" ht="63">
      <c r="B20" s="68" t="s">
        <v>2966</v>
      </c>
      <c r="C20" s="68" t="s">
        <v>2967</v>
      </c>
      <c r="D20" s="68" t="s">
        <v>2968</v>
      </c>
      <c r="E20" s="68" t="s">
        <v>2969</v>
      </c>
      <c r="F20" s="68" t="s">
        <v>2970</v>
      </c>
      <c r="G20" s="68" t="s">
        <v>2971</v>
      </c>
      <c r="H20" s="68" t="s">
        <v>1487</v>
      </c>
    </row>
    <row r="21" spans="1:8" s="1" customFormat="1" ht="63">
      <c r="B21" s="58" t="s">
        <v>2055</v>
      </c>
      <c r="C21" s="58" t="s">
        <v>371</v>
      </c>
      <c r="D21" s="8"/>
      <c r="E21" s="8"/>
      <c r="F21" s="107"/>
      <c r="G21" s="107"/>
      <c r="H21" s="108"/>
    </row>
    <row r="22" spans="1:8" s="1" customFormat="1" ht="78.75">
      <c r="B22" s="82" t="s">
        <v>370</v>
      </c>
      <c r="C22" s="78" t="s">
        <v>1372</v>
      </c>
      <c r="D22" s="43">
        <v>1</v>
      </c>
      <c r="E22" s="56" t="s">
        <v>2807</v>
      </c>
      <c r="F22" s="63" t="e">
        <f>#REF!</f>
        <v>#REF!</v>
      </c>
      <c r="G22" s="63" t="e">
        <f>FLOOR(D22*F22,0.01)</f>
        <v>#REF!</v>
      </c>
      <c r="H22" s="123" t="e">
        <f>SUM(G22)</f>
        <v>#REF!</v>
      </c>
    </row>
    <row r="23" spans="1:8" s="1" customFormat="1" ht="19.5">
      <c r="F23" s="40" t="s">
        <v>1491</v>
      </c>
      <c r="G23" s="102"/>
      <c r="H23" s="63" t="e">
        <f>SUM(H20:H22)</f>
        <v>#REF!</v>
      </c>
    </row>
    <row r="24" spans="1:8" s="1" customFormat="1" ht="19.5">
      <c r="B24" s="1" t="s">
        <v>372</v>
      </c>
      <c r="F24" s="40" t="s">
        <v>1471</v>
      </c>
      <c r="G24" s="102"/>
      <c r="H24" s="99" t="e">
        <f>FLOOR(H23*0.15,0.01)</f>
        <v>#REF!</v>
      </c>
    </row>
    <row r="25" spans="1:8" s="1" customFormat="1" ht="19.5">
      <c r="A25" s="27" t="s">
        <v>3005</v>
      </c>
      <c r="B25" s="99" t="e">
        <f>+H25</f>
        <v>#REF!</v>
      </c>
      <c r="C25" s="1" t="s">
        <v>3006</v>
      </c>
      <c r="F25" s="40" t="s">
        <v>1494</v>
      </c>
      <c r="G25" s="102"/>
      <c r="H25" s="99" t="e">
        <f>SUM(H23:H24)</f>
        <v>#REF!</v>
      </c>
    </row>
    <row r="26" spans="1:8" s="1" customFormat="1" ht="15"/>
    <row r="27" spans="1:8" s="1" customFormat="1" ht="15"/>
    <row r="28" spans="1:8" s="1" customFormat="1" ht="19.5">
      <c r="A28" s="27"/>
      <c r="B28" s="141"/>
      <c r="F28" s="40"/>
      <c r="G28" s="102"/>
      <c r="H28" s="141"/>
    </row>
    <row r="29" spans="1:8" s="1" customFormat="1" ht="15">
      <c r="A29" s="31"/>
      <c r="B29" s="976"/>
      <c r="C29" s="976"/>
      <c r="D29" s="976"/>
      <c r="E29" s="976"/>
      <c r="F29" s="976"/>
      <c r="G29" s="976"/>
      <c r="H29" s="976"/>
    </row>
    <row r="30" spans="1:8" s="1" customFormat="1" ht="20.25">
      <c r="A30" s="138" t="e">
        <f>+#REF!+1</f>
        <v>#REF!</v>
      </c>
      <c r="B30" s="878" t="s">
        <v>1602</v>
      </c>
      <c r="C30" s="909"/>
      <c r="D30" s="909"/>
      <c r="E30" s="909"/>
      <c r="F30" s="909"/>
      <c r="G30" s="909"/>
      <c r="H30" s="909"/>
    </row>
    <row r="31" spans="1:8" s="1" customFormat="1" ht="15">
      <c r="A31" s="15"/>
      <c r="B31" s="879" t="s">
        <v>155</v>
      </c>
      <c r="C31" s="879"/>
      <c r="D31" s="879"/>
      <c r="E31" s="879"/>
      <c r="F31" s="879"/>
      <c r="G31" s="879"/>
      <c r="H31" s="879"/>
    </row>
    <row r="32" spans="1:8" s="1" customFormat="1" ht="15"/>
    <row r="33" spans="1:8" s="1" customFormat="1" ht="63">
      <c r="B33" s="68" t="s">
        <v>2966</v>
      </c>
      <c r="C33" s="68" t="s">
        <v>2967</v>
      </c>
      <c r="D33" s="68" t="s">
        <v>2968</v>
      </c>
      <c r="E33" s="68" t="s">
        <v>2969</v>
      </c>
      <c r="F33" s="68" t="s">
        <v>2970</v>
      </c>
      <c r="G33" s="68" t="s">
        <v>2971</v>
      </c>
      <c r="H33" s="68" t="s">
        <v>1487</v>
      </c>
    </row>
    <row r="34" spans="1:8" s="1" customFormat="1" ht="17.25">
      <c r="B34" s="943"/>
      <c r="C34" s="80" t="s">
        <v>1138</v>
      </c>
      <c r="D34" s="42">
        <v>1</v>
      </c>
      <c r="E34" s="53" t="s">
        <v>2605</v>
      </c>
      <c r="F34" s="109" t="e">
        <f>#REF!</f>
        <v>#REF!</v>
      </c>
      <c r="G34" s="109" t="e">
        <f>FLOOR(D34*F34,0.01)</f>
        <v>#REF!</v>
      </c>
      <c r="H34" s="9"/>
    </row>
    <row r="35" spans="1:8" s="1" customFormat="1" ht="30.75">
      <c r="B35" s="943"/>
      <c r="C35" s="32" t="s">
        <v>1603</v>
      </c>
      <c r="D35" s="29"/>
      <c r="E35" s="12"/>
      <c r="F35" s="116"/>
      <c r="G35" s="109"/>
      <c r="H35" s="132"/>
    </row>
    <row r="36" spans="1:8" s="1" customFormat="1" ht="16.5">
      <c r="B36" s="943"/>
      <c r="C36" s="80" t="s">
        <v>1139</v>
      </c>
      <c r="D36" s="29"/>
      <c r="E36" s="12"/>
      <c r="F36" s="116"/>
      <c r="G36" s="109"/>
      <c r="H36" s="121"/>
    </row>
    <row r="37" spans="1:8" s="1" customFormat="1" ht="16.5">
      <c r="B37" s="896"/>
      <c r="C37" s="78" t="s">
        <v>1140</v>
      </c>
      <c r="D37" s="28"/>
      <c r="E37" s="15"/>
      <c r="F37" s="122"/>
      <c r="G37" s="63"/>
      <c r="H37" s="123" t="e">
        <f>SUM(G34)</f>
        <v>#REF!</v>
      </c>
    </row>
    <row r="38" spans="1:8" s="1" customFormat="1" ht="19.5">
      <c r="F38" s="40" t="s">
        <v>1491</v>
      </c>
      <c r="G38" s="102"/>
      <c r="H38" s="63" t="e">
        <f>SUM(H37)</f>
        <v>#REF!</v>
      </c>
    </row>
    <row r="39" spans="1:8" s="1" customFormat="1" ht="19.5">
      <c r="B39" s="1" t="s">
        <v>462</v>
      </c>
      <c r="F39" s="40" t="s">
        <v>1471</v>
      </c>
      <c r="G39" s="102"/>
      <c r="H39" s="99" t="e">
        <f>FLOOR(H38*0.15,0.01)</f>
        <v>#REF!</v>
      </c>
    </row>
    <row r="40" spans="1:8" s="1" customFormat="1" ht="19.5">
      <c r="A40" s="27" t="s">
        <v>3005</v>
      </c>
      <c r="B40" s="99" t="e">
        <f>+H40</f>
        <v>#REF!</v>
      </c>
      <c r="C40" s="1" t="s">
        <v>3006</v>
      </c>
      <c r="F40" s="40" t="s">
        <v>1494</v>
      </c>
      <c r="G40" s="102"/>
      <c r="H40" s="99" t="e">
        <f>SUM(H38:H39)</f>
        <v>#REF!</v>
      </c>
    </row>
    <row r="41" spans="1:8" s="1" customFormat="1" ht="16.5">
      <c r="A41" s="1" t="s">
        <v>463</v>
      </c>
      <c r="B41" s="88"/>
    </row>
    <row r="42" spans="1:8" s="1" customFormat="1" ht="16.5">
      <c r="B42" s="88"/>
    </row>
    <row r="43" spans="1:8" s="1" customFormat="1" ht="15"/>
    <row r="44" spans="1:8" s="1" customFormat="1" ht="16.5">
      <c r="A44" s="552" t="e">
        <f>+A30+1</f>
        <v>#REF!</v>
      </c>
      <c r="B44" s="1007"/>
      <c r="C44" s="1016"/>
      <c r="D44" s="1016"/>
      <c r="E44" s="1016"/>
      <c r="F44" s="1016"/>
      <c r="G44" s="1016"/>
      <c r="H44" s="1016"/>
    </row>
    <row r="45" spans="1:8" s="1" customFormat="1" ht="25.5">
      <c r="A45" s="523"/>
      <c r="B45" s="1014" t="s">
        <v>52</v>
      </c>
      <c r="C45" s="1008"/>
      <c r="D45" s="1008"/>
      <c r="E45" s="1008"/>
      <c r="F45" s="1008"/>
      <c r="G45" s="1008"/>
      <c r="H45" s="1008"/>
    </row>
    <row r="46" spans="1:8" s="1" customFormat="1" ht="19.5">
      <c r="A46" s="558"/>
      <c r="B46" s="1008" t="s">
        <v>53</v>
      </c>
      <c r="C46" s="1013"/>
      <c r="D46" s="1013"/>
      <c r="E46" s="1013"/>
      <c r="F46" s="1013"/>
      <c r="G46" s="1013"/>
      <c r="H46" s="1013"/>
    </row>
    <row r="47" spans="1:8" s="1" customFormat="1" ht="15">
      <c r="A47" s="522"/>
      <c r="B47" s="1006" t="s">
        <v>1378</v>
      </c>
      <c r="C47" s="1006"/>
      <c r="D47" s="1006"/>
      <c r="E47" s="1006"/>
      <c r="F47" s="1006"/>
      <c r="G47" s="1006"/>
      <c r="H47" s="1006"/>
    </row>
    <row r="48" spans="1:8" s="1" customFormat="1" ht="63">
      <c r="A48" s="522"/>
      <c r="B48" s="524" t="s">
        <v>2966</v>
      </c>
      <c r="C48" s="524" t="s">
        <v>2967</v>
      </c>
      <c r="D48" s="524" t="s">
        <v>2968</v>
      </c>
      <c r="E48" s="524" t="s">
        <v>2969</v>
      </c>
      <c r="F48" s="524" t="s">
        <v>2970</v>
      </c>
      <c r="G48" s="524" t="s">
        <v>2971</v>
      </c>
      <c r="H48" s="524" t="s">
        <v>1487</v>
      </c>
    </row>
    <row r="49" spans="1:8" s="1" customFormat="1" ht="39">
      <c r="A49" s="522"/>
      <c r="B49" s="1009" t="s">
        <v>2055</v>
      </c>
      <c r="C49" s="559" t="s">
        <v>54</v>
      </c>
      <c r="D49" s="522"/>
      <c r="E49" s="546"/>
      <c r="F49" s="551"/>
      <c r="G49" s="551"/>
      <c r="H49" s="527"/>
    </row>
    <row r="50" spans="1:8" s="1" customFormat="1" ht="16.5">
      <c r="A50" s="522"/>
      <c r="B50" s="1011"/>
      <c r="C50" s="560" t="s">
        <v>1881</v>
      </c>
      <c r="D50" s="561"/>
      <c r="E50" s="554"/>
      <c r="F50" s="551"/>
      <c r="G50" s="551"/>
      <c r="H50" s="530"/>
    </row>
    <row r="51" spans="1:8" s="1" customFormat="1" ht="17.25">
      <c r="A51" s="522"/>
      <c r="B51" s="1011"/>
      <c r="C51" s="549" t="s">
        <v>1882</v>
      </c>
      <c r="D51" s="537">
        <v>1</v>
      </c>
      <c r="E51" s="528" t="s">
        <v>2807</v>
      </c>
      <c r="F51" s="529" t="e">
        <f>#REF!</f>
        <v>#REF!</v>
      </c>
      <c r="G51" s="529" t="e">
        <f>FLOOR(D51*F51,0.01)</f>
        <v>#REF!</v>
      </c>
      <c r="H51" s="544"/>
    </row>
    <row r="52" spans="1:8" s="1" customFormat="1" ht="31.5">
      <c r="A52" s="522"/>
      <c r="B52" s="1011"/>
      <c r="C52" s="549" t="s">
        <v>1883</v>
      </c>
      <c r="D52" s="561"/>
      <c r="E52" s="554"/>
      <c r="F52" s="551"/>
      <c r="G52" s="555"/>
      <c r="H52" s="555"/>
    </row>
    <row r="53" spans="1:8" s="1" customFormat="1" ht="18">
      <c r="A53" s="522"/>
      <c r="B53" s="1011"/>
      <c r="C53" s="553" t="s">
        <v>36</v>
      </c>
      <c r="D53" s="561"/>
      <c r="E53" s="554"/>
      <c r="F53" s="551"/>
      <c r="G53" s="529"/>
      <c r="H53" s="555"/>
    </row>
    <row r="54" spans="1:8" s="1" customFormat="1" ht="16.5">
      <c r="A54" s="522"/>
      <c r="B54" s="1011"/>
      <c r="C54" s="549" t="s">
        <v>1884</v>
      </c>
      <c r="D54" s="561"/>
      <c r="E54" s="554"/>
      <c r="F54" s="551"/>
      <c r="G54" s="529"/>
      <c r="H54" s="530"/>
    </row>
    <row r="55" spans="1:8" s="1" customFormat="1" ht="16.5">
      <c r="A55" s="522"/>
      <c r="B55" s="1010"/>
      <c r="C55" s="547" t="s">
        <v>37</v>
      </c>
      <c r="D55" s="562"/>
      <c r="E55" s="523"/>
      <c r="F55" s="545"/>
      <c r="G55" s="531"/>
      <c r="H55" s="532" t="e">
        <f>SUM(G50+G51)</f>
        <v>#REF!</v>
      </c>
    </row>
    <row r="56" spans="1:8" s="1" customFormat="1" ht="19.5">
      <c r="A56" s="522"/>
      <c r="B56" s="522"/>
      <c r="C56" s="522"/>
      <c r="D56" s="522"/>
      <c r="E56" s="522"/>
      <c r="F56" s="533" t="s">
        <v>1491</v>
      </c>
      <c r="G56" s="548"/>
      <c r="H56" s="531" t="e">
        <f>SUM(H55)</f>
        <v>#REF!</v>
      </c>
    </row>
    <row r="57" spans="1:8" s="1" customFormat="1" ht="19.5">
      <c r="A57" s="522"/>
      <c r="B57" s="522" t="s">
        <v>2641</v>
      </c>
      <c r="C57" s="522"/>
      <c r="D57" s="522"/>
      <c r="E57" s="522"/>
      <c r="F57" s="533" t="s">
        <v>1471</v>
      </c>
      <c r="G57" s="548"/>
      <c r="H57" s="534" t="e">
        <f>FLOOR(H56*0.15,0.01)</f>
        <v>#REF!</v>
      </c>
    </row>
    <row r="58" spans="1:8" s="1" customFormat="1" ht="19.5">
      <c r="A58" s="535" t="s">
        <v>3005</v>
      </c>
      <c r="B58" s="534" t="e">
        <f>+H58</f>
        <v>#REF!</v>
      </c>
      <c r="C58" s="522" t="s">
        <v>3006</v>
      </c>
      <c r="D58" s="522"/>
      <c r="E58" s="522"/>
      <c r="F58" s="533" t="s">
        <v>1494</v>
      </c>
      <c r="G58" s="548"/>
      <c r="H58" s="534" t="e">
        <f>SUM(H56:H57)</f>
        <v>#REF!</v>
      </c>
    </row>
    <row r="59" spans="1:8" s="1" customFormat="1" ht="15">
      <c r="A59" s="522"/>
      <c r="B59" s="522"/>
      <c r="C59" s="522"/>
      <c r="D59" s="522"/>
      <c r="E59" s="522"/>
      <c r="F59" s="522"/>
      <c r="G59" s="522"/>
      <c r="H59" s="522"/>
    </row>
    <row r="60" spans="1:8" s="1" customFormat="1" ht="15">
      <c r="A60" s="522"/>
      <c r="B60" s="522"/>
      <c r="C60" s="522"/>
      <c r="D60" s="522"/>
      <c r="E60" s="522"/>
      <c r="F60" s="522"/>
      <c r="G60" s="522"/>
      <c r="H60" s="522"/>
    </row>
    <row r="61" spans="1:8" s="1" customFormat="1" ht="15">
      <c r="A61" s="522"/>
      <c r="B61" s="522"/>
      <c r="C61" s="522"/>
      <c r="D61" s="522"/>
      <c r="E61" s="522"/>
      <c r="F61" s="522"/>
      <c r="G61" s="522"/>
      <c r="H61" s="522"/>
    </row>
    <row r="62" spans="1:8" s="1" customFormat="1" ht="25.5">
      <c r="A62" s="552" t="e">
        <f>+A44+1</f>
        <v>#REF!</v>
      </c>
      <c r="B62" s="1014" t="s">
        <v>52</v>
      </c>
      <c r="C62" s="1015"/>
      <c r="D62" s="1015"/>
      <c r="E62" s="1015"/>
      <c r="F62" s="1015"/>
      <c r="G62" s="1015"/>
      <c r="H62" s="1015"/>
    </row>
    <row r="63" spans="1:8" s="1" customFormat="1" ht="25.5">
      <c r="A63" s="523"/>
      <c r="B63" s="1012" t="s">
        <v>1250</v>
      </c>
      <c r="C63" s="1008"/>
      <c r="D63" s="1008"/>
      <c r="E63" s="1008"/>
      <c r="F63" s="1008"/>
      <c r="G63" s="1008"/>
      <c r="H63" s="1008"/>
    </row>
    <row r="64" spans="1:8" s="1" customFormat="1" ht="19.5">
      <c r="A64" s="563"/>
      <c r="B64" s="1008" t="s">
        <v>2376</v>
      </c>
      <c r="C64" s="1008"/>
      <c r="D64" s="1008"/>
      <c r="E64" s="1008"/>
      <c r="F64" s="1008"/>
      <c r="G64" s="1008"/>
      <c r="H64" s="1008"/>
    </row>
    <row r="65" spans="1:20" s="1" customFormat="1" ht="15">
      <c r="A65" s="564"/>
      <c r="B65" s="1006" t="s">
        <v>1378</v>
      </c>
      <c r="C65" s="1006"/>
      <c r="D65" s="1006"/>
      <c r="E65" s="1006"/>
      <c r="F65" s="1006"/>
      <c r="G65" s="1006"/>
      <c r="H65" s="1006"/>
    </row>
    <row r="66" spans="1:20" s="1" customFormat="1" ht="63">
      <c r="A66" s="522"/>
      <c r="B66" s="524" t="s">
        <v>2966</v>
      </c>
      <c r="C66" s="524" t="s">
        <v>2967</v>
      </c>
      <c r="D66" s="524" t="s">
        <v>2968</v>
      </c>
      <c r="E66" s="524" t="s">
        <v>2969</v>
      </c>
      <c r="F66" s="524" t="s">
        <v>2970</v>
      </c>
      <c r="G66" s="524" t="s">
        <v>2971</v>
      </c>
      <c r="H66" s="524" t="s">
        <v>1487</v>
      </c>
      <c r="M66" s="138">
        <f>M55+1</f>
        <v>1</v>
      </c>
    </row>
    <row r="67" spans="1:20" s="1" customFormat="1" ht="40.5">
      <c r="A67" s="522"/>
      <c r="B67" s="1009" t="s">
        <v>2055</v>
      </c>
      <c r="C67" s="559" t="s">
        <v>54</v>
      </c>
      <c r="D67" s="537"/>
      <c r="E67" s="528"/>
      <c r="F67" s="551"/>
      <c r="G67" s="551"/>
      <c r="H67" s="527"/>
      <c r="M67" s="15"/>
      <c r="N67" s="977" t="s">
        <v>3588</v>
      </c>
      <c r="O67" s="978"/>
      <c r="P67" s="978"/>
      <c r="Q67" s="978"/>
      <c r="R67" s="978"/>
      <c r="S67" s="978"/>
      <c r="T67" s="978"/>
    </row>
    <row r="68" spans="1:20" s="1" customFormat="1" ht="16.5">
      <c r="A68" s="522"/>
      <c r="B68" s="1011"/>
      <c r="C68" s="560" t="s">
        <v>1881</v>
      </c>
      <c r="D68" s="542"/>
      <c r="E68" s="554"/>
      <c r="F68" s="551"/>
      <c r="G68" s="551"/>
      <c r="H68" s="530"/>
      <c r="N68" s="885" t="s">
        <v>1392</v>
      </c>
      <c r="O68" s="885"/>
      <c r="P68" s="885"/>
      <c r="Q68" s="885"/>
      <c r="R68" s="885"/>
      <c r="S68" s="885"/>
      <c r="T68" s="885"/>
    </row>
    <row r="69" spans="1:20" s="1" customFormat="1" ht="63">
      <c r="A69" s="522"/>
      <c r="B69" s="1011"/>
      <c r="C69" s="553" t="s">
        <v>2640</v>
      </c>
      <c r="D69" s="542"/>
      <c r="E69" s="554"/>
      <c r="F69" s="551"/>
      <c r="G69" s="551"/>
      <c r="H69" s="530"/>
      <c r="N69" s="68" t="s">
        <v>2966</v>
      </c>
      <c r="O69" s="68" t="s">
        <v>2967</v>
      </c>
      <c r="P69" s="68" t="s">
        <v>2968</v>
      </c>
      <c r="Q69" s="68" t="s">
        <v>2969</v>
      </c>
      <c r="R69" s="68" t="s">
        <v>2970</v>
      </c>
      <c r="S69" s="68" t="s">
        <v>2971</v>
      </c>
      <c r="T69" s="68" t="s">
        <v>1487</v>
      </c>
    </row>
    <row r="70" spans="1:20" s="1" customFormat="1" ht="31.5">
      <c r="A70" s="522"/>
      <c r="B70" s="1011"/>
      <c r="C70" s="553" t="s">
        <v>2377</v>
      </c>
      <c r="D70" s="537">
        <v>1</v>
      </c>
      <c r="E70" s="528" t="s">
        <v>2807</v>
      </c>
      <c r="F70" s="529" t="e">
        <f>#REF!</f>
        <v>#REF!</v>
      </c>
      <c r="G70" s="529" t="e">
        <f>FLOOR(D70*F70,0.01)</f>
        <v>#REF!</v>
      </c>
      <c r="H70" s="544"/>
      <c r="N70" s="58" t="s">
        <v>371</v>
      </c>
      <c r="O70" s="58" t="s">
        <v>371</v>
      </c>
      <c r="P70" s="8"/>
      <c r="Q70" s="8"/>
      <c r="R70" s="107"/>
      <c r="S70" s="107"/>
      <c r="T70" s="108"/>
    </row>
    <row r="71" spans="1:20" s="1" customFormat="1" ht="56.25">
      <c r="A71" s="522"/>
      <c r="B71" s="1011"/>
      <c r="C71" s="553" t="s">
        <v>36</v>
      </c>
      <c r="D71" s="542"/>
      <c r="E71" s="554"/>
      <c r="F71" s="551"/>
      <c r="G71" s="555"/>
      <c r="H71" s="555"/>
      <c r="N71" s="81" t="s">
        <v>2055</v>
      </c>
      <c r="O71" s="34" t="s">
        <v>3598</v>
      </c>
      <c r="P71" s="50"/>
      <c r="Q71" s="12"/>
      <c r="R71" s="116"/>
      <c r="S71" s="116"/>
      <c r="T71" s="121"/>
    </row>
    <row r="72" spans="1:20" s="1" customFormat="1" ht="45">
      <c r="A72" s="522"/>
      <c r="B72" s="1011"/>
      <c r="C72" s="549" t="s">
        <v>1884</v>
      </c>
      <c r="D72" s="542"/>
      <c r="E72" s="554"/>
      <c r="F72" s="551"/>
      <c r="G72" s="529"/>
      <c r="H72" s="555"/>
      <c r="N72" s="81" t="s">
        <v>370</v>
      </c>
      <c r="O72" s="34" t="s">
        <v>3599</v>
      </c>
      <c r="P72" s="42">
        <v>1</v>
      </c>
      <c r="Q72" s="53" t="s">
        <v>2807</v>
      </c>
      <c r="R72" s="109" t="e">
        <f>#REF!</f>
        <v>#REF!</v>
      </c>
      <c r="S72" s="109" t="e">
        <f>FLOOR(P72*R72,0.01)</f>
        <v>#REF!</v>
      </c>
      <c r="T72" s="9"/>
    </row>
    <row r="73" spans="1:20" s="1" customFormat="1" ht="31.5">
      <c r="A73" s="535"/>
      <c r="B73" s="1010"/>
      <c r="C73" s="547" t="s">
        <v>37</v>
      </c>
      <c r="D73" s="557"/>
      <c r="E73" s="523"/>
      <c r="F73" s="545"/>
      <c r="G73" s="529"/>
      <c r="H73" s="532" t="e">
        <f>SUM(G69+G70)</f>
        <v>#REF!</v>
      </c>
      <c r="N73" s="33"/>
      <c r="O73" s="78" t="s">
        <v>2065</v>
      </c>
      <c r="P73" s="51"/>
      <c r="Q73" s="15"/>
      <c r="R73" s="122"/>
      <c r="S73" s="122"/>
      <c r="T73" s="123" t="e">
        <f>SUM(S72)</f>
        <v>#REF!</v>
      </c>
    </row>
    <row r="74" spans="1:20" s="1" customFormat="1" ht="19.5">
      <c r="A74" s="564"/>
      <c r="B74" s="563"/>
      <c r="C74" s="522"/>
      <c r="D74" s="522"/>
      <c r="E74" s="522"/>
      <c r="F74" s="533" t="s">
        <v>1491</v>
      </c>
      <c r="G74" s="565"/>
      <c r="H74" s="531" t="e">
        <f>SUM(H71:H73)</f>
        <v>#REF!</v>
      </c>
      <c r="R74" s="40" t="s">
        <v>1491</v>
      </c>
      <c r="S74" s="102"/>
      <c r="T74" s="63" t="e">
        <f>SUM(T70:T73)</f>
        <v>#REF!</v>
      </c>
    </row>
    <row r="75" spans="1:20" s="1" customFormat="1" ht="19.5">
      <c r="A75" s="522"/>
      <c r="B75" s="522" t="s">
        <v>2641</v>
      </c>
      <c r="C75" s="522"/>
      <c r="D75" s="522"/>
      <c r="E75" s="522"/>
      <c r="F75" s="533" t="s">
        <v>1471</v>
      </c>
      <c r="G75" s="548"/>
      <c r="H75" s="534" t="e">
        <f>FLOOR(H74*0.15,0.01)</f>
        <v>#REF!</v>
      </c>
      <c r="N75" s="1" t="s">
        <v>372</v>
      </c>
      <c r="R75" s="40" t="s">
        <v>1471</v>
      </c>
      <c r="S75" s="102"/>
      <c r="T75" s="99" t="e">
        <f>FLOOR(T74*0.15,0.01)</f>
        <v>#REF!</v>
      </c>
    </row>
    <row r="76" spans="1:20" s="1" customFormat="1" ht="19.5">
      <c r="A76" s="535" t="s">
        <v>3005</v>
      </c>
      <c r="B76" s="534" t="e">
        <f>+H76</f>
        <v>#REF!</v>
      </c>
      <c r="C76" s="522"/>
      <c r="D76" s="522"/>
      <c r="E76" s="522"/>
      <c r="F76" s="533" t="s">
        <v>1494</v>
      </c>
      <c r="G76" s="548"/>
      <c r="H76" s="534" t="e">
        <f>SUM(H74:H75)</f>
        <v>#REF!</v>
      </c>
      <c r="M76" s="27" t="s">
        <v>3005</v>
      </c>
      <c r="N76" s="99" t="e">
        <f>+T76</f>
        <v>#REF!</v>
      </c>
      <c r="O76" s="1" t="s">
        <v>3006</v>
      </c>
      <c r="R76" s="40" t="s">
        <v>1494</v>
      </c>
      <c r="S76" s="102"/>
      <c r="T76" s="99" t="e">
        <f>SUM(T74:T75)</f>
        <v>#REF!</v>
      </c>
    </row>
    <row r="77" spans="1:20" s="1" customFormat="1" ht="19.5">
      <c r="G77" s="40"/>
      <c r="M77" s="27"/>
      <c r="N77" s="141"/>
      <c r="R77" s="40"/>
      <c r="S77" s="102"/>
      <c r="T77" s="141"/>
    </row>
    <row r="78" spans="1:20" s="1" customFormat="1" ht="15.75">
      <c r="G78" s="40"/>
    </row>
    <row r="79" spans="1:20" s="1" customFormat="1" ht="19.5">
      <c r="A79" s="27"/>
      <c r="B79" s="88"/>
      <c r="F79" s="40"/>
      <c r="G79" s="102"/>
      <c r="H79" s="141"/>
    </row>
    <row r="80" spans="1:20" s="1" customFormat="1" ht="15">
      <c r="A80" s="27"/>
    </row>
    <row r="81" spans="1:8" s="1" customFormat="1" ht="37.5" customHeight="1"/>
    <row r="82" spans="1:8" s="1" customFormat="1" ht="15"/>
    <row r="83" spans="1:8" s="1" customFormat="1" ht="15"/>
    <row r="84" spans="1:8" s="1" customFormat="1" ht="27.75" customHeight="1"/>
    <row r="85" spans="1:8" s="1" customFormat="1" ht="26.25" customHeight="1"/>
    <row r="86" spans="1:8" s="1" customFormat="1" ht="15"/>
    <row r="87" spans="1:8" s="1" customFormat="1" ht="15">
      <c r="A87" s="214"/>
    </row>
    <row r="88" spans="1:8" s="1" customFormat="1" ht="15">
      <c r="A88" s="214"/>
    </row>
    <row r="89" spans="1:8" s="1" customFormat="1" ht="15"/>
    <row r="90" spans="1:8" s="1" customFormat="1" ht="15"/>
    <row r="91" spans="1:8" s="1" customFormat="1" ht="15"/>
    <row r="92" spans="1:8" s="1" customFormat="1" ht="15"/>
    <row r="93" spans="1:8" s="1" customFormat="1" ht="15"/>
    <row r="94" spans="1:8" s="1" customFormat="1" ht="17.25">
      <c r="B94" s="141"/>
      <c r="C94" s="214"/>
      <c r="D94" s="143"/>
      <c r="F94" s="40"/>
      <c r="G94" s="106"/>
      <c r="H94" s="141"/>
    </row>
    <row r="95" spans="1:8" s="1" customFormat="1" ht="16.5">
      <c r="B95" s="143"/>
    </row>
    <row r="96" spans="1:8" s="1" customFormat="1" ht="17.25">
      <c r="B96" s="217"/>
      <c r="C96" s="214"/>
      <c r="D96" s="143"/>
      <c r="F96" s="40"/>
      <c r="G96" s="40"/>
      <c r="H96" s="19"/>
    </row>
    <row r="97" spans="1:8" s="1" customFormat="1" ht="16.5">
      <c r="A97" s="260" t="e">
        <f>+#REF!+1</f>
        <v>#REF!</v>
      </c>
      <c r="B97" s="957" t="s">
        <v>1621</v>
      </c>
      <c r="C97" s="957"/>
      <c r="D97" s="957"/>
      <c r="E97" s="957"/>
      <c r="F97" s="957"/>
      <c r="G97" s="957"/>
      <c r="H97" s="957"/>
    </row>
    <row r="98" spans="1:8" s="1" customFormat="1" ht="15">
      <c r="A98" s="15" t="s">
        <v>1622</v>
      </c>
      <c r="B98" s="957" t="s">
        <v>1862</v>
      </c>
      <c r="C98" s="958"/>
      <c r="D98" s="958"/>
      <c r="E98" s="958"/>
      <c r="F98" s="958"/>
      <c r="G98" s="958"/>
      <c r="H98" s="958"/>
    </row>
    <row r="99" spans="1:8" s="1" customFormat="1" ht="16.5">
      <c r="A99" s="257"/>
      <c r="B99" s="957" t="s">
        <v>1863</v>
      </c>
      <c r="C99" s="957"/>
      <c r="D99" s="957"/>
      <c r="E99" s="957"/>
      <c r="F99" s="957"/>
      <c r="G99" s="957"/>
      <c r="H99" s="957"/>
    </row>
    <row r="100" spans="1:8" s="1" customFormat="1" ht="15">
      <c r="A100" s="3"/>
      <c r="B100" s="957" t="s">
        <v>1864</v>
      </c>
      <c r="C100" s="958"/>
      <c r="D100" s="958"/>
      <c r="E100" s="958"/>
      <c r="F100" s="958"/>
      <c r="G100" s="958"/>
      <c r="H100" s="958"/>
    </row>
    <row r="101" spans="1:8" s="1" customFormat="1" ht="15">
      <c r="B101" s="885" t="s">
        <v>1392</v>
      </c>
      <c r="C101" s="885"/>
      <c r="D101" s="885"/>
      <c r="E101" s="885"/>
      <c r="F101" s="885"/>
      <c r="G101" s="885"/>
      <c r="H101" s="885"/>
    </row>
    <row r="102" spans="1:8" s="1" customFormat="1" ht="63">
      <c r="B102" s="68" t="s">
        <v>2966</v>
      </c>
      <c r="C102" s="68" t="s">
        <v>2967</v>
      </c>
      <c r="D102" s="68" t="s">
        <v>2968</v>
      </c>
      <c r="E102" s="68" t="s">
        <v>2969</v>
      </c>
      <c r="F102" s="68" t="s">
        <v>2970</v>
      </c>
      <c r="G102" s="68" t="s">
        <v>2971</v>
      </c>
      <c r="H102" s="68" t="s">
        <v>1487</v>
      </c>
    </row>
    <row r="103" spans="1:8" s="1" customFormat="1" ht="63">
      <c r="B103" s="58" t="s">
        <v>2055</v>
      </c>
      <c r="C103" s="58" t="s">
        <v>1865</v>
      </c>
      <c r="D103" s="8"/>
      <c r="E103" s="8"/>
      <c r="F103" s="107"/>
      <c r="G103" s="107"/>
      <c r="H103" s="108"/>
    </row>
    <row r="104" spans="1:8" s="1" customFormat="1" ht="78.75">
      <c r="B104" s="81" t="s">
        <v>370</v>
      </c>
      <c r="C104" s="80" t="s">
        <v>1372</v>
      </c>
      <c r="D104" s="42">
        <v>1</v>
      </c>
      <c r="E104" s="53" t="s">
        <v>2807</v>
      </c>
      <c r="F104" s="116" t="e">
        <f>#REF!</f>
        <v>#REF!</v>
      </c>
      <c r="G104" s="109" t="e">
        <f>SUM(D104*F104)</f>
        <v>#REF!</v>
      </c>
      <c r="H104" s="9"/>
    </row>
    <row r="105" spans="1:8" s="1" customFormat="1" ht="17.25">
      <c r="B105" s="78"/>
      <c r="C105" s="78"/>
      <c r="D105" s="51"/>
      <c r="E105" s="56"/>
      <c r="F105" s="122"/>
      <c r="G105" s="122"/>
      <c r="H105" s="123" t="e">
        <f>SUM(G104)</f>
        <v>#REF!</v>
      </c>
    </row>
    <row r="106" spans="1:8" s="1" customFormat="1" ht="19.5">
      <c r="F106" s="40" t="s">
        <v>1491</v>
      </c>
      <c r="G106" s="102"/>
      <c r="H106" s="63" t="e">
        <f>SUM(H102:H105)</f>
        <v>#REF!</v>
      </c>
    </row>
    <row r="107" spans="1:8" s="1" customFormat="1" ht="19.5">
      <c r="B107" s="1" t="s">
        <v>372</v>
      </c>
      <c r="F107" s="40" t="s">
        <v>1471</v>
      </c>
      <c r="G107" s="102"/>
      <c r="H107" s="63" t="e">
        <f>FLOOR(H106*0.15,0.01)</f>
        <v>#REF!</v>
      </c>
    </row>
    <row r="108" spans="1:8" s="1" customFormat="1" ht="19.5">
      <c r="A108" s="27" t="s">
        <v>3005</v>
      </c>
      <c r="B108" s="99" t="e">
        <f>+H108</f>
        <v>#REF!</v>
      </c>
      <c r="C108" s="1" t="s">
        <v>3006</v>
      </c>
      <c r="F108" s="40" t="s">
        <v>1494</v>
      </c>
      <c r="G108" s="102"/>
      <c r="H108" s="99" t="e">
        <f>SUM(H106:H107)</f>
        <v>#REF!</v>
      </c>
    </row>
    <row r="109" spans="1:8" s="1" customFormat="1" ht="19.5">
      <c r="B109" s="231" t="s">
        <v>1866</v>
      </c>
      <c r="C109" s="27"/>
      <c r="D109" s="141"/>
      <c r="F109" s="40"/>
      <c r="G109" s="102"/>
      <c r="H109" s="141"/>
    </row>
    <row r="110" spans="1:8" s="1" customFormat="1" ht="16.5">
      <c r="A110" s="260" t="e">
        <f>+A97+1</f>
        <v>#REF!</v>
      </c>
      <c r="B110" s="957" t="s">
        <v>1577</v>
      </c>
      <c r="C110" s="957"/>
      <c r="D110" s="957"/>
      <c r="E110" s="957"/>
      <c r="F110" s="957"/>
      <c r="G110" s="957"/>
      <c r="H110" s="957"/>
    </row>
    <row r="111" spans="1:8" s="1" customFormat="1" ht="15">
      <c r="A111" s="15" t="s">
        <v>1578</v>
      </c>
      <c r="B111" s="957" t="s">
        <v>1862</v>
      </c>
      <c r="C111" s="958"/>
      <c r="D111" s="958"/>
      <c r="E111" s="958"/>
      <c r="F111" s="958"/>
      <c r="G111" s="958"/>
      <c r="H111" s="958"/>
    </row>
    <row r="112" spans="1:8" s="1" customFormat="1" ht="16.5">
      <c r="A112" s="267"/>
      <c r="B112" s="957" t="s">
        <v>1863</v>
      </c>
      <c r="C112" s="957"/>
      <c r="D112" s="957"/>
      <c r="E112" s="957"/>
      <c r="F112" s="957"/>
      <c r="G112" s="957"/>
      <c r="H112" s="957"/>
    </row>
    <row r="113" spans="1:8" s="1" customFormat="1" ht="15">
      <c r="A113" s="3"/>
      <c r="B113" s="957" t="s">
        <v>1864</v>
      </c>
      <c r="C113" s="958"/>
      <c r="D113" s="958"/>
      <c r="E113" s="958"/>
      <c r="F113" s="958"/>
      <c r="G113" s="958"/>
      <c r="H113" s="958"/>
    </row>
    <row r="114" spans="1:8" s="1" customFormat="1" ht="15">
      <c r="B114" s="885" t="s">
        <v>1392</v>
      </c>
      <c r="C114" s="885"/>
      <c r="D114" s="885"/>
      <c r="E114" s="885"/>
      <c r="F114" s="885"/>
      <c r="G114" s="885"/>
      <c r="H114" s="885"/>
    </row>
    <row r="115" spans="1:8" s="1" customFormat="1" ht="63">
      <c r="B115" s="68" t="s">
        <v>2966</v>
      </c>
      <c r="C115" s="68" t="s">
        <v>2967</v>
      </c>
      <c r="D115" s="68" t="s">
        <v>2968</v>
      </c>
      <c r="E115" s="68" t="s">
        <v>2969</v>
      </c>
      <c r="F115" s="68" t="s">
        <v>2970</v>
      </c>
      <c r="G115" s="68" t="s">
        <v>2971</v>
      </c>
      <c r="H115" s="68" t="s">
        <v>1487</v>
      </c>
    </row>
    <row r="116" spans="1:8" s="1" customFormat="1" ht="63">
      <c r="B116" s="58" t="s">
        <v>2055</v>
      </c>
      <c r="C116" s="58" t="s">
        <v>1579</v>
      </c>
      <c r="D116" s="8"/>
      <c r="E116" s="8"/>
      <c r="F116" s="107"/>
      <c r="G116" s="107"/>
      <c r="H116" s="108"/>
    </row>
    <row r="117" spans="1:8" s="1" customFormat="1" ht="78.75">
      <c r="B117" s="81" t="s">
        <v>370</v>
      </c>
      <c r="C117" s="80" t="s">
        <v>1372</v>
      </c>
      <c r="D117" s="42">
        <v>1</v>
      </c>
      <c r="E117" s="53" t="s">
        <v>2807</v>
      </c>
      <c r="F117" s="116" t="e">
        <f>#REF!</f>
        <v>#REF!</v>
      </c>
      <c r="G117" s="109" t="e">
        <f>SUM(D117*F117)</f>
        <v>#REF!</v>
      </c>
      <c r="H117" s="9"/>
    </row>
    <row r="118" spans="1:8" s="1" customFormat="1" ht="17.25">
      <c r="B118" s="78"/>
      <c r="C118" s="78"/>
      <c r="D118" s="51"/>
      <c r="E118" s="56"/>
      <c r="F118" s="122"/>
      <c r="G118" s="122"/>
      <c r="H118" s="123" t="e">
        <f>SUM(G117)</f>
        <v>#REF!</v>
      </c>
    </row>
    <row r="119" spans="1:8" s="1" customFormat="1" ht="19.5">
      <c r="F119" s="40" t="s">
        <v>1491</v>
      </c>
      <c r="G119" s="102"/>
      <c r="H119" s="63" t="e">
        <f>SUM(H115:H118)</f>
        <v>#REF!</v>
      </c>
    </row>
    <row r="120" spans="1:8" s="1" customFormat="1" ht="19.5">
      <c r="B120" s="1" t="s">
        <v>372</v>
      </c>
      <c r="F120" s="40" t="s">
        <v>1471</v>
      </c>
      <c r="G120" s="102"/>
      <c r="H120" s="63" t="e">
        <f>FLOOR(H119*0.15,0.01)</f>
        <v>#REF!</v>
      </c>
    </row>
    <row r="121" spans="1:8" s="1" customFormat="1" ht="19.5">
      <c r="A121" s="27" t="s">
        <v>3005</v>
      </c>
      <c r="B121" s="99" t="e">
        <f>+H121</f>
        <v>#REF!</v>
      </c>
      <c r="C121" s="1" t="s">
        <v>3006</v>
      </c>
      <c r="F121" s="40" t="s">
        <v>1494</v>
      </c>
      <c r="G121" s="102"/>
      <c r="H121" s="99" t="e">
        <f>SUM(H119:H120)</f>
        <v>#REF!</v>
      </c>
    </row>
    <row r="122" spans="1:8" s="1" customFormat="1" ht="19.5">
      <c r="B122" s="88"/>
      <c r="C122" s="27"/>
      <c r="D122" s="141"/>
      <c r="F122" s="40"/>
      <c r="G122" s="102"/>
      <c r="H122" s="141"/>
    </row>
    <row r="123" spans="1:8" s="1" customFormat="1" ht="16.5">
      <c r="A123" s="260" t="e">
        <f>+A110+1</f>
        <v>#REF!</v>
      </c>
      <c r="B123" s="957" t="s">
        <v>1580</v>
      </c>
      <c r="C123" s="957"/>
      <c r="D123" s="957"/>
      <c r="E123" s="957"/>
      <c r="F123" s="957"/>
      <c r="G123" s="957"/>
      <c r="H123" s="957"/>
    </row>
    <row r="124" spans="1:8" s="1" customFormat="1" ht="15">
      <c r="A124" s="15" t="s">
        <v>1581</v>
      </c>
      <c r="B124" s="957" t="s">
        <v>2515</v>
      </c>
      <c r="C124" s="958"/>
      <c r="D124" s="958"/>
      <c r="E124" s="958"/>
      <c r="F124" s="958"/>
      <c r="G124" s="958"/>
      <c r="H124" s="958"/>
    </row>
    <row r="125" spans="1:8" s="1" customFormat="1" ht="16.5">
      <c r="A125" s="267"/>
      <c r="B125" s="957" t="s">
        <v>1099</v>
      </c>
      <c r="C125" s="957"/>
      <c r="D125" s="957"/>
      <c r="E125" s="957"/>
      <c r="F125" s="957"/>
      <c r="G125" s="957"/>
      <c r="H125" s="957"/>
    </row>
    <row r="126" spans="1:8" s="1" customFormat="1" ht="15">
      <c r="A126" s="3"/>
      <c r="B126" s="957" t="s">
        <v>2342</v>
      </c>
      <c r="C126" s="958"/>
      <c r="D126" s="958"/>
      <c r="E126" s="958"/>
      <c r="F126" s="958"/>
      <c r="G126" s="958"/>
      <c r="H126" s="958"/>
    </row>
    <row r="127" spans="1:8" s="1" customFormat="1" ht="15">
      <c r="B127" s="885" t="s">
        <v>1392</v>
      </c>
      <c r="C127" s="885"/>
      <c r="D127" s="885"/>
      <c r="E127" s="885"/>
      <c r="F127" s="885"/>
      <c r="G127" s="885"/>
      <c r="H127" s="885"/>
    </row>
    <row r="128" spans="1:8" s="1" customFormat="1" ht="63">
      <c r="B128" s="68" t="s">
        <v>2966</v>
      </c>
      <c r="C128" s="68" t="s">
        <v>2967</v>
      </c>
      <c r="D128" s="68" t="s">
        <v>2968</v>
      </c>
      <c r="E128" s="68" t="s">
        <v>2969</v>
      </c>
      <c r="F128" s="68" t="s">
        <v>2970</v>
      </c>
      <c r="G128" s="68" t="s">
        <v>2971</v>
      </c>
      <c r="H128" s="68" t="s">
        <v>1487</v>
      </c>
    </row>
    <row r="129" spans="1:8" s="1" customFormat="1" ht="63">
      <c r="B129" s="58" t="s">
        <v>2055</v>
      </c>
      <c r="C129" s="58" t="s">
        <v>2343</v>
      </c>
      <c r="D129" s="8"/>
      <c r="E129" s="8"/>
      <c r="F129" s="107"/>
      <c r="G129" s="107"/>
      <c r="H129" s="108"/>
    </row>
    <row r="130" spans="1:8" s="1" customFormat="1" ht="78.75">
      <c r="B130" s="81" t="s">
        <v>370</v>
      </c>
      <c r="C130" s="80" t="s">
        <v>1372</v>
      </c>
      <c r="D130" s="42">
        <v>1</v>
      </c>
      <c r="E130" s="53" t="s">
        <v>2807</v>
      </c>
      <c r="F130" s="116" t="e">
        <f>#REF!</f>
        <v>#REF!</v>
      </c>
      <c r="G130" s="109" t="e">
        <f>SUM(D130*F130)</f>
        <v>#REF!</v>
      </c>
      <c r="H130" s="9"/>
    </row>
    <row r="131" spans="1:8" s="1" customFormat="1" ht="17.25">
      <c r="B131" s="78"/>
      <c r="C131" s="78"/>
      <c r="D131" s="51"/>
      <c r="E131" s="56"/>
      <c r="F131" s="122"/>
      <c r="G131" s="122"/>
      <c r="H131" s="123" t="e">
        <f>SUM(G130)</f>
        <v>#REF!</v>
      </c>
    </row>
    <row r="132" spans="1:8" s="1" customFormat="1" ht="19.5">
      <c r="F132" s="40" t="s">
        <v>1491</v>
      </c>
      <c r="G132" s="102"/>
      <c r="H132" s="63" t="e">
        <f>SUM(H128:H131)</f>
        <v>#REF!</v>
      </c>
    </row>
    <row r="133" spans="1:8" s="1" customFormat="1" ht="19.5">
      <c r="B133" s="1" t="s">
        <v>372</v>
      </c>
      <c r="F133" s="40" t="s">
        <v>1471</v>
      </c>
      <c r="G133" s="102"/>
      <c r="H133" s="63" t="e">
        <f>FLOOR(H132*0.15,0.01)</f>
        <v>#REF!</v>
      </c>
    </row>
    <row r="134" spans="1:8" s="1" customFormat="1" ht="19.5">
      <c r="A134" s="27" t="s">
        <v>3005</v>
      </c>
      <c r="B134" s="99" t="e">
        <f>+H134</f>
        <v>#REF!</v>
      </c>
      <c r="C134" s="1" t="s">
        <v>3006</v>
      </c>
      <c r="F134" s="40" t="s">
        <v>1494</v>
      </c>
      <c r="G134" s="102"/>
      <c r="H134" s="99" t="e">
        <f>SUM(H132:H133)</f>
        <v>#REF!</v>
      </c>
    </row>
    <row r="135" spans="1:8" s="1" customFormat="1" ht="19.5">
      <c r="A135" s="27"/>
      <c r="B135" s="141"/>
      <c r="F135" s="40"/>
      <c r="G135" s="102"/>
      <c r="H135" s="141"/>
    </row>
    <row r="136" spans="1:8" s="1" customFormat="1" ht="16.5">
      <c r="A136" s="260" t="e">
        <f>+A123+1</f>
        <v>#REF!</v>
      </c>
      <c r="B136" s="957" t="s">
        <v>2344</v>
      </c>
      <c r="C136" s="957"/>
      <c r="D136" s="957"/>
      <c r="E136" s="957"/>
      <c r="F136" s="957"/>
      <c r="G136" s="957"/>
      <c r="H136" s="957"/>
    </row>
    <row r="137" spans="1:8" s="1" customFormat="1" ht="15">
      <c r="A137" s="15" t="s">
        <v>2345</v>
      </c>
      <c r="B137" s="957" t="s">
        <v>1862</v>
      </c>
      <c r="C137" s="958"/>
      <c r="D137" s="958"/>
      <c r="E137" s="958"/>
      <c r="F137" s="958"/>
      <c r="G137" s="958"/>
      <c r="H137" s="958"/>
    </row>
    <row r="138" spans="1:8" s="1" customFormat="1" ht="16.5">
      <c r="A138" s="267"/>
      <c r="B138" s="957" t="s">
        <v>377</v>
      </c>
      <c r="C138" s="957"/>
      <c r="D138" s="957"/>
      <c r="E138" s="957"/>
      <c r="F138" s="957"/>
      <c r="G138" s="957"/>
      <c r="H138" s="957"/>
    </row>
    <row r="139" spans="1:8" s="1" customFormat="1" ht="15">
      <c r="A139" s="3"/>
      <c r="B139" s="957" t="s">
        <v>2342</v>
      </c>
      <c r="C139" s="958"/>
      <c r="D139" s="958"/>
      <c r="E139" s="958"/>
      <c r="F139" s="958"/>
      <c r="G139" s="958"/>
      <c r="H139" s="958"/>
    </row>
    <row r="140" spans="1:8" s="1" customFormat="1" ht="15">
      <c r="B140" s="885" t="s">
        <v>1392</v>
      </c>
      <c r="C140" s="885"/>
      <c r="D140" s="885"/>
      <c r="E140" s="885"/>
      <c r="F140" s="885"/>
      <c r="G140" s="885"/>
      <c r="H140" s="885"/>
    </row>
    <row r="141" spans="1:8" s="1" customFormat="1" ht="63">
      <c r="B141" s="68" t="s">
        <v>2966</v>
      </c>
      <c r="C141" s="68" t="s">
        <v>2967</v>
      </c>
      <c r="D141" s="68" t="s">
        <v>2968</v>
      </c>
      <c r="E141" s="68" t="s">
        <v>2969</v>
      </c>
      <c r="F141" s="68" t="s">
        <v>2970</v>
      </c>
      <c r="G141" s="68" t="s">
        <v>2971</v>
      </c>
      <c r="H141" s="68" t="s">
        <v>1487</v>
      </c>
    </row>
    <row r="142" spans="1:8" s="1" customFormat="1" ht="63">
      <c r="B142" s="58" t="s">
        <v>2055</v>
      </c>
      <c r="C142" s="232" t="s">
        <v>2442</v>
      </c>
      <c r="D142" s="8"/>
      <c r="E142" s="8"/>
      <c r="F142" s="107"/>
      <c r="G142" s="107"/>
      <c r="H142" s="108"/>
    </row>
    <row r="143" spans="1:8" s="1" customFormat="1" ht="78.75">
      <c r="B143" s="81" t="s">
        <v>370</v>
      </c>
      <c r="C143" s="80" t="s">
        <v>1372</v>
      </c>
      <c r="D143" s="42">
        <v>1</v>
      </c>
      <c r="E143" s="53" t="s">
        <v>2807</v>
      </c>
      <c r="F143" s="116" t="e">
        <f>#REF!</f>
        <v>#REF!</v>
      </c>
      <c r="G143" s="109" t="e">
        <f>SUM(D143*F143)</f>
        <v>#REF!</v>
      </c>
      <c r="H143" s="9"/>
    </row>
    <row r="144" spans="1:8" s="1" customFormat="1" ht="17.25">
      <c r="B144" s="78"/>
      <c r="C144" s="78"/>
      <c r="D144" s="51"/>
      <c r="E144" s="56"/>
      <c r="F144" s="122"/>
      <c r="G144" s="122"/>
      <c r="H144" s="123" t="e">
        <f>SUM(G143)</f>
        <v>#REF!</v>
      </c>
    </row>
    <row r="145" spans="1:10" s="1" customFormat="1" ht="19.5">
      <c r="F145" s="40" t="s">
        <v>1491</v>
      </c>
      <c r="G145" s="102"/>
      <c r="H145" s="63" t="e">
        <f>SUM(H141:H144)</f>
        <v>#REF!</v>
      </c>
    </row>
    <row r="146" spans="1:10" s="1" customFormat="1" ht="26.25" customHeight="1">
      <c r="B146" s="1" t="s">
        <v>372</v>
      </c>
      <c r="F146" s="40" t="s">
        <v>1471</v>
      </c>
      <c r="G146" s="102"/>
      <c r="H146" s="63" t="e">
        <f>FLOOR(H145*0.15,0.01)</f>
        <v>#REF!</v>
      </c>
    </row>
    <row r="147" spans="1:10" s="1" customFormat="1" ht="25.5" customHeight="1">
      <c r="A147" s="27" t="s">
        <v>3005</v>
      </c>
      <c r="B147" s="99" t="e">
        <f>+H147</f>
        <v>#REF!</v>
      </c>
      <c r="C147" s="1" t="s">
        <v>3006</v>
      </c>
      <c r="F147" s="40" t="s">
        <v>1494</v>
      </c>
      <c r="G147" s="102"/>
      <c r="H147" s="99" t="e">
        <f>SUM(H145:H146)</f>
        <v>#REF!</v>
      </c>
    </row>
    <row r="148" spans="1:10" s="1" customFormat="1" ht="19.5">
      <c r="A148" s="27"/>
      <c r="B148" s="141"/>
      <c r="F148" s="40"/>
      <c r="G148" s="102"/>
      <c r="H148" s="141"/>
    </row>
    <row r="149" spans="1:10" s="1" customFormat="1" ht="16.5">
      <c r="A149" s="260" t="e">
        <f>+A136+1</f>
        <v>#REF!</v>
      </c>
      <c r="B149" s="957" t="s">
        <v>692</v>
      </c>
      <c r="C149" s="957"/>
      <c r="D149" s="957"/>
      <c r="E149" s="957"/>
      <c r="F149" s="957"/>
      <c r="G149" s="957"/>
      <c r="H149" s="957"/>
    </row>
    <row r="150" spans="1:10" s="1" customFormat="1" ht="15">
      <c r="A150" s="15" t="s">
        <v>693</v>
      </c>
      <c r="B150" s="957" t="s">
        <v>694</v>
      </c>
      <c r="C150" s="958"/>
      <c r="D150" s="958"/>
      <c r="E150" s="958"/>
      <c r="F150" s="958"/>
      <c r="G150" s="958"/>
      <c r="H150" s="958"/>
    </row>
    <row r="151" spans="1:10" s="1" customFormat="1" ht="16.5">
      <c r="A151" s="267"/>
      <c r="B151" s="957" t="s">
        <v>3097</v>
      </c>
      <c r="C151" s="957"/>
      <c r="D151" s="957"/>
      <c r="E151" s="957"/>
      <c r="F151" s="957"/>
      <c r="G151" s="957"/>
      <c r="H151" s="957"/>
    </row>
    <row r="152" spans="1:10" s="1" customFormat="1" ht="15">
      <c r="A152" s="3"/>
      <c r="B152" s="957" t="s">
        <v>2949</v>
      </c>
      <c r="C152" s="958"/>
      <c r="D152" s="958"/>
      <c r="E152" s="958"/>
      <c r="F152" s="958"/>
      <c r="G152" s="958"/>
      <c r="H152" s="958"/>
    </row>
    <row r="153" spans="1:10" s="1" customFormat="1" ht="20.25" customHeight="1">
      <c r="B153" s="885" t="s">
        <v>1392</v>
      </c>
      <c r="C153" s="885"/>
      <c r="D153" s="885"/>
      <c r="E153" s="885"/>
      <c r="F153" s="885"/>
      <c r="G153" s="885"/>
      <c r="H153" s="885"/>
    </row>
    <row r="154" spans="1:10" s="1" customFormat="1" ht="63">
      <c r="B154" s="68" t="s">
        <v>2966</v>
      </c>
      <c r="C154" s="68" t="s">
        <v>2967</v>
      </c>
      <c r="D154" s="68" t="s">
        <v>2968</v>
      </c>
      <c r="E154" s="68" t="s">
        <v>2969</v>
      </c>
      <c r="F154" s="68" t="s">
        <v>2970</v>
      </c>
      <c r="G154" s="68" t="s">
        <v>2971</v>
      </c>
      <c r="H154" s="68" t="s">
        <v>1487</v>
      </c>
    </row>
    <row r="155" spans="1:10" s="1" customFormat="1" ht="63">
      <c r="B155" s="58" t="s">
        <v>2055</v>
      </c>
      <c r="C155" s="58" t="s">
        <v>2950</v>
      </c>
      <c r="D155" s="8"/>
      <c r="E155" s="8"/>
      <c r="F155" s="107"/>
      <c r="G155" s="107"/>
      <c r="H155" s="108"/>
      <c r="I155" s="572"/>
      <c r="J155" s="570"/>
    </row>
    <row r="156" spans="1:10" s="1" customFormat="1" ht="78.75">
      <c r="B156" s="81" t="s">
        <v>370</v>
      </c>
      <c r="C156" s="80" t="s">
        <v>1372</v>
      </c>
      <c r="D156" s="42">
        <v>1</v>
      </c>
      <c r="E156" s="53" t="s">
        <v>2807</v>
      </c>
      <c r="F156" s="116" t="e">
        <f>#REF!</f>
        <v>#REF!</v>
      </c>
      <c r="G156" s="109" t="e">
        <f>SUM(D156*F156)</f>
        <v>#REF!</v>
      </c>
      <c r="H156" s="9"/>
      <c r="I156" s="572"/>
      <c r="J156" s="570"/>
    </row>
    <row r="157" spans="1:10" s="1" customFormat="1" ht="18.75">
      <c r="B157" s="78"/>
      <c r="C157" s="78"/>
      <c r="D157" s="51"/>
      <c r="E157" s="56"/>
      <c r="F157" s="122"/>
      <c r="G157" s="122"/>
      <c r="H157" s="123" t="e">
        <f>SUM(G156)</f>
        <v>#REF!</v>
      </c>
      <c r="I157" s="572"/>
      <c r="J157" s="570"/>
    </row>
    <row r="158" spans="1:10" s="1" customFormat="1" ht="20.25">
      <c r="F158" s="40" t="s">
        <v>1491</v>
      </c>
      <c r="G158" s="102"/>
      <c r="H158" s="63" t="e">
        <f>SUM(H154:H157)</f>
        <v>#REF!</v>
      </c>
      <c r="I158" s="572"/>
      <c r="J158" s="570"/>
    </row>
    <row r="159" spans="1:10" s="1" customFormat="1" ht="20.25">
      <c r="B159" s="1" t="s">
        <v>372</v>
      </c>
      <c r="F159" s="40" t="s">
        <v>1471</v>
      </c>
      <c r="G159" s="102"/>
      <c r="H159" s="63" t="e">
        <f>FLOOR(H158*0.15,0.01)</f>
        <v>#REF!</v>
      </c>
      <c r="I159" s="572"/>
      <c r="J159" s="570"/>
    </row>
    <row r="160" spans="1:10" s="1" customFormat="1" ht="20.25">
      <c r="A160" s="27" t="s">
        <v>3005</v>
      </c>
      <c r="B160" s="99" t="e">
        <f>+H160</f>
        <v>#REF!</v>
      </c>
      <c r="C160" s="1" t="s">
        <v>3006</v>
      </c>
      <c r="F160" s="40" t="s">
        <v>1494</v>
      </c>
      <c r="G160" s="102"/>
      <c r="H160" s="99" t="e">
        <f>SUM(H158:H159)</f>
        <v>#REF!</v>
      </c>
      <c r="I160" s="570"/>
      <c r="J160" s="570"/>
    </row>
    <row r="161" spans="1:10" s="1" customFormat="1" ht="20.25">
      <c r="A161" s="27"/>
      <c r="B161" s="141"/>
      <c r="F161" s="40"/>
      <c r="G161" s="102"/>
      <c r="H161" s="141"/>
      <c r="I161" s="570"/>
      <c r="J161" s="570"/>
    </row>
    <row r="162" spans="1:10" s="1" customFormat="1" ht="16.5">
      <c r="A162" s="260" t="e">
        <f>+A149+1</f>
        <v>#REF!</v>
      </c>
      <c r="B162" s="957" t="s">
        <v>2951</v>
      </c>
      <c r="C162" s="957"/>
      <c r="D162" s="957"/>
      <c r="E162" s="957"/>
      <c r="F162" s="957"/>
      <c r="G162" s="957"/>
      <c r="H162" s="957"/>
      <c r="I162"/>
      <c r="J162" s="573"/>
    </row>
    <row r="163" spans="1:10" s="1" customFormat="1" ht="20.25">
      <c r="A163" s="15" t="s">
        <v>2952</v>
      </c>
      <c r="B163" s="957" t="s">
        <v>2515</v>
      </c>
      <c r="C163" s="958"/>
      <c r="D163" s="958"/>
      <c r="E163" s="958"/>
      <c r="F163" s="958"/>
      <c r="G163" s="958"/>
      <c r="H163" s="958"/>
      <c r="I163" s="574"/>
      <c r="J163" s="96"/>
    </row>
    <row r="164" spans="1:10" s="1" customFormat="1" ht="20.25">
      <c r="A164" s="258"/>
      <c r="B164" s="957" t="s">
        <v>3097</v>
      </c>
      <c r="C164" s="957"/>
      <c r="D164" s="957"/>
      <c r="E164" s="957"/>
      <c r="F164" s="957"/>
      <c r="G164" s="957"/>
      <c r="H164" s="957"/>
      <c r="I164" s="574"/>
      <c r="J164" s="96"/>
    </row>
    <row r="165" spans="1:10" s="1" customFormat="1" ht="20.25">
      <c r="A165" s="3"/>
      <c r="B165" s="957" t="s">
        <v>1481</v>
      </c>
      <c r="C165" s="958"/>
      <c r="D165" s="958"/>
      <c r="E165" s="958"/>
      <c r="F165" s="958"/>
      <c r="G165" s="958"/>
      <c r="H165" s="958"/>
      <c r="I165" s="574"/>
      <c r="J165" s="96"/>
    </row>
    <row r="166" spans="1:10" s="1" customFormat="1" ht="37.5" customHeight="1">
      <c r="B166" s="885" t="s">
        <v>1392</v>
      </c>
      <c r="C166" s="885"/>
      <c r="D166" s="885"/>
      <c r="E166" s="885"/>
      <c r="F166" s="885"/>
      <c r="G166" s="885"/>
      <c r="H166" s="885"/>
      <c r="I166" s="574"/>
      <c r="J166" s="96"/>
    </row>
    <row r="167" spans="1:10" s="1" customFormat="1" ht="63">
      <c r="B167" s="68" t="s">
        <v>2966</v>
      </c>
      <c r="C167" s="68" t="s">
        <v>2967</v>
      </c>
      <c r="D167" s="68" t="s">
        <v>2968</v>
      </c>
      <c r="E167" s="68" t="s">
        <v>2969</v>
      </c>
      <c r="F167" s="68" t="s">
        <v>2970</v>
      </c>
      <c r="G167" s="68" t="s">
        <v>2971</v>
      </c>
      <c r="H167" s="68" t="s">
        <v>1487</v>
      </c>
      <c r="I167" s="574"/>
      <c r="J167" s="96"/>
    </row>
    <row r="168" spans="1:10" s="1" customFormat="1" ht="63">
      <c r="B168" s="58" t="s">
        <v>2055</v>
      </c>
      <c r="C168" s="58" t="s">
        <v>1482</v>
      </c>
      <c r="D168" s="8"/>
      <c r="E168" s="8"/>
      <c r="F168" s="107"/>
      <c r="G168" s="107"/>
      <c r="H168" s="108"/>
      <c r="I168" s="574"/>
      <c r="J168" s="96"/>
    </row>
    <row r="169" spans="1:10" s="1" customFormat="1" ht="78.75">
      <c r="B169" s="81" t="s">
        <v>370</v>
      </c>
      <c r="C169" s="80" t="s">
        <v>1372</v>
      </c>
      <c r="D169" s="42">
        <v>1</v>
      </c>
      <c r="E169" s="53" t="s">
        <v>2807</v>
      </c>
      <c r="F169" s="116" t="e">
        <f>#REF!</f>
        <v>#REF!</v>
      </c>
      <c r="G169" s="109" t="e">
        <f>SUM(D169*F169)</f>
        <v>#REF!</v>
      </c>
      <c r="H169" s="9"/>
      <c r="I169" s="574"/>
      <c r="J169" s="96"/>
    </row>
    <row r="170" spans="1:10" s="1" customFormat="1" ht="20.25">
      <c r="B170" s="78"/>
      <c r="C170" s="78"/>
      <c r="D170" s="51"/>
      <c r="E170" s="56"/>
      <c r="F170" s="122"/>
      <c r="G170" s="122"/>
      <c r="H170" s="123" t="e">
        <f>SUM(G169)</f>
        <v>#REF!</v>
      </c>
      <c r="I170" s="574"/>
      <c r="J170" s="96"/>
    </row>
    <row r="171" spans="1:10" s="1" customFormat="1" ht="21.75">
      <c r="F171" s="40" t="s">
        <v>1491</v>
      </c>
      <c r="G171" s="102"/>
      <c r="H171" s="63" t="e">
        <f>SUM(H167:H170)</f>
        <v>#REF!</v>
      </c>
      <c r="I171" s="574"/>
      <c r="J171" s="96"/>
    </row>
    <row r="172" spans="1:10" s="1" customFormat="1" ht="21.75">
      <c r="B172" s="1" t="s">
        <v>372</v>
      </c>
      <c r="F172" s="40" t="s">
        <v>1471</v>
      </c>
      <c r="G172" s="102"/>
      <c r="H172" s="63" t="e">
        <f>FLOOR(H171*0.15,0.01)</f>
        <v>#REF!</v>
      </c>
      <c r="I172" s="574"/>
      <c r="J172" s="96"/>
    </row>
    <row r="173" spans="1:10" s="1" customFormat="1" ht="19.5">
      <c r="A173" s="27" t="s">
        <v>3005</v>
      </c>
      <c r="B173" s="99" t="e">
        <f>+H173</f>
        <v>#REF!</v>
      </c>
      <c r="C173" s="1" t="s">
        <v>3006</v>
      </c>
      <c r="F173" s="40" t="s">
        <v>1494</v>
      </c>
      <c r="G173" s="102"/>
      <c r="H173" s="99" t="e">
        <f>SUM(H171:H172)</f>
        <v>#REF!</v>
      </c>
      <c r="I173"/>
      <c r="J173"/>
    </row>
    <row r="174" spans="1:10" s="1" customFormat="1" ht="19.5">
      <c r="A174" s="27"/>
      <c r="B174" s="141"/>
      <c r="F174" s="40"/>
      <c r="G174" s="102"/>
      <c r="H174" s="141"/>
      <c r="I174"/>
      <c r="J174"/>
    </row>
    <row r="175" spans="1:10" s="1" customFormat="1" ht="19.5">
      <c r="A175" s="237"/>
      <c r="B175" s="141"/>
      <c r="F175" s="40"/>
      <c r="G175" s="102"/>
      <c r="H175" s="141"/>
    </row>
    <row r="176" spans="1:10" s="1" customFormat="1" ht="19.5">
      <c r="A176" s="27"/>
      <c r="B176" s="141"/>
      <c r="F176" s="40"/>
      <c r="G176" s="102"/>
      <c r="H176" s="141"/>
    </row>
    <row r="177" spans="1:8" s="1" customFormat="1" ht="16.5">
      <c r="A177" s="138" t="e">
        <f>+#REF!+1</f>
        <v>#REF!</v>
      </c>
      <c r="B177" s="957"/>
      <c r="C177" s="957"/>
      <c r="D177" s="957"/>
      <c r="E177" s="957"/>
      <c r="F177" s="957"/>
      <c r="G177" s="957"/>
      <c r="H177" s="957"/>
    </row>
    <row r="178" spans="1:8" s="1" customFormat="1" ht="15">
      <c r="A178" s="15"/>
      <c r="B178" s="957" t="s">
        <v>1483</v>
      </c>
      <c r="C178" s="958"/>
      <c r="D178" s="958"/>
      <c r="E178" s="958"/>
      <c r="F178" s="958"/>
      <c r="G178" s="958"/>
      <c r="H178" s="958"/>
    </row>
    <row r="179" spans="1:8" s="1" customFormat="1" ht="15">
      <c r="A179" s="194"/>
      <c r="B179" s="957" t="s">
        <v>1484</v>
      </c>
      <c r="C179" s="957"/>
      <c r="D179" s="957"/>
      <c r="E179" s="957"/>
      <c r="F179" s="957"/>
      <c r="G179" s="957"/>
      <c r="H179" s="957"/>
    </row>
    <row r="180" spans="1:8" s="1" customFormat="1" ht="15">
      <c r="A180" s="3"/>
      <c r="B180" s="957" t="s">
        <v>1485</v>
      </c>
      <c r="C180" s="958"/>
      <c r="D180" s="958"/>
      <c r="E180" s="958"/>
      <c r="F180" s="958"/>
      <c r="G180" s="958"/>
      <c r="H180" s="958"/>
    </row>
    <row r="181" spans="1:8" s="1" customFormat="1" ht="15">
      <c r="B181" s="885" t="s">
        <v>1392</v>
      </c>
      <c r="C181" s="885"/>
      <c r="D181" s="885"/>
      <c r="E181" s="885"/>
      <c r="F181" s="885"/>
      <c r="G181" s="885"/>
      <c r="H181" s="885"/>
    </row>
    <row r="182" spans="1:8" s="1" customFormat="1" ht="63">
      <c r="B182" s="68" t="s">
        <v>2966</v>
      </c>
      <c r="C182" s="68" t="s">
        <v>2967</v>
      </c>
      <c r="D182" s="68" t="s">
        <v>2968</v>
      </c>
      <c r="E182" s="68" t="s">
        <v>2969</v>
      </c>
      <c r="F182" s="68" t="s">
        <v>2970</v>
      </c>
      <c r="G182" s="68" t="s">
        <v>2971</v>
      </c>
      <c r="H182" s="68" t="s">
        <v>1487</v>
      </c>
    </row>
    <row r="183" spans="1:8" s="1" customFormat="1" ht="63">
      <c r="B183" s="58" t="s">
        <v>2055</v>
      </c>
      <c r="C183" s="58" t="s">
        <v>1486</v>
      </c>
      <c r="D183" s="8"/>
      <c r="E183" s="8"/>
      <c r="F183" s="107"/>
      <c r="G183" s="107"/>
      <c r="H183" s="108"/>
    </row>
    <row r="184" spans="1:8" s="1" customFormat="1" ht="78.75">
      <c r="B184" s="81" t="s">
        <v>370</v>
      </c>
      <c r="C184" s="80" t="s">
        <v>1372</v>
      </c>
      <c r="D184" s="42">
        <v>1</v>
      </c>
      <c r="E184" s="53" t="s">
        <v>2807</v>
      </c>
      <c r="F184" s="116" t="e">
        <f>#REF!</f>
        <v>#REF!</v>
      </c>
      <c r="G184" s="109" t="e">
        <f>FLOOR(D184*F184,0.01)</f>
        <v>#REF!</v>
      </c>
      <c r="H184" s="9"/>
    </row>
    <row r="185" spans="1:8" s="1" customFormat="1" ht="17.25">
      <c r="B185" s="78"/>
      <c r="C185" s="78"/>
      <c r="D185" s="51"/>
      <c r="E185" s="56"/>
      <c r="F185" s="122"/>
      <c r="G185" s="122"/>
      <c r="H185" s="123" t="e">
        <f>SUM(G184)</f>
        <v>#REF!</v>
      </c>
    </row>
    <row r="186" spans="1:8" s="1" customFormat="1" ht="19.5">
      <c r="F186" s="40" t="s">
        <v>1491</v>
      </c>
      <c r="G186" s="102"/>
      <c r="H186" s="63" t="e">
        <f>SUM(H182:H185)</f>
        <v>#REF!</v>
      </c>
    </row>
    <row r="187" spans="1:8" s="1" customFormat="1" ht="19.5">
      <c r="B187" s="1" t="s">
        <v>372</v>
      </c>
      <c r="F187" s="40" t="s">
        <v>1471</v>
      </c>
      <c r="G187" s="102"/>
      <c r="H187" s="63" t="e">
        <f>FLOOR(H186*0.15,0.01)</f>
        <v>#REF!</v>
      </c>
    </row>
    <row r="188" spans="1:8" s="1" customFormat="1" ht="19.5">
      <c r="A188" s="27" t="s">
        <v>3005</v>
      </c>
      <c r="B188" s="99" t="e">
        <f>+H188</f>
        <v>#REF!</v>
      </c>
      <c r="C188" s="1" t="s">
        <v>3006</v>
      </c>
      <c r="F188" s="40" t="s">
        <v>1494</v>
      </c>
      <c r="G188" s="102"/>
      <c r="H188" s="99" t="e">
        <f>SUM(H186:H187)</f>
        <v>#REF!</v>
      </c>
    </row>
    <row r="189" spans="1:8" s="1" customFormat="1" ht="19.5">
      <c r="A189" s="27"/>
      <c r="B189" s="141"/>
      <c r="F189" s="40"/>
      <c r="G189" s="102"/>
      <c r="H189" s="141"/>
    </row>
    <row r="190" spans="1:8" s="1" customFormat="1" ht="19.5">
      <c r="A190" s="27"/>
      <c r="B190" s="141"/>
      <c r="F190" s="40"/>
      <c r="G190" s="102"/>
      <c r="H190" s="141"/>
    </row>
    <row r="191" spans="1:8" s="1" customFormat="1" ht="19.5">
      <c r="A191" s="27"/>
      <c r="B191" s="141"/>
      <c r="F191" s="40"/>
      <c r="G191" s="102"/>
      <c r="H191" s="141"/>
    </row>
    <row r="192" spans="1:8" s="1" customFormat="1" ht="19.5">
      <c r="A192" s="27"/>
      <c r="B192" s="141"/>
      <c r="F192" s="40"/>
      <c r="G192" s="102"/>
      <c r="H192" s="141"/>
    </row>
    <row r="193" spans="1:8" s="1" customFormat="1" ht="19.5">
      <c r="A193" s="27"/>
      <c r="B193" s="141"/>
      <c r="F193" s="40"/>
      <c r="G193" s="102"/>
      <c r="H193" s="141"/>
    </row>
    <row r="194" spans="1:8" s="1" customFormat="1" ht="19.5">
      <c r="A194" s="27"/>
      <c r="B194" s="141"/>
      <c r="F194" s="40"/>
      <c r="G194" s="102"/>
      <c r="H194" s="141"/>
    </row>
    <row r="195" spans="1:8" s="1" customFormat="1" ht="19.5">
      <c r="A195" s="27"/>
      <c r="B195" s="141"/>
      <c r="F195" s="40"/>
      <c r="G195" s="102"/>
      <c r="H195" s="141"/>
    </row>
    <row r="196" spans="1:8" s="1" customFormat="1" ht="19.5">
      <c r="A196" s="27"/>
      <c r="B196" s="141"/>
      <c r="F196" s="40"/>
      <c r="G196" s="102"/>
      <c r="H196" s="141"/>
    </row>
    <row r="197" spans="1:8" s="1" customFormat="1" ht="17.25">
      <c r="B197" s="143"/>
      <c r="C197" s="214"/>
      <c r="D197" s="143"/>
      <c r="F197" s="40"/>
      <c r="G197" s="40"/>
      <c r="H197" s="19"/>
    </row>
    <row r="198" spans="1:8" s="1" customFormat="1" ht="17.25">
      <c r="B198" s="143"/>
      <c r="C198" s="214"/>
      <c r="D198" s="143"/>
      <c r="F198" s="40"/>
      <c r="G198" s="40"/>
      <c r="H198" s="19"/>
    </row>
    <row r="199" spans="1:8" s="1" customFormat="1" ht="17.25">
      <c r="B199" s="143"/>
      <c r="C199" s="214"/>
      <c r="D199" s="143"/>
      <c r="F199" s="40"/>
      <c r="G199" s="40"/>
      <c r="H199" s="19"/>
    </row>
    <row r="200" spans="1:8" s="1" customFormat="1" ht="17.25">
      <c r="B200" s="143"/>
      <c r="C200" s="214"/>
      <c r="D200" s="143"/>
      <c r="F200" s="40"/>
      <c r="G200" s="40"/>
      <c r="H200" s="19"/>
    </row>
    <row r="201" spans="1:8" s="1" customFormat="1" ht="17.25">
      <c r="B201" s="143"/>
      <c r="C201" s="214"/>
      <c r="D201" s="143"/>
      <c r="F201" s="40"/>
      <c r="G201" s="40"/>
      <c r="H201" s="19"/>
    </row>
    <row r="202" spans="1:8" s="1" customFormat="1" ht="19.5">
      <c r="A202" s="27"/>
      <c r="B202" s="88"/>
      <c r="F202" s="40"/>
      <c r="G202" s="102"/>
      <c r="H202" s="141"/>
    </row>
    <row r="203" spans="1:8" s="1" customFormat="1" ht="19.5">
      <c r="A203" s="27"/>
      <c r="B203" s="141"/>
      <c r="F203" s="40"/>
      <c r="G203" s="102"/>
      <c r="H203" s="141"/>
    </row>
    <row r="204" spans="1:8" s="1" customFormat="1" ht="20.25">
      <c r="A204" s="138" t="e">
        <f>+#REF!+1</f>
        <v>#REF!</v>
      </c>
      <c r="B204" s="877" t="s">
        <v>958</v>
      </c>
      <c r="C204" s="878"/>
      <c r="D204" s="878"/>
      <c r="E204" s="878"/>
      <c r="F204" s="878"/>
      <c r="G204" s="878"/>
      <c r="H204" s="878"/>
    </row>
    <row r="205" spans="1:8" s="1" customFormat="1" ht="15">
      <c r="A205" s="15"/>
      <c r="B205" s="879" t="s">
        <v>1378</v>
      </c>
      <c r="C205" s="879"/>
      <c r="D205" s="879"/>
      <c r="E205" s="879"/>
      <c r="F205" s="879"/>
      <c r="G205" s="879"/>
      <c r="H205" s="879"/>
    </row>
    <row r="206" spans="1:8" s="1" customFormat="1" ht="63">
      <c r="B206" s="68" t="s">
        <v>2966</v>
      </c>
      <c r="C206" s="68" t="s">
        <v>2967</v>
      </c>
      <c r="D206" s="68" t="s">
        <v>2968</v>
      </c>
      <c r="E206" s="58" t="s">
        <v>2969</v>
      </c>
      <c r="F206" s="68" t="s">
        <v>2970</v>
      </c>
      <c r="G206" s="68" t="s">
        <v>2971</v>
      </c>
      <c r="H206" s="68" t="s">
        <v>1487</v>
      </c>
    </row>
    <row r="207" spans="1:8" s="1" customFormat="1" ht="31.5">
      <c r="B207" s="889" t="s">
        <v>384</v>
      </c>
      <c r="C207" s="80" t="s">
        <v>960</v>
      </c>
      <c r="D207" s="255">
        <v>1</v>
      </c>
      <c r="E207" s="55" t="s">
        <v>2063</v>
      </c>
      <c r="F207" s="253" t="e">
        <f>#REF!</f>
        <v>#REF!</v>
      </c>
      <c r="G207" s="116" t="e">
        <f>FLOOR(D207*F207,0.01)</f>
        <v>#REF!</v>
      </c>
      <c r="H207" s="121"/>
    </row>
    <row r="208" spans="1:8" s="1" customFormat="1" ht="17.25">
      <c r="B208" s="947"/>
      <c r="C208" s="80"/>
      <c r="D208" s="252"/>
      <c r="E208" s="53"/>
      <c r="F208" s="253"/>
      <c r="G208" s="116"/>
      <c r="H208" s="121"/>
    </row>
    <row r="209" spans="1:8" s="1" customFormat="1" ht="17.25">
      <c r="B209" s="942"/>
      <c r="C209" s="78"/>
      <c r="D209" s="254"/>
      <c r="E209" s="56"/>
      <c r="F209" s="181"/>
      <c r="G209" s="122"/>
      <c r="H209" s="123" t="e">
        <f>SUM(G207+G208+G209)</f>
        <v>#REF!</v>
      </c>
    </row>
    <row r="210" spans="1:8" s="1" customFormat="1" ht="19.5">
      <c r="F210" s="1" t="s">
        <v>1491</v>
      </c>
      <c r="G210" s="102"/>
      <c r="H210" s="63" t="e">
        <f>SUM(H207:H209)</f>
        <v>#REF!</v>
      </c>
    </row>
    <row r="211" spans="1:8" s="1" customFormat="1" ht="19.5">
      <c r="B211" s="1" t="s">
        <v>1493</v>
      </c>
      <c r="F211" s="1" t="s">
        <v>1471</v>
      </c>
      <c r="G211" s="102"/>
      <c r="H211" s="99" t="e">
        <f>FLOOR(H210*0.15,0.01)</f>
        <v>#REF!</v>
      </c>
    </row>
    <row r="212" spans="1:8" s="1" customFormat="1" ht="19.5">
      <c r="A212" s="27"/>
      <c r="B212" s="140" t="e">
        <f>+H212</f>
        <v>#REF!</v>
      </c>
      <c r="C212" s="27" t="s">
        <v>3005</v>
      </c>
      <c r="D212" s="99" t="e">
        <f>FLOOR(B212/B213,0.01)</f>
        <v>#REF!</v>
      </c>
      <c r="E212" s="1" t="s">
        <v>3006</v>
      </c>
      <c r="F212" s="1" t="s">
        <v>1494</v>
      </c>
      <c r="G212" s="102"/>
      <c r="H212" s="99" t="e">
        <f>SUM(H210:H211)</f>
        <v>#REF!</v>
      </c>
    </row>
    <row r="213" spans="1:8" s="1" customFormat="1" ht="16.5">
      <c r="B213" s="88">
        <v>1</v>
      </c>
    </row>
    <row r="214" spans="1:8" s="1" customFormat="1" ht="16.5">
      <c r="B214" s="88"/>
    </row>
    <row r="215" spans="1:8" s="1" customFormat="1" ht="16.5">
      <c r="B215" s="88"/>
    </row>
    <row r="216" spans="1:8" s="1" customFormat="1" ht="16.5">
      <c r="B216" s="88"/>
    </row>
    <row r="217" spans="1:8" s="1" customFormat="1" ht="20.25">
      <c r="A217" s="138" t="e">
        <f>+A204+1</f>
        <v>#REF!</v>
      </c>
      <c r="B217" s="877" t="s">
        <v>3216</v>
      </c>
      <c r="C217" s="878"/>
      <c r="D217" s="878"/>
      <c r="E217" s="878"/>
      <c r="F217" s="878"/>
      <c r="G217" s="878"/>
      <c r="H217" s="878"/>
    </row>
    <row r="218" spans="1:8" s="1" customFormat="1" ht="15">
      <c r="A218" s="15"/>
      <c r="B218" s="879" t="s">
        <v>1378</v>
      </c>
      <c r="C218" s="879"/>
      <c r="D218" s="879"/>
      <c r="E218" s="879"/>
      <c r="F218" s="879"/>
      <c r="G218" s="879"/>
      <c r="H218" s="879"/>
    </row>
    <row r="219" spans="1:8" s="1" customFormat="1" ht="63">
      <c r="B219" s="68" t="s">
        <v>2966</v>
      </c>
      <c r="C219" s="68" t="s">
        <v>2967</v>
      </c>
      <c r="D219" s="68" t="s">
        <v>2968</v>
      </c>
      <c r="E219" s="58" t="s">
        <v>2969</v>
      </c>
      <c r="F219" s="68" t="s">
        <v>2970</v>
      </c>
      <c r="G219" s="68" t="s">
        <v>2971</v>
      </c>
      <c r="H219" s="68" t="s">
        <v>1487</v>
      </c>
    </row>
    <row r="220" spans="1:8" s="1" customFormat="1" ht="31.5">
      <c r="B220" s="889" t="s">
        <v>384</v>
      </c>
      <c r="C220" s="80" t="s">
        <v>959</v>
      </c>
      <c r="D220" s="255">
        <v>1</v>
      </c>
      <c r="E220" s="55" t="s">
        <v>2063</v>
      </c>
      <c r="F220" s="253" t="e">
        <f>#REF!</f>
        <v>#REF!</v>
      </c>
      <c r="G220" s="116" t="e">
        <f>FLOOR(D220*F220,0.01)</f>
        <v>#REF!</v>
      </c>
      <c r="H220" s="121"/>
    </row>
    <row r="221" spans="1:8" s="1" customFormat="1" ht="31.5">
      <c r="B221" s="947"/>
      <c r="C221" s="80" t="s">
        <v>3217</v>
      </c>
      <c r="D221" s="252"/>
      <c r="E221" s="53"/>
      <c r="F221" s="253"/>
      <c r="G221" s="116"/>
      <c r="H221" s="121"/>
    </row>
    <row r="222" spans="1:8" s="1" customFormat="1" ht="17.25">
      <c r="B222" s="942"/>
      <c r="C222" s="78"/>
      <c r="D222" s="254"/>
      <c r="E222" s="56"/>
      <c r="F222" s="181"/>
      <c r="G222" s="122"/>
      <c r="H222" s="123" t="e">
        <f>SUM(G220+G221+G222)</f>
        <v>#REF!</v>
      </c>
    </row>
    <row r="223" spans="1:8" s="1" customFormat="1" ht="19.5">
      <c r="F223" s="1" t="s">
        <v>1491</v>
      </c>
      <c r="G223" s="102"/>
      <c r="H223" s="63" t="e">
        <f>SUM(H220:H222)</f>
        <v>#REF!</v>
      </c>
    </row>
    <row r="224" spans="1:8" s="1" customFormat="1" ht="19.5">
      <c r="B224" s="1" t="s">
        <v>1493</v>
      </c>
      <c r="F224" s="1" t="s">
        <v>1471</v>
      </c>
      <c r="G224" s="102"/>
      <c r="H224" s="99" t="e">
        <f>FLOOR(H223*0.15,0.01)</f>
        <v>#REF!</v>
      </c>
    </row>
    <row r="225" spans="1:8" s="1" customFormat="1" ht="19.5">
      <c r="A225" s="27"/>
      <c r="B225" s="140" t="e">
        <f>+H225</f>
        <v>#REF!</v>
      </c>
      <c r="C225" s="27" t="s">
        <v>3005</v>
      </c>
      <c r="D225" s="99" t="e">
        <f>FLOOR(B225/B226,0.01)</f>
        <v>#REF!</v>
      </c>
      <c r="E225" s="1" t="s">
        <v>3006</v>
      </c>
      <c r="F225" s="1" t="s">
        <v>1494</v>
      </c>
      <c r="G225" s="102"/>
      <c r="H225" s="99" t="e">
        <f>SUM(H223:H224)</f>
        <v>#REF!</v>
      </c>
    </row>
    <row r="226" spans="1:8" s="1" customFormat="1" ht="16.5">
      <c r="B226" s="88">
        <v>1</v>
      </c>
    </row>
    <row r="227" spans="1:8" s="1" customFormat="1" ht="15"/>
    <row r="228" spans="1:8" s="1" customFormat="1" ht="15"/>
    <row r="229" spans="1:8" s="1" customFormat="1" ht="15"/>
    <row r="230" spans="1:8" s="1" customFormat="1" ht="19.5">
      <c r="A230" s="27"/>
      <c r="B230" s="141"/>
      <c r="F230" s="40"/>
      <c r="G230" s="102"/>
      <c r="H230" s="141"/>
    </row>
    <row r="231" spans="1:8" s="1" customFormat="1" ht="16.5">
      <c r="A231" s="426" t="e">
        <f>Sheet1!A636+1</f>
        <v>#REF!</v>
      </c>
      <c r="B231" s="979"/>
      <c r="C231" s="957"/>
      <c r="D231" s="957"/>
      <c r="E231" s="957"/>
      <c r="F231" s="957"/>
      <c r="G231" s="957"/>
      <c r="H231" s="957"/>
    </row>
    <row r="232" spans="1:8" s="1" customFormat="1" ht="15">
      <c r="A232" s="12"/>
      <c r="B232" s="1017" t="s">
        <v>0</v>
      </c>
      <c r="C232" s="1018"/>
      <c r="D232" s="1018"/>
      <c r="E232" s="1018"/>
      <c r="F232" s="1018"/>
      <c r="G232" s="1018"/>
      <c r="H232" s="1018"/>
    </row>
    <row r="233" spans="1:8" s="1" customFormat="1" ht="15">
      <c r="A233" s="22"/>
      <c r="B233" s="979"/>
      <c r="C233" s="957"/>
      <c r="D233" s="957"/>
      <c r="E233" s="957"/>
      <c r="F233" s="957"/>
      <c r="G233" s="957"/>
      <c r="H233" s="957"/>
    </row>
    <row r="234" spans="1:8" s="1" customFormat="1" ht="15">
      <c r="A234" s="90"/>
      <c r="B234" s="204"/>
      <c r="C234" s="204"/>
      <c r="D234" s="204"/>
      <c r="E234" s="204"/>
      <c r="F234" s="204"/>
      <c r="G234" s="204"/>
      <c r="H234" s="204"/>
    </row>
    <row r="235" spans="1:8" s="1" customFormat="1" ht="15">
      <c r="B235" s="261" t="s">
        <v>1392</v>
      </c>
      <c r="C235" s="261"/>
      <c r="D235" s="261"/>
      <c r="E235" s="261"/>
      <c r="F235" s="261"/>
      <c r="G235" s="261"/>
      <c r="H235" s="261"/>
    </row>
    <row r="236" spans="1:8" s="1" customFormat="1" ht="63">
      <c r="B236" s="68" t="s">
        <v>2966</v>
      </c>
      <c r="C236" s="68" t="s">
        <v>2967</v>
      </c>
      <c r="D236" s="68" t="s">
        <v>2968</v>
      </c>
      <c r="E236" s="68" t="s">
        <v>2969</v>
      </c>
      <c r="F236" s="68" t="s">
        <v>2970</v>
      </c>
      <c r="G236" s="68" t="s">
        <v>2971</v>
      </c>
      <c r="H236" s="68" t="s">
        <v>1487</v>
      </c>
    </row>
    <row r="237" spans="1:8" s="1" customFormat="1" ht="78.75">
      <c r="B237" s="58" t="s">
        <v>2055</v>
      </c>
      <c r="C237" s="263" t="s">
        <v>1</v>
      </c>
      <c r="D237" s="8"/>
      <c r="E237" s="8"/>
      <c r="F237" s="107"/>
      <c r="G237" s="107"/>
      <c r="H237" s="108"/>
    </row>
    <row r="238" spans="1:8" s="1" customFormat="1" ht="78.75">
      <c r="B238" s="81" t="s">
        <v>370</v>
      </c>
      <c r="C238" s="80" t="s">
        <v>1372</v>
      </c>
      <c r="D238" s="42">
        <v>1</v>
      </c>
      <c r="E238" s="53" t="s">
        <v>2807</v>
      </c>
      <c r="F238" s="116" t="e">
        <f>#REF!</f>
        <v>#REF!</v>
      </c>
      <c r="G238" s="109" t="e">
        <f>FLOOR(D238*F238,0.01)</f>
        <v>#REF!</v>
      </c>
      <c r="H238" s="9"/>
    </row>
    <row r="239" spans="1:8" s="1" customFormat="1" ht="17.25">
      <c r="B239" s="78"/>
      <c r="C239" s="78"/>
      <c r="D239" s="51"/>
      <c r="E239" s="56"/>
      <c r="F239" s="122"/>
      <c r="G239" s="122"/>
      <c r="H239" s="123" t="e">
        <f>SUM(G238)</f>
        <v>#REF!</v>
      </c>
    </row>
    <row r="240" spans="1:8" s="1" customFormat="1" ht="19.5">
      <c r="F240" s="40" t="s">
        <v>1491</v>
      </c>
      <c r="G240" s="102"/>
      <c r="H240" s="63" t="e">
        <f>SUM(H236:H239)</f>
        <v>#REF!</v>
      </c>
    </row>
    <row r="241" spans="1:8" s="1" customFormat="1" ht="19.5">
      <c r="B241" s="1" t="s">
        <v>372</v>
      </c>
      <c r="F241" s="40" t="s">
        <v>1471</v>
      </c>
      <c r="G241" s="102"/>
      <c r="H241" s="63" t="e">
        <f>FLOOR(H240*0.15,0.01)</f>
        <v>#REF!</v>
      </c>
    </row>
    <row r="242" spans="1:8" s="1" customFormat="1" ht="19.5">
      <c r="A242" s="27" t="s">
        <v>3005</v>
      </c>
      <c r="B242" s="99" t="e">
        <f>+H242</f>
        <v>#REF!</v>
      </c>
      <c r="C242" s="1" t="s">
        <v>3006</v>
      </c>
      <c r="F242" s="40" t="s">
        <v>1494</v>
      </c>
      <c r="G242" s="102"/>
      <c r="H242" s="99" t="e">
        <f>SUM(H240:H241)</f>
        <v>#REF!</v>
      </c>
    </row>
    <row r="243" spans="1:8" s="1" customFormat="1" ht="19.5">
      <c r="A243" s="27"/>
      <c r="B243" s="177"/>
      <c r="F243" s="40"/>
      <c r="G243" s="102"/>
      <c r="H243" s="141"/>
    </row>
    <row r="244" spans="1:8" s="1" customFormat="1" ht="19.5">
      <c r="A244" s="27"/>
      <c r="B244" s="177"/>
      <c r="F244" s="40"/>
      <c r="G244" s="102"/>
      <c r="H244" s="141"/>
    </row>
    <row r="245" spans="1:8" s="1" customFormat="1" ht="16.5">
      <c r="A245" s="426" t="e">
        <f>A231+1</f>
        <v>#REF!</v>
      </c>
      <c r="B245" s="979"/>
      <c r="C245" s="957"/>
      <c r="D245" s="957"/>
      <c r="E245" s="957"/>
      <c r="F245" s="957"/>
      <c r="G245" s="957"/>
      <c r="H245" s="957"/>
    </row>
    <row r="246" spans="1:8" s="1" customFormat="1" ht="15">
      <c r="A246" s="12"/>
      <c r="B246" s="1017" t="s">
        <v>2</v>
      </c>
      <c r="C246" s="1018"/>
      <c r="D246" s="1018"/>
      <c r="E246" s="1018"/>
      <c r="F246" s="1018"/>
      <c r="G246" s="1018"/>
      <c r="H246" s="1018"/>
    </row>
    <row r="247" spans="1:8" s="1" customFormat="1" ht="15">
      <c r="A247" s="22"/>
      <c r="B247" s="979"/>
      <c r="C247" s="957"/>
      <c r="D247" s="957"/>
      <c r="E247" s="957"/>
      <c r="F247" s="957"/>
      <c r="G247" s="957"/>
      <c r="H247" s="957"/>
    </row>
    <row r="248" spans="1:8" s="1" customFormat="1" ht="15">
      <c r="A248" s="90"/>
      <c r="B248" s="204"/>
      <c r="C248" s="204"/>
      <c r="D248" s="204"/>
      <c r="E248" s="204"/>
      <c r="F248" s="204"/>
      <c r="G248" s="204"/>
      <c r="H248" s="204"/>
    </row>
    <row r="249" spans="1:8" s="1" customFormat="1" ht="15">
      <c r="B249" s="261" t="s">
        <v>1392</v>
      </c>
      <c r="C249" s="261"/>
      <c r="D249" s="261"/>
      <c r="E249" s="261"/>
      <c r="F249" s="261"/>
      <c r="G249" s="261"/>
      <c r="H249" s="261"/>
    </row>
    <row r="250" spans="1:8" s="1" customFormat="1" ht="63">
      <c r="B250" s="68" t="s">
        <v>2966</v>
      </c>
      <c r="C250" s="68" t="s">
        <v>2967</v>
      </c>
      <c r="D250" s="68" t="s">
        <v>2968</v>
      </c>
      <c r="E250" s="68" t="s">
        <v>2969</v>
      </c>
      <c r="F250" s="68" t="s">
        <v>2970</v>
      </c>
      <c r="G250" s="68" t="s">
        <v>2971</v>
      </c>
      <c r="H250" s="68" t="s">
        <v>1487</v>
      </c>
    </row>
    <row r="251" spans="1:8" s="1" customFormat="1" ht="78.75">
      <c r="B251" s="58" t="s">
        <v>2055</v>
      </c>
      <c r="C251" s="263" t="s">
        <v>3</v>
      </c>
      <c r="D251" s="8"/>
      <c r="E251" s="8"/>
      <c r="F251" s="107"/>
      <c r="G251" s="107"/>
      <c r="H251" s="108"/>
    </row>
    <row r="252" spans="1:8" s="1" customFormat="1" ht="78.75">
      <c r="B252" s="81" t="s">
        <v>370</v>
      </c>
      <c r="C252" s="80" t="s">
        <v>1372</v>
      </c>
      <c r="D252" s="42">
        <v>1</v>
      </c>
      <c r="E252" s="53" t="s">
        <v>2807</v>
      </c>
      <c r="F252" s="116" t="e">
        <f>#REF!</f>
        <v>#REF!</v>
      </c>
      <c r="G252" s="109" t="e">
        <f>FLOOR(D252*F252,0.01)</f>
        <v>#REF!</v>
      </c>
      <c r="H252" s="9"/>
    </row>
    <row r="253" spans="1:8" s="1" customFormat="1" ht="17.25">
      <c r="B253" s="78"/>
      <c r="C253" s="78"/>
      <c r="D253" s="51"/>
      <c r="E253" s="56"/>
      <c r="F253" s="122"/>
      <c r="G253" s="122"/>
      <c r="H253" s="123" t="e">
        <f>SUM(G252)</f>
        <v>#REF!</v>
      </c>
    </row>
    <row r="254" spans="1:8" s="1" customFormat="1" ht="19.5">
      <c r="F254" s="40" t="s">
        <v>1491</v>
      </c>
      <c r="G254" s="102"/>
      <c r="H254" s="63" t="e">
        <f>SUM(H250:H253)</f>
        <v>#REF!</v>
      </c>
    </row>
    <row r="255" spans="1:8" s="1" customFormat="1" ht="26.25" customHeight="1">
      <c r="B255" s="1" t="s">
        <v>372</v>
      </c>
      <c r="F255" s="40" t="s">
        <v>1471</v>
      </c>
      <c r="G255" s="102"/>
      <c r="H255" s="63" t="e">
        <f>FLOOR(H254*0.15,0.01)</f>
        <v>#REF!</v>
      </c>
    </row>
    <row r="256" spans="1:8" s="1" customFormat="1" ht="19.5">
      <c r="A256" s="27" t="s">
        <v>3005</v>
      </c>
      <c r="B256" s="99" t="e">
        <f>+H256</f>
        <v>#REF!</v>
      </c>
      <c r="C256" s="1" t="s">
        <v>3006</v>
      </c>
      <c r="F256" s="40" t="s">
        <v>1494</v>
      </c>
      <c r="G256" s="102"/>
      <c r="H256" s="99" t="e">
        <f>SUM(H254:H255)</f>
        <v>#REF!</v>
      </c>
    </row>
    <row r="257" spans="1:8" s="1" customFormat="1" ht="24.75">
      <c r="A257" s="27"/>
      <c r="B257" s="124"/>
      <c r="D257" s="278" t="s">
        <v>2930</v>
      </c>
      <c r="E257" s="279"/>
      <c r="F257" s="279"/>
      <c r="G257" s="279"/>
      <c r="H257" s="279"/>
    </row>
    <row r="258" spans="1:8" s="1" customFormat="1" ht="16.5">
      <c r="B258" s="88"/>
      <c r="H258" s="19"/>
    </row>
    <row r="259" spans="1:8" s="1" customFormat="1" ht="17.25">
      <c r="A259" s="27"/>
      <c r="B259" s="141"/>
      <c r="D259" s="143"/>
      <c r="F259" s="40"/>
      <c r="G259" s="40"/>
      <c r="H259" s="141"/>
    </row>
    <row r="260" spans="1:8" s="1" customFormat="1" ht="19.5">
      <c r="A260" s="27"/>
      <c r="B260" s="141"/>
      <c r="F260" s="40"/>
      <c r="G260" s="102"/>
      <c r="H260" s="141"/>
    </row>
    <row r="261" spans="1:8" s="1" customFormat="1" ht="17.25">
      <c r="A261"/>
      <c r="B261" s="141"/>
      <c r="C261" s="27"/>
      <c r="D261" s="141"/>
      <c r="F261" s="40"/>
      <c r="G261" s="40"/>
      <c r="H261" s="141"/>
    </row>
    <row r="262" spans="1:8" s="1" customFormat="1" ht="18">
      <c r="G262" s="2"/>
      <c r="H262" s="2"/>
    </row>
    <row r="263" spans="1:8" s="1" customFormat="1" ht="16.5">
      <c r="B263" s="88"/>
    </row>
    <row r="264" spans="1:8" s="1" customFormat="1" ht="20.25">
      <c r="A264" s="260" t="e">
        <f>#REF!+1</f>
        <v>#REF!</v>
      </c>
      <c r="B264" s="877" t="s">
        <v>546</v>
      </c>
      <c r="C264" s="878"/>
      <c r="D264" s="878"/>
      <c r="E264" s="878"/>
      <c r="F264" s="878"/>
      <c r="G264" s="878"/>
      <c r="H264" s="878"/>
    </row>
    <row r="265" spans="1:8" s="1" customFormat="1" ht="15">
      <c r="A265" s="15" t="s">
        <v>109</v>
      </c>
      <c r="B265" s="879" t="s">
        <v>1379</v>
      </c>
      <c r="C265" s="879"/>
      <c r="D265" s="879"/>
      <c r="E265" s="879"/>
      <c r="F265" s="879"/>
      <c r="G265" s="879"/>
      <c r="H265" s="879"/>
    </row>
    <row r="266" spans="1:8" s="1" customFormat="1" ht="63">
      <c r="B266" s="68" t="s">
        <v>2966</v>
      </c>
      <c r="C266" s="68" t="s">
        <v>2967</v>
      </c>
      <c r="D266" s="68" t="s">
        <v>2968</v>
      </c>
      <c r="E266" s="68" t="s">
        <v>2969</v>
      </c>
      <c r="F266" s="68" t="s">
        <v>2970</v>
      </c>
      <c r="G266" s="68" t="s">
        <v>2971</v>
      </c>
      <c r="H266" s="68" t="s">
        <v>1487</v>
      </c>
    </row>
    <row r="267" spans="1:8" s="1" customFormat="1" ht="17.25">
      <c r="A267" s="27"/>
      <c r="B267" s="889" t="s">
        <v>520</v>
      </c>
      <c r="C267" s="80" t="s">
        <v>686</v>
      </c>
      <c r="D267" s="50">
        <v>9</v>
      </c>
      <c r="E267" s="53" t="s">
        <v>1490</v>
      </c>
      <c r="F267" s="116" t="e">
        <f>#REF!</f>
        <v>#REF!</v>
      </c>
      <c r="G267" s="107" t="e">
        <f>FLOOR(D267*F267,0.01)</f>
        <v>#REF!</v>
      </c>
      <c r="H267" s="108"/>
    </row>
    <row r="268" spans="1:8" s="1" customFormat="1" ht="17.25">
      <c r="B268" s="942"/>
      <c r="C268" s="78" t="s">
        <v>521</v>
      </c>
      <c r="D268" s="51">
        <v>5</v>
      </c>
      <c r="E268" s="56" t="s">
        <v>1490</v>
      </c>
      <c r="F268" s="122" t="e">
        <f>#REF!</f>
        <v>#REF!</v>
      </c>
      <c r="G268" s="63" t="e">
        <f>FLOOR(D268*F268,0.01)</f>
        <v>#REF!</v>
      </c>
      <c r="H268" s="123" t="e">
        <f>SUM(G267+G268)</f>
        <v>#REF!</v>
      </c>
    </row>
    <row r="269" spans="1:8" s="1" customFormat="1" ht="17.25">
      <c r="B269" s="889" t="s">
        <v>2055</v>
      </c>
      <c r="C269" s="55" t="s">
        <v>1419</v>
      </c>
      <c r="D269" s="48">
        <v>8</v>
      </c>
      <c r="E269" s="55" t="s">
        <v>2517</v>
      </c>
      <c r="F269" s="109" t="e">
        <f>#REF!</f>
        <v>#REF!</v>
      </c>
      <c r="G269" s="110" t="e">
        <f>FLOOR(D269*F269,0.01)</f>
        <v>#REF!</v>
      </c>
      <c r="H269" s="108"/>
    </row>
    <row r="270" spans="1:8" s="1" customFormat="1" ht="17.25">
      <c r="B270" s="947"/>
      <c r="C270" s="80" t="s">
        <v>2452</v>
      </c>
      <c r="D270" s="42">
        <v>16</v>
      </c>
      <c r="E270" s="53" t="s">
        <v>2517</v>
      </c>
      <c r="F270" s="109" t="e">
        <f>#REF!</f>
        <v>#REF!</v>
      </c>
      <c r="G270" s="109" t="e">
        <f>FLOOR(D270*F270,0.01)</f>
        <v>#REF!</v>
      </c>
      <c r="H270" s="9"/>
    </row>
    <row r="271" spans="1:8" s="1" customFormat="1" ht="19.5">
      <c r="B271" s="942"/>
      <c r="C271" s="78"/>
      <c r="D271" s="43"/>
      <c r="E271" s="56"/>
      <c r="F271" s="122"/>
      <c r="G271" s="130"/>
      <c r="H271" s="123" t="e">
        <f>SUM(G269+G270)</f>
        <v>#REF!</v>
      </c>
    </row>
    <row r="272" spans="1:8" s="1" customFormat="1" ht="17.25">
      <c r="A272" s="3"/>
      <c r="F272" s="40" t="s">
        <v>1491</v>
      </c>
      <c r="H272" s="63" t="e">
        <f>SUM(H268:H271)</f>
        <v>#REF!</v>
      </c>
    </row>
    <row r="273" spans="1:8" s="1" customFormat="1" ht="19.5">
      <c r="B273" s="1" t="s">
        <v>1493</v>
      </c>
      <c r="F273" s="40" t="s">
        <v>1471</v>
      </c>
      <c r="G273" s="102"/>
      <c r="H273" s="99" t="e">
        <f>FLOOR(H272*0.15,0.01)</f>
        <v>#REF!</v>
      </c>
    </row>
    <row r="274" spans="1:8" s="1" customFormat="1" ht="19.5">
      <c r="A274" s="27"/>
      <c r="B274" s="140" t="e">
        <f>+H274</f>
        <v>#REF!</v>
      </c>
      <c r="C274" s="27" t="s">
        <v>3005</v>
      </c>
      <c r="D274" s="99" t="e">
        <f>FLOOR(B274/B275,0.01)</f>
        <v>#REF!</v>
      </c>
      <c r="E274" s="1" t="s">
        <v>3006</v>
      </c>
      <c r="F274" s="40" t="s">
        <v>1494</v>
      </c>
      <c r="G274" s="102"/>
      <c r="H274" s="99" t="e">
        <f>SUM(H272:H273)</f>
        <v>#REF!</v>
      </c>
    </row>
    <row r="275" spans="1:8" s="1" customFormat="1" ht="19.5">
      <c r="A275" s="27"/>
      <c r="B275" s="88">
        <v>100</v>
      </c>
      <c r="C275" s="27"/>
      <c r="D275" s="141"/>
      <c r="F275" s="40"/>
      <c r="G275" s="102"/>
      <c r="H275" s="141"/>
    </row>
    <row r="276" spans="1:8" s="1" customFormat="1" ht="15"/>
    <row r="277" spans="1:8" s="1" customFormat="1" ht="15">
      <c r="A277"/>
      <c r="B277"/>
      <c r="C277"/>
      <c r="D277"/>
      <c r="E277"/>
      <c r="F277"/>
      <c r="G277"/>
      <c r="H277"/>
    </row>
    <row r="278" spans="1:8" s="1" customFormat="1" ht="20.25">
      <c r="A278" s="260" t="e">
        <f>#REF!+1</f>
        <v>#REF!</v>
      </c>
      <c r="B278" s="1021" t="s">
        <v>4</v>
      </c>
      <c r="C278" s="909"/>
      <c r="D278" s="909"/>
      <c r="E278" s="909"/>
      <c r="F278" s="909"/>
      <c r="G278" s="909"/>
      <c r="H278" s="909"/>
    </row>
    <row r="279" spans="1:8" s="1" customFormat="1" ht="19.5">
      <c r="A279" s="15" t="s">
        <v>1560</v>
      </c>
      <c r="B279" s="877" t="s">
        <v>1561</v>
      </c>
      <c r="C279" s="878"/>
      <c r="D279" s="878"/>
      <c r="E279" s="878"/>
      <c r="F279" s="878"/>
      <c r="G279" s="878"/>
      <c r="H279" s="878"/>
    </row>
    <row r="280" spans="1:8" s="1" customFormat="1" ht="15">
      <c r="B280" s="885" t="s">
        <v>1382</v>
      </c>
      <c r="C280" s="885"/>
      <c r="D280" s="885"/>
      <c r="E280" s="885"/>
      <c r="F280" s="885"/>
      <c r="G280" s="885"/>
      <c r="H280" s="885"/>
    </row>
    <row r="281" spans="1:8" s="1" customFormat="1" ht="63">
      <c r="B281" s="68" t="s">
        <v>2966</v>
      </c>
      <c r="C281" s="68" t="s">
        <v>2967</v>
      </c>
      <c r="D281" s="68" t="s">
        <v>2968</v>
      </c>
      <c r="E281" s="68" t="s">
        <v>2969</v>
      </c>
      <c r="F281" s="68" t="s">
        <v>2970</v>
      </c>
      <c r="G281" s="68" t="s">
        <v>2971</v>
      </c>
      <c r="H281" s="68" t="s">
        <v>1487</v>
      </c>
    </row>
    <row r="282" spans="1:8" s="1" customFormat="1" ht="17.25">
      <c r="B282" s="889" t="s">
        <v>1488</v>
      </c>
      <c r="C282" s="58" t="s">
        <v>516</v>
      </c>
      <c r="D282" s="45">
        <v>2</v>
      </c>
      <c r="E282" s="55" t="s">
        <v>1490</v>
      </c>
      <c r="F282" s="107" t="e">
        <f>mason</f>
        <v>#REF!</v>
      </c>
      <c r="G282" s="107" t="e">
        <f t="shared" ref="G282:G289" si="0">FLOOR(D282*F282,0.01)</f>
        <v>#REF!</v>
      </c>
      <c r="H282" s="108"/>
    </row>
    <row r="283" spans="1:8" s="1" customFormat="1" ht="17.25">
      <c r="B283" s="887"/>
      <c r="C283" s="56" t="s">
        <v>1433</v>
      </c>
      <c r="D283" s="51">
        <v>8</v>
      </c>
      <c r="E283" s="56" t="s">
        <v>1490</v>
      </c>
      <c r="F283" s="63" t="e">
        <f>#REF!</f>
        <v>#REF!</v>
      </c>
      <c r="G283" s="63" t="e">
        <f t="shared" si="0"/>
        <v>#REF!</v>
      </c>
      <c r="H283" s="121" t="e">
        <f>SUM(G282+G283)</f>
        <v>#REF!</v>
      </c>
    </row>
    <row r="284" spans="1:8" s="1" customFormat="1" ht="17.25">
      <c r="B284" s="886" t="s">
        <v>2055</v>
      </c>
      <c r="C284" s="53" t="s">
        <v>1304</v>
      </c>
      <c r="D284" s="52">
        <v>0.13</v>
      </c>
      <c r="E284" s="53" t="s">
        <v>700</v>
      </c>
      <c r="F284" s="109" t="e">
        <f>#REF!</f>
        <v>#REF!</v>
      </c>
      <c r="G284" s="109" t="e">
        <f t="shared" si="0"/>
        <v>#REF!</v>
      </c>
      <c r="H284" s="84"/>
    </row>
    <row r="285" spans="1:8" s="1" customFormat="1" ht="17.25">
      <c r="B285" s="894"/>
      <c r="C285" s="53" t="s">
        <v>697</v>
      </c>
      <c r="D285" s="52">
        <v>0.183</v>
      </c>
      <c r="E285" s="53" t="s">
        <v>2232</v>
      </c>
      <c r="F285" s="109" t="e">
        <f>#REF!</f>
        <v>#REF!</v>
      </c>
      <c r="G285" s="109" t="e">
        <f t="shared" si="0"/>
        <v>#REF!</v>
      </c>
      <c r="H285" s="86"/>
    </row>
    <row r="286" spans="1:8" s="1" customFormat="1" ht="17.25">
      <c r="B286" s="894"/>
      <c r="C286" s="569" t="s">
        <v>5</v>
      </c>
      <c r="D286" s="42">
        <v>11</v>
      </c>
      <c r="E286" s="53" t="s">
        <v>2807</v>
      </c>
      <c r="F286" s="42" t="e">
        <f>#REF!</f>
        <v>#REF!</v>
      </c>
      <c r="G286" s="109" t="e">
        <f t="shared" si="0"/>
        <v>#REF!</v>
      </c>
      <c r="H286" s="86"/>
    </row>
    <row r="287" spans="1:8" s="1" customFormat="1" ht="17.25">
      <c r="B287" s="894"/>
      <c r="C287" s="53" t="s">
        <v>1562</v>
      </c>
      <c r="D287" s="42">
        <v>0.37</v>
      </c>
      <c r="E287" s="53" t="s">
        <v>2748</v>
      </c>
      <c r="F287" s="42" t="e">
        <f>#REF!</f>
        <v>#REF!</v>
      </c>
      <c r="G287" s="109" t="e">
        <f t="shared" si="0"/>
        <v>#REF!</v>
      </c>
      <c r="H287" s="86"/>
    </row>
    <row r="288" spans="1:8" s="1" customFormat="1" ht="17.25">
      <c r="B288" s="894"/>
      <c r="C288" s="53" t="s">
        <v>2013</v>
      </c>
      <c r="D288" s="52">
        <v>0.11799999999999999</v>
      </c>
      <c r="E288" s="53" t="s">
        <v>2748</v>
      </c>
      <c r="F288" s="42" t="e">
        <f>#REF!</f>
        <v>#REF!</v>
      </c>
      <c r="G288" s="109" t="e">
        <f t="shared" si="0"/>
        <v>#REF!</v>
      </c>
      <c r="H288" s="86"/>
    </row>
    <row r="289" spans="1:8" s="1" customFormat="1" ht="17.25">
      <c r="B289" s="894"/>
      <c r="C289" s="53" t="s">
        <v>2014</v>
      </c>
      <c r="D289" s="52">
        <v>0.53800000000000003</v>
      </c>
      <c r="E289" s="53" t="s">
        <v>2517</v>
      </c>
      <c r="F289" s="42" t="e">
        <f>#REF!</f>
        <v>#REF!</v>
      </c>
      <c r="G289" s="109" t="e">
        <f t="shared" si="0"/>
        <v>#REF!</v>
      </c>
      <c r="H289" s="86"/>
    </row>
    <row r="290" spans="1:8" s="1" customFormat="1" ht="17.25">
      <c r="B290" s="895"/>
      <c r="C290" s="56" t="s">
        <v>2516</v>
      </c>
      <c r="D290" s="63" t="s">
        <v>2808</v>
      </c>
      <c r="E290" s="56" t="s">
        <v>2810</v>
      </c>
      <c r="F290" s="63"/>
      <c r="G290" s="63">
        <v>120</v>
      </c>
      <c r="H290" s="123" t="e">
        <f>SUM(G284:G290)</f>
        <v>#REF!</v>
      </c>
    </row>
    <row r="291" spans="1:8" s="1" customFormat="1" ht="17.25">
      <c r="B291" s="66" t="s">
        <v>1879</v>
      </c>
      <c r="C291" s="64" t="s">
        <v>1559</v>
      </c>
      <c r="D291" s="44">
        <v>13.5</v>
      </c>
      <c r="E291" s="64" t="s">
        <v>1490</v>
      </c>
      <c r="F291" s="63" t="e">
        <f>#REF!</f>
        <v>#REF!</v>
      </c>
      <c r="G291" s="99" t="e">
        <f>FLOOR(D291*F291,0.01)</f>
        <v>#REF!</v>
      </c>
      <c r="H291" s="123" t="e">
        <f>SUM(G291)</f>
        <v>#REF!</v>
      </c>
    </row>
    <row r="292" spans="1:8" s="1" customFormat="1" ht="17.25">
      <c r="F292" s="40" t="s">
        <v>1491</v>
      </c>
      <c r="G292" s="113"/>
      <c r="H292" s="63" t="e">
        <f>SUM(H283:H291)</f>
        <v>#REF!</v>
      </c>
    </row>
    <row r="293" spans="1:8" s="1" customFormat="1" ht="17.25">
      <c r="B293" s="1" t="s">
        <v>1493</v>
      </c>
      <c r="F293" s="40" t="s">
        <v>1472</v>
      </c>
      <c r="G293" s="113"/>
      <c r="H293" s="99" t="e">
        <f>FLOOR(H292*0.15,0.01)</f>
        <v>#REF!</v>
      </c>
    </row>
    <row r="294" spans="1:8" s="1" customFormat="1" ht="17.25">
      <c r="A294"/>
      <c r="B294" s="140" t="e">
        <f>+H294</f>
        <v>#REF!</v>
      </c>
      <c r="C294" s="27" t="s">
        <v>3005</v>
      </c>
      <c r="D294" s="99" t="e">
        <f>INT(B294/B295*100)/100</f>
        <v>#REF!</v>
      </c>
      <c r="E294" s="1" t="s">
        <v>3006</v>
      </c>
      <c r="F294" s="40" t="s">
        <v>1494</v>
      </c>
      <c r="G294" s="113"/>
      <c r="H294" s="99" t="e">
        <f>SUM(H292:H293)</f>
        <v>#REF!</v>
      </c>
    </row>
    <row r="295" spans="1:8" s="1" customFormat="1" ht="16.5">
      <c r="B295" s="117">
        <v>10</v>
      </c>
    </row>
    <row r="296" spans="1:8" s="1" customFormat="1" ht="16.5">
      <c r="A296" s="106" t="s">
        <v>3012</v>
      </c>
      <c r="B296" s="117"/>
    </row>
    <row r="297" spans="1:8" s="1" customFormat="1" ht="16.5">
      <c r="A297" s="106"/>
      <c r="B297" s="117"/>
    </row>
    <row r="298" spans="1:8" s="1" customFormat="1" ht="16.5">
      <c r="A298" s="106"/>
      <c r="B298" s="117"/>
    </row>
    <row r="299" spans="1:8" s="1" customFormat="1" ht="20.25">
      <c r="A299" s="260" t="e">
        <f>#REF!+1</f>
        <v>#REF!</v>
      </c>
      <c r="B299" s="877" t="s">
        <v>1437</v>
      </c>
      <c r="C299" s="878"/>
      <c r="D299" s="878"/>
      <c r="E299" s="878"/>
      <c r="F299" s="878"/>
      <c r="G299" s="878"/>
      <c r="H299" s="878"/>
    </row>
    <row r="300" spans="1:8" s="1" customFormat="1" ht="15">
      <c r="A300" s="15" t="s">
        <v>2601</v>
      </c>
      <c r="B300" s="888" t="s">
        <v>1382</v>
      </c>
      <c r="C300" s="879"/>
      <c r="D300" s="879"/>
      <c r="E300" s="879"/>
      <c r="F300" s="879"/>
      <c r="G300" s="879"/>
      <c r="H300" s="879"/>
    </row>
    <row r="301" spans="1:8" s="1" customFormat="1" ht="63">
      <c r="B301" s="68" t="s">
        <v>2966</v>
      </c>
      <c r="C301" s="68" t="s">
        <v>2967</v>
      </c>
      <c r="D301" s="68" t="s">
        <v>2968</v>
      </c>
      <c r="E301" s="68" t="s">
        <v>2969</v>
      </c>
      <c r="F301" s="68" t="s">
        <v>2970</v>
      </c>
      <c r="G301" s="68" t="s">
        <v>2971</v>
      </c>
      <c r="H301" s="68" t="s">
        <v>1487</v>
      </c>
    </row>
    <row r="302" spans="1:8" s="1" customFormat="1" ht="16.5">
      <c r="B302" s="886" t="s">
        <v>2055</v>
      </c>
      <c r="C302" s="886" t="s">
        <v>1613</v>
      </c>
      <c r="D302" s="200"/>
      <c r="E302" s="886" t="s">
        <v>2807</v>
      </c>
      <c r="F302" s="109"/>
      <c r="G302" s="18"/>
      <c r="H302" s="26"/>
    </row>
    <row r="303" spans="1:8" s="1" customFormat="1" ht="16.5">
      <c r="B303" s="895"/>
      <c r="C303" s="895"/>
      <c r="D303" s="201">
        <v>10</v>
      </c>
      <c r="E303" s="895"/>
      <c r="F303" s="63" t="e">
        <f>#REF!</f>
        <v>#REF!</v>
      </c>
      <c r="G303" s="63" t="e">
        <f>FLOOR(D303*F303,0.01)</f>
        <v>#REF!</v>
      </c>
      <c r="H303" s="123" t="e">
        <f>SUM(G302:G303)</f>
        <v>#REF!</v>
      </c>
    </row>
    <row r="304" spans="1:8" s="1" customFormat="1" ht="19.5">
      <c r="F304" s="40" t="s">
        <v>1491</v>
      </c>
      <c r="G304" s="102"/>
      <c r="H304" s="63" t="e">
        <f>SUM(H303)</f>
        <v>#REF!</v>
      </c>
    </row>
    <row r="305" spans="1:8" s="1" customFormat="1" ht="19.5">
      <c r="B305" s="1" t="s">
        <v>1493</v>
      </c>
      <c r="F305" s="40" t="s">
        <v>1472</v>
      </c>
      <c r="G305" s="102"/>
      <c r="H305" s="99" t="e">
        <f>FLOOR(H304*0.15,0.01)</f>
        <v>#REF!</v>
      </c>
    </row>
    <row r="306" spans="1:8" s="1" customFormat="1" ht="19.5">
      <c r="A306"/>
      <c r="B306" s="140" t="e">
        <f>+H306</f>
        <v>#REF!</v>
      </c>
      <c r="C306" s="27" t="s">
        <v>3005</v>
      </c>
      <c r="D306" s="99" t="e">
        <f>B306/10</f>
        <v>#REF!</v>
      </c>
      <c r="E306" s="1" t="s">
        <v>3006</v>
      </c>
      <c r="F306" s="40" t="s">
        <v>1494</v>
      </c>
      <c r="G306" s="102"/>
      <c r="H306" s="99" t="e">
        <f>SUM(H304:H305)</f>
        <v>#REF!</v>
      </c>
    </row>
    <row r="307" spans="1:8" s="1" customFormat="1" ht="16.5">
      <c r="B307" s="117" t="s">
        <v>3252</v>
      </c>
    </row>
    <row r="308" spans="1:8" s="1" customFormat="1" ht="15">
      <c r="A308"/>
      <c r="B308"/>
      <c r="C308"/>
      <c r="D308"/>
      <c r="E308"/>
      <c r="F308"/>
      <c r="G308"/>
      <c r="H308"/>
    </row>
    <row r="309" spans="1:8" s="1" customFormat="1" ht="19.5">
      <c r="A309" s="31"/>
      <c r="B309" s="878" t="s">
        <v>1112</v>
      </c>
      <c r="C309" s="878"/>
      <c r="D309" s="878"/>
      <c r="E309" s="878"/>
      <c r="F309" s="878"/>
      <c r="G309" s="878"/>
      <c r="H309" s="878"/>
    </row>
    <row r="310" spans="1:8" s="1" customFormat="1" ht="20.25">
      <c r="A310" s="260" t="e">
        <f>A299+1</f>
        <v>#REF!</v>
      </c>
      <c r="B310" s="877" t="s">
        <v>1615</v>
      </c>
      <c r="C310" s="909"/>
      <c r="D310" s="909"/>
      <c r="E310" s="909"/>
      <c r="F310" s="909"/>
      <c r="G310" s="909"/>
      <c r="H310" s="909"/>
    </row>
    <row r="311" spans="1:8" s="1" customFormat="1" ht="15">
      <c r="A311" s="15" t="s">
        <v>2208</v>
      </c>
      <c r="B311" s="888" t="s">
        <v>1382</v>
      </c>
      <c r="C311" s="879"/>
      <c r="D311" s="879"/>
      <c r="E311" s="879"/>
      <c r="F311" s="879"/>
      <c r="G311" s="879"/>
      <c r="H311" s="879"/>
    </row>
    <row r="312" spans="1:8" s="1" customFormat="1" ht="63">
      <c r="B312" s="68" t="s">
        <v>2966</v>
      </c>
      <c r="C312" s="68" t="s">
        <v>2967</v>
      </c>
      <c r="D312" s="68" t="s">
        <v>2968</v>
      </c>
      <c r="E312" s="68" t="s">
        <v>2969</v>
      </c>
      <c r="F312" s="68" t="s">
        <v>2970</v>
      </c>
      <c r="G312" s="68" t="s">
        <v>2971</v>
      </c>
      <c r="H312" s="68" t="s">
        <v>1487</v>
      </c>
    </row>
    <row r="313" spans="1:8" s="1" customFormat="1" ht="17.25">
      <c r="B313" s="889" t="s">
        <v>1488</v>
      </c>
      <c r="C313" s="58" t="s">
        <v>516</v>
      </c>
      <c r="D313" s="41">
        <v>6.5</v>
      </c>
      <c r="E313" s="55" t="s">
        <v>1490</v>
      </c>
      <c r="F313" s="107" t="e">
        <f>mason</f>
        <v>#REF!</v>
      </c>
      <c r="G313" s="107" t="e">
        <f>FLOOR(D313*F313,0.01)</f>
        <v>#REF!</v>
      </c>
      <c r="H313" s="108"/>
    </row>
    <row r="314" spans="1:8" s="1" customFormat="1" ht="17.25">
      <c r="B314" s="887"/>
      <c r="C314" s="78" t="s">
        <v>1433</v>
      </c>
      <c r="D314" s="43">
        <v>0.65</v>
      </c>
      <c r="E314" s="56" t="s">
        <v>1490</v>
      </c>
      <c r="F314" s="63" t="e">
        <f>#REF!</f>
        <v>#REF!</v>
      </c>
      <c r="G314" s="63" t="e">
        <f>FLOOR(D314*F314,0.01)</f>
        <v>#REF!</v>
      </c>
      <c r="H314" s="121" t="e">
        <f>SUM(G313+G314)</f>
        <v>#REF!</v>
      </c>
    </row>
    <row r="315" spans="1:8" s="1" customFormat="1" ht="17.25">
      <c r="B315" s="886" t="s">
        <v>2055</v>
      </c>
      <c r="C315" s="55" t="s">
        <v>1614</v>
      </c>
      <c r="D315" s="46">
        <v>10</v>
      </c>
      <c r="E315" s="55" t="s">
        <v>2807</v>
      </c>
      <c r="F315" s="110" t="e">
        <f>#REF!</f>
        <v>#REF!</v>
      </c>
      <c r="G315" s="109" t="e">
        <f>FLOOR(D315*F315,0.01)</f>
        <v>#REF!</v>
      </c>
      <c r="H315" s="108"/>
    </row>
    <row r="316" spans="1:8" s="1" customFormat="1" ht="17.25">
      <c r="B316" s="887"/>
      <c r="C316" s="56" t="s">
        <v>3076</v>
      </c>
      <c r="D316" s="243">
        <v>1</v>
      </c>
      <c r="E316" s="56" t="s">
        <v>2748</v>
      </c>
      <c r="F316" s="63" t="e">
        <f>#REF!</f>
        <v>#REF!</v>
      </c>
      <c r="G316" s="63" t="e">
        <f>FLOOR(D316*F316,0.01)</f>
        <v>#REF!</v>
      </c>
      <c r="H316" s="123" t="e">
        <f>SUM(G315:G316)</f>
        <v>#REF!</v>
      </c>
    </row>
    <row r="317" spans="1:8" s="1" customFormat="1" ht="19.5">
      <c r="F317" s="40" t="s">
        <v>1491</v>
      </c>
      <c r="G317" s="102"/>
      <c r="H317" s="63" t="e">
        <f>SUM(H316,H314)</f>
        <v>#REF!</v>
      </c>
    </row>
    <row r="318" spans="1:8" s="1" customFormat="1" ht="19.5">
      <c r="B318" s="1" t="s">
        <v>1493</v>
      </c>
      <c r="F318" s="40" t="s">
        <v>1472</v>
      </c>
      <c r="G318" s="102"/>
      <c r="H318" s="99" t="e">
        <f>FLOOR(H317*0.15,0.01)</f>
        <v>#REF!</v>
      </c>
    </row>
    <row r="319" spans="1:8" s="1" customFormat="1" ht="19.5">
      <c r="A319"/>
      <c r="B319" s="140" t="e">
        <f>+H319</f>
        <v>#REF!</v>
      </c>
      <c r="C319" s="27" t="s">
        <v>3005</v>
      </c>
      <c r="D319" s="99" t="e">
        <f>INT(B319/B320*100)/100</f>
        <v>#REF!</v>
      </c>
      <c r="E319" s="1" t="s">
        <v>3006</v>
      </c>
      <c r="F319" s="40" t="s">
        <v>1494</v>
      </c>
      <c r="G319" s="133"/>
      <c r="H319" s="99" t="e">
        <f>SUM(H317:H318)</f>
        <v>#REF!</v>
      </c>
    </row>
    <row r="320" spans="1:8" s="1" customFormat="1" ht="16.5">
      <c r="B320" s="117">
        <v>10</v>
      </c>
    </row>
    <row r="321" spans="1:8" s="1" customFormat="1" ht="20.25">
      <c r="B321" s="88"/>
      <c r="F321" s="36"/>
      <c r="G321" s="36"/>
      <c r="H321" s="36"/>
    </row>
    <row r="322" spans="1:8" s="1" customFormat="1" ht="20.25">
      <c r="A322" s="260" t="e">
        <f>A310+1</f>
        <v>#REF!</v>
      </c>
      <c r="B322" s="966" t="s">
        <v>2963</v>
      </c>
      <c r="C322" s="967"/>
      <c r="D322" s="967"/>
      <c r="E322" s="967"/>
      <c r="F322" s="967"/>
      <c r="G322" s="967"/>
      <c r="H322" s="967"/>
    </row>
    <row r="323" spans="1:8" s="1" customFormat="1" ht="15">
      <c r="A323" s="15" t="s">
        <v>2947</v>
      </c>
      <c r="B323" s="932" t="s">
        <v>2382</v>
      </c>
      <c r="C323" s="933"/>
      <c r="D323" s="933"/>
      <c r="E323" s="933"/>
      <c r="F323" s="933"/>
      <c r="G323" s="933"/>
      <c r="H323" s="933"/>
    </row>
    <row r="324" spans="1:8" s="1" customFormat="1" ht="45">
      <c r="B324" s="4" t="s">
        <v>2966</v>
      </c>
      <c r="C324" s="4" t="s">
        <v>2967</v>
      </c>
      <c r="D324" s="4" t="s">
        <v>2968</v>
      </c>
      <c r="E324" s="4" t="s">
        <v>2969</v>
      </c>
      <c r="F324" s="4" t="s">
        <v>2970</v>
      </c>
      <c r="G324" s="4" t="s">
        <v>2971</v>
      </c>
      <c r="H324" s="4" t="s">
        <v>1487</v>
      </c>
    </row>
    <row r="325" spans="1:8" s="1" customFormat="1" ht="16.5">
      <c r="B325" s="929" t="s">
        <v>1488</v>
      </c>
      <c r="C325" s="14" t="s">
        <v>516</v>
      </c>
      <c r="D325" s="41">
        <v>5.27</v>
      </c>
      <c r="E325" s="11" t="s">
        <v>1490</v>
      </c>
      <c r="F325" s="107" t="e">
        <f>mason</f>
        <v>#REF!</v>
      </c>
      <c r="G325" s="110" t="e">
        <f>FLOOR(D325*F325,0.01)</f>
        <v>#REF!</v>
      </c>
      <c r="H325" s="108"/>
    </row>
    <row r="326" spans="1:8" s="1" customFormat="1" ht="16.5">
      <c r="B326" s="887"/>
      <c r="C326" s="15" t="s">
        <v>1433</v>
      </c>
      <c r="D326" s="43">
        <v>0.52</v>
      </c>
      <c r="E326" s="15" t="s">
        <v>1490</v>
      </c>
      <c r="F326" s="109" t="e">
        <f>#REF!</f>
        <v>#REF!</v>
      </c>
      <c r="G326" s="110" t="e">
        <f>FLOOR(D326*F326,0.01)</f>
        <v>#REF!</v>
      </c>
      <c r="H326" s="121" t="e">
        <f>SUM(G325:G326)</f>
        <v>#REF!</v>
      </c>
    </row>
    <row r="327" spans="1:8" s="1" customFormat="1" ht="121.5">
      <c r="B327" s="906" t="s">
        <v>2055</v>
      </c>
      <c r="C327" s="276" t="s">
        <v>2309</v>
      </c>
      <c r="D327" s="192">
        <v>0.32890000000000003</v>
      </c>
      <c r="E327" s="11" t="s">
        <v>2232</v>
      </c>
      <c r="F327" s="110" t="e">
        <f>Swood</f>
        <v>#REF!</v>
      </c>
      <c r="G327" s="110" t="e">
        <f>FLOOR(D327*F327,0.01)</f>
        <v>#REF!</v>
      </c>
      <c r="H327" s="84"/>
    </row>
    <row r="328" spans="1:8" s="1" customFormat="1" ht="16.5">
      <c r="B328" s="908"/>
      <c r="C328" s="277"/>
      <c r="D328" s="275"/>
      <c r="E328" s="15"/>
      <c r="F328" s="63"/>
      <c r="G328" s="63"/>
      <c r="H328" s="87" t="e">
        <f>SUM(G325:G327)</f>
        <v>#REF!</v>
      </c>
    </row>
    <row r="329" spans="1:8" s="1" customFormat="1" ht="16.5">
      <c r="F329" s="1" t="s">
        <v>1491</v>
      </c>
      <c r="H329" s="63" t="e">
        <f>SUM(H325:H328)</f>
        <v>#REF!</v>
      </c>
    </row>
    <row r="330" spans="1:8" s="1" customFormat="1" ht="19.5">
      <c r="B330" s="1" t="s">
        <v>1493</v>
      </c>
      <c r="F330" s="40" t="s">
        <v>1472</v>
      </c>
      <c r="G330" s="102"/>
      <c r="H330" s="99" t="e">
        <f>FLOOR(H329*0.15,0.01)</f>
        <v>#REF!</v>
      </c>
    </row>
    <row r="331" spans="1:8" s="1" customFormat="1" ht="19.5">
      <c r="A331"/>
      <c r="B331" s="140" t="e">
        <f>+H331</f>
        <v>#REF!</v>
      </c>
      <c r="C331" s="27" t="s">
        <v>3005</v>
      </c>
      <c r="D331" s="99" t="e">
        <f>INT(B331/B332*100)/100</f>
        <v>#REF!</v>
      </c>
      <c r="E331" s="1" t="s">
        <v>3006</v>
      </c>
      <c r="F331" s="40" t="s">
        <v>1494</v>
      </c>
      <c r="G331" s="133"/>
      <c r="H331" s="99" t="e">
        <f>SUM(H329:H330)</f>
        <v>#REF!</v>
      </c>
    </row>
    <row r="332" spans="1:8" s="1" customFormat="1" ht="16.5">
      <c r="B332" s="117">
        <v>9</v>
      </c>
      <c r="C332" s="3"/>
    </row>
    <row r="333" spans="1:8" s="1" customFormat="1" ht="15">
      <c r="A333" s="106"/>
      <c r="B333" s="106" t="s">
        <v>545</v>
      </c>
      <c r="C333" s="106"/>
      <c r="D333" s="106"/>
      <c r="E333" s="106"/>
      <c r="F333" s="106"/>
      <c r="G333" s="106"/>
      <c r="H333" s="106"/>
    </row>
    <row r="334" spans="1:8" s="1" customFormat="1" ht="15">
      <c r="A334"/>
      <c r="B334"/>
      <c r="C334"/>
      <c r="D334"/>
      <c r="E334"/>
      <c r="F334"/>
      <c r="G334"/>
      <c r="H334"/>
    </row>
    <row r="335" spans="1:8" s="1" customFormat="1" ht="16.5">
      <c r="B335" s="117"/>
    </row>
    <row r="336" spans="1:8" s="1" customFormat="1" ht="15">
      <c r="A336"/>
      <c r="B336"/>
      <c r="C336"/>
      <c r="D336"/>
      <c r="E336"/>
      <c r="F336"/>
      <c r="G336"/>
      <c r="H336"/>
    </row>
    <row r="337" spans="1:8" s="1" customFormat="1" ht="19.5">
      <c r="B337" s="878" t="s">
        <v>2423</v>
      </c>
      <c r="C337" s="878"/>
      <c r="D337" s="878"/>
      <c r="E337" s="878"/>
      <c r="F337" s="878"/>
      <c r="G337" s="878"/>
      <c r="H337" s="878"/>
    </row>
    <row r="338" spans="1:8" s="1" customFormat="1" ht="20.25">
      <c r="A338" s="260" t="e">
        <f>A322+1</f>
        <v>#REF!</v>
      </c>
      <c r="B338" s="877" t="s">
        <v>2419</v>
      </c>
      <c r="C338" s="878"/>
      <c r="D338" s="878"/>
      <c r="E338" s="878"/>
      <c r="F338" s="878"/>
      <c r="G338" s="878"/>
      <c r="H338" s="878"/>
    </row>
    <row r="339" spans="1:8" s="1" customFormat="1" ht="19.5">
      <c r="A339" s="15" t="s">
        <v>2420</v>
      </c>
      <c r="B339" s="877" t="s">
        <v>376</v>
      </c>
      <c r="C339" s="878"/>
      <c r="D339" s="878"/>
      <c r="E339" s="878"/>
      <c r="F339" s="878"/>
      <c r="G339" s="878"/>
      <c r="H339" s="878"/>
    </row>
    <row r="340" spans="1:8" s="1" customFormat="1" ht="15">
      <c r="B340" s="939" t="s">
        <v>3083</v>
      </c>
      <c r="C340" s="939"/>
      <c r="D340" s="939"/>
      <c r="E340" s="939"/>
      <c r="F340" s="939"/>
      <c r="G340" s="939"/>
      <c r="H340" s="939"/>
    </row>
    <row r="341" spans="1:8" s="1" customFormat="1" ht="63">
      <c r="B341" s="68" t="s">
        <v>2966</v>
      </c>
      <c r="C341" s="68" t="s">
        <v>2967</v>
      </c>
      <c r="D341" s="68" t="s">
        <v>2968</v>
      </c>
      <c r="E341" s="68" t="s">
        <v>2969</v>
      </c>
      <c r="F341" s="68" t="s">
        <v>2970</v>
      </c>
      <c r="G341" s="68" t="s">
        <v>2971</v>
      </c>
      <c r="H341" s="68" t="s">
        <v>1487</v>
      </c>
    </row>
    <row r="342" spans="1:8" s="1" customFormat="1" ht="17.25">
      <c r="B342" s="889" t="s">
        <v>1488</v>
      </c>
      <c r="C342" s="58" t="s">
        <v>516</v>
      </c>
      <c r="D342" s="45">
        <v>23</v>
      </c>
      <c r="E342" s="55" t="s">
        <v>1490</v>
      </c>
      <c r="F342" s="107" t="e">
        <f>mason</f>
        <v>#REF!</v>
      </c>
      <c r="G342" s="107" t="e">
        <f t="shared" ref="G342:G347" si="1">FLOOR(D342*F342,0.01)</f>
        <v>#REF!</v>
      </c>
      <c r="H342" s="108"/>
    </row>
    <row r="343" spans="1:8" s="1" customFormat="1" ht="17.25">
      <c r="B343" s="887"/>
      <c r="C343" s="56" t="s">
        <v>1433</v>
      </c>
      <c r="D343" s="43">
        <v>2.2999999999999998</v>
      </c>
      <c r="E343" s="56" t="s">
        <v>1490</v>
      </c>
      <c r="F343" s="109" t="e">
        <f>#REF!</f>
        <v>#REF!</v>
      </c>
      <c r="G343" s="63" t="e">
        <f t="shared" si="1"/>
        <v>#REF!</v>
      </c>
      <c r="H343" s="121" t="e">
        <f>SUM(G342+G343)</f>
        <v>#REF!</v>
      </c>
    </row>
    <row r="344" spans="1:8" s="1" customFormat="1" ht="17.25">
      <c r="B344" s="886" t="s">
        <v>2055</v>
      </c>
      <c r="C344" s="53" t="s">
        <v>1932</v>
      </c>
      <c r="D344" s="42">
        <v>0.45</v>
      </c>
      <c r="E344" s="53" t="s">
        <v>2232</v>
      </c>
      <c r="F344" s="110" t="e">
        <f>awood</f>
        <v>#REF!</v>
      </c>
      <c r="G344" s="109" t="e">
        <f t="shared" si="1"/>
        <v>#REF!</v>
      </c>
      <c r="H344" s="84"/>
    </row>
    <row r="345" spans="1:8" s="1" customFormat="1" ht="17.25">
      <c r="B345" s="890"/>
      <c r="C345" s="53" t="s">
        <v>1934</v>
      </c>
      <c r="D345" s="42">
        <v>37.5</v>
      </c>
      <c r="E345" s="53" t="s">
        <v>2807</v>
      </c>
      <c r="F345" s="109" t="e">
        <f>#REF!</f>
        <v>#REF!</v>
      </c>
      <c r="G345" s="109" t="e">
        <f t="shared" si="1"/>
        <v>#REF!</v>
      </c>
      <c r="H345" s="9"/>
    </row>
    <row r="346" spans="1:8" s="1" customFormat="1" ht="17.25">
      <c r="B346" s="890"/>
      <c r="C346" s="53" t="s">
        <v>1066</v>
      </c>
      <c r="D346" s="239">
        <v>100</v>
      </c>
      <c r="E346" s="53" t="s">
        <v>557</v>
      </c>
      <c r="F346" s="109" t="e">
        <f>#REF!</f>
        <v>#REF!</v>
      </c>
      <c r="G346" s="109" t="e">
        <f t="shared" si="1"/>
        <v>#REF!</v>
      </c>
      <c r="H346" s="86"/>
    </row>
    <row r="347" spans="1:8" s="1" customFormat="1" ht="17.25">
      <c r="B347" s="887"/>
      <c r="C347" s="56" t="s">
        <v>2010</v>
      </c>
      <c r="D347" s="43">
        <v>0.5</v>
      </c>
      <c r="E347" s="56" t="s">
        <v>556</v>
      </c>
      <c r="F347" s="63" t="e">
        <f>#REF!</f>
        <v>#REF!</v>
      </c>
      <c r="G347" s="63" t="e">
        <f t="shared" si="1"/>
        <v>#REF!</v>
      </c>
      <c r="H347" s="123" t="e">
        <f>SUM(G344:G347)</f>
        <v>#REF!</v>
      </c>
    </row>
    <row r="348" spans="1:8" s="1" customFormat="1" ht="17.25">
      <c r="F348" s="40" t="s">
        <v>1491</v>
      </c>
      <c r="G348" s="40"/>
      <c r="H348" s="63" t="e">
        <f>SUM(H343:H347)</f>
        <v>#REF!</v>
      </c>
    </row>
    <row r="349" spans="1:8" s="1" customFormat="1" ht="17.25">
      <c r="B349" s="1" t="s">
        <v>1493</v>
      </c>
      <c r="F349" s="40" t="s">
        <v>1472</v>
      </c>
      <c r="G349" s="40"/>
      <c r="H349" s="99" t="e">
        <f>FLOOR(H348*0.15,0.01)</f>
        <v>#REF!</v>
      </c>
    </row>
    <row r="350" spans="1:8" s="1" customFormat="1" ht="17.25">
      <c r="A350"/>
      <c r="B350" s="140" t="e">
        <f>+H350</f>
        <v>#REF!</v>
      </c>
      <c r="C350" s="27" t="s">
        <v>3005</v>
      </c>
      <c r="D350" s="99" t="e">
        <f>INT(B350/B351*100)/100</f>
        <v>#REF!</v>
      </c>
      <c r="E350" s="1" t="s">
        <v>3006</v>
      </c>
      <c r="F350" s="40" t="s">
        <v>1494</v>
      </c>
      <c r="G350" s="40"/>
      <c r="H350" s="99" t="e">
        <f>SUM(H348:H349)</f>
        <v>#REF!</v>
      </c>
    </row>
    <row r="351" spans="1:8" s="1" customFormat="1" ht="20.25">
      <c r="B351" s="88">
        <v>35.58</v>
      </c>
      <c r="F351" s="36"/>
      <c r="G351" s="36"/>
      <c r="H351" s="36"/>
    </row>
    <row r="352" spans="1:8" s="1" customFormat="1" ht="16.5">
      <c r="A352" s="260" t="e">
        <f>A338+1</f>
        <v>#REF!</v>
      </c>
      <c r="B352" s="1019" t="s">
        <v>3009</v>
      </c>
      <c r="C352" s="1020"/>
      <c r="D352" s="1020"/>
      <c r="E352" s="1020"/>
      <c r="F352" s="1020"/>
      <c r="G352" s="1020"/>
      <c r="H352" s="1020"/>
    </row>
    <row r="353" spans="1:8" s="1" customFormat="1" ht="15">
      <c r="A353" s="15" t="s">
        <v>2601</v>
      </c>
      <c r="B353" s="888" t="s">
        <v>1382</v>
      </c>
      <c r="C353" s="879"/>
      <c r="D353" s="879"/>
      <c r="E353" s="879"/>
      <c r="F353" s="879"/>
      <c r="G353" s="879"/>
      <c r="H353" s="879"/>
    </row>
    <row r="354" spans="1:8" s="1" customFormat="1" ht="63">
      <c r="B354" s="68" t="s">
        <v>2966</v>
      </c>
      <c r="C354" s="68" t="s">
        <v>2967</v>
      </c>
      <c r="D354" s="68" t="s">
        <v>2968</v>
      </c>
      <c r="E354" s="68" t="s">
        <v>2969</v>
      </c>
      <c r="F354" s="68" t="s">
        <v>2970</v>
      </c>
      <c r="G354" s="68" t="s">
        <v>2971</v>
      </c>
      <c r="H354" s="68" t="s">
        <v>1487</v>
      </c>
    </row>
    <row r="355" spans="1:8" s="1" customFormat="1" ht="16.5">
      <c r="B355" s="886" t="s">
        <v>2055</v>
      </c>
      <c r="C355" s="889" t="s">
        <v>1715</v>
      </c>
      <c r="D355" s="200"/>
      <c r="E355" s="886" t="s">
        <v>2807</v>
      </c>
      <c r="F355" s="109"/>
      <c r="G355" s="18"/>
      <c r="H355" s="26"/>
    </row>
    <row r="356" spans="1:8" s="1" customFormat="1" ht="16.5">
      <c r="B356" s="895"/>
      <c r="C356" s="896"/>
      <c r="D356" s="201">
        <v>10</v>
      </c>
      <c r="E356" s="895"/>
      <c r="F356" s="63" t="e">
        <f>#REF!</f>
        <v>#REF!</v>
      </c>
      <c r="G356" s="63" t="e">
        <f>FLOOR(D356*F356,0.01)</f>
        <v>#REF!</v>
      </c>
      <c r="H356" s="123" t="e">
        <f>SUM(G355:G356)</f>
        <v>#REF!</v>
      </c>
    </row>
    <row r="357" spans="1:8" s="1" customFormat="1" ht="19.5">
      <c r="F357" s="40" t="s">
        <v>1491</v>
      </c>
      <c r="G357" s="102"/>
      <c r="H357" s="63" t="e">
        <f>SUM(H356)</f>
        <v>#REF!</v>
      </c>
    </row>
    <row r="358" spans="1:8" s="1" customFormat="1" ht="19.5">
      <c r="B358" s="1" t="s">
        <v>1493</v>
      </c>
      <c r="F358" s="40" t="s">
        <v>1472</v>
      </c>
      <c r="G358" s="102"/>
      <c r="H358" s="99" t="e">
        <f>FLOOR(H357*0.15,0.01)</f>
        <v>#REF!</v>
      </c>
    </row>
    <row r="359" spans="1:8" s="1" customFormat="1" ht="19.5">
      <c r="A359"/>
      <c r="B359" s="140" t="e">
        <f>+H359</f>
        <v>#REF!</v>
      </c>
      <c r="C359" s="27" t="s">
        <v>3005</v>
      </c>
      <c r="D359" s="99" t="e">
        <f>INT(B359/B360*100)/100</f>
        <v>#REF!</v>
      </c>
      <c r="E359" s="1" t="s">
        <v>3006</v>
      </c>
      <c r="F359" s="40" t="s">
        <v>1494</v>
      </c>
      <c r="G359" s="102"/>
      <c r="H359" s="99" t="e">
        <f>SUM(H357:H358)</f>
        <v>#REF!</v>
      </c>
    </row>
    <row r="360" spans="1:8" s="1" customFormat="1" ht="16.5">
      <c r="B360" s="117">
        <v>10</v>
      </c>
    </row>
    <row r="361" spans="1:8" s="1" customFormat="1" ht="15">
      <c r="A361"/>
      <c r="B361"/>
      <c r="C361"/>
      <c r="D361"/>
      <c r="E361"/>
      <c r="F361"/>
      <c r="G361"/>
      <c r="H361"/>
    </row>
    <row r="362" spans="1:8" s="1" customFormat="1" ht="16.5">
      <c r="A362" s="260" t="e">
        <f>A352+1</f>
        <v>#REF!</v>
      </c>
      <c r="B362" s="953" t="s">
        <v>3010</v>
      </c>
      <c r="C362" s="954"/>
      <c r="D362" s="954"/>
      <c r="E362" s="954"/>
      <c r="F362" s="954"/>
      <c r="G362" s="954"/>
      <c r="H362" s="954"/>
    </row>
    <row r="363" spans="1:8" s="1" customFormat="1" ht="15">
      <c r="A363" s="15" t="s">
        <v>2601</v>
      </c>
      <c r="B363" s="888" t="s">
        <v>1382</v>
      </c>
      <c r="C363" s="879"/>
      <c r="D363" s="879"/>
      <c r="E363" s="879"/>
      <c r="F363" s="879"/>
      <c r="G363" s="879"/>
      <c r="H363" s="879"/>
    </row>
    <row r="364" spans="1:8" s="1" customFormat="1" ht="63">
      <c r="B364" s="68" t="s">
        <v>2966</v>
      </c>
      <c r="C364" s="68" t="s">
        <v>2967</v>
      </c>
      <c r="D364" s="68" t="s">
        <v>2968</v>
      </c>
      <c r="E364" s="68" t="s">
        <v>2969</v>
      </c>
      <c r="F364" s="68" t="s">
        <v>2970</v>
      </c>
      <c r="G364" s="68" t="s">
        <v>2971</v>
      </c>
      <c r="H364" s="68" t="s">
        <v>1487</v>
      </c>
    </row>
    <row r="365" spans="1:8" s="1" customFormat="1" ht="16.5">
      <c r="B365" s="886" t="s">
        <v>2055</v>
      </c>
      <c r="C365" s="889" t="s">
        <v>1716</v>
      </c>
      <c r="D365" s="200"/>
      <c r="E365" s="886" t="s">
        <v>2807</v>
      </c>
      <c r="F365" s="109"/>
      <c r="G365" s="18"/>
      <c r="H365" s="26"/>
    </row>
    <row r="366" spans="1:8" s="1" customFormat="1" ht="16.5">
      <c r="B366" s="895"/>
      <c r="C366" s="896"/>
      <c r="D366" s="201">
        <v>10</v>
      </c>
      <c r="E366" s="895"/>
      <c r="F366" s="63" t="e">
        <f>#REF!</f>
        <v>#REF!</v>
      </c>
      <c r="G366" s="63" t="e">
        <f>FLOOR(D366*F366,0.01)</f>
        <v>#REF!</v>
      </c>
      <c r="H366" s="123" t="e">
        <f>SUM(G365:G366)</f>
        <v>#REF!</v>
      </c>
    </row>
    <row r="367" spans="1:8" s="1" customFormat="1" ht="19.5">
      <c r="F367" s="40" t="s">
        <v>1491</v>
      </c>
      <c r="G367" s="102"/>
      <c r="H367" s="63" t="e">
        <f>SUM(H366)</f>
        <v>#REF!</v>
      </c>
    </row>
    <row r="368" spans="1:8" s="1" customFormat="1" ht="19.5">
      <c r="B368" s="1" t="s">
        <v>1493</v>
      </c>
      <c r="F368" s="40" t="s">
        <v>1472</v>
      </c>
      <c r="G368" s="102"/>
      <c r="H368" s="99" t="e">
        <f>FLOOR(H367*0.15,0.01)</f>
        <v>#REF!</v>
      </c>
    </row>
    <row r="369" spans="1:8" s="1" customFormat="1" ht="19.5">
      <c r="A369"/>
      <c r="B369" s="140" t="e">
        <f>+H369</f>
        <v>#REF!</v>
      </c>
      <c r="C369" s="27" t="s">
        <v>3005</v>
      </c>
      <c r="D369" s="99" t="e">
        <f>INT(B369/B370*100)/100</f>
        <v>#REF!</v>
      </c>
      <c r="E369" s="1" t="s">
        <v>3006</v>
      </c>
      <c r="F369" s="40" t="s">
        <v>1494</v>
      </c>
      <c r="G369" s="102"/>
      <c r="H369" s="99" t="e">
        <f>SUM(H367:H368)</f>
        <v>#REF!</v>
      </c>
    </row>
    <row r="370" spans="1:8" s="1" customFormat="1" ht="16.5">
      <c r="B370" s="117">
        <v>10</v>
      </c>
    </row>
    <row r="371" spans="1:8" s="1" customFormat="1" ht="15"/>
    <row r="372" spans="1:8" s="1" customFormat="1" ht="16.5">
      <c r="B372" s="117"/>
    </row>
    <row r="373" spans="1:8" s="1" customFormat="1" ht="16.5">
      <c r="A373" s="260" t="e">
        <f>#REF!+1</f>
        <v>#REF!</v>
      </c>
      <c r="B373" s="953" t="s">
        <v>2588</v>
      </c>
      <c r="C373" s="954"/>
      <c r="D373" s="954"/>
      <c r="E373" s="954"/>
      <c r="F373" s="954"/>
      <c r="G373" s="954"/>
      <c r="H373" s="954"/>
    </row>
    <row r="374" spans="1:8" s="1" customFormat="1" ht="15">
      <c r="A374" s="15" t="s">
        <v>2601</v>
      </c>
      <c r="B374" s="888" t="s">
        <v>1382</v>
      </c>
      <c r="C374" s="879"/>
      <c r="D374" s="879"/>
      <c r="E374" s="879"/>
      <c r="F374" s="879"/>
      <c r="G374" s="879"/>
      <c r="H374" s="879"/>
    </row>
    <row r="375" spans="1:8" s="1" customFormat="1" ht="63">
      <c r="B375" s="68" t="s">
        <v>2966</v>
      </c>
      <c r="C375" s="68" t="s">
        <v>2967</v>
      </c>
      <c r="D375" s="68" t="s">
        <v>2968</v>
      </c>
      <c r="E375" s="68" t="s">
        <v>2969</v>
      </c>
      <c r="F375" s="68" t="s">
        <v>2970</v>
      </c>
      <c r="G375" s="68" t="s">
        <v>2971</v>
      </c>
      <c r="H375" s="68" t="s">
        <v>1487</v>
      </c>
    </row>
    <row r="376" spans="1:8" s="1" customFormat="1" ht="16.5">
      <c r="B376" s="886" t="s">
        <v>2055</v>
      </c>
      <c r="C376" s="889" t="s">
        <v>1719</v>
      </c>
      <c r="D376" s="200"/>
      <c r="E376" s="886" t="s">
        <v>2807</v>
      </c>
      <c r="F376" s="109"/>
      <c r="G376" s="18"/>
      <c r="H376" s="26"/>
    </row>
    <row r="377" spans="1:8" s="1" customFormat="1" ht="16.5">
      <c r="B377" s="895"/>
      <c r="C377" s="896"/>
      <c r="D377" s="201">
        <v>10</v>
      </c>
      <c r="E377" s="895"/>
      <c r="F377" s="63" t="e">
        <f>#REF!</f>
        <v>#REF!</v>
      </c>
      <c r="G377" s="63" t="e">
        <f>FLOOR(D377*F377,0.01)</f>
        <v>#REF!</v>
      </c>
      <c r="H377" s="123" t="e">
        <f>SUM(G376:G377)</f>
        <v>#REF!</v>
      </c>
    </row>
    <row r="378" spans="1:8" s="1" customFormat="1" ht="19.5">
      <c r="F378" s="40" t="s">
        <v>1491</v>
      </c>
      <c r="G378" s="102"/>
      <c r="H378" s="63" t="e">
        <f>SUM(H377)</f>
        <v>#REF!</v>
      </c>
    </row>
    <row r="379" spans="1:8" s="1" customFormat="1" ht="19.5">
      <c r="B379" s="1" t="s">
        <v>1493</v>
      </c>
      <c r="F379" s="40" t="s">
        <v>1472</v>
      </c>
      <c r="G379" s="102"/>
      <c r="H379" s="99" t="e">
        <f>FLOOR(H378*0.15,0.01)</f>
        <v>#REF!</v>
      </c>
    </row>
    <row r="380" spans="1:8" s="1" customFormat="1" ht="19.5">
      <c r="A380"/>
      <c r="B380" s="140" t="e">
        <f>+H380</f>
        <v>#REF!</v>
      </c>
      <c r="C380" s="27" t="s">
        <v>3005</v>
      </c>
      <c r="D380" s="99" t="e">
        <f>INT(B380/B381*100)/100</f>
        <v>#REF!</v>
      </c>
      <c r="E380" s="1" t="s">
        <v>3006</v>
      </c>
      <c r="F380" s="40" t="s">
        <v>1494</v>
      </c>
      <c r="G380" s="102"/>
      <c r="H380" s="99" t="e">
        <f>SUM(H378:H379)</f>
        <v>#REF!</v>
      </c>
    </row>
    <row r="381" spans="1:8" s="1" customFormat="1" ht="16.5">
      <c r="B381" s="117">
        <v>10</v>
      </c>
    </row>
    <row r="382" spans="1:8" s="1" customFormat="1" ht="16.5">
      <c r="B382" s="117"/>
    </row>
    <row r="383" spans="1:8" s="1" customFormat="1" ht="16.5">
      <c r="B383" s="117"/>
    </row>
    <row r="384" spans="1:8" s="1" customFormat="1" ht="16.5">
      <c r="A384" s="260" t="e">
        <f>A373+1</f>
        <v>#REF!</v>
      </c>
      <c r="B384" s="953" t="s">
        <v>2589</v>
      </c>
      <c r="C384" s="954"/>
      <c r="D384" s="954"/>
      <c r="E384" s="954"/>
      <c r="F384" s="954"/>
      <c r="G384" s="954"/>
      <c r="H384" s="954"/>
    </row>
    <row r="385" spans="1:8" s="1" customFormat="1" ht="15">
      <c r="A385" s="15" t="s">
        <v>2601</v>
      </c>
      <c r="B385" s="888" t="s">
        <v>1382</v>
      </c>
      <c r="C385" s="879"/>
      <c r="D385" s="879"/>
      <c r="E385" s="879"/>
      <c r="F385" s="879"/>
      <c r="G385" s="879"/>
      <c r="H385" s="879"/>
    </row>
    <row r="386" spans="1:8" s="1" customFormat="1" ht="63">
      <c r="B386" s="68" t="s">
        <v>2966</v>
      </c>
      <c r="C386" s="68" t="s">
        <v>2967</v>
      </c>
      <c r="D386" s="68" t="s">
        <v>2968</v>
      </c>
      <c r="E386" s="68" t="s">
        <v>2969</v>
      </c>
      <c r="F386" s="68" t="s">
        <v>2970</v>
      </c>
      <c r="G386" s="68" t="s">
        <v>2971</v>
      </c>
      <c r="H386" s="68" t="s">
        <v>1487</v>
      </c>
    </row>
    <row r="387" spans="1:8" s="1" customFormat="1" ht="16.5">
      <c r="B387" s="886" t="s">
        <v>2055</v>
      </c>
      <c r="C387" s="889" t="s">
        <v>1720</v>
      </c>
      <c r="D387" s="200"/>
      <c r="E387" s="886" t="s">
        <v>2807</v>
      </c>
      <c r="F387" s="109"/>
      <c r="G387" s="18"/>
      <c r="H387" s="26"/>
    </row>
    <row r="388" spans="1:8" s="1" customFormat="1" ht="16.5">
      <c r="B388" s="895"/>
      <c r="C388" s="896"/>
      <c r="D388" s="201">
        <v>10</v>
      </c>
      <c r="E388" s="895"/>
      <c r="F388" s="63" t="e">
        <f>#REF!</f>
        <v>#REF!</v>
      </c>
      <c r="G388" s="63" t="e">
        <f>FLOOR(D388*F388,0.01)</f>
        <v>#REF!</v>
      </c>
      <c r="H388" s="123" t="e">
        <f>SUM(G387:G388)</f>
        <v>#REF!</v>
      </c>
    </row>
    <row r="389" spans="1:8" s="1" customFormat="1" ht="19.5">
      <c r="F389" s="40" t="s">
        <v>1491</v>
      </c>
      <c r="G389" s="102"/>
      <c r="H389" s="63" t="e">
        <f>SUM(H388)</f>
        <v>#REF!</v>
      </c>
    </row>
    <row r="390" spans="1:8" s="1" customFormat="1" ht="19.5">
      <c r="B390" s="1" t="s">
        <v>1493</v>
      </c>
      <c r="F390" s="40" t="s">
        <v>1472</v>
      </c>
      <c r="G390" s="102"/>
      <c r="H390" s="99" t="e">
        <f>FLOOR(H389*0.15,0.01)</f>
        <v>#REF!</v>
      </c>
    </row>
    <row r="391" spans="1:8" s="1" customFormat="1" ht="19.5">
      <c r="A391"/>
      <c r="B391" s="140" t="e">
        <f>+H391</f>
        <v>#REF!</v>
      </c>
      <c r="C391" s="27" t="s">
        <v>3005</v>
      </c>
      <c r="D391" s="99" t="e">
        <f>INT(B391/B392*100)/100</f>
        <v>#REF!</v>
      </c>
      <c r="E391" s="1" t="s">
        <v>3006</v>
      </c>
      <c r="F391" s="40" t="s">
        <v>1494</v>
      </c>
      <c r="G391" s="102"/>
      <c r="H391" s="99" t="e">
        <f>SUM(H389:H390)</f>
        <v>#REF!</v>
      </c>
    </row>
    <row r="392" spans="1:8" s="1" customFormat="1" ht="16.5">
      <c r="B392" s="117">
        <v>10</v>
      </c>
    </row>
    <row r="393" spans="1:8" s="1" customFormat="1" ht="16.5">
      <c r="B393" s="117"/>
    </row>
    <row r="394" spans="1:8" s="1" customFormat="1" ht="16.5">
      <c r="B394" s="117"/>
    </row>
    <row r="395" spans="1:8" s="1" customFormat="1" ht="16.5">
      <c r="A395" s="260" t="e">
        <f>A384+1</f>
        <v>#REF!</v>
      </c>
      <c r="B395" s="953" t="s">
        <v>2590</v>
      </c>
      <c r="C395" s="954"/>
      <c r="D395" s="954"/>
      <c r="E395" s="954"/>
      <c r="F395" s="954"/>
      <c r="G395" s="954"/>
      <c r="H395" s="954"/>
    </row>
    <row r="396" spans="1:8" s="1" customFormat="1" ht="15">
      <c r="A396" s="15" t="s">
        <v>2601</v>
      </c>
      <c r="B396" s="888" t="s">
        <v>1382</v>
      </c>
      <c r="C396" s="879"/>
      <c r="D396" s="879"/>
      <c r="E396" s="879"/>
      <c r="F396" s="879"/>
      <c r="G396" s="879"/>
      <c r="H396" s="879"/>
    </row>
    <row r="397" spans="1:8" s="1" customFormat="1" ht="63">
      <c r="B397" s="68" t="s">
        <v>2966</v>
      </c>
      <c r="C397" s="68" t="s">
        <v>2967</v>
      </c>
      <c r="D397" s="68" t="s">
        <v>2968</v>
      </c>
      <c r="E397" s="68" t="s">
        <v>2969</v>
      </c>
      <c r="F397" s="68" t="s">
        <v>2970</v>
      </c>
      <c r="G397" s="68" t="s">
        <v>2971</v>
      </c>
      <c r="H397" s="68" t="s">
        <v>1487</v>
      </c>
    </row>
    <row r="398" spans="1:8" s="1" customFormat="1" ht="16.5">
      <c r="B398" s="886" t="s">
        <v>2055</v>
      </c>
      <c r="C398" s="889" t="s">
        <v>263</v>
      </c>
      <c r="D398" s="200"/>
      <c r="E398" s="886" t="s">
        <v>2807</v>
      </c>
      <c r="F398" s="109"/>
      <c r="G398" s="18"/>
      <c r="H398" s="26"/>
    </row>
    <row r="399" spans="1:8" s="1" customFormat="1" ht="16.5">
      <c r="B399" s="895"/>
      <c r="C399" s="896"/>
      <c r="D399" s="201">
        <v>10</v>
      </c>
      <c r="E399" s="895"/>
      <c r="F399" s="63" t="e">
        <f>#REF!</f>
        <v>#REF!</v>
      </c>
      <c r="G399" s="63" t="e">
        <f>FLOOR(D399*F399,0.01)</f>
        <v>#REF!</v>
      </c>
      <c r="H399" s="123" t="e">
        <f>SUM(G398:G399)</f>
        <v>#REF!</v>
      </c>
    </row>
    <row r="400" spans="1:8" s="1" customFormat="1" ht="19.5">
      <c r="F400" s="40" t="s">
        <v>1491</v>
      </c>
      <c r="G400" s="102"/>
      <c r="H400" s="63" t="e">
        <f>SUM(H399)</f>
        <v>#REF!</v>
      </c>
    </row>
    <row r="401" spans="1:8" s="1" customFormat="1" ht="19.5">
      <c r="B401" s="1" t="s">
        <v>1493</v>
      </c>
      <c r="F401" s="40" t="s">
        <v>1472</v>
      </c>
      <c r="G401" s="102"/>
      <c r="H401" s="99" t="e">
        <f>FLOOR(H400*0.15,0.01)</f>
        <v>#REF!</v>
      </c>
    </row>
    <row r="402" spans="1:8" s="1" customFormat="1" ht="19.5">
      <c r="A402"/>
      <c r="B402" s="140" t="e">
        <f>+H402</f>
        <v>#REF!</v>
      </c>
      <c r="C402" s="27" t="s">
        <v>3005</v>
      </c>
      <c r="D402" s="99" t="e">
        <f>INT(B402/B403*100)/100</f>
        <v>#REF!</v>
      </c>
      <c r="E402" s="1" t="s">
        <v>3006</v>
      </c>
      <c r="F402" s="40" t="s">
        <v>1494</v>
      </c>
      <c r="G402" s="102"/>
      <c r="H402" s="99" t="e">
        <f>SUM(H400:H401)</f>
        <v>#REF!</v>
      </c>
    </row>
    <row r="403" spans="1:8" s="1" customFormat="1" ht="16.5">
      <c r="B403" s="117">
        <v>10</v>
      </c>
    </row>
    <row r="404" spans="1:8" s="1" customFormat="1" ht="16.5">
      <c r="B404" s="117"/>
    </row>
    <row r="405" spans="1:8" s="1" customFormat="1" ht="16.5">
      <c r="A405" s="260" t="e">
        <f>A395+1</f>
        <v>#REF!</v>
      </c>
      <c r="B405" s="953" t="s">
        <v>2409</v>
      </c>
      <c r="C405" s="954"/>
      <c r="D405" s="954"/>
      <c r="E405" s="954"/>
      <c r="F405" s="954"/>
      <c r="G405" s="954"/>
      <c r="H405" s="954"/>
    </row>
    <row r="406" spans="1:8" s="1" customFormat="1" ht="15">
      <c r="A406" s="15" t="s">
        <v>2601</v>
      </c>
      <c r="B406" s="888" t="s">
        <v>1382</v>
      </c>
      <c r="C406" s="879"/>
      <c r="D406" s="879"/>
      <c r="E406" s="879"/>
      <c r="F406" s="879"/>
      <c r="G406" s="879"/>
      <c r="H406" s="879"/>
    </row>
    <row r="407" spans="1:8" s="1" customFormat="1" ht="63">
      <c r="B407" s="68" t="s">
        <v>2966</v>
      </c>
      <c r="C407" s="68" t="s">
        <v>2967</v>
      </c>
      <c r="D407" s="68" t="s">
        <v>2968</v>
      </c>
      <c r="E407" s="68" t="s">
        <v>2969</v>
      </c>
      <c r="F407" s="68" t="s">
        <v>2970</v>
      </c>
      <c r="G407" s="68" t="s">
        <v>2971</v>
      </c>
      <c r="H407" s="68" t="s">
        <v>1487</v>
      </c>
    </row>
    <row r="408" spans="1:8" s="1" customFormat="1" ht="16.5">
      <c r="B408" s="886" t="s">
        <v>2055</v>
      </c>
      <c r="C408" s="889" t="s">
        <v>1718</v>
      </c>
      <c r="D408" s="200"/>
      <c r="E408" s="886" t="s">
        <v>2807</v>
      </c>
      <c r="F408" s="109"/>
      <c r="G408" s="18"/>
      <c r="H408" s="26"/>
    </row>
    <row r="409" spans="1:8" s="1" customFormat="1" ht="16.5">
      <c r="B409" s="895"/>
      <c r="C409" s="896"/>
      <c r="D409" s="201">
        <v>10</v>
      </c>
      <c r="E409" s="895"/>
      <c r="F409" s="63" t="e">
        <f>#REF!</f>
        <v>#REF!</v>
      </c>
      <c r="G409" s="63" t="e">
        <f>FLOOR(D409*F409,0.01)</f>
        <v>#REF!</v>
      </c>
      <c r="H409" s="123" t="e">
        <f>SUM(G408:G409)</f>
        <v>#REF!</v>
      </c>
    </row>
    <row r="410" spans="1:8" s="1" customFormat="1" ht="19.5">
      <c r="F410" s="40" t="s">
        <v>1491</v>
      </c>
      <c r="G410" s="102"/>
      <c r="H410" s="63" t="e">
        <f>SUM(H409)</f>
        <v>#REF!</v>
      </c>
    </row>
    <row r="411" spans="1:8" s="1" customFormat="1" ht="19.5">
      <c r="B411" s="1" t="s">
        <v>1493</v>
      </c>
      <c r="F411" s="40" t="s">
        <v>1472</v>
      </c>
      <c r="G411" s="102"/>
      <c r="H411" s="99" t="e">
        <f>FLOOR(H410*0.15,0.01)</f>
        <v>#REF!</v>
      </c>
    </row>
    <row r="412" spans="1:8" s="1" customFormat="1" ht="19.5">
      <c r="A412"/>
      <c r="B412" s="140" t="e">
        <f>+H412</f>
        <v>#REF!</v>
      </c>
      <c r="C412" s="27" t="s">
        <v>3005</v>
      </c>
      <c r="D412" s="99" t="e">
        <f>INT(B412/B413*100)/100</f>
        <v>#REF!</v>
      </c>
      <c r="E412" s="1" t="s">
        <v>3006</v>
      </c>
      <c r="F412" s="40" t="s">
        <v>1494</v>
      </c>
      <c r="G412" s="102"/>
      <c r="H412" s="99" t="e">
        <f>SUM(H410:H411)</f>
        <v>#REF!</v>
      </c>
    </row>
    <row r="413" spans="1:8" s="1" customFormat="1" ht="16.5">
      <c r="B413" s="117">
        <v>10</v>
      </c>
    </row>
    <row r="414" spans="1:8" s="1" customFormat="1" ht="16.5">
      <c r="B414" s="117"/>
    </row>
    <row r="415" spans="1:8" s="1" customFormat="1" ht="16.5">
      <c r="A415" s="260" t="e">
        <f>A405+1</f>
        <v>#REF!</v>
      </c>
      <c r="B415" s="953" t="s">
        <v>2408</v>
      </c>
      <c r="C415" s="954"/>
      <c r="D415" s="954"/>
      <c r="E415" s="954"/>
      <c r="F415" s="954"/>
      <c r="G415" s="954"/>
      <c r="H415" s="954"/>
    </row>
    <row r="416" spans="1:8" s="1" customFormat="1" ht="15">
      <c r="A416" s="15" t="s">
        <v>2601</v>
      </c>
      <c r="B416" s="888" t="s">
        <v>1382</v>
      </c>
      <c r="C416" s="879"/>
      <c r="D416" s="879"/>
      <c r="E416" s="879"/>
      <c r="F416" s="879"/>
      <c r="G416" s="879"/>
      <c r="H416" s="879"/>
    </row>
    <row r="417" spans="1:8" s="1" customFormat="1" ht="63">
      <c r="B417" s="68" t="s">
        <v>2966</v>
      </c>
      <c r="C417" s="68" t="s">
        <v>2967</v>
      </c>
      <c r="D417" s="68" t="s">
        <v>2968</v>
      </c>
      <c r="E417" s="68" t="s">
        <v>2969</v>
      </c>
      <c r="F417" s="68" t="s">
        <v>2970</v>
      </c>
      <c r="G417" s="68" t="s">
        <v>2971</v>
      </c>
      <c r="H417" s="68" t="s">
        <v>1487</v>
      </c>
    </row>
    <row r="418" spans="1:8" s="1" customFormat="1" ht="16.5">
      <c r="B418" s="886" t="s">
        <v>2055</v>
      </c>
      <c r="C418" s="1022" t="s">
        <v>264</v>
      </c>
      <c r="D418" s="200"/>
      <c r="E418" s="886" t="s">
        <v>2807</v>
      </c>
      <c r="F418" s="109"/>
      <c r="G418" s="18"/>
      <c r="H418" s="26"/>
    </row>
    <row r="419" spans="1:8" s="1" customFormat="1" ht="16.5">
      <c r="B419" s="895"/>
      <c r="C419" s="896"/>
      <c r="D419" s="201">
        <v>10</v>
      </c>
      <c r="E419" s="895"/>
      <c r="F419" s="63" t="e">
        <f>#REF!</f>
        <v>#REF!</v>
      </c>
      <c r="G419" s="63" t="e">
        <f>FLOOR(D419*F419,0.01)</f>
        <v>#REF!</v>
      </c>
      <c r="H419" s="123" t="e">
        <f>SUM(G418:G419)</f>
        <v>#REF!</v>
      </c>
    </row>
    <row r="420" spans="1:8" s="1" customFormat="1" ht="19.5">
      <c r="F420" s="40" t="s">
        <v>1491</v>
      </c>
      <c r="G420" s="102"/>
      <c r="H420" s="63" t="e">
        <f>SUM(H419)</f>
        <v>#REF!</v>
      </c>
    </row>
    <row r="421" spans="1:8" s="1" customFormat="1" ht="19.5">
      <c r="B421" s="1" t="s">
        <v>1493</v>
      </c>
      <c r="F421" s="40" t="s">
        <v>1472</v>
      </c>
      <c r="G421" s="102"/>
      <c r="H421" s="99" t="e">
        <f>FLOOR(H420*0.15,0.01)</f>
        <v>#REF!</v>
      </c>
    </row>
    <row r="422" spans="1:8" s="1" customFormat="1" ht="19.5">
      <c r="A422"/>
      <c r="B422" s="140" t="e">
        <f>+H422</f>
        <v>#REF!</v>
      </c>
      <c r="C422" s="27" t="s">
        <v>3005</v>
      </c>
      <c r="D422" s="99" t="e">
        <f>INT(B422/B423*100)/100</f>
        <v>#REF!</v>
      </c>
      <c r="E422" s="1" t="s">
        <v>3006</v>
      </c>
      <c r="F422" s="40" t="s">
        <v>1494</v>
      </c>
      <c r="G422" s="102"/>
      <c r="H422" s="99" t="e">
        <f>SUM(H420:H421)</f>
        <v>#REF!</v>
      </c>
    </row>
    <row r="423" spans="1:8" s="1" customFormat="1" ht="16.5">
      <c r="B423" s="117">
        <v>10</v>
      </c>
    </row>
    <row r="424" spans="1:8" s="1" customFormat="1" ht="16.5">
      <c r="B424" s="117"/>
    </row>
    <row r="425" spans="1:8" s="1" customFormat="1" ht="16.5">
      <c r="B425" s="117"/>
    </row>
    <row r="426" spans="1:8" s="1" customFormat="1" ht="16.5">
      <c r="B426" s="117"/>
    </row>
    <row r="427" spans="1:8" s="1" customFormat="1" ht="16.5">
      <c r="B427" s="117"/>
    </row>
    <row r="428" spans="1:8" s="1" customFormat="1" ht="16.5">
      <c r="B428" s="117"/>
    </row>
    <row r="429" spans="1:8" s="1" customFormat="1" ht="16.5">
      <c r="B429" s="117"/>
    </row>
    <row r="430" spans="1:8" s="1" customFormat="1" ht="16.5">
      <c r="B430" s="117"/>
    </row>
    <row r="431" spans="1:8" s="1" customFormat="1" ht="16.5">
      <c r="B431" s="117"/>
    </row>
    <row r="432" spans="1:8" s="1" customFormat="1" ht="15">
      <c r="D432" s="191"/>
    </row>
    <row r="433" spans="1:8" s="1" customFormat="1" ht="15"/>
    <row r="434" spans="1:8" s="1" customFormat="1" ht="15"/>
    <row r="435" spans="1:8" s="1" customFormat="1" ht="15"/>
    <row r="436" spans="1:8" s="1" customFormat="1" ht="20.25">
      <c r="D436" s="515" t="s">
        <v>59</v>
      </c>
    </row>
    <row r="437" spans="1:8" s="1" customFormat="1" ht="15">
      <c r="B437" s="1023" t="s">
        <v>470</v>
      </c>
      <c r="C437" s="1023"/>
      <c r="D437" s="1023"/>
      <c r="E437" s="1023"/>
      <c r="F437" s="1023"/>
      <c r="G437" s="1023"/>
      <c r="H437" s="1023"/>
    </row>
    <row r="438" spans="1:8" s="1" customFormat="1" ht="19.5">
      <c r="A438" s="237"/>
      <c r="B438" s="141"/>
      <c r="F438" s="40"/>
      <c r="G438" s="102"/>
      <c r="H438" s="141"/>
    </row>
    <row r="439" spans="1:8" s="1" customFormat="1" ht="15"/>
    <row r="440" spans="1:8" s="1" customFormat="1" ht="15"/>
    <row r="441" spans="1:8" s="1" customFormat="1" ht="15"/>
    <row r="442" spans="1:8" s="1" customFormat="1" ht="15"/>
    <row r="443" spans="1:8" s="1" customFormat="1" ht="16.5">
      <c r="A443" s="426" t="e">
        <f>#REF!+1</f>
        <v>#REF!</v>
      </c>
      <c r="B443" s="979"/>
      <c r="C443" s="957"/>
      <c r="D443" s="957"/>
      <c r="E443" s="957"/>
      <c r="F443" s="957"/>
      <c r="G443" s="957"/>
      <c r="H443" s="957"/>
    </row>
    <row r="444" spans="1:8" s="1" customFormat="1" ht="15">
      <c r="A444" s="12"/>
      <c r="B444" s="977" t="s">
        <v>2462</v>
      </c>
      <c r="C444" s="978"/>
      <c r="D444" s="978"/>
      <c r="E444" s="978"/>
      <c r="F444" s="978"/>
      <c r="G444" s="978"/>
      <c r="H444" s="978"/>
    </row>
    <row r="445" spans="1:8" s="1" customFormat="1" ht="15">
      <c r="A445" s="22"/>
      <c r="B445" s="979"/>
      <c r="C445" s="957"/>
      <c r="D445" s="957"/>
      <c r="E445" s="957"/>
      <c r="F445" s="957"/>
      <c r="G445" s="957"/>
      <c r="H445" s="957"/>
    </row>
    <row r="446" spans="1:8" s="1" customFormat="1" ht="15">
      <c r="A446" s="90"/>
      <c r="B446" s="204"/>
      <c r="C446" s="204"/>
      <c r="D446" s="204"/>
      <c r="E446" s="204"/>
      <c r="F446" s="204"/>
      <c r="G446" s="204"/>
      <c r="H446" s="204"/>
    </row>
    <row r="447" spans="1:8" s="1" customFormat="1" ht="15">
      <c r="B447" s="261" t="s">
        <v>1392</v>
      </c>
      <c r="C447" s="261"/>
      <c r="D447" s="261"/>
      <c r="E447" s="261"/>
      <c r="F447" s="261"/>
      <c r="G447" s="261"/>
      <c r="H447" s="261"/>
    </row>
    <row r="448" spans="1:8" s="1" customFormat="1" ht="63">
      <c r="B448" s="68" t="s">
        <v>2966</v>
      </c>
      <c r="C448" s="68" t="s">
        <v>2967</v>
      </c>
      <c r="D448" s="68" t="s">
        <v>2968</v>
      </c>
      <c r="E448" s="68" t="s">
        <v>2969</v>
      </c>
      <c r="F448" s="68" t="s">
        <v>2970</v>
      </c>
      <c r="G448" s="68" t="s">
        <v>2971</v>
      </c>
      <c r="H448" s="68" t="s">
        <v>1487</v>
      </c>
    </row>
    <row r="449" spans="1:8" s="1" customFormat="1" ht="63">
      <c r="B449" s="58" t="s">
        <v>2055</v>
      </c>
      <c r="C449" s="263" t="s">
        <v>2465</v>
      </c>
      <c r="D449" s="8"/>
      <c r="E449" s="8"/>
      <c r="F449" s="107"/>
      <c r="G449" s="107"/>
      <c r="H449" s="108"/>
    </row>
    <row r="450" spans="1:8" s="1" customFormat="1" ht="78.75">
      <c r="B450" s="81" t="s">
        <v>370</v>
      </c>
      <c r="C450" s="80" t="s">
        <v>1372</v>
      </c>
      <c r="D450" s="42">
        <v>1</v>
      </c>
      <c r="E450" s="53" t="s">
        <v>2807</v>
      </c>
      <c r="F450" s="116" t="e">
        <f>#REF!</f>
        <v>#REF!</v>
      </c>
      <c r="G450" s="109" t="e">
        <f>FLOOR(D450*F450,0.01)</f>
        <v>#REF!</v>
      </c>
      <c r="H450" s="9"/>
    </row>
    <row r="451" spans="1:8" s="1" customFormat="1" ht="17.25">
      <c r="B451" s="78"/>
      <c r="C451" s="78"/>
      <c r="D451" s="51"/>
      <c r="E451" s="56"/>
      <c r="F451" s="122"/>
      <c r="G451" s="122"/>
      <c r="H451" s="123" t="e">
        <f>SUM(G450)</f>
        <v>#REF!</v>
      </c>
    </row>
    <row r="452" spans="1:8" s="1" customFormat="1" ht="19.5">
      <c r="F452" s="40" t="s">
        <v>1491</v>
      </c>
      <c r="G452" s="102"/>
      <c r="H452" s="63" t="e">
        <f>SUM(H448:H451)</f>
        <v>#REF!</v>
      </c>
    </row>
    <row r="453" spans="1:8" s="1" customFormat="1" ht="19.5">
      <c r="B453" s="1" t="s">
        <v>372</v>
      </c>
      <c r="F453" s="40" t="s">
        <v>1471</v>
      </c>
      <c r="G453" s="102"/>
      <c r="H453" s="63" t="e">
        <f>FLOOR(H452*0.15,0.01)</f>
        <v>#REF!</v>
      </c>
    </row>
    <row r="454" spans="1:8" s="1" customFormat="1" ht="19.5">
      <c r="A454" s="27" t="s">
        <v>3005</v>
      </c>
      <c r="B454" s="99" t="e">
        <f>+H454</f>
        <v>#REF!</v>
      </c>
      <c r="C454" s="1" t="s">
        <v>3006</v>
      </c>
      <c r="F454" s="40" t="s">
        <v>1494</v>
      </c>
      <c r="G454" s="102"/>
      <c r="H454" s="99" t="e">
        <f>SUM(H452:H453)</f>
        <v>#REF!</v>
      </c>
    </row>
    <row r="455" spans="1:8" s="1" customFormat="1" ht="19.5">
      <c r="A455" s="237"/>
      <c r="B455" s="141"/>
      <c r="F455" s="40"/>
      <c r="G455" s="102"/>
      <c r="H455" s="141"/>
    </row>
    <row r="456" spans="1:8" s="1" customFormat="1" ht="15"/>
    <row r="457" spans="1:8" s="1" customFormat="1" ht="15"/>
    <row r="458" spans="1:8" s="1" customFormat="1" ht="15"/>
    <row r="459" spans="1:8" s="1" customFormat="1" ht="15"/>
    <row r="460" spans="1:8" s="1" customFormat="1" ht="16.5">
      <c r="A460" s="426" t="e">
        <f>A443+1</f>
        <v>#REF!</v>
      </c>
      <c r="B460" s="979"/>
      <c r="C460" s="957"/>
      <c r="D460" s="957"/>
      <c r="E460" s="957"/>
      <c r="F460" s="957"/>
      <c r="G460" s="957"/>
      <c r="H460" s="957"/>
    </row>
    <row r="461" spans="1:8" s="1" customFormat="1" ht="15">
      <c r="A461" s="12"/>
      <c r="B461" s="977" t="s">
        <v>2464</v>
      </c>
      <c r="C461" s="978"/>
      <c r="D461" s="978"/>
      <c r="E461" s="978"/>
      <c r="F461" s="978"/>
      <c r="G461" s="978"/>
      <c r="H461" s="978"/>
    </row>
    <row r="462" spans="1:8" s="1" customFormat="1" ht="15">
      <c r="A462" s="22"/>
      <c r="B462" s="979"/>
      <c r="C462" s="957"/>
      <c r="D462" s="957"/>
      <c r="E462" s="957"/>
      <c r="F462" s="957"/>
      <c r="G462" s="957"/>
      <c r="H462" s="957"/>
    </row>
    <row r="463" spans="1:8" s="1" customFormat="1" ht="15">
      <c r="A463" s="90"/>
      <c r="B463" s="204"/>
      <c r="C463" s="204"/>
      <c r="D463" s="204"/>
      <c r="E463" s="204"/>
      <c r="F463" s="204"/>
      <c r="G463" s="204"/>
      <c r="H463" s="204"/>
    </row>
    <row r="464" spans="1:8" s="1" customFormat="1" ht="15">
      <c r="B464" s="261" t="s">
        <v>1392</v>
      </c>
      <c r="C464" s="261"/>
      <c r="D464" s="261"/>
      <c r="E464" s="261"/>
      <c r="F464" s="261"/>
      <c r="G464" s="261"/>
      <c r="H464" s="261"/>
    </row>
    <row r="465" spans="1:8" s="1" customFormat="1" ht="63">
      <c r="B465" s="68" t="s">
        <v>2966</v>
      </c>
      <c r="C465" s="68" t="s">
        <v>2967</v>
      </c>
      <c r="D465" s="68" t="s">
        <v>2968</v>
      </c>
      <c r="E465" s="68" t="s">
        <v>2969</v>
      </c>
      <c r="F465" s="68" t="s">
        <v>2970</v>
      </c>
      <c r="G465" s="68" t="s">
        <v>2971</v>
      </c>
      <c r="H465" s="68" t="s">
        <v>1487</v>
      </c>
    </row>
    <row r="466" spans="1:8" s="1" customFormat="1" ht="63">
      <c r="B466" s="58" t="s">
        <v>2055</v>
      </c>
      <c r="C466" s="263" t="s">
        <v>2463</v>
      </c>
      <c r="D466" s="8"/>
      <c r="E466" s="8"/>
      <c r="F466" s="107"/>
      <c r="G466" s="107"/>
      <c r="H466" s="108"/>
    </row>
    <row r="467" spans="1:8" s="1" customFormat="1" ht="78.75">
      <c r="B467" s="81" t="s">
        <v>370</v>
      </c>
      <c r="C467" s="80" t="s">
        <v>1372</v>
      </c>
      <c r="D467" s="42">
        <v>1</v>
      </c>
      <c r="E467" s="53" t="s">
        <v>2807</v>
      </c>
      <c r="F467" s="116" t="e">
        <f>#REF!</f>
        <v>#REF!</v>
      </c>
      <c r="G467" s="109" t="e">
        <f>FLOOR(D467*F467,0.01)</f>
        <v>#REF!</v>
      </c>
      <c r="H467" s="9"/>
    </row>
    <row r="468" spans="1:8" s="1" customFormat="1" ht="17.25">
      <c r="B468" s="78"/>
      <c r="C468" s="78"/>
      <c r="D468" s="51"/>
      <c r="E468" s="56"/>
      <c r="F468" s="122"/>
      <c r="G468" s="122"/>
      <c r="H468" s="123" t="e">
        <f>SUM(G467)</f>
        <v>#REF!</v>
      </c>
    </row>
    <row r="469" spans="1:8" s="1" customFormat="1" ht="19.5">
      <c r="F469" s="40" t="s">
        <v>1491</v>
      </c>
      <c r="G469" s="102"/>
      <c r="H469" s="63" t="e">
        <f>SUM(H465:H468)</f>
        <v>#REF!</v>
      </c>
    </row>
    <row r="470" spans="1:8" s="1" customFormat="1" ht="19.5">
      <c r="B470" s="1" t="s">
        <v>372</v>
      </c>
      <c r="F470" s="40" t="s">
        <v>1471</v>
      </c>
      <c r="G470" s="102"/>
      <c r="H470" s="63" t="e">
        <f>FLOOR(H469*0.15,0.01)</f>
        <v>#REF!</v>
      </c>
    </row>
    <row r="471" spans="1:8" s="1" customFormat="1" ht="19.5">
      <c r="A471" s="27" t="s">
        <v>3005</v>
      </c>
      <c r="B471" s="99" t="e">
        <f>+H471</f>
        <v>#REF!</v>
      </c>
      <c r="C471" s="1" t="s">
        <v>3006</v>
      </c>
      <c r="F471" s="40" t="s">
        <v>1494</v>
      </c>
      <c r="G471" s="102"/>
      <c r="H471" s="99" t="e">
        <f>SUM(H469:H470)</f>
        <v>#REF!</v>
      </c>
    </row>
    <row r="472" spans="1:8" s="1" customFormat="1" ht="19.5">
      <c r="A472" s="237"/>
      <c r="B472" s="141"/>
      <c r="F472" s="40"/>
      <c r="G472" s="102"/>
      <c r="H472" s="141"/>
    </row>
    <row r="473" spans="1:8" s="1" customFormat="1" ht="15"/>
    <row r="474" spans="1:8" s="1" customFormat="1" ht="15"/>
    <row r="475" spans="1:8" s="1" customFormat="1" ht="15"/>
    <row r="476" spans="1:8" s="1" customFormat="1" ht="15"/>
    <row r="477" spans="1:8" s="1" customFormat="1" ht="15"/>
    <row r="478" spans="1:8" s="1" customFormat="1" ht="15"/>
    <row r="479" spans="1:8" s="1" customFormat="1" ht="15"/>
    <row r="480" spans="1:8" s="1" customFormat="1" ht="15"/>
    <row r="481" spans="1:8" s="1" customFormat="1" ht="15"/>
    <row r="482" spans="1:8" s="1" customFormat="1" ht="15"/>
    <row r="483" spans="1:8" s="1" customFormat="1" ht="15"/>
    <row r="484" spans="1:8" s="1" customFormat="1" ht="15"/>
    <row r="485" spans="1:8" s="1" customFormat="1" ht="15"/>
    <row r="486" spans="1:8" s="1" customFormat="1" ht="15"/>
    <row r="487" spans="1:8" s="1" customFormat="1" ht="15"/>
    <row r="488" spans="1:8" s="1" customFormat="1" ht="15"/>
    <row r="489" spans="1:8" s="1" customFormat="1" ht="15"/>
    <row r="490" spans="1:8" s="1" customFormat="1" ht="15"/>
    <row r="491" spans="1:8" s="1" customFormat="1" ht="15"/>
    <row r="492" spans="1:8" s="1" customFormat="1" ht="16.5">
      <c r="A492" s="426" t="e">
        <f>A460+1</f>
        <v>#REF!</v>
      </c>
      <c r="B492" s="979"/>
      <c r="C492" s="957"/>
      <c r="D492" s="957"/>
      <c r="E492" s="957"/>
      <c r="F492" s="957"/>
      <c r="G492" s="957"/>
      <c r="H492" s="957"/>
    </row>
    <row r="493" spans="1:8" s="1" customFormat="1" ht="15">
      <c r="A493" s="12"/>
      <c r="B493" s="977" t="s">
        <v>2466</v>
      </c>
      <c r="C493" s="978"/>
      <c r="D493" s="978"/>
      <c r="E493" s="978"/>
      <c r="F493" s="978"/>
      <c r="G493" s="978"/>
      <c r="H493" s="978"/>
    </row>
    <row r="494" spans="1:8" s="1" customFormat="1" ht="15">
      <c r="A494" s="22"/>
      <c r="B494" s="979"/>
      <c r="C494" s="957"/>
      <c r="D494" s="957"/>
      <c r="E494" s="957"/>
      <c r="F494" s="957"/>
      <c r="G494" s="957"/>
      <c r="H494" s="957"/>
    </row>
    <row r="495" spans="1:8" s="1" customFormat="1" ht="15">
      <c r="A495" s="90"/>
      <c r="B495" s="204"/>
      <c r="C495" s="204"/>
      <c r="D495" s="204"/>
      <c r="E495" s="204"/>
      <c r="F495" s="204"/>
      <c r="G495" s="204"/>
      <c r="H495" s="204"/>
    </row>
    <row r="496" spans="1:8" s="1" customFormat="1" ht="15">
      <c r="B496" s="261" t="s">
        <v>1392</v>
      </c>
      <c r="C496" s="261"/>
      <c r="D496" s="261"/>
      <c r="E496" s="261"/>
      <c r="F496" s="261"/>
      <c r="G496" s="261"/>
      <c r="H496" s="261"/>
    </row>
    <row r="497" spans="1:8" s="1" customFormat="1" ht="63">
      <c r="B497" s="68" t="s">
        <v>2966</v>
      </c>
      <c r="C497" s="68" t="s">
        <v>2967</v>
      </c>
      <c r="D497" s="68" t="s">
        <v>2968</v>
      </c>
      <c r="E497" s="68" t="s">
        <v>2969</v>
      </c>
      <c r="F497" s="68" t="s">
        <v>2970</v>
      </c>
      <c r="G497" s="68" t="s">
        <v>2971</v>
      </c>
      <c r="H497" s="68" t="s">
        <v>1487</v>
      </c>
    </row>
    <row r="498" spans="1:8" s="1" customFormat="1" ht="63">
      <c r="B498" s="58" t="s">
        <v>2055</v>
      </c>
      <c r="C498" s="263" t="s">
        <v>2467</v>
      </c>
      <c r="D498" s="8"/>
      <c r="E498" s="8"/>
      <c r="F498" s="107"/>
      <c r="G498" s="107"/>
      <c r="H498" s="108"/>
    </row>
    <row r="499" spans="1:8" s="1" customFormat="1" ht="78.75">
      <c r="B499" s="81" t="s">
        <v>370</v>
      </c>
      <c r="C499" s="80" t="s">
        <v>1372</v>
      </c>
      <c r="D499" s="42">
        <v>1</v>
      </c>
      <c r="E499" s="53" t="s">
        <v>2807</v>
      </c>
      <c r="F499" s="116" t="e">
        <f>#REF!</f>
        <v>#REF!</v>
      </c>
      <c r="G499" s="109" t="e">
        <f>FLOOR(D499*F499,0.01)</f>
        <v>#REF!</v>
      </c>
      <c r="H499" s="9"/>
    </row>
    <row r="500" spans="1:8" s="1" customFormat="1" ht="17.25">
      <c r="B500" s="78"/>
      <c r="C500" s="78"/>
      <c r="D500" s="51"/>
      <c r="E500" s="56"/>
      <c r="F500" s="122"/>
      <c r="G500" s="122"/>
      <c r="H500" s="123" t="e">
        <f>SUM(G499)</f>
        <v>#REF!</v>
      </c>
    </row>
    <row r="501" spans="1:8" s="1" customFormat="1" ht="19.5">
      <c r="F501" s="40" t="s">
        <v>1491</v>
      </c>
      <c r="G501" s="102"/>
      <c r="H501" s="63" t="e">
        <f>SUM(H497:H500)</f>
        <v>#REF!</v>
      </c>
    </row>
    <row r="502" spans="1:8" s="1" customFormat="1" ht="19.5">
      <c r="B502" s="1" t="s">
        <v>372</v>
      </c>
      <c r="F502" s="40" t="s">
        <v>1471</v>
      </c>
      <c r="G502" s="102"/>
      <c r="H502" s="63" t="e">
        <f>FLOOR(H501*0.15,0.01)</f>
        <v>#REF!</v>
      </c>
    </row>
    <row r="503" spans="1:8" s="1" customFormat="1" ht="19.5">
      <c r="A503" s="27" t="s">
        <v>3005</v>
      </c>
      <c r="B503" s="99" t="e">
        <f>+H503</f>
        <v>#REF!</v>
      </c>
      <c r="C503" s="1" t="s">
        <v>3006</v>
      </c>
      <c r="F503" s="40" t="s">
        <v>1494</v>
      </c>
      <c r="G503" s="102"/>
      <c r="H503" s="99" t="e">
        <f>SUM(H501:H502)</f>
        <v>#REF!</v>
      </c>
    </row>
    <row r="504" spans="1:8" s="1" customFormat="1" ht="19.5">
      <c r="A504" s="237"/>
      <c r="B504" s="141"/>
      <c r="F504" s="40"/>
      <c r="G504" s="102"/>
      <c r="H504" s="141"/>
    </row>
    <row r="505" spans="1:8" s="1" customFormat="1" ht="15"/>
    <row r="506" spans="1:8" s="1" customFormat="1" ht="15"/>
    <row r="507" spans="1:8" s="1" customFormat="1" ht="15"/>
    <row r="508" spans="1:8" s="1" customFormat="1" ht="15"/>
    <row r="509" spans="1:8" s="1" customFormat="1" ht="16.5">
      <c r="A509" s="426" t="e">
        <f>A492+1</f>
        <v>#REF!</v>
      </c>
      <c r="B509" s="979"/>
      <c r="C509" s="957"/>
      <c r="D509" s="957"/>
      <c r="E509" s="957"/>
      <c r="F509" s="957"/>
      <c r="G509" s="957"/>
      <c r="H509" s="957"/>
    </row>
    <row r="510" spans="1:8" s="1" customFormat="1" ht="15">
      <c r="A510" s="12"/>
      <c r="B510" s="977" t="s">
        <v>2468</v>
      </c>
      <c r="C510" s="978"/>
      <c r="D510" s="978"/>
      <c r="E510" s="978"/>
      <c r="F510" s="978"/>
      <c r="G510" s="978"/>
      <c r="H510" s="978"/>
    </row>
    <row r="511" spans="1:8" s="1" customFormat="1" ht="15">
      <c r="A511" s="22"/>
      <c r="B511" s="979"/>
      <c r="C511" s="957"/>
      <c r="D511" s="957"/>
      <c r="E511" s="957"/>
      <c r="F511" s="957"/>
      <c r="G511" s="957"/>
      <c r="H511" s="957"/>
    </row>
    <row r="512" spans="1:8" s="1" customFormat="1" ht="15">
      <c r="A512" s="90"/>
      <c r="B512" s="204"/>
      <c r="C512" s="204"/>
      <c r="D512" s="204"/>
      <c r="E512" s="204"/>
      <c r="F512" s="204"/>
      <c r="G512" s="204"/>
      <c r="H512" s="204"/>
    </row>
    <row r="513" spans="1:8" s="1" customFormat="1" ht="15">
      <c r="B513" s="261" t="s">
        <v>1392</v>
      </c>
      <c r="C513" s="261"/>
      <c r="D513" s="261"/>
      <c r="E513" s="261"/>
      <c r="F513" s="261"/>
      <c r="G513" s="261"/>
      <c r="H513" s="261"/>
    </row>
    <row r="514" spans="1:8" s="1" customFormat="1" ht="63">
      <c r="B514" s="68" t="s">
        <v>2966</v>
      </c>
      <c r="C514" s="68" t="s">
        <v>2967</v>
      </c>
      <c r="D514" s="68" t="s">
        <v>2968</v>
      </c>
      <c r="E514" s="68" t="s">
        <v>2969</v>
      </c>
      <c r="F514" s="68" t="s">
        <v>2970</v>
      </c>
      <c r="G514" s="68" t="s">
        <v>2971</v>
      </c>
      <c r="H514" s="68" t="s">
        <v>1487</v>
      </c>
    </row>
    <row r="515" spans="1:8" s="1" customFormat="1" ht="63">
      <c r="B515" s="58" t="s">
        <v>2055</v>
      </c>
      <c r="C515" s="263" t="s">
        <v>2256</v>
      </c>
      <c r="D515" s="8"/>
      <c r="E515" s="8"/>
      <c r="F515" s="107"/>
      <c r="G515" s="107"/>
      <c r="H515" s="108"/>
    </row>
    <row r="516" spans="1:8" s="1" customFormat="1" ht="78.75">
      <c r="B516" s="81" t="s">
        <v>370</v>
      </c>
      <c r="C516" s="80" t="s">
        <v>1372</v>
      </c>
      <c r="D516" s="42">
        <v>1</v>
      </c>
      <c r="E516" s="53" t="s">
        <v>2807</v>
      </c>
      <c r="F516" s="116" t="e">
        <f>#REF!</f>
        <v>#REF!</v>
      </c>
      <c r="G516" s="109" t="e">
        <f>FLOOR(D516*F516,0.01)</f>
        <v>#REF!</v>
      </c>
      <c r="H516" s="9"/>
    </row>
    <row r="517" spans="1:8" s="1" customFormat="1" ht="17.25">
      <c r="B517" s="78"/>
      <c r="C517" s="78"/>
      <c r="D517" s="51"/>
      <c r="E517" s="56"/>
      <c r="F517" s="122"/>
      <c r="G517" s="122"/>
      <c r="H517" s="123" t="e">
        <f>SUM(G516)</f>
        <v>#REF!</v>
      </c>
    </row>
    <row r="518" spans="1:8" s="1" customFormat="1" ht="19.5">
      <c r="F518" s="40" t="s">
        <v>1491</v>
      </c>
      <c r="G518" s="102"/>
      <c r="H518" s="63" t="e">
        <f>SUM(H514:H517)</f>
        <v>#REF!</v>
      </c>
    </row>
    <row r="519" spans="1:8" s="1" customFormat="1" ht="19.5">
      <c r="B519" s="1" t="s">
        <v>372</v>
      </c>
      <c r="F519" s="40" t="s">
        <v>1471</v>
      </c>
      <c r="G519" s="102"/>
      <c r="H519" s="63" t="e">
        <f>FLOOR(H518*0.15,0.01)</f>
        <v>#REF!</v>
      </c>
    </row>
    <row r="520" spans="1:8" s="1" customFormat="1" ht="19.5">
      <c r="A520" s="27" t="s">
        <v>3005</v>
      </c>
      <c r="B520" s="99" t="e">
        <f>+H520</f>
        <v>#REF!</v>
      </c>
      <c r="C520" s="1" t="s">
        <v>3006</v>
      </c>
      <c r="F520" s="40" t="s">
        <v>1494</v>
      </c>
      <c r="G520" s="102"/>
      <c r="H520" s="99" t="e">
        <f>SUM(H518:H519)</f>
        <v>#REF!</v>
      </c>
    </row>
    <row r="521" spans="1:8" s="1" customFormat="1" ht="19.5">
      <c r="A521" s="237"/>
      <c r="B521" s="141"/>
      <c r="F521" s="40"/>
      <c r="G521" s="102"/>
      <c r="H521" s="141"/>
    </row>
    <row r="522" spans="1:8" s="1" customFormat="1" ht="15"/>
    <row r="523" spans="1:8" s="1" customFormat="1" ht="15"/>
    <row r="524" spans="1:8" s="1" customFormat="1" ht="15"/>
    <row r="525" spans="1:8" s="1" customFormat="1" ht="15"/>
    <row r="526" spans="1:8" s="1" customFormat="1" ht="15"/>
    <row r="527" spans="1:8" s="1" customFormat="1" ht="15"/>
    <row r="528" spans="1:8" s="1" customFormat="1" ht="15"/>
    <row r="529" spans="1:8" s="1" customFormat="1" ht="15"/>
    <row r="530" spans="1:8" s="1" customFormat="1" ht="15"/>
    <row r="531" spans="1:8" s="1" customFormat="1" ht="15"/>
    <row r="532" spans="1:8" s="1" customFormat="1" ht="15"/>
    <row r="533" spans="1:8" s="1" customFormat="1" ht="15"/>
    <row r="534" spans="1:8" s="1" customFormat="1" ht="15"/>
    <row r="535" spans="1:8" s="1" customFormat="1" ht="15"/>
    <row r="536" spans="1:8" s="1" customFormat="1" ht="15"/>
    <row r="537" spans="1:8" s="1" customFormat="1" ht="15"/>
    <row r="538" spans="1:8" s="1" customFormat="1" ht="15"/>
    <row r="539" spans="1:8" s="1" customFormat="1" ht="15"/>
    <row r="540" spans="1:8" s="1" customFormat="1" ht="15"/>
    <row r="541" spans="1:8" s="1" customFormat="1" ht="16.5">
      <c r="A541" s="426" t="e">
        <f>A509+1</f>
        <v>#REF!</v>
      </c>
      <c r="B541" s="979"/>
      <c r="C541" s="957"/>
      <c r="D541" s="957"/>
      <c r="E541" s="957"/>
      <c r="F541" s="957"/>
      <c r="G541" s="957"/>
      <c r="H541" s="957"/>
    </row>
    <row r="542" spans="1:8" s="1" customFormat="1" ht="15">
      <c r="A542" s="12"/>
      <c r="B542" s="977" t="s">
        <v>2257</v>
      </c>
      <c r="C542" s="978"/>
      <c r="D542" s="978"/>
      <c r="E542" s="978"/>
      <c r="F542" s="978"/>
      <c r="G542" s="978"/>
      <c r="H542" s="978"/>
    </row>
    <row r="543" spans="1:8" s="1" customFormat="1" ht="15">
      <c r="A543" s="22"/>
      <c r="B543" s="979"/>
      <c r="C543" s="957"/>
      <c r="D543" s="957"/>
      <c r="E543" s="957"/>
      <c r="F543" s="957"/>
      <c r="G543" s="957"/>
      <c r="H543" s="957"/>
    </row>
    <row r="544" spans="1:8" s="1" customFormat="1" ht="15">
      <c r="A544" s="90"/>
      <c r="B544" s="204"/>
      <c r="C544" s="204"/>
      <c r="D544" s="204"/>
      <c r="E544" s="204"/>
      <c r="F544" s="204"/>
      <c r="G544" s="204"/>
      <c r="H544" s="204"/>
    </row>
    <row r="545" spans="1:8" s="1" customFormat="1" ht="15">
      <c r="B545" s="261" t="s">
        <v>1392</v>
      </c>
      <c r="C545" s="261"/>
      <c r="D545" s="261"/>
      <c r="E545" s="261"/>
      <c r="F545" s="261"/>
      <c r="G545" s="261"/>
      <c r="H545" s="261"/>
    </row>
    <row r="546" spans="1:8" s="1" customFormat="1" ht="63">
      <c r="B546" s="68" t="s">
        <v>2966</v>
      </c>
      <c r="C546" s="68" t="s">
        <v>2967</v>
      </c>
      <c r="D546" s="68" t="s">
        <v>2968</v>
      </c>
      <c r="E546" s="68" t="s">
        <v>2969</v>
      </c>
      <c r="F546" s="68" t="s">
        <v>2970</v>
      </c>
      <c r="G546" s="68" t="s">
        <v>2971</v>
      </c>
      <c r="H546" s="68" t="s">
        <v>1487</v>
      </c>
    </row>
    <row r="547" spans="1:8" s="1" customFormat="1" ht="63">
      <c r="B547" s="58" t="s">
        <v>2055</v>
      </c>
      <c r="C547" s="263" t="s">
        <v>2258</v>
      </c>
      <c r="D547" s="8"/>
      <c r="E547" s="8"/>
      <c r="F547" s="107"/>
      <c r="G547" s="107"/>
      <c r="H547" s="108"/>
    </row>
    <row r="548" spans="1:8" s="1" customFormat="1" ht="78.75">
      <c r="B548" s="81" t="s">
        <v>370</v>
      </c>
      <c r="C548" s="80" t="s">
        <v>1372</v>
      </c>
      <c r="D548" s="42">
        <v>1</v>
      </c>
      <c r="E548" s="53" t="s">
        <v>2807</v>
      </c>
      <c r="F548" s="116" t="e">
        <f>#REF!</f>
        <v>#REF!</v>
      </c>
      <c r="G548" s="109" t="e">
        <f>FLOOR(D548*F548,0.01)</f>
        <v>#REF!</v>
      </c>
      <c r="H548" s="9"/>
    </row>
    <row r="549" spans="1:8" s="1" customFormat="1" ht="17.25">
      <c r="B549" s="78"/>
      <c r="C549" s="78"/>
      <c r="D549" s="51"/>
      <c r="E549" s="56"/>
      <c r="F549" s="122"/>
      <c r="G549" s="122"/>
      <c r="H549" s="123" t="e">
        <f>SUM(G548)</f>
        <v>#REF!</v>
      </c>
    </row>
    <row r="550" spans="1:8" s="1" customFormat="1" ht="19.5">
      <c r="F550" s="40" t="s">
        <v>1491</v>
      </c>
      <c r="G550" s="102"/>
      <c r="H550" s="63" t="e">
        <f>SUM(H546:H549)</f>
        <v>#REF!</v>
      </c>
    </row>
    <row r="551" spans="1:8" s="1" customFormat="1" ht="19.5">
      <c r="B551" s="1" t="s">
        <v>372</v>
      </c>
      <c r="F551" s="40" t="s">
        <v>1471</v>
      </c>
      <c r="G551" s="102"/>
      <c r="H551" s="63" t="e">
        <f>FLOOR(H550*0.15,0.01)</f>
        <v>#REF!</v>
      </c>
    </row>
    <row r="552" spans="1:8" s="1" customFormat="1" ht="19.5">
      <c r="A552" s="27" t="s">
        <v>3005</v>
      </c>
      <c r="B552" s="99" t="e">
        <f>+H552</f>
        <v>#REF!</v>
      </c>
      <c r="C552" s="1" t="s">
        <v>3006</v>
      </c>
      <c r="F552" s="40" t="s">
        <v>1494</v>
      </c>
      <c r="G552" s="102"/>
      <c r="H552" s="99" t="e">
        <f>SUM(H550:H551)</f>
        <v>#REF!</v>
      </c>
    </row>
    <row r="553" spans="1:8" s="1" customFormat="1" ht="19.5">
      <c r="A553" s="237"/>
      <c r="B553" s="141"/>
      <c r="F553" s="40"/>
      <c r="G553" s="102"/>
      <c r="H553" s="141"/>
    </row>
    <row r="554" spans="1:8" s="1" customFormat="1" ht="15"/>
    <row r="555" spans="1:8" s="1" customFormat="1" ht="15"/>
    <row r="556" spans="1:8" s="1" customFormat="1" ht="15"/>
    <row r="557" spans="1:8" s="1" customFormat="1" ht="15"/>
    <row r="558" spans="1:8" s="1" customFormat="1" ht="16.5">
      <c r="A558" s="426" t="e">
        <f>A541+1</f>
        <v>#REF!</v>
      </c>
      <c r="B558" s="979"/>
      <c r="C558" s="957"/>
      <c r="D558" s="957"/>
      <c r="E558" s="957"/>
      <c r="F558" s="957"/>
      <c r="G558" s="957"/>
      <c r="H558" s="957"/>
    </row>
    <row r="559" spans="1:8" s="1" customFormat="1" ht="15">
      <c r="A559" s="12"/>
      <c r="B559" s="977" t="s">
        <v>2259</v>
      </c>
      <c r="C559" s="978"/>
      <c r="D559" s="978"/>
      <c r="E559" s="978"/>
      <c r="F559" s="978"/>
      <c r="G559" s="978"/>
      <c r="H559" s="978"/>
    </row>
    <row r="560" spans="1:8" s="1" customFormat="1" ht="15">
      <c r="A560" s="22"/>
      <c r="B560" s="979"/>
      <c r="C560" s="957"/>
      <c r="D560" s="957"/>
      <c r="E560" s="957"/>
      <c r="F560" s="957"/>
      <c r="G560" s="957"/>
      <c r="H560" s="957"/>
    </row>
    <row r="561" spans="1:8" s="1" customFormat="1" ht="15">
      <c r="A561" s="90"/>
      <c r="B561" s="204"/>
      <c r="C561" s="204"/>
      <c r="D561" s="204"/>
      <c r="E561" s="204"/>
      <c r="F561" s="204"/>
      <c r="G561" s="204"/>
      <c r="H561" s="204"/>
    </row>
    <row r="562" spans="1:8" s="1" customFormat="1" ht="15">
      <c r="B562" s="261" t="s">
        <v>1392</v>
      </c>
      <c r="C562" s="261"/>
      <c r="D562" s="261"/>
      <c r="E562" s="261"/>
      <c r="F562" s="261"/>
      <c r="G562" s="261"/>
      <c r="H562" s="261"/>
    </row>
    <row r="563" spans="1:8" s="1" customFormat="1" ht="63">
      <c r="B563" s="68" t="s">
        <v>2966</v>
      </c>
      <c r="C563" s="68" t="s">
        <v>2967</v>
      </c>
      <c r="D563" s="68" t="s">
        <v>2968</v>
      </c>
      <c r="E563" s="68" t="s">
        <v>2969</v>
      </c>
      <c r="F563" s="68" t="s">
        <v>2970</v>
      </c>
      <c r="G563" s="68" t="s">
        <v>2971</v>
      </c>
      <c r="H563" s="68" t="s">
        <v>1487</v>
      </c>
    </row>
    <row r="564" spans="1:8" s="1" customFormat="1" ht="63">
      <c r="B564" s="58" t="s">
        <v>2055</v>
      </c>
      <c r="C564" s="263" t="s">
        <v>2260</v>
      </c>
      <c r="D564" s="8"/>
      <c r="E564" s="8"/>
      <c r="F564" s="107"/>
      <c r="G564" s="107"/>
      <c r="H564" s="108"/>
    </row>
    <row r="565" spans="1:8" s="1" customFormat="1" ht="78.75">
      <c r="B565" s="81" t="s">
        <v>370</v>
      </c>
      <c r="C565" s="80" t="s">
        <v>1372</v>
      </c>
      <c r="D565" s="42">
        <v>1</v>
      </c>
      <c r="E565" s="53" t="s">
        <v>2807</v>
      </c>
      <c r="F565" s="116" t="e">
        <f>#REF!</f>
        <v>#REF!</v>
      </c>
      <c r="G565" s="109" t="e">
        <f>FLOOR(D565*F565,0.01)</f>
        <v>#REF!</v>
      </c>
      <c r="H565" s="9"/>
    </row>
    <row r="566" spans="1:8" s="1" customFormat="1" ht="17.25">
      <c r="B566" s="78"/>
      <c r="C566" s="78"/>
      <c r="D566" s="51"/>
      <c r="E566" s="56"/>
      <c r="F566" s="122"/>
      <c r="G566" s="122"/>
      <c r="H566" s="123" t="e">
        <f>SUM(G565)</f>
        <v>#REF!</v>
      </c>
    </row>
    <row r="567" spans="1:8" s="1" customFormat="1" ht="19.5">
      <c r="F567" s="40" t="s">
        <v>1491</v>
      </c>
      <c r="G567" s="102"/>
      <c r="H567" s="63" t="e">
        <f>SUM(H563:H566)</f>
        <v>#REF!</v>
      </c>
    </row>
    <row r="568" spans="1:8" s="1" customFormat="1" ht="19.5">
      <c r="B568" s="1" t="s">
        <v>372</v>
      </c>
      <c r="F568" s="40" t="s">
        <v>1471</v>
      </c>
      <c r="G568" s="102"/>
      <c r="H568" s="63" t="e">
        <f>FLOOR(H567*0.15,0.01)</f>
        <v>#REF!</v>
      </c>
    </row>
    <row r="569" spans="1:8" s="1" customFormat="1" ht="19.5">
      <c r="A569" s="27" t="s">
        <v>3005</v>
      </c>
      <c r="B569" s="99" t="e">
        <f>+H569</f>
        <v>#REF!</v>
      </c>
      <c r="C569" s="1" t="s">
        <v>3006</v>
      </c>
      <c r="F569" s="40" t="s">
        <v>1494</v>
      </c>
      <c r="G569" s="102"/>
      <c r="H569" s="99" t="e">
        <f>SUM(H567:H568)</f>
        <v>#REF!</v>
      </c>
    </row>
    <row r="570" spans="1:8" s="1" customFormat="1" ht="19.5">
      <c r="A570" s="237"/>
      <c r="B570" s="141"/>
      <c r="F570" s="40"/>
      <c r="G570" s="102"/>
      <c r="H570" s="141"/>
    </row>
    <row r="571" spans="1:8" s="1" customFormat="1" ht="19.5">
      <c r="A571" s="27"/>
      <c r="B571" s="141"/>
      <c r="F571" s="40"/>
      <c r="G571" s="102"/>
      <c r="H571" s="141"/>
    </row>
    <row r="572" spans="1:8" s="1" customFormat="1" ht="19.5">
      <c r="A572" s="27"/>
      <c r="B572" s="141"/>
      <c r="F572" s="40"/>
      <c r="G572" s="102"/>
      <c r="H572" s="141"/>
    </row>
    <row r="573" spans="1:8" s="1" customFormat="1" ht="15" customHeight="1">
      <c r="A573" s="138" t="e">
        <f>#REF!+1</f>
        <v>#REF!</v>
      </c>
      <c r="B573" s="979"/>
      <c r="C573" s="957"/>
      <c r="D573" s="957"/>
      <c r="E573" s="957"/>
      <c r="F573" s="957"/>
      <c r="G573" s="957"/>
      <c r="H573" s="957"/>
    </row>
    <row r="574" spans="1:8" s="1" customFormat="1" ht="45.75" customHeight="1">
      <c r="A574" s="15"/>
      <c r="B574" s="977" t="s">
        <v>3175</v>
      </c>
      <c r="C574" s="978"/>
      <c r="D574" s="978"/>
      <c r="E574" s="978"/>
      <c r="F574" s="978"/>
      <c r="G574" s="978"/>
      <c r="H574" s="978"/>
    </row>
    <row r="575" spans="1:8" s="1" customFormat="1" ht="15.95" customHeight="1">
      <c r="A575" s="589"/>
      <c r="B575" s="957"/>
      <c r="C575" s="957"/>
      <c r="D575" s="957"/>
      <c r="E575" s="957"/>
      <c r="F575" s="957"/>
      <c r="G575" s="957"/>
      <c r="H575" s="957"/>
    </row>
    <row r="576" spans="1:8" s="1" customFormat="1" ht="15.95" customHeight="1">
      <c r="B576" s="885" t="s">
        <v>1392</v>
      </c>
      <c r="C576" s="885"/>
      <c r="D576" s="885"/>
      <c r="E576" s="885"/>
      <c r="F576" s="885"/>
      <c r="G576" s="885"/>
      <c r="H576" s="885"/>
    </row>
    <row r="577" spans="1:8" s="1" customFormat="1" ht="63">
      <c r="B577" s="68" t="s">
        <v>2966</v>
      </c>
      <c r="C577" s="68" t="s">
        <v>2967</v>
      </c>
      <c r="D577" s="68" t="s">
        <v>2968</v>
      </c>
      <c r="E577" s="68" t="s">
        <v>2969</v>
      </c>
      <c r="F577" s="68" t="s">
        <v>2970</v>
      </c>
      <c r="G577" s="68" t="s">
        <v>2971</v>
      </c>
      <c r="H577" s="68" t="s">
        <v>1487</v>
      </c>
    </row>
    <row r="578" spans="1:8" s="1" customFormat="1" ht="18" customHeight="1">
      <c r="B578" s="58" t="s">
        <v>2055</v>
      </c>
      <c r="C578" s="263" t="s">
        <v>378</v>
      </c>
      <c r="D578" s="8"/>
      <c r="E578" s="8"/>
      <c r="F578" s="107"/>
      <c r="G578" s="107"/>
      <c r="H578" s="108"/>
    </row>
    <row r="579" spans="1:8" s="1" customFormat="1" ht="78.75">
      <c r="B579" s="81" t="s">
        <v>370</v>
      </c>
      <c r="C579" s="80" t="s">
        <v>1372</v>
      </c>
      <c r="D579" s="42">
        <v>1</v>
      </c>
      <c r="E579" s="53" t="s">
        <v>2807</v>
      </c>
      <c r="F579" s="116" t="e">
        <f>#REF!</f>
        <v>#REF!</v>
      </c>
      <c r="G579" s="109" t="e">
        <f>FLOOR(D579*F579,0.01)</f>
        <v>#REF!</v>
      </c>
      <c r="H579" s="9"/>
    </row>
    <row r="580" spans="1:8" s="1" customFormat="1" ht="17.25">
      <c r="B580" s="78"/>
      <c r="C580" s="78"/>
      <c r="D580" s="51"/>
      <c r="E580" s="56"/>
      <c r="F580" s="122"/>
      <c r="G580" s="122"/>
      <c r="H580" s="123" t="e">
        <f>SUM(G579)</f>
        <v>#REF!</v>
      </c>
    </row>
    <row r="581" spans="1:8" s="1" customFormat="1" ht="19.5">
      <c r="F581" s="40" t="s">
        <v>1491</v>
      </c>
      <c r="G581" s="102"/>
      <c r="H581" s="63" t="e">
        <f>SUM(H577:H580)</f>
        <v>#REF!</v>
      </c>
    </row>
    <row r="582" spans="1:8" s="1" customFormat="1" ht="19.5">
      <c r="B582" s="1" t="s">
        <v>372</v>
      </c>
      <c r="F582" s="40" t="s">
        <v>1471</v>
      </c>
      <c r="G582" s="102"/>
      <c r="H582" s="63" t="e">
        <f>FLOOR(H581*0.15,0.01)</f>
        <v>#REF!</v>
      </c>
    </row>
    <row r="583" spans="1:8" s="1" customFormat="1" ht="18" customHeight="1">
      <c r="A583" s="27" t="s">
        <v>3005</v>
      </c>
      <c r="B583" s="99" t="e">
        <f>+H583</f>
        <v>#REF!</v>
      </c>
      <c r="C583" s="1" t="s">
        <v>3006</v>
      </c>
      <c r="F583" s="40" t="s">
        <v>1494</v>
      </c>
      <c r="G583" s="102"/>
      <c r="H583" s="99" t="e">
        <f>SUM(H581:H582)</f>
        <v>#REF!</v>
      </c>
    </row>
    <row r="584" spans="1:8" s="1" customFormat="1" ht="18" customHeight="1">
      <c r="A584" s="27"/>
      <c r="B584" s="141"/>
      <c r="F584" s="40"/>
      <c r="G584" s="102"/>
      <c r="H584" s="141"/>
    </row>
    <row r="585" spans="1:8" s="1" customFormat="1" ht="18" customHeight="1">
      <c r="A585" s="27"/>
      <c r="B585" s="141"/>
      <c r="F585" s="40"/>
      <c r="G585" s="102"/>
      <c r="H585" s="141"/>
    </row>
    <row r="586" spans="1:8" s="1" customFormat="1" ht="16.5">
      <c r="A586" s="138" t="e">
        <f>A573+1</f>
        <v>#REF!</v>
      </c>
      <c r="B586" s="979"/>
      <c r="C586" s="957"/>
      <c r="D586" s="957"/>
      <c r="E586" s="957"/>
      <c r="F586" s="957"/>
      <c r="G586" s="957"/>
      <c r="H586" s="957"/>
    </row>
    <row r="587" spans="1:8" s="1" customFormat="1" ht="40.5" customHeight="1">
      <c r="A587" s="15"/>
      <c r="B587" s="977" t="s">
        <v>3186</v>
      </c>
      <c r="C587" s="978"/>
      <c r="D587" s="978"/>
      <c r="E587" s="978"/>
      <c r="F587" s="978"/>
      <c r="G587" s="978"/>
      <c r="H587" s="978"/>
    </row>
    <row r="588" spans="1:8" s="1" customFormat="1" ht="18" customHeight="1">
      <c r="A588" s="589"/>
      <c r="B588" s="957"/>
      <c r="C588" s="957"/>
      <c r="D588" s="957"/>
      <c r="E588" s="957"/>
      <c r="F588" s="957"/>
      <c r="G588" s="957"/>
      <c r="H588" s="957"/>
    </row>
    <row r="589" spans="1:8" s="1" customFormat="1" ht="15">
      <c r="B589" s="885" t="s">
        <v>1392</v>
      </c>
      <c r="C589" s="885"/>
      <c r="D589" s="885"/>
      <c r="E589" s="885"/>
      <c r="F589" s="885"/>
      <c r="G589" s="885"/>
      <c r="H589" s="885"/>
    </row>
    <row r="590" spans="1:8" s="1" customFormat="1" ht="63">
      <c r="B590" s="68" t="s">
        <v>2966</v>
      </c>
      <c r="C590" s="68" t="s">
        <v>2967</v>
      </c>
      <c r="D590" s="68" t="s">
        <v>2968</v>
      </c>
      <c r="E590" s="68" t="s">
        <v>2969</v>
      </c>
      <c r="F590" s="68" t="s">
        <v>2970</v>
      </c>
      <c r="G590" s="68" t="s">
        <v>2971</v>
      </c>
      <c r="H590" s="68" t="s">
        <v>1487</v>
      </c>
    </row>
    <row r="591" spans="1:8" s="1" customFormat="1" ht="18" customHeight="1">
      <c r="B591" s="58" t="s">
        <v>2055</v>
      </c>
      <c r="C591" s="263" t="s">
        <v>3214</v>
      </c>
      <c r="D591" s="8"/>
      <c r="E591" s="8"/>
      <c r="F591" s="107"/>
      <c r="G591" s="107"/>
      <c r="H591" s="108"/>
    </row>
    <row r="592" spans="1:8" s="1" customFormat="1" ht="78.75">
      <c r="B592" s="81" t="s">
        <v>370</v>
      </c>
      <c r="C592" s="80" t="s">
        <v>1372</v>
      </c>
      <c r="D592" s="42">
        <v>1</v>
      </c>
      <c r="E592" s="53" t="s">
        <v>2807</v>
      </c>
      <c r="F592" s="116" t="e">
        <f>#REF!</f>
        <v>#REF!</v>
      </c>
      <c r="G592" s="109" t="e">
        <f>FLOOR(D592*F592,0.01)</f>
        <v>#REF!</v>
      </c>
      <c r="H592" s="9"/>
    </row>
    <row r="593" spans="1:9" s="1" customFormat="1" ht="17.25">
      <c r="B593" s="78"/>
      <c r="C593" s="78"/>
      <c r="D593" s="51"/>
      <c r="E593" s="56"/>
      <c r="F593" s="122"/>
      <c r="G593" s="122"/>
      <c r="H593" s="123" t="e">
        <f>SUM(G592)</f>
        <v>#REF!</v>
      </c>
    </row>
    <row r="594" spans="1:9" s="1" customFormat="1" ht="18" customHeight="1">
      <c r="F594" s="40" t="s">
        <v>1491</v>
      </c>
      <c r="G594" s="102"/>
      <c r="H594" s="63" t="e">
        <f>SUM(H590:H593)</f>
        <v>#REF!</v>
      </c>
    </row>
    <row r="595" spans="1:9" s="1" customFormat="1" ht="18" customHeight="1">
      <c r="B595" s="1" t="s">
        <v>372</v>
      </c>
      <c r="F595" s="40" t="s">
        <v>1471</v>
      </c>
      <c r="G595" s="102"/>
      <c r="H595" s="63" t="e">
        <f>FLOOR(H594*0.15,0.01)</f>
        <v>#REF!</v>
      </c>
    </row>
    <row r="596" spans="1:9" s="1" customFormat="1" ht="18" customHeight="1">
      <c r="A596" s="27" t="s">
        <v>3005</v>
      </c>
      <c r="B596" s="99" t="e">
        <f>+H596</f>
        <v>#REF!</v>
      </c>
      <c r="C596" s="1" t="s">
        <v>3006</v>
      </c>
      <c r="F596" s="40" t="s">
        <v>1494</v>
      </c>
      <c r="G596" s="102"/>
      <c r="H596" s="99" t="e">
        <f>SUM(H594:H595)</f>
        <v>#REF!</v>
      </c>
    </row>
    <row r="597" spans="1:9" s="1" customFormat="1" ht="18" customHeight="1">
      <c r="A597" s="27"/>
      <c r="B597" s="141"/>
      <c r="F597" s="40"/>
      <c r="G597" s="102"/>
      <c r="H597" s="141"/>
    </row>
    <row r="598" spans="1:9" s="1" customFormat="1" ht="18" customHeight="1">
      <c r="A598" s="27"/>
      <c r="B598" s="141"/>
      <c r="F598" s="40"/>
      <c r="G598" s="102"/>
      <c r="H598" s="141"/>
    </row>
    <row r="599" spans="1:9" s="1" customFormat="1" ht="18" customHeight="1">
      <c r="A599" s="426" t="e">
        <f>A586+1</f>
        <v>#REF!</v>
      </c>
      <c r="B599" s="979"/>
      <c r="C599" s="957"/>
      <c r="D599" s="957"/>
      <c r="E599" s="957"/>
      <c r="F599" s="957"/>
      <c r="G599" s="957"/>
      <c r="H599" s="957"/>
    </row>
    <row r="600" spans="1:9" s="1" customFormat="1" ht="28.5" customHeight="1">
      <c r="A600" s="15"/>
      <c r="B600" s="977" t="s">
        <v>1699</v>
      </c>
      <c r="C600" s="978"/>
      <c r="D600" s="978"/>
      <c r="E600" s="978"/>
      <c r="F600" s="978"/>
      <c r="G600" s="978"/>
      <c r="H600" s="978"/>
    </row>
    <row r="601" spans="1:9" s="1" customFormat="1" ht="18" customHeight="1">
      <c r="A601" s="589"/>
      <c r="B601" s="957"/>
      <c r="C601" s="957"/>
      <c r="D601" s="957"/>
      <c r="E601" s="957"/>
      <c r="F601" s="957"/>
      <c r="G601" s="957"/>
      <c r="H601" s="957"/>
    </row>
    <row r="602" spans="1:9" s="1" customFormat="1" ht="15">
      <c r="B602" s="885" t="s">
        <v>1392</v>
      </c>
      <c r="C602" s="885"/>
      <c r="D602" s="885"/>
      <c r="E602" s="885"/>
      <c r="F602" s="885"/>
      <c r="G602" s="885"/>
      <c r="H602" s="885"/>
    </row>
    <row r="603" spans="1:9" s="1" customFormat="1" ht="63">
      <c r="B603" s="68" t="s">
        <v>2966</v>
      </c>
      <c r="C603" s="68" t="s">
        <v>2967</v>
      </c>
      <c r="D603" s="68" t="s">
        <v>2968</v>
      </c>
      <c r="E603" s="68" t="s">
        <v>2969</v>
      </c>
      <c r="F603" s="68" t="s">
        <v>2970</v>
      </c>
      <c r="G603" s="68" t="s">
        <v>2971</v>
      </c>
      <c r="H603" s="68" t="s">
        <v>1487</v>
      </c>
    </row>
    <row r="604" spans="1:9" s="1" customFormat="1" ht="18" customHeight="1">
      <c r="B604" s="58" t="s">
        <v>2055</v>
      </c>
      <c r="C604" s="263" t="s">
        <v>3214</v>
      </c>
      <c r="D604" s="8"/>
      <c r="E604" s="8"/>
      <c r="F604" s="107"/>
      <c r="G604" s="107"/>
      <c r="H604" s="108"/>
    </row>
    <row r="605" spans="1:9" s="1" customFormat="1" ht="78.75">
      <c r="B605" s="81" t="s">
        <v>370</v>
      </c>
      <c r="C605" s="80" t="s">
        <v>1372</v>
      </c>
      <c r="D605" s="42">
        <v>1</v>
      </c>
      <c r="E605" s="53" t="s">
        <v>2807</v>
      </c>
      <c r="F605" s="116" t="e">
        <f>#REF!</f>
        <v>#REF!</v>
      </c>
      <c r="G605" s="109" t="e">
        <f>FLOOR(D605*F605,0.01)</f>
        <v>#REF!</v>
      </c>
      <c r="H605" s="9"/>
    </row>
    <row r="606" spans="1:9" s="1" customFormat="1" ht="17.25">
      <c r="B606" s="78"/>
      <c r="C606" s="78"/>
      <c r="D606" s="51"/>
      <c r="E606" s="56"/>
      <c r="F606" s="122"/>
      <c r="G606" s="122"/>
      <c r="H606" s="123" t="e">
        <f>SUM(G605)</f>
        <v>#REF!</v>
      </c>
    </row>
    <row r="607" spans="1:9" s="1" customFormat="1" ht="18" customHeight="1">
      <c r="F607" s="40" t="s">
        <v>1491</v>
      </c>
      <c r="G607" s="102"/>
      <c r="H607" s="63" t="e">
        <f>SUM(H603:H606)</f>
        <v>#REF!</v>
      </c>
      <c r="I607" s="251">
        <f>FLOOR(3.228*16.97,0.01)</f>
        <v>54.77</v>
      </c>
    </row>
    <row r="608" spans="1:9" s="1" customFormat="1" ht="19.5">
      <c r="B608" s="1" t="s">
        <v>372</v>
      </c>
      <c r="F608" s="40" t="s">
        <v>1471</v>
      </c>
      <c r="G608" s="102"/>
      <c r="H608" s="63" t="e">
        <f>FLOOR(H607*0.15,0.01)</f>
        <v>#REF!</v>
      </c>
    </row>
    <row r="609" spans="1:9" s="1" customFormat="1" ht="18" customHeight="1">
      <c r="A609" s="27" t="s">
        <v>3005</v>
      </c>
      <c r="B609" s="99" t="e">
        <f>+H609</f>
        <v>#REF!</v>
      </c>
      <c r="C609" s="1" t="s">
        <v>3006</v>
      </c>
      <c r="F609" s="40" t="s">
        <v>1494</v>
      </c>
      <c r="G609" s="102"/>
      <c r="H609" s="99" t="e">
        <f>SUM(H607:H608)</f>
        <v>#REF!</v>
      </c>
    </row>
    <row r="610" spans="1:9" s="1" customFormat="1" ht="18" customHeight="1">
      <c r="A610" s="237"/>
      <c r="B610" s="141"/>
      <c r="F610" s="40"/>
      <c r="G610" s="102"/>
      <c r="H610" s="141"/>
    </row>
    <row r="611" spans="1:9" s="1" customFormat="1" ht="14.25" customHeight="1">
      <c r="A611" s="426" t="e">
        <f>A599+1</f>
        <v>#REF!</v>
      </c>
      <c r="B611" s="979"/>
      <c r="C611" s="957"/>
      <c r="D611" s="957"/>
      <c r="E611" s="957"/>
      <c r="F611" s="957"/>
      <c r="G611" s="957"/>
      <c r="H611" s="957"/>
    </row>
    <row r="612" spans="1:9" s="1" customFormat="1" ht="41.25" customHeight="1">
      <c r="A612" s="646"/>
      <c r="B612" s="977" t="s">
        <v>468</v>
      </c>
      <c r="C612" s="978"/>
      <c r="D612" s="978"/>
      <c r="E612" s="978"/>
      <c r="F612" s="978"/>
      <c r="G612" s="978"/>
      <c r="H612" s="978"/>
    </row>
    <row r="613" spans="1:9" s="1" customFormat="1" ht="18" customHeight="1">
      <c r="A613" s="589"/>
      <c r="B613" s="957"/>
      <c r="C613" s="957"/>
      <c r="D613" s="957"/>
      <c r="E613" s="957"/>
      <c r="F613" s="957"/>
      <c r="G613" s="957"/>
      <c r="H613" s="957"/>
    </row>
    <row r="614" spans="1:9" s="1" customFormat="1" ht="15">
      <c r="B614" s="885" t="s">
        <v>1392</v>
      </c>
      <c r="C614" s="885"/>
      <c r="D614" s="885"/>
      <c r="E614" s="885"/>
      <c r="F614" s="885"/>
      <c r="G614" s="885"/>
      <c r="H614" s="885"/>
    </row>
    <row r="615" spans="1:9" s="1" customFormat="1" ht="63">
      <c r="B615" s="68" t="s">
        <v>2966</v>
      </c>
      <c r="C615" s="68" t="s">
        <v>2967</v>
      </c>
      <c r="D615" s="68" t="s">
        <v>2968</v>
      </c>
      <c r="E615" s="68" t="s">
        <v>2969</v>
      </c>
      <c r="F615" s="68" t="s">
        <v>2970</v>
      </c>
      <c r="G615" s="68" t="s">
        <v>2971</v>
      </c>
      <c r="H615" s="68" t="s">
        <v>1487</v>
      </c>
    </row>
    <row r="616" spans="1:9" s="1" customFormat="1" ht="63">
      <c r="B616" s="58" t="s">
        <v>2055</v>
      </c>
      <c r="C616" s="263" t="s">
        <v>3214</v>
      </c>
      <c r="D616" s="8"/>
      <c r="E616" s="8"/>
      <c r="F616" s="107"/>
      <c r="G616" s="107"/>
      <c r="H616" s="108"/>
    </row>
    <row r="617" spans="1:9" s="1" customFormat="1" ht="78.75">
      <c r="B617" s="81" t="s">
        <v>370</v>
      </c>
      <c r="C617" s="80" t="s">
        <v>1372</v>
      </c>
      <c r="D617" s="42">
        <v>1</v>
      </c>
      <c r="E617" s="53" t="s">
        <v>2807</v>
      </c>
      <c r="F617" s="116" t="e">
        <f>#REF!</f>
        <v>#REF!</v>
      </c>
      <c r="G617" s="109" t="e">
        <f>FLOOR(D617*F617,0.01)</f>
        <v>#REF!</v>
      </c>
      <c r="H617" s="9"/>
    </row>
    <row r="618" spans="1:9" s="1" customFormat="1" ht="18" customHeight="1">
      <c r="B618" s="78"/>
      <c r="C618" s="78"/>
      <c r="D618" s="51"/>
      <c r="E618" s="56"/>
      <c r="F618" s="122"/>
      <c r="G618" s="122"/>
      <c r="H618" s="123" t="e">
        <f>SUM(G617)</f>
        <v>#REF!</v>
      </c>
    </row>
    <row r="619" spans="1:9" s="1" customFormat="1" ht="19.5">
      <c r="F619" s="40" t="s">
        <v>1491</v>
      </c>
      <c r="G619" s="102"/>
      <c r="H619" s="63" t="e">
        <f>SUM(H615:H618)</f>
        <v>#REF!</v>
      </c>
    </row>
    <row r="620" spans="1:9" s="1" customFormat="1" ht="19.5">
      <c r="B620" s="1" t="s">
        <v>372</v>
      </c>
      <c r="F620" s="40" t="s">
        <v>1471</v>
      </c>
      <c r="G620" s="102"/>
      <c r="H620" s="63" t="e">
        <f>FLOOR(H619*0.15,0.01)</f>
        <v>#REF!</v>
      </c>
    </row>
    <row r="621" spans="1:9" s="1" customFormat="1" ht="18" customHeight="1">
      <c r="A621" s="27" t="s">
        <v>3005</v>
      </c>
      <c r="B621" s="99" t="e">
        <f>+H621</f>
        <v>#REF!</v>
      </c>
      <c r="C621" s="1" t="s">
        <v>3006</v>
      </c>
      <c r="F621" s="40" t="s">
        <v>1494</v>
      </c>
      <c r="G621" s="102"/>
      <c r="H621" s="99" t="e">
        <f>SUM(H619:H620)</f>
        <v>#REF!</v>
      </c>
      <c r="I621" s="251">
        <f>FLOOR(3.228*16.97,0.01)</f>
        <v>54.77</v>
      </c>
    </row>
    <row r="622" spans="1:9" s="1" customFormat="1" ht="19.5">
      <c r="A622" s="27"/>
      <c r="B622" s="124"/>
      <c r="F622" s="40"/>
      <c r="G622" s="102"/>
      <c r="H622" s="141"/>
    </row>
    <row r="623" spans="1:9" s="1" customFormat="1" ht="18" customHeight="1">
      <c r="A623" s="426" t="e">
        <f>A611+1</f>
        <v>#REF!</v>
      </c>
      <c r="B623" s="979"/>
      <c r="C623" s="957"/>
      <c r="D623" s="957"/>
      <c r="E623" s="957"/>
      <c r="F623" s="957"/>
      <c r="G623" s="957"/>
      <c r="H623" s="957"/>
    </row>
    <row r="624" spans="1:9" s="1" customFormat="1" ht="45" customHeight="1">
      <c r="A624" s="15"/>
      <c r="B624" s="977" t="s">
        <v>1292</v>
      </c>
      <c r="C624" s="978"/>
      <c r="D624" s="978"/>
      <c r="E624" s="978"/>
      <c r="F624" s="978"/>
      <c r="G624" s="978"/>
      <c r="H624" s="978"/>
    </row>
    <row r="625" spans="1:8" s="1" customFormat="1" ht="18" customHeight="1">
      <c r="A625" s="589"/>
      <c r="B625" s="957"/>
      <c r="C625" s="957"/>
      <c r="D625" s="957"/>
      <c r="E625" s="957"/>
      <c r="F625" s="957"/>
      <c r="G625" s="957"/>
      <c r="H625" s="957"/>
    </row>
    <row r="626" spans="1:8" s="1" customFormat="1" ht="18" customHeight="1">
      <c r="B626" s="885" t="s">
        <v>1392</v>
      </c>
      <c r="C626" s="885"/>
      <c r="D626" s="885"/>
      <c r="E626" s="885"/>
      <c r="F626" s="885"/>
      <c r="G626" s="885"/>
      <c r="H626" s="885"/>
    </row>
    <row r="627" spans="1:8" s="1" customFormat="1" ht="63">
      <c r="B627" s="68" t="s">
        <v>2966</v>
      </c>
      <c r="C627" s="68" t="s">
        <v>2967</v>
      </c>
      <c r="D627" s="68" t="s">
        <v>2968</v>
      </c>
      <c r="E627" s="68" t="s">
        <v>2969</v>
      </c>
      <c r="F627" s="68" t="s">
        <v>2970</v>
      </c>
      <c r="G627" s="68" t="s">
        <v>2971</v>
      </c>
      <c r="H627" s="68" t="s">
        <v>1487</v>
      </c>
    </row>
    <row r="628" spans="1:8" s="1" customFormat="1" ht="63">
      <c r="B628" s="58" t="s">
        <v>2055</v>
      </c>
      <c r="C628" s="263" t="s">
        <v>3214</v>
      </c>
      <c r="D628" s="8"/>
      <c r="E628" s="8"/>
      <c r="F628" s="107"/>
      <c r="G628" s="107"/>
      <c r="H628" s="108"/>
    </row>
    <row r="629" spans="1:8" s="1" customFormat="1" ht="78.75">
      <c r="B629" s="81" t="s">
        <v>370</v>
      </c>
      <c r="C629" s="80" t="s">
        <v>1372</v>
      </c>
      <c r="D629" s="42">
        <v>1</v>
      </c>
      <c r="E629" s="53" t="s">
        <v>2807</v>
      </c>
      <c r="F629" s="116" t="e">
        <f>#REF!</f>
        <v>#REF!</v>
      </c>
      <c r="G629" s="109" t="e">
        <f>FLOOR(D629*F629,0.01)</f>
        <v>#REF!</v>
      </c>
      <c r="H629" s="9"/>
    </row>
    <row r="630" spans="1:8" s="1" customFormat="1" ht="18" customHeight="1">
      <c r="B630" s="78"/>
      <c r="C630" s="78"/>
      <c r="D630" s="51"/>
      <c r="E630" s="56"/>
      <c r="F630" s="122"/>
      <c r="G630" s="122"/>
      <c r="H630" s="123" t="e">
        <f>SUM(G629)</f>
        <v>#REF!</v>
      </c>
    </row>
    <row r="631" spans="1:8" s="1" customFormat="1" ht="19.5">
      <c r="F631" s="40" t="s">
        <v>1491</v>
      </c>
      <c r="G631" s="102"/>
      <c r="H631" s="63" t="e">
        <f>SUM(H627:H630)</f>
        <v>#REF!</v>
      </c>
    </row>
    <row r="632" spans="1:8" s="1" customFormat="1" ht="19.5">
      <c r="B632" s="1" t="s">
        <v>372</v>
      </c>
      <c r="F632" s="40" t="s">
        <v>1471</v>
      </c>
      <c r="G632" s="102"/>
      <c r="H632" s="63" t="e">
        <f>FLOOR(H631*0.15,0.01)</f>
        <v>#REF!</v>
      </c>
    </row>
    <row r="633" spans="1:8" s="1" customFormat="1" ht="18" customHeight="1">
      <c r="A633" s="27" t="s">
        <v>3005</v>
      </c>
      <c r="B633" s="99" t="e">
        <f>+H633</f>
        <v>#REF!</v>
      </c>
      <c r="C633" s="1" t="s">
        <v>3006</v>
      </c>
      <c r="F633" s="40" t="s">
        <v>1494</v>
      </c>
      <c r="G633" s="102"/>
      <c r="H633" s="99" t="e">
        <f>SUM(H631:H632)</f>
        <v>#REF!</v>
      </c>
    </row>
    <row r="634" spans="1:8" s="1" customFormat="1" ht="18" customHeight="1">
      <c r="A634" s="27"/>
      <c r="B634" s="124"/>
      <c r="F634" s="40"/>
      <c r="G634" s="102"/>
      <c r="H634" s="141"/>
    </row>
    <row r="635" spans="1:8" s="1" customFormat="1" ht="18" customHeight="1">
      <c r="A635" s="27"/>
      <c r="B635" s="141"/>
      <c r="F635" s="40"/>
      <c r="G635" s="102"/>
      <c r="H635" s="141"/>
    </row>
    <row r="636" spans="1:8" s="1" customFormat="1" ht="25.5" customHeight="1">
      <c r="A636" s="426" t="e">
        <f>A623+1</f>
        <v>#REF!</v>
      </c>
      <c r="B636" s="979"/>
      <c r="C636" s="957"/>
      <c r="D636" s="957"/>
      <c r="E636" s="957"/>
      <c r="F636" s="957"/>
      <c r="G636" s="957"/>
      <c r="H636" s="957"/>
    </row>
    <row r="637" spans="1:8" s="1" customFormat="1" ht="33.75" customHeight="1">
      <c r="A637" s="15"/>
      <c r="B637" s="977" t="s">
        <v>2198</v>
      </c>
      <c r="C637" s="978"/>
      <c r="D637" s="978"/>
      <c r="E637" s="978"/>
      <c r="F637" s="978"/>
      <c r="G637" s="978"/>
      <c r="H637" s="978"/>
    </row>
    <row r="638" spans="1:8" s="1" customFormat="1" ht="18" customHeight="1">
      <c r="A638" s="589"/>
      <c r="B638" s="957"/>
      <c r="C638" s="957"/>
      <c r="D638" s="957"/>
      <c r="E638" s="957"/>
      <c r="F638" s="957"/>
      <c r="G638" s="957"/>
      <c r="H638" s="957"/>
    </row>
    <row r="639" spans="1:8" s="1" customFormat="1" ht="18" customHeight="1">
      <c r="B639" s="885" t="s">
        <v>1392</v>
      </c>
      <c r="C639" s="885"/>
      <c r="D639" s="885"/>
      <c r="E639" s="885"/>
      <c r="F639" s="885"/>
      <c r="G639" s="885"/>
      <c r="H639" s="885"/>
    </row>
    <row r="640" spans="1:8" s="1" customFormat="1" ht="63">
      <c r="B640" s="68" t="s">
        <v>2966</v>
      </c>
      <c r="C640" s="68" t="s">
        <v>2967</v>
      </c>
      <c r="D640" s="68" t="s">
        <v>2968</v>
      </c>
      <c r="E640" s="68" t="s">
        <v>2969</v>
      </c>
      <c r="F640" s="68" t="s">
        <v>2970</v>
      </c>
      <c r="G640" s="68" t="s">
        <v>2971</v>
      </c>
      <c r="H640" s="68" t="s">
        <v>1487</v>
      </c>
    </row>
    <row r="641" spans="1:8" s="1" customFormat="1" ht="63">
      <c r="B641" s="58" t="s">
        <v>2055</v>
      </c>
      <c r="C641" s="263" t="s">
        <v>3214</v>
      </c>
      <c r="D641" s="8"/>
      <c r="E641" s="8"/>
      <c r="F641" s="107"/>
      <c r="G641" s="107"/>
      <c r="H641" s="108"/>
    </row>
    <row r="642" spans="1:8" s="1" customFormat="1" ht="78.75">
      <c r="B642" s="81" t="s">
        <v>370</v>
      </c>
      <c r="C642" s="80" t="s">
        <v>1372</v>
      </c>
      <c r="D642" s="42">
        <v>1</v>
      </c>
      <c r="E642" s="53" t="s">
        <v>2807</v>
      </c>
      <c r="F642" s="116" t="e">
        <f>#REF!</f>
        <v>#REF!</v>
      </c>
      <c r="G642" s="109" t="e">
        <f>FLOOR(D642*F642,0.01)</f>
        <v>#REF!</v>
      </c>
      <c r="H642" s="9"/>
    </row>
    <row r="643" spans="1:8" s="1" customFormat="1" ht="30" customHeight="1">
      <c r="B643" s="78"/>
      <c r="C643" s="78"/>
      <c r="D643" s="51"/>
      <c r="E643" s="56"/>
      <c r="F643" s="122"/>
      <c r="G643" s="122"/>
      <c r="H643" s="123" t="e">
        <f>SUM(G642)</f>
        <v>#REF!</v>
      </c>
    </row>
    <row r="644" spans="1:8" s="1" customFormat="1" ht="21.75" customHeight="1">
      <c r="F644" s="40" t="s">
        <v>1491</v>
      </c>
      <c r="G644" s="102"/>
      <c r="H644" s="63" t="e">
        <f>SUM(H640:H643)</f>
        <v>#REF!</v>
      </c>
    </row>
    <row r="645" spans="1:8" s="1" customFormat="1" ht="19.5">
      <c r="B645" s="1" t="s">
        <v>372</v>
      </c>
      <c r="F645" s="40" t="s">
        <v>1471</v>
      </c>
      <c r="G645" s="102"/>
      <c r="H645" s="63" t="e">
        <f>FLOOR(H644*0.15,0.01)</f>
        <v>#REF!</v>
      </c>
    </row>
    <row r="646" spans="1:8" s="1" customFormat="1" ht="18" customHeight="1">
      <c r="A646" s="27" t="s">
        <v>3005</v>
      </c>
      <c r="B646" s="99" t="e">
        <f>+H646</f>
        <v>#REF!</v>
      </c>
      <c r="C646" s="1" t="s">
        <v>3006</v>
      </c>
      <c r="F646" s="40" t="s">
        <v>1494</v>
      </c>
      <c r="G646" s="102"/>
      <c r="H646" s="99" t="e">
        <f>SUM(H644:H645)</f>
        <v>#REF!</v>
      </c>
    </row>
    <row r="647" spans="1:8" s="1" customFormat="1" ht="18" customHeight="1">
      <c r="B647" s="88"/>
      <c r="H647" s="19"/>
    </row>
    <row r="648" spans="1:8" s="1" customFormat="1" ht="19.5">
      <c r="A648" s="27"/>
      <c r="B648" s="141"/>
      <c r="F648" s="40"/>
      <c r="G648" s="102"/>
      <c r="H648" s="141"/>
    </row>
    <row r="649" spans="1:8" s="1" customFormat="1" ht="19.5">
      <c r="A649" s="27"/>
      <c r="B649" s="141"/>
      <c r="F649" s="40"/>
      <c r="G649" s="102"/>
      <c r="H649" s="141"/>
    </row>
    <row r="650" spans="1:8" s="1" customFormat="1" ht="19.5">
      <c r="A650" s="27"/>
      <c r="B650" s="141"/>
      <c r="F650" s="40"/>
      <c r="G650" s="102"/>
      <c r="H650" s="141"/>
    </row>
    <row r="651" spans="1:8" s="1" customFormat="1" ht="19.5">
      <c r="A651" s="27"/>
      <c r="B651" s="141"/>
      <c r="F651" s="40"/>
      <c r="G651" s="102"/>
      <c r="H651" s="141"/>
    </row>
    <row r="652" spans="1:8" s="1" customFormat="1" ht="19.5">
      <c r="A652" s="27"/>
      <c r="B652" s="141"/>
      <c r="F652" s="40"/>
      <c r="G652" s="102"/>
      <c r="H652" s="141"/>
    </row>
    <row r="653" spans="1:8" s="1" customFormat="1" ht="19.5">
      <c r="A653" s="27"/>
      <c r="B653" s="141"/>
      <c r="F653" s="40"/>
      <c r="G653" s="102"/>
      <c r="H653" s="141"/>
    </row>
    <row r="654" spans="1:8" s="1" customFormat="1" ht="19.5">
      <c r="A654" s="27"/>
      <c r="B654" s="141"/>
      <c r="F654" s="40"/>
      <c r="G654" s="102"/>
      <c r="H654" s="141"/>
    </row>
    <row r="655" spans="1:8" s="1" customFormat="1" ht="19.5">
      <c r="A655" s="27"/>
      <c r="B655" s="141"/>
      <c r="F655" s="40"/>
      <c r="G655" s="102"/>
      <c r="H655" s="141"/>
    </row>
    <row r="656" spans="1:8" s="1" customFormat="1" ht="19.5">
      <c r="A656" s="27"/>
      <c r="B656" s="141"/>
      <c r="F656" s="40"/>
      <c r="G656" s="102"/>
      <c r="H656" s="141"/>
    </row>
    <row r="657" spans="1:8" s="1" customFormat="1" ht="19.5">
      <c r="A657" s="27"/>
      <c r="B657" s="141"/>
      <c r="F657" s="40"/>
      <c r="G657" s="102"/>
      <c r="H657" s="141"/>
    </row>
    <row r="658" spans="1:8" s="1" customFormat="1" ht="19.5">
      <c r="A658" s="27"/>
      <c r="B658" s="141"/>
      <c r="F658" s="40"/>
      <c r="G658" s="102"/>
      <c r="H658" s="141"/>
    </row>
    <row r="659" spans="1:8" s="1" customFormat="1" ht="15"/>
    <row r="660" spans="1:8" s="1" customFormat="1" ht="15"/>
    <row r="661" spans="1:8" s="1" customFormat="1" ht="15"/>
    <row r="662" spans="1:8" s="1" customFormat="1" ht="15"/>
    <row r="663" spans="1:8" s="1" customFormat="1" ht="16.5">
      <c r="A663" s="426" t="e">
        <f>A558+1</f>
        <v>#REF!</v>
      </c>
      <c r="B663" s="979"/>
      <c r="C663" s="957"/>
      <c r="D663" s="957"/>
      <c r="E663" s="957"/>
      <c r="F663" s="957"/>
      <c r="G663" s="957"/>
      <c r="H663" s="957"/>
    </row>
    <row r="664" spans="1:8" s="1" customFormat="1" ht="15">
      <c r="A664" s="12"/>
      <c r="B664" s="977" t="s">
        <v>2261</v>
      </c>
      <c r="C664" s="978"/>
      <c r="D664" s="978"/>
      <c r="E664" s="978"/>
      <c r="F664" s="978"/>
      <c r="G664" s="978"/>
      <c r="H664" s="978"/>
    </row>
    <row r="665" spans="1:8" s="1" customFormat="1" ht="15">
      <c r="A665" s="22"/>
      <c r="B665" s="979"/>
      <c r="C665" s="957"/>
      <c r="D665" s="957"/>
      <c r="E665" s="957"/>
      <c r="F665" s="957"/>
      <c r="G665" s="957"/>
      <c r="H665" s="957"/>
    </row>
    <row r="666" spans="1:8" s="1" customFormat="1" ht="15">
      <c r="A666" s="90"/>
      <c r="B666" s="204"/>
      <c r="C666" s="204"/>
      <c r="D666" s="204"/>
      <c r="E666" s="204"/>
      <c r="F666" s="204"/>
      <c r="G666" s="204"/>
      <c r="H666" s="204"/>
    </row>
    <row r="667" spans="1:8" s="1" customFormat="1" ht="15">
      <c r="B667" s="261" t="s">
        <v>1392</v>
      </c>
      <c r="C667" s="261"/>
      <c r="D667" s="261"/>
      <c r="E667" s="261"/>
      <c r="F667" s="261"/>
      <c r="G667" s="261"/>
      <c r="H667" s="261"/>
    </row>
    <row r="668" spans="1:8" s="1" customFormat="1" ht="63">
      <c r="B668" s="68" t="s">
        <v>2966</v>
      </c>
      <c r="C668" s="68" t="s">
        <v>2967</v>
      </c>
      <c r="D668" s="68" t="s">
        <v>2968</v>
      </c>
      <c r="E668" s="68" t="s">
        <v>2969</v>
      </c>
      <c r="F668" s="68" t="s">
        <v>2970</v>
      </c>
      <c r="G668" s="68" t="s">
        <v>2971</v>
      </c>
      <c r="H668" s="68" t="s">
        <v>1487</v>
      </c>
    </row>
    <row r="669" spans="1:8" s="1" customFormat="1" ht="63">
      <c r="B669" s="58" t="s">
        <v>2055</v>
      </c>
      <c r="C669" s="263" t="s">
        <v>2459</v>
      </c>
      <c r="D669" s="8"/>
      <c r="E669" s="8"/>
      <c r="F669" s="107"/>
      <c r="G669" s="107"/>
      <c r="H669" s="108"/>
    </row>
    <row r="670" spans="1:8" s="1" customFormat="1" ht="78.75">
      <c r="B670" s="81" t="s">
        <v>370</v>
      </c>
      <c r="C670" s="80" t="s">
        <v>1372</v>
      </c>
      <c r="D670" s="42">
        <v>1</v>
      </c>
      <c r="E670" s="53" t="s">
        <v>2807</v>
      </c>
      <c r="F670" s="116" t="e">
        <f>#REF!</f>
        <v>#REF!</v>
      </c>
      <c r="G670" s="109" t="e">
        <f>FLOOR(D670*F670,0.01)</f>
        <v>#REF!</v>
      </c>
      <c r="H670" s="9"/>
    </row>
    <row r="671" spans="1:8" s="1" customFormat="1" ht="17.25">
      <c r="B671" s="78"/>
      <c r="C671" s="78"/>
      <c r="D671" s="51"/>
      <c r="E671" s="56"/>
      <c r="F671" s="122"/>
      <c r="G671" s="122"/>
      <c r="H671" s="123" t="e">
        <f>SUM(G670)</f>
        <v>#REF!</v>
      </c>
    </row>
    <row r="672" spans="1:8" s="1" customFormat="1" ht="19.5">
      <c r="F672" s="40" t="s">
        <v>1491</v>
      </c>
      <c r="G672" s="102"/>
      <c r="H672" s="63" t="e">
        <f>SUM(H668:H671)</f>
        <v>#REF!</v>
      </c>
    </row>
    <row r="673" spans="1:8" s="1" customFormat="1" ht="19.5">
      <c r="B673" s="1" t="s">
        <v>372</v>
      </c>
      <c r="F673" s="40" t="s">
        <v>1471</v>
      </c>
      <c r="G673" s="102"/>
      <c r="H673" s="63" t="e">
        <f>FLOOR(H672*0.15,0.01)</f>
        <v>#REF!</v>
      </c>
    </row>
    <row r="674" spans="1:8" s="1" customFormat="1" ht="19.5">
      <c r="A674" s="27" t="s">
        <v>3005</v>
      </c>
      <c r="B674" s="99" t="e">
        <f>+H674</f>
        <v>#REF!</v>
      </c>
      <c r="C674" s="1" t="s">
        <v>3006</v>
      </c>
      <c r="F674" s="40" t="s">
        <v>1494</v>
      </c>
      <c r="G674" s="102"/>
      <c r="H674" s="99" t="e">
        <f>SUM(H672:H673)</f>
        <v>#REF!</v>
      </c>
    </row>
    <row r="675" spans="1:8" s="1" customFormat="1" ht="19.5">
      <c r="A675" s="237"/>
      <c r="B675" s="141"/>
      <c r="F675" s="40"/>
      <c r="G675" s="102"/>
      <c r="H675" s="141"/>
    </row>
    <row r="676" spans="1:8" s="1" customFormat="1" ht="15"/>
    <row r="677" spans="1:8" s="1" customFormat="1" ht="15"/>
    <row r="678" spans="1:8" s="1" customFormat="1" ht="15"/>
    <row r="679" spans="1:8" s="1" customFormat="1" ht="15"/>
    <row r="680" spans="1:8" s="1" customFormat="1" ht="16.5">
      <c r="A680" s="426" t="e">
        <f>A663+1</f>
        <v>#REF!</v>
      </c>
      <c r="B680" s="979"/>
      <c r="C680" s="957"/>
      <c r="D680" s="957"/>
      <c r="E680" s="957"/>
      <c r="F680" s="957"/>
      <c r="G680" s="957"/>
      <c r="H680" s="957"/>
    </row>
    <row r="681" spans="1:8" s="1" customFormat="1" ht="15">
      <c r="A681" s="12"/>
      <c r="B681" s="977" t="s">
        <v>2262</v>
      </c>
      <c r="C681" s="978"/>
      <c r="D681" s="978"/>
      <c r="E681" s="978"/>
      <c r="F681" s="978"/>
      <c r="G681" s="978"/>
      <c r="H681" s="978"/>
    </row>
    <row r="682" spans="1:8" s="1" customFormat="1" ht="15">
      <c r="A682" s="22"/>
      <c r="B682" s="979"/>
      <c r="C682" s="957"/>
      <c r="D682" s="957"/>
      <c r="E682" s="957"/>
      <c r="F682" s="957"/>
      <c r="G682" s="957"/>
      <c r="H682" s="957"/>
    </row>
    <row r="683" spans="1:8" s="1" customFormat="1" ht="15">
      <c r="A683" s="90"/>
      <c r="B683" s="204"/>
      <c r="C683" s="204"/>
      <c r="D683" s="204"/>
      <c r="E683" s="204"/>
      <c r="F683" s="204"/>
      <c r="G683" s="204"/>
      <c r="H683" s="204"/>
    </row>
    <row r="684" spans="1:8" s="1" customFormat="1" ht="15">
      <c r="B684" s="261" t="s">
        <v>1392</v>
      </c>
      <c r="C684" s="261"/>
      <c r="D684" s="261"/>
      <c r="E684" s="261"/>
      <c r="F684" s="261"/>
      <c r="G684" s="261"/>
      <c r="H684" s="261"/>
    </row>
    <row r="685" spans="1:8" s="1" customFormat="1" ht="63">
      <c r="B685" s="68" t="s">
        <v>2966</v>
      </c>
      <c r="C685" s="68" t="s">
        <v>2967</v>
      </c>
      <c r="D685" s="68" t="s">
        <v>2968</v>
      </c>
      <c r="E685" s="68" t="s">
        <v>2969</v>
      </c>
      <c r="F685" s="68" t="s">
        <v>2970</v>
      </c>
      <c r="G685" s="68" t="s">
        <v>2971</v>
      </c>
      <c r="H685" s="68" t="s">
        <v>1487</v>
      </c>
    </row>
    <row r="686" spans="1:8" s="1" customFormat="1" ht="63">
      <c r="B686" s="58" t="s">
        <v>2055</v>
      </c>
      <c r="C686" s="263" t="s">
        <v>2460</v>
      </c>
      <c r="D686" s="8"/>
      <c r="E686" s="8"/>
      <c r="F686" s="107"/>
      <c r="G686" s="107"/>
      <c r="H686" s="108"/>
    </row>
    <row r="687" spans="1:8" s="1" customFormat="1" ht="78.75">
      <c r="B687" s="81" t="s">
        <v>370</v>
      </c>
      <c r="C687" s="80" t="s">
        <v>1372</v>
      </c>
      <c r="D687" s="42">
        <v>1</v>
      </c>
      <c r="E687" s="53" t="s">
        <v>2807</v>
      </c>
      <c r="F687" s="116" t="e">
        <f>#REF!</f>
        <v>#REF!</v>
      </c>
      <c r="G687" s="109" t="e">
        <f>FLOOR(D687*F687,0.01)</f>
        <v>#REF!</v>
      </c>
      <c r="H687" s="9"/>
    </row>
    <row r="688" spans="1:8" s="1" customFormat="1" ht="17.25">
      <c r="B688" s="78"/>
      <c r="C688" s="78"/>
      <c r="D688" s="51"/>
      <c r="E688" s="56"/>
      <c r="F688" s="122"/>
      <c r="G688" s="122"/>
      <c r="H688" s="123" t="e">
        <f>SUM(G687)</f>
        <v>#REF!</v>
      </c>
    </row>
    <row r="689" spans="1:8" s="1" customFormat="1" ht="19.5">
      <c r="F689" s="40" t="s">
        <v>1491</v>
      </c>
      <c r="G689" s="102"/>
      <c r="H689" s="63" t="e">
        <f>SUM(H685:H688)</f>
        <v>#REF!</v>
      </c>
    </row>
    <row r="690" spans="1:8" s="1" customFormat="1" ht="19.5">
      <c r="B690" s="1" t="s">
        <v>372</v>
      </c>
      <c r="F690" s="40" t="s">
        <v>1471</v>
      </c>
      <c r="G690" s="102"/>
      <c r="H690" s="63" t="e">
        <f>FLOOR(H689*0.15,0.01)</f>
        <v>#REF!</v>
      </c>
    </row>
    <row r="691" spans="1:8" s="1" customFormat="1" ht="19.5">
      <c r="A691" s="27" t="s">
        <v>3005</v>
      </c>
      <c r="B691" s="99" t="e">
        <f>+H691</f>
        <v>#REF!</v>
      </c>
      <c r="C691" s="1" t="s">
        <v>3006</v>
      </c>
      <c r="F691" s="40" t="s">
        <v>1494</v>
      </c>
      <c r="G691" s="102"/>
      <c r="H691" s="99" t="e">
        <f>SUM(H689:H690)</f>
        <v>#REF!</v>
      </c>
    </row>
    <row r="692" spans="1:8" s="1" customFormat="1" ht="19.5">
      <c r="A692" s="237"/>
      <c r="B692" s="141"/>
      <c r="F692" s="40"/>
      <c r="G692" s="102"/>
      <c r="H692" s="141"/>
    </row>
    <row r="693" spans="1:8" s="1" customFormat="1" ht="15"/>
    <row r="694" spans="1:8" s="1" customFormat="1" ht="15"/>
    <row r="695" spans="1:8" s="1" customFormat="1" ht="15"/>
    <row r="696" spans="1:8" s="1" customFormat="1" ht="15"/>
    <row r="697" spans="1:8" s="1" customFormat="1" ht="16.5">
      <c r="A697" s="426" t="e">
        <f>A680+1</f>
        <v>#REF!</v>
      </c>
      <c r="B697" s="979"/>
      <c r="C697" s="957"/>
      <c r="D697" s="957"/>
      <c r="E697" s="957"/>
      <c r="F697" s="957"/>
      <c r="G697" s="957"/>
      <c r="H697" s="957"/>
    </row>
    <row r="698" spans="1:8" s="1" customFormat="1" ht="15">
      <c r="A698" s="12"/>
      <c r="B698" s="977" t="s">
        <v>2263</v>
      </c>
      <c r="C698" s="978"/>
      <c r="D698" s="978"/>
      <c r="E698" s="978"/>
      <c r="F698" s="978"/>
      <c r="G698" s="978"/>
      <c r="H698" s="978"/>
    </row>
    <row r="699" spans="1:8" s="1" customFormat="1" ht="15">
      <c r="A699" s="22"/>
      <c r="B699" s="979"/>
      <c r="C699" s="957"/>
      <c r="D699" s="957"/>
      <c r="E699" s="957"/>
      <c r="F699" s="957"/>
      <c r="G699" s="957"/>
      <c r="H699" s="957"/>
    </row>
    <row r="700" spans="1:8" s="1" customFormat="1" ht="15">
      <c r="A700" s="90"/>
      <c r="B700" s="204"/>
      <c r="C700" s="204"/>
      <c r="D700" s="204"/>
      <c r="E700" s="204"/>
      <c r="F700" s="204"/>
      <c r="G700" s="204"/>
      <c r="H700" s="204"/>
    </row>
    <row r="701" spans="1:8" s="1" customFormat="1" ht="15">
      <c r="B701" s="261" t="s">
        <v>1392</v>
      </c>
      <c r="C701" s="261"/>
      <c r="D701" s="261"/>
      <c r="E701" s="261"/>
      <c r="F701" s="261"/>
      <c r="G701" s="261"/>
      <c r="H701" s="261"/>
    </row>
    <row r="702" spans="1:8" s="1" customFormat="1" ht="63">
      <c r="B702" s="68" t="s">
        <v>2966</v>
      </c>
      <c r="C702" s="68" t="s">
        <v>2967</v>
      </c>
      <c r="D702" s="68" t="s">
        <v>2968</v>
      </c>
      <c r="E702" s="68" t="s">
        <v>2969</v>
      </c>
      <c r="F702" s="68" t="s">
        <v>2970</v>
      </c>
      <c r="G702" s="68" t="s">
        <v>2971</v>
      </c>
      <c r="H702" s="68" t="s">
        <v>1487</v>
      </c>
    </row>
    <row r="703" spans="1:8" s="1" customFormat="1" ht="63">
      <c r="B703" s="58" t="s">
        <v>2055</v>
      </c>
      <c r="C703" s="263" t="s">
        <v>2461</v>
      </c>
      <c r="D703" s="8"/>
      <c r="E703" s="8"/>
      <c r="F703" s="107"/>
      <c r="G703" s="107"/>
      <c r="H703" s="108"/>
    </row>
    <row r="704" spans="1:8" s="1" customFormat="1" ht="78.75">
      <c r="B704" s="81" t="s">
        <v>370</v>
      </c>
      <c r="C704" s="80" t="s">
        <v>1372</v>
      </c>
      <c r="D704" s="42">
        <v>1</v>
      </c>
      <c r="E704" s="53" t="s">
        <v>2807</v>
      </c>
      <c r="F704" s="116" t="e">
        <f>#REF!</f>
        <v>#REF!</v>
      </c>
      <c r="G704" s="109" t="e">
        <f>FLOOR(D704*F704,0.01)</f>
        <v>#REF!</v>
      </c>
      <c r="H704" s="9"/>
    </row>
    <row r="705" spans="1:9" s="1" customFormat="1" ht="17.25">
      <c r="B705" s="78"/>
      <c r="C705" s="78"/>
      <c r="D705" s="51"/>
      <c r="E705" s="56"/>
      <c r="F705" s="122"/>
      <c r="G705" s="122"/>
      <c r="H705" s="123" t="e">
        <f>SUM(G704)</f>
        <v>#REF!</v>
      </c>
    </row>
    <row r="706" spans="1:9" s="1" customFormat="1" ht="19.5">
      <c r="F706" s="40" t="s">
        <v>1491</v>
      </c>
      <c r="G706" s="102"/>
      <c r="H706" s="63" t="e">
        <f>SUM(H702:H705)</f>
        <v>#REF!</v>
      </c>
    </row>
    <row r="707" spans="1:9" s="1" customFormat="1" ht="19.5">
      <c r="B707" s="1" t="s">
        <v>372</v>
      </c>
      <c r="F707" s="40" t="s">
        <v>1471</v>
      </c>
      <c r="G707" s="102"/>
      <c r="H707" s="63" t="e">
        <f>FLOOR(H706*0.15,0.01)</f>
        <v>#REF!</v>
      </c>
    </row>
    <row r="708" spans="1:9" s="1" customFormat="1" ht="19.5">
      <c r="A708" s="27" t="s">
        <v>3005</v>
      </c>
      <c r="B708" s="99" t="e">
        <f>+H708</f>
        <v>#REF!</v>
      </c>
      <c r="C708" s="1" t="s">
        <v>3006</v>
      </c>
      <c r="F708" s="40" t="s">
        <v>1494</v>
      </c>
      <c r="G708" s="102"/>
      <c r="H708" s="99" t="e">
        <f>SUM(H706:H707)</f>
        <v>#REF!</v>
      </c>
    </row>
    <row r="709" spans="1:9" s="1" customFormat="1" ht="19.5">
      <c r="A709" s="27"/>
      <c r="B709" s="141"/>
      <c r="F709" s="40"/>
      <c r="G709" s="102"/>
      <c r="H709" s="141"/>
    </row>
    <row r="710" spans="1:9" s="1" customFormat="1" ht="19.5">
      <c r="A710" s="27"/>
      <c r="B710" s="141"/>
      <c r="F710" s="40"/>
      <c r="G710" s="102"/>
      <c r="H710" s="141"/>
    </row>
    <row r="711" spans="1:9" s="1" customFormat="1" ht="15"/>
    <row r="712" spans="1:9" s="1" customFormat="1" ht="15"/>
    <row r="713" spans="1:9" s="1" customFormat="1" ht="15"/>
    <row r="714" spans="1:9" s="1" customFormat="1" ht="15"/>
    <row r="715" spans="1:9" s="1" customFormat="1" ht="15"/>
    <row r="716" spans="1:9" s="1" customFormat="1" ht="15"/>
    <row r="717" spans="1:9" s="1" customFormat="1" ht="15"/>
    <row r="718" spans="1:9" s="1" customFormat="1" ht="15"/>
    <row r="719" spans="1:9" s="1" customFormat="1" ht="15"/>
    <row r="720" spans="1:9" s="1" customFormat="1" ht="32.25" customHeight="1">
      <c r="B720" s="138">
        <v>315</v>
      </c>
      <c r="C720" s="977" t="s">
        <v>3588</v>
      </c>
      <c r="D720" s="978"/>
      <c r="E720" s="978"/>
      <c r="F720" s="978"/>
      <c r="G720" s="978"/>
      <c r="H720" s="978"/>
      <c r="I720" s="978"/>
    </row>
    <row r="721" spans="2:9" s="1" customFormat="1" ht="15">
      <c r="C721" s="885" t="s">
        <v>1392</v>
      </c>
      <c r="D721" s="885"/>
      <c r="E721" s="885"/>
      <c r="F721" s="885"/>
      <c r="G721" s="885"/>
      <c r="H721" s="885"/>
      <c r="I721" s="885"/>
    </row>
    <row r="722" spans="2:9" s="1" customFormat="1" ht="31.5">
      <c r="C722" s="68" t="s">
        <v>2966</v>
      </c>
      <c r="D722" s="68" t="s">
        <v>2967</v>
      </c>
      <c r="E722" s="68" t="s">
        <v>2968</v>
      </c>
      <c r="F722" s="68" t="s">
        <v>2969</v>
      </c>
      <c r="G722" s="68" t="s">
        <v>2970</v>
      </c>
      <c r="H722" s="68" t="s">
        <v>2971</v>
      </c>
      <c r="I722" s="68" t="s">
        <v>1487</v>
      </c>
    </row>
    <row r="723" spans="2:9" s="1" customFormat="1" ht="15.75">
      <c r="C723" s="58" t="s">
        <v>371</v>
      </c>
      <c r="D723" s="58" t="s">
        <v>371</v>
      </c>
      <c r="E723" s="8"/>
      <c r="F723" s="8"/>
      <c r="G723" s="107"/>
      <c r="H723" s="107"/>
      <c r="I723" s="108"/>
    </row>
    <row r="724" spans="2:9" s="1" customFormat="1" ht="16.5">
      <c r="C724" s="81" t="s">
        <v>2055</v>
      </c>
      <c r="D724" s="34" t="s">
        <v>3598</v>
      </c>
      <c r="E724" s="50"/>
      <c r="F724" s="12"/>
      <c r="G724" s="116"/>
      <c r="H724" s="116"/>
      <c r="I724" s="121"/>
    </row>
    <row r="725" spans="2:9" s="1" customFormat="1" ht="17.25">
      <c r="C725" s="81" t="s">
        <v>370</v>
      </c>
      <c r="D725" s="34" t="s">
        <v>3599</v>
      </c>
      <c r="E725" s="42">
        <v>1</v>
      </c>
      <c r="F725" s="53" t="s">
        <v>2807</v>
      </c>
      <c r="G725" s="109">
        <v>5100.24</v>
      </c>
      <c r="H725" s="109">
        <f>FLOOR(E725*G725,0.01)</f>
        <v>5100.24</v>
      </c>
      <c r="I725" s="9"/>
    </row>
    <row r="726" spans="2:9" s="1" customFormat="1" ht="16.5">
      <c r="C726" s="33"/>
      <c r="D726" s="78" t="s">
        <v>2065</v>
      </c>
      <c r="E726" s="51"/>
      <c r="F726" s="15"/>
      <c r="G726" s="122"/>
      <c r="H726" s="122"/>
      <c r="I726" s="123">
        <f>SUM(H725)</f>
        <v>5100.24</v>
      </c>
    </row>
    <row r="727" spans="2:9" s="1" customFormat="1" ht="19.5">
      <c r="G727" s="40" t="s">
        <v>1491</v>
      </c>
      <c r="H727" s="102"/>
      <c r="I727" s="63">
        <f>SUM(I723:I726)</f>
        <v>5100.24</v>
      </c>
    </row>
    <row r="728" spans="2:9" s="1" customFormat="1" ht="19.5">
      <c r="C728" s="1" t="s">
        <v>372</v>
      </c>
      <c r="G728" s="40" t="s">
        <v>1471</v>
      </c>
      <c r="H728" s="102"/>
      <c r="I728" s="99">
        <f>FLOOR(I727*0.15,0.01)</f>
        <v>765.03</v>
      </c>
    </row>
    <row r="729" spans="2:9" s="1" customFormat="1" ht="19.5">
      <c r="B729" s="27" t="s">
        <v>3005</v>
      </c>
      <c r="C729" s="99">
        <f>+I729</f>
        <v>5865.2699999999995</v>
      </c>
      <c r="D729" s="1" t="s">
        <v>3006</v>
      </c>
      <c r="G729" s="40" t="s">
        <v>1494</v>
      </c>
      <c r="H729" s="102"/>
      <c r="I729" s="99">
        <f>SUM(I727:I728)</f>
        <v>5865.2699999999995</v>
      </c>
    </row>
    <row r="730" spans="2:9" s="1" customFormat="1" ht="28.5" customHeight="1">
      <c r="B730" s="138">
        <v>315</v>
      </c>
      <c r="C730" s="977" t="s">
        <v>3588</v>
      </c>
      <c r="D730" s="978"/>
      <c r="E730" s="978"/>
      <c r="F730" s="978"/>
      <c r="G730" s="978"/>
      <c r="H730" s="978"/>
      <c r="I730" s="978"/>
    </row>
    <row r="731" spans="2:9" s="1" customFormat="1" ht="15">
      <c r="C731" s="885" t="s">
        <v>1392</v>
      </c>
      <c r="D731" s="885"/>
      <c r="E731" s="885"/>
      <c r="F731" s="885"/>
      <c r="G731" s="885"/>
      <c r="H731" s="885"/>
      <c r="I731" s="885"/>
    </row>
    <row r="732" spans="2:9" s="1" customFormat="1" ht="31.5">
      <c r="C732" s="68" t="s">
        <v>2966</v>
      </c>
      <c r="D732" s="68" t="s">
        <v>2967</v>
      </c>
      <c r="E732" s="68" t="s">
        <v>2968</v>
      </c>
      <c r="F732" s="68" t="s">
        <v>2969</v>
      </c>
      <c r="G732" s="68" t="s">
        <v>2970</v>
      </c>
      <c r="H732" s="68" t="s">
        <v>2971</v>
      </c>
      <c r="I732" s="68" t="s">
        <v>1487</v>
      </c>
    </row>
    <row r="733" spans="2:9" s="1" customFormat="1" ht="15.75">
      <c r="C733" s="58" t="s">
        <v>371</v>
      </c>
      <c r="D733" s="58" t="s">
        <v>371</v>
      </c>
      <c r="E733" s="8"/>
      <c r="F733" s="8"/>
      <c r="G733" s="107"/>
      <c r="H733" s="107"/>
      <c r="I733" s="108"/>
    </row>
    <row r="734" spans="2:9" s="1" customFormat="1" ht="16.5">
      <c r="C734" s="81" t="s">
        <v>2055</v>
      </c>
      <c r="D734" s="34" t="s">
        <v>3598</v>
      </c>
      <c r="E734" s="50"/>
      <c r="F734" s="12"/>
      <c r="G734" s="116"/>
      <c r="H734" s="116"/>
      <c r="I734" s="121"/>
    </row>
    <row r="735" spans="2:9" s="1" customFormat="1" ht="17.25">
      <c r="C735" s="81" t="s">
        <v>370</v>
      </c>
      <c r="D735" s="34" t="s">
        <v>3599</v>
      </c>
      <c r="E735" s="42">
        <v>1</v>
      </c>
      <c r="F735" s="53" t="s">
        <v>2807</v>
      </c>
      <c r="G735" s="109">
        <v>5100.24</v>
      </c>
      <c r="H735" s="109">
        <f>FLOOR(E735*G735,0.01)</f>
        <v>5100.24</v>
      </c>
      <c r="I735" s="9"/>
    </row>
    <row r="736" spans="2:9" s="1" customFormat="1" ht="16.5">
      <c r="C736" s="33"/>
      <c r="D736" s="78" t="s">
        <v>2065</v>
      </c>
      <c r="E736" s="51"/>
      <c r="F736" s="15"/>
      <c r="G736" s="122"/>
      <c r="H736" s="122"/>
      <c r="I736" s="123">
        <f>SUM(H735)</f>
        <v>5100.24</v>
      </c>
    </row>
    <row r="737" spans="2:9" s="1" customFormat="1" ht="19.5">
      <c r="G737" s="40" t="s">
        <v>1491</v>
      </c>
      <c r="H737" s="102"/>
      <c r="I737" s="63">
        <f>SUM(I733:I736)</f>
        <v>5100.24</v>
      </c>
    </row>
    <row r="738" spans="2:9" s="1" customFormat="1" ht="19.5">
      <c r="C738" s="1" t="s">
        <v>372</v>
      </c>
      <c r="G738" s="40" t="s">
        <v>1471</v>
      </c>
      <c r="H738" s="102"/>
      <c r="I738" s="99">
        <f>FLOOR(I737*0.15,0.01)</f>
        <v>765.03</v>
      </c>
    </row>
    <row r="739" spans="2:9" ht="19.5">
      <c r="B739" s="27" t="s">
        <v>3005</v>
      </c>
      <c r="C739" s="99">
        <f>+I739</f>
        <v>5865.2699999999995</v>
      </c>
      <c r="D739" s="1" t="s">
        <v>3006</v>
      </c>
      <c r="E739" s="1"/>
      <c r="F739" s="1"/>
      <c r="G739" s="40" t="s">
        <v>1494</v>
      </c>
      <c r="H739" s="102"/>
      <c r="I739" s="99">
        <f>SUM(I737:I738)</f>
        <v>5865.2699999999995</v>
      </c>
    </row>
    <row r="740" spans="2:9" ht="26.25" customHeight="1">
      <c r="B740" s="138">
        <v>315</v>
      </c>
      <c r="C740" s="977" t="s">
        <v>3588</v>
      </c>
      <c r="D740" s="978"/>
      <c r="E740" s="978"/>
      <c r="F740" s="978"/>
      <c r="G740" s="978"/>
      <c r="H740" s="978"/>
      <c r="I740" s="978"/>
    </row>
    <row r="741" spans="2:9" ht="15">
      <c r="B741" s="1"/>
      <c r="C741" s="885" t="s">
        <v>1392</v>
      </c>
      <c r="D741" s="885"/>
      <c r="E741" s="885"/>
      <c r="F741" s="885"/>
      <c r="G741" s="885"/>
      <c r="H741" s="885"/>
      <c r="I741" s="885"/>
    </row>
    <row r="742" spans="2:9" ht="31.5">
      <c r="B742" s="1"/>
      <c r="C742" s="68" t="s">
        <v>2966</v>
      </c>
      <c r="D742" s="68" t="s">
        <v>2967</v>
      </c>
      <c r="E742" s="68" t="s">
        <v>2968</v>
      </c>
      <c r="F742" s="68" t="s">
        <v>2969</v>
      </c>
      <c r="G742" s="68" t="s">
        <v>2970</v>
      </c>
      <c r="H742" s="68" t="s">
        <v>2971</v>
      </c>
      <c r="I742" s="68" t="s">
        <v>1487</v>
      </c>
    </row>
    <row r="743" spans="2:9" ht="15.75">
      <c r="B743" s="1"/>
      <c r="C743" s="58" t="s">
        <v>371</v>
      </c>
      <c r="D743" s="58" t="s">
        <v>371</v>
      </c>
      <c r="E743" s="8"/>
      <c r="F743" s="8"/>
      <c r="G743" s="107"/>
      <c r="H743" s="107"/>
      <c r="I743" s="108"/>
    </row>
    <row r="744" spans="2:9" ht="16.5">
      <c r="B744" s="1"/>
      <c r="C744" s="81" t="s">
        <v>2055</v>
      </c>
      <c r="D744" s="34" t="s">
        <v>3598</v>
      </c>
      <c r="E744" s="50"/>
      <c r="F744" s="12"/>
      <c r="G744" s="116"/>
      <c r="H744" s="116"/>
      <c r="I744" s="121"/>
    </row>
    <row r="745" spans="2:9" ht="17.25">
      <c r="B745" s="1"/>
      <c r="C745" s="81" t="s">
        <v>370</v>
      </c>
      <c r="D745" s="34" t="s">
        <v>3599</v>
      </c>
      <c r="E745" s="42">
        <v>1</v>
      </c>
      <c r="F745" s="53" t="s">
        <v>2807</v>
      </c>
      <c r="G745" s="109">
        <v>5100.24</v>
      </c>
      <c r="H745" s="109">
        <f>FLOOR(E745*G745,0.01)</f>
        <v>5100.24</v>
      </c>
      <c r="I745" s="9"/>
    </row>
    <row r="746" spans="2:9" ht="16.5">
      <c r="B746" s="1"/>
      <c r="C746" s="33"/>
      <c r="D746" s="78" t="s">
        <v>2065</v>
      </c>
      <c r="E746" s="51"/>
      <c r="F746" s="15"/>
      <c r="G746" s="122"/>
      <c r="H746" s="122"/>
      <c r="I746" s="123">
        <f>SUM(H745)</f>
        <v>5100.24</v>
      </c>
    </row>
    <row r="747" spans="2:9" ht="19.5">
      <c r="B747" s="1"/>
      <c r="C747" s="1"/>
      <c r="D747" s="1"/>
      <c r="E747" s="1"/>
      <c r="F747" s="1"/>
      <c r="G747" s="40" t="s">
        <v>1491</v>
      </c>
      <c r="H747" s="102"/>
      <c r="I747" s="63">
        <f>SUM(I743:I746)</f>
        <v>5100.24</v>
      </c>
    </row>
    <row r="748" spans="2:9" ht="19.5">
      <c r="B748" s="1"/>
      <c r="C748" s="1" t="s">
        <v>372</v>
      </c>
      <c r="D748" s="1"/>
      <c r="E748" s="1"/>
      <c r="F748" s="1"/>
      <c r="G748" s="40" t="s">
        <v>1471</v>
      </c>
      <c r="H748" s="102"/>
      <c r="I748" s="99">
        <f>FLOOR(I747*0.15,0.01)</f>
        <v>765.03</v>
      </c>
    </row>
    <row r="749" spans="2:9" ht="19.5">
      <c r="B749" s="27" t="s">
        <v>3005</v>
      </c>
      <c r="C749" s="99">
        <f>+I749</f>
        <v>5865.2699999999995</v>
      </c>
      <c r="D749" s="1" t="s">
        <v>3006</v>
      </c>
      <c r="E749" s="1"/>
      <c r="F749" s="1"/>
      <c r="G749" s="40" t="s">
        <v>1494</v>
      </c>
      <c r="H749" s="102"/>
      <c r="I749" s="99">
        <f>SUM(I747:I748)</f>
        <v>5865.2699999999995</v>
      </c>
    </row>
    <row r="750" spans="2:9" ht="27.75" customHeight="1">
      <c r="B750" s="138">
        <v>315</v>
      </c>
      <c r="C750" s="977" t="s">
        <v>3588</v>
      </c>
      <c r="D750" s="978"/>
      <c r="E750" s="978"/>
      <c r="F750" s="978"/>
      <c r="G750" s="978"/>
      <c r="H750" s="978"/>
      <c r="I750" s="978"/>
    </row>
    <row r="751" spans="2:9" ht="15">
      <c r="B751" s="1"/>
      <c r="C751" s="885" t="s">
        <v>1392</v>
      </c>
      <c r="D751" s="885"/>
      <c r="E751" s="885"/>
      <c r="F751" s="885"/>
      <c r="G751" s="885"/>
      <c r="H751" s="885"/>
      <c r="I751" s="885"/>
    </row>
    <row r="752" spans="2:9" ht="31.5">
      <c r="B752" s="1"/>
      <c r="C752" s="68" t="s">
        <v>2966</v>
      </c>
      <c r="D752" s="68" t="s">
        <v>2967</v>
      </c>
      <c r="E752" s="68" t="s">
        <v>2968</v>
      </c>
      <c r="F752" s="68" t="s">
        <v>2969</v>
      </c>
      <c r="G752" s="68" t="s">
        <v>2970</v>
      </c>
      <c r="H752" s="68" t="s">
        <v>2971</v>
      </c>
      <c r="I752" s="68" t="s">
        <v>1487</v>
      </c>
    </row>
    <row r="753" spans="2:9" ht="15.75">
      <c r="B753" s="1"/>
      <c r="C753" s="58" t="s">
        <v>371</v>
      </c>
      <c r="D753" s="58" t="s">
        <v>371</v>
      </c>
      <c r="E753" s="8"/>
      <c r="F753" s="8"/>
      <c r="G753" s="107"/>
      <c r="H753" s="107"/>
      <c r="I753" s="108"/>
    </row>
    <row r="754" spans="2:9" ht="16.5">
      <c r="B754" s="1"/>
      <c r="C754" s="81" t="s">
        <v>2055</v>
      </c>
      <c r="D754" s="34" t="s">
        <v>3598</v>
      </c>
      <c r="E754" s="50"/>
      <c r="F754" s="12"/>
      <c r="G754" s="116"/>
      <c r="H754" s="116"/>
      <c r="I754" s="121"/>
    </row>
    <row r="755" spans="2:9" ht="17.25">
      <c r="B755" s="1"/>
      <c r="C755" s="81" t="s">
        <v>370</v>
      </c>
      <c r="D755" s="34" t="s">
        <v>3599</v>
      </c>
      <c r="E755" s="42">
        <v>1</v>
      </c>
      <c r="F755" s="53" t="s">
        <v>2807</v>
      </c>
      <c r="G755" s="109">
        <v>5100.24</v>
      </c>
      <c r="H755" s="109">
        <f>FLOOR(E755*G755,0.01)</f>
        <v>5100.24</v>
      </c>
      <c r="I755" s="9"/>
    </row>
    <row r="756" spans="2:9" ht="16.5">
      <c r="B756" s="1"/>
      <c r="C756" s="33"/>
      <c r="D756" s="78" t="s">
        <v>2065</v>
      </c>
      <c r="E756" s="51"/>
      <c r="F756" s="15"/>
      <c r="G756" s="122"/>
      <c r="H756" s="122"/>
      <c r="I756" s="123">
        <f>SUM(H755)</f>
        <v>5100.24</v>
      </c>
    </row>
    <row r="757" spans="2:9" ht="19.5">
      <c r="B757" s="1"/>
      <c r="C757" s="1"/>
      <c r="D757" s="1"/>
      <c r="E757" s="1"/>
      <c r="F757" s="1"/>
      <c r="G757" s="40" t="s">
        <v>1491</v>
      </c>
      <c r="H757" s="102"/>
      <c r="I757" s="63">
        <f>SUM(I753:I756)</f>
        <v>5100.24</v>
      </c>
    </row>
    <row r="758" spans="2:9" ht="19.5">
      <c r="B758" s="1"/>
      <c r="C758" s="1" t="s">
        <v>372</v>
      </c>
      <c r="D758" s="1"/>
      <c r="E758" s="1"/>
      <c r="F758" s="1"/>
      <c r="G758" s="40" t="s">
        <v>1471</v>
      </c>
      <c r="H758" s="102"/>
      <c r="I758" s="99">
        <f>FLOOR(I757*0.15,0.01)</f>
        <v>765.03</v>
      </c>
    </row>
    <row r="759" spans="2:9" ht="19.5">
      <c r="B759" s="27" t="s">
        <v>3005</v>
      </c>
      <c r="C759" s="99">
        <f>+I759</f>
        <v>5865.2699999999995</v>
      </c>
      <c r="D759" s="1" t="s">
        <v>3006</v>
      </c>
      <c r="E759" s="1"/>
      <c r="F759" s="1"/>
      <c r="G759" s="40" t="s">
        <v>1494</v>
      </c>
      <c r="H759" s="102"/>
      <c r="I759" s="99">
        <f>SUM(I757:I758)</f>
        <v>5865.2699999999995</v>
      </c>
    </row>
    <row r="760" spans="2:9" ht="19.5">
      <c r="B760" s="27"/>
      <c r="C760" s="141"/>
      <c r="D760" s="1"/>
      <c r="E760" s="1"/>
      <c r="F760" s="1"/>
      <c r="G760" s="40"/>
      <c r="H760" s="102"/>
      <c r="I760" s="141"/>
    </row>
  </sheetData>
  <sheetProtection sheet="1" objects="1" scenarios="1" formatCells="0" formatColumns="0" formatRows="0" insertColumns="0" insertRows="0" deleteRows="0"/>
  <mergeCells count="194">
    <mergeCell ref="C751:I751"/>
    <mergeCell ref="N67:T67"/>
    <mergeCell ref="N68:T68"/>
    <mergeCell ref="C720:I720"/>
    <mergeCell ref="C721:I721"/>
    <mergeCell ref="C730:I730"/>
    <mergeCell ref="C731:I731"/>
    <mergeCell ref="C740:I740"/>
    <mergeCell ref="C741:I741"/>
    <mergeCell ref="C750:I750"/>
    <mergeCell ref="B611:H611"/>
    <mergeCell ref="B624:H624"/>
    <mergeCell ref="B575:H575"/>
    <mergeCell ref="B600:H600"/>
    <mergeCell ref="B625:H625"/>
    <mergeCell ref="B638:H638"/>
    <mergeCell ref="B601:H601"/>
    <mergeCell ref="B636:H636"/>
    <mergeCell ref="B637:H637"/>
    <mergeCell ref="B587:H587"/>
    <mergeCell ref="B588:H588"/>
    <mergeCell ref="B599:H599"/>
    <mergeCell ref="B612:H612"/>
    <mergeCell ref="B623:H623"/>
    <mergeCell ref="B576:H576"/>
    <mergeCell ref="B589:H589"/>
    <mergeCell ref="B602:H602"/>
    <mergeCell ref="B699:H699"/>
    <mergeCell ref="B680:H680"/>
    <mergeCell ref="B681:H681"/>
    <mergeCell ref="B682:H682"/>
    <mergeCell ref="B697:H697"/>
    <mergeCell ref="B445:H445"/>
    <mergeCell ref="B460:H460"/>
    <mergeCell ref="B494:H494"/>
    <mergeCell ref="B461:H461"/>
    <mergeCell ref="B698:H698"/>
    <mergeCell ref="B560:H560"/>
    <mergeCell ref="B663:H663"/>
    <mergeCell ref="B664:H664"/>
    <mergeCell ref="B665:H665"/>
    <mergeCell ref="B542:H542"/>
    <mergeCell ref="B543:H543"/>
    <mergeCell ref="B493:H493"/>
    <mergeCell ref="B586:H586"/>
    <mergeCell ref="B574:H574"/>
    <mergeCell ref="B573:H573"/>
    <mergeCell ref="B613:H613"/>
    <mergeCell ref="B614:H614"/>
    <mergeCell ref="B626:H626"/>
    <mergeCell ref="B639:H639"/>
    <mergeCell ref="B363:H363"/>
    <mergeCell ref="E355:E356"/>
    <mergeCell ref="B340:H340"/>
    <mergeCell ref="B443:H443"/>
    <mergeCell ref="B444:H444"/>
    <mergeCell ref="B558:H558"/>
    <mergeCell ref="B559:H559"/>
    <mergeCell ref="B509:H509"/>
    <mergeCell ref="B510:H510"/>
    <mergeCell ref="B511:H511"/>
    <mergeCell ref="B541:H541"/>
    <mergeCell ref="B395:H395"/>
    <mergeCell ref="B396:H396"/>
    <mergeCell ref="B398:B399"/>
    <mergeCell ref="C398:C399"/>
    <mergeCell ref="B437:H437"/>
    <mergeCell ref="B384:H384"/>
    <mergeCell ref="B373:H373"/>
    <mergeCell ref="B374:H374"/>
    <mergeCell ref="B376:B377"/>
    <mergeCell ref="C376:C377"/>
    <mergeCell ref="E376:E377"/>
    <mergeCell ref="B462:H462"/>
    <mergeCell ref="B492:H492"/>
    <mergeCell ref="B385:H385"/>
    <mergeCell ref="B387:B388"/>
    <mergeCell ref="C387:C388"/>
    <mergeCell ref="E387:E388"/>
    <mergeCell ref="B405:H405"/>
    <mergeCell ref="B406:H406"/>
    <mergeCell ref="B415:H415"/>
    <mergeCell ref="B416:H416"/>
    <mergeCell ref="B418:B419"/>
    <mergeCell ref="C418:C419"/>
    <mergeCell ref="E418:E419"/>
    <mergeCell ref="B408:B409"/>
    <mergeCell ref="C408:C409"/>
    <mergeCell ref="E408:E409"/>
    <mergeCell ref="E398:E399"/>
    <mergeCell ref="B323:H323"/>
    <mergeCell ref="B325:B326"/>
    <mergeCell ref="B140:H140"/>
    <mergeCell ref="B149:H149"/>
    <mergeCell ref="B150:H150"/>
    <mergeCell ref="B365:B366"/>
    <mergeCell ref="B342:B343"/>
    <mergeCell ref="B362:H362"/>
    <mergeCell ref="C365:C366"/>
    <mergeCell ref="E365:E366"/>
    <mergeCell ref="B355:B356"/>
    <mergeCell ref="C355:C356"/>
    <mergeCell ref="B279:H279"/>
    <mergeCell ref="B280:H280"/>
    <mergeCell ref="B282:B283"/>
    <mergeCell ref="B352:H352"/>
    <mergeCell ref="B344:B347"/>
    <mergeCell ref="B353:H353"/>
    <mergeCell ref="B322:H322"/>
    <mergeCell ref="B338:H338"/>
    <mergeCell ref="B339:H339"/>
    <mergeCell ref="B278:H278"/>
    <mergeCell ref="B337:H337"/>
    <mergeCell ref="B327:B328"/>
    <mergeCell ref="B309:H309"/>
    <mergeCell ref="B299:H299"/>
    <mergeCell ref="B300:H300"/>
    <mergeCell ref="B310:H310"/>
    <mergeCell ref="B311:H311"/>
    <mergeCell ref="B313:B314"/>
    <mergeCell ref="B284:B290"/>
    <mergeCell ref="B315:B316"/>
    <mergeCell ref="B302:B303"/>
    <mergeCell ref="C302:C303"/>
    <mergeCell ref="E302:E303"/>
    <mergeCell ref="B233:H233"/>
    <mergeCell ref="B245:H245"/>
    <mergeCell ref="B205:H205"/>
    <mergeCell ref="B269:B271"/>
    <mergeCell ref="B264:H264"/>
    <mergeCell ref="B218:H218"/>
    <mergeCell ref="B231:H231"/>
    <mergeCell ref="B232:H232"/>
    <mergeCell ref="B207:B209"/>
    <mergeCell ref="B217:H217"/>
    <mergeCell ref="B265:H265"/>
    <mergeCell ref="B267:B268"/>
    <mergeCell ref="B220:B222"/>
    <mergeCell ref="B246:H246"/>
    <mergeCell ref="B247:H247"/>
    <mergeCell ref="B204:H204"/>
    <mergeCell ref="B179:H179"/>
    <mergeCell ref="B180:H180"/>
    <mergeCell ref="B139:H139"/>
    <mergeCell ref="B177:H177"/>
    <mergeCell ref="B181:H181"/>
    <mergeCell ref="B151:H151"/>
    <mergeCell ref="B152:H152"/>
    <mergeCell ref="B125:H125"/>
    <mergeCell ref="B126:H126"/>
    <mergeCell ref="B127:H127"/>
    <mergeCell ref="B136:H136"/>
    <mergeCell ref="B153:H153"/>
    <mergeCell ref="B137:H137"/>
    <mergeCell ref="B138:H138"/>
    <mergeCell ref="B163:H163"/>
    <mergeCell ref="B164:H164"/>
    <mergeCell ref="B165:H165"/>
    <mergeCell ref="B166:H166"/>
    <mergeCell ref="B178:H178"/>
    <mergeCell ref="B47:H47"/>
    <mergeCell ref="B45:H45"/>
    <mergeCell ref="B46:H46"/>
    <mergeCell ref="B63:H63"/>
    <mergeCell ref="B62:H62"/>
    <mergeCell ref="B64:H64"/>
    <mergeCell ref="B44:H44"/>
    <mergeCell ref="B29:H29"/>
    <mergeCell ref="B30:H30"/>
    <mergeCell ref="B31:H31"/>
    <mergeCell ref="B97:H97"/>
    <mergeCell ref="B98:H98"/>
    <mergeCell ref="B99:H99"/>
    <mergeCell ref="B162:H162"/>
    <mergeCell ref="B5:H5"/>
    <mergeCell ref="B3:H3"/>
    <mergeCell ref="B7:B8"/>
    <mergeCell ref="B9:B12"/>
    <mergeCell ref="B4:H4"/>
    <mergeCell ref="B123:H123"/>
    <mergeCell ref="B124:H124"/>
    <mergeCell ref="B101:H101"/>
    <mergeCell ref="B100:H100"/>
    <mergeCell ref="B113:H113"/>
    <mergeCell ref="B110:H110"/>
    <mergeCell ref="B111:H111"/>
    <mergeCell ref="B112:H112"/>
    <mergeCell ref="B114:H114"/>
    <mergeCell ref="B18:H18"/>
    <mergeCell ref="B19:H19"/>
    <mergeCell ref="B67:B73"/>
    <mergeCell ref="B49:B55"/>
    <mergeCell ref="B34:B37"/>
    <mergeCell ref="B65:H65"/>
  </mergeCells>
  <pageMargins left="0.7" right="0.23" top="0.38" bottom="0.75" header="0.3" footer="0.3"/>
  <pageSetup scale="95" orientation="portrait" verticalDpi="0" r:id="rId1"/>
  <rowBreaks count="2" manualBreakCount="2">
    <brk id="684" min="1" max="8" man="1"/>
    <brk id="719" min="1" max="8"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H39"/>
  <sheetViews>
    <sheetView workbookViewId="0">
      <selection activeCell="G16" sqref="G16"/>
    </sheetView>
  </sheetViews>
  <sheetFormatPr defaultRowHeight="12.75"/>
  <cols>
    <col min="1" max="1" width="7.28515625" customWidth="1"/>
    <col min="2" max="2" width="13" customWidth="1"/>
    <col min="3" max="3" width="20.7109375" customWidth="1"/>
    <col min="4" max="4" width="10.5703125" customWidth="1"/>
    <col min="5" max="5" width="12" customWidth="1"/>
    <col min="6" max="6" width="14.28515625" customWidth="1"/>
    <col min="7" max="7" width="16.28515625" customWidth="1"/>
    <col min="8" max="8" width="15" customWidth="1"/>
  </cols>
  <sheetData>
    <row r="1" spans="1:8" ht="20.25">
      <c r="A1" s="260" t="e">
        <f>+#REF!+1</f>
        <v>#REF!</v>
      </c>
      <c r="B1" s="877" t="s">
        <v>579</v>
      </c>
      <c r="C1" s="878"/>
      <c r="D1" s="878"/>
      <c r="E1" s="878"/>
      <c r="F1" s="878"/>
      <c r="G1" s="878"/>
      <c r="H1" s="878"/>
    </row>
    <row r="2" spans="1:8" ht="14.25">
      <c r="A2" s="677" t="s">
        <v>3691</v>
      </c>
      <c r="B2" s="879" t="s">
        <v>1379</v>
      </c>
      <c r="C2" s="879"/>
      <c r="D2" s="879"/>
      <c r="E2" s="879"/>
      <c r="F2" s="879"/>
      <c r="G2" s="879"/>
      <c r="H2" s="879"/>
    </row>
    <row r="3" spans="1:8" ht="31.5">
      <c r="A3" s="1"/>
      <c r="B3" s="68" t="s">
        <v>2966</v>
      </c>
      <c r="C3" s="68" t="s">
        <v>2967</v>
      </c>
      <c r="D3" s="68" t="s">
        <v>2968</v>
      </c>
      <c r="E3" s="68" t="s">
        <v>2969</v>
      </c>
      <c r="F3" s="68" t="s">
        <v>2970</v>
      </c>
      <c r="G3" s="68" t="s">
        <v>2971</v>
      </c>
      <c r="H3" s="68" t="s">
        <v>1487</v>
      </c>
    </row>
    <row r="4" spans="1:8" ht="17.25">
      <c r="A4" s="27"/>
      <c r="B4" s="889" t="s">
        <v>520</v>
      </c>
      <c r="C4" s="80" t="s">
        <v>686</v>
      </c>
      <c r="D4" s="50">
        <v>9</v>
      </c>
      <c r="E4" s="53" t="s">
        <v>1490</v>
      </c>
      <c r="F4" s="116">
        <v>865</v>
      </c>
      <c r="G4" s="107">
        <f>FLOOR(D4*F4,0.01)</f>
        <v>7785</v>
      </c>
      <c r="H4" s="108"/>
    </row>
    <row r="5" spans="1:8" ht="17.25">
      <c r="A5" s="1"/>
      <c r="B5" s="942"/>
      <c r="C5" s="78" t="s">
        <v>521</v>
      </c>
      <c r="D5" s="51">
        <v>5</v>
      </c>
      <c r="E5" s="56" t="s">
        <v>1490</v>
      </c>
      <c r="F5" s="122">
        <v>635</v>
      </c>
      <c r="G5" s="109">
        <f>FLOOR(D5*F5,0.01)</f>
        <v>3175</v>
      </c>
      <c r="H5" s="123">
        <f>SUM(G4+G5)</f>
        <v>10960</v>
      </c>
    </row>
    <row r="6" spans="1:8" ht="18">
      <c r="A6" s="1"/>
      <c r="B6" s="889" t="s">
        <v>2055</v>
      </c>
      <c r="C6" s="58" t="s">
        <v>2772</v>
      </c>
      <c r="D6" s="110"/>
      <c r="E6" s="55"/>
      <c r="F6" s="107"/>
      <c r="G6" s="131"/>
      <c r="H6" s="131"/>
    </row>
    <row r="7" spans="1:8" ht="17.25">
      <c r="A7" s="1"/>
      <c r="B7" s="942"/>
      <c r="C7" s="78" t="s">
        <v>1427</v>
      </c>
      <c r="D7" s="43">
        <v>16</v>
      </c>
      <c r="E7" s="56" t="s">
        <v>2517</v>
      </c>
      <c r="F7" s="63">
        <v>509</v>
      </c>
      <c r="G7" s="63">
        <f>FLOOR(D7*F7,0.01)</f>
        <v>8144</v>
      </c>
      <c r="H7" s="123">
        <f>G7</f>
        <v>8144</v>
      </c>
    </row>
    <row r="8" spans="1:8" ht="17.25">
      <c r="A8" s="1"/>
      <c r="B8" s="1"/>
      <c r="C8" s="1"/>
      <c r="D8" s="1"/>
      <c r="E8" s="1"/>
      <c r="F8" s="40" t="s">
        <v>1491</v>
      </c>
      <c r="G8" s="206"/>
      <c r="H8" s="63">
        <f>SUM(H5:H7)</f>
        <v>19104</v>
      </c>
    </row>
    <row r="9" spans="1:8" ht="19.5">
      <c r="A9" s="1"/>
      <c r="B9" s="1" t="s">
        <v>1493</v>
      </c>
      <c r="C9" s="1"/>
      <c r="D9" s="1"/>
      <c r="E9" s="1"/>
      <c r="F9" s="40" t="s">
        <v>1471</v>
      </c>
      <c r="G9" s="102"/>
      <c r="H9" s="99">
        <f>FLOOR(H8*0.15,0.01)</f>
        <v>2865.6</v>
      </c>
    </row>
    <row r="10" spans="1:8" ht="19.5">
      <c r="A10" s="27"/>
      <c r="B10" s="140">
        <f>+H10</f>
        <v>21969.599999999999</v>
      </c>
      <c r="C10" s="27" t="s">
        <v>3801</v>
      </c>
      <c r="D10" s="99">
        <f>INT(B10/B11*100)/100</f>
        <v>219.69</v>
      </c>
      <c r="E10" s="1" t="s">
        <v>3006</v>
      </c>
      <c r="F10" s="40" t="s">
        <v>1494</v>
      </c>
      <c r="G10" s="102"/>
      <c r="H10" s="99">
        <f>SUM(H8:H9)</f>
        <v>21969.599999999999</v>
      </c>
    </row>
    <row r="11" spans="1:8" ht="16.5">
      <c r="A11" s="1"/>
      <c r="B11" s="88">
        <v>100</v>
      </c>
      <c r="C11" s="1"/>
      <c r="D11" s="1"/>
      <c r="E11" s="1"/>
      <c r="F11" s="1"/>
      <c r="G11" s="1"/>
      <c r="H11" s="1"/>
    </row>
    <row r="14" spans="1:8" ht="20.25">
      <c r="A14" s="260">
        <f>+A3+1</f>
        <v>1</v>
      </c>
      <c r="B14" s="877" t="s">
        <v>3840</v>
      </c>
      <c r="C14" s="878"/>
      <c r="D14" s="878"/>
      <c r="E14" s="878"/>
      <c r="F14" s="878"/>
      <c r="G14" s="878"/>
      <c r="H14" s="878"/>
    </row>
    <row r="15" spans="1:8" ht="15">
      <c r="A15" s="15" t="s">
        <v>109</v>
      </c>
      <c r="B15" s="879" t="s">
        <v>1379</v>
      </c>
      <c r="C15" s="879"/>
      <c r="D15" s="879"/>
      <c r="E15" s="879"/>
      <c r="F15" s="879"/>
      <c r="G15" s="879"/>
      <c r="H15" s="879"/>
    </row>
    <row r="16" spans="1:8" ht="31.5">
      <c r="A16" s="1"/>
      <c r="B16" s="68" t="s">
        <v>2966</v>
      </c>
      <c r="C16" s="68" t="s">
        <v>2967</v>
      </c>
      <c r="D16" s="68" t="s">
        <v>2968</v>
      </c>
      <c r="E16" s="68" t="s">
        <v>2969</v>
      </c>
      <c r="F16" s="68" t="s">
        <v>2970</v>
      </c>
      <c r="G16" s="68" t="s">
        <v>2971</v>
      </c>
      <c r="H16" s="68" t="s">
        <v>1487</v>
      </c>
    </row>
    <row r="17" spans="1:8" ht="17.25">
      <c r="A17" s="27"/>
      <c r="B17" s="889" t="s">
        <v>520</v>
      </c>
      <c r="C17" s="80" t="s">
        <v>686</v>
      </c>
      <c r="D17" s="42">
        <f>1.8+2</f>
        <v>3.8</v>
      </c>
      <c r="E17" s="53" t="s">
        <v>1490</v>
      </c>
      <c r="F17" s="116">
        <v>865</v>
      </c>
      <c r="G17" s="107">
        <f>FLOOR(D17*F17,0.01)</f>
        <v>3287</v>
      </c>
      <c r="H17" s="108"/>
    </row>
    <row r="18" spans="1:8" ht="17.25">
      <c r="A18" s="1"/>
      <c r="B18" s="942"/>
      <c r="C18" s="78" t="s">
        <v>521</v>
      </c>
      <c r="D18" s="43">
        <f>1.8+2</f>
        <v>3.8</v>
      </c>
      <c r="E18" s="56" t="s">
        <v>1490</v>
      </c>
      <c r="F18" s="122">
        <v>635</v>
      </c>
      <c r="G18" s="63">
        <f>FLOOR(D18*F18,0.01)</f>
        <v>2413</v>
      </c>
      <c r="H18" s="123">
        <f>SUM(G17+G18)</f>
        <v>5700</v>
      </c>
    </row>
    <row r="19" spans="1:8" ht="17.25">
      <c r="A19" s="1"/>
      <c r="B19" s="889" t="s">
        <v>2055</v>
      </c>
      <c r="C19" s="80"/>
      <c r="D19" s="42"/>
      <c r="E19" s="53"/>
      <c r="F19" s="116"/>
      <c r="G19" s="116"/>
      <c r="H19" s="108"/>
    </row>
    <row r="20" spans="1:8" ht="31.5">
      <c r="A20" s="1"/>
      <c r="B20" s="943"/>
      <c r="C20" s="80" t="s">
        <v>3521</v>
      </c>
      <c r="D20" s="42">
        <v>16</v>
      </c>
      <c r="E20" s="53" t="s">
        <v>2517</v>
      </c>
      <c r="F20" s="109">
        <v>612</v>
      </c>
      <c r="G20" s="109">
        <f>FLOOR(D20*F20,0.01)</f>
        <v>9792</v>
      </c>
      <c r="H20" s="9"/>
    </row>
    <row r="21" spans="1:8" ht="19.5">
      <c r="A21" s="1"/>
      <c r="B21" s="896"/>
      <c r="C21" s="78"/>
      <c r="D21" s="43"/>
      <c r="E21" s="56"/>
      <c r="F21" s="122"/>
      <c r="G21" s="130"/>
      <c r="H21" s="123">
        <f>SUM(G20+G21+G22)</f>
        <v>9792</v>
      </c>
    </row>
    <row r="22" spans="1:8" ht="19.5">
      <c r="A22" s="3"/>
      <c r="B22" s="1"/>
      <c r="C22" s="1"/>
      <c r="D22" s="1"/>
      <c r="E22" s="1"/>
      <c r="F22" s="40" t="s">
        <v>1491</v>
      </c>
      <c r="G22" s="102"/>
      <c r="H22" s="63">
        <f>SUM(H18:H21)</f>
        <v>15492</v>
      </c>
    </row>
    <row r="23" spans="1:8" ht="19.5">
      <c r="A23" s="1"/>
      <c r="B23" s="1" t="s">
        <v>1493</v>
      </c>
      <c r="C23" s="1"/>
      <c r="D23" s="1"/>
      <c r="E23" s="1"/>
      <c r="F23" s="40" t="s">
        <v>1471</v>
      </c>
      <c r="G23" s="102"/>
      <c r="H23" s="99">
        <f>FLOOR(H22*0.15,0.01)</f>
        <v>2323.8000000000002</v>
      </c>
    </row>
    <row r="24" spans="1:8" ht="19.5">
      <c r="A24" s="27"/>
      <c r="B24" s="140">
        <f>+H24</f>
        <v>17815.8</v>
      </c>
      <c r="C24" s="27" t="s">
        <v>3801</v>
      </c>
      <c r="D24" s="99">
        <f>FLOOR(B24/B25,0.01)</f>
        <v>178.15</v>
      </c>
      <c r="E24" s="1" t="s">
        <v>3006</v>
      </c>
      <c r="F24" s="40" t="s">
        <v>1494</v>
      </c>
      <c r="G24" s="102"/>
      <c r="H24" s="99">
        <f>SUM(H22:H23)</f>
        <v>17815.8</v>
      </c>
    </row>
    <row r="25" spans="1:8" ht="19.5">
      <c r="A25" s="27"/>
      <c r="B25" s="88">
        <v>100</v>
      </c>
      <c r="C25" s="27"/>
      <c r="D25" s="141"/>
      <c r="E25" s="1"/>
      <c r="F25" s="40"/>
      <c r="G25" s="102"/>
      <c r="H25" s="141"/>
    </row>
    <row r="28" spans="1:8" ht="20.25">
      <c r="A28" s="260">
        <f>+A17+1</f>
        <v>1</v>
      </c>
      <c r="B28" s="877" t="s">
        <v>3847</v>
      </c>
      <c r="C28" s="878"/>
      <c r="D28" s="878"/>
      <c r="E28" s="878"/>
      <c r="F28" s="878"/>
      <c r="G28" s="878"/>
      <c r="H28" s="878"/>
    </row>
    <row r="29" spans="1:8" ht="15">
      <c r="A29" s="15" t="s">
        <v>109</v>
      </c>
      <c r="B29" s="879" t="s">
        <v>1379</v>
      </c>
      <c r="C29" s="879"/>
      <c r="D29" s="879"/>
      <c r="E29" s="879"/>
      <c r="F29" s="879"/>
      <c r="G29" s="879"/>
      <c r="H29" s="879"/>
    </row>
    <row r="30" spans="1:8" ht="31.5">
      <c r="A30" s="1"/>
      <c r="B30" s="68" t="s">
        <v>2966</v>
      </c>
      <c r="C30" s="68" t="s">
        <v>2967</v>
      </c>
      <c r="D30" s="68" t="s">
        <v>2968</v>
      </c>
      <c r="E30" s="68" t="s">
        <v>2969</v>
      </c>
      <c r="F30" s="68" t="s">
        <v>2970</v>
      </c>
      <c r="G30" s="68" t="s">
        <v>2971</v>
      </c>
      <c r="H30" s="68" t="s">
        <v>1487</v>
      </c>
    </row>
    <row r="31" spans="1:8" ht="17.25">
      <c r="A31" s="27"/>
      <c r="B31" s="889" t="s">
        <v>520</v>
      </c>
      <c r="C31" s="80" t="s">
        <v>686</v>
      </c>
      <c r="D31" s="42">
        <v>12</v>
      </c>
      <c r="E31" s="53" t="s">
        <v>1490</v>
      </c>
      <c r="F31" s="116">
        <v>865</v>
      </c>
      <c r="G31" s="107">
        <f>FLOOR(D31*F31,0.01)</f>
        <v>10380</v>
      </c>
      <c r="H31" s="108"/>
    </row>
    <row r="32" spans="1:8" ht="17.25">
      <c r="A32" s="1"/>
      <c r="B32" s="942"/>
      <c r="C32" s="78" t="s">
        <v>521</v>
      </c>
      <c r="D32" s="43">
        <v>8</v>
      </c>
      <c r="E32" s="56" t="s">
        <v>1490</v>
      </c>
      <c r="F32" s="122">
        <v>635</v>
      </c>
      <c r="G32" s="63">
        <f>FLOOR(D32*F32,0.01)</f>
        <v>5080</v>
      </c>
      <c r="H32" s="123">
        <f>SUM(G31+G32)</f>
        <v>15460</v>
      </c>
    </row>
    <row r="33" spans="1:8" ht="17.25">
      <c r="A33" s="1"/>
      <c r="B33" s="889" t="s">
        <v>2055</v>
      </c>
      <c r="C33" s="80"/>
      <c r="D33" s="42"/>
      <c r="E33" s="53"/>
      <c r="F33" s="116"/>
      <c r="G33" s="116"/>
      <c r="H33" s="108"/>
    </row>
    <row r="34" spans="1:8" ht="17.25">
      <c r="A34" s="1"/>
      <c r="B34" s="943"/>
      <c r="C34" s="80" t="s">
        <v>3848</v>
      </c>
      <c r="D34" s="42">
        <v>23.93</v>
      </c>
      <c r="E34" s="53" t="s">
        <v>2517</v>
      </c>
      <c r="F34" s="109">
        <v>619</v>
      </c>
      <c r="G34" s="109">
        <f>FLOOR(D34*F34,0.01)</f>
        <v>14812.67</v>
      </c>
      <c r="H34" s="9"/>
    </row>
    <row r="35" spans="1:8" ht="17.25">
      <c r="A35" s="1"/>
      <c r="B35" s="896"/>
      <c r="C35" s="78" t="s">
        <v>2660</v>
      </c>
      <c r="D35" s="43">
        <v>4</v>
      </c>
      <c r="E35" s="56" t="s">
        <v>699</v>
      </c>
      <c r="F35" s="122">
        <v>6</v>
      </c>
      <c r="G35" s="109">
        <f>FLOOR(D35*F35,0.01)</f>
        <v>24</v>
      </c>
      <c r="H35" s="123">
        <f>SUM(G34+G35+G36)</f>
        <v>14836.67</v>
      </c>
    </row>
    <row r="36" spans="1:8" ht="19.5">
      <c r="A36" s="3"/>
      <c r="B36" s="1"/>
      <c r="C36" s="1"/>
      <c r="D36" s="1"/>
      <c r="E36" s="1"/>
      <c r="F36" s="40" t="s">
        <v>1491</v>
      </c>
      <c r="G36" s="102"/>
      <c r="H36" s="63">
        <f>SUM(H32:H35)</f>
        <v>30296.67</v>
      </c>
    </row>
    <row r="37" spans="1:8" ht="19.5">
      <c r="A37" s="1"/>
      <c r="B37" s="1" t="s">
        <v>1493</v>
      </c>
      <c r="C37" s="1"/>
      <c r="D37" s="1"/>
      <c r="E37" s="1"/>
      <c r="F37" s="40" t="s">
        <v>1471</v>
      </c>
      <c r="G37" s="102"/>
      <c r="H37" s="99">
        <f>FLOOR(H36*0.15,0.01)</f>
        <v>4544.5</v>
      </c>
    </row>
    <row r="38" spans="1:8" ht="19.5">
      <c r="A38" s="27"/>
      <c r="B38" s="140">
        <f>+H38</f>
        <v>34841.17</v>
      </c>
      <c r="C38" s="27" t="s">
        <v>3801</v>
      </c>
      <c r="D38" s="99">
        <f>FLOOR(B38/B39,0.01)</f>
        <v>348.41</v>
      </c>
      <c r="E38" s="1" t="s">
        <v>3006</v>
      </c>
      <c r="F38" s="40" t="s">
        <v>1494</v>
      </c>
      <c r="G38" s="102"/>
      <c r="H38" s="99">
        <f>SUM(H36:H37)</f>
        <v>34841.17</v>
      </c>
    </row>
    <row r="39" spans="1:8" ht="19.5">
      <c r="A39" s="27"/>
      <c r="B39" s="88">
        <v>100</v>
      </c>
      <c r="C39" s="27"/>
      <c r="D39" s="141"/>
      <c r="E39" s="1"/>
      <c r="F39" s="40"/>
      <c r="G39" s="102"/>
      <c r="H39" s="141"/>
    </row>
  </sheetData>
  <mergeCells count="12">
    <mergeCell ref="B33:B35"/>
    <mergeCell ref="B1:H1"/>
    <mergeCell ref="B2:H2"/>
    <mergeCell ref="B4:B5"/>
    <mergeCell ref="B6:B7"/>
    <mergeCell ref="B14:H14"/>
    <mergeCell ref="B15:H15"/>
    <mergeCell ref="B17:B18"/>
    <mergeCell ref="B19:B21"/>
    <mergeCell ref="B28:H28"/>
    <mergeCell ref="B29:H29"/>
    <mergeCell ref="B31:B3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2:H455"/>
  <sheetViews>
    <sheetView topLeftCell="A361" workbookViewId="0">
      <selection activeCell="K455" sqref="K455"/>
    </sheetView>
  </sheetViews>
  <sheetFormatPr defaultRowHeight="12.75" outlineLevelRow="1"/>
  <cols>
    <col min="1" max="1" width="8" customWidth="1"/>
    <col min="2" max="2" width="13" customWidth="1"/>
    <col min="3" max="3" width="20.7109375" customWidth="1"/>
    <col min="4" max="4" width="10.5703125" customWidth="1"/>
    <col min="5" max="5" width="12" customWidth="1"/>
    <col min="6" max="6" width="14.28515625" customWidth="1"/>
    <col min="7" max="7" width="16.28515625" customWidth="1"/>
    <col min="8" max="8" width="15" customWidth="1"/>
  </cols>
  <sheetData>
    <row r="2" spans="1:8" ht="18.75">
      <c r="A2" s="260">
        <v>5</v>
      </c>
      <c r="B2" s="891" t="s">
        <v>3256</v>
      </c>
      <c r="C2" s="891"/>
      <c r="D2" s="891"/>
      <c r="E2" s="891"/>
      <c r="F2" s="891"/>
      <c r="G2" s="891"/>
      <c r="H2" s="891"/>
    </row>
    <row r="3" spans="1:8" ht="18">
      <c r="A3" s="582" t="s">
        <v>3269</v>
      </c>
      <c r="B3" s="891"/>
      <c r="C3" s="891"/>
      <c r="D3" s="891"/>
      <c r="E3" s="891"/>
      <c r="F3" s="891"/>
      <c r="G3" s="891"/>
      <c r="H3" s="891"/>
    </row>
    <row r="4" spans="1:8" ht="15">
      <c r="A4" s="1"/>
      <c r="B4" s="879" t="s">
        <v>2318</v>
      </c>
      <c r="C4" s="879"/>
      <c r="D4" s="879"/>
      <c r="E4" s="879"/>
      <c r="F4" s="879"/>
      <c r="G4" s="879"/>
      <c r="H4" s="879"/>
    </row>
    <row r="5" spans="1:8" ht="31.5">
      <c r="A5" s="1"/>
      <c r="B5" s="68" t="s">
        <v>2966</v>
      </c>
      <c r="C5" s="68" t="s">
        <v>2967</v>
      </c>
      <c r="D5" s="68" t="s">
        <v>2968</v>
      </c>
      <c r="E5" s="68" t="s">
        <v>2969</v>
      </c>
      <c r="F5" s="68" t="s">
        <v>2970</v>
      </c>
      <c r="G5" s="68" t="s">
        <v>2971</v>
      </c>
      <c r="H5" s="68" t="s">
        <v>1487</v>
      </c>
    </row>
    <row r="6" spans="1:8" ht="17.25">
      <c r="A6" s="1"/>
      <c r="B6" s="64" t="s">
        <v>1488</v>
      </c>
      <c r="C6" s="64" t="s">
        <v>1489</v>
      </c>
      <c r="D6" s="248">
        <v>2.3E-2</v>
      </c>
      <c r="E6" s="64" t="s">
        <v>1490</v>
      </c>
      <c r="F6" s="171">
        <v>670</v>
      </c>
      <c r="G6" s="99">
        <f>FLOOR(D6*F6,0.01)</f>
        <v>15.41</v>
      </c>
      <c r="H6" s="99">
        <f>(G6)</f>
        <v>15.41</v>
      </c>
    </row>
    <row r="7" spans="1:8" ht="17.25">
      <c r="A7" s="1"/>
      <c r="B7" s="1"/>
      <c r="C7" s="1"/>
      <c r="D7" s="1"/>
      <c r="E7" s="1"/>
      <c r="F7" s="40" t="s">
        <v>1491</v>
      </c>
      <c r="G7" s="40"/>
      <c r="H7" s="7">
        <f>SUM(G6)</f>
        <v>15.41</v>
      </c>
    </row>
    <row r="8" spans="1:8" ht="17.25">
      <c r="A8" s="1"/>
      <c r="B8" s="1"/>
      <c r="C8" s="1"/>
      <c r="D8" s="1"/>
      <c r="E8" s="1"/>
      <c r="F8" s="40" t="s">
        <v>1492</v>
      </c>
      <c r="G8" s="40"/>
      <c r="H8" s="7">
        <f>FLOOR((H7*0.15*100)/100,0.01)</f>
        <v>2.31</v>
      </c>
    </row>
    <row r="9" spans="1:8" ht="17.25">
      <c r="A9" s="1"/>
      <c r="B9" s="1" t="s">
        <v>1493</v>
      </c>
      <c r="C9" s="1"/>
      <c r="D9" s="1"/>
      <c r="E9" s="1"/>
      <c r="F9" s="40" t="s">
        <v>1494</v>
      </c>
      <c r="G9" s="40"/>
      <c r="H9" s="99">
        <f>SUM(H7:H8)</f>
        <v>17.72</v>
      </c>
    </row>
    <row r="10" spans="1:8" ht="16.5">
      <c r="A10" s="27" t="s">
        <v>3005</v>
      </c>
      <c r="B10" s="99">
        <f>+H9</f>
        <v>17.72</v>
      </c>
      <c r="C10" s="1" t="s">
        <v>3006</v>
      </c>
      <c r="D10" s="1"/>
      <c r="E10" s="1"/>
      <c r="F10" s="1"/>
      <c r="G10" s="1"/>
      <c r="H10" s="1"/>
    </row>
    <row r="12" spans="1:8" ht="17.25">
      <c r="A12" s="27"/>
      <c r="B12" s="141"/>
      <c r="C12" s="1"/>
      <c r="D12" s="1"/>
      <c r="E12" s="1"/>
      <c r="F12" s="40"/>
      <c r="G12" s="67"/>
      <c r="H12" s="141"/>
    </row>
    <row r="13" spans="1:8" ht="18.75">
      <c r="A13" s="260" t="e">
        <f>+#REF!+1</f>
        <v>#REF!</v>
      </c>
      <c r="B13" s="891" t="s">
        <v>1572</v>
      </c>
      <c r="C13" s="891"/>
      <c r="D13" s="891"/>
      <c r="E13" s="891"/>
      <c r="F13" s="891"/>
      <c r="G13" s="891"/>
      <c r="H13" s="891"/>
    </row>
    <row r="14" spans="1:8" ht="18">
      <c r="A14" s="582" t="s">
        <v>3605</v>
      </c>
      <c r="B14" s="891" t="s">
        <v>1573</v>
      </c>
      <c r="C14" s="891"/>
      <c r="D14" s="891"/>
      <c r="E14" s="891"/>
      <c r="F14" s="891"/>
      <c r="G14" s="891"/>
      <c r="H14" s="891"/>
    </row>
    <row r="15" spans="1:8" ht="15">
      <c r="A15" s="1"/>
      <c r="B15" s="879" t="s">
        <v>2231</v>
      </c>
      <c r="C15" s="879"/>
      <c r="D15" s="879"/>
      <c r="E15" s="879"/>
      <c r="F15" s="879"/>
      <c r="G15" s="879"/>
      <c r="H15" s="879"/>
    </row>
    <row r="16" spans="1:8" ht="31.5">
      <c r="A16" s="1"/>
      <c r="B16" s="68" t="s">
        <v>2966</v>
      </c>
      <c r="C16" s="68" t="s">
        <v>2967</v>
      </c>
      <c r="D16" s="68" t="s">
        <v>2968</v>
      </c>
      <c r="E16" s="68" t="s">
        <v>2969</v>
      </c>
      <c r="F16" s="68" t="s">
        <v>2970</v>
      </c>
      <c r="G16" s="68" t="s">
        <v>2971</v>
      </c>
      <c r="H16" s="68" t="s">
        <v>1487</v>
      </c>
    </row>
    <row r="17" spans="1:8" ht="16.5">
      <c r="A17" s="1"/>
      <c r="B17" s="68" t="s">
        <v>1488</v>
      </c>
      <c r="C17" s="68" t="s">
        <v>1489</v>
      </c>
      <c r="D17" s="246">
        <v>0.7</v>
      </c>
      <c r="E17" s="68" t="s">
        <v>1490</v>
      </c>
      <c r="F17" s="101">
        <v>670</v>
      </c>
      <c r="G17" s="99">
        <f>FLOOR(D17*F17,0.01)</f>
        <v>469</v>
      </c>
      <c r="H17" s="99">
        <f>(G17)</f>
        <v>469</v>
      </c>
    </row>
    <row r="18" spans="1:8" ht="15.75">
      <c r="A18" s="1"/>
      <c r="B18" s="70" t="s">
        <v>1879</v>
      </c>
      <c r="C18" s="71" t="s">
        <v>1880</v>
      </c>
      <c r="D18" s="25"/>
      <c r="E18" s="25"/>
      <c r="F18" s="105"/>
      <c r="G18" s="104"/>
      <c r="H18" s="101">
        <f>INT(H17*0.03*100)/100</f>
        <v>14.07</v>
      </c>
    </row>
    <row r="19" spans="1:8" ht="15.75">
      <c r="A19" s="1"/>
      <c r="B19" s="1"/>
      <c r="C19" s="1"/>
      <c r="D19" s="1"/>
      <c r="E19" s="1"/>
      <c r="F19" s="40" t="s">
        <v>1491</v>
      </c>
      <c r="G19" s="40"/>
      <c r="H19" s="101">
        <f>SUM(H17:H18)</f>
        <v>483.07</v>
      </c>
    </row>
    <row r="20" spans="1:8" ht="17.25">
      <c r="A20" s="1"/>
      <c r="B20" s="1"/>
      <c r="C20" s="1"/>
      <c r="D20" s="1"/>
      <c r="E20" s="1"/>
      <c r="F20" s="40" t="s">
        <v>1472</v>
      </c>
      <c r="G20" s="40"/>
      <c r="H20" s="99">
        <f>FLOOR(H19*0.15,0.01)</f>
        <v>72.460000000000008</v>
      </c>
    </row>
    <row r="21" spans="1:8" ht="17.25">
      <c r="A21" s="1"/>
      <c r="B21" s="1" t="s">
        <v>3233</v>
      </c>
      <c r="C21" s="1"/>
      <c r="D21" s="1"/>
      <c r="E21" s="1"/>
      <c r="F21" s="40" t="s">
        <v>1494</v>
      </c>
      <c r="G21" s="40"/>
      <c r="H21" s="99">
        <f>SUM(H19:H20)</f>
        <v>555.53</v>
      </c>
    </row>
    <row r="22" spans="1:8" ht="16.5">
      <c r="A22" s="27" t="s">
        <v>3005</v>
      </c>
      <c r="B22" s="99">
        <f>+H21</f>
        <v>555.53</v>
      </c>
      <c r="C22" s="1" t="s">
        <v>3006</v>
      </c>
      <c r="D22" s="1"/>
      <c r="E22" s="1"/>
      <c r="F22" s="1"/>
      <c r="G22" s="1"/>
      <c r="H22" s="1"/>
    </row>
    <row r="24" spans="1:8" ht="18.75">
      <c r="A24" s="260" t="e">
        <f>A13+1</f>
        <v>#REF!</v>
      </c>
      <c r="B24" s="891" t="s">
        <v>2469</v>
      </c>
      <c r="C24" s="891"/>
      <c r="D24" s="891"/>
      <c r="E24" s="891"/>
      <c r="F24" s="891"/>
      <c r="G24" s="891"/>
      <c r="H24" s="891"/>
    </row>
    <row r="25" spans="1:8" ht="18">
      <c r="A25" s="582" t="s">
        <v>3606</v>
      </c>
      <c r="B25" s="891" t="s">
        <v>2768</v>
      </c>
      <c r="C25" s="891"/>
      <c r="D25" s="891"/>
      <c r="E25" s="891"/>
      <c r="F25" s="891"/>
      <c r="G25" s="891"/>
      <c r="H25" s="891"/>
    </row>
    <row r="26" spans="1:8" ht="15">
      <c r="A26" s="1"/>
      <c r="B26" s="879" t="s">
        <v>2231</v>
      </c>
      <c r="C26" s="879"/>
      <c r="D26" s="879"/>
      <c r="E26" s="879"/>
      <c r="F26" s="879"/>
      <c r="G26" s="879"/>
      <c r="H26" s="879"/>
    </row>
    <row r="27" spans="1:8" ht="31.5">
      <c r="A27" s="1"/>
      <c r="B27" s="68" t="s">
        <v>2966</v>
      </c>
      <c r="C27" s="68" t="s">
        <v>2967</v>
      </c>
      <c r="D27" s="68" t="s">
        <v>2968</v>
      </c>
      <c r="E27" s="68" t="s">
        <v>2969</v>
      </c>
      <c r="F27" s="68" t="s">
        <v>2970</v>
      </c>
      <c r="G27" s="68" t="s">
        <v>2971</v>
      </c>
      <c r="H27" s="68" t="s">
        <v>1487</v>
      </c>
    </row>
    <row r="28" spans="1:8" ht="16.5">
      <c r="A28" s="1"/>
      <c r="B28" s="58" t="s">
        <v>1488</v>
      </c>
      <c r="C28" s="58" t="s">
        <v>1489</v>
      </c>
      <c r="D28" s="85">
        <v>0.5</v>
      </c>
      <c r="E28" s="58" t="s">
        <v>1490</v>
      </c>
      <c r="F28" s="107">
        <v>670</v>
      </c>
      <c r="G28" s="110">
        <f>FLOOR(D28*F28,0.01)</f>
        <v>335</v>
      </c>
      <c r="H28" s="110">
        <f>+G28</f>
        <v>335</v>
      </c>
    </row>
    <row r="29" spans="1:8" ht="17.25">
      <c r="A29" s="1"/>
      <c r="B29" s="886" t="s">
        <v>2055</v>
      </c>
      <c r="C29" s="55"/>
      <c r="D29" s="85"/>
      <c r="E29" s="55"/>
      <c r="F29" s="107"/>
      <c r="G29" s="110"/>
      <c r="H29" s="110"/>
    </row>
    <row r="30" spans="1:8" ht="17.25">
      <c r="A30" s="1"/>
      <c r="B30" s="895"/>
      <c r="C30" s="56" t="s">
        <v>3275</v>
      </c>
      <c r="D30" s="250">
        <v>5</v>
      </c>
      <c r="E30" s="56" t="s">
        <v>3276</v>
      </c>
      <c r="F30" s="122">
        <v>0.31</v>
      </c>
      <c r="G30" s="63">
        <f>FLOOR(D30*F30,0.01)</f>
        <v>1.55</v>
      </c>
      <c r="H30" s="63">
        <f>+G30+G29</f>
        <v>1.55</v>
      </c>
    </row>
    <row r="31" spans="1:8" ht="17.25">
      <c r="A31" s="1"/>
      <c r="B31" s="1"/>
      <c r="C31" s="1"/>
      <c r="D31" s="1"/>
      <c r="E31" s="1"/>
      <c r="F31" s="40" t="s">
        <v>1491</v>
      </c>
      <c r="G31" s="113"/>
      <c r="H31" s="99">
        <f>SUM(H28:H30)</f>
        <v>336.55</v>
      </c>
    </row>
    <row r="32" spans="1:8" ht="17.25">
      <c r="A32" s="1"/>
      <c r="B32" s="1" t="s">
        <v>3233</v>
      </c>
      <c r="C32" s="1"/>
      <c r="D32" s="1"/>
      <c r="E32" s="1"/>
      <c r="F32" s="40" t="s">
        <v>1472</v>
      </c>
      <c r="G32" s="113"/>
      <c r="H32" s="99">
        <f>FLOOR(H31*0.15,0.01)</f>
        <v>50.480000000000004</v>
      </c>
    </row>
    <row r="33" spans="1:8" ht="17.25">
      <c r="A33" s="27" t="s">
        <v>3005</v>
      </c>
      <c r="B33" s="99">
        <f>+H33</f>
        <v>387.03000000000003</v>
      </c>
      <c r="C33" s="1" t="s">
        <v>3006</v>
      </c>
      <c r="D33" s="1"/>
      <c r="E33" s="1"/>
      <c r="F33" s="40" t="s">
        <v>1494</v>
      </c>
      <c r="G33" s="113"/>
      <c r="H33" s="99">
        <f>SUM(H31:H32)</f>
        <v>387.03000000000003</v>
      </c>
    </row>
    <row r="36" spans="1:8" ht="18.75">
      <c r="A36" s="260" t="e">
        <f>+A24+1</f>
        <v>#REF!</v>
      </c>
      <c r="B36" s="891" t="s">
        <v>3280</v>
      </c>
      <c r="C36" s="891"/>
      <c r="D36" s="891"/>
      <c r="E36" s="891"/>
      <c r="F36" s="891"/>
      <c r="G36" s="891"/>
      <c r="H36" s="891"/>
    </row>
    <row r="37" spans="1:8" ht="18">
      <c r="A37" s="582" t="s">
        <v>3607</v>
      </c>
      <c r="B37" s="897" t="s">
        <v>3278</v>
      </c>
      <c r="C37" s="891"/>
      <c r="D37" s="891"/>
      <c r="E37" s="891"/>
      <c r="F37" s="891"/>
      <c r="G37" s="891"/>
      <c r="H37" s="891"/>
    </row>
    <row r="38" spans="1:8" ht="15">
      <c r="A38" s="1"/>
      <c r="B38" s="879" t="s">
        <v>3279</v>
      </c>
      <c r="C38" s="879"/>
      <c r="D38" s="879"/>
      <c r="E38" s="879"/>
      <c r="F38" s="879"/>
      <c r="G38" s="879"/>
      <c r="H38" s="879"/>
    </row>
    <row r="39" spans="1:8" ht="31.5">
      <c r="A39" s="1"/>
      <c r="B39" s="68" t="s">
        <v>2966</v>
      </c>
      <c r="C39" s="68" t="s">
        <v>2967</v>
      </c>
      <c r="D39" s="68" t="s">
        <v>2968</v>
      </c>
      <c r="E39" s="68" t="s">
        <v>2969</v>
      </c>
      <c r="F39" s="68" t="s">
        <v>2970</v>
      </c>
      <c r="G39" s="68" t="s">
        <v>2971</v>
      </c>
      <c r="H39" s="68" t="s">
        <v>1487</v>
      </c>
    </row>
    <row r="40" spans="1:8" ht="17.25">
      <c r="A40" s="1"/>
      <c r="B40" s="64" t="s">
        <v>1488</v>
      </c>
      <c r="C40" s="64" t="s">
        <v>1489</v>
      </c>
      <c r="D40" s="248">
        <v>0.75</v>
      </c>
      <c r="E40" s="64" t="s">
        <v>1490</v>
      </c>
      <c r="F40" s="577">
        <v>670</v>
      </c>
      <c r="G40" s="99">
        <f>FLOOR(D40*F40,0.01)</f>
        <v>502.5</v>
      </c>
      <c r="H40" s="99">
        <f>(G40)</f>
        <v>502.5</v>
      </c>
    </row>
    <row r="41" spans="1:8" ht="17.25">
      <c r="A41" s="1"/>
      <c r="B41" s="66" t="s">
        <v>2055</v>
      </c>
      <c r="C41" s="64" t="s">
        <v>3444</v>
      </c>
      <c r="D41" s="586">
        <v>1.1000000000000001</v>
      </c>
      <c r="E41" s="64" t="s">
        <v>2232</v>
      </c>
      <c r="F41" s="656">
        <v>1871.43</v>
      </c>
      <c r="G41" s="99">
        <f>FLOOR(F41*D41,0.01)</f>
        <v>2058.5700000000002</v>
      </c>
      <c r="H41" s="99">
        <f>(G41)</f>
        <v>2058.5700000000002</v>
      </c>
    </row>
    <row r="42" spans="1:8" ht="17.25">
      <c r="A42" s="1"/>
      <c r="B42" s="1"/>
      <c r="C42" s="1"/>
      <c r="D42" s="1"/>
      <c r="E42" s="1"/>
      <c r="F42" s="40" t="s">
        <v>1491</v>
      </c>
      <c r="G42" s="578"/>
      <c r="H42" s="63">
        <f>SUM(H40:H41)</f>
        <v>2561.0700000000002</v>
      </c>
    </row>
    <row r="43" spans="1:8" ht="17.25">
      <c r="A43" s="1"/>
      <c r="B43" s="1" t="s">
        <v>3233</v>
      </c>
      <c r="C43" s="1"/>
      <c r="D43" s="1"/>
      <c r="E43" s="1"/>
      <c r="F43" s="40" t="s">
        <v>1472</v>
      </c>
      <c r="G43" s="67"/>
      <c r="H43" s="99">
        <f>FLOOR(H42*0.15,0.01)</f>
        <v>384.16</v>
      </c>
    </row>
    <row r="44" spans="1:8" ht="17.25">
      <c r="A44" s="27" t="s">
        <v>3005</v>
      </c>
      <c r="B44" s="99">
        <f>+H44</f>
        <v>2945.23</v>
      </c>
      <c r="C44" s="1" t="s">
        <v>3006</v>
      </c>
      <c r="D44" s="1"/>
      <c r="E44" s="1"/>
      <c r="F44" s="40" t="s">
        <v>1494</v>
      </c>
      <c r="G44" s="67"/>
      <c r="H44" s="99">
        <f>SUM(H42:H43)</f>
        <v>2945.23</v>
      </c>
    </row>
    <row r="45" spans="1:8" ht="15">
      <c r="A45" s="1"/>
      <c r="B45" s="1"/>
      <c r="C45" s="1"/>
      <c r="D45" s="1"/>
      <c r="E45" s="1"/>
      <c r="F45" s="1"/>
      <c r="G45" s="1"/>
      <c r="H45" s="1"/>
    </row>
    <row r="46" spans="1:8" ht="20.25">
      <c r="A46" s="260" t="e">
        <f>A33+1</f>
        <v>#VALUE!</v>
      </c>
      <c r="B46" s="877" t="s">
        <v>2320</v>
      </c>
      <c r="C46" s="878"/>
      <c r="D46" s="878"/>
      <c r="E46" s="878"/>
      <c r="F46" s="878"/>
      <c r="G46" s="878"/>
      <c r="H46" s="878"/>
    </row>
    <row r="47" spans="1:8" ht="15">
      <c r="A47" s="668" t="s">
        <v>3643</v>
      </c>
      <c r="B47" s="888" t="s">
        <v>1382</v>
      </c>
      <c r="C47" s="879"/>
      <c r="D47" s="879"/>
      <c r="E47" s="879"/>
      <c r="F47" s="879"/>
      <c r="G47" s="879"/>
      <c r="H47" s="879"/>
    </row>
    <row r="48" spans="1:8" ht="31.5">
      <c r="A48" s="1"/>
      <c r="B48" s="68" t="s">
        <v>2966</v>
      </c>
      <c r="C48" s="68" t="s">
        <v>2967</v>
      </c>
      <c r="D48" s="68" t="s">
        <v>2968</v>
      </c>
      <c r="E48" s="68" t="s">
        <v>2969</v>
      </c>
      <c r="F48" s="68" t="s">
        <v>2970</v>
      </c>
      <c r="G48" s="68" t="s">
        <v>2971</v>
      </c>
      <c r="H48" s="68" t="s">
        <v>1487</v>
      </c>
    </row>
    <row r="49" spans="1:8" ht="17.25">
      <c r="A49" s="1"/>
      <c r="B49" s="889" t="s">
        <v>1488</v>
      </c>
      <c r="C49" s="58" t="s">
        <v>516</v>
      </c>
      <c r="D49" s="41">
        <v>0.5</v>
      </c>
      <c r="E49" s="55" t="s">
        <v>1490</v>
      </c>
      <c r="F49" s="107">
        <v>910</v>
      </c>
      <c r="G49" s="107">
        <f>FLOOR(D49*F49,0.01)</f>
        <v>455</v>
      </c>
      <c r="H49" s="108"/>
    </row>
    <row r="50" spans="1:8" ht="17.25">
      <c r="A50" s="1"/>
      <c r="B50" s="887"/>
      <c r="C50" s="56" t="s">
        <v>1433</v>
      </c>
      <c r="D50" s="43">
        <v>1</v>
      </c>
      <c r="E50" s="56" t="s">
        <v>1490</v>
      </c>
      <c r="F50" s="63">
        <v>670</v>
      </c>
      <c r="G50" s="63">
        <f>FLOOR(D50*F50,0.01)</f>
        <v>670</v>
      </c>
      <c r="H50" s="121">
        <f>SUM(G49+G50)</f>
        <v>1125</v>
      </c>
    </row>
    <row r="51" spans="1:8" ht="17.25">
      <c r="A51" s="1"/>
      <c r="B51" s="886" t="s">
        <v>2055</v>
      </c>
      <c r="C51" s="55" t="s">
        <v>2321</v>
      </c>
      <c r="D51" s="41">
        <v>420</v>
      </c>
      <c r="E51" s="55" t="s">
        <v>699</v>
      </c>
      <c r="F51" s="110">
        <v>12.54</v>
      </c>
      <c r="G51" s="109">
        <f>FLOOR(D51*F51,0.01)</f>
        <v>5266.8</v>
      </c>
      <c r="H51" s="108"/>
    </row>
    <row r="52" spans="1:8" ht="17.25">
      <c r="A52" s="1"/>
      <c r="B52" s="887"/>
      <c r="C52" s="56" t="s">
        <v>2322</v>
      </c>
      <c r="D52" s="43">
        <v>0.71</v>
      </c>
      <c r="E52" s="56" t="s">
        <v>2232</v>
      </c>
      <c r="F52" s="63">
        <v>2718.87</v>
      </c>
      <c r="G52" s="63">
        <f>FLOOR(D52*F52,0.01)</f>
        <v>1930.39</v>
      </c>
      <c r="H52" s="123">
        <f>SUM(G51:G52)</f>
        <v>7197.1900000000005</v>
      </c>
    </row>
    <row r="53" spans="1:8" ht="19.5">
      <c r="A53" s="1"/>
      <c r="B53" s="1"/>
      <c r="C53" s="1"/>
      <c r="D53" s="1"/>
      <c r="E53" s="1"/>
      <c r="F53" s="40" t="s">
        <v>1491</v>
      </c>
      <c r="G53" s="102"/>
      <c r="H53" s="63">
        <f>SUM(H52,H50)</f>
        <v>8322.19</v>
      </c>
    </row>
    <row r="54" spans="1:8" ht="19.5">
      <c r="A54" s="1"/>
      <c r="B54" s="1" t="s">
        <v>1493</v>
      </c>
      <c r="C54" s="1"/>
      <c r="D54" s="1"/>
      <c r="E54" s="1"/>
      <c r="F54" s="40" t="s">
        <v>1472</v>
      </c>
      <c r="G54" s="102"/>
      <c r="H54" s="99">
        <f>FLOOR(H53*0.15,0.01)</f>
        <v>1248.32</v>
      </c>
    </row>
    <row r="55" spans="1:8" ht="19.5">
      <c r="B55" s="140">
        <f>+H55</f>
        <v>9570.51</v>
      </c>
      <c r="C55" s="27" t="s">
        <v>3801</v>
      </c>
      <c r="D55" s="99">
        <f>INT(B55/B56*100)/100</f>
        <v>957.05</v>
      </c>
      <c r="E55" s="1" t="s">
        <v>3006</v>
      </c>
      <c r="F55" s="40" t="s">
        <v>1494</v>
      </c>
      <c r="G55" s="102"/>
      <c r="H55" s="99">
        <f>SUM(H53:H54)</f>
        <v>9570.51</v>
      </c>
    </row>
    <row r="56" spans="1:8" ht="16.5">
      <c r="A56" s="1"/>
      <c r="B56" s="117">
        <v>10</v>
      </c>
      <c r="C56" s="1"/>
      <c r="D56" s="1"/>
      <c r="E56" s="1"/>
      <c r="F56" s="1"/>
      <c r="G56" s="1"/>
      <c r="H56" s="1"/>
    </row>
    <row r="58" spans="1:8" ht="16.5">
      <c r="A58" s="260" t="e">
        <f>+A44+1</f>
        <v>#VALUE!</v>
      </c>
      <c r="B58" s="1"/>
      <c r="C58" s="1"/>
      <c r="D58" s="1"/>
      <c r="E58" s="1"/>
      <c r="F58" s="1"/>
      <c r="G58" s="1"/>
      <c r="H58" s="1"/>
    </row>
    <row r="59" spans="1:8" ht="19.5">
      <c r="A59" s="582" t="s">
        <v>1731</v>
      </c>
      <c r="B59" s="878" t="s">
        <v>3531</v>
      </c>
      <c r="C59" s="878"/>
      <c r="D59" s="878"/>
      <c r="E59" s="878"/>
      <c r="F59" s="878"/>
      <c r="G59" s="878"/>
      <c r="H59" s="878"/>
    </row>
    <row r="60" spans="1:8" ht="19.5">
      <c r="A60" s="1"/>
      <c r="B60" s="909" t="s">
        <v>1311</v>
      </c>
      <c r="C60" s="878"/>
      <c r="D60" s="878"/>
      <c r="E60" s="878"/>
      <c r="F60" s="878"/>
      <c r="G60" s="878"/>
      <c r="H60" s="878"/>
    </row>
    <row r="61" spans="1:8" ht="15">
      <c r="A61" s="1"/>
      <c r="B61" s="879" t="s">
        <v>2231</v>
      </c>
      <c r="C61" s="879"/>
      <c r="D61" s="879"/>
      <c r="E61" s="879"/>
      <c r="F61" s="879"/>
      <c r="G61" s="879"/>
      <c r="H61" s="879"/>
    </row>
    <row r="62" spans="1:8" ht="31.5">
      <c r="A62" s="1"/>
      <c r="B62" s="68" t="s">
        <v>2966</v>
      </c>
      <c r="C62" s="68" t="s">
        <v>2967</v>
      </c>
      <c r="D62" s="68" t="s">
        <v>2968</v>
      </c>
      <c r="E62" s="68" t="s">
        <v>2969</v>
      </c>
      <c r="F62" s="68" t="s">
        <v>2970</v>
      </c>
      <c r="G62" s="68" t="s">
        <v>2971</v>
      </c>
      <c r="H62" s="68" t="s">
        <v>1487</v>
      </c>
    </row>
    <row r="63" spans="1:8" ht="17.25">
      <c r="A63" s="1"/>
      <c r="B63" s="886" t="s">
        <v>1488</v>
      </c>
      <c r="C63" s="58" t="s">
        <v>516</v>
      </c>
      <c r="D63" s="45">
        <v>1</v>
      </c>
      <c r="E63" s="55" t="s">
        <v>1490</v>
      </c>
      <c r="F63" s="107">
        <v>910</v>
      </c>
      <c r="G63" s="110">
        <f t="shared" ref="G63:G69" si="0">FLOOR(D63*F63,0.01)</f>
        <v>910</v>
      </c>
      <c r="H63" s="108"/>
    </row>
    <row r="64" spans="1:8" ht="17.25">
      <c r="A64" s="1"/>
      <c r="B64" s="887"/>
      <c r="C64" s="53" t="s">
        <v>1433</v>
      </c>
      <c r="D64" s="50">
        <v>4</v>
      </c>
      <c r="E64" s="53" t="s">
        <v>1490</v>
      </c>
      <c r="F64" s="109">
        <v>670</v>
      </c>
      <c r="G64" s="109">
        <f t="shared" si="0"/>
        <v>2680</v>
      </c>
      <c r="H64" s="121">
        <f>SUM(G63+G64)</f>
        <v>3590</v>
      </c>
    </row>
    <row r="65" spans="1:8" ht="17.25">
      <c r="A65" s="1"/>
      <c r="B65" s="886" t="s">
        <v>2055</v>
      </c>
      <c r="C65" s="55" t="s">
        <v>1436</v>
      </c>
      <c r="D65" s="238">
        <v>0.22</v>
      </c>
      <c r="E65" s="55" t="s">
        <v>700</v>
      </c>
      <c r="F65" s="110">
        <v>16100</v>
      </c>
      <c r="G65" s="110">
        <f t="shared" si="0"/>
        <v>3542</v>
      </c>
      <c r="H65" s="108"/>
    </row>
    <row r="66" spans="1:8" ht="17.25">
      <c r="A66" s="1"/>
      <c r="B66" s="894"/>
      <c r="C66" s="20" t="s">
        <v>552</v>
      </c>
      <c r="D66" s="239">
        <v>0.65</v>
      </c>
      <c r="E66" s="53" t="s">
        <v>2232</v>
      </c>
      <c r="F66" s="109">
        <v>2895.42</v>
      </c>
      <c r="G66" s="109">
        <f t="shared" si="0"/>
        <v>1882.02</v>
      </c>
      <c r="H66" s="9"/>
    </row>
    <row r="67" spans="1:8" ht="17.25">
      <c r="A67" s="1"/>
      <c r="B67" s="894"/>
      <c r="C67" s="21" t="s">
        <v>553</v>
      </c>
      <c r="D67" s="42">
        <v>0.24</v>
      </c>
      <c r="E67" s="53" t="s">
        <v>2232</v>
      </c>
      <c r="F67" s="109">
        <v>2966.04</v>
      </c>
      <c r="G67" s="109">
        <f t="shared" si="0"/>
        <v>711.84</v>
      </c>
      <c r="H67" s="121"/>
    </row>
    <row r="68" spans="1:8" ht="17.25">
      <c r="A68" s="1"/>
      <c r="B68" s="894"/>
      <c r="C68" s="53" t="s">
        <v>1931</v>
      </c>
      <c r="D68" s="42">
        <v>0.47</v>
      </c>
      <c r="E68" s="53" t="s">
        <v>2232</v>
      </c>
      <c r="F68" s="109">
        <v>2718.87</v>
      </c>
      <c r="G68" s="109">
        <f t="shared" si="0"/>
        <v>1277.8600000000001</v>
      </c>
      <c r="H68" s="121"/>
    </row>
    <row r="69" spans="1:8" ht="17.25">
      <c r="A69" s="1"/>
      <c r="B69" s="895"/>
      <c r="C69" s="56" t="s">
        <v>3275</v>
      </c>
      <c r="D69" s="43">
        <v>120</v>
      </c>
      <c r="E69" s="56" t="s">
        <v>3276</v>
      </c>
      <c r="F69" s="63">
        <v>0.31</v>
      </c>
      <c r="G69" s="63">
        <f t="shared" si="0"/>
        <v>37.200000000000003</v>
      </c>
      <c r="H69" s="123">
        <f>SUM(G65:G69)</f>
        <v>7450.920000000001</v>
      </c>
    </row>
    <row r="70" spans="1:8" ht="17.25">
      <c r="A70" s="1"/>
      <c r="B70" s="1"/>
      <c r="C70" s="1"/>
      <c r="D70" s="89"/>
      <c r="E70" s="1"/>
      <c r="F70" s="40" t="s">
        <v>1491</v>
      </c>
      <c r="G70" s="92"/>
      <c r="H70" s="63">
        <f>SUM(H69,H64)</f>
        <v>11040.920000000002</v>
      </c>
    </row>
    <row r="71" spans="1:8" ht="17.25">
      <c r="A71" s="1"/>
      <c r="B71" s="1" t="s">
        <v>3233</v>
      </c>
      <c r="C71" s="1"/>
      <c r="D71" s="1"/>
      <c r="E71" s="1"/>
      <c r="F71" s="40" t="s">
        <v>1472</v>
      </c>
      <c r="G71" s="92"/>
      <c r="H71" s="99">
        <f>FLOOR(H70*0.15,0.01)</f>
        <v>1656.13</v>
      </c>
    </row>
    <row r="72" spans="1:8" ht="17.25">
      <c r="A72" s="27" t="s">
        <v>3005</v>
      </c>
      <c r="B72" s="99">
        <f>+H72</f>
        <v>12697.050000000003</v>
      </c>
      <c r="C72" s="1" t="s">
        <v>3006</v>
      </c>
      <c r="D72" s="1"/>
      <c r="E72" s="1"/>
      <c r="F72" s="40" t="s">
        <v>1494</v>
      </c>
      <c r="G72" s="92"/>
      <c r="H72" s="99">
        <f>SUM(H70:H71)</f>
        <v>12697.050000000003</v>
      </c>
    </row>
    <row r="74" spans="1:8" ht="20.25">
      <c r="A74" s="260">
        <f>+A55+1</f>
        <v>1</v>
      </c>
      <c r="B74" s="878" t="s">
        <v>3306</v>
      </c>
      <c r="C74" s="878"/>
      <c r="D74" s="878"/>
      <c r="E74" s="878"/>
      <c r="F74" s="878"/>
      <c r="G74" s="878"/>
      <c r="H74" s="878"/>
    </row>
    <row r="75" spans="1:8" ht="19.5">
      <c r="A75" s="582" t="s">
        <v>3314</v>
      </c>
      <c r="B75" s="878" t="s">
        <v>1308</v>
      </c>
      <c r="C75" s="878"/>
      <c r="D75" s="878"/>
      <c r="E75" s="878"/>
      <c r="F75" s="878"/>
      <c r="G75" s="878"/>
      <c r="H75" s="878"/>
    </row>
    <row r="76" spans="1:8" ht="19.5">
      <c r="A76" s="1"/>
      <c r="B76" s="909" t="s">
        <v>3307</v>
      </c>
      <c r="C76" s="878"/>
      <c r="D76" s="878"/>
      <c r="E76" s="878"/>
      <c r="F76" s="878"/>
      <c r="G76" s="878"/>
      <c r="H76" s="878"/>
    </row>
    <row r="77" spans="1:8" ht="15">
      <c r="A77" s="1"/>
      <c r="B77" s="879" t="s">
        <v>2231</v>
      </c>
      <c r="C77" s="879"/>
      <c r="D77" s="879"/>
      <c r="E77" s="879"/>
      <c r="F77" s="879"/>
      <c r="G77" s="879"/>
      <c r="H77" s="879"/>
    </row>
    <row r="78" spans="1:8" ht="31.5">
      <c r="A78" s="1"/>
      <c r="B78" s="68" t="s">
        <v>2966</v>
      </c>
      <c r="C78" s="68" t="s">
        <v>2967</v>
      </c>
      <c r="D78" s="68" t="s">
        <v>2968</v>
      </c>
      <c r="E78" s="68" t="s">
        <v>2969</v>
      </c>
      <c r="F78" s="68" t="s">
        <v>2970</v>
      </c>
      <c r="G78" s="68" t="s">
        <v>2971</v>
      </c>
      <c r="H78" s="68" t="s">
        <v>1487</v>
      </c>
    </row>
    <row r="79" spans="1:8" ht="17.25">
      <c r="A79" s="1"/>
      <c r="B79" s="886" t="s">
        <v>1488</v>
      </c>
      <c r="C79" s="58" t="s">
        <v>516</v>
      </c>
      <c r="D79" s="41">
        <v>0.5</v>
      </c>
      <c r="E79" s="55" t="s">
        <v>1490</v>
      </c>
      <c r="F79" s="107">
        <v>910</v>
      </c>
      <c r="G79" s="110">
        <f t="shared" ref="G79:G89" si="1">FLOOR(D79*F79,0.01)</f>
        <v>455</v>
      </c>
      <c r="H79" s="108"/>
    </row>
    <row r="80" spans="1:8" ht="17.25">
      <c r="A80" s="1"/>
      <c r="B80" s="887"/>
      <c r="C80" s="53" t="s">
        <v>1433</v>
      </c>
      <c r="D80" s="42">
        <v>3.5</v>
      </c>
      <c r="E80" s="53" t="s">
        <v>1490</v>
      </c>
      <c r="F80" s="109">
        <v>670</v>
      </c>
      <c r="G80" s="109">
        <f t="shared" si="1"/>
        <v>2345</v>
      </c>
      <c r="H80" s="121">
        <f>SUM(G79+G80)</f>
        <v>2800</v>
      </c>
    </row>
    <row r="81" spans="1:8" ht="17.25">
      <c r="A81" s="1"/>
      <c r="B81" s="886" t="s">
        <v>2055</v>
      </c>
      <c r="C81" s="55" t="s">
        <v>1436</v>
      </c>
      <c r="D81" s="238">
        <v>0.4</v>
      </c>
      <c r="E81" s="55" t="s">
        <v>700</v>
      </c>
      <c r="F81" s="110">
        <v>16100</v>
      </c>
      <c r="G81" s="110">
        <f t="shared" si="1"/>
        <v>6440</v>
      </c>
      <c r="H81" s="108"/>
    </row>
    <row r="82" spans="1:8" ht="17.25">
      <c r="A82" s="1"/>
      <c r="B82" s="894"/>
      <c r="C82" s="21" t="s">
        <v>553</v>
      </c>
      <c r="D82" s="239">
        <v>0.56999999999999995</v>
      </c>
      <c r="E82" s="53" t="s">
        <v>2232</v>
      </c>
      <c r="F82" s="109">
        <v>2966.04</v>
      </c>
      <c r="G82" s="109">
        <f t="shared" si="1"/>
        <v>1690.64</v>
      </c>
      <c r="H82" s="9"/>
    </row>
    <row r="83" spans="1:8" ht="17.25">
      <c r="A83" s="1"/>
      <c r="B83" s="894"/>
      <c r="C83" s="20" t="s">
        <v>554</v>
      </c>
      <c r="D83" s="42">
        <v>0.28999999999999998</v>
      </c>
      <c r="E83" s="53" t="s">
        <v>2232</v>
      </c>
      <c r="F83" s="109">
        <v>2895.42</v>
      </c>
      <c r="G83" s="109">
        <f t="shared" si="1"/>
        <v>839.67000000000007</v>
      </c>
      <c r="H83" s="121"/>
    </row>
    <row r="84" spans="1:8" ht="17.25">
      <c r="A84" s="1"/>
      <c r="B84" s="894"/>
      <c r="C84" s="53" t="s">
        <v>1931</v>
      </c>
      <c r="D84" s="52">
        <v>0.42499999999999999</v>
      </c>
      <c r="E84" s="53" t="s">
        <v>2232</v>
      </c>
      <c r="F84" s="109">
        <v>2718.87</v>
      </c>
      <c r="G84" s="109">
        <f t="shared" si="1"/>
        <v>1155.51</v>
      </c>
      <c r="H84" s="121"/>
    </row>
    <row r="85" spans="1:8" ht="17.25">
      <c r="A85" s="1"/>
      <c r="B85" s="894"/>
      <c r="C85" s="53" t="s">
        <v>3275</v>
      </c>
      <c r="D85" s="42">
        <v>200</v>
      </c>
      <c r="E85" s="53" t="s">
        <v>3276</v>
      </c>
      <c r="F85" s="109">
        <v>0.31</v>
      </c>
      <c r="G85" s="109">
        <f t="shared" si="1"/>
        <v>62</v>
      </c>
      <c r="H85" s="121"/>
    </row>
    <row r="86" spans="1:8" ht="17.25">
      <c r="A86" s="1"/>
      <c r="B86" s="894"/>
      <c r="C86" s="53" t="s">
        <v>3287</v>
      </c>
      <c r="D86" s="42">
        <v>3</v>
      </c>
      <c r="E86" s="53" t="s">
        <v>3276</v>
      </c>
      <c r="F86" s="109">
        <v>67.256637168141594</v>
      </c>
      <c r="G86" s="109">
        <f t="shared" si="1"/>
        <v>201.76</v>
      </c>
      <c r="H86" s="121"/>
    </row>
    <row r="87" spans="1:8" ht="17.25">
      <c r="A87" s="1"/>
      <c r="B87" s="894"/>
      <c r="C87" s="56" t="s">
        <v>3305</v>
      </c>
      <c r="D87" s="43">
        <v>0.1</v>
      </c>
      <c r="E87" s="56" t="s">
        <v>3276</v>
      </c>
      <c r="F87" s="109">
        <v>86.725663716814168</v>
      </c>
      <c r="G87" s="109">
        <f t="shared" si="1"/>
        <v>8.67</v>
      </c>
      <c r="H87" s="123">
        <f>SUM(G81:G87)</f>
        <v>10398.250000000002</v>
      </c>
    </row>
    <row r="88" spans="1:8" ht="17.25">
      <c r="A88" s="1"/>
      <c r="B88" s="889" t="s">
        <v>1879</v>
      </c>
      <c r="C88" s="55" t="s">
        <v>3303</v>
      </c>
      <c r="D88" s="41">
        <v>0.6</v>
      </c>
      <c r="E88" s="55" t="s">
        <v>2471</v>
      </c>
      <c r="F88" s="110">
        <v>1875</v>
      </c>
      <c r="G88" s="110">
        <f t="shared" si="1"/>
        <v>1125</v>
      </c>
      <c r="H88" s="121"/>
    </row>
    <row r="89" spans="1:8" ht="17.25">
      <c r="A89" s="1"/>
      <c r="B89" s="896"/>
      <c r="C89" s="56" t="s">
        <v>3304</v>
      </c>
      <c r="D89" s="43">
        <v>0.25</v>
      </c>
      <c r="E89" s="56" t="s">
        <v>2471</v>
      </c>
      <c r="F89" s="63">
        <v>100</v>
      </c>
      <c r="G89" s="63">
        <f t="shared" si="1"/>
        <v>25</v>
      </c>
      <c r="H89" s="123">
        <f>SUM(G88:G89)</f>
        <v>1150</v>
      </c>
    </row>
    <row r="90" spans="1:8" ht="17.25">
      <c r="A90" s="1"/>
      <c r="B90" s="1"/>
      <c r="C90" s="1"/>
      <c r="D90" s="89"/>
      <c r="E90" s="1"/>
      <c r="F90" s="40" t="s">
        <v>1491</v>
      </c>
      <c r="G90" s="92"/>
      <c r="H90" s="63">
        <f>SUM(H79:H89)</f>
        <v>14348.250000000002</v>
      </c>
    </row>
    <row r="91" spans="1:8" ht="17.25">
      <c r="A91" s="1"/>
      <c r="B91" s="1" t="s">
        <v>3233</v>
      </c>
      <c r="C91" s="1"/>
      <c r="D91" s="1"/>
      <c r="E91" s="1"/>
      <c r="F91" s="40" t="s">
        <v>1472</v>
      </c>
      <c r="G91" s="92"/>
      <c r="H91" s="99">
        <f>FLOOR(H90*0.15,0.01)</f>
        <v>2152.23</v>
      </c>
    </row>
    <row r="92" spans="1:8" ht="17.25">
      <c r="A92" s="27" t="s">
        <v>3005</v>
      </c>
      <c r="B92" s="99">
        <f>+H92</f>
        <v>16500.480000000003</v>
      </c>
      <c r="C92" s="1" t="s">
        <v>3006</v>
      </c>
      <c r="D92" s="1"/>
      <c r="E92" s="1"/>
      <c r="F92" s="40" t="s">
        <v>1494</v>
      </c>
      <c r="G92" s="92"/>
      <c r="H92" s="99">
        <f>SUM(H90:H91)</f>
        <v>16500.480000000003</v>
      </c>
    </row>
    <row r="94" spans="1:8" ht="20.25">
      <c r="A94" s="260">
        <f>+A73+1</f>
        <v>1</v>
      </c>
      <c r="B94" s="878" t="s">
        <v>3532</v>
      </c>
      <c r="C94" s="878"/>
      <c r="D94" s="878"/>
      <c r="E94" s="878"/>
      <c r="F94" s="878"/>
      <c r="G94" s="878"/>
      <c r="H94" s="878"/>
    </row>
    <row r="95" spans="1:8" ht="19.5">
      <c r="A95" s="582" t="s">
        <v>3315</v>
      </c>
      <c r="B95" s="878" t="s">
        <v>3533</v>
      </c>
      <c r="C95" s="878"/>
      <c r="D95" s="878"/>
      <c r="E95" s="878"/>
      <c r="F95" s="878"/>
      <c r="G95" s="878"/>
      <c r="H95" s="878"/>
    </row>
    <row r="96" spans="1:8" ht="15">
      <c r="A96" s="1"/>
      <c r="B96" s="879" t="s">
        <v>2231</v>
      </c>
      <c r="C96" s="879"/>
      <c r="D96" s="879"/>
      <c r="E96" s="879"/>
      <c r="F96" s="879"/>
      <c r="G96" s="879"/>
      <c r="H96" s="879"/>
    </row>
    <row r="97" spans="1:8" ht="31.5">
      <c r="A97" s="1"/>
      <c r="B97" s="68" t="s">
        <v>2966</v>
      </c>
      <c r="C97" s="68" t="s">
        <v>2967</v>
      </c>
      <c r="D97" s="68" t="s">
        <v>2968</v>
      </c>
      <c r="E97" s="68" t="s">
        <v>2969</v>
      </c>
      <c r="F97" s="68" t="s">
        <v>2970</v>
      </c>
      <c r="G97" s="68" t="s">
        <v>2971</v>
      </c>
      <c r="H97" s="68" t="s">
        <v>1487</v>
      </c>
    </row>
    <row r="98" spans="1:8" ht="17.25">
      <c r="A98" s="1"/>
      <c r="B98" s="886" t="s">
        <v>1488</v>
      </c>
      <c r="C98" s="58" t="s">
        <v>516</v>
      </c>
      <c r="D98" s="41">
        <v>0.5</v>
      </c>
      <c r="E98" s="55" t="s">
        <v>1490</v>
      </c>
      <c r="F98" s="107">
        <v>910</v>
      </c>
      <c r="G98" s="110">
        <f>FLOOR(D98*F98,0.01)</f>
        <v>455</v>
      </c>
      <c r="H98" s="108"/>
    </row>
    <row r="99" spans="1:8" ht="17.25">
      <c r="A99" s="1"/>
      <c r="B99" s="887"/>
      <c r="C99" s="53" t="s">
        <v>1433</v>
      </c>
      <c r="D99" s="42">
        <v>3.5</v>
      </c>
      <c r="E99" s="53" t="s">
        <v>1490</v>
      </c>
      <c r="F99" s="109">
        <v>670</v>
      </c>
      <c r="G99" s="109">
        <f>FLOOR(D99*F99,0.01)</f>
        <v>2345</v>
      </c>
      <c r="H99" s="121">
        <f>SUM(G98+G99)</f>
        <v>2800</v>
      </c>
    </row>
    <row r="100" spans="1:8" ht="17.25">
      <c r="A100" s="1"/>
      <c r="B100" s="76" t="s">
        <v>2055</v>
      </c>
      <c r="C100" s="55" t="s">
        <v>3511</v>
      </c>
      <c r="D100" s="41">
        <v>1</v>
      </c>
      <c r="E100" s="55" t="s">
        <v>2232</v>
      </c>
      <c r="F100" s="110">
        <v>14500</v>
      </c>
      <c r="G100" s="110">
        <f>FLOOR(D100*F100,0.01)</f>
        <v>14500</v>
      </c>
      <c r="H100" s="126">
        <f>+G100</f>
        <v>14500</v>
      </c>
    </row>
    <row r="101" spans="1:8" ht="31.5">
      <c r="A101" s="1"/>
      <c r="B101" s="593" t="s">
        <v>1879</v>
      </c>
      <c r="C101" s="64" t="s">
        <v>3304</v>
      </c>
      <c r="D101" s="44">
        <v>0.25</v>
      </c>
      <c r="E101" s="64" t="s">
        <v>2471</v>
      </c>
      <c r="F101" s="99">
        <v>100</v>
      </c>
      <c r="G101" s="99">
        <f>FLOOR(D101*F101,0.01)</f>
        <v>25</v>
      </c>
      <c r="H101" s="126">
        <f>+G101</f>
        <v>25</v>
      </c>
    </row>
    <row r="102" spans="1:8" ht="17.25">
      <c r="A102" s="1"/>
      <c r="B102" s="1"/>
      <c r="C102" s="1"/>
      <c r="D102" s="89"/>
      <c r="E102" s="1"/>
      <c r="F102" s="40" t="s">
        <v>1491</v>
      </c>
      <c r="G102" s="92"/>
      <c r="H102" s="63">
        <f>SUM(H98:H101)</f>
        <v>17325</v>
      </c>
    </row>
    <row r="103" spans="1:8" ht="17.25">
      <c r="A103" s="1"/>
      <c r="B103" s="1" t="s">
        <v>3233</v>
      </c>
      <c r="C103" s="1"/>
      <c r="D103" s="1"/>
      <c r="E103" s="1"/>
      <c r="F103" s="40" t="s">
        <v>1472</v>
      </c>
      <c r="G103" s="92"/>
      <c r="H103" s="99">
        <f>FLOOR(H102*0.15,0.01)</f>
        <v>2598.75</v>
      </c>
    </row>
    <row r="104" spans="1:8" ht="17.25">
      <c r="A104" s="27" t="s">
        <v>3005</v>
      </c>
      <c r="B104" s="99">
        <f>+H104</f>
        <v>19923.75</v>
      </c>
      <c r="C104" s="1" t="s">
        <v>3006</v>
      </c>
      <c r="D104" s="1"/>
      <c r="E104" s="1"/>
      <c r="F104" s="40" t="s">
        <v>1494</v>
      </c>
      <c r="G104" s="92"/>
      <c r="H104" s="99">
        <f>SUM(H102:H103)</f>
        <v>19923.75</v>
      </c>
    </row>
    <row r="106" spans="1:8" ht="19.5">
      <c r="A106" s="594"/>
      <c r="B106" s="910" t="s">
        <v>3088</v>
      </c>
      <c r="C106" s="910"/>
      <c r="D106" s="910"/>
      <c r="E106" s="910"/>
      <c r="F106" s="910"/>
      <c r="G106" s="910"/>
      <c r="H106" s="910"/>
    </row>
    <row r="107" spans="1:8" ht="20.25">
      <c r="A107" s="595">
        <f>+A88+1</f>
        <v>1</v>
      </c>
      <c r="B107" s="910" t="s">
        <v>2453</v>
      </c>
      <c r="C107" s="910"/>
      <c r="D107" s="910"/>
      <c r="E107" s="910"/>
      <c r="F107" s="910"/>
      <c r="G107" s="910"/>
      <c r="H107" s="910"/>
    </row>
    <row r="108" spans="1:8" ht="19.5">
      <c r="A108" s="582" t="s">
        <v>3619</v>
      </c>
      <c r="B108" s="910" t="s">
        <v>515</v>
      </c>
      <c r="C108" s="910"/>
      <c r="D108" s="910"/>
      <c r="E108" s="910"/>
      <c r="F108" s="910"/>
      <c r="G108" s="910"/>
      <c r="H108" s="910"/>
    </row>
    <row r="109" spans="1:8" ht="15">
      <c r="A109" s="594"/>
      <c r="B109" s="912" t="s">
        <v>3091</v>
      </c>
      <c r="C109" s="912"/>
      <c r="D109" s="912"/>
      <c r="E109" s="912"/>
      <c r="F109" s="912"/>
      <c r="G109" s="912"/>
      <c r="H109" s="912"/>
    </row>
    <row r="110" spans="1:8" ht="31.5">
      <c r="A110" s="594"/>
      <c r="B110" s="596" t="s">
        <v>2966</v>
      </c>
      <c r="C110" s="596" t="s">
        <v>2967</v>
      </c>
      <c r="D110" s="596" t="s">
        <v>2968</v>
      </c>
      <c r="E110" s="596" t="s">
        <v>2969</v>
      </c>
      <c r="F110" s="596" t="s">
        <v>2970</v>
      </c>
      <c r="G110" s="596" t="s">
        <v>2971</v>
      </c>
      <c r="H110" s="596" t="s">
        <v>1487</v>
      </c>
    </row>
    <row r="111" spans="1:8" ht="17.25">
      <c r="A111" s="594"/>
      <c r="B111" s="918" t="s">
        <v>1488</v>
      </c>
      <c r="C111" s="597" t="s">
        <v>516</v>
      </c>
      <c r="D111" s="613">
        <v>12</v>
      </c>
      <c r="E111" s="591" t="s">
        <v>1490</v>
      </c>
      <c r="F111" s="598">
        <v>910</v>
      </c>
      <c r="G111" s="599">
        <f>FLOOR(D111*F111,0.01)</f>
        <v>10920</v>
      </c>
      <c r="H111" s="600"/>
    </row>
    <row r="112" spans="1:8" ht="17.25">
      <c r="A112" s="594"/>
      <c r="B112" s="917"/>
      <c r="C112" s="601" t="s">
        <v>1433</v>
      </c>
      <c r="D112" s="614">
        <v>12</v>
      </c>
      <c r="E112" s="601" t="s">
        <v>1490</v>
      </c>
      <c r="F112" s="602">
        <v>670</v>
      </c>
      <c r="G112" s="602">
        <f>FLOOR(D112*F112,0.01)</f>
        <v>8040</v>
      </c>
      <c r="H112" s="603">
        <f>SUM(G111+G112)</f>
        <v>18960</v>
      </c>
    </row>
    <row r="113" spans="1:8" ht="17.25">
      <c r="A113" s="594"/>
      <c r="B113" s="918" t="s">
        <v>2055</v>
      </c>
      <c r="C113" s="591" t="s">
        <v>3791</v>
      </c>
      <c r="D113" s="604">
        <v>1.05</v>
      </c>
      <c r="E113" s="591" t="s">
        <v>700</v>
      </c>
      <c r="F113" s="599">
        <v>76000</v>
      </c>
      <c r="G113" s="599">
        <f>FLOOR(D113*F113,0.01)</f>
        <v>79800</v>
      </c>
      <c r="H113" s="600"/>
    </row>
    <row r="114" spans="1:8" ht="17.25">
      <c r="A114" s="594"/>
      <c r="B114" s="919"/>
      <c r="C114" s="605" t="s">
        <v>1384</v>
      </c>
      <c r="D114" s="606">
        <v>10</v>
      </c>
      <c r="E114" s="605" t="s">
        <v>2748</v>
      </c>
      <c r="F114" s="607">
        <v>88.22</v>
      </c>
      <c r="G114" s="607">
        <f>FLOOR(D114*F114,0.01)</f>
        <v>882.2</v>
      </c>
      <c r="H114" s="608">
        <f>SUM(G113+G114)</f>
        <v>80682.2</v>
      </c>
    </row>
    <row r="115" spans="1:8" ht="17.25">
      <c r="A115" s="594"/>
      <c r="B115" s="594"/>
      <c r="C115" s="594"/>
      <c r="D115" s="594"/>
      <c r="E115" s="594"/>
      <c r="F115" s="609" t="s">
        <v>1491</v>
      </c>
      <c r="G115" s="609"/>
      <c r="H115" s="607">
        <f>SUM(H111:H114)</f>
        <v>99642.2</v>
      </c>
    </row>
    <row r="116" spans="1:8" ht="17.25">
      <c r="A116" s="594"/>
      <c r="B116" s="594" t="s">
        <v>941</v>
      </c>
      <c r="C116" s="594"/>
      <c r="D116" s="594"/>
      <c r="E116" s="594"/>
      <c r="F116" s="609" t="s">
        <v>1472</v>
      </c>
      <c r="G116" s="609"/>
      <c r="H116" s="610">
        <f>FLOOR(H115*0.15,0.01)</f>
        <v>14946.33</v>
      </c>
    </row>
    <row r="117" spans="1:8" ht="17.25">
      <c r="A117" s="611" t="s">
        <v>3005</v>
      </c>
      <c r="B117" s="610">
        <f>+H117</f>
        <v>114588.53</v>
      </c>
      <c r="C117" s="594" t="s">
        <v>3006</v>
      </c>
      <c r="D117" s="594"/>
      <c r="E117" s="594"/>
      <c r="F117" s="609" t="s">
        <v>1494</v>
      </c>
      <c r="G117" s="609"/>
      <c r="H117" s="610">
        <f>SUM(H115:H116)</f>
        <v>114588.53</v>
      </c>
    </row>
    <row r="119" spans="1:8" ht="15">
      <c r="A119" s="594"/>
      <c r="B119" s="616"/>
      <c r="C119" s="594"/>
      <c r="D119" s="594"/>
      <c r="E119" s="594"/>
      <c r="F119" s="594"/>
      <c r="G119" s="594"/>
      <c r="H119" s="594"/>
    </row>
    <row r="120" spans="1:8" ht="19.5">
      <c r="A120" s="594"/>
      <c r="B120" s="910" t="s">
        <v>2749</v>
      </c>
      <c r="C120" s="910"/>
      <c r="D120" s="910"/>
      <c r="E120" s="910"/>
      <c r="F120" s="910"/>
      <c r="G120" s="910"/>
      <c r="H120" s="910"/>
    </row>
    <row r="121" spans="1:8" ht="20.25">
      <c r="A121" s="595">
        <f>+A106+1</f>
        <v>1</v>
      </c>
      <c r="B121" s="910" t="s">
        <v>2375</v>
      </c>
      <c r="C121" s="910"/>
      <c r="D121" s="910"/>
      <c r="E121" s="910"/>
      <c r="F121" s="910"/>
      <c r="G121" s="910"/>
      <c r="H121" s="910"/>
    </row>
    <row r="122" spans="1:8" ht="19.5">
      <c r="A122" s="582" t="s">
        <v>3620</v>
      </c>
      <c r="B122" s="910" t="s">
        <v>2388</v>
      </c>
      <c r="C122" s="910"/>
      <c r="D122" s="910"/>
      <c r="E122" s="910"/>
      <c r="F122" s="910"/>
      <c r="G122" s="910"/>
      <c r="H122" s="910"/>
    </row>
    <row r="123" spans="1:8" ht="15">
      <c r="A123" s="594"/>
      <c r="B123" s="915" t="s">
        <v>2454</v>
      </c>
      <c r="C123" s="915"/>
      <c r="D123" s="915"/>
      <c r="E123" s="915"/>
      <c r="F123" s="915"/>
      <c r="G123" s="915"/>
      <c r="H123" s="915"/>
    </row>
    <row r="124" spans="1:8" ht="31.5">
      <c r="A124" s="594"/>
      <c r="B124" s="596" t="s">
        <v>2966</v>
      </c>
      <c r="C124" s="596" t="s">
        <v>2967</v>
      </c>
      <c r="D124" s="596" t="s">
        <v>2968</v>
      </c>
      <c r="E124" s="596" t="s">
        <v>2969</v>
      </c>
      <c r="F124" s="596" t="s">
        <v>2970</v>
      </c>
      <c r="G124" s="596" t="s">
        <v>2971</v>
      </c>
      <c r="H124" s="596" t="s">
        <v>1487</v>
      </c>
    </row>
    <row r="125" spans="1:8" ht="17.25">
      <c r="A125" s="594"/>
      <c r="B125" s="916" t="s">
        <v>1488</v>
      </c>
      <c r="C125" s="597" t="s">
        <v>516</v>
      </c>
      <c r="D125" s="623">
        <v>3.7480000000000002</v>
      </c>
      <c r="E125" s="591" t="s">
        <v>1490</v>
      </c>
      <c r="F125" s="598">
        <v>910</v>
      </c>
      <c r="G125" s="599">
        <f>FLOOR(D125*F125,0.01)</f>
        <v>3410.6800000000003</v>
      </c>
      <c r="H125" s="600"/>
    </row>
    <row r="126" spans="1:8" ht="17.25">
      <c r="A126" s="594"/>
      <c r="B126" s="917"/>
      <c r="C126" s="601" t="s">
        <v>1433</v>
      </c>
      <c r="D126" s="624">
        <v>5.6219999999999999</v>
      </c>
      <c r="E126" s="605" t="s">
        <v>1490</v>
      </c>
      <c r="F126" s="602">
        <v>670</v>
      </c>
      <c r="G126" s="602">
        <f>FLOOR(D126*F126,0.01)</f>
        <v>3766.7400000000002</v>
      </c>
      <c r="H126" s="603">
        <f>SUM(G125+G126)</f>
        <v>7177.42</v>
      </c>
    </row>
    <row r="127" spans="1:8" ht="17.25">
      <c r="A127" s="594"/>
      <c r="B127" s="918" t="s">
        <v>2055</v>
      </c>
      <c r="C127" s="591" t="s">
        <v>3564</v>
      </c>
      <c r="D127" s="604">
        <v>7.0000000000000007E-2</v>
      </c>
      <c r="E127" s="591" t="s">
        <v>2232</v>
      </c>
      <c r="F127" s="599">
        <v>54730.5</v>
      </c>
      <c r="G127" s="599">
        <f>FLOOR(D127*F127,0.01)</f>
        <v>3831.13</v>
      </c>
      <c r="H127" s="600"/>
    </row>
    <row r="128" spans="1:8" ht="17.25">
      <c r="A128" s="594"/>
      <c r="B128" s="919"/>
      <c r="C128" s="605" t="s">
        <v>2010</v>
      </c>
      <c r="D128" s="615">
        <v>2.5</v>
      </c>
      <c r="E128" s="605" t="s">
        <v>2748</v>
      </c>
      <c r="F128" s="607">
        <v>112</v>
      </c>
      <c r="G128" s="607">
        <f>FLOOR(D128*F128,0.01)</f>
        <v>280</v>
      </c>
      <c r="H128" s="608">
        <f>SUM(G127+G128)</f>
        <v>4111.13</v>
      </c>
    </row>
    <row r="129" spans="1:8" ht="17.25">
      <c r="A129" s="594"/>
      <c r="B129" s="594"/>
      <c r="C129" s="594"/>
      <c r="D129" s="594"/>
      <c r="E129" s="594"/>
      <c r="F129" s="609" t="s">
        <v>1491</v>
      </c>
      <c r="G129" s="609"/>
      <c r="H129" s="607">
        <f>SUM(H125:H128)</f>
        <v>11288.55</v>
      </c>
    </row>
    <row r="130" spans="1:8" ht="17.25">
      <c r="A130" s="594"/>
      <c r="B130" s="616" t="s">
        <v>1493</v>
      </c>
      <c r="C130" s="594"/>
      <c r="D130" s="594"/>
      <c r="E130" s="594"/>
      <c r="F130" s="609" t="s">
        <v>1472</v>
      </c>
      <c r="G130" s="609"/>
      <c r="H130" s="610">
        <f>FLOOR(H129*0.15,0.01)</f>
        <v>1693.28</v>
      </c>
    </row>
    <row r="131" spans="1:8" ht="17.25">
      <c r="A131" s="617"/>
      <c r="B131" s="618">
        <f>+H131</f>
        <v>12981.83</v>
      </c>
      <c r="C131" s="699" t="s">
        <v>3779</v>
      </c>
      <c r="D131" s="610">
        <f>INT(B131/B132*100)/100</f>
        <v>1298.18</v>
      </c>
      <c r="E131" s="594" t="s">
        <v>3006</v>
      </c>
      <c r="F131" s="609" t="s">
        <v>1494</v>
      </c>
      <c r="G131" s="609"/>
      <c r="H131" s="610">
        <f>SUM(H129:H130)</f>
        <v>12981.83</v>
      </c>
    </row>
    <row r="132" spans="1:8" ht="16.5">
      <c r="A132" s="539"/>
      <c r="B132" s="620">
        <v>10</v>
      </c>
      <c r="C132" s="541"/>
      <c r="D132" s="541"/>
      <c r="E132" s="522"/>
      <c r="F132" s="522"/>
      <c r="G132" s="522"/>
      <c r="H132" s="522"/>
    </row>
    <row r="134" spans="1:8" ht="19.5">
      <c r="A134" s="594"/>
      <c r="B134" s="910" t="s">
        <v>2511</v>
      </c>
      <c r="C134" s="910"/>
      <c r="D134" s="910"/>
      <c r="E134" s="910"/>
      <c r="F134" s="910"/>
      <c r="G134" s="910"/>
      <c r="H134" s="910"/>
    </row>
    <row r="135" spans="1:8" ht="20.25">
      <c r="A135" s="595" t="e">
        <f>+A122+1</f>
        <v>#VALUE!</v>
      </c>
      <c r="B135" s="910" t="s">
        <v>2514</v>
      </c>
      <c r="C135" s="910"/>
      <c r="D135" s="910"/>
      <c r="E135" s="910"/>
      <c r="F135" s="910"/>
      <c r="G135" s="910"/>
      <c r="H135" s="910"/>
    </row>
    <row r="136" spans="1:8" ht="20.25">
      <c r="A136" s="582" t="s">
        <v>3623</v>
      </c>
      <c r="B136" s="910" t="s">
        <v>3322</v>
      </c>
      <c r="C136" s="910"/>
      <c r="D136" s="910"/>
      <c r="E136" s="910"/>
      <c r="F136" s="910"/>
      <c r="G136" s="910"/>
      <c r="H136" s="910"/>
    </row>
    <row r="137" spans="1:8" ht="15">
      <c r="A137" s="594"/>
      <c r="B137" s="915" t="s">
        <v>2454</v>
      </c>
      <c r="C137" s="915"/>
      <c r="D137" s="915"/>
      <c r="E137" s="915"/>
      <c r="F137" s="915"/>
      <c r="G137" s="915"/>
      <c r="H137" s="915"/>
    </row>
    <row r="138" spans="1:8" ht="31.5">
      <c r="A138" s="594"/>
      <c r="B138" s="596" t="s">
        <v>2966</v>
      </c>
      <c r="C138" s="596" t="s">
        <v>2967</v>
      </c>
      <c r="D138" s="596" t="s">
        <v>2968</v>
      </c>
      <c r="E138" s="596" t="s">
        <v>2969</v>
      </c>
      <c r="F138" s="596" t="s">
        <v>2970</v>
      </c>
      <c r="G138" s="596" t="s">
        <v>2971</v>
      </c>
      <c r="H138" s="596" t="s">
        <v>1487</v>
      </c>
    </row>
    <row r="139" spans="1:8" ht="17.25">
      <c r="A139" s="594"/>
      <c r="B139" s="916" t="s">
        <v>1488</v>
      </c>
      <c r="C139" s="597" t="s">
        <v>516</v>
      </c>
      <c r="D139" s="672">
        <v>2.67</v>
      </c>
      <c r="E139" s="591" t="s">
        <v>1490</v>
      </c>
      <c r="F139" s="598">
        <v>910</v>
      </c>
      <c r="G139" s="599">
        <f>FLOOR(D139*F139,0.01)</f>
        <v>2429.7000000000003</v>
      </c>
      <c r="H139" s="600"/>
    </row>
    <row r="140" spans="1:8" ht="17.25">
      <c r="A140" s="594"/>
      <c r="B140" s="917"/>
      <c r="C140" s="601" t="s">
        <v>1433</v>
      </c>
      <c r="D140" s="614">
        <v>4</v>
      </c>
      <c r="E140" s="605" t="s">
        <v>1490</v>
      </c>
      <c r="F140" s="602">
        <v>670</v>
      </c>
      <c r="G140" s="602">
        <f>FLOOR(D140*F140,0.01)</f>
        <v>2680</v>
      </c>
      <c r="H140" s="603">
        <f>SUM(G139+G140)</f>
        <v>5109.7000000000007</v>
      </c>
    </row>
    <row r="141" spans="1:8" ht="17.25">
      <c r="A141" s="594"/>
      <c r="B141" s="918" t="s">
        <v>2055</v>
      </c>
      <c r="C141" s="591" t="s">
        <v>3564</v>
      </c>
      <c r="D141" s="604">
        <v>7.0000000000000007E-2</v>
      </c>
      <c r="E141" s="591" t="s">
        <v>2232</v>
      </c>
      <c r="F141" s="599">
        <v>54730.5</v>
      </c>
      <c r="G141" s="599">
        <f>FLOOR(D141*F141,0.01)</f>
        <v>3831.13</v>
      </c>
      <c r="H141" s="600"/>
    </row>
    <row r="142" spans="1:8" ht="17.25">
      <c r="A142" s="594"/>
      <c r="B142" s="919"/>
      <c r="C142" s="605" t="s">
        <v>2010</v>
      </c>
      <c r="D142" s="615">
        <v>2.5</v>
      </c>
      <c r="E142" s="605" t="s">
        <v>2748</v>
      </c>
      <c r="F142" s="607">
        <v>112</v>
      </c>
      <c r="G142" s="607">
        <f>FLOOR(D142*F142,0.01)</f>
        <v>280</v>
      </c>
      <c r="H142" s="608">
        <f>SUM(G141+G142)</f>
        <v>4111.13</v>
      </c>
    </row>
    <row r="143" spans="1:8" ht="17.25">
      <c r="A143" s="594"/>
      <c r="B143" s="594"/>
      <c r="C143" s="594"/>
      <c r="D143" s="594"/>
      <c r="E143" s="594"/>
      <c r="F143" s="609"/>
      <c r="G143" s="609"/>
      <c r="H143" s="607">
        <f>SUM(H139:H142)</f>
        <v>9220.8300000000017</v>
      </c>
    </row>
    <row r="144" spans="1:8" ht="17.25">
      <c r="A144" s="611"/>
      <c r="B144" s="594" t="s">
        <v>1493</v>
      </c>
      <c r="C144" s="594"/>
      <c r="D144" s="594"/>
      <c r="E144" s="594"/>
      <c r="F144" s="609" t="s">
        <v>1472</v>
      </c>
      <c r="G144" s="609"/>
      <c r="H144" s="610">
        <f>FLOOR(H143*0.15,0.01)</f>
        <v>1383.1200000000001</v>
      </c>
    </row>
    <row r="145" spans="1:8" ht="17.25">
      <c r="A145" s="594"/>
      <c r="B145" s="618">
        <f>+H145</f>
        <v>10603.950000000003</v>
      </c>
      <c r="C145" s="611" t="s">
        <v>3005</v>
      </c>
      <c r="D145" s="610">
        <f>INT(B145/B146*100)/100</f>
        <v>1060.3900000000001</v>
      </c>
      <c r="E145" s="594" t="s">
        <v>3006</v>
      </c>
      <c r="F145" s="609" t="s">
        <v>1494</v>
      </c>
      <c r="G145" s="609"/>
      <c r="H145" s="610">
        <f>SUM(H143:H144)</f>
        <v>10603.950000000003</v>
      </c>
    </row>
    <row r="146" spans="1:8" ht="17.25">
      <c r="A146" s="594"/>
      <c r="B146" s="620">
        <v>10</v>
      </c>
      <c r="C146" s="594"/>
      <c r="D146" s="594"/>
      <c r="E146" s="594"/>
      <c r="F146" s="609"/>
      <c r="G146" s="609"/>
      <c r="H146" s="612"/>
    </row>
    <row r="148" spans="1:8" ht="20.25">
      <c r="A148" s="260" t="e">
        <f>+A135+1</f>
        <v>#VALUE!</v>
      </c>
      <c r="B148" s="878"/>
      <c r="C148" s="878"/>
      <c r="D148" s="878"/>
      <c r="E148" s="878"/>
      <c r="F148" s="878"/>
      <c r="G148" s="878"/>
      <c r="H148" s="878"/>
    </row>
    <row r="149" spans="1:8" ht="19.5">
      <c r="A149" s="582" t="s">
        <v>3621</v>
      </c>
      <c r="B149" s="878" t="s">
        <v>942</v>
      </c>
      <c r="C149" s="878"/>
      <c r="D149" s="878"/>
      <c r="E149" s="878"/>
      <c r="F149" s="878"/>
      <c r="G149" s="878"/>
      <c r="H149" s="878"/>
    </row>
    <row r="150" spans="1:8" ht="15">
      <c r="A150" s="1"/>
      <c r="B150" s="879" t="s">
        <v>2803</v>
      </c>
      <c r="C150" s="879"/>
      <c r="D150" s="879"/>
      <c r="E150" s="879"/>
      <c r="F150" s="879"/>
      <c r="G150" s="879"/>
      <c r="H150" s="879"/>
    </row>
    <row r="151" spans="1:8" ht="31.5">
      <c r="A151" s="1"/>
      <c r="B151" s="68" t="s">
        <v>2966</v>
      </c>
      <c r="C151" s="68" t="s">
        <v>2967</v>
      </c>
      <c r="D151" s="68" t="s">
        <v>2968</v>
      </c>
      <c r="E151" s="68" t="s">
        <v>2969</v>
      </c>
      <c r="F151" s="68" t="s">
        <v>2970</v>
      </c>
      <c r="G151" s="68" t="s">
        <v>2971</v>
      </c>
      <c r="H151" s="68" t="s">
        <v>1487</v>
      </c>
    </row>
    <row r="152" spans="1:8" ht="17.25">
      <c r="A152" s="1"/>
      <c r="B152" s="889" t="s">
        <v>1488</v>
      </c>
      <c r="C152" s="58" t="s">
        <v>516</v>
      </c>
      <c r="D152" s="41">
        <v>17.2</v>
      </c>
      <c r="E152" s="55" t="s">
        <v>1490</v>
      </c>
      <c r="F152" s="107">
        <v>910</v>
      </c>
      <c r="G152" s="110">
        <f t="shared" ref="G152:G157" si="2">FLOOR(D152*F152,0.01)</f>
        <v>15652</v>
      </c>
      <c r="H152" s="108"/>
    </row>
    <row r="153" spans="1:8" ht="17.25">
      <c r="A153" s="1"/>
      <c r="B153" s="887"/>
      <c r="C153" s="53" t="s">
        <v>1433</v>
      </c>
      <c r="D153" s="42">
        <v>25.7</v>
      </c>
      <c r="E153" s="56" t="s">
        <v>1490</v>
      </c>
      <c r="F153" s="109">
        <v>670</v>
      </c>
      <c r="G153" s="109">
        <f t="shared" si="2"/>
        <v>17219</v>
      </c>
      <c r="H153" s="121">
        <f>SUM(G152+G153)</f>
        <v>32871</v>
      </c>
    </row>
    <row r="154" spans="1:8" ht="17.25">
      <c r="A154" s="1"/>
      <c r="B154" s="886" t="s">
        <v>2055</v>
      </c>
      <c r="C154" s="55" t="s">
        <v>3846</v>
      </c>
      <c r="D154" s="238">
        <v>16.5</v>
      </c>
      <c r="E154" s="55" t="s">
        <v>2807</v>
      </c>
      <c r="F154" s="110">
        <v>1215.8800000000001</v>
      </c>
      <c r="G154" s="110">
        <f t="shared" si="2"/>
        <v>20062.02</v>
      </c>
      <c r="H154" s="108"/>
    </row>
    <row r="155" spans="1:8" ht="17.25">
      <c r="A155" s="1"/>
      <c r="B155" s="894"/>
      <c r="C155" s="53" t="s">
        <v>3564</v>
      </c>
      <c r="D155" s="239">
        <v>0.23200000000000001</v>
      </c>
      <c r="E155" s="53" t="s">
        <v>2232</v>
      </c>
      <c r="F155" s="109">
        <v>54730.5</v>
      </c>
      <c r="G155" s="109">
        <f t="shared" si="2"/>
        <v>12697.470000000001</v>
      </c>
      <c r="H155" s="121"/>
    </row>
    <row r="156" spans="1:8" ht="27.75">
      <c r="A156" s="1"/>
      <c r="B156" s="894"/>
      <c r="C156" s="60" t="s">
        <v>3512</v>
      </c>
      <c r="D156" s="239">
        <v>4.4000000000000004</v>
      </c>
      <c r="E156" s="53" t="s">
        <v>1429</v>
      </c>
      <c r="F156" s="109">
        <v>1940</v>
      </c>
      <c r="G156" s="109">
        <f t="shared" si="2"/>
        <v>8536</v>
      </c>
      <c r="H156" s="121"/>
    </row>
    <row r="157" spans="1:8" ht="17.25">
      <c r="A157" s="1"/>
      <c r="B157" s="895"/>
      <c r="C157" s="56" t="s">
        <v>1606</v>
      </c>
      <c r="D157" s="43">
        <v>25</v>
      </c>
      <c r="E157" s="56" t="s">
        <v>2748</v>
      </c>
      <c r="F157" s="63">
        <v>112</v>
      </c>
      <c r="G157" s="63">
        <f t="shared" si="2"/>
        <v>2800</v>
      </c>
      <c r="H157" s="123">
        <f>SUM(G154:G157)</f>
        <v>44095.490000000005</v>
      </c>
    </row>
    <row r="158" spans="1:8" ht="17.25">
      <c r="A158" s="1"/>
      <c r="B158" s="1"/>
      <c r="C158" s="1"/>
      <c r="D158" s="1"/>
      <c r="E158" s="1"/>
      <c r="F158" s="40" t="s">
        <v>1491</v>
      </c>
      <c r="G158" s="40"/>
      <c r="H158" s="63">
        <f>SUM(H152:H157)</f>
        <v>76966.490000000005</v>
      </c>
    </row>
    <row r="159" spans="1:8" ht="17.25">
      <c r="A159" s="1"/>
      <c r="B159" s="1" t="s">
        <v>1493</v>
      </c>
      <c r="C159" s="1"/>
      <c r="D159" s="1"/>
      <c r="E159" s="1"/>
      <c r="F159" s="40" t="s">
        <v>1472</v>
      </c>
      <c r="G159" s="40"/>
      <c r="H159" s="99">
        <f>FLOOR(H158*0.15,0.01)</f>
        <v>11544.97</v>
      </c>
    </row>
    <row r="160" spans="1:8" ht="17.25">
      <c r="A160" s="27"/>
      <c r="B160" s="140">
        <f>+H160</f>
        <v>88511.46</v>
      </c>
      <c r="C160" s="27" t="s">
        <v>3005</v>
      </c>
      <c r="D160" s="99">
        <f>INT(B160/B161*100)/100</f>
        <v>885.11</v>
      </c>
      <c r="E160" s="1" t="s">
        <v>3006</v>
      </c>
      <c r="F160" s="40" t="s">
        <v>1494</v>
      </c>
      <c r="G160" s="40"/>
      <c r="H160" s="99">
        <f>SUM(H158:H159)</f>
        <v>88511.46</v>
      </c>
    </row>
    <row r="161" spans="1:8" ht="16.5">
      <c r="A161" s="1"/>
      <c r="B161" s="117">
        <v>100</v>
      </c>
      <c r="C161" s="1"/>
      <c r="D161" s="1"/>
      <c r="E161" s="1"/>
      <c r="F161" s="1"/>
      <c r="G161" s="1"/>
      <c r="H161" s="1"/>
    </row>
    <row r="162" spans="1:8" ht="14.25">
      <c r="A162" s="920" t="s">
        <v>3123</v>
      </c>
      <c r="B162" s="920"/>
      <c r="C162" s="920"/>
      <c r="D162" s="920"/>
      <c r="E162" s="920"/>
      <c r="F162" s="920"/>
      <c r="G162" s="920"/>
      <c r="H162" s="920"/>
    </row>
    <row r="163" spans="1:8" ht="15">
      <c r="A163" s="1"/>
      <c r="B163" s="240" t="s">
        <v>3122</v>
      </c>
      <c r="C163" s="1"/>
      <c r="D163" s="1"/>
      <c r="E163" s="1"/>
      <c r="F163" s="1"/>
      <c r="G163" s="1"/>
      <c r="H163" s="1"/>
    </row>
    <row r="164" spans="1:8" ht="14.25">
      <c r="A164" s="921" t="s">
        <v>3120</v>
      </c>
      <c r="B164" s="921"/>
      <c r="C164" s="921"/>
      <c r="D164" s="921"/>
      <c r="E164" s="921"/>
      <c r="F164" s="921"/>
      <c r="G164" s="921"/>
      <c r="H164" s="921"/>
    </row>
    <row r="165" spans="1:8" ht="15">
      <c r="A165" s="1"/>
      <c r="B165" s="240" t="s">
        <v>3121</v>
      </c>
      <c r="C165" s="1"/>
      <c r="D165" s="1"/>
      <c r="E165" s="1"/>
      <c r="F165" s="1"/>
      <c r="G165" s="1"/>
      <c r="H165" s="1"/>
    </row>
    <row r="166" spans="1:8" ht="14.25">
      <c r="A166" s="921" t="s">
        <v>2153</v>
      </c>
      <c r="B166" s="921"/>
      <c r="C166" s="921"/>
      <c r="D166" s="921"/>
      <c r="E166" s="921"/>
      <c r="F166" s="921"/>
      <c r="G166" s="921"/>
      <c r="H166" s="921"/>
    </row>
    <row r="167" spans="1:8" ht="15">
      <c r="A167" s="1"/>
      <c r="B167" s="240" t="s">
        <v>2154</v>
      </c>
      <c r="C167" s="1"/>
      <c r="D167" s="1"/>
      <c r="E167" s="1"/>
      <c r="F167" s="1"/>
      <c r="G167" s="1"/>
      <c r="H167" s="1"/>
    </row>
    <row r="169" spans="1:8" s="1" customFormat="1" ht="20.100000000000001" customHeight="1">
      <c r="A169" s="260">
        <f>+A152+1</f>
        <v>1</v>
      </c>
      <c r="B169" s="878" t="s">
        <v>2651</v>
      </c>
      <c r="C169" s="878"/>
      <c r="D169" s="878"/>
      <c r="E169" s="878"/>
      <c r="F169" s="878"/>
      <c r="G169" s="878"/>
      <c r="H169" s="878"/>
    </row>
    <row r="170" spans="1:8" s="1" customFormat="1" ht="20.100000000000001" customHeight="1">
      <c r="A170" s="582" t="s">
        <v>3613</v>
      </c>
      <c r="B170" s="878" t="s">
        <v>2215</v>
      </c>
      <c r="C170" s="878"/>
      <c r="D170" s="878"/>
      <c r="E170" s="878"/>
      <c r="F170" s="878"/>
      <c r="G170" s="878"/>
      <c r="H170" s="878"/>
    </row>
    <row r="171" spans="1:8" s="1" customFormat="1" ht="20.100000000000001" customHeight="1">
      <c r="A171" s="22" t="s">
        <v>1432</v>
      </c>
      <c r="B171" s="878" t="s">
        <v>2216</v>
      </c>
      <c r="C171" s="878"/>
      <c r="D171" s="878"/>
      <c r="E171" s="878"/>
      <c r="F171" s="878"/>
      <c r="G171" s="878"/>
      <c r="H171" s="878"/>
    </row>
    <row r="172" spans="1:8" s="1" customFormat="1" ht="15">
      <c r="B172" s="879" t="s">
        <v>2231</v>
      </c>
      <c r="C172" s="879"/>
      <c r="D172" s="879"/>
      <c r="E172" s="879"/>
      <c r="F172" s="879"/>
      <c r="G172" s="879"/>
      <c r="H172" s="879"/>
    </row>
    <row r="173" spans="1:8" s="1" customFormat="1" ht="31.5">
      <c r="B173" s="68" t="s">
        <v>2966</v>
      </c>
      <c r="C173" s="68" t="s">
        <v>2967</v>
      </c>
      <c r="D173" s="68" t="s">
        <v>2968</v>
      </c>
      <c r="E173" s="68" t="s">
        <v>2969</v>
      </c>
      <c r="F173" s="68" t="s">
        <v>2970</v>
      </c>
      <c r="G173" s="68" t="s">
        <v>2971</v>
      </c>
      <c r="H173" s="68" t="s">
        <v>1487</v>
      </c>
    </row>
    <row r="174" spans="1:8" s="1" customFormat="1" ht="17.25">
      <c r="B174" s="886" t="s">
        <v>1488</v>
      </c>
      <c r="C174" s="58" t="s">
        <v>516</v>
      </c>
      <c r="D174" s="41">
        <v>1.5</v>
      </c>
      <c r="E174" s="55" t="s">
        <v>1490</v>
      </c>
      <c r="F174" s="107">
        <v>910</v>
      </c>
      <c r="G174" s="110">
        <f t="shared" ref="G174:G180" si="3">FLOOR(D174*F174,0.01)</f>
        <v>1365</v>
      </c>
      <c r="H174" s="108"/>
    </row>
    <row r="175" spans="1:8" s="1" customFormat="1" ht="17.25">
      <c r="B175" s="890"/>
      <c r="C175" s="53" t="s">
        <v>1433</v>
      </c>
      <c r="D175" s="42">
        <v>2.2000000000000002</v>
      </c>
      <c r="E175" s="53" t="s">
        <v>1490</v>
      </c>
      <c r="F175" s="109">
        <v>670</v>
      </c>
      <c r="G175" s="109">
        <f t="shared" si="3"/>
        <v>1474</v>
      </c>
      <c r="H175" s="9"/>
    </row>
    <row r="176" spans="1:8" s="1" customFormat="1" ht="17.25">
      <c r="B176" s="887"/>
      <c r="C176" s="56" t="s">
        <v>1434</v>
      </c>
      <c r="D176" s="43">
        <v>0.2</v>
      </c>
      <c r="E176" s="56" t="s">
        <v>1490</v>
      </c>
      <c r="F176" s="63">
        <v>670</v>
      </c>
      <c r="G176" s="63">
        <f t="shared" si="3"/>
        <v>134</v>
      </c>
      <c r="H176" s="121">
        <f>SUM(G174+G175+G176)</f>
        <v>2973</v>
      </c>
    </row>
    <row r="177" spans="1:8" s="1" customFormat="1" ht="20.100000000000001" customHeight="1">
      <c r="B177" s="74"/>
      <c r="C177" s="55" t="s">
        <v>1435</v>
      </c>
      <c r="D177" s="45">
        <v>560</v>
      </c>
      <c r="E177" s="55" t="s">
        <v>699</v>
      </c>
      <c r="F177" s="110">
        <v>12.54</v>
      </c>
      <c r="G177" s="110">
        <f t="shared" si="3"/>
        <v>7022.4000000000005</v>
      </c>
      <c r="H177" s="108"/>
    </row>
    <row r="178" spans="1:8" s="1" customFormat="1" ht="20.100000000000001" customHeight="1">
      <c r="B178" s="53" t="s">
        <v>2055</v>
      </c>
      <c r="C178" s="53" t="s">
        <v>1436</v>
      </c>
      <c r="D178" s="42">
        <v>0.1</v>
      </c>
      <c r="E178" s="53" t="s">
        <v>700</v>
      </c>
      <c r="F178" s="109">
        <v>16100</v>
      </c>
      <c r="G178" s="109">
        <f t="shared" si="3"/>
        <v>1610</v>
      </c>
      <c r="H178" s="9"/>
    </row>
    <row r="179" spans="1:8" s="1" customFormat="1" ht="20.100000000000001" customHeight="1">
      <c r="B179" s="53"/>
      <c r="C179" s="53" t="s">
        <v>697</v>
      </c>
      <c r="D179" s="42">
        <v>0.28000000000000003</v>
      </c>
      <c r="E179" s="53" t="s">
        <v>2232</v>
      </c>
      <c r="F179" s="109">
        <v>2718.87</v>
      </c>
      <c r="G179" s="109">
        <f t="shared" si="3"/>
        <v>761.28</v>
      </c>
      <c r="H179" s="9"/>
    </row>
    <row r="180" spans="1:8" s="1" customFormat="1" ht="20.100000000000001" customHeight="1">
      <c r="B180" s="73"/>
      <c r="C180" s="56" t="s">
        <v>3275</v>
      </c>
      <c r="D180" s="43">
        <v>130</v>
      </c>
      <c r="E180" s="56" t="s">
        <v>3276</v>
      </c>
      <c r="F180" s="63">
        <v>0.31</v>
      </c>
      <c r="G180" s="63">
        <f t="shared" si="3"/>
        <v>40.300000000000004</v>
      </c>
      <c r="H180" s="123">
        <f>SUM(G177:G180)</f>
        <v>9433.9800000000014</v>
      </c>
    </row>
    <row r="181" spans="1:8" s="1" customFormat="1" ht="20.100000000000001" customHeight="1">
      <c r="B181" s="62"/>
      <c r="C181" s="64" t="s">
        <v>698</v>
      </c>
      <c r="D181" s="900" t="s">
        <v>3230</v>
      </c>
      <c r="E181" s="901"/>
      <c r="F181" s="16"/>
      <c r="G181" s="149"/>
      <c r="H181" s="123">
        <f>INT(G176*0.03*100)/100</f>
        <v>4.0199999999999996</v>
      </c>
    </row>
    <row r="182" spans="1:8" s="1" customFormat="1" ht="20.100000000000001" customHeight="1">
      <c r="F182" s="40" t="s">
        <v>1491</v>
      </c>
      <c r="G182" s="103"/>
      <c r="H182" s="99">
        <f>SUM(H176:H181)</f>
        <v>12411.000000000002</v>
      </c>
    </row>
    <row r="183" spans="1:8" s="1" customFormat="1" ht="17.25">
      <c r="B183" s="1" t="s">
        <v>3233</v>
      </c>
      <c r="F183" s="40" t="s">
        <v>1472</v>
      </c>
      <c r="G183" s="103"/>
      <c r="H183" s="99">
        <f>FLOOR(H182*0.15,0.01)</f>
        <v>1861.65</v>
      </c>
    </row>
    <row r="184" spans="1:8" s="1" customFormat="1" ht="20.100000000000001" customHeight="1">
      <c r="A184" s="27" t="s">
        <v>3005</v>
      </c>
      <c r="B184" s="99">
        <f>+H184</f>
        <v>14272.650000000001</v>
      </c>
      <c r="C184" s="1" t="s">
        <v>3006</v>
      </c>
      <c r="F184" s="40" t="s">
        <v>1494</v>
      </c>
      <c r="G184" s="103"/>
      <c r="H184" s="99">
        <f>SUM(H182:H183)</f>
        <v>14272.650000000001</v>
      </c>
    </row>
    <row r="185" spans="1:8" s="1" customFormat="1" ht="16.5">
      <c r="H185" s="19"/>
    </row>
    <row r="186" spans="1:8" s="1" customFormat="1" ht="20.25">
      <c r="A186" s="260">
        <f>+A168+1</f>
        <v>1</v>
      </c>
      <c r="B186" s="878" t="s">
        <v>1848</v>
      </c>
      <c r="C186" s="878"/>
      <c r="D186" s="878"/>
      <c r="E186" s="878"/>
      <c r="F186" s="878"/>
      <c r="G186" s="878"/>
      <c r="H186" s="878"/>
    </row>
    <row r="187" spans="1:8" s="1" customFormat="1" ht="19.5">
      <c r="A187" s="582" t="s">
        <v>3613</v>
      </c>
      <c r="B187" s="877" t="s">
        <v>2215</v>
      </c>
      <c r="C187" s="878"/>
      <c r="D187" s="878"/>
      <c r="E187" s="878"/>
      <c r="F187" s="878"/>
      <c r="G187" s="878"/>
      <c r="H187" s="878"/>
    </row>
    <row r="188" spans="1:8" s="1" customFormat="1" ht="19.5">
      <c r="A188" s="22" t="s">
        <v>1431</v>
      </c>
      <c r="B188" s="877" t="s">
        <v>2216</v>
      </c>
      <c r="C188" s="878"/>
      <c r="D188" s="878"/>
      <c r="E188" s="878"/>
      <c r="F188" s="878"/>
      <c r="G188" s="878"/>
      <c r="H188" s="878"/>
    </row>
    <row r="189" spans="1:8" s="1" customFormat="1" ht="15">
      <c r="B189" s="885" t="s">
        <v>2231</v>
      </c>
      <c r="C189" s="885"/>
      <c r="D189" s="885"/>
      <c r="E189" s="885"/>
      <c r="F189" s="885"/>
      <c r="G189" s="885"/>
      <c r="H189" s="885"/>
    </row>
    <row r="190" spans="1:8" s="1" customFormat="1" ht="31.5">
      <c r="B190" s="68" t="s">
        <v>2966</v>
      </c>
      <c r="C190" s="68" t="s">
        <v>2967</v>
      </c>
      <c r="D190" s="68" t="s">
        <v>2968</v>
      </c>
      <c r="E190" s="68" t="s">
        <v>2969</v>
      </c>
      <c r="F190" s="68" t="s">
        <v>2970</v>
      </c>
      <c r="G190" s="68" t="s">
        <v>2971</v>
      </c>
      <c r="H190" s="68" t="s">
        <v>1487</v>
      </c>
    </row>
    <row r="191" spans="1:8" s="1" customFormat="1" ht="17.25">
      <c r="B191" s="886" t="s">
        <v>1488</v>
      </c>
      <c r="C191" s="58" t="s">
        <v>516</v>
      </c>
      <c r="D191" s="41">
        <v>1.5</v>
      </c>
      <c r="E191" s="55" t="s">
        <v>1490</v>
      </c>
      <c r="F191" s="107">
        <v>910</v>
      </c>
      <c r="G191" s="110">
        <f t="shared" ref="G191:G197" si="4">FLOOR(D191*F191,0.01)</f>
        <v>1365</v>
      </c>
      <c r="H191" s="108"/>
    </row>
    <row r="192" spans="1:8" s="1" customFormat="1" ht="20.100000000000001" customHeight="1">
      <c r="B192" s="890"/>
      <c r="C192" s="53" t="s">
        <v>1433</v>
      </c>
      <c r="D192" s="42">
        <v>2.2000000000000002</v>
      </c>
      <c r="E192" s="53" t="s">
        <v>1490</v>
      </c>
      <c r="F192" s="109">
        <v>670</v>
      </c>
      <c r="G192" s="109">
        <f t="shared" si="4"/>
        <v>1474</v>
      </c>
      <c r="H192" s="9"/>
    </row>
    <row r="193" spans="1:8" s="1" customFormat="1" ht="20.100000000000001" customHeight="1">
      <c r="B193" s="887"/>
      <c r="C193" s="56" t="s">
        <v>1434</v>
      </c>
      <c r="D193" s="43">
        <v>0.7</v>
      </c>
      <c r="E193" s="56" t="s">
        <v>1490</v>
      </c>
      <c r="F193" s="63">
        <v>670</v>
      </c>
      <c r="G193" s="63">
        <f t="shared" si="4"/>
        <v>469</v>
      </c>
      <c r="H193" s="123">
        <f>SUM(G191+G192+G193)</f>
        <v>3308</v>
      </c>
    </row>
    <row r="194" spans="1:8" s="1" customFormat="1" ht="20.100000000000001" customHeight="1">
      <c r="B194" s="55"/>
      <c r="C194" s="55" t="s">
        <v>1435</v>
      </c>
      <c r="D194" s="45">
        <v>560</v>
      </c>
      <c r="E194" s="55" t="s">
        <v>699</v>
      </c>
      <c r="F194" s="110">
        <v>12.54</v>
      </c>
      <c r="G194" s="110">
        <f t="shared" si="4"/>
        <v>7022.4000000000005</v>
      </c>
      <c r="H194" s="108"/>
    </row>
    <row r="195" spans="1:8" s="1" customFormat="1" ht="20.100000000000001" customHeight="1">
      <c r="B195" s="53" t="s">
        <v>2055</v>
      </c>
      <c r="C195" s="53" t="s">
        <v>1436</v>
      </c>
      <c r="D195" s="42">
        <v>0.1</v>
      </c>
      <c r="E195" s="53" t="s">
        <v>700</v>
      </c>
      <c r="F195" s="109">
        <v>16100</v>
      </c>
      <c r="G195" s="109">
        <f t="shared" si="4"/>
        <v>1610</v>
      </c>
      <c r="H195" s="9"/>
    </row>
    <row r="196" spans="1:8" s="1" customFormat="1" ht="20.100000000000001" customHeight="1">
      <c r="B196" s="53"/>
      <c r="C196" s="53" t="s">
        <v>697</v>
      </c>
      <c r="D196" s="42">
        <v>0.28000000000000003</v>
      </c>
      <c r="E196" s="53" t="s">
        <v>2232</v>
      </c>
      <c r="F196" s="109">
        <v>2718.87</v>
      </c>
      <c r="G196" s="109">
        <f t="shared" si="4"/>
        <v>761.28</v>
      </c>
      <c r="H196" s="9"/>
    </row>
    <row r="197" spans="1:8" s="1" customFormat="1" ht="20.100000000000001" customHeight="1">
      <c r="B197" s="53"/>
      <c r="C197" s="56" t="s">
        <v>3275</v>
      </c>
      <c r="D197" s="43">
        <v>130</v>
      </c>
      <c r="E197" s="56" t="s">
        <v>3276</v>
      </c>
      <c r="F197" s="63">
        <v>0.31</v>
      </c>
      <c r="G197" s="63">
        <f t="shared" si="4"/>
        <v>40.300000000000004</v>
      </c>
      <c r="H197" s="123">
        <f>SUM(G194:G197)</f>
        <v>9433.9800000000014</v>
      </c>
    </row>
    <row r="198" spans="1:8" s="1" customFormat="1" ht="20.100000000000001" customHeight="1">
      <c r="B198" s="62"/>
      <c r="C198" s="64" t="s">
        <v>698</v>
      </c>
      <c r="D198" s="900" t="s">
        <v>3230</v>
      </c>
      <c r="E198" s="901"/>
      <c r="F198" s="16"/>
      <c r="G198" s="149"/>
      <c r="H198" s="123">
        <f>INT(G193*0.03*100)/100</f>
        <v>14.07</v>
      </c>
    </row>
    <row r="199" spans="1:8" s="1" customFormat="1" ht="20.100000000000001" customHeight="1">
      <c r="F199" s="40" t="s">
        <v>1491</v>
      </c>
      <c r="G199" s="103"/>
      <c r="H199" s="99">
        <f>SUM(H193:H198)</f>
        <v>12756.050000000001</v>
      </c>
    </row>
    <row r="200" spans="1:8" s="1" customFormat="1" ht="20.100000000000001" customHeight="1">
      <c r="B200" s="1" t="s">
        <v>3233</v>
      </c>
      <c r="F200" s="40" t="s">
        <v>1472</v>
      </c>
      <c r="G200" s="103"/>
      <c r="H200" s="99">
        <f>FLOOR(H199*0.15,0.01)</f>
        <v>1913.4</v>
      </c>
    </row>
    <row r="201" spans="1:8" s="1" customFormat="1" ht="20.100000000000001" customHeight="1">
      <c r="A201" s="27" t="s">
        <v>3005</v>
      </c>
      <c r="B201" s="99">
        <f>+H201</f>
        <v>14669.45</v>
      </c>
      <c r="C201" s="1" t="s">
        <v>3006</v>
      </c>
      <c r="F201" s="40" t="s">
        <v>1494</v>
      </c>
      <c r="G201" s="103"/>
      <c r="H201" s="99">
        <f>SUM(H199:H200)</f>
        <v>14669.45</v>
      </c>
    </row>
    <row r="204" spans="1:8" s="1" customFormat="1" ht="17.25">
      <c r="B204" s="217"/>
      <c r="F204" s="40"/>
      <c r="G204" s="40"/>
      <c r="H204" s="19"/>
    </row>
    <row r="205" spans="1:8" s="1" customFormat="1" ht="20.25">
      <c r="A205" s="260"/>
      <c r="B205" s="877" t="s">
        <v>3347</v>
      </c>
      <c r="C205" s="878"/>
      <c r="D205" s="878"/>
      <c r="E205" s="878"/>
      <c r="F205" s="878"/>
      <c r="G205" s="878"/>
      <c r="H205" s="878"/>
    </row>
    <row r="206" spans="1:8" s="1" customFormat="1" ht="15.75">
      <c r="A206" s="582" t="s">
        <v>3631</v>
      </c>
      <c r="B206" s="932" t="s">
        <v>2231</v>
      </c>
      <c r="C206" s="933"/>
      <c r="D206" s="933"/>
      <c r="E206" s="933"/>
      <c r="F206" s="933"/>
      <c r="G206" s="933"/>
      <c r="H206" s="933"/>
    </row>
    <row r="207" spans="1:8" s="1" customFormat="1" ht="31.5">
      <c r="B207" s="68" t="s">
        <v>2966</v>
      </c>
      <c r="C207" s="68" t="s">
        <v>2967</v>
      </c>
      <c r="D207" s="68" t="s">
        <v>2968</v>
      </c>
      <c r="E207" s="68" t="s">
        <v>2969</v>
      </c>
      <c r="F207" s="68" t="s">
        <v>2970</v>
      </c>
      <c r="G207" s="68" t="s">
        <v>2971</v>
      </c>
      <c r="H207" s="68" t="s">
        <v>1487</v>
      </c>
    </row>
    <row r="208" spans="1:8" s="1" customFormat="1" ht="20.100000000000001" customHeight="1">
      <c r="B208" s="889" t="s">
        <v>1488</v>
      </c>
      <c r="C208" s="58" t="s">
        <v>516</v>
      </c>
      <c r="D208" s="41">
        <v>17.649999999999999</v>
      </c>
      <c r="E208" s="11" t="s">
        <v>1490</v>
      </c>
      <c r="F208" s="107">
        <v>910</v>
      </c>
      <c r="G208" s="107">
        <f>FLOOR(D208*F208,0.01)</f>
        <v>16061.5</v>
      </c>
      <c r="H208" s="108"/>
    </row>
    <row r="209" spans="1:8" s="1" customFormat="1" ht="20.100000000000001" customHeight="1">
      <c r="B209" s="934"/>
      <c r="C209" s="56" t="s">
        <v>1433</v>
      </c>
      <c r="D209" s="43">
        <v>1.76</v>
      </c>
      <c r="E209" s="15" t="s">
        <v>1490</v>
      </c>
      <c r="F209" s="109">
        <v>670</v>
      </c>
      <c r="G209" s="63">
        <f>FLOOR(D209*F209,0.01)</f>
        <v>1179.2</v>
      </c>
      <c r="H209" s="121">
        <f>SUM(G208+G209)</f>
        <v>17240.7</v>
      </c>
    </row>
    <row r="210" spans="1:8" s="1" customFormat="1" ht="20.100000000000001" customHeight="1">
      <c r="B210" s="886" t="s">
        <v>2055</v>
      </c>
      <c r="C210" s="53" t="s">
        <v>1932</v>
      </c>
      <c r="D210" s="42">
        <v>1.05</v>
      </c>
      <c r="E210" s="12" t="s">
        <v>2232</v>
      </c>
      <c r="F210" s="110">
        <v>210977.25</v>
      </c>
      <c r="G210" s="109">
        <f>FLOOR(D210*F210,0.01)</f>
        <v>221526.11000000002</v>
      </c>
      <c r="H210" s="84"/>
    </row>
    <row r="211" spans="1:8" s="1" customFormat="1" ht="20.100000000000001" customHeight="1">
      <c r="B211" s="934"/>
      <c r="C211" s="56" t="s">
        <v>2010</v>
      </c>
      <c r="D211" s="644" t="s">
        <v>2808</v>
      </c>
      <c r="E211" s="56" t="s">
        <v>556</v>
      </c>
      <c r="F211" s="56" t="s">
        <v>2810</v>
      </c>
      <c r="G211" s="63">
        <v>60</v>
      </c>
      <c r="H211" s="123">
        <f>SUM(G210:G211)</f>
        <v>221586.11000000002</v>
      </c>
    </row>
    <row r="212" spans="1:8" s="1" customFormat="1" ht="20.100000000000001" customHeight="1">
      <c r="F212" s="1" t="s">
        <v>1491</v>
      </c>
      <c r="H212" s="63">
        <f>SUM(H208:H211)</f>
        <v>238826.81000000003</v>
      </c>
    </row>
    <row r="213" spans="1:8" s="1" customFormat="1" ht="20.100000000000001" customHeight="1">
      <c r="B213" s="1" t="s">
        <v>3233</v>
      </c>
      <c r="F213" s="1" t="s">
        <v>1472</v>
      </c>
      <c r="H213" s="99">
        <f>FLOOR(H212*0.15,0.01)</f>
        <v>35824.020000000004</v>
      </c>
    </row>
    <row r="214" spans="1:8" s="1" customFormat="1" ht="16.5">
      <c r="A214" s="27" t="s">
        <v>3005</v>
      </c>
      <c r="B214" s="7">
        <f>+H214</f>
        <v>274650.83</v>
      </c>
      <c r="C214" s="1" t="s">
        <v>3006</v>
      </c>
      <c r="D214" s="172"/>
      <c r="F214" s="1" t="s">
        <v>1494</v>
      </c>
      <c r="H214" s="99">
        <f>SUM(H212:H213)</f>
        <v>274650.83</v>
      </c>
    </row>
    <row r="217" spans="1:8" s="1" customFormat="1" ht="32.25" customHeight="1">
      <c r="A217" s="260">
        <f>A204+1</f>
        <v>1</v>
      </c>
      <c r="B217" s="878" t="s">
        <v>559</v>
      </c>
      <c r="C217" s="878"/>
      <c r="D217" s="878"/>
      <c r="E217" s="878"/>
      <c r="F217" s="878"/>
      <c r="G217" s="878"/>
      <c r="H217" s="878"/>
    </row>
    <row r="218" spans="1:8" s="1" customFormat="1" ht="14.25" customHeight="1">
      <c r="A218" s="582" t="s">
        <v>3633</v>
      </c>
      <c r="B218" s="888" t="s">
        <v>2231</v>
      </c>
      <c r="C218" s="879"/>
      <c r="D218" s="879"/>
      <c r="E218" s="879"/>
      <c r="F218" s="879"/>
      <c r="G218" s="879"/>
      <c r="H218" s="879"/>
    </row>
    <row r="219" spans="1:8" s="1" customFormat="1" ht="31.5">
      <c r="B219" s="68" t="s">
        <v>2966</v>
      </c>
      <c r="C219" s="68" t="s">
        <v>2967</v>
      </c>
      <c r="D219" s="68" t="s">
        <v>2968</v>
      </c>
      <c r="E219" s="68" t="s">
        <v>2969</v>
      </c>
      <c r="F219" s="68" t="s">
        <v>2970</v>
      </c>
      <c r="G219" s="68" t="s">
        <v>2971</v>
      </c>
      <c r="H219" s="68" t="s">
        <v>1487</v>
      </c>
    </row>
    <row r="220" spans="1:8" s="1" customFormat="1" ht="15" customHeight="1">
      <c r="B220" s="889" t="s">
        <v>1488</v>
      </c>
      <c r="C220" s="58" t="s">
        <v>516</v>
      </c>
      <c r="D220" s="41">
        <v>34</v>
      </c>
      <c r="E220" s="55" t="s">
        <v>1490</v>
      </c>
      <c r="F220" s="107">
        <v>910</v>
      </c>
      <c r="G220" s="107">
        <f>FLOOR(D220*F220,0.01)</f>
        <v>30940</v>
      </c>
      <c r="H220" s="108"/>
    </row>
    <row r="221" spans="1:8" s="1" customFormat="1" ht="15" customHeight="1">
      <c r="B221" s="887"/>
      <c r="C221" s="56" t="s">
        <v>1433</v>
      </c>
      <c r="D221" s="43">
        <v>3.4</v>
      </c>
      <c r="E221" s="56" t="s">
        <v>1490</v>
      </c>
      <c r="F221" s="109">
        <v>670</v>
      </c>
      <c r="G221" s="63">
        <f>FLOOR(D221*F221,0.01)</f>
        <v>2278</v>
      </c>
      <c r="H221" s="121">
        <f>SUM(G220+G221)</f>
        <v>33218</v>
      </c>
    </row>
    <row r="222" spans="1:8" s="1" customFormat="1" ht="15" customHeight="1">
      <c r="B222" s="886" t="s">
        <v>2055</v>
      </c>
      <c r="C222" s="55" t="s">
        <v>1932</v>
      </c>
      <c r="D222" s="41">
        <v>1.1000000000000001</v>
      </c>
      <c r="E222" s="55" t="s">
        <v>2232</v>
      </c>
      <c r="F222" s="110">
        <v>210977.25</v>
      </c>
      <c r="G222" s="109">
        <f>FLOOR(D222*F222,0.01)</f>
        <v>232074.97</v>
      </c>
      <c r="H222" s="84"/>
    </row>
    <row r="223" spans="1:8" s="1" customFormat="1" ht="15" customHeight="1">
      <c r="B223" s="894"/>
      <c r="C223" s="53" t="s">
        <v>2920</v>
      </c>
      <c r="D223" s="42">
        <v>92</v>
      </c>
      <c r="E223" s="53" t="s">
        <v>699</v>
      </c>
      <c r="F223" s="109">
        <v>17.857142857142858</v>
      </c>
      <c r="G223" s="109">
        <f>FLOOR(D223*F223,0.01)</f>
        <v>1642.8500000000001</v>
      </c>
      <c r="H223" s="121"/>
    </row>
    <row r="224" spans="1:8" s="1" customFormat="1" ht="15" customHeight="1">
      <c r="B224" s="895"/>
      <c r="C224" s="56" t="s">
        <v>1933</v>
      </c>
      <c r="D224" s="43">
        <v>184</v>
      </c>
      <c r="E224" s="56" t="s">
        <v>699</v>
      </c>
      <c r="F224" s="122">
        <v>4.1127900000000013</v>
      </c>
      <c r="G224" s="63">
        <f>FLOOR(D224*F224,0.01)</f>
        <v>756.75</v>
      </c>
      <c r="H224" s="123">
        <f>SUM(G222:G224)</f>
        <v>234474.57</v>
      </c>
    </row>
    <row r="225" spans="1:8" s="1" customFormat="1" ht="15" customHeight="1">
      <c r="D225" s="89"/>
      <c r="F225" s="40" t="s">
        <v>1491</v>
      </c>
      <c r="G225" s="40"/>
      <c r="H225" s="63">
        <f>SUM(H221:H224)</f>
        <v>267692.57</v>
      </c>
    </row>
    <row r="226" spans="1:8" s="1" customFormat="1" ht="15" customHeight="1">
      <c r="B226" s="1" t="s">
        <v>3233</v>
      </c>
      <c r="F226" s="40" t="s">
        <v>1472</v>
      </c>
      <c r="G226" s="40"/>
      <c r="H226" s="99">
        <f>FLOOR(H225*0.15,0.01)</f>
        <v>40153.879999999997</v>
      </c>
    </row>
    <row r="227" spans="1:8" s="1" customFormat="1" ht="15" customHeight="1">
      <c r="A227" s="27" t="s">
        <v>3005</v>
      </c>
      <c r="B227" s="99">
        <f>+H227</f>
        <v>307846.45</v>
      </c>
      <c r="F227" s="40" t="s">
        <v>1494</v>
      </c>
      <c r="G227" s="40"/>
      <c r="H227" s="99">
        <f>SUM(H225:H226)</f>
        <v>307846.45</v>
      </c>
    </row>
    <row r="230" spans="1:8" s="1" customFormat="1" ht="18.75" customHeight="1">
      <c r="A230" s="260">
        <f>+A213+1</f>
        <v>1</v>
      </c>
      <c r="B230" s="878" t="s">
        <v>1617</v>
      </c>
      <c r="C230" s="878"/>
      <c r="D230" s="878"/>
      <c r="E230" s="878"/>
      <c r="F230" s="878"/>
      <c r="G230" s="878"/>
      <c r="H230" s="878"/>
    </row>
    <row r="231" spans="1:8" s="1" customFormat="1" ht="19.5">
      <c r="A231" s="582" t="s">
        <v>3635</v>
      </c>
      <c r="B231" s="877" t="s">
        <v>3007</v>
      </c>
      <c r="C231" s="878"/>
      <c r="D231" s="878"/>
      <c r="E231" s="878"/>
      <c r="F231" s="878"/>
      <c r="G231" s="878"/>
      <c r="H231" s="878"/>
    </row>
    <row r="232" spans="1:8" s="1" customFormat="1" ht="20.100000000000001" customHeight="1">
      <c r="B232" s="885" t="s">
        <v>1257</v>
      </c>
      <c r="C232" s="885"/>
      <c r="D232" s="885"/>
      <c r="E232" s="885"/>
      <c r="F232" s="885"/>
      <c r="G232" s="885"/>
      <c r="H232" s="885"/>
    </row>
    <row r="233" spans="1:8" s="1" customFormat="1" ht="31.5">
      <c r="B233" s="68" t="s">
        <v>2966</v>
      </c>
      <c r="C233" s="68" t="s">
        <v>2967</v>
      </c>
      <c r="D233" s="68" t="s">
        <v>2968</v>
      </c>
      <c r="E233" s="68" t="s">
        <v>2969</v>
      </c>
      <c r="F233" s="68" t="s">
        <v>2970</v>
      </c>
      <c r="G233" s="68" t="s">
        <v>2971</v>
      </c>
      <c r="H233" s="68" t="s">
        <v>1487</v>
      </c>
    </row>
    <row r="234" spans="1:8" s="1" customFormat="1" ht="17.25">
      <c r="B234" s="889" t="s">
        <v>1488</v>
      </c>
      <c r="C234" s="58" t="s">
        <v>516</v>
      </c>
      <c r="D234" s="41">
        <v>9</v>
      </c>
      <c r="E234" s="55" t="s">
        <v>1490</v>
      </c>
      <c r="F234" s="107">
        <v>910</v>
      </c>
      <c r="G234" s="107">
        <f t="shared" ref="G234:G240" si="5">FLOOR(D234*F234,0.01)</f>
        <v>8190</v>
      </c>
      <c r="H234" s="108"/>
    </row>
    <row r="235" spans="1:8" s="1" customFormat="1" ht="17.25">
      <c r="B235" s="887"/>
      <c r="C235" s="56" t="s">
        <v>1433</v>
      </c>
      <c r="D235" s="43">
        <v>0.9</v>
      </c>
      <c r="E235" s="56" t="s">
        <v>1490</v>
      </c>
      <c r="F235" s="109">
        <v>670</v>
      </c>
      <c r="G235" s="63">
        <f t="shared" si="5"/>
        <v>603</v>
      </c>
      <c r="H235" s="121">
        <f>SUM(G234+G235)</f>
        <v>8793</v>
      </c>
    </row>
    <row r="236" spans="1:8" s="1" customFormat="1" ht="17.25">
      <c r="B236" s="886" t="s">
        <v>2055</v>
      </c>
      <c r="C236" s="55" t="s">
        <v>1618</v>
      </c>
      <c r="D236" s="46">
        <v>4.9000000000000002E-2</v>
      </c>
      <c r="E236" s="55" t="s">
        <v>2232</v>
      </c>
      <c r="F236" s="110">
        <v>210977.25</v>
      </c>
      <c r="G236" s="109">
        <f t="shared" si="5"/>
        <v>10337.880000000001</v>
      </c>
      <c r="H236" s="84"/>
    </row>
    <row r="237" spans="1:8" s="1" customFormat="1" ht="17.25">
      <c r="B237" s="894"/>
      <c r="C237" s="53" t="s">
        <v>2921</v>
      </c>
      <c r="D237" s="52">
        <v>1.085</v>
      </c>
      <c r="E237" s="53" t="s">
        <v>2807</v>
      </c>
      <c r="F237" s="109">
        <v>807</v>
      </c>
      <c r="G237" s="109">
        <f t="shared" si="5"/>
        <v>875.59</v>
      </c>
      <c r="H237" s="86"/>
    </row>
    <row r="238" spans="1:8" s="1" customFormat="1" ht="17.25">
      <c r="B238" s="894"/>
      <c r="C238" s="53" t="s">
        <v>1619</v>
      </c>
      <c r="D238" s="42">
        <v>8</v>
      </c>
      <c r="E238" s="53" t="s">
        <v>699</v>
      </c>
      <c r="F238" s="109">
        <v>15</v>
      </c>
      <c r="G238" s="109">
        <f t="shared" si="5"/>
        <v>120</v>
      </c>
      <c r="H238" s="86"/>
    </row>
    <row r="239" spans="1:8" s="1" customFormat="1" ht="17.25">
      <c r="B239" s="894"/>
      <c r="C239" s="53" t="s">
        <v>1620</v>
      </c>
      <c r="D239" s="42">
        <v>4</v>
      </c>
      <c r="E239" s="53" t="s">
        <v>699</v>
      </c>
      <c r="F239" s="109">
        <v>40</v>
      </c>
      <c r="G239" s="109">
        <f t="shared" si="5"/>
        <v>160</v>
      </c>
      <c r="H239" s="86"/>
    </row>
    <row r="240" spans="1:8" s="1" customFormat="1" ht="20.100000000000001" customHeight="1">
      <c r="B240" s="894"/>
      <c r="C240" s="53" t="s">
        <v>3003</v>
      </c>
      <c r="D240" s="42">
        <v>2</v>
      </c>
      <c r="E240" s="53" t="s">
        <v>699</v>
      </c>
      <c r="F240" s="109">
        <v>32</v>
      </c>
      <c r="G240" s="109">
        <f t="shared" si="5"/>
        <v>64</v>
      </c>
      <c r="H240" s="86"/>
    </row>
    <row r="241" spans="1:8" s="1" customFormat="1" ht="20.100000000000001" customHeight="1">
      <c r="B241" s="895"/>
      <c r="C241" s="56" t="s">
        <v>1933</v>
      </c>
      <c r="D241" s="56" t="s">
        <v>67</v>
      </c>
      <c r="E241" s="56" t="s">
        <v>2810</v>
      </c>
      <c r="F241" s="63"/>
      <c r="G241" s="63">
        <v>35</v>
      </c>
      <c r="H241" s="123">
        <f>SUM(G236:G241)</f>
        <v>11592.470000000001</v>
      </c>
    </row>
    <row r="242" spans="1:8" s="1" customFormat="1" ht="17.25">
      <c r="F242" s="40" t="s">
        <v>1491</v>
      </c>
      <c r="G242" s="40"/>
      <c r="H242" s="63">
        <f>SUM(H241,H235)</f>
        <v>20385.47</v>
      </c>
    </row>
    <row r="243" spans="1:8" s="1" customFormat="1" ht="17.25">
      <c r="B243" s="3" t="s">
        <v>1493</v>
      </c>
      <c r="F243" s="40" t="s">
        <v>1472</v>
      </c>
      <c r="G243" s="40"/>
      <c r="H243" s="99">
        <f>FLOOR(H242*0.15,0.01)</f>
        <v>3057.82</v>
      </c>
    </row>
    <row r="244" spans="1:8" s="1" customFormat="1" ht="17.25">
      <c r="A244"/>
      <c r="B244" s="140">
        <f>+H244</f>
        <v>23443.29</v>
      </c>
      <c r="C244" s="27" t="s">
        <v>3005</v>
      </c>
      <c r="D244" s="99">
        <f>INT(B244/B245*100)/100</f>
        <v>10512.68</v>
      </c>
      <c r="E244" s="1" t="s">
        <v>3006</v>
      </c>
      <c r="F244" s="40" t="s">
        <v>1494</v>
      </c>
      <c r="G244" s="40"/>
      <c r="H244" s="99">
        <f>SUM(H242:H243)</f>
        <v>23443.29</v>
      </c>
    </row>
    <row r="245" spans="1:8" s="1" customFormat="1" ht="20.100000000000001" customHeight="1">
      <c r="A245" s="27"/>
      <c r="B245" s="88">
        <v>2.23</v>
      </c>
      <c r="H245" s="19"/>
    </row>
    <row r="247" spans="1:8" s="1" customFormat="1" ht="30.75" customHeight="1">
      <c r="A247" s="260">
        <f>A230+1</f>
        <v>2</v>
      </c>
      <c r="B247" s="883" t="s">
        <v>3610</v>
      </c>
      <c r="C247" s="884"/>
      <c r="D247" s="884"/>
      <c r="E247" s="884"/>
      <c r="F247" s="884"/>
      <c r="G247" s="884"/>
      <c r="H247" s="884"/>
    </row>
    <row r="248" spans="1:8" s="1" customFormat="1" ht="15">
      <c r="A248" s="667" t="s">
        <v>3534</v>
      </c>
      <c r="B248" s="928" t="s">
        <v>180</v>
      </c>
      <c r="C248" s="885"/>
      <c r="D248" s="885"/>
      <c r="E248" s="885"/>
      <c r="F248" s="885"/>
      <c r="G248" s="885"/>
      <c r="H248" s="885"/>
    </row>
    <row r="249" spans="1:8" s="1" customFormat="1" ht="31.5">
      <c r="B249" s="68" t="s">
        <v>2966</v>
      </c>
      <c r="C249" s="68" t="s">
        <v>2967</v>
      </c>
      <c r="D249" s="68" t="s">
        <v>2968</v>
      </c>
      <c r="E249" s="68" t="s">
        <v>2969</v>
      </c>
      <c r="F249" s="68" t="s">
        <v>2970</v>
      </c>
      <c r="G249" s="68" t="s">
        <v>2971</v>
      </c>
      <c r="H249" s="68" t="s">
        <v>1487</v>
      </c>
    </row>
    <row r="250" spans="1:8" s="1" customFormat="1" ht="17.25">
      <c r="B250" s="889" t="s">
        <v>1488</v>
      </c>
      <c r="C250" s="58" t="s">
        <v>516</v>
      </c>
      <c r="D250" s="238">
        <v>1.61</v>
      </c>
      <c r="E250" s="55" t="s">
        <v>1490</v>
      </c>
      <c r="F250" s="107">
        <v>910</v>
      </c>
      <c r="G250" s="107">
        <f>FLOOR(D250*F250,0.01)</f>
        <v>1465.1000000000001</v>
      </c>
      <c r="H250" s="108"/>
    </row>
    <row r="251" spans="1:8" s="1" customFormat="1" ht="17.25">
      <c r="A251" s="37"/>
      <c r="B251" s="887"/>
      <c r="C251" s="56" t="s">
        <v>1433</v>
      </c>
      <c r="D251" s="49">
        <v>0.161</v>
      </c>
      <c r="E251" s="56" t="s">
        <v>1490</v>
      </c>
      <c r="F251" s="109">
        <v>670</v>
      </c>
      <c r="G251" s="63">
        <f>FLOOR(D251*F251,0.01)</f>
        <v>107.87</v>
      </c>
      <c r="H251" s="121">
        <f>SUM(G250+G251)</f>
        <v>1572.9700000000003</v>
      </c>
    </row>
    <row r="252" spans="1:8" s="1" customFormat="1" ht="21.75" customHeight="1">
      <c r="B252" s="886" t="s">
        <v>2055</v>
      </c>
      <c r="C252" s="154" t="s">
        <v>171</v>
      </c>
      <c r="D252" s="192">
        <v>1.1000000000000001</v>
      </c>
      <c r="E252" s="55" t="s">
        <v>2807</v>
      </c>
      <c r="F252" s="110">
        <v>2550.12</v>
      </c>
      <c r="G252" s="110">
        <f>FLOOR(D252*F252,0.01)</f>
        <v>2805.13</v>
      </c>
      <c r="H252" s="84"/>
    </row>
    <row r="253" spans="1:8" s="1" customFormat="1" ht="17.25">
      <c r="B253" s="894"/>
      <c r="C253" s="53" t="s">
        <v>1134</v>
      </c>
      <c r="D253" s="52">
        <v>7.4340000000000002</v>
      </c>
      <c r="E253" s="53" t="s">
        <v>2605</v>
      </c>
      <c r="F253" s="109">
        <v>52.480000000000004</v>
      </c>
      <c r="G253" s="109">
        <f>FLOOR(D253*F253,0.01)</f>
        <v>390.13</v>
      </c>
      <c r="H253" s="86"/>
    </row>
    <row r="254" spans="1:8" s="1" customFormat="1" ht="15.75" customHeight="1">
      <c r="A254" s="37"/>
      <c r="B254" s="894"/>
      <c r="C254" s="53" t="s">
        <v>3076</v>
      </c>
      <c r="D254" s="53" t="s">
        <v>2808</v>
      </c>
      <c r="E254" s="53" t="s">
        <v>2810</v>
      </c>
      <c r="F254" s="109"/>
      <c r="G254" s="109">
        <v>20</v>
      </c>
      <c r="H254" s="86"/>
    </row>
    <row r="255" spans="1:8" s="1" customFormat="1" ht="15.75" customHeight="1">
      <c r="B255" s="894"/>
      <c r="C255" s="53" t="s">
        <v>2073</v>
      </c>
      <c r="D255" s="42">
        <v>3</v>
      </c>
      <c r="E255" s="53" t="s">
        <v>699</v>
      </c>
      <c r="F255" s="109">
        <v>28</v>
      </c>
      <c r="G255" s="109">
        <f>FLOOR(D255*F255,0.01)</f>
        <v>84</v>
      </c>
      <c r="H255" s="86"/>
    </row>
    <row r="256" spans="1:8" s="1" customFormat="1" ht="15.75" customHeight="1">
      <c r="B256" s="894"/>
      <c r="C256" s="53" t="s">
        <v>2097</v>
      </c>
      <c r="D256" s="42">
        <v>2</v>
      </c>
      <c r="E256" s="53" t="s">
        <v>699</v>
      </c>
      <c r="F256" s="109">
        <v>67</v>
      </c>
      <c r="G256" s="109">
        <f>FLOOR(D256*F256,0.01)</f>
        <v>134</v>
      </c>
      <c r="H256" s="86"/>
    </row>
    <row r="257" spans="1:8" s="1" customFormat="1" ht="15.75" customHeight="1">
      <c r="B257" s="894"/>
      <c r="C257" s="24" t="s">
        <v>375</v>
      </c>
      <c r="D257" s="42">
        <v>1</v>
      </c>
      <c r="E257" s="53" t="s">
        <v>699</v>
      </c>
      <c r="F257" s="109">
        <v>625</v>
      </c>
      <c r="G257" s="109">
        <f>FLOOR(D257*F257,0.01)</f>
        <v>625</v>
      </c>
      <c r="H257" s="86"/>
    </row>
    <row r="258" spans="1:8" s="1" customFormat="1" ht="15.75" customHeight="1">
      <c r="B258" s="895"/>
      <c r="C258" s="56" t="s">
        <v>1933</v>
      </c>
      <c r="D258" s="56" t="s">
        <v>2808</v>
      </c>
      <c r="E258" s="56" t="s">
        <v>2810</v>
      </c>
      <c r="F258" s="63"/>
      <c r="G258" s="63">
        <v>45</v>
      </c>
      <c r="H258" s="123">
        <f>SUM(G252:G258)</f>
        <v>4103.26</v>
      </c>
    </row>
    <row r="259" spans="1:8" s="1" customFormat="1" ht="15.75" customHeight="1">
      <c r="F259" s="40" t="s">
        <v>1491</v>
      </c>
      <c r="G259" s="40"/>
      <c r="H259" s="63">
        <f>SUM(H251:H258)</f>
        <v>5676.2300000000005</v>
      </c>
    </row>
    <row r="260" spans="1:8" s="1" customFormat="1" ht="17.25">
      <c r="B260" s="3" t="s">
        <v>1493</v>
      </c>
      <c r="F260" s="40" t="s">
        <v>1472</v>
      </c>
      <c r="G260" s="40"/>
      <c r="H260" s="99">
        <f>FLOOR(H259*0.15,0.01)</f>
        <v>851.43000000000006</v>
      </c>
    </row>
    <row r="261" spans="1:8" s="1" customFormat="1" ht="17.25">
      <c r="A261"/>
      <c r="B261" s="140">
        <f>+H261</f>
        <v>6527.6600000000008</v>
      </c>
      <c r="C261" s="27" t="s">
        <v>3005</v>
      </c>
      <c r="D261" s="99">
        <f>INT(B261/B262*100)/100</f>
        <v>6527.66</v>
      </c>
      <c r="E261" s="1" t="s">
        <v>3006</v>
      </c>
      <c r="F261" s="40" t="s">
        <v>1494</v>
      </c>
      <c r="G261" s="40"/>
      <c r="H261" s="99">
        <f>SUM(H259:H260)</f>
        <v>6527.6600000000008</v>
      </c>
    </row>
    <row r="262" spans="1:8" s="1" customFormat="1" ht="16.5">
      <c r="B262" s="88">
        <v>1</v>
      </c>
      <c r="H262" s="19"/>
    </row>
    <row r="263" spans="1:8" s="1" customFormat="1" ht="16.5">
      <c r="B263" s="88"/>
      <c r="H263" s="19"/>
    </row>
    <row r="264" spans="1:8" s="1" customFormat="1" ht="18" customHeight="1">
      <c r="A264" s="260">
        <f>A251+1</f>
        <v>1</v>
      </c>
      <c r="B264" s="877" t="s">
        <v>2733</v>
      </c>
      <c r="C264" s="878"/>
      <c r="D264" s="878"/>
      <c r="E264" s="878"/>
      <c r="F264" s="878"/>
      <c r="G264" s="878"/>
      <c r="H264" s="878"/>
    </row>
    <row r="265" spans="1:8" s="1" customFormat="1" ht="18" customHeight="1">
      <c r="A265" s="15" t="s">
        <v>2945</v>
      </c>
      <c r="B265" s="877" t="s">
        <v>2731</v>
      </c>
      <c r="C265" s="878"/>
      <c r="D265" s="878"/>
      <c r="E265" s="878"/>
      <c r="F265" s="878"/>
      <c r="G265" s="878"/>
      <c r="H265" s="878"/>
    </row>
    <row r="266" spans="1:8" s="1" customFormat="1" ht="18" customHeight="1">
      <c r="A266" s="668" t="s">
        <v>3540</v>
      </c>
      <c r="B266" s="885" t="s">
        <v>1382</v>
      </c>
      <c r="C266" s="885"/>
      <c r="D266" s="885"/>
      <c r="E266" s="885"/>
      <c r="F266" s="885"/>
      <c r="G266" s="885"/>
      <c r="H266" s="885"/>
    </row>
    <row r="267" spans="1:8" s="1" customFormat="1" ht="31.5">
      <c r="B267" s="68" t="s">
        <v>2966</v>
      </c>
      <c r="C267" s="68" t="s">
        <v>2967</v>
      </c>
      <c r="D267" s="68" t="s">
        <v>2968</v>
      </c>
      <c r="E267" s="68" t="s">
        <v>2969</v>
      </c>
      <c r="F267" s="68" t="s">
        <v>2970</v>
      </c>
      <c r="G267" s="68" t="s">
        <v>2971</v>
      </c>
      <c r="H267" s="68" t="s">
        <v>1487</v>
      </c>
    </row>
    <row r="268" spans="1:8" s="1" customFormat="1" ht="18" customHeight="1">
      <c r="B268" s="889" t="s">
        <v>1488</v>
      </c>
      <c r="C268" s="58" t="s">
        <v>516</v>
      </c>
      <c r="D268" s="41">
        <v>1.25</v>
      </c>
      <c r="E268" s="55" t="s">
        <v>1490</v>
      </c>
      <c r="F268" s="107">
        <v>910</v>
      </c>
      <c r="G268" s="107">
        <f>FLOOR(D268*F268,0.01)</f>
        <v>1137.5</v>
      </c>
      <c r="H268" s="108"/>
    </row>
    <row r="269" spans="1:8" s="1" customFormat="1" ht="18" customHeight="1">
      <c r="B269" s="887"/>
      <c r="C269" s="56" t="s">
        <v>1433</v>
      </c>
      <c r="D269" s="43">
        <v>2</v>
      </c>
      <c r="E269" s="56" t="s">
        <v>1490</v>
      </c>
      <c r="F269" s="63">
        <v>670</v>
      </c>
      <c r="G269" s="63">
        <f>FLOOR(D269*F269,0.01)</f>
        <v>1340</v>
      </c>
      <c r="H269" s="121">
        <f>SUM(G268+G269)</f>
        <v>2477.5</v>
      </c>
    </row>
    <row r="270" spans="1:8" s="1" customFormat="1" ht="17.25">
      <c r="B270" s="886" t="s">
        <v>2055</v>
      </c>
      <c r="C270" s="53" t="s">
        <v>1304</v>
      </c>
      <c r="D270" s="42">
        <v>0.13</v>
      </c>
      <c r="E270" s="53" t="s">
        <v>700</v>
      </c>
      <c r="F270" s="109">
        <v>16100</v>
      </c>
      <c r="G270" s="109">
        <f>FLOOR(D270*F270,0.01)</f>
        <v>2093</v>
      </c>
      <c r="H270" s="84"/>
    </row>
    <row r="271" spans="1:8" s="1" customFormat="1" ht="17.25">
      <c r="B271" s="890"/>
      <c r="C271" s="53" t="s">
        <v>1305</v>
      </c>
      <c r="D271" s="42">
        <v>0.18</v>
      </c>
      <c r="E271" s="53" t="s">
        <v>2232</v>
      </c>
      <c r="F271" s="109">
        <v>2718.87</v>
      </c>
      <c r="G271" s="109">
        <f>FLOOR(D271*F271,0.01)</f>
        <v>489.39</v>
      </c>
      <c r="H271" s="86"/>
    </row>
    <row r="272" spans="1:8" s="1" customFormat="1" ht="17.25">
      <c r="B272" s="887"/>
      <c r="C272" s="56" t="s">
        <v>1306</v>
      </c>
      <c r="D272" s="43">
        <v>0.36</v>
      </c>
      <c r="E272" s="56" t="s">
        <v>2232</v>
      </c>
      <c r="F272" s="63">
        <v>2895.42</v>
      </c>
      <c r="G272" s="63">
        <f>FLOOR(D272*F272,0.01)</f>
        <v>1042.3499999999999</v>
      </c>
      <c r="H272" s="123">
        <f>SUM(G270:G272)</f>
        <v>3624.74</v>
      </c>
    </row>
    <row r="273" spans="1:8" s="1" customFormat="1" ht="18" customHeight="1">
      <c r="F273" s="40" t="s">
        <v>1491</v>
      </c>
      <c r="G273" s="40"/>
      <c r="H273" s="63">
        <f>SUM(H269:H272)</f>
        <v>6102.24</v>
      </c>
    </row>
    <row r="274" spans="1:8" s="1" customFormat="1" ht="17.25">
      <c r="B274" s="1" t="s">
        <v>1493</v>
      </c>
      <c r="F274" s="40" t="s">
        <v>1472</v>
      </c>
      <c r="G274" s="40"/>
      <c r="H274" s="99">
        <f>FLOOR(H273*0.15,0.01)</f>
        <v>915.33</v>
      </c>
    </row>
    <row r="275" spans="1:8" s="1" customFormat="1" ht="18" customHeight="1">
      <c r="A275"/>
      <c r="B275" s="140">
        <f>+H275</f>
        <v>7017.57</v>
      </c>
      <c r="C275" s="27" t="s">
        <v>3005</v>
      </c>
      <c r="D275" s="99">
        <f>INT(B275/B276*100)/100</f>
        <v>701.75</v>
      </c>
      <c r="E275" s="1" t="s">
        <v>3006</v>
      </c>
      <c r="F275" s="40" t="s">
        <v>1494</v>
      </c>
      <c r="G275" s="40"/>
      <c r="H275" s="93">
        <f>SUM(H273:H274)</f>
        <v>7017.57</v>
      </c>
    </row>
    <row r="276" spans="1:8" s="1" customFormat="1" ht="18" customHeight="1">
      <c r="B276" s="117">
        <v>10</v>
      </c>
    </row>
    <row r="278" spans="1:8" s="1" customFormat="1" ht="18" customHeight="1">
      <c r="A278" s="747">
        <f>A264+1</f>
        <v>2</v>
      </c>
      <c r="B278" s="1024" t="s">
        <v>3841</v>
      </c>
      <c r="C278" s="1025"/>
      <c r="D278" s="1025"/>
      <c r="E278" s="1025"/>
      <c r="F278" s="1025"/>
      <c r="G278" s="1025"/>
      <c r="H278" s="1026"/>
    </row>
    <row r="279" spans="1:8" s="1" customFormat="1" ht="18" customHeight="1">
      <c r="A279" s="744" t="s">
        <v>3657</v>
      </c>
      <c r="B279" s="879" t="s">
        <v>3830</v>
      </c>
      <c r="C279" s="879"/>
      <c r="D279" s="879"/>
      <c r="E279" s="879"/>
      <c r="F279" s="879"/>
      <c r="G279" s="879"/>
      <c r="H279" s="879"/>
    </row>
    <row r="280" spans="1:8" s="1" customFormat="1" ht="18" customHeight="1">
      <c r="B280" s="68" t="s">
        <v>2966</v>
      </c>
      <c r="C280" s="68" t="s">
        <v>2967</v>
      </c>
      <c r="D280" s="68" t="s">
        <v>2968</v>
      </c>
      <c r="E280" s="68" t="s">
        <v>2969</v>
      </c>
      <c r="F280" s="68" t="s">
        <v>2970</v>
      </c>
      <c r="G280" s="68" t="s">
        <v>2971</v>
      </c>
      <c r="H280" s="68" t="s">
        <v>1487</v>
      </c>
    </row>
    <row r="281" spans="1:8" s="1" customFormat="1" ht="18" customHeight="1">
      <c r="B281" s="889" t="s">
        <v>520</v>
      </c>
      <c r="C281" s="80" t="s">
        <v>686</v>
      </c>
      <c r="D281" s="42">
        <v>1.3</v>
      </c>
      <c r="E281" s="53" t="s">
        <v>1490</v>
      </c>
      <c r="F281" s="116">
        <v>910</v>
      </c>
      <c r="G281" s="107">
        <f>FLOOR(D281*F281,0.01)</f>
        <v>1183</v>
      </c>
      <c r="H281" s="108"/>
    </row>
    <row r="282" spans="1:8" s="1" customFormat="1" ht="18" customHeight="1">
      <c r="B282" s="942"/>
      <c r="C282" s="78" t="s">
        <v>521</v>
      </c>
      <c r="D282" s="43">
        <v>0.45</v>
      </c>
      <c r="E282" s="56" t="s">
        <v>1490</v>
      </c>
      <c r="F282" s="122">
        <v>670</v>
      </c>
      <c r="G282" s="63">
        <f>FLOOR(D282*F282,0.01)</f>
        <v>301.5</v>
      </c>
      <c r="H282" s="123">
        <f>SUM(G281+G282)</f>
        <v>1484.5</v>
      </c>
    </row>
    <row r="283" spans="1:8" s="1" customFormat="1" ht="18" customHeight="1">
      <c r="B283" s="889" t="s">
        <v>2055</v>
      </c>
      <c r="C283" s="743" t="s">
        <v>3828</v>
      </c>
      <c r="D283" s="46">
        <v>1.1000000000000001</v>
      </c>
      <c r="E283" s="55" t="s">
        <v>1429</v>
      </c>
      <c r="F283" s="107">
        <v>1194.3600000000001</v>
      </c>
      <c r="G283" s="107">
        <f>FLOOR(D283*F283,0.01)</f>
        <v>1313.79</v>
      </c>
      <c r="H283" s="108"/>
    </row>
    <row r="284" spans="1:8" s="1" customFormat="1" ht="18" customHeight="1">
      <c r="B284" s="943"/>
      <c r="C284" s="743" t="s">
        <v>3831</v>
      </c>
      <c r="D284" s="52">
        <f>0.015/2*1000</f>
        <v>7.5</v>
      </c>
      <c r="E284" s="53" t="s">
        <v>2981</v>
      </c>
      <c r="F284" s="116">
        <v>85</v>
      </c>
      <c r="G284" s="116">
        <f>FLOOR(D284*F284,0.01)</f>
        <v>637.5</v>
      </c>
      <c r="H284" s="121"/>
    </row>
    <row r="285" spans="1:8" s="1" customFormat="1" ht="18" customHeight="1">
      <c r="B285" s="896"/>
      <c r="C285" s="645" t="s">
        <v>3829</v>
      </c>
      <c r="D285" s="49"/>
      <c r="E285" s="56"/>
      <c r="F285" s="122"/>
      <c r="G285" s="122"/>
      <c r="H285" s="123">
        <f>G284+G283</f>
        <v>1951.29</v>
      </c>
    </row>
    <row r="286" spans="1:8" s="1" customFormat="1" ht="18" customHeight="1">
      <c r="F286" s="1" t="s">
        <v>1491</v>
      </c>
      <c r="G286" s="102"/>
      <c r="H286" s="63">
        <f>H285+H282</f>
        <v>3435.79</v>
      </c>
    </row>
    <row r="287" spans="1:8" s="1" customFormat="1" ht="18" customHeight="1">
      <c r="B287" s="1" t="s">
        <v>1493</v>
      </c>
      <c r="F287" s="1" t="s">
        <v>1471</v>
      </c>
      <c r="G287" s="102"/>
      <c r="H287" s="99">
        <f>FLOOR(H286*0.15,0.01)</f>
        <v>515.36</v>
      </c>
    </row>
    <row r="288" spans="1:8" s="1" customFormat="1" ht="18" customHeight="1">
      <c r="B288" s="141">
        <f>+H288</f>
        <v>3951.15</v>
      </c>
      <c r="C288" s="27" t="s">
        <v>3801</v>
      </c>
      <c r="D288" s="110">
        <f>B288</f>
        <v>3951.15</v>
      </c>
      <c r="E288" s="1" t="s">
        <v>3006</v>
      </c>
      <c r="F288" s="1" t="s">
        <v>1494</v>
      </c>
      <c r="G288" s="102"/>
      <c r="H288" s="110">
        <f>SUM(H286:H287)</f>
        <v>3951.15</v>
      </c>
    </row>
    <row r="289" spans="1:8" s="1" customFormat="1" ht="18" customHeight="1">
      <c r="A289" s="31"/>
      <c r="B289" s="741"/>
      <c r="C289" s="31"/>
      <c r="D289" s="13"/>
      <c r="E289" s="13"/>
      <c r="F289" s="13"/>
      <c r="G289" s="13"/>
      <c r="H289" s="13"/>
    </row>
    <row r="291" spans="1:8" s="1" customFormat="1" ht="18" customHeight="1" outlineLevel="1">
      <c r="A291" s="260">
        <f>A274+1</f>
        <v>1</v>
      </c>
      <c r="B291" s="935" t="s">
        <v>3776</v>
      </c>
      <c r="C291" s="909"/>
      <c r="D291" s="909"/>
      <c r="E291" s="909"/>
      <c r="F291" s="909"/>
      <c r="G291" s="909"/>
      <c r="H291" s="909"/>
    </row>
    <row r="292" spans="1:8" s="1" customFormat="1" ht="18" customHeight="1" outlineLevel="1">
      <c r="A292" s="698"/>
      <c r="B292" s="877" t="s">
        <v>3382</v>
      </c>
      <c r="C292" s="878"/>
      <c r="D292" s="878"/>
      <c r="E292" s="878"/>
      <c r="F292" s="878"/>
      <c r="G292" s="878"/>
      <c r="H292" s="878"/>
    </row>
    <row r="293" spans="1:8" s="1" customFormat="1" ht="12" customHeight="1" outlineLevel="1">
      <c r="B293" s="885" t="s">
        <v>1382</v>
      </c>
      <c r="C293" s="885"/>
      <c r="D293" s="885"/>
      <c r="E293" s="885"/>
      <c r="F293" s="885"/>
      <c r="G293" s="885"/>
      <c r="H293" s="885"/>
    </row>
    <row r="294" spans="1:8" s="1" customFormat="1" ht="31.5" outlineLevel="1">
      <c r="B294" s="68" t="s">
        <v>2966</v>
      </c>
      <c r="C294" s="68" t="s">
        <v>2967</v>
      </c>
      <c r="D294" s="68" t="s">
        <v>2968</v>
      </c>
      <c r="E294" s="68" t="s">
        <v>2969</v>
      </c>
      <c r="F294" s="68" t="s">
        <v>2970</v>
      </c>
      <c r="G294" s="68" t="s">
        <v>2971</v>
      </c>
      <c r="H294" s="68" t="s">
        <v>1487</v>
      </c>
    </row>
    <row r="295" spans="1:8" s="1" customFormat="1" ht="18" customHeight="1" outlineLevel="1">
      <c r="B295" s="889" t="s">
        <v>1488</v>
      </c>
      <c r="C295" s="58" t="s">
        <v>516</v>
      </c>
      <c r="D295" s="41">
        <v>14</v>
      </c>
      <c r="E295" s="55" t="s">
        <v>1490</v>
      </c>
      <c r="F295" s="107">
        <v>910</v>
      </c>
      <c r="G295" s="107">
        <f t="shared" ref="G295:G302" si="6">FLOOR(D295*F295,0.01)</f>
        <v>12740</v>
      </c>
      <c r="H295" s="108"/>
    </row>
    <row r="296" spans="1:8" s="1" customFormat="1" ht="18" customHeight="1" outlineLevel="1">
      <c r="B296" s="887"/>
      <c r="C296" s="56" t="s">
        <v>1433</v>
      </c>
      <c r="D296" s="43">
        <v>12</v>
      </c>
      <c r="E296" s="56" t="s">
        <v>1490</v>
      </c>
      <c r="F296" s="63">
        <v>670</v>
      </c>
      <c r="G296" s="63">
        <f t="shared" si="6"/>
        <v>8040</v>
      </c>
      <c r="H296" s="121">
        <f>SUM(G295+G296)</f>
        <v>20780</v>
      </c>
    </row>
    <row r="297" spans="1:8" s="1" customFormat="1" ht="18" customHeight="1" outlineLevel="1">
      <c r="B297" s="886" t="s">
        <v>2055</v>
      </c>
      <c r="C297" s="53" t="s">
        <v>1304</v>
      </c>
      <c r="D297" s="52">
        <v>6.3E-2</v>
      </c>
      <c r="E297" s="53" t="s">
        <v>700</v>
      </c>
      <c r="F297" s="109">
        <v>16100</v>
      </c>
      <c r="G297" s="109">
        <f t="shared" si="6"/>
        <v>1014.3000000000001</v>
      </c>
      <c r="H297" s="84"/>
    </row>
    <row r="298" spans="1:8" s="1" customFormat="1" ht="18" customHeight="1" outlineLevel="1">
      <c r="B298" s="894"/>
      <c r="C298" s="53" t="s">
        <v>697</v>
      </c>
      <c r="D298" s="52">
        <v>0.128</v>
      </c>
      <c r="E298" s="53" t="s">
        <v>2232</v>
      </c>
      <c r="F298" s="109">
        <v>2718.87</v>
      </c>
      <c r="G298" s="109">
        <f t="shared" si="6"/>
        <v>348.01</v>
      </c>
      <c r="H298" s="86"/>
    </row>
    <row r="299" spans="1:8" s="1" customFormat="1" ht="18" customHeight="1" outlineLevel="1">
      <c r="B299" s="894"/>
      <c r="C299" s="54" t="s">
        <v>3777</v>
      </c>
      <c r="D299" s="42">
        <v>11</v>
      </c>
      <c r="E299" s="53" t="s">
        <v>2807</v>
      </c>
      <c r="F299" s="42">
        <v>1721.6000000000001</v>
      </c>
      <c r="G299" s="109">
        <f t="shared" si="6"/>
        <v>18937.600000000002</v>
      </c>
      <c r="H299" s="86"/>
    </row>
    <row r="300" spans="1:8" s="1" customFormat="1" ht="18" customHeight="1" outlineLevel="1">
      <c r="B300" s="894"/>
      <c r="C300" s="53" t="s">
        <v>1562</v>
      </c>
      <c r="D300" s="42">
        <v>0.37</v>
      </c>
      <c r="E300" s="53" t="s">
        <v>2748</v>
      </c>
      <c r="F300" s="42">
        <v>118</v>
      </c>
      <c r="G300" s="109">
        <f t="shared" si="6"/>
        <v>43.660000000000004</v>
      </c>
      <c r="H300" s="86"/>
    </row>
    <row r="301" spans="1:8" s="1" customFormat="1" ht="18" customHeight="1" outlineLevel="1">
      <c r="B301" s="894"/>
      <c r="C301" s="53" t="s">
        <v>2013</v>
      </c>
      <c r="D301" s="52">
        <v>0.11799999999999999</v>
      </c>
      <c r="E301" s="53" t="s">
        <v>2748</v>
      </c>
      <c r="F301" s="42">
        <v>345</v>
      </c>
      <c r="G301" s="109">
        <f t="shared" si="6"/>
        <v>40.71</v>
      </c>
      <c r="H301" s="86"/>
    </row>
    <row r="302" spans="1:8" s="1" customFormat="1" ht="18" customHeight="1" outlineLevel="1">
      <c r="B302" s="894"/>
      <c r="C302" s="53" t="s">
        <v>2014</v>
      </c>
      <c r="D302" s="52">
        <v>0.53800000000000003</v>
      </c>
      <c r="E302" s="53" t="s">
        <v>2517</v>
      </c>
      <c r="F302" s="42">
        <v>208</v>
      </c>
      <c r="G302" s="109">
        <f t="shared" si="6"/>
        <v>111.9</v>
      </c>
      <c r="H302" s="86"/>
    </row>
    <row r="303" spans="1:8" s="1" customFormat="1" ht="18" customHeight="1" outlineLevel="1">
      <c r="B303" s="895"/>
      <c r="C303" s="56" t="s">
        <v>2516</v>
      </c>
      <c r="D303" s="56" t="s">
        <v>2808</v>
      </c>
      <c r="E303" s="56" t="s">
        <v>2810</v>
      </c>
      <c r="F303" s="63"/>
      <c r="G303" s="63">
        <v>120</v>
      </c>
      <c r="H303" s="123">
        <f>SUM(G297:G303)</f>
        <v>20616.180000000004</v>
      </c>
    </row>
    <row r="304" spans="1:8" s="1" customFormat="1" ht="18" customHeight="1" outlineLevel="1">
      <c r="F304" s="40" t="s">
        <v>1491</v>
      </c>
      <c r="G304" s="113"/>
      <c r="H304" s="63">
        <f>SUM(H296:H303)</f>
        <v>41396.180000000008</v>
      </c>
    </row>
    <row r="305" spans="1:8" s="1" customFormat="1" ht="18" customHeight="1" outlineLevel="1">
      <c r="B305" s="1" t="s">
        <v>1493</v>
      </c>
      <c r="F305" s="40" t="s">
        <v>1472</v>
      </c>
      <c r="G305" s="113"/>
      <c r="H305" s="99">
        <f>FLOOR(H304*0.15,0.01)</f>
        <v>6209.42</v>
      </c>
    </row>
    <row r="306" spans="1:8" s="1" customFormat="1" ht="19.5" customHeight="1" outlineLevel="1">
      <c r="A306"/>
      <c r="B306" s="140">
        <f>+H306</f>
        <v>47605.600000000006</v>
      </c>
      <c r="C306" s="27" t="s">
        <v>3801</v>
      </c>
      <c r="D306" s="99">
        <f>INT(B306/B307*100)/100</f>
        <v>4760.5600000000004</v>
      </c>
      <c r="E306" s="1" t="s">
        <v>3006</v>
      </c>
      <c r="F306" s="40" t="s">
        <v>1494</v>
      </c>
      <c r="G306" s="113"/>
      <c r="H306" s="99">
        <f>SUM(H304:H305)</f>
        <v>47605.600000000006</v>
      </c>
    </row>
    <row r="307" spans="1:8" s="1" customFormat="1" ht="19.5" customHeight="1" outlineLevel="1">
      <c r="B307" s="117">
        <v>10</v>
      </c>
    </row>
    <row r="309" spans="1:8" s="1" customFormat="1" ht="18" customHeight="1">
      <c r="A309" s="260">
        <f>A295+1</f>
        <v>1</v>
      </c>
      <c r="B309" s="877" t="s">
        <v>3784</v>
      </c>
      <c r="C309" s="878"/>
      <c r="D309" s="878"/>
      <c r="E309" s="878"/>
      <c r="F309" s="878"/>
      <c r="G309" s="878"/>
      <c r="H309" s="878"/>
    </row>
    <row r="310" spans="1:8" s="1" customFormat="1" ht="18" customHeight="1">
      <c r="A310" s="15" t="s">
        <v>1563</v>
      </c>
      <c r="B310" s="888" t="s">
        <v>1382</v>
      </c>
      <c r="C310" s="879"/>
      <c r="D310" s="879"/>
      <c r="E310" s="879"/>
      <c r="F310" s="879"/>
      <c r="G310" s="879"/>
      <c r="H310" s="879"/>
    </row>
    <row r="311" spans="1:8" s="1" customFormat="1" ht="31.5">
      <c r="A311" s="668" t="s">
        <v>3545</v>
      </c>
      <c r="B311" s="68" t="s">
        <v>2966</v>
      </c>
      <c r="C311" s="68" t="s">
        <v>2967</v>
      </c>
      <c r="D311" s="68" t="s">
        <v>2968</v>
      </c>
      <c r="E311" s="68" t="s">
        <v>2969</v>
      </c>
      <c r="F311" s="68" t="s">
        <v>2970</v>
      </c>
      <c r="G311" s="68" t="s">
        <v>2971</v>
      </c>
      <c r="H311" s="68" t="s">
        <v>1487</v>
      </c>
    </row>
    <row r="312" spans="1:8" s="1" customFormat="1" ht="18" customHeight="1">
      <c r="B312" s="889" t="s">
        <v>1488</v>
      </c>
      <c r="C312" s="58" t="s">
        <v>516</v>
      </c>
      <c r="D312" s="41">
        <v>13</v>
      </c>
      <c r="E312" s="55" t="s">
        <v>1490</v>
      </c>
      <c r="F312" s="107">
        <v>910</v>
      </c>
      <c r="G312" s="107">
        <f t="shared" ref="G312:G317" si="7">FLOOR(D312*F312,0.01)</f>
        <v>11830</v>
      </c>
      <c r="H312" s="108"/>
    </row>
    <row r="313" spans="1:8" s="1" customFormat="1" ht="18" customHeight="1">
      <c r="B313" s="887"/>
      <c r="C313" s="56" t="s">
        <v>1433</v>
      </c>
      <c r="D313" s="43">
        <v>4.5</v>
      </c>
      <c r="E313" s="56" t="s">
        <v>1490</v>
      </c>
      <c r="F313" s="63">
        <v>670</v>
      </c>
      <c r="G313" s="63">
        <f t="shared" si="7"/>
        <v>3015</v>
      </c>
      <c r="H313" s="121">
        <f>SUM(G312+G313)</f>
        <v>14845</v>
      </c>
    </row>
    <row r="314" spans="1:8" s="1" customFormat="1" ht="18" customHeight="1">
      <c r="B314" s="886" t="s">
        <v>2055</v>
      </c>
      <c r="C314" s="55" t="s">
        <v>2924</v>
      </c>
      <c r="D314" s="46">
        <v>5.6000000000000001E-2</v>
      </c>
      <c r="E314" s="55" t="s">
        <v>700</v>
      </c>
      <c r="F314" s="109">
        <v>16100</v>
      </c>
      <c r="G314" s="109">
        <f t="shared" si="7"/>
        <v>901.6</v>
      </c>
      <c r="H314" s="108"/>
    </row>
    <row r="315" spans="1:8" s="1" customFormat="1" ht="18" customHeight="1">
      <c r="B315" s="890"/>
      <c r="C315" s="53" t="s">
        <v>697</v>
      </c>
      <c r="D315" s="52">
        <v>0.152</v>
      </c>
      <c r="E315" s="53" t="s">
        <v>2232</v>
      </c>
      <c r="F315" s="109">
        <v>2718.87</v>
      </c>
      <c r="G315" s="109">
        <f t="shared" si="7"/>
        <v>413.26</v>
      </c>
      <c r="H315" s="121"/>
    </row>
    <row r="316" spans="1:8" s="1" customFormat="1" ht="18" customHeight="1">
      <c r="B316" s="890"/>
      <c r="C316" s="53" t="s">
        <v>2011</v>
      </c>
      <c r="D316" s="52">
        <v>3.2280000000000002</v>
      </c>
      <c r="E316" s="53" t="s">
        <v>2748</v>
      </c>
      <c r="F316" s="109">
        <v>30.76</v>
      </c>
      <c r="G316" s="109">
        <f t="shared" si="7"/>
        <v>99.29</v>
      </c>
      <c r="H316" s="121"/>
    </row>
    <row r="317" spans="1:8" s="1" customFormat="1" ht="57.75" customHeight="1">
      <c r="B317" s="887"/>
      <c r="C317" s="646" t="s">
        <v>3845</v>
      </c>
      <c r="D317" s="43">
        <v>11</v>
      </c>
      <c r="E317" s="56" t="s">
        <v>2807</v>
      </c>
      <c r="F317" s="63">
        <v>914.6</v>
      </c>
      <c r="G317" s="63">
        <f t="shared" si="7"/>
        <v>10060.6</v>
      </c>
      <c r="H317" s="123">
        <f>SUM(G314:G317)</f>
        <v>11474.75</v>
      </c>
    </row>
    <row r="318" spans="1:8" s="1" customFormat="1" ht="18" customHeight="1">
      <c r="F318" s="40" t="s">
        <v>1491</v>
      </c>
      <c r="G318" s="113"/>
      <c r="H318" s="63">
        <f>SUM(H313:H317)</f>
        <v>26319.75</v>
      </c>
    </row>
    <row r="319" spans="1:8" s="1" customFormat="1" ht="18" customHeight="1">
      <c r="B319" s="1" t="s">
        <v>1493</v>
      </c>
      <c r="F319" s="40" t="s">
        <v>1472</v>
      </c>
      <c r="G319" s="113"/>
      <c r="H319" s="99">
        <f>FLOOR(H318*0.15,0.01)</f>
        <v>3947.96</v>
      </c>
    </row>
    <row r="320" spans="1:8" s="1" customFormat="1" ht="18" customHeight="1">
      <c r="A320"/>
      <c r="B320" s="140">
        <f>+H320</f>
        <v>30267.71</v>
      </c>
      <c r="C320" s="27" t="s">
        <v>3005</v>
      </c>
      <c r="D320" s="99">
        <f>INT(B320/B321*100)/100</f>
        <v>3026.77</v>
      </c>
      <c r="E320" s="1" t="s">
        <v>3006</v>
      </c>
      <c r="F320" s="40" t="s">
        <v>1494</v>
      </c>
      <c r="G320" s="113"/>
      <c r="H320" s="99">
        <f>SUM(H318:H319)</f>
        <v>30267.71</v>
      </c>
    </row>
    <row r="321" spans="1:8" s="1" customFormat="1" ht="18" customHeight="1">
      <c r="B321" s="117">
        <v>10</v>
      </c>
    </row>
    <row r="323" spans="1:8" s="1" customFormat="1" ht="16.5">
      <c r="B323" s="88"/>
    </row>
    <row r="324" spans="1:8" s="1" customFormat="1" ht="18" customHeight="1">
      <c r="A324" s="260" t="e">
        <f>A310+1</f>
        <v>#VALUE!</v>
      </c>
      <c r="B324" s="877" t="s">
        <v>1612</v>
      </c>
      <c r="C324" s="909"/>
      <c r="D324" s="909"/>
      <c r="E324" s="909"/>
      <c r="F324" s="909"/>
      <c r="G324" s="909"/>
      <c r="H324" s="909"/>
    </row>
    <row r="325" spans="1:8" s="1" customFormat="1" ht="18" customHeight="1">
      <c r="A325" s="668" t="s">
        <v>3653</v>
      </c>
      <c r="B325" s="877" t="s">
        <v>1561</v>
      </c>
      <c r="C325" s="878"/>
      <c r="D325" s="878"/>
      <c r="E325" s="878"/>
      <c r="F325" s="878"/>
      <c r="G325" s="878"/>
      <c r="H325" s="878"/>
    </row>
    <row r="326" spans="1:8" s="1" customFormat="1" ht="18" customHeight="1">
      <c r="B326" s="885" t="s">
        <v>1382</v>
      </c>
      <c r="C326" s="885"/>
      <c r="D326" s="885"/>
      <c r="E326" s="885"/>
      <c r="F326" s="885"/>
      <c r="G326" s="885"/>
      <c r="H326" s="885"/>
    </row>
    <row r="327" spans="1:8" s="1" customFormat="1" ht="30" customHeight="1">
      <c r="B327" s="68" t="s">
        <v>2966</v>
      </c>
      <c r="C327" s="68" t="s">
        <v>2967</v>
      </c>
      <c r="D327" s="68" t="s">
        <v>2968</v>
      </c>
      <c r="E327" s="68" t="s">
        <v>2969</v>
      </c>
      <c r="F327" s="68" t="s">
        <v>2970</v>
      </c>
      <c r="G327" s="68" t="s">
        <v>2971</v>
      </c>
      <c r="H327" s="68" t="s">
        <v>1487</v>
      </c>
    </row>
    <row r="328" spans="1:8" s="1" customFormat="1" ht="18" customHeight="1">
      <c r="B328" s="889" t="s">
        <v>1488</v>
      </c>
      <c r="C328" s="58" t="s">
        <v>516</v>
      </c>
      <c r="D328" s="41">
        <v>2</v>
      </c>
      <c r="E328" s="55" t="s">
        <v>1490</v>
      </c>
      <c r="F328" s="110">
        <v>910</v>
      </c>
      <c r="G328" s="107">
        <f t="shared" ref="G328:G336" si="8">FLOOR(D328*F328,0.01)</f>
        <v>1820</v>
      </c>
      <c r="H328" s="108"/>
    </row>
    <row r="329" spans="1:8" s="1" customFormat="1" ht="18" customHeight="1">
      <c r="B329" s="943"/>
      <c r="C329" s="53" t="s">
        <v>1433</v>
      </c>
      <c r="D329" s="42">
        <v>8</v>
      </c>
      <c r="E329" s="53" t="s">
        <v>1490</v>
      </c>
      <c r="F329" s="109">
        <v>670</v>
      </c>
      <c r="G329" s="109">
        <f t="shared" si="8"/>
        <v>5360</v>
      </c>
      <c r="H329" s="121"/>
    </row>
    <row r="330" spans="1:8" s="1" customFormat="1" ht="18" customHeight="1">
      <c r="B330" s="887"/>
      <c r="C330" s="56" t="s">
        <v>3373</v>
      </c>
      <c r="D330" s="43">
        <v>13.5</v>
      </c>
      <c r="E330" s="56" t="s">
        <v>1490</v>
      </c>
      <c r="F330" s="63">
        <v>670</v>
      </c>
      <c r="G330" s="63">
        <f t="shared" si="8"/>
        <v>9045</v>
      </c>
      <c r="H330" s="123">
        <f>SUM(G328:G330)</f>
        <v>16225</v>
      </c>
    </row>
    <row r="331" spans="1:8" s="1" customFormat="1" ht="18" customHeight="1">
      <c r="B331" s="886" t="s">
        <v>2055</v>
      </c>
      <c r="C331" s="53" t="s">
        <v>1304</v>
      </c>
      <c r="D331" s="52">
        <v>0.13</v>
      </c>
      <c r="E331" s="53" t="s">
        <v>700</v>
      </c>
      <c r="F331" s="109">
        <v>16100</v>
      </c>
      <c r="G331" s="109">
        <f t="shared" si="8"/>
        <v>2093</v>
      </c>
      <c r="H331" s="84"/>
    </row>
    <row r="332" spans="1:8" s="1" customFormat="1" ht="17.25">
      <c r="B332" s="894"/>
      <c r="C332" s="53" t="s">
        <v>697</v>
      </c>
      <c r="D332" s="52">
        <v>0.183</v>
      </c>
      <c r="E332" s="53" t="s">
        <v>2232</v>
      </c>
      <c r="F332" s="109">
        <v>2718.87</v>
      </c>
      <c r="G332" s="109">
        <f t="shared" si="8"/>
        <v>497.55</v>
      </c>
      <c r="H332" s="86"/>
    </row>
    <row r="333" spans="1:8" s="1" customFormat="1" ht="17.25">
      <c r="B333" s="894"/>
      <c r="C333" s="53" t="s">
        <v>1611</v>
      </c>
      <c r="D333" s="42">
        <v>11</v>
      </c>
      <c r="E333" s="53" t="s">
        <v>2807</v>
      </c>
      <c r="F333" s="42">
        <v>3604.6</v>
      </c>
      <c r="G333" s="109">
        <f t="shared" si="8"/>
        <v>39650.6</v>
      </c>
      <c r="H333" s="86"/>
    </row>
    <row r="334" spans="1:8" s="1" customFormat="1" ht="18" customHeight="1">
      <c r="B334" s="894"/>
      <c r="C334" s="53" t="s">
        <v>1562</v>
      </c>
      <c r="D334" s="42">
        <v>0.37</v>
      </c>
      <c r="E334" s="53" t="s">
        <v>2748</v>
      </c>
      <c r="F334" s="42">
        <v>118</v>
      </c>
      <c r="G334" s="109">
        <f t="shared" si="8"/>
        <v>43.660000000000004</v>
      </c>
      <c r="H334" s="86"/>
    </row>
    <row r="335" spans="1:8" s="1" customFormat="1" ht="17.25">
      <c r="B335" s="894"/>
      <c r="C335" s="53" t="s">
        <v>2013</v>
      </c>
      <c r="D335" s="52">
        <v>0.11799999999999999</v>
      </c>
      <c r="E335" s="53" t="s">
        <v>2748</v>
      </c>
      <c r="F335" s="42">
        <v>345</v>
      </c>
      <c r="G335" s="109">
        <f t="shared" si="8"/>
        <v>40.71</v>
      </c>
      <c r="H335" s="86"/>
    </row>
    <row r="336" spans="1:8" s="1" customFormat="1" ht="17.25">
      <c r="B336" s="894"/>
      <c r="C336" s="53" t="s">
        <v>2014</v>
      </c>
      <c r="D336" s="52">
        <v>0.53800000000000003</v>
      </c>
      <c r="E336" s="53" t="s">
        <v>2517</v>
      </c>
      <c r="F336" s="42">
        <v>208</v>
      </c>
      <c r="G336" s="109">
        <f t="shared" si="8"/>
        <v>111.9</v>
      </c>
      <c r="H336" s="86"/>
    </row>
    <row r="337" spans="1:8" s="1" customFormat="1" ht="17.25">
      <c r="B337" s="895"/>
      <c r="C337" s="56" t="s">
        <v>2516</v>
      </c>
      <c r="D337" s="56" t="s">
        <v>2808</v>
      </c>
      <c r="E337" s="56" t="s">
        <v>2810</v>
      </c>
      <c r="F337" s="63"/>
      <c r="G337" s="63">
        <v>120</v>
      </c>
      <c r="H337" s="123">
        <f>SUM(G331:G337)</f>
        <v>42557.420000000006</v>
      </c>
    </row>
    <row r="338" spans="1:8" s="1" customFormat="1" ht="18" customHeight="1">
      <c r="F338" s="40" t="s">
        <v>1491</v>
      </c>
      <c r="G338" s="113"/>
      <c r="H338" s="63">
        <f>SUM(H330:H337)</f>
        <v>58782.420000000006</v>
      </c>
    </row>
    <row r="339" spans="1:8" s="1" customFormat="1" ht="18" customHeight="1">
      <c r="B339" s="1" t="s">
        <v>1493</v>
      </c>
      <c r="F339" s="40" t="s">
        <v>1472</v>
      </c>
      <c r="G339" s="113"/>
      <c r="H339" s="99">
        <f>FLOOR(H338*0.15,0.01)</f>
        <v>8817.36</v>
      </c>
    </row>
    <row r="340" spans="1:8" s="1" customFormat="1" ht="17.25">
      <c r="A340"/>
      <c r="B340" s="140">
        <f>+H340</f>
        <v>67599.78</v>
      </c>
      <c r="C340" s="27" t="s">
        <v>3801</v>
      </c>
      <c r="D340" s="99">
        <f>INT(B340/B341*100)/100</f>
        <v>6759.97</v>
      </c>
      <c r="E340" s="1" t="s">
        <v>3006</v>
      </c>
      <c r="F340" s="40" t="s">
        <v>1494</v>
      </c>
      <c r="G340" s="113"/>
      <c r="H340" s="99">
        <f>SUM(H338:H339)</f>
        <v>67599.78</v>
      </c>
    </row>
    <row r="341" spans="1:8" s="1" customFormat="1" ht="16.5">
      <c r="B341" s="117">
        <v>10</v>
      </c>
    </row>
    <row r="343" spans="1:8" s="1" customFormat="1" ht="34.5" customHeight="1">
      <c r="A343" s="260">
        <f>A327+1</f>
        <v>1</v>
      </c>
      <c r="B343" s="940" t="s">
        <v>1478</v>
      </c>
      <c r="C343" s="941"/>
      <c r="D343" s="941"/>
      <c r="E343" s="941"/>
      <c r="F343" s="941"/>
      <c r="G343" s="941"/>
      <c r="H343" s="941"/>
    </row>
    <row r="344" spans="1:8" s="1" customFormat="1" ht="18" customHeight="1">
      <c r="A344" s="668" t="s">
        <v>3651</v>
      </c>
      <c r="B344" s="928" t="s">
        <v>1382</v>
      </c>
      <c r="C344" s="885"/>
      <c r="D344" s="885"/>
      <c r="E344" s="885"/>
      <c r="F344" s="885"/>
      <c r="G344" s="885"/>
      <c r="H344" s="885"/>
    </row>
    <row r="345" spans="1:8" s="1" customFormat="1" ht="31.5">
      <c r="B345" s="68" t="s">
        <v>2966</v>
      </c>
      <c r="C345" s="68" t="s">
        <v>2967</v>
      </c>
      <c r="D345" s="68" t="s">
        <v>2968</v>
      </c>
      <c r="E345" s="68" t="s">
        <v>2969</v>
      </c>
      <c r="F345" s="68" t="s">
        <v>2970</v>
      </c>
      <c r="G345" s="68" t="s">
        <v>2971</v>
      </c>
      <c r="H345" s="68" t="s">
        <v>1487</v>
      </c>
    </row>
    <row r="346" spans="1:8" s="1" customFormat="1" ht="18" customHeight="1">
      <c r="B346" s="889" t="s">
        <v>1488</v>
      </c>
      <c r="C346" s="58" t="s">
        <v>516</v>
      </c>
      <c r="D346" s="41">
        <v>1</v>
      </c>
      <c r="E346" s="55" t="s">
        <v>1490</v>
      </c>
      <c r="F346" s="107">
        <v>910</v>
      </c>
      <c r="G346" s="107">
        <f>FLOOR(D346*F346,0.01)</f>
        <v>910</v>
      </c>
      <c r="H346" s="944">
        <f>G346+G347+G348</f>
        <v>7610</v>
      </c>
    </row>
    <row r="347" spans="1:8" s="1" customFormat="1" ht="18" customHeight="1">
      <c r="B347" s="943"/>
      <c r="C347" s="53" t="s">
        <v>1433</v>
      </c>
      <c r="D347" s="42">
        <v>3</v>
      </c>
      <c r="E347" s="53" t="s">
        <v>1490</v>
      </c>
      <c r="F347" s="109">
        <v>670</v>
      </c>
      <c r="G347" s="109">
        <f>FLOOR(D347*F347,0.01)</f>
        <v>2010</v>
      </c>
      <c r="H347" s="945"/>
    </row>
    <row r="348" spans="1:8" s="1" customFormat="1" ht="17.25">
      <c r="B348" s="887"/>
      <c r="C348" s="56" t="s">
        <v>1479</v>
      </c>
      <c r="D348" s="43">
        <v>7</v>
      </c>
      <c r="E348" s="56" t="s">
        <v>1490</v>
      </c>
      <c r="F348" s="63">
        <v>670</v>
      </c>
      <c r="G348" s="63">
        <f>FLOOR(D348*F348,0.01)</f>
        <v>4690</v>
      </c>
      <c r="H348" s="946"/>
    </row>
    <row r="349" spans="1:8" s="1" customFormat="1" ht="17.25">
      <c r="B349" s="886" t="s">
        <v>2055</v>
      </c>
      <c r="C349" s="55" t="s">
        <v>3366</v>
      </c>
      <c r="D349" s="41">
        <v>11</v>
      </c>
      <c r="E349" s="55" t="s">
        <v>2807</v>
      </c>
      <c r="F349" s="110">
        <v>527.24</v>
      </c>
      <c r="G349" s="109">
        <f>FLOOR(D349*F349,0.01)</f>
        <v>5799.64</v>
      </c>
      <c r="H349" s="86"/>
    </row>
    <row r="350" spans="1:8" s="1" customFormat="1" ht="17.25">
      <c r="B350" s="894"/>
      <c r="C350" s="53" t="s">
        <v>3516</v>
      </c>
      <c r="D350" s="647">
        <v>0.55000000000000004</v>
      </c>
      <c r="E350" s="53" t="s">
        <v>2807</v>
      </c>
      <c r="F350" s="109">
        <v>80.506799999999998</v>
      </c>
      <c r="G350" s="109">
        <f>F350*D350</f>
        <v>44.278740000000006</v>
      </c>
      <c r="H350" s="86"/>
    </row>
    <row r="351" spans="1:8" s="1" customFormat="1" ht="17.25">
      <c r="B351" s="887"/>
      <c r="C351" s="56" t="s">
        <v>1480</v>
      </c>
      <c r="D351" s="43">
        <v>0.71</v>
      </c>
      <c r="E351" s="56" t="s">
        <v>2232</v>
      </c>
      <c r="F351" s="63">
        <v>1341.78</v>
      </c>
      <c r="G351" s="63">
        <f>FLOOR(D351*F351,0.01)</f>
        <v>952.66</v>
      </c>
      <c r="H351" s="87">
        <f>SUM(G349:G351)</f>
        <v>6796.5787399999999</v>
      </c>
    </row>
    <row r="352" spans="1:8" s="1" customFormat="1" ht="30" customHeight="1">
      <c r="F352" s="40" t="s">
        <v>1491</v>
      </c>
      <c r="G352" s="40"/>
      <c r="H352" s="43">
        <f>SUM(H346:H351)</f>
        <v>14406.578740000001</v>
      </c>
    </row>
    <row r="353" spans="1:8" s="1" customFormat="1" ht="20.25" customHeight="1">
      <c r="B353" s="1" t="s">
        <v>1493</v>
      </c>
      <c r="F353" s="40" t="s">
        <v>1472</v>
      </c>
      <c r="G353" s="40"/>
      <c r="H353" s="99">
        <f>FLOOR(H352*0.15,0.01)</f>
        <v>2160.98</v>
      </c>
    </row>
    <row r="354" spans="1:8" s="1" customFormat="1" ht="18" customHeight="1">
      <c r="A354"/>
      <c r="B354" s="140">
        <f>+H354</f>
        <v>16567.55874</v>
      </c>
      <c r="C354" s="27" t="s">
        <v>3801</v>
      </c>
      <c r="D354" s="99">
        <f>INT(B354/B355*100)/100</f>
        <v>1656.75</v>
      </c>
      <c r="E354" s="1" t="s">
        <v>3006</v>
      </c>
      <c r="F354" s="40" t="s">
        <v>1494</v>
      </c>
      <c r="G354" s="40"/>
      <c r="H354" s="44">
        <f>SUM(H352:H353)</f>
        <v>16567.55874</v>
      </c>
    </row>
    <row r="355" spans="1:8" s="1" customFormat="1" ht="16.5">
      <c r="B355" s="117">
        <v>10</v>
      </c>
    </row>
    <row r="356" spans="1:8" s="1" customFormat="1" ht="16.5">
      <c r="A356" s="1" t="s">
        <v>3574</v>
      </c>
      <c r="B356" s="117"/>
      <c r="D356" s="693">
        <f>F351</f>
        <v>1341.78</v>
      </c>
      <c r="E356" s="693">
        <f>D356*0.06</f>
        <v>80.506799999999998</v>
      </c>
    </row>
    <row r="358" spans="1:8" s="1" customFormat="1" ht="20.25">
      <c r="A358" s="260">
        <f>+A347+1</f>
        <v>1</v>
      </c>
      <c r="B358" s="935" t="s">
        <v>2997</v>
      </c>
      <c r="C358" s="909"/>
      <c r="D358" s="909"/>
      <c r="E358" s="909"/>
      <c r="F358" s="909"/>
      <c r="G358" s="909"/>
      <c r="H358" s="909"/>
    </row>
    <row r="359" spans="1:8" s="1" customFormat="1" ht="18" customHeight="1">
      <c r="A359" s="677" t="s">
        <v>3662</v>
      </c>
      <c r="B359" s="888" t="s">
        <v>1380</v>
      </c>
      <c r="C359" s="879"/>
      <c r="D359" s="879"/>
      <c r="E359" s="879"/>
      <c r="F359" s="879"/>
      <c r="G359" s="879"/>
      <c r="H359" s="879"/>
    </row>
    <row r="360" spans="1:8" s="1" customFormat="1" ht="31.5">
      <c r="B360" s="68" t="s">
        <v>2966</v>
      </c>
      <c r="C360" s="68" t="s">
        <v>2967</v>
      </c>
      <c r="D360" s="68" t="s">
        <v>2968</v>
      </c>
      <c r="E360" s="68" t="s">
        <v>2969</v>
      </c>
      <c r="F360" s="68" t="s">
        <v>2970</v>
      </c>
      <c r="G360" s="68" t="s">
        <v>2971</v>
      </c>
      <c r="H360" s="68" t="s">
        <v>1487</v>
      </c>
    </row>
    <row r="361" spans="1:8" s="1" customFormat="1" ht="17.25">
      <c r="B361" s="889" t="s">
        <v>1488</v>
      </c>
      <c r="C361" s="58" t="s">
        <v>516</v>
      </c>
      <c r="D361" s="41">
        <v>14</v>
      </c>
      <c r="E361" s="55" t="s">
        <v>1490</v>
      </c>
      <c r="F361" s="107">
        <v>910</v>
      </c>
      <c r="G361" s="107">
        <f>FLOOR(D361*F361,0.01)</f>
        <v>12740</v>
      </c>
      <c r="H361" s="108"/>
    </row>
    <row r="362" spans="1:8" s="1" customFormat="1" ht="18" customHeight="1">
      <c r="B362" s="887"/>
      <c r="C362" s="78" t="s">
        <v>1433</v>
      </c>
      <c r="D362" s="43">
        <v>19</v>
      </c>
      <c r="E362" s="56" t="s">
        <v>1490</v>
      </c>
      <c r="F362" s="63">
        <v>670</v>
      </c>
      <c r="G362" s="63">
        <f>FLOOR(D362*F362,0.01)</f>
        <v>12730</v>
      </c>
      <c r="H362" s="121">
        <f>SUM(G361+G362)</f>
        <v>25470</v>
      </c>
    </row>
    <row r="363" spans="1:8" s="1" customFormat="1" ht="18" customHeight="1">
      <c r="B363" s="886" t="s">
        <v>2055</v>
      </c>
      <c r="C363" s="55" t="s">
        <v>1436</v>
      </c>
      <c r="D363" s="41">
        <v>0.81</v>
      </c>
      <c r="E363" s="55" t="s">
        <v>700</v>
      </c>
      <c r="F363" s="110">
        <v>16100</v>
      </c>
      <c r="G363" s="109">
        <f>FLOOR(D363*F363,0.01)</f>
        <v>13041</v>
      </c>
      <c r="H363" s="108"/>
    </row>
    <row r="364" spans="1:8" s="1" customFormat="1" ht="17.25">
      <c r="B364" s="887"/>
      <c r="C364" s="56" t="s">
        <v>3231</v>
      </c>
      <c r="D364" s="43">
        <v>2.2000000000000002</v>
      </c>
      <c r="E364" s="56" t="s">
        <v>2232</v>
      </c>
      <c r="F364" s="63">
        <v>2718.87</v>
      </c>
      <c r="G364" s="63">
        <f>FLOOR(D364*F364,0.01)</f>
        <v>5981.51</v>
      </c>
      <c r="H364" s="123">
        <f>SUM(G363:G364)</f>
        <v>19022.510000000002</v>
      </c>
    </row>
    <row r="365" spans="1:8" s="1" customFormat="1" ht="24.75" customHeight="1">
      <c r="F365" s="40" t="s">
        <v>1491</v>
      </c>
      <c r="G365" s="102"/>
      <c r="H365" s="63">
        <f>SUM(H364,H362)</f>
        <v>44492.51</v>
      </c>
    </row>
    <row r="366" spans="1:8" s="1" customFormat="1" ht="18" customHeight="1">
      <c r="B366" s="1" t="s">
        <v>1493</v>
      </c>
      <c r="F366" s="40" t="s">
        <v>1472</v>
      </c>
      <c r="G366" s="102"/>
      <c r="H366" s="99">
        <f>FLOOR(H365*0.15,0.01)</f>
        <v>6673.87</v>
      </c>
    </row>
    <row r="367" spans="1:8" s="1" customFormat="1" ht="18" customHeight="1">
      <c r="A367"/>
      <c r="B367" s="140">
        <f>+H367</f>
        <v>51166.380000000005</v>
      </c>
      <c r="C367" s="27" t="s">
        <v>3801</v>
      </c>
      <c r="D367" s="99">
        <f>INT(B367/B368*100)/100</f>
        <v>511.66</v>
      </c>
      <c r="E367" s="1" t="s">
        <v>3006</v>
      </c>
      <c r="F367" s="40" t="s">
        <v>1494</v>
      </c>
      <c r="G367" s="102"/>
      <c r="H367" s="99">
        <f>SUM(H365:H366)</f>
        <v>51166.380000000005</v>
      </c>
    </row>
    <row r="368" spans="1:8" s="1" customFormat="1" ht="18" customHeight="1">
      <c r="B368" s="117">
        <v>100</v>
      </c>
    </row>
    <row r="370" spans="1:8" s="1" customFormat="1" ht="30" customHeight="1">
      <c r="A370" s="31"/>
      <c r="B370" s="878" t="s">
        <v>1043</v>
      </c>
      <c r="C370" s="878"/>
      <c r="D370" s="878"/>
      <c r="E370" s="878"/>
      <c r="F370" s="878"/>
      <c r="G370" s="878"/>
      <c r="H370" s="878"/>
    </row>
    <row r="371" spans="1:8" s="1" customFormat="1" ht="20.25">
      <c r="A371" s="260"/>
      <c r="B371" s="877" t="s">
        <v>1044</v>
      </c>
      <c r="C371" s="878"/>
      <c r="D371" s="878"/>
      <c r="E371" s="878"/>
      <c r="F371" s="878"/>
      <c r="G371" s="878"/>
      <c r="H371" s="878"/>
    </row>
    <row r="372" spans="1:8" s="1" customFormat="1" ht="15">
      <c r="A372" s="677" t="s">
        <v>3660</v>
      </c>
      <c r="B372" s="888" t="s">
        <v>1380</v>
      </c>
      <c r="C372" s="879"/>
      <c r="D372" s="879"/>
      <c r="E372" s="879"/>
      <c r="F372" s="879"/>
      <c r="G372" s="879"/>
      <c r="H372" s="879"/>
    </row>
    <row r="373" spans="1:8" s="1" customFormat="1" ht="31.5">
      <c r="B373" s="68" t="s">
        <v>2966</v>
      </c>
      <c r="C373" s="68" t="s">
        <v>2967</v>
      </c>
      <c r="D373" s="68" t="s">
        <v>2968</v>
      </c>
      <c r="E373" s="68" t="s">
        <v>2969</v>
      </c>
      <c r="F373" s="68" t="s">
        <v>2970</v>
      </c>
      <c r="G373" s="68" t="s">
        <v>2971</v>
      </c>
      <c r="H373" s="68" t="s">
        <v>1487</v>
      </c>
    </row>
    <row r="374" spans="1:8" s="1" customFormat="1" ht="18" customHeight="1">
      <c r="B374" s="889" t="s">
        <v>1488</v>
      </c>
      <c r="C374" s="58" t="s">
        <v>516</v>
      </c>
      <c r="D374" s="41">
        <v>12</v>
      </c>
      <c r="E374" s="55" t="s">
        <v>1490</v>
      </c>
      <c r="F374" s="107">
        <v>910</v>
      </c>
      <c r="G374" s="107">
        <f>FLOOR(D374*F374,0.01)</f>
        <v>10920</v>
      </c>
      <c r="H374" s="108"/>
    </row>
    <row r="375" spans="1:8" s="1" customFormat="1" ht="18" customHeight="1">
      <c r="B375" s="887"/>
      <c r="C375" s="78" t="s">
        <v>1433</v>
      </c>
      <c r="D375" s="43">
        <v>16</v>
      </c>
      <c r="E375" s="56" t="s">
        <v>1490</v>
      </c>
      <c r="F375" s="63">
        <v>670</v>
      </c>
      <c r="G375" s="63">
        <f>FLOOR(D375*F375,0.01)</f>
        <v>10720</v>
      </c>
      <c r="H375" s="121">
        <f>SUM(G374+G375)</f>
        <v>21640</v>
      </c>
    </row>
    <row r="376" spans="1:8" s="1" customFormat="1" ht="18" customHeight="1">
      <c r="B376" s="886" t="s">
        <v>2055</v>
      </c>
      <c r="C376" s="55" t="s">
        <v>1436</v>
      </c>
      <c r="D376" s="46">
        <v>0.53800000000000003</v>
      </c>
      <c r="E376" s="55" t="s">
        <v>700</v>
      </c>
      <c r="F376" s="110">
        <v>16100</v>
      </c>
      <c r="G376" s="109">
        <f>FLOOR(D376*F376,0.01)</f>
        <v>8661.7999999999993</v>
      </c>
      <c r="H376" s="108"/>
    </row>
    <row r="377" spans="1:8" s="1" customFormat="1" ht="17.25">
      <c r="B377" s="887"/>
      <c r="C377" s="56" t="s">
        <v>697</v>
      </c>
      <c r="D377" s="43">
        <v>1.46</v>
      </c>
      <c r="E377" s="56" t="s">
        <v>2232</v>
      </c>
      <c r="F377" s="63">
        <v>2718.87</v>
      </c>
      <c r="G377" s="63">
        <f>FLOOR(D377*F377,0.01)</f>
        <v>3969.55</v>
      </c>
      <c r="H377" s="123">
        <f>SUM(G376:G377)</f>
        <v>12631.349999999999</v>
      </c>
    </row>
    <row r="378" spans="1:8" s="1" customFormat="1" ht="19.5">
      <c r="F378" s="40" t="s">
        <v>1491</v>
      </c>
      <c r="G378" s="102"/>
      <c r="H378" s="63">
        <f>SUM(H377,H375)</f>
        <v>34271.35</v>
      </c>
    </row>
    <row r="379" spans="1:8" s="1" customFormat="1" ht="18.75" customHeight="1">
      <c r="B379" s="1" t="s">
        <v>1493</v>
      </c>
      <c r="F379" s="40" t="s">
        <v>1472</v>
      </c>
      <c r="G379" s="102"/>
      <c r="H379" s="99">
        <f>FLOOR(H378*0.15,0.01)</f>
        <v>5140.7</v>
      </c>
    </row>
    <row r="380" spans="1:8" s="1" customFormat="1" ht="18" customHeight="1">
      <c r="A380"/>
      <c r="B380" s="140">
        <f>+H380</f>
        <v>39412.049999999996</v>
      </c>
      <c r="C380" s="27" t="s">
        <v>3801</v>
      </c>
      <c r="D380" s="99">
        <f>INT(B380/B381*100)/100</f>
        <v>394.12</v>
      </c>
      <c r="E380" s="1" t="s">
        <v>3006</v>
      </c>
      <c r="F380" s="40" t="s">
        <v>1494</v>
      </c>
      <c r="G380" s="102"/>
      <c r="H380" s="99">
        <f>SUM(H378:H379)</f>
        <v>39412.049999999996</v>
      </c>
    </row>
    <row r="381" spans="1:8" s="1" customFormat="1" ht="27.75" customHeight="1">
      <c r="B381" s="117">
        <v>100</v>
      </c>
    </row>
    <row r="383" spans="1:8" s="1" customFormat="1" ht="18" customHeight="1" outlineLevel="1">
      <c r="A383" s="260">
        <f>A370+1</f>
        <v>1</v>
      </c>
      <c r="B383" s="877" t="s">
        <v>3019</v>
      </c>
      <c r="C383" s="878"/>
      <c r="D383" s="878"/>
      <c r="E383" s="878"/>
      <c r="F383" s="878"/>
      <c r="G383" s="878"/>
      <c r="H383" s="878"/>
    </row>
    <row r="384" spans="1:8" s="1" customFormat="1" ht="18" customHeight="1" outlineLevel="1">
      <c r="A384" s="677" t="s">
        <v>3660</v>
      </c>
      <c r="B384" s="888" t="s">
        <v>1380</v>
      </c>
      <c r="C384" s="879"/>
      <c r="D384" s="879"/>
      <c r="E384" s="879"/>
      <c r="F384" s="879"/>
      <c r="G384" s="879"/>
      <c r="H384" s="879"/>
    </row>
    <row r="385" spans="1:8" s="1" customFormat="1" ht="31.5" outlineLevel="1">
      <c r="B385" s="68" t="s">
        <v>2966</v>
      </c>
      <c r="C385" s="68" t="s">
        <v>2967</v>
      </c>
      <c r="D385" s="68" t="s">
        <v>2968</v>
      </c>
      <c r="E385" s="68" t="s">
        <v>2969</v>
      </c>
      <c r="F385" s="68" t="s">
        <v>2970</v>
      </c>
      <c r="G385" s="68" t="s">
        <v>2971</v>
      </c>
      <c r="H385" s="68" t="s">
        <v>1487</v>
      </c>
    </row>
    <row r="386" spans="1:8" s="1" customFormat="1" ht="18" customHeight="1" outlineLevel="1">
      <c r="B386" s="889" t="s">
        <v>1488</v>
      </c>
      <c r="C386" s="58" t="s">
        <v>516</v>
      </c>
      <c r="D386" s="41">
        <v>15</v>
      </c>
      <c r="E386" s="55" t="s">
        <v>1490</v>
      </c>
      <c r="F386" s="107">
        <v>910</v>
      </c>
      <c r="G386" s="107">
        <f>FLOOR(D386*F386,0.01)</f>
        <v>13650</v>
      </c>
      <c r="H386" s="108"/>
    </row>
    <row r="387" spans="1:8" s="1" customFormat="1" ht="18" customHeight="1" outlineLevel="1">
      <c r="B387" s="887"/>
      <c r="C387" s="78" t="s">
        <v>1433</v>
      </c>
      <c r="D387" s="43">
        <v>20</v>
      </c>
      <c r="E387" s="56" t="s">
        <v>1490</v>
      </c>
      <c r="F387" s="63">
        <v>670</v>
      </c>
      <c r="G387" s="63">
        <f>FLOOR(D387*F387,0.01)</f>
        <v>13400</v>
      </c>
      <c r="H387" s="121">
        <f>SUM(G386+G387)</f>
        <v>27050</v>
      </c>
    </row>
    <row r="388" spans="1:8" s="1" customFormat="1" ht="18" customHeight="1" outlineLevel="1">
      <c r="B388" s="886" t="s">
        <v>2055</v>
      </c>
      <c r="C388" s="55" t="s">
        <v>1436</v>
      </c>
      <c r="D388" s="46">
        <v>0.625</v>
      </c>
      <c r="E388" s="55" t="s">
        <v>700</v>
      </c>
      <c r="F388" s="110">
        <v>16100</v>
      </c>
      <c r="G388" s="109">
        <f>FLOOR(D388*F388,0.01)</f>
        <v>10062.5</v>
      </c>
      <c r="H388" s="108"/>
    </row>
    <row r="389" spans="1:8" s="1" customFormat="1" ht="18" customHeight="1" outlineLevel="1">
      <c r="B389" s="887"/>
      <c r="C389" s="56" t="s">
        <v>697</v>
      </c>
      <c r="D389" s="43">
        <v>1.28</v>
      </c>
      <c r="E389" s="56" t="s">
        <v>2232</v>
      </c>
      <c r="F389" s="63">
        <v>2718.87</v>
      </c>
      <c r="G389" s="63">
        <f>FLOOR(D389*F389,0.01)</f>
        <v>3480.15</v>
      </c>
      <c r="H389" s="123">
        <f>SUM(G388:G389)</f>
        <v>13542.65</v>
      </c>
    </row>
    <row r="390" spans="1:8" s="1" customFormat="1" ht="18" customHeight="1">
      <c r="F390" s="40" t="s">
        <v>1491</v>
      </c>
      <c r="G390" s="102"/>
      <c r="H390" s="63">
        <f>SUM(H389,H387)</f>
        <v>40592.65</v>
      </c>
    </row>
    <row r="391" spans="1:8" s="1" customFormat="1" ht="19.5">
      <c r="B391" s="1" t="s">
        <v>1493</v>
      </c>
      <c r="F391" s="40" t="s">
        <v>1472</v>
      </c>
      <c r="G391" s="102"/>
      <c r="H391" s="99">
        <f>FLOOR(H390*0.15,0.01)</f>
        <v>6088.89</v>
      </c>
    </row>
    <row r="392" spans="1:8" s="1" customFormat="1" ht="19.5">
      <c r="A392"/>
      <c r="B392" s="140">
        <f>+H392</f>
        <v>46681.54</v>
      </c>
      <c r="C392" s="27" t="s">
        <v>3801</v>
      </c>
      <c r="D392" s="99">
        <f>INT(B392/B393*100)/100</f>
        <v>466.81</v>
      </c>
      <c r="E392" s="1" t="s">
        <v>3006</v>
      </c>
      <c r="F392" s="40" t="s">
        <v>1494</v>
      </c>
      <c r="G392" s="102"/>
      <c r="H392" s="99">
        <f>SUM(H390:H391)</f>
        <v>46681.54</v>
      </c>
    </row>
    <row r="393" spans="1:8" s="1" customFormat="1" ht="18" customHeight="1">
      <c r="B393" s="117">
        <v>100</v>
      </c>
    </row>
    <row r="395" spans="1:8" s="1" customFormat="1" ht="20.25">
      <c r="A395" s="260">
        <f>A386+1</f>
        <v>1</v>
      </c>
      <c r="B395" s="877" t="s">
        <v>3395</v>
      </c>
      <c r="C395" s="878"/>
      <c r="D395" s="878"/>
      <c r="E395" s="878"/>
      <c r="F395" s="878"/>
      <c r="G395" s="878"/>
      <c r="H395" s="878"/>
    </row>
    <row r="396" spans="1:8" s="1" customFormat="1" ht="15">
      <c r="A396" s="677" t="s">
        <v>3674</v>
      </c>
      <c r="B396" s="888" t="s">
        <v>1382</v>
      </c>
      <c r="C396" s="879"/>
      <c r="D396" s="879"/>
      <c r="E396" s="879"/>
      <c r="F396" s="879"/>
      <c r="G396" s="879"/>
      <c r="H396" s="879"/>
    </row>
    <row r="397" spans="1:8" s="1" customFormat="1" ht="31.5">
      <c r="B397" s="68" t="s">
        <v>2966</v>
      </c>
      <c r="C397" s="68" t="s">
        <v>2967</v>
      </c>
      <c r="D397" s="68" t="s">
        <v>2968</v>
      </c>
      <c r="E397" s="68" t="s">
        <v>2969</v>
      </c>
      <c r="F397" s="68" t="s">
        <v>2970</v>
      </c>
      <c r="G397" s="68" t="s">
        <v>2971</v>
      </c>
      <c r="H397" s="68" t="s">
        <v>1487</v>
      </c>
    </row>
    <row r="398" spans="1:8" s="1" customFormat="1" ht="17.25">
      <c r="B398" s="889" t="s">
        <v>1488</v>
      </c>
      <c r="C398" s="58" t="s">
        <v>516</v>
      </c>
      <c r="D398" s="41">
        <v>1</v>
      </c>
      <c r="E398" s="55" t="s">
        <v>1490</v>
      </c>
      <c r="F398" s="107">
        <v>910</v>
      </c>
      <c r="G398" s="107">
        <f>FLOOR(D398*F398,0.01)</f>
        <v>910</v>
      </c>
      <c r="H398" s="108"/>
    </row>
    <row r="399" spans="1:8" s="1" customFormat="1" ht="17.25">
      <c r="B399" s="887"/>
      <c r="C399" s="78" t="s">
        <v>1433</v>
      </c>
      <c r="D399" s="43">
        <v>1</v>
      </c>
      <c r="E399" s="56" t="s">
        <v>1490</v>
      </c>
      <c r="F399" s="63">
        <v>670</v>
      </c>
      <c r="G399" s="63">
        <f>FLOOR(D399*F399,0.01)</f>
        <v>670</v>
      </c>
      <c r="H399" s="123">
        <f>SUM(G398+G399)</f>
        <v>1580</v>
      </c>
    </row>
    <row r="400" spans="1:8" s="1" customFormat="1" ht="17.25">
      <c r="B400" s="66" t="s">
        <v>2055</v>
      </c>
      <c r="C400" s="147" t="s">
        <v>3396</v>
      </c>
      <c r="D400" s="649">
        <v>10.64</v>
      </c>
      <c r="E400" s="583" t="s">
        <v>2748</v>
      </c>
      <c r="F400" s="99">
        <v>60</v>
      </c>
      <c r="G400" s="99">
        <f>FLOOR(D400*F400,0.01)</f>
        <v>638.4</v>
      </c>
      <c r="H400" s="126">
        <f>SUM(G400)</f>
        <v>638.4</v>
      </c>
    </row>
    <row r="401" spans="1:8" s="1" customFormat="1" ht="20.100000000000001" customHeight="1">
      <c r="F401" s="40" t="s">
        <v>1491</v>
      </c>
      <c r="G401" s="102"/>
      <c r="H401" s="63">
        <f>SUM(H398:H400)</f>
        <v>2218.4</v>
      </c>
    </row>
    <row r="402" spans="1:8" s="1" customFormat="1" ht="20.100000000000001" customHeight="1">
      <c r="B402" s="1" t="s">
        <v>1493</v>
      </c>
      <c r="F402" s="40" t="s">
        <v>1471</v>
      </c>
      <c r="G402" s="102"/>
      <c r="H402" s="99">
        <f>FLOOR(H401*0.15,0.01)</f>
        <v>332.76</v>
      </c>
    </row>
    <row r="403" spans="1:8" s="1" customFormat="1" ht="20.100000000000001" customHeight="1">
      <c r="A403"/>
      <c r="B403" s="140">
        <f>+H403</f>
        <v>2551.16</v>
      </c>
      <c r="C403" s="27" t="s">
        <v>3801</v>
      </c>
      <c r="D403" s="99">
        <f>INT(B403/B404*100)/100</f>
        <v>255.11</v>
      </c>
      <c r="E403" s="1" t="s">
        <v>3006</v>
      </c>
      <c r="F403" s="40" t="s">
        <v>1494</v>
      </c>
      <c r="G403" s="102"/>
      <c r="H403" s="99">
        <f>SUM(H401:H402)</f>
        <v>2551.16</v>
      </c>
    </row>
    <row r="404" spans="1:8" s="1" customFormat="1" ht="20.100000000000001" customHeight="1">
      <c r="B404" s="117">
        <v>10</v>
      </c>
    </row>
    <row r="406" spans="1:8" s="1" customFormat="1" ht="20.100000000000001" customHeight="1">
      <c r="B406" s="878" t="s">
        <v>3843</v>
      </c>
      <c r="C406" s="878"/>
      <c r="D406" s="878"/>
      <c r="E406" s="878"/>
      <c r="F406" s="878"/>
      <c r="G406" s="878"/>
      <c r="H406" s="878"/>
    </row>
    <row r="407" spans="1:8" s="1" customFormat="1" ht="20.25">
      <c r="A407" s="260">
        <f>+A394+1</f>
        <v>1</v>
      </c>
      <c r="B407" s="935" t="s">
        <v>3842</v>
      </c>
      <c r="C407" s="909"/>
      <c r="D407" s="909"/>
      <c r="E407" s="909"/>
      <c r="F407" s="909"/>
      <c r="G407" s="909"/>
      <c r="H407" s="909"/>
    </row>
    <row r="408" spans="1:8" s="1" customFormat="1" ht="15">
      <c r="A408" s="677" t="s">
        <v>3679</v>
      </c>
      <c r="B408" s="888" t="s">
        <v>1380</v>
      </c>
      <c r="C408" s="879"/>
      <c r="D408" s="879"/>
      <c r="E408" s="879"/>
      <c r="F408" s="879"/>
      <c r="G408" s="879"/>
      <c r="H408" s="879"/>
    </row>
    <row r="409" spans="1:8" s="1" customFormat="1" ht="31.5">
      <c r="B409" s="68" t="s">
        <v>2966</v>
      </c>
      <c r="C409" s="68" t="s">
        <v>2967</v>
      </c>
      <c r="D409" s="68" t="s">
        <v>2968</v>
      </c>
      <c r="E409" s="68" t="s">
        <v>2969</v>
      </c>
      <c r="F409" s="68" t="s">
        <v>2970</v>
      </c>
      <c r="G409" s="68" t="s">
        <v>2971</v>
      </c>
      <c r="H409" s="68" t="s">
        <v>1487</v>
      </c>
    </row>
    <row r="410" spans="1:8" s="1" customFormat="1" ht="20.100000000000001" customHeight="1">
      <c r="B410" s="889" t="s">
        <v>1488</v>
      </c>
      <c r="C410" s="58" t="s">
        <v>516</v>
      </c>
      <c r="D410" s="41">
        <v>12</v>
      </c>
      <c r="E410" s="55" t="s">
        <v>1490</v>
      </c>
      <c r="F410" s="107">
        <v>910</v>
      </c>
      <c r="G410" s="107">
        <f>FLOOR(D410*F410,0.01)</f>
        <v>10920</v>
      </c>
      <c r="H410" s="108"/>
    </row>
    <row r="411" spans="1:8" s="1" customFormat="1" ht="20.100000000000001" customHeight="1">
      <c r="B411" s="887"/>
      <c r="C411" s="78" t="s">
        <v>1433</v>
      </c>
      <c r="D411" s="43">
        <v>8</v>
      </c>
      <c r="E411" s="56" t="s">
        <v>1490</v>
      </c>
      <c r="F411" s="63">
        <v>670</v>
      </c>
      <c r="G411" s="63">
        <f>FLOOR(D411*F411,0.01)</f>
        <v>5360</v>
      </c>
      <c r="H411" s="123">
        <f>SUM(G410+G411)</f>
        <v>16280</v>
      </c>
    </row>
    <row r="412" spans="1:8" s="1" customFormat="1" ht="20.100000000000001" customHeight="1">
      <c r="B412" s="886" t="s">
        <v>2055</v>
      </c>
      <c r="C412" s="55" t="s">
        <v>1419</v>
      </c>
      <c r="D412" s="41">
        <v>8.1</v>
      </c>
      <c r="E412" s="55" t="s">
        <v>2517</v>
      </c>
      <c r="F412" s="107">
        <v>271</v>
      </c>
      <c r="G412" s="110">
        <f>FLOOR(D412*F412,0.01)</f>
        <v>2195.1</v>
      </c>
      <c r="H412" s="108"/>
    </row>
    <row r="413" spans="1:8" s="1" customFormat="1" ht="17.25">
      <c r="B413" s="887"/>
      <c r="C413" s="56" t="s">
        <v>703</v>
      </c>
      <c r="D413" s="43">
        <v>16</v>
      </c>
      <c r="E413" s="56" t="s">
        <v>2517</v>
      </c>
      <c r="F413" s="63">
        <v>511</v>
      </c>
      <c r="G413" s="63">
        <f>FLOOR(D413*F413,0.01)</f>
        <v>8176</v>
      </c>
      <c r="H413" s="123">
        <f>SUM(G412:G413)</f>
        <v>10371.1</v>
      </c>
    </row>
    <row r="414" spans="1:8" s="1" customFormat="1" ht="19.5">
      <c r="F414" s="40" t="s">
        <v>1491</v>
      </c>
      <c r="G414" s="133"/>
      <c r="H414" s="63">
        <f>SUM(H413,H411)</f>
        <v>26651.1</v>
      </c>
    </row>
    <row r="415" spans="1:8" s="1" customFormat="1" ht="19.5">
      <c r="B415" s="1" t="s">
        <v>1493</v>
      </c>
      <c r="F415" s="40" t="s">
        <v>1472</v>
      </c>
      <c r="G415" s="133"/>
      <c r="H415" s="99">
        <f>FLOOR(H414*0.15,0.01)</f>
        <v>3997.6600000000003</v>
      </c>
    </row>
    <row r="416" spans="1:8" s="1" customFormat="1" ht="19.5">
      <c r="A416"/>
      <c r="B416" s="140">
        <f>+H416</f>
        <v>30648.76</v>
      </c>
      <c r="C416" s="27" t="s">
        <v>3801</v>
      </c>
      <c r="D416" s="99">
        <f>INT(B416/B417*100)/100</f>
        <v>306.48</v>
      </c>
      <c r="E416" s="1" t="s">
        <v>3006</v>
      </c>
      <c r="F416" s="40" t="s">
        <v>1494</v>
      </c>
      <c r="G416" s="133"/>
      <c r="H416" s="99">
        <f>SUM(H414:H415)</f>
        <v>30648.76</v>
      </c>
    </row>
    <row r="417" spans="1:8" s="1" customFormat="1" ht="16.5">
      <c r="B417" s="117">
        <v>100</v>
      </c>
    </row>
    <row r="419" spans="1:8" s="1" customFormat="1" ht="20.25">
      <c r="A419" s="260">
        <f>A405+1</f>
        <v>1</v>
      </c>
      <c r="B419" s="877" t="s">
        <v>3844</v>
      </c>
      <c r="C419" s="878"/>
      <c r="D419" s="878"/>
      <c r="E419" s="878"/>
      <c r="F419" s="878"/>
      <c r="G419" s="878"/>
      <c r="H419" s="878"/>
    </row>
    <row r="420" spans="1:8" s="1" customFormat="1" ht="15">
      <c r="A420" s="677" t="s">
        <v>3697</v>
      </c>
      <c r="B420" s="888" t="s">
        <v>1380</v>
      </c>
      <c r="C420" s="879"/>
      <c r="D420" s="879"/>
      <c r="E420" s="879"/>
      <c r="F420" s="879"/>
      <c r="G420" s="879"/>
      <c r="H420" s="879"/>
    </row>
    <row r="421" spans="1:8" s="1" customFormat="1" ht="15">
      <c r="B421" s="3"/>
      <c r="F421" s="3"/>
      <c r="G421" s="3"/>
      <c r="H421" s="3"/>
    </row>
    <row r="422" spans="1:8" s="1" customFormat="1" ht="31.5">
      <c r="B422" s="68" t="s">
        <v>2966</v>
      </c>
      <c r="C422" s="68" t="s">
        <v>2967</v>
      </c>
      <c r="D422" s="68" t="s">
        <v>2968</v>
      </c>
      <c r="E422" s="68" t="s">
        <v>2969</v>
      </c>
      <c r="F422" s="68" t="s">
        <v>2970</v>
      </c>
      <c r="G422" s="68" t="s">
        <v>2971</v>
      </c>
      <c r="H422" s="68" t="s">
        <v>1487</v>
      </c>
    </row>
    <row r="423" spans="1:8" s="1" customFormat="1" ht="17.25">
      <c r="B423" s="889" t="s">
        <v>1488</v>
      </c>
      <c r="C423" s="58" t="s">
        <v>516</v>
      </c>
      <c r="D423" s="41">
        <v>5.8</v>
      </c>
      <c r="E423" s="55" t="s">
        <v>1490</v>
      </c>
      <c r="F423" s="107">
        <v>910</v>
      </c>
      <c r="G423" s="107">
        <f>FLOOR(D423*F423,0.01)</f>
        <v>5278</v>
      </c>
      <c r="H423" s="108"/>
    </row>
    <row r="424" spans="1:8" s="1" customFormat="1" ht="17.25">
      <c r="B424" s="887"/>
      <c r="C424" s="78" t="s">
        <v>1433</v>
      </c>
      <c r="D424" s="43">
        <v>5.8</v>
      </c>
      <c r="E424" s="56" t="s">
        <v>1490</v>
      </c>
      <c r="F424" s="63">
        <v>670</v>
      </c>
      <c r="G424" s="63">
        <f>FLOOR(D424*F424,0.01)</f>
        <v>3886</v>
      </c>
      <c r="H424" s="123">
        <f>SUM(G423+G424)</f>
        <v>9164</v>
      </c>
    </row>
    <row r="425" spans="1:8" s="1" customFormat="1" ht="17.25">
      <c r="B425" s="886" t="s">
        <v>2055</v>
      </c>
      <c r="C425" s="55" t="s">
        <v>1419</v>
      </c>
      <c r="D425" s="48">
        <v>8</v>
      </c>
      <c r="E425" s="55" t="s">
        <v>2517</v>
      </c>
      <c r="F425" s="109">
        <v>271</v>
      </c>
      <c r="G425" s="110">
        <f>FLOOR(D425*F425,0.01)</f>
        <v>2168</v>
      </c>
      <c r="H425" s="108"/>
    </row>
    <row r="426" spans="1:8" s="1" customFormat="1" ht="17.25">
      <c r="B426" s="887"/>
      <c r="C426" s="56" t="s">
        <v>3767</v>
      </c>
      <c r="D426" s="43">
        <v>16</v>
      </c>
      <c r="E426" s="56" t="s">
        <v>2517</v>
      </c>
      <c r="F426" s="63">
        <v>612</v>
      </c>
      <c r="G426" s="63">
        <f>FLOOR(D426*F426,0.01)</f>
        <v>9792</v>
      </c>
      <c r="H426" s="123">
        <f>SUM(G425:G426)</f>
        <v>11960</v>
      </c>
    </row>
    <row r="427" spans="1:8" s="1" customFormat="1" ht="19.5">
      <c r="F427" s="40" t="s">
        <v>1491</v>
      </c>
      <c r="G427" s="133"/>
      <c r="H427" s="63">
        <f>SUM(H426,H424)</f>
        <v>21124</v>
      </c>
    </row>
    <row r="428" spans="1:8" s="1" customFormat="1" ht="19.5">
      <c r="B428" s="1" t="s">
        <v>1493</v>
      </c>
      <c r="F428" s="40" t="s">
        <v>1472</v>
      </c>
      <c r="G428" s="133"/>
      <c r="H428" s="99">
        <f>FLOOR(H427*0.15,0.01)</f>
        <v>3168.6</v>
      </c>
    </row>
    <row r="429" spans="1:8" s="1" customFormat="1" ht="19.5">
      <c r="A429"/>
      <c r="B429" s="140">
        <f>+H429</f>
        <v>24292.6</v>
      </c>
      <c r="C429" s="27" t="s">
        <v>3801</v>
      </c>
      <c r="D429" s="99">
        <f>INT(B429/B430*100)/100</f>
        <v>242.92</v>
      </c>
      <c r="E429" s="1" t="s">
        <v>3006</v>
      </c>
      <c r="F429" s="40" t="s">
        <v>1494</v>
      </c>
      <c r="G429" s="133"/>
      <c r="H429" s="99">
        <f>SUM(H427:H428)</f>
        <v>24292.6</v>
      </c>
    </row>
    <row r="430" spans="1:8" s="1" customFormat="1" ht="16.5">
      <c r="B430" s="117">
        <v>100</v>
      </c>
    </row>
    <row r="432" spans="1:8" s="1" customFormat="1" ht="21" customHeight="1">
      <c r="A432" s="260">
        <f>+A419+1</f>
        <v>2</v>
      </c>
      <c r="B432" s="877" t="s">
        <v>1474</v>
      </c>
      <c r="C432" s="878"/>
      <c r="D432" s="878"/>
      <c r="E432" s="878"/>
      <c r="F432" s="878"/>
      <c r="G432" s="878"/>
      <c r="H432" s="878"/>
    </row>
    <row r="433" spans="1:8" s="1" customFormat="1" ht="20.100000000000001" customHeight="1">
      <c r="A433" s="677" t="s">
        <v>3684</v>
      </c>
      <c r="B433" s="888" t="s">
        <v>1380</v>
      </c>
      <c r="C433" s="879"/>
      <c r="D433" s="879"/>
      <c r="E433" s="879"/>
      <c r="F433" s="879"/>
      <c r="G433" s="879"/>
      <c r="H433" s="879"/>
    </row>
    <row r="434" spans="1:8" s="1" customFormat="1" ht="31.5">
      <c r="B434" s="68" t="s">
        <v>2966</v>
      </c>
      <c r="C434" s="68" t="s">
        <v>2967</v>
      </c>
      <c r="D434" s="68" t="s">
        <v>2968</v>
      </c>
      <c r="E434" s="68" t="s">
        <v>2969</v>
      </c>
      <c r="F434" s="68" t="s">
        <v>2970</v>
      </c>
      <c r="G434" s="68" t="s">
        <v>2971</v>
      </c>
      <c r="H434" s="68" t="s">
        <v>1487</v>
      </c>
    </row>
    <row r="435" spans="1:8" s="1" customFormat="1" ht="20.100000000000001" customHeight="1">
      <c r="B435" s="889" t="s">
        <v>1488</v>
      </c>
      <c r="C435" s="58" t="s">
        <v>516</v>
      </c>
      <c r="D435" s="41">
        <v>10</v>
      </c>
      <c r="E435" s="55" t="s">
        <v>1490</v>
      </c>
      <c r="F435" s="107">
        <v>910</v>
      </c>
      <c r="G435" s="107">
        <f>FLOOR(D435*F435,0.01)</f>
        <v>9100</v>
      </c>
      <c r="H435" s="108"/>
    </row>
    <row r="436" spans="1:8" s="1" customFormat="1" ht="17.25">
      <c r="B436" s="887"/>
      <c r="C436" s="78" t="s">
        <v>1433</v>
      </c>
      <c r="D436" s="43">
        <v>5</v>
      </c>
      <c r="E436" s="56" t="s">
        <v>1490</v>
      </c>
      <c r="F436" s="63">
        <v>670</v>
      </c>
      <c r="G436" s="63">
        <f>FLOOR(D436*F436,0.01)</f>
        <v>3350</v>
      </c>
      <c r="H436" s="123">
        <f>SUM(G435+G436)</f>
        <v>12450</v>
      </c>
    </row>
    <row r="437" spans="1:8" s="1" customFormat="1" ht="18" customHeight="1">
      <c r="B437" s="886" t="s">
        <v>2055</v>
      </c>
      <c r="C437" s="55" t="s">
        <v>1475</v>
      </c>
      <c r="D437" s="41">
        <v>2</v>
      </c>
      <c r="E437" s="55" t="s">
        <v>2748</v>
      </c>
      <c r="F437" s="107">
        <v>1280</v>
      </c>
      <c r="G437" s="110">
        <f>FLOOR(D437*F437,0.01)</f>
        <v>2560</v>
      </c>
      <c r="H437" s="108"/>
    </row>
    <row r="438" spans="1:8" s="1" customFormat="1" ht="18" customHeight="1">
      <c r="B438" s="887"/>
      <c r="C438" s="56" t="s">
        <v>1476</v>
      </c>
      <c r="D438" s="43">
        <v>10</v>
      </c>
      <c r="E438" s="56" t="s">
        <v>2517</v>
      </c>
      <c r="F438" s="122">
        <v>114</v>
      </c>
      <c r="G438" s="63">
        <f>FLOOR(D438*F438,0.01)</f>
        <v>1140</v>
      </c>
      <c r="H438" s="123">
        <f>SUM(G437:G438)</f>
        <v>3700</v>
      </c>
    </row>
    <row r="439" spans="1:8" s="1" customFormat="1" ht="19.5">
      <c r="F439" s="40" t="s">
        <v>1491</v>
      </c>
      <c r="G439" s="133"/>
      <c r="H439" s="63">
        <f>SUM(H438,H436)</f>
        <v>16150</v>
      </c>
    </row>
    <row r="440" spans="1:8" s="1" customFormat="1" ht="18" customHeight="1">
      <c r="B440" s="1" t="s">
        <v>1493</v>
      </c>
      <c r="F440" s="40" t="s">
        <v>1471</v>
      </c>
      <c r="G440" s="133"/>
      <c r="H440" s="99">
        <f>FLOOR(H439*0.15,0.01)</f>
        <v>2422.5</v>
      </c>
    </row>
    <row r="441" spans="1:8" s="1" customFormat="1" ht="18" customHeight="1">
      <c r="A441"/>
      <c r="B441" s="140">
        <f>+H441</f>
        <v>18572.5</v>
      </c>
      <c r="C441" s="27" t="s">
        <v>3801</v>
      </c>
      <c r="D441" s="99">
        <f>INT(B441/B442*100)/100</f>
        <v>185.72</v>
      </c>
      <c r="E441" s="1" t="s">
        <v>3006</v>
      </c>
      <c r="F441" s="40" t="s">
        <v>1494</v>
      </c>
      <c r="G441" s="133"/>
      <c r="H441" s="99">
        <f>SUM(H439:H440)</f>
        <v>18572.5</v>
      </c>
    </row>
    <row r="442" spans="1:8" s="1" customFormat="1" ht="18" customHeight="1">
      <c r="B442" s="117">
        <v>100</v>
      </c>
    </row>
    <row r="444" spans="1:8" s="1" customFormat="1" ht="20.25">
      <c r="A444" s="260">
        <f>+A431+1</f>
        <v>1</v>
      </c>
      <c r="B444" s="877" t="s">
        <v>578</v>
      </c>
      <c r="C444" s="878"/>
      <c r="D444" s="878"/>
      <c r="E444" s="878"/>
      <c r="F444" s="878"/>
      <c r="G444" s="878"/>
      <c r="H444" s="878"/>
    </row>
    <row r="445" spans="1:8" s="1" customFormat="1" ht="15">
      <c r="A445" s="677" t="s">
        <v>3691</v>
      </c>
      <c r="B445" s="879" t="s">
        <v>1379</v>
      </c>
      <c r="C445" s="879"/>
      <c r="D445" s="879"/>
      <c r="E445" s="879"/>
      <c r="F445" s="879"/>
      <c r="G445" s="879"/>
      <c r="H445" s="879"/>
    </row>
    <row r="446" spans="1:8" s="1" customFormat="1" ht="31.5">
      <c r="B446" s="68" t="s">
        <v>2966</v>
      </c>
      <c r="C446" s="68" t="s">
        <v>2967</v>
      </c>
      <c r="D446" s="68" t="s">
        <v>2968</v>
      </c>
      <c r="E446" s="68" t="s">
        <v>2969</v>
      </c>
      <c r="F446" s="68" t="s">
        <v>2970</v>
      </c>
      <c r="G446" s="68" t="s">
        <v>2971</v>
      </c>
      <c r="H446" s="68" t="s">
        <v>1487</v>
      </c>
    </row>
    <row r="447" spans="1:8" s="1" customFormat="1" ht="17.25">
      <c r="A447" s="27"/>
      <c r="B447" s="889" t="s">
        <v>520</v>
      </c>
      <c r="C447" s="80" t="s">
        <v>686</v>
      </c>
      <c r="D447" s="42">
        <v>9</v>
      </c>
      <c r="E447" s="53" t="s">
        <v>1490</v>
      </c>
      <c r="F447" s="116">
        <v>910</v>
      </c>
      <c r="G447" s="107">
        <f>FLOOR(D447*F447,0.01)</f>
        <v>8190</v>
      </c>
      <c r="H447" s="108"/>
    </row>
    <row r="448" spans="1:8" s="1" customFormat="1" ht="17.25">
      <c r="B448" s="942"/>
      <c r="C448" s="78" t="s">
        <v>521</v>
      </c>
      <c r="D448" s="43">
        <v>5</v>
      </c>
      <c r="E448" s="56" t="s">
        <v>1490</v>
      </c>
      <c r="F448" s="122">
        <v>670</v>
      </c>
      <c r="G448" s="63">
        <f>FLOOR(D448*F448,0.01)</f>
        <v>3350</v>
      </c>
      <c r="H448" s="123">
        <f>SUM(G447+G448)</f>
        <v>11540</v>
      </c>
    </row>
    <row r="449" spans="1:8" s="1" customFormat="1" ht="17.25">
      <c r="B449" s="889" t="s">
        <v>2055</v>
      </c>
      <c r="C449" s="80" t="s">
        <v>2772</v>
      </c>
      <c r="D449" s="42"/>
      <c r="E449" s="53"/>
      <c r="F449" s="116"/>
      <c r="G449" s="116"/>
      <c r="H449" s="108"/>
    </row>
    <row r="450" spans="1:8" s="1" customFormat="1" ht="17.25">
      <c r="B450" s="947"/>
      <c r="C450" s="80" t="s">
        <v>2421</v>
      </c>
      <c r="D450" s="42">
        <v>16</v>
      </c>
      <c r="E450" s="53" t="s">
        <v>2517</v>
      </c>
      <c r="F450" s="109">
        <v>511</v>
      </c>
      <c r="G450" s="109">
        <f>FLOOR(D450*F450,0.01)</f>
        <v>8176</v>
      </c>
      <c r="H450" s="9"/>
    </row>
    <row r="451" spans="1:8" s="1" customFormat="1" ht="19.5">
      <c r="B451" s="942"/>
      <c r="C451" s="78"/>
      <c r="D451" s="43"/>
      <c r="E451" s="56"/>
      <c r="F451" s="122"/>
      <c r="G451" s="130"/>
      <c r="H451" s="123">
        <f>SUM(G450+G451+G452)</f>
        <v>8176</v>
      </c>
    </row>
    <row r="452" spans="1:8" s="1" customFormat="1" ht="19.5">
      <c r="A452" s="3"/>
      <c r="F452" s="40" t="s">
        <v>1491</v>
      </c>
      <c r="G452" s="102"/>
      <c r="H452" s="63">
        <f>SUM(H448:H451)</f>
        <v>19716</v>
      </c>
    </row>
    <row r="453" spans="1:8" s="1" customFormat="1" ht="19.5">
      <c r="B453" s="1" t="s">
        <v>1493</v>
      </c>
      <c r="F453" s="40" t="s">
        <v>1471</v>
      </c>
      <c r="G453" s="102"/>
      <c r="H453" s="99">
        <f>FLOOR(H452*0.15,0.01)</f>
        <v>2957.4</v>
      </c>
    </row>
    <row r="454" spans="1:8" s="1" customFormat="1" ht="19.5">
      <c r="A454" s="27"/>
      <c r="B454" s="140">
        <f>+H454</f>
        <v>22673.4</v>
      </c>
      <c r="C454" s="27" t="s">
        <v>3801</v>
      </c>
      <c r="D454" s="99">
        <f>INT(B454/B455*100)/100</f>
        <v>226.73</v>
      </c>
      <c r="E454" s="1" t="s">
        <v>3006</v>
      </c>
      <c r="F454" s="40" t="s">
        <v>1494</v>
      </c>
      <c r="G454" s="102"/>
      <c r="H454" s="99">
        <f>SUM(H452:H453)</f>
        <v>22673.4</v>
      </c>
    </row>
    <row r="455" spans="1:8" s="1" customFormat="1" ht="16.5">
      <c r="B455" s="88">
        <v>100</v>
      </c>
    </row>
  </sheetData>
  <mergeCells count="149">
    <mergeCell ref="B217:H217"/>
    <mergeCell ref="B218:H218"/>
    <mergeCell ref="B220:B221"/>
    <mergeCell ref="B222:B224"/>
    <mergeCell ref="B230:H230"/>
    <mergeCell ref="B231:H231"/>
    <mergeCell ref="B250:B251"/>
    <mergeCell ref="B252:B258"/>
    <mergeCell ref="B232:H232"/>
    <mergeCell ref="B234:B235"/>
    <mergeCell ref="B236:B241"/>
    <mergeCell ref="B247:H247"/>
    <mergeCell ref="B248:H248"/>
    <mergeCell ref="B187:H187"/>
    <mergeCell ref="B188:H188"/>
    <mergeCell ref="B189:H189"/>
    <mergeCell ref="B191:B193"/>
    <mergeCell ref="D198:E198"/>
    <mergeCell ref="B205:H205"/>
    <mergeCell ref="B206:H206"/>
    <mergeCell ref="B208:B209"/>
    <mergeCell ref="B210:B211"/>
    <mergeCell ref="B186:H186"/>
    <mergeCell ref="B59:H59"/>
    <mergeCell ref="B24:H24"/>
    <mergeCell ref="B25:H25"/>
    <mergeCell ref="B26:H26"/>
    <mergeCell ref="B29:B30"/>
    <mergeCell ref="B36:H36"/>
    <mergeCell ref="B37:H37"/>
    <mergeCell ref="B38:H38"/>
    <mergeCell ref="B46:H46"/>
    <mergeCell ref="B47:H47"/>
    <mergeCell ref="B49:B50"/>
    <mergeCell ref="B122:H122"/>
    <mergeCell ref="B95:H95"/>
    <mergeCell ref="B96:H96"/>
    <mergeCell ref="B98:B99"/>
    <mergeCell ref="B106:H106"/>
    <mergeCell ref="B107:H107"/>
    <mergeCell ref="B108:H108"/>
    <mergeCell ref="B109:H109"/>
    <mergeCell ref="B111:B112"/>
    <mergeCell ref="B113:B114"/>
    <mergeCell ref="B120:H120"/>
    <mergeCell ref="B121:H121"/>
    <mergeCell ref="B2:H2"/>
    <mergeCell ref="B3:H3"/>
    <mergeCell ref="B4:H4"/>
    <mergeCell ref="B13:H13"/>
    <mergeCell ref="B14:H14"/>
    <mergeCell ref="B15:H15"/>
    <mergeCell ref="B172:H172"/>
    <mergeCell ref="B174:B176"/>
    <mergeCell ref="D181:E181"/>
    <mergeCell ref="B51:B52"/>
    <mergeCell ref="B94:H94"/>
    <mergeCell ref="B60:H60"/>
    <mergeCell ref="B61:H61"/>
    <mergeCell ref="B63:B64"/>
    <mergeCell ref="B65:B69"/>
    <mergeCell ref="B74:H74"/>
    <mergeCell ref="B75:H75"/>
    <mergeCell ref="B76:H76"/>
    <mergeCell ref="B77:H77"/>
    <mergeCell ref="B79:B80"/>
    <mergeCell ref="B81:B87"/>
    <mergeCell ref="B88:B89"/>
    <mergeCell ref="B148:H148"/>
    <mergeCell ref="B149:H149"/>
    <mergeCell ref="B123:H123"/>
    <mergeCell ref="B125:B126"/>
    <mergeCell ref="B127:B128"/>
    <mergeCell ref="B134:H134"/>
    <mergeCell ref="B135:H135"/>
    <mergeCell ref="B136:H136"/>
    <mergeCell ref="B137:H137"/>
    <mergeCell ref="B139:B140"/>
    <mergeCell ref="B141:B142"/>
    <mergeCell ref="B170:H170"/>
    <mergeCell ref="B171:H171"/>
    <mergeCell ref="B152:B153"/>
    <mergeCell ref="B154:B157"/>
    <mergeCell ref="A162:H162"/>
    <mergeCell ref="A164:H164"/>
    <mergeCell ref="A166:H166"/>
    <mergeCell ref="B169:H169"/>
    <mergeCell ref="B150:H150"/>
    <mergeCell ref="B278:H278"/>
    <mergeCell ref="B279:H279"/>
    <mergeCell ref="B281:B282"/>
    <mergeCell ref="B283:B285"/>
    <mergeCell ref="B291:H291"/>
    <mergeCell ref="B264:H264"/>
    <mergeCell ref="B265:H265"/>
    <mergeCell ref="B266:H266"/>
    <mergeCell ref="B268:B269"/>
    <mergeCell ref="B270:B272"/>
    <mergeCell ref="B310:H310"/>
    <mergeCell ref="B312:B313"/>
    <mergeCell ref="B314:B317"/>
    <mergeCell ref="B324:H324"/>
    <mergeCell ref="B325:H325"/>
    <mergeCell ref="B292:H292"/>
    <mergeCell ref="B293:H293"/>
    <mergeCell ref="B295:B296"/>
    <mergeCell ref="B297:B303"/>
    <mergeCell ref="B309:H309"/>
    <mergeCell ref="B346:B348"/>
    <mergeCell ref="H346:H348"/>
    <mergeCell ref="B349:B351"/>
    <mergeCell ref="B358:H358"/>
    <mergeCell ref="B359:H359"/>
    <mergeCell ref="B326:H326"/>
    <mergeCell ref="B328:B330"/>
    <mergeCell ref="B331:B337"/>
    <mergeCell ref="B343:H343"/>
    <mergeCell ref="B344:H344"/>
    <mergeCell ref="B374:B375"/>
    <mergeCell ref="B376:B377"/>
    <mergeCell ref="B383:H383"/>
    <mergeCell ref="B384:H384"/>
    <mergeCell ref="B386:B387"/>
    <mergeCell ref="B361:B362"/>
    <mergeCell ref="B363:B364"/>
    <mergeCell ref="B370:H370"/>
    <mergeCell ref="B371:H371"/>
    <mergeCell ref="B372:H372"/>
    <mergeCell ref="B407:H407"/>
    <mergeCell ref="B408:H408"/>
    <mergeCell ref="B410:B411"/>
    <mergeCell ref="B412:B413"/>
    <mergeCell ref="B419:H419"/>
    <mergeCell ref="B388:B389"/>
    <mergeCell ref="B395:H395"/>
    <mergeCell ref="B396:H396"/>
    <mergeCell ref="B398:B399"/>
    <mergeCell ref="B406:H406"/>
    <mergeCell ref="B449:B451"/>
    <mergeCell ref="B435:B436"/>
    <mergeCell ref="B437:B438"/>
    <mergeCell ref="B444:H444"/>
    <mergeCell ref="B445:H445"/>
    <mergeCell ref="B447:B448"/>
    <mergeCell ref="B420:H420"/>
    <mergeCell ref="B423:B424"/>
    <mergeCell ref="B425:B426"/>
    <mergeCell ref="B432:H432"/>
    <mergeCell ref="B433:H43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23</vt:i4>
      </vt:variant>
    </vt:vector>
  </HeadingPairs>
  <TitlesOfParts>
    <vt:vector size="39" baseType="lpstr">
      <vt:lpstr>Basic</vt:lpstr>
      <vt:lpstr>Dist Rate</vt:lpstr>
      <vt:lpstr>Sheet2</vt:lpstr>
      <vt:lpstr>ek datta khanal</vt:lpstr>
      <vt:lpstr>shiva ram khanal</vt:lpstr>
      <vt:lpstr>ram prasad khanal</vt:lpstr>
      <vt:lpstr>rama khanal</vt:lpstr>
      <vt:lpstr>ram krishna khatiwoda</vt:lpstr>
      <vt:lpstr>govinda prashad khadal</vt:lpstr>
      <vt:lpstr>mb</vt:lpstr>
      <vt:lpstr>valuation</vt:lpstr>
      <vt:lpstr>nyayik samiti</vt:lpstr>
      <vt:lpstr>Table of Content 1</vt:lpstr>
      <vt:lpstr>Sheet1</vt:lpstr>
      <vt:lpstr>rate anal ciaa</vt:lpstr>
      <vt:lpstr>inland revenue</vt:lpstr>
      <vt:lpstr>Basic!Print_Area</vt:lpstr>
      <vt:lpstr>'ek datta khanal'!Print_Area</vt:lpstr>
      <vt:lpstr>'govinda prashad khadal'!Print_Area</vt:lpstr>
      <vt:lpstr>mb!Print_Area</vt:lpstr>
      <vt:lpstr>'nyayik samiti'!Print_Area</vt:lpstr>
      <vt:lpstr>'ram krishna khatiwoda'!Print_Area</vt:lpstr>
      <vt:lpstr>'ram prasad khanal'!Print_Area</vt:lpstr>
      <vt:lpstr>'rama khanal'!Print_Area</vt:lpstr>
      <vt:lpstr>Sheet1!Print_Area</vt:lpstr>
      <vt:lpstr>'shiva ram khanal'!Print_Area</vt:lpstr>
      <vt:lpstr>'Table of Content 1'!Print_Area</vt:lpstr>
      <vt:lpstr>valuation!Print_Area</vt:lpstr>
      <vt:lpstr>Basic!Print_Titles</vt:lpstr>
      <vt:lpstr>'Dist Rate'!Print_Titles</vt:lpstr>
      <vt:lpstr>'ek datta khanal'!Print_Titles</vt:lpstr>
      <vt:lpstr>'govinda prashad khadal'!Print_Titles</vt:lpstr>
      <vt:lpstr>mb!Print_Titles</vt:lpstr>
      <vt:lpstr>'nyayik samiti'!Print_Titles</vt:lpstr>
      <vt:lpstr>'ram krishna khatiwoda'!Print_Titles</vt:lpstr>
      <vt:lpstr>'ram prasad khanal'!Print_Titles</vt:lpstr>
      <vt:lpstr>'rama khanal'!Print_Titles</vt:lpstr>
      <vt:lpstr>'shiva ram khanal'!Print_Titles</vt:lpstr>
      <vt:lpstr>valuation!Print_Titles</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BCMDO</dc:creator>
  <cp:lastModifiedBy>NITESH BASUKALA</cp:lastModifiedBy>
  <cp:lastPrinted>2025-05-19T05:39:52Z</cp:lastPrinted>
  <dcterms:created xsi:type="dcterms:W3CDTF">2001-09-13T09:23:52Z</dcterms:created>
  <dcterms:modified xsi:type="dcterms:W3CDTF">2025-07-02T06:04:22Z</dcterms:modified>
  <cp:contentStatus>Sun</cp:contentStatus>
</cp:coreProperties>
</file>