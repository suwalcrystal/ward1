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24226"/>
  <bookViews>
    <workbookView xWindow="-120" yWindow="-120" windowWidth="20736" windowHeight="11040" firstSheet="2" activeTab="2"/>
  </bookViews>
  <sheets>
    <sheet name="Estimate (4)" sheetId="10" state="hidden" r:id="rId1"/>
    <sheet name="Police sector contribution" sheetId="11" state="hidden" r:id="rId2"/>
    <sheet name="Police sector contribution (2)" sheetId="12" r:id="rId3"/>
  </sheets>
  <externalReferences>
    <externalReference r:id="rId4"/>
    <externalReference r:id="rId5"/>
  </externalReferences>
  <definedNames>
    <definedName name="description_103">[1]Abstract!$B$16</definedName>
    <definedName name="description_124" localSheetId="0">#REF!</definedName>
    <definedName name="description_124" localSheetId="1">#REF!</definedName>
    <definedName name="description_124" localSheetId="2">#REF!</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3">[1]Abstract!$B$169</definedName>
    <definedName name="description_310" localSheetId="2">#REF!</definedName>
    <definedName name="description_310">#REF!</definedName>
    <definedName name="description_312" localSheetId="2">#REF!</definedName>
    <definedName name="description_312">#REF!</definedName>
    <definedName name="description_5">[1]Abstract!$B$171</definedName>
    <definedName name="description_6" localSheetId="2">#REF!</definedName>
    <definedName name="description_6">#REF!</definedName>
    <definedName name="description_759">[1]Abstract!$B$278</definedName>
    <definedName name="description_781" localSheetId="2">#REF!</definedName>
    <definedName name="description_781">#REF!</definedName>
    <definedName name="description_783">[1]Abstract!$B$301</definedName>
    <definedName name="_xlnm.Print_Area" localSheetId="0">'Estimate (4)'!$A$5:$K$66</definedName>
    <definedName name="_xlnm.Print_Area" localSheetId="1">'Police sector contribution'!$A$5:$K$66</definedName>
    <definedName name="_xlnm.Print_Area" localSheetId="2">'Police sector contribution (2)'!$A$1:$K$106</definedName>
    <definedName name="_xlnm.Print_Titles" localSheetId="2">'Police sector contribution (2)'!$1:$8</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95" i="12" l="1"/>
  <c r="J95" i="12" s="1"/>
  <c r="D86" i="12"/>
  <c r="F86" i="12" s="1"/>
  <c r="G86" i="12" s="1"/>
  <c r="D85" i="12"/>
  <c r="F85" i="12" s="1"/>
  <c r="G85" i="12" s="1"/>
  <c r="I87" i="12"/>
  <c r="N91" i="12"/>
  <c r="M91" i="12"/>
  <c r="P91" i="12" s="1"/>
  <c r="E91" i="12"/>
  <c r="D91" i="12"/>
  <c r="D84" i="12" s="1"/>
  <c r="F84" i="12" s="1"/>
  <c r="G84" i="12" s="1"/>
  <c r="D83" i="12"/>
  <c r="F83" i="12" s="1"/>
  <c r="G83" i="12" s="1"/>
  <c r="G87" i="12" s="1"/>
  <c r="G91" i="12" l="1"/>
  <c r="G92" i="12" s="1"/>
  <c r="J92" i="12" s="1"/>
  <c r="J88" i="12"/>
  <c r="J87" i="12"/>
  <c r="J93" i="12"/>
  <c r="G72" i="12" l="1"/>
  <c r="G71" i="12"/>
  <c r="G51" i="12"/>
  <c r="G50" i="12"/>
  <c r="G70" i="12"/>
  <c r="G69" i="12"/>
  <c r="G30" i="12"/>
  <c r="G29" i="12"/>
  <c r="G24" i="12"/>
  <c r="G25" i="12"/>
  <c r="G26" i="12"/>
  <c r="G23" i="12"/>
  <c r="G66" i="12"/>
  <c r="G67" i="12"/>
  <c r="G65" i="12"/>
  <c r="G46" i="12"/>
  <c r="G47" i="12"/>
  <c r="G48" i="12"/>
  <c r="G45" i="12"/>
  <c r="G13" i="12"/>
  <c r="G14" i="12"/>
  <c r="G15" i="12"/>
  <c r="G16" i="12"/>
  <c r="G18" i="12"/>
  <c r="G19" i="12"/>
  <c r="G20" i="12"/>
  <c r="G21" i="12"/>
  <c r="G42" i="12"/>
  <c r="G43" i="12"/>
  <c r="G38" i="12"/>
  <c r="G39" i="12"/>
  <c r="G40" i="12"/>
  <c r="G41" i="12"/>
  <c r="G63" i="12"/>
  <c r="G78" i="12"/>
  <c r="G79" i="12" s="1"/>
  <c r="D17" i="12"/>
  <c r="C17" i="12"/>
  <c r="G62" i="12"/>
  <c r="G61" i="12"/>
  <c r="G58" i="12"/>
  <c r="G59" i="12"/>
  <c r="G60" i="12"/>
  <c r="G17" i="12" l="1"/>
  <c r="G37" i="12" l="1"/>
  <c r="D36" i="12"/>
  <c r="C106" i="12"/>
  <c r="C105" i="12"/>
  <c r="G97" i="12"/>
  <c r="J97" i="12" s="1"/>
  <c r="C103" i="12" l="1"/>
  <c r="G36" i="12"/>
  <c r="G52" i="12" s="1"/>
  <c r="G57" i="12"/>
  <c r="G73" i="12" s="1"/>
  <c r="D10" i="11"/>
  <c r="D38" i="11" s="1"/>
  <c r="D43" i="11" s="1"/>
  <c r="D48" i="11" s="1"/>
  <c r="C66" i="11"/>
  <c r="C65" i="11"/>
  <c r="C63" i="11" s="1"/>
  <c r="G57" i="11"/>
  <c r="J57" i="11" s="1"/>
  <c r="E53" i="11"/>
  <c r="D53" i="11"/>
  <c r="B53" i="11"/>
  <c r="F38" i="11"/>
  <c r="B38" i="11"/>
  <c r="E32" i="11"/>
  <c r="D32" i="11"/>
  <c r="D33" i="11" s="1"/>
  <c r="G33" i="11" s="1"/>
  <c r="B32" i="11"/>
  <c r="G31" i="11"/>
  <c r="C31" i="11"/>
  <c r="E30" i="11"/>
  <c r="D30" i="11"/>
  <c r="G30" i="11" s="1"/>
  <c r="C30" i="11"/>
  <c r="B28" i="11"/>
  <c r="B43" i="11" s="1"/>
  <c r="B48" i="11" s="1"/>
  <c r="E23" i="11"/>
  <c r="D23" i="11"/>
  <c r="G23" i="11" s="1"/>
  <c r="C23" i="11"/>
  <c r="B22" i="11"/>
  <c r="E17" i="11"/>
  <c r="D17" i="11"/>
  <c r="G17" i="11" s="1"/>
  <c r="G18" i="11" s="1"/>
  <c r="B17" i="11"/>
  <c r="E12" i="11"/>
  <c r="G12" i="11" s="1"/>
  <c r="G11" i="11"/>
  <c r="J52" i="12" l="1"/>
  <c r="J53" i="12" s="1"/>
  <c r="D22" i="11"/>
  <c r="G22" i="11" s="1"/>
  <c r="G24" i="11" s="1"/>
  <c r="G12" i="12"/>
  <c r="G11" i="12"/>
  <c r="G10" i="11"/>
  <c r="G13" i="11" s="1"/>
  <c r="D29" i="11"/>
  <c r="G29" i="11" s="1"/>
  <c r="D28" i="11"/>
  <c r="G28" i="11" s="1"/>
  <c r="G32" i="11"/>
  <c r="G53" i="11"/>
  <c r="G54" i="11" s="1"/>
  <c r="J55" i="11" s="1"/>
  <c r="J25" i="11"/>
  <c r="J24" i="11"/>
  <c r="J19" i="11"/>
  <c r="J18" i="11"/>
  <c r="G43" i="11"/>
  <c r="G44" i="11" s="1"/>
  <c r="G48" i="11"/>
  <c r="G49" i="11" s="1"/>
  <c r="G38" i="11"/>
  <c r="G39" i="11" s="1"/>
  <c r="G31" i="12" l="1"/>
  <c r="J79" i="12"/>
  <c r="J80" i="12" s="1"/>
  <c r="G34" i="11"/>
  <c r="J35" i="11" s="1"/>
  <c r="J54" i="11"/>
  <c r="J40" i="11"/>
  <c r="J39" i="11"/>
  <c r="J50" i="11"/>
  <c r="J49" i="11"/>
  <c r="J44" i="11"/>
  <c r="J45" i="11"/>
  <c r="J13" i="11"/>
  <c r="J14" i="11"/>
  <c r="J73" i="12" l="1"/>
  <c r="J74" i="12" s="1"/>
  <c r="J34" i="11"/>
  <c r="J59" i="11" s="1"/>
  <c r="C61" i="11" s="1"/>
  <c r="C64" i="11" l="1"/>
  <c r="E63" i="11"/>
  <c r="E64" i="11" s="1"/>
  <c r="B53" i="10" l="1"/>
  <c r="D53" i="10"/>
  <c r="G53" i="10" s="1"/>
  <c r="G54" i="10" s="1"/>
  <c r="J55" i="10" s="1"/>
  <c r="E53" i="10"/>
  <c r="F38" i="10"/>
  <c r="C31" i="10"/>
  <c r="J54" i="10" l="1"/>
  <c r="B38" i="10" l="1"/>
  <c r="C66" i="10"/>
  <c r="C65" i="10"/>
  <c r="C63" i="10" s="1"/>
  <c r="E32" i="10" l="1"/>
  <c r="D10" i="10"/>
  <c r="D29" i="10" s="1"/>
  <c r="G29" i="10" s="1"/>
  <c r="E23" i="10"/>
  <c r="D23" i="10"/>
  <c r="C23" i="10"/>
  <c r="G23" i="10" s="1"/>
  <c r="B22" i="10"/>
  <c r="G31" i="10"/>
  <c r="E30" i="10"/>
  <c r="D30" i="10"/>
  <c r="C30" i="10"/>
  <c r="G11" i="10"/>
  <c r="D32" i="10"/>
  <c r="D17" i="10"/>
  <c r="B17" i="10"/>
  <c r="B32" i="10"/>
  <c r="B28" i="10"/>
  <c r="B43" i="10" s="1"/>
  <c r="B48" i="10" s="1"/>
  <c r="D28" i="10" l="1"/>
  <c r="G28" i="10" s="1"/>
  <c r="D38" i="10"/>
  <c r="D43" i="10" s="1"/>
  <c r="D48" i="10" s="1"/>
  <c r="G48" i="10" s="1"/>
  <c r="G49" i="10" s="1"/>
  <c r="J50" i="10" s="1"/>
  <c r="D22" i="10"/>
  <c r="G30" i="10"/>
  <c r="D33" i="10"/>
  <c r="G33" i="10" s="1"/>
  <c r="J49" i="10" l="1"/>
  <c r="G43" i="10"/>
  <c r="G44" i="10" s="1"/>
  <c r="J45" i="10" s="1"/>
  <c r="J44" i="10" l="1"/>
  <c r="G38" i="10"/>
  <c r="G39" i="10" s="1"/>
  <c r="J40" i="10" s="1"/>
  <c r="G22" i="10"/>
  <c r="G24" i="10" l="1"/>
  <c r="J25" i="10" s="1"/>
  <c r="J39" i="10"/>
  <c r="J24" i="10" l="1"/>
  <c r="G32" i="10" l="1"/>
  <c r="G34" i="10" s="1"/>
  <c r="J35" i="10" s="1"/>
  <c r="E17" i="10"/>
  <c r="G17" i="10" s="1"/>
  <c r="G18" i="10" s="1"/>
  <c r="J19" i="10" s="1"/>
  <c r="J34" i="10" l="1"/>
  <c r="J18" i="10"/>
  <c r="E12" i="10" l="1"/>
  <c r="G12" i="10" s="1"/>
  <c r="G57" i="10"/>
  <c r="J57" i="10" s="1"/>
  <c r="G10" i="10" l="1"/>
  <c r="G13" i="10" l="1"/>
  <c r="J14" i="10" s="1"/>
  <c r="J13" i="10" l="1"/>
  <c r="J59" i="10" s="1"/>
  <c r="C61" i="10" s="1"/>
  <c r="E63" i="10" l="1"/>
  <c r="E64" i="10" s="1"/>
  <c r="C64" i="10"/>
  <c r="J31" i="12"/>
  <c r="J32" i="12" s="1"/>
  <c r="J99" i="12" s="1"/>
  <c r="C101" i="12" s="1"/>
  <c r="E103" i="12" l="1"/>
  <c r="E104" i="12" s="1"/>
  <c r="C104" i="12"/>
</calcChain>
</file>

<file path=xl/comments1.xml><?xml version="1.0" encoding="utf-8"?>
<comments xmlns="http://schemas.openxmlformats.org/spreadsheetml/2006/main">
  <authors>
    <author>Author</author>
  </authors>
  <commentList>
    <comment ref="G91" authorId="0" shapeId="0">
      <text>
        <r>
          <rPr>
            <b/>
            <sz val="10"/>
            <color indexed="81"/>
            <rFont val="Tahoma"/>
          </rPr>
          <t>Author:</t>
        </r>
        <r>
          <rPr>
            <sz val="10"/>
            <color indexed="81"/>
            <rFont val="Tahoma"/>
          </rPr>
          <t xml:space="preserve">
area of cone = pi() * r * sqrt(r^2+ht^2)</t>
        </r>
      </text>
    </comment>
  </commentList>
</comments>
</file>

<file path=xl/sharedStrings.xml><?xml version="1.0" encoding="utf-8"?>
<sst xmlns="http://schemas.openxmlformats.org/spreadsheetml/2006/main" count="227" uniqueCount="82">
  <si>
    <t>Government of Nepal</t>
  </si>
  <si>
    <t>Shankharapur Municipality Office</t>
  </si>
  <si>
    <t>Bagmati Province</t>
  </si>
  <si>
    <t>Sankhu, Kathmandu</t>
  </si>
  <si>
    <t>Detail Estimated Sheet</t>
  </si>
  <si>
    <t>Location:- Shankharapur Municipality 9</t>
  </si>
  <si>
    <t>S.N.</t>
  </si>
  <si>
    <t>Description of work</t>
  </si>
  <si>
    <t>No.</t>
  </si>
  <si>
    <t>Length</t>
  </si>
  <si>
    <t>Breadth</t>
  </si>
  <si>
    <t>Height</t>
  </si>
  <si>
    <t>Quantity</t>
  </si>
  <si>
    <t>Unit</t>
  </si>
  <si>
    <t>Rate</t>
  </si>
  <si>
    <t>Amount</t>
  </si>
  <si>
    <t>Remark</t>
  </si>
  <si>
    <t>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t>
  </si>
  <si>
    <t>Sub-total</t>
  </si>
  <si>
    <t>m3</t>
  </si>
  <si>
    <t>Information board (सुचना पाटि)</t>
  </si>
  <si>
    <t>no.</t>
  </si>
  <si>
    <t>Total Estimated</t>
  </si>
  <si>
    <t>Total</t>
  </si>
  <si>
    <t xml:space="preserve">Date:                </t>
  </si>
  <si>
    <t>-for brick wall</t>
  </si>
  <si>
    <t>-for  stone masonary</t>
  </si>
  <si>
    <t>-13% VAT for materials</t>
  </si>
  <si>
    <t>Providing and laying of hand pack Stone soling with 150 to 200 mm thick stones and packing with smaller stone on prepared surface as per Drawing and Technical Specifications.</t>
  </si>
  <si>
    <t>;'Vvf O{6f RofK6f] 5fKg] sfd</t>
  </si>
  <si>
    <t>e'O{+tNnfdf lrDgL e§fsf] O{+6fsf] uf/f] l;d]G6 d;nf -!M^_ df</t>
  </si>
  <si>
    <t>Providing and laying of Plain/Reinforced Cement Concrete in Foundation complete as per Drawing and Technical Specifications, PCC Grade M 15</t>
  </si>
  <si>
    <t>User Contribution</t>
  </si>
  <si>
    <t>Budget allocated</t>
  </si>
  <si>
    <t>Municipal payment</t>
  </si>
  <si>
    <t xml:space="preserve">Contingencies </t>
  </si>
  <si>
    <t xml:space="preserve">Maintanince </t>
  </si>
  <si>
    <t>!@=% dL=dL= l;d]G6 afn'jf -!M$_ Knfi6/</t>
  </si>
  <si>
    <t>sub-total</t>
  </si>
  <si>
    <t>sqm</t>
  </si>
  <si>
    <t>-VAT 13% for materials</t>
  </si>
  <si>
    <t xml:space="preserve"> Ps sf]6 k|fO{d/ ;lxt b'O{ sf]6 j]b/sf]6 k]G6 ug]{ sfd</t>
  </si>
  <si>
    <t>Project:-Nanglebhare Police Chauki</t>
  </si>
  <si>
    <t>F.Y.: 2082/2083</t>
  </si>
  <si>
    <t>Random Rubble Masonry, Providing and laying of Stone Masonry Work in Cement Mortar 1:6 in Foundation complete as per Drawing and Technical Specifications.</t>
  </si>
  <si>
    <t>Police sector contribution</t>
  </si>
  <si>
    <t>UPVC sliding window without net (frame 60 X 60mm sash 66 X 42mm white colour with 5mm Glass)</t>
  </si>
  <si>
    <t>-Dining room</t>
  </si>
  <si>
    <t>m2</t>
  </si>
  <si>
    <t>UPVC Single Door with full pannel (frame 60*60mm sash 60X100mm White Colour With  Panel)</t>
  </si>
  <si>
    <t>-Dining Room</t>
  </si>
  <si>
    <t>-Mesh block</t>
  </si>
  <si>
    <t>5mm glass for affected openings</t>
  </si>
  <si>
    <t>-Mesh block window</t>
  </si>
  <si>
    <t>-Lobby</t>
  </si>
  <si>
    <t>-Jail toilet door</t>
  </si>
  <si>
    <t>-Guard quarter</t>
  </si>
  <si>
    <t>-Jail window</t>
  </si>
  <si>
    <t>-Main door</t>
  </si>
  <si>
    <t>Ground Floor</t>
  </si>
  <si>
    <t>-Staircase area</t>
  </si>
  <si>
    <t>-Rooms</t>
  </si>
  <si>
    <t>-toilet</t>
  </si>
  <si>
    <t>UPVC sliding Door without net (frame 60 X 60mm sash 88 X 42mm white colour with 5mm half Glass and remaining panel)</t>
  </si>
  <si>
    <t>First Floor</t>
  </si>
  <si>
    <t>-Toilet</t>
  </si>
  <si>
    <t>-Passage</t>
  </si>
  <si>
    <t>-Room</t>
  </si>
  <si>
    <t>Second Floor</t>
  </si>
  <si>
    <t>-Kitchen</t>
  </si>
  <si>
    <t>sfnf] kmnfd] kfO{ksf] 6«; agfO{ h8fg ug]{ sfd</t>
  </si>
  <si>
    <t>Length (m)</t>
  </si>
  <si>
    <t>Unit Weight (kg/m)</t>
  </si>
  <si>
    <t>Weight  (kg)</t>
  </si>
  <si>
    <t>).#^ lblv ).$ dL.dL.afSnf] sf]?u]6]8 /+lug ss{6 kftfsf] 5fgf 5fpg] sfd</t>
  </si>
  <si>
    <t>-3" MS square pipe 1.6mm thick for vertical post</t>
  </si>
  <si>
    <t>-for roofing</t>
  </si>
  <si>
    <t>kg</t>
  </si>
  <si>
    <t>- 1.5" MS square pipe 1.6mm thick for inclined members</t>
  </si>
  <si>
    <t>-1.5" MS hollow pipe 1.6mm thick for horizontal member</t>
  </si>
  <si>
    <t>Provisional sum for other unforseen works</t>
  </si>
  <si>
    <t>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</si>
</sst>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_(* #,##0.00_);_(* \(#,##0.00\);_(* &quot;-&quot;??_);_(@_)"/>
    <numFmt numFmtId="165" formatCode="0.0"/>
  </numFmts>
  <fonts count="29" x14ac:knownFonts="1">
    <font>
      <sz val="11"/>
      <color theme="1"/>
      <name val="Calibri"/>
      <family val="2"/>
      <scheme val="minor"/>
    </font>
    <font>
      <sz val="11"/>
      <color theme="1"/>
      <name val="Calibri"/>
      <family val="2"/>
      <scheme val="minor"/>
    </font>
    <font>
      <b/>
      <sz val="11"/>
      <color theme="1"/>
      <name val="Calibri"/>
      <family val="2"/>
      <scheme val="minor"/>
    </font>
    <font>
      <b/>
      <sz val="11"/>
      <color theme="1"/>
      <name val="Times New Roman"/>
      <family val="1"/>
    </font>
    <font>
      <b/>
      <sz val="18"/>
      <color theme="1"/>
      <name val="Times New Roman"/>
      <family val="1"/>
    </font>
    <font>
      <b/>
      <sz val="14"/>
      <color theme="1"/>
      <name val="Times New Roman"/>
      <family val="1"/>
    </font>
    <font>
      <sz val="12"/>
      <color theme="1"/>
      <name val="Times New Roman"/>
      <family val="1"/>
    </font>
    <font>
      <b/>
      <sz val="12"/>
      <color theme="1"/>
      <name val="Times New Roman"/>
      <family val="1"/>
    </font>
    <font>
      <sz val="11"/>
      <name val="Times New Roman"/>
      <family val="1"/>
    </font>
    <font>
      <b/>
      <sz val="11"/>
      <name val="Times New Roman"/>
      <family val="1"/>
    </font>
    <font>
      <sz val="11"/>
      <color theme="1"/>
      <name val="Times New Roman"/>
      <family val="1"/>
    </font>
    <font>
      <sz val="11"/>
      <color rgb="FF00B050"/>
      <name val="Calibri"/>
      <family val="2"/>
      <scheme val="minor"/>
    </font>
    <font>
      <b/>
      <sz val="13"/>
      <name val="Preeti"/>
    </font>
    <font>
      <b/>
      <sz val="12"/>
      <name val="Preeti"/>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ont>
    <font>
      <sz val="10"/>
      <name val="Arial"/>
      <family val="2"/>
    </font>
    <font>
      <sz val="11"/>
      <name val="Arial"/>
      <family val="2"/>
    </font>
    <font>
      <sz val="10"/>
      <color rgb="FF00B050"/>
      <name val="Arial"/>
      <family val="2"/>
    </font>
    <font>
      <sz val="11"/>
      <color rgb="FF00B050"/>
      <name val="Times New Roman"/>
      <family val="1"/>
    </font>
    <font>
      <b/>
      <sz val="11"/>
      <color rgb="FF00B050"/>
      <name val="Times New Roman"/>
      <family val="1"/>
    </font>
    <font>
      <b/>
      <sz val="11"/>
      <color rgb="FF00B050"/>
      <name val="Calibri"/>
      <family val="2"/>
      <scheme val="minor"/>
    </font>
    <font>
      <sz val="10"/>
      <color indexed="81"/>
      <name val="Tahoma"/>
    </font>
    <font>
      <b/>
      <sz val="10"/>
      <color indexed="81"/>
      <name val="Tahoma"/>
    </font>
  </fonts>
  <fills count="3">
    <fill>
      <patternFill patternType="none"/>
    </fill>
    <fill>
      <patternFill patternType="gray125"/>
    </fill>
    <fill>
      <patternFill patternType="solid">
        <fgColor theme="0"/>
        <bgColor indexed="64"/>
      </patternFill>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164" fontId="1" fillId="0" borderId="0" applyFont="0" applyFill="0" applyBorder="0" applyAlignment="0" applyProtection="0"/>
    <xf numFmtId="0" fontId="20" fillId="0" borderId="0"/>
    <xf numFmtId="164" fontId="21" fillId="0" borderId="0" applyFont="0" applyFill="0" applyBorder="0" applyAlignment="0" applyProtection="0"/>
    <xf numFmtId="9" fontId="21" fillId="0" borderId="0" applyFont="0" applyFill="0" applyBorder="0" applyAlignment="0" applyProtection="0"/>
    <xf numFmtId="0" fontId="21" fillId="0" borderId="0"/>
  </cellStyleXfs>
  <cellXfs count="110">
    <xf numFmtId="0" fontId="0" fillId="0" borderId="0" xfId="0"/>
    <xf numFmtId="0" fontId="7" fillId="0" borderId="0" xfId="0" applyFont="1" applyAlignment="1">
      <alignment horizontal="center"/>
    </xf>
    <xf numFmtId="164" fontId="7" fillId="0" borderId="0" xfId="1" applyFont="1"/>
    <xf numFmtId="0" fontId="7" fillId="0" borderId="2" xfId="0" applyFont="1" applyBorder="1" applyAlignment="1">
      <alignment horizontal="center"/>
    </xf>
    <xf numFmtId="0" fontId="7" fillId="0" borderId="2" xfId="0" applyFont="1" applyBorder="1" applyAlignment="1">
      <alignment horizontal="center" vertical="top" wrapText="1"/>
    </xf>
    <xf numFmtId="164" fontId="7" fillId="0" borderId="2" xfId="1" applyFont="1" applyBorder="1" applyAlignment="1">
      <alignment horizontal="center"/>
    </xf>
    <xf numFmtId="0" fontId="7" fillId="0" borderId="2" xfId="0" applyFont="1" applyBorder="1" applyAlignment="1">
      <alignment horizontal="center" wrapText="1"/>
    </xf>
    <xf numFmtId="1" fontId="8" fillId="0" borderId="2" xfId="0" applyNumberFormat="1" applyFont="1" applyBorder="1" applyAlignment="1">
      <alignment vertical="center" wrapText="1"/>
    </xf>
    <xf numFmtId="1" fontId="9" fillId="0" borderId="2" xfId="0" applyNumberFormat="1" applyFont="1" applyBorder="1" applyAlignment="1">
      <alignment vertical="center"/>
    </xf>
    <xf numFmtId="0" fontId="10" fillId="0" borderId="2" xfId="0" quotePrefix="1" applyFont="1" applyBorder="1" applyAlignment="1">
      <alignment horizontal="right" wrapText="1"/>
    </xf>
    <xf numFmtId="165" fontId="8" fillId="0" borderId="2" xfId="0" applyNumberFormat="1" applyFont="1" applyBorder="1" applyAlignment="1">
      <alignment vertical="center"/>
    </xf>
    <xf numFmtId="2" fontId="8" fillId="0" borderId="2" xfId="1" applyNumberFormat="1" applyFont="1" applyFill="1" applyBorder="1" applyAlignment="1">
      <alignment vertical="center"/>
    </xf>
    <xf numFmtId="2" fontId="8" fillId="0" borderId="2" xfId="0" applyNumberFormat="1" applyFont="1" applyBorder="1" applyAlignment="1">
      <alignment vertical="center"/>
    </xf>
    <xf numFmtId="2" fontId="9" fillId="0" borderId="2" xfId="1" applyNumberFormat="1" applyFont="1" applyFill="1" applyBorder="1" applyAlignment="1">
      <alignment vertical="center"/>
    </xf>
    <xf numFmtId="2" fontId="9" fillId="0" borderId="2" xfId="0" applyNumberFormat="1" applyFont="1" applyBorder="1" applyAlignment="1">
      <alignment vertical="center"/>
    </xf>
    <xf numFmtId="2" fontId="3" fillId="0" borderId="2" xfId="0" applyNumberFormat="1" applyFont="1" applyBorder="1"/>
    <xf numFmtId="0" fontId="0" fillId="0" borderId="0" xfId="0" applyAlignment="1">
      <alignment vertical="center"/>
    </xf>
    <xf numFmtId="0" fontId="10" fillId="0" borderId="2" xfId="0" applyFont="1" applyBorder="1"/>
    <xf numFmtId="2" fontId="10" fillId="0" borderId="2" xfId="0" applyNumberFormat="1" applyFont="1" applyBorder="1"/>
    <xf numFmtId="0" fontId="3" fillId="0" borderId="2" xfId="0" applyFont="1" applyBorder="1"/>
    <xf numFmtId="0" fontId="0" fillId="0" borderId="2" xfId="0" applyBorder="1"/>
    <xf numFmtId="1" fontId="8" fillId="0" borderId="2" xfId="0" applyNumberFormat="1" applyFont="1" applyBorder="1" applyAlignment="1">
      <alignment horizontal="right" vertical="center" wrapText="1"/>
    </xf>
    <xf numFmtId="2" fontId="3" fillId="0" borderId="2" xfId="0" applyNumberFormat="1" applyFont="1" applyBorder="1" applyAlignment="1">
      <alignment vertical="center"/>
    </xf>
    <xf numFmtId="0" fontId="10" fillId="0" borderId="0" xfId="0" applyFont="1" applyAlignment="1">
      <alignment vertical="center"/>
    </xf>
    <xf numFmtId="2" fontId="10" fillId="0" borderId="0" xfId="0" applyNumberFormat="1" applyFont="1" applyAlignment="1">
      <alignment vertical="center"/>
    </xf>
    <xf numFmtId="0" fontId="3" fillId="0" borderId="0" xfId="0" applyFont="1" applyAlignment="1">
      <alignment horizontal="right" vertical="center"/>
    </xf>
    <xf numFmtId="164" fontId="3" fillId="0" borderId="0" xfId="1" applyFont="1" applyBorder="1" applyAlignment="1">
      <alignment vertical="center"/>
    </xf>
    <xf numFmtId="0" fontId="3" fillId="0" borderId="0" xfId="0" applyFont="1" applyAlignment="1">
      <alignment vertical="center"/>
    </xf>
    <xf numFmtId="0" fontId="3" fillId="0" borderId="2" xfId="0" applyFont="1" applyBorder="1" applyAlignment="1">
      <alignment horizontal="right" wrapText="1"/>
    </xf>
    <xf numFmtId="165" fontId="10" fillId="0" borderId="2" xfId="0" applyNumberFormat="1" applyFont="1" applyBorder="1"/>
    <xf numFmtId="0" fontId="2" fillId="0" borderId="2" xfId="0" applyFont="1" applyBorder="1" applyAlignment="1">
      <alignment vertical="center"/>
    </xf>
    <xf numFmtId="0" fontId="11" fillId="0" borderId="2" xfId="0" quotePrefix="1" applyFont="1" applyBorder="1" applyAlignment="1">
      <alignment horizontal="right"/>
    </xf>
    <xf numFmtId="0" fontId="11" fillId="0" borderId="2" xfId="0" applyFont="1" applyBorder="1"/>
    <xf numFmtId="2" fontId="11" fillId="0" borderId="2" xfId="0" applyNumberFormat="1" applyFont="1" applyBorder="1"/>
    <xf numFmtId="0" fontId="0" fillId="0" borderId="2" xfId="0" quotePrefix="1" applyBorder="1" applyAlignment="1">
      <alignment horizontal="right"/>
    </xf>
    <xf numFmtId="0" fontId="12" fillId="2" borderId="2" xfId="0" applyFont="1" applyFill="1" applyBorder="1" applyAlignment="1">
      <alignment wrapText="1"/>
    </xf>
    <xf numFmtId="2" fontId="0" fillId="0" borderId="2" xfId="0" applyNumberFormat="1" applyBorder="1"/>
    <xf numFmtId="0" fontId="0" fillId="0" borderId="2" xfId="0" applyBorder="1" applyAlignment="1">
      <alignment vertical="center"/>
    </xf>
    <xf numFmtId="2" fontId="0" fillId="0" borderId="2" xfId="0" applyNumberFormat="1" applyBorder="1" applyAlignment="1">
      <alignment vertical="center"/>
    </xf>
    <xf numFmtId="0" fontId="13" fillId="2" borderId="2" xfId="0" applyFont="1" applyFill="1" applyBorder="1" applyAlignment="1">
      <alignment vertical="center" wrapText="1"/>
    </xf>
    <xf numFmtId="2" fontId="2" fillId="0" borderId="2" xfId="0" applyNumberFormat="1" applyFont="1" applyBorder="1" applyAlignment="1">
      <alignment vertical="center"/>
    </xf>
    <xf numFmtId="0" fontId="10" fillId="0" borderId="2" xfId="0" quotePrefix="1" applyFont="1" applyBorder="1" applyAlignment="1">
      <alignment horizontal="right" vertical="center" wrapText="1"/>
    </xf>
    <xf numFmtId="2" fontId="14" fillId="0" borderId="2" xfId="0" applyNumberFormat="1" applyFont="1" applyBorder="1" applyAlignment="1">
      <alignment vertical="center"/>
    </xf>
    <xf numFmtId="0" fontId="19" fillId="0" borderId="0" xfId="0" applyFont="1" applyAlignment="1">
      <alignment horizontal="center"/>
    </xf>
    <xf numFmtId="164" fontId="19" fillId="0" borderId="0" xfId="1" applyFont="1"/>
    <xf numFmtId="0" fontId="19" fillId="0" borderId="2" xfId="0" applyFont="1" applyBorder="1" applyAlignment="1">
      <alignment horizontal="center"/>
    </xf>
    <xf numFmtId="0" fontId="19" fillId="0" borderId="2" xfId="0" applyFont="1" applyBorder="1" applyAlignment="1">
      <alignment horizontal="center" vertical="top" wrapText="1"/>
    </xf>
    <xf numFmtId="164" fontId="19" fillId="0" borderId="2" xfId="1" applyFont="1" applyBorder="1" applyAlignment="1">
      <alignment horizontal="center"/>
    </xf>
    <xf numFmtId="0" fontId="19" fillId="0" borderId="2" xfId="0" applyFont="1" applyBorder="1" applyAlignment="1">
      <alignment horizontal="center" wrapText="1"/>
    </xf>
    <xf numFmtId="0" fontId="16" fillId="0" borderId="2" xfId="0" applyFont="1" applyBorder="1" applyAlignment="1">
      <alignment vertical="center"/>
    </xf>
    <xf numFmtId="0" fontId="14" fillId="0" borderId="2" xfId="0" applyFont="1" applyBorder="1"/>
    <xf numFmtId="2" fontId="9" fillId="0" borderId="2" xfId="0" applyNumberFormat="1" applyFont="1" applyBorder="1"/>
    <xf numFmtId="0" fontId="14" fillId="0" borderId="0" xfId="0" applyFont="1"/>
    <xf numFmtId="0" fontId="14" fillId="0" borderId="0" xfId="0" applyFont="1" applyAlignment="1">
      <alignment vertical="center"/>
    </xf>
    <xf numFmtId="0" fontId="9" fillId="0" borderId="2" xfId="0" applyFont="1" applyBorder="1"/>
    <xf numFmtId="0" fontId="9" fillId="0" borderId="2" xfId="0" applyFont="1" applyBorder="1" applyAlignment="1">
      <alignment horizontal="right" wrapText="1"/>
    </xf>
    <xf numFmtId="165" fontId="8" fillId="0" borderId="2" xfId="0" applyNumberFormat="1" applyFont="1" applyBorder="1"/>
    <xf numFmtId="2" fontId="8" fillId="0" borderId="2" xfId="0" applyNumberFormat="1" applyFont="1" applyBorder="1"/>
    <xf numFmtId="0" fontId="8" fillId="0" borderId="2" xfId="0" applyFont="1" applyBorder="1"/>
    <xf numFmtId="0" fontId="8" fillId="0" borderId="0" xfId="0" applyFont="1" applyAlignment="1">
      <alignment vertical="center"/>
    </xf>
    <xf numFmtId="0" fontId="14" fillId="0" borderId="2" xfId="0" applyFont="1" applyBorder="1" applyAlignment="1">
      <alignment vertical="center"/>
    </xf>
    <xf numFmtId="2" fontId="8" fillId="0" borderId="0" xfId="0" applyNumberFormat="1" applyFont="1" applyAlignment="1">
      <alignment vertical="center"/>
    </xf>
    <xf numFmtId="0" fontId="9" fillId="0" borderId="0" xfId="0" applyFont="1" applyAlignment="1">
      <alignment horizontal="right" vertical="center"/>
    </xf>
    <xf numFmtId="164" fontId="9" fillId="0" borderId="0" xfId="1" applyFont="1" applyBorder="1" applyAlignment="1">
      <alignment vertical="center"/>
    </xf>
    <xf numFmtId="0" fontId="9" fillId="0" borderId="0" xfId="0" applyFont="1" applyAlignment="1">
      <alignment vertical="center"/>
    </xf>
    <xf numFmtId="2" fontId="24" fillId="0" borderId="2" xfId="1" applyNumberFormat="1" applyFont="1" applyFill="1" applyBorder="1" applyAlignment="1">
      <alignment vertical="center"/>
    </xf>
    <xf numFmtId="0" fontId="22" fillId="0" borderId="0" xfId="2" applyFont="1" applyAlignment="1">
      <alignment horizontal="center" wrapText="1"/>
    </xf>
    <xf numFmtId="2" fontId="25" fillId="0" borderId="2" xfId="1" applyNumberFormat="1" applyFont="1" applyFill="1" applyBorder="1" applyAlignment="1">
      <alignment vertical="center"/>
    </xf>
    <xf numFmtId="2" fontId="24" fillId="0" borderId="2" xfId="0" applyNumberFormat="1" applyFont="1" applyBorder="1" applyAlignment="1">
      <alignment vertical="center"/>
    </xf>
    <xf numFmtId="0" fontId="24" fillId="0" borderId="2" xfId="0" quotePrefix="1" applyFont="1" applyBorder="1" applyAlignment="1">
      <alignment horizontal="right" wrapText="1"/>
    </xf>
    <xf numFmtId="165" fontId="24" fillId="0" borderId="2" xfId="0" applyNumberFormat="1" applyFont="1" applyBorder="1" applyAlignment="1">
      <alignment vertical="center"/>
    </xf>
    <xf numFmtId="2" fontId="25" fillId="0" borderId="2" xfId="0" applyNumberFormat="1" applyFont="1" applyBorder="1" applyAlignment="1">
      <alignment vertical="center"/>
    </xf>
    <xf numFmtId="2" fontId="25" fillId="0" borderId="2" xfId="0" applyNumberFormat="1" applyFont="1" applyBorder="1"/>
    <xf numFmtId="0" fontId="26" fillId="0" borderId="2" xfId="0" applyFont="1" applyBorder="1" applyAlignment="1">
      <alignment vertical="center"/>
    </xf>
    <xf numFmtId="0" fontId="23" fillId="2" borderId="2" xfId="2" applyFont="1" applyFill="1" applyBorder="1" applyAlignment="1">
      <alignment wrapText="1"/>
    </xf>
    <xf numFmtId="1" fontId="25" fillId="0" borderId="2" xfId="0" applyNumberFormat="1" applyFont="1" applyBorder="1" applyAlignment="1">
      <alignment vertical="center"/>
    </xf>
    <xf numFmtId="1" fontId="24" fillId="0" borderId="2" xfId="0" applyNumberFormat="1" applyFont="1" applyBorder="1" applyAlignment="1">
      <alignment vertical="center" wrapText="1"/>
    </xf>
    <xf numFmtId="0" fontId="23" fillId="2" borderId="2" xfId="2" applyFont="1" applyFill="1" applyBorder="1" applyAlignment="1">
      <alignment horizontal="center" wrapText="1"/>
    </xf>
    <xf numFmtId="2" fontId="0" fillId="0" borderId="3" xfId="0" applyNumberFormat="1" applyBorder="1" applyAlignment="1">
      <alignment horizontal="center" vertical="center"/>
    </xf>
    <xf numFmtId="2" fontId="0" fillId="0" borderId="4" xfId="0" applyNumberFormat="1" applyBorder="1" applyAlignment="1">
      <alignment horizontal="center" vertical="center"/>
    </xf>
    <xf numFmtId="0" fontId="3" fillId="0" borderId="0" xfId="0" applyFont="1" applyAlignment="1">
      <alignment horizontal="center" vertical="center"/>
    </xf>
    <xf numFmtId="0" fontId="4" fillId="0" borderId="0" xfId="0" applyFont="1" applyAlignment="1">
      <alignment horizontal="center" vertical="center"/>
    </xf>
    <xf numFmtId="0" fontId="2" fillId="0" borderId="0" xfId="0" applyFont="1" applyAlignment="1">
      <alignment horizontal="center" vertical="center"/>
    </xf>
    <xf numFmtId="0" fontId="5" fillId="0" borderId="0" xfId="0" applyFont="1" applyAlignment="1">
      <alignment horizontal="center"/>
    </xf>
    <xf numFmtId="2" fontId="0" fillId="0" borderId="3" xfId="1" applyNumberFormat="1" applyFont="1" applyBorder="1" applyAlignment="1">
      <alignment horizontal="center" vertical="center"/>
    </xf>
    <xf numFmtId="2" fontId="0" fillId="0" borderId="4" xfId="1" applyNumberFormat="1" applyFont="1" applyBorder="1" applyAlignment="1">
      <alignment horizontal="center" vertical="center"/>
    </xf>
    <xf numFmtId="0" fontId="6" fillId="0" borderId="0" xfId="0" applyFont="1" applyAlignment="1">
      <alignment horizontal="left"/>
    </xf>
    <xf numFmtId="0" fontId="6" fillId="0" borderId="0" xfId="0" applyFont="1" applyAlignment="1">
      <alignment horizontal="right"/>
    </xf>
    <xf numFmtId="0" fontId="6" fillId="0" borderId="1" xfId="0" applyFont="1" applyBorder="1"/>
    <xf numFmtId="0" fontId="6" fillId="0" borderId="1" xfId="0" applyFont="1" applyBorder="1" applyAlignment="1">
      <alignment horizontal="right"/>
    </xf>
    <xf numFmtId="2" fontId="0" fillId="0" borderId="2" xfId="0" applyNumberFormat="1" applyBorder="1" applyAlignment="1">
      <alignment horizontal="center" vertical="center"/>
    </xf>
    <xf numFmtId="0" fontId="18" fillId="0" borderId="0" xfId="0" applyFont="1" applyAlignment="1">
      <alignment horizontal="left"/>
    </xf>
    <xf numFmtId="0" fontId="18" fillId="0" borderId="0" xfId="0" applyFont="1" applyAlignment="1">
      <alignment horizontal="right"/>
    </xf>
    <xf numFmtId="0" fontId="9" fillId="0" borderId="0" xfId="0" applyFont="1" applyAlignment="1">
      <alignment horizontal="center" vertical="center"/>
    </xf>
    <xf numFmtId="0" fontId="15" fillId="0" borderId="0" xfId="0" applyFont="1" applyAlignment="1">
      <alignment horizontal="center" vertical="center"/>
    </xf>
    <xf numFmtId="0" fontId="16" fillId="0" borderId="0" xfId="0" applyFont="1" applyAlignment="1">
      <alignment horizontal="center" vertical="center"/>
    </xf>
    <xf numFmtId="0" fontId="17" fillId="0" borderId="0" xfId="0" applyFont="1" applyAlignment="1">
      <alignment horizontal="center"/>
    </xf>
    <xf numFmtId="2" fontId="14" fillId="0" borderId="3" xfId="0" applyNumberFormat="1" applyFont="1" applyBorder="1" applyAlignment="1">
      <alignment horizontal="center" vertical="center"/>
    </xf>
    <xf numFmtId="2" fontId="14" fillId="0" borderId="4" xfId="0" applyNumberFormat="1" applyFont="1" applyBorder="1" applyAlignment="1">
      <alignment horizontal="center" vertical="center"/>
    </xf>
    <xf numFmtId="0" fontId="18" fillId="0" borderId="1" xfId="0" applyFont="1" applyBorder="1"/>
    <xf numFmtId="0" fontId="18" fillId="0" borderId="1" xfId="0" applyFont="1" applyBorder="1" applyAlignment="1">
      <alignment horizontal="right"/>
    </xf>
    <xf numFmtId="2" fontId="14" fillId="0" borderId="3" xfId="1" applyNumberFormat="1" applyFont="1" applyBorder="1" applyAlignment="1">
      <alignment horizontal="center" vertical="center"/>
    </xf>
    <xf numFmtId="2" fontId="14" fillId="0" borderId="4" xfId="1" applyNumberFormat="1" applyFont="1" applyBorder="1" applyAlignment="1">
      <alignment horizontal="center" vertical="center"/>
    </xf>
    <xf numFmtId="2" fontId="14" fillId="0" borderId="2" xfId="0" applyNumberFormat="1" applyFont="1" applyBorder="1" applyAlignment="1">
      <alignment horizontal="center" vertical="center"/>
    </xf>
    <xf numFmtId="0" fontId="14" fillId="0" borderId="2" xfId="0" applyFont="1" applyBorder="1" applyAlignment="1">
      <alignment wrapText="1"/>
    </xf>
    <xf numFmtId="0" fontId="14" fillId="0" borderId="2" xfId="0" applyFont="1" applyBorder="1" applyAlignment="1">
      <alignment vertical="center" wrapText="1"/>
    </xf>
    <xf numFmtId="0" fontId="23" fillId="2" borderId="2" xfId="2" applyFont="1" applyFill="1" applyBorder="1" applyAlignment="1">
      <alignment vertical="center" wrapText="1"/>
    </xf>
    <xf numFmtId="0" fontId="11" fillId="0" borderId="2" xfId="0" applyFont="1" applyBorder="1" applyAlignment="1">
      <alignment vertical="center"/>
    </xf>
    <xf numFmtId="0" fontId="11" fillId="0" borderId="2" xfId="0" quotePrefix="1" applyFont="1" applyBorder="1" applyAlignment="1">
      <alignment horizontal="right" wrapText="1"/>
    </xf>
    <xf numFmtId="0" fontId="13" fillId="2" borderId="2" xfId="0" applyFont="1" applyFill="1" applyBorder="1" applyAlignment="1">
      <alignment wrapText="1"/>
    </xf>
  </cellXfs>
  <cellStyles count="6">
    <cellStyle name="Comma" xfId="1" builtinId="3"/>
    <cellStyle name="Comma 2" xfId="3"/>
    <cellStyle name="Normal" xfId="0" builtinId="0"/>
    <cellStyle name="Normal 2" xfId="2"/>
    <cellStyle name="Normal 3" xfId="5"/>
    <cellStyle name="Percent 2" xfId="4"/>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2.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6"/>
  <sheetViews>
    <sheetView topLeftCell="A57" zoomScale="90" zoomScaleNormal="90" workbookViewId="0">
      <selection activeCell="B64" sqref="B64"/>
    </sheetView>
  </sheetViews>
  <sheetFormatPr defaultRowHeight="14.4" x14ac:dyDescent="0.3"/>
  <cols>
    <col min="1" max="1" width="4.6640625" customWidth="1"/>
    <col min="2" max="2" width="30.88671875" customWidth="1"/>
    <col min="3" max="3" width="4.44140625" bestFit="1" customWidth="1"/>
    <col min="4" max="4" width="8.44140625" customWidth="1"/>
    <col min="5" max="5" width="8.5546875" customWidth="1"/>
    <col min="6" max="6" width="7.33203125" customWidth="1"/>
    <col min="8" max="8" width="5" bestFit="1" customWidth="1"/>
    <col min="9" max="9" width="9.5546875" bestFit="1" customWidth="1"/>
    <col min="10" max="10" width="11.88671875" bestFit="1" customWidth="1"/>
  </cols>
  <sheetData>
    <row r="1" spans="1:11" x14ac:dyDescent="0.3">
      <c r="A1" s="80" t="s">
        <v>0</v>
      </c>
      <c r="B1" s="80"/>
      <c r="C1" s="80"/>
      <c r="D1" s="80"/>
      <c r="E1" s="80"/>
      <c r="F1" s="80"/>
      <c r="G1" s="80"/>
      <c r="H1" s="80"/>
      <c r="I1" s="80"/>
      <c r="J1" s="80"/>
      <c r="K1" s="80"/>
    </row>
    <row r="2" spans="1:11" ht="22.8" x14ac:dyDescent="0.3">
      <c r="A2" s="81" t="s">
        <v>1</v>
      </c>
      <c r="B2" s="81"/>
      <c r="C2" s="81"/>
      <c r="D2" s="81"/>
      <c r="E2" s="81"/>
      <c r="F2" s="81"/>
      <c r="G2" s="81"/>
      <c r="H2" s="81"/>
      <c r="I2" s="81"/>
      <c r="J2" s="81"/>
      <c r="K2" s="81"/>
    </row>
    <row r="3" spans="1:11" x14ac:dyDescent="0.3">
      <c r="A3" s="82" t="s">
        <v>2</v>
      </c>
      <c r="B3" s="82"/>
      <c r="C3" s="82"/>
      <c r="D3" s="82"/>
      <c r="E3" s="82"/>
      <c r="F3" s="82"/>
      <c r="G3" s="82"/>
      <c r="H3" s="82"/>
      <c r="I3" s="82"/>
      <c r="J3" s="82"/>
      <c r="K3" s="82"/>
    </row>
    <row r="4" spans="1:11" x14ac:dyDescent="0.3">
      <c r="A4" s="82" t="s">
        <v>3</v>
      </c>
      <c r="B4" s="82"/>
      <c r="C4" s="82"/>
      <c r="D4" s="82"/>
      <c r="E4" s="82"/>
      <c r="F4" s="82"/>
      <c r="G4" s="82"/>
      <c r="H4" s="82"/>
      <c r="I4" s="82"/>
      <c r="J4" s="82"/>
      <c r="K4" s="82"/>
    </row>
    <row r="5" spans="1:11" ht="17.399999999999999" x14ac:dyDescent="0.3">
      <c r="A5" s="83" t="s">
        <v>4</v>
      </c>
      <c r="B5" s="83"/>
      <c r="C5" s="83"/>
      <c r="D5" s="83"/>
      <c r="E5" s="83"/>
      <c r="F5" s="83"/>
      <c r="G5" s="83"/>
      <c r="H5" s="83"/>
      <c r="I5" s="83"/>
      <c r="J5" s="83"/>
      <c r="K5" s="83"/>
    </row>
    <row r="6" spans="1:11" ht="15.6" x14ac:dyDescent="0.3">
      <c r="A6" s="86" t="s">
        <v>42</v>
      </c>
      <c r="B6" s="86"/>
      <c r="C6" s="86"/>
      <c r="D6" s="86"/>
      <c r="E6" s="86"/>
      <c r="F6" s="86"/>
      <c r="G6" s="1"/>
      <c r="H6" s="87" t="s">
        <v>43</v>
      </c>
      <c r="I6" s="87"/>
      <c r="J6" s="87"/>
      <c r="K6" s="87"/>
    </row>
    <row r="7" spans="1:11" ht="15.6" x14ac:dyDescent="0.3">
      <c r="A7" s="88" t="s">
        <v>5</v>
      </c>
      <c r="B7" s="88"/>
      <c r="C7" s="88"/>
      <c r="D7" s="88"/>
      <c r="E7" s="88"/>
      <c r="F7" s="88"/>
      <c r="G7" s="2"/>
      <c r="H7" s="89" t="s">
        <v>24</v>
      </c>
      <c r="I7" s="89"/>
      <c r="J7" s="89"/>
      <c r="K7" s="89"/>
    </row>
    <row r="8" spans="1:11" ht="15.6" x14ac:dyDescent="0.3">
      <c r="A8" s="3" t="s">
        <v>6</v>
      </c>
      <c r="B8" s="4" t="s">
        <v>7</v>
      </c>
      <c r="C8" s="3" t="s">
        <v>8</v>
      </c>
      <c r="D8" s="5" t="s">
        <v>9</v>
      </c>
      <c r="E8" s="5" t="s">
        <v>10</v>
      </c>
      <c r="F8" s="5" t="s">
        <v>11</v>
      </c>
      <c r="G8" s="5" t="s">
        <v>12</v>
      </c>
      <c r="H8" s="3" t="s">
        <v>13</v>
      </c>
      <c r="I8" s="5" t="s">
        <v>14</v>
      </c>
      <c r="J8" s="5" t="s">
        <v>15</v>
      </c>
      <c r="K8" s="6" t="s">
        <v>16</v>
      </c>
    </row>
    <row r="9" spans="1:11" ht="124.2" x14ac:dyDescent="0.3">
      <c r="A9" s="30">
        <v>1</v>
      </c>
      <c r="B9" s="7" t="s">
        <v>17</v>
      </c>
      <c r="C9" s="20"/>
      <c r="D9" s="20"/>
      <c r="E9" s="20"/>
      <c r="F9" s="20"/>
      <c r="G9" s="20"/>
      <c r="H9" s="20"/>
      <c r="I9" s="20"/>
      <c r="J9" s="20"/>
      <c r="K9" s="20"/>
    </row>
    <row r="10" spans="1:11" x14ac:dyDescent="0.3">
      <c r="A10" s="30"/>
      <c r="B10" s="31" t="s">
        <v>25</v>
      </c>
      <c r="C10" s="32">
        <v>1</v>
      </c>
      <c r="D10" s="33">
        <f>65-D11*C11</f>
        <v>57.65</v>
      </c>
      <c r="E10" s="33">
        <v>0.3</v>
      </c>
      <c r="F10" s="33">
        <v>0.75</v>
      </c>
      <c r="G10" s="33">
        <f>PRODUCT(C10:F10)</f>
        <v>12.971249999999998</v>
      </c>
      <c r="H10" s="20"/>
      <c r="I10" s="20"/>
      <c r="J10" s="20"/>
      <c r="K10" s="20"/>
    </row>
    <row r="11" spans="1:11" x14ac:dyDescent="0.3">
      <c r="A11" s="30"/>
      <c r="B11" s="31"/>
      <c r="C11" s="32">
        <v>21</v>
      </c>
      <c r="D11" s="33">
        <v>0.35</v>
      </c>
      <c r="E11" s="33">
        <v>0.35</v>
      </c>
      <c r="F11" s="33">
        <v>1.75</v>
      </c>
      <c r="G11" s="33">
        <f>PRODUCT(C11:F11)</f>
        <v>4.5018750000000001</v>
      </c>
      <c r="H11" s="20"/>
      <c r="I11" s="20"/>
      <c r="J11" s="20"/>
      <c r="K11" s="20"/>
    </row>
    <row r="12" spans="1:11" x14ac:dyDescent="0.3">
      <c r="A12" s="30"/>
      <c r="B12" s="31" t="s">
        <v>26</v>
      </c>
      <c r="C12" s="32">
        <v>1</v>
      </c>
      <c r="D12" s="33">
        <v>58</v>
      </c>
      <c r="E12" s="33">
        <f>1.5/2</f>
        <v>0.75</v>
      </c>
      <c r="F12" s="33">
        <v>1.2</v>
      </c>
      <c r="G12" s="33">
        <f>PRODUCT(C12:F12)</f>
        <v>52.199999999999996</v>
      </c>
      <c r="H12" s="20"/>
      <c r="I12" s="20"/>
      <c r="J12" s="20"/>
      <c r="K12" s="20"/>
    </row>
    <row r="13" spans="1:11" ht="15" customHeight="1" x14ac:dyDescent="0.3">
      <c r="A13" s="8"/>
      <c r="B13" s="9" t="s">
        <v>18</v>
      </c>
      <c r="C13" s="10"/>
      <c r="D13" s="11"/>
      <c r="E13" s="12"/>
      <c r="F13" s="12"/>
      <c r="G13" s="13">
        <f>SUM(G10:G12)</f>
        <v>69.673124999999999</v>
      </c>
      <c r="H13" s="14" t="s">
        <v>19</v>
      </c>
      <c r="I13" s="13">
        <v>62.95</v>
      </c>
      <c r="J13" s="15">
        <f>G13*I13</f>
        <v>4385.9232187500002</v>
      </c>
      <c r="K13" s="12"/>
    </row>
    <row r="14" spans="1:11" x14ac:dyDescent="0.3">
      <c r="A14" s="30"/>
      <c r="B14" s="34" t="s">
        <v>27</v>
      </c>
      <c r="C14" s="20"/>
      <c r="D14" s="20"/>
      <c r="E14" s="20"/>
      <c r="F14" s="20"/>
      <c r="G14" s="20"/>
      <c r="H14" s="20"/>
      <c r="I14" s="20"/>
      <c r="J14" s="15">
        <f>0.13*G13*18612/360</f>
        <v>468.27307312499994</v>
      </c>
      <c r="K14" s="20"/>
    </row>
    <row r="15" spans="1:11" x14ac:dyDescent="0.3">
      <c r="A15" s="30"/>
      <c r="B15" s="20"/>
      <c r="C15" s="20"/>
      <c r="D15" s="20"/>
      <c r="E15" s="20"/>
      <c r="F15" s="20"/>
      <c r="G15" s="20"/>
      <c r="H15" s="20"/>
      <c r="I15" s="20"/>
      <c r="J15" s="20"/>
      <c r="K15" s="20"/>
    </row>
    <row r="16" spans="1:11" ht="82.8" x14ac:dyDescent="0.3">
      <c r="A16" s="30">
        <v>2</v>
      </c>
      <c r="B16" s="7" t="s">
        <v>28</v>
      </c>
      <c r="C16" s="20"/>
      <c r="D16" s="20"/>
      <c r="E16" s="20"/>
      <c r="F16" s="20"/>
      <c r="G16" s="20"/>
      <c r="H16" s="20"/>
      <c r="I16" s="20"/>
      <c r="J16" s="20"/>
      <c r="K16" s="20"/>
    </row>
    <row r="17" spans="1:11" x14ac:dyDescent="0.3">
      <c r="A17" s="30"/>
      <c r="B17" s="31" t="str">
        <f>B12</f>
        <v>-for  stone masonary</v>
      </c>
      <c r="C17" s="32">
        <v>1</v>
      </c>
      <c r="D17" s="33">
        <f>D12</f>
        <v>58</v>
      </c>
      <c r="E17" s="33">
        <f>1.5/2</f>
        <v>0.75</v>
      </c>
      <c r="F17" s="33">
        <v>0.15</v>
      </c>
      <c r="G17" s="33">
        <f>PRODUCT(C17:F17)</f>
        <v>6.5249999999999995</v>
      </c>
      <c r="H17" s="20"/>
      <c r="I17" s="20"/>
      <c r="J17" s="20"/>
      <c r="K17" s="20"/>
    </row>
    <row r="18" spans="1:11" ht="15" customHeight="1" x14ac:dyDescent="0.3">
      <c r="A18" s="8"/>
      <c r="B18" s="9" t="s">
        <v>18</v>
      </c>
      <c r="C18" s="10"/>
      <c r="D18" s="11"/>
      <c r="E18" s="12"/>
      <c r="F18" s="12"/>
      <c r="G18" s="13">
        <f>SUM(G17:G17)</f>
        <v>6.5249999999999995</v>
      </c>
      <c r="H18" s="14" t="s">
        <v>19</v>
      </c>
      <c r="I18" s="13">
        <v>4585.53</v>
      </c>
      <c r="J18" s="15">
        <f>G18*I18</f>
        <v>29920.583249999996</v>
      </c>
      <c r="K18" s="12"/>
    </row>
    <row r="19" spans="1:11" x14ac:dyDescent="0.3">
      <c r="A19" s="30"/>
      <c r="B19" s="34" t="s">
        <v>27</v>
      </c>
      <c r="C19" s="20"/>
      <c r="D19" s="20"/>
      <c r="E19" s="20"/>
      <c r="F19" s="20"/>
      <c r="G19" s="20"/>
      <c r="H19" s="20"/>
      <c r="I19" s="20"/>
      <c r="J19" s="15">
        <f>0.13*G18*15452.64/5</f>
        <v>2621.5403759999999</v>
      </c>
      <c r="K19" s="20"/>
    </row>
    <row r="20" spans="1:11" x14ac:dyDescent="0.3">
      <c r="A20" s="30"/>
      <c r="B20" s="20"/>
      <c r="C20" s="20"/>
      <c r="D20" s="20"/>
      <c r="E20" s="20"/>
      <c r="F20" s="20"/>
      <c r="G20" s="20"/>
      <c r="H20" s="20"/>
      <c r="I20" s="20"/>
      <c r="J20" s="20"/>
      <c r="K20" s="20"/>
    </row>
    <row r="21" spans="1:11" ht="16.8" x14ac:dyDescent="0.3">
      <c r="A21" s="30">
        <v>3</v>
      </c>
      <c r="B21" s="35" t="s">
        <v>29</v>
      </c>
      <c r="C21" s="20"/>
      <c r="D21" s="20"/>
      <c r="E21" s="20"/>
      <c r="F21" s="20"/>
      <c r="G21" s="20"/>
      <c r="H21" s="20"/>
      <c r="I21" s="20"/>
      <c r="J21" s="20"/>
      <c r="K21" s="20"/>
    </row>
    <row r="22" spans="1:11" x14ac:dyDescent="0.3">
      <c r="A22" s="30"/>
      <c r="B22" s="31" t="str">
        <f>B10</f>
        <v>-for brick wall</v>
      </c>
      <c r="C22" s="32">
        <v>1</v>
      </c>
      <c r="D22" s="33">
        <f>D10</f>
        <v>57.65</v>
      </c>
      <c r="E22" s="33">
        <v>0.23</v>
      </c>
      <c r="F22" s="33"/>
      <c r="G22" s="33">
        <f>PRODUCT(C22:F22)</f>
        <v>13.259500000000001</v>
      </c>
      <c r="H22" s="20"/>
      <c r="I22" s="20"/>
      <c r="J22" s="20"/>
      <c r="K22" s="20"/>
    </row>
    <row r="23" spans="1:11" x14ac:dyDescent="0.3">
      <c r="A23" s="30"/>
      <c r="B23" s="31"/>
      <c r="C23" s="32">
        <f>C11</f>
        <v>21</v>
      </c>
      <c r="D23" s="33">
        <f>D11</f>
        <v>0.35</v>
      </c>
      <c r="E23" s="33">
        <f>E11</f>
        <v>0.35</v>
      </c>
      <c r="F23" s="33"/>
      <c r="G23" s="33">
        <f>PRODUCT(C23:F23)</f>
        <v>2.5724999999999998</v>
      </c>
      <c r="H23" s="20"/>
      <c r="I23" s="20"/>
      <c r="J23" s="20"/>
      <c r="K23" s="20"/>
    </row>
    <row r="24" spans="1:11" ht="15" customHeight="1" x14ac:dyDescent="0.3">
      <c r="A24" s="8"/>
      <c r="B24" s="9" t="s">
        <v>18</v>
      </c>
      <c r="C24" s="10"/>
      <c r="D24" s="11"/>
      <c r="E24" s="12"/>
      <c r="F24" s="12"/>
      <c r="G24" s="13">
        <f>SUM(G22:G23)</f>
        <v>15.832000000000001</v>
      </c>
      <c r="H24" s="14" t="s">
        <v>19</v>
      </c>
      <c r="I24" s="13">
        <v>1017.47</v>
      </c>
      <c r="J24" s="15">
        <f>G24*I24</f>
        <v>16108.585040000002</v>
      </c>
      <c r="K24" s="12"/>
    </row>
    <row r="25" spans="1:11" x14ac:dyDescent="0.3">
      <c r="A25" s="30"/>
      <c r="B25" s="34" t="s">
        <v>27</v>
      </c>
      <c r="C25" s="20"/>
      <c r="D25" s="20"/>
      <c r="E25" s="20"/>
      <c r="F25" s="20"/>
      <c r="G25" s="20"/>
      <c r="H25" s="20"/>
      <c r="I25" s="20"/>
      <c r="J25" s="15">
        <f>0.13*G24*8617.2/10</f>
        <v>1773.5576352</v>
      </c>
      <c r="K25" s="20"/>
    </row>
    <row r="26" spans="1:11" x14ac:dyDescent="0.3">
      <c r="A26" s="30"/>
      <c r="B26" s="20"/>
      <c r="C26" s="20"/>
      <c r="D26" s="20"/>
      <c r="E26" s="20"/>
      <c r="F26" s="20"/>
      <c r="G26" s="20"/>
      <c r="H26" s="20"/>
      <c r="I26" s="20"/>
      <c r="J26" s="20"/>
      <c r="K26" s="20"/>
    </row>
    <row r="27" spans="1:11" ht="69" x14ac:dyDescent="0.3">
      <c r="A27" s="30">
        <v>4</v>
      </c>
      <c r="B27" s="7" t="s">
        <v>31</v>
      </c>
      <c r="C27" s="20"/>
      <c r="D27" s="20"/>
      <c r="E27" s="20"/>
      <c r="F27" s="20"/>
      <c r="G27" s="20"/>
      <c r="H27" s="20"/>
      <c r="I27" s="20"/>
      <c r="J27" s="20"/>
      <c r="K27" s="20"/>
    </row>
    <row r="28" spans="1:11" x14ac:dyDescent="0.3">
      <c r="A28" s="30"/>
      <c r="B28" s="31" t="str">
        <f>B10</f>
        <v>-for brick wall</v>
      </c>
      <c r="C28" s="20">
        <v>1</v>
      </c>
      <c r="D28" s="36">
        <f>D10</f>
        <v>57.65</v>
      </c>
      <c r="E28" s="20">
        <v>0.23</v>
      </c>
      <c r="F28" s="33">
        <v>7.4999999999999997E-2</v>
      </c>
      <c r="G28" s="33">
        <f t="shared" ref="G28:G33" si="0">PRODUCT(C28:F28)</f>
        <v>0.99446250000000003</v>
      </c>
      <c r="H28" s="20"/>
      <c r="I28" s="20"/>
      <c r="J28" s="20"/>
      <c r="K28" s="20"/>
    </row>
    <row r="29" spans="1:11" x14ac:dyDescent="0.3">
      <c r="A29" s="30"/>
      <c r="B29" s="31"/>
      <c r="C29" s="20">
        <v>2</v>
      </c>
      <c r="D29" s="36">
        <f>D10</f>
        <v>57.65</v>
      </c>
      <c r="E29" s="20">
        <v>0.23</v>
      </c>
      <c r="F29" s="33">
        <v>7.4999999999999997E-2</v>
      </c>
      <c r="G29" s="33">
        <f t="shared" si="0"/>
        <v>1.9889250000000001</v>
      </c>
      <c r="H29" s="20"/>
      <c r="I29" s="20"/>
      <c r="J29" s="20"/>
      <c r="K29" s="20"/>
    </row>
    <row r="30" spans="1:11" x14ac:dyDescent="0.3">
      <c r="A30" s="30"/>
      <c r="B30" s="31"/>
      <c r="C30" s="20">
        <f>C11</f>
        <v>21</v>
      </c>
      <c r="D30" s="36">
        <f>D11</f>
        <v>0.35</v>
      </c>
      <c r="E30" s="36">
        <f>E11</f>
        <v>0.35</v>
      </c>
      <c r="F30" s="36">
        <v>0.05</v>
      </c>
      <c r="G30" s="33">
        <f t="shared" si="0"/>
        <v>0.12862499999999999</v>
      </c>
      <c r="H30" s="20"/>
      <c r="I30" s="20"/>
      <c r="J30" s="20"/>
      <c r="K30" s="20"/>
    </row>
    <row r="31" spans="1:11" x14ac:dyDescent="0.3">
      <c r="A31" s="30"/>
      <c r="B31" s="31"/>
      <c r="C31" s="20">
        <f>21*2</f>
        <v>42</v>
      </c>
      <c r="D31" s="36">
        <v>0.35</v>
      </c>
      <c r="E31" s="36">
        <v>0.35</v>
      </c>
      <c r="F31" s="36">
        <v>7.4999999999999997E-2</v>
      </c>
      <c r="G31" s="33">
        <f t="shared" si="0"/>
        <v>0.38587499999999997</v>
      </c>
      <c r="H31" s="20"/>
      <c r="I31" s="20"/>
      <c r="J31" s="20"/>
      <c r="K31" s="20"/>
    </row>
    <row r="32" spans="1:11" x14ac:dyDescent="0.3">
      <c r="A32" s="30"/>
      <c r="B32" s="31" t="str">
        <f>B12</f>
        <v>-for  stone masonary</v>
      </c>
      <c r="C32" s="32">
        <v>1</v>
      </c>
      <c r="D32" s="33">
        <f>D12</f>
        <v>58</v>
      </c>
      <c r="E32" s="33">
        <f>F53/2</f>
        <v>0.75</v>
      </c>
      <c r="F32" s="33">
        <v>7.4999999999999997E-2</v>
      </c>
      <c r="G32" s="33">
        <f t="shared" si="0"/>
        <v>3.2624999999999997</v>
      </c>
      <c r="H32" s="20"/>
      <c r="I32" s="20"/>
      <c r="J32" s="20"/>
      <c r="K32" s="20"/>
    </row>
    <row r="33" spans="1:11" x14ac:dyDescent="0.3">
      <c r="A33" s="30"/>
      <c r="B33" s="31"/>
      <c r="C33" s="32">
        <v>1</v>
      </c>
      <c r="D33" s="33">
        <f>D32</f>
        <v>58</v>
      </c>
      <c r="E33" s="33">
        <v>0.45</v>
      </c>
      <c r="F33" s="33">
        <v>0.05</v>
      </c>
      <c r="G33" s="33">
        <f t="shared" si="0"/>
        <v>1.3050000000000002</v>
      </c>
      <c r="H33" s="20"/>
      <c r="I33" s="20"/>
      <c r="J33" s="20"/>
      <c r="K33" s="20"/>
    </row>
    <row r="34" spans="1:11" ht="15" customHeight="1" x14ac:dyDescent="0.3">
      <c r="A34" s="8"/>
      <c r="B34" s="9" t="s">
        <v>18</v>
      </c>
      <c r="C34" s="10"/>
      <c r="D34" s="11"/>
      <c r="E34" s="12"/>
      <c r="F34" s="12"/>
      <c r="G34" s="13">
        <f>SUM(G28:G33)</f>
        <v>8.0653874999999999</v>
      </c>
      <c r="H34" s="14" t="s">
        <v>19</v>
      </c>
      <c r="I34" s="13">
        <v>10964.46</v>
      </c>
      <c r="J34" s="15">
        <f>G34*I34</f>
        <v>88432.618628249998</v>
      </c>
      <c r="K34" s="12"/>
    </row>
    <row r="35" spans="1:11" x14ac:dyDescent="0.3">
      <c r="A35" s="30"/>
      <c r="B35" s="34" t="s">
        <v>27</v>
      </c>
      <c r="C35" s="20"/>
      <c r="D35" s="20"/>
      <c r="E35" s="20"/>
      <c r="F35" s="20"/>
      <c r="G35" s="20"/>
      <c r="H35" s="20"/>
      <c r="I35" s="20"/>
      <c r="J35" s="15">
        <f>0.13*G34*(119450.3+6325.7)/15</f>
        <v>8791.7455444000007</v>
      </c>
      <c r="K35" s="20"/>
    </row>
    <row r="36" spans="1:11" x14ac:dyDescent="0.3">
      <c r="A36" s="30"/>
      <c r="B36" s="20"/>
      <c r="C36" s="20"/>
      <c r="D36" s="20"/>
      <c r="E36" s="20"/>
      <c r="F36" s="20"/>
      <c r="G36" s="20"/>
      <c r="H36" s="20"/>
      <c r="I36" s="20"/>
      <c r="J36" s="20"/>
      <c r="K36" s="20"/>
    </row>
    <row r="37" spans="1:11" ht="33" x14ac:dyDescent="0.3">
      <c r="A37" s="30">
        <v>5</v>
      </c>
      <c r="B37" s="35" t="s">
        <v>30</v>
      </c>
      <c r="C37" s="20"/>
      <c r="D37" s="20"/>
      <c r="E37" s="20"/>
      <c r="F37" s="20"/>
      <c r="G37" s="20"/>
      <c r="H37" s="20"/>
      <c r="I37" s="20"/>
      <c r="J37" s="20"/>
      <c r="K37" s="20"/>
    </row>
    <row r="38" spans="1:11" x14ac:dyDescent="0.3">
      <c r="A38" s="30"/>
      <c r="B38" s="31" t="str">
        <f>B10</f>
        <v>-for brick wall</v>
      </c>
      <c r="C38" s="32">
        <v>1</v>
      </c>
      <c r="D38" s="33">
        <f>D10</f>
        <v>57.65</v>
      </c>
      <c r="E38" s="33">
        <v>0.23</v>
      </c>
      <c r="F38" s="33">
        <f>0.9+0.6-0.075*2</f>
        <v>1.35</v>
      </c>
      <c r="G38" s="33">
        <f>PRODUCT(C38:F38)</f>
        <v>17.900325000000002</v>
      </c>
      <c r="H38" s="20"/>
      <c r="I38" s="20"/>
      <c r="J38" s="20"/>
      <c r="K38" s="20"/>
    </row>
    <row r="39" spans="1:11" ht="15" customHeight="1" x14ac:dyDescent="0.3">
      <c r="A39" s="8"/>
      <c r="B39" s="9" t="s">
        <v>18</v>
      </c>
      <c r="C39" s="10"/>
      <c r="D39" s="11"/>
      <c r="E39" s="12"/>
      <c r="F39" s="12"/>
      <c r="G39" s="13">
        <f>SUM(G38:G38)</f>
        <v>17.900325000000002</v>
      </c>
      <c r="H39" s="14" t="s">
        <v>19</v>
      </c>
      <c r="I39" s="13">
        <v>14491.84</v>
      </c>
      <c r="J39" s="15">
        <f>G39*I39</f>
        <v>259408.64584800004</v>
      </c>
      <c r="K39" s="12"/>
    </row>
    <row r="40" spans="1:11" x14ac:dyDescent="0.3">
      <c r="A40" s="30"/>
      <c r="B40" s="34" t="s">
        <v>27</v>
      </c>
      <c r="C40" s="20"/>
      <c r="D40" s="20"/>
      <c r="E40" s="20"/>
      <c r="F40" s="20"/>
      <c r="G40" s="20"/>
      <c r="H40" s="20"/>
      <c r="I40" s="20"/>
      <c r="J40" s="15">
        <f>0.13*G39*10374.74</f>
        <v>24142.458312765004</v>
      </c>
      <c r="K40" s="20"/>
    </row>
    <row r="41" spans="1:11" x14ac:dyDescent="0.3">
      <c r="A41" s="30"/>
      <c r="B41" s="34"/>
      <c r="C41" s="20"/>
      <c r="D41" s="20"/>
      <c r="E41" s="20"/>
      <c r="F41" s="20"/>
      <c r="G41" s="20"/>
      <c r="H41" s="20"/>
      <c r="I41" s="20"/>
      <c r="J41" s="15"/>
      <c r="K41" s="20"/>
    </row>
    <row r="42" spans="1:11" s="16" customFormat="1" ht="32.4" x14ac:dyDescent="0.25">
      <c r="A42" s="8">
        <v>6</v>
      </c>
      <c r="B42" s="35" t="s">
        <v>37</v>
      </c>
      <c r="C42" s="10"/>
      <c r="D42" s="11"/>
      <c r="E42" s="12"/>
      <c r="F42" s="12"/>
      <c r="G42" s="40"/>
      <c r="H42" s="14"/>
      <c r="I42" s="13"/>
      <c r="J42" s="40"/>
      <c r="K42" s="12"/>
    </row>
    <row r="43" spans="1:11" s="16" customFormat="1" x14ac:dyDescent="0.3">
      <c r="A43" s="8"/>
      <c r="B43" s="41" t="str">
        <f>B28</f>
        <v>-for brick wall</v>
      </c>
      <c r="C43" s="10">
        <v>2</v>
      </c>
      <c r="D43" s="11">
        <f>D38+C11*D11</f>
        <v>65</v>
      </c>
      <c r="E43" s="12"/>
      <c r="F43" s="12">
        <v>0.9</v>
      </c>
      <c r="G43" s="42">
        <f t="shared" ref="G43" si="1">PRODUCT(C43:F43)</f>
        <v>117</v>
      </c>
      <c r="H43" s="14"/>
      <c r="I43" s="13"/>
      <c r="J43" s="40"/>
      <c r="K43" s="12"/>
    </row>
    <row r="44" spans="1:11" s="16" customFormat="1" x14ac:dyDescent="0.3">
      <c r="A44" s="8"/>
      <c r="B44" s="41" t="s">
        <v>38</v>
      </c>
      <c r="C44" s="10"/>
      <c r="D44" s="11"/>
      <c r="E44" s="12"/>
      <c r="F44" s="12"/>
      <c r="G44" s="40">
        <f>SUM(G41:G43)</f>
        <v>117</v>
      </c>
      <c r="H44" s="14" t="s">
        <v>39</v>
      </c>
      <c r="I44" s="13">
        <v>415.5</v>
      </c>
      <c r="J44" s="40">
        <f>G44*I44</f>
        <v>48613.5</v>
      </c>
      <c r="K44" s="12"/>
    </row>
    <row r="45" spans="1:11" s="16" customFormat="1" x14ac:dyDescent="0.3">
      <c r="A45" s="8"/>
      <c r="B45" s="41" t="s">
        <v>40</v>
      </c>
      <c r="C45" s="10"/>
      <c r="D45" s="11"/>
      <c r="E45" s="12"/>
      <c r="F45" s="12"/>
      <c r="G45" s="40"/>
      <c r="H45" s="14"/>
      <c r="I45" s="13"/>
      <c r="J45" s="40">
        <f>0.13*G44*11650.4/100</f>
        <v>1772.02584</v>
      </c>
      <c r="K45" s="12"/>
    </row>
    <row r="46" spans="1:11" s="16" customFormat="1" ht="15" x14ac:dyDescent="0.3">
      <c r="A46" s="8"/>
      <c r="B46" s="39"/>
      <c r="C46" s="10"/>
      <c r="D46" s="11"/>
      <c r="E46" s="12"/>
      <c r="F46" s="12"/>
      <c r="G46" s="40"/>
      <c r="H46" s="14"/>
      <c r="I46" s="13"/>
      <c r="J46" s="40"/>
      <c r="K46" s="12"/>
    </row>
    <row r="47" spans="1:11" s="16" customFormat="1" ht="32.4" x14ac:dyDescent="0.25">
      <c r="A47" s="8">
        <v>7</v>
      </c>
      <c r="B47" s="35" t="s">
        <v>41</v>
      </c>
      <c r="C47" s="10"/>
      <c r="D47" s="11"/>
      <c r="E47" s="12"/>
      <c r="F47" s="12"/>
      <c r="G47" s="40"/>
      <c r="H47" s="14"/>
      <c r="I47" s="13"/>
      <c r="J47" s="40"/>
      <c r="K47" s="12"/>
    </row>
    <row r="48" spans="1:11" s="16" customFormat="1" x14ac:dyDescent="0.3">
      <c r="A48" s="8"/>
      <c r="B48" s="41" t="str">
        <f>B43</f>
        <v>-for brick wall</v>
      </c>
      <c r="C48" s="10">
        <v>2</v>
      </c>
      <c r="D48" s="11">
        <f>D43+C16*D16</f>
        <v>65</v>
      </c>
      <c r="E48" s="12"/>
      <c r="F48" s="12">
        <v>0.9</v>
      </c>
      <c r="G48" s="42">
        <f t="shared" ref="G48" si="2">PRODUCT(C48:F48)</f>
        <v>117</v>
      </c>
      <c r="H48" s="14"/>
      <c r="I48" s="13"/>
      <c r="J48" s="40"/>
      <c r="K48" s="12"/>
    </row>
    <row r="49" spans="1:11" s="16" customFormat="1" x14ac:dyDescent="0.3">
      <c r="A49" s="8"/>
      <c r="B49" s="41" t="s">
        <v>38</v>
      </c>
      <c r="C49" s="10"/>
      <c r="D49" s="11"/>
      <c r="E49" s="12"/>
      <c r="F49" s="12"/>
      <c r="G49" s="40">
        <f>SUM(G46:G48)</f>
        <v>117</v>
      </c>
      <c r="H49" s="14" t="s">
        <v>39</v>
      </c>
      <c r="I49" s="13">
        <v>253.8</v>
      </c>
      <c r="J49" s="40">
        <f>G49*I49</f>
        <v>29694.600000000002</v>
      </c>
      <c r="K49" s="12"/>
    </row>
    <row r="50" spans="1:11" s="16" customFormat="1" x14ac:dyDescent="0.3">
      <c r="A50" s="8"/>
      <c r="B50" s="41" t="s">
        <v>40</v>
      </c>
      <c r="C50" s="10"/>
      <c r="D50" s="11"/>
      <c r="E50" s="12"/>
      <c r="F50" s="12"/>
      <c r="G50" s="40"/>
      <c r="H50" s="14"/>
      <c r="I50" s="13"/>
      <c r="J50" s="40">
        <f>0.13*G49*12736/100</f>
        <v>1937.1456000000001</v>
      </c>
      <c r="K50" s="12"/>
    </row>
    <row r="51" spans="1:11" s="16" customFormat="1" ht="15" x14ac:dyDescent="0.3">
      <c r="A51" s="8"/>
      <c r="B51" s="39"/>
      <c r="C51" s="10"/>
      <c r="D51" s="11"/>
      <c r="E51" s="12"/>
      <c r="F51" s="12"/>
      <c r="G51" s="40"/>
      <c r="H51" s="14"/>
      <c r="I51" s="13"/>
      <c r="J51" s="40"/>
      <c r="K51" s="12"/>
    </row>
    <row r="52" spans="1:11" ht="82.8" x14ac:dyDescent="0.3">
      <c r="A52" s="30">
        <v>8</v>
      </c>
      <c r="B52" s="7" t="s">
        <v>44</v>
      </c>
      <c r="C52" s="20"/>
      <c r="D52" s="20"/>
      <c r="E52" s="20"/>
      <c r="F52" s="20"/>
      <c r="G52" s="20"/>
      <c r="H52" s="20"/>
      <c r="I52" s="20"/>
      <c r="J52" s="20"/>
      <c r="K52" s="20"/>
    </row>
    <row r="53" spans="1:11" x14ac:dyDescent="0.3">
      <c r="A53" s="30"/>
      <c r="B53" s="31" t="str">
        <f>B12</f>
        <v>-for  stone masonary</v>
      </c>
      <c r="C53" s="32">
        <v>1</v>
      </c>
      <c r="D53" s="33">
        <f>D12</f>
        <v>58</v>
      </c>
      <c r="E53" s="33">
        <f>((F53/2)+0.45)/2</f>
        <v>0.6</v>
      </c>
      <c r="F53" s="33">
        <v>1.5</v>
      </c>
      <c r="G53" s="33">
        <f>PRODUCT(C53:F53)</f>
        <v>52.199999999999996</v>
      </c>
      <c r="H53" s="20"/>
      <c r="I53" s="20"/>
      <c r="J53" s="20"/>
      <c r="K53" s="20"/>
    </row>
    <row r="54" spans="1:11" ht="15" customHeight="1" x14ac:dyDescent="0.3">
      <c r="A54" s="8"/>
      <c r="B54" s="9" t="s">
        <v>18</v>
      </c>
      <c r="C54" s="10"/>
      <c r="D54" s="11"/>
      <c r="E54" s="12"/>
      <c r="F54" s="12"/>
      <c r="G54" s="13">
        <f>SUM(G53:G53)</f>
        <v>52.199999999999996</v>
      </c>
      <c r="H54" s="14" t="s">
        <v>19</v>
      </c>
      <c r="I54" s="13">
        <v>9878.43</v>
      </c>
      <c r="J54" s="15">
        <f>G54*I54</f>
        <v>515654.04599999997</v>
      </c>
      <c r="K54" s="12"/>
    </row>
    <row r="55" spans="1:11" x14ac:dyDescent="0.3">
      <c r="A55" s="30"/>
      <c r="B55" s="34" t="s">
        <v>27</v>
      </c>
      <c r="C55" s="20"/>
      <c r="D55" s="20"/>
      <c r="E55" s="20"/>
      <c r="F55" s="20"/>
      <c r="G55" s="20"/>
      <c r="H55" s="20"/>
      <c r="I55" s="20"/>
      <c r="J55" s="15">
        <f>0.13*G54*(27587.1)/5</f>
        <v>37441.212119999997</v>
      </c>
      <c r="K55" s="20"/>
    </row>
    <row r="56" spans="1:11" x14ac:dyDescent="0.3">
      <c r="A56" s="30"/>
      <c r="B56" s="20"/>
      <c r="C56" s="20"/>
      <c r="D56" s="20"/>
      <c r="E56" s="20"/>
      <c r="F56" s="20"/>
      <c r="G56" s="20"/>
      <c r="H56" s="20"/>
      <c r="I56" s="20"/>
      <c r="J56" s="20"/>
      <c r="K56" s="20"/>
    </row>
    <row r="57" spans="1:11" ht="15" customHeight="1" x14ac:dyDescent="0.3">
      <c r="A57" s="8">
        <v>9</v>
      </c>
      <c r="B57" s="7" t="s">
        <v>20</v>
      </c>
      <c r="C57" s="10">
        <v>1</v>
      </c>
      <c r="D57" s="11"/>
      <c r="E57" s="12"/>
      <c r="F57" s="12"/>
      <c r="G57" s="22">
        <f t="shared" ref="G57" si="3">PRODUCT(C57:F57)</f>
        <v>1</v>
      </c>
      <c r="H57" s="14" t="s">
        <v>21</v>
      </c>
      <c r="I57" s="13">
        <v>500</v>
      </c>
      <c r="J57" s="22">
        <f>G57*I57</f>
        <v>500</v>
      </c>
      <c r="K57" s="12"/>
    </row>
    <row r="58" spans="1:11" ht="11.25" customHeight="1" x14ac:dyDescent="0.3">
      <c r="A58" s="8"/>
      <c r="B58" s="21"/>
      <c r="C58" s="10"/>
      <c r="D58" s="11"/>
      <c r="E58" s="12"/>
      <c r="F58" s="12"/>
      <c r="G58" s="13"/>
      <c r="H58" s="14"/>
      <c r="I58" s="13"/>
      <c r="J58" s="15"/>
      <c r="K58" s="12"/>
    </row>
    <row r="59" spans="1:11" x14ac:dyDescent="0.3">
      <c r="A59" s="19"/>
      <c r="B59" s="28" t="s">
        <v>23</v>
      </c>
      <c r="C59" s="29"/>
      <c r="D59" s="18"/>
      <c r="E59" s="18"/>
      <c r="F59" s="18"/>
      <c r="G59" s="15"/>
      <c r="H59" s="15"/>
      <c r="I59" s="15"/>
      <c r="J59" s="15">
        <f>SUM(J13:J57)</f>
        <v>1071666.46048649</v>
      </c>
      <c r="K59" s="17"/>
    </row>
    <row r="61" spans="1:11" s="16" customFormat="1" x14ac:dyDescent="0.3">
      <c r="A61" s="23"/>
      <c r="B61" s="37" t="s">
        <v>22</v>
      </c>
      <c r="C61" s="78">
        <f>J59</f>
        <v>1071666.46048649</v>
      </c>
      <c r="D61" s="79"/>
      <c r="E61" s="38">
        <v>100</v>
      </c>
      <c r="F61" s="23"/>
      <c r="G61" s="24"/>
      <c r="H61" s="23"/>
      <c r="I61" s="25"/>
      <c r="J61" s="26"/>
      <c r="K61" s="27"/>
    </row>
    <row r="62" spans="1:11" x14ac:dyDescent="0.3">
      <c r="B62" s="37" t="s">
        <v>33</v>
      </c>
      <c r="C62" s="84">
        <v>950000</v>
      </c>
      <c r="D62" s="85"/>
      <c r="E62" s="38"/>
    </row>
    <row r="63" spans="1:11" x14ac:dyDescent="0.3">
      <c r="B63" s="37" t="s">
        <v>34</v>
      </c>
      <c r="C63" s="84">
        <f>C62-C65-C66</f>
        <v>902500</v>
      </c>
      <c r="D63" s="85"/>
      <c r="E63" s="38">
        <f>C63/C61*100</f>
        <v>84.214635175790065</v>
      </c>
    </row>
    <row r="64" spans="1:11" x14ac:dyDescent="0.3">
      <c r="B64" s="37" t="s">
        <v>32</v>
      </c>
      <c r="C64" s="90">
        <f>C61-C63</f>
        <v>169166.46048649005</v>
      </c>
      <c r="D64" s="90"/>
      <c r="E64" s="38">
        <f>100-E63</f>
        <v>15.785364824209935</v>
      </c>
    </row>
    <row r="65" spans="2:5" x14ac:dyDescent="0.3">
      <c r="B65" s="37" t="s">
        <v>35</v>
      </c>
      <c r="C65" s="78">
        <f>C62*0.03</f>
        <v>28500</v>
      </c>
      <c r="D65" s="79"/>
      <c r="E65" s="38">
        <v>3</v>
      </c>
    </row>
    <row r="66" spans="2:5" x14ac:dyDescent="0.3">
      <c r="B66" s="37" t="s">
        <v>36</v>
      </c>
      <c r="C66" s="78">
        <f>C62*0.02</f>
        <v>19000</v>
      </c>
      <c r="D66" s="79"/>
      <c r="E66" s="38">
        <v>2</v>
      </c>
    </row>
  </sheetData>
  <mergeCells count="15">
    <mergeCell ref="C66:D66"/>
    <mergeCell ref="A1:K1"/>
    <mergeCell ref="A2:K2"/>
    <mergeCell ref="A3:K3"/>
    <mergeCell ref="A4:K4"/>
    <mergeCell ref="A5:K5"/>
    <mergeCell ref="C65:D65"/>
    <mergeCell ref="C63:D63"/>
    <mergeCell ref="A6:F6"/>
    <mergeCell ref="H6:K6"/>
    <mergeCell ref="A7:F7"/>
    <mergeCell ref="H7:K7"/>
    <mergeCell ref="C61:D61"/>
    <mergeCell ref="C62:D62"/>
    <mergeCell ref="C64:D64"/>
  </mergeCells>
  <pageMargins left="0.7" right="0.7" top="0.75" bottom="0.75" header="0.3" footer="0.3"/>
  <pageSetup paperSize="9" scale="80" orientation="portrait"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6"/>
  <sheetViews>
    <sheetView topLeftCell="A49" zoomScale="90" zoomScaleNormal="90" workbookViewId="0">
      <selection activeCell="J50" sqref="J50"/>
    </sheetView>
  </sheetViews>
  <sheetFormatPr defaultRowHeight="14.4" x14ac:dyDescent="0.3"/>
  <cols>
    <col min="1" max="1" width="4.6640625" customWidth="1"/>
    <col min="2" max="2" width="30.88671875" customWidth="1"/>
    <col min="3" max="3" width="4.44140625" bestFit="1" customWidth="1"/>
    <col min="4" max="4" width="8.44140625" customWidth="1"/>
    <col min="5" max="5" width="8.5546875" customWidth="1"/>
    <col min="6" max="6" width="7.33203125" customWidth="1"/>
    <col min="8" max="8" width="5" bestFit="1" customWidth="1"/>
    <col min="9" max="9" width="9.5546875" bestFit="1" customWidth="1"/>
    <col min="10" max="10" width="11.88671875" bestFit="1" customWidth="1"/>
  </cols>
  <sheetData>
    <row r="1" spans="1:11" x14ac:dyDescent="0.3">
      <c r="A1" s="80" t="s">
        <v>0</v>
      </c>
      <c r="B1" s="80"/>
      <c r="C1" s="80"/>
      <c r="D1" s="80"/>
      <c r="E1" s="80"/>
      <c r="F1" s="80"/>
      <c r="G1" s="80"/>
      <c r="H1" s="80"/>
      <c r="I1" s="80"/>
      <c r="J1" s="80"/>
      <c r="K1" s="80"/>
    </row>
    <row r="2" spans="1:11" ht="22.8" x14ac:dyDescent="0.3">
      <c r="A2" s="81" t="s">
        <v>1</v>
      </c>
      <c r="B2" s="81"/>
      <c r="C2" s="81"/>
      <c r="D2" s="81"/>
      <c r="E2" s="81"/>
      <c r="F2" s="81"/>
      <c r="G2" s="81"/>
      <c r="H2" s="81"/>
      <c r="I2" s="81"/>
      <c r="J2" s="81"/>
      <c r="K2" s="81"/>
    </row>
    <row r="3" spans="1:11" x14ac:dyDescent="0.3">
      <c r="A3" s="82" t="s">
        <v>2</v>
      </c>
      <c r="B3" s="82"/>
      <c r="C3" s="82"/>
      <c r="D3" s="82"/>
      <c r="E3" s="82"/>
      <c r="F3" s="82"/>
      <c r="G3" s="82"/>
      <c r="H3" s="82"/>
      <c r="I3" s="82"/>
      <c r="J3" s="82"/>
      <c r="K3" s="82"/>
    </row>
    <row r="4" spans="1:11" x14ac:dyDescent="0.3">
      <c r="A4" s="82" t="s">
        <v>3</v>
      </c>
      <c r="B4" s="82"/>
      <c r="C4" s="82"/>
      <c r="D4" s="82"/>
      <c r="E4" s="82"/>
      <c r="F4" s="82"/>
      <c r="G4" s="82"/>
      <c r="H4" s="82"/>
      <c r="I4" s="82"/>
      <c r="J4" s="82"/>
      <c r="K4" s="82"/>
    </row>
    <row r="5" spans="1:11" ht="17.399999999999999" x14ac:dyDescent="0.3">
      <c r="A5" s="83" t="s">
        <v>4</v>
      </c>
      <c r="B5" s="83"/>
      <c r="C5" s="83"/>
      <c r="D5" s="83"/>
      <c r="E5" s="83"/>
      <c r="F5" s="83"/>
      <c r="G5" s="83"/>
      <c r="H5" s="83"/>
      <c r="I5" s="83"/>
      <c r="J5" s="83"/>
      <c r="K5" s="83"/>
    </row>
    <row r="6" spans="1:11" ht="15.6" x14ac:dyDescent="0.3">
      <c r="A6" s="86" t="s">
        <v>42</v>
      </c>
      <c r="B6" s="86"/>
      <c r="C6" s="86"/>
      <c r="D6" s="86"/>
      <c r="E6" s="86"/>
      <c r="F6" s="86"/>
      <c r="G6" s="1"/>
      <c r="H6" s="87" t="s">
        <v>43</v>
      </c>
      <c r="I6" s="87"/>
      <c r="J6" s="87"/>
      <c r="K6" s="87"/>
    </row>
    <row r="7" spans="1:11" ht="15.6" x14ac:dyDescent="0.3">
      <c r="A7" s="88" t="s">
        <v>5</v>
      </c>
      <c r="B7" s="88"/>
      <c r="C7" s="88"/>
      <c r="D7" s="88"/>
      <c r="E7" s="88"/>
      <c r="F7" s="88"/>
      <c r="G7" s="2"/>
      <c r="H7" s="89" t="s">
        <v>24</v>
      </c>
      <c r="I7" s="89"/>
      <c r="J7" s="89"/>
      <c r="K7" s="89"/>
    </row>
    <row r="8" spans="1:11" ht="15.6" x14ac:dyDescent="0.3">
      <c r="A8" s="3" t="s">
        <v>6</v>
      </c>
      <c r="B8" s="4" t="s">
        <v>7</v>
      </c>
      <c r="C8" s="3" t="s">
        <v>8</v>
      </c>
      <c r="D8" s="5" t="s">
        <v>9</v>
      </c>
      <c r="E8" s="5" t="s">
        <v>10</v>
      </c>
      <c r="F8" s="5" t="s">
        <v>11</v>
      </c>
      <c r="G8" s="5" t="s">
        <v>12</v>
      </c>
      <c r="H8" s="3" t="s">
        <v>13</v>
      </c>
      <c r="I8" s="5" t="s">
        <v>14</v>
      </c>
      <c r="J8" s="5" t="s">
        <v>15</v>
      </c>
      <c r="K8" s="6" t="s">
        <v>16</v>
      </c>
    </row>
    <row r="9" spans="1:11" ht="124.2" x14ac:dyDescent="0.3">
      <c r="A9" s="30">
        <v>1</v>
      </c>
      <c r="B9" s="7" t="s">
        <v>17</v>
      </c>
      <c r="C9" s="20"/>
      <c r="D9" s="20"/>
      <c r="E9" s="20"/>
      <c r="F9" s="20"/>
      <c r="G9" s="20"/>
      <c r="H9" s="20"/>
      <c r="I9" s="20"/>
      <c r="J9" s="20"/>
      <c r="K9" s="20"/>
    </row>
    <row r="10" spans="1:11" x14ac:dyDescent="0.3">
      <c r="A10" s="30"/>
      <c r="B10" s="31" t="s">
        <v>25</v>
      </c>
      <c r="C10" s="32">
        <v>1</v>
      </c>
      <c r="D10" s="33">
        <f>60-D11*C11</f>
        <v>52.65</v>
      </c>
      <c r="E10" s="33">
        <v>0.3</v>
      </c>
      <c r="F10" s="33">
        <v>0.75</v>
      </c>
      <c r="G10" s="33">
        <f>PRODUCT(C10:F10)</f>
        <v>11.846249999999998</v>
      </c>
      <c r="H10" s="20"/>
      <c r="I10" s="20"/>
      <c r="J10" s="20"/>
      <c r="K10" s="20"/>
    </row>
    <row r="11" spans="1:11" x14ac:dyDescent="0.3">
      <c r="A11" s="30"/>
      <c r="B11" s="31"/>
      <c r="C11" s="32">
        <v>21</v>
      </c>
      <c r="D11" s="33">
        <v>0.35</v>
      </c>
      <c r="E11" s="33">
        <v>0.35</v>
      </c>
      <c r="F11" s="33">
        <v>1.75</v>
      </c>
      <c r="G11" s="33">
        <f>PRODUCT(C11:F11)</f>
        <v>4.5018750000000001</v>
      </c>
      <c r="H11" s="20"/>
      <c r="I11" s="20"/>
      <c r="J11" s="20"/>
      <c r="K11" s="20"/>
    </row>
    <row r="12" spans="1:11" x14ac:dyDescent="0.3">
      <c r="A12" s="30"/>
      <c r="B12" s="31" t="s">
        <v>26</v>
      </c>
      <c r="C12" s="32">
        <v>1</v>
      </c>
      <c r="D12" s="33">
        <v>50</v>
      </c>
      <c r="E12" s="33">
        <f>1.5/2</f>
        <v>0.75</v>
      </c>
      <c r="F12" s="33">
        <v>1.2</v>
      </c>
      <c r="G12" s="33">
        <f>PRODUCT(C12:F12)</f>
        <v>45</v>
      </c>
      <c r="H12" s="20"/>
      <c r="I12" s="20"/>
      <c r="J12" s="20"/>
      <c r="K12" s="20"/>
    </row>
    <row r="13" spans="1:11" ht="15" customHeight="1" x14ac:dyDescent="0.3">
      <c r="A13" s="8"/>
      <c r="B13" s="9" t="s">
        <v>18</v>
      </c>
      <c r="C13" s="10"/>
      <c r="D13" s="11"/>
      <c r="E13" s="12"/>
      <c r="F13" s="12"/>
      <c r="G13" s="13">
        <f>SUM(G10:G12)</f>
        <v>61.348124999999996</v>
      </c>
      <c r="H13" s="14" t="s">
        <v>19</v>
      </c>
      <c r="I13" s="13">
        <v>62.95</v>
      </c>
      <c r="J13" s="15">
        <f>G13*I13</f>
        <v>3861.86446875</v>
      </c>
      <c r="K13" s="12"/>
    </row>
    <row r="14" spans="1:11" x14ac:dyDescent="0.3">
      <c r="A14" s="30"/>
      <c r="B14" s="34" t="s">
        <v>27</v>
      </c>
      <c r="C14" s="20"/>
      <c r="D14" s="20"/>
      <c r="E14" s="20"/>
      <c r="F14" s="20"/>
      <c r="G14" s="20"/>
      <c r="H14" s="20"/>
      <c r="I14" s="20"/>
      <c r="J14" s="15">
        <f>0.13*G13*18612/360</f>
        <v>412.32074812500002</v>
      </c>
      <c r="K14" s="20"/>
    </row>
    <row r="15" spans="1:11" x14ac:dyDescent="0.3">
      <c r="A15" s="30"/>
      <c r="B15" s="20"/>
      <c r="C15" s="20"/>
      <c r="D15" s="20"/>
      <c r="E15" s="20"/>
      <c r="F15" s="20"/>
      <c r="G15" s="20"/>
      <c r="H15" s="20"/>
      <c r="I15" s="20"/>
      <c r="J15" s="20"/>
      <c r="K15" s="20"/>
    </row>
    <row r="16" spans="1:11" ht="82.8" x14ac:dyDescent="0.3">
      <c r="A16" s="30">
        <v>2</v>
      </c>
      <c r="B16" s="7" t="s">
        <v>28</v>
      </c>
      <c r="C16" s="20"/>
      <c r="D16" s="20"/>
      <c r="E16" s="20"/>
      <c r="F16" s="20"/>
      <c r="G16" s="20"/>
      <c r="H16" s="20"/>
      <c r="I16" s="20"/>
      <c r="J16" s="20"/>
      <c r="K16" s="20"/>
    </row>
    <row r="17" spans="1:11" x14ac:dyDescent="0.3">
      <c r="A17" s="30"/>
      <c r="B17" s="31" t="str">
        <f>B12</f>
        <v>-for  stone masonary</v>
      </c>
      <c r="C17" s="32">
        <v>1</v>
      </c>
      <c r="D17" s="33">
        <f>D12</f>
        <v>50</v>
      </c>
      <c r="E17" s="33">
        <f>1.5/2</f>
        <v>0.75</v>
      </c>
      <c r="F17" s="33">
        <v>0.15</v>
      </c>
      <c r="G17" s="33">
        <f>PRODUCT(C17:F17)</f>
        <v>5.625</v>
      </c>
      <c r="H17" s="20"/>
      <c r="I17" s="20"/>
      <c r="J17" s="20"/>
      <c r="K17" s="20"/>
    </row>
    <row r="18" spans="1:11" ht="15" customHeight="1" x14ac:dyDescent="0.3">
      <c r="A18" s="8"/>
      <c r="B18" s="9" t="s">
        <v>18</v>
      </c>
      <c r="C18" s="10"/>
      <c r="D18" s="11"/>
      <c r="E18" s="12"/>
      <c r="F18" s="12"/>
      <c r="G18" s="13">
        <f>SUM(G17:G17)</f>
        <v>5.625</v>
      </c>
      <c r="H18" s="14" t="s">
        <v>19</v>
      </c>
      <c r="I18" s="13">
        <v>4585.53</v>
      </c>
      <c r="J18" s="15">
        <f>G18*I18</f>
        <v>25793.606249999997</v>
      </c>
      <c r="K18" s="12"/>
    </row>
    <row r="19" spans="1:11" x14ac:dyDescent="0.3">
      <c r="A19" s="30"/>
      <c r="B19" s="34" t="s">
        <v>27</v>
      </c>
      <c r="C19" s="20"/>
      <c r="D19" s="20"/>
      <c r="E19" s="20"/>
      <c r="F19" s="20"/>
      <c r="G19" s="20"/>
      <c r="H19" s="20"/>
      <c r="I19" s="20"/>
      <c r="J19" s="15">
        <f>0.13*G18*15452.64/5</f>
        <v>2259.9486000000002</v>
      </c>
      <c r="K19" s="20"/>
    </row>
    <row r="20" spans="1:11" x14ac:dyDescent="0.3">
      <c r="A20" s="30"/>
      <c r="B20" s="20"/>
      <c r="C20" s="20"/>
      <c r="D20" s="20"/>
      <c r="E20" s="20"/>
      <c r="F20" s="20"/>
      <c r="G20" s="20"/>
      <c r="H20" s="20"/>
      <c r="I20" s="20"/>
      <c r="J20" s="20"/>
      <c r="K20" s="20"/>
    </row>
    <row r="21" spans="1:11" ht="16.8" x14ac:dyDescent="0.3">
      <c r="A21" s="30">
        <v>3</v>
      </c>
      <c r="B21" s="35" t="s">
        <v>29</v>
      </c>
      <c r="C21" s="20"/>
      <c r="D21" s="20"/>
      <c r="E21" s="20"/>
      <c r="F21" s="20"/>
      <c r="G21" s="20"/>
      <c r="H21" s="20"/>
      <c r="I21" s="20"/>
      <c r="J21" s="20"/>
      <c r="K21" s="20"/>
    </row>
    <row r="22" spans="1:11" x14ac:dyDescent="0.3">
      <c r="A22" s="30"/>
      <c r="B22" s="31" t="str">
        <f>B10</f>
        <v>-for brick wall</v>
      </c>
      <c r="C22" s="32">
        <v>1</v>
      </c>
      <c r="D22" s="33">
        <f>D10</f>
        <v>52.65</v>
      </c>
      <c r="E22" s="33">
        <v>0.23</v>
      </c>
      <c r="F22" s="33"/>
      <c r="G22" s="33">
        <f>PRODUCT(C22:F22)</f>
        <v>12.109500000000001</v>
      </c>
      <c r="H22" s="20"/>
      <c r="I22" s="20"/>
      <c r="J22" s="20"/>
      <c r="K22" s="20"/>
    </row>
    <row r="23" spans="1:11" x14ac:dyDescent="0.3">
      <c r="A23" s="30"/>
      <c r="B23" s="31"/>
      <c r="C23" s="32">
        <f>C11</f>
        <v>21</v>
      </c>
      <c r="D23" s="33">
        <f>D11</f>
        <v>0.35</v>
      </c>
      <c r="E23" s="33">
        <f>E11</f>
        <v>0.35</v>
      </c>
      <c r="F23" s="33"/>
      <c r="G23" s="33">
        <f>PRODUCT(C23:F23)</f>
        <v>2.5724999999999998</v>
      </c>
      <c r="H23" s="20"/>
      <c r="I23" s="20"/>
      <c r="J23" s="20"/>
      <c r="K23" s="20"/>
    </row>
    <row r="24" spans="1:11" ht="15" customHeight="1" x14ac:dyDescent="0.3">
      <c r="A24" s="8"/>
      <c r="B24" s="9" t="s">
        <v>18</v>
      </c>
      <c r="C24" s="10"/>
      <c r="D24" s="11"/>
      <c r="E24" s="12"/>
      <c r="F24" s="12"/>
      <c r="G24" s="13">
        <f>SUM(G22:G23)</f>
        <v>14.682</v>
      </c>
      <c r="H24" s="14" t="s">
        <v>19</v>
      </c>
      <c r="I24" s="13">
        <v>1017.47</v>
      </c>
      <c r="J24" s="15">
        <f>G24*I24</f>
        <v>14938.494540000002</v>
      </c>
      <c r="K24" s="12"/>
    </row>
    <row r="25" spans="1:11" x14ac:dyDescent="0.3">
      <c r="A25" s="30"/>
      <c r="B25" s="34" t="s">
        <v>27</v>
      </c>
      <c r="C25" s="20"/>
      <c r="D25" s="20"/>
      <c r="E25" s="20"/>
      <c r="F25" s="20"/>
      <c r="G25" s="20"/>
      <c r="H25" s="20"/>
      <c r="I25" s="20"/>
      <c r="J25" s="15">
        <f>0.13*G24*8617.2/10</f>
        <v>1644.7304952000002</v>
      </c>
      <c r="K25" s="20"/>
    </row>
    <row r="26" spans="1:11" x14ac:dyDescent="0.3">
      <c r="A26" s="30"/>
      <c r="B26" s="20"/>
      <c r="C26" s="20"/>
      <c r="D26" s="20"/>
      <c r="E26" s="20"/>
      <c r="F26" s="20"/>
      <c r="G26" s="20"/>
      <c r="H26" s="20"/>
      <c r="I26" s="20"/>
      <c r="J26" s="20"/>
      <c r="K26" s="20"/>
    </row>
    <row r="27" spans="1:11" ht="69" x14ac:dyDescent="0.3">
      <c r="A27" s="30">
        <v>4</v>
      </c>
      <c r="B27" s="7" t="s">
        <v>31</v>
      </c>
      <c r="C27" s="20"/>
      <c r="D27" s="20"/>
      <c r="E27" s="20"/>
      <c r="F27" s="20"/>
      <c r="G27" s="20"/>
      <c r="H27" s="20"/>
      <c r="I27" s="20"/>
      <c r="J27" s="20"/>
      <c r="K27" s="20"/>
    </row>
    <row r="28" spans="1:11" x14ac:dyDescent="0.3">
      <c r="A28" s="30"/>
      <c r="B28" s="31" t="str">
        <f>B10</f>
        <v>-for brick wall</v>
      </c>
      <c r="C28" s="20">
        <v>1</v>
      </c>
      <c r="D28" s="36">
        <f>D10</f>
        <v>52.65</v>
      </c>
      <c r="E28" s="20">
        <v>0.23</v>
      </c>
      <c r="F28" s="33">
        <v>7.4999999999999997E-2</v>
      </c>
      <c r="G28" s="33">
        <f t="shared" ref="G28:G33" si="0">PRODUCT(C28:F28)</f>
        <v>0.90821249999999998</v>
      </c>
      <c r="H28" s="20"/>
      <c r="I28" s="20"/>
      <c r="J28" s="20"/>
      <c r="K28" s="20"/>
    </row>
    <row r="29" spans="1:11" x14ac:dyDescent="0.3">
      <c r="A29" s="30"/>
      <c r="B29" s="31"/>
      <c r="C29" s="20">
        <v>2</v>
      </c>
      <c r="D29" s="36">
        <f>D10</f>
        <v>52.65</v>
      </c>
      <c r="E29" s="20">
        <v>0.23</v>
      </c>
      <c r="F29" s="33">
        <v>7.4999999999999997E-2</v>
      </c>
      <c r="G29" s="33">
        <f t="shared" si="0"/>
        <v>1.816425</v>
      </c>
      <c r="H29" s="20"/>
      <c r="I29" s="20"/>
      <c r="J29" s="20"/>
      <c r="K29" s="20"/>
    </row>
    <row r="30" spans="1:11" x14ac:dyDescent="0.3">
      <c r="A30" s="30"/>
      <c r="B30" s="31"/>
      <c r="C30" s="20">
        <f>C11</f>
        <v>21</v>
      </c>
      <c r="D30" s="36">
        <f>D11</f>
        <v>0.35</v>
      </c>
      <c r="E30" s="36">
        <f>E11</f>
        <v>0.35</v>
      </c>
      <c r="F30" s="36">
        <v>0.05</v>
      </c>
      <c r="G30" s="33">
        <f t="shared" si="0"/>
        <v>0.12862499999999999</v>
      </c>
      <c r="H30" s="20"/>
      <c r="I30" s="20"/>
      <c r="J30" s="20"/>
      <c r="K30" s="20"/>
    </row>
    <row r="31" spans="1:11" x14ac:dyDescent="0.3">
      <c r="A31" s="30"/>
      <c r="B31" s="31"/>
      <c r="C31" s="20">
        <f>21*2</f>
        <v>42</v>
      </c>
      <c r="D31" s="36">
        <v>0.35</v>
      </c>
      <c r="E31" s="36">
        <v>0.35</v>
      </c>
      <c r="F31" s="36">
        <v>7.4999999999999997E-2</v>
      </c>
      <c r="G31" s="33">
        <f t="shared" si="0"/>
        <v>0.38587499999999997</v>
      </c>
      <c r="H31" s="20"/>
      <c r="I31" s="20"/>
      <c r="J31" s="20"/>
      <c r="K31" s="20"/>
    </row>
    <row r="32" spans="1:11" x14ac:dyDescent="0.3">
      <c r="A32" s="30"/>
      <c r="B32" s="31" t="str">
        <f>B12</f>
        <v>-for  stone masonary</v>
      </c>
      <c r="C32" s="32">
        <v>1</v>
      </c>
      <c r="D32" s="33">
        <f>D12</f>
        <v>50</v>
      </c>
      <c r="E32" s="33">
        <f>F53/2</f>
        <v>0.6</v>
      </c>
      <c r="F32" s="33">
        <v>7.4999999999999997E-2</v>
      </c>
      <c r="G32" s="33">
        <f t="shared" si="0"/>
        <v>2.25</v>
      </c>
      <c r="H32" s="20"/>
      <c r="I32" s="20"/>
      <c r="J32" s="20"/>
      <c r="K32" s="20"/>
    </row>
    <row r="33" spans="1:11" x14ac:dyDescent="0.3">
      <c r="A33" s="30"/>
      <c r="B33" s="31"/>
      <c r="C33" s="32">
        <v>1</v>
      </c>
      <c r="D33" s="33">
        <f>D32</f>
        <v>50</v>
      </c>
      <c r="E33" s="33">
        <v>0.45</v>
      </c>
      <c r="F33" s="33">
        <v>0.05</v>
      </c>
      <c r="G33" s="33">
        <f t="shared" si="0"/>
        <v>1.125</v>
      </c>
      <c r="H33" s="20"/>
      <c r="I33" s="20"/>
      <c r="J33" s="20"/>
      <c r="K33" s="20"/>
    </row>
    <row r="34" spans="1:11" ht="15" customHeight="1" x14ac:dyDescent="0.3">
      <c r="A34" s="8"/>
      <c r="B34" s="9" t="s">
        <v>18</v>
      </c>
      <c r="C34" s="10"/>
      <c r="D34" s="11"/>
      <c r="E34" s="12"/>
      <c r="F34" s="12"/>
      <c r="G34" s="13">
        <f>SUM(G28:G33)</f>
        <v>6.6141375</v>
      </c>
      <c r="H34" s="14" t="s">
        <v>19</v>
      </c>
      <c r="I34" s="13">
        <v>10964.46</v>
      </c>
      <c r="J34" s="15">
        <f>G34*I34</f>
        <v>72520.446053249994</v>
      </c>
      <c r="K34" s="12"/>
    </row>
    <row r="35" spans="1:11" x14ac:dyDescent="0.3">
      <c r="A35" s="30"/>
      <c r="B35" s="34" t="s">
        <v>27</v>
      </c>
      <c r="C35" s="20"/>
      <c r="D35" s="20"/>
      <c r="E35" s="20"/>
      <c r="F35" s="20"/>
      <c r="G35" s="20"/>
      <c r="H35" s="20"/>
      <c r="I35" s="20"/>
      <c r="J35" s="15">
        <f>0.13*G34*(119450.3+6325.7)/15</f>
        <v>7209.7979044000003</v>
      </c>
      <c r="K35" s="20"/>
    </row>
    <row r="36" spans="1:11" x14ac:dyDescent="0.3">
      <c r="A36" s="30"/>
      <c r="B36" s="20"/>
      <c r="C36" s="20"/>
      <c r="D36" s="20"/>
      <c r="E36" s="20"/>
      <c r="F36" s="20"/>
      <c r="G36" s="20"/>
      <c r="H36" s="20"/>
      <c r="I36" s="20"/>
      <c r="J36" s="20"/>
      <c r="K36" s="20"/>
    </row>
    <row r="37" spans="1:11" ht="33" x14ac:dyDescent="0.3">
      <c r="A37" s="30">
        <v>5</v>
      </c>
      <c r="B37" s="35" t="s">
        <v>30</v>
      </c>
      <c r="C37" s="20"/>
      <c r="D37" s="20"/>
      <c r="E37" s="20"/>
      <c r="F37" s="20"/>
      <c r="G37" s="20"/>
      <c r="H37" s="20"/>
      <c r="I37" s="20"/>
      <c r="J37" s="20"/>
      <c r="K37" s="20"/>
    </row>
    <row r="38" spans="1:11" x14ac:dyDescent="0.3">
      <c r="A38" s="30"/>
      <c r="B38" s="31" t="str">
        <f>B10</f>
        <v>-for brick wall</v>
      </c>
      <c r="C38" s="32">
        <v>1</v>
      </c>
      <c r="D38" s="33">
        <f>D10</f>
        <v>52.65</v>
      </c>
      <c r="E38" s="33">
        <v>0.23</v>
      </c>
      <c r="F38" s="33">
        <f>0.9+0.6-0.075*2</f>
        <v>1.35</v>
      </c>
      <c r="G38" s="33">
        <f>PRODUCT(C38:F38)</f>
        <v>16.347825</v>
      </c>
      <c r="H38" s="20"/>
      <c r="I38" s="20"/>
      <c r="J38" s="20"/>
      <c r="K38" s="20"/>
    </row>
    <row r="39" spans="1:11" ht="15" customHeight="1" x14ac:dyDescent="0.3">
      <c r="A39" s="8"/>
      <c r="B39" s="9" t="s">
        <v>18</v>
      </c>
      <c r="C39" s="10"/>
      <c r="D39" s="11"/>
      <c r="E39" s="12"/>
      <c r="F39" s="12"/>
      <c r="G39" s="13">
        <f>SUM(G38:G38)</f>
        <v>16.347825</v>
      </c>
      <c r="H39" s="14" t="s">
        <v>19</v>
      </c>
      <c r="I39" s="13">
        <v>14491.84</v>
      </c>
      <c r="J39" s="15">
        <f>G39*I39</f>
        <v>236910.06424800001</v>
      </c>
      <c r="K39" s="12"/>
    </row>
    <row r="40" spans="1:11" x14ac:dyDescent="0.3">
      <c r="A40" s="30"/>
      <c r="B40" s="34" t="s">
        <v>27</v>
      </c>
      <c r="C40" s="20"/>
      <c r="D40" s="20"/>
      <c r="E40" s="20"/>
      <c r="F40" s="20"/>
      <c r="G40" s="20"/>
      <c r="H40" s="20"/>
      <c r="I40" s="20"/>
      <c r="J40" s="15">
        <f>0.13*G39*10374.74</f>
        <v>22048.576412265</v>
      </c>
      <c r="K40" s="20"/>
    </row>
    <row r="41" spans="1:11" x14ac:dyDescent="0.3">
      <c r="A41" s="30"/>
      <c r="B41" s="34"/>
      <c r="C41" s="20"/>
      <c r="D41" s="20"/>
      <c r="E41" s="20"/>
      <c r="F41" s="20"/>
      <c r="G41" s="20"/>
      <c r="H41" s="20"/>
      <c r="I41" s="20"/>
      <c r="J41" s="15"/>
      <c r="K41" s="20"/>
    </row>
    <row r="42" spans="1:11" s="16" customFormat="1" ht="32.4" x14ac:dyDescent="0.25">
      <c r="A42" s="8">
        <v>6</v>
      </c>
      <c r="B42" s="35" t="s">
        <v>37</v>
      </c>
      <c r="C42" s="10"/>
      <c r="D42" s="11"/>
      <c r="E42" s="12"/>
      <c r="F42" s="12"/>
      <c r="G42" s="40"/>
      <c r="H42" s="14"/>
      <c r="I42" s="13"/>
      <c r="J42" s="40"/>
      <c r="K42" s="12"/>
    </row>
    <row r="43" spans="1:11" s="16" customFormat="1" x14ac:dyDescent="0.3">
      <c r="A43" s="8"/>
      <c r="B43" s="41" t="str">
        <f>B28</f>
        <v>-for brick wall</v>
      </c>
      <c r="C43" s="10">
        <v>2</v>
      </c>
      <c r="D43" s="11">
        <f>D38+C11*D11</f>
        <v>60</v>
      </c>
      <c r="E43" s="12"/>
      <c r="F43" s="12">
        <v>0.9</v>
      </c>
      <c r="G43" s="42">
        <f t="shared" ref="G43" si="1">PRODUCT(C43:F43)</f>
        <v>108</v>
      </c>
      <c r="H43" s="14"/>
      <c r="I43" s="13"/>
      <c r="J43" s="40"/>
      <c r="K43" s="12"/>
    </row>
    <row r="44" spans="1:11" s="16" customFormat="1" x14ac:dyDescent="0.3">
      <c r="A44" s="8"/>
      <c r="B44" s="41" t="s">
        <v>38</v>
      </c>
      <c r="C44" s="10"/>
      <c r="D44" s="11"/>
      <c r="E44" s="12"/>
      <c r="F44" s="12"/>
      <c r="G44" s="40">
        <f>SUM(G41:G43)</f>
        <v>108</v>
      </c>
      <c r="H44" s="14" t="s">
        <v>39</v>
      </c>
      <c r="I44" s="13">
        <v>415.5</v>
      </c>
      <c r="J44" s="40">
        <f>G44*I44</f>
        <v>44874</v>
      </c>
      <c r="K44" s="12"/>
    </row>
    <row r="45" spans="1:11" s="16" customFormat="1" x14ac:dyDescent="0.3">
      <c r="A45" s="8"/>
      <c r="B45" s="41" t="s">
        <v>40</v>
      </c>
      <c r="C45" s="10"/>
      <c r="D45" s="11"/>
      <c r="E45" s="12"/>
      <c r="F45" s="12"/>
      <c r="G45" s="40"/>
      <c r="H45" s="14"/>
      <c r="I45" s="13"/>
      <c r="J45" s="40">
        <f>0.13*G44*11650.4/100</f>
        <v>1635.7161600000002</v>
      </c>
      <c r="K45" s="12"/>
    </row>
    <row r="46" spans="1:11" s="16" customFormat="1" ht="15" x14ac:dyDescent="0.3">
      <c r="A46" s="8"/>
      <c r="B46" s="39"/>
      <c r="C46" s="10"/>
      <c r="D46" s="11"/>
      <c r="E46" s="12"/>
      <c r="F46" s="12"/>
      <c r="G46" s="40"/>
      <c r="H46" s="14"/>
      <c r="I46" s="13"/>
      <c r="J46" s="40"/>
      <c r="K46" s="12"/>
    </row>
    <row r="47" spans="1:11" s="16" customFormat="1" ht="32.4" x14ac:dyDescent="0.25">
      <c r="A47" s="8">
        <v>7</v>
      </c>
      <c r="B47" s="35" t="s">
        <v>41</v>
      </c>
      <c r="C47" s="10"/>
      <c r="D47" s="11"/>
      <c r="E47" s="12"/>
      <c r="F47" s="12"/>
      <c r="G47" s="40"/>
      <c r="H47" s="14"/>
      <c r="I47" s="13"/>
      <c r="J47" s="40"/>
      <c r="K47" s="12"/>
    </row>
    <row r="48" spans="1:11" s="16" customFormat="1" x14ac:dyDescent="0.3">
      <c r="A48" s="8"/>
      <c r="B48" s="41" t="str">
        <f>B43</f>
        <v>-for brick wall</v>
      </c>
      <c r="C48" s="10">
        <v>2</v>
      </c>
      <c r="D48" s="11">
        <f>D43</f>
        <v>60</v>
      </c>
      <c r="E48" s="12"/>
      <c r="F48" s="12">
        <v>0.9</v>
      </c>
      <c r="G48" s="42">
        <f t="shared" ref="G48" si="2">PRODUCT(C48:F48)</f>
        <v>108</v>
      </c>
      <c r="H48" s="14"/>
      <c r="I48" s="13"/>
      <c r="J48" s="40"/>
      <c r="K48" s="12"/>
    </row>
    <row r="49" spans="1:11" s="16" customFormat="1" x14ac:dyDescent="0.3">
      <c r="A49" s="8"/>
      <c r="B49" s="41" t="s">
        <v>38</v>
      </c>
      <c r="C49" s="10"/>
      <c r="D49" s="11"/>
      <c r="E49" s="12"/>
      <c r="F49" s="12"/>
      <c r="G49" s="40">
        <f>SUM(G46:G48)</f>
        <v>108</v>
      </c>
      <c r="H49" s="14" t="s">
        <v>39</v>
      </c>
      <c r="I49" s="13">
        <v>253.8</v>
      </c>
      <c r="J49" s="40">
        <f>G49*I49</f>
        <v>27410.400000000001</v>
      </c>
      <c r="K49" s="12"/>
    </row>
    <row r="50" spans="1:11" s="16" customFormat="1" x14ac:dyDescent="0.3">
      <c r="A50" s="8"/>
      <c r="B50" s="41" t="s">
        <v>40</v>
      </c>
      <c r="C50" s="10"/>
      <c r="D50" s="11"/>
      <c r="E50" s="12"/>
      <c r="F50" s="12"/>
      <c r="G50" s="40"/>
      <c r="H50" s="14"/>
      <c r="I50" s="13"/>
      <c r="J50" s="40">
        <f>0.13*G49*12736/100</f>
        <v>1788.1343999999999</v>
      </c>
      <c r="K50" s="12"/>
    </row>
    <row r="51" spans="1:11" s="16" customFormat="1" ht="15" x14ac:dyDescent="0.3">
      <c r="A51" s="8"/>
      <c r="B51" s="39"/>
      <c r="C51" s="10"/>
      <c r="D51" s="11"/>
      <c r="E51" s="12"/>
      <c r="F51" s="12"/>
      <c r="G51" s="40"/>
      <c r="H51" s="14"/>
      <c r="I51" s="13"/>
      <c r="J51" s="40"/>
      <c r="K51" s="12"/>
    </row>
    <row r="52" spans="1:11" ht="82.8" x14ac:dyDescent="0.3">
      <c r="A52" s="30">
        <v>8</v>
      </c>
      <c r="B52" s="7" t="s">
        <v>44</v>
      </c>
      <c r="C52" s="20"/>
      <c r="D52" s="20"/>
      <c r="E52" s="20"/>
      <c r="F52" s="20"/>
      <c r="G52" s="20"/>
      <c r="H52" s="20"/>
      <c r="I52" s="20"/>
      <c r="J52" s="20"/>
      <c r="K52" s="20"/>
    </row>
    <row r="53" spans="1:11" x14ac:dyDescent="0.3">
      <c r="A53" s="30"/>
      <c r="B53" s="31" t="str">
        <f>B12</f>
        <v>-for  stone masonary</v>
      </c>
      <c r="C53" s="32">
        <v>1</v>
      </c>
      <c r="D53" s="33">
        <f>D12</f>
        <v>50</v>
      </c>
      <c r="E53" s="33">
        <f>((F53/2)+0.45)/2</f>
        <v>0.52500000000000002</v>
      </c>
      <c r="F53" s="33">
        <v>1.2</v>
      </c>
      <c r="G53" s="33">
        <f>PRODUCT(C53:F53)</f>
        <v>31.5</v>
      </c>
      <c r="H53" s="20"/>
      <c r="I53" s="20"/>
      <c r="J53" s="20"/>
      <c r="K53" s="20"/>
    </row>
    <row r="54" spans="1:11" ht="15" customHeight="1" x14ac:dyDescent="0.3">
      <c r="A54" s="8"/>
      <c r="B54" s="9" t="s">
        <v>18</v>
      </c>
      <c r="C54" s="10"/>
      <c r="D54" s="11"/>
      <c r="E54" s="12"/>
      <c r="F54" s="12"/>
      <c r="G54" s="13">
        <f>SUM(G53:G53)</f>
        <v>31.5</v>
      </c>
      <c r="H54" s="14" t="s">
        <v>19</v>
      </c>
      <c r="I54" s="13">
        <v>9878.43</v>
      </c>
      <c r="J54" s="15">
        <f>G54*I54</f>
        <v>311170.54499999998</v>
      </c>
      <c r="K54" s="12"/>
    </row>
    <row r="55" spans="1:11" x14ac:dyDescent="0.3">
      <c r="A55" s="30"/>
      <c r="B55" s="34" t="s">
        <v>27</v>
      </c>
      <c r="C55" s="20"/>
      <c r="D55" s="20"/>
      <c r="E55" s="20"/>
      <c r="F55" s="20"/>
      <c r="G55" s="20"/>
      <c r="H55" s="20"/>
      <c r="I55" s="20"/>
      <c r="J55" s="15">
        <f>0.13*G54*(27587.1)/5</f>
        <v>22593.834899999998</v>
      </c>
      <c r="K55" s="20"/>
    </row>
    <row r="56" spans="1:11" x14ac:dyDescent="0.3">
      <c r="A56" s="30"/>
      <c r="B56" s="20"/>
      <c r="C56" s="20"/>
      <c r="D56" s="20"/>
      <c r="E56" s="20"/>
      <c r="F56" s="20"/>
      <c r="G56" s="20"/>
      <c r="H56" s="20"/>
      <c r="I56" s="20"/>
      <c r="J56" s="20"/>
      <c r="K56" s="20"/>
    </row>
    <row r="57" spans="1:11" ht="15" customHeight="1" x14ac:dyDescent="0.3">
      <c r="A57" s="8">
        <v>9</v>
      </c>
      <c r="B57" s="7" t="s">
        <v>20</v>
      </c>
      <c r="C57" s="10">
        <v>1</v>
      </c>
      <c r="D57" s="11"/>
      <c r="E57" s="12"/>
      <c r="F57" s="12"/>
      <c r="G57" s="22">
        <f t="shared" ref="G57" si="3">PRODUCT(C57:F57)</f>
        <v>1</v>
      </c>
      <c r="H57" s="14" t="s">
        <v>21</v>
      </c>
      <c r="I57" s="13">
        <v>500</v>
      </c>
      <c r="J57" s="22">
        <f>G57*I57</f>
        <v>500</v>
      </c>
      <c r="K57" s="12"/>
    </row>
    <row r="58" spans="1:11" ht="11.25" customHeight="1" x14ac:dyDescent="0.3">
      <c r="A58" s="8"/>
      <c r="B58" s="21"/>
      <c r="C58" s="10"/>
      <c r="D58" s="11"/>
      <c r="E58" s="12"/>
      <c r="F58" s="12"/>
      <c r="G58" s="13"/>
      <c r="H58" s="14"/>
      <c r="I58" s="13"/>
      <c r="J58" s="15"/>
      <c r="K58" s="12"/>
    </row>
    <row r="59" spans="1:11" x14ac:dyDescent="0.3">
      <c r="A59" s="19"/>
      <c r="B59" s="28" t="s">
        <v>23</v>
      </c>
      <c r="C59" s="29"/>
      <c r="D59" s="18"/>
      <c r="E59" s="18"/>
      <c r="F59" s="18"/>
      <c r="G59" s="15"/>
      <c r="H59" s="15"/>
      <c r="I59" s="15"/>
      <c r="J59" s="15">
        <f>SUM(J13:J57)</f>
        <v>797572.48017999006</v>
      </c>
      <c r="K59" s="17"/>
    </row>
    <row r="61" spans="1:11" s="16" customFormat="1" x14ac:dyDescent="0.3">
      <c r="A61" s="23"/>
      <c r="B61" s="37" t="s">
        <v>22</v>
      </c>
      <c r="C61" s="78">
        <f>J59</f>
        <v>797572.48017999006</v>
      </c>
      <c r="D61" s="79"/>
      <c r="E61" s="38">
        <v>100</v>
      </c>
      <c r="F61" s="23"/>
      <c r="G61" s="24"/>
      <c r="H61" s="23"/>
      <c r="I61" s="25"/>
      <c r="J61" s="26"/>
      <c r="K61" s="27"/>
    </row>
    <row r="62" spans="1:11" x14ac:dyDescent="0.3">
      <c r="B62" s="37" t="s">
        <v>33</v>
      </c>
      <c r="C62" s="84">
        <v>500000</v>
      </c>
      <c r="D62" s="85"/>
      <c r="E62" s="38"/>
    </row>
    <row r="63" spans="1:11" x14ac:dyDescent="0.3">
      <c r="B63" s="37" t="s">
        <v>34</v>
      </c>
      <c r="C63" s="84">
        <f>C62-C65-C66</f>
        <v>475000</v>
      </c>
      <c r="D63" s="85"/>
      <c r="E63" s="38">
        <f>C63/C61*100</f>
        <v>59.555715850778299</v>
      </c>
    </row>
    <row r="64" spans="1:11" x14ac:dyDescent="0.3">
      <c r="B64" s="37" t="s">
        <v>45</v>
      </c>
      <c r="C64" s="90">
        <f>C61-C63</f>
        <v>322572.48017999006</v>
      </c>
      <c r="D64" s="90"/>
      <c r="E64" s="38">
        <f>100-E63</f>
        <v>40.444284149221701</v>
      </c>
    </row>
    <row r="65" spans="2:5" x14ac:dyDescent="0.3">
      <c r="B65" s="37" t="s">
        <v>35</v>
      </c>
      <c r="C65" s="78">
        <f>C62*0.03</f>
        <v>15000</v>
      </c>
      <c r="D65" s="79"/>
      <c r="E65" s="38">
        <v>3</v>
      </c>
    </row>
    <row r="66" spans="2:5" x14ac:dyDescent="0.3">
      <c r="B66" s="37" t="s">
        <v>36</v>
      </c>
      <c r="C66" s="78">
        <f>C62*0.02</f>
        <v>10000</v>
      </c>
      <c r="D66" s="79"/>
      <c r="E66" s="38">
        <v>2</v>
      </c>
    </row>
  </sheetData>
  <mergeCells count="15">
    <mergeCell ref="A6:F6"/>
    <mergeCell ref="H6:K6"/>
    <mergeCell ref="A1:K1"/>
    <mergeCell ref="A2:K2"/>
    <mergeCell ref="A3:K3"/>
    <mergeCell ref="A4:K4"/>
    <mergeCell ref="A5:K5"/>
    <mergeCell ref="C65:D65"/>
    <mergeCell ref="C66:D66"/>
    <mergeCell ref="A7:F7"/>
    <mergeCell ref="H7:K7"/>
    <mergeCell ref="C61:D61"/>
    <mergeCell ref="C62:D62"/>
    <mergeCell ref="C63:D63"/>
    <mergeCell ref="C64:D64"/>
  </mergeCells>
  <pageMargins left="0.7" right="0.7" top="0.75" bottom="0.75" header="0.3" footer="0.3"/>
  <pageSetup paperSize="9" scale="80" orientation="portrait" verticalDpi="120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S106"/>
  <sheetViews>
    <sheetView tabSelected="1" topLeftCell="A83" zoomScale="90" zoomScaleNormal="90" zoomScaleSheetLayoutView="95" workbookViewId="0">
      <selection activeCell="O90" sqref="O90"/>
    </sheetView>
  </sheetViews>
  <sheetFormatPr defaultColWidth="9.109375" defaultRowHeight="14.4" x14ac:dyDescent="0.3"/>
  <cols>
    <col min="1" max="1" width="4.6640625" style="52" customWidth="1"/>
    <col min="2" max="2" width="30.88671875" style="52" customWidth="1"/>
    <col min="3" max="3" width="4.44140625" style="52" bestFit="1" customWidth="1"/>
    <col min="4" max="4" width="8.44140625" style="52" customWidth="1"/>
    <col min="5" max="5" width="8.5546875" style="52" customWidth="1"/>
    <col min="6" max="6" width="7.33203125" style="52" customWidth="1"/>
    <col min="7" max="7" width="9.109375" style="52"/>
    <col min="8" max="8" width="5" style="52" bestFit="1" customWidth="1"/>
    <col min="9" max="9" width="9.5546875" style="52" bestFit="1" customWidth="1"/>
    <col min="10" max="10" width="11.88671875" style="52" bestFit="1" customWidth="1"/>
    <col min="11" max="16384" width="9.109375" style="52"/>
  </cols>
  <sheetData>
    <row r="1" spans="1:13" x14ac:dyDescent="0.3">
      <c r="A1" s="93" t="s">
        <v>0</v>
      </c>
      <c r="B1" s="93"/>
      <c r="C1" s="93"/>
      <c r="D1" s="93"/>
      <c r="E1" s="93"/>
      <c r="F1" s="93"/>
      <c r="G1" s="93"/>
      <c r="H1" s="93"/>
      <c r="I1" s="93"/>
      <c r="J1" s="93"/>
      <c r="K1" s="93"/>
    </row>
    <row r="2" spans="1:13" ht="22.8" x14ac:dyDescent="0.3">
      <c r="A2" s="94" t="s">
        <v>1</v>
      </c>
      <c r="B2" s="94"/>
      <c r="C2" s="94"/>
      <c r="D2" s="94"/>
      <c r="E2" s="94"/>
      <c r="F2" s="94"/>
      <c r="G2" s="94"/>
      <c r="H2" s="94"/>
      <c r="I2" s="94"/>
      <c r="J2" s="94"/>
      <c r="K2" s="94"/>
    </row>
    <row r="3" spans="1:13" x14ac:dyDescent="0.3">
      <c r="A3" s="95" t="s">
        <v>2</v>
      </c>
      <c r="B3" s="95"/>
      <c r="C3" s="95"/>
      <c r="D3" s="95"/>
      <c r="E3" s="95"/>
      <c r="F3" s="95"/>
      <c r="G3" s="95"/>
      <c r="H3" s="95"/>
      <c r="I3" s="95"/>
      <c r="J3" s="95"/>
      <c r="K3" s="95"/>
    </row>
    <row r="4" spans="1:13" x14ac:dyDescent="0.3">
      <c r="A4" s="95" t="s">
        <v>3</v>
      </c>
      <c r="B4" s="95"/>
      <c r="C4" s="95"/>
      <c r="D4" s="95"/>
      <c r="E4" s="95"/>
      <c r="F4" s="95"/>
      <c r="G4" s="95"/>
      <c r="H4" s="95"/>
      <c r="I4" s="95"/>
      <c r="J4" s="95"/>
      <c r="K4" s="95"/>
    </row>
    <row r="5" spans="1:13" ht="17.399999999999999" x14ac:dyDescent="0.3">
      <c r="A5" s="96" t="s">
        <v>4</v>
      </c>
      <c r="B5" s="96"/>
      <c r="C5" s="96"/>
      <c r="D5" s="96"/>
      <c r="E5" s="96"/>
      <c r="F5" s="96"/>
      <c r="G5" s="96"/>
      <c r="H5" s="96"/>
      <c r="I5" s="96"/>
      <c r="J5" s="96"/>
      <c r="K5" s="96"/>
    </row>
    <row r="6" spans="1:13" ht="15.6" x14ac:dyDescent="0.3">
      <c r="A6" s="91" t="s">
        <v>42</v>
      </c>
      <c r="B6" s="91"/>
      <c r="C6" s="91"/>
      <c r="D6" s="91"/>
      <c r="E6" s="91"/>
      <c r="F6" s="91"/>
      <c r="G6" s="43"/>
      <c r="H6" s="92" t="s">
        <v>43</v>
      </c>
      <c r="I6" s="92"/>
      <c r="J6" s="92"/>
      <c r="K6" s="92"/>
    </row>
    <row r="7" spans="1:13" ht="15.6" x14ac:dyDescent="0.3">
      <c r="A7" s="99" t="s">
        <v>5</v>
      </c>
      <c r="B7" s="99"/>
      <c r="C7" s="99"/>
      <c r="D7" s="99"/>
      <c r="E7" s="99"/>
      <c r="F7" s="99"/>
      <c r="G7" s="44"/>
      <c r="H7" s="100" t="s">
        <v>24</v>
      </c>
      <c r="I7" s="100"/>
      <c r="J7" s="100"/>
      <c r="K7" s="100"/>
    </row>
    <row r="8" spans="1:13" ht="15.6" x14ac:dyDescent="0.3">
      <c r="A8" s="45" t="s">
        <v>6</v>
      </c>
      <c r="B8" s="46" t="s">
        <v>7</v>
      </c>
      <c r="C8" s="45" t="s">
        <v>8</v>
      </c>
      <c r="D8" s="47" t="s">
        <v>9</v>
      </c>
      <c r="E8" s="47" t="s">
        <v>10</v>
      </c>
      <c r="F8" s="47" t="s">
        <v>11</v>
      </c>
      <c r="G8" s="47" t="s">
        <v>12</v>
      </c>
      <c r="H8" s="45" t="s">
        <v>13</v>
      </c>
      <c r="I8" s="47" t="s">
        <v>14</v>
      </c>
      <c r="J8" s="47" t="s">
        <v>15</v>
      </c>
      <c r="K8" s="48" t="s">
        <v>16</v>
      </c>
    </row>
    <row r="9" spans="1:13" ht="40.200000000000003" x14ac:dyDescent="0.3">
      <c r="A9" s="73">
        <v>1</v>
      </c>
      <c r="B9" s="74" t="s">
        <v>46</v>
      </c>
      <c r="C9" s="32"/>
      <c r="D9" s="32"/>
      <c r="E9" s="32"/>
      <c r="F9" s="32"/>
      <c r="G9" s="32"/>
      <c r="H9" s="32"/>
      <c r="I9" s="32"/>
      <c r="J9" s="32"/>
      <c r="K9" s="50"/>
      <c r="M9" s="66"/>
    </row>
    <row r="10" spans="1:13" x14ac:dyDescent="0.3">
      <c r="A10" s="73"/>
      <c r="B10" s="77" t="s">
        <v>59</v>
      </c>
      <c r="C10" s="32"/>
      <c r="D10" s="32"/>
      <c r="E10" s="32"/>
      <c r="F10" s="32"/>
      <c r="G10" s="32"/>
      <c r="H10" s="32"/>
      <c r="I10" s="32"/>
      <c r="J10" s="32"/>
      <c r="K10" s="50"/>
    </row>
    <row r="11" spans="1:13" x14ac:dyDescent="0.3">
      <c r="A11" s="73"/>
      <c r="B11" s="31" t="s">
        <v>47</v>
      </c>
      <c r="C11" s="32">
        <v>1</v>
      </c>
      <c r="D11" s="33">
        <v>1.2</v>
      </c>
      <c r="E11" s="33">
        <v>1.28</v>
      </c>
      <c r="F11" s="33"/>
      <c r="G11" s="33">
        <f>PRODUCT(C11:F11)</f>
        <v>1.536</v>
      </c>
      <c r="H11" s="32"/>
      <c r="I11" s="32"/>
      <c r="J11" s="32"/>
      <c r="K11" s="50"/>
    </row>
    <row r="12" spans="1:13" x14ac:dyDescent="0.3">
      <c r="A12" s="73"/>
      <c r="B12" s="31"/>
      <c r="C12" s="32">
        <v>1</v>
      </c>
      <c r="D12" s="33">
        <v>1.17</v>
      </c>
      <c r="E12" s="33">
        <v>1.29</v>
      </c>
      <c r="F12" s="33"/>
      <c r="G12" s="33">
        <f>PRODUCT(C12:F12)</f>
        <v>1.5092999999999999</v>
      </c>
      <c r="H12" s="32"/>
      <c r="I12" s="32"/>
      <c r="J12" s="32"/>
      <c r="K12" s="50"/>
    </row>
    <row r="13" spans="1:13" x14ac:dyDescent="0.3">
      <c r="A13" s="73"/>
      <c r="B13" s="31" t="s">
        <v>54</v>
      </c>
      <c r="C13" s="32">
        <v>1</v>
      </c>
      <c r="D13" s="33">
        <v>1.81</v>
      </c>
      <c r="E13" s="33">
        <v>1.32</v>
      </c>
      <c r="F13" s="33"/>
      <c r="G13" s="33">
        <f t="shared" ref="G13:G26" si="0">PRODUCT(C13:F13)</f>
        <v>2.3892000000000002</v>
      </c>
      <c r="H13" s="32"/>
      <c r="I13" s="32"/>
      <c r="J13" s="32"/>
      <c r="K13" s="50"/>
    </row>
    <row r="14" spans="1:13" x14ac:dyDescent="0.3">
      <c r="A14" s="73"/>
      <c r="B14" s="31"/>
      <c r="C14" s="32">
        <v>1</v>
      </c>
      <c r="D14" s="33">
        <v>1.22</v>
      </c>
      <c r="E14" s="33">
        <v>1.33</v>
      </c>
      <c r="F14" s="33"/>
      <c r="G14" s="33">
        <f t="shared" si="0"/>
        <v>1.6226</v>
      </c>
      <c r="H14" s="32"/>
      <c r="I14" s="32"/>
      <c r="J14" s="32"/>
      <c r="K14" s="50"/>
    </row>
    <row r="15" spans="1:13" x14ac:dyDescent="0.3">
      <c r="A15" s="73"/>
      <c r="B15" s="31"/>
      <c r="C15" s="32">
        <v>1</v>
      </c>
      <c r="D15" s="33">
        <v>1.82</v>
      </c>
      <c r="E15" s="33">
        <v>1.33</v>
      </c>
      <c r="F15" s="33"/>
      <c r="G15" s="33">
        <f t="shared" si="0"/>
        <v>2.4206000000000003</v>
      </c>
      <c r="H15" s="32"/>
      <c r="I15" s="32"/>
      <c r="J15" s="32"/>
      <c r="K15" s="50"/>
    </row>
    <row r="16" spans="1:13" x14ac:dyDescent="0.3">
      <c r="A16" s="73"/>
      <c r="B16" s="31" t="s">
        <v>57</v>
      </c>
      <c r="C16" s="32">
        <v>2</v>
      </c>
      <c r="D16" s="33">
        <v>0.9</v>
      </c>
      <c r="E16" s="33">
        <v>0.52</v>
      </c>
      <c r="F16" s="33"/>
      <c r="G16" s="33">
        <f t="shared" si="0"/>
        <v>0.93600000000000005</v>
      </c>
      <c r="H16" s="32"/>
      <c r="I16" s="32"/>
      <c r="J16" s="32"/>
      <c r="K16" s="50"/>
    </row>
    <row r="17" spans="1:11" x14ac:dyDescent="0.3">
      <c r="A17" s="73"/>
      <c r="B17" s="31"/>
      <c r="C17" s="32">
        <f>2</f>
        <v>2</v>
      </c>
      <c r="D17" s="33">
        <f>2.333/3.281</f>
        <v>0.7110637000914356</v>
      </c>
      <c r="E17" s="33">
        <v>0.55000000000000004</v>
      </c>
      <c r="F17" s="33"/>
      <c r="G17" s="33">
        <f t="shared" si="0"/>
        <v>0.78217007010057926</v>
      </c>
      <c r="H17" s="32"/>
      <c r="I17" s="32"/>
      <c r="J17" s="32"/>
      <c r="K17" s="50"/>
    </row>
    <row r="18" spans="1:11" x14ac:dyDescent="0.3">
      <c r="A18" s="73"/>
      <c r="B18" s="31" t="s">
        <v>61</v>
      </c>
      <c r="C18" s="32">
        <v>1</v>
      </c>
      <c r="D18" s="33">
        <v>1.81</v>
      </c>
      <c r="E18" s="33">
        <v>1.32</v>
      </c>
      <c r="F18" s="33"/>
      <c r="G18" s="33">
        <f t="shared" si="0"/>
        <v>2.3892000000000002</v>
      </c>
      <c r="H18" s="32"/>
      <c r="I18" s="32"/>
      <c r="J18" s="32"/>
      <c r="K18" s="50"/>
    </row>
    <row r="19" spans="1:11" x14ac:dyDescent="0.3">
      <c r="A19" s="73"/>
      <c r="B19" s="31"/>
      <c r="C19" s="32">
        <v>1</v>
      </c>
      <c r="D19" s="33">
        <v>1.81</v>
      </c>
      <c r="E19" s="33">
        <v>1.32</v>
      </c>
      <c r="F19" s="33"/>
      <c r="G19" s="33">
        <f t="shared" si="0"/>
        <v>2.3892000000000002</v>
      </c>
      <c r="H19" s="32"/>
      <c r="I19" s="32"/>
      <c r="J19" s="32"/>
      <c r="K19" s="50"/>
    </row>
    <row r="20" spans="1:11" x14ac:dyDescent="0.3">
      <c r="A20" s="49"/>
      <c r="B20" s="31" t="s">
        <v>62</v>
      </c>
      <c r="C20" s="32">
        <v>2</v>
      </c>
      <c r="D20" s="33">
        <v>0.9</v>
      </c>
      <c r="E20" s="33">
        <v>0.55000000000000004</v>
      </c>
      <c r="F20" s="33"/>
      <c r="G20" s="33">
        <f t="shared" si="0"/>
        <v>0.9900000000000001</v>
      </c>
      <c r="H20" s="32"/>
      <c r="I20" s="32"/>
      <c r="J20" s="32"/>
      <c r="K20" s="50"/>
    </row>
    <row r="21" spans="1:11" x14ac:dyDescent="0.3">
      <c r="A21" s="49"/>
      <c r="B21" s="31"/>
      <c r="C21" s="32">
        <v>1</v>
      </c>
      <c r="D21" s="33">
        <v>1.81</v>
      </c>
      <c r="E21" s="33">
        <v>1.32</v>
      </c>
      <c r="F21" s="33"/>
      <c r="G21" s="33">
        <f t="shared" si="0"/>
        <v>2.3892000000000002</v>
      </c>
      <c r="H21" s="32"/>
      <c r="I21" s="32"/>
      <c r="J21" s="32"/>
      <c r="K21" s="50"/>
    </row>
    <row r="22" spans="1:11" x14ac:dyDescent="0.3">
      <c r="A22" s="73"/>
      <c r="B22" s="77" t="s">
        <v>64</v>
      </c>
      <c r="C22" s="32"/>
      <c r="D22" s="32"/>
      <c r="E22" s="32"/>
      <c r="F22" s="32"/>
      <c r="G22" s="32"/>
      <c r="H22" s="32"/>
      <c r="I22" s="32"/>
      <c r="J22" s="32"/>
      <c r="K22" s="50"/>
    </row>
    <row r="23" spans="1:11" x14ac:dyDescent="0.3">
      <c r="A23" s="73"/>
      <c r="B23" s="31" t="s">
        <v>61</v>
      </c>
      <c r="C23" s="32">
        <v>1</v>
      </c>
      <c r="D23" s="32">
        <v>1.8</v>
      </c>
      <c r="E23" s="32">
        <v>1.33</v>
      </c>
      <c r="F23" s="32"/>
      <c r="G23" s="33">
        <f t="shared" si="0"/>
        <v>2.3940000000000001</v>
      </c>
      <c r="H23" s="32"/>
      <c r="I23" s="32"/>
      <c r="J23" s="32"/>
      <c r="K23" s="50"/>
    </row>
    <row r="24" spans="1:11" x14ac:dyDescent="0.3">
      <c r="A24" s="73"/>
      <c r="B24" s="31"/>
      <c r="C24" s="32">
        <v>1</v>
      </c>
      <c r="D24" s="32">
        <v>1.81</v>
      </c>
      <c r="E24" s="32">
        <v>1.33</v>
      </c>
      <c r="F24" s="32"/>
      <c r="G24" s="33">
        <f t="shared" si="0"/>
        <v>2.4073000000000002</v>
      </c>
      <c r="H24" s="32"/>
      <c r="I24" s="32"/>
      <c r="J24" s="32"/>
      <c r="K24" s="50"/>
    </row>
    <row r="25" spans="1:11" x14ac:dyDescent="0.3">
      <c r="A25" s="73"/>
      <c r="B25" s="31"/>
      <c r="C25" s="32">
        <v>1</v>
      </c>
      <c r="D25" s="32">
        <v>1.78</v>
      </c>
      <c r="E25" s="32">
        <v>1.33</v>
      </c>
      <c r="F25" s="32"/>
      <c r="G25" s="33">
        <f t="shared" si="0"/>
        <v>2.3673999999999999</v>
      </c>
      <c r="H25" s="32"/>
      <c r="I25" s="32"/>
      <c r="J25" s="32"/>
      <c r="K25" s="50"/>
    </row>
    <row r="26" spans="1:11" x14ac:dyDescent="0.3">
      <c r="A26" s="73"/>
      <c r="B26" s="31" t="s">
        <v>66</v>
      </c>
      <c r="C26" s="32">
        <v>2</v>
      </c>
      <c r="D26" s="32">
        <v>0.45</v>
      </c>
      <c r="E26" s="32">
        <v>1.26</v>
      </c>
      <c r="F26" s="32"/>
      <c r="G26" s="33">
        <f t="shared" si="0"/>
        <v>1.1340000000000001</v>
      </c>
      <c r="H26" s="32"/>
      <c r="I26" s="32"/>
      <c r="J26" s="32"/>
      <c r="K26" s="50"/>
    </row>
    <row r="27" spans="1:11" x14ac:dyDescent="0.3">
      <c r="A27" s="73"/>
      <c r="B27" s="31" t="s">
        <v>61</v>
      </c>
      <c r="C27" s="32"/>
      <c r="D27" s="32"/>
      <c r="E27" s="32"/>
      <c r="F27" s="32"/>
      <c r="G27" s="32"/>
      <c r="H27" s="32"/>
      <c r="I27" s="32"/>
      <c r="J27" s="32"/>
      <c r="K27" s="50"/>
    </row>
    <row r="28" spans="1:11" x14ac:dyDescent="0.3">
      <c r="A28" s="73"/>
      <c r="B28" s="77" t="s">
        <v>68</v>
      </c>
      <c r="C28" s="32"/>
      <c r="D28" s="32"/>
      <c r="E28" s="32"/>
      <c r="F28" s="32"/>
      <c r="G28" s="32"/>
      <c r="H28" s="32"/>
      <c r="I28" s="32"/>
      <c r="J28" s="32"/>
      <c r="K28" s="50"/>
    </row>
    <row r="29" spans="1:11" x14ac:dyDescent="0.3">
      <c r="A29" s="73"/>
      <c r="B29" s="31" t="s">
        <v>61</v>
      </c>
      <c r="C29" s="32">
        <v>2</v>
      </c>
      <c r="D29" s="32">
        <v>1.81</v>
      </c>
      <c r="E29" s="32">
        <v>1.33</v>
      </c>
      <c r="F29" s="32"/>
      <c r="G29" s="33">
        <f t="shared" ref="G29:G30" si="1">PRODUCT(C29:F29)</f>
        <v>4.8146000000000004</v>
      </c>
      <c r="H29" s="32"/>
      <c r="I29" s="32"/>
      <c r="J29" s="32"/>
      <c r="K29" s="50"/>
    </row>
    <row r="30" spans="1:11" x14ac:dyDescent="0.3">
      <c r="A30" s="73"/>
      <c r="B30" s="31"/>
      <c r="C30" s="32">
        <v>1</v>
      </c>
      <c r="D30" s="32">
        <v>1.8</v>
      </c>
      <c r="E30" s="32">
        <v>1.35</v>
      </c>
      <c r="F30" s="32"/>
      <c r="G30" s="33">
        <f t="shared" si="1"/>
        <v>2.4300000000000002</v>
      </c>
      <c r="H30" s="32"/>
      <c r="I30" s="32"/>
      <c r="J30" s="32"/>
      <c r="K30" s="50"/>
    </row>
    <row r="31" spans="1:11" ht="15" customHeight="1" x14ac:dyDescent="0.3">
      <c r="A31" s="75"/>
      <c r="B31" s="69" t="s">
        <v>18</v>
      </c>
      <c r="C31" s="70"/>
      <c r="D31" s="65"/>
      <c r="E31" s="68"/>
      <c r="F31" s="68"/>
      <c r="G31" s="67">
        <f>SUM(G11:G30)</f>
        <v>34.900770070100577</v>
      </c>
      <c r="H31" s="71" t="s">
        <v>48</v>
      </c>
      <c r="I31" s="67">
        <v>6997</v>
      </c>
      <c r="J31" s="72">
        <f>G31*I31</f>
        <v>244200.68818049374</v>
      </c>
      <c r="K31" s="12"/>
    </row>
    <row r="32" spans="1:11" x14ac:dyDescent="0.3">
      <c r="A32" s="73"/>
      <c r="B32" s="31" t="s">
        <v>27</v>
      </c>
      <c r="C32" s="32"/>
      <c r="D32" s="32"/>
      <c r="E32" s="32"/>
      <c r="F32" s="32"/>
      <c r="G32" s="32"/>
      <c r="H32" s="32"/>
      <c r="I32" s="32"/>
      <c r="J32" s="72">
        <f>0.13*J31</f>
        <v>31746.089463464188</v>
      </c>
      <c r="K32" s="50"/>
    </row>
    <row r="33" spans="1:11" x14ac:dyDescent="0.3">
      <c r="A33" s="73"/>
      <c r="B33" s="32"/>
      <c r="C33" s="32"/>
      <c r="D33" s="32"/>
      <c r="E33" s="32"/>
      <c r="F33" s="32"/>
      <c r="G33" s="32"/>
      <c r="H33" s="32"/>
      <c r="I33" s="32"/>
      <c r="J33" s="32"/>
      <c r="K33" s="50"/>
    </row>
    <row r="34" spans="1:11" s="53" customFormat="1" ht="54.75" customHeight="1" x14ac:dyDescent="0.3">
      <c r="A34" s="73">
        <v>2</v>
      </c>
      <c r="B34" s="106" t="s">
        <v>49</v>
      </c>
      <c r="C34" s="107"/>
      <c r="D34" s="107"/>
      <c r="E34" s="107"/>
      <c r="F34" s="107"/>
      <c r="G34" s="107"/>
      <c r="H34" s="107"/>
      <c r="I34" s="107"/>
      <c r="J34" s="107"/>
      <c r="K34" s="60"/>
    </row>
    <row r="35" spans="1:11" x14ac:dyDescent="0.3">
      <c r="A35" s="73"/>
      <c r="B35" s="77" t="s">
        <v>59</v>
      </c>
      <c r="C35" s="32"/>
      <c r="D35" s="32"/>
      <c r="E35" s="32"/>
      <c r="F35" s="32"/>
      <c r="G35" s="32"/>
      <c r="H35" s="32"/>
      <c r="I35" s="32"/>
      <c r="J35" s="32"/>
      <c r="K35" s="50"/>
    </row>
    <row r="36" spans="1:11" x14ac:dyDescent="0.3">
      <c r="A36" s="73"/>
      <c r="B36" s="31" t="s">
        <v>50</v>
      </c>
      <c r="C36" s="32">
        <v>1</v>
      </c>
      <c r="D36" s="33">
        <f>0.98</f>
        <v>0.98</v>
      </c>
      <c r="E36" s="33">
        <v>2.0499999999999998</v>
      </c>
      <c r="F36" s="33"/>
      <c r="G36" s="33">
        <f>PRODUCT(C36:F36)</f>
        <v>2.0089999999999999</v>
      </c>
      <c r="H36" s="32"/>
      <c r="I36" s="32"/>
      <c r="J36" s="32"/>
      <c r="K36" s="50"/>
    </row>
    <row r="37" spans="1:11" x14ac:dyDescent="0.3">
      <c r="A37" s="73"/>
      <c r="B37" s="31" t="s">
        <v>51</v>
      </c>
      <c r="C37" s="32">
        <v>1</v>
      </c>
      <c r="D37" s="33">
        <v>0.99</v>
      </c>
      <c r="E37" s="33">
        <v>2.04</v>
      </c>
      <c r="F37" s="33"/>
      <c r="G37" s="33">
        <f>PRODUCT(C37:F37)</f>
        <v>2.0196000000000001</v>
      </c>
      <c r="H37" s="32"/>
      <c r="I37" s="32"/>
      <c r="J37" s="32"/>
      <c r="K37" s="50"/>
    </row>
    <row r="38" spans="1:11" x14ac:dyDescent="0.3">
      <c r="A38" s="73"/>
      <c r="B38" s="31" t="s">
        <v>54</v>
      </c>
      <c r="C38" s="32">
        <v>1</v>
      </c>
      <c r="D38" s="33">
        <v>0.96</v>
      </c>
      <c r="E38" s="33">
        <v>2</v>
      </c>
      <c r="F38" s="33"/>
      <c r="G38" s="33">
        <f t="shared" ref="G38:G48" si="2">PRODUCT(C38:F38)</f>
        <v>1.92</v>
      </c>
      <c r="H38" s="32"/>
      <c r="I38" s="32"/>
      <c r="J38" s="32"/>
      <c r="K38" s="50"/>
    </row>
    <row r="39" spans="1:11" x14ac:dyDescent="0.3">
      <c r="A39" s="73"/>
      <c r="B39" s="31" t="s">
        <v>55</v>
      </c>
      <c r="C39" s="32">
        <v>2</v>
      </c>
      <c r="D39" s="33">
        <v>0.74</v>
      </c>
      <c r="E39" s="33">
        <v>1.9</v>
      </c>
      <c r="F39" s="33"/>
      <c r="G39" s="33">
        <f t="shared" si="2"/>
        <v>2.8119999999999998</v>
      </c>
      <c r="H39" s="32"/>
      <c r="I39" s="32"/>
      <c r="J39" s="32"/>
      <c r="K39" s="50"/>
    </row>
    <row r="40" spans="1:11" x14ac:dyDescent="0.3">
      <c r="A40" s="73"/>
      <c r="B40" s="31" t="s">
        <v>56</v>
      </c>
      <c r="C40" s="32">
        <v>1</v>
      </c>
      <c r="D40" s="33">
        <v>1.01</v>
      </c>
      <c r="E40" s="33">
        <v>2.0299999999999998</v>
      </c>
      <c r="F40" s="33"/>
      <c r="G40" s="33">
        <f t="shared" si="2"/>
        <v>2.0503</v>
      </c>
      <c r="H40" s="32"/>
      <c r="I40" s="32"/>
      <c r="J40" s="32"/>
      <c r="K40" s="50"/>
    </row>
    <row r="41" spans="1:11" x14ac:dyDescent="0.3">
      <c r="A41" s="73"/>
      <c r="B41" s="31" t="s">
        <v>60</v>
      </c>
      <c r="C41" s="32">
        <v>1</v>
      </c>
      <c r="D41" s="33">
        <v>0.97</v>
      </c>
      <c r="E41" s="33">
        <v>2.0499999999999998</v>
      </c>
      <c r="F41" s="33"/>
      <c r="G41" s="33">
        <f t="shared" si="2"/>
        <v>1.9884999999999997</v>
      </c>
      <c r="H41" s="32"/>
      <c r="I41" s="32"/>
      <c r="J41" s="32"/>
      <c r="K41" s="50"/>
    </row>
    <row r="42" spans="1:11" x14ac:dyDescent="0.3">
      <c r="A42" s="73"/>
      <c r="B42" s="31" t="s">
        <v>61</v>
      </c>
      <c r="C42" s="32">
        <v>1</v>
      </c>
      <c r="D42" s="33">
        <v>0.98</v>
      </c>
      <c r="E42" s="33">
        <v>2.0499999999999998</v>
      </c>
      <c r="F42" s="33"/>
      <c r="G42" s="33">
        <f t="shared" si="2"/>
        <v>2.0089999999999999</v>
      </c>
      <c r="H42" s="32"/>
      <c r="I42" s="32"/>
      <c r="J42" s="32"/>
      <c r="K42" s="50"/>
    </row>
    <row r="43" spans="1:11" x14ac:dyDescent="0.3">
      <c r="A43" s="73"/>
      <c r="B43" s="31"/>
      <c r="C43" s="32">
        <v>1</v>
      </c>
      <c r="D43" s="33">
        <v>0.98</v>
      </c>
      <c r="E43" s="33">
        <v>2.08</v>
      </c>
      <c r="F43" s="33"/>
      <c r="G43" s="33">
        <f t="shared" si="2"/>
        <v>2.0384000000000002</v>
      </c>
      <c r="H43" s="32"/>
      <c r="I43" s="32"/>
      <c r="J43" s="32"/>
      <c r="K43" s="50"/>
    </row>
    <row r="44" spans="1:11" x14ac:dyDescent="0.3">
      <c r="A44" s="73"/>
      <c r="B44" s="77" t="s">
        <v>64</v>
      </c>
      <c r="C44" s="32"/>
      <c r="D44" s="32"/>
      <c r="E44" s="32"/>
      <c r="F44" s="32"/>
      <c r="G44" s="32"/>
      <c r="H44" s="32"/>
      <c r="I44" s="32"/>
      <c r="J44" s="32"/>
      <c r="K44" s="50"/>
    </row>
    <row r="45" spans="1:11" x14ac:dyDescent="0.3">
      <c r="A45" s="73"/>
      <c r="B45" s="31" t="s">
        <v>61</v>
      </c>
      <c r="C45" s="32">
        <v>1</v>
      </c>
      <c r="D45" s="32">
        <v>0.98</v>
      </c>
      <c r="E45" s="32">
        <v>2.1</v>
      </c>
      <c r="F45" s="32"/>
      <c r="G45" s="33">
        <f t="shared" si="2"/>
        <v>2.0579999999999998</v>
      </c>
      <c r="H45" s="32"/>
      <c r="I45" s="32"/>
      <c r="J45" s="32"/>
      <c r="K45" s="50"/>
    </row>
    <row r="46" spans="1:11" x14ac:dyDescent="0.3">
      <c r="A46" s="73"/>
      <c r="B46" s="31" t="s">
        <v>65</v>
      </c>
      <c r="C46" s="32">
        <v>1</v>
      </c>
      <c r="D46" s="32">
        <v>0.9</v>
      </c>
      <c r="E46" s="32">
        <v>1.85</v>
      </c>
      <c r="F46" s="32"/>
      <c r="G46" s="33">
        <f t="shared" si="2"/>
        <v>1.665</v>
      </c>
      <c r="H46" s="32"/>
      <c r="I46" s="32"/>
      <c r="J46" s="32"/>
      <c r="K46" s="50"/>
    </row>
    <row r="47" spans="1:11" x14ac:dyDescent="0.3">
      <c r="A47" s="73"/>
      <c r="B47" s="31" t="s">
        <v>66</v>
      </c>
      <c r="C47" s="32">
        <v>1</v>
      </c>
      <c r="D47" s="32">
        <v>1</v>
      </c>
      <c r="E47" s="32">
        <v>2.02</v>
      </c>
      <c r="F47" s="32"/>
      <c r="G47" s="33">
        <f t="shared" si="2"/>
        <v>2.02</v>
      </c>
      <c r="H47" s="32"/>
      <c r="I47" s="32"/>
      <c r="J47" s="32"/>
      <c r="K47" s="50"/>
    </row>
    <row r="48" spans="1:11" x14ac:dyDescent="0.3">
      <c r="A48" s="73"/>
      <c r="B48" s="31" t="s">
        <v>67</v>
      </c>
      <c r="C48" s="32">
        <v>1</v>
      </c>
      <c r="D48" s="32">
        <v>0.99</v>
      </c>
      <c r="E48" s="32">
        <v>2.08</v>
      </c>
      <c r="F48" s="32"/>
      <c r="G48" s="33">
        <f t="shared" si="2"/>
        <v>2.0592000000000001</v>
      </c>
      <c r="H48" s="32"/>
      <c r="I48" s="32"/>
      <c r="J48" s="32"/>
      <c r="K48" s="50"/>
    </row>
    <row r="49" spans="1:11" x14ac:dyDescent="0.3">
      <c r="A49" s="73"/>
      <c r="B49" s="77" t="s">
        <v>68</v>
      </c>
      <c r="C49" s="32"/>
      <c r="D49" s="32"/>
      <c r="E49" s="32"/>
      <c r="F49" s="32"/>
      <c r="G49" s="32"/>
      <c r="H49" s="32"/>
      <c r="I49" s="32"/>
      <c r="J49" s="32"/>
      <c r="K49" s="50"/>
    </row>
    <row r="50" spans="1:11" x14ac:dyDescent="0.3">
      <c r="A50" s="73"/>
      <c r="B50" s="31" t="s">
        <v>61</v>
      </c>
      <c r="C50" s="32">
        <v>1</v>
      </c>
      <c r="D50" s="32">
        <v>0.99</v>
      </c>
      <c r="E50" s="32">
        <v>2.68</v>
      </c>
      <c r="F50" s="32"/>
      <c r="G50" s="33">
        <f t="shared" ref="G50:G51" si="3">PRODUCT(C50:F50)</f>
        <v>2.6532</v>
      </c>
      <c r="H50" s="32"/>
      <c r="I50" s="32"/>
      <c r="J50" s="32"/>
      <c r="K50" s="50"/>
    </row>
    <row r="51" spans="1:11" x14ac:dyDescent="0.3">
      <c r="A51" s="73"/>
      <c r="B51" s="31"/>
      <c r="C51" s="32">
        <v>2</v>
      </c>
      <c r="D51" s="32">
        <v>0.95</v>
      </c>
      <c r="E51" s="32">
        <v>2.08</v>
      </c>
      <c r="F51" s="32"/>
      <c r="G51" s="33">
        <f t="shared" si="3"/>
        <v>3.952</v>
      </c>
      <c r="H51" s="32"/>
      <c r="I51" s="32"/>
      <c r="J51" s="32"/>
      <c r="K51" s="50"/>
    </row>
    <row r="52" spans="1:11" ht="15" customHeight="1" x14ac:dyDescent="0.3">
      <c r="A52" s="75"/>
      <c r="B52" s="69" t="s">
        <v>18</v>
      </c>
      <c r="C52" s="70"/>
      <c r="D52" s="65"/>
      <c r="E52" s="68"/>
      <c r="F52" s="68"/>
      <c r="G52" s="67">
        <f>SUM(G36:G51)</f>
        <v>31.254199999999997</v>
      </c>
      <c r="H52" s="71" t="s">
        <v>48</v>
      </c>
      <c r="I52" s="67">
        <v>8744</v>
      </c>
      <c r="J52" s="72">
        <f>G52*I52</f>
        <v>273286.72479999997</v>
      </c>
      <c r="K52" s="12"/>
    </row>
    <row r="53" spans="1:11" x14ac:dyDescent="0.3">
      <c r="A53" s="73"/>
      <c r="B53" s="31" t="s">
        <v>27</v>
      </c>
      <c r="C53" s="32"/>
      <c r="D53" s="32"/>
      <c r="E53" s="32"/>
      <c r="F53" s="32"/>
      <c r="G53" s="32"/>
      <c r="H53" s="32"/>
      <c r="I53" s="32"/>
      <c r="J53" s="72">
        <f>0.13*J52</f>
        <v>35527.274223999993</v>
      </c>
      <c r="K53" s="50"/>
    </row>
    <row r="54" spans="1:11" x14ac:dyDescent="0.3">
      <c r="A54" s="73"/>
      <c r="B54" s="32"/>
      <c r="C54" s="32"/>
      <c r="D54" s="32"/>
      <c r="E54" s="32"/>
      <c r="F54" s="32"/>
      <c r="G54" s="32"/>
      <c r="H54" s="32"/>
      <c r="I54" s="32"/>
      <c r="J54" s="32"/>
      <c r="K54" s="50"/>
    </row>
    <row r="55" spans="1:11" x14ac:dyDescent="0.3">
      <c r="A55" s="73">
        <v>3</v>
      </c>
      <c r="B55" s="76" t="s">
        <v>52</v>
      </c>
      <c r="C55" s="32"/>
      <c r="D55" s="32"/>
      <c r="E55" s="32"/>
      <c r="F55" s="32"/>
      <c r="G55" s="32"/>
      <c r="H55" s="32"/>
      <c r="I55" s="32"/>
      <c r="J55" s="32"/>
      <c r="K55" s="50"/>
    </row>
    <row r="56" spans="1:11" x14ac:dyDescent="0.3">
      <c r="A56" s="73"/>
      <c r="B56" s="77" t="s">
        <v>59</v>
      </c>
      <c r="C56" s="32"/>
      <c r="D56" s="32"/>
      <c r="E56" s="32"/>
      <c r="F56" s="32"/>
      <c r="G56" s="32"/>
      <c r="H56" s="32"/>
      <c r="I56" s="32"/>
      <c r="J56" s="32"/>
      <c r="K56" s="50"/>
    </row>
    <row r="57" spans="1:11" x14ac:dyDescent="0.3">
      <c r="A57" s="73"/>
      <c r="B57" s="31" t="s">
        <v>53</v>
      </c>
      <c r="C57" s="32">
        <v>1</v>
      </c>
      <c r="D57" s="33">
        <v>1.22</v>
      </c>
      <c r="E57" s="33">
        <v>0.53</v>
      </c>
      <c r="F57" s="33"/>
      <c r="G57" s="33">
        <f>PRODUCT(C57:F57)</f>
        <v>0.64660000000000006</v>
      </c>
      <c r="H57" s="32"/>
      <c r="I57" s="32"/>
      <c r="J57" s="32"/>
      <c r="K57" s="50"/>
    </row>
    <row r="58" spans="1:11" x14ac:dyDescent="0.3">
      <c r="A58" s="73"/>
      <c r="B58" s="31"/>
      <c r="C58" s="32">
        <v>1</v>
      </c>
      <c r="D58" s="33">
        <v>1.2</v>
      </c>
      <c r="E58" s="33">
        <v>0.53</v>
      </c>
      <c r="F58" s="33"/>
      <c r="G58" s="33">
        <f t="shared" ref="G58:G67" si="4">PRODUCT(C58:F58)</f>
        <v>0.63600000000000001</v>
      </c>
      <c r="H58" s="32"/>
      <c r="I58" s="32"/>
      <c r="J58" s="32"/>
      <c r="K58" s="50"/>
    </row>
    <row r="59" spans="1:11" x14ac:dyDescent="0.3">
      <c r="A59" s="49"/>
      <c r="B59" s="31"/>
      <c r="C59" s="32">
        <v>1</v>
      </c>
      <c r="D59" s="33">
        <v>1.2</v>
      </c>
      <c r="E59" s="33">
        <v>1.1599999999999999</v>
      </c>
      <c r="F59" s="33"/>
      <c r="G59" s="33">
        <f t="shared" si="4"/>
        <v>1.3919999999999999</v>
      </c>
      <c r="H59" s="32"/>
      <c r="I59" s="32"/>
      <c r="J59" s="32"/>
      <c r="K59" s="50"/>
    </row>
    <row r="60" spans="1:11" x14ac:dyDescent="0.3">
      <c r="A60" s="49"/>
      <c r="B60" s="31"/>
      <c r="C60" s="32">
        <v>1</v>
      </c>
      <c r="D60" s="33">
        <v>1.19</v>
      </c>
      <c r="E60" s="33">
        <v>0.52</v>
      </c>
      <c r="F60" s="33"/>
      <c r="G60" s="33">
        <f t="shared" si="4"/>
        <v>0.61880000000000002</v>
      </c>
      <c r="H60" s="32"/>
      <c r="I60" s="32"/>
      <c r="J60" s="32"/>
      <c r="K60" s="50"/>
    </row>
    <row r="61" spans="1:11" x14ac:dyDescent="0.3">
      <c r="A61" s="49"/>
      <c r="B61" s="31" t="s">
        <v>54</v>
      </c>
      <c r="C61" s="32">
        <v>1</v>
      </c>
      <c r="D61" s="33">
        <v>0.73</v>
      </c>
      <c r="E61" s="33">
        <v>1.31</v>
      </c>
      <c r="F61" s="33"/>
      <c r="G61" s="33">
        <f t="shared" si="4"/>
        <v>0.95630000000000004</v>
      </c>
      <c r="H61" s="32"/>
      <c r="I61" s="32"/>
      <c r="J61" s="32"/>
      <c r="K61" s="50"/>
    </row>
    <row r="62" spans="1:11" x14ac:dyDescent="0.3">
      <c r="A62" s="49"/>
      <c r="B62" s="31"/>
      <c r="C62" s="32">
        <v>1</v>
      </c>
      <c r="D62" s="33">
        <v>1.8</v>
      </c>
      <c r="E62" s="33">
        <v>1.33</v>
      </c>
      <c r="F62" s="33"/>
      <c r="G62" s="33">
        <f t="shared" si="4"/>
        <v>2.3940000000000001</v>
      </c>
      <c r="H62" s="32"/>
      <c r="I62" s="32"/>
      <c r="J62" s="32"/>
      <c r="K62" s="50"/>
    </row>
    <row r="63" spans="1:11" x14ac:dyDescent="0.3">
      <c r="A63" s="49"/>
      <c r="B63" s="31" t="s">
        <v>60</v>
      </c>
      <c r="C63" s="32">
        <v>1</v>
      </c>
      <c r="D63" s="33">
        <v>0.9</v>
      </c>
      <c r="E63" s="33">
        <v>0.56999999999999995</v>
      </c>
      <c r="F63" s="33"/>
      <c r="G63" s="33">
        <f t="shared" si="4"/>
        <v>0.51300000000000001</v>
      </c>
      <c r="H63" s="32"/>
      <c r="I63" s="32"/>
      <c r="J63" s="32"/>
      <c r="K63" s="50"/>
    </row>
    <row r="64" spans="1:11" x14ac:dyDescent="0.3">
      <c r="A64" s="73"/>
      <c r="B64" s="77" t="s">
        <v>64</v>
      </c>
      <c r="C64" s="32"/>
      <c r="D64" s="32"/>
      <c r="E64" s="32"/>
      <c r="F64" s="32"/>
      <c r="G64" s="32"/>
      <c r="H64" s="32"/>
      <c r="I64" s="32"/>
      <c r="J64" s="32"/>
      <c r="K64" s="50"/>
    </row>
    <row r="65" spans="1:11" x14ac:dyDescent="0.3">
      <c r="A65" s="73"/>
      <c r="B65" s="31" t="s">
        <v>61</v>
      </c>
      <c r="C65" s="32">
        <v>1</v>
      </c>
      <c r="D65" s="32">
        <v>0.6</v>
      </c>
      <c r="E65" s="32">
        <v>1.31</v>
      </c>
      <c r="F65" s="32"/>
      <c r="G65" s="33">
        <f t="shared" si="4"/>
        <v>0.78600000000000003</v>
      </c>
      <c r="H65" s="32"/>
      <c r="I65" s="32"/>
      <c r="J65" s="32"/>
      <c r="K65" s="50"/>
    </row>
    <row r="66" spans="1:11" x14ac:dyDescent="0.3">
      <c r="A66" s="73"/>
      <c r="B66" s="31"/>
      <c r="C66" s="32">
        <v>1</v>
      </c>
      <c r="D66" s="32">
        <v>1.8</v>
      </c>
      <c r="E66" s="32">
        <v>1.31</v>
      </c>
      <c r="F66" s="32"/>
      <c r="G66" s="33">
        <f t="shared" si="4"/>
        <v>2.3580000000000001</v>
      </c>
      <c r="H66" s="32"/>
      <c r="I66" s="32"/>
      <c r="J66" s="32"/>
      <c r="K66" s="50"/>
    </row>
    <row r="67" spans="1:11" x14ac:dyDescent="0.3">
      <c r="A67" s="73"/>
      <c r="B67" s="31"/>
      <c r="C67" s="32">
        <v>4</v>
      </c>
      <c r="D67" s="32">
        <v>1.81</v>
      </c>
      <c r="E67" s="32">
        <v>1.31</v>
      </c>
      <c r="F67" s="32"/>
      <c r="G67" s="33">
        <f t="shared" si="4"/>
        <v>9.4844000000000008</v>
      </c>
      <c r="H67" s="32"/>
      <c r="I67" s="32"/>
      <c r="J67" s="32"/>
      <c r="K67" s="50"/>
    </row>
    <row r="68" spans="1:11" x14ac:dyDescent="0.3">
      <c r="A68" s="73"/>
      <c r="B68" s="77" t="s">
        <v>68</v>
      </c>
      <c r="C68" s="32"/>
      <c r="D68" s="32"/>
      <c r="E68" s="32"/>
      <c r="F68" s="32"/>
      <c r="G68" s="32"/>
      <c r="H68" s="32"/>
      <c r="I68" s="32"/>
      <c r="J68" s="32"/>
      <c r="K68" s="50"/>
    </row>
    <row r="69" spans="1:11" x14ac:dyDescent="0.3">
      <c r="A69" s="73"/>
      <c r="B69" s="31" t="s">
        <v>61</v>
      </c>
      <c r="C69" s="32">
        <v>1</v>
      </c>
      <c r="D69" s="32">
        <v>1.2</v>
      </c>
      <c r="E69" s="32">
        <v>1.32</v>
      </c>
      <c r="F69" s="32"/>
      <c r="G69" s="33">
        <f t="shared" ref="G69:G72" si="5">PRODUCT(C69:F69)</f>
        <v>1.5840000000000001</v>
      </c>
      <c r="H69" s="32"/>
      <c r="I69" s="32"/>
      <c r="J69" s="32"/>
      <c r="K69" s="50"/>
    </row>
    <row r="70" spans="1:11" x14ac:dyDescent="0.3">
      <c r="A70" s="73"/>
      <c r="B70" s="31"/>
      <c r="C70" s="32">
        <v>2</v>
      </c>
      <c r="D70" s="32">
        <v>0.8</v>
      </c>
      <c r="E70" s="32">
        <v>2.0299999999999998</v>
      </c>
      <c r="F70" s="32"/>
      <c r="G70" s="32">
        <f t="shared" si="5"/>
        <v>3.2479999999999998</v>
      </c>
      <c r="H70" s="32"/>
      <c r="I70" s="32"/>
      <c r="J70" s="32"/>
      <c r="K70" s="50"/>
    </row>
    <row r="71" spans="1:11" x14ac:dyDescent="0.3">
      <c r="A71" s="73"/>
      <c r="B71" s="31"/>
      <c r="C71" s="32">
        <v>1</v>
      </c>
      <c r="D71" s="32">
        <v>1.78</v>
      </c>
      <c r="E71" s="32">
        <v>1.35</v>
      </c>
      <c r="F71" s="32"/>
      <c r="G71" s="32">
        <f t="shared" si="5"/>
        <v>2.403</v>
      </c>
      <c r="H71" s="32"/>
      <c r="I71" s="32"/>
      <c r="J71" s="32"/>
      <c r="K71" s="50"/>
    </row>
    <row r="72" spans="1:11" x14ac:dyDescent="0.3">
      <c r="A72" s="49"/>
      <c r="B72" s="31" t="s">
        <v>69</v>
      </c>
      <c r="C72" s="32">
        <v>1</v>
      </c>
      <c r="D72" s="33">
        <v>0.92</v>
      </c>
      <c r="E72" s="33">
        <v>0.56999999999999995</v>
      </c>
      <c r="F72" s="33"/>
      <c r="G72" s="33">
        <f t="shared" si="5"/>
        <v>0.52439999999999998</v>
      </c>
      <c r="H72" s="32"/>
      <c r="I72" s="32"/>
      <c r="J72" s="32"/>
      <c r="K72" s="50"/>
    </row>
    <row r="73" spans="1:11" ht="15" customHeight="1" x14ac:dyDescent="0.3">
      <c r="A73" s="8"/>
      <c r="B73" s="69" t="s">
        <v>18</v>
      </c>
      <c r="C73" s="70"/>
      <c r="D73" s="65"/>
      <c r="E73" s="68"/>
      <c r="F73" s="68"/>
      <c r="G73" s="67">
        <f>SUM(G57:G72)</f>
        <v>27.544499999999999</v>
      </c>
      <c r="H73" s="71" t="s">
        <v>19</v>
      </c>
      <c r="I73" s="67">
        <v>850.04</v>
      </c>
      <c r="J73" s="72">
        <f>G73*I73</f>
        <v>23413.926779999998</v>
      </c>
      <c r="K73" s="12"/>
    </row>
    <row r="74" spans="1:11" x14ac:dyDescent="0.3">
      <c r="A74" s="49"/>
      <c r="B74" s="31" t="s">
        <v>27</v>
      </c>
      <c r="C74" s="32"/>
      <c r="D74" s="32"/>
      <c r="E74" s="32"/>
      <c r="F74" s="32"/>
      <c r="G74" s="32"/>
      <c r="H74" s="32"/>
      <c r="I74" s="32"/>
      <c r="J74" s="72">
        <f>0.13*J73</f>
        <v>3043.8104813999998</v>
      </c>
      <c r="K74" s="50"/>
    </row>
    <row r="75" spans="1:11" x14ac:dyDescent="0.3">
      <c r="A75" s="49"/>
      <c r="B75" s="50"/>
      <c r="C75" s="50"/>
      <c r="D75" s="50"/>
      <c r="E75" s="50"/>
      <c r="F75" s="50"/>
      <c r="G75" s="50"/>
      <c r="H75" s="50"/>
      <c r="I75" s="50"/>
      <c r="J75" s="50"/>
      <c r="K75" s="50"/>
    </row>
    <row r="76" spans="1:11" ht="54.75" customHeight="1" x14ac:dyDescent="0.3">
      <c r="A76" s="73">
        <v>4</v>
      </c>
      <c r="B76" s="74" t="s">
        <v>63</v>
      </c>
      <c r="C76" s="32"/>
      <c r="D76" s="32"/>
      <c r="E76" s="32"/>
      <c r="F76" s="32"/>
      <c r="G76" s="32"/>
      <c r="H76" s="32"/>
      <c r="I76" s="32"/>
      <c r="J76" s="32"/>
      <c r="K76" s="50"/>
    </row>
    <row r="77" spans="1:11" x14ac:dyDescent="0.3">
      <c r="A77" s="73"/>
      <c r="B77" s="77" t="s">
        <v>59</v>
      </c>
      <c r="C77" s="32"/>
      <c r="D77" s="32"/>
      <c r="E77" s="32"/>
      <c r="F77" s="32"/>
      <c r="G77" s="32"/>
      <c r="H77" s="32"/>
      <c r="I77" s="32"/>
      <c r="J77" s="32"/>
      <c r="K77" s="50"/>
    </row>
    <row r="78" spans="1:11" x14ac:dyDescent="0.3">
      <c r="A78" s="73"/>
      <c r="B78" s="31" t="s">
        <v>58</v>
      </c>
      <c r="C78" s="32">
        <v>1</v>
      </c>
      <c r="D78" s="33">
        <v>2.5499999999999998</v>
      </c>
      <c r="E78" s="33">
        <v>2.0499999999999998</v>
      </c>
      <c r="F78" s="33"/>
      <c r="G78" s="33">
        <f t="shared" ref="G78" si="6">PRODUCT(C78:F78)</f>
        <v>5.2274999999999991</v>
      </c>
      <c r="H78" s="32"/>
      <c r="I78" s="32"/>
      <c r="J78" s="32"/>
      <c r="K78" s="50"/>
    </row>
    <row r="79" spans="1:11" ht="15" customHeight="1" x14ac:dyDescent="0.3">
      <c r="A79" s="8"/>
      <c r="B79" s="69" t="s">
        <v>18</v>
      </c>
      <c r="C79" s="70"/>
      <c r="D79" s="65"/>
      <c r="E79" s="68"/>
      <c r="F79" s="68"/>
      <c r="G79" s="67">
        <f>SUM(G78:G78)</f>
        <v>5.2274999999999991</v>
      </c>
      <c r="H79" s="71" t="s">
        <v>19</v>
      </c>
      <c r="I79" s="67">
        <v>9036</v>
      </c>
      <c r="J79" s="72">
        <f>G79*I79</f>
        <v>47235.689999999995</v>
      </c>
      <c r="K79" s="12"/>
    </row>
    <row r="80" spans="1:11" x14ac:dyDescent="0.3">
      <c r="A80" s="49"/>
      <c r="B80" s="31" t="s">
        <v>27</v>
      </c>
      <c r="C80" s="32"/>
      <c r="D80" s="32"/>
      <c r="E80" s="32"/>
      <c r="F80" s="32"/>
      <c r="G80" s="32"/>
      <c r="H80" s="32"/>
      <c r="I80" s="32"/>
      <c r="J80" s="72">
        <f>0.13*J79</f>
        <v>6140.6396999999997</v>
      </c>
      <c r="K80" s="50"/>
    </row>
    <row r="81" spans="1:16" x14ac:dyDescent="0.3">
      <c r="A81" s="49"/>
      <c r="B81" s="50"/>
      <c r="C81" s="50"/>
      <c r="D81" s="50"/>
      <c r="E81" s="50"/>
      <c r="F81" s="50"/>
      <c r="G81" s="50"/>
      <c r="H81" s="50"/>
      <c r="I81" s="50"/>
      <c r="J81" s="50"/>
      <c r="K81" s="50"/>
    </row>
    <row r="82" spans="1:16" ht="43.2" x14ac:dyDescent="0.3">
      <c r="A82" s="49">
        <v>5</v>
      </c>
      <c r="B82" s="39" t="s">
        <v>70</v>
      </c>
      <c r="C82" s="60" t="s">
        <v>8</v>
      </c>
      <c r="D82" s="105" t="s">
        <v>71</v>
      </c>
      <c r="E82" s="105" t="s">
        <v>72</v>
      </c>
      <c r="F82" s="105" t="s">
        <v>73</v>
      </c>
      <c r="G82" s="50"/>
      <c r="H82" s="50"/>
      <c r="I82" s="50"/>
      <c r="J82" s="50"/>
      <c r="K82" s="50"/>
    </row>
    <row r="83" spans="1:16" ht="28.8" x14ac:dyDescent="0.3">
      <c r="A83" s="73"/>
      <c r="B83" s="108" t="s">
        <v>75</v>
      </c>
      <c r="C83" s="32">
        <v>7</v>
      </c>
      <c r="D83" s="33">
        <f>(10+1.17)/3.281</f>
        <v>3.4044498628466928</v>
      </c>
      <c r="E83" s="33">
        <v>3.54</v>
      </c>
      <c r="F83" s="33">
        <f>C83*D83*E83</f>
        <v>84.362267601341046</v>
      </c>
      <c r="G83" s="33">
        <f>F83</f>
        <v>84.362267601341046</v>
      </c>
      <c r="H83" s="32"/>
      <c r="I83" s="32"/>
      <c r="J83" s="32"/>
      <c r="K83" s="50"/>
    </row>
    <row r="84" spans="1:16" ht="28.8" x14ac:dyDescent="0.3">
      <c r="A84" s="73"/>
      <c r="B84" s="108" t="s">
        <v>78</v>
      </c>
      <c r="C84" s="32">
        <v>7</v>
      </c>
      <c r="D84" s="33">
        <f>SQRT(D91^2+E91^2)</f>
        <v>2.2188692134350858</v>
      </c>
      <c r="E84" s="33">
        <v>1.83</v>
      </c>
      <c r="F84" s="33">
        <f>C84*D84*E84</f>
        <v>28.42371462410345</v>
      </c>
      <c r="G84" s="33">
        <f>F84</f>
        <v>28.42371462410345</v>
      </c>
      <c r="H84" s="32"/>
      <c r="I84" s="32"/>
      <c r="J84" s="32"/>
      <c r="K84" s="50"/>
    </row>
    <row r="85" spans="1:16" ht="28.8" x14ac:dyDescent="0.3">
      <c r="A85" s="73"/>
      <c r="B85" s="108" t="s">
        <v>79</v>
      </c>
      <c r="C85" s="32">
        <v>1</v>
      </c>
      <c r="D85" s="33">
        <f>2*(PI())*(5/3.281)</f>
        <v>9.5751071429131152</v>
      </c>
      <c r="E85" s="33">
        <v>1.84</v>
      </c>
      <c r="F85" s="33">
        <f>C85*D85*E85</f>
        <v>17.618197142960131</v>
      </c>
      <c r="G85" s="33">
        <f>F85</f>
        <v>17.618197142960131</v>
      </c>
      <c r="H85" s="32"/>
      <c r="I85" s="32"/>
      <c r="J85" s="32"/>
      <c r="K85" s="50"/>
    </row>
    <row r="86" spans="1:16" x14ac:dyDescent="0.3">
      <c r="A86" s="73"/>
      <c r="B86" s="108"/>
      <c r="C86" s="32">
        <v>1</v>
      </c>
      <c r="D86" s="33">
        <f>2*(PI())*((5/2)/3.281)</f>
        <v>4.7875535714565576</v>
      </c>
      <c r="E86" s="33">
        <v>2.84</v>
      </c>
      <c r="F86" s="33">
        <f>C86*D86*E86</f>
        <v>13.596652142936623</v>
      </c>
      <c r="G86" s="33">
        <f>F86</f>
        <v>13.596652142936623</v>
      </c>
      <c r="H86" s="32"/>
      <c r="I86" s="32"/>
      <c r="J86" s="32"/>
      <c r="K86" s="50"/>
    </row>
    <row r="87" spans="1:16" ht="15" customHeight="1" x14ac:dyDescent="0.3">
      <c r="A87" s="8"/>
      <c r="B87" s="69" t="s">
        <v>18</v>
      </c>
      <c r="C87" s="70"/>
      <c r="D87" s="65"/>
      <c r="E87" s="68"/>
      <c r="F87" s="68"/>
      <c r="G87" s="67">
        <f>SUM(G83:G85)</f>
        <v>130.40417936840464</v>
      </c>
      <c r="H87" s="71" t="s">
        <v>77</v>
      </c>
      <c r="I87" s="67">
        <f>3456.96/18.94</f>
        <v>182.52164730728614</v>
      </c>
      <c r="J87" s="72">
        <f>G87*I87</f>
        <v>23801.585634076033</v>
      </c>
      <c r="K87" s="12"/>
    </row>
    <row r="88" spans="1:16" x14ac:dyDescent="0.3">
      <c r="A88" s="49"/>
      <c r="B88" s="31" t="s">
        <v>27</v>
      </c>
      <c r="C88" s="32"/>
      <c r="D88" s="32"/>
      <c r="E88" s="32"/>
      <c r="F88" s="32"/>
      <c r="G88" s="32"/>
      <c r="H88" s="32"/>
      <c r="I88" s="32"/>
      <c r="J88" s="72">
        <f>0.13*G87*1871.42/18.94</f>
        <v>1675.0437495232618</v>
      </c>
      <c r="K88" s="50"/>
    </row>
    <row r="89" spans="1:16" x14ac:dyDescent="0.3">
      <c r="A89" s="49"/>
      <c r="B89" s="50"/>
      <c r="C89" s="50"/>
      <c r="D89" s="50"/>
      <c r="E89" s="50"/>
      <c r="F89" s="50"/>
      <c r="G89" s="50"/>
      <c r="H89" s="50"/>
      <c r="I89" s="50"/>
      <c r="J89" s="50"/>
      <c r="K89" s="50"/>
    </row>
    <row r="90" spans="1:16" ht="45.6" x14ac:dyDescent="0.3">
      <c r="A90" s="49">
        <v>6</v>
      </c>
      <c r="B90" s="109" t="s">
        <v>74</v>
      </c>
      <c r="C90" s="50"/>
      <c r="D90" s="50"/>
      <c r="E90" s="50"/>
      <c r="F90" s="50"/>
      <c r="G90" s="50"/>
      <c r="H90" s="50"/>
      <c r="I90" s="50"/>
      <c r="J90" s="50"/>
      <c r="K90" s="50"/>
    </row>
    <row r="91" spans="1:16" x14ac:dyDescent="0.3">
      <c r="A91" s="73"/>
      <c r="B91" s="31" t="s">
        <v>76</v>
      </c>
      <c r="C91" s="32">
        <v>1</v>
      </c>
      <c r="D91" s="33">
        <f>7/3.281</f>
        <v>2.1334958854007922</v>
      </c>
      <c r="E91" s="33">
        <f>2/3.281</f>
        <v>0.6095702529716549</v>
      </c>
      <c r="F91" s="33"/>
      <c r="G91" s="33">
        <f>PI()*D91*SQRT(D91^2+E91^2)</f>
        <v>14.872137318326605</v>
      </c>
      <c r="H91" s="32"/>
      <c r="I91" s="32"/>
      <c r="J91" s="32"/>
      <c r="K91" s="50"/>
      <c r="M91" s="33">
        <f>7</f>
        <v>7</v>
      </c>
      <c r="N91" s="33">
        <f>2</f>
        <v>2</v>
      </c>
      <c r="O91" s="33"/>
      <c r="P91" s="33">
        <f>PI()*M91*SQRT(M91^2+N91^2)</f>
        <v>160.09797821843054</v>
      </c>
    </row>
    <row r="92" spans="1:16" ht="15" customHeight="1" x14ac:dyDescent="0.3">
      <c r="A92" s="8"/>
      <c r="B92" s="69" t="s">
        <v>18</v>
      </c>
      <c r="C92" s="70"/>
      <c r="D92" s="65"/>
      <c r="E92" s="68"/>
      <c r="F92" s="68"/>
      <c r="G92" s="67">
        <f>SUM(G91:G91)</f>
        <v>14.872137318326605</v>
      </c>
      <c r="H92" s="71" t="s">
        <v>19</v>
      </c>
      <c r="I92" s="67">
        <v>1074.98</v>
      </c>
      <c r="J92" s="72">
        <f>G92*I92</f>
        <v>15987.250174454733</v>
      </c>
      <c r="K92" s="12"/>
    </row>
    <row r="93" spans="1:16" x14ac:dyDescent="0.3">
      <c r="A93" s="49"/>
      <c r="B93" s="31" t="s">
        <v>27</v>
      </c>
      <c r="C93" s="32"/>
      <c r="D93" s="32"/>
      <c r="E93" s="32"/>
      <c r="F93" s="32"/>
      <c r="G93" s="32"/>
      <c r="H93" s="32"/>
      <c r="I93" s="32"/>
      <c r="J93" s="72">
        <f>0.13*G92*(8211.62)/10</f>
        <v>1587.6164231969228</v>
      </c>
      <c r="K93" s="50"/>
    </row>
    <row r="94" spans="1:16" x14ac:dyDescent="0.3">
      <c r="A94" s="49"/>
      <c r="B94" s="50"/>
      <c r="C94" s="50"/>
      <c r="D94" s="50"/>
      <c r="E94" s="50"/>
      <c r="F94" s="50"/>
      <c r="G94" s="50"/>
      <c r="H94" s="50"/>
      <c r="I94" s="50"/>
      <c r="J94" s="50"/>
      <c r="K94" s="50"/>
    </row>
    <row r="95" spans="1:16" ht="28.8" x14ac:dyDescent="0.3">
      <c r="A95" s="49">
        <v>7</v>
      </c>
      <c r="B95" s="104" t="s">
        <v>80</v>
      </c>
      <c r="C95" s="10">
        <v>1</v>
      </c>
      <c r="D95" s="11"/>
      <c r="E95" s="12"/>
      <c r="F95" s="12"/>
      <c r="G95" s="14">
        <f t="shared" ref="G95" si="7">PRODUCT(C95:F95)</f>
        <v>1</v>
      </c>
      <c r="H95" s="14" t="s">
        <v>81</v>
      </c>
      <c r="I95" s="13">
        <v>20000</v>
      </c>
      <c r="J95" s="14">
        <f>G95*I95</f>
        <v>20000</v>
      </c>
      <c r="K95" s="50"/>
    </row>
    <row r="96" spans="1:16" x14ac:dyDescent="0.3">
      <c r="A96" s="49"/>
      <c r="B96" s="50"/>
      <c r="C96" s="50"/>
      <c r="D96" s="50"/>
      <c r="E96" s="50"/>
      <c r="F96" s="50"/>
      <c r="G96" s="50"/>
      <c r="H96" s="50"/>
      <c r="I96" s="50"/>
      <c r="J96" s="50"/>
      <c r="K96" s="50"/>
    </row>
    <row r="97" spans="1:19" ht="15" customHeight="1" x14ac:dyDescent="0.3">
      <c r="A97" s="8">
        <v>8</v>
      </c>
      <c r="B97" s="7" t="s">
        <v>20</v>
      </c>
      <c r="C97" s="10">
        <v>1</v>
      </c>
      <c r="D97" s="11"/>
      <c r="E97" s="12"/>
      <c r="F97" s="12"/>
      <c r="G97" s="14">
        <f t="shared" ref="G97" si="8">PRODUCT(C97:F97)</f>
        <v>1</v>
      </c>
      <c r="H97" s="14" t="s">
        <v>21</v>
      </c>
      <c r="I97" s="13">
        <v>500</v>
      </c>
      <c r="J97" s="14">
        <f>G97*I97</f>
        <v>500</v>
      </c>
      <c r="K97" s="12"/>
    </row>
    <row r="98" spans="1:19" ht="11.25" customHeight="1" x14ac:dyDescent="0.3">
      <c r="A98" s="8"/>
      <c r="B98" s="21"/>
      <c r="C98" s="10"/>
      <c r="D98" s="11"/>
      <c r="E98" s="12"/>
      <c r="F98" s="12"/>
      <c r="G98" s="13"/>
      <c r="H98" s="14"/>
      <c r="I98" s="13"/>
      <c r="J98" s="51"/>
      <c r="K98" s="12"/>
    </row>
    <row r="99" spans="1:19" x14ac:dyDescent="0.3">
      <c r="A99" s="54"/>
      <c r="B99" s="55" t="s">
        <v>23</v>
      </c>
      <c r="C99" s="56"/>
      <c r="D99" s="57"/>
      <c r="E99" s="57"/>
      <c r="F99" s="57"/>
      <c r="G99" s="51"/>
      <c r="H99" s="51"/>
      <c r="I99" s="51"/>
      <c r="J99" s="51">
        <f>SUM(J31:J97)</f>
        <v>728146.33961060888</v>
      </c>
      <c r="K99" s="58"/>
    </row>
    <row r="100" spans="1:19" x14ac:dyDescent="0.3">
      <c r="M100" s="53"/>
      <c r="N100" s="53"/>
      <c r="O100" s="53"/>
      <c r="P100" s="53"/>
      <c r="Q100" s="53"/>
      <c r="R100" s="53"/>
      <c r="S100" s="53"/>
    </row>
    <row r="101" spans="1:19" s="53" customFormat="1" x14ac:dyDescent="0.3">
      <c r="A101" s="59"/>
      <c r="B101" s="60" t="s">
        <v>22</v>
      </c>
      <c r="C101" s="97">
        <f>J99</f>
        <v>728146.33961060888</v>
      </c>
      <c r="D101" s="98"/>
      <c r="E101" s="42">
        <v>100</v>
      </c>
      <c r="F101" s="59"/>
      <c r="G101" s="61"/>
      <c r="H101" s="59"/>
      <c r="I101" s="62"/>
      <c r="J101" s="63"/>
      <c r="K101" s="64"/>
      <c r="M101" s="52"/>
      <c r="N101" s="52"/>
      <c r="O101" s="52"/>
      <c r="P101" s="52"/>
      <c r="Q101" s="52"/>
      <c r="R101" s="52"/>
      <c r="S101" s="52"/>
    </row>
    <row r="102" spans="1:19" x14ac:dyDescent="0.3">
      <c r="B102" s="60" t="s">
        <v>33</v>
      </c>
      <c r="C102" s="101">
        <v>650000</v>
      </c>
      <c r="D102" s="102"/>
      <c r="E102" s="42"/>
    </row>
    <row r="103" spans="1:19" x14ac:dyDescent="0.3">
      <c r="B103" s="60" t="s">
        <v>34</v>
      </c>
      <c r="C103" s="101">
        <f>C102-C105-C106</f>
        <v>617500</v>
      </c>
      <c r="D103" s="102"/>
      <c r="E103" s="42">
        <f>C103/C101*100</f>
        <v>84.804381538224959</v>
      </c>
    </row>
    <row r="104" spans="1:19" x14ac:dyDescent="0.3">
      <c r="B104" s="60" t="s">
        <v>45</v>
      </c>
      <c r="C104" s="103">
        <f>C101-C103</f>
        <v>110646.33961060888</v>
      </c>
      <c r="D104" s="103"/>
      <c r="E104" s="42">
        <f>100-E103</f>
        <v>15.195618461775041</v>
      </c>
    </row>
    <row r="105" spans="1:19" x14ac:dyDescent="0.3">
      <c r="B105" s="60" t="s">
        <v>35</v>
      </c>
      <c r="C105" s="97">
        <f>C102*0.03</f>
        <v>19500</v>
      </c>
      <c r="D105" s="98"/>
      <c r="E105" s="42">
        <v>3</v>
      </c>
    </row>
    <row r="106" spans="1:19" x14ac:dyDescent="0.3">
      <c r="B106" s="60" t="s">
        <v>36</v>
      </c>
      <c r="C106" s="97">
        <f>C102*0.02</f>
        <v>13000</v>
      </c>
      <c r="D106" s="98"/>
      <c r="E106" s="42">
        <v>2</v>
      </c>
    </row>
  </sheetData>
  <mergeCells count="15">
    <mergeCell ref="C105:D105"/>
    <mergeCell ref="C106:D106"/>
    <mergeCell ref="A7:F7"/>
    <mergeCell ref="H7:K7"/>
    <mergeCell ref="C101:D101"/>
    <mergeCell ref="C102:D102"/>
    <mergeCell ref="C103:D103"/>
    <mergeCell ref="C104:D104"/>
    <mergeCell ref="A6:F6"/>
    <mergeCell ref="H6:K6"/>
    <mergeCell ref="A1:K1"/>
    <mergeCell ref="A2:K2"/>
    <mergeCell ref="A3:K3"/>
    <mergeCell ref="A4:K4"/>
    <mergeCell ref="A5:K5"/>
  </mergeCells>
  <pageMargins left="0.70866141732283472" right="0.70866141732283472" top="0.74803149606299213" bottom="0.74803149606299213" header="0.31496062992125984" footer="0.31496062992125984"/>
  <pageSetup paperSize="9" scale="80" orientation="portrait" verticalDpi="1200" r:id="rId1"/>
  <headerFooter>
    <oddFooter>&amp;LPrepared By:&amp;CChecked By:&amp;RApproved By:</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Estimate (4)</vt:lpstr>
      <vt:lpstr>Police sector contribution</vt:lpstr>
      <vt:lpstr>Police sector contribution (2)</vt:lpstr>
      <vt:lpstr>'Estimate (4)'!Print_Area</vt:lpstr>
      <vt:lpstr>'Police sector contribution'!Print_Area</vt:lpstr>
      <vt:lpstr>'Police sector contribution (2)'!Print_Area</vt:lpstr>
      <vt:lpstr>'Police sector contribution (2)'!Print_Titles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2025-09-23T02:17:59Z</dcterms:modified>
</cp:coreProperties>
</file>