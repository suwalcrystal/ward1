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defaultThemeVersion="124226"/>
  <xr:revisionPtr revIDLastSave="0" documentId="13_ncr:1_{79861A70-6D4D-4A5F-9226-CC3A51AB488C}"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estimate!$A$1:$K$56</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12" l="1"/>
  <c r="J45" i="12" s="1"/>
  <c r="E18" i="12" l="1"/>
  <c r="E12" i="12" s="1"/>
  <c r="F27" i="12"/>
  <c r="D38" i="12"/>
  <c r="D27" i="12" s="1"/>
  <c r="D36" i="12"/>
  <c r="D18" i="12" l="1"/>
  <c r="G18" i="12" s="1"/>
  <c r="G27" i="12"/>
  <c r="G38" i="12"/>
  <c r="D12" i="12"/>
  <c r="G12" i="12" s="1"/>
  <c r="D11" i="12"/>
  <c r="E11" i="12"/>
  <c r="E17" i="12"/>
  <c r="D17" i="12"/>
  <c r="E25" i="12"/>
  <c r="D25" i="12"/>
  <c r="D26" i="12" s="1"/>
  <c r="G26" i="12" s="1"/>
  <c r="E37" i="12"/>
  <c r="G37" i="12" s="1"/>
  <c r="D10" i="12"/>
  <c r="D16" i="12"/>
  <c r="D23" i="12"/>
  <c r="E10" i="12"/>
  <c r="G17" i="12" l="1"/>
  <c r="G11" i="12"/>
  <c r="G25" i="12"/>
  <c r="C55" i="12"/>
  <c r="E36" i="12" l="1"/>
  <c r="N36" i="12"/>
  <c r="M36" i="12"/>
  <c r="N23" i="12"/>
  <c r="M23" i="12"/>
  <c r="D24" i="12"/>
  <c r="G24" i="12" s="1"/>
  <c r="B16" i="12"/>
  <c r="B23" i="12" s="1"/>
  <c r="B36" i="12" s="1"/>
  <c r="E16" i="12"/>
  <c r="N16" i="12"/>
  <c r="M16" i="12"/>
  <c r="P23" i="12" l="1"/>
  <c r="P36" i="12"/>
  <c r="G36" i="12"/>
  <c r="G39" i="12" s="1"/>
  <c r="G10" i="12"/>
  <c r="G13" i="12" s="1"/>
  <c r="P16" i="12"/>
  <c r="G16" i="12"/>
  <c r="G19" i="12" s="1"/>
  <c r="E23" i="12"/>
  <c r="G23" i="12" s="1"/>
  <c r="G28" i="12" s="1"/>
  <c r="J32" i="12" l="1"/>
  <c r="J43" i="12"/>
  <c r="J39" i="12"/>
  <c r="J19" i="12"/>
  <c r="J20" i="12"/>
  <c r="J42" i="12" l="1"/>
  <c r="J40" i="12"/>
  <c r="J29" i="12"/>
  <c r="J28" i="12"/>
  <c r="J33" i="12"/>
  <c r="J30" i="12"/>
  <c r="J31" i="12"/>
  <c r="J41" i="12"/>
  <c r="N10" i="12"/>
  <c r="M10" i="12"/>
  <c r="P10" i="12" l="1"/>
  <c r="J13" i="12" l="1"/>
  <c r="C56" i="12"/>
  <c r="C53" i="12" s="1"/>
  <c r="G47" i="12"/>
  <c r="J47" i="12" s="1"/>
  <c r="J49" i="12" l="1"/>
  <c r="C51" i="12" s="1"/>
  <c r="C54" i="12" s="1"/>
  <c r="E53" i="12" l="1"/>
  <c r="E54" i="12" s="1"/>
</calcChain>
</file>

<file path=xl/sharedStrings.xml><?xml version="1.0" encoding="utf-8"?>
<sst xmlns="http://schemas.openxmlformats.org/spreadsheetml/2006/main" count="54" uniqueCount="44">
  <si>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</si>
  <si>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</si>
  <si>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</si>
  <si>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</si>
  <si>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</si>
  <si>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</si>
  <si>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</si>
  <si>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</si>
  <si>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</si>
  <si>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</si>
  <si>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</si>
  <si>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</si>
  <si>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</si>
  <si>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</si>
  <si>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</si>
  <si>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</si>
  <si>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</si>
  <si>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</si>
  <si>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</si>
  <si>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</si>
  <si>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</si>
  <si>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</si>
  <si>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</si>
  <si>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</si>
  <si>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</si>
  <si>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</si>
  <si>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</si>
  <si>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</si>
  <si>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</si>
  <si>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</si>
  <si>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</si>
  <si>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</si>
  <si>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</si>
  <si>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</si>
  <si>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</si>
  <si>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</si>
  <si>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</si>
  <si>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</si>
  <si>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</si>
  <si>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-13% VAT for water</t>
  </si>
  <si>
    <t>User contribution</t>
  </si>
  <si>
    <r>
      <t xml:space="preserve">Project:- </t>
    </r>
    <r>
      <rPr>
        <sz val="12"/>
        <rFont val="Preeti"/>
      </rPr>
      <t>b]jL:yfg vfgL8fF8f l;+rfO{</t>
    </r>
  </si>
  <si>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</si>
  <si>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Provisional sum for unforseen works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</si>
</sst>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6"/>
  <sheetViews>
    <sheetView tabSelected="1" view="pageBreakPreview" topLeftCell="A41" zoomScale="95" zoomScaleNormal="90" zoomScaleSheetLayoutView="95" workbookViewId="0">
      <selection activeCell="I45" sqref="I45"/>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41</v>
      </c>
      <c r="B6" s="37"/>
      <c r="C6" s="37"/>
      <c r="D6" s="37"/>
      <c r="E6" s="37"/>
      <c r="F6" s="37"/>
      <c r="G6" s="10"/>
      <c r="H6" s="38" t="s">
        <v>29</v>
      </c>
      <c r="I6" s="38"/>
      <c r="J6" s="38"/>
      <c r="K6" s="38"/>
    </row>
    <row r="7" spans="1:16" ht="15.75" x14ac:dyDescent="0.25">
      <c r="A7" s="45" t="s">
        <v>5</v>
      </c>
      <c r="B7" s="45"/>
      <c r="C7" s="45"/>
      <c r="D7" s="45"/>
      <c r="E7" s="45"/>
      <c r="F7" s="45"/>
      <c r="G7" s="11"/>
      <c r="H7" s="46" t="s">
        <v>23</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42</v>
      </c>
      <c r="C9" s="17"/>
      <c r="D9" s="17"/>
      <c r="E9" s="17"/>
      <c r="F9" s="17"/>
      <c r="G9" s="17"/>
      <c r="H9" s="17"/>
      <c r="I9" s="17"/>
      <c r="J9" s="17"/>
      <c r="K9" s="17"/>
    </row>
    <row r="10" spans="1:16" x14ac:dyDescent="0.25">
      <c r="A10" s="16"/>
      <c r="B10" s="32" t="s">
        <v>30</v>
      </c>
      <c r="C10" s="17">
        <v>1</v>
      </c>
      <c r="D10" s="33">
        <f>D36</f>
        <v>12.5</v>
      </c>
      <c r="E10" s="33">
        <f>F36/2</f>
        <v>1.5</v>
      </c>
      <c r="F10" s="33">
        <v>0.6</v>
      </c>
      <c r="G10" s="33">
        <f>PRODUCT(C10:F10)</f>
        <v>11.25</v>
      </c>
      <c r="H10" s="17"/>
      <c r="I10" s="17"/>
      <c r="J10" s="17"/>
      <c r="K10" s="17"/>
      <c r="M10" s="33">
        <f>7</f>
        <v>7</v>
      </c>
      <c r="N10" s="33">
        <f>2</f>
        <v>2</v>
      </c>
      <c r="O10" s="33"/>
      <c r="P10" s="33">
        <f>PI()*M10*SQRT(M10^2+N10^2)</f>
        <v>160.09797821843054</v>
      </c>
    </row>
    <row r="11" spans="1:16" x14ac:dyDescent="0.25">
      <c r="A11" s="16"/>
      <c r="B11" s="32"/>
      <c r="C11" s="17">
        <v>1</v>
      </c>
      <c r="D11" s="33">
        <f>D37</f>
        <v>12</v>
      </c>
      <c r="E11" s="33">
        <f>F37/2</f>
        <v>1.25</v>
      </c>
      <c r="F11" s="33">
        <v>0.6</v>
      </c>
      <c r="G11" s="33">
        <f>PRODUCT(C11:F11)</f>
        <v>9</v>
      </c>
      <c r="H11" s="17"/>
      <c r="I11" s="17"/>
      <c r="J11" s="17"/>
      <c r="K11" s="17"/>
      <c r="M11" s="36"/>
      <c r="N11" s="36"/>
      <c r="O11" s="36"/>
      <c r="P11" s="36"/>
    </row>
    <row r="12" spans="1:16" x14ac:dyDescent="0.25">
      <c r="A12" s="16"/>
      <c r="B12" s="32"/>
      <c r="C12" s="17">
        <v>1</v>
      </c>
      <c r="D12" s="33">
        <f>D38</f>
        <v>15</v>
      </c>
      <c r="E12" s="33">
        <f>E18</f>
        <v>0.5</v>
      </c>
      <c r="F12" s="33">
        <v>0.3</v>
      </c>
      <c r="G12" s="33">
        <f>PRODUCT(C12:F12)</f>
        <v>2.25</v>
      </c>
      <c r="H12" s="17"/>
      <c r="I12" s="17"/>
      <c r="J12" s="17"/>
      <c r="K12" s="17"/>
      <c r="M12" s="36"/>
      <c r="N12" s="36"/>
      <c r="O12" s="36"/>
      <c r="P12" s="36"/>
    </row>
    <row r="13" spans="1:16" ht="15" customHeight="1" x14ac:dyDescent="0.25">
      <c r="A13" s="2"/>
      <c r="B13" s="34" t="s">
        <v>17</v>
      </c>
      <c r="C13" s="3"/>
      <c r="D13" s="4"/>
      <c r="E13" s="5"/>
      <c r="F13" s="5"/>
      <c r="G13" s="6">
        <f>SUM(G10:G12)</f>
        <v>22.5</v>
      </c>
      <c r="H13" s="7" t="s">
        <v>18</v>
      </c>
      <c r="I13" s="6">
        <v>748.9</v>
      </c>
      <c r="J13" s="18">
        <f>G13*I13</f>
        <v>16850.25</v>
      </c>
      <c r="K13" s="5"/>
    </row>
    <row r="14" spans="1:16" x14ac:dyDescent="0.25">
      <c r="A14" s="16"/>
      <c r="B14" s="17"/>
      <c r="C14" s="17"/>
      <c r="D14" s="17"/>
      <c r="E14" s="17"/>
      <c r="F14" s="17"/>
      <c r="G14" s="17"/>
      <c r="H14" s="17"/>
      <c r="I14" s="17"/>
      <c r="J14" s="17"/>
      <c r="K14" s="17"/>
    </row>
    <row r="15" spans="1:16" ht="110.25" x14ac:dyDescent="0.25">
      <c r="A15" s="16">
        <v>2</v>
      </c>
      <c r="B15" s="35" t="s">
        <v>31</v>
      </c>
      <c r="C15" s="17"/>
      <c r="D15" s="17"/>
      <c r="E15" s="17"/>
      <c r="F15" s="17"/>
      <c r="G15" s="17"/>
      <c r="H15" s="17"/>
      <c r="I15" s="17"/>
      <c r="J15" s="17"/>
      <c r="K15" s="17"/>
    </row>
    <row r="16" spans="1:16" x14ac:dyDescent="0.25">
      <c r="A16" s="16"/>
      <c r="B16" s="32" t="str">
        <f>B10</f>
        <v>-for masonary wall</v>
      </c>
      <c r="C16" s="17">
        <v>1</v>
      </c>
      <c r="D16" s="33">
        <f>D36</f>
        <v>12.5</v>
      </c>
      <c r="E16" s="33">
        <f>E10</f>
        <v>1.5</v>
      </c>
      <c r="F16" s="33">
        <v>0.15</v>
      </c>
      <c r="G16" s="33">
        <f>PRODUCT(C16:F16)</f>
        <v>2.8125</v>
      </c>
      <c r="H16" s="17"/>
      <c r="I16" s="17"/>
      <c r="J16" s="17"/>
      <c r="K16" s="17"/>
      <c r="M16" s="33">
        <f>7</f>
        <v>7</v>
      </c>
      <c r="N16" s="33">
        <f>2</f>
        <v>2</v>
      </c>
      <c r="O16" s="33"/>
      <c r="P16" s="33">
        <f>PI()*M16*SQRT(M16^2+N16^2)</f>
        <v>160.09797821843054</v>
      </c>
    </row>
    <row r="17" spans="1:16" x14ac:dyDescent="0.25">
      <c r="A17" s="16"/>
      <c r="B17" s="32"/>
      <c r="C17" s="17">
        <v>1</v>
      </c>
      <c r="D17" s="33">
        <f>D37</f>
        <v>12</v>
      </c>
      <c r="E17" s="33">
        <f>F37/2</f>
        <v>1.25</v>
      </c>
      <c r="F17" s="33">
        <v>0.15</v>
      </c>
      <c r="G17" s="33">
        <f>PRODUCT(C17:F17)</f>
        <v>2.25</v>
      </c>
      <c r="H17" s="17"/>
      <c r="I17" s="17"/>
      <c r="J17" s="17"/>
      <c r="K17" s="17"/>
      <c r="M17" s="36"/>
      <c r="N17" s="36"/>
      <c r="O17" s="36"/>
      <c r="P17" s="36"/>
    </row>
    <row r="18" spans="1:16" x14ac:dyDescent="0.25">
      <c r="A18" s="16"/>
      <c r="B18" s="32"/>
      <c r="C18" s="17">
        <v>1</v>
      </c>
      <c r="D18" s="33">
        <f>D27</f>
        <v>15</v>
      </c>
      <c r="E18" s="33">
        <f>E27</f>
        <v>0.5</v>
      </c>
      <c r="F18" s="33">
        <v>0.15</v>
      </c>
      <c r="G18" s="33">
        <f>PRODUCT(C18:F18)</f>
        <v>1.125</v>
      </c>
      <c r="H18" s="17"/>
      <c r="I18" s="17"/>
      <c r="J18" s="17"/>
      <c r="K18" s="17"/>
      <c r="M18" s="36"/>
      <c r="N18" s="36"/>
      <c r="O18" s="36"/>
      <c r="P18" s="36"/>
    </row>
    <row r="19" spans="1:16" ht="15" customHeight="1" x14ac:dyDescent="0.25">
      <c r="A19" s="2"/>
      <c r="B19" s="34" t="s">
        <v>17</v>
      </c>
      <c r="C19" s="3"/>
      <c r="D19" s="4"/>
      <c r="E19" s="5"/>
      <c r="F19" s="5"/>
      <c r="G19" s="6">
        <f>SUM(G16:G18)</f>
        <v>6.1875</v>
      </c>
      <c r="H19" s="7" t="s">
        <v>18</v>
      </c>
      <c r="I19" s="6">
        <v>4458.5200000000004</v>
      </c>
      <c r="J19" s="18">
        <f>G19*I19</f>
        <v>27587.092500000002</v>
      </c>
      <c r="K19" s="5"/>
    </row>
    <row r="20" spans="1:16" x14ac:dyDescent="0.25">
      <c r="A20" s="16"/>
      <c r="B20" s="32" t="s">
        <v>24</v>
      </c>
      <c r="C20" s="17"/>
      <c r="D20" s="17"/>
      <c r="E20" s="17"/>
      <c r="F20" s="17"/>
      <c r="G20" s="17"/>
      <c r="H20" s="17"/>
      <c r="I20" s="17"/>
      <c r="J20" s="18">
        <f>0.13*G19*(14817.6)/5</f>
        <v>2383.7814000000003</v>
      </c>
      <c r="K20" s="17"/>
    </row>
    <row r="21" spans="1:16" x14ac:dyDescent="0.25">
      <c r="A21" s="16"/>
      <c r="B21" s="17"/>
      <c r="C21" s="17"/>
      <c r="D21" s="17"/>
      <c r="E21" s="17"/>
      <c r="F21" s="17"/>
      <c r="G21" s="17"/>
      <c r="H21" s="17"/>
      <c r="I21" s="17"/>
      <c r="J21" s="17"/>
      <c r="K21" s="17"/>
    </row>
    <row r="22" spans="1:16" ht="94.5" x14ac:dyDescent="0.25">
      <c r="A22" s="16">
        <v>3</v>
      </c>
      <c r="B22" s="35" t="s">
        <v>32</v>
      </c>
      <c r="C22" s="17"/>
      <c r="D22" s="17"/>
      <c r="E22" s="17"/>
      <c r="F22" s="17"/>
      <c r="G22" s="17"/>
      <c r="H22" s="17"/>
      <c r="I22" s="17"/>
      <c r="J22" s="17"/>
      <c r="K22" s="17"/>
    </row>
    <row r="23" spans="1:16" x14ac:dyDescent="0.25">
      <c r="A23" s="16"/>
      <c r="B23" s="32" t="str">
        <f>B16</f>
        <v>-for masonary wall</v>
      </c>
      <c r="C23" s="17">
        <v>1</v>
      </c>
      <c r="D23" s="33">
        <f>D36</f>
        <v>12.5</v>
      </c>
      <c r="E23" s="33">
        <f>E16</f>
        <v>1.5</v>
      </c>
      <c r="F23" s="33">
        <v>0.05</v>
      </c>
      <c r="G23" s="33">
        <f>PRODUCT(C23:F23)</f>
        <v>0.9375</v>
      </c>
      <c r="H23" s="17"/>
      <c r="I23" s="17"/>
      <c r="J23" s="17"/>
      <c r="K23" s="17"/>
      <c r="M23" s="33">
        <f>7</f>
        <v>7</v>
      </c>
      <c r="N23" s="33">
        <f>2</f>
        <v>2</v>
      </c>
      <c r="O23" s="33"/>
      <c r="P23" s="33">
        <f>PI()*M23*SQRT(M23^2+N23^2)</f>
        <v>160.09797821843054</v>
      </c>
    </row>
    <row r="24" spans="1:16" x14ac:dyDescent="0.25">
      <c r="A24" s="16"/>
      <c r="B24" s="32"/>
      <c r="C24" s="17">
        <v>1</v>
      </c>
      <c r="D24" s="33">
        <f>D23</f>
        <v>12.5</v>
      </c>
      <c r="E24" s="33">
        <v>0.45</v>
      </c>
      <c r="F24" s="33">
        <v>0.05</v>
      </c>
      <c r="G24" s="33">
        <f>PRODUCT(C24:F24)</f>
        <v>0.28125</v>
      </c>
      <c r="H24" s="17"/>
      <c r="I24" s="17"/>
      <c r="J24" s="17"/>
      <c r="K24" s="17"/>
      <c r="M24" s="36"/>
      <c r="N24" s="36"/>
      <c r="O24" s="36"/>
      <c r="P24" s="36"/>
    </row>
    <row r="25" spans="1:16" x14ac:dyDescent="0.25">
      <c r="A25" s="16"/>
      <c r="B25" s="32"/>
      <c r="C25" s="17">
        <v>1</v>
      </c>
      <c r="D25" s="33">
        <f>D37</f>
        <v>12</v>
      </c>
      <c r="E25" s="33">
        <f>F37/2</f>
        <v>1.25</v>
      </c>
      <c r="F25" s="33">
        <v>0.05</v>
      </c>
      <c r="G25" s="33">
        <f t="shared" ref="G25:G27" si="0">PRODUCT(C25:F25)</f>
        <v>0.75</v>
      </c>
      <c r="H25" s="17"/>
      <c r="I25" s="17"/>
      <c r="J25" s="17"/>
      <c r="K25" s="17"/>
      <c r="M25" s="36"/>
      <c r="N25" s="36"/>
      <c r="O25" s="36"/>
      <c r="P25" s="36"/>
    </row>
    <row r="26" spans="1:16" x14ac:dyDescent="0.25">
      <c r="A26" s="16"/>
      <c r="B26" s="32"/>
      <c r="C26" s="17">
        <v>1</v>
      </c>
      <c r="D26" s="33">
        <f>D25</f>
        <v>12</v>
      </c>
      <c r="E26" s="33">
        <v>0.45</v>
      </c>
      <c r="F26" s="33">
        <v>0.05</v>
      </c>
      <c r="G26" s="33">
        <f t="shared" si="0"/>
        <v>0.27</v>
      </c>
      <c r="H26" s="17"/>
      <c r="I26" s="17"/>
      <c r="J26" s="17"/>
      <c r="K26" s="17"/>
      <c r="M26" s="36"/>
      <c r="N26" s="36"/>
      <c r="O26" s="36"/>
      <c r="P26" s="36"/>
    </row>
    <row r="27" spans="1:16" x14ac:dyDescent="0.25">
      <c r="A27" s="16"/>
      <c r="B27" s="32"/>
      <c r="C27" s="17">
        <v>1</v>
      </c>
      <c r="D27" s="33">
        <f>D38</f>
        <v>15</v>
      </c>
      <c r="E27" s="33">
        <v>0.5</v>
      </c>
      <c r="F27" s="33">
        <f>2*0.05</f>
        <v>0.1</v>
      </c>
      <c r="G27" s="33">
        <f t="shared" si="0"/>
        <v>0.75</v>
      </c>
      <c r="H27" s="17"/>
      <c r="I27" s="17"/>
      <c r="J27" s="17"/>
      <c r="K27" s="17"/>
      <c r="M27" s="36"/>
      <c r="N27" s="36"/>
      <c r="O27" s="36"/>
      <c r="P27" s="36"/>
    </row>
    <row r="28" spans="1:16" ht="15" customHeight="1" x14ac:dyDescent="0.25">
      <c r="A28" s="2"/>
      <c r="B28" s="34" t="s">
        <v>17</v>
      </c>
      <c r="C28" s="3"/>
      <c r="D28" s="4"/>
      <c r="E28" s="5"/>
      <c r="F28" s="5"/>
      <c r="G28" s="6">
        <f>SUM(G23:G27)</f>
        <v>2.98875</v>
      </c>
      <c r="H28" s="7" t="s">
        <v>18</v>
      </c>
      <c r="I28" s="6">
        <v>10964.46</v>
      </c>
      <c r="J28" s="18">
        <f>G28*I28</f>
        <v>32770.029824999998</v>
      </c>
      <c r="K28" s="5"/>
    </row>
    <row r="29" spans="1:16" x14ac:dyDescent="0.25">
      <c r="A29" s="16"/>
      <c r="B29" s="32" t="s">
        <v>33</v>
      </c>
      <c r="C29" s="17"/>
      <c r="D29" s="17"/>
      <c r="E29" s="17"/>
      <c r="F29" s="17"/>
      <c r="G29" s="17"/>
      <c r="H29" s="17"/>
      <c r="I29" s="17"/>
      <c r="J29" s="18">
        <f>0.13*G28*(53818.03)/15</f>
        <v>1394.0215220750001</v>
      </c>
      <c r="K29" s="17"/>
    </row>
    <row r="30" spans="1:16" x14ac:dyDescent="0.25">
      <c r="A30" s="16"/>
      <c r="B30" s="32" t="s">
        <v>34</v>
      </c>
      <c r="C30" s="17"/>
      <c r="D30" s="17"/>
      <c r="E30" s="17"/>
      <c r="F30" s="17"/>
      <c r="G30" s="17"/>
      <c r="H30" s="17"/>
      <c r="I30" s="17"/>
      <c r="J30" s="18">
        <f>0.13*G28*(21432.6)/15</f>
        <v>555.15792150000004</v>
      </c>
      <c r="K30" s="17"/>
    </row>
    <row r="31" spans="1:16" x14ac:dyDescent="0.25">
      <c r="A31" s="16"/>
      <c r="B31" s="32" t="s">
        <v>35</v>
      </c>
      <c r="C31" s="17"/>
      <c r="D31" s="17"/>
      <c r="E31" s="17"/>
      <c r="F31" s="17"/>
      <c r="G31" s="17"/>
      <c r="H31" s="17"/>
      <c r="I31" s="17"/>
      <c r="J31" s="18">
        <f>0.13*G28*(25719.12+13573.98+4286.52)/15</f>
        <v>1128.8211070499999</v>
      </c>
      <c r="K31" s="17"/>
    </row>
    <row r="32" spans="1:16" x14ac:dyDescent="0.25">
      <c r="A32" s="16"/>
      <c r="B32" s="32" t="s">
        <v>36</v>
      </c>
      <c r="C32" s="17"/>
      <c r="D32" s="17"/>
      <c r="E32" s="17"/>
      <c r="F32" s="17"/>
      <c r="G32" s="17"/>
      <c r="H32" s="17"/>
      <c r="I32" s="17"/>
      <c r="J32" s="18">
        <f>0.13*G28*(6325.7)/15</f>
        <v>163.85144425000001</v>
      </c>
      <c r="K32" s="17"/>
    </row>
    <row r="33" spans="1:16" x14ac:dyDescent="0.25">
      <c r="A33" s="16"/>
      <c r="B33" s="32" t="s">
        <v>39</v>
      </c>
      <c r="C33" s="17"/>
      <c r="D33" s="17"/>
      <c r="E33" s="17"/>
      <c r="F33" s="17"/>
      <c r="G33" s="17"/>
      <c r="H33" s="17"/>
      <c r="I33" s="17"/>
      <c r="J33" s="18">
        <f>0.13*G28*(310)/5</f>
        <v>24.089325000000002</v>
      </c>
      <c r="K33" s="17"/>
    </row>
    <row r="34" spans="1:16" x14ac:dyDescent="0.25">
      <c r="A34" s="16"/>
      <c r="B34" s="17"/>
      <c r="C34" s="17"/>
      <c r="D34" s="17"/>
      <c r="E34" s="17"/>
      <c r="F34" s="17"/>
      <c r="G34" s="17"/>
      <c r="H34" s="17"/>
      <c r="I34" s="17"/>
      <c r="J34" s="17"/>
      <c r="K34" s="17"/>
    </row>
    <row r="35" spans="1:16" ht="110.25" x14ac:dyDescent="0.25">
      <c r="A35" s="16">
        <v>4</v>
      </c>
      <c r="B35" s="35" t="s">
        <v>37</v>
      </c>
      <c r="C35" s="17"/>
      <c r="D35" s="17"/>
      <c r="E35" s="17"/>
      <c r="F35" s="17"/>
      <c r="G35" s="17"/>
      <c r="H35" s="17"/>
      <c r="I35" s="17"/>
      <c r="J35" s="17"/>
      <c r="K35" s="17"/>
    </row>
    <row r="36" spans="1:16" x14ac:dyDescent="0.25">
      <c r="A36" s="16"/>
      <c r="B36" s="32" t="str">
        <f>B23</f>
        <v>-for masonary wall</v>
      </c>
      <c r="C36" s="17">
        <v>1</v>
      </c>
      <c r="D36" s="33">
        <f>4+8.5</f>
        <v>12.5</v>
      </c>
      <c r="E36" s="33">
        <f>((F36/2)+0.45)/2</f>
        <v>0.97499999999999998</v>
      </c>
      <c r="F36" s="33">
        <v>3</v>
      </c>
      <c r="G36" s="33">
        <f>PRODUCT(C36:F36)</f>
        <v>36.5625</v>
      </c>
      <c r="H36" s="17"/>
      <c r="I36" s="17"/>
      <c r="J36" s="17"/>
      <c r="K36" s="17"/>
      <c r="M36" s="33">
        <f>7</f>
        <v>7</v>
      </c>
      <c r="N36" s="33">
        <f>2</f>
        <v>2</v>
      </c>
      <c r="O36" s="33"/>
      <c r="P36" s="33">
        <f>PI()*M36*SQRT(M36^2+N36^2)</f>
        <v>160.09797821843054</v>
      </c>
    </row>
    <row r="37" spans="1:16" x14ac:dyDescent="0.25">
      <c r="A37" s="16"/>
      <c r="B37" s="32"/>
      <c r="C37" s="17">
        <v>1</v>
      </c>
      <c r="D37" s="33">
        <v>12</v>
      </c>
      <c r="E37" s="33">
        <f>((F37/2)+0.45)/2</f>
        <v>0.85</v>
      </c>
      <c r="F37" s="33">
        <v>2.5</v>
      </c>
      <c r="G37" s="33">
        <f>PRODUCT(C37:F37)</f>
        <v>25.5</v>
      </c>
      <c r="H37" s="17"/>
      <c r="I37" s="17"/>
      <c r="J37" s="17"/>
      <c r="K37" s="17"/>
      <c r="M37" s="36"/>
      <c r="N37" s="36"/>
      <c r="O37" s="36"/>
      <c r="P37" s="36"/>
    </row>
    <row r="38" spans="1:16" x14ac:dyDescent="0.25">
      <c r="A38" s="16"/>
      <c r="B38" s="32"/>
      <c r="C38" s="17">
        <v>1</v>
      </c>
      <c r="D38" s="33">
        <f>2+10+3</f>
        <v>15</v>
      </c>
      <c r="E38" s="33">
        <v>0.5</v>
      </c>
      <c r="F38" s="33">
        <v>1.5</v>
      </c>
      <c r="G38" s="33">
        <f>PRODUCT(C38:F38)</f>
        <v>11.25</v>
      </c>
      <c r="H38" s="17"/>
      <c r="I38" s="17"/>
      <c r="J38" s="17"/>
      <c r="K38" s="17"/>
      <c r="M38" s="36"/>
      <c r="N38" s="36"/>
      <c r="O38" s="36"/>
      <c r="P38" s="36"/>
    </row>
    <row r="39" spans="1:16" ht="15" customHeight="1" x14ac:dyDescent="0.25">
      <c r="A39" s="2"/>
      <c r="B39" s="34" t="s">
        <v>17</v>
      </c>
      <c r="C39" s="3"/>
      <c r="D39" s="4"/>
      <c r="E39" s="5"/>
      <c r="F39" s="5"/>
      <c r="G39" s="6">
        <f>SUM(G36:G38)</f>
        <v>73.3125</v>
      </c>
      <c r="H39" s="7" t="s">
        <v>18</v>
      </c>
      <c r="I39" s="6">
        <v>8987.83</v>
      </c>
      <c r="J39" s="18">
        <f>G39*I39</f>
        <v>658920.28687499999</v>
      </c>
      <c r="K39" s="5"/>
    </row>
    <row r="40" spans="1:16" x14ac:dyDescent="0.25">
      <c r="A40" s="16"/>
      <c r="B40" s="32" t="s">
        <v>33</v>
      </c>
      <c r="C40" s="17"/>
      <c r="D40" s="17"/>
      <c r="E40" s="17"/>
      <c r="F40" s="17"/>
      <c r="G40" s="17"/>
      <c r="H40" s="17"/>
      <c r="I40" s="17"/>
      <c r="J40" s="18">
        <f>0.13*G39*(5863.95)/5</f>
        <v>11177.42169375</v>
      </c>
      <c r="K40" s="17"/>
    </row>
    <row r="41" spans="1:16" x14ac:dyDescent="0.25">
      <c r="A41" s="16"/>
      <c r="B41" s="32" t="s">
        <v>34</v>
      </c>
      <c r="C41" s="17"/>
      <c r="D41" s="17"/>
      <c r="E41" s="17"/>
      <c r="F41" s="17"/>
      <c r="G41" s="17"/>
      <c r="H41" s="17"/>
      <c r="I41" s="17"/>
      <c r="J41" s="18">
        <f>0.13*G39*(6604.416)/5</f>
        <v>12588.842448000001</v>
      </c>
      <c r="K41" s="17"/>
    </row>
    <row r="42" spans="1:16" x14ac:dyDescent="0.25">
      <c r="A42" s="16"/>
      <c r="B42" s="32" t="s">
        <v>38</v>
      </c>
      <c r="C42" s="17"/>
      <c r="D42" s="17"/>
      <c r="E42" s="17"/>
      <c r="F42" s="17"/>
      <c r="G42" s="17"/>
      <c r="H42" s="17"/>
      <c r="I42" s="17"/>
      <c r="J42" s="18">
        <f>0.13*G39*(14808.78)/5</f>
        <v>28227.385777500003</v>
      </c>
      <c r="K42" s="17"/>
    </row>
    <row r="43" spans="1:16" x14ac:dyDescent="0.25">
      <c r="A43" s="16"/>
      <c r="B43" s="32" t="s">
        <v>39</v>
      </c>
      <c r="C43" s="17"/>
      <c r="D43" s="17"/>
      <c r="E43" s="17"/>
      <c r="F43" s="17"/>
      <c r="G43" s="17"/>
      <c r="H43" s="17"/>
      <c r="I43" s="17"/>
      <c r="J43" s="18">
        <f>0.13*G39*(310)/5</f>
        <v>590.89875000000006</v>
      </c>
      <c r="K43" s="17"/>
    </row>
    <row r="44" spans="1:16" x14ac:dyDescent="0.25">
      <c r="A44" s="16"/>
      <c r="B44" s="32"/>
      <c r="C44" s="17"/>
      <c r="D44" s="17"/>
      <c r="E44" s="17"/>
      <c r="F44" s="17"/>
      <c r="G44" s="17"/>
      <c r="H44" s="17"/>
      <c r="I44" s="17"/>
      <c r="J44" s="18"/>
      <c r="K44" s="17"/>
    </row>
    <row r="45" spans="1:16" ht="30" x14ac:dyDescent="0.25">
      <c r="A45" s="2">
        <v>5</v>
      </c>
      <c r="B45" s="1" t="s">
        <v>43</v>
      </c>
      <c r="C45" s="3">
        <v>1</v>
      </c>
      <c r="D45" s="4"/>
      <c r="E45" s="5"/>
      <c r="F45" s="5"/>
      <c r="G45" s="7">
        <f t="shared" ref="G45" si="1">PRODUCT(C45:F45)</f>
        <v>1</v>
      </c>
      <c r="H45" s="7" t="s">
        <v>20</v>
      </c>
      <c r="I45" s="6">
        <v>1000</v>
      </c>
      <c r="J45" s="7">
        <f>G45*I45</f>
        <v>1000</v>
      </c>
      <c r="K45" s="5"/>
    </row>
    <row r="46" spans="1:16" x14ac:dyDescent="0.25">
      <c r="A46" s="16"/>
      <c r="B46" s="17"/>
      <c r="C46" s="17"/>
      <c r="D46" s="17"/>
      <c r="E46" s="17"/>
      <c r="F46" s="17"/>
      <c r="G46" s="17"/>
      <c r="H46" s="17"/>
      <c r="I46" s="17"/>
      <c r="J46" s="17"/>
      <c r="K46" s="17"/>
    </row>
    <row r="47" spans="1:16" ht="15" customHeight="1" x14ac:dyDescent="0.25">
      <c r="A47" s="2">
        <v>6</v>
      </c>
      <c r="B47" s="1" t="s">
        <v>19</v>
      </c>
      <c r="C47" s="3">
        <v>1</v>
      </c>
      <c r="D47" s="4"/>
      <c r="E47" s="5"/>
      <c r="F47" s="5"/>
      <c r="G47" s="7">
        <f t="shared" ref="G47" si="2">PRODUCT(C47:F47)</f>
        <v>1</v>
      </c>
      <c r="H47" s="7" t="s">
        <v>20</v>
      </c>
      <c r="I47" s="6">
        <v>1000</v>
      </c>
      <c r="J47" s="7">
        <f>G47*I47</f>
        <v>1000</v>
      </c>
      <c r="K47" s="5"/>
    </row>
    <row r="48" spans="1:16" x14ac:dyDescent="0.25">
      <c r="A48" s="2"/>
      <c r="B48" s="8"/>
      <c r="C48" s="3"/>
      <c r="D48" s="4"/>
      <c r="E48" s="5"/>
      <c r="F48" s="5"/>
      <c r="G48" s="6"/>
      <c r="H48" s="7"/>
      <c r="I48" s="6"/>
      <c r="J48" s="18"/>
      <c r="K48" s="5"/>
    </row>
    <row r="49" spans="1:19" x14ac:dyDescent="0.25">
      <c r="A49" s="21"/>
      <c r="B49" s="22" t="s">
        <v>22</v>
      </c>
      <c r="C49" s="23"/>
      <c r="D49" s="24"/>
      <c r="E49" s="24"/>
      <c r="F49" s="24"/>
      <c r="G49" s="18"/>
      <c r="H49" s="18"/>
      <c r="I49" s="18"/>
      <c r="J49" s="18">
        <f>SUM(J9:J47)</f>
        <v>796361.93058912491</v>
      </c>
      <c r="K49" s="25"/>
    </row>
    <row r="50" spans="1:19" x14ac:dyDescent="0.25">
      <c r="M50" s="20"/>
      <c r="N50" s="20"/>
      <c r="O50" s="20"/>
      <c r="P50" s="20"/>
      <c r="Q50" s="20"/>
      <c r="R50" s="20"/>
      <c r="S50" s="20"/>
    </row>
    <row r="51" spans="1:19" s="20" customFormat="1" x14ac:dyDescent="0.25">
      <c r="A51" s="26"/>
      <c r="B51" s="27" t="s">
        <v>21</v>
      </c>
      <c r="C51" s="43">
        <f>J49</f>
        <v>796361.93058912491</v>
      </c>
      <c r="D51" s="44"/>
      <c r="E51" s="9">
        <v>100</v>
      </c>
      <c r="F51" s="26"/>
      <c r="G51" s="28"/>
      <c r="H51" s="26"/>
      <c r="I51" s="29"/>
      <c r="J51" s="30"/>
      <c r="K51" s="31"/>
      <c r="M51" s="19"/>
      <c r="N51" s="19"/>
      <c r="O51" s="19"/>
      <c r="P51" s="19"/>
      <c r="Q51" s="19"/>
      <c r="R51" s="19"/>
      <c r="S51" s="19"/>
    </row>
    <row r="52" spans="1:19" x14ac:dyDescent="0.25">
      <c r="B52" s="27" t="s">
        <v>25</v>
      </c>
      <c r="C52" s="47">
        <v>700000</v>
      </c>
      <c r="D52" s="48"/>
      <c r="E52" s="9"/>
    </row>
    <row r="53" spans="1:19" x14ac:dyDescent="0.25">
      <c r="B53" s="27" t="s">
        <v>26</v>
      </c>
      <c r="C53" s="47">
        <f>C52-C55-C56</f>
        <v>665000</v>
      </c>
      <c r="D53" s="48"/>
      <c r="E53" s="9">
        <f>C53/C51*100</f>
        <v>83.504745073393039</v>
      </c>
    </row>
    <row r="54" spans="1:19" x14ac:dyDescent="0.25">
      <c r="B54" s="27" t="s">
        <v>40</v>
      </c>
      <c r="C54" s="49">
        <f>C51-C53</f>
        <v>131361.93058912491</v>
      </c>
      <c r="D54" s="49"/>
      <c r="E54" s="9">
        <f>100-E53</f>
        <v>16.495254926606961</v>
      </c>
    </row>
    <row r="55" spans="1:19" x14ac:dyDescent="0.25">
      <c r="B55" s="27" t="s">
        <v>27</v>
      </c>
      <c r="C55" s="43">
        <f>C52*0.03</f>
        <v>21000</v>
      </c>
      <c r="D55" s="44"/>
      <c r="E55" s="9">
        <v>3</v>
      </c>
    </row>
    <row r="56" spans="1:19" x14ac:dyDescent="0.25">
      <c r="B56" s="27" t="s">
        <v>28</v>
      </c>
      <c r="C56" s="43">
        <f>C52*0.02</f>
        <v>14000</v>
      </c>
      <c r="D56" s="44"/>
      <c r="E56" s="9">
        <v>2</v>
      </c>
    </row>
  </sheetData>
  <mergeCells count="15">
    <mergeCell ref="C55:D55"/>
    <mergeCell ref="C56:D56"/>
    <mergeCell ref="A7:F7"/>
    <mergeCell ref="H7:K7"/>
    <mergeCell ref="C51:D51"/>
    <mergeCell ref="C52:D52"/>
    <mergeCell ref="C53:D53"/>
    <mergeCell ref="C54:D54"/>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4"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2026-02-02T09:15:00Z</dcterms:modified>
</cp:coreProperties>
</file>