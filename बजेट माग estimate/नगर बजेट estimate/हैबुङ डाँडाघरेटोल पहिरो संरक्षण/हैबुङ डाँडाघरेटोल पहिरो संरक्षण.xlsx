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13_ncr:1_{77D7CF41-13BF-4AEC-9A47-B664E60481F6}" xr6:coauthVersionLast="47" xr6:coauthVersionMax="47" xr10:uidLastSave="{00000000-0000-0000-0000-000000000000}"/>
  <bookViews>
    <workbookView xWindow="-120" yWindow="-120" windowWidth="20730" windowHeight="11040" activeTab="1" xr2:uid="{00000000-000D-0000-FFFF-FFFF00000000}"/>
  </bookViews>
  <sheets>
    <sheet name="estimate" sheetId="12" r:id="rId1"/>
    <sheet name="estimate (2)" sheetId="13" r:id="rId2"/>
  </sheets>
  <externalReferences>
    <externalReference r:id="rId3"/>
    <externalReference r:id="rId4"/>
    <externalReference r:id="rId5"/>
  </externalReferences>
  <definedNames>
    <definedName name="description_103">[1]Abstract!$B$16</definedName>
    <definedName name="description_124" localSheetId="0">#REF!</definedName>
    <definedName name="description_124" localSheetId="1">#REF!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63">[3]Abstract!$B$35</definedName>
    <definedName name="description_276">[3]Abstract!$B$40</definedName>
    <definedName name="description_3">[1]Abstract!$B$169</definedName>
    <definedName name="description_310" localSheetId="0">#REF!</definedName>
    <definedName name="description_310" localSheetId="1">#REF!</definedName>
    <definedName name="description_310">#REF!</definedName>
    <definedName name="description_312" localSheetId="0">#REF!</definedName>
    <definedName name="description_312" localSheetId="1">#REF!</definedName>
    <definedName name="description_312">#REF!</definedName>
    <definedName name="description_5">[1]Abstract!$B$171</definedName>
    <definedName name="description_6" localSheetId="0">#REF!</definedName>
    <definedName name="description_6" localSheetId="1">#REF!</definedName>
    <definedName name="description_6">#REF!</definedName>
    <definedName name="description_706">[3]Abstract!$B$265</definedName>
    <definedName name="description_759">[1]Abstract!$B$278</definedName>
    <definedName name="description_781" localSheetId="0">#REF!</definedName>
    <definedName name="description_781" localSheetId="1">#REF!</definedName>
    <definedName name="description_781">#REF!</definedName>
    <definedName name="description_783">[1]Abstract!$B$301</definedName>
    <definedName name="description_784">[3]Abstract!$B$300</definedName>
    <definedName name="_xlnm.Print_Area" localSheetId="0">estimate!$A$1:$K$36</definedName>
    <definedName name="_xlnm.Print_Area" localSheetId="1">'estimate (2)'!$A$1:$K$50</definedName>
    <definedName name="_xlnm.Print_Titles" localSheetId="0">estimate!$1:$8</definedName>
    <definedName name="_xlnm.Print_Titles" localSheetId="1">'estimate (2)'!$1:$8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13" l="1"/>
  <c r="G10" i="13" s="1"/>
  <c r="G11" i="13" s="1"/>
  <c r="J11" i="13" s="1"/>
  <c r="D19" i="13"/>
  <c r="D14" i="13" s="1"/>
  <c r="B14" i="13"/>
  <c r="B19" i="13" s="1"/>
  <c r="N19" i="13"/>
  <c r="M19" i="13"/>
  <c r="P19" i="13" s="1"/>
  <c r="N14" i="13"/>
  <c r="M14" i="13"/>
  <c r="P14" i="13" s="1"/>
  <c r="E19" i="13"/>
  <c r="C50" i="13"/>
  <c r="C49" i="13"/>
  <c r="C47" i="13" s="1"/>
  <c r="G41" i="13"/>
  <c r="J41" i="13" s="1"/>
  <c r="G37" i="13"/>
  <c r="G38" i="13" s="1"/>
  <c r="F37" i="13"/>
  <c r="C37" i="13"/>
  <c r="C29" i="13"/>
  <c r="G29" i="13" s="1"/>
  <c r="N28" i="13"/>
  <c r="M28" i="13"/>
  <c r="G28" i="13"/>
  <c r="N10" i="13"/>
  <c r="M10" i="13"/>
  <c r="F23" i="12"/>
  <c r="C23" i="12"/>
  <c r="C15" i="12"/>
  <c r="C10" i="12"/>
  <c r="P28" i="13" l="1"/>
  <c r="G30" i="13"/>
  <c r="P10" i="13"/>
  <c r="G14" i="13"/>
  <c r="G15" i="13" s="1"/>
  <c r="J39" i="13"/>
  <c r="J38" i="13"/>
  <c r="G23" i="12"/>
  <c r="G24" i="12" s="1"/>
  <c r="J25" i="12" s="1"/>
  <c r="J15" i="13" l="1"/>
  <c r="J16" i="13"/>
  <c r="G19" i="13"/>
  <c r="G20" i="13" s="1"/>
  <c r="J30" i="13"/>
  <c r="J32" i="13"/>
  <c r="J34" i="13"/>
  <c r="J31" i="13"/>
  <c r="J33" i="13"/>
  <c r="J24" i="12"/>
  <c r="G15" i="12" l="1"/>
  <c r="J23" i="13" l="1"/>
  <c r="J24" i="13"/>
  <c r="J20" i="13"/>
  <c r="J25" i="13"/>
  <c r="J21" i="13"/>
  <c r="J22" i="13"/>
  <c r="C35" i="12"/>
  <c r="J43" i="13" l="1"/>
  <c r="C45" i="13" s="1"/>
  <c r="N14" i="12"/>
  <c r="M14" i="12"/>
  <c r="C48" i="13" l="1"/>
  <c r="E47" i="13"/>
  <c r="E48" i="13" s="1"/>
  <c r="P14" i="12"/>
  <c r="G14" i="12"/>
  <c r="G16" i="12" s="1"/>
  <c r="G10" i="12"/>
  <c r="J17" i="12" l="1"/>
  <c r="J20" i="12"/>
  <c r="J19" i="12"/>
  <c r="J18" i="12"/>
  <c r="J16" i="12"/>
  <c r="N10" i="12" l="1"/>
  <c r="M10" i="12"/>
  <c r="P10" i="12" l="1"/>
  <c r="G11" i="12"/>
  <c r="J11" i="12" l="1"/>
  <c r="C36" i="12"/>
  <c r="C33" i="12" s="1"/>
  <c r="G27" i="12"/>
  <c r="J27" i="12" s="1"/>
  <c r="J29" i="12" l="1"/>
  <c r="C31" i="12" s="1"/>
  <c r="C34" i="12" s="1"/>
  <c r="E33" i="12" l="1"/>
  <c r="E34" i="12" s="1"/>
</calcChain>
</file>

<file path=xl/sharedStrings.xml><?xml version="1.0" encoding="utf-8"?>
<sst xmlns="http://schemas.openxmlformats.org/spreadsheetml/2006/main" count="104" uniqueCount="51">
  <si>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</si>
  <si>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</si>
  <si>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</si>
  <si>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</si>
  <si>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</si>
  <si>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</si>
  <si>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</si>
  <si>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</si>
  <si>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</si>
  <si>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</si>
  <si>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</si>
  <si>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</si>
  <si>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</si>
  <si>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</si>
  <si>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</si>
  <si>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</si>
  <si>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</si>
  <si>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</si>
  <si>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</si>
  <si>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</si>
  <si>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</si>
  <si>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</si>
  <si>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Budget allocated</t>
  </si>
  <si>
    <t>Municipal payment</t>
  </si>
  <si>
    <t xml:space="preserve">Contingencies </t>
  </si>
  <si>
    <t xml:space="preserve">Maintanince </t>
  </si>
  <si>
    <t>F.Y.: 2082/2083</t>
  </si>
  <si>
    <t>-13% VAT for stone</t>
  </si>
  <si>
    <t>User contribution</t>
  </si>
  <si>
    <t>-for base preparation</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</si>
  <si>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1.0 X 1 X 1 m ( 6 sqm)</t>
  </si>
  <si>
    <t>-for gabion wall</t>
  </si>
  <si>
    <t>-13% VAT for mesh wire</t>
  </si>
  <si>
    <t>-13% VAT for selvedge wire</t>
  </si>
  <si>
    <t>-13% VAT for binding wire</t>
  </si>
  <si>
    <t>Laying and fixing of Geo-Textile all complete as per specification., Providing  and laying of a geotextile filter between pitching and embankment slopes as per Drawing and Technical Specifications.</t>
  </si>
  <si>
    <t>-at back of gabion wall</t>
  </si>
  <si>
    <t>m2</t>
  </si>
  <si>
    <t>Location:- Shankharapur Municipality 1</t>
  </si>
  <si>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t>
  </si>
  <si>
    <t>-13% VAT for geotextile</t>
  </si>
  <si>
    <r>
      <t>Project:-</t>
    </r>
    <r>
      <rPr>
        <b/>
        <sz val="12"/>
        <rFont val="Preeti"/>
      </rPr>
      <t>x}j'ª 8fF8f3/]6f]n klx/f] ;+/If0f</t>
    </r>
  </si>
  <si>
    <t>Date:2082/10/21</t>
  </si>
  <si>
    <t>Providing and laying of hand pack locally available Stone soling with 150 to 200 mm thick stones and packing with smaller stone on prepared surface as per Drawing and Technical Specifications.</t>
  </si>
  <si>
    <t>-13% VAT for materials</t>
  </si>
  <si>
    <t>Providing and laying of Plain/Reinforced Cement Concrete in Foundation complete as per Drawing and Technical Specifications, PCC Grade M 15</t>
  </si>
  <si>
    <t>-13% VAT for cement</t>
  </si>
  <si>
    <t>-13% VAT for sand</t>
  </si>
  <si>
    <t>-13% VAT for aggregate</t>
  </si>
  <si>
    <t>-13% VAT for formworks</t>
  </si>
  <si>
    <t>-13% VAT for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</si>
</sst>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
      <b/>
      <sz val="12"/>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0">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35">
          <cell r="B35" t="str">
            <v>Earthwork Excavation in Cutting., Roadway Excavation in ordinary rock  by Manual Means ., Roadway Excavation  in ordinary rock as per Drawing and Technical specification, including all lift and lead  as per Drawing and instruction of the Engineer.</v>
          </cell>
        </row>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265">
          <cell r="B265" t="str">
            <v>Laying and fixing of Geo-Textile all complete as per specification., Providing  and laying of a geotextile filter between pitching and embankment slopes as per Drawing and Technical Specifications.</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6"/>
  <sheetViews>
    <sheetView topLeftCell="A21" zoomScale="90" zoomScaleNormal="90" zoomScaleSheetLayoutView="95" workbookViewId="0">
      <selection activeCell="H8" sqref="H8"/>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39" t="s">
        <v>0</v>
      </c>
      <c r="B1" s="39"/>
      <c r="C1" s="39"/>
      <c r="D1" s="39"/>
      <c r="E1" s="39"/>
      <c r="F1" s="39"/>
      <c r="G1" s="39"/>
      <c r="H1" s="39"/>
      <c r="I1" s="39"/>
      <c r="J1" s="39"/>
      <c r="K1" s="39"/>
    </row>
    <row r="2" spans="1:16" ht="22.5" x14ac:dyDescent="0.25">
      <c r="A2" s="40" t="s">
        <v>1</v>
      </c>
      <c r="B2" s="40"/>
      <c r="C2" s="40"/>
      <c r="D2" s="40"/>
      <c r="E2" s="40"/>
      <c r="F2" s="40"/>
      <c r="G2" s="40"/>
      <c r="H2" s="40"/>
      <c r="I2" s="40"/>
      <c r="J2" s="40"/>
      <c r="K2" s="40"/>
    </row>
    <row r="3" spans="1:16" x14ac:dyDescent="0.25">
      <c r="A3" s="41" t="s">
        <v>2</v>
      </c>
      <c r="B3" s="41"/>
      <c r="C3" s="41"/>
      <c r="D3" s="41"/>
      <c r="E3" s="41"/>
      <c r="F3" s="41"/>
      <c r="G3" s="41"/>
      <c r="H3" s="41"/>
      <c r="I3" s="41"/>
      <c r="J3" s="41"/>
      <c r="K3" s="41"/>
    </row>
    <row r="4" spans="1:16" x14ac:dyDescent="0.25">
      <c r="A4" s="41" t="s">
        <v>3</v>
      </c>
      <c r="B4" s="41"/>
      <c r="C4" s="41"/>
      <c r="D4" s="41"/>
      <c r="E4" s="41"/>
      <c r="F4" s="41"/>
      <c r="G4" s="41"/>
      <c r="H4" s="41"/>
      <c r="I4" s="41"/>
      <c r="J4" s="41"/>
      <c r="K4" s="41"/>
    </row>
    <row r="5" spans="1:16" ht="18.75" x14ac:dyDescent="0.3">
      <c r="A5" s="42" t="s">
        <v>4</v>
      </c>
      <c r="B5" s="42"/>
      <c r="C5" s="42"/>
      <c r="D5" s="42"/>
      <c r="E5" s="42"/>
      <c r="F5" s="42"/>
      <c r="G5" s="42"/>
      <c r="H5" s="42"/>
      <c r="I5" s="42"/>
      <c r="J5" s="42"/>
      <c r="K5" s="42"/>
    </row>
    <row r="6" spans="1:16" ht="15.75" x14ac:dyDescent="0.25">
      <c r="A6" s="37" t="s">
        <v>41</v>
      </c>
      <c r="B6" s="37"/>
      <c r="C6" s="37"/>
      <c r="D6" s="37"/>
      <c r="E6" s="37"/>
      <c r="F6" s="37"/>
      <c r="G6" s="10"/>
      <c r="H6" s="38" t="s">
        <v>26</v>
      </c>
      <c r="I6" s="38"/>
      <c r="J6" s="38"/>
      <c r="K6" s="38"/>
    </row>
    <row r="7" spans="1:16" ht="15.75" x14ac:dyDescent="0.25">
      <c r="A7" s="45" t="s">
        <v>38</v>
      </c>
      <c r="B7" s="45"/>
      <c r="C7" s="45"/>
      <c r="D7" s="45"/>
      <c r="E7" s="45"/>
      <c r="F7" s="45"/>
      <c r="G7" s="11"/>
      <c r="H7" s="46" t="s">
        <v>42</v>
      </c>
      <c r="I7" s="46"/>
      <c r="J7" s="46"/>
      <c r="K7" s="46"/>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80.75" customHeight="1" x14ac:dyDescent="0.25">
      <c r="A9" s="16">
        <v>1</v>
      </c>
      <c r="B9" s="35" t="s">
        <v>39</v>
      </c>
      <c r="C9" s="17"/>
      <c r="D9" s="17"/>
      <c r="E9" s="17"/>
      <c r="F9" s="17"/>
      <c r="G9" s="17"/>
      <c r="H9" s="17"/>
      <c r="I9" s="17"/>
      <c r="J9" s="17"/>
      <c r="K9" s="17"/>
    </row>
    <row r="10" spans="1:16" x14ac:dyDescent="0.25">
      <c r="A10" s="16"/>
      <c r="B10" s="32" t="s">
        <v>29</v>
      </c>
      <c r="C10" s="17">
        <f>C14</f>
        <v>15</v>
      </c>
      <c r="D10" s="33">
        <v>1</v>
      </c>
      <c r="E10" s="33">
        <v>1</v>
      </c>
      <c r="F10" s="33">
        <v>1</v>
      </c>
      <c r="G10" s="33">
        <f>PRODUCT(C10:F10)</f>
        <v>15</v>
      </c>
      <c r="H10" s="17"/>
      <c r="I10" s="17"/>
      <c r="J10" s="17"/>
      <c r="K10" s="17"/>
      <c r="M10" s="33">
        <f>7</f>
        <v>7</v>
      </c>
      <c r="N10" s="33">
        <f>2</f>
        <v>2</v>
      </c>
      <c r="O10" s="33"/>
      <c r="P10" s="33">
        <f>PI()*M10*SQRT(M10^2+N10^2)</f>
        <v>160.09797821843054</v>
      </c>
    </row>
    <row r="11" spans="1:16" ht="15" customHeight="1" x14ac:dyDescent="0.25">
      <c r="A11" s="2"/>
      <c r="B11" s="34" t="s">
        <v>16</v>
      </c>
      <c r="C11" s="3"/>
      <c r="D11" s="4"/>
      <c r="E11" s="5"/>
      <c r="F11" s="5"/>
      <c r="G11" s="6">
        <f>SUM(G10:G10)</f>
        <v>15</v>
      </c>
      <c r="H11" s="7" t="s">
        <v>17</v>
      </c>
      <c r="I11" s="6">
        <v>748.9</v>
      </c>
      <c r="J11" s="18">
        <f>G11*I11</f>
        <v>11233.5</v>
      </c>
      <c r="K11" s="5"/>
    </row>
    <row r="12" spans="1:16" x14ac:dyDescent="0.25">
      <c r="A12" s="16"/>
      <c r="B12" s="17"/>
      <c r="C12" s="17"/>
      <c r="D12" s="17"/>
      <c r="E12" s="17"/>
      <c r="F12" s="17"/>
      <c r="G12" s="17"/>
      <c r="H12" s="17"/>
      <c r="I12" s="17"/>
      <c r="J12" s="17"/>
      <c r="K12" s="17"/>
    </row>
    <row r="13" spans="1:16" ht="254.25" customHeight="1" x14ac:dyDescent="0.25">
      <c r="A13" s="16">
        <v>2</v>
      </c>
      <c r="B13" s="35" t="s">
        <v>30</v>
      </c>
      <c r="C13" s="17"/>
      <c r="D13" s="17"/>
      <c r="E13" s="17"/>
      <c r="F13" s="17"/>
      <c r="G13" s="17"/>
      <c r="H13" s="17"/>
      <c r="I13" s="17"/>
      <c r="J13" s="17"/>
      <c r="K13" s="17"/>
    </row>
    <row r="14" spans="1:16" x14ac:dyDescent="0.25">
      <c r="A14" s="16"/>
      <c r="B14" s="32" t="s">
        <v>31</v>
      </c>
      <c r="C14" s="17">
        <v>15</v>
      </c>
      <c r="D14" s="33">
        <v>3</v>
      </c>
      <c r="E14" s="33">
        <v>1</v>
      </c>
      <c r="F14" s="33">
        <v>1</v>
      </c>
      <c r="G14" s="33">
        <f>PRODUCT(C14:F14)</f>
        <v>45</v>
      </c>
      <c r="H14" s="17"/>
      <c r="I14" s="17"/>
      <c r="J14" s="17"/>
      <c r="K14" s="17"/>
      <c r="M14" s="33">
        <f>7</f>
        <v>7</v>
      </c>
      <c r="N14" s="33">
        <f>2</f>
        <v>2</v>
      </c>
      <c r="O14" s="33"/>
      <c r="P14" s="33">
        <f>PI()*M14*SQRT(M14^2+N14^2)</f>
        <v>160.09797821843054</v>
      </c>
    </row>
    <row r="15" spans="1:16" x14ac:dyDescent="0.25">
      <c r="A15" s="16"/>
      <c r="B15" s="32"/>
      <c r="C15" s="17">
        <f>C14</f>
        <v>15</v>
      </c>
      <c r="D15" s="33">
        <v>2.5</v>
      </c>
      <c r="E15" s="33">
        <v>1</v>
      </c>
      <c r="F15" s="33">
        <v>1</v>
      </c>
      <c r="G15" s="33">
        <f>PRODUCT(C15:F15)</f>
        <v>37.5</v>
      </c>
      <c r="H15" s="17"/>
      <c r="I15" s="17"/>
      <c r="J15" s="17"/>
      <c r="K15" s="17"/>
      <c r="M15" s="36"/>
      <c r="N15" s="36"/>
      <c r="O15" s="36"/>
      <c r="P15" s="36"/>
    </row>
    <row r="16" spans="1:16" ht="15" customHeight="1" x14ac:dyDescent="0.25">
      <c r="A16" s="2"/>
      <c r="B16" s="34" t="s">
        <v>16</v>
      </c>
      <c r="C16" s="3"/>
      <c r="D16" s="4"/>
      <c r="E16" s="5"/>
      <c r="F16" s="5"/>
      <c r="G16" s="6">
        <f>SUM(G14:G15)</f>
        <v>82.5</v>
      </c>
      <c r="H16" s="7" t="s">
        <v>17</v>
      </c>
      <c r="I16" s="6">
        <v>6421.62</v>
      </c>
      <c r="J16" s="18">
        <f>G16*I16</f>
        <v>529783.65</v>
      </c>
      <c r="K16" s="5"/>
    </row>
    <row r="17" spans="1:17" x14ac:dyDescent="0.25">
      <c r="A17" s="16"/>
      <c r="B17" s="32" t="s">
        <v>27</v>
      </c>
      <c r="C17" s="17"/>
      <c r="D17" s="17"/>
      <c r="E17" s="17"/>
      <c r="F17" s="17"/>
      <c r="G17" s="17"/>
      <c r="H17" s="17"/>
      <c r="I17" s="17"/>
      <c r="J17" s="18">
        <f>0.13*G16*(16299.36/6+16299.36/6+16299.36/6+16299.36/6)/4</f>
        <v>29135.106</v>
      </c>
      <c r="K17" s="17"/>
    </row>
    <row r="18" spans="1:17" x14ac:dyDescent="0.25">
      <c r="A18" s="16"/>
      <c r="B18" s="32" t="s">
        <v>32</v>
      </c>
      <c r="C18" s="17"/>
      <c r="D18" s="17"/>
      <c r="E18" s="17"/>
      <c r="F18" s="17"/>
      <c r="G18" s="17"/>
      <c r="H18" s="17"/>
      <c r="I18" s="17"/>
      <c r="J18" s="18">
        <f>0.13*G16*(9055.8/6+9346.05/6+10191/6+10185.84/6)/4</f>
        <v>17329.22709375</v>
      </c>
      <c r="K18" s="17"/>
    </row>
    <row r="19" spans="1:17" x14ac:dyDescent="0.25">
      <c r="A19" s="16"/>
      <c r="B19" s="32" t="s">
        <v>33</v>
      </c>
      <c r="C19" s="17"/>
      <c r="D19" s="17"/>
      <c r="E19" s="17"/>
      <c r="F19" s="17"/>
      <c r="G19" s="17"/>
      <c r="H19" s="17"/>
      <c r="I19" s="17"/>
      <c r="J19" s="18">
        <f>0.13*G16*(1008.78/6+1145.52/6+1393.2/6+1555.74/6)/4</f>
        <v>2280.5103749999998</v>
      </c>
      <c r="K19" s="17"/>
    </row>
    <row r="20" spans="1:17" x14ac:dyDescent="0.25">
      <c r="A20" s="16"/>
      <c r="B20" s="32" t="s">
        <v>34</v>
      </c>
      <c r="C20" s="17"/>
      <c r="D20" s="17"/>
      <c r="E20" s="17"/>
      <c r="F20" s="17"/>
      <c r="G20" s="17"/>
      <c r="H20" s="17"/>
      <c r="I20" s="17"/>
      <c r="J20" s="18">
        <f>0.13*G16*(434.4/6+468/6+600/6+547.2/6)/4</f>
        <v>915.91499999999985</v>
      </c>
      <c r="K20" s="17"/>
    </row>
    <row r="21" spans="1:17" x14ac:dyDescent="0.25">
      <c r="A21" s="16"/>
      <c r="B21" s="32"/>
      <c r="C21" s="17"/>
      <c r="D21" s="17"/>
      <c r="E21" s="17"/>
      <c r="F21" s="17"/>
      <c r="G21" s="17"/>
      <c r="H21" s="17"/>
      <c r="I21" s="17"/>
      <c r="J21" s="18"/>
      <c r="K21" s="17"/>
    </row>
    <row r="22" spans="1:17" ht="123" customHeight="1" x14ac:dyDescent="0.25">
      <c r="A22" s="16">
        <v>3</v>
      </c>
      <c r="B22" s="35" t="s">
        <v>35</v>
      </c>
      <c r="C22" s="17"/>
      <c r="D22" s="17"/>
      <c r="E22" s="17"/>
      <c r="F22" s="17"/>
      <c r="G22" s="17"/>
      <c r="H22" s="17"/>
      <c r="I22" s="17"/>
      <c r="J22" s="17"/>
      <c r="K22" s="17"/>
    </row>
    <row r="23" spans="1:17" x14ac:dyDescent="0.25">
      <c r="A23" s="16"/>
      <c r="B23" s="32" t="s">
        <v>36</v>
      </c>
      <c r="C23" s="17">
        <f>C14</f>
        <v>15</v>
      </c>
      <c r="D23" s="17">
        <v>1</v>
      </c>
      <c r="E23" s="17"/>
      <c r="F23" s="33">
        <f>SUM(F14:F15)</f>
        <v>2</v>
      </c>
      <c r="G23" s="33">
        <f>PRODUCT(C23:F23)</f>
        <v>30</v>
      </c>
      <c r="H23" s="17"/>
      <c r="I23" s="17"/>
      <c r="J23" s="18"/>
      <c r="K23" s="17"/>
    </row>
    <row r="24" spans="1:17" ht="15" customHeight="1" x14ac:dyDescent="0.25">
      <c r="A24" s="2"/>
      <c r="B24" s="34" t="s">
        <v>16</v>
      </c>
      <c r="C24" s="3"/>
      <c r="D24" s="4"/>
      <c r="E24" s="5"/>
      <c r="F24" s="5"/>
      <c r="G24" s="6">
        <f>SUM(G21:G23)</f>
        <v>30</v>
      </c>
      <c r="H24" s="7" t="s">
        <v>37</v>
      </c>
      <c r="I24" s="6">
        <v>161.58000000000001</v>
      </c>
      <c r="J24" s="18">
        <f>G24*I24</f>
        <v>4847.4000000000005</v>
      </c>
      <c r="K24" s="5"/>
    </row>
    <row r="25" spans="1:17" x14ac:dyDescent="0.25">
      <c r="A25" s="16"/>
      <c r="B25" s="32" t="s">
        <v>40</v>
      </c>
      <c r="C25" s="17"/>
      <c r="D25" s="17"/>
      <c r="E25" s="17"/>
      <c r="F25" s="17"/>
      <c r="G25" s="17"/>
      <c r="H25" s="17"/>
      <c r="I25" s="17"/>
      <c r="J25" s="18">
        <f>0.13*G24*45360/300</f>
        <v>589.68000000000006</v>
      </c>
      <c r="K25" s="17"/>
    </row>
    <row r="26" spans="1:17" x14ac:dyDescent="0.25">
      <c r="A26" s="16"/>
      <c r="B26" s="17"/>
      <c r="C26" s="17"/>
      <c r="D26" s="17"/>
      <c r="E26" s="17"/>
      <c r="F26" s="17"/>
      <c r="G26" s="17"/>
      <c r="H26" s="17"/>
      <c r="I26" s="17"/>
      <c r="J26" s="17"/>
      <c r="K26" s="17"/>
    </row>
    <row r="27" spans="1:17" ht="15" customHeight="1" x14ac:dyDescent="0.25">
      <c r="A27" s="2">
        <v>4</v>
      </c>
      <c r="B27" s="1" t="s">
        <v>18</v>
      </c>
      <c r="C27" s="3">
        <v>1</v>
      </c>
      <c r="D27" s="4"/>
      <c r="E27" s="5"/>
      <c r="F27" s="5"/>
      <c r="G27" s="7">
        <f t="shared" ref="G27" si="0">PRODUCT(C27:F27)</f>
        <v>1</v>
      </c>
      <c r="H27" s="7" t="s">
        <v>19</v>
      </c>
      <c r="I27" s="6">
        <v>500</v>
      </c>
      <c r="J27" s="7">
        <f>G27*I27</f>
        <v>500</v>
      </c>
      <c r="K27" s="5"/>
    </row>
    <row r="28" spans="1:17" x14ac:dyDescent="0.25">
      <c r="A28" s="2"/>
      <c r="B28" s="8"/>
      <c r="C28" s="3"/>
      <c r="D28" s="4"/>
      <c r="E28" s="5"/>
      <c r="F28" s="5"/>
      <c r="G28" s="6"/>
      <c r="H28" s="7"/>
      <c r="I28" s="6"/>
      <c r="J28" s="18"/>
      <c r="K28" s="5"/>
    </row>
    <row r="29" spans="1:17" x14ac:dyDescent="0.25">
      <c r="A29" s="21"/>
      <c r="B29" s="22" t="s">
        <v>21</v>
      </c>
      <c r="C29" s="23"/>
      <c r="D29" s="24"/>
      <c r="E29" s="24"/>
      <c r="F29" s="24"/>
      <c r="G29" s="18"/>
      <c r="H29" s="18"/>
      <c r="I29" s="18"/>
      <c r="J29" s="18">
        <f>SUM(J9:J27)</f>
        <v>596614.98846875015</v>
      </c>
      <c r="K29" s="25"/>
    </row>
    <row r="30" spans="1:17" x14ac:dyDescent="0.25">
      <c r="M30" s="20"/>
      <c r="N30" s="20"/>
      <c r="O30" s="20"/>
      <c r="P30" s="20"/>
      <c r="Q30" s="20"/>
    </row>
    <row r="31" spans="1:17" s="20" customFormat="1" x14ac:dyDescent="0.25">
      <c r="A31" s="26"/>
      <c r="B31" s="27" t="s">
        <v>20</v>
      </c>
      <c r="C31" s="43">
        <f>J29</f>
        <v>596614.98846875015</v>
      </c>
      <c r="D31" s="44"/>
      <c r="E31" s="9">
        <v>100</v>
      </c>
      <c r="F31" s="26"/>
      <c r="G31" s="28"/>
      <c r="H31" s="26"/>
      <c r="I31" s="29"/>
      <c r="J31" s="30"/>
      <c r="K31" s="31"/>
      <c r="M31" s="19"/>
      <c r="N31" s="19"/>
      <c r="O31" s="19"/>
      <c r="P31" s="19"/>
      <c r="Q31" s="19"/>
    </row>
    <row r="32" spans="1:17" x14ac:dyDescent="0.25">
      <c r="B32" s="27" t="s">
        <v>22</v>
      </c>
      <c r="C32" s="47">
        <v>500000</v>
      </c>
      <c r="D32" s="48"/>
      <c r="E32" s="9"/>
    </row>
    <row r="33" spans="2:5" x14ac:dyDescent="0.25">
      <c r="B33" s="27" t="s">
        <v>23</v>
      </c>
      <c r="C33" s="47">
        <f>C32-C35-C36</f>
        <v>475000</v>
      </c>
      <c r="D33" s="48"/>
      <c r="E33" s="9">
        <f>C33/C31*100</f>
        <v>79.61583419469855</v>
      </c>
    </row>
    <row r="34" spans="2:5" x14ac:dyDescent="0.25">
      <c r="B34" s="27" t="s">
        <v>28</v>
      </c>
      <c r="C34" s="49">
        <f>C31-C33</f>
        <v>121614.98846875015</v>
      </c>
      <c r="D34" s="49"/>
      <c r="E34" s="9">
        <f>100-E33</f>
        <v>20.38416580530145</v>
      </c>
    </row>
    <row r="35" spans="2:5" x14ac:dyDescent="0.25">
      <c r="B35" s="27" t="s">
        <v>24</v>
      </c>
      <c r="C35" s="43">
        <f>C32*0.03</f>
        <v>15000</v>
      </c>
      <c r="D35" s="44"/>
      <c r="E35" s="9">
        <v>3</v>
      </c>
    </row>
    <row r="36" spans="2:5" x14ac:dyDescent="0.25">
      <c r="B36" s="27" t="s">
        <v>25</v>
      </c>
      <c r="C36" s="43">
        <f>C32*0.02</f>
        <v>10000</v>
      </c>
      <c r="D36" s="44"/>
      <c r="E36" s="9">
        <v>2</v>
      </c>
    </row>
  </sheetData>
  <mergeCells count="15">
    <mergeCell ref="C35:D35"/>
    <mergeCell ref="C36:D36"/>
    <mergeCell ref="A7:F7"/>
    <mergeCell ref="H7:K7"/>
    <mergeCell ref="C31:D31"/>
    <mergeCell ref="C32:D32"/>
    <mergeCell ref="C33:D33"/>
    <mergeCell ref="C34:D34"/>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12"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21BE2-0486-4F4C-B8B0-360D4FE17A18}">
  <dimension ref="A1:Q50"/>
  <sheetViews>
    <sheetView tabSelected="1" topLeftCell="A26" zoomScale="90" zoomScaleNormal="90" zoomScaleSheetLayoutView="95" workbookViewId="0">
      <selection activeCell="C29" sqref="C2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39" t="s">
        <v>0</v>
      </c>
      <c r="B1" s="39"/>
      <c r="C1" s="39"/>
      <c r="D1" s="39"/>
      <c r="E1" s="39"/>
      <c r="F1" s="39"/>
      <c r="G1" s="39"/>
      <c r="H1" s="39"/>
      <c r="I1" s="39"/>
      <c r="J1" s="39"/>
      <c r="K1" s="39"/>
    </row>
    <row r="2" spans="1:16" ht="22.5" x14ac:dyDescent="0.25">
      <c r="A2" s="40" t="s">
        <v>1</v>
      </c>
      <c r="B2" s="40"/>
      <c r="C2" s="40"/>
      <c r="D2" s="40"/>
      <c r="E2" s="40"/>
      <c r="F2" s="40"/>
      <c r="G2" s="40"/>
      <c r="H2" s="40"/>
      <c r="I2" s="40"/>
      <c r="J2" s="40"/>
      <c r="K2" s="40"/>
    </row>
    <row r="3" spans="1:16" x14ac:dyDescent="0.25">
      <c r="A3" s="41" t="s">
        <v>2</v>
      </c>
      <c r="B3" s="41"/>
      <c r="C3" s="41"/>
      <c r="D3" s="41"/>
      <c r="E3" s="41"/>
      <c r="F3" s="41"/>
      <c r="G3" s="41"/>
      <c r="H3" s="41"/>
      <c r="I3" s="41"/>
      <c r="J3" s="41"/>
      <c r="K3" s="41"/>
    </row>
    <row r="4" spans="1:16" x14ac:dyDescent="0.25">
      <c r="A4" s="41" t="s">
        <v>3</v>
      </c>
      <c r="B4" s="41"/>
      <c r="C4" s="41"/>
      <c r="D4" s="41"/>
      <c r="E4" s="41"/>
      <c r="F4" s="41"/>
      <c r="G4" s="41"/>
      <c r="H4" s="41"/>
      <c r="I4" s="41"/>
      <c r="J4" s="41"/>
      <c r="K4" s="41"/>
    </row>
    <row r="5" spans="1:16" ht="18.75" x14ac:dyDescent="0.3">
      <c r="A5" s="42" t="s">
        <v>4</v>
      </c>
      <c r="B5" s="42"/>
      <c r="C5" s="42"/>
      <c r="D5" s="42"/>
      <c r="E5" s="42"/>
      <c r="F5" s="42"/>
      <c r="G5" s="42"/>
      <c r="H5" s="42"/>
      <c r="I5" s="42"/>
      <c r="J5" s="42"/>
      <c r="K5" s="42"/>
    </row>
    <row r="6" spans="1:16" ht="15.75" x14ac:dyDescent="0.25">
      <c r="A6" s="37" t="s">
        <v>41</v>
      </c>
      <c r="B6" s="37"/>
      <c r="C6" s="37"/>
      <c r="D6" s="37"/>
      <c r="E6" s="37"/>
      <c r="F6" s="37"/>
      <c r="G6" s="10"/>
      <c r="H6" s="38" t="s">
        <v>26</v>
      </c>
      <c r="I6" s="38"/>
      <c r="J6" s="38"/>
      <c r="K6" s="38"/>
    </row>
    <row r="7" spans="1:16" ht="15.75" x14ac:dyDescent="0.25">
      <c r="A7" s="45" t="s">
        <v>38</v>
      </c>
      <c r="B7" s="45"/>
      <c r="C7" s="45"/>
      <c r="D7" s="45"/>
      <c r="E7" s="45"/>
      <c r="F7" s="45"/>
      <c r="G7" s="11"/>
      <c r="H7" s="46" t="s">
        <v>42</v>
      </c>
      <c r="I7" s="46"/>
      <c r="J7" s="46"/>
      <c r="K7" s="46"/>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80.75" customHeight="1" x14ac:dyDescent="0.25">
      <c r="A9" s="16">
        <v>1</v>
      </c>
      <c r="B9" s="35" t="s">
        <v>39</v>
      </c>
      <c r="C9" s="17"/>
      <c r="D9" s="17"/>
      <c r="E9" s="17"/>
      <c r="F9" s="17"/>
      <c r="G9" s="17"/>
      <c r="H9" s="17"/>
      <c r="I9" s="17"/>
      <c r="J9" s="17"/>
      <c r="K9" s="17"/>
    </row>
    <row r="10" spans="1:16" x14ac:dyDescent="0.25">
      <c r="A10" s="16"/>
      <c r="B10" s="32" t="s">
        <v>29</v>
      </c>
      <c r="C10" s="17">
        <v>1</v>
      </c>
      <c r="D10" s="33">
        <f>C28</f>
        <v>13</v>
      </c>
      <c r="E10" s="33">
        <v>3</v>
      </c>
      <c r="F10" s="33">
        <v>1</v>
      </c>
      <c r="G10" s="33">
        <f>PRODUCT(C10:F10)</f>
        <v>39</v>
      </c>
      <c r="H10" s="17"/>
      <c r="I10" s="17"/>
      <c r="J10" s="17"/>
      <c r="K10" s="17"/>
      <c r="M10" s="33">
        <f>7</f>
        <v>7</v>
      </c>
      <c r="N10" s="33">
        <f>2</f>
        <v>2</v>
      </c>
      <c r="O10" s="33"/>
      <c r="P10" s="33">
        <f>PI()*M10*SQRT(M10^2+N10^2)</f>
        <v>160.09797821843054</v>
      </c>
    </row>
    <row r="11" spans="1:16" ht="15" customHeight="1" x14ac:dyDescent="0.25">
      <c r="A11" s="2"/>
      <c r="B11" s="34" t="s">
        <v>16</v>
      </c>
      <c r="C11" s="3"/>
      <c r="D11" s="4"/>
      <c r="E11" s="5"/>
      <c r="F11" s="5"/>
      <c r="G11" s="6">
        <f>SUM(G10:G10)</f>
        <v>39</v>
      </c>
      <c r="H11" s="7" t="s">
        <v>17</v>
      </c>
      <c r="I11" s="6">
        <v>748.9</v>
      </c>
      <c r="J11" s="18">
        <f>G11*I11</f>
        <v>29207.1</v>
      </c>
      <c r="K11" s="5"/>
    </row>
    <row r="12" spans="1:16" x14ac:dyDescent="0.25">
      <c r="A12" s="16"/>
      <c r="B12" s="17"/>
      <c r="C12" s="17"/>
      <c r="D12" s="17"/>
      <c r="E12" s="17"/>
      <c r="F12" s="17"/>
      <c r="G12" s="17"/>
      <c r="H12" s="17"/>
      <c r="I12" s="17"/>
      <c r="J12" s="17"/>
      <c r="K12" s="17"/>
    </row>
    <row r="13" spans="1:16" ht="110.25" x14ac:dyDescent="0.25">
      <c r="A13" s="16">
        <v>2</v>
      </c>
      <c r="B13" s="35" t="s">
        <v>43</v>
      </c>
      <c r="C13" s="17"/>
      <c r="D13" s="17"/>
      <c r="E13" s="17"/>
      <c r="F13" s="17"/>
      <c r="G13" s="17"/>
      <c r="H13" s="17"/>
      <c r="I13" s="17"/>
      <c r="J13" s="17"/>
      <c r="K13" s="17"/>
    </row>
    <row r="14" spans="1:16" x14ac:dyDescent="0.25">
      <c r="A14" s="16"/>
      <c r="B14" s="32" t="str">
        <f>B10</f>
        <v>-for base preparation</v>
      </c>
      <c r="C14" s="17">
        <v>1</v>
      </c>
      <c r="D14" s="33">
        <f>D19</f>
        <v>13</v>
      </c>
      <c r="E14" s="33">
        <v>3</v>
      </c>
      <c r="F14" s="33">
        <v>0.15</v>
      </c>
      <c r="G14" s="33">
        <f>PRODUCT(C14:F14)</f>
        <v>5.85</v>
      </c>
      <c r="H14" s="17"/>
      <c r="I14" s="17"/>
      <c r="J14" s="17"/>
      <c r="K14" s="17"/>
      <c r="M14" s="33">
        <f>7</f>
        <v>7</v>
      </c>
      <c r="N14" s="33">
        <f>2</f>
        <v>2</v>
      </c>
      <c r="O14" s="33"/>
      <c r="P14" s="33">
        <f>PI()*M14*SQRT(M14^2+N14^2)</f>
        <v>160.09797821843054</v>
      </c>
    </row>
    <row r="15" spans="1:16" ht="15" customHeight="1" x14ac:dyDescent="0.25">
      <c r="A15" s="2"/>
      <c r="B15" s="34" t="s">
        <v>16</v>
      </c>
      <c r="C15" s="3"/>
      <c r="D15" s="4"/>
      <c r="E15" s="5"/>
      <c r="F15" s="5"/>
      <c r="G15" s="6">
        <f>SUM(G14:G14)</f>
        <v>5.85</v>
      </c>
      <c r="H15" s="7" t="s">
        <v>17</v>
      </c>
      <c r="I15" s="6">
        <v>4458.5200000000004</v>
      </c>
      <c r="J15" s="18">
        <f>G15*I15</f>
        <v>26082.342000000001</v>
      </c>
      <c r="K15" s="5"/>
    </row>
    <row r="16" spans="1:16" x14ac:dyDescent="0.25">
      <c r="A16" s="16"/>
      <c r="B16" s="32" t="s">
        <v>44</v>
      </c>
      <c r="C16" s="17"/>
      <c r="D16" s="17"/>
      <c r="E16" s="17"/>
      <c r="F16" s="17"/>
      <c r="G16" s="17"/>
      <c r="H16" s="17"/>
      <c r="I16" s="17"/>
      <c r="J16" s="18">
        <f>0.13*G15*(14817.6)/5</f>
        <v>2253.7569599999997</v>
      </c>
      <c r="K16" s="17"/>
    </row>
    <row r="17" spans="1:16" x14ac:dyDescent="0.25">
      <c r="A17" s="16"/>
      <c r="B17" s="17"/>
      <c r="C17" s="17"/>
      <c r="D17" s="17"/>
      <c r="E17" s="17"/>
      <c r="F17" s="17"/>
      <c r="G17" s="17"/>
      <c r="H17" s="17"/>
      <c r="I17" s="17"/>
      <c r="J17" s="17"/>
      <c r="K17" s="17"/>
    </row>
    <row r="18" spans="1:16" ht="94.5" x14ac:dyDescent="0.25">
      <c r="A18" s="16">
        <v>3</v>
      </c>
      <c r="B18" s="35" t="s">
        <v>45</v>
      </c>
      <c r="C18" s="17"/>
      <c r="D18" s="17"/>
      <c r="E18" s="17"/>
      <c r="F18" s="17"/>
      <c r="G18" s="17"/>
      <c r="H18" s="17"/>
      <c r="I18" s="17"/>
      <c r="J18" s="17"/>
      <c r="K18" s="17"/>
    </row>
    <row r="19" spans="1:16" x14ac:dyDescent="0.25">
      <c r="A19" s="16"/>
      <c r="B19" s="32" t="str">
        <f>B14</f>
        <v>-for base preparation</v>
      </c>
      <c r="C19" s="17">
        <v>1</v>
      </c>
      <c r="D19" s="33">
        <f>C28</f>
        <v>13</v>
      </c>
      <c r="E19" s="33">
        <f>E14</f>
        <v>3</v>
      </c>
      <c r="F19" s="33">
        <v>0.05</v>
      </c>
      <c r="G19" s="33">
        <f>PRODUCT(C19:F19)</f>
        <v>1.9500000000000002</v>
      </c>
      <c r="H19" s="17"/>
      <c r="I19" s="17"/>
      <c r="J19" s="17"/>
      <c r="K19" s="17"/>
      <c r="M19" s="33">
        <f>7</f>
        <v>7</v>
      </c>
      <c r="N19" s="33">
        <f>2</f>
        <v>2</v>
      </c>
      <c r="O19" s="33"/>
      <c r="P19" s="33">
        <f>PI()*M19*SQRT(M19^2+N19^2)</f>
        <v>160.09797821843054</v>
      </c>
    </row>
    <row r="20" spans="1:16" ht="15" customHeight="1" x14ac:dyDescent="0.25">
      <c r="A20" s="2"/>
      <c r="B20" s="34" t="s">
        <v>16</v>
      </c>
      <c r="C20" s="3"/>
      <c r="D20" s="4"/>
      <c r="E20" s="5"/>
      <c r="F20" s="5"/>
      <c r="G20" s="6">
        <f>SUM(G19:G19)</f>
        <v>1.9500000000000002</v>
      </c>
      <c r="H20" s="7" t="s">
        <v>17</v>
      </c>
      <c r="I20" s="6">
        <v>10964.46</v>
      </c>
      <c r="J20" s="18">
        <f>G20*I20</f>
        <v>21380.697</v>
      </c>
      <c r="K20" s="5"/>
    </row>
    <row r="21" spans="1:16" x14ac:dyDescent="0.25">
      <c r="A21" s="16"/>
      <c r="B21" s="32" t="s">
        <v>46</v>
      </c>
      <c r="C21" s="17"/>
      <c r="D21" s="17"/>
      <c r="E21" s="17"/>
      <c r="F21" s="17"/>
      <c r="G21" s="17"/>
      <c r="H21" s="17"/>
      <c r="I21" s="17"/>
      <c r="J21" s="18">
        <f>0.13*G20*(53818.03)/15</f>
        <v>909.52470700000026</v>
      </c>
      <c r="K21" s="17"/>
    </row>
    <row r="22" spans="1:16" x14ac:dyDescent="0.25">
      <c r="A22" s="16"/>
      <c r="B22" s="32" t="s">
        <v>47</v>
      </c>
      <c r="C22" s="17"/>
      <c r="D22" s="17"/>
      <c r="E22" s="17"/>
      <c r="F22" s="17"/>
      <c r="G22" s="17"/>
      <c r="H22" s="17"/>
      <c r="I22" s="17"/>
      <c r="J22" s="18">
        <f>0.13*G20*(21432.6)/15</f>
        <v>362.21094000000005</v>
      </c>
      <c r="K22" s="17"/>
    </row>
    <row r="23" spans="1:16" x14ac:dyDescent="0.25">
      <c r="A23" s="16"/>
      <c r="B23" s="32" t="s">
        <v>48</v>
      </c>
      <c r="C23" s="17"/>
      <c r="D23" s="17"/>
      <c r="E23" s="17"/>
      <c r="F23" s="17"/>
      <c r="G23" s="17"/>
      <c r="H23" s="17"/>
      <c r="I23" s="17"/>
      <c r="J23" s="18">
        <f>0.13*G20*(25719.12+13573.98+4286.52)/15</f>
        <v>736.49557800000014</v>
      </c>
      <c r="K23" s="17"/>
    </row>
    <row r="24" spans="1:16" x14ac:dyDescent="0.25">
      <c r="A24" s="16"/>
      <c r="B24" s="32" t="s">
        <v>49</v>
      </c>
      <c r="C24" s="17"/>
      <c r="D24" s="17"/>
      <c r="E24" s="17"/>
      <c r="F24" s="17"/>
      <c r="G24" s="17"/>
      <c r="H24" s="17"/>
      <c r="I24" s="17"/>
      <c r="J24" s="18">
        <f>0.13*G20*(6325.7)/15</f>
        <v>106.90433000000003</v>
      </c>
      <c r="K24" s="17"/>
    </row>
    <row r="25" spans="1:16" x14ac:dyDescent="0.25">
      <c r="A25" s="16"/>
      <c r="B25" s="32" t="s">
        <v>50</v>
      </c>
      <c r="C25" s="17"/>
      <c r="D25" s="17"/>
      <c r="E25" s="17"/>
      <c r="F25" s="17"/>
      <c r="G25" s="17"/>
      <c r="H25" s="17"/>
      <c r="I25" s="17"/>
      <c r="J25" s="18">
        <f>0.13*G20*(310)/5</f>
        <v>15.717000000000004</v>
      </c>
      <c r="K25" s="17"/>
    </row>
    <row r="26" spans="1:16" x14ac:dyDescent="0.25">
      <c r="A26" s="16"/>
      <c r="B26" s="17"/>
      <c r="C26" s="17"/>
      <c r="D26" s="17"/>
      <c r="E26" s="17"/>
      <c r="F26" s="17"/>
      <c r="G26" s="17"/>
      <c r="H26" s="17"/>
      <c r="I26" s="17"/>
      <c r="J26" s="17"/>
      <c r="K26" s="17"/>
    </row>
    <row r="27" spans="1:16" ht="254.25" customHeight="1" x14ac:dyDescent="0.25">
      <c r="A27" s="16">
        <v>4</v>
      </c>
      <c r="B27" s="35" t="s">
        <v>30</v>
      </c>
      <c r="C27" s="17"/>
      <c r="D27" s="17"/>
      <c r="E27" s="17"/>
      <c r="F27" s="17"/>
      <c r="G27" s="17"/>
      <c r="H27" s="17"/>
      <c r="I27" s="17"/>
      <c r="J27" s="17"/>
      <c r="K27" s="17"/>
    </row>
    <row r="28" spans="1:16" x14ac:dyDescent="0.25">
      <c r="A28" s="16"/>
      <c r="B28" s="32" t="s">
        <v>31</v>
      </c>
      <c r="C28" s="17">
        <v>13</v>
      </c>
      <c r="D28" s="33">
        <v>3</v>
      </c>
      <c r="E28" s="33">
        <v>1</v>
      </c>
      <c r="F28" s="33">
        <v>1</v>
      </c>
      <c r="G28" s="33">
        <f>PRODUCT(C28:F28)</f>
        <v>39</v>
      </c>
      <c r="H28" s="17"/>
      <c r="I28" s="17"/>
      <c r="J28" s="17"/>
      <c r="K28" s="17"/>
      <c r="M28" s="33">
        <f>7</f>
        <v>7</v>
      </c>
      <c r="N28" s="33">
        <f>2</f>
        <v>2</v>
      </c>
      <c r="O28" s="33"/>
      <c r="P28" s="33">
        <f>PI()*M28*SQRT(M28^2+N28^2)</f>
        <v>160.09797821843054</v>
      </c>
    </row>
    <row r="29" spans="1:16" x14ac:dyDescent="0.25">
      <c r="A29" s="16"/>
      <c r="B29" s="32"/>
      <c r="C29" s="17">
        <f>C28</f>
        <v>13</v>
      </c>
      <c r="D29" s="33">
        <v>2.5</v>
      </c>
      <c r="E29" s="33">
        <v>1</v>
      </c>
      <c r="F29" s="33">
        <v>1</v>
      </c>
      <c r="G29" s="33">
        <f>PRODUCT(C29:F29)</f>
        <v>32.5</v>
      </c>
      <c r="H29" s="17"/>
      <c r="I29" s="17"/>
      <c r="J29" s="17"/>
      <c r="K29" s="17"/>
      <c r="M29" s="36"/>
      <c r="N29" s="36"/>
      <c r="O29" s="36"/>
      <c r="P29" s="36"/>
    </row>
    <row r="30" spans="1:16" ht="15" customHeight="1" x14ac:dyDescent="0.25">
      <c r="A30" s="2"/>
      <c r="B30" s="34" t="s">
        <v>16</v>
      </c>
      <c r="C30" s="3"/>
      <c r="D30" s="4"/>
      <c r="E30" s="5"/>
      <c r="F30" s="5"/>
      <c r="G30" s="6">
        <f>SUM(G28:G29)</f>
        <v>71.5</v>
      </c>
      <c r="H30" s="7" t="s">
        <v>17</v>
      </c>
      <c r="I30" s="6">
        <v>6421.62</v>
      </c>
      <c r="J30" s="18">
        <f>G30*I30</f>
        <v>459145.83</v>
      </c>
      <c r="K30" s="5"/>
    </row>
    <row r="31" spans="1:16" x14ac:dyDescent="0.25">
      <c r="A31" s="16"/>
      <c r="B31" s="32" t="s">
        <v>27</v>
      </c>
      <c r="C31" s="17"/>
      <c r="D31" s="17"/>
      <c r="E31" s="17"/>
      <c r="F31" s="17"/>
      <c r="G31" s="17"/>
      <c r="H31" s="17"/>
      <c r="I31" s="17"/>
      <c r="J31" s="18">
        <f>0.13*G30*(16299.36/6+16299.36/6+16299.36/6+16299.36/6)/4</f>
        <v>25250.425199999998</v>
      </c>
      <c r="K31" s="17"/>
    </row>
    <row r="32" spans="1:16" x14ac:dyDescent="0.25">
      <c r="A32" s="16"/>
      <c r="B32" s="32" t="s">
        <v>32</v>
      </c>
      <c r="C32" s="17"/>
      <c r="D32" s="17"/>
      <c r="E32" s="17"/>
      <c r="F32" s="17"/>
      <c r="G32" s="17"/>
      <c r="H32" s="17"/>
      <c r="I32" s="17"/>
      <c r="J32" s="18">
        <f>0.13*G30*(9055.8/6+9346.05/6+10191/6+10185.84/6)/4</f>
        <v>15018.663481250001</v>
      </c>
      <c r="K32" s="17"/>
    </row>
    <row r="33" spans="1:17" x14ac:dyDescent="0.25">
      <c r="A33" s="16"/>
      <c r="B33" s="32" t="s">
        <v>33</v>
      </c>
      <c r="C33" s="17"/>
      <c r="D33" s="17"/>
      <c r="E33" s="17"/>
      <c r="F33" s="17"/>
      <c r="G33" s="17"/>
      <c r="H33" s="17"/>
      <c r="I33" s="17"/>
      <c r="J33" s="18">
        <f>0.13*G30*(1008.78/6+1145.52/6+1393.2/6+1555.74/6)/4</f>
        <v>1976.442325</v>
      </c>
      <c r="K33" s="17"/>
    </row>
    <row r="34" spans="1:17" x14ac:dyDescent="0.25">
      <c r="A34" s="16"/>
      <c r="B34" s="32" t="s">
        <v>34</v>
      </c>
      <c r="C34" s="17"/>
      <c r="D34" s="17"/>
      <c r="E34" s="17"/>
      <c r="F34" s="17"/>
      <c r="G34" s="17"/>
      <c r="H34" s="17"/>
      <c r="I34" s="17"/>
      <c r="J34" s="18">
        <f>0.13*G30*(434.4/6+468/6+600/6+547.2/6)/4</f>
        <v>793.79299999999989</v>
      </c>
      <c r="K34" s="17"/>
    </row>
    <row r="35" spans="1:17" x14ac:dyDescent="0.25">
      <c r="A35" s="16"/>
      <c r="B35" s="32"/>
      <c r="C35" s="17"/>
      <c r="D35" s="17"/>
      <c r="E35" s="17"/>
      <c r="F35" s="17"/>
      <c r="G35" s="17"/>
      <c r="H35" s="17"/>
      <c r="I35" s="17"/>
      <c r="J35" s="18"/>
      <c r="K35" s="17"/>
    </row>
    <row r="36" spans="1:17" ht="123" customHeight="1" x14ac:dyDescent="0.25">
      <c r="A36" s="16">
        <v>5</v>
      </c>
      <c r="B36" s="35" t="s">
        <v>35</v>
      </c>
      <c r="C36" s="17"/>
      <c r="D36" s="17"/>
      <c r="E36" s="17"/>
      <c r="F36" s="17"/>
      <c r="G36" s="17"/>
      <c r="H36" s="17"/>
      <c r="I36" s="17"/>
      <c r="J36" s="17"/>
      <c r="K36" s="17"/>
    </row>
    <row r="37" spans="1:17" x14ac:dyDescent="0.25">
      <c r="A37" s="16"/>
      <c r="B37" s="32" t="s">
        <v>36</v>
      </c>
      <c r="C37" s="17">
        <f>C28</f>
        <v>13</v>
      </c>
      <c r="D37" s="17">
        <v>1</v>
      </c>
      <c r="E37" s="17"/>
      <c r="F37" s="33">
        <f>SUM(F28:F29)</f>
        <v>2</v>
      </c>
      <c r="G37" s="33">
        <f>PRODUCT(C37:F37)</f>
        <v>26</v>
      </c>
      <c r="H37" s="17"/>
      <c r="I37" s="17"/>
      <c r="J37" s="18"/>
      <c r="K37" s="17"/>
    </row>
    <row r="38" spans="1:17" ht="15" customHeight="1" x14ac:dyDescent="0.25">
      <c r="A38" s="2"/>
      <c r="B38" s="34" t="s">
        <v>16</v>
      </c>
      <c r="C38" s="3"/>
      <c r="D38" s="4"/>
      <c r="E38" s="5"/>
      <c r="F38" s="5"/>
      <c r="G38" s="6">
        <f>SUM(G35:G37)</f>
        <v>26</v>
      </c>
      <c r="H38" s="7" t="s">
        <v>37</v>
      </c>
      <c r="I38" s="6">
        <v>161.58000000000001</v>
      </c>
      <c r="J38" s="18">
        <f>G38*I38</f>
        <v>4201.08</v>
      </c>
      <c r="K38" s="5"/>
    </row>
    <row r="39" spans="1:17" x14ac:dyDescent="0.25">
      <c r="A39" s="16"/>
      <c r="B39" s="32" t="s">
        <v>40</v>
      </c>
      <c r="C39" s="17"/>
      <c r="D39" s="17"/>
      <c r="E39" s="17"/>
      <c r="F39" s="17"/>
      <c r="G39" s="17"/>
      <c r="H39" s="17"/>
      <c r="I39" s="17"/>
      <c r="J39" s="18">
        <f>0.13*G38*45360/300</f>
        <v>511.05599999999998</v>
      </c>
      <c r="K39" s="17"/>
    </row>
    <row r="40" spans="1:17" x14ac:dyDescent="0.25">
      <c r="A40" s="16"/>
      <c r="B40" s="17"/>
      <c r="C40" s="17"/>
      <c r="D40" s="17"/>
      <c r="E40" s="17"/>
      <c r="F40" s="17"/>
      <c r="G40" s="17"/>
      <c r="H40" s="17"/>
      <c r="I40" s="17"/>
      <c r="J40" s="17"/>
      <c r="K40" s="17"/>
    </row>
    <row r="41" spans="1:17" ht="15" customHeight="1" x14ac:dyDescent="0.25">
      <c r="A41" s="2">
        <v>6</v>
      </c>
      <c r="B41" s="1" t="s">
        <v>18</v>
      </c>
      <c r="C41" s="3">
        <v>1</v>
      </c>
      <c r="D41" s="4"/>
      <c r="E41" s="5"/>
      <c r="F41" s="5"/>
      <c r="G41" s="7">
        <f t="shared" ref="G41" si="0">PRODUCT(C41:F41)</f>
        <v>1</v>
      </c>
      <c r="H41" s="7" t="s">
        <v>19</v>
      </c>
      <c r="I41" s="6">
        <v>500</v>
      </c>
      <c r="J41" s="7">
        <f>G41*I41</f>
        <v>500</v>
      </c>
      <c r="K41" s="5"/>
    </row>
    <row r="42" spans="1:17" x14ac:dyDescent="0.25">
      <c r="A42" s="2"/>
      <c r="B42" s="8"/>
      <c r="C42" s="3"/>
      <c r="D42" s="4"/>
      <c r="E42" s="5"/>
      <c r="F42" s="5"/>
      <c r="G42" s="6"/>
      <c r="H42" s="7"/>
      <c r="I42" s="6"/>
      <c r="J42" s="18"/>
      <c r="K42" s="5"/>
    </row>
    <row r="43" spans="1:17" x14ac:dyDescent="0.25">
      <c r="A43" s="21"/>
      <c r="B43" s="22" t="s">
        <v>21</v>
      </c>
      <c r="C43" s="23"/>
      <c r="D43" s="24"/>
      <c r="E43" s="24"/>
      <c r="F43" s="24"/>
      <c r="G43" s="18"/>
      <c r="H43" s="18"/>
      <c r="I43" s="18"/>
      <c r="J43" s="18">
        <f>SUM(J9:J41)</f>
        <v>588452.03852125001</v>
      </c>
      <c r="K43" s="25"/>
    </row>
    <row r="44" spans="1:17" x14ac:dyDescent="0.25">
      <c r="M44" s="20"/>
      <c r="N44" s="20"/>
      <c r="O44" s="20"/>
      <c r="P44" s="20"/>
      <c r="Q44" s="20"/>
    </row>
    <row r="45" spans="1:17" s="20" customFormat="1" x14ac:dyDescent="0.25">
      <c r="A45" s="26"/>
      <c r="B45" s="27" t="s">
        <v>20</v>
      </c>
      <c r="C45" s="43">
        <f>J43</f>
        <v>588452.03852125001</v>
      </c>
      <c r="D45" s="44"/>
      <c r="E45" s="9">
        <v>100</v>
      </c>
      <c r="F45" s="26"/>
      <c r="G45" s="28"/>
      <c r="H45" s="26"/>
      <c r="I45" s="29"/>
      <c r="J45" s="30"/>
      <c r="K45" s="31"/>
      <c r="M45" s="19"/>
      <c r="N45" s="19"/>
      <c r="O45" s="19"/>
      <c r="P45" s="19"/>
      <c r="Q45" s="19"/>
    </row>
    <row r="46" spans="1:17" x14ac:dyDescent="0.25">
      <c r="B46" s="27" t="s">
        <v>22</v>
      </c>
      <c r="C46" s="47">
        <v>500000</v>
      </c>
      <c r="D46" s="48"/>
      <c r="E46" s="9"/>
    </row>
    <row r="47" spans="1:17" x14ac:dyDescent="0.25">
      <c r="B47" s="27" t="s">
        <v>23</v>
      </c>
      <c r="C47" s="47">
        <f>C46-C49-C50</f>
        <v>475000</v>
      </c>
      <c r="D47" s="48"/>
      <c r="E47" s="9">
        <f>C47/C45*100</f>
        <v>80.720257371127616</v>
      </c>
    </row>
    <row r="48" spans="1:17" x14ac:dyDescent="0.25">
      <c r="B48" s="27" t="s">
        <v>28</v>
      </c>
      <c r="C48" s="49">
        <f>C45-C47</f>
        <v>113452.03852125001</v>
      </c>
      <c r="D48" s="49"/>
      <c r="E48" s="9">
        <f>100-E47</f>
        <v>19.279742628872384</v>
      </c>
    </row>
    <row r="49" spans="2:5" x14ac:dyDescent="0.25">
      <c r="B49" s="27" t="s">
        <v>24</v>
      </c>
      <c r="C49" s="43">
        <f>C46*0.03</f>
        <v>15000</v>
      </c>
      <c r="D49" s="44"/>
      <c r="E49" s="9">
        <v>3</v>
      </c>
    </row>
    <row r="50" spans="2:5" x14ac:dyDescent="0.25">
      <c r="B50" s="27" t="s">
        <v>25</v>
      </c>
      <c r="C50" s="43">
        <f>C46*0.02</f>
        <v>10000</v>
      </c>
      <c r="D50" s="44"/>
      <c r="E50" s="9">
        <v>2</v>
      </c>
    </row>
  </sheetData>
  <mergeCells count="15">
    <mergeCell ref="C49:D49"/>
    <mergeCell ref="C50:D50"/>
    <mergeCell ref="A7:F7"/>
    <mergeCell ref="H7:K7"/>
    <mergeCell ref="C45:D45"/>
    <mergeCell ref="C46:D46"/>
    <mergeCell ref="C47:D47"/>
    <mergeCell ref="C48:D48"/>
    <mergeCell ref="A1:K1"/>
    <mergeCell ref="A2:K2"/>
    <mergeCell ref="A3:K3"/>
    <mergeCell ref="A4:K4"/>
    <mergeCell ref="A5:K5"/>
    <mergeCell ref="A6:F6"/>
    <mergeCell ref="H6:K6"/>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26"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estimate</vt:lpstr>
      <vt:lpstr>estimate (2)</vt:lpstr>
      <vt:lpstr>estimate!Print_Area</vt:lpstr>
      <vt:lpstr>'estimate (2)'!Print_Area</vt:lpstr>
      <vt:lpstr>estimate!Print_Titles</vt:lpstr>
      <vt:lpstr>'estimate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2026-02-17T06:00:28Z</dcterms:modified>
</cp:coreProperties>
</file>