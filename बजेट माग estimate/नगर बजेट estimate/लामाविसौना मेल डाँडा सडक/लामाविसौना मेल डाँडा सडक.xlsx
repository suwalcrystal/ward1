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24226"/>
  <xr:revisionPtr revIDLastSave="0" documentId="13_ncr:1_{3C6D8BFF-A750-4491-8034-972D0E4B1571}" xr6:coauthVersionLast="47" xr6:coauthVersionMax="47" xr10:uidLastSave="{00000000-0000-0000-0000-000000000000}"/>
  <bookViews>
    <workbookView xWindow="-120" yWindow="-120" windowWidth="20730" windowHeight="11040" xr2:uid="{00000000-000D-0000-FFFF-FFFF0000000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estimate!$A$1:$K$49</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4" l="1"/>
  <c r="B33" i="14"/>
  <c r="E23" i="14"/>
  <c r="E17" i="14"/>
  <c r="D17" i="14"/>
  <c r="D23" i="14" s="1"/>
  <c r="D33" i="14" s="1"/>
  <c r="C17" i="14"/>
  <c r="B17" i="14"/>
  <c r="B23" i="14" s="1"/>
  <c r="G11" i="14"/>
  <c r="F11" i="14"/>
  <c r="G17" i="14" l="1"/>
  <c r="C23" i="14"/>
  <c r="D10" i="14"/>
  <c r="C49" i="14"/>
  <c r="C48" i="14"/>
  <c r="G40" i="14"/>
  <c r="J40" i="14" s="1"/>
  <c r="N32" i="14"/>
  <c r="M32" i="14"/>
  <c r="E32" i="14"/>
  <c r="N22" i="14"/>
  <c r="M22" i="14"/>
  <c r="P22" i="14" s="1"/>
  <c r="E22" i="14"/>
  <c r="E16" i="14" s="1"/>
  <c r="D22" i="14"/>
  <c r="N16" i="14"/>
  <c r="P16" i="14" s="1"/>
  <c r="M16" i="14"/>
  <c r="B16" i="14"/>
  <c r="B22" i="14" s="1"/>
  <c r="B32" i="14" s="1"/>
  <c r="N10" i="14"/>
  <c r="M10" i="14"/>
  <c r="P10" i="14" s="1"/>
  <c r="E10" i="14"/>
  <c r="P32" i="14" l="1"/>
  <c r="G23" i="14"/>
  <c r="C33" i="14"/>
  <c r="G33" i="14" s="1"/>
  <c r="G22" i="14"/>
  <c r="C46" i="14"/>
  <c r="G32" i="14"/>
  <c r="G10" i="14"/>
  <c r="G12" i="14" s="1"/>
  <c r="D16" i="14"/>
  <c r="G16" i="14" s="1"/>
  <c r="G18" i="14" s="1"/>
  <c r="G24" i="14" l="1"/>
  <c r="J29" i="14" s="1"/>
  <c r="G34" i="14"/>
  <c r="J34" i="14" s="1"/>
  <c r="J12" i="14"/>
  <c r="J13" i="14"/>
  <c r="J19" i="14"/>
  <c r="J18" i="14"/>
  <c r="J37" i="14" l="1"/>
  <c r="J38" i="14"/>
  <c r="J36" i="14"/>
  <c r="J27" i="14"/>
  <c r="J26" i="14"/>
  <c r="J24" i="14"/>
  <c r="J25" i="14"/>
  <c r="J28" i="14"/>
  <c r="J35" i="14"/>
  <c r="J42" i="14" l="1"/>
  <c r="C44" i="14" s="1"/>
  <c r="E46" i="14" s="1"/>
  <c r="E47" i="14" s="1"/>
  <c r="C47" i="14" l="1"/>
</calcChain>
</file>

<file path=xl/sharedStrings.xml><?xml version="1.0" encoding="utf-8"?>
<sst xmlns="http://schemas.openxmlformats.org/spreadsheetml/2006/main" count="54" uniqueCount="46">
  <si>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</si>
  <si>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</si>
  <si>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</si>
  <si>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</si>
  <si>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</si>
  <si>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</si>
  <si>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</si>
  <si>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</si>
  <si>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</si>
  <si>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</si>
  <si>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</si>
  <si>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</si>
  <si>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</si>
  <si>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</si>
  <si>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</si>
  <si>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</si>
  <si>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</si>
  <si>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</si>
  <si>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</si>
  <si>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</si>
  <si>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</si>
  <si>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</si>
  <si>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-13% VAT for materials</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</si>
  <si>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</si>
  <si>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</si>
  <si>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</si>
  <si>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</si>
  <si>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</si>
  <si>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</si>
  <si>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</si>
  <si>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</si>
  <si>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</si>
  <si>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</si>
  <si>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</si>
  <si>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</si>
  <si>
    <t>User contribution</t>
  </si>
  <si>
    <t>-for plum wall</t>
  </si>
  <si>
    <t>Providing and laying Plum concrete ( Boulder mixed concrete) including form work and 110mm dia PN6 HDPE pipe for Weep hole as per Drawing and Specifications, 60% M 15  concrete and 40% boulders/stones, using Mechanical Aids</t>
  </si>
  <si>
    <t>-13% VAT for boulder</t>
  </si>
  <si>
    <t>-13% VAT for aggregates</t>
  </si>
  <si>
    <t>Date: 2082/09/06</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</si>
  <si>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</si>
  <si>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</si>
  <si>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-13% VAT</t>
  </si>
  <si>
    <t>-for drain</t>
  </si>
  <si>
    <r>
      <t xml:space="preserve">Project:- </t>
    </r>
    <r>
      <rPr>
        <b/>
        <sz val="14"/>
        <rFont val="Preeti"/>
      </rPr>
      <t>nfdflj;f}gf d]n 8fF8f ;8s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</si>
</sst>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9"/>
  <sheetViews>
    <sheetView tabSelected="1" topLeftCell="A31" zoomScale="90" zoomScaleNormal="90" zoomScaleSheetLayoutView="95" workbookViewId="0">
      <selection activeCell="E32" sqref="E32"/>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0" t="s">
        <v>0</v>
      </c>
      <c r="B1" s="40"/>
      <c r="C1" s="40"/>
      <c r="D1" s="40"/>
      <c r="E1" s="40"/>
      <c r="F1" s="40"/>
      <c r="G1" s="40"/>
      <c r="H1" s="40"/>
      <c r="I1" s="40"/>
      <c r="J1" s="40"/>
      <c r="K1" s="40"/>
    </row>
    <row r="2" spans="1:16" ht="22.5" x14ac:dyDescent="0.25">
      <c r="A2" s="41" t="s">
        <v>1</v>
      </c>
      <c r="B2" s="41"/>
      <c r="C2" s="41"/>
      <c r="D2" s="41"/>
      <c r="E2" s="41"/>
      <c r="F2" s="41"/>
      <c r="G2" s="41"/>
      <c r="H2" s="41"/>
      <c r="I2" s="41"/>
      <c r="J2" s="41"/>
      <c r="K2" s="41"/>
    </row>
    <row r="3" spans="1:16" x14ac:dyDescent="0.25">
      <c r="A3" s="42" t="s">
        <v>2</v>
      </c>
      <c r="B3" s="42"/>
      <c r="C3" s="42"/>
      <c r="D3" s="42"/>
      <c r="E3" s="42"/>
      <c r="F3" s="42"/>
      <c r="G3" s="42"/>
      <c r="H3" s="42"/>
      <c r="I3" s="42"/>
      <c r="J3" s="42"/>
      <c r="K3" s="42"/>
    </row>
    <row r="4" spans="1:16" x14ac:dyDescent="0.25">
      <c r="A4" s="42" t="s">
        <v>3</v>
      </c>
      <c r="B4" s="42"/>
      <c r="C4" s="42"/>
      <c r="D4" s="42"/>
      <c r="E4" s="42"/>
      <c r="F4" s="42"/>
      <c r="G4" s="42"/>
      <c r="H4" s="42"/>
      <c r="I4" s="42"/>
      <c r="J4" s="42"/>
      <c r="K4" s="42"/>
    </row>
    <row r="5" spans="1:16" ht="18.75" x14ac:dyDescent="0.3">
      <c r="A5" s="43" t="s">
        <v>4</v>
      </c>
      <c r="B5" s="43"/>
      <c r="C5" s="43"/>
      <c r="D5" s="43"/>
      <c r="E5" s="43"/>
      <c r="F5" s="43"/>
      <c r="G5" s="43"/>
      <c r="H5" s="43"/>
      <c r="I5" s="43"/>
      <c r="J5" s="43"/>
      <c r="K5" s="43"/>
    </row>
    <row r="6" spans="1:16" ht="18" x14ac:dyDescent="0.25">
      <c r="A6" s="38" t="s">
        <v>45</v>
      </c>
      <c r="B6" s="38"/>
      <c r="C6" s="38"/>
      <c r="D6" s="38"/>
      <c r="E6" s="38"/>
      <c r="F6" s="38"/>
      <c r="G6" s="10"/>
      <c r="H6" s="39" t="s">
        <v>27</v>
      </c>
      <c r="I6" s="39"/>
      <c r="J6" s="39"/>
      <c r="K6" s="39"/>
    </row>
    <row r="7" spans="1:16" ht="15.75" x14ac:dyDescent="0.25">
      <c r="A7" s="46" t="s">
        <v>41</v>
      </c>
      <c r="B7" s="46"/>
      <c r="C7" s="46"/>
      <c r="D7" s="46"/>
      <c r="E7" s="46"/>
      <c r="F7" s="46"/>
      <c r="G7" s="11"/>
      <c r="H7" s="47" t="s">
        <v>40</v>
      </c>
      <c r="I7" s="47"/>
      <c r="J7" s="47"/>
      <c r="K7" s="47"/>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6">
        <v>1</v>
      </c>
      <c r="B9" s="35" t="s">
        <v>42</v>
      </c>
      <c r="C9" s="17"/>
      <c r="D9" s="17"/>
      <c r="E9" s="17"/>
      <c r="F9" s="17"/>
      <c r="G9" s="17"/>
      <c r="H9" s="17"/>
      <c r="I9" s="17"/>
      <c r="J9" s="17"/>
      <c r="K9" s="17"/>
    </row>
    <row r="10" spans="1:16" x14ac:dyDescent="0.25">
      <c r="A10" s="16"/>
      <c r="B10" s="32" t="s">
        <v>36</v>
      </c>
      <c r="C10" s="37">
        <v>0.5</v>
      </c>
      <c r="D10" s="33">
        <f>D32</f>
        <v>10</v>
      </c>
      <c r="E10" s="33">
        <f>F32/2</f>
        <v>2.25</v>
      </c>
      <c r="F10" s="33">
        <v>1.5</v>
      </c>
      <c r="G10" s="33">
        <f>PRODUCT(C10:F10)</f>
        <v>16.875</v>
      </c>
      <c r="H10" s="17"/>
      <c r="I10" s="17"/>
      <c r="J10" s="17"/>
      <c r="K10" s="17"/>
      <c r="M10" s="33">
        <f>7</f>
        <v>7</v>
      </c>
      <c r="N10" s="33">
        <f>2</f>
        <v>2</v>
      </c>
      <c r="O10" s="33"/>
      <c r="P10" s="33">
        <f>PI()*M10*SQRT(M10^2+N10^2)</f>
        <v>160.09797821843054</v>
      </c>
    </row>
    <row r="11" spans="1:16" x14ac:dyDescent="0.25">
      <c r="A11" s="16"/>
      <c r="B11" s="32" t="s">
        <v>44</v>
      </c>
      <c r="C11" s="17">
        <v>1</v>
      </c>
      <c r="D11" s="33">
        <v>30</v>
      </c>
      <c r="E11" s="33">
        <v>0.9</v>
      </c>
      <c r="F11" s="33">
        <f>1.17/3.281</f>
        <v>0.35659859798841814</v>
      </c>
      <c r="G11" s="33">
        <f>PRODUCT(C11:F11)</f>
        <v>9.6281621456872895</v>
      </c>
      <c r="H11" s="17"/>
      <c r="I11" s="17"/>
      <c r="J11" s="17"/>
      <c r="K11" s="17"/>
      <c r="M11" s="36"/>
      <c r="N11" s="36"/>
      <c r="O11" s="36"/>
      <c r="P11" s="36"/>
    </row>
    <row r="12" spans="1:16" ht="15" customHeight="1" x14ac:dyDescent="0.25">
      <c r="A12" s="2"/>
      <c r="B12" s="34" t="s">
        <v>16</v>
      </c>
      <c r="C12" s="3"/>
      <c r="D12" s="4"/>
      <c r="E12" s="5"/>
      <c r="F12" s="5"/>
      <c r="G12" s="6">
        <f>SUM(G10:G11)</f>
        <v>26.503162145687291</v>
      </c>
      <c r="H12" s="7" t="s">
        <v>17</v>
      </c>
      <c r="I12" s="6">
        <v>62.95</v>
      </c>
      <c r="J12" s="18">
        <f>G12*I12</f>
        <v>1668.3740570710152</v>
      </c>
      <c r="K12" s="5"/>
    </row>
    <row r="13" spans="1:16" x14ac:dyDescent="0.25">
      <c r="A13" s="16"/>
      <c r="B13" s="32" t="s">
        <v>43</v>
      </c>
      <c r="C13" s="17"/>
      <c r="D13" s="17"/>
      <c r="E13" s="17"/>
      <c r="F13" s="17"/>
      <c r="G13" s="17"/>
      <c r="H13" s="17"/>
      <c r="I13" s="17"/>
      <c r="J13" s="18">
        <f>0.13*G12*18612/360</f>
        <v>178.1277527811643</v>
      </c>
      <c r="K13" s="17"/>
    </row>
    <row r="14" spans="1:16" x14ac:dyDescent="0.25">
      <c r="A14" s="16"/>
      <c r="B14" s="17"/>
      <c r="C14" s="17"/>
      <c r="D14" s="17"/>
      <c r="E14" s="17"/>
      <c r="F14" s="17"/>
      <c r="G14" s="17"/>
      <c r="H14" s="17"/>
      <c r="I14" s="17"/>
      <c r="J14" s="17"/>
      <c r="K14" s="17"/>
    </row>
    <row r="15" spans="1:16" ht="94.5" x14ac:dyDescent="0.25">
      <c r="A15" s="16">
        <v>2</v>
      </c>
      <c r="B15" s="35" t="s">
        <v>28</v>
      </c>
      <c r="C15" s="17"/>
      <c r="D15" s="17"/>
      <c r="E15" s="17"/>
      <c r="F15" s="17"/>
      <c r="G15" s="17"/>
      <c r="H15" s="17"/>
      <c r="I15" s="17"/>
      <c r="J15" s="17"/>
      <c r="K15" s="17"/>
    </row>
    <row r="16" spans="1:16" x14ac:dyDescent="0.25">
      <c r="A16" s="16"/>
      <c r="B16" s="32" t="str">
        <f>B10</f>
        <v>-for plum wall</v>
      </c>
      <c r="C16" s="17">
        <v>1</v>
      </c>
      <c r="D16" s="33">
        <f>D22</f>
        <v>10</v>
      </c>
      <c r="E16" s="33">
        <f>E22</f>
        <v>2.25</v>
      </c>
      <c r="F16" s="33">
        <v>0.15</v>
      </c>
      <c r="G16" s="33">
        <f>PRODUCT(C16:F16)</f>
        <v>3.375</v>
      </c>
      <c r="H16" s="17"/>
      <c r="I16" s="17"/>
      <c r="J16" s="17"/>
      <c r="K16" s="17"/>
      <c r="M16" s="33">
        <f>7</f>
        <v>7</v>
      </c>
      <c r="N16" s="33">
        <f>2</f>
        <v>2</v>
      </c>
      <c r="O16" s="33"/>
      <c r="P16" s="33">
        <f>PI()*M16*SQRT(M16^2+N16^2)</f>
        <v>160.09797821843054</v>
      </c>
    </row>
    <row r="17" spans="1:16" x14ac:dyDescent="0.25">
      <c r="A17" s="16"/>
      <c r="B17" s="32" t="str">
        <f>B11</f>
        <v>-for drain</v>
      </c>
      <c r="C17" s="17">
        <f>C11</f>
        <v>1</v>
      </c>
      <c r="D17" s="33">
        <f>D11</f>
        <v>30</v>
      </c>
      <c r="E17" s="33">
        <f>E11</f>
        <v>0.9</v>
      </c>
      <c r="F17" s="33">
        <v>0.15</v>
      </c>
      <c r="G17" s="33">
        <f>PRODUCT(C17:F17)</f>
        <v>4.05</v>
      </c>
      <c r="H17" s="17"/>
      <c r="I17" s="17"/>
      <c r="J17" s="17"/>
      <c r="K17" s="17"/>
      <c r="M17" s="36"/>
      <c r="N17" s="36"/>
      <c r="O17" s="36"/>
      <c r="P17" s="36"/>
    </row>
    <row r="18" spans="1:16" ht="15" customHeight="1" x14ac:dyDescent="0.25">
      <c r="A18" s="2"/>
      <c r="B18" s="34" t="s">
        <v>16</v>
      </c>
      <c r="C18" s="3"/>
      <c r="D18" s="4"/>
      <c r="E18" s="5"/>
      <c r="F18" s="5"/>
      <c r="G18" s="6">
        <f>SUM(G16:G17)</f>
        <v>7.4249999999999998</v>
      </c>
      <c r="H18" s="7" t="s">
        <v>17</v>
      </c>
      <c r="I18" s="6">
        <v>4458.5200000000004</v>
      </c>
      <c r="J18" s="18">
        <f>G18*I18</f>
        <v>33104.511000000006</v>
      </c>
      <c r="K18" s="5"/>
    </row>
    <row r="19" spans="1:16" x14ac:dyDescent="0.25">
      <c r="A19" s="16"/>
      <c r="B19" s="32" t="s">
        <v>22</v>
      </c>
      <c r="C19" s="17"/>
      <c r="D19" s="17"/>
      <c r="E19" s="17"/>
      <c r="F19" s="17"/>
      <c r="G19" s="17"/>
      <c r="H19" s="17"/>
      <c r="I19" s="17"/>
      <c r="J19" s="18">
        <f>0.13*G18*(14817.6)/5</f>
        <v>2860.5376800000004</v>
      </c>
      <c r="K19" s="17"/>
    </row>
    <row r="20" spans="1:16" x14ac:dyDescent="0.25">
      <c r="A20" s="16"/>
      <c r="B20" s="17"/>
      <c r="C20" s="17"/>
      <c r="D20" s="17"/>
      <c r="E20" s="17"/>
      <c r="F20" s="17"/>
      <c r="G20" s="17"/>
      <c r="H20" s="17"/>
      <c r="I20" s="17"/>
      <c r="J20" s="17"/>
      <c r="K20" s="17"/>
    </row>
    <row r="21" spans="1:16" ht="78.75" x14ac:dyDescent="0.25">
      <c r="A21" s="16">
        <v>3</v>
      </c>
      <c r="B21" s="35" t="s">
        <v>29</v>
      </c>
      <c r="C21" s="17"/>
      <c r="D21" s="17"/>
      <c r="E21" s="17"/>
      <c r="F21" s="17"/>
      <c r="G21" s="17"/>
      <c r="H21" s="17"/>
      <c r="I21" s="17"/>
      <c r="J21" s="17"/>
      <c r="K21" s="17"/>
    </row>
    <row r="22" spans="1:16" x14ac:dyDescent="0.25">
      <c r="A22" s="16"/>
      <c r="B22" s="32" t="str">
        <f>B16</f>
        <v>-for plum wall</v>
      </c>
      <c r="C22" s="17">
        <v>1</v>
      </c>
      <c r="D22" s="33">
        <f>D32</f>
        <v>10</v>
      </c>
      <c r="E22" s="33">
        <f>F32/2</f>
        <v>2.25</v>
      </c>
      <c r="F22" s="33">
        <v>0.05</v>
      </c>
      <c r="G22" s="33">
        <f>PRODUCT(C22:F22)</f>
        <v>1.125</v>
      </c>
      <c r="H22" s="17"/>
      <c r="I22" s="17"/>
      <c r="J22" s="17"/>
      <c r="K22" s="17"/>
      <c r="M22" s="33">
        <f>7</f>
        <v>7</v>
      </c>
      <c r="N22" s="33">
        <f>2</f>
        <v>2</v>
      </c>
      <c r="O22" s="33"/>
      <c r="P22" s="33">
        <f>PI()*M22*SQRT(M22^2+N22^2)</f>
        <v>160.09797821843054</v>
      </c>
    </row>
    <row r="23" spans="1:16" x14ac:dyDescent="0.25">
      <c r="A23" s="16"/>
      <c r="B23" s="32" t="str">
        <f>B17</f>
        <v>-for drain</v>
      </c>
      <c r="C23" s="17">
        <f>C17</f>
        <v>1</v>
      </c>
      <c r="D23" s="33">
        <f>D17</f>
        <v>30</v>
      </c>
      <c r="E23" s="33">
        <f>E17</f>
        <v>0.9</v>
      </c>
      <c r="F23" s="33">
        <v>0.1</v>
      </c>
      <c r="G23" s="33">
        <f>PRODUCT(C23:F23)</f>
        <v>2.7</v>
      </c>
      <c r="H23" s="17"/>
      <c r="I23" s="17"/>
      <c r="J23" s="17"/>
      <c r="K23" s="17"/>
      <c r="M23" s="36"/>
      <c r="N23" s="36"/>
      <c r="O23" s="36"/>
      <c r="P23" s="36"/>
    </row>
    <row r="24" spans="1:16" ht="15" customHeight="1" x14ac:dyDescent="0.25">
      <c r="A24" s="2"/>
      <c r="B24" s="34" t="s">
        <v>16</v>
      </c>
      <c r="C24" s="3"/>
      <c r="D24" s="4"/>
      <c r="E24" s="5"/>
      <c r="F24" s="5"/>
      <c r="G24" s="6">
        <f>SUM(G22:G23)</f>
        <v>3.8250000000000002</v>
      </c>
      <c r="H24" s="7" t="s">
        <v>17</v>
      </c>
      <c r="I24" s="6">
        <v>10964.46</v>
      </c>
      <c r="J24" s="18">
        <f>G24*I24</f>
        <v>41939.059499999996</v>
      </c>
      <c r="K24" s="5"/>
    </row>
    <row r="25" spans="1:16" x14ac:dyDescent="0.25">
      <c r="A25" s="16"/>
      <c r="B25" s="32" t="s">
        <v>30</v>
      </c>
      <c r="C25" s="17"/>
      <c r="D25" s="17"/>
      <c r="E25" s="17"/>
      <c r="F25" s="17"/>
      <c r="G25" s="17"/>
      <c r="H25" s="17"/>
      <c r="I25" s="17"/>
      <c r="J25" s="18">
        <f>0.13*G24*(53818.03)/15</f>
        <v>1784.0676945000002</v>
      </c>
      <c r="K25" s="17"/>
    </row>
    <row r="26" spans="1:16" x14ac:dyDescent="0.25">
      <c r="A26" s="16"/>
      <c r="B26" s="32" t="s">
        <v>31</v>
      </c>
      <c r="C26" s="17"/>
      <c r="D26" s="17"/>
      <c r="E26" s="17"/>
      <c r="F26" s="17"/>
      <c r="G26" s="17"/>
      <c r="H26" s="17"/>
      <c r="I26" s="17"/>
      <c r="J26" s="18">
        <f>0.13*G24*(21432.6)/15</f>
        <v>710.49068999999997</v>
      </c>
      <c r="K26" s="17"/>
    </row>
    <row r="27" spans="1:16" x14ac:dyDescent="0.25">
      <c r="A27" s="16"/>
      <c r="B27" s="32" t="s">
        <v>32</v>
      </c>
      <c r="C27" s="17"/>
      <c r="D27" s="17"/>
      <c r="E27" s="17"/>
      <c r="F27" s="17"/>
      <c r="G27" s="17"/>
      <c r="H27" s="17"/>
      <c r="I27" s="17"/>
      <c r="J27" s="18">
        <f>0.13*G24*(25719.12+13573.98+4286.52)/15</f>
        <v>1444.6644029999998</v>
      </c>
      <c r="K27" s="17"/>
    </row>
    <row r="28" spans="1:16" x14ac:dyDescent="0.25">
      <c r="A28" s="16"/>
      <c r="B28" s="32" t="s">
        <v>33</v>
      </c>
      <c r="C28" s="17"/>
      <c r="D28" s="17"/>
      <c r="E28" s="17"/>
      <c r="F28" s="17"/>
      <c r="G28" s="17"/>
      <c r="H28" s="17"/>
      <c r="I28" s="17"/>
      <c r="J28" s="18">
        <f>0.13*G24*(6325.7)/15</f>
        <v>209.696955</v>
      </c>
      <c r="K28" s="17"/>
    </row>
    <row r="29" spans="1:16" x14ac:dyDescent="0.25">
      <c r="A29" s="16"/>
      <c r="B29" s="32" t="s">
        <v>34</v>
      </c>
      <c r="C29" s="17"/>
      <c r="D29" s="17"/>
      <c r="E29" s="17"/>
      <c r="F29" s="17"/>
      <c r="G29" s="17"/>
      <c r="H29" s="17"/>
      <c r="I29" s="17"/>
      <c r="J29" s="18">
        <f>0.13*G24*(310)/5</f>
        <v>30.829500000000003</v>
      </c>
      <c r="K29" s="17"/>
    </row>
    <row r="30" spans="1:16" x14ac:dyDescent="0.25">
      <c r="A30" s="16"/>
      <c r="B30" s="17"/>
      <c r="C30" s="17"/>
      <c r="D30" s="17"/>
      <c r="E30" s="17"/>
      <c r="F30" s="17"/>
      <c r="G30" s="17"/>
      <c r="H30" s="17"/>
      <c r="I30" s="17"/>
      <c r="J30" s="17"/>
      <c r="K30" s="17"/>
    </row>
    <row r="31" spans="1:16" ht="141.75" x14ac:dyDescent="0.25">
      <c r="A31" s="16">
        <v>4</v>
      </c>
      <c r="B31" s="35" t="s">
        <v>37</v>
      </c>
      <c r="C31" s="17"/>
      <c r="D31" s="17"/>
      <c r="E31" s="17"/>
      <c r="F31" s="17"/>
      <c r="G31" s="17"/>
      <c r="H31" s="17"/>
      <c r="I31" s="17"/>
      <c r="J31" s="17"/>
      <c r="K31" s="17"/>
    </row>
    <row r="32" spans="1:16" x14ac:dyDescent="0.25">
      <c r="A32" s="16"/>
      <c r="B32" s="32" t="str">
        <f>B22</f>
        <v>-for plum wall</v>
      </c>
      <c r="C32" s="17">
        <v>1</v>
      </c>
      <c r="D32" s="33">
        <v>10</v>
      </c>
      <c r="E32" s="33">
        <f>((F32/2)+0.45)/2</f>
        <v>1.35</v>
      </c>
      <c r="F32" s="33">
        <v>4.5</v>
      </c>
      <c r="G32" s="33">
        <f>PRODUCT(C32:F32)</f>
        <v>60.75</v>
      </c>
      <c r="H32" s="17"/>
      <c r="I32" s="17"/>
      <c r="J32" s="17"/>
      <c r="K32" s="17"/>
      <c r="M32" s="33">
        <f>7</f>
        <v>7</v>
      </c>
      <c r="N32" s="33">
        <f>2</f>
        <v>2</v>
      </c>
      <c r="O32" s="33"/>
      <c r="P32" s="33">
        <f>PI()*M32*SQRT(M32^2+N32^2)</f>
        <v>160.09797821843054</v>
      </c>
    </row>
    <row r="33" spans="1:19" x14ac:dyDescent="0.25">
      <c r="A33" s="16"/>
      <c r="B33" s="32" t="str">
        <f>B23</f>
        <v>-for drain</v>
      </c>
      <c r="C33" s="17">
        <f>C23*2</f>
        <v>2</v>
      </c>
      <c r="D33" s="33">
        <f>D23</f>
        <v>30</v>
      </c>
      <c r="E33" s="33">
        <v>0.3</v>
      </c>
      <c r="F33" s="33">
        <f>1.17/3.281</f>
        <v>0.35659859798841814</v>
      </c>
      <c r="G33" s="33">
        <f>PRODUCT(C33:F33)</f>
        <v>6.4187747637915269</v>
      </c>
      <c r="H33" s="17"/>
      <c r="I33" s="17"/>
      <c r="J33" s="17"/>
      <c r="K33" s="17"/>
      <c r="M33" s="36"/>
      <c r="N33" s="36"/>
      <c r="O33" s="36"/>
      <c r="P33" s="36"/>
    </row>
    <row r="34" spans="1:19" ht="15" customHeight="1" x14ac:dyDescent="0.25">
      <c r="A34" s="2"/>
      <c r="B34" s="34" t="s">
        <v>16</v>
      </c>
      <c r="C34" s="3"/>
      <c r="D34" s="4"/>
      <c r="E34" s="5"/>
      <c r="F34" s="5"/>
      <c r="G34" s="6">
        <f>SUM(G32:G33)</f>
        <v>67.168774763791532</v>
      </c>
      <c r="H34" s="7" t="s">
        <v>17</v>
      </c>
      <c r="I34" s="6">
        <v>9860.43</v>
      </c>
      <c r="J34" s="18">
        <f>G34*I34</f>
        <v>662313.00174413295</v>
      </c>
      <c r="K34" s="5"/>
    </row>
    <row r="35" spans="1:19" x14ac:dyDescent="0.25">
      <c r="A35" s="16"/>
      <c r="B35" s="32" t="s">
        <v>30</v>
      </c>
      <c r="C35" s="17"/>
      <c r="D35" s="17"/>
      <c r="E35" s="17"/>
      <c r="F35" s="17"/>
      <c r="G35" s="17"/>
      <c r="H35" s="17"/>
      <c r="I35" s="17"/>
      <c r="J35" s="18">
        <f>0.13*G34*(22152.7)/10</f>
        <v>19343.606317227979</v>
      </c>
      <c r="K35" s="17"/>
    </row>
    <row r="36" spans="1:19" x14ac:dyDescent="0.25">
      <c r="A36" s="16"/>
      <c r="B36" s="32" t="s">
        <v>31</v>
      </c>
      <c r="C36" s="17"/>
      <c r="D36" s="17"/>
      <c r="E36" s="17"/>
      <c r="F36" s="17"/>
      <c r="G36" s="17"/>
      <c r="H36" s="17"/>
      <c r="I36" s="17"/>
      <c r="J36" s="18">
        <f>0.13*G34*(9525.6)/10</f>
        <v>8317.6974515696438</v>
      </c>
      <c r="K36" s="17"/>
    </row>
    <row r="37" spans="1:19" x14ac:dyDescent="0.25">
      <c r="A37" s="16"/>
      <c r="B37" s="32" t="s">
        <v>38</v>
      </c>
      <c r="C37" s="17"/>
      <c r="D37" s="17"/>
      <c r="E37" s="17"/>
      <c r="F37" s="17"/>
      <c r="G37" s="17"/>
      <c r="H37" s="17"/>
      <c r="I37" s="17"/>
      <c r="J37" s="18">
        <f>0.13*G34*(11331.936)/10</f>
        <v>9894.9793386821093</v>
      </c>
      <c r="K37" s="17"/>
    </row>
    <row r="38" spans="1:19" x14ac:dyDescent="0.25">
      <c r="A38" s="16"/>
      <c r="B38" s="32" t="s">
        <v>39</v>
      </c>
      <c r="C38" s="17"/>
      <c r="D38" s="17"/>
      <c r="E38" s="17"/>
      <c r="F38" s="17"/>
      <c r="G38" s="17"/>
      <c r="H38" s="17"/>
      <c r="I38" s="17"/>
      <c r="J38" s="18">
        <f>0.13*G34*(10954.44+5228.496+2286.144)/10</f>
        <v>16127.091169987811</v>
      </c>
      <c r="K38" s="17"/>
    </row>
    <row r="39" spans="1:19" x14ac:dyDescent="0.25">
      <c r="A39" s="16"/>
      <c r="B39" s="17"/>
      <c r="C39" s="17"/>
      <c r="D39" s="17"/>
      <c r="E39" s="17"/>
      <c r="F39" s="17"/>
      <c r="G39" s="17"/>
      <c r="H39" s="17"/>
      <c r="I39" s="17"/>
      <c r="J39" s="17"/>
      <c r="K39" s="17"/>
    </row>
    <row r="40" spans="1:19" ht="15" customHeight="1" x14ac:dyDescent="0.25">
      <c r="A40" s="2">
        <v>5</v>
      </c>
      <c r="B40" s="1" t="s">
        <v>18</v>
      </c>
      <c r="C40" s="3">
        <v>1</v>
      </c>
      <c r="D40" s="4"/>
      <c r="E40" s="5"/>
      <c r="F40" s="5"/>
      <c r="G40" s="7">
        <f t="shared" ref="G40" si="0">PRODUCT(C40:F40)</f>
        <v>1</v>
      </c>
      <c r="H40" s="7" t="s">
        <v>19</v>
      </c>
      <c r="I40" s="6">
        <v>500</v>
      </c>
      <c r="J40" s="7">
        <f>G40*I40</f>
        <v>500</v>
      </c>
      <c r="K40" s="5"/>
    </row>
    <row r="41" spans="1:19" x14ac:dyDescent="0.25">
      <c r="A41" s="2"/>
      <c r="B41" s="8"/>
      <c r="C41" s="3"/>
      <c r="D41" s="4"/>
      <c r="E41" s="5"/>
      <c r="F41" s="5"/>
      <c r="G41" s="6"/>
      <c r="H41" s="7"/>
      <c r="I41" s="6"/>
      <c r="J41" s="18"/>
      <c r="K41" s="5"/>
    </row>
    <row r="42" spans="1:19" x14ac:dyDescent="0.25">
      <c r="A42" s="21"/>
      <c r="B42" s="22" t="s">
        <v>21</v>
      </c>
      <c r="C42" s="23"/>
      <c r="D42" s="24"/>
      <c r="E42" s="24"/>
      <c r="F42" s="24"/>
      <c r="G42" s="18"/>
      <c r="H42" s="18"/>
      <c r="I42" s="18"/>
      <c r="J42" s="18">
        <f>SUM(J9:J40)</f>
        <v>800426.73525395268</v>
      </c>
      <c r="K42" s="25"/>
    </row>
    <row r="43" spans="1:19" x14ac:dyDescent="0.25">
      <c r="M43" s="20"/>
      <c r="N43" s="20"/>
      <c r="O43" s="20"/>
      <c r="P43" s="20"/>
      <c r="Q43" s="20"/>
      <c r="R43" s="20"/>
      <c r="S43" s="20"/>
    </row>
    <row r="44" spans="1:19" s="20" customFormat="1" x14ac:dyDescent="0.25">
      <c r="A44" s="26"/>
      <c r="B44" s="27" t="s">
        <v>20</v>
      </c>
      <c r="C44" s="44">
        <f>J42</f>
        <v>800426.73525395268</v>
      </c>
      <c r="D44" s="45"/>
      <c r="E44" s="9">
        <v>100</v>
      </c>
      <c r="F44" s="26"/>
      <c r="G44" s="28"/>
      <c r="H44" s="26"/>
      <c r="I44" s="29"/>
      <c r="J44" s="30"/>
      <c r="K44" s="31"/>
      <c r="M44" s="19"/>
      <c r="N44" s="19"/>
      <c r="O44" s="19"/>
      <c r="P44" s="19"/>
      <c r="Q44" s="19"/>
      <c r="R44" s="19"/>
      <c r="S44" s="19"/>
    </row>
    <row r="45" spans="1:19" x14ac:dyDescent="0.25">
      <c r="B45" s="27" t="s">
        <v>23</v>
      </c>
      <c r="C45" s="48">
        <v>700000</v>
      </c>
      <c r="D45" s="49"/>
      <c r="E45" s="9"/>
    </row>
    <row r="46" spans="1:19" x14ac:dyDescent="0.25">
      <c r="B46" s="27" t="s">
        <v>24</v>
      </c>
      <c r="C46" s="48">
        <f>C45-C48-C49</f>
        <v>665000</v>
      </c>
      <c r="D46" s="49"/>
      <c r="E46" s="9">
        <f>C46/C44*100</f>
        <v>83.080683179456059</v>
      </c>
    </row>
    <row r="47" spans="1:19" x14ac:dyDescent="0.25">
      <c r="B47" s="27" t="s">
        <v>35</v>
      </c>
      <c r="C47" s="50">
        <f>C44-C46</f>
        <v>135426.73525395268</v>
      </c>
      <c r="D47" s="50"/>
      <c r="E47" s="9">
        <f>100-E46</f>
        <v>16.919316820543941</v>
      </c>
    </row>
    <row r="48" spans="1:19" x14ac:dyDescent="0.25">
      <c r="B48" s="27" t="s">
        <v>25</v>
      </c>
      <c r="C48" s="44">
        <f>C45*0.03</f>
        <v>21000</v>
      </c>
      <c r="D48" s="45"/>
      <c r="E48" s="9">
        <v>3</v>
      </c>
    </row>
    <row r="49" spans="2:5" x14ac:dyDescent="0.25">
      <c r="B49" s="27" t="s">
        <v>26</v>
      </c>
      <c r="C49" s="44">
        <f>C45*0.02</f>
        <v>14000</v>
      </c>
      <c r="D49" s="45"/>
      <c r="E49" s="9">
        <v>2</v>
      </c>
    </row>
  </sheetData>
  <mergeCells count="15">
    <mergeCell ref="C48:D48"/>
    <mergeCell ref="C49:D49"/>
    <mergeCell ref="A7:F7"/>
    <mergeCell ref="H7:K7"/>
    <mergeCell ref="C44:D44"/>
    <mergeCell ref="C45:D45"/>
    <mergeCell ref="C46:D46"/>
    <mergeCell ref="C47:D47"/>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2026-01-29T05:27:07Z</dcterms:modified>
</cp:coreProperties>
</file>