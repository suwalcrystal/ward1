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24226"/>
  <xr:revisionPtr revIDLastSave="0" documentId="13_ncr:1_{9DF037EC-722E-4B06-B39B-014396E76060}" xr6:coauthVersionLast="47" xr6:coauthVersionMax="47" xr10:uidLastSave="{00000000-0000-0000-0000-000000000000}"/>
  <bookViews>
    <workbookView xWindow="-120" yWindow="-120" windowWidth="20730" windowHeight="11040" activeTab="1" xr2:uid="{00000000-000D-0000-FFFF-FFFF00000000}"/>
  </bookViews>
  <sheets>
    <sheet name="estimate" sheetId="12" r:id="rId1"/>
    <sheet name="for upabhokta" sheetId="13"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estimate!$A$1:$K$60</definedName>
    <definedName name="_xlnm.Print_Area" localSheetId="1">'for upabhokta'!$A$1:$K$60</definedName>
    <definedName name="_xlnm.Print_Titles" localSheetId="0">estimate!$1:$8</definedName>
    <definedName name="_xlnm.Print_Titles" localSheetId="1">'for upabhokta'!$1:$8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3" l="1"/>
  <c r="C59" i="13"/>
  <c r="C57" i="13" s="1"/>
  <c r="G51" i="13"/>
  <c r="J51" i="13" s="1"/>
  <c r="G44" i="13"/>
  <c r="D44" i="13"/>
  <c r="E43" i="13"/>
  <c r="G43" i="13" s="1"/>
  <c r="R42" i="13"/>
  <c r="E42" i="13"/>
  <c r="Q42" i="13" s="1"/>
  <c r="N41" i="13"/>
  <c r="M41" i="13"/>
  <c r="P41" i="13" s="1"/>
  <c r="G41" i="13"/>
  <c r="E41" i="13"/>
  <c r="E32" i="13"/>
  <c r="D32" i="13"/>
  <c r="G32" i="13" s="1"/>
  <c r="C32" i="13"/>
  <c r="E31" i="13"/>
  <c r="C31" i="13"/>
  <c r="B31" i="13"/>
  <c r="B44" i="13" s="1"/>
  <c r="C30" i="13"/>
  <c r="E29" i="13"/>
  <c r="E19" i="13" s="1"/>
  <c r="E12" i="13" s="1"/>
  <c r="D29" i="13"/>
  <c r="G29" i="13" s="1"/>
  <c r="C29" i="13"/>
  <c r="E27" i="13"/>
  <c r="D27" i="13"/>
  <c r="D28" i="13" s="1"/>
  <c r="G28" i="13" s="1"/>
  <c r="D26" i="13"/>
  <c r="G26" i="13" s="1"/>
  <c r="N25" i="13"/>
  <c r="M25" i="13"/>
  <c r="P25" i="13" s="1"/>
  <c r="D25" i="13"/>
  <c r="D20" i="13"/>
  <c r="D31" i="13" s="1"/>
  <c r="G31" i="13" s="1"/>
  <c r="C19" i="13"/>
  <c r="G18" i="13"/>
  <c r="E18" i="13"/>
  <c r="D18" i="13"/>
  <c r="N17" i="13"/>
  <c r="M17" i="13"/>
  <c r="P17" i="13" s="1"/>
  <c r="E17" i="13"/>
  <c r="E25" i="13" s="1"/>
  <c r="G25" i="13" s="1"/>
  <c r="D17" i="13"/>
  <c r="G17" i="13" s="1"/>
  <c r="B17" i="13"/>
  <c r="B25" i="13" s="1"/>
  <c r="B41" i="13" s="1"/>
  <c r="R16" i="13"/>
  <c r="E11" i="13"/>
  <c r="D11" i="13"/>
  <c r="G11" i="13" s="1"/>
  <c r="N10" i="13"/>
  <c r="M10" i="13"/>
  <c r="P10" i="13" s="1"/>
  <c r="G10" i="13"/>
  <c r="E10" i="13"/>
  <c r="D10" i="13"/>
  <c r="B44" i="12"/>
  <c r="G45" i="12"/>
  <c r="E42" i="12"/>
  <c r="Q42" i="12" s="1"/>
  <c r="E27" i="12"/>
  <c r="E18" i="12"/>
  <c r="E11" i="12" s="1"/>
  <c r="R42" i="12"/>
  <c r="B31" i="12"/>
  <c r="E32" i="12"/>
  <c r="C32" i="12"/>
  <c r="D44" i="12"/>
  <c r="G44" i="12" s="1"/>
  <c r="E31" i="12"/>
  <c r="C31" i="12"/>
  <c r="D20" i="12"/>
  <c r="G20" i="12" s="1"/>
  <c r="R16" i="12"/>
  <c r="E29" i="12"/>
  <c r="D29" i="12"/>
  <c r="D19" i="12" s="1"/>
  <c r="D12" i="12" s="1"/>
  <c r="C29" i="12"/>
  <c r="C19" i="12" s="1"/>
  <c r="C12" i="12" s="1"/>
  <c r="E43" i="12"/>
  <c r="G43" i="12" s="1"/>
  <c r="D11" i="12"/>
  <c r="D18" i="12"/>
  <c r="D27" i="12"/>
  <c r="D28" i="12" s="1"/>
  <c r="G28" i="12" s="1"/>
  <c r="D10" i="12"/>
  <c r="D17" i="12"/>
  <c r="D25" i="12"/>
  <c r="E10" i="12"/>
  <c r="G45" i="13" l="1"/>
  <c r="G42" i="13"/>
  <c r="C12" i="13"/>
  <c r="G12" i="13" s="1"/>
  <c r="G13" i="13" s="1"/>
  <c r="D19" i="13"/>
  <c r="D12" i="13" s="1"/>
  <c r="G20" i="13"/>
  <c r="D30" i="13"/>
  <c r="G30" i="13" s="1"/>
  <c r="G27" i="13"/>
  <c r="G42" i="12"/>
  <c r="D32" i="12"/>
  <c r="G32" i="12" s="1"/>
  <c r="D31" i="12"/>
  <c r="G31" i="12" s="1"/>
  <c r="G29" i="12"/>
  <c r="G33" i="12" s="1"/>
  <c r="D30" i="12"/>
  <c r="C30" i="12"/>
  <c r="E19" i="12"/>
  <c r="G18" i="12"/>
  <c r="G11" i="12"/>
  <c r="G27" i="12"/>
  <c r="C59" i="12"/>
  <c r="G33" i="13" l="1"/>
  <c r="J13" i="13"/>
  <c r="J14" i="13"/>
  <c r="J45" i="13"/>
  <c r="J47" i="13"/>
  <c r="J49" i="13"/>
  <c r="J46" i="13"/>
  <c r="J48" i="13"/>
  <c r="G19" i="13"/>
  <c r="G21" i="13" s="1"/>
  <c r="G30" i="12"/>
  <c r="G19" i="12"/>
  <c r="G21" i="12" s="1"/>
  <c r="E12" i="12"/>
  <c r="G12" i="12" s="1"/>
  <c r="G13" i="12" s="1"/>
  <c r="E41" i="12"/>
  <c r="N41" i="12"/>
  <c r="M41" i="12"/>
  <c r="N25" i="12"/>
  <c r="M25" i="12"/>
  <c r="D26" i="12"/>
  <c r="G26" i="12" s="1"/>
  <c r="B17" i="12"/>
  <c r="B25" i="12" s="1"/>
  <c r="B41" i="12" s="1"/>
  <c r="E17" i="12"/>
  <c r="N17" i="12"/>
  <c r="M17" i="12"/>
  <c r="J38" i="13" l="1"/>
  <c r="J37" i="13"/>
  <c r="J36" i="13"/>
  <c r="J35" i="13"/>
  <c r="J33" i="13"/>
  <c r="J34" i="13"/>
  <c r="J22" i="13"/>
  <c r="J21" i="13"/>
  <c r="J53" i="13" s="1"/>
  <c r="C55" i="13" s="1"/>
  <c r="P25" i="12"/>
  <c r="P41" i="12"/>
  <c r="G41" i="12"/>
  <c r="G10" i="12"/>
  <c r="P17" i="12"/>
  <c r="G17" i="12"/>
  <c r="E25" i="12"/>
  <c r="G25" i="12" s="1"/>
  <c r="C58" i="13" l="1"/>
  <c r="E57" i="13"/>
  <c r="E58" i="13" s="1"/>
  <c r="J33" i="12"/>
  <c r="J49" i="12"/>
  <c r="J48" i="12"/>
  <c r="J45" i="12"/>
  <c r="J21" i="12"/>
  <c r="J22" i="12"/>
  <c r="J36" i="12" l="1"/>
  <c r="J38" i="12"/>
  <c r="J35" i="12"/>
  <c r="J37" i="12"/>
  <c r="J34" i="12"/>
  <c r="J47" i="12"/>
  <c r="J46" i="12"/>
  <c r="N10" i="12"/>
  <c r="M10" i="12"/>
  <c r="P10" i="12" l="1"/>
  <c r="J14" i="12"/>
  <c r="J13" i="12" l="1"/>
  <c r="C60" i="12"/>
  <c r="C57" i="12" s="1"/>
  <c r="G51" i="12"/>
  <c r="J51" i="12" s="1"/>
  <c r="J53" i="12" l="1"/>
  <c r="C55" i="12" l="1"/>
  <c r="C58" i="12" s="1"/>
  <c r="E57" i="12" l="1"/>
  <c r="E58" i="12" s="1"/>
</calcChain>
</file>

<file path=xl/sharedStrings.xml><?xml version="1.0" encoding="utf-8"?>
<sst xmlns="http://schemas.openxmlformats.org/spreadsheetml/2006/main" count="108" uniqueCount="44">
  <si>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</si>
  <si>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</si>
  <si>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</si>
  <si>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</si>
  <si>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</si>
  <si>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</si>
  <si>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</si>
  <si>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</si>
  <si>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</si>
  <si>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</si>
  <si>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</si>
  <si>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</si>
  <si>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</si>
  <si>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</si>
  <si>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</si>
  <si>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</si>
  <si>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</si>
  <si>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</si>
  <si>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</si>
  <si>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</si>
  <si>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</si>
  <si>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</si>
  <si>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</si>
  <si>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</si>
  <si>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</si>
  <si>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</si>
  <si>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</si>
  <si>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</si>
  <si>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</si>
  <si>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</si>
  <si>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</si>
  <si>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</si>
  <si>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</si>
  <si>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</si>
  <si>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</si>
  <si>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</si>
  <si>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</si>
  <si>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</si>
  <si>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</si>
  <si>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</si>
  <si>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</si>
  <si>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</si>
  <si>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r>
      <t xml:space="preserve">Project:- </t>
    </r>
    <r>
      <rPr>
        <sz val="12"/>
        <rFont val="Preeti"/>
      </rPr>
      <t>5fke~Hofª ah|of]lugL dlGb/ k"jf{wf/ ljsf;</t>
    </r>
  </si>
  <si>
    <t>-for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</si>
</sst>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1" fontId="4" fillId="0" borderId="2"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0"/>
  <sheetViews>
    <sheetView view="pageBreakPreview" zoomScale="95" zoomScaleNormal="90" zoomScaleSheetLayoutView="95" workbookViewId="0">
      <selection activeCell="J9" sqref="J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9" x14ac:dyDescent="0.25">
      <c r="A1" s="39" t="s">
        <v>0</v>
      </c>
      <c r="B1" s="39"/>
      <c r="C1" s="39"/>
      <c r="D1" s="39"/>
      <c r="E1" s="39"/>
      <c r="F1" s="39"/>
      <c r="G1" s="39"/>
      <c r="H1" s="39"/>
      <c r="I1" s="39"/>
      <c r="J1" s="39"/>
      <c r="K1" s="39"/>
    </row>
    <row r="2" spans="1:19" ht="22.5" x14ac:dyDescent="0.25">
      <c r="A2" s="40" t="s">
        <v>1</v>
      </c>
      <c r="B2" s="40"/>
      <c r="C2" s="40"/>
      <c r="D2" s="40"/>
      <c r="E2" s="40"/>
      <c r="F2" s="40"/>
      <c r="G2" s="40"/>
      <c r="H2" s="40"/>
      <c r="I2" s="40"/>
      <c r="J2" s="40"/>
      <c r="K2" s="40"/>
    </row>
    <row r="3" spans="1:19" x14ac:dyDescent="0.25">
      <c r="A3" s="41" t="s">
        <v>2</v>
      </c>
      <c r="B3" s="41"/>
      <c r="C3" s="41"/>
      <c r="D3" s="41"/>
      <c r="E3" s="41"/>
      <c r="F3" s="41"/>
      <c r="G3" s="41"/>
      <c r="H3" s="41"/>
      <c r="I3" s="41"/>
      <c r="J3" s="41"/>
      <c r="K3" s="41"/>
    </row>
    <row r="4" spans="1:19" x14ac:dyDescent="0.25">
      <c r="A4" s="41" t="s">
        <v>3</v>
      </c>
      <c r="B4" s="41"/>
      <c r="C4" s="41"/>
      <c r="D4" s="41"/>
      <c r="E4" s="41"/>
      <c r="F4" s="41"/>
      <c r="G4" s="41"/>
      <c r="H4" s="41"/>
      <c r="I4" s="41"/>
      <c r="J4" s="41"/>
      <c r="K4" s="41"/>
    </row>
    <row r="5" spans="1:19" ht="18.75" x14ac:dyDescent="0.3">
      <c r="A5" s="42" t="s">
        <v>4</v>
      </c>
      <c r="B5" s="42"/>
      <c r="C5" s="42"/>
      <c r="D5" s="42"/>
      <c r="E5" s="42"/>
      <c r="F5" s="42"/>
      <c r="G5" s="42"/>
      <c r="H5" s="42"/>
      <c r="I5" s="42"/>
      <c r="J5" s="42"/>
      <c r="K5" s="42"/>
    </row>
    <row r="6" spans="1:19" ht="15.75" x14ac:dyDescent="0.25">
      <c r="A6" s="37" t="s">
        <v>42</v>
      </c>
      <c r="B6" s="37"/>
      <c r="C6" s="37"/>
      <c r="D6" s="37"/>
      <c r="E6" s="37"/>
      <c r="F6" s="37"/>
      <c r="G6" s="10"/>
      <c r="H6" s="38" t="s">
        <v>29</v>
      </c>
      <c r="I6" s="38"/>
      <c r="J6" s="38"/>
      <c r="K6" s="38"/>
    </row>
    <row r="7" spans="1:19" ht="15.75" x14ac:dyDescent="0.25">
      <c r="A7" s="45" t="s">
        <v>5</v>
      </c>
      <c r="B7" s="45"/>
      <c r="C7" s="45"/>
      <c r="D7" s="45"/>
      <c r="E7" s="45"/>
      <c r="F7" s="45"/>
      <c r="G7" s="11"/>
      <c r="H7" s="46" t="s">
        <v>23</v>
      </c>
      <c r="I7" s="46"/>
      <c r="J7" s="46"/>
      <c r="K7" s="46"/>
    </row>
    <row r="8" spans="1:19" ht="15.75" x14ac:dyDescent="0.25">
      <c r="A8" s="12" t="s">
        <v>6</v>
      </c>
      <c r="B8" s="13" t="s">
        <v>7</v>
      </c>
      <c r="C8" s="12" t="s">
        <v>8</v>
      </c>
      <c r="D8" s="14" t="s">
        <v>9</v>
      </c>
      <c r="E8" s="14" t="s">
        <v>10</v>
      </c>
      <c r="F8" s="14" t="s">
        <v>11</v>
      </c>
      <c r="G8" s="14" t="s">
        <v>12</v>
      </c>
      <c r="H8" s="12" t="s">
        <v>13</v>
      </c>
      <c r="I8" s="14" t="s">
        <v>14</v>
      </c>
      <c r="J8" s="14" t="s">
        <v>15</v>
      </c>
      <c r="K8" s="15" t="s">
        <v>16</v>
      </c>
    </row>
    <row r="9" spans="1:19" ht="188.25" customHeight="1" x14ac:dyDescent="0.25">
      <c r="A9" s="16">
        <v>1</v>
      </c>
      <c r="B9" s="35" t="s">
        <v>39</v>
      </c>
      <c r="C9" s="17"/>
      <c r="D9" s="17"/>
      <c r="E9" s="17"/>
      <c r="F9" s="17"/>
      <c r="G9" s="17"/>
      <c r="H9" s="17"/>
      <c r="I9" s="17"/>
      <c r="J9" s="17"/>
      <c r="K9" s="17"/>
    </row>
    <row r="10" spans="1:19" x14ac:dyDescent="0.25">
      <c r="A10" s="16"/>
      <c r="B10" s="32" t="s">
        <v>30</v>
      </c>
      <c r="C10" s="17">
        <v>1</v>
      </c>
      <c r="D10" s="33">
        <f>D41</f>
        <v>5.5</v>
      </c>
      <c r="E10" s="33">
        <f>F41/2</f>
        <v>1.5</v>
      </c>
      <c r="F10" s="33">
        <v>1</v>
      </c>
      <c r="G10" s="33">
        <f>PRODUCT(C10:F10)</f>
        <v>8.25</v>
      </c>
      <c r="H10" s="17"/>
      <c r="I10" s="17"/>
      <c r="J10" s="17"/>
      <c r="K10" s="17"/>
      <c r="M10" s="33">
        <f>7</f>
        <v>7</v>
      </c>
      <c r="N10" s="33">
        <f>2</f>
        <v>2</v>
      </c>
      <c r="O10" s="33"/>
      <c r="P10" s="33">
        <f>PI()*M10*SQRT(M10^2+N10^2)</f>
        <v>160.09797821843054</v>
      </c>
    </row>
    <row r="11" spans="1:19" x14ac:dyDescent="0.25">
      <c r="A11" s="16"/>
      <c r="B11" s="32"/>
      <c r="C11" s="17">
        <v>1</v>
      </c>
      <c r="D11" s="33">
        <f>D42</f>
        <v>13</v>
      </c>
      <c r="E11" s="33">
        <f>E18</f>
        <v>1.5</v>
      </c>
      <c r="F11" s="33">
        <v>1</v>
      </c>
      <c r="G11" s="33">
        <f>PRODUCT(C11:F11)</f>
        <v>19.5</v>
      </c>
      <c r="H11" s="17"/>
      <c r="I11" s="17"/>
      <c r="J11" s="17"/>
      <c r="K11" s="17"/>
      <c r="M11" s="36"/>
      <c r="N11" s="36"/>
      <c r="O11" s="36"/>
      <c r="P11" s="36"/>
    </row>
    <row r="12" spans="1:19" x14ac:dyDescent="0.25">
      <c r="A12" s="16"/>
      <c r="B12" s="32"/>
      <c r="C12" s="17">
        <f>C19</f>
        <v>1</v>
      </c>
      <c r="D12" s="33">
        <f>D19</f>
        <v>5</v>
      </c>
      <c r="E12" s="33">
        <f>E19</f>
        <v>1.075</v>
      </c>
      <c r="F12" s="33">
        <v>0.6</v>
      </c>
      <c r="G12" s="33">
        <f>PRODUCT(C12:F12)</f>
        <v>3.2250000000000001</v>
      </c>
      <c r="H12" s="17"/>
      <c r="I12" s="17"/>
      <c r="J12" s="17"/>
      <c r="K12" s="17"/>
      <c r="M12" s="36"/>
      <c r="N12" s="36"/>
      <c r="O12" s="36"/>
      <c r="P12" s="36"/>
    </row>
    <row r="13" spans="1:19" ht="15" customHeight="1" x14ac:dyDescent="0.25">
      <c r="A13" s="2"/>
      <c r="B13" s="34" t="s">
        <v>17</v>
      </c>
      <c r="C13" s="3"/>
      <c r="D13" s="4"/>
      <c r="E13" s="5"/>
      <c r="F13" s="5"/>
      <c r="G13" s="6">
        <f>SUM(G10:G12)</f>
        <v>30.975000000000001</v>
      </c>
      <c r="H13" s="7" t="s">
        <v>18</v>
      </c>
      <c r="I13" s="6">
        <v>62.95</v>
      </c>
      <c r="J13" s="18">
        <f>G13*I13</f>
        <v>1949.8762500000003</v>
      </c>
      <c r="K13" s="5"/>
    </row>
    <row r="14" spans="1:19" x14ac:dyDescent="0.25">
      <c r="A14" s="16"/>
      <c r="B14" s="32" t="s">
        <v>24</v>
      </c>
      <c r="C14" s="17"/>
      <c r="D14" s="17"/>
      <c r="E14" s="17"/>
      <c r="F14" s="17"/>
      <c r="G14" s="17"/>
      <c r="H14" s="17"/>
      <c r="I14" s="17"/>
      <c r="J14" s="18">
        <f>0.13*G13*(18612)/360</f>
        <v>208.18297500000003</v>
      </c>
      <c r="K14" s="17"/>
    </row>
    <row r="15" spans="1:19" x14ac:dyDescent="0.25">
      <c r="A15" s="16"/>
      <c r="B15" s="17"/>
      <c r="C15" s="17"/>
      <c r="D15" s="17"/>
      <c r="E15" s="17"/>
      <c r="F15" s="17"/>
      <c r="G15" s="17"/>
      <c r="H15" s="17"/>
      <c r="I15" s="17"/>
      <c r="J15" s="17"/>
      <c r="K15" s="17"/>
    </row>
    <row r="16" spans="1:19" ht="94.5" x14ac:dyDescent="0.25">
      <c r="A16" s="16">
        <v>2</v>
      </c>
      <c r="B16" s="35" t="s">
        <v>31</v>
      </c>
      <c r="C16" s="17"/>
      <c r="D16" s="17"/>
      <c r="E16" s="17"/>
      <c r="F16" s="17"/>
      <c r="G16" s="17"/>
      <c r="H16" s="17"/>
      <c r="I16" s="17"/>
      <c r="J16" s="17"/>
      <c r="K16" s="17"/>
      <c r="R16" s="19">
        <f>3/0.15</f>
        <v>20</v>
      </c>
      <c r="S16" s="19">
        <v>0.3</v>
      </c>
    </row>
    <row r="17" spans="1:16" x14ac:dyDescent="0.25">
      <c r="A17" s="16"/>
      <c r="B17" s="32" t="str">
        <f>B10</f>
        <v>-for masonary wall</v>
      </c>
      <c r="C17" s="17">
        <v>1</v>
      </c>
      <c r="D17" s="33">
        <f>D41</f>
        <v>5.5</v>
      </c>
      <c r="E17" s="33">
        <f>E10</f>
        <v>1.5</v>
      </c>
      <c r="F17" s="33">
        <v>0.15</v>
      </c>
      <c r="G17" s="33">
        <f>PRODUCT(C17:F17)</f>
        <v>1.2375</v>
      </c>
      <c r="H17" s="17"/>
      <c r="I17" s="17"/>
      <c r="J17" s="17"/>
      <c r="K17" s="17"/>
      <c r="M17" s="33">
        <f>7</f>
        <v>7</v>
      </c>
      <c r="N17" s="33">
        <f>2</f>
        <v>2</v>
      </c>
      <c r="O17" s="33"/>
      <c r="P17" s="33">
        <f>PI()*M17*SQRT(M17^2+N17^2)</f>
        <v>160.09797821843054</v>
      </c>
    </row>
    <row r="18" spans="1:16" x14ac:dyDescent="0.25">
      <c r="A18" s="16"/>
      <c r="B18" s="32"/>
      <c r="C18" s="17">
        <v>1</v>
      </c>
      <c r="D18" s="33">
        <f>D42</f>
        <v>13</v>
      </c>
      <c r="E18" s="33">
        <f>E27</f>
        <v>1.5</v>
      </c>
      <c r="F18" s="33">
        <v>0.15</v>
      </c>
      <c r="G18" s="33">
        <f>PRODUCT(C18:F18)</f>
        <v>2.9249999999999998</v>
      </c>
      <c r="H18" s="17"/>
      <c r="I18" s="17"/>
      <c r="J18" s="17"/>
      <c r="K18" s="17"/>
      <c r="M18" s="36"/>
      <c r="N18" s="36"/>
      <c r="O18" s="36"/>
      <c r="P18" s="36"/>
    </row>
    <row r="19" spans="1:16" x14ac:dyDescent="0.25">
      <c r="A19" s="16"/>
      <c r="B19" s="32"/>
      <c r="C19" s="17">
        <f>C29</f>
        <v>1</v>
      </c>
      <c r="D19" s="33">
        <f>D29</f>
        <v>5</v>
      </c>
      <c r="E19" s="33">
        <f>E29</f>
        <v>1.075</v>
      </c>
      <c r="F19" s="33">
        <v>0.15</v>
      </c>
      <c r="G19" s="33">
        <f>PRODUCT(C19:F19)</f>
        <v>0.80625000000000002</v>
      </c>
      <c r="H19" s="17"/>
      <c r="I19" s="17"/>
      <c r="J19" s="17"/>
      <c r="K19" s="17"/>
      <c r="M19" s="36"/>
      <c r="N19" s="36"/>
      <c r="O19" s="36"/>
      <c r="P19" s="36"/>
    </row>
    <row r="20" spans="1:16" x14ac:dyDescent="0.25">
      <c r="A20" s="16"/>
      <c r="B20" s="32" t="s">
        <v>43</v>
      </c>
      <c r="C20" s="17">
        <v>1</v>
      </c>
      <c r="D20" s="33">
        <f>20*0.3</f>
        <v>6</v>
      </c>
      <c r="E20" s="33">
        <v>1.2</v>
      </c>
      <c r="F20" s="33">
        <v>0.15</v>
      </c>
      <c r="G20" s="33">
        <f>PRODUCT(C20:F20)</f>
        <v>1.0799999999999998</v>
      </c>
      <c r="H20" s="17"/>
      <c r="I20" s="17"/>
      <c r="J20" s="17"/>
      <c r="K20" s="17"/>
      <c r="M20" s="36"/>
      <c r="N20" s="36"/>
      <c r="O20" s="36"/>
      <c r="P20" s="36"/>
    </row>
    <row r="21" spans="1:16" ht="15" customHeight="1" x14ac:dyDescent="0.25">
      <c r="A21" s="2"/>
      <c r="B21" s="34" t="s">
        <v>17</v>
      </c>
      <c r="C21" s="3"/>
      <c r="D21" s="4"/>
      <c r="E21" s="5"/>
      <c r="F21" s="5"/>
      <c r="G21" s="6">
        <f>SUM(G17:G20)</f>
        <v>6.0487500000000001</v>
      </c>
      <c r="H21" s="7" t="s">
        <v>18</v>
      </c>
      <c r="I21" s="6">
        <v>4458.5200000000004</v>
      </c>
      <c r="J21" s="18">
        <f>G21*I21</f>
        <v>26968.472850000002</v>
      </c>
      <c r="K21" s="5"/>
    </row>
    <row r="22" spans="1:16" x14ac:dyDescent="0.25">
      <c r="A22" s="16"/>
      <c r="B22" s="32" t="s">
        <v>24</v>
      </c>
      <c r="C22" s="17"/>
      <c r="D22" s="17"/>
      <c r="E22" s="17"/>
      <c r="F22" s="17"/>
      <c r="G22" s="17"/>
      <c r="H22" s="17"/>
      <c r="I22" s="17"/>
      <c r="J22" s="18">
        <f>0.13*G21*(14817.6)/5</f>
        <v>2330.326908</v>
      </c>
      <c r="K22" s="17"/>
    </row>
    <row r="23" spans="1:16" x14ac:dyDescent="0.25">
      <c r="A23" s="16"/>
      <c r="B23" s="17"/>
      <c r="C23" s="17"/>
      <c r="D23" s="17"/>
      <c r="E23" s="17"/>
      <c r="F23" s="17"/>
      <c r="G23" s="17"/>
      <c r="H23" s="17"/>
      <c r="I23" s="17"/>
      <c r="J23" s="17"/>
      <c r="K23" s="17"/>
    </row>
    <row r="24" spans="1:16" ht="78.75" x14ac:dyDescent="0.25">
      <c r="A24" s="16">
        <v>3</v>
      </c>
      <c r="B24" s="35" t="s">
        <v>32</v>
      </c>
      <c r="C24" s="17"/>
      <c r="D24" s="17"/>
      <c r="E24" s="17"/>
      <c r="F24" s="17"/>
      <c r="G24" s="17"/>
      <c r="H24" s="17"/>
      <c r="I24" s="17"/>
      <c r="J24" s="17"/>
      <c r="K24" s="17"/>
    </row>
    <row r="25" spans="1:16" x14ac:dyDescent="0.25">
      <c r="A25" s="16"/>
      <c r="B25" s="32" t="str">
        <f>B17</f>
        <v>-for masonary wall</v>
      </c>
      <c r="C25" s="17">
        <v>1</v>
      </c>
      <c r="D25" s="33">
        <f>D41</f>
        <v>5.5</v>
      </c>
      <c r="E25" s="33">
        <f>E17</f>
        <v>1.5</v>
      </c>
      <c r="F25" s="33">
        <v>0.05</v>
      </c>
      <c r="G25" s="33">
        <f>PRODUCT(C25:F25)</f>
        <v>0.41250000000000003</v>
      </c>
      <c r="H25" s="17"/>
      <c r="I25" s="17"/>
      <c r="J25" s="17"/>
      <c r="K25" s="17"/>
      <c r="M25" s="33">
        <f>7</f>
        <v>7</v>
      </c>
      <c r="N25" s="33">
        <f>2</f>
        <v>2</v>
      </c>
      <c r="O25" s="33"/>
      <c r="P25" s="33">
        <f>PI()*M25*SQRT(M25^2+N25^2)</f>
        <v>160.09797821843054</v>
      </c>
    </row>
    <row r="26" spans="1:16" x14ac:dyDescent="0.25">
      <c r="A26" s="16"/>
      <c r="B26" s="32"/>
      <c r="C26" s="17">
        <v>1</v>
      </c>
      <c r="D26" s="33">
        <f>D25</f>
        <v>5.5</v>
      </c>
      <c r="E26" s="33">
        <v>0.45</v>
      </c>
      <c r="F26" s="33">
        <v>0.05</v>
      </c>
      <c r="G26" s="33">
        <f>PRODUCT(C26:F26)</f>
        <v>0.12375000000000001</v>
      </c>
      <c r="H26" s="17"/>
      <c r="I26" s="17"/>
      <c r="J26" s="17"/>
      <c r="K26" s="17"/>
      <c r="M26" s="36"/>
      <c r="N26" s="36"/>
      <c r="O26" s="36"/>
      <c r="P26" s="36"/>
    </row>
    <row r="27" spans="1:16" x14ac:dyDescent="0.25">
      <c r="A27" s="16"/>
      <c r="B27" s="32"/>
      <c r="C27" s="17">
        <v>1</v>
      </c>
      <c r="D27" s="33">
        <f>D42</f>
        <v>13</v>
      </c>
      <c r="E27" s="33">
        <f>3/2</f>
        <v>1.5</v>
      </c>
      <c r="F27" s="33">
        <v>0.05</v>
      </c>
      <c r="G27" s="33">
        <f t="shared" ref="G27:G31" si="0">PRODUCT(C27:F27)</f>
        <v>0.97500000000000009</v>
      </c>
      <c r="H27" s="17"/>
      <c r="I27" s="17"/>
      <c r="J27" s="17"/>
      <c r="K27" s="17"/>
      <c r="M27" s="36"/>
      <c r="N27" s="36"/>
      <c r="O27" s="36"/>
      <c r="P27" s="36"/>
    </row>
    <row r="28" spans="1:16" x14ac:dyDescent="0.25">
      <c r="A28" s="16"/>
      <c r="B28" s="32"/>
      <c r="C28" s="17">
        <v>1</v>
      </c>
      <c r="D28" s="33">
        <f>D27</f>
        <v>13</v>
      </c>
      <c r="E28" s="33">
        <v>0.45</v>
      </c>
      <c r="F28" s="33">
        <v>0.05</v>
      </c>
      <c r="G28" s="33">
        <f t="shared" si="0"/>
        <v>0.29250000000000004</v>
      </c>
      <c r="H28" s="17"/>
      <c r="I28" s="17"/>
      <c r="J28" s="17"/>
      <c r="K28" s="17"/>
      <c r="M28" s="36"/>
      <c r="N28" s="36"/>
      <c r="O28" s="36"/>
      <c r="P28" s="36"/>
    </row>
    <row r="29" spans="1:16" x14ac:dyDescent="0.25">
      <c r="A29" s="16"/>
      <c r="B29" s="32"/>
      <c r="C29" s="17">
        <f>C43</f>
        <v>1</v>
      </c>
      <c r="D29" s="33">
        <f>D43</f>
        <v>5</v>
      </c>
      <c r="E29" s="33">
        <f>F43/2</f>
        <v>1.075</v>
      </c>
      <c r="F29" s="33">
        <v>0.05</v>
      </c>
      <c r="G29" s="33">
        <f t="shared" si="0"/>
        <v>0.26874999999999999</v>
      </c>
      <c r="H29" s="17"/>
      <c r="I29" s="17"/>
      <c r="J29" s="17"/>
      <c r="K29" s="17"/>
      <c r="M29" s="36"/>
      <c r="N29" s="36"/>
      <c r="O29" s="36"/>
      <c r="P29" s="36"/>
    </row>
    <row r="30" spans="1:16" x14ac:dyDescent="0.25">
      <c r="A30" s="16"/>
      <c r="B30" s="32"/>
      <c r="C30" s="17">
        <f>C29</f>
        <v>1</v>
      </c>
      <c r="D30" s="33">
        <f>D29</f>
        <v>5</v>
      </c>
      <c r="E30" s="33">
        <v>0.45</v>
      </c>
      <c r="F30" s="33">
        <v>0.05</v>
      </c>
      <c r="G30" s="33">
        <f t="shared" si="0"/>
        <v>0.1125</v>
      </c>
      <c r="H30" s="17"/>
      <c r="I30" s="17"/>
      <c r="J30" s="17"/>
      <c r="K30" s="17"/>
      <c r="M30" s="36"/>
      <c r="N30" s="36"/>
      <c r="O30" s="36"/>
      <c r="P30" s="36"/>
    </row>
    <row r="31" spans="1:16" x14ac:dyDescent="0.25">
      <c r="A31" s="16"/>
      <c r="B31" s="32" t="str">
        <f>B20</f>
        <v>-for steps</v>
      </c>
      <c r="C31" s="17">
        <f>C20</f>
        <v>1</v>
      </c>
      <c r="D31" s="33">
        <f>D20</f>
        <v>6</v>
      </c>
      <c r="E31" s="33">
        <f>E20</f>
        <v>1.2</v>
      </c>
      <c r="F31" s="33">
        <v>7.4999999999999997E-2</v>
      </c>
      <c r="G31" s="33">
        <f t="shared" si="0"/>
        <v>0.53999999999999992</v>
      </c>
      <c r="H31" s="17"/>
      <c r="I31" s="17"/>
      <c r="J31" s="17"/>
      <c r="K31" s="17"/>
      <c r="M31" s="36"/>
      <c r="N31" s="36"/>
      <c r="O31" s="36"/>
      <c r="P31" s="36"/>
    </row>
    <row r="32" spans="1:16" x14ac:dyDescent="0.25">
      <c r="A32" s="16"/>
      <c r="B32" s="32"/>
      <c r="C32" s="50">
        <f>C44</f>
        <v>0.5</v>
      </c>
      <c r="D32" s="33">
        <f>D44</f>
        <v>6</v>
      </c>
      <c r="E32" s="33">
        <f>E44</f>
        <v>0.5</v>
      </c>
      <c r="F32" s="33">
        <v>0.05</v>
      </c>
      <c r="G32" s="33">
        <f t="shared" ref="G32" si="1">PRODUCT(C32:F32)</f>
        <v>7.5000000000000011E-2</v>
      </c>
      <c r="H32" s="17"/>
      <c r="I32" s="17"/>
      <c r="J32" s="17"/>
      <c r="K32" s="17"/>
      <c r="M32" s="36"/>
      <c r="N32" s="36"/>
      <c r="O32" s="36"/>
      <c r="P32" s="36"/>
    </row>
    <row r="33" spans="1:18" ht="15" customHeight="1" x14ac:dyDescent="0.25">
      <c r="A33" s="2"/>
      <c r="B33" s="34" t="s">
        <v>17</v>
      </c>
      <c r="C33" s="3"/>
      <c r="D33" s="4"/>
      <c r="E33" s="5"/>
      <c r="F33" s="5"/>
      <c r="G33" s="6">
        <f>SUM(G25:G32)</f>
        <v>2.8</v>
      </c>
      <c r="H33" s="7" t="s">
        <v>18</v>
      </c>
      <c r="I33" s="6">
        <v>10964.46</v>
      </c>
      <c r="J33" s="18">
        <f>G33*I33</f>
        <v>30700.487999999994</v>
      </c>
      <c r="K33" s="5"/>
    </row>
    <row r="34" spans="1:18" x14ac:dyDescent="0.25">
      <c r="A34" s="16"/>
      <c r="B34" s="32" t="s">
        <v>33</v>
      </c>
      <c r="C34" s="17"/>
      <c r="D34" s="17"/>
      <c r="E34" s="17"/>
      <c r="F34" s="17"/>
      <c r="G34" s="17"/>
      <c r="H34" s="17"/>
      <c r="I34" s="17"/>
      <c r="J34" s="18">
        <f>0.13*G33*(53818.03)/15</f>
        <v>1305.9841946666666</v>
      </c>
      <c r="K34" s="17"/>
    </row>
    <row r="35" spans="1:18" x14ac:dyDescent="0.25">
      <c r="A35" s="16"/>
      <c r="B35" s="32" t="s">
        <v>34</v>
      </c>
      <c r="C35" s="17"/>
      <c r="D35" s="17"/>
      <c r="E35" s="17"/>
      <c r="F35" s="17"/>
      <c r="G35" s="17"/>
      <c r="H35" s="17"/>
      <c r="I35" s="17"/>
      <c r="J35" s="18">
        <f>0.13*G33*(21432.6)/15</f>
        <v>520.09775999999999</v>
      </c>
      <c r="K35" s="17"/>
    </row>
    <row r="36" spans="1:18" x14ac:dyDescent="0.25">
      <c r="A36" s="16"/>
      <c r="B36" s="32" t="s">
        <v>35</v>
      </c>
      <c r="C36" s="17"/>
      <c r="D36" s="17"/>
      <c r="E36" s="17"/>
      <c r="F36" s="17"/>
      <c r="G36" s="17"/>
      <c r="H36" s="17"/>
      <c r="I36" s="17"/>
      <c r="J36" s="18">
        <f>0.13*G33*(25719.12+13573.98+4286.52)/15</f>
        <v>1057.5321119999999</v>
      </c>
      <c r="K36" s="17"/>
    </row>
    <row r="37" spans="1:18" x14ac:dyDescent="0.25">
      <c r="A37" s="16"/>
      <c r="B37" s="32" t="s">
        <v>36</v>
      </c>
      <c r="C37" s="17"/>
      <c r="D37" s="17"/>
      <c r="E37" s="17"/>
      <c r="F37" s="17"/>
      <c r="G37" s="17"/>
      <c r="H37" s="17"/>
      <c r="I37" s="17"/>
      <c r="J37" s="18">
        <f>0.13*G33*(6325.7)/15</f>
        <v>153.50365333333332</v>
      </c>
      <c r="K37" s="17"/>
    </row>
    <row r="38" spans="1:18" x14ac:dyDescent="0.25">
      <c r="A38" s="16"/>
      <c r="B38" s="32" t="s">
        <v>40</v>
      </c>
      <c r="C38" s="17"/>
      <c r="D38" s="17"/>
      <c r="E38" s="17"/>
      <c r="F38" s="17"/>
      <c r="G38" s="17"/>
      <c r="H38" s="17"/>
      <c r="I38" s="17"/>
      <c r="J38" s="18">
        <f>0.13*G33*(310)/5</f>
        <v>22.568000000000001</v>
      </c>
      <c r="K38" s="17"/>
    </row>
    <row r="39" spans="1:18" x14ac:dyDescent="0.25">
      <c r="A39" s="16"/>
      <c r="B39" s="17"/>
      <c r="C39" s="17"/>
      <c r="D39" s="17"/>
      <c r="E39" s="17"/>
      <c r="F39" s="17"/>
      <c r="G39" s="17"/>
      <c r="H39" s="17"/>
      <c r="I39" s="17"/>
      <c r="J39" s="17"/>
      <c r="K39" s="17"/>
    </row>
    <row r="40" spans="1:18" ht="110.25" x14ac:dyDescent="0.25">
      <c r="A40" s="16">
        <v>4</v>
      </c>
      <c r="B40" s="35" t="s">
        <v>37</v>
      </c>
      <c r="C40" s="17"/>
      <c r="D40" s="17"/>
      <c r="E40" s="17"/>
      <c r="F40" s="17"/>
      <c r="G40" s="17"/>
      <c r="H40" s="17"/>
      <c r="I40" s="17"/>
      <c r="J40" s="17"/>
      <c r="K40" s="17"/>
    </row>
    <row r="41" spans="1:18" x14ac:dyDescent="0.25">
      <c r="A41" s="16"/>
      <c r="B41" s="32" t="str">
        <f>B25</f>
        <v>-for masonary wall</v>
      </c>
      <c r="C41" s="17">
        <v>1</v>
      </c>
      <c r="D41" s="33">
        <v>5.5</v>
      </c>
      <c r="E41" s="33">
        <f>((F41/2)+0.45)/2</f>
        <v>0.97499999999999998</v>
      </c>
      <c r="F41" s="33">
        <v>3</v>
      </c>
      <c r="G41" s="33">
        <f>PRODUCT(C41:F41)</f>
        <v>16.087499999999999</v>
      </c>
      <c r="H41" s="17"/>
      <c r="I41" s="17"/>
      <c r="J41" s="17"/>
      <c r="K41" s="17"/>
      <c r="M41" s="33">
        <f>7</f>
        <v>7</v>
      </c>
      <c r="N41" s="33">
        <f>2</f>
        <v>2</v>
      </c>
      <c r="O41" s="33"/>
      <c r="P41" s="33">
        <f>PI()*M41*SQRT(M41^2+N41^2)</f>
        <v>160.09797821843054</v>
      </c>
    </row>
    <row r="42" spans="1:18" x14ac:dyDescent="0.25">
      <c r="A42" s="16"/>
      <c r="B42" s="32"/>
      <c r="C42" s="17">
        <v>1</v>
      </c>
      <c r="D42" s="33">
        <v>13</v>
      </c>
      <c r="E42" s="33">
        <f>((F42/2)+(0.45))/2</f>
        <v>0.97499999999999998</v>
      </c>
      <c r="F42" s="33">
        <v>3</v>
      </c>
      <c r="G42" s="33">
        <f>PRODUCT(C42:F42)</f>
        <v>38.024999999999999</v>
      </c>
      <c r="H42" s="17"/>
      <c r="I42" s="17"/>
      <c r="J42" s="17"/>
      <c r="K42" s="17"/>
      <c r="M42" s="36"/>
      <c r="N42" s="36"/>
      <c r="O42" s="36"/>
      <c r="P42" s="36"/>
      <c r="Q42" s="19">
        <f>E42*3.281</f>
        <v>3.1989749999999999</v>
      </c>
      <c r="R42" s="19">
        <f>F42*3.281</f>
        <v>9.843</v>
      </c>
    </row>
    <row r="43" spans="1:18" x14ac:dyDescent="0.25">
      <c r="A43" s="16"/>
      <c r="B43" s="32"/>
      <c r="C43" s="17">
        <v>1</v>
      </c>
      <c r="D43" s="33">
        <v>5</v>
      </c>
      <c r="E43" s="33">
        <f>((F43/2)+0.45)/2</f>
        <v>0.76249999999999996</v>
      </c>
      <c r="F43" s="33">
        <v>2.15</v>
      </c>
      <c r="G43" s="33">
        <f>PRODUCT(C43:F43)</f>
        <v>8.1968750000000004</v>
      </c>
      <c r="H43" s="17"/>
      <c r="I43" s="17"/>
      <c r="J43" s="17"/>
      <c r="K43" s="17"/>
      <c r="M43" s="36"/>
      <c r="N43" s="36"/>
      <c r="O43" s="36"/>
      <c r="P43" s="36"/>
    </row>
    <row r="44" spans="1:18" x14ac:dyDescent="0.25">
      <c r="A44" s="16"/>
      <c r="B44" s="32" t="str">
        <f>B31</f>
        <v>-for steps</v>
      </c>
      <c r="C44" s="50">
        <v>0.5</v>
      </c>
      <c r="D44" s="33">
        <f>0.3*20</f>
        <v>6</v>
      </c>
      <c r="E44" s="33">
        <v>0.5</v>
      </c>
      <c r="F44" s="33">
        <v>1.5</v>
      </c>
      <c r="G44" s="33">
        <f>PRODUCT(C44:F44)</f>
        <v>2.25</v>
      </c>
      <c r="H44" s="17"/>
      <c r="I44" s="17"/>
      <c r="J44" s="17"/>
      <c r="K44" s="17"/>
      <c r="M44" s="36"/>
      <c r="N44" s="36"/>
      <c r="O44" s="36"/>
      <c r="P44" s="36"/>
    </row>
    <row r="45" spans="1:18" ht="15" customHeight="1" x14ac:dyDescent="0.25">
      <c r="A45" s="2"/>
      <c r="B45" s="34" t="s">
        <v>17</v>
      </c>
      <c r="C45" s="3"/>
      <c r="D45" s="4"/>
      <c r="E45" s="5"/>
      <c r="F45" s="5"/>
      <c r="G45" s="6">
        <f>SUM(G41:G44)</f>
        <v>64.559374999999989</v>
      </c>
      <c r="H45" s="7" t="s">
        <v>18</v>
      </c>
      <c r="I45" s="6">
        <v>8987.83</v>
      </c>
      <c r="J45" s="18">
        <f>G45*I45</f>
        <v>580248.68740624993</v>
      </c>
      <c r="K45" s="5"/>
    </row>
    <row r="46" spans="1:18" x14ac:dyDescent="0.25">
      <c r="A46" s="16"/>
      <c r="B46" s="32" t="s">
        <v>33</v>
      </c>
      <c r="C46" s="17"/>
      <c r="D46" s="17"/>
      <c r="E46" s="17"/>
      <c r="F46" s="17"/>
      <c r="G46" s="17"/>
      <c r="H46" s="17"/>
      <c r="I46" s="17"/>
      <c r="J46" s="18">
        <f>0.13*G45*(5863.95)/5</f>
        <v>9842.8966228124973</v>
      </c>
      <c r="K46" s="17"/>
    </row>
    <row r="47" spans="1:18" x14ac:dyDescent="0.25">
      <c r="A47" s="16"/>
      <c r="B47" s="32" t="s">
        <v>34</v>
      </c>
      <c r="C47" s="17"/>
      <c r="D47" s="17"/>
      <c r="E47" s="17"/>
      <c r="F47" s="17"/>
      <c r="G47" s="17"/>
      <c r="H47" s="17"/>
      <c r="I47" s="17"/>
      <c r="J47" s="18">
        <f>0.13*G45*(6604.416)/5</f>
        <v>11085.801199199999</v>
      </c>
      <c r="K47" s="17"/>
    </row>
    <row r="48" spans="1:18" x14ac:dyDescent="0.25">
      <c r="A48" s="16"/>
      <c r="B48" s="32" t="s">
        <v>38</v>
      </c>
      <c r="C48" s="17"/>
      <c r="D48" s="17"/>
      <c r="E48" s="17"/>
      <c r="F48" s="17"/>
      <c r="G48" s="17"/>
      <c r="H48" s="17"/>
      <c r="I48" s="17"/>
      <c r="J48" s="18">
        <f>0.13*G45*(14808.78)/5</f>
        <v>24857.185114124997</v>
      </c>
      <c r="K48" s="17"/>
    </row>
    <row r="49" spans="1:19" x14ac:dyDescent="0.25">
      <c r="A49" s="16"/>
      <c r="B49" s="32" t="s">
        <v>40</v>
      </c>
      <c r="C49" s="17"/>
      <c r="D49" s="17"/>
      <c r="E49" s="17"/>
      <c r="F49" s="17"/>
      <c r="G49" s="17"/>
      <c r="H49" s="17"/>
      <c r="I49" s="17"/>
      <c r="J49" s="18">
        <f>0.13*G45*(310)/5</f>
        <v>520.34856249999996</v>
      </c>
      <c r="K49" s="17"/>
    </row>
    <row r="50" spans="1:19" x14ac:dyDescent="0.25">
      <c r="A50" s="16"/>
      <c r="B50" s="17"/>
      <c r="C50" s="17"/>
      <c r="D50" s="17"/>
      <c r="E50" s="17"/>
      <c r="F50" s="17"/>
      <c r="G50" s="17"/>
      <c r="H50" s="17"/>
      <c r="I50" s="17"/>
      <c r="J50" s="17"/>
      <c r="K50" s="17"/>
    </row>
    <row r="51" spans="1:19" ht="15" customHeight="1" x14ac:dyDescent="0.25">
      <c r="A51" s="2">
        <v>5</v>
      </c>
      <c r="B51" s="1" t="s">
        <v>19</v>
      </c>
      <c r="C51" s="3">
        <v>1</v>
      </c>
      <c r="D51" s="4"/>
      <c r="E51" s="5"/>
      <c r="F51" s="5"/>
      <c r="G51" s="7">
        <f t="shared" ref="G51" si="2">PRODUCT(C51:F51)</f>
        <v>1</v>
      </c>
      <c r="H51" s="7" t="s">
        <v>20</v>
      </c>
      <c r="I51" s="6">
        <v>500</v>
      </c>
      <c r="J51" s="7">
        <f>G51*I51</f>
        <v>500</v>
      </c>
      <c r="K51" s="5"/>
    </row>
    <row r="52" spans="1:19" x14ac:dyDescent="0.25">
      <c r="A52" s="2"/>
      <c r="B52" s="8"/>
      <c r="C52" s="3"/>
      <c r="D52" s="4"/>
      <c r="E52" s="5"/>
      <c r="F52" s="5"/>
      <c r="G52" s="6"/>
      <c r="H52" s="7"/>
      <c r="I52" s="6"/>
      <c r="J52" s="18"/>
      <c r="K52" s="5"/>
    </row>
    <row r="53" spans="1:19" x14ac:dyDescent="0.25">
      <c r="A53" s="21"/>
      <c r="B53" s="22" t="s">
        <v>22</v>
      </c>
      <c r="C53" s="23"/>
      <c r="D53" s="24"/>
      <c r="E53" s="24"/>
      <c r="F53" s="24"/>
      <c r="G53" s="18"/>
      <c r="H53" s="18"/>
      <c r="I53" s="18"/>
      <c r="J53" s="18">
        <f>SUM(J9:J51)</f>
        <v>692271.9516078874</v>
      </c>
      <c r="K53" s="25"/>
    </row>
    <row r="54" spans="1:19" x14ac:dyDescent="0.25">
      <c r="M54" s="20"/>
      <c r="N54" s="20"/>
      <c r="O54" s="20"/>
      <c r="P54" s="20"/>
      <c r="Q54" s="20"/>
      <c r="R54" s="20"/>
      <c r="S54" s="20"/>
    </row>
    <row r="55" spans="1:19" s="20" customFormat="1" x14ac:dyDescent="0.25">
      <c r="A55" s="26"/>
      <c r="B55" s="27" t="s">
        <v>21</v>
      </c>
      <c r="C55" s="43">
        <f>J53</f>
        <v>692271.9516078874</v>
      </c>
      <c r="D55" s="44"/>
      <c r="E55" s="9">
        <v>100</v>
      </c>
      <c r="F55" s="26"/>
      <c r="G55" s="28"/>
      <c r="H55" s="26"/>
      <c r="I55" s="29"/>
      <c r="J55" s="30"/>
      <c r="K55" s="31"/>
      <c r="M55" s="19"/>
      <c r="N55" s="19"/>
      <c r="O55" s="19"/>
      <c r="P55" s="19"/>
      <c r="Q55" s="19"/>
      <c r="R55" s="19"/>
      <c r="S55" s="19"/>
    </row>
    <row r="56" spans="1:19" x14ac:dyDescent="0.25">
      <c r="B56" s="27" t="s">
        <v>25</v>
      </c>
      <c r="C56" s="47">
        <v>600000</v>
      </c>
      <c r="D56" s="48"/>
      <c r="E56" s="9"/>
    </row>
    <row r="57" spans="1:19" x14ac:dyDescent="0.25">
      <c r="B57" s="27" t="s">
        <v>26</v>
      </c>
      <c r="C57" s="47">
        <f>C56-C59-C60</f>
        <v>570000</v>
      </c>
      <c r="D57" s="48"/>
      <c r="E57" s="9">
        <f>C57/C55*100</f>
        <v>82.337584048595986</v>
      </c>
    </row>
    <row r="58" spans="1:19" x14ac:dyDescent="0.25">
      <c r="B58" s="27" t="s">
        <v>41</v>
      </c>
      <c r="C58" s="49">
        <f>C55-C57</f>
        <v>122271.9516078874</v>
      </c>
      <c r="D58" s="49"/>
      <c r="E58" s="9">
        <f>100-E57</f>
        <v>17.662415951404014</v>
      </c>
    </row>
    <row r="59" spans="1:19" x14ac:dyDescent="0.25">
      <c r="B59" s="27" t="s">
        <v>27</v>
      </c>
      <c r="C59" s="43">
        <f>C56*0.03</f>
        <v>18000</v>
      </c>
      <c r="D59" s="44"/>
      <c r="E59" s="9">
        <v>3</v>
      </c>
    </row>
    <row r="60" spans="1:19" x14ac:dyDescent="0.25">
      <c r="B60" s="27" t="s">
        <v>28</v>
      </c>
      <c r="C60" s="43">
        <f>C56*0.02</f>
        <v>12000</v>
      </c>
      <c r="D60" s="44"/>
      <c r="E60" s="9">
        <v>2</v>
      </c>
    </row>
  </sheetData>
  <mergeCells count="15">
    <mergeCell ref="C59:D59"/>
    <mergeCell ref="C60:D60"/>
    <mergeCell ref="A7:F7"/>
    <mergeCell ref="H7:K7"/>
    <mergeCell ref="C55:D55"/>
    <mergeCell ref="C56:D56"/>
    <mergeCell ref="C57:D57"/>
    <mergeCell ref="C58:D58"/>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9"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FB56-BF34-46CB-8637-C502539815AC}">
  <dimension ref="A1:S60"/>
  <sheetViews>
    <sheetView tabSelected="1" view="pageBreakPreview" zoomScale="95" zoomScaleNormal="90" zoomScaleSheetLayoutView="95" workbookViewId="0">
      <selection activeCell="K9" sqref="K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2" width="9.140625" style="19"/>
    <col min="13" max="16" width="0" style="19" hidden="1" customWidth="1"/>
    <col min="17" max="16384" width="9.140625" style="19"/>
  </cols>
  <sheetData>
    <row r="1" spans="1:19" x14ac:dyDescent="0.25">
      <c r="A1" s="39" t="s">
        <v>0</v>
      </c>
      <c r="B1" s="39"/>
      <c r="C1" s="39"/>
      <c r="D1" s="39"/>
      <c r="E1" s="39"/>
      <c r="F1" s="39"/>
      <c r="G1" s="39"/>
      <c r="H1" s="39"/>
      <c r="I1" s="39"/>
      <c r="J1" s="39"/>
      <c r="K1" s="39"/>
    </row>
    <row r="2" spans="1:19" ht="22.5" x14ac:dyDescent="0.25">
      <c r="A2" s="40" t="s">
        <v>1</v>
      </c>
      <c r="B2" s="40"/>
      <c r="C2" s="40"/>
      <c r="D2" s="40"/>
      <c r="E2" s="40"/>
      <c r="F2" s="40"/>
      <c r="G2" s="40"/>
      <c r="H2" s="40"/>
      <c r="I2" s="40"/>
      <c r="J2" s="40"/>
      <c r="K2" s="40"/>
    </row>
    <row r="3" spans="1:19" x14ac:dyDescent="0.25">
      <c r="A3" s="41" t="s">
        <v>2</v>
      </c>
      <c r="B3" s="41"/>
      <c r="C3" s="41"/>
      <c r="D3" s="41"/>
      <c r="E3" s="41"/>
      <c r="F3" s="41"/>
      <c r="G3" s="41"/>
      <c r="H3" s="41"/>
      <c r="I3" s="41"/>
      <c r="J3" s="41"/>
      <c r="K3" s="41"/>
    </row>
    <row r="4" spans="1:19" x14ac:dyDescent="0.25">
      <c r="A4" s="41" t="s">
        <v>3</v>
      </c>
      <c r="B4" s="41"/>
      <c r="C4" s="41"/>
      <c r="D4" s="41"/>
      <c r="E4" s="41"/>
      <c r="F4" s="41"/>
      <c r="G4" s="41"/>
      <c r="H4" s="41"/>
      <c r="I4" s="41"/>
      <c r="J4" s="41"/>
      <c r="K4" s="41"/>
    </row>
    <row r="5" spans="1:19" ht="18.75" x14ac:dyDescent="0.3">
      <c r="A5" s="42" t="s">
        <v>4</v>
      </c>
      <c r="B5" s="42"/>
      <c r="C5" s="42"/>
      <c r="D5" s="42"/>
      <c r="E5" s="42"/>
      <c r="F5" s="42"/>
      <c r="G5" s="42"/>
      <c r="H5" s="42"/>
      <c r="I5" s="42"/>
      <c r="J5" s="42"/>
      <c r="K5" s="42"/>
    </row>
    <row r="6" spans="1:19" ht="15.75" x14ac:dyDescent="0.25">
      <c r="A6" s="37" t="s">
        <v>42</v>
      </c>
      <c r="B6" s="37"/>
      <c r="C6" s="37"/>
      <c r="D6" s="37"/>
      <c r="E6" s="37"/>
      <c r="F6" s="37"/>
      <c r="G6" s="10"/>
      <c r="H6" s="38" t="s">
        <v>29</v>
      </c>
      <c r="I6" s="38"/>
      <c r="J6" s="38"/>
      <c r="K6" s="38"/>
    </row>
    <row r="7" spans="1:19" ht="15.75" x14ac:dyDescent="0.25">
      <c r="A7" s="45" t="s">
        <v>5</v>
      </c>
      <c r="B7" s="45"/>
      <c r="C7" s="45"/>
      <c r="D7" s="45"/>
      <c r="E7" s="45"/>
      <c r="F7" s="45"/>
      <c r="G7" s="11"/>
      <c r="H7" s="46" t="s">
        <v>23</v>
      </c>
      <c r="I7" s="46"/>
      <c r="J7" s="46"/>
      <c r="K7" s="46"/>
    </row>
    <row r="8" spans="1:19" ht="15.75" x14ac:dyDescent="0.25">
      <c r="A8" s="12" t="s">
        <v>6</v>
      </c>
      <c r="B8" s="13" t="s">
        <v>7</v>
      </c>
      <c r="C8" s="12" t="s">
        <v>8</v>
      </c>
      <c r="D8" s="14" t="s">
        <v>9</v>
      </c>
      <c r="E8" s="14" t="s">
        <v>10</v>
      </c>
      <c r="F8" s="14" t="s">
        <v>11</v>
      </c>
      <c r="G8" s="14" t="s">
        <v>12</v>
      </c>
      <c r="H8" s="12" t="s">
        <v>13</v>
      </c>
      <c r="I8" s="14" t="s">
        <v>14</v>
      </c>
      <c r="J8" s="14" t="s">
        <v>15</v>
      </c>
      <c r="K8" s="15" t="s">
        <v>16</v>
      </c>
    </row>
    <row r="9" spans="1:19" ht="188.25" customHeight="1" x14ac:dyDescent="0.25">
      <c r="A9" s="16">
        <v>1</v>
      </c>
      <c r="B9" s="35" t="s">
        <v>39</v>
      </c>
      <c r="C9" s="17"/>
      <c r="D9" s="17"/>
      <c r="E9" s="17"/>
      <c r="F9" s="17"/>
      <c r="G9" s="17"/>
      <c r="H9" s="17"/>
      <c r="I9" s="17"/>
      <c r="J9" s="17"/>
      <c r="K9" s="17"/>
    </row>
    <row r="10" spans="1:19" x14ac:dyDescent="0.25">
      <c r="A10" s="16"/>
      <c r="B10" s="32" t="s">
        <v>30</v>
      </c>
      <c r="C10" s="17">
        <v>1</v>
      </c>
      <c r="D10" s="33">
        <f>D41</f>
        <v>5.5</v>
      </c>
      <c r="E10" s="33">
        <f>F41/2</f>
        <v>1.5</v>
      </c>
      <c r="F10" s="33">
        <v>1</v>
      </c>
      <c r="G10" s="33">
        <f>PRODUCT(C10:F10)</f>
        <v>8.25</v>
      </c>
      <c r="H10" s="17"/>
      <c r="I10" s="17"/>
      <c r="J10" s="17"/>
      <c r="K10" s="17"/>
      <c r="M10" s="33">
        <f>7</f>
        <v>7</v>
      </c>
      <c r="N10" s="33">
        <f>2</f>
        <v>2</v>
      </c>
      <c r="O10" s="33"/>
      <c r="P10" s="33">
        <f>PI()*M10*SQRT(M10^2+N10^2)</f>
        <v>160.09797821843054</v>
      </c>
    </row>
    <row r="11" spans="1:19" x14ac:dyDescent="0.25">
      <c r="A11" s="16"/>
      <c r="B11" s="32"/>
      <c r="C11" s="17">
        <v>1</v>
      </c>
      <c r="D11" s="33">
        <f>D42</f>
        <v>13</v>
      </c>
      <c r="E11" s="33">
        <f>E18</f>
        <v>1.5</v>
      </c>
      <c r="F11" s="33">
        <v>1</v>
      </c>
      <c r="G11" s="33">
        <f>PRODUCT(C11:F11)</f>
        <v>19.5</v>
      </c>
      <c r="H11" s="17"/>
      <c r="I11" s="17"/>
      <c r="J11" s="17"/>
      <c r="K11" s="17"/>
      <c r="M11" s="36"/>
      <c r="N11" s="36"/>
      <c r="O11" s="36"/>
      <c r="P11" s="36"/>
    </row>
    <row r="12" spans="1:19" x14ac:dyDescent="0.25">
      <c r="A12" s="16"/>
      <c r="B12" s="32"/>
      <c r="C12" s="17">
        <f>C19</f>
        <v>1</v>
      </c>
      <c r="D12" s="33">
        <f>D19</f>
        <v>5</v>
      </c>
      <c r="E12" s="33">
        <f>E19</f>
        <v>1.075</v>
      </c>
      <c r="F12" s="33">
        <v>0.6</v>
      </c>
      <c r="G12" s="33">
        <f>PRODUCT(C12:F12)</f>
        <v>3.2250000000000001</v>
      </c>
      <c r="H12" s="17"/>
      <c r="I12" s="17"/>
      <c r="J12" s="17"/>
      <c r="K12" s="17"/>
      <c r="M12" s="36"/>
      <c r="N12" s="36"/>
      <c r="O12" s="36"/>
      <c r="P12" s="36"/>
    </row>
    <row r="13" spans="1:19" ht="15" customHeight="1" x14ac:dyDescent="0.25">
      <c r="A13" s="2"/>
      <c r="B13" s="34" t="s">
        <v>17</v>
      </c>
      <c r="C13" s="3"/>
      <c r="D13" s="4"/>
      <c r="E13" s="5"/>
      <c r="F13" s="5"/>
      <c r="G13" s="6">
        <f>SUM(G10:G12)</f>
        <v>30.975000000000001</v>
      </c>
      <c r="H13" s="7" t="s">
        <v>18</v>
      </c>
      <c r="I13" s="6">
        <v>62.95</v>
      </c>
      <c r="J13" s="18">
        <f>G13*I13</f>
        <v>1949.8762500000003</v>
      </c>
      <c r="K13" s="5"/>
    </row>
    <row r="14" spans="1:19" hidden="1" x14ac:dyDescent="0.25">
      <c r="A14" s="16"/>
      <c r="B14" s="32" t="s">
        <v>24</v>
      </c>
      <c r="C14" s="17"/>
      <c r="D14" s="17"/>
      <c r="E14" s="17"/>
      <c r="F14" s="17"/>
      <c r="G14" s="17"/>
      <c r="H14" s="17"/>
      <c r="I14" s="17"/>
      <c r="J14" s="18">
        <f>0.13*G13*(18612)/360</f>
        <v>208.18297500000003</v>
      </c>
      <c r="K14" s="17"/>
    </row>
    <row r="15" spans="1:19" x14ac:dyDescent="0.25">
      <c r="A15" s="16"/>
      <c r="B15" s="17"/>
      <c r="C15" s="17"/>
      <c r="D15" s="17"/>
      <c r="E15" s="17"/>
      <c r="F15" s="17"/>
      <c r="G15" s="17"/>
      <c r="H15" s="17"/>
      <c r="I15" s="17"/>
      <c r="J15" s="17"/>
      <c r="K15" s="17"/>
    </row>
    <row r="16" spans="1:19" ht="94.5" x14ac:dyDescent="0.25">
      <c r="A16" s="16">
        <v>2</v>
      </c>
      <c r="B16" s="35" t="s">
        <v>31</v>
      </c>
      <c r="C16" s="17"/>
      <c r="D16" s="17"/>
      <c r="E16" s="17"/>
      <c r="F16" s="17"/>
      <c r="G16" s="17"/>
      <c r="H16" s="17"/>
      <c r="I16" s="17"/>
      <c r="J16" s="17"/>
      <c r="K16" s="17"/>
      <c r="R16" s="19">
        <f>3/0.15</f>
        <v>20</v>
      </c>
      <c r="S16" s="19">
        <v>0.3</v>
      </c>
    </row>
    <row r="17" spans="1:16" x14ac:dyDescent="0.25">
      <c r="A17" s="16"/>
      <c r="B17" s="32" t="str">
        <f>B10</f>
        <v>-for masonary wall</v>
      </c>
      <c r="C17" s="17">
        <v>1</v>
      </c>
      <c r="D17" s="33">
        <f>D41</f>
        <v>5.5</v>
      </c>
      <c r="E17" s="33">
        <f>E10</f>
        <v>1.5</v>
      </c>
      <c r="F17" s="33">
        <v>0.15</v>
      </c>
      <c r="G17" s="33">
        <f>PRODUCT(C17:F17)</f>
        <v>1.2375</v>
      </c>
      <c r="H17" s="17"/>
      <c r="I17" s="17"/>
      <c r="J17" s="17"/>
      <c r="K17" s="17"/>
      <c r="M17" s="33">
        <f>7</f>
        <v>7</v>
      </c>
      <c r="N17" s="33">
        <f>2</f>
        <v>2</v>
      </c>
      <c r="O17" s="33"/>
      <c r="P17" s="33">
        <f>PI()*M17*SQRT(M17^2+N17^2)</f>
        <v>160.09797821843054</v>
      </c>
    </row>
    <row r="18" spans="1:16" x14ac:dyDescent="0.25">
      <c r="A18" s="16"/>
      <c r="B18" s="32"/>
      <c r="C18" s="17">
        <v>1</v>
      </c>
      <c r="D18" s="33">
        <f>D42</f>
        <v>13</v>
      </c>
      <c r="E18" s="33">
        <f>E27</f>
        <v>1.5</v>
      </c>
      <c r="F18" s="33">
        <v>0.15</v>
      </c>
      <c r="G18" s="33">
        <f>PRODUCT(C18:F18)</f>
        <v>2.9249999999999998</v>
      </c>
      <c r="H18" s="17"/>
      <c r="I18" s="17"/>
      <c r="J18" s="17"/>
      <c r="K18" s="17"/>
      <c r="M18" s="36"/>
      <c r="N18" s="36"/>
      <c r="O18" s="36"/>
      <c r="P18" s="36"/>
    </row>
    <row r="19" spans="1:16" x14ac:dyDescent="0.25">
      <c r="A19" s="16"/>
      <c r="B19" s="32"/>
      <c r="C19" s="17">
        <f>C29</f>
        <v>1</v>
      </c>
      <c r="D19" s="33">
        <f>D29</f>
        <v>5</v>
      </c>
      <c r="E19" s="33">
        <f>E29</f>
        <v>1.075</v>
      </c>
      <c r="F19" s="33">
        <v>0.15</v>
      </c>
      <c r="G19" s="33">
        <f>PRODUCT(C19:F19)</f>
        <v>0.80625000000000002</v>
      </c>
      <c r="H19" s="17"/>
      <c r="I19" s="17"/>
      <c r="J19" s="17"/>
      <c r="K19" s="17"/>
      <c r="M19" s="36"/>
      <c r="N19" s="36"/>
      <c r="O19" s="36"/>
      <c r="P19" s="36"/>
    </row>
    <row r="20" spans="1:16" x14ac:dyDescent="0.25">
      <c r="A20" s="16"/>
      <c r="B20" s="32" t="s">
        <v>43</v>
      </c>
      <c r="C20" s="17">
        <v>1</v>
      </c>
      <c r="D20" s="33">
        <f>20*0.3</f>
        <v>6</v>
      </c>
      <c r="E20" s="33">
        <v>1.2</v>
      </c>
      <c r="F20" s="33">
        <v>0.15</v>
      </c>
      <c r="G20" s="33">
        <f>PRODUCT(C20:F20)</f>
        <v>1.0799999999999998</v>
      </c>
      <c r="H20" s="17"/>
      <c r="I20" s="17"/>
      <c r="J20" s="17"/>
      <c r="K20" s="17"/>
      <c r="M20" s="36"/>
      <c r="N20" s="36"/>
      <c r="O20" s="36"/>
      <c r="P20" s="36"/>
    </row>
    <row r="21" spans="1:16" ht="15" customHeight="1" x14ac:dyDescent="0.25">
      <c r="A21" s="2"/>
      <c r="B21" s="34" t="s">
        <v>17</v>
      </c>
      <c r="C21" s="3"/>
      <c r="D21" s="4"/>
      <c r="E21" s="5"/>
      <c r="F21" s="5"/>
      <c r="G21" s="6">
        <f>SUM(G17:G20)</f>
        <v>6.0487500000000001</v>
      </c>
      <c r="H21" s="7" t="s">
        <v>18</v>
      </c>
      <c r="I21" s="6">
        <v>4458.5200000000004</v>
      </c>
      <c r="J21" s="18">
        <f>G21*I21</f>
        <v>26968.472850000002</v>
      </c>
      <c r="K21" s="5"/>
    </row>
    <row r="22" spans="1:16" hidden="1" x14ac:dyDescent="0.25">
      <c r="A22" s="16"/>
      <c r="B22" s="32" t="s">
        <v>24</v>
      </c>
      <c r="C22" s="17"/>
      <c r="D22" s="17"/>
      <c r="E22" s="17"/>
      <c r="F22" s="17"/>
      <c r="G22" s="17"/>
      <c r="H22" s="17"/>
      <c r="I22" s="17"/>
      <c r="J22" s="18">
        <f>0.13*G21*(14817.6)/5</f>
        <v>2330.326908</v>
      </c>
      <c r="K22" s="17"/>
    </row>
    <row r="23" spans="1:16" x14ac:dyDescent="0.25">
      <c r="A23" s="16"/>
      <c r="B23" s="17"/>
      <c r="C23" s="17"/>
      <c r="D23" s="17"/>
      <c r="E23" s="17"/>
      <c r="F23" s="17"/>
      <c r="G23" s="17"/>
      <c r="H23" s="17"/>
      <c r="I23" s="17"/>
      <c r="J23" s="17"/>
      <c r="K23" s="17"/>
    </row>
    <row r="24" spans="1:16" ht="78.75" x14ac:dyDescent="0.25">
      <c r="A24" s="16">
        <v>3</v>
      </c>
      <c r="B24" s="35" t="s">
        <v>32</v>
      </c>
      <c r="C24" s="17"/>
      <c r="D24" s="17"/>
      <c r="E24" s="17"/>
      <c r="F24" s="17"/>
      <c r="G24" s="17"/>
      <c r="H24" s="17"/>
      <c r="I24" s="17"/>
      <c r="J24" s="17"/>
      <c r="K24" s="17"/>
    </row>
    <row r="25" spans="1:16" x14ac:dyDescent="0.25">
      <c r="A25" s="16"/>
      <c r="B25" s="32" t="str">
        <f>B17</f>
        <v>-for masonary wall</v>
      </c>
      <c r="C25" s="17">
        <v>1</v>
      </c>
      <c r="D25" s="33">
        <f>D41</f>
        <v>5.5</v>
      </c>
      <c r="E25" s="33">
        <f>E17</f>
        <v>1.5</v>
      </c>
      <c r="F25" s="33">
        <v>0.05</v>
      </c>
      <c r="G25" s="33">
        <f>PRODUCT(C25:F25)</f>
        <v>0.41250000000000003</v>
      </c>
      <c r="H25" s="17"/>
      <c r="I25" s="17"/>
      <c r="J25" s="17"/>
      <c r="K25" s="17"/>
      <c r="M25" s="33">
        <f>7</f>
        <v>7</v>
      </c>
      <c r="N25" s="33">
        <f>2</f>
        <v>2</v>
      </c>
      <c r="O25" s="33"/>
      <c r="P25" s="33">
        <f>PI()*M25*SQRT(M25^2+N25^2)</f>
        <v>160.09797821843054</v>
      </c>
    </row>
    <row r="26" spans="1:16" x14ac:dyDescent="0.25">
      <c r="A26" s="16"/>
      <c r="B26" s="32"/>
      <c r="C26" s="17">
        <v>1</v>
      </c>
      <c r="D26" s="33">
        <f>D25</f>
        <v>5.5</v>
      </c>
      <c r="E26" s="33">
        <v>0.45</v>
      </c>
      <c r="F26" s="33">
        <v>0.05</v>
      </c>
      <c r="G26" s="33">
        <f>PRODUCT(C26:F26)</f>
        <v>0.12375000000000001</v>
      </c>
      <c r="H26" s="17"/>
      <c r="I26" s="17"/>
      <c r="J26" s="17"/>
      <c r="K26" s="17"/>
      <c r="M26" s="36"/>
      <c r="N26" s="36"/>
      <c r="O26" s="36"/>
      <c r="P26" s="36"/>
    </row>
    <row r="27" spans="1:16" x14ac:dyDescent="0.25">
      <c r="A27" s="16"/>
      <c r="B27" s="32"/>
      <c r="C27" s="17">
        <v>1</v>
      </c>
      <c r="D27" s="33">
        <f>D42</f>
        <v>13</v>
      </c>
      <c r="E27" s="33">
        <f>3/2</f>
        <v>1.5</v>
      </c>
      <c r="F27" s="33">
        <v>0.05</v>
      </c>
      <c r="G27" s="33">
        <f t="shared" ref="G27:G32" si="0">PRODUCT(C27:F27)</f>
        <v>0.97500000000000009</v>
      </c>
      <c r="H27" s="17"/>
      <c r="I27" s="17"/>
      <c r="J27" s="17"/>
      <c r="K27" s="17"/>
      <c r="M27" s="36"/>
      <c r="N27" s="36"/>
      <c r="O27" s="36"/>
      <c r="P27" s="36"/>
    </row>
    <row r="28" spans="1:16" x14ac:dyDescent="0.25">
      <c r="A28" s="16"/>
      <c r="B28" s="32"/>
      <c r="C28" s="17">
        <v>1</v>
      </c>
      <c r="D28" s="33">
        <f>D27</f>
        <v>13</v>
      </c>
      <c r="E28" s="33">
        <v>0.45</v>
      </c>
      <c r="F28" s="33">
        <v>0.05</v>
      </c>
      <c r="G28" s="33">
        <f t="shared" si="0"/>
        <v>0.29250000000000004</v>
      </c>
      <c r="H28" s="17"/>
      <c r="I28" s="17"/>
      <c r="J28" s="17"/>
      <c r="K28" s="17"/>
      <c r="M28" s="36"/>
      <c r="N28" s="36"/>
      <c r="O28" s="36"/>
      <c r="P28" s="36"/>
    </row>
    <row r="29" spans="1:16" x14ac:dyDescent="0.25">
      <c r="A29" s="16"/>
      <c r="B29" s="32"/>
      <c r="C29" s="17">
        <f>C43</f>
        <v>1</v>
      </c>
      <c r="D29" s="33">
        <f>D43</f>
        <v>5</v>
      </c>
      <c r="E29" s="33">
        <f>F43/2</f>
        <v>1.075</v>
      </c>
      <c r="F29" s="33">
        <v>0.05</v>
      </c>
      <c r="G29" s="33">
        <f t="shared" si="0"/>
        <v>0.26874999999999999</v>
      </c>
      <c r="H29" s="17"/>
      <c r="I29" s="17"/>
      <c r="J29" s="17"/>
      <c r="K29" s="17"/>
      <c r="M29" s="36"/>
      <c r="N29" s="36"/>
      <c r="O29" s="36"/>
      <c r="P29" s="36"/>
    </row>
    <row r="30" spans="1:16" x14ac:dyDescent="0.25">
      <c r="A30" s="16"/>
      <c r="B30" s="32"/>
      <c r="C30" s="17">
        <f>C29</f>
        <v>1</v>
      </c>
      <c r="D30" s="33">
        <f>D29</f>
        <v>5</v>
      </c>
      <c r="E30" s="33">
        <v>0.45</v>
      </c>
      <c r="F30" s="33">
        <v>0.05</v>
      </c>
      <c r="G30" s="33">
        <f t="shared" si="0"/>
        <v>0.1125</v>
      </c>
      <c r="H30" s="17"/>
      <c r="I30" s="17"/>
      <c r="J30" s="17"/>
      <c r="K30" s="17"/>
      <c r="M30" s="36"/>
      <c r="N30" s="36"/>
      <c r="O30" s="36"/>
      <c r="P30" s="36"/>
    </row>
    <row r="31" spans="1:16" x14ac:dyDescent="0.25">
      <c r="A31" s="16"/>
      <c r="B31" s="32" t="str">
        <f>B20</f>
        <v>-for steps</v>
      </c>
      <c r="C31" s="17">
        <f>C20</f>
        <v>1</v>
      </c>
      <c r="D31" s="33">
        <f>D20</f>
        <v>6</v>
      </c>
      <c r="E31" s="33">
        <f>E20</f>
        <v>1.2</v>
      </c>
      <c r="F31" s="33">
        <v>7.4999999999999997E-2</v>
      </c>
      <c r="G31" s="33">
        <f t="shared" si="0"/>
        <v>0.53999999999999992</v>
      </c>
      <c r="H31" s="17"/>
      <c r="I31" s="17"/>
      <c r="J31" s="17"/>
      <c r="K31" s="17"/>
      <c r="M31" s="36"/>
      <c r="N31" s="36"/>
      <c r="O31" s="36"/>
      <c r="P31" s="36"/>
    </row>
    <row r="32" spans="1:16" x14ac:dyDescent="0.25">
      <c r="A32" s="16"/>
      <c r="B32" s="32"/>
      <c r="C32" s="50">
        <f>C44</f>
        <v>0.5</v>
      </c>
      <c r="D32" s="33">
        <f>D44</f>
        <v>6</v>
      </c>
      <c r="E32" s="33">
        <f>E44</f>
        <v>0.5</v>
      </c>
      <c r="F32" s="33">
        <v>0.05</v>
      </c>
      <c r="G32" s="33">
        <f t="shared" si="0"/>
        <v>7.5000000000000011E-2</v>
      </c>
      <c r="H32" s="17"/>
      <c r="I32" s="17"/>
      <c r="J32" s="17"/>
      <c r="K32" s="17"/>
      <c r="M32" s="36"/>
      <c r="N32" s="36"/>
      <c r="O32" s="36"/>
      <c r="P32" s="36"/>
    </row>
    <row r="33" spans="1:18" ht="15" customHeight="1" x14ac:dyDescent="0.25">
      <c r="A33" s="2"/>
      <c r="B33" s="34" t="s">
        <v>17</v>
      </c>
      <c r="C33" s="3"/>
      <c r="D33" s="4"/>
      <c r="E33" s="5"/>
      <c r="F33" s="5"/>
      <c r="G33" s="6">
        <f>SUM(G25:G32)</f>
        <v>2.8</v>
      </c>
      <c r="H33" s="7" t="s">
        <v>18</v>
      </c>
      <c r="I33" s="6">
        <v>10964.46</v>
      </c>
      <c r="J33" s="18">
        <f>G33*I33</f>
        <v>30700.487999999994</v>
      </c>
      <c r="K33" s="5"/>
    </row>
    <row r="34" spans="1:18" hidden="1" x14ac:dyDescent="0.25">
      <c r="A34" s="16"/>
      <c r="B34" s="32" t="s">
        <v>33</v>
      </c>
      <c r="C34" s="17"/>
      <c r="D34" s="17"/>
      <c r="E34" s="17"/>
      <c r="F34" s="17"/>
      <c r="G34" s="17"/>
      <c r="H34" s="17"/>
      <c r="I34" s="17"/>
      <c r="J34" s="18">
        <f>0.13*G33*(53818.03)/15</f>
        <v>1305.9841946666666</v>
      </c>
      <c r="K34" s="17"/>
    </row>
    <row r="35" spans="1:18" hidden="1" x14ac:dyDescent="0.25">
      <c r="A35" s="16"/>
      <c r="B35" s="32" t="s">
        <v>34</v>
      </c>
      <c r="C35" s="17"/>
      <c r="D35" s="17"/>
      <c r="E35" s="17"/>
      <c r="F35" s="17"/>
      <c r="G35" s="17"/>
      <c r="H35" s="17"/>
      <c r="I35" s="17"/>
      <c r="J35" s="18">
        <f>0.13*G33*(21432.6)/15</f>
        <v>520.09775999999999</v>
      </c>
      <c r="K35" s="17"/>
    </row>
    <row r="36" spans="1:18" hidden="1" x14ac:dyDescent="0.25">
      <c r="A36" s="16"/>
      <c r="B36" s="32" t="s">
        <v>35</v>
      </c>
      <c r="C36" s="17"/>
      <c r="D36" s="17"/>
      <c r="E36" s="17"/>
      <c r="F36" s="17"/>
      <c r="G36" s="17"/>
      <c r="H36" s="17"/>
      <c r="I36" s="17"/>
      <c r="J36" s="18">
        <f>0.13*G33*(25719.12+13573.98+4286.52)/15</f>
        <v>1057.5321119999999</v>
      </c>
      <c r="K36" s="17"/>
    </row>
    <row r="37" spans="1:18" hidden="1" x14ac:dyDescent="0.25">
      <c r="A37" s="16"/>
      <c r="B37" s="32" t="s">
        <v>36</v>
      </c>
      <c r="C37" s="17"/>
      <c r="D37" s="17"/>
      <c r="E37" s="17"/>
      <c r="F37" s="17"/>
      <c r="G37" s="17"/>
      <c r="H37" s="17"/>
      <c r="I37" s="17"/>
      <c r="J37" s="18">
        <f>0.13*G33*(6325.7)/15</f>
        <v>153.50365333333332</v>
      </c>
      <c r="K37" s="17"/>
    </row>
    <row r="38" spans="1:18" hidden="1" x14ac:dyDescent="0.25">
      <c r="A38" s="16"/>
      <c r="B38" s="32" t="s">
        <v>40</v>
      </c>
      <c r="C38" s="17"/>
      <c r="D38" s="17"/>
      <c r="E38" s="17"/>
      <c r="F38" s="17"/>
      <c r="G38" s="17"/>
      <c r="H38" s="17"/>
      <c r="I38" s="17"/>
      <c r="J38" s="18">
        <f>0.13*G33*(310)/5</f>
        <v>22.568000000000001</v>
      </c>
      <c r="K38" s="17"/>
    </row>
    <row r="39" spans="1:18" x14ac:dyDescent="0.25">
      <c r="A39" s="16"/>
      <c r="B39" s="17"/>
      <c r="C39" s="17"/>
      <c r="D39" s="17"/>
      <c r="E39" s="17"/>
      <c r="F39" s="17"/>
      <c r="G39" s="17"/>
      <c r="H39" s="17"/>
      <c r="I39" s="17"/>
      <c r="J39" s="17"/>
      <c r="K39" s="17"/>
    </row>
    <row r="40" spans="1:18" ht="110.25" x14ac:dyDescent="0.25">
      <c r="A40" s="16">
        <v>4</v>
      </c>
      <c r="B40" s="35" t="s">
        <v>37</v>
      </c>
      <c r="C40" s="17"/>
      <c r="D40" s="17"/>
      <c r="E40" s="17"/>
      <c r="F40" s="17"/>
      <c r="G40" s="17"/>
      <c r="H40" s="17"/>
      <c r="I40" s="17"/>
      <c r="J40" s="17"/>
      <c r="K40" s="17"/>
    </row>
    <row r="41" spans="1:18" x14ac:dyDescent="0.25">
      <c r="A41" s="16"/>
      <c r="B41" s="32" t="str">
        <f>B25</f>
        <v>-for masonary wall</v>
      </c>
      <c r="C41" s="17">
        <v>1</v>
      </c>
      <c r="D41" s="33">
        <v>5.5</v>
      </c>
      <c r="E41" s="33">
        <f>((F41/2)+0.45)/2</f>
        <v>0.97499999999999998</v>
      </c>
      <c r="F41" s="33">
        <v>3</v>
      </c>
      <c r="G41" s="33">
        <f>PRODUCT(C41:F41)</f>
        <v>16.087499999999999</v>
      </c>
      <c r="H41" s="17"/>
      <c r="I41" s="17"/>
      <c r="J41" s="17"/>
      <c r="K41" s="17"/>
      <c r="M41" s="33">
        <f>7</f>
        <v>7</v>
      </c>
      <c r="N41" s="33">
        <f>2</f>
        <v>2</v>
      </c>
      <c r="O41" s="33"/>
      <c r="P41" s="33">
        <f>PI()*M41*SQRT(M41^2+N41^2)</f>
        <v>160.09797821843054</v>
      </c>
    </row>
    <row r="42" spans="1:18" x14ac:dyDescent="0.25">
      <c r="A42" s="16"/>
      <c r="B42" s="32"/>
      <c r="C42" s="17">
        <v>1</v>
      </c>
      <c r="D42" s="33">
        <v>13</v>
      </c>
      <c r="E42" s="33">
        <f>((F42/2)+(0.45))/2</f>
        <v>0.97499999999999998</v>
      </c>
      <c r="F42" s="33">
        <v>3</v>
      </c>
      <c r="G42" s="33">
        <f>PRODUCT(C42:F42)</f>
        <v>38.024999999999999</v>
      </c>
      <c r="H42" s="17"/>
      <c r="I42" s="17"/>
      <c r="J42" s="17"/>
      <c r="K42" s="17"/>
      <c r="M42" s="36"/>
      <c r="N42" s="36"/>
      <c r="O42" s="36"/>
      <c r="P42" s="36"/>
      <c r="Q42" s="19">
        <f>E42*3.281</f>
        <v>3.1989749999999999</v>
      </c>
      <c r="R42" s="19">
        <f>F42*3.281</f>
        <v>9.843</v>
      </c>
    </row>
    <row r="43" spans="1:18" x14ac:dyDescent="0.25">
      <c r="A43" s="16"/>
      <c r="B43" s="32"/>
      <c r="C43" s="17">
        <v>1</v>
      </c>
      <c r="D43" s="33">
        <v>5</v>
      </c>
      <c r="E43" s="33">
        <f>((F43/2)+0.45)/2</f>
        <v>0.76249999999999996</v>
      </c>
      <c r="F43" s="33">
        <v>2.15</v>
      </c>
      <c r="G43" s="33">
        <f>PRODUCT(C43:F43)</f>
        <v>8.1968750000000004</v>
      </c>
      <c r="H43" s="17"/>
      <c r="I43" s="17"/>
      <c r="J43" s="17"/>
      <c r="K43" s="17"/>
      <c r="M43" s="36"/>
      <c r="N43" s="36"/>
      <c r="O43" s="36"/>
      <c r="P43" s="36"/>
    </row>
    <row r="44" spans="1:18" x14ac:dyDescent="0.25">
      <c r="A44" s="16"/>
      <c r="B44" s="32" t="str">
        <f>B31</f>
        <v>-for steps</v>
      </c>
      <c r="C44" s="50">
        <v>0.5</v>
      </c>
      <c r="D44" s="33">
        <f>0.3*20</f>
        <v>6</v>
      </c>
      <c r="E44" s="33">
        <v>0.5</v>
      </c>
      <c r="F44" s="33">
        <v>1.5</v>
      </c>
      <c r="G44" s="33">
        <f>PRODUCT(C44:F44)</f>
        <v>2.25</v>
      </c>
      <c r="H44" s="17"/>
      <c r="I44" s="17"/>
      <c r="J44" s="17"/>
      <c r="K44" s="17"/>
      <c r="M44" s="36"/>
      <c r="N44" s="36"/>
      <c r="O44" s="36"/>
      <c r="P44" s="36"/>
    </row>
    <row r="45" spans="1:18" ht="15" customHeight="1" x14ac:dyDescent="0.25">
      <c r="A45" s="2"/>
      <c r="B45" s="34" t="s">
        <v>17</v>
      </c>
      <c r="C45" s="3"/>
      <c r="D45" s="4"/>
      <c r="E45" s="5"/>
      <c r="F45" s="5"/>
      <c r="G45" s="6">
        <f>SUM(G41:G44)</f>
        <v>64.559374999999989</v>
      </c>
      <c r="H45" s="7" t="s">
        <v>18</v>
      </c>
      <c r="I45" s="6">
        <v>8987.83</v>
      </c>
      <c r="J45" s="18">
        <f>G45*I45</f>
        <v>580248.68740624993</v>
      </c>
      <c r="K45" s="5"/>
    </row>
    <row r="46" spans="1:18" hidden="1" x14ac:dyDescent="0.25">
      <c r="A46" s="16"/>
      <c r="B46" s="32" t="s">
        <v>33</v>
      </c>
      <c r="C46" s="17"/>
      <c r="D46" s="17"/>
      <c r="E46" s="17"/>
      <c r="F46" s="17"/>
      <c r="G46" s="17"/>
      <c r="H46" s="17"/>
      <c r="I46" s="17"/>
      <c r="J46" s="18">
        <f>0.13*G45*(5863.95)/5</f>
        <v>9842.8966228124973</v>
      </c>
      <c r="K46" s="17"/>
    </row>
    <row r="47" spans="1:18" hidden="1" x14ac:dyDescent="0.25">
      <c r="A47" s="16"/>
      <c r="B47" s="32" t="s">
        <v>34</v>
      </c>
      <c r="C47" s="17"/>
      <c r="D47" s="17"/>
      <c r="E47" s="17"/>
      <c r="F47" s="17"/>
      <c r="G47" s="17"/>
      <c r="H47" s="17"/>
      <c r="I47" s="17"/>
      <c r="J47" s="18">
        <f>0.13*G45*(6604.416)/5</f>
        <v>11085.801199199999</v>
      </c>
      <c r="K47" s="17"/>
    </row>
    <row r="48" spans="1:18" hidden="1" x14ac:dyDescent="0.25">
      <c r="A48" s="16"/>
      <c r="B48" s="32" t="s">
        <v>38</v>
      </c>
      <c r="C48" s="17"/>
      <c r="D48" s="17"/>
      <c r="E48" s="17"/>
      <c r="F48" s="17"/>
      <c r="G48" s="17"/>
      <c r="H48" s="17"/>
      <c r="I48" s="17"/>
      <c r="J48" s="18">
        <f>0.13*G45*(14808.78)/5</f>
        <v>24857.185114124997</v>
      </c>
      <c r="K48" s="17"/>
    </row>
    <row r="49" spans="1:19" hidden="1" x14ac:dyDescent="0.25">
      <c r="A49" s="16"/>
      <c r="B49" s="32" t="s">
        <v>40</v>
      </c>
      <c r="C49" s="17"/>
      <c r="D49" s="17"/>
      <c r="E49" s="17"/>
      <c r="F49" s="17"/>
      <c r="G49" s="17"/>
      <c r="H49" s="17"/>
      <c r="I49" s="17"/>
      <c r="J49" s="18">
        <f>0.13*G45*(310)/5</f>
        <v>520.34856249999996</v>
      </c>
      <c r="K49" s="17"/>
    </row>
    <row r="50" spans="1:19" x14ac:dyDescent="0.25">
      <c r="A50" s="16"/>
      <c r="B50" s="17"/>
      <c r="C50" s="17"/>
      <c r="D50" s="17"/>
      <c r="E50" s="17"/>
      <c r="F50" s="17"/>
      <c r="G50" s="17"/>
      <c r="H50" s="17"/>
      <c r="I50" s="17"/>
      <c r="J50" s="17"/>
      <c r="K50" s="17"/>
    </row>
    <row r="51" spans="1:19" ht="15" customHeight="1" x14ac:dyDescent="0.25">
      <c r="A51" s="2">
        <v>5</v>
      </c>
      <c r="B51" s="1" t="s">
        <v>19</v>
      </c>
      <c r="C51" s="3">
        <v>1</v>
      </c>
      <c r="D51" s="4"/>
      <c r="E51" s="5"/>
      <c r="F51" s="5"/>
      <c r="G51" s="7">
        <f t="shared" ref="G51" si="1">PRODUCT(C51:F51)</f>
        <v>1</v>
      </c>
      <c r="H51" s="7" t="s">
        <v>20</v>
      </c>
      <c r="I51" s="6">
        <v>500</v>
      </c>
      <c r="J51" s="7">
        <f>G51*I51</f>
        <v>500</v>
      </c>
      <c r="K51" s="5"/>
    </row>
    <row r="52" spans="1:19" x14ac:dyDescent="0.25">
      <c r="A52" s="2"/>
      <c r="B52" s="8"/>
      <c r="C52" s="3"/>
      <c r="D52" s="4"/>
      <c r="E52" s="5"/>
      <c r="F52" s="5"/>
      <c r="G52" s="6"/>
      <c r="H52" s="7"/>
      <c r="I52" s="6"/>
      <c r="J52" s="18"/>
      <c r="K52" s="5"/>
    </row>
    <row r="53" spans="1:19" x14ac:dyDescent="0.25">
      <c r="A53" s="21"/>
      <c r="B53" s="22" t="s">
        <v>22</v>
      </c>
      <c r="C53" s="23"/>
      <c r="D53" s="24"/>
      <c r="E53" s="24"/>
      <c r="F53" s="24"/>
      <c r="G53" s="18"/>
      <c r="H53" s="18"/>
      <c r="I53" s="18"/>
      <c r="J53" s="18">
        <f>SUM(J9:J51)</f>
        <v>692271.9516078874</v>
      </c>
      <c r="K53" s="25"/>
    </row>
    <row r="54" spans="1:19" x14ac:dyDescent="0.25">
      <c r="M54" s="20"/>
      <c r="N54" s="20"/>
      <c r="O54" s="20"/>
      <c r="P54" s="20"/>
      <c r="Q54" s="20"/>
      <c r="R54" s="20"/>
      <c r="S54" s="20"/>
    </row>
    <row r="55" spans="1:19" s="20" customFormat="1" x14ac:dyDescent="0.25">
      <c r="A55" s="26"/>
      <c r="B55" s="27" t="s">
        <v>21</v>
      </c>
      <c r="C55" s="43">
        <f>J53</f>
        <v>692271.9516078874</v>
      </c>
      <c r="D55" s="44"/>
      <c r="E55" s="9">
        <v>100</v>
      </c>
      <c r="F55" s="26"/>
      <c r="G55" s="28"/>
      <c r="H55" s="26"/>
      <c r="I55" s="29"/>
      <c r="J55" s="30"/>
      <c r="K55" s="31"/>
      <c r="M55" s="19"/>
      <c r="N55" s="19"/>
      <c r="O55" s="19"/>
      <c r="P55" s="19"/>
      <c r="Q55" s="19"/>
      <c r="R55" s="19"/>
      <c r="S55" s="19"/>
    </row>
    <row r="56" spans="1:19" x14ac:dyDescent="0.25">
      <c r="B56" s="27" t="s">
        <v>25</v>
      </c>
      <c r="C56" s="47">
        <v>600000</v>
      </c>
      <c r="D56" s="48"/>
      <c r="E56" s="9"/>
    </row>
    <row r="57" spans="1:19" x14ac:dyDescent="0.25">
      <c r="B57" s="27" t="s">
        <v>26</v>
      </c>
      <c r="C57" s="47">
        <f>C56-C59-C60</f>
        <v>570000</v>
      </c>
      <c r="D57" s="48"/>
      <c r="E57" s="9">
        <f>C57/C55*100</f>
        <v>82.337584048595986</v>
      </c>
    </row>
    <row r="58" spans="1:19" x14ac:dyDescent="0.25">
      <c r="B58" s="27" t="s">
        <v>41</v>
      </c>
      <c r="C58" s="49">
        <f>C55-C57</f>
        <v>122271.9516078874</v>
      </c>
      <c r="D58" s="49"/>
      <c r="E58" s="9">
        <f>100-E57</f>
        <v>17.662415951404014</v>
      </c>
    </row>
    <row r="59" spans="1:19" x14ac:dyDescent="0.25">
      <c r="B59" s="27" t="s">
        <v>27</v>
      </c>
      <c r="C59" s="43">
        <f>C56*0.03</f>
        <v>18000</v>
      </c>
      <c r="D59" s="44"/>
      <c r="E59" s="9">
        <v>3</v>
      </c>
    </row>
    <row r="60" spans="1:19" x14ac:dyDescent="0.25">
      <c r="B60" s="27" t="s">
        <v>28</v>
      </c>
      <c r="C60" s="43">
        <f>C56*0.02</f>
        <v>12000</v>
      </c>
      <c r="D60" s="44"/>
      <c r="E60" s="9">
        <v>2</v>
      </c>
    </row>
  </sheetData>
  <mergeCells count="15">
    <mergeCell ref="C59:D59"/>
    <mergeCell ref="C60:D60"/>
    <mergeCell ref="A7:F7"/>
    <mergeCell ref="H7:K7"/>
    <mergeCell ref="C55:D55"/>
    <mergeCell ref="C56:D56"/>
    <mergeCell ref="C57:D57"/>
    <mergeCell ref="C58:D58"/>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for upabhokta</vt:lpstr>
      <vt:lpstr>estimate!Print_Area</vt:lpstr>
      <vt:lpstr>'for upabhokta'!Print_Area</vt:lpstr>
      <vt:lpstr>estimate!Print_Titles</vt:lpstr>
      <vt:lpstr>'for upabhokta'!Print_Titles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2026-02-02T05:51:50Z</dcterms:modified>
</cp:coreProperties>
</file>