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264BB731-F9E4-4780-B167-C601110DF006}" xr6:coauthVersionLast="47" xr6:coauthVersionMax="47" xr10:uidLastSave="{00000000-0000-0000-0000-000000000000}"/>
  <bookViews>
    <workbookView xWindow="-120" yWindow="-120" windowWidth="20730" windowHeight="11040" activeTab="4" xr2:uid="{00000000-000D-0000-FFFF-FFFF00000000}"/>
  </bookViews>
  <sheets>
    <sheet name="estimate" sheetId="12" r:id="rId1"/>
    <sheet name="for upabhokta" sheetId="13" state="hidden" r:id="rId2"/>
    <sheet name="WCR" sheetId="14" r:id="rId3"/>
    <sheet name="V" sheetId="15" r:id="rId4"/>
    <sheet name="M" sheetId="16" r:id="rId5"/>
  </sheets>
  <externalReferences>
    <externalReference r:id="rId6"/>
    <externalReference r:id="rId7"/>
    <externalReference r:id="rId8"/>
    <externalReference r:id="rId9"/>
    <externalReference r:id="rId10"/>
    <externalReference r:id="rId11"/>
    <externalReference r:id="rId12"/>
    <externalReference r:id="rId13"/>
  </externalReferences>
  <definedNames>
    <definedName name="description_103">[1]Abstract!$B$16</definedName>
    <definedName name="description_124" localSheetId="0">#REF!</definedName>
    <definedName name="description_124" localSheetId="1">#REF!</definedName>
    <definedName name="description_124" localSheetId="4">#REF!</definedName>
    <definedName name="description_124" localSheetId="3">#REF!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 localSheetId="4">#REF!</definedName>
    <definedName name="description_310" localSheetId="3">#REF!</definedName>
    <definedName name="description_310" localSheetId="2">[4]Abstract!$B$60</definedName>
    <definedName name="description_310">#REF!</definedName>
    <definedName name="description_312" localSheetId="0">#REF!</definedName>
    <definedName name="description_312" localSheetId="1">#REF!</definedName>
    <definedName name="description_312" localSheetId="4">#REF!</definedName>
    <definedName name="description_312" localSheetId="3">#REF!</definedName>
    <definedName name="description_312" localSheetId="2">[5]Abstract!$B$61</definedName>
    <definedName name="description_312">#REF!</definedName>
    <definedName name="description_5">[1]Abstract!$B$171</definedName>
    <definedName name="description_6" localSheetId="0">#REF!</definedName>
    <definedName name="description_6" localSheetId="1">#REF!</definedName>
    <definedName name="description_6" localSheetId="4">#REF!</definedName>
    <definedName name="description_6" localSheetId="3">#REF!</definedName>
    <definedName name="description_6" localSheetId="2">[4]Abstract!$B$172</definedName>
    <definedName name="description_6">#REF!</definedName>
    <definedName name="description_759">[1]Abstract!$B$278</definedName>
    <definedName name="description_781" localSheetId="0">#REF!</definedName>
    <definedName name="description_781" localSheetId="1">#REF!</definedName>
    <definedName name="description_781" localSheetId="4">#REF!</definedName>
    <definedName name="description_781" localSheetId="3">#REF!</definedName>
    <definedName name="description_781" localSheetId="2">[6]Abstract!$B$299</definedName>
    <definedName name="description_781">#REF!</definedName>
    <definedName name="description_783">[1]Abstract!$B$301</definedName>
    <definedName name="description_784">[3]Abstract!$B$300</definedName>
    <definedName name="_xlnm.Print_Area" localSheetId="0">estimate!$A$1:$K$60</definedName>
    <definedName name="_xlnm.Print_Area" localSheetId="1">'for upabhokta'!$A$1:$K$60</definedName>
    <definedName name="_xlnm.Print_Area" localSheetId="4">M!$A$1:$K$71</definedName>
    <definedName name="_xlnm.Print_Area" localSheetId="3">V!$A$1:$K$71</definedName>
    <definedName name="_xlnm.Print_Area" localSheetId="2">WCR!$A$1:$K$34</definedName>
    <definedName name="_xlnm.Print_Titles" localSheetId="0">estimate!$1:$8</definedName>
    <definedName name="_xlnm.Print_Titles" localSheetId="1">'for upabhokta'!$1:$8</definedName>
    <definedName name="_xlnm.Print_Titles" localSheetId="4">M!$1:$8</definedName>
    <definedName name="_xlnm.Print_Titles" localSheetId="3">V!$1:$8</definedName>
    <definedName name="_xlnm.Print_Titles" localSheetId="2">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 i="15" l="1"/>
  <c r="S56" i="15"/>
  <c r="S57" i="15"/>
  <c r="S55" i="15"/>
  <c r="C71" i="16"/>
  <c r="C70" i="16"/>
  <c r="C68" i="16" s="1"/>
  <c r="G62" i="16"/>
  <c r="J62" i="16" s="1"/>
  <c r="G55" i="16"/>
  <c r="E55" i="16"/>
  <c r="D55" i="16"/>
  <c r="G54" i="16"/>
  <c r="D54" i="16"/>
  <c r="G53" i="16"/>
  <c r="G52" i="16"/>
  <c r="G51" i="16"/>
  <c r="E50" i="16"/>
  <c r="G50" i="16" s="1"/>
  <c r="R49" i="16"/>
  <c r="Q49" i="16"/>
  <c r="G49" i="16"/>
  <c r="G56" i="16" s="1"/>
  <c r="E49" i="16"/>
  <c r="N48" i="16"/>
  <c r="P48" i="16" s="1"/>
  <c r="M48" i="16"/>
  <c r="G48" i="16"/>
  <c r="E48" i="16"/>
  <c r="G39" i="16"/>
  <c r="G38" i="16"/>
  <c r="G37" i="16"/>
  <c r="E37" i="16"/>
  <c r="D37" i="16"/>
  <c r="C37" i="16"/>
  <c r="D36" i="16"/>
  <c r="G36" i="16" s="1"/>
  <c r="D35" i="16"/>
  <c r="D34" i="16"/>
  <c r="G34" i="16" s="1"/>
  <c r="C34" i="16"/>
  <c r="C35" i="16" s="1"/>
  <c r="G35" i="16" s="1"/>
  <c r="G32" i="16"/>
  <c r="E32" i="16"/>
  <c r="E19" i="16" s="1"/>
  <c r="D32" i="16"/>
  <c r="D33" i="16" s="1"/>
  <c r="G33" i="16" s="1"/>
  <c r="G31" i="16"/>
  <c r="D31" i="16"/>
  <c r="P30" i="16"/>
  <c r="N30" i="16"/>
  <c r="M30" i="16"/>
  <c r="D30" i="16"/>
  <c r="G30" i="16" s="1"/>
  <c r="G40" i="16" s="1"/>
  <c r="D25" i="16"/>
  <c r="G25" i="16" s="1"/>
  <c r="G24" i="16"/>
  <c r="E23" i="16"/>
  <c r="D23" i="16"/>
  <c r="C23" i="16"/>
  <c r="G23" i="16" s="1"/>
  <c r="G22" i="16"/>
  <c r="E22" i="16"/>
  <c r="D22" i="16"/>
  <c r="C22" i="16"/>
  <c r="E21" i="16"/>
  <c r="D21" i="16"/>
  <c r="C21" i="16"/>
  <c r="G21" i="16" s="1"/>
  <c r="E20" i="16"/>
  <c r="D20" i="16"/>
  <c r="C20" i="16"/>
  <c r="G20" i="16" s="1"/>
  <c r="D19" i="16"/>
  <c r="N18" i="16"/>
  <c r="M18" i="16"/>
  <c r="P18" i="16" s="1"/>
  <c r="E18" i="16"/>
  <c r="E30" i="16" s="1"/>
  <c r="D18" i="16"/>
  <c r="B18" i="16"/>
  <c r="B30" i="16" s="1"/>
  <c r="B48" i="16" s="1"/>
  <c r="R17" i="16"/>
  <c r="G13" i="16"/>
  <c r="E13" i="16"/>
  <c r="E12" i="16"/>
  <c r="D12" i="16"/>
  <c r="C12" i="16"/>
  <c r="G12" i="16" s="1"/>
  <c r="D11" i="16"/>
  <c r="N10" i="16"/>
  <c r="M10" i="16"/>
  <c r="P10" i="16" s="1"/>
  <c r="E10" i="16"/>
  <c r="D10" i="16"/>
  <c r="G10" i="16" s="1"/>
  <c r="G14" i="15"/>
  <c r="G26" i="15"/>
  <c r="G40" i="15"/>
  <c r="G13" i="15"/>
  <c r="E13" i="15"/>
  <c r="D25" i="15"/>
  <c r="G25" i="15" s="1"/>
  <c r="G24" i="15"/>
  <c r="E23" i="15"/>
  <c r="E21" i="15"/>
  <c r="D23" i="15"/>
  <c r="C23" i="15"/>
  <c r="C21" i="15"/>
  <c r="G39" i="15"/>
  <c r="G38" i="15"/>
  <c r="D37" i="15"/>
  <c r="D22" i="15" s="1"/>
  <c r="D36" i="15"/>
  <c r="D21" i="15" s="1"/>
  <c r="E55" i="15"/>
  <c r="D55" i="15"/>
  <c r="D54" i="15"/>
  <c r="G54" i="15" s="1"/>
  <c r="G53" i="15"/>
  <c r="G52" i="15"/>
  <c r="E50" i="15"/>
  <c r="G50" i="15" s="1"/>
  <c r="H13" i="14"/>
  <c r="E13" i="14"/>
  <c r="D13" i="14"/>
  <c r="C37" i="15"/>
  <c r="C22" i="15" s="1"/>
  <c r="H32" i="14"/>
  <c r="E32" i="14"/>
  <c r="D32" i="14"/>
  <c r="C32" i="14"/>
  <c r="B32" i="14"/>
  <c r="A32" i="14"/>
  <c r="B28" i="14"/>
  <c r="F28" i="14"/>
  <c r="B29" i="14"/>
  <c r="F29" i="14"/>
  <c r="B30" i="14"/>
  <c r="F30" i="14"/>
  <c r="H26" i="14"/>
  <c r="F27" i="14"/>
  <c r="M27" i="14" s="1"/>
  <c r="E26" i="14"/>
  <c r="D26" i="14"/>
  <c r="C26" i="14"/>
  <c r="B27" i="14"/>
  <c r="B26" i="14"/>
  <c r="A26" i="14"/>
  <c r="B24" i="14"/>
  <c r="F24" i="14"/>
  <c r="B21" i="14"/>
  <c r="F21" i="14"/>
  <c r="B22" i="14"/>
  <c r="F22" i="14"/>
  <c r="B23" i="14"/>
  <c r="F23" i="14"/>
  <c r="H19" i="14"/>
  <c r="E19" i="14"/>
  <c r="D19" i="14"/>
  <c r="C19" i="14"/>
  <c r="F20" i="14"/>
  <c r="M20" i="14" s="1"/>
  <c r="B20" i="14"/>
  <c r="B19" i="14"/>
  <c r="A19" i="14"/>
  <c r="H16" i="14"/>
  <c r="D16" i="14"/>
  <c r="E16" i="14"/>
  <c r="C16" i="14"/>
  <c r="F17" i="14"/>
  <c r="B17" i="14"/>
  <c r="B16" i="14"/>
  <c r="A16" i="14"/>
  <c r="F14" i="14"/>
  <c r="B14" i="14"/>
  <c r="B13" i="14"/>
  <c r="A13" i="14"/>
  <c r="E48" i="15"/>
  <c r="G48" i="15" s="1"/>
  <c r="E49" i="15"/>
  <c r="Q49" i="15" s="1"/>
  <c r="D19" i="15"/>
  <c r="C71" i="15"/>
  <c r="C70" i="15"/>
  <c r="G62" i="15"/>
  <c r="J62" i="15" s="1"/>
  <c r="G51" i="15"/>
  <c r="R49" i="15"/>
  <c r="N48" i="15"/>
  <c r="M48" i="15"/>
  <c r="E37" i="15"/>
  <c r="E22" i="15" s="1"/>
  <c r="E20" i="15"/>
  <c r="E12" i="15" s="1"/>
  <c r="D34" i="15"/>
  <c r="D35" i="15" s="1"/>
  <c r="C34" i="15"/>
  <c r="C20" i="15" s="1"/>
  <c r="C12" i="15" s="1"/>
  <c r="E32" i="15"/>
  <c r="E19" i="15" s="1"/>
  <c r="E11" i="15" s="1"/>
  <c r="N30" i="15"/>
  <c r="M30" i="15"/>
  <c r="D30" i="15"/>
  <c r="D31" i="15" s="1"/>
  <c r="G31" i="15" s="1"/>
  <c r="N18" i="15"/>
  <c r="M18" i="15"/>
  <c r="D18" i="15"/>
  <c r="B18" i="15"/>
  <c r="B30" i="15" s="1"/>
  <c r="B48" i="15" s="1"/>
  <c r="R17" i="15"/>
  <c r="D11" i="15"/>
  <c r="N10" i="15"/>
  <c r="M10" i="15"/>
  <c r="E10" i="15"/>
  <c r="E18" i="15" s="1"/>
  <c r="D10" i="15"/>
  <c r="F32" i="14"/>
  <c r="C13" i="14"/>
  <c r="A9" i="14"/>
  <c r="J45" i="16" l="1"/>
  <c r="J44" i="16"/>
  <c r="J41" i="16"/>
  <c r="J40" i="16"/>
  <c r="J42" i="16"/>
  <c r="J43" i="16"/>
  <c r="J58" i="16"/>
  <c r="J57" i="16"/>
  <c r="J56" i="16"/>
  <c r="J60" i="16"/>
  <c r="J59" i="16"/>
  <c r="G19" i="16"/>
  <c r="E11" i="16"/>
  <c r="G11" i="16"/>
  <c r="G14" i="16" s="1"/>
  <c r="G18" i="16"/>
  <c r="G26" i="16" s="1"/>
  <c r="G22" i="15"/>
  <c r="G23" i="15"/>
  <c r="C68" i="15"/>
  <c r="G55" i="15"/>
  <c r="G10" i="15"/>
  <c r="P10" i="15"/>
  <c r="P18" i="15"/>
  <c r="C35" i="15"/>
  <c r="G35" i="15" s="1"/>
  <c r="G21" i="15"/>
  <c r="G19" i="15"/>
  <c r="G37" i="15"/>
  <c r="G32" i="14"/>
  <c r="I32" i="14" s="1"/>
  <c r="J32" i="14" s="1"/>
  <c r="P30" i="15"/>
  <c r="G36" i="15"/>
  <c r="P48" i="15"/>
  <c r="F26" i="14"/>
  <c r="M26" i="14" s="1"/>
  <c r="F19" i="14"/>
  <c r="M19" i="14" s="1"/>
  <c r="F16" i="14"/>
  <c r="M16" i="14" s="1"/>
  <c r="F13" i="14"/>
  <c r="M13" i="14" s="1"/>
  <c r="G34" i="15"/>
  <c r="G49" i="15"/>
  <c r="D32" i="15"/>
  <c r="G11" i="15"/>
  <c r="E30" i="15"/>
  <c r="G30" i="15" s="1"/>
  <c r="G18" i="15"/>
  <c r="D20" i="15"/>
  <c r="J14" i="16" l="1"/>
  <c r="J15" i="16"/>
  <c r="J26" i="16"/>
  <c r="J27" i="16"/>
  <c r="G56" i="15"/>
  <c r="J58" i="15" s="1"/>
  <c r="I28" i="14" s="1"/>
  <c r="J28" i="14" s="1"/>
  <c r="F34" i="14"/>
  <c r="C6" i="14" s="1"/>
  <c r="D33" i="15"/>
  <c r="G33" i="15" s="1"/>
  <c r="G32" i="15"/>
  <c r="G20" i="15"/>
  <c r="D12" i="15"/>
  <c r="G12" i="15" s="1"/>
  <c r="J64" i="16" l="1"/>
  <c r="C66" i="16" s="1"/>
  <c r="G13" i="14"/>
  <c r="I13" i="14" s="1"/>
  <c r="J13" i="14" s="1"/>
  <c r="G19" i="14"/>
  <c r="I19" i="14" s="1"/>
  <c r="J19" i="14" s="1"/>
  <c r="G16" i="14"/>
  <c r="I16" i="14" s="1"/>
  <c r="J16" i="14" s="1"/>
  <c r="G26" i="14"/>
  <c r="I26" i="14" s="1"/>
  <c r="J26" i="14" s="1"/>
  <c r="J60" i="15"/>
  <c r="I30" i="14" s="1"/>
  <c r="J30" i="14" s="1"/>
  <c r="J56" i="15"/>
  <c r="J59" i="15"/>
  <c r="I29" i="14" s="1"/>
  <c r="J29" i="14" s="1"/>
  <c r="J57" i="15"/>
  <c r="I27" i="14" s="1"/>
  <c r="J27" i="14" s="1"/>
  <c r="J27" i="15"/>
  <c r="I17" i="14" s="1"/>
  <c r="J17" i="14" s="1"/>
  <c r="J26" i="15"/>
  <c r="C60" i="13"/>
  <c r="C59" i="13"/>
  <c r="C57" i="13" s="1"/>
  <c r="G51" i="13"/>
  <c r="J51" i="13" s="1"/>
  <c r="G44" i="13"/>
  <c r="D44" i="13"/>
  <c r="E43" i="13"/>
  <c r="G43" i="13" s="1"/>
  <c r="R42" i="13"/>
  <c r="E42" i="13"/>
  <c r="Q42" i="13" s="1"/>
  <c r="N41" i="13"/>
  <c r="M41" i="13"/>
  <c r="P41" i="13" s="1"/>
  <c r="G41" i="13"/>
  <c r="E41" i="13"/>
  <c r="E32" i="13"/>
  <c r="D32" i="13"/>
  <c r="G32" i="13" s="1"/>
  <c r="C32" i="13"/>
  <c r="E31" i="13"/>
  <c r="C31" i="13"/>
  <c r="B31" i="13"/>
  <c r="B44" i="13" s="1"/>
  <c r="C30" i="13"/>
  <c r="E29" i="13"/>
  <c r="E19" i="13" s="1"/>
  <c r="E12" i="13" s="1"/>
  <c r="D29" i="13"/>
  <c r="G29" i="13" s="1"/>
  <c r="C29" i="13"/>
  <c r="E27" i="13"/>
  <c r="D27" i="13"/>
  <c r="D28" i="13" s="1"/>
  <c r="G28" i="13" s="1"/>
  <c r="D26" i="13"/>
  <c r="G26" i="13" s="1"/>
  <c r="N25" i="13"/>
  <c r="M25" i="13"/>
  <c r="P25" i="13" s="1"/>
  <c r="D25" i="13"/>
  <c r="D20" i="13"/>
  <c r="D31" i="13" s="1"/>
  <c r="G31" i="13" s="1"/>
  <c r="C19" i="13"/>
  <c r="G18" i="13"/>
  <c r="E18" i="13"/>
  <c r="D18" i="13"/>
  <c r="N17" i="13"/>
  <c r="M17" i="13"/>
  <c r="P17" i="13" s="1"/>
  <c r="E17" i="13"/>
  <c r="E25" i="13" s="1"/>
  <c r="G25" i="13" s="1"/>
  <c r="D17" i="13"/>
  <c r="G17" i="13" s="1"/>
  <c r="B17" i="13"/>
  <c r="B25" i="13" s="1"/>
  <c r="B41" i="13" s="1"/>
  <c r="R16" i="13"/>
  <c r="E11" i="13"/>
  <c r="D11" i="13"/>
  <c r="G11" i="13" s="1"/>
  <c r="N10" i="13"/>
  <c r="M10" i="13"/>
  <c r="P10" i="13" s="1"/>
  <c r="G10" i="13"/>
  <c r="E10" i="13"/>
  <c r="D10" i="13"/>
  <c r="B44" i="12"/>
  <c r="G45" i="12"/>
  <c r="E42" i="12"/>
  <c r="Q42" i="12" s="1"/>
  <c r="E27" i="12"/>
  <c r="E18" i="12"/>
  <c r="E11" i="12" s="1"/>
  <c r="R42" i="12"/>
  <c r="B31" i="12"/>
  <c r="E32" i="12"/>
  <c r="C32" i="12"/>
  <c r="D44" i="12"/>
  <c r="G44" i="12" s="1"/>
  <c r="E31" i="12"/>
  <c r="C31" i="12"/>
  <c r="D20" i="12"/>
  <c r="G20" i="12" s="1"/>
  <c r="R16" i="12"/>
  <c r="E29" i="12"/>
  <c r="D29" i="12"/>
  <c r="D19" i="12" s="1"/>
  <c r="D12" i="12" s="1"/>
  <c r="C29" i="12"/>
  <c r="C19" i="12" s="1"/>
  <c r="C12" i="12" s="1"/>
  <c r="E43" i="12"/>
  <c r="G43" i="12" s="1"/>
  <c r="D11" i="12"/>
  <c r="D18" i="12"/>
  <c r="D27" i="12"/>
  <c r="D28" i="12" s="1"/>
  <c r="G28" i="12" s="1"/>
  <c r="D10" i="12"/>
  <c r="D17" i="12"/>
  <c r="D25" i="12"/>
  <c r="E10" i="12"/>
  <c r="C69" i="16" l="1"/>
  <c r="E68" i="16"/>
  <c r="E69" i="16" s="1"/>
  <c r="J15" i="15"/>
  <c r="I14" i="14" s="1"/>
  <c r="J14" i="14" s="1"/>
  <c r="J14" i="15"/>
  <c r="J45" i="15"/>
  <c r="I24" i="14" s="1"/>
  <c r="J24" i="14" s="1"/>
  <c r="J40" i="15"/>
  <c r="J41" i="15"/>
  <c r="I20" i="14" s="1"/>
  <c r="J20" i="14" s="1"/>
  <c r="J44" i="15"/>
  <c r="I23" i="14" s="1"/>
  <c r="J23" i="14" s="1"/>
  <c r="J42" i="15"/>
  <c r="I21" i="14" s="1"/>
  <c r="J21" i="14" s="1"/>
  <c r="J43" i="15"/>
  <c r="I22" i="14" s="1"/>
  <c r="J22" i="14" s="1"/>
  <c r="G45" i="13"/>
  <c r="G42" i="13"/>
  <c r="C12" i="13"/>
  <c r="G12" i="13" s="1"/>
  <c r="G13" i="13" s="1"/>
  <c r="D19" i="13"/>
  <c r="D12" i="13" s="1"/>
  <c r="G20" i="13"/>
  <c r="D30" i="13"/>
  <c r="G30" i="13" s="1"/>
  <c r="G27" i="13"/>
  <c r="G42" i="12"/>
  <c r="D32" i="12"/>
  <c r="G32" i="12" s="1"/>
  <c r="D31" i="12"/>
  <c r="G31" i="12" s="1"/>
  <c r="G29" i="12"/>
  <c r="G33" i="12" s="1"/>
  <c r="D30" i="12"/>
  <c r="C30" i="12"/>
  <c r="E19" i="12"/>
  <c r="G18" i="12"/>
  <c r="G11" i="12"/>
  <c r="G27" i="12"/>
  <c r="C59" i="12"/>
  <c r="J64" i="15" l="1"/>
  <c r="C66" i="15" s="1"/>
  <c r="E68" i="15" s="1"/>
  <c r="E69" i="15" s="1"/>
  <c r="I34" i="14"/>
  <c r="J6" i="14" s="1"/>
  <c r="G33" i="13"/>
  <c r="J13" i="13"/>
  <c r="J14" i="13"/>
  <c r="J45" i="13"/>
  <c r="J47" i="13"/>
  <c r="J49" i="13"/>
  <c r="J46" i="13"/>
  <c r="J48" i="13"/>
  <c r="G19" i="13"/>
  <c r="G21" i="13" s="1"/>
  <c r="G30" i="12"/>
  <c r="G19" i="12"/>
  <c r="G21" i="12" s="1"/>
  <c r="E12" i="12"/>
  <c r="G12" i="12" s="1"/>
  <c r="G13" i="12" s="1"/>
  <c r="E41" i="12"/>
  <c r="N41" i="12"/>
  <c r="M41" i="12"/>
  <c r="N25" i="12"/>
  <c r="M25" i="12"/>
  <c r="D26" i="12"/>
  <c r="G26" i="12" s="1"/>
  <c r="B17" i="12"/>
  <c r="B25" i="12" s="1"/>
  <c r="B41" i="12" s="1"/>
  <c r="E17" i="12"/>
  <c r="N17" i="12"/>
  <c r="M17" i="12"/>
  <c r="C69" i="15" l="1"/>
  <c r="J34" i="14"/>
  <c r="J38" i="13"/>
  <c r="J37" i="13"/>
  <c r="J36" i="13"/>
  <c r="J35" i="13"/>
  <c r="J33" i="13"/>
  <c r="J34" i="13"/>
  <c r="J22" i="13"/>
  <c r="J21" i="13"/>
  <c r="J53" i="13" s="1"/>
  <c r="C55" i="13" s="1"/>
  <c r="P25" i="12"/>
  <c r="P41" i="12"/>
  <c r="G41" i="12"/>
  <c r="G10" i="12"/>
  <c r="P17" i="12"/>
  <c r="G17" i="12"/>
  <c r="E25" i="12"/>
  <c r="G25" i="12" s="1"/>
  <c r="C58" i="13" l="1"/>
  <c r="E57" i="13"/>
  <c r="E58" i="13" s="1"/>
  <c r="J33" i="12"/>
  <c r="J49" i="12"/>
  <c r="J48" i="12"/>
  <c r="J45" i="12"/>
  <c r="J21" i="12"/>
  <c r="J22" i="12"/>
  <c r="J36" i="12" l="1"/>
  <c r="J38" i="12"/>
  <c r="J35" i="12"/>
  <c r="J37" i="12"/>
  <c r="J34" i="12"/>
  <c r="J47" i="12"/>
  <c r="J46" i="12"/>
  <c r="N10" i="12"/>
  <c r="M10" i="12"/>
  <c r="P10" i="12" l="1"/>
  <c r="J14" i="12"/>
  <c r="J13" i="12" l="1"/>
  <c r="C60" i="12"/>
  <c r="C57" i="12" s="1"/>
  <c r="G51" i="12"/>
  <c r="J51" i="12" s="1"/>
  <c r="J53" i="12" l="1"/>
  <c r="C55" i="12" l="1"/>
  <c r="C58" i="12" s="1"/>
  <c r="E57" i="12" l="1"/>
  <c r="E58" i="12" s="1"/>
</calcChain>
</file>

<file path=xl/sharedStrings.xml><?xml version="1.0" encoding="utf-8"?>
<sst xmlns="http://schemas.openxmlformats.org/spreadsheetml/2006/main" count="258" uniqueCount="69">
  <si>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</si>
  <si>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</si>
  <si>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</si>
  <si>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</si>
  <si>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</si>
  <si>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</si>
  <si>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</si>
  <si>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</si>
  <si>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</si>
  <si>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</si>
  <si>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</si>
  <si>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</si>
  <si>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</si>
  <si>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</si>
  <si>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</si>
  <si>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</si>
  <si>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</si>
  <si>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</si>
  <si>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</si>
  <si>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</si>
  <si>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</si>
  <si>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</si>
  <si>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</si>
  <si>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</si>
  <si>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</si>
  <si>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</si>
  <si>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</si>
  <si>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</si>
  <si>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</si>
  <si>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</si>
  <si>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</si>
  <si>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</si>
  <si>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</si>
  <si>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</si>
  <si>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</si>
  <si>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</si>
  <si>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</si>
  <si>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</si>
  <si>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</si>
  <si>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</si>
  <si>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</si>
  <si>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</si>
  <si>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r>
      <t xml:space="preserve">Project:- </t>
    </r>
    <r>
      <rPr>
        <sz val="12"/>
        <rFont val="Preeti"/>
      </rPr>
      <t>5fke~Hofª ah|of]lugL dlGb/ k"jf{wf/ ljsf;</t>
    </r>
  </si>
  <si>
    <t>-for steps</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</si>
  <si>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</si>
  <si>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</si>
  <si>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</si>
  <si>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</si>
  <si>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</si>
  <si>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</si>
  <si>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</si>
  <si>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</si>
  <si>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</si>
  <si>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</si>
  <si>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</si>
  <si>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</si>
  <si>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</si>
  <si>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t>Detail Valuated Sheet</t>
  </si>
  <si>
    <t>Total Valuated</t>
  </si>
  <si>
    <t>-for steps side wall</t>
  </si>
  <si>
    <t>-at base of steps</t>
  </si>
  <si>
    <t>-wall</t>
  </si>
  <si>
    <t>Detail Quantity Measurement Sheet</t>
  </si>
  <si>
    <t>stone</t>
  </si>
  <si>
    <t>cement</t>
  </si>
  <si>
    <t>sand</t>
  </si>
  <si>
    <t>water</t>
  </si>
  <si>
    <t>Date:2083/02/12</t>
  </si>
  <si>
    <t xml:space="preserve">Date:2083/02/12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</si>
</sst>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sz val="12"/>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8">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0" fontId="8" fillId="0" borderId="1" xfId="0" applyFont="1" applyBorder="1" applyAlignment="1">
      <alignment horizontal="right"/>
    </xf>
    <xf numFmtId="0" fontId="8" fillId="0" borderId="0" xfId="0" applyFont="1" applyAlignment="1">
      <alignment horizontal="right"/>
    </xf>
    <xf numFmtId="0" fontId="0" fillId="0" borderId="0" xfId="0" applyAlignment="1">
      <alignment vertical="center"/>
    </xf>
    <xf numFmtId="0" fontId="18" fillId="0" borderId="0" xfId="0" applyFont="1"/>
    <xf numFmtId="0" fontId="19" fillId="0" borderId="0" xfId="0" applyFont="1" applyAlignment="1">
      <alignment horizontal="center"/>
    </xf>
    <xf numFmtId="0" fontId="0" fillId="0" borderId="0" xfId="0" applyAlignment="1">
      <alignment horizontal="left"/>
    </xf>
    <xf numFmtId="0" fontId="0" fillId="3"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0" fontId="15" fillId="0" borderId="2" xfId="0" applyFont="1" applyBorder="1" applyAlignment="1">
      <alignment vertical="center"/>
    </xf>
    <xf numFmtId="0" fontId="20" fillId="0" borderId="2" xfId="0" applyFont="1" applyBorder="1" applyAlignment="1">
      <alignment vertical="center"/>
    </xf>
    <xf numFmtId="0" fontId="8" fillId="2" borderId="2" xfId="0" applyFont="1" applyFill="1" applyBorder="1" applyAlignment="1">
      <alignment vertical="center" wrapText="1"/>
    </xf>
    <xf numFmtId="1" fontId="21" fillId="0" borderId="2" xfId="0" applyNumberFormat="1" applyFont="1" applyBorder="1" applyAlignment="1">
      <alignment horizontal="right" vertical="center" wrapText="1"/>
    </xf>
    <xf numFmtId="1" fontId="20"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0" fontId="4" fillId="0" borderId="2" xfId="0" quotePrefix="1" applyFont="1" applyBorder="1" applyAlignment="1">
      <alignment vertical="center" wrapText="1"/>
    </xf>
    <xf numFmtId="0" fontId="4" fillId="0" borderId="2" xfId="0" quotePrefix="1" applyFont="1" applyBorder="1" applyAlignment="1">
      <alignment horizontal="right" wrapText="1"/>
    </xf>
    <xf numFmtId="0" fontId="8" fillId="0" borderId="0" xfId="0" applyFont="1"/>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8" fillId="0" borderId="0" xfId="0" applyFont="1" applyAlignment="1">
      <alignment horizontal="left"/>
    </xf>
    <xf numFmtId="0" fontId="0" fillId="0" borderId="0" xfId="0" applyAlignment="1">
      <alignment horizontal="right"/>
    </xf>
    <xf numFmtId="0" fontId="0" fillId="0" borderId="0" xfId="0" applyAlignment="1">
      <alignment horizontal="left"/>
    </xf>
    <xf numFmtId="43" fontId="18" fillId="0" borderId="0" xfId="0" applyNumberFormat="1" applyFont="1" applyAlignment="1">
      <alignment horizontal="center"/>
    </xf>
    <xf numFmtId="0" fontId="18" fillId="0" borderId="0" xfId="0" applyFont="1" applyAlignment="1">
      <alignment horizont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malsim%20khanepaani/valuation%20malsim%20khanepaani.xlsx" TargetMode="External"/><Relationship Id="rId2" Type="http://schemas.openxmlformats.org/officeDocument/2006/relationships/externalLinkPath" Target="file:///G:\2082_2083\&#2348;&#2332;&#2375;&#2335;%20&#2350;&#2366;&#2327;%20estimate\&#2344;&#2327;&#2352;%20&#2348;&#2332;&#2375;&#2335;%20estimate\malsim%20khanepaani\valuation%20malsim%20khanepaani.xlsx" TargetMode="External"/><Relationship Id="rId1" Type="http://schemas.openxmlformats.org/officeDocument/2006/relationships/externalLinkPath" Target="/2082_2083/&#2348;&#2332;&#2375;&#2335;%20&#2350;&#2366;&#2327;%20estimate/&#2344;&#2327;&#2352;%20&#2348;&#2332;&#2375;&#2335;%20estimate/malsim%20khanepaani/valuation%20malsim%20khanepaan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M"/>
      <sheetName val="original estimate"/>
    </sheetNames>
    <sheetDataSet>
      <sheetData sheetId="0">
        <row r="9">
          <cell r="A9">
            <v>1</v>
          </cell>
        </row>
        <row r="13">
          <cell r="H13" t="str">
            <v>cum</v>
          </cell>
        </row>
      </sheetData>
      <sheetData sheetId="1"/>
      <sheetData sheetId="2">
        <row r="16">
          <cell r="G16">
            <v>88.199999999999989</v>
          </cell>
        </row>
      </sheetData>
      <sheetData sheetId="3" refreshError="1"/>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60"/>
  <sheetViews>
    <sheetView view="pageBreakPreview" topLeftCell="A49" zoomScale="95" zoomScaleNormal="90" zoomScaleSheetLayoutView="95" workbookViewId="0">
      <selection activeCell="I40" sqref="I4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9" x14ac:dyDescent="0.25">
      <c r="A1" s="76" t="s">
        <v>0</v>
      </c>
      <c r="B1" s="76"/>
      <c r="C1" s="76"/>
      <c r="D1" s="76"/>
      <c r="E1" s="76"/>
      <c r="F1" s="76"/>
      <c r="G1" s="76"/>
      <c r="H1" s="76"/>
      <c r="I1" s="76"/>
      <c r="J1" s="76"/>
      <c r="K1" s="76"/>
    </row>
    <row r="2" spans="1:19" ht="22.5" x14ac:dyDescent="0.25">
      <c r="A2" s="77" t="s">
        <v>1</v>
      </c>
      <c r="B2" s="77"/>
      <c r="C2" s="77"/>
      <c r="D2" s="77"/>
      <c r="E2" s="77"/>
      <c r="F2" s="77"/>
      <c r="G2" s="77"/>
      <c r="H2" s="77"/>
      <c r="I2" s="77"/>
      <c r="J2" s="77"/>
      <c r="K2" s="77"/>
    </row>
    <row r="3" spans="1:19" x14ac:dyDescent="0.25">
      <c r="A3" s="78" t="s">
        <v>2</v>
      </c>
      <c r="B3" s="78"/>
      <c r="C3" s="78"/>
      <c r="D3" s="78"/>
      <c r="E3" s="78"/>
      <c r="F3" s="78"/>
      <c r="G3" s="78"/>
      <c r="H3" s="78"/>
      <c r="I3" s="78"/>
      <c r="J3" s="78"/>
      <c r="K3" s="78"/>
    </row>
    <row r="4" spans="1:19" x14ac:dyDescent="0.25">
      <c r="A4" s="78" t="s">
        <v>3</v>
      </c>
      <c r="B4" s="78"/>
      <c r="C4" s="78"/>
      <c r="D4" s="78"/>
      <c r="E4" s="78"/>
      <c r="F4" s="78"/>
      <c r="G4" s="78"/>
      <c r="H4" s="78"/>
      <c r="I4" s="78"/>
      <c r="J4" s="78"/>
      <c r="K4" s="78"/>
    </row>
    <row r="5" spans="1:19" ht="18.75" x14ac:dyDescent="0.3">
      <c r="A5" s="79" t="s">
        <v>4</v>
      </c>
      <c r="B5" s="79"/>
      <c r="C5" s="79"/>
      <c r="D5" s="79"/>
      <c r="E5" s="79"/>
      <c r="F5" s="79"/>
      <c r="G5" s="79"/>
      <c r="H5" s="79"/>
      <c r="I5" s="79"/>
      <c r="J5" s="79"/>
      <c r="K5" s="79"/>
    </row>
    <row r="6" spans="1:19" ht="15.75" x14ac:dyDescent="0.25">
      <c r="A6" s="66" t="s">
        <v>42</v>
      </c>
      <c r="B6" s="66"/>
      <c r="C6" s="66"/>
      <c r="D6" s="66"/>
      <c r="E6" s="66"/>
      <c r="F6" s="66"/>
      <c r="G6" s="10"/>
      <c r="H6" s="75" t="s">
        <v>29</v>
      </c>
      <c r="I6" s="75"/>
      <c r="J6" s="75"/>
      <c r="K6" s="75"/>
    </row>
    <row r="7" spans="1:19" ht="15.75" x14ac:dyDescent="0.25">
      <c r="A7" s="82" t="s">
        <v>5</v>
      </c>
      <c r="B7" s="82"/>
      <c r="C7" s="82"/>
      <c r="D7" s="82"/>
      <c r="E7" s="82"/>
      <c r="F7" s="82"/>
      <c r="G7" s="11"/>
      <c r="H7" s="83" t="s">
        <v>23</v>
      </c>
      <c r="I7" s="83"/>
      <c r="J7" s="83"/>
      <c r="K7" s="83"/>
    </row>
    <row r="8" spans="1:19" ht="15.75" x14ac:dyDescent="0.25">
      <c r="A8" s="12" t="s">
        <v>6</v>
      </c>
      <c r="B8" s="13" t="s">
        <v>7</v>
      </c>
      <c r="C8" s="12" t="s">
        <v>8</v>
      </c>
      <c r="D8" s="14" t="s">
        <v>9</v>
      </c>
      <c r="E8" s="14" t="s">
        <v>10</v>
      </c>
      <c r="F8" s="14" t="s">
        <v>11</v>
      </c>
      <c r="G8" s="14" t="s">
        <v>12</v>
      </c>
      <c r="H8" s="12" t="s">
        <v>13</v>
      </c>
      <c r="I8" s="14" t="s">
        <v>14</v>
      </c>
      <c r="J8" s="14" t="s">
        <v>15</v>
      </c>
      <c r="K8" s="15" t="s">
        <v>16</v>
      </c>
    </row>
    <row r="9" spans="1:19" ht="188.25" customHeight="1" x14ac:dyDescent="0.25">
      <c r="A9" s="16">
        <v>1</v>
      </c>
      <c r="B9" s="35" t="s">
        <v>39</v>
      </c>
      <c r="C9" s="17"/>
      <c r="D9" s="17"/>
      <c r="E9" s="17"/>
      <c r="F9" s="17"/>
      <c r="G9" s="17"/>
      <c r="H9" s="17"/>
      <c r="I9" s="17"/>
      <c r="J9" s="17"/>
      <c r="K9" s="17"/>
    </row>
    <row r="10" spans="1:19" x14ac:dyDescent="0.25">
      <c r="A10" s="16"/>
      <c r="B10" s="32" t="s">
        <v>30</v>
      </c>
      <c r="C10" s="17">
        <v>1</v>
      </c>
      <c r="D10" s="33">
        <f>D41</f>
        <v>5.5</v>
      </c>
      <c r="E10" s="33">
        <f>F41/2</f>
        <v>1.5</v>
      </c>
      <c r="F10" s="33">
        <v>1</v>
      </c>
      <c r="G10" s="33">
        <f>PRODUCT(C10:F10)</f>
        <v>8.25</v>
      </c>
      <c r="H10" s="17"/>
      <c r="I10" s="17"/>
      <c r="J10" s="17"/>
      <c r="K10" s="17"/>
      <c r="M10" s="33">
        <f>7</f>
        <v>7</v>
      </c>
      <c r="N10" s="33">
        <f>2</f>
        <v>2</v>
      </c>
      <c r="O10" s="33"/>
      <c r="P10" s="33">
        <f>PI()*M10*SQRT(M10^2+N10^2)</f>
        <v>160.09797821843054</v>
      </c>
    </row>
    <row r="11" spans="1:19" x14ac:dyDescent="0.25">
      <c r="A11" s="16"/>
      <c r="B11" s="32"/>
      <c r="C11" s="17">
        <v>1</v>
      </c>
      <c r="D11" s="33">
        <f>D42</f>
        <v>13</v>
      </c>
      <c r="E11" s="33">
        <f>E18</f>
        <v>1.5</v>
      </c>
      <c r="F11" s="33">
        <v>1</v>
      </c>
      <c r="G11" s="33">
        <f>PRODUCT(C11:F11)</f>
        <v>19.5</v>
      </c>
      <c r="H11" s="17"/>
      <c r="I11" s="17"/>
      <c r="J11" s="17"/>
      <c r="K11" s="17"/>
      <c r="M11" s="36"/>
      <c r="N11" s="36"/>
      <c r="O11" s="36"/>
      <c r="P11" s="36"/>
    </row>
    <row r="12" spans="1:19" x14ac:dyDescent="0.25">
      <c r="A12" s="16"/>
      <c r="B12" s="32"/>
      <c r="C12" s="17">
        <f>C19</f>
        <v>1</v>
      </c>
      <c r="D12" s="33">
        <f>D19</f>
        <v>5</v>
      </c>
      <c r="E12" s="33">
        <f>E19</f>
        <v>1.075</v>
      </c>
      <c r="F12" s="33">
        <v>0.6</v>
      </c>
      <c r="G12" s="33">
        <f>PRODUCT(C12:F12)</f>
        <v>3.2250000000000001</v>
      </c>
      <c r="H12" s="17"/>
      <c r="I12" s="17"/>
      <c r="J12" s="17"/>
      <c r="K12" s="17"/>
      <c r="M12" s="36"/>
      <c r="N12" s="36"/>
      <c r="O12" s="36"/>
      <c r="P12" s="36"/>
    </row>
    <row r="13" spans="1:19" ht="15" customHeight="1" x14ac:dyDescent="0.25">
      <c r="A13" s="2"/>
      <c r="B13" s="34" t="s">
        <v>17</v>
      </c>
      <c r="C13" s="3"/>
      <c r="D13" s="4"/>
      <c r="E13" s="5"/>
      <c r="F13" s="5"/>
      <c r="G13" s="6">
        <f>SUM(G10:G12)</f>
        <v>30.975000000000001</v>
      </c>
      <c r="H13" s="7" t="s">
        <v>18</v>
      </c>
      <c r="I13" s="6">
        <v>62.95</v>
      </c>
      <c r="J13" s="18">
        <f>G13*I13</f>
        <v>1949.8762500000003</v>
      </c>
      <c r="K13" s="5"/>
    </row>
    <row r="14" spans="1:19" x14ac:dyDescent="0.25">
      <c r="A14" s="16"/>
      <c r="B14" s="32" t="s">
        <v>24</v>
      </c>
      <c r="C14" s="17"/>
      <c r="D14" s="17"/>
      <c r="E14" s="17"/>
      <c r="F14" s="17"/>
      <c r="G14" s="17"/>
      <c r="H14" s="17"/>
      <c r="I14" s="17"/>
      <c r="J14" s="18">
        <f>0.13*G13*(18612)/360</f>
        <v>208.18297500000003</v>
      </c>
      <c r="K14" s="17"/>
    </row>
    <row r="15" spans="1:19" x14ac:dyDescent="0.25">
      <c r="A15" s="16"/>
      <c r="B15" s="17"/>
      <c r="C15" s="17"/>
      <c r="D15" s="17"/>
      <c r="E15" s="17"/>
      <c r="F15" s="17"/>
      <c r="G15" s="17"/>
      <c r="H15" s="17"/>
      <c r="I15" s="17"/>
      <c r="J15" s="17"/>
      <c r="K15" s="17"/>
    </row>
    <row r="16" spans="1:19" ht="94.5" x14ac:dyDescent="0.25">
      <c r="A16" s="16">
        <v>2</v>
      </c>
      <c r="B16" s="35" t="s">
        <v>31</v>
      </c>
      <c r="C16" s="17"/>
      <c r="D16" s="17"/>
      <c r="E16" s="17"/>
      <c r="F16" s="17"/>
      <c r="G16" s="17"/>
      <c r="H16" s="17"/>
      <c r="I16" s="17"/>
      <c r="J16" s="17"/>
      <c r="K16" s="17"/>
      <c r="R16" s="19">
        <f>3/0.15</f>
        <v>20</v>
      </c>
      <c r="S16" s="19">
        <v>0.3</v>
      </c>
    </row>
    <row r="17" spans="1:16" x14ac:dyDescent="0.25">
      <c r="A17" s="16"/>
      <c r="B17" s="32" t="str">
        <f>B10</f>
        <v>-for masonary wall</v>
      </c>
      <c r="C17" s="17">
        <v>1</v>
      </c>
      <c r="D17" s="33">
        <f>D41</f>
        <v>5.5</v>
      </c>
      <c r="E17" s="33">
        <f>E10</f>
        <v>1.5</v>
      </c>
      <c r="F17" s="33">
        <v>0.15</v>
      </c>
      <c r="G17" s="33">
        <f>PRODUCT(C17:F17)</f>
        <v>1.2375</v>
      </c>
      <c r="H17" s="17"/>
      <c r="I17" s="17"/>
      <c r="J17" s="17"/>
      <c r="K17" s="17"/>
      <c r="M17" s="33">
        <f>7</f>
        <v>7</v>
      </c>
      <c r="N17" s="33">
        <f>2</f>
        <v>2</v>
      </c>
      <c r="O17" s="33"/>
      <c r="P17" s="33">
        <f>PI()*M17*SQRT(M17^2+N17^2)</f>
        <v>160.09797821843054</v>
      </c>
    </row>
    <row r="18" spans="1:16" x14ac:dyDescent="0.25">
      <c r="A18" s="16"/>
      <c r="B18" s="32"/>
      <c r="C18" s="17">
        <v>1</v>
      </c>
      <c r="D18" s="33">
        <f>D42</f>
        <v>13</v>
      </c>
      <c r="E18" s="33">
        <f>E27</f>
        <v>1.5</v>
      </c>
      <c r="F18" s="33">
        <v>0.15</v>
      </c>
      <c r="G18" s="33">
        <f>PRODUCT(C18:F18)</f>
        <v>2.9249999999999998</v>
      </c>
      <c r="H18" s="17"/>
      <c r="I18" s="17"/>
      <c r="J18" s="17"/>
      <c r="K18" s="17"/>
      <c r="M18" s="36"/>
      <c r="N18" s="36"/>
      <c r="O18" s="36"/>
      <c r="P18" s="36"/>
    </row>
    <row r="19" spans="1:16" x14ac:dyDescent="0.25">
      <c r="A19" s="16"/>
      <c r="B19" s="32"/>
      <c r="C19" s="17">
        <f>C29</f>
        <v>1</v>
      </c>
      <c r="D19" s="33">
        <f>D29</f>
        <v>5</v>
      </c>
      <c r="E19" s="33">
        <f>E29</f>
        <v>1.075</v>
      </c>
      <c r="F19" s="33">
        <v>0.15</v>
      </c>
      <c r="G19" s="33">
        <f>PRODUCT(C19:F19)</f>
        <v>0.80625000000000002</v>
      </c>
      <c r="H19" s="17"/>
      <c r="I19" s="17"/>
      <c r="J19" s="17"/>
      <c r="K19" s="17"/>
      <c r="M19" s="36"/>
      <c r="N19" s="36"/>
      <c r="O19" s="36"/>
      <c r="P19" s="36"/>
    </row>
    <row r="20" spans="1:16" x14ac:dyDescent="0.25">
      <c r="A20" s="16"/>
      <c r="B20" s="32" t="s">
        <v>43</v>
      </c>
      <c r="C20" s="17">
        <v>1</v>
      </c>
      <c r="D20" s="33">
        <f>20*0.3</f>
        <v>6</v>
      </c>
      <c r="E20" s="33">
        <v>1.2</v>
      </c>
      <c r="F20" s="33">
        <v>0.15</v>
      </c>
      <c r="G20" s="33">
        <f>PRODUCT(C20:F20)</f>
        <v>1.0799999999999998</v>
      </c>
      <c r="H20" s="17"/>
      <c r="I20" s="17"/>
      <c r="J20" s="17"/>
      <c r="K20" s="17"/>
      <c r="M20" s="36"/>
      <c r="N20" s="36"/>
      <c r="O20" s="36"/>
      <c r="P20" s="36"/>
    </row>
    <row r="21" spans="1:16" ht="15" customHeight="1" x14ac:dyDescent="0.25">
      <c r="A21" s="2"/>
      <c r="B21" s="34" t="s">
        <v>17</v>
      </c>
      <c r="C21" s="3"/>
      <c r="D21" s="4"/>
      <c r="E21" s="5"/>
      <c r="F21" s="5"/>
      <c r="G21" s="6">
        <f>SUM(G17:G20)</f>
        <v>6.0487500000000001</v>
      </c>
      <c r="H21" s="7" t="s">
        <v>18</v>
      </c>
      <c r="I21" s="6">
        <v>4458.5200000000004</v>
      </c>
      <c r="J21" s="18">
        <f>G21*I21</f>
        <v>26968.472850000002</v>
      </c>
      <c r="K21" s="5"/>
    </row>
    <row r="22" spans="1:16" x14ac:dyDescent="0.25">
      <c r="A22" s="16"/>
      <c r="B22" s="32" t="s">
        <v>24</v>
      </c>
      <c r="C22" s="17"/>
      <c r="D22" s="17"/>
      <c r="E22" s="17"/>
      <c r="F22" s="17"/>
      <c r="G22" s="17"/>
      <c r="H22" s="17"/>
      <c r="I22" s="17"/>
      <c r="J22" s="18">
        <f>0.13*G21*(14817.6)/5</f>
        <v>2330.326908</v>
      </c>
      <c r="K22" s="17"/>
    </row>
    <row r="23" spans="1:16" x14ac:dyDescent="0.25">
      <c r="A23" s="16"/>
      <c r="B23" s="17"/>
      <c r="C23" s="17"/>
      <c r="D23" s="17"/>
      <c r="E23" s="17"/>
      <c r="F23" s="17"/>
      <c r="G23" s="17"/>
      <c r="H23" s="17"/>
      <c r="I23" s="17"/>
      <c r="J23" s="17"/>
      <c r="K23" s="17"/>
    </row>
    <row r="24" spans="1:16" ht="94.5" x14ac:dyDescent="0.25">
      <c r="A24" s="16">
        <v>3</v>
      </c>
      <c r="B24" s="35" t="s">
        <v>32</v>
      </c>
      <c r="C24" s="17"/>
      <c r="D24" s="17"/>
      <c r="E24" s="17"/>
      <c r="F24" s="17"/>
      <c r="G24" s="17"/>
      <c r="H24" s="17"/>
      <c r="I24" s="17"/>
      <c r="J24" s="17"/>
      <c r="K24" s="17"/>
    </row>
    <row r="25" spans="1:16" x14ac:dyDescent="0.25">
      <c r="A25" s="16"/>
      <c r="B25" s="32" t="str">
        <f>B17</f>
        <v>-for masonary wall</v>
      </c>
      <c r="C25" s="17">
        <v>1</v>
      </c>
      <c r="D25" s="33">
        <f>D41</f>
        <v>5.5</v>
      </c>
      <c r="E25" s="33">
        <f>E17</f>
        <v>1.5</v>
      </c>
      <c r="F25" s="33">
        <v>0.05</v>
      </c>
      <c r="G25" s="33">
        <f>PRODUCT(C25:F25)</f>
        <v>0.41250000000000003</v>
      </c>
      <c r="H25" s="17"/>
      <c r="I25" s="17"/>
      <c r="J25" s="17"/>
      <c r="K25" s="17"/>
      <c r="M25" s="33">
        <f>7</f>
        <v>7</v>
      </c>
      <c r="N25" s="33">
        <f>2</f>
        <v>2</v>
      </c>
      <c r="O25" s="33"/>
      <c r="P25" s="33">
        <f>PI()*M25*SQRT(M25^2+N25^2)</f>
        <v>160.09797821843054</v>
      </c>
    </row>
    <row r="26" spans="1:16" x14ac:dyDescent="0.25">
      <c r="A26" s="16"/>
      <c r="B26" s="32"/>
      <c r="C26" s="17">
        <v>1</v>
      </c>
      <c r="D26" s="33">
        <f>D25</f>
        <v>5.5</v>
      </c>
      <c r="E26" s="33">
        <v>0.45</v>
      </c>
      <c r="F26" s="33">
        <v>0.05</v>
      </c>
      <c r="G26" s="33">
        <f>PRODUCT(C26:F26)</f>
        <v>0.12375000000000001</v>
      </c>
      <c r="H26" s="17"/>
      <c r="I26" s="17"/>
      <c r="J26" s="17"/>
      <c r="K26" s="17"/>
      <c r="M26" s="36"/>
      <c r="N26" s="36"/>
      <c r="O26" s="36"/>
      <c r="P26" s="36"/>
    </row>
    <row r="27" spans="1:16" x14ac:dyDescent="0.25">
      <c r="A27" s="16"/>
      <c r="B27" s="32"/>
      <c r="C27" s="17">
        <v>1</v>
      </c>
      <c r="D27" s="33">
        <f>D42</f>
        <v>13</v>
      </c>
      <c r="E27" s="33">
        <f>3/2</f>
        <v>1.5</v>
      </c>
      <c r="F27" s="33">
        <v>0.05</v>
      </c>
      <c r="G27" s="33">
        <f t="shared" ref="G27:G31" si="0">PRODUCT(C27:F27)</f>
        <v>0.97500000000000009</v>
      </c>
      <c r="H27" s="17"/>
      <c r="I27" s="17"/>
      <c r="J27" s="17"/>
      <c r="K27" s="17"/>
      <c r="M27" s="36"/>
      <c r="N27" s="36"/>
      <c r="O27" s="36"/>
      <c r="P27" s="36"/>
    </row>
    <row r="28" spans="1:16" x14ac:dyDescent="0.25">
      <c r="A28" s="16"/>
      <c r="B28" s="32"/>
      <c r="C28" s="17">
        <v>1</v>
      </c>
      <c r="D28" s="33">
        <f>D27</f>
        <v>13</v>
      </c>
      <c r="E28" s="33">
        <v>0.45</v>
      </c>
      <c r="F28" s="33">
        <v>0.05</v>
      </c>
      <c r="G28" s="33">
        <f t="shared" si="0"/>
        <v>0.29250000000000004</v>
      </c>
      <c r="H28" s="17"/>
      <c r="I28" s="17"/>
      <c r="J28" s="17"/>
      <c r="K28" s="17"/>
      <c r="M28" s="36"/>
      <c r="N28" s="36"/>
      <c r="O28" s="36"/>
      <c r="P28" s="36"/>
    </row>
    <row r="29" spans="1:16" x14ac:dyDescent="0.25">
      <c r="A29" s="16"/>
      <c r="B29" s="32"/>
      <c r="C29" s="17">
        <f>C43</f>
        <v>1</v>
      </c>
      <c r="D29" s="33">
        <f>D43</f>
        <v>5</v>
      </c>
      <c r="E29" s="33">
        <f>F43/2</f>
        <v>1.075</v>
      </c>
      <c r="F29" s="33">
        <v>0.05</v>
      </c>
      <c r="G29" s="33">
        <f t="shared" si="0"/>
        <v>0.26874999999999999</v>
      </c>
      <c r="H29" s="17"/>
      <c r="I29" s="17"/>
      <c r="J29" s="17"/>
      <c r="K29" s="17"/>
      <c r="M29" s="36"/>
      <c r="N29" s="36"/>
      <c r="O29" s="36"/>
      <c r="P29" s="36"/>
    </row>
    <row r="30" spans="1:16" x14ac:dyDescent="0.25">
      <c r="A30" s="16"/>
      <c r="B30" s="32"/>
      <c r="C30" s="17">
        <f>C29</f>
        <v>1</v>
      </c>
      <c r="D30" s="33">
        <f>D29</f>
        <v>5</v>
      </c>
      <c r="E30" s="33">
        <v>0.45</v>
      </c>
      <c r="F30" s="33">
        <v>0.05</v>
      </c>
      <c r="G30" s="33">
        <f t="shared" si="0"/>
        <v>0.1125</v>
      </c>
      <c r="H30" s="17"/>
      <c r="I30" s="17"/>
      <c r="J30" s="17"/>
      <c r="K30" s="17"/>
      <c r="M30" s="36"/>
      <c r="N30" s="36"/>
      <c r="O30" s="36"/>
      <c r="P30" s="36"/>
    </row>
    <row r="31" spans="1:16" x14ac:dyDescent="0.25">
      <c r="A31" s="16"/>
      <c r="B31" s="32" t="str">
        <f>B20</f>
        <v>-for steps</v>
      </c>
      <c r="C31" s="17">
        <f>C20</f>
        <v>1</v>
      </c>
      <c r="D31" s="33">
        <f>D20</f>
        <v>6</v>
      </c>
      <c r="E31" s="33">
        <f>E20</f>
        <v>1.2</v>
      </c>
      <c r="F31" s="33">
        <v>7.4999999999999997E-2</v>
      </c>
      <c r="G31" s="33">
        <f t="shared" si="0"/>
        <v>0.53999999999999992</v>
      </c>
      <c r="H31" s="17"/>
      <c r="I31" s="17"/>
      <c r="J31" s="17"/>
      <c r="K31" s="17"/>
      <c r="M31" s="36"/>
      <c r="N31" s="36"/>
      <c r="O31" s="36"/>
      <c r="P31" s="36"/>
    </row>
    <row r="32" spans="1:16" x14ac:dyDescent="0.25">
      <c r="A32" s="16"/>
      <c r="B32" s="32"/>
      <c r="C32" s="37">
        <f>C44</f>
        <v>0.5</v>
      </c>
      <c r="D32" s="33">
        <f>D44</f>
        <v>6</v>
      </c>
      <c r="E32" s="33">
        <f>E44</f>
        <v>0.5</v>
      </c>
      <c r="F32" s="33">
        <v>0.05</v>
      </c>
      <c r="G32" s="33">
        <f t="shared" ref="G32" si="1">PRODUCT(C32:F32)</f>
        <v>7.5000000000000011E-2</v>
      </c>
      <c r="H32" s="17"/>
      <c r="I32" s="17"/>
      <c r="J32" s="17"/>
      <c r="K32" s="17"/>
      <c r="M32" s="36"/>
      <c r="N32" s="36"/>
      <c r="O32" s="36"/>
      <c r="P32" s="36"/>
    </row>
    <row r="33" spans="1:18" ht="15" customHeight="1" x14ac:dyDescent="0.25">
      <c r="A33" s="2"/>
      <c r="B33" s="34" t="s">
        <v>17</v>
      </c>
      <c r="C33" s="3"/>
      <c r="D33" s="4"/>
      <c r="E33" s="5"/>
      <c r="F33" s="5"/>
      <c r="G33" s="6">
        <f>SUM(G25:G32)</f>
        <v>2.8</v>
      </c>
      <c r="H33" s="7" t="s">
        <v>18</v>
      </c>
      <c r="I33" s="6">
        <v>10964.46</v>
      </c>
      <c r="J33" s="18">
        <f>G33*I33</f>
        <v>30700.487999999994</v>
      </c>
      <c r="K33" s="5"/>
    </row>
    <row r="34" spans="1:18" x14ac:dyDescent="0.25">
      <c r="A34" s="16"/>
      <c r="B34" s="32" t="s">
        <v>33</v>
      </c>
      <c r="C34" s="17"/>
      <c r="D34" s="17"/>
      <c r="E34" s="17"/>
      <c r="F34" s="17"/>
      <c r="G34" s="17"/>
      <c r="H34" s="17"/>
      <c r="I34" s="17"/>
      <c r="J34" s="18">
        <f>0.13*G33*(53818.03)/15</f>
        <v>1305.9841946666666</v>
      </c>
      <c r="K34" s="17"/>
    </row>
    <row r="35" spans="1:18" x14ac:dyDescent="0.25">
      <c r="A35" s="16"/>
      <c r="B35" s="32" t="s">
        <v>34</v>
      </c>
      <c r="C35" s="17"/>
      <c r="D35" s="17"/>
      <c r="E35" s="17"/>
      <c r="F35" s="17"/>
      <c r="G35" s="17"/>
      <c r="H35" s="17"/>
      <c r="I35" s="17"/>
      <c r="J35" s="18">
        <f>0.13*G33*(21432.6)/15</f>
        <v>520.09775999999999</v>
      </c>
      <c r="K35" s="17"/>
    </row>
    <row r="36" spans="1:18" x14ac:dyDescent="0.25">
      <c r="A36" s="16"/>
      <c r="B36" s="32" t="s">
        <v>35</v>
      </c>
      <c r="C36" s="17"/>
      <c r="D36" s="17"/>
      <c r="E36" s="17"/>
      <c r="F36" s="17"/>
      <c r="G36" s="17"/>
      <c r="H36" s="17"/>
      <c r="I36" s="17"/>
      <c r="J36" s="18">
        <f>0.13*G33*(25719.12+13573.98+4286.52)/15</f>
        <v>1057.5321119999999</v>
      </c>
      <c r="K36" s="17"/>
    </row>
    <row r="37" spans="1:18" x14ac:dyDescent="0.25">
      <c r="A37" s="16"/>
      <c r="B37" s="32" t="s">
        <v>36</v>
      </c>
      <c r="C37" s="17"/>
      <c r="D37" s="17"/>
      <c r="E37" s="17"/>
      <c r="F37" s="17"/>
      <c r="G37" s="17"/>
      <c r="H37" s="17"/>
      <c r="I37" s="17"/>
      <c r="J37" s="18">
        <f>0.13*G33*(6325.7)/15</f>
        <v>153.50365333333332</v>
      </c>
      <c r="K37" s="17"/>
    </row>
    <row r="38" spans="1:18" x14ac:dyDescent="0.25">
      <c r="A38" s="16"/>
      <c r="B38" s="32" t="s">
        <v>40</v>
      </c>
      <c r="C38" s="17"/>
      <c r="D38" s="17"/>
      <c r="E38" s="17"/>
      <c r="F38" s="17"/>
      <c r="G38" s="17"/>
      <c r="H38" s="17"/>
      <c r="I38" s="17"/>
      <c r="J38" s="18">
        <f>0.13*G33*(310)/5</f>
        <v>22.568000000000001</v>
      </c>
      <c r="K38" s="17"/>
    </row>
    <row r="39" spans="1:18" x14ac:dyDescent="0.25">
      <c r="A39" s="16"/>
      <c r="B39" s="17"/>
      <c r="C39" s="17"/>
      <c r="D39" s="17"/>
      <c r="E39" s="17"/>
      <c r="F39" s="17"/>
      <c r="G39" s="17"/>
      <c r="H39" s="17"/>
      <c r="I39" s="17"/>
      <c r="J39" s="17"/>
      <c r="K39" s="17"/>
    </row>
    <row r="40" spans="1:18" ht="110.25" x14ac:dyDescent="0.25">
      <c r="A40" s="16">
        <v>4</v>
      </c>
      <c r="B40" s="35" t="s">
        <v>37</v>
      </c>
      <c r="C40" s="17"/>
      <c r="D40" s="17"/>
      <c r="E40" s="17"/>
      <c r="F40" s="17"/>
      <c r="G40" s="17"/>
      <c r="H40" s="17"/>
      <c r="I40" s="17"/>
      <c r="J40" s="17"/>
      <c r="K40" s="17"/>
    </row>
    <row r="41" spans="1:18" x14ac:dyDescent="0.25">
      <c r="A41" s="16"/>
      <c r="B41" s="32" t="str">
        <f>B25</f>
        <v>-for masonary wall</v>
      </c>
      <c r="C41" s="17">
        <v>1</v>
      </c>
      <c r="D41" s="33">
        <v>5.5</v>
      </c>
      <c r="E41" s="33">
        <f>((F41/2)+0.45)/2</f>
        <v>0.97499999999999998</v>
      </c>
      <c r="F41" s="33">
        <v>3</v>
      </c>
      <c r="G41" s="33">
        <f>PRODUCT(C41:F41)</f>
        <v>16.087499999999999</v>
      </c>
      <c r="H41" s="17"/>
      <c r="I41" s="17"/>
      <c r="J41" s="17"/>
      <c r="K41" s="17"/>
      <c r="M41" s="33">
        <f>7</f>
        <v>7</v>
      </c>
      <c r="N41" s="33">
        <f>2</f>
        <v>2</v>
      </c>
      <c r="O41" s="33"/>
      <c r="P41" s="33">
        <f>PI()*M41*SQRT(M41^2+N41^2)</f>
        <v>160.09797821843054</v>
      </c>
    </row>
    <row r="42" spans="1:18" x14ac:dyDescent="0.25">
      <c r="A42" s="16"/>
      <c r="B42" s="32"/>
      <c r="C42" s="17">
        <v>1</v>
      </c>
      <c r="D42" s="33">
        <v>13</v>
      </c>
      <c r="E42" s="33">
        <f>((F42/2)+(0.45))/2</f>
        <v>0.97499999999999998</v>
      </c>
      <c r="F42" s="33">
        <v>3</v>
      </c>
      <c r="G42" s="33">
        <f>PRODUCT(C42:F42)</f>
        <v>38.024999999999999</v>
      </c>
      <c r="H42" s="17"/>
      <c r="I42" s="17"/>
      <c r="J42" s="17"/>
      <c r="K42" s="17"/>
      <c r="M42" s="36"/>
      <c r="N42" s="36"/>
      <c r="O42" s="36"/>
      <c r="P42" s="36"/>
      <c r="Q42" s="19">
        <f>E42*3.281</f>
        <v>3.1989749999999999</v>
      </c>
      <c r="R42" s="19">
        <f>F42*3.281</f>
        <v>9.843</v>
      </c>
    </row>
    <row r="43" spans="1:18" x14ac:dyDescent="0.25">
      <c r="A43" s="16"/>
      <c r="B43" s="32"/>
      <c r="C43" s="17">
        <v>1</v>
      </c>
      <c r="D43" s="33">
        <v>5</v>
      </c>
      <c r="E43" s="33">
        <f>((F43/2)+0.45)/2</f>
        <v>0.76249999999999996</v>
      </c>
      <c r="F43" s="33">
        <v>2.15</v>
      </c>
      <c r="G43" s="33">
        <f>PRODUCT(C43:F43)</f>
        <v>8.1968750000000004</v>
      </c>
      <c r="H43" s="17"/>
      <c r="I43" s="17"/>
      <c r="J43" s="17"/>
      <c r="K43" s="17"/>
      <c r="M43" s="36"/>
      <c r="N43" s="36"/>
      <c r="O43" s="36"/>
      <c r="P43" s="36"/>
    </row>
    <row r="44" spans="1:18" x14ac:dyDescent="0.25">
      <c r="A44" s="16"/>
      <c r="B44" s="32" t="str">
        <f>B31</f>
        <v>-for steps</v>
      </c>
      <c r="C44" s="37">
        <v>0.5</v>
      </c>
      <c r="D44" s="33">
        <f>0.3*20</f>
        <v>6</v>
      </c>
      <c r="E44" s="33">
        <v>0.5</v>
      </c>
      <c r="F44" s="33">
        <v>1.5</v>
      </c>
      <c r="G44" s="33">
        <f>PRODUCT(C44:F44)</f>
        <v>2.25</v>
      </c>
      <c r="H44" s="17"/>
      <c r="I44" s="17"/>
      <c r="J44" s="17"/>
      <c r="K44" s="17"/>
      <c r="M44" s="36"/>
      <c r="N44" s="36"/>
      <c r="O44" s="36"/>
      <c r="P44" s="36"/>
    </row>
    <row r="45" spans="1:18" ht="15" customHeight="1" x14ac:dyDescent="0.25">
      <c r="A45" s="2"/>
      <c r="B45" s="34" t="s">
        <v>17</v>
      </c>
      <c r="C45" s="3"/>
      <c r="D45" s="4"/>
      <c r="E45" s="5"/>
      <c r="F45" s="5"/>
      <c r="G45" s="6">
        <f>SUM(G41:G44)</f>
        <v>64.559374999999989</v>
      </c>
      <c r="H45" s="7" t="s">
        <v>18</v>
      </c>
      <c r="I45" s="6">
        <v>8987.83</v>
      </c>
      <c r="J45" s="18">
        <f>G45*I45</f>
        <v>580248.68740624993</v>
      </c>
      <c r="K45" s="5"/>
    </row>
    <row r="46" spans="1:18" x14ac:dyDescent="0.25">
      <c r="A46" s="16"/>
      <c r="B46" s="32" t="s">
        <v>33</v>
      </c>
      <c r="C46" s="17"/>
      <c r="D46" s="17"/>
      <c r="E46" s="17"/>
      <c r="F46" s="17"/>
      <c r="G46" s="17"/>
      <c r="H46" s="17"/>
      <c r="I46" s="17"/>
      <c r="J46" s="18">
        <f>0.13*G45*(5863.95)/5</f>
        <v>9842.8966228124973</v>
      </c>
      <c r="K46" s="17"/>
    </row>
    <row r="47" spans="1:18" x14ac:dyDescent="0.25">
      <c r="A47" s="16"/>
      <c r="B47" s="32" t="s">
        <v>34</v>
      </c>
      <c r="C47" s="17"/>
      <c r="D47" s="17"/>
      <c r="E47" s="17"/>
      <c r="F47" s="17"/>
      <c r="G47" s="17"/>
      <c r="H47" s="17"/>
      <c r="I47" s="17"/>
      <c r="J47" s="18">
        <f>0.13*G45*(6604.416)/5</f>
        <v>11085.801199199999</v>
      </c>
      <c r="K47" s="17"/>
    </row>
    <row r="48" spans="1:18" x14ac:dyDescent="0.25">
      <c r="A48" s="16"/>
      <c r="B48" s="32" t="s">
        <v>38</v>
      </c>
      <c r="C48" s="17"/>
      <c r="D48" s="17"/>
      <c r="E48" s="17"/>
      <c r="F48" s="17"/>
      <c r="G48" s="17"/>
      <c r="H48" s="17"/>
      <c r="I48" s="17"/>
      <c r="J48" s="18">
        <f>0.13*G45*(14808.78)/5</f>
        <v>24857.185114124997</v>
      </c>
      <c r="K48" s="17"/>
    </row>
    <row r="49" spans="1:19" x14ac:dyDescent="0.25">
      <c r="A49" s="16"/>
      <c r="B49" s="32" t="s">
        <v>40</v>
      </c>
      <c r="C49" s="17"/>
      <c r="D49" s="17"/>
      <c r="E49" s="17"/>
      <c r="F49" s="17"/>
      <c r="G49" s="17"/>
      <c r="H49" s="17"/>
      <c r="I49" s="17"/>
      <c r="J49" s="18">
        <f>0.13*G45*(310)/5</f>
        <v>520.34856249999996</v>
      </c>
      <c r="K49" s="17"/>
    </row>
    <row r="50" spans="1:19" x14ac:dyDescent="0.25">
      <c r="A50" s="16"/>
      <c r="B50" s="17"/>
      <c r="C50" s="17"/>
      <c r="D50" s="17"/>
      <c r="E50" s="17"/>
      <c r="F50" s="17"/>
      <c r="G50" s="17"/>
      <c r="H50" s="17"/>
      <c r="I50" s="17"/>
      <c r="J50" s="17"/>
      <c r="K50" s="17"/>
    </row>
    <row r="51" spans="1:19" ht="15" customHeight="1" x14ac:dyDescent="0.25">
      <c r="A51" s="2">
        <v>5</v>
      </c>
      <c r="B51" s="1" t="s">
        <v>19</v>
      </c>
      <c r="C51" s="3">
        <v>1</v>
      </c>
      <c r="D51" s="4"/>
      <c r="E51" s="5"/>
      <c r="F51" s="5"/>
      <c r="G51" s="7">
        <f t="shared" ref="G51" si="2">PRODUCT(C51:F51)</f>
        <v>1</v>
      </c>
      <c r="H51" s="7" t="s">
        <v>20</v>
      </c>
      <c r="I51" s="6">
        <v>500</v>
      </c>
      <c r="J51" s="7">
        <f>G51*I51</f>
        <v>500</v>
      </c>
      <c r="K51" s="5"/>
    </row>
    <row r="52" spans="1:19" x14ac:dyDescent="0.25">
      <c r="A52" s="2"/>
      <c r="B52" s="8"/>
      <c r="C52" s="3"/>
      <c r="D52" s="4"/>
      <c r="E52" s="5"/>
      <c r="F52" s="5"/>
      <c r="G52" s="6"/>
      <c r="H52" s="7"/>
      <c r="I52" s="6"/>
      <c r="J52" s="18"/>
      <c r="K52" s="5"/>
    </row>
    <row r="53" spans="1:19" x14ac:dyDescent="0.25">
      <c r="A53" s="21"/>
      <c r="B53" s="22" t="s">
        <v>22</v>
      </c>
      <c r="C53" s="23"/>
      <c r="D53" s="24"/>
      <c r="E53" s="24"/>
      <c r="F53" s="24"/>
      <c r="G53" s="18"/>
      <c r="H53" s="18"/>
      <c r="I53" s="18"/>
      <c r="J53" s="18">
        <f>SUM(J9:J51)</f>
        <v>692271.9516078874</v>
      </c>
      <c r="K53" s="25"/>
    </row>
    <row r="54" spans="1:19" x14ac:dyDescent="0.25">
      <c r="M54" s="20"/>
      <c r="N54" s="20"/>
      <c r="O54" s="20"/>
      <c r="P54" s="20"/>
      <c r="Q54" s="20"/>
      <c r="R54" s="20"/>
      <c r="S54" s="20"/>
    </row>
    <row r="55" spans="1:19" s="20" customFormat="1" x14ac:dyDescent="0.25">
      <c r="A55" s="26"/>
      <c r="B55" s="27" t="s">
        <v>21</v>
      </c>
      <c r="C55" s="80">
        <f>J53</f>
        <v>692271.9516078874</v>
      </c>
      <c r="D55" s="81"/>
      <c r="E55" s="9">
        <v>100</v>
      </c>
      <c r="F55" s="26"/>
      <c r="G55" s="28"/>
      <c r="H55" s="26"/>
      <c r="I55" s="29"/>
      <c r="J55" s="30"/>
      <c r="K55" s="31"/>
      <c r="M55" s="19"/>
      <c r="N55" s="19"/>
      <c r="O55" s="19"/>
      <c r="P55" s="19"/>
      <c r="Q55" s="19"/>
      <c r="R55" s="19"/>
      <c r="S55" s="19"/>
    </row>
    <row r="56" spans="1:19" x14ac:dyDescent="0.25">
      <c r="B56" s="27" t="s">
        <v>25</v>
      </c>
      <c r="C56" s="84">
        <v>600000</v>
      </c>
      <c r="D56" s="85"/>
      <c r="E56" s="9"/>
    </row>
    <row r="57" spans="1:19" x14ac:dyDescent="0.25">
      <c r="B57" s="27" t="s">
        <v>26</v>
      </c>
      <c r="C57" s="84">
        <f>C56-C59-C60</f>
        <v>570000</v>
      </c>
      <c r="D57" s="85"/>
      <c r="E57" s="9">
        <f>C57/C55*100</f>
        <v>82.337584048595986</v>
      </c>
    </row>
    <row r="58" spans="1:19" x14ac:dyDescent="0.25">
      <c r="B58" s="27" t="s">
        <v>41</v>
      </c>
      <c r="C58" s="86">
        <f>C55-C57</f>
        <v>122271.9516078874</v>
      </c>
      <c r="D58" s="86"/>
      <c r="E58" s="9">
        <f>100-E57</f>
        <v>17.662415951404014</v>
      </c>
    </row>
    <row r="59" spans="1:19" x14ac:dyDescent="0.25">
      <c r="B59" s="27" t="s">
        <v>27</v>
      </c>
      <c r="C59" s="80">
        <f>C56*0.03</f>
        <v>18000</v>
      </c>
      <c r="D59" s="81"/>
      <c r="E59" s="9">
        <v>3</v>
      </c>
    </row>
    <row r="60" spans="1:19" x14ac:dyDescent="0.25">
      <c r="B60" s="27" t="s">
        <v>28</v>
      </c>
      <c r="C60" s="80">
        <f>C56*0.02</f>
        <v>12000</v>
      </c>
      <c r="D60" s="81"/>
      <c r="E60" s="9">
        <v>2</v>
      </c>
    </row>
  </sheetData>
  <mergeCells count="15">
    <mergeCell ref="C59:D59"/>
    <mergeCell ref="C60:D60"/>
    <mergeCell ref="A7:F7"/>
    <mergeCell ref="H7:K7"/>
    <mergeCell ref="C55:D55"/>
    <mergeCell ref="C56:D56"/>
    <mergeCell ref="C57:D57"/>
    <mergeCell ref="C58:D58"/>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9"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FB56-BF34-46CB-8637-C502539815AC}">
  <dimension ref="A1:S60"/>
  <sheetViews>
    <sheetView view="pageBreakPreview" topLeftCell="A40" zoomScale="95" zoomScaleNormal="90" zoomScaleSheetLayoutView="95" workbookViewId="0">
      <selection activeCell="K9" sqref="K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9" x14ac:dyDescent="0.25">
      <c r="A1" s="76" t="s">
        <v>0</v>
      </c>
      <c r="B1" s="76"/>
      <c r="C1" s="76"/>
      <c r="D1" s="76"/>
      <c r="E1" s="76"/>
      <c r="F1" s="76"/>
      <c r="G1" s="76"/>
      <c r="H1" s="76"/>
      <c r="I1" s="76"/>
      <c r="J1" s="76"/>
      <c r="K1" s="76"/>
    </row>
    <row r="2" spans="1:19" ht="22.5" x14ac:dyDescent="0.25">
      <c r="A2" s="77" t="s">
        <v>1</v>
      </c>
      <c r="B2" s="77"/>
      <c r="C2" s="77"/>
      <c r="D2" s="77"/>
      <c r="E2" s="77"/>
      <c r="F2" s="77"/>
      <c r="G2" s="77"/>
      <c r="H2" s="77"/>
      <c r="I2" s="77"/>
      <c r="J2" s="77"/>
      <c r="K2" s="77"/>
    </row>
    <row r="3" spans="1:19" x14ac:dyDescent="0.25">
      <c r="A3" s="78" t="s">
        <v>2</v>
      </c>
      <c r="B3" s="78"/>
      <c r="C3" s="78"/>
      <c r="D3" s="78"/>
      <c r="E3" s="78"/>
      <c r="F3" s="78"/>
      <c r="G3" s="78"/>
      <c r="H3" s="78"/>
      <c r="I3" s="78"/>
      <c r="J3" s="78"/>
      <c r="K3" s="78"/>
    </row>
    <row r="4" spans="1:19" x14ac:dyDescent="0.25">
      <c r="A4" s="78" t="s">
        <v>3</v>
      </c>
      <c r="B4" s="78"/>
      <c r="C4" s="78"/>
      <c r="D4" s="78"/>
      <c r="E4" s="78"/>
      <c r="F4" s="78"/>
      <c r="G4" s="78"/>
      <c r="H4" s="78"/>
      <c r="I4" s="78"/>
      <c r="J4" s="78"/>
      <c r="K4" s="78"/>
    </row>
    <row r="5" spans="1:19" ht="18.75" x14ac:dyDescent="0.3">
      <c r="A5" s="79" t="s">
        <v>4</v>
      </c>
      <c r="B5" s="79"/>
      <c r="C5" s="79"/>
      <c r="D5" s="79"/>
      <c r="E5" s="79"/>
      <c r="F5" s="79"/>
      <c r="G5" s="79"/>
      <c r="H5" s="79"/>
      <c r="I5" s="79"/>
      <c r="J5" s="79"/>
      <c r="K5" s="79"/>
    </row>
    <row r="6" spans="1:19" ht="15.75" x14ac:dyDescent="0.25">
      <c r="A6" s="66" t="s">
        <v>42</v>
      </c>
      <c r="B6" s="66"/>
      <c r="C6" s="66"/>
      <c r="D6" s="66"/>
      <c r="E6" s="66"/>
      <c r="F6" s="66"/>
      <c r="G6" s="10"/>
      <c r="H6" s="75" t="s">
        <v>29</v>
      </c>
      <c r="I6" s="75"/>
      <c r="J6" s="75"/>
      <c r="K6" s="75"/>
    </row>
    <row r="7" spans="1:19" ht="15.75" x14ac:dyDescent="0.25">
      <c r="A7" s="82" t="s">
        <v>5</v>
      </c>
      <c r="B7" s="82"/>
      <c r="C7" s="82"/>
      <c r="D7" s="82"/>
      <c r="E7" s="82"/>
      <c r="F7" s="82"/>
      <c r="G7" s="11"/>
      <c r="H7" s="83" t="s">
        <v>23</v>
      </c>
      <c r="I7" s="83"/>
      <c r="J7" s="83"/>
      <c r="K7" s="83"/>
    </row>
    <row r="8" spans="1:19" ht="15.75" x14ac:dyDescent="0.25">
      <c r="A8" s="12" t="s">
        <v>6</v>
      </c>
      <c r="B8" s="13" t="s">
        <v>7</v>
      </c>
      <c r="C8" s="12" t="s">
        <v>8</v>
      </c>
      <c r="D8" s="14" t="s">
        <v>9</v>
      </c>
      <c r="E8" s="14" t="s">
        <v>10</v>
      </c>
      <c r="F8" s="14" t="s">
        <v>11</v>
      </c>
      <c r="G8" s="14" t="s">
        <v>12</v>
      </c>
      <c r="H8" s="12" t="s">
        <v>13</v>
      </c>
      <c r="I8" s="14" t="s">
        <v>14</v>
      </c>
      <c r="J8" s="14" t="s">
        <v>15</v>
      </c>
      <c r="K8" s="15" t="s">
        <v>16</v>
      </c>
    </row>
    <row r="9" spans="1:19" ht="188.25" customHeight="1" x14ac:dyDescent="0.25">
      <c r="A9" s="16">
        <v>1</v>
      </c>
      <c r="B9" s="35" t="s">
        <v>39</v>
      </c>
      <c r="C9" s="17"/>
      <c r="D9" s="17"/>
      <c r="E9" s="17"/>
      <c r="F9" s="17"/>
      <c r="G9" s="17"/>
      <c r="H9" s="17"/>
      <c r="I9" s="17"/>
      <c r="J9" s="17"/>
      <c r="K9" s="17"/>
    </row>
    <row r="10" spans="1:19" x14ac:dyDescent="0.25">
      <c r="A10" s="16"/>
      <c r="B10" s="32" t="s">
        <v>30</v>
      </c>
      <c r="C10" s="17">
        <v>1</v>
      </c>
      <c r="D10" s="33">
        <f>D41</f>
        <v>5.5</v>
      </c>
      <c r="E10" s="33">
        <f>F41/2</f>
        <v>1.5</v>
      </c>
      <c r="F10" s="33">
        <v>1</v>
      </c>
      <c r="G10" s="33">
        <f>PRODUCT(C10:F10)</f>
        <v>8.25</v>
      </c>
      <c r="H10" s="17"/>
      <c r="I10" s="17"/>
      <c r="J10" s="17"/>
      <c r="K10" s="17"/>
      <c r="M10" s="33">
        <f>7</f>
        <v>7</v>
      </c>
      <c r="N10" s="33">
        <f>2</f>
        <v>2</v>
      </c>
      <c r="O10" s="33"/>
      <c r="P10" s="33">
        <f>PI()*M10*SQRT(M10^2+N10^2)</f>
        <v>160.09797821843054</v>
      </c>
    </row>
    <row r="11" spans="1:19" x14ac:dyDescent="0.25">
      <c r="A11" s="16"/>
      <c r="B11" s="32"/>
      <c r="C11" s="17">
        <v>1</v>
      </c>
      <c r="D11" s="33">
        <f>D42</f>
        <v>13</v>
      </c>
      <c r="E11" s="33">
        <f>E18</f>
        <v>1.5</v>
      </c>
      <c r="F11" s="33">
        <v>1</v>
      </c>
      <c r="G11" s="33">
        <f>PRODUCT(C11:F11)</f>
        <v>19.5</v>
      </c>
      <c r="H11" s="17"/>
      <c r="I11" s="17"/>
      <c r="J11" s="17"/>
      <c r="K11" s="17"/>
      <c r="M11" s="36"/>
      <c r="N11" s="36"/>
      <c r="O11" s="36"/>
      <c r="P11" s="36"/>
    </row>
    <row r="12" spans="1:19" x14ac:dyDescent="0.25">
      <c r="A12" s="16"/>
      <c r="B12" s="32"/>
      <c r="C12" s="17">
        <f>C19</f>
        <v>1</v>
      </c>
      <c r="D12" s="33">
        <f>D19</f>
        <v>5</v>
      </c>
      <c r="E12" s="33">
        <f>E19</f>
        <v>1.075</v>
      </c>
      <c r="F12" s="33">
        <v>0.6</v>
      </c>
      <c r="G12" s="33">
        <f>PRODUCT(C12:F12)</f>
        <v>3.2250000000000001</v>
      </c>
      <c r="H12" s="17"/>
      <c r="I12" s="17"/>
      <c r="J12" s="17"/>
      <c r="K12" s="17"/>
      <c r="M12" s="36"/>
      <c r="N12" s="36"/>
      <c r="O12" s="36"/>
      <c r="P12" s="36"/>
    </row>
    <row r="13" spans="1:19" ht="15" customHeight="1" x14ac:dyDescent="0.25">
      <c r="A13" s="2"/>
      <c r="B13" s="34" t="s">
        <v>17</v>
      </c>
      <c r="C13" s="3"/>
      <c r="D13" s="4"/>
      <c r="E13" s="5"/>
      <c r="F13" s="5"/>
      <c r="G13" s="6">
        <f>SUM(G10:G12)</f>
        <v>30.975000000000001</v>
      </c>
      <c r="H13" s="7" t="s">
        <v>18</v>
      </c>
      <c r="I13" s="6">
        <v>62.95</v>
      </c>
      <c r="J13" s="18">
        <f>G13*I13</f>
        <v>1949.8762500000003</v>
      </c>
      <c r="K13" s="5"/>
    </row>
    <row r="14" spans="1:19" hidden="1" x14ac:dyDescent="0.25">
      <c r="A14" s="16"/>
      <c r="B14" s="32" t="s">
        <v>24</v>
      </c>
      <c r="C14" s="17"/>
      <c r="D14" s="17"/>
      <c r="E14" s="17"/>
      <c r="F14" s="17"/>
      <c r="G14" s="17"/>
      <c r="H14" s="17"/>
      <c r="I14" s="17"/>
      <c r="J14" s="18">
        <f>0.13*G13*(18612)/360</f>
        <v>208.18297500000003</v>
      </c>
      <c r="K14" s="17"/>
    </row>
    <row r="15" spans="1:19" x14ac:dyDescent="0.25">
      <c r="A15" s="16"/>
      <c r="B15" s="17"/>
      <c r="C15" s="17"/>
      <c r="D15" s="17"/>
      <c r="E15" s="17"/>
      <c r="F15" s="17"/>
      <c r="G15" s="17"/>
      <c r="H15" s="17"/>
      <c r="I15" s="17"/>
      <c r="J15" s="17"/>
      <c r="K15" s="17"/>
    </row>
    <row r="16" spans="1:19" ht="94.5" x14ac:dyDescent="0.25">
      <c r="A16" s="16">
        <v>2</v>
      </c>
      <c r="B16" s="35" t="s">
        <v>31</v>
      </c>
      <c r="C16" s="17"/>
      <c r="D16" s="17"/>
      <c r="E16" s="17"/>
      <c r="F16" s="17"/>
      <c r="G16" s="17"/>
      <c r="H16" s="17"/>
      <c r="I16" s="17"/>
      <c r="J16" s="17"/>
      <c r="K16" s="17"/>
      <c r="R16" s="19">
        <f>3/0.15</f>
        <v>20</v>
      </c>
      <c r="S16" s="19">
        <v>0.3</v>
      </c>
    </row>
    <row r="17" spans="1:16" x14ac:dyDescent="0.25">
      <c r="A17" s="16"/>
      <c r="B17" s="32" t="str">
        <f>B10</f>
        <v>-for masonary wall</v>
      </c>
      <c r="C17" s="17">
        <v>1</v>
      </c>
      <c r="D17" s="33">
        <f>D41</f>
        <v>5.5</v>
      </c>
      <c r="E17" s="33">
        <f>E10</f>
        <v>1.5</v>
      </c>
      <c r="F17" s="33">
        <v>0.15</v>
      </c>
      <c r="G17" s="33">
        <f>PRODUCT(C17:F17)</f>
        <v>1.2375</v>
      </c>
      <c r="H17" s="17"/>
      <c r="I17" s="17"/>
      <c r="J17" s="17"/>
      <c r="K17" s="17"/>
      <c r="M17" s="33">
        <f>7</f>
        <v>7</v>
      </c>
      <c r="N17" s="33">
        <f>2</f>
        <v>2</v>
      </c>
      <c r="O17" s="33"/>
      <c r="P17" s="33">
        <f>PI()*M17*SQRT(M17^2+N17^2)</f>
        <v>160.09797821843054</v>
      </c>
    </row>
    <row r="18" spans="1:16" x14ac:dyDescent="0.25">
      <c r="A18" s="16"/>
      <c r="B18" s="32"/>
      <c r="C18" s="17">
        <v>1</v>
      </c>
      <c r="D18" s="33">
        <f>D42</f>
        <v>13</v>
      </c>
      <c r="E18" s="33">
        <f>E27</f>
        <v>1.5</v>
      </c>
      <c r="F18" s="33">
        <v>0.15</v>
      </c>
      <c r="G18" s="33">
        <f>PRODUCT(C18:F18)</f>
        <v>2.9249999999999998</v>
      </c>
      <c r="H18" s="17"/>
      <c r="I18" s="17"/>
      <c r="J18" s="17"/>
      <c r="K18" s="17"/>
      <c r="M18" s="36"/>
      <c r="N18" s="36"/>
      <c r="O18" s="36"/>
      <c r="P18" s="36"/>
    </row>
    <row r="19" spans="1:16" x14ac:dyDescent="0.25">
      <c r="A19" s="16"/>
      <c r="B19" s="32"/>
      <c r="C19" s="17">
        <f>C29</f>
        <v>1</v>
      </c>
      <c r="D19" s="33">
        <f>D29</f>
        <v>5</v>
      </c>
      <c r="E19" s="33">
        <f>E29</f>
        <v>1.075</v>
      </c>
      <c r="F19" s="33">
        <v>0.15</v>
      </c>
      <c r="G19" s="33">
        <f>PRODUCT(C19:F19)</f>
        <v>0.80625000000000002</v>
      </c>
      <c r="H19" s="17"/>
      <c r="I19" s="17"/>
      <c r="J19" s="17"/>
      <c r="K19" s="17"/>
      <c r="M19" s="36"/>
      <c r="N19" s="36"/>
      <c r="O19" s="36"/>
      <c r="P19" s="36"/>
    </row>
    <row r="20" spans="1:16" x14ac:dyDescent="0.25">
      <c r="A20" s="16"/>
      <c r="B20" s="32" t="s">
        <v>43</v>
      </c>
      <c r="C20" s="17">
        <v>1</v>
      </c>
      <c r="D20" s="33">
        <f>20*0.3</f>
        <v>6</v>
      </c>
      <c r="E20" s="33">
        <v>1.2</v>
      </c>
      <c r="F20" s="33">
        <v>0.15</v>
      </c>
      <c r="G20" s="33">
        <f>PRODUCT(C20:F20)</f>
        <v>1.0799999999999998</v>
      </c>
      <c r="H20" s="17"/>
      <c r="I20" s="17"/>
      <c r="J20" s="17"/>
      <c r="K20" s="17"/>
      <c r="M20" s="36"/>
      <c r="N20" s="36"/>
      <c r="O20" s="36"/>
      <c r="P20" s="36"/>
    </row>
    <row r="21" spans="1:16" ht="15" customHeight="1" x14ac:dyDescent="0.25">
      <c r="A21" s="2"/>
      <c r="B21" s="34" t="s">
        <v>17</v>
      </c>
      <c r="C21" s="3"/>
      <c r="D21" s="4"/>
      <c r="E21" s="5"/>
      <c r="F21" s="5"/>
      <c r="G21" s="6">
        <f>SUM(G17:G20)</f>
        <v>6.0487500000000001</v>
      </c>
      <c r="H21" s="7" t="s">
        <v>18</v>
      </c>
      <c r="I21" s="6">
        <v>4458.5200000000004</v>
      </c>
      <c r="J21" s="18">
        <f>G21*I21</f>
        <v>26968.472850000002</v>
      </c>
      <c r="K21" s="5"/>
    </row>
    <row r="22" spans="1:16" hidden="1" x14ac:dyDescent="0.25">
      <c r="A22" s="16"/>
      <c r="B22" s="32" t="s">
        <v>24</v>
      </c>
      <c r="C22" s="17"/>
      <c r="D22" s="17"/>
      <c r="E22" s="17"/>
      <c r="F22" s="17"/>
      <c r="G22" s="17"/>
      <c r="H22" s="17"/>
      <c r="I22" s="17"/>
      <c r="J22" s="18">
        <f>0.13*G21*(14817.6)/5</f>
        <v>2330.326908</v>
      </c>
      <c r="K22" s="17"/>
    </row>
    <row r="23" spans="1:16" x14ac:dyDescent="0.25">
      <c r="A23" s="16"/>
      <c r="B23" s="17"/>
      <c r="C23" s="17"/>
      <c r="D23" s="17"/>
      <c r="E23" s="17"/>
      <c r="F23" s="17"/>
      <c r="G23" s="17"/>
      <c r="H23" s="17"/>
      <c r="I23" s="17"/>
      <c r="J23" s="17"/>
      <c r="K23" s="17"/>
    </row>
    <row r="24" spans="1:16" ht="78.75" x14ac:dyDescent="0.25">
      <c r="A24" s="16">
        <v>3</v>
      </c>
      <c r="B24" s="35" t="s">
        <v>32</v>
      </c>
      <c r="C24" s="17"/>
      <c r="D24" s="17"/>
      <c r="E24" s="17"/>
      <c r="F24" s="17"/>
      <c r="G24" s="17"/>
      <c r="H24" s="17"/>
      <c r="I24" s="17"/>
      <c r="J24" s="17"/>
      <c r="K24" s="17"/>
    </row>
    <row r="25" spans="1:16" x14ac:dyDescent="0.25">
      <c r="A25" s="16"/>
      <c r="B25" s="32" t="str">
        <f>B17</f>
        <v>-for masonary wall</v>
      </c>
      <c r="C25" s="17">
        <v>1</v>
      </c>
      <c r="D25" s="33">
        <f>D41</f>
        <v>5.5</v>
      </c>
      <c r="E25" s="33">
        <f>E17</f>
        <v>1.5</v>
      </c>
      <c r="F25" s="33">
        <v>0.05</v>
      </c>
      <c r="G25" s="33">
        <f>PRODUCT(C25:F25)</f>
        <v>0.41250000000000003</v>
      </c>
      <c r="H25" s="17"/>
      <c r="I25" s="17"/>
      <c r="J25" s="17"/>
      <c r="K25" s="17"/>
      <c r="M25" s="33">
        <f>7</f>
        <v>7</v>
      </c>
      <c r="N25" s="33">
        <f>2</f>
        <v>2</v>
      </c>
      <c r="O25" s="33"/>
      <c r="P25" s="33">
        <f>PI()*M25*SQRT(M25^2+N25^2)</f>
        <v>160.09797821843054</v>
      </c>
    </row>
    <row r="26" spans="1:16" x14ac:dyDescent="0.25">
      <c r="A26" s="16"/>
      <c r="B26" s="32"/>
      <c r="C26" s="17">
        <v>1</v>
      </c>
      <c r="D26" s="33">
        <f>D25</f>
        <v>5.5</v>
      </c>
      <c r="E26" s="33">
        <v>0.45</v>
      </c>
      <c r="F26" s="33">
        <v>0.05</v>
      </c>
      <c r="G26" s="33">
        <f>PRODUCT(C26:F26)</f>
        <v>0.12375000000000001</v>
      </c>
      <c r="H26" s="17"/>
      <c r="I26" s="17"/>
      <c r="J26" s="17"/>
      <c r="K26" s="17"/>
      <c r="M26" s="36"/>
      <c r="N26" s="36"/>
      <c r="O26" s="36"/>
      <c r="P26" s="36"/>
    </row>
    <row r="27" spans="1:16" x14ac:dyDescent="0.25">
      <c r="A27" s="16"/>
      <c r="B27" s="32"/>
      <c r="C27" s="17">
        <v>1</v>
      </c>
      <c r="D27" s="33">
        <f>D42</f>
        <v>13</v>
      </c>
      <c r="E27" s="33">
        <f>3/2</f>
        <v>1.5</v>
      </c>
      <c r="F27" s="33">
        <v>0.05</v>
      </c>
      <c r="G27" s="33">
        <f t="shared" ref="G27:G32" si="0">PRODUCT(C27:F27)</f>
        <v>0.97500000000000009</v>
      </c>
      <c r="H27" s="17"/>
      <c r="I27" s="17"/>
      <c r="J27" s="17"/>
      <c r="K27" s="17"/>
      <c r="M27" s="36"/>
      <c r="N27" s="36"/>
      <c r="O27" s="36"/>
      <c r="P27" s="36"/>
    </row>
    <row r="28" spans="1:16" x14ac:dyDescent="0.25">
      <c r="A28" s="16"/>
      <c r="B28" s="32"/>
      <c r="C28" s="17">
        <v>1</v>
      </c>
      <c r="D28" s="33">
        <f>D27</f>
        <v>13</v>
      </c>
      <c r="E28" s="33">
        <v>0.45</v>
      </c>
      <c r="F28" s="33">
        <v>0.05</v>
      </c>
      <c r="G28" s="33">
        <f t="shared" si="0"/>
        <v>0.29250000000000004</v>
      </c>
      <c r="H28" s="17"/>
      <c r="I28" s="17"/>
      <c r="J28" s="17"/>
      <c r="K28" s="17"/>
      <c r="M28" s="36"/>
      <c r="N28" s="36"/>
      <c r="O28" s="36"/>
      <c r="P28" s="36"/>
    </row>
    <row r="29" spans="1:16" x14ac:dyDescent="0.25">
      <c r="A29" s="16"/>
      <c r="B29" s="32"/>
      <c r="C29" s="17">
        <f>C43</f>
        <v>1</v>
      </c>
      <c r="D29" s="33">
        <f>D43</f>
        <v>5</v>
      </c>
      <c r="E29" s="33">
        <f>F43/2</f>
        <v>1.075</v>
      </c>
      <c r="F29" s="33">
        <v>0.05</v>
      </c>
      <c r="G29" s="33">
        <f t="shared" si="0"/>
        <v>0.26874999999999999</v>
      </c>
      <c r="H29" s="17"/>
      <c r="I29" s="17"/>
      <c r="J29" s="17"/>
      <c r="K29" s="17"/>
      <c r="M29" s="36"/>
      <c r="N29" s="36"/>
      <c r="O29" s="36"/>
      <c r="P29" s="36"/>
    </row>
    <row r="30" spans="1:16" x14ac:dyDescent="0.25">
      <c r="A30" s="16"/>
      <c r="B30" s="32"/>
      <c r="C30" s="17">
        <f>C29</f>
        <v>1</v>
      </c>
      <c r="D30" s="33">
        <f>D29</f>
        <v>5</v>
      </c>
      <c r="E30" s="33">
        <v>0.45</v>
      </c>
      <c r="F30" s="33">
        <v>0.05</v>
      </c>
      <c r="G30" s="33">
        <f t="shared" si="0"/>
        <v>0.1125</v>
      </c>
      <c r="H30" s="17"/>
      <c r="I30" s="17"/>
      <c r="J30" s="17"/>
      <c r="K30" s="17"/>
      <c r="M30" s="36"/>
      <c r="N30" s="36"/>
      <c r="O30" s="36"/>
      <c r="P30" s="36"/>
    </row>
    <row r="31" spans="1:16" x14ac:dyDescent="0.25">
      <c r="A31" s="16"/>
      <c r="B31" s="32" t="str">
        <f>B20</f>
        <v>-for steps</v>
      </c>
      <c r="C31" s="17">
        <f>C20</f>
        <v>1</v>
      </c>
      <c r="D31" s="33">
        <f>D20</f>
        <v>6</v>
      </c>
      <c r="E31" s="33">
        <f>E20</f>
        <v>1.2</v>
      </c>
      <c r="F31" s="33">
        <v>7.4999999999999997E-2</v>
      </c>
      <c r="G31" s="33">
        <f t="shared" si="0"/>
        <v>0.53999999999999992</v>
      </c>
      <c r="H31" s="17"/>
      <c r="I31" s="17"/>
      <c r="J31" s="17"/>
      <c r="K31" s="17"/>
      <c r="M31" s="36"/>
      <c r="N31" s="36"/>
      <c r="O31" s="36"/>
      <c r="P31" s="36"/>
    </row>
    <row r="32" spans="1:16" x14ac:dyDescent="0.25">
      <c r="A32" s="16"/>
      <c r="B32" s="32"/>
      <c r="C32" s="37">
        <f>C44</f>
        <v>0.5</v>
      </c>
      <c r="D32" s="33">
        <f>D44</f>
        <v>6</v>
      </c>
      <c r="E32" s="33">
        <f>E44</f>
        <v>0.5</v>
      </c>
      <c r="F32" s="33">
        <v>0.05</v>
      </c>
      <c r="G32" s="33">
        <f t="shared" si="0"/>
        <v>7.5000000000000011E-2</v>
      </c>
      <c r="H32" s="17"/>
      <c r="I32" s="17"/>
      <c r="J32" s="17"/>
      <c r="K32" s="17"/>
      <c r="M32" s="36"/>
      <c r="N32" s="36"/>
      <c r="O32" s="36"/>
      <c r="P32" s="36"/>
    </row>
    <row r="33" spans="1:18" ht="15" customHeight="1" x14ac:dyDescent="0.25">
      <c r="A33" s="2"/>
      <c r="B33" s="34" t="s">
        <v>17</v>
      </c>
      <c r="C33" s="3"/>
      <c r="D33" s="4"/>
      <c r="E33" s="5"/>
      <c r="F33" s="5"/>
      <c r="G33" s="6">
        <f>SUM(G25:G32)</f>
        <v>2.8</v>
      </c>
      <c r="H33" s="7" t="s">
        <v>18</v>
      </c>
      <c r="I33" s="6">
        <v>10964.46</v>
      </c>
      <c r="J33" s="18">
        <f>G33*I33</f>
        <v>30700.487999999994</v>
      </c>
      <c r="K33" s="5"/>
    </row>
    <row r="34" spans="1:18" hidden="1" x14ac:dyDescent="0.25">
      <c r="A34" s="16"/>
      <c r="B34" s="32" t="s">
        <v>33</v>
      </c>
      <c r="C34" s="17"/>
      <c r="D34" s="17"/>
      <c r="E34" s="17"/>
      <c r="F34" s="17"/>
      <c r="G34" s="17"/>
      <c r="H34" s="17"/>
      <c r="I34" s="17"/>
      <c r="J34" s="18">
        <f>0.13*G33*(53818.03)/15</f>
        <v>1305.9841946666666</v>
      </c>
      <c r="K34" s="17"/>
    </row>
    <row r="35" spans="1:18" hidden="1" x14ac:dyDescent="0.25">
      <c r="A35" s="16"/>
      <c r="B35" s="32" t="s">
        <v>34</v>
      </c>
      <c r="C35" s="17"/>
      <c r="D35" s="17"/>
      <c r="E35" s="17"/>
      <c r="F35" s="17"/>
      <c r="G35" s="17"/>
      <c r="H35" s="17"/>
      <c r="I35" s="17"/>
      <c r="J35" s="18">
        <f>0.13*G33*(21432.6)/15</f>
        <v>520.09775999999999</v>
      </c>
      <c r="K35" s="17"/>
    </row>
    <row r="36" spans="1:18" hidden="1" x14ac:dyDescent="0.25">
      <c r="A36" s="16"/>
      <c r="B36" s="32" t="s">
        <v>35</v>
      </c>
      <c r="C36" s="17"/>
      <c r="D36" s="17"/>
      <c r="E36" s="17"/>
      <c r="F36" s="17"/>
      <c r="G36" s="17"/>
      <c r="H36" s="17"/>
      <c r="I36" s="17"/>
      <c r="J36" s="18">
        <f>0.13*G33*(25719.12+13573.98+4286.52)/15</f>
        <v>1057.5321119999999</v>
      </c>
      <c r="K36" s="17"/>
    </row>
    <row r="37" spans="1:18" hidden="1" x14ac:dyDescent="0.25">
      <c r="A37" s="16"/>
      <c r="B37" s="32" t="s">
        <v>36</v>
      </c>
      <c r="C37" s="17"/>
      <c r="D37" s="17"/>
      <c r="E37" s="17"/>
      <c r="F37" s="17"/>
      <c r="G37" s="17"/>
      <c r="H37" s="17"/>
      <c r="I37" s="17"/>
      <c r="J37" s="18">
        <f>0.13*G33*(6325.7)/15</f>
        <v>153.50365333333332</v>
      </c>
      <c r="K37" s="17"/>
    </row>
    <row r="38" spans="1:18" hidden="1" x14ac:dyDescent="0.25">
      <c r="A38" s="16"/>
      <c r="B38" s="32" t="s">
        <v>40</v>
      </c>
      <c r="C38" s="17"/>
      <c r="D38" s="17"/>
      <c r="E38" s="17"/>
      <c r="F38" s="17"/>
      <c r="G38" s="17"/>
      <c r="H38" s="17"/>
      <c r="I38" s="17"/>
      <c r="J38" s="18">
        <f>0.13*G33*(310)/5</f>
        <v>22.568000000000001</v>
      </c>
      <c r="K38" s="17"/>
    </row>
    <row r="39" spans="1:18" x14ac:dyDescent="0.25">
      <c r="A39" s="16"/>
      <c r="B39" s="17"/>
      <c r="C39" s="17"/>
      <c r="D39" s="17"/>
      <c r="E39" s="17"/>
      <c r="F39" s="17"/>
      <c r="G39" s="17"/>
      <c r="H39" s="17"/>
      <c r="I39" s="17"/>
      <c r="J39" s="17"/>
      <c r="K39" s="17"/>
    </row>
    <row r="40" spans="1:18" ht="110.25" x14ac:dyDescent="0.25">
      <c r="A40" s="16">
        <v>4</v>
      </c>
      <c r="B40" s="35" t="s">
        <v>37</v>
      </c>
      <c r="C40" s="17"/>
      <c r="D40" s="17"/>
      <c r="E40" s="17"/>
      <c r="F40" s="17"/>
      <c r="G40" s="17"/>
      <c r="H40" s="17"/>
      <c r="I40" s="17"/>
      <c r="J40" s="17"/>
      <c r="K40" s="17"/>
    </row>
    <row r="41" spans="1:18" x14ac:dyDescent="0.25">
      <c r="A41" s="16"/>
      <c r="B41" s="32" t="str">
        <f>B25</f>
        <v>-for masonary wall</v>
      </c>
      <c r="C41" s="17">
        <v>1</v>
      </c>
      <c r="D41" s="33">
        <v>5.5</v>
      </c>
      <c r="E41" s="33">
        <f>((F41/2)+0.45)/2</f>
        <v>0.97499999999999998</v>
      </c>
      <c r="F41" s="33">
        <v>3</v>
      </c>
      <c r="G41" s="33">
        <f>PRODUCT(C41:F41)</f>
        <v>16.087499999999999</v>
      </c>
      <c r="H41" s="17"/>
      <c r="I41" s="17"/>
      <c r="J41" s="17"/>
      <c r="K41" s="17"/>
      <c r="M41" s="33">
        <f>7</f>
        <v>7</v>
      </c>
      <c r="N41" s="33">
        <f>2</f>
        <v>2</v>
      </c>
      <c r="O41" s="33"/>
      <c r="P41" s="33">
        <f>PI()*M41*SQRT(M41^2+N41^2)</f>
        <v>160.09797821843054</v>
      </c>
    </row>
    <row r="42" spans="1:18" x14ac:dyDescent="0.25">
      <c r="A42" s="16"/>
      <c r="B42" s="32"/>
      <c r="C42" s="17">
        <v>1</v>
      </c>
      <c r="D42" s="33">
        <v>13</v>
      </c>
      <c r="E42" s="33">
        <f>((F42/2)+(0.45))/2</f>
        <v>0.97499999999999998</v>
      </c>
      <c r="F42" s="33">
        <v>3</v>
      </c>
      <c r="G42" s="33">
        <f>PRODUCT(C42:F42)</f>
        <v>38.024999999999999</v>
      </c>
      <c r="H42" s="17"/>
      <c r="I42" s="17"/>
      <c r="J42" s="17"/>
      <c r="K42" s="17"/>
      <c r="M42" s="36"/>
      <c r="N42" s="36"/>
      <c r="O42" s="36"/>
      <c r="P42" s="36"/>
      <c r="Q42" s="19">
        <f>E42*3.281</f>
        <v>3.1989749999999999</v>
      </c>
      <c r="R42" s="19">
        <f>F42*3.281</f>
        <v>9.843</v>
      </c>
    </row>
    <row r="43" spans="1:18" x14ac:dyDescent="0.25">
      <c r="A43" s="16"/>
      <c r="B43" s="32"/>
      <c r="C43" s="17">
        <v>1</v>
      </c>
      <c r="D43" s="33">
        <v>5</v>
      </c>
      <c r="E43" s="33">
        <f>((F43/2)+0.45)/2</f>
        <v>0.76249999999999996</v>
      </c>
      <c r="F43" s="33">
        <v>2.15</v>
      </c>
      <c r="G43" s="33">
        <f>PRODUCT(C43:F43)</f>
        <v>8.1968750000000004</v>
      </c>
      <c r="H43" s="17"/>
      <c r="I43" s="17"/>
      <c r="J43" s="17"/>
      <c r="K43" s="17"/>
      <c r="M43" s="36"/>
      <c r="N43" s="36"/>
      <c r="O43" s="36"/>
      <c r="P43" s="36"/>
    </row>
    <row r="44" spans="1:18" x14ac:dyDescent="0.25">
      <c r="A44" s="16"/>
      <c r="B44" s="32" t="str">
        <f>B31</f>
        <v>-for steps</v>
      </c>
      <c r="C44" s="37">
        <v>0.5</v>
      </c>
      <c r="D44" s="33">
        <f>0.3*20</f>
        <v>6</v>
      </c>
      <c r="E44" s="33">
        <v>0.5</v>
      </c>
      <c r="F44" s="33">
        <v>1.5</v>
      </c>
      <c r="G44" s="33">
        <f>PRODUCT(C44:F44)</f>
        <v>2.25</v>
      </c>
      <c r="H44" s="17"/>
      <c r="I44" s="17"/>
      <c r="J44" s="17"/>
      <c r="K44" s="17"/>
      <c r="M44" s="36"/>
      <c r="N44" s="36"/>
      <c r="O44" s="36"/>
      <c r="P44" s="36"/>
    </row>
    <row r="45" spans="1:18" ht="15" customHeight="1" x14ac:dyDescent="0.25">
      <c r="A45" s="2"/>
      <c r="B45" s="34" t="s">
        <v>17</v>
      </c>
      <c r="C45" s="3"/>
      <c r="D45" s="4"/>
      <c r="E45" s="5"/>
      <c r="F45" s="5"/>
      <c r="G45" s="6">
        <f>SUM(G41:G44)</f>
        <v>64.559374999999989</v>
      </c>
      <c r="H45" s="7" t="s">
        <v>18</v>
      </c>
      <c r="I45" s="6">
        <v>8987.83</v>
      </c>
      <c r="J45" s="18">
        <f>G45*I45</f>
        <v>580248.68740624993</v>
      </c>
      <c r="K45" s="5"/>
    </row>
    <row r="46" spans="1:18" hidden="1" x14ac:dyDescent="0.25">
      <c r="A46" s="16"/>
      <c r="B46" s="32" t="s">
        <v>33</v>
      </c>
      <c r="C46" s="17"/>
      <c r="D46" s="17"/>
      <c r="E46" s="17"/>
      <c r="F46" s="17"/>
      <c r="G46" s="17"/>
      <c r="H46" s="17"/>
      <c r="I46" s="17"/>
      <c r="J46" s="18">
        <f>0.13*G45*(5863.95)/5</f>
        <v>9842.8966228124973</v>
      </c>
      <c r="K46" s="17"/>
    </row>
    <row r="47" spans="1:18" hidden="1" x14ac:dyDescent="0.25">
      <c r="A47" s="16"/>
      <c r="B47" s="32" t="s">
        <v>34</v>
      </c>
      <c r="C47" s="17"/>
      <c r="D47" s="17"/>
      <c r="E47" s="17"/>
      <c r="F47" s="17"/>
      <c r="G47" s="17"/>
      <c r="H47" s="17"/>
      <c r="I47" s="17"/>
      <c r="J47" s="18">
        <f>0.13*G45*(6604.416)/5</f>
        <v>11085.801199199999</v>
      </c>
      <c r="K47" s="17"/>
    </row>
    <row r="48" spans="1:18" hidden="1" x14ac:dyDescent="0.25">
      <c r="A48" s="16"/>
      <c r="B48" s="32" t="s">
        <v>38</v>
      </c>
      <c r="C48" s="17"/>
      <c r="D48" s="17"/>
      <c r="E48" s="17"/>
      <c r="F48" s="17"/>
      <c r="G48" s="17"/>
      <c r="H48" s="17"/>
      <c r="I48" s="17"/>
      <c r="J48" s="18">
        <f>0.13*G45*(14808.78)/5</f>
        <v>24857.185114124997</v>
      </c>
      <c r="K48" s="17"/>
    </row>
    <row r="49" spans="1:19" hidden="1" x14ac:dyDescent="0.25">
      <c r="A49" s="16"/>
      <c r="B49" s="32" t="s">
        <v>40</v>
      </c>
      <c r="C49" s="17"/>
      <c r="D49" s="17"/>
      <c r="E49" s="17"/>
      <c r="F49" s="17"/>
      <c r="G49" s="17"/>
      <c r="H49" s="17"/>
      <c r="I49" s="17"/>
      <c r="J49" s="18">
        <f>0.13*G45*(310)/5</f>
        <v>520.34856249999996</v>
      </c>
      <c r="K49" s="17"/>
    </row>
    <row r="50" spans="1:19" x14ac:dyDescent="0.25">
      <c r="A50" s="16"/>
      <c r="B50" s="17"/>
      <c r="C50" s="17"/>
      <c r="D50" s="17"/>
      <c r="E50" s="17"/>
      <c r="F50" s="17"/>
      <c r="G50" s="17"/>
      <c r="H50" s="17"/>
      <c r="I50" s="17"/>
      <c r="J50" s="17"/>
      <c r="K50" s="17"/>
    </row>
    <row r="51" spans="1:19" ht="15" customHeight="1" x14ac:dyDescent="0.25">
      <c r="A51" s="2">
        <v>5</v>
      </c>
      <c r="B51" s="1" t="s">
        <v>19</v>
      </c>
      <c r="C51" s="3">
        <v>1</v>
      </c>
      <c r="D51" s="4"/>
      <c r="E51" s="5"/>
      <c r="F51" s="5"/>
      <c r="G51" s="7">
        <f t="shared" ref="G51" si="1">PRODUCT(C51:F51)</f>
        <v>1</v>
      </c>
      <c r="H51" s="7" t="s">
        <v>20</v>
      </c>
      <c r="I51" s="6">
        <v>500</v>
      </c>
      <c r="J51" s="7">
        <f>G51*I51</f>
        <v>500</v>
      </c>
      <c r="K51" s="5"/>
    </row>
    <row r="52" spans="1:19" x14ac:dyDescent="0.25">
      <c r="A52" s="2"/>
      <c r="B52" s="8"/>
      <c r="C52" s="3"/>
      <c r="D52" s="4"/>
      <c r="E52" s="5"/>
      <c r="F52" s="5"/>
      <c r="G52" s="6"/>
      <c r="H52" s="7"/>
      <c r="I52" s="6"/>
      <c r="J52" s="18"/>
      <c r="K52" s="5"/>
    </row>
    <row r="53" spans="1:19" x14ac:dyDescent="0.25">
      <c r="A53" s="21"/>
      <c r="B53" s="22" t="s">
        <v>22</v>
      </c>
      <c r="C53" s="23"/>
      <c r="D53" s="24"/>
      <c r="E53" s="24"/>
      <c r="F53" s="24"/>
      <c r="G53" s="18"/>
      <c r="H53" s="18"/>
      <c r="I53" s="18"/>
      <c r="J53" s="18">
        <f>SUM(J9:J51)</f>
        <v>692271.9516078874</v>
      </c>
      <c r="K53" s="25"/>
    </row>
    <row r="54" spans="1:19" x14ac:dyDescent="0.25">
      <c r="M54" s="20"/>
      <c r="N54" s="20"/>
      <c r="O54" s="20"/>
      <c r="P54" s="20"/>
      <c r="Q54" s="20"/>
      <c r="R54" s="20"/>
      <c r="S54" s="20"/>
    </row>
    <row r="55" spans="1:19" s="20" customFormat="1" x14ac:dyDescent="0.25">
      <c r="A55" s="26"/>
      <c r="B55" s="27" t="s">
        <v>21</v>
      </c>
      <c r="C55" s="80">
        <f>J53</f>
        <v>692271.9516078874</v>
      </c>
      <c r="D55" s="81"/>
      <c r="E55" s="9">
        <v>100</v>
      </c>
      <c r="F55" s="26"/>
      <c r="G55" s="28"/>
      <c r="H55" s="26"/>
      <c r="I55" s="29"/>
      <c r="J55" s="30"/>
      <c r="K55" s="31"/>
      <c r="M55" s="19"/>
      <c r="N55" s="19"/>
      <c r="O55" s="19"/>
      <c r="P55" s="19"/>
      <c r="Q55" s="19"/>
      <c r="R55" s="19"/>
      <c r="S55" s="19"/>
    </row>
    <row r="56" spans="1:19" x14ac:dyDescent="0.25">
      <c r="B56" s="27" t="s">
        <v>25</v>
      </c>
      <c r="C56" s="84">
        <v>600000</v>
      </c>
      <c r="D56" s="85"/>
      <c r="E56" s="9"/>
    </row>
    <row r="57" spans="1:19" x14ac:dyDescent="0.25">
      <c r="B57" s="27" t="s">
        <v>26</v>
      </c>
      <c r="C57" s="84">
        <f>C56-C59-C60</f>
        <v>570000</v>
      </c>
      <c r="D57" s="85"/>
      <c r="E57" s="9">
        <f>C57/C55*100</f>
        <v>82.337584048595986</v>
      </c>
    </row>
    <row r="58" spans="1:19" x14ac:dyDescent="0.25">
      <c r="B58" s="27" t="s">
        <v>41</v>
      </c>
      <c r="C58" s="86">
        <f>C55-C57</f>
        <v>122271.9516078874</v>
      </c>
      <c r="D58" s="86"/>
      <c r="E58" s="9">
        <f>100-E57</f>
        <v>17.662415951404014</v>
      </c>
    </row>
    <row r="59" spans="1:19" x14ac:dyDescent="0.25">
      <c r="B59" s="27" t="s">
        <v>27</v>
      </c>
      <c r="C59" s="80">
        <f>C56*0.03</f>
        <v>18000</v>
      </c>
      <c r="D59" s="81"/>
      <c r="E59" s="9">
        <v>3</v>
      </c>
    </row>
    <row r="60" spans="1:19" x14ac:dyDescent="0.25">
      <c r="B60" s="27" t="s">
        <v>28</v>
      </c>
      <c r="C60" s="80">
        <f>C56*0.02</f>
        <v>12000</v>
      </c>
      <c r="D60" s="81"/>
      <c r="E60" s="9">
        <v>2</v>
      </c>
    </row>
  </sheetData>
  <mergeCells count="15">
    <mergeCell ref="C59:D59"/>
    <mergeCell ref="C60:D60"/>
    <mergeCell ref="A7:F7"/>
    <mergeCell ref="H7:K7"/>
    <mergeCell ref="C55:D55"/>
    <mergeCell ref="C56:D56"/>
    <mergeCell ref="C57:D57"/>
    <mergeCell ref="C58:D58"/>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9"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5F0A0-2BA8-4ABB-B33E-B64AD34168F2}">
  <dimension ref="A1:M34"/>
  <sheetViews>
    <sheetView view="pageBreakPreview" zoomScaleNormal="100" zoomScaleSheetLayoutView="100" workbookViewId="0">
      <selection activeCell="I26" sqref="I26"/>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71" t="s">
        <v>0</v>
      </c>
      <c r="B1" s="71"/>
      <c r="C1" s="71"/>
      <c r="D1" s="71"/>
      <c r="E1" s="71"/>
      <c r="F1" s="71"/>
      <c r="G1" s="71"/>
      <c r="H1" s="71"/>
      <c r="I1" s="71"/>
      <c r="J1" s="71"/>
      <c r="K1" s="71"/>
    </row>
    <row r="2" spans="1:13" ht="25.5" x14ac:dyDescent="0.35">
      <c r="A2" s="72" t="s">
        <v>1</v>
      </c>
      <c r="B2" s="72"/>
      <c r="C2" s="72"/>
      <c r="D2" s="72"/>
      <c r="E2" s="72"/>
      <c r="F2" s="72"/>
      <c r="G2" s="72"/>
      <c r="H2" s="72"/>
      <c r="I2" s="72"/>
      <c r="J2" s="72"/>
      <c r="K2" s="72"/>
    </row>
    <row r="3" spans="1:13" s="40" customFormat="1" x14ac:dyDescent="0.25">
      <c r="A3" s="73" t="s">
        <v>2</v>
      </c>
      <c r="B3" s="73"/>
      <c r="C3" s="73"/>
      <c r="D3" s="73"/>
      <c r="E3" s="73"/>
      <c r="F3" s="73"/>
      <c r="G3" s="73"/>
      <c r="H3" s="73"/>
      <c r="I3" s="73"/>
      <c r="J3" s="73"/>
      <c r="K3" s="73"/>
    </row>
    <row r="4" spans="1:13" s="40" customFormat="1" x14ac:dyDescent="0.25">
      <c r="A4" s="73" t="s">
        <v>3</v>
      </c>
      <c r="B4" s="73"/>
      <c r="C4" s="73"/>
      <c r="D4" s="73"/>
      <c r="E4" s="73"/>
      <c r="F4" s="73"/>
      <c r="G4" s="73"/>
      <c r="H4" s="73"/>
      <c r="I4" s="73"/>
      <c r="J4" s="73"/>
      <c r="K4" s="73"/>
    </row>
    <row r="5" spans="1:13" ht="18.75" x14ac:dyDescent="0.3">
      <c r="A5" s="74" t="s">
        <v>44</v>
      </c>
      <c r="B5" s="74"/>
      <c r="C5" s="74"/>
      <c r="D5" s="74"/>
      <c r="E5" s="74"/>
      <c r="F5" s="74"/>
      <c r="G5" s="74"/>
      <c r="H5" s="74"/>
      <c r="I5" s="74"/>
      <c r="J5" s="74"/>
      <c r="K5" s="74"/>
    </row>
    <row r="6" spans="1:13" ht="18.75" x14ac:dyDescent="0.3">
      <c r="A6" s="41" t="s">
        <v>45</v>
      </c>
      <c r="B6" s="41"/>
      <c r="C6" s="69">
        <f>F34</f>
        <v>692271.9516078874</v>
      </c>
      <c r="D6" s="70"/>
      <c r="E6" s="42"/>
      <c r="F6" s="41"/>
      <c r="G6" s="41"/>
      <c r="H6" s="41" t="s">
        <v>46</v>
      </c>
      <c r="I6" s="41"/>
      <c r="J6" s="69">
        <f>I34</f>
        <v>692428.57611178409</v>
      </c>
      <c r="K6" s="70"/>
    </row>
    <row r="7" spans="1:13" x14ac:dyDescent="0.25">
      <c r="A7" s="43" t="s">
        <v>47</v>
      </c>
      <c r="B7" s="43"/>
      <c r="C7" s="43"/>
      <c r="D7" s="43"/>
      <c r="F7" s="64"/>
      <c r="G7" s="64"/>
      <c r="I7" s="65" t="s">
        <v>48</v>
      </c>
      <c r="J7" s="65"/>
      <c r="K7" s="65"/>
    </row>
    <row r="8" spans="1:13" ht="18" customHeight="1" x14ac:dyDescent="0.25">
      <c r="A8" s="66" t="s">
        <v>42</v>
      </c>
      <c r="B8" s="66"/>
      <c r="C8" s="66"/>
      <c r="D8" s="66"/>
      <c r="E8" s="66"/>
      <c r="F8" s="66"/>
      <c r="I8" s="67" t="s">
        <v>49</v>
      </c>
      <c r="J8" s="67"/>
      <c r="K8" s="67"/>
    </row>
    <row r="9" spans="1:13" x14ac:dyDescent="0.25">
      <c r="A9" s="68" t="str">
        <f>[7]estimate!A7</f>
        <v>Location:- Shankharapur Municipality 1</v>
      </c>
      <c r="B9" s="68"/>
      <c r="C9" s="68"/>
      <c r="D9" s="68"/>
      <c r="E9" s="68"/>
      <c r="F9" s="68"/>
      <c r="I9" s="67" t="s">
        <v>68</v>
      </c>
      <c r="J9" s="67"/>
      <c r="K9" s="67"/>
    </row>
    <row r="11" spans="1:13" x14ac:dyDescent="0.25">
      <c r="A11" s="62" t="s">
        <v>50</v>
      </c>
      <c r="B11" s="62" t="s">
        <v>51</v>
      </c>
      <c r="C11" s="62" t="s">
        <v>13</v>
      </c>
      <c r="D11" s="63" t="s">
        <v>52</v>
      </c>
      <c r="E11" s="63"/>
      <c r="F11" s="63"/>
      <c r="G11" s="63" t="s">
        <v>53</v>
      </c>
      <c r="H11" s="63"/>
      <c r="I11" s="63"/>
      <c r="J11" s="62" t="s">
        <v>54</v>
      </c>
      <c r="K11" s="61" t="s">
        <v>55</v>
      </c>
    </row>
    <row r="12" spans="1:13" x14ac:dyDescent="0.25">
      <c r="A12" s="62"/>
      <c r="B12" s="62"/>
      <c r="C12" s="62"/>
      <c r="D12" s="44" t="s">
        <v>56</v>
      </c>
      <c r="E12" s="44" t="s">
        <v>14</v>
      </c>
      <c r="F12" s="44" t="s">
        <v>15</v>
      </c>
      <c r="G12" s="44" t="s">
        <v>56</v>
      </c>
      <c r="H12" s="44" t="s">
        <v>14</v>
      </c>
      <c r="I12" s="44" t="s">
        <v>15</v>
      </c>
      <c r="J12" s="62"/>
      <c r="K12" s="61"/>
    </row>
    <row r="13" spans="1:13" s="40" customFormat="1" ht="126.75" customHeight="1" x14ac:dyDescent="0.25">
      <c r="A13" s="45">
        <f>estimate!A9</f>
        <v>1</v>
      </c>
      <c r="B13" s="58" t="str">
        <f>estimate!B9</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3" s="46" t="str">
        <f>[8]estimate!H13</f>
        <v>cum</v>
      </c>
      <c r="D13" s="46">
        <f>estimate!G13</f>
        <v>30.975000000000001</v>
      </c>
      <c r="E13" s="46">
        <f>estimate!I13</f>
        <v>62.95</v>
      </c>
      <c r="F13" s="46">
        <f>D13*E13</f>
        <v>1949.8762500000003</v>
      </c>
      <c r="G13" s="46">
        <f>V!G14</f>
        <v>30.450292593721425</v>
      </c>
      <c r="H13" s="46">
        <f>V!I14</f>
        <v>62.95</v>
      </c>
      <c r="I13" s="46">
        <f>G13*H13</f>
        <v>1916.8459187747637</v>
      </c>
      <c r="J13" s="47">
        <f>I13-F13</f>
        <v>-33.030331225236523</v>
      </c>
      <c r="K13" s="48"/>
      <c r="M13" s="40">
        <f>1.25*F13</f>
        <v>2437.3453125000005</v>
      </c>
    </row>
    <row r="14" spans="1:13" s="40" customFormat="1" x14ac:dyDescent="0.25">
      <c r="A14" s="45"/>
      <c r="B14" s="59" t="str">
        <f>estimate!B14</f>
        <v>-13% VAT for materials</v>
      </c>
      <c r="C14" s="46"/>
      <c r="D14" s="46"/>
      <c r="E14" s="46"/>
      <c r="F14" s="46">
        <f>estimate!J14</f>
        <v>208.18297500000003</v>
      </c>
      <c r="G14" s="46"/>
      <c r="H14" s="46"/>
      <c r="I14" s="46">
        <f>V!J15</f>
        <v>204.65641652240168</v>
      </c>
      <c r="J14" s="47">
        <f>I14-F14</f>
        <v>-3.5265584775983427</v>
      </c>
      <c r="K14" s="48"/>
    </row>
    <row r="15" spans="1:13" s="40" customFormat="1" x14ac:dyDescent="0.25">
      <c r="A15" s="49"/>
      <c r="B15" s="50"/>
      <c r="C15" s="46"/>
      <c r="D15" s="46"/>
      <c r="E15" s="46"/>
      <c r="F15" s="46"/>
      <c r="G15" s="46"/>
      <c r="H15" s="46"/>
      <c r="I15" s="46"/>
      <c r="J15" s="47"/>
      <c r="K15" s="48"/>
    </row>
    <row r="16" spans="1:13" s="40" customFormat="1" ht="78.75" x14ac:dyDescent="0.25">
      <c r="A16" s="45">
        <f>estimate!A16</f>
        <v>2</v>
      </c>
      <c r="B16" s="51" t="str">
        <f>estimate!B16</f>
        <v>Providing and laying of hand pack locally available Stone soling with 150 to 200 mm thick stones and packing with smaller stone on prepared surface as per Drawing and Technical Specifications.</v>
      </c>
      <c r="C16" s="46" t="str">
        <f>estimate!H21</f>
        <v>m3</v>
      </c>
      <c r="D16" s="46">
        <f>estimate!G21</f>
        <v>6.0487500000000001</v>
      </c>
      <c r="E16" s="46">
        <f>estimate!I21</f>
        <v>4458.5200000000004</v>
      </c>
      <c r="F16" s="46">
        <f>D16*E16</f>
        <v>26968.472850000002</v>
      </c>
      <c r="G16" s="46">
        <f>V!G26</f>
        <v>6.5145365742151782</v>
      </c>
      <c r="H16" s="46">
        <f>V!I26</f>
        <v>4458.5200000000004</v>
      </c>
      <c r="I16" s="46">
        <f>G16*H16</f>
        <v>29045.191606869859</v>
      </c>
      <c r="J16" s="47">
        <f>I16-F16</f>
        <v>2076.7187568698573</v>
      </c>
      <c r="K16" s="48"/>
      <c r="M16" s="40">
        <f t="shared" ref="M16:M27" si="0">1.25*F16</f>
        <v>33710.591062500003</v>
      </c>
    </row>
    <row r="17" spans="1:13" s="40" customFormat="1" x14ac:dyDescent="0.25">
      <c r="A17" s="45"/>
      <c r="B17" s="59" t="str">
        <f>estimate!B22</f>
        <v>-13% VAT for materials</v>
      </c>
      <c r="C17" s="46"/>
      <c r="D17" s="46"/>
      <c r="E17" s="46"/>
      <c r="F17" s="46">
        <f>estimate!J22</f>
        <v>2330.326908</v>
      </c>
      <c r="G17" s="46"/>
      <c r="H17" s="46"/>
      <c r="I17" s="46">
        <f>V!J27</f>
        <v>2509.7747256943617</v>
      </c>
      <c r="J17" s="47">
        <f>I17-F17</f>
        <v>179.44781769436167</v>
      </c>
      <c r="K17" s="48"/>
    </row>
    <row r="18" spans="1:13" s="40" customFormat="1" ht="15.75" x14ac:dyDescent="0.25">
      <c r="A18" s="45"/>
      <c r="B18" s="51"/>
      <c r="C18" s="46"/>
      <c r="D18" s="46"/>
      <c r="E18" s="46"/>
      <c r="F18" s="46"/>
      <c r="G18" s="46"/>
      <c r="H18" s="46"/>
      <c r="I18" s="46"/>
      <c r="J18" s="47"/>
      <c r="K18" s="48"/>
    </row>
    <row r="19" spans="1:13" s="40" customFormat="1" ht="63" x14ac:dyDescent="0.25">
      <c r="A19" s="45">
        <f>estimate!A24</f>
        <v>3</v>
      </c>
      <c r="B19" s="51" t="str">
        <f>estimate!B24</f>
        <v>Providing and laying of Plain/Reinforced Cement Concrete in Foundation complete as per Drawing and Technical Specifications, PCC Grade M 15</v>
      </c>
      <c r="C19" s="46" t="str">
        <f>estimate!H33</f>
        <v>m3</v>
      </c>
      <c r="D19" s="46">
        <f>estimate!G33</f>
        <v>2.8</v>
      </c>
      <c r="E19" s="46">
        <f>estimate!I33</f>
        <v>10964.46</v>
      </c>
      <c r="F19" s="46">
        <f>D19*E19</f>
        <v>30700.487999999994</v>
      </c>
      <c r="G19" s="46">
        <f>V!G40</f>
        <v>2.5535000000000001</v>
      </c>
      <c r="H19" s="46">
        <f>V!I40</f>
        <v>10964.46</v>
      </c>
      <c r="I19" s="46">
        <f>G19*H19</f>
        <v>27997.748609999999</v>
      </c>
      <c r="J19" s="47">
        <f>I19-F19</f>
        <v>-2702.7393899999952</v>
      </c>
      <c r="K19" s="48"/>
      <c r="M19" s="40">
        <f t="shared" si="0"/>
        <v>38375.609999999993</v>
      </c>
    </row>
    <row r="20" spans="1:13" s="40" customFormat="1" ht="15.75" x14ac:dyDescent="0.25">
      <c r="A20" s="45"/>
      <c r="B20" s="52" t="str">
        <f>estimate!B34</f>
        <v>-13% VAT for cement</v>
      </c>
      <c r="C20" s="46"/>
      <c r="D20" s="46"/>
      <c r="E20" s="46"/>
      <c r="F20" s="46">
        <f>estimate!J34</f>
        <v>1305.9841946666666</v>
      </c>
      <c r="G20" s="46"/>
      <c r="H20" s="46"/>
      <c r="I20" s="46">
        <f>V!J41</f>
        <v>1191.0109432433335</v>
      </c>
      <c r="J20" s="47">
        <f>I20-F20</f>
        <v>-114.97325142333307</v>
      </c>
      <c r="K20" s="48"/>
      <c r="M20" s="40">
        <f t="shared" si="0"/>
        <v>1632.4802433333332</v>
      </c>
    </row>
    <row r="21" spans="1:13" s="40" customFormat="1" ht="15.75" x14ac:dyDescent="0.25">
      <c r="A21" s="45"/>
      <c r="B21" s="52" t="str">
        <f>estimate!B35</f>
        <v>-13% VAT for sand</v>
      </c>
      <c r="C21" s="46"/>
      <c r="D21" s="46"/>
      <c r="E21" s="46"/>
      <c r="F21" s="46">
        <f>estimate!J35</f>
        <v>520.09775999999999</v>
      </c>
      <c r="G21" s="46"/>
      <c r="H21" s="46"/>
      <c r="I21" s="46">
        <f>V!J42</f>
        <v>474.31058219999994</v>
      </c>
      <c r="J21" s="47">
        <f t="shared" ref="J21:J23" si="1">I21-F21</f>
        <v>-45.787177800000052</v>
      </c>
      <c r="K21" s="48"/>
    </row>
    <row r="22" spans="1:13" s="40" customFormat="1" ht="15.75" x14ac:dyDescent="0.25">
      <c r="A22" s="45"/>
      <c r="B22" s="52" t="str">
        <f>estimate!B36</f>
        <v>-13% VAT for aggregate</v>
      </c>
      <c r="C22" s="46"/>
      <c r="D22" s="46"/>
      <c r="E22" s="46"/>
      <c r="F22" s="46">
        <f>estimate!J36</f>
        <v>1057.5321119999999</v>
      </c>
      <c r="G22" s="46"/>
      <c r="H22" s="46"/>
      <c r="I22" s="46">
        <f>V!J43</f>
        <v>964.43151713999987</v>
      </c>
      <c r="J22" s="47">
        <f t="shared" si="1"/>
        <v>-93.100594860000001</v>
      </c>
      <c r="K22" s="48"/>
    </row>
    <row r="23" spans="1:13" s="40" customFormat="1" ht="15.75" x14ac:dyDescent="0.25">
      <c r="A23" s="45"/>
      <c r="B23" s="52" t="str">
        <f>estimate!B37</f>
        <v>-13% VAT for formworks</v>
      </c>
      <c r="C23" s="46"/>
      <c r="D23" s="46"/>
      <c r="E23" s="46"/>
      <c r="F23" s="46">
        <f>estimate!J37</f>
        <v>153.50365333333332</v>
      </c>
      <c r="G23" s="46"/>
      <c r="H23" s="46"/>
      <c r="I23" s="46">
        <f>V!J44</f>
        <v>139.98984956666666</v>
      </c>
      <c r="J23" s="47">
        <f t="shared" si="1"/>
        <v>-13.513803766666655</v>
      </c>
      <c r="K23" s="48"/>
    </row>
    <row r="24" spans="1:13" s="40" customFormat="1" ht="15.75" x14ac:dyDescent="0.25">
      <c r="A24" s="45"/>
      <c r="B24" s="52" t="str">
        <f>estimate!B38</f>
        <v>-13% VAT for water</v>
      </c>
      <c r="C24" s="46"/>
      <c r="D24" s="46"/>
      <c r="E24" s="46"/>
      <c r="F24" s="46">
        <f>estimate!J38</f>
        <v>22.568000000000001</v>
      </c>
      <c r="G24" s="46"/>
      <c r="H24" s="46"/>
      <c r="I24" s="46">
        <f>V!J45</f>
        <v>20.581209999999999</v>
      </c>
      <c r="J24" s="47">
        <f t="shared" ref="J24" si="2">I24-F24</f>
        <v>-1.9867900000000027</v>
      </c>
      <c r="K24" s="48"/>
    </row>
    <row r="25" spans="1:13" s="40" customFormat="1" x14ac:dyDescent="0.25">
      <c r="A25" s="49"/>
      <c r="B25" s="50"/>
      <c r="C25" s="46"/>
      <c r="D25" s="46"/>
      <c r="E25" s="46"/>
      <c r="F25" s="46"/>
      <c r="G25" s="46"/>
      <c r="H25" s="46"/>
      <c r="I25" s="46"/>
      <c r="J25" s="47"/>
      <c r="K25" s="48"/>
    </row>
    <row r="26" spans="1:13" s="40" customFormat="1" ht="78.75" x14ac:dyDescent="0.25">
      <c r="A26" s="45">
        <f>estimate!A40</f>
        <v>4</v>
      </c>
      <c r="B26" s="51" t="str">
        <f>estimate!B40</f>
        <v>Random Rubble Masonry, Providing and laying of Stone Masonry Work in Cement Mortar 1:6 in Foundation complete as per Drawing and Technical Specifications., Using Concrete Mixer</v>
      </c>
      <c r="C26" s="46" t="str">
        <f>estimate!H45</f>
        <v>m3</v>
      </c>
      <c r="D26" s="46">
        <f>estimate!G45</f>
        <v>64.559374999999989</v>
      </c>
      <c r="E26" s="46">
        <f>estimate!I45</f>
        <v>8987.83</v>
      </c>
      <c r="F26" s="46">
        <f>D26*E26</f>
        <v>580248.68740624993</v>
      </c>
      <c r="G26" s="46">
        <f>V!G56</f>
        <v>64.653049070405373</v>
      </c>
      <c r="H26" s="46">
        <f>V!I56</f>
        <v>8987.83</v>
      </c>
      <c r="I26" s="46">
        <f>G26*H26</f>
        <v>581090.6140264615</v>
      </c>
      <c r="J26" s="47">
        <f>I26-F26</f>
        <v>841.92662021156866</v>
      </c>
      <c r="K26" s="48"/>
      <c r="M26" s="40">
        <f t="shared" si="0"/>
        <v>725310.85925781238</v>
      </c>
    </row>
    <row r="27" spans="1:13" s="40" customFormat="1" ht="15.75" x14ac:dyDescent="0.25">
      <c r="A27" s="45"/>
      <c r="B27" s="52" t="str">
        <f>estimate!B46</f>
        <v>-13% VAT for cement</v>
      </c>
      <c r="C27" s="46"/>
      <c r="D27" s="46"/>
      <c r="E27" s="46"/>
      <c r="F27" s="46">
        <f>estimate!J46</f>
        <v>9842.8966228124973</v>
      </c>
      <c r="G27" s="46"/>
      <c r="H27" s="46"/>
      <c r="I27" s="46">
        <f>V!J57</f>
        <v>9857.1784245064937</v>
      </c>
      <c r="J27" s="47">
        <f>I27-F27</f>
        <v>14.281801693996385</v>
      </c>
      <c r="K27" s="48"/>
      <c r="M27" s="40">
        <f t="shared" si="0"/>
        <v>12303.620778515622</v>
      </c>
    </row>
    <row r="28" spans="1:13" s="40" customFormat="1" ht="15.75" x14ac:dyDescent="0.25">
      <c r="A28" s="45"/>
      <c r="B28" s="52" t="str">
        <f>estimate!B47</f>
        <v>-13% VAT for sand</v>
      </c>
      <c r="C28" s="46"/>
      <c r="D28" s="46"/>
      <c r="E28" s="46"/>
      <c r="F28" s="46">
        <f>estimate!J47</f>
        <v>11085.801199199999</v>
      </c>
      <c r="G28" s="46"/>
      <c r="H28" s="46"/>
      <c r="I28" s="46">
        <f>V!J58</f>
        <v>11101.886424963632</v>
      </c>
      <c r="J28" s="47">
        <f t="shared" ref="J28:J30" si="3">I28-F28</f>
        <v>16.085225763632479</v>
      </c>
      <c r="K28" s="48"/>
    </row>
    <row r="29" spans="1:13" s="40" customFormat="1" ht="15.75" x14ac:dyDescent="0.25">
      <c r="A29" s="45"/>
      <c r="B29" s="52" t="str">
        <f>estimate!B48</f>
        <v>-13% VAT for stone</v>
      </c>
      <c r="C29" s="46"/>
      <c r="D29" s="46"/>
      <c r="E29" s="46"/>
      <c r="F29" s="46">
        <f>estimate!J48</f>
        <v>24857.185114124997</v>
      </c>
      <c r="G29" s="46"/>
      <c r="H29" s="46"/>
      <c r="I29" s="46">
        <f>V!J59</f>
        <v>24893.252280333785</v>
      </c>
      <c r="J29" s="47">
        <f t="shared" si="3"/>
        <v>36.067166208787967</v>
      </c>
      <c r="K29" s="48"/>
    </row>
    <row r="30" spans="1:13" s="40" customFormat="1" ht="15.75" x14ac:dyDescent="0.25">
      <c r="A30" s="45"/>
      <c r="B30" s="52" t="str">
        <f>estimate!B49</f>
        <v>-13% VAT for water</v>
      </c>
      <c r="C30" s="46"/>
      <c r="D30" s="46"/>
      <c r="E30" s="46"/>
      <c r="F30" s="46">
        <f>estimate!J49</f>
        <v>520.34856249999996</v>
      </c>
      <c r="G30" s="46"/>
      <c r="H30" s="46"/>
      <c r="I30" s="46">
        <f>V!J60</f>
        <v>521.10357550746744</v>
      </c>
      <c r="J30" s="47">
        <f t="shared" si="3"/>
        <v>0.75501300746748257</v>
      </c>
      <c r="K30" s="48"/>
    </row>
    <row r="31" spans="1:13" s="40" customFormat="1" x14ac:dyDescent="0.25">
      <c r="A31" s="49"/>
      <c r="B31" s="50"/>
      <c r="C31" s="46"/>
      <c r="D31" s="46"/>
      <c r="E31" s="46"/>
      <c r="F31" s="46"/>
      <c r="G31" s="46"/>
      <c r="H31" s="46"/>
      <c r="I31" s="46"/>
      <c r="J31" s="47"/>
      <c r="K31" s="48"/>
    </row>
    <row r="32" spans="1:13" s="40" customFormat="1" x14ac:dyDescent="0.25">
      <c r="A32" s="45">
        <f>estimate!A51</f>
        <v>5</v>
      </c>
      <c r="B32" s="53" t="str">
        <f>estimate!B51</f>
        <v>Information board (सुचना पाटि)</v>
      </c>
      <c r="C32" s="46" t="str">
        <f>estimate!H51</f>
        <v>no.</v>
      </c>
      <c r="D32" s="46">
        <f>estimate!G51</f>
        <v>1</v>
      </c>
      <c r="E32" s="46">
        <f>estimate!I51</f>
        <v>500</v>
      </c>
      <c r="F32" s="46">
        <f>D32*E32</f>
        <v>500</v>
      </c>
      <c r="G32" s="46">
        <f>V!G62</f>
        <v>1</v>
      </c>
      <c r="H32" s="46">
        <f>V!I62</f>
        <v>500</v>
      </c>
      <c r="I32" s="46">
        <f>G32*H32</f>
        <v>500</v>
      </c>
      <c r="J32" s="47">
        <f>I32-F32</f>
        <v>0</v>
      </c>
      <c r="K32" s="48"/>
    </row>
    <row r="33" spans="1:11" s="40" customFormat="1" x14ac:dyDescent="0.25">
      <c r="A33" s="50"/>
      <c r="B33" s="50"/>
      <c r="C33" s="46"/>
      <c r="D33" s="46"/>
      <c r="E33" s="46"/>
      <c r="F33" s="46"/>
      <c r="G33" s="46"/>
      <c r="H33" s="46"/>
      <c r="I33" s="46"/>
      <c r="J33" s="47"/>
      <c r="K33" s="48"/>
    </row>
    <row r="34" spans="1:11" x14ac:dyDescent="0.25">
      <c r="A34" s="54"/>
      <c r="B34" s="55" t="s">
        <v>22</v>
      </c>
      <c r="C34" s="55"/>
      <c r="D34" s="56"/>
      <c r="E34" s="56"/>
      <c r="F34" s="56">
        <f>SUM(F13:F32)</f>
        <v>692271.9516078874</v>
      </c>
      <c r="G34" s="56"/>
      <c r="H34" s="56"/>
      <c r="I34" s="56">
        <f>SUM(I13:I32)</f>
        <v>692428.57611178409</v>
      </c>
      <c r="J34" s="57">
        <f>I34-F34</f>
        <v>156.62450389668811</v>
      </c>
      <c r="K34" s="54"/>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E475A-5590-4BAA-8315-DB58024FAB3D}">
  <dimension ref="A1:S71"/>
  <sheetViews>
    <sheetView view="pageBreakPreview" zoomScale="95" zoomScaleNormal="90" zoomScaleSheetLayoutView="95" workbookViewId="0">
      <selection activeCell="F69" sqref="F6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76" t="s">
        <v>0</v>
      </c>
      <c r="B1" s="76"/>
      <c r="C1" s="76"/>
      <c r="D1" s="76"/>
      <c r="E1" s="76"/>
      <c r="F1" s="76"/>
      <c r="G1" s="76"/>
      <c r="H1" s="76"/>
      <c r="I1" s="76"/>
      <c r="J1" s="76"/>
      <c r="K1" s="76"/>
    </row>
    <row r="2" spans="1:16" ht="22.5" x14ac:dyDescent="0.25">
      <c r="A2" s="77" t="s">
        <v>1</v>
      </c>
      <c r="B2" s="77"/>
      <c r="C2" s="77"/>
      <c r="D2" s="77"/>
      <c r="E2" s="77"/>
      <c r="F2" s="77"/>
      <c r="G2" s="77"/>
      <c r="H2" s="77"/>
      <c r="I2" s="77"/>
      <c r="J2" s="77"/>
      <c r="K2" s="77"/>
    </row>
    <row r="3" spans="1:16" x14ac:dyDescent="0.25">
      <c r="A3" s="78" t="s">
        <v>2</v>
      </c>
      <c r="B3" s="78"/>
      <c r="C3" s="78"/>
      <c r="D3" s="78"/>
      <c r="E3" s="78"/>
      <c r="F3" s="78"/>
      <c r="G3" s="78"/>
      <c r="H3" s="78"/>
      <c r="I3" s="78"/>
      <c r="J3" s="78"/>
      <c r="K3" s="78"/>
    </row>
    <row r="4" spans="1:16" x14ac:dyDescent="0.25">
      <c r="A4" s="78" t="s">
        <v>3</v>
      </c>
      <c r="B4" s="78"/>
      <c r="C4" s="78"/>
      <c r="D4" s="78"/>
      <c r="E4" s="78"/>
      <c r="F4" s="78"/>
      <c r="G4" s="78"/>
      <c r="H4" s="78"/>
      <c r="I4" s="78"/>
      <c r="J4" s="78"/>
      <c r="K4" s="78"/>
    </row>
    <row r="5" spans="1:16" ht="18.75" x14ac:dyDescent="0.3">
      <c r="A5" s="79" t="s">
        <v>57</v>
      </c>
      <c r="B5" s="79"/>
      <c r="C5" s="79"/>
      <c r="D5" s="79"/>
      <c r="E5" s="79"/>
      <c r="F5" s="79"/>
      <c r="G5" s="79"/>
      <c r="H5" s="79"/>
      <c r="I5" s="79"/>
      <c r="J5" s="79"/>
      <c r="K5" s="79"/>
    </row>
    <row r="6" spans="1:16" ht="15.75" x14ac:dyDescent="0.25">
      <c r="A6" s="66" t="s">
        <v>42</v>
      </c>
      <c r="B6" s="66"/>
      <c r="C6" s="66"/>
      <c r="D6" s="66"/>
      <c r="E6" s="66"/>
      <c r="F6" s="66"/>
      <c r="G6" s="10"/>
      <c r="H6" s="75" t="s">
        <v>29</v>
      </c>
      <c r="I6" s="75"/>
      <c r="J6" s="75"/>
      <c r="K6" s="75"/>
    </row>
    <row r="7" spans="1:16" ht="15.75" x14ac:dyDescent="0.25">
      <c r="A7" s="82" t="s">
        <v>5</v>
      </c>
      <c r="B7" s="82"/>
      <c r="C7" s="82"/>
      <c r="D7" s="82"/>
      <c r="E7" s="82"/>
      <c r="F7" s="82"/>
      <c r="G7" s="11"/>
      <c r="H7" s="83" t="s">
        <v>67</v>
      </c>
      <c r="I7" s="83"/>
      <c r="J7" s="83"/>
      <c r="K7" s="83"/>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f>D48</f>
        <v>5.9</v>
      </c>
      <c r="E10" s="33">
        <f>F48/2</f>
        <v>1.5</v>
      </c>
      <c r="F10" s="33">
        <v>0.6</v>
      </c>
      <c r="G10" s="33">
        <f>PRODUCT(C10:F10)</f>
        <v>5.3100000000000005</v>
      </c>
      <c r="H10" s="17"/>
      <c r="I10" s="17"/>
      <c r="J10" s="17"/>
      <c r="K10" s="17"/>
      <c r="M10" s="33">
        <f>7</f>
        <v>7</v>
      </c>
      <c r="N10" s="33">
        <f>2</f>
        <v>2</v>
      </c>
      <c r="O10" s="33"/>
      <c r="P10" s="33">
        <f>PI()*M10*SQRT(M10^2+N10^2)</f>
        <v>160.09797821843054</v>
      </c>
    </row>
    <row r="11" spans="1:16" x14ac:dyDescent="0.25">
      <c r="A11" s="16"/>
      <c r="B11" s="32"/>
      <c r="C11" s="17">
        <v>1</v>
      </c>
      <c r="D11" s="33">
        <f>D49</f>
        <v>7.2</v>
      </c>
      <c r="E11" s="33">
        <f>E19</f>
        <v>1.5</v>
      </c>
      <c r="F11" s="33">
        <v>1</v>
      </c>
      <c r="G11" s="33">
        <f>PRODUCT(C11:F11)</f>
        <v>10.8</v>
      </c>
      <c r="H11" s="17"/>
      <c r="I11" s="17"/>
      <c r="J11" s="17"/>
      <c r="K11" s="17"/>
      <c r="M11" s="36"/>
      <c r="N11" s="36"/>
      <c r="O11" s="36"/>
      <c r="P11" s="36"/>
    </row>
    <row r="12" spans="1:16" x14ac:dyDescent="0.25">
      <c r="A12" s="16"/>
      <c r="B12" s="32"/>
      <c r="C12" s="17">
        <f>C20</f>
        <v>1</v>
      </c>
      <c r="D12" s="33">
        <f>D20</f>
        <v>7.5</v>
      </c>
      <c r="E12" s="33">
        <f>E20</f>
        <v>1.4</v>
      </c>
      <c r="F12" s="33">
        <v>1</v>
      </c>
      <c r="G12" s="33">
        <f>PRODUCT(C12:F12)</f>
        <v>10.5</v>
      </c>
      <c r="H12" s="17"/>
      <c r="I12" s="17"/>
      <c r="J12" s="17"/>
      <c r="K12" s="17"/>
      <c r="M12" s="36"/>
      <c r="N12" s="36"/>
      <c r="O12" s="36"/>
      <c r="P12" s="36"/>
    </row>
    <row r="13" spans="1:16" x14ac:dyDescent="0.25">
      <c r="A13" s="16"/>
      <c r="B13" s="32" t="s">
        <v>43</v>
      </c>
      <c r="C13" s="17">
        <v>1</v>
      </c>
      <c r="D13" s="33">
        <v>6</v>
      </c>
      <c r="E13" s="33">
        <f>7/3.281</f>
        <v>2.1334958854007922</v>
      </c>
      <c r="F13" s="33">
        <v>0.3</v>
      </c>
      <c r="G13" s="33">
        <f>PRODUCT(C13:F13)</f>
        <v>3.8402925937214256</v>
      </c>
      <c r="H13" s="17"/>
      <c r="I13" s="17"/>
      <c r="J13" s="17"/>
      <c r="K13" s="17"/>
      <c r="M13" s="36"/>
      <c r="N13" s="36"/>
      <c r="O13" s="36"/>
      <c r="P13" s="36"/>
    </row>
    <row r="14" spans="1:16" ht="15" customHeight="1" x14ac:dyDescent="0.25">
      <c r="A14" s="2"/>
      <c r="B14" s="34" t="s">
        <v>17</v>
      </c>
      <c r="C14" s="3"/>
      <c r="D14" s="4"/>
      <c r="E14" s="5"/>
      <c r="F14" s="5"/>
      <c r="G14" s="6">
        <f>SUM(G10:G13)</f>
        <v>30.450292593721425</v>
      </c>
      <c r="H14" s="7" t="s">
        <v>18</v>
      </c>
      <c r="I14" s="6">
        <v>62.95</v>
      </c>
      <c r="J14" s="18">
        <f>G14*I14</f>
        <v>1916.8459187747637</v>
      </c>
      <c r="K14" s="5"/>
    </row>
    <row r="15" spans="1:16" x14ac:dyDescent="0.25">
      <c r="A15" s="16"/>
      <c r="B15" s="32" t="s">
        <v>24</v>
      </c>
      <c r="C15" s="17"/>
      <c r="D15" s="17"/>
      <c r="E15" s="17"/>
      <c r="F15" s="17"/>
      <c r="G15" s="17"/>
      <c r="H15" s="17"/>
      <c r="I15" s="17"/>
      <c r="J15" s="18">
        <f>0.13*G14*(18612)/360</f>
        <v>204.65641652240168</v>
      </c>
      <c r="K15" s="17"/>
    </row>
    <row r="16" spans="1:16" x14ac:dyDescent="0.25">
      <c r="A16" s="16"/>
      <c r="B16" s="17"/>
      <c r="C16" s="17"/>
      <c r="D16" s="17"/>
      <c r="E16" s="17"/>
      <c r="F16" s="17"/>
      <c r="G16" s="17"/>
      <c r="H16" s="17"/>
      <c r="I16" s="17"/>
      <c r="J16" s="17"/>
      <c r="K16" s="17"/>
    </row>
    <row r="17" spans="1:19" ht="94.5" x14ac:dyDescent="0.25">
      <c r="A17" s="16">
        <v>2</v>
      </c>
      <c r="B17" s="35" t="s">
        <v>31</v>
      </c>
      <c r="C17" s="17"/>
      <c r="D17" s="17"/>
      <c r="E17" s="17"/>
      <c r="F17" s="17"/>
      <c r="G17" s="17"/>
      <c r="H17" s="17"/>
      <c r="I17" s="17"/>
      <c r="J17" s="17"/>
      <c r="K17" s="17"/>
      <c r="R17" s="19">
        <f>3/0.15</f>
        <v>20</v>
      </c>
      <c r="S17" s="19">
        <v>0.3</v>
      </c>
    </row>
    <row r="18" spans="1:19" x14ac:dyDescent="0.25">
      <c r="A18" s="16"/>
      <c r="B18" s="32" t="str">
        <f>B10</f>
        <v>-for masonary wall</v>
      </c>
      <c r="C18" s="17">
        <v>1</v>
      </c>
      <c r="D18" s="33">
        <f>D48</f>
        <v>5.9</v>
      </c>
      <c r="E18" s="33">
        <f>E10</f>
        <v>1.5</v>
      </c>
      <c r="F18" s="33">
        <v>0.15</v>
      </c>
      <c r="G18" s="33">
        <f>PRODUCT(C18:F18)</f>
        <v>1.3275000000000001</v>
      </c>
      <c r="H18" s="17"/>
      <c r="I18" s="17"/>
      <c r="J18" s="17"/>
      <c r="K18" s="17"/>
      <c r="M18" s="33">
        <f>7</f>
        <v>7</v>
      </c>
      <c r="N18" s="33">
        <f>2</f>
        <v>2</v>
      </c>
      <c r="O18" s="33"/>
      <c r="P18" s="33">
        <f>PI()*M18*SQRT(M18^2+N18^2)</f>
        <v>160.09797821843054</v>
      </c>
    </row>
    <row r="19" spans="1:19" x14ac:dyDescent="0.25">
      <c r="A19" s="16"/>
      <c r="B19" s="32"/>
      <c r="C19" s="17">
        <v>1</v>
      </c>
      <c r="D19" s="33">
        <f>D49</f>
        <v>7.2</v>
      </c>
      <c r="E19" s="33">
        <f>E32</f>
        <v>1.5</v>
      </c>
      <c r="F19" s="33">
        <v>0.15</v>
      </c>
      <c r="G19" s="33">
        <f>PRODUCT(C19:F19)</f>
        <v>1.62</v>
      </c>
      <c r="H19" s="17"/>
      <c r="I19" s="17"/>
      <c r="J19" s="17"/>
      <c r="K19" s="17"/>
      <c r="M19" s="36"/>
      <c r="N19" s="36"/>
      <c r="O19" s="36"/>
      <c r="P19" s="36"/>
    </row>
    <row r="20" spans="1:19" x14ac:dyDescent="0.25">
      <c r="A20" s="16"/>
      <c r="B20" s="32"/>
      <c r="C20" s="17">
        <f>C34</f>
        <v>1</v>
      </c>
      <c r="D20" s="33">
        <f>D34</f>
        <v>7.5</v>
      </c>
      <c r="E20" s="33">
        <f>E34</f>
        <v>1.4</v>
      </c>
      <c r="F20" s="33">
        <v>0.15</v>
      </c>
      <c r="G20" s="33">
        <f>PRODUCT(C20:F20)</f>
        <v>1.575</v>
      </c>
      <c r="H20" s="17"/>
      <c r="I20" s="17"/>
      <c r="J20" s="17"/>
      <c r="K20" s="17"/>
      <c r="M20" s="36"/>
      <c r="N20" s="36"/>
      <c r="O20" s="36"/>
      <c r="P20" s="36"/>
    </row>
    <row r="21" spans="1:19" x14ac:dyDescent="0.25">
      <c r="A21" s="16"/>
      <c r="B21" s="32" t="s">
        <v>59</v>
      </c>
      <c r="C21" s="17">
        <f t="shared" ref="C21:E23" si="0">C36</f>
        <v>1</v>
      </c>
      <c r="D21" s="33">
        <f t="shared" si="0"/>
        <v>5.8</v>
      </c>
      <c r="E21" s="33">
        <f t="shared" si="0"/>
        <v>0.45</v>
      </c>
      <c r="F21" s="33">
        <v>0.15</v>
      </c>
      <c r="G21" s="33">
        <f>PRODUCT(C21:F21)</f>
        <v>0.39149999999999996</v>
      </c>
      <c r="H21" s="17"/>
      <c r="I21" s="17"/>
      <c r="J21" s="17"/>
      <c r="K21" s="17"/>
      <c r="M21" s="36"/>
      <c r="N21" s="36"/>
      <c r="O21" s="36"/>
      <c r="P21" s="36"/>
    </row>
    <row r="22" spans="1:19" x14ac:dyDescent="0.25">
      <c r="A22" s="16"/>
      <c r="B22" s="32"/>
      <c r="C22" s="17">
        <f t="shared" si="0"/>
        <v>1</v>
      </c>
      <c r="D22" s="33">
        <f t="shared" si="0"/>
        <v>4.2</v>
      </c>
      <c r="E22" s="33">
        <f t="shared" si="0"/>
        <v>0.45</v>
      </c>
      <c r="F22" s="33">
        <v>0.15</v>
      </c>
      <c r="G22" s="33">
        <f t="shared" ref="G22:G25" si="1">PRODUCT(C22:F22)</f>
        <v>0.28350000000000003</v>
      </c>
      <c r="H22" s="17"/>
      <c r="I22" s="17"/>
      <c r="J22" s="17"/>
      <c r="K22" s="17"/>
      <c r="M22" s="36"/>
      <c r="N22" s="36"/>
      <c r="O22" s="36"/>
      <c r="P22" s="36"/>
    </row>
    <row r="23" spans="1:19" x14ac:dyDescent="0.25">
      <c r="A23" s="16"/>
      <c r="B23" s="32"/>
      <c r="C23" s="17">
        <f t="shared" si="0"/>
        <v>14</v>
      </c>
      <c r="D23" s="33">
        <f t="shared" si="0"/>
        <v>1.2</v>
      </c>
      <c r="E23" s="33">
        <f t="shared" si="0"/>
        <v>0.3</v>
      </c>
      <c r="F23" s="33">
        <v>0.15</v>
      </c>
      <c r="G23" s="33">
        <f t="shared" si="1"/>
        <v>0.75600000000000001</v>
      </c>
      <c r="H23" s="17"/>
      <c r="I23" s="17"/>
      <c r="J23" s="17"/>
      <c r="K23" s="17"/>
      <c r="M23" s="36"/>
      <c r="N23" s="36"/>
      <c r="O23" s="36"/>
      <c r="P23" s="36"/>
    </row>
    <row r="24" spans="1:19" x14ac:dyDescent="0.25">
      <c r="A24" s="16"/>
      <c r="B24" s="32"/>
      <c r="C24" s="17">
        <v>1</v>
      </c>
      <c r="D24" s="33">
        <v>1.2</v>
      </c>
      <c r="E24" s="33">
        <v>0.45</v>
      </c>
      <c r="F24" s="33">
        <v>0.15</v>
      </c>
      <c r="G24" s="33">
        <f t="shared" si="1"/>
        <v>8.1000000000000003E-2</v>
      </c>
      <c r="H24" s="17"/>
      <c r="I24" s="17"/>
      <c r="J24" s="17"/>
      <c r="K24" s="17"/>
      <c r="M24" s="36"/>
      <c r="N24" s="36"/>
      <c r="O24" s="36"/>
      <c r="P24" s="36"/>
    </row>
    <row r="25" spans="1:19" x14ac:dyDescent="0.25">
      <c r="A25" s="16"/>
      <c r="B25" s="32" t="s">
        <v>61</v>
      </c>
      <c r="C25" s="17">
        <v>1</v>
      </c>
      <c r="D25" s="33">
        <f>7/3.281</f>
        <v>2.1334958854007922</v>
      </c>
      <c r="E25" s="33">
        <v>1.5</v>
      </c>
      <c r="F25" s="33">
        <v>0.15</v>
      </c>
      <c r="G25" s="33">
        <f t="shared" si="1"/>
        <v>0.4800365742151782</v>
      </c>
      <c r="H25" s="17"/>
      <c r="I25" s="17"/>
      <c r="J25" s="17"/>
      <c r="K25" s="17"/>
      <c r="M25" s="36"/>
      <c r="N25" s="36"/>
      <c r="O25" s="36"/>
      <c r="P25" s="36"/>
    </row>
    <row r="26" spans="1:19" ht="15" customHeight="1" x14ac:dyDescent="0.25">
      <c r="A26" s="2"/>
      <c r="B26" s="34" t="s">
        <v>17</v>
      </c>
      <c r="C26" s="3"/>
      <c r="D26" s="4"/>
      <c r="E26" s="5"/>
      <c r="F26" s="5"/>
      <c r="G26" s="6">
        <f>SUM(G18:G25)</f>
        <v>6.5145365742151782</v>
      </c>
      <c r="H26" s="7" t="s">
        <v>18</v>
      </c>
      <c r="I26" s="6">
        <v>4458.5200000000004</v>
      </c>
      <c r="J26" s="18">
        <f>G26*I26</f>
        <v>29045.191606869859</v>
      </c>
      <c r="K26" s="5"/>
    </row>
    <row r="27" spans="1:19" x14ac:dyDescent="0.25">
      <c r="A27" s="16"/>
      <c r="B27" s="32" t="s">
        <v>24</v>
      </c>
      <c r="C27" s="17"/>
      <c r="D27" s="17"/>
      <c r="E27" s="17"/>
      <c r="F27" s="17"/>
      <c r="G27" s="17"/>
      <c r="H27" s="17"/>
      <c r="I27" s="17"/>
      <c r="J27" s="18">
        <f>0.13*G26*(14817.6)/5</f>
        <v>2509.7747256943617</v>
      </c>
      <c r="K27" s="17"/>
    </row>
    <row r="28" spans="1:19" x14ac:dyDescent="0.25">
      <c r="A28" s="16"/>
      <c r="B28" s="17"/>
      <c r="C28" s="17"/>
      <c r="D28" s="17"/>
      <c r="E28" s="17"/>
      <c r="F28" s="17"/>
      <c r="G28" s="17"/>
      <c r="H28" s="17"/>
      <c r="I28" s="17"/>
      <c r="J28" s="17"/>
      <c r="K28" s="17"/>
    </row>
    <row r="29" spans="1:19" ht="78.75" x14ac:dyDescent="0.25">
      <c r="A29" s="16">
        <v>3</v>
      </c>
      <c r="B29" s="35" t="s">
        <v>32</v>
      </c>
      <c r="C29" s="17"/>
      <c r="D29" s="17"/>
      <c r="E29" s="17"/>
      <c r="F29" s="17"/>
      <c r="G29" s="17"/>
      <c r="H29" s="17"/>
      <c r="I29" s="17"/>
      <c r="J29" s="17"/>
      <c r="K29" s="17"/>
    </row>
    <row r="30" spans="1:19" x14ac:dyDescent="0.25">
      <c r="A30" s="16"/>
      <c r="B30" s="32" t="str">
        <f>B18</f>
        <v>-for masonary wall</v>
      </c>
      <c r="C30" s="17">
        <v>1</v>
      </c>
      <c r="D30" s="33">
        <f>D48</f>
        <v>5.9</v>
      </c>
      <c r="E30" s="33">
        <f>E18</f>
        <v>1.5</v>
      </c>
      <c r="F30" s="33">
        <v>0.05</v>
      </c>
      <c r="G30" s="33">
        <f>PRODUCT(C30:F30)</f>
        <v>0.44250000000000012</v>
      </c>
      <c r="H30" s="17"/>
      <c r="I30" s="17"/>
      <c r="J30" s="17"/>
      <c r="K30" s="17"/>
      <c r="M30" s="33">
        <f>7</f>
        <v>7</v>
      </c>
      <c r="N30" s="33">
        <f>2</f>
        <v>2</v>
      </c>
      <c r="O30" s="33"/>
      <c r="P30" s="33">
        <f>PI()*M30*SQRT(M30^2+N30^2)</f>
        <v>160.09797821843054</v>
      </c>
    </row>
    <row r="31" spans="1:19" x14ac:dyDescent="0.25">
      <c r="A31" s="16"/>
      <c r="B31" s="32"/>
      <c r="C31" s="17">
        <v>1</v>
      </c>
      <c r="D31" s="33">
        <f>D30</f>
        <v>5.9</v>
      </c>
      <c r="E31" s="33">
        <v>0.5</v>
      </c>
      <c r="F31" s="33">
        <v>0.05</v>
      </c>
      <c r="G31" s="33">
        <f>PRODUCT(C31:F31)</f>
        <v>0.14750000000000002</v>
      </c>
      <c r="H31" s="17"/>
      <c r="I31" s="17"/>
      <c r="J31" s="17"/>
      <c r="K31" s="17"/>
      <c r="M31" s="36"/>
      <c r="N31" s="36"/>
      <c r="O31" s="36"/>
      <c r="P31" s="36"/>
    </row>
    <row r="32" spans="1:19" x14ac:dyDescent="0.25">
      <c r="A32" s="16"/>
      <c r="B32" s="32"/>
      <c r="C32" s="17">
        <v>1</v>
      </c>
      <c r="D32" s="33">
        <f>D49</f>
        <v>7.2</v>
      </c>
      <c r="E32" s="33">
        <f>3/2</f>
        <v>1.5</v>
      </c>
      <c r="F32" s="33">
        <v>0.05</v>
      </c>
      <c r="G32" s="33">
        <f t="shared" ref="G32:G39" si="2">PRODUCT(C32:F32)</f>
        <v>0.54</v>
      </c>
      <c r="H32" s="17"/>
      <c r="I32" s="17"/>
      <c r="J32" s="17"/>
      <c r="K32" s="17"/>
      <c r="M32" s="36"/>
      <c r="N32" s="36"/>
      <c r="O32" s="36"/>
      <c r="P32" s="36"/>
    </row>
    <row r="33" spans="1:16" x14ac:dyDescent="0.25">
      <c r="A33" s="16"/>
      <c r="B33" s="32"/>
      <c r="C33" s="17">
        <v>1</v>
      </c>
      <c r="D33" s="33">
        <f>D32</f>
        <v>7.2</v>
      </c>
      <c r="E33" s="33">
        <v>0.5</v>
      </c>
      <c r="F33" s="33">
        <v>0.05</v>
      </c>
      <c r="G33" s="33">
        <f t="shared" si="2"/>
        <v>0.18000000000000002</v>
      </c>
      <c r="H33" s="17"/>
      <c r="I33" s="17"/>
      <c r="J33" s="17"/>
      <c r="K33" s="17"/>
      <c r="M33" s="36"/>
      <c r="N33" s="36"/>
      <c r="O33" s="36"/>
      <c r="P33" s="36"/>
    </row>
    <row r="34" spans="1:16" x14ac:dyDescent="0.25">
      <c r="A34" s="16"/>
      <c r="B34" s="32"/>
      <c r="C34" s="17">
        <f>C50</f>
        <v>1</v>
      </c>
      <c r="D34" s="33">
        <f>D50</f>
        <v>7.5</v>
      </c>
      <c r="E34" s="33">
        <v>1.4</v>
      </c>
      <c r="F34" s="33">
        <v>0.05</v>
      </c>
      <c r="G34" s="33">
        <f t="shared" si="2"/>
        <v>0.52500000000000002</v>
      </c>
      <c r="H34" s="17"/>
      <c r="I34" s="17"/>
      <c r="J34" s="17"/>
      <c r="K34" s="17"/>
      <c r="M34" s="36"/>
      <c r="N34" s="36"/>
      <c r="O34" s="36"/>
      <c r="P34" s="36"/>
    </row>
    <row r="35" spans="1:16" x14ac:dyDescent="0.25">
      <c r="A35" s="16"/>
      <c r="B35" s="32"/>
      <c r="C35" s="17">
        <f>C34</f>
        <v>1</v>
      </c>
      <c r="D35" s="33">
        <f>D34</f>
        <v>7.5</v>
      </c>
      <c r="E35" s="33">
        <v>0.5</v>
      </c>
      <c r="F35" s="33">
        <v>0.05</v>
      </c>
      <c r="G35" s="33">
        <f t="shared" si="2"/>
        <v>0.1875</v>
      </c>
      <c r="H35" s="17"/>
      <c r="I35" s="17"/>
      <c r="J35" s="17"/>
      <c r="K35" s="17"/>
      <c r="M35" s="36"/>
      <c r="N35" s="36"/>
      <c r="O35" s="36"/>
      <c r="P35" s="36"/>
    </row>
    <row r="36" spans="1:16" x14ac:dyDescent="0.25">
      <c r="A36" s="16"/>
      <c r="B36" s="32" t="s">
        <v>59</v>
      </c>
      <c r="C36" s="17">
        <v>1</v>
      </c>
      <c r="D36" s="33">
        <f>D51</f>
        <v>5.8</v>
      </c>
      <c r="E36" s="33">
        <v>0.45</v>
      </c>
      <c r="F36" s="33">
        <v>0.05</v>
      </c>
      <c r="G36" s="33">
        <f t="shared" si="2"/>
        <v>0.1305</v>
      </c>
      <c r="H36" s="17"/>
      <c r="I36" s="17"/>
      <c r="J36" s="17"/>
      <c r="K36" s="17"/>
      <c r="M36" s="36"/>
      <c r="N36" s="36"/>
      <c r="O36" s="36"/>
      <c r="P36" s="36"/>
    </row>
    <row r="37" spans="1:16" x14ac:dyDescent="0.25">
      <c r="A37" s="16"/>
      <c r="B37" s="32"/>
      <c r="C37" s="37">
        <f>C51</f>
        <v>1</v>
      </c>
      <c r="D37" s="33">
        <f>D52</f>
        <v>4.2</v>
      </c>
      <c r="E37" s="33">
        <f>E51</f>
        <v>0.45</v>
      </c>
      <c r="F37" s="33">
        <v>0.05</v>
      </c>
      <c r="G37" s="33">
        <f t="shared" si="2"/>
        <v>9.4500000000000015E-2</v>
      </c>
      <c r="H37" s="17"/>
      <c r="I37" s="17"/>
      <c r="J37" s="17"/>
      <c r="K37" s="17"/>
      <c r="M37" s="36"/>
      <c r="N37" s="36"/>
      <c r="O37" s="36"/>
      <c r="P37" s="36"/>
    </row>
    <row r="38" spans="1:16" x14ac:dyDescent="0.25">
      <c r="A38" s="16"/>
      <c r="B38" s="32" t="s">
        <v>43</v>
      </c>
      <c r="C38" s="37">
        <v>14</v>
      </c>
      <c r="D38" s="33">
        <v>1.2</v>
      </c>
      <c r="E38" s="33">
        <v>0.3</v>
      </c>
      <c r="F38" s="33">
        <v>0.05</v>
      </c>
      <c r="G38" s="33">
        <f t="shared" si="2"/>
        <v>0.252</v>
      </c>
      <c r="H38" s="17"/>
      <c r="I38" s="17"/>
      <c r="J38" s="17"/>
      <c r="K38" s="17"/>
      <c r="M38" s="36"/>
      <c r="N38" s="36"/>
      <c r="O38" s="36"/>
      <c r="P38" s="36"/>
    </row>
    <row r="39" spans="1:16" x14ac:dyDescent="0.25">
      <c r="A39" s="16"/>
      <c r="B39" s="32"/>
      <c r="C39" s="37">
        <v>1</v>
      </c>
      <c r="D39" s="33">
        <v>1.2</v>
      </c>
      <c r="E39" s="33">
        <v>0.9</v>
      </c>
      <c r="F39" s="33">
        <v>0.05</v>
      </c>
      <c r="G39" s="33">
        <f t="shared" si="2"/>
        <v>5.4000000000000006E-2</v>
      </c>
      <c r="H39" s="17"/>
      <c r="I39" s="17"/>
      <c r="J39" s="17"/>
      <c r="K39" s="17"/>
      <c r="M39" s="36"/>
      <c r="N39" s="36"/>
      <c r="O39" s="36"/>
      <c r="P39" s="36"/>
    </row>
    <row r="40" spans="1:16" ht="15" customHeight="1" x14ac:dyDescent="0.25">
      <c r="A40" s="2"/>
      <c r="B40" s="34" t="s">
        <v>17</v>
      </c>
      <c r="C40" s="3"/>
      <c r="D40" s="4"/>
      <c r="E40" s="5"/>
      <c r="F40" s="5"/>
      <c r="G40" s="6">
        <f>SUM(G30:G39)</f>
        <v>2.5535000000000001</v>
      </c>
      <c r="H40" s="7" t="s">
        <v>18</v>
      </c>
      <c r="I40" s="6">
        <v>10964.46</v>
      </c>
      <c r="J40" s="18">
        <f>G40*I40</f>
        <v>27997.748609999999</v>
      </c>
      <c r="K40" s="5"/>
    </row>
    <row r="41" spans="1:16" x14ac:dyDescent="0.25">
      <c r="A41" s="16"/>
      <c r="B41" s="32" t="s">
        <v>33</v>
      </c>
      <c r="C41" s="17"/>
      <c r="D41" s="17"/>
      <c r="E41" s="17"/>
      <c r="F41" s="17"/>
      <c r="G41" s="17"/>
      <c r="H41" s="17"/>
      <c r="I41" s="17"/>
      <c r="J41" s="18">
        <f>0.13*G40*(53818.03)/15</f>
        <v>1191.0109432433335</v>
      </c>
      <c r="K41" s="17"/>
    </row>
    <row r="42" spans="1:16" x14ac:dyDescent="0.25">
      <c r="A42" s="16"/>
      <c r="B42" s="32" t="s">
        <v>34</v>
      </c>
      <c r="C42" s="17"/>
      <c r="D42" s="17"/>
      <c r="E42" s="17"/>
      <c r="F42" s="17"/>
      <c r="G42" s="17"/>
      <c r="H42" s="17"/>
      <c r="I42" s="17"/>
      <c r="J42" s="18">
        <f>0.13*G40*(21432.6)/15</f>
        <v>474.31058219999994</v>
      </c>
      <c r="K42" s="17"/>
    </row>
    <row r="43" spans="1:16" x14ac:dyDescent="0.25">
      <c r="A43" s="16"/>
      <c r="B43" s="32" t="s">
        <v>35</v>
      </c>
      <c r="C43" s="17"/>
      <c r="D43" s="17"/>
      <c r="E43" s="17"/>
      <c r="F43" s="17"/>
      <c r="G43" s="17"/>
      <c r="H43" s="17"/>
      <c r="I43" s="17"/>
      <c r="J43" s="18">
        <f>0.13*G40*(25719.12+13573.98+4286.52)/15</f>
        <v>964.43151713999987</v>
      </c>
      <c r="K43" s="17"/>
    </row>
    <row r="44" spans="1:16" x14ac:dyDescent="0.25">
      <c r="A44" s="16"/>
      <c r="B44" s="32" t="s">
        <v>36</v>
      </c>
      <c r="C44" s="17"/>
      <c r="D44" s="17"/>
      <c r="E44" s="17"/>
      <c r="F44" s="17"/>
      <c r="G44" s="17"/>
      <c r="H44" s="17"/>
      <c r="I44" s="17"/>
      <c r="J44" s="18">
        <f>0.13*G40*(6325.7)/15</f>
        <v>139.98984956666666</v>
      </c>
      <c r="K44" s="17"/>
    </row>
    <row r="45" spans="1:16" x14ac:dyDescent="0.25">
      <c r="A45" s="16"/>
      <c r="B45" s="32" t="s">
        <v>40</v>
      </c>
      <c r="C45" s="17"/>
      <c r="D45" s="17"/>
      <c r="E45" s="17"/>
      <c r="F45" s="17"/>
      <c r="G45" s="17"/>
      <c r="H45" s="17"/>
      <c r="I45" s="17"/>
      <c r="J45" s="18">
        <f>0.13*G40*(310)/5</f>
        <v>20.581209999999999</v>
      </c>
      <c r="K45" s="17"/>
    </row>
    <row r="46" spans="1:16" x14ac:dyDescent="0.25">
      <c r="A46" s="16"/>
      <c r="B46" s="17"/>
      <c r="C46" s="17"/>
      <c r="D46" s="17"/>
      <c r="E46" s="17"/>
      <c r="F46" s="17"/>
      <c r="G46" s="17"/>
      <c r="H46" s="17"/>
      <c r="I46" s="17"/>
      <c r="J46" s="17"/>
      <c r="K46" s="17"/>
    </row>
    <row r="47" spans="1:16" ht="110.25" x14ac:dyDescent="0.25">
      <c r="A47" s="16">
        <v>4</v>
      </c>
      <c r="B47" s="35" t="s">
        <v>37</v>
      </c>
      <c r="C47" s="17"/>
      <c r="D47" s="17"/>
      <c r="E47" s="17"/>
      <c r="F47" s="17"/>
      <c r="G47" s="17"/>
      <c r="H47" s="17"/>
      <c r="I47" s="17"/>
      <c r="J47" s="17"/>
      <c r="K47" s="17"/>
    </row>
    <row r="48" spans="1:16" x14ac:dyDescent="0.25">
      <c r="A48" s="16"/>
      <c r="B48" s="32" t="str">
        <f>B30</f>
        <v>-for masonary wall</v>
      </c>
      <c r="C48" s="17">
        <v>1</v>
      </c>
      <c r="D48" s="33">
        <v>5.9</v>
      </c>
      <c r="E48" s="33">
        <f>((F48/2)+0.5)/2</f>
        <v>1</v>
      </c>
      <c r="F48" s="33">
        <v>3</v>
      </c>
      <c r="G48" s="33">
        <f t="shared" ref="G48:G55" si="3">PRODUCT(C48:F48)</f>
        <v>17.700000000000003</v>
      </c>
      <c r="H48" s="17"/>
      <c r="I48" s="17"/>
      <c r="J48" s="17"/>
      <c r="K48" s="17"/>
      <c r="M48" s="33">
        <f>7</f>
        <v>7</v>
      </c>
      <c r="N48" s="33">
        <f>2</f>
        <v>2</v>
      </c>
      <c r="O48" s="33"/>
      <c r="P48" s="33">
        <f>PI()*M48*SQRT(M48^2+N48^2)</f>
        <v>160.09797821843054</v>
      </c>
    </row>
    <row r="49" spans="1:19" x14ac:dyDescent="0.25">
      <c r="A49" s="16"/>
      <c r="B49" s="32"/>
      <c r="C49" s="17">
        <v>1</v>
      </c>
      <c r="D49" s="33">
        <v>7.2</v>
      </c>
      <c r="E49" s="33">
        <f>((F49/2)+(0.5))/2</f>
        <v>1</v>
      </c>
      <c r="F49" s="33">
        <v>3</v>
      </c>
      <c r="G49" s="33">
        <f t="shared" si="3"/>
        <v>21.6</v>
      </c>
      <c r="H49" s="17"/>
      <c r="I49" s="17"/>
      <c r="J49" s="17"/>
      <c r="K49" s="17"/>
      <c r="M49" s="36"/>
      <c r="N49" s="36"/>
      <c r="O49" s="36"/>
      <c r="P49" s="36"/>
      <c r="Q49" s="19">
        <f>E49*3.281</f>
        <v>3.2810000000000001</v>
      </c>
      <c r="R49" s="19">
        <f>F49*3.281</f>
        <v>9.843</v>
      </c>
    </row>
    <row r="50" spans="1:19" x14ac:dyDescent="0.25">
      <c r="A50" s="16"/>
      <c r="B50" s="32"/>
      <c r="C50" s="17">
        <v>1</v>
      </c>
      <c r="D50" s="33">
        <v>7.5</v>
      </c>
      <c r="E50" s="33">
        <f>((1.4)+0.5)/2</f>
        <v>0.95</v>
      </c>
      <c r="F50" s="33">
        <v>3</v>
      </c>
      <c r="G50" s="33">
        <f t="shared" si="3"/>
        <v>21.375</v>
      </c>
      <c r="H50" s="17"/>
      <c r="I50" s="17"/>
      <c r="J50" s="17"/>
      <c r="K50" s="17"/>
      <c r="M50" s="36"/>
      <c r="N50" s="36"/>
      <c r="O50" s="36"/>
      <c r="P50" s="36"/>
    </row>
    <row r="51" spans="1:19" x14ac:dyDescent="0.25">
      <c r="A51" s="16"/>
      <c r="B51" s="32" t="s">
        <v>59</v>
      </c>
      <c r="C51" s="37">
        <v>1</v>
      </c>
      <c r="D51" s="33">
        <v>5.8</v>
      </c>
      <c r="E51" s="33">
        <v>0.45</v>
      </c>
      <c r="F51" s="33">
        <v>0.45</v>
      </c>
      <c r="G51" s="33">
        <f t="shared" si="3"/>
        <v>1.1744999999999999</v>
      </c>
      <c r="H51" s="17"/>
      <c r="I51" s="17"/>
      <c r="J51" s="17"/>
      <c r="K51" s="17"/>
      <c r="M51" s="36"/>
      <c r="N51" s="36"/>
      <c r="O51" s="36"/>
      <c r="P51" s="36"/>
    </row>
    <row r="52" spans="1:19" x14ac:dyDescent="0.25">
      <c r="A52" s="16"/>
      <c r="B52" s="32"/>
      <c r="C52" s="37">
        <v>1</v>
      </c>
      <c r="D52" s="33">
        <v>4.2</v>
      </c>
      <c r="E52" s="33">
        <v>0.45</v>
      </c>
      <c r="F52" s="33">
        <v>0.45</v>
      </c>
      <c r="G52" s="33">
        <f t="shared" si="3"/>
        <v>0.85050000000000003</v>
      </c>
      <c r="H52" s="17"/>
      <c r="I52" s="17"/>
      <c r="J52" s="17"/>
      <c r="K52" s="17"/>
      <c r="M52" s="36"/>
      <c r="N52" s="36"/>
      <c r="O52" s="36"/>
      <c r="P52" s="36"/>
    </row>
    <row r="53" spans="1:19" x14ac:dyDescent="0.25">
      <c r="A53" s="16"/>
      <c r="B53" s="32" t="s">
        <v>60</v>
      </c>
      <c r="C53" s="37">
        <v>1</v>
      </c>
      <c r="D53" s="33">
        <v>1.2</v>
      </c>
      <c r="E53" s="33">
        <v>0.45</v>
      </c>
      <c r="F53" s="33">
        <v>0.6</v>
      </c>
      <c r="G53" s="33">
        <f t="shared" si="3"/>
        <v>0.32400000000000001</v>
      </c>
      <c r="H53" s="17"/>
      <c r="I53" s="17"/>
      <c r="J53" s="17"/>
      <c r="K53" s="17"/>
      <c r="M53" s="36"/>
      <c r="N53" s="36"/>
      <c r="O53" s="36"/>
      <c r="P53" s="36"/>
    </row>
    <row r="54" spans="1:19" x14ac:dyDescent="0.25">
      <c r="A54" s="16"/>
      <c r="B54" s="32"/>
      <c r="C54" s="37">
        <v>1</v>
      </c>
      <c r="D54" s="33">
        <f>6.833/3.281</f>
        <v>2.082596769277659</v>
      </c>
      <c r="E54" s="33">
        <v>0.45</v>
      </c>
      <c r="F54" s="33">
        <v>0.6</v>
      </c>
      <c r="G54" s="33">
        <f t="shared" si="3"/>
        <v>0.56230112770496798</v>
      </c>
      <c r="H54" s="17"/>
      <c r="I54" s="17"/>
      <c r="J54" s="17"/>
      <c r="K54" s="17"/>
      <c r="M54" s="36"/>
      <c r="N54" s="36"/>
      <c r="O54" s="36"/>
      <c r="P54" s="36"/>
    </row>
    <row r="55" spans="1:19" x14ac:dyDescent="0.25">
      <c r="A55" s="16"/>
      <c r="B55" s="32"/>
      <c r="C55" s="37">
        <v>1</v>
      </c>
      <c r="D55" s="33">
        <f>7/3.281</f>
        <v>2.1334958854007922</v>
      </c>
      <c r="E55" s="33">
        <f>((F55/2)+0.5)/2</f>
        <v>0.5</v>
      </c>
      <c r="F55" s="33">
        <v>1</v>
      </c>
      <c r="G55" s="33">
        <f t="shared" si="3"/>
        <v>1.0667479427003961</v>
      </c>
      <c r="H55" s="17"/>
      <c r="I55" s="17"/>
      <c r="J55" s="17"/>
      <c r="K55" s="17"/>
      <c r="M55" s="36"/>
      <c r="N55" s="36"/>
      <c r="O55" s="36"/>
      <c r="P55" s="36"/>
      <c r="R55" s="19" t="s">
        <v>63</v>
      </c>
      <c r="S55" s="36">
        <f>J59+J27</f>
        <v>27403.027006028147</v>
      </c>
    </row>
    <row r="56" spans="1:19" ht="15" customHeight="1" x14ac:dyDescent="0.25">
      <c r="A56" s="2"/>
      <c r="B56" s="34" t="s">
        <v>17</v>
      </c>
      <c r="C56" s="3"/>
      <c r="D56" s="4"/>
      <c r="E56" s="5"/>
      <c r="F56" s="5"/>
      <c r="G56" s="6">
        <f>SUM(G48:G55)</f>
        <v>64.653049070405373</v>
      </c>
      <c r="H56" s="7" t="s">
        <v>18</v>
      </c>
      <c r="I56" s="6">
        <v>8987.83</v>
      </c>
      <c r="J56" s="18">
        <f>G56*I56</f>
        <v>581090.6140264615</v>
      </c>
      <c r="K56" s="5"/>
      <c r="R56" s="19" t="s">
        <v>64</v>
      </c>
      <c r="S56" s="36">
        <f>J41+J57</f>
        <v>11048.189367749826</v>
      </c>
    </row>
    <row r="57" spans="1:19" x14ac:dyDescent="0.25">
      <c r="A57" s="16"/>
      <c r="B57" s="32" t="s">
        <v>33</v>
      </c>
      <c r="C57" s="17"/>
      <c r="D57" s="17"/>
      <c r="E57" s="17"/>
      <c r="F57" s="17"/>
      <c r="G57" s="17"/>
      <c r="H57" s="17"/>
      <c r="I57" s="17"/>
      <c r="J57" s="18">
        <f>0.13*G56*(5863.95)/5</f>
        <v>9857.1784245064937</v>
      </c>
      <c r="K57" s="17"/>
      <c r="R57" s="19" t="s">
        <v>65</v>
      </c>
      <c r="S57" s="36">
        <f>J42+J58</f>
        <v>11576.197007163631</v>
      </c>
    </row>
    <row r="58" spans="1:19" x14ac:dyDescent="0.25">
      <c r="A58" s="16"/>
      <c r="B58" s="32" t="s">
        <v>34</v>
      </c>
      <c r="C58" s="17"/>
      <c r="D58" s="17"/>
      <c r="E58" s="17"/>
      <c r="F58" s="17"/>
      <c r="G58" s="17"/>
      <c r="H58" s="17"/>
      <c r="I58" s="17"/>
      <c r="J58" s="18">
        <f>0.13*G56*(6604.416)/5</f>
        <v>11101.886424963632</v>
      </c>
      <c r="K58" s="17"/>
      <c r="R58" s="19" t="s">
        <v>66</v>
      </c>
      <c r="S58" s="36">
        <f>J60+J45</f>
        <v>541.6847855074675</v>
      </c>
    </row>
    <row r="59" spans="1:19" x14ac:dyDescent="0.25">
      <c r="A59" s="16"/>
      <c r="B59" s="32" t="s">
        <v>38</v>
      </c>
      <c r="C59" s="17"/>
      <c r="D59" s="17"/>
      <c r="E59" s="17"/>
      <c r="F59" s="17"/>
      <c r="G59" s="17"/>
      <c r="H59" s="17"/>
      <c r="I59" s="17"/>
      <c r="J59" s="18">
        <f>0.13*G56*(14808.78)/5</f>
        <v>24893.252280333785</v>
      </c>
      <c r="K59" s="17"/>
    </row>
    <row r="60" spans="1:19" x14ac:dyDescent="0.25">
      <c r="A60" s="16"/>
      <c r="B60" s="32" t="s">
        <v>40</v>
      </c>
      <c r="C60" s="17"/>
      <c r="D60" s="17"/>
      <c r="E60" s="17"/>
      <c r="F60" s="17"/>
      <c r="G60" s="17"/>
      <c r="H60" s="17"/>
      <c r="I60" s="17"/>
      <c r="J60" s="18">
        <f>0.13*G56*(310)/5</f>
        <v>521.10357550746744</v>
      </c>
      <c r="K60" s="17"/>
    </row>
    <row r="61" spans="1:19" x14ac:dyDescent="0.25">
      <c r="A61" s="16"/>
      <c r="B61" s="17"/>
      <c r="C61" s="17"/>
      <c r="D61" s="17"/>
      <c r="E61" s="17"/>
      <c r="F61" s="17"/>
      <c r="G61" s="17"/>
      <c r="H61" s="17"/>
      <c r="I61" s="17"/>
      <c r="J61" s="17"/>
      <c r="K61" s="17"/>
    </row>
    <row r="62" spans="1:19" ht="15" customHeight="1" x14ac:dyDescent="0.25">
      <c r="A62" s="2">
        <v>5</v>
      </c>
      <c r="B62" s="1" t="s">
        <v>19</v>
      </c>
      <c r="C62" s="3">
        <v>1</v>
      </c>
      <c r="D62" s="4"/>
      <c r="E62" s="5"/>
      <c r="F62" s="5"/>
      <c r="G62" s="7">
        <f t="shared" ref="G62" si="4">PRODUCT(C62:F62)</f>
        <v>1</v>
      </c>
      <c r="H62" s="7" t="s">
        <v>20</v>
      </c>
      <c r="I62" s="6">
        <v>500</v>
      </c>
      <c r="J62" s="7">
        <f>G62*I62</f>
        <v>500</v>
      </c>
      <c r="K62" s="5"/>
    </row>
    <row r="63" spans="1:19" x14ac:dyDescent="0.25">
      <c r="A63" s="2"/>
      <c r="B63" s="8"/>
      <c r="C63" s="3"/>
      <c r="D63" s="4"/>
      <c r="E63" s="5"/>
      <c r="F63" s="5"/>
      <c r="G63" s="6"/>
      <c r="H63" s="7"/>
      <c r="I63" s="6"/>
      <c r="J63" s="18"/>
      <c r="K63" s="5"/>
    </row>
    <row r="64" spans="1:19" x14ac:dyDescent="0.25">
      <c r="A64" s="21"/>
      <c r="B64" s="22" t="s">
        <v>22</v>
      </c>
      <c r="C64" s="23"/>
      <c r="D64" s="24"/>
      <c r="E64" s="24"/>
      <c r="F64" s="24"/>
      <c r="G64" s="18"/>
      <c r="H64" s="18"/>
      <c r="I64" s="18"/>
      <c r="J64" s="18">
        <f>SUM(J9:J62)</f>
        <v>692428.57611178409</v>
      </c>
      <c r="K64" s="25"/>
    </row>
    <row r="65" spans="1:19" x14ac:dyDescent="0.25">
      <c r="M65" s="20"/>
      <c r="N65" s="20"/>
      <c r="O65" s="20"/>
      <c r="P65" s="20"/>
      <c r="Q65" s="20"/>
      <c r="R65" s="20"/>
      <c r="S65" s="20"/>
    </row>
    <row r="66" spans="1:19" s="20" customFormat="1" x14ac:dyDescent="0.25">
      <c r="A66" s="26"/>
      <c r="B66" s="27" t="s">
        <v>58</v>
      </c>
      <c r="C66" s="80">
        <f>J64</f>
        <v>692428.57611178409</v>
      </c>
      <c r="D66" s="81"/>
      <c r="E66" s="9">
        <v>100</v>
      </c>
      <c r="F66" s="26"/>
      <c r="G66" s="28"/>
      <c r="H66" s="26"/>
      <c r="I66" s="29"/>
      <c r="J66" s="30"/>
      <c r="K66" s="31"/>
      <c r="M66" s="19"/>
      <c r="N66" s="19"/>
      <c r="O66" s="19"/>
      <c r="P66" s="19"/>
      <c r="Q66" s="19"/>
      <c r="R66" s="19"/>
      <c r="S66" s="19"/>
    </row>
    <row r="67" spans="1:19" x14ac:dyDescent="0.25">
      <c r="B67" s="27" t="s">
        <v>25</v>
      </c>
      <c r="C67" s="84">
        <v>600000</v>
      </c>
      <c r="D67" s="85"/>
      <c r="E67" s="9"/>
    </row>
    <row r="68" spans="1:19" x14ac:dyDescent="0.25">
      <c r="B68" s="27" t="s">
        <v>26</v>
      </c>
      <c r="C68" s="84">
        <f>C67-C70-C71</f>
        <v>570000</v>
      </c>
      <c r="D68" s="85"/>
      <c r="E68" s="9">
        <f>C68/C66*100</f>
        <v>82.318959624794644</v>
      </c>
    </row>
    <row r="69" spans="1:19" x14ac:dyDescent="0.25">
      <c r="B69" s="27" t="s">
        <v>41</v>
      </c>
      <c r="C69" s="86">
        <f>C66-C68</f>
        <v>122428.57611178409</v>
      </c>
      <c r="D69" s="86"/>
      <c r="E69" s="9">
        <f>100-E68</f>
        <v>17.681040375205356</v>
      </c>
    </row>
    <row r="70" spans="1:19" x14ac:dyDescent="0.25">
      <c r="B70" s="27" t="s">
        <v>27</v>
      </c>
      <c r="C70" s="80">
        <f>C67*0.03</f>
        <v>18000</v>
      </c>
      <c r="D70" s="81"/>
      <c r="E70" s="9">
        <v>3</v>
      </c>
    </row>
    <row r="71" spans="1:19" x14ac:dyDescent="0.25">
      <c r="B71" s="27" t="s">
        <v>28</v>
      </c>
      <c r="C71" s="80">
        <f>C67*0.02</f>
        <v>12000</v>
      </c>
      <c r="D71" s="81"/>
      <c r="E71" s="9">
        <v>2</v>
      </c>
    </row>
  </sheetData>
  <mergeCells count="15">
    <mergeCell ref="A6:F6"/>
    <mergeCell ref="H6:K6"/>
    <mergeCell ref="A1:K1"/>
    <mergeCell ref="A2:K2"/>
    <mergeCell ref="A3:K3"/>
    <mergeCell ref="A4:K4"/>
    <mergeCell ref="A5:K5"/>
    <mergeCell ref="C70:D70"/>
    <mergeCell ref="C71:D71"/>
    <mergeCell ref="A7:F7"/>
    <mergeCell ref="H7:K7"/>
    <mergeCell ref="C66:D66"/>
    <mergeCell ref="C67:D67"/>
    <mergeCell ref="C68:D68"/>
    <mergeCell ref="C69:D6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7492-ECB0-405B-A4CA-AC0C8937A344}">
  <dimension ref="A1:S71"/>
  <sheetViews>
    <sheetView tabSelected="1" view="pageBreakPreview" zoomScale="95" zoomScaleNormal="90" zoomScaleSheetLayoutView="95" workbookViewId="0">
      <selection activeCell="L7" sqref="L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6" x14ac:dyDescent="0.25">
      <c r="A1" s="76" t="s">
        <v>0</v>
      </c>
      <c r="B1" s="76"/>
      <c r="C1" s="76"/>
      <c r="D1" s="76"/>
      <c r="E1" s="76"/>
      <c r="F1" s="76"/>
      <c r="G1" s="76"/>
      <c r="H1" s="76"/>
      <c r="I1" s="76"/>
      <c r="J1" s="76"/>
      <c r="K1" s="76"/>
    </row>
    <row r="2" spans="1:16" ht="22.5" x14ac:dyDescent="0.25">
      <c r="A2" s="77" t="s">
        <v>1</v>
      </c>
      <c r="B2" s="77"/>
      <c r="C2" s="77"/>
      <c r="D2" s="77"/>
      <c r="E2" s="77"/>
      <c r="F2" s="77"/>
      <c r="G2" s="77"/>
      <c r="H2" s="77"/>
      <c r="I2" s="77"/>
      <c r="J2" s="77"/>
      <c r="K2" s="77"/>
    </row>
    <row r="3" spans="1:16" x14ac:dyDescent="0.25">
      <c r="A3" s="78" t="s">
        <v>2</v>
      </c>
      <c r="B3" s="78"/>
      <c r="C3" s="78"/>
      <c r="D3" s="78"/>
      <c r="E3" s="78"/>
      <c r="F3" s="78"/>
      <c r="G3" s="78"/>
      <c r="H3" s="78"/>
      <c r="I3" s="78"/>
      <c r="J3" s="78"/>
      <c r="K3" s="78"/>
    </row>
    <row r="4" spans="1:16" x14ac:dyDescent="0.25">
      <c r="A4" s="78" t="s">
        <v>3</v>
      </c>
      <c r="B4" s="78"/>
      <c r="C4" s="78"/>
      <c r="D4" s="78"/>
      <c r="E4" s="78"/>
      <c r="F4" s="78"/>
      <c r="G4" s="78"/>
      <c r="H4" s="78"/>
      <c r="I4" s="78"/>
      <c r="J4" s="78"/>
      <c r="K4" s="78"/>
    </row>
    <row r="5" spans="1:16" ht="18.75" x14ac:dyDescent="0.3">
      <c r="A5" s="79" t="s">
        <v>62</v>
      </c>
      <c r="B5" s="79"/>
      <c r="C5" s="79"/>
      <c r="D5" s="79"/>
      <c r="E5" s="79"/>
      <c r="F5" s="79"/>
      <c r="G5" s="79"/>
      <c r="H5" s="79"/>
      <c r="I5" s="79"/>
      <c r="J5" s="79"/>
      <c r="K5" s="79"/>
    </row>
    <row r="6" spans="1:16" ht="15.75" x14ac:dyDescent="0.25">
      <c r="A6" s="66" t="s">
        <v>42</v>
      </c>
      <c r="B6" s="66"/>
      <c r="C6" s="66"/>
      <c r="D6" s="66"/>
      <c r="E6" s="66"/>
      <c r="F6" s="66"/>
      <c r="G6" s="10"/>
      <c r="I6" s="60"/>
      <c r="J6" s="60"/>
      <c r="K6" s="39" t="s">
        <v>29</v>
      </c>
    </row>
    <row r="7" spans="1:16" ht="15.75" x14ac:dyDescent="0.25">
      <c r="A7" s="82" t="s">
        <v>5</v>
      </c>
      <c r="B7" s="82"/>
      <c r="C7" s="82"/>
      <c r="D7" s="82"/>
      <c r="E7" s="82"/>
      <c r="F7" s="82"/>
      <c r="G7" s="11"/>
      <c r="I7" s="87"/>
      <c r="J7" s="87"/>
      <c r="K7" s="38" t="s">
        <v>67</v>
      </c>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f>D48</f>
        <v>5.9</v>
      </c>
      <c r="E10" s="33">
        <f>F48/2</f>
        <v>1.5</v>
      </c>
      <c r="F10" s="33">
        <v>0.6</v>
      </c>
      <c r="G10" s="33">
        <f>PRODUCT(C10:F10)</f>
        <v>5.3100000000000005</v>
      </c>
      <c r="H10" s="17"/>
      <c r="I10" s="17"/>
      <c r="J10" s="17"/>
      <c r="K10" s="17"/>
      <c r="M10" s="33">
        <f>7</f>
        <v>7</v>
      </c>
      <c r="N10" s="33">
        <f>2</f>
        <v>2</v>
      </c>
      <c r="O10" s="33"/>
      <c r="P10" s="33">
        <f>PI()*M10*SQRT(M10^2+N10^2)</f>
        <v>160.09797821843054</v>
      </c>
    </row>
    <row r="11" spans="1:16" x14ac:dyDescent="0.25">
      <c r="A11" s="16"/>
      <c r="B11" s="32"/>
      <c r="C11" s="17">
        <v>1</v>
      </c>
      <c r="D11" s="33">
        <f>D49</f>
        <v>7.2</v>
      </c>
      <c r="E11" s="33">
        <f>E19</f>
        <v>1.5</v>
      </c>
      <c r="F11" s="33">
        <v>1</v>
      </c>
      <c r="G11" s="33">
        <f>PRODUCT(C11:F11)</f>
        <v>10.8</v>
      </c>
      <c r="H11" s="17"/>
      <c r="I11" s="17"/>
      <c r="J11" s="17"/>
      <c r="K11" s="17"/>
      <c r="M11" s="36"/>
      <c r="N11" s="36"/>
      <c r="O11" s="36"/>
      <c r="P11" s="36"/>
    </row>
    <row r="12" spans="1:16" x14ac:dyDescent="0.25">
      <c r="A12" s="16"/>
      <c r="B12" s="32"/>
      <c r="C12" s="17">
        <f>C20</f>
        <v>1</v>
      </c>
      <c r="D12" s="33">
        <f>D20</f>
        <v>7.5</v>
      </c>
      <c r="E12" s="33">
        <f>E20</f>
        <v>1.4</v>
      </c>
      <c r="F12" s="33">
        <v>1</v>
      </c>
      <c r="G12" s="33">
        <f>PRODUCT(C12:F12)</f>
        <v>10.5</v>
      </c>
      <c r="H12" s="17"/>
      <c r="I12" s="17"/>
      <c r="J12" s="17"/>
      <c r="K12" s="17"/>
      <c r="M12" s="36"/>
      <c r="N12" s="36"/>
      <c r="O12" s="36"/>
      <c r="P12" s="36"/>
    </row>
    <row r="13" spans="1:16" x14ac:dyDescent="0.25">
      <c r="A13" s="16"/>
      <c r="B13" s="32" t="s">
        <v>43</v>
      </c>
      <c r="C13" s="17">
        <v>1</v>
      </c>
      <c r="D13" s="33">
        <v>6</v>
      </c>
      <c r="E13" s="33">
        <f>7/3.281</f>
        <v>2.1334958854007922</v>
      </c>
      <c r="F13" s="33">
        <v>0.3</v>
      </c>
      <c r="G13" s="33">
        <f>PRODUCT(C13:F13)</f>
        <v>3.8402925937214256</v>
      </c>
      <c r="H13" s="17"/>
      <c r="I13" s="17"/>
      <c r="J13" s="17"/>
      <c r="K13" s="17"/>
      <c r="M13" s="36"/>
      <c r="N13" s="36"/>
      <c r="O13" s="36"/>
      <c r="P13" s="36"/>
    </row>
    <row r="14" spans="1:16" ht="15" customHeight="1" x14ac:dyDescent="0.25">
      <c r="A14" s="2"/>
      <c r="B14" s="34" t="s">
        <v>17</v>
      </c>
      <c r="C14" s="3"/>
      <c r="D14" s="4"/>
      <c r="E14" s="5"/>
      <c r="F14" s="5"/>
      <c r="G14" s="6">
        <f>SUM(G10:G13)</f>
        <v>30.450292593721425</v>
      </c>
      <c r="H14" s="7" t="s">
        <v>18</v>
      </c>
      <c r="I14" s="6">
        <v>62.95</v>
      </c>
      <c r="J14" s="18">
        <f>G14*I14</f>
        <v>1916.8459187747637</v>
      </c>
      <c r="K14" s="5"/>
    </row>
    <row r="15" spans="1:16" hidden="1" x14ac:dyDescent="0.25">
      <c r="A15" s="16"/>
      <c r="B15" s="32" t="s">
        <v>24</v>
      </c>
      <c r="C15" s="17"/>
      <c r="D15" s="17"/>
      <c r="E15" s="17"/>
      <c r="F15" s="17"/>
      <c r="G15" s="17"/>
      <c r="H15" s="17"/>
      <c r="I15" s="17"/>
      <c r="J15" s="18">
        <f>0.13*G14*(18612)/360</f>
        <v>204.65641652240168</v>
      </c>
      <c r="K15" s="17"/>
    </row>
    <row r="16" spans="1:16" x14ac:dyDescent="0.25">
      <c r="A16" s="16"/>
      <c r="B16" s="17"/>
      <c r="C16" s="17"/>
      <c r="D16" s="17"/>
      <c r="E16" s="17"/>
      <c r="F16" s="17"/>
      <c r="G16" s="17"/>
      <c r="H16" s="17"/>
      <c r="I16" s="17"/>
      <c r="J16" s="17"/>
      <c r="K16" s="17"/>
    </row>
    <row r="17" spans="1:19" ht="94.5" x14ac:dyDescent="0.25">
      <c r="A17" s="16">
        <v>2</v>
      </c>
      <c r="B17" s="35" t="s">
        <v>31</v>
      </c>
      <c r="C17" s="17"/>
      <c r="D17" s="17"/>
      <c r="E17" s="17"/>
      <c r="F17" s="17"/>
      <c r="G17" s="17"/>
      <c r="H17" s="17"/>
      <c r="I17" s="17"/>
      <c r="J17" s="17"/>
      <c r="K17" s="17"/>
      <c r="R17" s="19">
        <f>3/0.15</f>
        <v>20</v>
      </c>
      <c r="S17" s="19">
        <v>0.3</v>
      </c>
    </row>
    <row r="18" spans="1:19" x14ac:dyDescent="0.25">
      <c r="A18" s="16"/>
      <c r="B18" s="32" t="str">
        <f>B10</f>
        <v>-for masonary wall</v>
      </c>
      <c r="C18" s="17">
        <v>1</v>
      </c>
      <c r="D18" s="33">
        <f>D48</f>
        <v>5.9</v>
      </c>
      <c r="E18" s="33">
        <f>E10</f>
        <v>1.5</v>
      </c>
      <c r="F18" s="33">
        <v>0.15</v>
      </c>
      <c r="G18" s="33">
        <f>PRODUCT(C18:F18)</f>
        <v>1.3275000000000001</v>
      </c>
      <c r="H18" s="17"/>
      <c r="I18" s="17"/>
      <c r="J18" s="17"/>
      <c r="K18" s="17"/>
      <c r="M18" s="33">
        <f>7</f>
        <v>7</v>
      </c>
      <c r="N18" s="33">
        <f>2</f>
        <v>2</v>
      </c>
      <c r="O18" s="33"/>
      <c r="P18" s="33">
        <f>PI()*M18*SQRT(M18^2+N18^2)</f>
        <v>160.09797821843054</v>
      </c>
    </row>
    <row r="19" spans="1:19" x14ac:dyDescent="0.25">
      <c r="A19" s="16"/>
      <c r="B19" s="32"/>
      <c r="C19" s="17">
        <v>1</v>
      </c>
      <c r="D19" s="33">
        <f>D49</f>
        <v>7.2</v>
      </c>
      <c r="E19" s="33">
        <f>E32</f>
        <v>1.5</v>
      </c>
      <c r="F19" s="33">
        <v>0.15</v>
      </c>
      <c r="G19" s="33">
        <f>PRODUCT(C19:F19)</f>
        <v>1.62</v>
      </c>
      <c r="H19" s="17"/>
      <c r="I19" s="17"/>
      <c r="J19" s="17"/>
      <c r="K19" s="17"/>
      <c r="M19" s="36"/>
      <c r="N19" s="36"/>
      <c r="O19" s="36"/>
      <c r="P19" s="36"/>
    </row>
    <row r="20" spans="1:19" x14ac:dyDescent="0.25">
      <c r="A20" s="16"/>
      <c r="B20" s="32"/>
      <c r="C20" s="17">
        <f>C34</f>
        <v>1</v>
      </c>
      <c r="D20" s="33">
        <f>D34</f>
        <v>7.5</v>
      </c>
      <c r="E20" s="33">
        <f>E34</f>
        <v>1.4</v>
      </c>
      <c r="F20" s="33">
        <v>0.15</v>
      </c>
      <c r="G20" s="33">
        <f>PRODUCT(C20:F20)</f>
        <v>1.575</v>
      </c>
      <c r="H20" s="17"/>
      <c r="I20" s="17"/>
      <c r="J20" s="17"/>
      <c r="K20" s="17"/>
      <c r="M20" s="36"/>
      <c r="N20" s="36"/>
      <c r="O20" s="36"/>
      <c r="P20" s="36"/>
    </row>
    <row r="21" spans="1:19" x14ac:dyDescent="0.25">
      <c r="A21" s="16"/>
      <c r="B21" s="32" t="s">
        <v>59</v>
      </c>
      <c r="C21" s="17">
        <f t="shared" ref="C21:E23" si="0">C36</f>
        <v>1</v>
      </c>
      <c r="D21" s="33">
        <f t="shared" si="0"/>
        <v>5.8</v>
      </c>
      <c r="E21" s="33">
        <f t="shared" si="0"/>
        <v>0.45</v>
      </c>
      <c r="F21" s="33">
        <v>0.15</v>
      </c>
      <c r="G21" s="33">
        <f>PRODUCT(C21:F21)</f>
        <v>0.39149999999999996</v>
      </c>
      <c r="H21" s="17"/>
      <c r="I21" s="17"/>
      <c r="J21" s="17"/>
      <c r="K21" s="17"/>
      <c r="M21" s="36"/>
      <c r="N21" s="36"/>
      <c r="O21" s="36"/>
      <c r="P21" s="36"/>
    </row>
    <row r="22" spans="1:19" x14ac:dyDescent="0.25">
      <c r="A22" s="16"/>
      <c r="B22" s="32"/>
      <c r="C22" s="17">
        <f t="shared" si="0"/>
        <v>1</v>
      </c>
      <c r="D22" s="33">
        <f t="shared" si="0"/>
        <v>4.2</v>
      </c>
      <c r="E22" s="33">
        <f t="shared" si="0"/>
        <v>0.45</v>
      </c>
      <c r="F22" s="33">
        <v>0.15</v>
      </c>
      <c r="G22" s="33">
        <f t="shared" ref="G22:G25" si="1">PRODUCT(C22:F22)</f>
        <v>0.28350000000000003</v>
      </c>
      <c r="H22" s="17"/>
      <c r="I22" s="17"/>
      <c r="J22" s="17"/>
      <c r="K22" s="17"/>
      <c r="M22" s="36"/>
      <c r="N22" s="36"/>
      <c r="O22" s="36"/>
      <c r="P22" s="36"/>
    </row>
    <row r="23" spans="1:19" x14ac:dyDescent="0.25">
      <c r="A23" s="16"/>
      <c r="B23" s="32"/>
      <c r="C23" s="17">
        <f t="shared" si="0"/>
        <v>14</v>
      </c>
      <c r="D23" s="33">
        <f t="shared" si="0"/>
        <v>1.2</v>
      </c>
      <c r="E23" s="33">
        <f t="shared" si="0"/>
        <v>0.3</v>
      </c>
      <c r="F23" s="33">
        <v>0.15</v>
      </c>
      <c r="G23" s="33">
        <f t="shared" si="1"/>
        <v>0.75600000000000001</v>
      </c>
      <c r="H23" s="17"/>
      <c r="I23" s="17"/>
      <c r="J23" s="17"/>
      <c r="K23" s="17"/>
      <c r="M23" s="36"/>
      <c r="N23" s="36"/>
      <c r="O23" s="36"/>
      <c r="P23" s="36"/>
    </row>
    <row r="24" spans="1:19" x14ac:dyDescent="0.25">
      <c r="A24" s="16"/>
      <c r="B24" s="32"/>
      <c r="C24" s="17">
        <v>1</v>
      </c>
      <c r="D24" s="33">
        <v>1.2</v>
      </c>
      <c r="E24" s="33">
        <v>0.45</v>
      </c>
      <c r="F24" s="33">
        <v>0.15</v>
      </c>
      <c r="G24" s="33">
        <f t="shared" si="1"/>
        <v>8.1000000000000003E-2</v>
      </c>
      <c r="H24" s="17"/>
      <c r="I24" s="17"/>
      <c r="J24" s="17"/>
      <c r="K24" s="17"/>
      <c r="M24" s="36"/>
      <c r="N24" s="36"/>
      <c r="O24" s="36"/>
      <c r="P24" s="36"/>
    </row>
    <row r="25" spans="1:19" x14ac:dyDescent="0.25">
      <c r="A25" s="16"/>
      <c r="B25" s="32" t="s">
        <v>61</v>
      </c>
      <c r="C25" s="17">
        <v>1</v>
      </c>
      <c r="D25" s="33">
        <f>7/3.281</f>
        <v>2.1334958854007922</v>
      </c>
      <c r="E25" s="33">
        <v>1.5</v>
      </c>
      <c r="F25" s="33">
        <v>0.15</v>
      </c>
      <c r="G25" s="33">
        <f t="shared" si="1"/>
        <v>0.4800365742151782</v>
      </c>
      <c r="H25" s="17"/>
      <c r="I25" s="17"/>
      <c r="J25" s="17"/>
      <c r="K25" s="17"/>
      <c r="M25" s="36"/>
      <c r="N25" s="36"/>
      <c r="O25" s="36"/>
      <c r="P25" s="36"/>
    </row>
    <row r="26" spans="1:19" ht="15" customHeight="1" x14ac:dyDescent="0.25">
      <c r="A26" s="2"/>
      <c r="B26" s="34" t="s">
        <v>17</v>
      </c>
      <c r="C26" s="3"/>
      <c r="D26" s="4"/>
      <c r="E26" s="5"/>
      <c r="F26" s="5"/>
      <c r="G26" s="6">
        <f>SUM(G18:G25)</f>
        <v>6.5145365742151782</v>
      </c>
      <c r="H26" s="7" t="s">
        <v>18</v>
      </c>
      <c r="I26" s="6">
        <v>4458.5200000000004</v>
      </c>
      <c r="J26" s="18">
        <f>G26*I26</f>
        <v>29045.191606869859</v>
      </c>
      <c r="K26" s="5"/>
    </row>
    <row r="27" spans="1:19" hidden="1" x14ac:dyDescent="0.25">
      <c r="A27" s="16"/>
      <c r="B27" s="32" t="s">
        <v>24</v>
      </c>
      <c r="C27" s="17"/>
      <c r="D27" s="17"/>
      <c r="E27" s="17"/>
      <c r="F27" s="17"/>
      <c r="G27" s="17"/>
      <c r="H27" s="17"/>
      <c r="I27" s="17"/>
      <c r="J27" s="18">
        <f>0.13*G26*(14817.6)/5</f>
        <v>2509.7747256943617</v>
      </c>
      <c r="K27" s="17"/>
    </row>
    <row r="28" spans="1:19" x14ac:dyDescent="0.25">
      <c r="A28" s="16"/>
      <c r="B28" s="17"/>
      <c r="C28" s="17"/>
      <c r="D28" s="17"/>
      <c r="E28" s="17"/>
      <c r="F28" s="17"/>
      <c r="G28" s="17"/>
      <c r="H28" s="17"/>
      <c r="I28" s="17"/>
      <c r="J28" s="17"/>
      <c r="K28" s="17"/>
    </row>
    <row r="29" spans="1:19" ht="78.75" x14ac:dyDescent="0.25">
      <c r="A29" s="16">
        <v>3</v>
      </c>
      <c r="B29" s="35" t="s">
        <v>32</v>
      </c>
      <c r="C29" s="17"/>
      <c r="D29" s="17"/>
      <c r="E29" s="17"/>
      <c r="F29" s="17"/>
      <c r="G29" s="17"/>
      <c r="H29" s="17"/>
      <c r="I29" s="17"/>
      <c r="J29" s="17"/>
      <c r="K29" s="17"/>
    </row>
    <row r="30" spans="1:19" x14ac:dyDescent="0.25">
      <c r="A30" s="16"/>
      <c r="B30" s="32" t="str">
        <f>B18</f>
        <v>-for masonary wall</v>
      </c>
      <c r="C30" s="17">
        <v>1</v>
      </c>
      <c r="D30" s="33">
        <f>D48</f>
        <v>5.9</v>
      </c>
      <c r="E30" s="33">
        <f>E18</f>
        <v>1.5</v>
      </c>
      <c r="F30" s="33">
        <v>0.05</v>
      </c>
      <c r="G30" s="33">
        <f>PRODUCT(C30:F30)</f>
        <v>0.44250000000000012</v>
      </c>
      <c r="H30" s="17"/>
      <c r="I30" s="17"/>
      <c r="J30" s="17"/>
      <c r="K30" s="17"/>
      <c r="M30" s="33">
        <f>7</f>
        <v>7</v>
      </c>
      <c r="N30" s="33">
        <f>2</f>
        <v>2</v>
      </c>
      <c r="O30" s="33"/>
      <c r="P30" s="33">
        <f>PI()*M30*SQRT(M30^2+N30^2)</f>
        <v>160.09797821843054</v>
      </c>
    </row>
    <row r="31" spans="1:19" x14ac:dyDescent="0.25">
      <c r="A31" s="16"/>
      <c r="B31" s="32"/>
      <c r="C31" s="17">
        <v>1</v>
      </c>
      <c r="D31" s="33">
        <f>D30</f>
        <v>5.9</v>
      </c>
      <c r="E31" s="33">
        <v>0.5</v>
      </c>
      <c r="F31" s="33">
        <v>0.05</v>
      </c>
      <c r="G31" s="33">
        <f>PRODUCT(C31:F31)</f>
        <v>0.14750000000000002</v>
      </c>
      <c r="H31" s="17"/>
      <c r="I31" s="17"/>
      <c r="J31" s="17"/>
      <c r="K31" s="17"/>
      <c r="M31" s="36"/>
      <c r="N31" s="36"/>
      <c r="O31" s="36"/>
      <c r="P31" s="36"/>
    </row>
    <row r="32" spans="1:19" x14ac:dyDescent="0.25">
      <c r="A32" s="16"/>
      <c r="B32" s="32"/>
      <c r="C32" s="17">
        <v>1</v>
      </c>
      <c r="D32" s="33">
        <f>D49</f>
        <v>7.2</v>
      </c>
      <c r="E32" s="33">
        <f>3/2</f>
        <v>1.5</v>
      </c>
      <c r="F32" s="33">
        <v>0.05</v>
      </c>
      <c r="G32" s="33">
        <f t="shared" ref="G32:G39" si="2">PRODUCT(C32:F32)</f>
        <v>0.54</v>
      </c>
      <c r="H32" s="17"/>
      <c r="I32" s="17"/>
      <c r="J32" s="17"/>
      <c r="K32" s="17"/>
      <c r="M32" s="36"/>
      <c r="N32" s="36"/>
      <c r="O32" s="36"/>
      <c r="P32" s="36"/>
    </row>
    <row r="33" spans="1:16" x14ac:dyDescent="0.25">
      <c r="A33" s="16"/>
      <c r="B33" s="32"/>
      <c r="C33" s="17">
        <v>1</v>
      </c>
      <c r="D33" s="33">
        <f>D32</f>
        <v>7.2</v>
      </c>
      <c r="E33" s="33">
        <v>0.5</v>
      </c>
      <c r="F33" s="33">
        <v>0.05</v>
      </c>
      <c r="G33" s="33">
        <f t="shared" si="2"/>
        <v>0.18000000000000002</v>
      </c>
      <c r="H33" s="17"/>
      <c r="I33" s="17"/>
      <c r="J33" s="17"/>
      <c r="K33" s="17"/>
      <c r="M33" s="36"/>
      <c r="N33" s="36"/>
      <c r="O33" s="36"/>
      <c r="P33" s="36"/>
    </row>
    <row r="34" spans="1:16" x14ac:dyDescent="0.25">
      <c r="A34" s="16"/>
      <c r="B34" s="32"/>
      <c r="C34" s="17">
        <f>C50</f>
        <v>1</v>
      </c>
      <c r="D34" s="33">
        <f>D50</f>
        <v>7.5</v>
      </c>
      <c r="E34" s="33">
        <v>1.4</v>
      </c>
      <c r="F34" s="33">
        <v>0.05</v>
      </c>
      <c r="G34" s="33">
        <f t="shared" si="2"/>
        <v>0.52500000000000002</v>
      </c>
      <c r="H34" s="17"/>
      <c r="I34" s="17"/>
      <c r="J34" s="17"/>
      <c r="K34" s="17"/>
      <c r="M34" s="36"/>
      <c r="N34" s="36"/>
      <c r="O34" s="36"/>
      <c r="P34" s="36"/>
    </row>
    <row r="35" spans="1:16" x14ac:dyDescent="0.25">
      <c r="A35" s="16"/>
      <c r="B35" s="32"/>
      <c r="C35" s="17">
        <f>C34</f>
        <v>1</v>
      </c>
      <c r="D35" s="33">
        <f>D34</f>
        <v>7.5</v>
      </c>
      <c r="E35" s="33">
        <v>0.5</v>
      </c>
      <c r="F35" s="33">
        <v>0.05</v>
      </c>
      <c r="G35" s="33">
        <f t="shared" si="2"/>
        <v>0.1875</v>
      </c>
      <c r="H35" s="17"/>
      <c r="I35" s="17"/>
      <c r="J35" s="17"/>
      <c r="K35" s="17"/>
      <c r="M35" s="36"/>
      <c r="N35" s="36"/>
      <c r="O35" s="36"/>
      <c r="P35" s="36"/>
    </row>
    <row r="36" spans="1:16" x14ac:dyDescent="0.25">
      <c r="A36" s="16"/>
      <c r="B36" s="32" t="s">
        <v>59</v>
      </c>
      <c r="C36" s="17">
        <v>1</v>
      </c>
      <c r="D36" s="33">
        <f>D51</f>
        <v>5.8</v>
      </c>
      <c r="E36" s="33">
        <v>0.45</v>
      </c>
      <c r="F36" s="33">
        <v>0.05</v>
      </c>
      <c r="G36" s="33">
        <f t="shared" si="2"/>
        <v>0.1305</v>
      </c>
      <c r="H36" s="17"/>
      <c r="I36" s="17"/>
      <c r="J36" s="17"/>
      <c r="K36" s="17"/>
      <c r="M36" s="36"/>
      <c r="N36" s="36"/>
      <c r="O36" s="36"/>
      <c r="P36" s="36"/>
    </row>
    <row r="37" spans="1:16" x14ac:dyDescent="0.25">
      <c r="A37" s="16"/>
      <c r="B37" s="32"/>
      <c r="C37" s="37">
        <f>C51</f>
        <v>1</v>
      </c>
      <c r="D37" s="33">
        <f>D52</f>
        <v>4.2</v>
      </c>
      <c r="E37" s="33">
        <f>E51</f>
        <v>0.45</v>
      </c>
      <c r="F37" s="33">
        <v>0.05</v>
      </c>
      <c r="G37" s="33">
        <f t="shared" si="2"/>
        <v>9.4500000000000015E-2</v>
      </c>
      <c r="H37" s="17"/>
      <c r="I37" s="17"/>
      <c r="J37" s="17"/>
      <c r="K37" s="17"/>
      <c r="M37" s="36"/>
      <c r="N37" s="36"/>
      <c r="O37" s="36"/>
      <c r="P37" s="36"/>
    </row>
    <row r="38" spans="1:16" x14ac:dyDescent="0.25">
      <c r="A38" s="16"/>
      <c r="B38" s="32" t="s">
        <v>43</v>
      </c>
      <c r="C38" s="37">
        <v>14</v>
      </c>
      <c r="D38" s="33">
        <v>1.2</v>
      </c>
      <c r="E38" s="33">
        <v>0.3</v>
      </c>
      <c r="F38" s="33">
        <v>0.05</v>
      </c>
      <c r="G38" s="33">
        <f t="shared" si="2"/>
        <v>0.252</v>
      </c>
      <c r="H38" s="17"/>
      <c r="I38" s="17"/>
      <c r="J38" s="17"/>
      <c r="K38" s="17"/>
      <c r="M38" s="36"/>
      <c r="N38" s="36"/>
      <c r="O38" s="36"/>
      <c r="P38" s="36"/>
    </row>
    <row r="39" spans="1:16" x14ac:dyDescent="0.25">
      <c r="A39" s="16"/>
      <c r="B39" s="32"/>
      <c r="C39" s="37">
        <v>1</v>
      </c>
      <c r="D39" s="33">
        <v>1.2</v>
      </c>
      <c r="E39" s="33">
        <v>0.9</v>
      </c>
      <c r="F39" s="33">
        <v>0.05</v>
      </c>
      <c r="G39" s="33">
        <f t="shared" si="2"/>
        <v>5.4000000000000006E-2</v>
      </c>
      <c r="H39" s="17"/>
      <c r="I39" s="17"/>
      <c r="J39" s="17"/>
      <c r="K39" s="17"/>
      <c r="M39" s="36"/>
      <c r="N39" s="36"/>
      <c r="O39" s="36"/>
      <c r="P39" s="36"/>
    </row>
    <row r="40" spans="1:16" ht="15" customHeight="1" x14ac:dyDescent="0.25">
      <c r="A40" s="2"/>
      <c r="B40" s="34" t="s">
        <v>17</v>
      </c>
      <c r="C40" s="3"/>
      <c r="D40" s="4"/>
      <c r="E40" s="5"/>
      <c r="F40" s="5"/>
      <c r="G40" s="6">
        <f>SUM(G30:G39)</f>
        <v>2.5535000000000001</v>
      </c>
      <c r="H40" s="7" t="s">
        <v>18</v>
      </c>
      <c r="I40" s="6">
        <v>10964.46</v>
      </c>
      <c r="J40" s="18">
        <f>G40*I40</f>
        <v>27997.748609999999</v>
      </c>
      <c r="K40" s="5"/>
    </row>
    <row r="41" spans="1:16" hidden="1" x14ac:dyDescent="0.25">
      <c r="A41" s="16"/>
      <c r="B41" s="32" t="s">
        <v>33</v>
      </c>
      <c r="C41" s="17"/>
      <c r="D41" s="17"/>
      <c r="E41" s="17"/>
      <c r="F41" s="17"/>
      <c r="G41" s="17"/>
      <c r="H41" s="17"/>
      <c r="I41" s="17"/>
      <c r="J41" s="18">
        <f>0.13*G40*(53818.03)/15</f>
        <v>1191.0109432433335</v>
      </c>
      <c r="K41" s="17"/>
    </row>
    <row r="42" spans="1:16" hidden="1" x14ac:dyDescent="0.25">
      <c r="A42" s="16"/>
      <c r="B42" s="32" t="s">
        <v>34</v>
      </c>
      <c r="C42" s="17"/>
      <c r="D42" s="17"/>
      <c r="E42" s="17"/>
      <c r="F42" s="17"/>
      <c r="G42" s="17"/>
      <c r="H42" s="17"/>
      <c r="I42" s="17"/>
      <c r="J42" s="18">
        <f>0.13*G40*(21432.6)/15</f>
        <v>474.31058219999994</v>
      </c>
      <c r="K42" s="17"/>
    </row>
    <row r="43" spans="1:16" hidden="1" x14ac:dyDescent="0.25">
      <c r="A43" s="16"/>
      <c r="B43" s="32" t="s">
        <v>35</v>
      </c>
      <c r="C43" s="17"/>
      <c r="D43" s="17"/>
      <c r="E43" s="17"/>
      <c r="F43" s="17"/>
      <c r="G43" s="17"/>
      <c r="H43" s="17"/>
      <c r="I43" s="17"/>
      <c r="J43" s="18">
        <f>0.13*G40*(25719.12+13573.98+4286.52)/15</f>
        <v>964.43151713999987</v>
      </c>
      <c r="K43" s="17"/>
    </row>
    <row r="44" spans="1:16" hidden="1" x14ac:dyDescent="0.25">
      <c r="A44" s="16"/>
      <c r="B44" s="32" t="s">
        <v>36</v>
      </c>
      <c r="C44" s="17"/>
      <c r="D44" s="17"/>
      <c r="E44" s="17"/>
      <c r="F44" s="17"/>
      <c r="G44" s="17"/>
      <c r="H44" s="17"/>
      <c r="I44" s="17"/>
      <c r="J44" s="18">
        <f>0.13*G40*(6325.7)/15</f>
        <v>139.98984956666666</v>
      </c>
      <c r="K44" s="17"/>
    </row>
    <row r="45" spans="1:16" hidden="1" x14ac:dyDescent="0.25">
      <c r="A45" s="16"/>
      <c r="B45" s="32" t="s">
        <v>40</v>
      </c>
      <c r="C45" s="17"/>
      <c r="D45" s="17"/>
      <c r="E45" s="17"/>
      <c r="F45" s="17"/>
      <c r="G45" s="17"/>
      <c r="H45" s="17"/>
      <c r="I45" s="17"/>
      <c r="J45" s="18">
        <f>0.13*G40*(310)/5</f>
        <v>20.581209999999999</v>
      </c>
      <c r="K45" s="17"/>
    </row>
    <row r="46" spans="1:16" x14ac:dyDescent="0.25">
      <c r="A46" s="16"/>
      <c r="B46" s="17"/>
      <c r="C46" s="17"/>
      <c r="D46" s="17"/>
      <c r="E46" s="17"/>
      <c r="F46" s="17"/>
      <c r="G46" s="17"/>
      <c r="H46" s="17"/>
      <c r="I46" s="17"/>
      <c r="J46" s="17"/>
      <c r="K46" s="17"/>
    </row>
    <row r="47" spans="1:16" ht="110.25" x14ac:dyDescent="0.25">
      <c r="A47" s="16">
        <v>4</v>
      </c>
      <c r="B47" s="35" t="s">
        <v>37</v>
      </c>
      <c r="C47" s="17"/>
      <c r="D47" s="17"/>
      <c r="E47" s="17"/>
      <c r="F47" s="17"/>
      <c r="G47" s="17"/>
      <c r="H47" s="17"/>
      <c r="I47" s="17"/>
      <c r="J47" s="17"/>
      <c r="K47" s="17"/>
    </row>
    <row r="48" spans="1:16" x14ac:dyDescent="0.25">
      <c r="A48" s="16"/>
      <c r="B48" s="32" t="str">
        <f>B30</f>
        <v>-for masonary wall</v>
      </c>
      <c r="C48" s="17">
        <v>1</v>
      </c>
      <c r="D48" s="33">
        <v>5.9</v>
      </c>
      <c r="E48" s="33">
        <f>((F48/2)+0.5)/2</f>
        <v>1</v>
      </c>
      <c r="F48" s="33">
        <v>3</v>
      </c>
      <c r="G48" s="33">
        <f t="shared" ref="G48:G55" si="3">PRODUCT(C48:F48)</f>
        <v>17.700000000000003</v>
      </c>
      <c r="H48" s="17"/>
      <c r="I48" s="17"/>
      <c r="J48" s="17"/>
      <c r="K48" s="17"/>
      <c r="M48" s="33">
        <f>7</f>
        <v>7</v>
      </c>
      <c r="N48" s="33">
        <f>2</f>
        <v>2</v>
      </c>
      <c r="O48" s="33"/>
      <c r="P48" s="33">
        <f>PI()*M48*SQRT(M48^2+N48^2)</f>
        <v>160.09797821843054</v>
      </c>
    </row>
    <row r="49" spans="1:18" x14ac:dyDescent="0.25">
      <c r="A49" s="16"/>
      <c r="B49" s="32"/>
      <c r="C49" s="17">
        <v>1</v>
      </c>
      <c r="D49" s="33">
        <v>7.2</v>
      </c>
      <c r="E49" s="33">
        <f>((F49/2)+(0.5))/2</f>
        <v>1</v>
      </c>
      <c r="F49" s="33">
        <v>3</v>
      </c>
      <c r="G49" s="33">
        <f t="shared" si="3"/>
        <v>21.6</v>
      </c>
      <c r="H49" s="17"/>
      <c r="I49" s="17"/>
      <c r="J49" s="17"/>
      <c r="K49" s="17"/>
      <c r="M49" s="36"/>
      <c r="N49" s="36"/>
      <c r="O49" s="36"/>
      <c r="P49" s="36"/>
      <c r="Q49" s="19">
        <f>E49*3.281</f>
        <v>3.2810000000000001</v>
      </c>
      <c r="R49" s="19">
        <f>F49*3.281</f>
        <v>9.843</v>
      </c>
    </row>
    <row r="50" spans="1:18" x14ac:dyDescent="0.25">
      <c r="A50" s="16"/>
      <c r="B50" s="32"/>
      <c r="C50" s="17">
        <v>1</v>
      </c>
      <c r="D50" s="33">
        <v>7.5</v>
      </c>
      <c r="E50" s="33">
        <f>((1.4)+0.5)/2</f>
        <v>0.95</v>
      </c>
      <c r="F50" s="33">
        <v>3</v>
      </c>
      <c r="G50" s="33">
        <f t="shared" si="3"/>
        <v>21.375</v>
      </c>
      <c r="H50" s="17"/>
      <c r="I50" s="17"/>
      <c r="J50" s="17"/>
      <c r="K50" s="17"/>
      <c r="M50" s="36"/>
      <c r="N50" s="36"/>
      <c r="O50" s="36"/>
      <c r="P50" s="36"/>
    </row>
    <row r="51" spans="1:18" x14ac:dyDescent="0.25">
      <c r="A51" s="16"/>
      <c r="B51" s="32" t="s">
        <v>59</v>
      </c>
      <c r="C51" s="37">
        <v>1</v>
      </c>
      <c r="D51" s="33">
        <v>5.8</v>
      </c>
      <c r="E51" s="33">
        <v>0.45</v>
      </c>
      <c r="F51" s="33">
        <v>0.45</v>
      </c>
      <c r="G51" s="33">
        <f t="shared" si="3"/>
        <v>1.1744999999999999</v>
      </c>
      <c r="H51" s="17"/>
      <c r="I51" s="17"/>
      <c r="J51" s="17"/>
      <c r="K51" s="17"/>
      <c r="M51" s="36"/>
      <c r="N51" s="36"/>
      <c r="O51" s="36"/>
      <c r="P51" s="36"/>
    </row>
    <row r="52" spans="1:18" x14ac:dyDescent="0.25">
      <c r="A52" s="16"/>
      <c r="B52" s="32"/>
      <c r="C52" s="37">
        <v>1</v>
      </c>
      <c r="D52" s="33">
        <v>4.2</v>
      </c>
      <c r="E52" s="33">
        <v>0.45</v>
      </c>
      <c r="F52" s="33">
        <v>0.45</v>
      </c>
      <c r="G52" s="33">
        <f t="shared" si="3"/>
        <v>0.85050000000000003</v>
      </c>
      <c r="H52" s="17"/>
      <c r="I52" s="17"/>
      <c r="J52" s="17"/>
      <c r="K52" s="17"/>
      <c r="M52" s="36"/>
      <c r="N52" s="36"/>
      <c r="O52" s="36"/>
      <c r="P52" s="36"/>
    </row>
    <row r="53" spans="1:18" x14ac:dyDescent="0.25">
      <c r="A53" s="16"/>
      <c r="B53" s="32" t="s">
        <v>60</v>
      </c>
      <c r="C53" s="37">
        <v>1</v>
      </c>
      <c r="D53" s="33">
        <v>1.2</v>
      </c>
      <c r="E53" s="33">
        <v>0.45</v>
      </c>
      <c r="F53" s="33">
        <v>0.6</v>
      </c>
      <c r="G53" s="33">
        <f t="shared" si="3"/>
        <v>0.32400000000000001</v>
      </c>
      <c r="H53" s="17"/>
      <c r="I53" s="17"/>
      <c r="J53" s="17"/>
      <c r="K53" s="17"/>
      <c r="M53" s="36"/>
      <c r="N53" s="36"/>
      <c r="O53" s="36"/>
      <c r="P53" s="36"/>
    </row>
    <row r="54" spans="1:18" x14ac:dyDescent="0.25">
      <c r="A54" s="16"/>
      <c r="B54" s="32"/>
      <c r="C54" s="37">
        <v>1</v>
      </c>
      <c r="D54" s="33">
        <f>6.833/3.281</f>
        <v>2.082596769277659</v>
      </c>
      <c r="E54" s="33">
        <v>0.45</v>
      </c>
      <c r="F54" s="33">
        <v>0.6</v>
      </c>
      <c r="G54" s="33">
        <f t="shared" si="3"/>
        <v>0.56230112770496798</v>
      </c>
      <c r="H54" s="17"/>
      <c r="I54" s="17"/>
      <c r="J54" s="17"/>
      <c r="K54" s="17"/>
      <c r="M54" s="36"/>
      <c r="N54" s="36"/>
      <c r="O54" s="36"/>
      <c r="P54" s="36"/>
    </row>
    <row r="55" spans="1:18" x14ac:dyDescent="0.25">
      <c r="A55" s="16"/>
      <c r="B55" s="32"/>
      <c r="C55" s="37">
        <v>1</v>
      </c>
      <c r="D55" s="33">
        <f>7/3.281</f>
        <v>2.1334958854007922</v>
      </c>
      <c r="E55" s="33">
        <f>((F55/2)+0.5)/2</f>
        <v>0.5</v>
      </c>
      <c r="F55" s="33">
        <v>1</v>
      </c>
      <c r="G55" s="33">
        <f t="shared" si="3"/>
        <v>1.0667479427003961</v>
      </c>
      <c r="H55" s="17"/>
      <c r="I55" s="17"/>
      <c r="J55" s="17"/>
      <c r="K55" s="17"/>
      <c r="M55" s="36"/>
      <c r="N55" s="36"/>
      <c r="O55" s="36"/>
      <c r="P55" s="36"/>
    </row>
    <row r="56" spans="1:18" ht="15" customHeight="1" x14ac:dyDescent="0.25">
      <c r="A56" s="2"/>
      <c r="B56" s="34" t="s">
        <v>17</v>
      </c>
      <c r="C56" s="3"/>
      <c r="D56" s="4"/>
      <c r="E56" s="5"/>
      <c r="F56" s="5"/>
      <c r="G56" s="6">
        <f>SUM(G48:G55)</f>
        <v>64.653049070405373</v>
      </c>
      <c r="H56" s="7" t="s">
        <v>18</v>
      </c>
      <c r="I56" s="6">
        <v>8987.83</v>
      </c>
      <c r="J56" s="18">
        <f>G56*I56</f>
        <v>581090.6140264615</v>
      </c>
      <c r="K56" s="5"/>
    </row>
    <row r="57" spans="1:18" hidden="1" x14ac:dyDescent="0.25">
      <c r="A57" s="16"/>
      <c r="B57" s="32" t="s">
        <v>33</v>
      </c>
      <c r="C57" s="17"/>
      <c r="D57" s="17"/>
      <c r="E57" s="17"/>
      <c r="F57" s="17"/>
      <c r="G57" s="17"/>
      <c r="H57" s="17"/>
      <c r="I57" s="17"/>
      <c r="J57" s="18">
        <f>0.13*G56*(5863.95)/5</f>
        <v>9857.1784245064937</v>
      </c>
      <c r="K57" s="17"/>
    </row>
    <row r="58" spans="1:18" hidden="1" x14ac:dyDescent="0.25">
      <c r="A58" s="16"/>
      <c r="B58" s="32" t="s">
        <v>34</v>
      </c>
      <c r="C58" s="17"/>
      <c r="D58" s="17"/>
      <c r="E58" s="17"/>
      <c r="F58" s="17"/>
      <c r="G58" s="17"/>
      <c r="H58" s="17"/>
      <c r="I58" s="17"/>
      <c r="J58" s="18">
        <f>0.13*G56*(6604.416)/5</f>
        <v>11101.886424963632</v>
      </c>
      <c r="K58" s="17"/>
    </row>
    <row r="59" spans="1:18" hidden="1" x14ac:dyDescent="0.25">
      <c r="A59" s="16"/>
      <c r="B59" s="32" t="s">
        <v>38</v>
      </c>
      <c r="C59" s="17"/>
      <c r="D59" s="17"/>
      <c r="E59" s="17"/>
      <c r="F59" s="17"/>
      <c r="G59" s="17"/>
      <c r="H59" s="17"/>
      <c r="I59" s="17"/>
      <c r="J59" s="18">
        <f>0.13*G56*(14808.78)/5</f>
        <v>24893.252280333785</v>
      </c>
      <c r="K59" s="17"/>
    </row>
    <row r="60" spans="1:18" hidden="1" x14ac:dyDescent="0.25">
      <c r="A60" s="16"/>
      <c r="B60" s="32" t="s">
        <v>40</v>
      </c>
      <c r="C60" s="17"/>
      <c r="D60" s="17"/>
      <c r="E60" s="17"/>
      <c r="F60" s="17"/>
      <c r="G60" s="17"/>
      <c r="H60" s="17"/>
      <c r="I60" s="17"/>
      <c r="J60" s="18">
        <f>0.13*G56*(310)/5</f>
        <v>521.10357550746744</v>
      </c>
      <c r="K60" s="17"/>
    </row>
    <row r="61" spans="1:18" x14ac:dyDescent="0.25">
      <c r="A61" s="16"/>
      <c r="B61" s="17"/>
      <c r="C61" s="17"/>
      <c r="D61" s="17"/>
      <c r="E61" s="17"/>
      <c r="F61" s="17"/>
      <c r="G61" s="17"/>
      <c r="H61" s="17"/>
      <c r="I61" s="17"/>
      <c r="J61" s="17"/>
      <c r="K61" s="17"/>
    </row>
    <row r="62" spans="1:18" ht="15" customHeight="1" x14ac:dyDescent="0.25">
      <c r="A62" s="2">
        <v>5</v>
      </c>
      <c r="B62" s="1" t="s">
        <v>19</v>
      </c>
      <c r="C62" s="3">
        <v>1</v>
      </c>
      <c r="D62" s="4"/>
      <c r="E62" s="5"/>
      <c r="F62" s="5"/>
      <c r="G62" s="7">
        <f t="shared" ref="G62" si="4">PRODUCT(C62:F62)</f>
        <v>1</v>
      </c>
      <c r="H62" s="7" t="s">
        <v>20</v>
      </c>
      <c r="I62" s="6">
        <v>500</v>
      </c>
      <c r="J62" s="7">
        <f>G62*I62</f>
        <v>500</v>
      </c>
      <c r="K62" s="5"/>
    </row>
    <row r="63" spans="1:18" x14ac:dyDescent="0.25">
      <c r="A63" s="2"/>
      <c r="B63" s="8"/>
      <c r="C63" s="3"/>
      <c r="D63" s="4"/>
      <c r="E63" s="5"/>
      <c r="F63" s="5"/>
      <c r="G63" s="6"/>
      <c r="H63" s="7"/>
      <c r="I63" s="6"/>
      <c r="J63" s="18"/>
      <c r="K63" s="5"/>
    </row>
    <row r="64" spans="1:18" x14ac:dyDescent="0.25">
      <c r="A64" s="21"/>
      <c r="B64" s="22" t="s">
        <v>22</v>
      </c>
      <c r="C64" s="23"/>
      <c r="D64" s="24"/>
      <c r="E64" s="24"/>
      <c r="F64" s="24"/>
      <c r="G64" s="18"/>
      <c r="H64" s="18"/>
      <c r="I64" s="18"/>
      <c r="J64" s="18">
        <f>SUM(J9:J62)</f>
        <v>692428.57611178409</v>
      </c>
      <c r="K64" s="25"/>
    </row>
    <row r="65" spans="1:19" x14ac:dyDescent="0.25">
      <c r="M65" s="20"/>
      <c r="N65" s="20"/>
      <c r="O65" s="20"/>
      <c r="P65" s="20"/>
      <c r="Q65" s="20"/>
      <c r="R65" s="20"/>
      <c r="S65" s="20"/>
    </row>
    <row r="66" spans="1:19" s="20" customFormat="1" hidden="1" x14ac:dyDescent="0.25">
      <c r="A66" s="26"/>
      <c r="B66" s="27" t="s">
        <v>58</v>
      </c>
      <c r="C66" s="80">
        <f>J64</f>
        <v>692428.57611178409</v>
      </c>
      <c r="D66" s="81"/>
      <c r="E66" s="9">
        <v>100</v>
      </c>
      <c r="F66" s="26"/>
      <c r="G66" s="28"/>
      <c r="H66" s="26"/>
      <c r="I66" s="29"/>
      <c r="J66" s="30"/>
      <c r="K66" s="31"/>
      <c r="M66" s="19"/>
      <c r="N66" s="19"/>
      <c r="O66" s="19"/>
      <c r="P66" s="19"/>
      <c r="Q66" s="19"/>
      <c r="R66" s="19"/>
      <c r="S66" s="19"/>
    </row>
    <row r="67" spans="1:19" hidden="1" x14ac:dyDescent="0.25">
      <c r="B67" s="27" t="s">
        <v>25</v>
      </c>
      <c r="C67" s="84">
        <v>600000</v>
      </c>
      <c r="D67" s="85"/>
      <c r="E67" s="9"/>
    </row>
    <row r="68" spans="1:19" hidden="1" x14ac:dyDescent="0.25">
      <c r="B68" s="27" t="s">
        <v>26</v>
      </c>
      <c r="C68" s="84">
        <f>C67-C70-C71</f>
        <v>570000</v>
      </c>
      <c r="D68" s="85"/>
      <c r="E68" s="9">
        <f>C68/C66*100</f>
        <v>82.318959624794644</v>
      </c>
    </row>
    <row r="69" spans="1:19" hidden="1" x14ac:dyDescent="0.25">
      <c r="B69" s="27" t="s">
        <v>41</v>
      </c>
      <c r="C69" s="86">
        <f>C66-C68</f>
        <v>122428.57611178409</v>
      </c>
      <c r="D69" s="86"/>
      <c r="E69" s="9">
        <f>100-E68</f>
        <v>17.681040375205356</v>
      </c>
    </row>
    <row r="70" spans="1:19" hidden="1" x14ac:dyDescent="0.25">
      <c r="B70" s="27" t="s">
        <v>27</v>
      </c>
      <c r="C70" s="80">
        <f>C67*0.03</f>
        <v>18000</v>
      </c>
      <c r="D70" s="81"/>
      <c r="E70" s="9">
        <v>3</v>
      </c>
    </row>
    <row r="71" spans="1:19" hidden="1" x14ac:dyDescent="0.25">
      <c r="B71" s="27" t="s">
        <v>28</v>
      </c>
      <c r="C71" s="80">
        <f>C67*0.02</f>
        <v>12000</v>
      </c>
      <c r="D71" s="81"/>
      <c r="E71" s="9">
        <v>2</v>
      </c>
    </row>
  </sheetData>
  <mergeCells count="13">
    <mergeCell ref="C70:D70"/>
    <mergeCell ref="C71:D71"/>
    <mergeCell ref="A7:F7"/>
    <mergeCell ref="C66:D66"/>
    <mergeCell ref="C67:D67"/>
    <mergeCell ref="C68:D68"/>
    <mergeCell ref="C69:D69"/>
    <mergeCell ref="A6:F6"/>
    <mergeCell ref="A1:K1"/>
    <mergeCell ref="A2:K2"/>
    <mergeCell ref="A3:K3"/>
    <mergeCell ref="A4:K4"/>
    <mergeCell ref="A5:K5"/>
  </mergeCells>
  <pageMargins left="0.70866141732283505" right="0.70866141732283505" top="0.74803149606299202" bottom="0.74803149606299202" header="0.31496062992126" footer="0.31496062992126"/>
  <pageSetup paperSize="9" scale="95"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estimate</vt:lpstr>
      <vt:lpstr>for upabhokta</vt:lpstr>
      <vt:lpstr>WCR</vt:lpstr>
      <vt:lpstr>V</vt:lpstr>
      <vt:lpstr>M</vt:lpstr>
      <vt:lpstr>estimate!Print_Area</vt:lpstr>
      <vt:lpstr>'for upabhokta'!Print_Area</vt:lpstr>
      <vt:lpstr>M!Print_Area</vt:lpstr>
      <vt:lpstr>V!Print_Area</vt:lpstr>
      <vt:lpstr>WCR!Print_Area</vt:lpstr>
      <vt:lpstr>estimate!Print_Titles</vt:lpstr>
      <vt:lpstr>'for upabhokta'!Print_Titles</vt:lpstr>
      <vt:lpstr>M!Print_Titles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2026-06-11T08:06:53Z</dcterms:modified>
</cp:coreProperties>
</file>