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544B8572-3A3D-4BB5-B8B7-8AFE5F85C3C2}" xr6:coauthVersionLast="47" xr6:coauthVersionMax="47" xr10:uidLastSave="{00000000-0000-0000-0000-000000000000}"/>
  <bookViews>
    <workbookView xWindow="-120" yWindow="-120" windowWidth="20730" windowHeight="11040" xr2:uid="{00000000-000D-0000-FFFF-FFFF0000000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3" l="1"/>
  <c r="J55" i="13" s="1"/>
  <c r="E41" i="13"/>
  <c r="D41" i="13"/>
  <c r="G41" i="13" s="1"/>
  <c r="G42" i="13" s="1"/>
  <c r="J43" i="13" s="1"/>
  <c r="C10" i="13"/>
  <c r="D12" i="13"/>
  <c r="F12" i="13" s="1"/>
  <c r="G12" i="13" s="1"/>
  <c r="J42" i="13" l="1"/>
  <c r="E46" i="13" l="1"/>
  <c r="D46" i="13"/>
  <c r="D33" i="13"/>
  <c r="D27" i="13"/>
  <c r="E33" i="13" s="1"/>
  <c r="C20" i="13"/>
  <c r="C21" i="13"/>
  <c r="C22" i="13"/>
  <c r="C23" i="13"/>
  <c r="C24" i="13"/>
  <c r="C25" i="13"/>
  <c r="C15" i="13"/>
  <c r="C16" i="13"/>
  <c r="C17" i="13"/>
  <c r="C18" i="13"/>
  <c r="C19" i="13"/>
  <c r="C14" i="13"/>
  <c r="D32" i="13"/>
  <c r="D26" i="13"/>
  <c r="E32" i="13" s="1"/>
  <c r="D25" i="13"/>
  <c r="D24" i="13"/>
  <c r="D23" i="13"/>
  <c r="D22" i="13"/>
  <c r="D21" i="13"/>
  <c r="D20" i="13"/>
  <c r="D19" i="13"/>
  <c r="D18" i="13"/>
  <c r="D17" i="13"/>
  <c r="D16" i="13"/>
  <c r="D15" i="13"/>
  <c r="D14" i="13"/>
  <c r="D13" i="13"/>
  <c r="F13" i="13" s="1"/>
  <c r="G13" i="13" s="1"/>
  <c r="D11" i="13"/>
  <c r="F11" i="13" s="1"/>
  <c r="G11" i="13" s="1"/>
  <c r="D10" i="13"/>
  <c r="F27" i="13" l="1"/>
  <c r="G27" i="13" s="1"/>
  <c r="G46" i="13"/>
  <c r="G47" i="13" s="1"/>
  <c r="G33" i="13"/>
  <c r="F20" i="13"/>
  <c r="G20" i="13" s="1"/>
  <c r="F22" i="13"/>
  <c r="G22" i="13" s="1"/>
  <c r="F21" i="13"/>
  <c r="G21" i="13" s="1"/>
  <c r="F16" i="13"/>
  <c r="G16" i="13" s="1"/>
  <c r="F26" i="13"/>
  <c r="G26" i="13" s="1"/>
  <c r="F17" i="13"/>
  <c r="G17" i="13" s="1"/>
  <c r="F18" i="13"/>
  <c r="G18" i="13" s="1"/>
  <c r="F24" i="13"/>
  <c r="G24" i="13" s="1"/>
  <c r="F15" i="13"/>
  <c r="G15" i="13" s="1"/>
  <c r="F23" i="13"/>
  <c r="G23" i="13" s="1"/>
  <c r="F25" i="13"/>
  <c r="G25" i="13" s="1"/>
  <c r="F19" i="13"/>
  <c r="G19" i="13" s="1"/>
  <c r="F14" i="13"/>
  <c r="G14" i="13" s="1"/>
  <c r="G32" i="13"/>
  <c r="G34" i="13" s="1"/>
  <c r="F10" i="13"/>
  <c r="G10" i="13" s="1"/>
  <c r="J38" i="13" l="1"/>
  <c r="J37" i="13"/>
  <c r="J36" i="13"/>
  <c r="J35" i="13"/>
  <c r="J48" i="13"/>
  <c r="J53" i="13"/>
  <c r="J52" i="13"/>
  <c r="J51" i="13"/>
  <c r="J50" i="13"/>
  <c r="J49" i="13"/>
  <c r="J47" i="13"/>
  <c r="G28" i="13"/>
  <c r="J29" i="13" s="1"/>
  <c r="J28" i="13" l="1"/>
  <c r="J34" i="13"/>
  <c r="C66" i="13" l="1"/>
  <c r="C65" i="13"/>
  <c r="G57" i="13"/>
  <c r="J57" i="13" s="1"/>
  <c r="C63" i="13" l="1"/>
  <c r="J59" i="13" l="1"/>
  <c r="C61" i="13" s="1"/>
  <c r="C64" i="13" s="1"/>
  <c r="E63" i="13" l="1"/>
  <c r="E64" i="13" s="1"/>
</calcChain>
</file>

<file path=xl/sharedStrings.xml><?xml version="1.0" encoding="utf-8"?>
<sst xmlns="http://schemas.openxmlformats.org/spreadsheetml/2006/main" count="67" uniqueCount="60">
  <si>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</si>
  <si>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</si>
  <si>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</si>
  <si>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</si>
  <si>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</si>
  <si>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</si>
  <si>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</si>
  <si>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</si>
  <si>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</si>
  <si>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</si>
  <si>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</si>
  <si>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</si>
  <si>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</si>
  <si>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</si>
  <si>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</si>
  <si>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</si>
  <si>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</si>
  <si>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</si>
  <si>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</si>
  <si>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</si>
  <si>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</si>
  <si>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</si>
  <si>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</si>
  <si>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</si>
  <si>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</si>
  <si>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</si>
  <si>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</si>
  <si>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</si>
  <si>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Location:- Shankharapur Municipality 1</t>
  </si>
  <si>
    <t>-13% VAT for sand</t>
  </si>
  <si>
    <t>-13% VAT for cement</t>
  </si>
  <si>
    <t>-13% VAT for aggregate</t>
  </si>
  <si>
    <t>sqm</t>
  </si>
  <si>
    <t>-13% VAT for water</t>
  </si>
  <si>
    <t xml:space="preserve">-for flooring </t>
  </si>
  <si>
    <t>sfnf] kmnfd] kfO{ksf] 6«; agfO{ h8fg ug]{ sfd</t>
  </si>
  <si>
    <t>Unit length (Kg/m)</t>
  </si>
  <si>
    <t>Total Weight (kg)</t>
  </si>
  <si>
    <t>sub-total</t>
  </si>
  <si>
    <t>Kg</t>
  </si>
  <si>
    <t>-VAT 13% for materials</t>
  </si>
  <si>
    <t>)=$! dL=dL=afSnf] sf]?u]6]8 /+lug ss{6 kftfsf] 5fgf 5fpg] sfd</t>
  </si>
  <si>
    <t>-truss 1</t>
  </si>
  <si>
    <t>-13% VAT for sheet</t>
  </si>
  <si>
    <t>-13% VAT for nut bolt</t>
  </si>
  <si>
    <t>-13% VAT for j-hook</t>
  </si>
  <si>
    <t>-13% VAT for bitumen washer</t>
  </si>
  <si>
    <t>-MS square pipe of size 1.5"*1.5" and 1.6mm thickness for purlins</t>
  </si>
  <si>
    <t>-MS square pipe of size 1.5"*1.5" and 1.6mm thickness for diagnol member</t>
  </si>
  <si>
    <t>-MS square pipe of size 1.5"*1.5" and 1.6mm thickness for vertical member</t>
  </si>
  <si>
    <t>-MS square pipe of size 3"*3" and 1.6mm thickness for horizontal member</t>
  </si>
  <si>
    <t>-MS square pipe of size 2"*2" and 1.6mm thickness for inclined member</t>
  </si>
  <si>
    <t>d]lzgsf] k|of]u u/L hu leQf kvf{ndf l;d]G6 s+lqm6 ug]{ sfd -!M@M$_</t>
  </si>
  <si>
    <t>-13% VAT for diesel</t>
  </si>
  <si>
    <t xml:space="preserve">husf] vf8ndf 9'+uf eg]{ / n]en ug]{ sfddf </t>
  </si>
  <si>
    <t>-13% VAT for stone</t>
  </si>
  <si>
    <t>Provisional sum for unforseen works</t>
  </si>
  <si>
    <t>PS</t>
  </si>
  <si>
    <t xml:space="preserve">Date:2082          </t>
  </si>
  <si>
    <r>
      <t>Project:-</t>
    </r>
    <r>
      <rPr>
        <sz val="12"/>
        <rFont val="Preeti"/>
      </rPr>
      <t xml:space="preserve"> nfdf6f]n ;fd'bflos cw'/f] ejg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</si>
</sst>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1">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14"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164" fontId="3" fillId="0" borderId="2"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
  <sheetViews>
    <sheetView tabSelected="1" workbookViewId="0">
      <selection activeCell="A7" sqref="A7:F7"/>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1" x14ac:dyDescent="0.25">
      <c r="A1" s="49" t="s">
        <v>0</v>
      </c>
      <c r="B1" s="49"/>
      <c r="C1" s="49"/>
      <c r="D1" s="49"/>
      <c r="E1" s="49"/>
      <c r="F1" s="49"/>
      <c r="G1" s="49"/>
      <c r="H1" s="49"/>
      <c r="I1" s="49"/>
      <c r="J1" s="49"/>
      <c r="K1" s="49"/>
    </row>
    <row r="2" spans="1:11" ht="22.5" x14ac:dyDescent="0.25">
      <c r="A2" s="50" t="s">
        <v>1</v>
      </c>
      <c r="B2" s="50"/>
      <c r="C2" s="50"/>
      <c r="D2" s="50"/>
      <c r="E2" s="50"/>
      <c r="F2" s="50"/>
      <c r="G2" s="50"/>
      <c r="H2" s="50"/>
      <c r="I2" s="50"/>
      <c r="J2" s="50"/>
      <c r="K2" s="50"/>
    </row>
    <row r="3" spans="1:11" x14ac:dyDescent="0.25">
      <c r="A3" s="51" t="s">
        <v>2</v>
      </c>
      <c r="B3" s="51"/>
      <c r="C3" s="51"/>
      <c r="D3" s="51"/>
      <c r="E3" s="51"/>
      <c r="F3" s="51"/>
      <c r="G3" s="51"/>
      <c r="H3" s="51"/>
      <c r="I3" s="51"/>
      <c r="J3" s="51"/>
      <c r="K3" s="51"/>
    </row>
    <row r="4" spans="1:11" x14ac:dyDescent="0.25">
      <c r="A4" s="51" t="s">
        <v>3</v>
      </c>
      <c r="B4" s="51"/>
      <c r="C4" s="51"/>
      <c r="D4" s="51"/>
      <c r="E4" s="51"/>
      <c r="F4" s="51"/>
      <c r="G4" s="51"/>
      <c r="H4" s="51"/>
      <c r="I4" s="51"/>
      <c r="J4" s="51"/>
      <c r="K4" s="51"/>
    </row>
    <row r="5" spans="1:11" ht="18.75" x14ac:dyDescent="0.3">
      <c r="A5" s="52" t="s">
        <v>4</v>
      </c>
      <c r="B5" s="52"/>
      <c r="C5" s="52"/>
      <c r="D5" s="52"/>
      <c r="E5" s="52"/>
      <c r="F5" s="52"/>
      <c r="G5" s="52"/>
      <c r="H5" s="52"/>
      <c r="I5" s="52"/>
      <c r="J5" s="52"/>
      <c r="K5" s="52"/>
    </row>
    <row r="6" spans="1:11" ht="15.75" x14ac:dyDescent="0.25">
      <c r="A6" s="53" t="s">
        <v>59</v>
      </c>
      <c r="B6" s="53"/>
      <c r="C6" s="53"/>
      <c r="D6" s="53"/>
      <c r="E6" s="53"/>
      <c r="F6" s="53"/>
      <c r="G6" s="4"/>
      <c r="H6" s="54" t="s">
        <v>25</v>
      </c>
      <c r="I6" s="54"/>
      <c r="J6" s="54"/>
      <c r="K6" s="54"/>
    </row>
    <row r="7" spans="1:11" ht="15.75" x14ac:dyDescent="0.25">
      <c r="A7" s="47" t="s">
        <v>28</v>
      </c>
      <c r="B7" s="47"/>
      <c r="C7" s="47"/>
      <c r="D7" s="47"/>
      <c r="E7" s="47"/>
      <c r="F7" s="47"/>
      <c r="G7" s="5"/>
      <c r="H7" s="48" t="s">
        <v>58</v>
      </c>
      <c r="I7" s="48"/>
      <c r="J7" s="48"/>
      <c r="K7" s="48"/>
    </row>
    <row r="8" spans="1:11" s="10" customFormat="1" ht="15.75" x14ac:dyDescent="0.25">
      <c r="A8" s="6" t="s">
        <v>5</v>
      </c>
      <c r="B8" s="7" t="s">
        <v>6</v>
      </c>
      <c r="C8" s="6" t="s">
        <v>7</v>
      </c>
      <c r="D8" s="8" t="s">
        <v>8</v>
      </c>
      <c r="E8" s="8" t="s">
        <v>9</v>
      </c>
      <c r="F8" s="8" t="s">
        <v>10</v>
      </c>
      <c r="G8" s="8" t="s">
        <v>11</v>
      </c>
      <c r="H8" s="6" t="s">
        <v>12</v>
      </c>
      <c r="I8" s="8" t="s">
        <v>13</v>
      </c>
      <c r="J8" s="8" t="s">
        <v>14</v>
      </c>
      <c r="K8" s="9" t="s">
        <v>15</v>
      </c>
    </row>
    <row r="9" spans="1:11" s="12" customFormat="1" ht="45" x14ac:dyDescent="0.25">
      <c r="A9" s="15">
        <v>1</v>
      </c>
      <c r="B9" s="41" t="s">
        <v>35</v>
      </c>
      <c r="C9" s="17" t="s">
        <v>7</v>
      </c>
      <c r="D9" s="42" t="s">
        <v>27</v>
      </c>
      <c r="E9" s="43" t="s">
        <v>36</v>
      </c>
      <c r="F9" s="43" t="s">
        <v>37</v>
      </c>
      <c r="G9" s="43"/>
      <c r="H9" s="19"/>
      <c r="I9" s="2"/>
      <c r="J9" s="44"/>
      <c r="K9" s="18"/>
    </row>
    <row r="10" spans="1:11" s="12" customFormat="1" ht="45" x14ac:dyDescent="0.25">
      <c r="A10" s="21"/>
      <c r="B10" s="45" t="s">
        <v>51</v>
      </c>
      <c r="C10" s="46">
        <f>4*2-1</f>
        <v>7</v>
      </c>
      <c r="D10" s="35">
        <f>24/3.281</f>
        <v>7.3148430356598597</v>
      </c>
      <c r="E10" s="35">
        <v>2.4300000000000002</v>
      </c>
      <c r="F10" s="35">
        <f t="shared" ref="F10" si="0">PRODUCT(C10:E10)</f>
        <v>124.42548003657421</v>
      </c>
      <c r="G10" s="35">
        <f t="shared" ref="G10" si="1">F10</f>
        <v>124.42548003657421</v>
      </c>
      <c r="H10" s="44"/>
      <c r="I10" s="44"/>
      <c r="J10" s="44"/>
      <c r="K10" s="34"/>
    </row>
    <row r="11" spans="1:11" s="12" customFormat="1" ht="45" x14ac:dyDescent="0.25">
      <c r="A11" s="21"/>
      <c r="B11" s="45" t="s">
        <v>50</v>
      </c>
      <c r="C11" s="46">
        <v>3</v>
      </c>
      <c r="D11" s="35">
        <f>44.17/3.281</f>
        <v>13.462359036879</v>
      </c>
      <c r="E11" s="35">
        <v>3.54</v>
      </c>
      <c r="F11" s="35">
        <f t="shared" ref="F11:F19" si="2">PRODUCT(C11:E11)</f>
        <v>142.97025297165499</v>
      </c>
      <c r="G11" s="35">
        <f t="shared" ref="G11:G19" si="3">F11</f>
        <v>142.97025297165499</v>
      </c>
      <c r="H11" s="44"/>
      <c r="I11" s="44"/>
      <c r="J11" s="44"/>
      <c r="K11" s="34"/>
    </row>
    <row r="12" spans="1:11" s="12" customFormat="1" x14ac:dyDescent="0.25">
      <c r="A12" s="21"/>
      <c r="B12" s="45"/>
      <c r="C12" s="46">
        <v>1</v>
      </c>
      <c r="D12" s="35">
        <f>22.083/3.281</f>
        <v>6.7305699481865275</v>
      </c>
      <c r="E12" s="35">
        <v>3.54</v>
      </c>
      <c r="F12" s="35">
        <f t="shared" ref="F12" si="4">PRODUCT(C12:E12)</f>
        <v>23.826217616580308</v>
      </c>
      <c r="G12" s="35">
        <f t="shared" ref="G12" si="5">F12</f>
        <v>23.826217616580308</v>
      </c>
      <c r="H12" s="44"/>
      <c r="I12" s="44"/>
      <c r="J12" s="44"/>
      <c r="K12" s="34"/>
    </row>
    <row r="13" spans="1:11" s="12" customFormat="1" x14ac:dyDescent="0.25">
      <c r="A13" s="21"/>
      <c r="B13" s="45"/>
      <c r="C13" s="46">
        <v>2</v>
      </c>
      <c r="D13" s="35">
        <f>35.833/3.281</f>
        <v>10.921365437366656</v>
      </c>
      <c r="E13" s="35">
        <v>3.54</v>
      </c>
      <c r="F13" s="35">
        <f t="shared" si="2"/>
        <v>77.323267296555926</v>
      </c>
      <c r="G13" s="35">
        <f t="shared" si="3"/>
        <v>77.323267296555926</v>
      </c>
      <c r="H13" s="44"/>
      <c r="I13" s="44"/>
      <c r="J13" s="44"/>
      <c r="K13" s="34"/>
    </row>
    <row r="14" spans="1:11" s="12" customFormat="1" ht="45" x14ac:dyDescent="0.25">
      <c r="A14" s="21"/>
      <c r="B14" s="45" t="s">
        <v>49</v>
      </c>
      <c r="C14" s="46">
        <f>4*2-1</f>
        <v>7</v>
      </c>
      <c r="D14" s="35">
        <f>(3)/3.281</f>
        <v>0.91435537945748246</v>
      </c>
      <c r="E14" s="35">
        <v>1.83</v>
      </c>
      <c r="F14" s="35">
        <f t="shared" si="2"/>
        <v>11.712892410850349</v>
      </c>
      <c r="G14" s="35">
        <f t="shared" si="3"/>
        <v>11.712892410850349</v>
      </c>
      <c r="H14" s="44"/>
      <c r="I14" s="44"/>
      <c r="J14" s="44"/>
      <c r="K14" s="34"/>
    </row>
    <row r="15" spans="1:11" s="12" customFormat="1" x14ac:dyDescent="0.25">
      <c r="A15" s="21"/>
      <c r="B15" s="45"/>
      <c r="C15" s="46">
        <f t="shared" ref="C15:C25" si="6">4*2-1</f>
        <v>7</v>
      </c>
      <c r="D15" s="35">
        <f>(2.5)/3.281</f>
        <v>0.76196281621456874</v>
      </c>
      <c r="E15" s="35">
        <v>1.83</v>
      </c>
      <c r="F15" s="35">
        <f t="shared" ref="F15:F18" si="7">PRODUCT(C15:E15)</f>
        <v>9.7607436757086266</v>
      </c>
      <c r="G15" s="35">
        <f t="shared" ref="G15:G18" si="8">F15</f>
        <v>9.7607436757086266</v>
      </c>
      <c r="H15" s="44"/>
      <c r="I15" s="44"/>
      <c r="J15" s="44"/>
      <c r="K15" s="34"/>
    </row>
    <row r="16" spans="1:11" s="12" customFormat="1" x14ac:dyDescent="0.25">
      <c r="A16" s="21"/>
      <c r="B16" s="45"/>
      <c r="C16" s="46">
        <f t="shared" si="6"/>
        <v>7</v>
      </c>
      <c r="D16" s="35">
        <f>(2)/3.281</f>
        <v>0.6095702529716549</v>
      </c>
      <c r="E16" s="35">
        <v>1.83</v>
      </c>
      <c r="F16" s="35">
        <f t="shared" si="7"/>
        <v>7.8085949405668993</v>
      </c>
      <c r="G16" s="35">
        <f t="shared" si="8"/>
        <v>7.8085949405668993</v>
      </c>
      <c r="H16" s="44"/>
      <c r="I16" s="44"/>
      <c r="J16" s="44"/>
      <c r="K16" s="34"/>
    </row>
    <row r="17" spans="1:11" s="12" customFormat="1" x14ac:dyDescent="0.25">
      <c r="A17" s="21"/>
      <c r="B17" s="45"/>
      <c r="C17" s="46">
        <f t="shared" si="6"/>
        <v>7</v>
      </c>
      <c r="D17" s="35">
        <f>(1.5)/3.281</f>
        <v>0.45717768972874123</v>
      </c>
      <c r="E17" s="35">
        <v>1.83</v>
      </c>
      <c r="F17" s="35">
        <f t="shared" si="7"/>
        <v>5.8564462054251747</v>
      </c>
      <c r="G17" s="35">
        <f t="shared" si="8"/>
        <v>5.8564462054251747</v>
      </c>
      <c r="H17" s="44"/>
      <c r="I17" s="44"/>
      <c r="J17" s="44"/>
      <c r="K17" s="34"/>
    </row>
    <row r="18" spans="1:11" s="12" customFormat="1" x14ac:dyDescent="0.25">
      <c r="A18" s="21"/>
      <c r="B18" s="45"/>
      <c r="C18" s="46">
        <f t="shared" si="6"/>
        <v>7</v>
      </c>
      <c r="D18" s="35">
        <f>(1)/3.281</f>
        <v>0.30478512648582745</v>
      </c>
      <c r="E18" s="35">
        <v>1.83</v>
      </c>
      <c r="F18" s="35">
        <f t="shared" si="7"/>
        <v>3.9042974702834496</v>
      </c>
      <c r="G18" s="35">
        <f t="shared" si="8"/>
        <v>3.9042974702834496</v>
      </c>
      <c r="H18" s="44"/>
      <c r="I18" s="44"/>
      <c r="J18" s="44"/>
      <c r="K18" s="34"/>
    </row>
    <row r="19" spans="1:11" s="12" customFormat="1" x14ac:dyDescent="0.25">
      <c r="A19" s="21"/>
      <c r="B19" s="45"/>
      <c r="C19" s="46">
        <f t="shared" si="6"/>
        <v>7</v>
      </c>
      <c r="D19" s="35">
        <f>(0.5)/3.281</f>
        <v>0.15239256324291373</v>
      </c>
      <c r="E19" s="35">
        <v>1.83</v>
      </c>
      <c r="F19" s="35">
        <f t="shared" si="2"/>
        <v>1.9521487351417248</v>
      </c>
      <c r="G19" s="35">
        <f t="shared" si="3"/>
        <v>1.9521487351417248</v>
      </c>
      <c r="H19" s="44"/>
      <c r="I19" s="44"/>
      <c r="J19" s="44"/>
      <c r="K19" s="34"/>
    </row>
    <row r="20" spans="1:11" s="12" customFormat="1" ht="45" x14ac:dyDescent="0.25">
      <c r="A20" s="21"/>
      <c r="B20" s="45" t="s">
        <v>48</v>
      </c>
      <c r="C20" s="46">
        <f t="shared" si="6"/>
        <v>7</v>
      </c>
      <c r="D20" s="35">
        <f>(4.17)/3.281</f>
        <v>1.2709539774459007</v>
      </c>
      <c r="E20" s="35">
        <v>1.83</v>
      </c>
      <c r="F20" s="35">
        <f t="shared" ref="F20:F25" si="9">PRODUCT(C20:E20)</f>
        <v>16.28092045108199</v>
      </c>
      <c r="G20" s="35">
        <f t="shared" ref="G20:G25" si="10">F20</f>
        <v>16.28092045108199</v>
      </c>
      <c r="H20" s="44"/>
      <c r="I20" s="44"/>
      <c r="J20" s="44"/>
      <c r="K20" s="34"/>
    </row>
    <row r="21" spans="1:11" s="12" customFormat="1" x14ac:dyDescent="0.25">
      <c r="A21" s="21"/>
      <c r="B21" s="45"/>
      <c r="C21" s="46">
        <f t="shared" si="6"/>
        <v>7</v>
      </c>
      <c r="D21" s="35">
        <f>(3.917)/3.281</f>
        <v>1.1938433404449862</v>
      </c>
      <c r="E21" s="35">
        <v>1.83</v>
      </c>
      <c r="F21" s="35">
        <f t="shared" si="9"/>
        <v>15.293133191100276</v>
      </c>
      <c r="G21" s="35">
        <f t="shared" si="10"/>
        <v>15.293133191100276</v>
      </c>
      <c r="H21" s="44"/>
      <c r="I21" s="44"/>
      <c r="J21" s="44"/>
      <c r="K21" s="34"/>
    </row>
    <row r="22" spans="1:11" s="12" customFormat="1" x14ac:dyDescent="0.25">
      <c r="A22" s="21"/>
      <c r="B22" s="45"/>
      <c r="C22" s="46">
        <f t="shared" si="6"/>
        <v>7</v>
      </c>
      <c r="D22" s="35">
        <f>(3.583)/3.281</f>
        <v>1.0920451081987199</v>
      </c>
      <c r="E22" s="35">
        <v>1.83</v>
      </c>
      <c r="F22" s="35">
        <f t="shared" si="9"/>
        <v>13.989097836025604</v>
      </c>
      <c r="G22" s="35">
        <f t="shared" si="10"/>
        <v>13.989097836025604</v>
      </c>
      <c r="H22" s="44"/>
      <c r="I22" s="44"/>
      <c r="J22" s="44"/>
      <c r="K22" s="34"/>
    </row>
    <row r="23" spans="1:11" s="12" customFormat="1" x14ac:dyDescent="0.25">
      <c r="A23" s="21"/>
      <c r="B23" s="45"/>
      <c r="C23" s="46">
        <f t="shared" si="6"/>
        <v>7</v>
      </c>
      <c r="D23" s="35">
        <f>(3.33)/3.281</f>
        <v>1.0149344711978054</v>
      </c>
      <c r="E23" s="35">
        <v>1.83</v>
      </c>
      <c r="F23" s="35">
        <f t="shared" si="9"/>
        <v>13.001310576043888</v>
      </c>
      <c r="G23" s="35">
        <f t="shared" si="10"/>
        <v>13.001310576043888</v>
      </c>
      <c r="H23" s="44"/>
      <c r="I23" s="44"/>
      <c r="J23" s="44"/>
      <c r="K23" s="34"/>
    </row>
    <row r="24" spans="1:11" s="12" customFormat="1" x14ac:dyDescent="0.25">
      <c r="A24" s="21"/>
      <c r="B24" s="45"/>
      <c r="C24" s="46">
        <f t="shared" si="6"/>
        <v>7</v>
      </c>
      <c r="D24" s="35">
        <f>(3)/3.281</f>
        <v>0.91435537945748246</v>
      </c>
      <c r="E24" s="35">
        <v>1.83</v>
      </c>
      <c r="F24" s="35">
        <f t="shared" si="9"/>
        <v>11.712892410850349</v>
      </c>
      <c r="G24" s="35">
        <f t="shared" si="10"/>
        <v>11.712892410850349</v>
      </c>
      <c r="H24" s="44"/>
      <c r="I24" s="44"/>
      <c r="J24" s="44"/>
      <c r="K24" s="34"/>
    </row>
    <row r="25" spans="1:11" s="12" customFormat="1" x14ac:dyDescent="0.25">
      <c r="A25" s="21"/>
      <c r="B25" s="45"/>
      <c r="C25" s="46">
        <f t="shared" si="6"/>
        <v>7</v>
      </c>
      <c r="D25" s="35">
        <f>(3)/3.281</f>
        <v>0.91435537945748246</v>
      </c>
      <c r="E25" s="35">
        <v>1.83</v>
      </c>
      <c r="F25" s="35">
        <f t="shared" si="9"/>
        <v>11.712892410850349</v>
      </c>
      <c r="G25" s="35">
        <f t="shared" si="10"/>
        <v>11.712892410850349</v>
      </c>
      <c r="H25" s="44"/>
      <c r="I25" s="44"/>
      <c r="J25" s="44"/>
      <c r="K25" s="34"/>
    </row>
    <row r="26" spans="1:11" s="12" customFormat="1" ht="30" x14ac:dyDescent="0.25">
      <c r="A26" s="21"/>
      <c r="B26" s="45" t="s">
        <v>47</v>
      </c>
      <c r="C26" s="46">
        <v>10</v>
      </c>
      <c r="D26" s="35">
        <f>(36+2+2)/3.281</f>
        <v>12.1914050594331</v>
      </c>
      <c r="E26" s="35">
        <v>1.83</v>
      </c>
      <c r="F26" s="35">
        <f t="shared" ref="F26" si="11">PRODUCT(C26:E26)</f>
        <v>223.10271258762575</v>
      </c>
      <c r="G26" s="35">
        <f t="shared" ref="G26" si="12">F26</f>
        <v>223.10271258762575</v>
      </c>
      <c r="H26" s="44"/>
      <c r="I26" s="44"/>
      <c r="J26" s="44"/>
      <c r="K26" s="34"/>
    </row>
    <row r="27" spans="1:11" s="12" customFormat="1" x14ac:dyDescent="0.25">
      <c r="A27" s="21"/>
      <c r="B27" s="45"/>
      <c r="C27" s="46">
        <v>10</v>
      </c>
      <c r="D27" s="35">
        <f>(24+2)/3.281</f>
        <v>7.9244132886315146</v>
      </c>
      <c r="E27" s="35">
        <v>1.83</v>
      </c>
      <c r="F27" s="35">
        <f t="shared" ref="F27" si="13">PRODUCT(C27:E27)</f>
        <v>145.01676318195672</v>
      </c>
      <c r="G27" s="35">
        <f t="shared" ref="G27" si="14">F27</f>
        <v>145.01676318195672</v>
      </c>
      <c r="H27" s="44"/>
      <c r="I27" s="44"/>
      <c r="J27" s="44"/>
      <c r="K27" s="34"/>
    </row>
    <row r="28" spans="1:11" s="12" customFormat="1" x14ac:dyDescent="0.25">
      <c r="A28" s="15"/>
      <c r="B28" s="45" t="s">
        <v>38</v>
      </c>
      <c r="C28" s="17"/>
      <c r="D28" s="1"/>
      <c r="E28" s="18"/>
      <c r="F28" s="18"/>
      <c r="G28" s="44">
        <f>SUM(G11:G27)</f>
        <v>735.22458396830234</v>
      </c>
      <c r="H28" s="19" t="s">
        <v>39</v>
      </c>
      <c r="I28" s="2">
        <v>182.51</v>
      </c>
      <c r="J28" s="44">
        <f>G28*I28</f>
        <v>134185.83882005487</v>
      </c>
      <c r="K28" s="18"/>
    </row>
    <row r="29" spans="1:11" s="12" customFormat="1" x14ac:dyDescent="0.25">
      <c r="A29" s="15"/>
      <c r="B29" s="45" t="s">
        <v>40</v>
      </c>
      <c r="C29" s="17"/>
      <c r="D29" s="1"/>
      <c r="E29" s="18"/>
      <c r="F29" s="18"/>
      <c r="G29" s="44"/>
      <c r="H29" s="19"/>
      <c r="I29" s="2"/>
      <c r="J29" s="44">
        <f>0.13*G28*(1871.42/18.94)</f>
        <v>9443.9714266575957</v>
      </c>
      <c r="K29" s="18"/>
    </row>
    <row r="30" spans="1:11" s="12" customFormat="1" x14ac:dyDescent="0.25">
      <c r="A30" s="15"/>
      <c r="B30" s="45"/>
      <c r="C30" s="17"/>
      <c r="D30" s="1"/>
      <c r="E30" s="18"/>
      <c r="F30" s="18"/>
      <c r="G30" s="44"/>
      <c r="H30" s="19"/>
      <c r="I30" s="2"/>
      <c r="J30" s="44"/>
      <c r="K30" s="18"/>
    </row>
    <row r="31" spans="1:11" s="12" customFormat="1" ht="30" x14ac:dyDescent="0.25">
      <c r="A31" s="15">
        <v>2</v>
      </c>
      <c r="B31" s="41" t="s">
        <v>41</v>
      </c>
      <c r="C31" s="17"/>
      <c r="D31" s="1"/>
      <c r="E31" s="18"/>
      <c r="F31" s="18"/>
      <c r="G31" s="44"/>
      <c r="H31" s="19"/>
      <c r="I31" s="2"/>
      <c r="J31" s="44"/>
      <c r="K31" s="18"/>
    </row>
    <row r="32" spans="1:11" s="12" customFormat="1" x14ac:dyDescent="0.25">
      <c r="A32" s="15"/>
      <c r="B32" s="45" t="s">
        <v>42</v>
      </c>
      <c r="C32" s="17">
        <v>1</v>
      </c>
      <c r="D32" s="1">
        <f>24.25/3.281</f>
        <v>7.391039317281316</v>
      </c>
      <c r="E32" s="18">
        <f>D26</f>
        <v>12.1914050594331</v>
      </c>
      <c r="F32" s="18"/>
      <c r="G32" s="24">
        <f t="shared" ref="G32" si="15">PRODUCT(C32:F32)</f>
        <v>90.107154127172393</v>
      </c>
      <c r="H32" s="19"/>
      <c r="I32" s="2"/>
      <c r="J32" s="44"/>
      <c r="K32" s="18"/>
    </row>
    <row r="33" spans="1:11" s="12" customFormat="1" x14ac:dyDescent="0.25">
      <c r="A33" s="15"/>
      <c r="B33" s="45"/>
      <c r="C33" s="17">
        <v>1</v>
      </c>
      <c r="D33" s="1">
        <f>24.25/3.281</f>
        <v>7.391039317281316</v>
      </c>
      <c r="E33" s="18">
        <f>D27</f>
        <v>7.9244132886315146</v>
      </c>
      <c r="F33" s="18"/>
      <c r="G33" s="24">
        <f t="shared" ref="G33" si="16">PRODUCT(C33:F33)</f>
        <v>58.569650182662059</v>
      </c>
      <c r="H33" s="19"/>
      <c r="I33" s="2"/>
      <c r="J33" s="44"/>
      <c r="K33" s="18"/>
    </row>
    <row r="34" spans="1:11" s="12" customFormat="1" x14ac:dyDescent="0.25">
      <c r="A34" s="15"/>
      <c r="B34" s="45" t="s">
        <v>38</v>
      </c>
      <c r="C34" s="17"/>
      <c r="D34" s="1"/>
      <c r="E34" s="18"/>
      <c r="F34" s="18"/>
      <c r="G34" s="44">
        <f>SUM(G32:G33)</f>
        <v>148.67680430983444</v>
      </c>
      <c r="H34" s="19" t="s">
        <v>32</v>
      </c>
      <c r="I34" s="2">
        <v>1112.58</v>
      </c>
      <c r="J34" s="44">
        <f>G34*I34</f>
        <v>165414.8389390356</v>
      </c>
      <c r="K34" s="18"/>
    </row>
    <row r="35" spans="1:11" s="10" customFormat="1" x14ac:dyDescent="0.25">
      <c r="A35" s="21"/>
      <c r="B35" s="22" t="s">
        <v>43</v>
      </c>
      <c r="C35" s="23"/>
      <c r="D35" s="23"/>
      <c r="E35" s="23"/>
      <c r="F35" s="23"/>
      <c r="G35" s="23"/>
      <c r="H35" s="23"/>
      <c r="I35" s="23"/>
      <c r="J35" s="20">
        <f>0.13*G34*7050.67/10</f>
        <v>13627.524089961866</v>
      </c>
      <c r="K35" s="23"/>
    </row>
    <row r="36" spans="1:11" s="10" customFormat="1" x14ac:dyDescent="0.25">
      <c r="A36" s="21"/>
      <c r="B36" s="22" t="s">
        <v>44</v>
      </c>
      <c r="C36" s="23"/>
      <c r="D36" s="23"/>
      <c r="E36" s="23"/>
      <c r="F36" s="23"/>
      <c r="G36" s="23"/>
      <c r="H36" s="23"/>
      <c r="I36" s="23"/>
      <c r="J36" s="20">
        <f>0.13*G34*1023.75/10</f>
        <v>1978.7024193585089</v>
      </c>
      <c r="K36" s="23"/>
    </row>
    <row r="37" spans="1:11" s="10" customFormat="1" x14ac:dyDescent="0.25">
      <c r="A37" s="21"/>
      <c r="B37" s="22" t="s">
        <v>45</v>
      </c>
      <c r="C37" s="23"/>
      <c r="D37" s="23"/>
      <c r="E37" s="23"/>
      <c r="F37" s="23"/>
      <c r="G37" s="23"/>
      <c r="H37" s="23"/>
      <c r="I37" s="23"/>
      <c r="J37" s="20">
        <f>0.13*G34*348.21/10</f>
        <v>673.01975037345687</v>
      </c>
      <c r="K37" s="23"/>
    </row>
    <row r="38" spans="1:11" s="10" customFormat="1" x14ac:dyDescent="0.25">
      <c r="A38" s="21"/>
      <c r="B38" s="22" t="s">
        <v>46</v>
      </c>
      <c r="C38" s="23"/>
      <c r="D38" s="23"/>
      <c r="E38" s="23"/>
      <c r="F38" s="23"/>
      <c r="G38" s="23"/>
      <c r="H38" s="23"/>
      <c r="I38" s="23"/>
      <c r="J38" s="20">
        <f>0.13*G34*165/10</f>
        <v>318.9117452445949</v>
      </c>
      <c r="K38" s="23"/>
    </row>
    <row r="39" spans="1:11" s="10" customFormat="1" x14ac:dyDescent="0.25">
      <c r="A39" s="21"/>
      <c r="B39" s="22"/>
      <c r="C39" s="23"/>
      <c r="D39" s="23"/>
      <c r="E39" s="23"/>
      <c r="F39" s="23"/>
      <c r="G39" s="23"/>
      <c r="H39" s="23"/>
      <c r="I39" s="23"/>
      <c r="J39" s="20"/>
      <c r="K39" s="23"/>
    </row>
    <row r="40" spans="1:11" ht="30" x14ac:dyDescent="0.25">
      <c r="A40" s="11">
        <v>3</v>
      </c>
      <c r="B40" s="25" t="s">
        <v>54</v>
      </c>
      <c r="C40" s="13"/>
      <c r="D40" s="13"/>
      <c r="E40" s="13"/>
      <c r="F40" s="13"/>
      <c r="G40" s="13"/>
      <c r="H40" s="13"/>
      <c r="I40" s="13"/>
      <c r="J40" s="13"/>
      <c r="K40" s="13"/>
    </row>
    <row r="41" spans="1:11" x14ac:dyDescent="0.25">
      <c r="A41" s="13"/>
      <c r="B41" s="14" t="s">
        <v>34</v>
      </c>
      <c r="C41" s="13">
        <v>1</v>
      </c>
      <c r="D41" s="3">
        <f>44.17/3.281</f>
        <v>13.462359036879</v>
      </c>
      <c r="E41" s="3">
        <f>36/3.281</f>
        <v>10.97226455348979</v>
      </c>
      <c r="F41" s="13">
        <v>0.15</v>
      </c>
      <c r="G41" s="3">
        <f>PRODUCT(C41:F41)</f>
        <v>22.156884730005061</v>
      </c>
      <c r="H41" s="13"/>
      <c r="I41" s="13"/>
      <c r="J41" s="13"/>
      <c r="K41" s="13"/>
    </row>
    <row r="42" spans="1:11" s="10" customFormat="1" ht="15" customHeight="1" x14ac:dyDescent="0.25">
      <c r="A42" s="15"/>
      <c r="B42" s="16" t="s">
        <v>16</v>
      </c>
      <c r="C42" s="17"/>
      <c r="D42" s="1"/>
      <c r="E42" s="18"/>
      <c r="F42" s="18"/>
      <c r="G42" s="2">
        <f>SUM(G41)</f>
        <v>22.156884730005061</v>
      </c>
      <c r="H42" s="19" t="s">
        <v>32</v>
      </c>
      <c r="I42" s="2">
        <v>4495.6400000000003</v>
      </c>
      <c r="J42" s="60">
        <f>G42*I42</f>
        <v>99609.377267599964</v>
      </c>
      <c r="K42" s="18"/>
    </row>
    <row r="43" spans="1:11" s="10" customFormat="1" x14ac:dyDescent="0.25">
      <c r="A43" s="21"/>
      <c r="B43" s="22" t="s">
        <v>55</v>
      </c>
      <c r="C43" s="23"/>
      <c r="D43" s="24"/>
      <c r="E43" s="24"/>
      <c r="F43" s="24"/>
      <c r="G43" s="24"/>
      <c r="H43" s="23"/>
      <c r="I43" s="23"/>
      <c r="J43" s="20">
        <f>0.13*G42*3093.15</f>
        <v>8909.4938403399701</v>
      </c>
      <c r="K43" s="23"/>
    </row>
    <row r="44" spans="1:11" x14ac:dyDescent="0.25">
      <c r="A44" s="13"/>
      <c r="B44" s="13"/>
      <c r="C44" s="13"/>
      <c r="D44" s="13"/>
      <c r="E44" s="13"/>
      <c r="F44" s="13"/>
      <c r="G44" s="13"/>
      <c r="H44" s="13"/>
      <c r="I44" s="13"/>
      <c r="J44" s="13"/>
      <c r="K44" s="13"/>
    </row>
    <row r="45" spans="1:11" ht="45" x14ac:dyDescent="0.25">
      <c r="A45" s="11">
        <v>4</v>
      </c>
      <c r="B45" s="25" t="s">
        <v>52</v>
      </c>
      <c r="C45" s="13"/>
      <c r="D45" s="13"/>
      <c r="E45" s="13"/>
      <c r="F45" s="13"/>
      <c r="G45" s="13"/>
      <c r="H45" s="13"/>
      <c r="I45" s="13"/>
      <c r="J45" s="13"/>
      <c r="K45" s="13"/>
    </row>
    <row r="46" spans="1:11" x14ac:dyDescent="0.25">
      <c r="A46" s="13"/>
      <c r="B46" s="14" t="s">
        <v>34</v>
      </c>
      <c r="C46" s="13">
        <v>1</v>
      </c>
      <c r="D46" s="3">
        <f>44.17/3.281</f>
        <v>13.462359036879</v>
      </c>
      <c r="E46" s="3">
        <f>36/3.281</f>
        <v>10.97226455348979</v>
      </c>
      <c r="F46" s="13">
        <v>7.4999999999999997E-2</v>
      </c>
      <c r="G46" s="3">
        <f>PRODUCT(C46:F46)</f>
        <v>11.07844236500253</v>
      </c>
      <c r="H46" s="13"/>
      <c r="I46" s="13"/>
      <c r="J46" s="13"/>
      <c r="K46" s="13"/>
    </row>
    <row r="47" spans="1:11" s="10" customFormat="1" ht="15" customHeight="1" x14ac:dyDescent="0.25">
      <c r="A47" s="15"/>
      <c r="B47" s="16" t="s">
        <v>16</v>
      </c>
      <c r="C47" s="17"/>
      <c r="D47" s="1"/>
      <c r="E47" s="18"/>
      <c r="F47" s="18"/>
      <c r="G47" s="2">
        <f>SUM(G46)</f>
        <v>11.07844236500253</v>
      </c>
      <c r="H47" s="19" t="s">
        <v>32</v>
      </c>
      <c r="I47" s="2">
        <v>12884.61</v>
      </c>
      <c r="J47" s="60">
        <f>G47*I47</f>
        <v>142741.40928053527</v>
      </c>
      <c r="K47" s="18"/>
    </row>
    <row r="48" spans="1:11" s="10" customFormat="1" x14ac:dyDescent="0.25">
      <c r="A48" s="21"/>
      <c r="B48" s="22" t="s">
        <v>30</v>
      </c>
      <c r="C48" s="23"/>
      <c r="D48" s="24"/>
      <c r="E48" s="24"/>
      <c r="F48" s="24"/>
      <c r="G48" s="24"/>
      <c r="H48" s="23"/>
      <c r="I48" s="23"/>
      <c r="J48" s="20">
        <f>0.13*G47*4169.92</f>
        <v>6005.5083902672759</v>
      </c>
      <c r="K48" s="23"/>
    </row>
    <row r="49" spans="1:11" x14ac:dyDescent="0.25">
      <c r="A49" s="13"/>
      <c r="B49" s="22" t="s">
        <v>29</v>
      </c>
      <c r="C49" s="23"/>
      <c r="D49" s="24"/>
      <c r="E49" s="24"/>
      <c r="F49" s="24"/>
      <c r="G49" s="24"/>
      <c r="H49" s="23"/>
      <c r="I49" s="23"/>
      <c r="J49" s="20">
        <f>0.13*G47*1414.16</f>
        <v>2036.6697071359574</v>
      </c>
      <c r="K49" s="13"/>
    </row>
    <row r="50" spans="1:11" x14ac:dyDescent="0.25">
      <c r="A50" s="13"/>
      <c r="B50" s="22" t="s">
        <v>31</v>
      </c>
      <c r="C50" s="23"/>
      <c r="D50" s="24"/>
      <c r="E50" s="24"/>
      <c r="F50" s="24"/>
      <c r="G50" s="24"/>
      <c r="H50" s="23"/>
      <c r="I50" s="23"/>
      <c r="J50" s="20">
        <f>0.13*G47*(1652.5+1106.96)</f>
        <v>3974.167413908885</v>
      </c>
      <c r="K50" s="13"/>
    </row>
    <row r="51" spans="1:11" x14ac:dyDescent="0.25">
      <c r="A51" s="13"/>
      <c r="B51" s="22" t="s">
        <v>33</v>
      </c>
      <c r="C51" s="23"/>
      <c r="D51" s="24"/>
      <c r="E51" s="24"/>
      <c r="F51" s="24"/>
      <c r="G51" s="24"/>
      <c r="H51" s="23"/>
      <c r="I51" s="23"/>
      <c r="J51" s="20">
        <f>0.13*G47*36.4</f>
        <v>52.423189271191973</v>
      </c>
      <c r="K51" s="13"/>
    </row>
    <row r="52" spans="1:11" x14ac:dyDescent="0.25">
      <c r="A52" s="13"/>
      <c r="B52" s="22" t="s">
        <v>53</v>
      </c>
      <c r="C52" s="23"/>
      <c r="D52" s="24"/>
      <c r="E52" s="24"/>
      <c r="F52" s="24"/>
      <c r="G52" s="24"/>
      <c r="H52" s="23"/>
      <c r="I52" s="23"/>
      <c r="J52" s="20">
        <f>0.13*G47*392.92</f>
        <v>565.88240462738327</v>
      </c>
      <c r="K52" s="13"/>
    </row>
    <row r="53" spans="1:11" x14ac:dyDescent="0.25">
      <c r="A53" s="13"/>
      <c r="B53" s="22" t="s">
        <v>31</v>
      </c>
      <c r="C53" s="23"/>
      <c r="D53" s="24"/>
      <c r="E53" s="24"/>
      <c r="F53" s="24"/>
      <c r="G53" s="24"/>
      <c r="H53" s="23"/>
      <c r="I53" s="23"/>
      <c r="J53" s="20">
        <f>0.13*G47*14.15</f>
        <v>20.378794730422157</v>
      </c>
      <c r="K53" s="13"/>
    </row>
    <row r="54" spans="1:11" x14ac:dyDescent="0.25">
      <c r="A54" s="13"/>
      <c r="B54" s="13"/>
      <c r="C54" s="13"/>
      <c r="D54" s="13"/>
      <c r="E54" s="13"/>
      <c r="F54" s="13"/>
      <c r="G54" s="13"/>
      <c r="H54" s="13"/>
      <c r="I54" s="13"/>
      <c r="J54" s="13"/>
      <c r="K54" s="13"/>
    </row>
    <row r="55" spans="1:11" s="10" customFormat="1" ht="15" customHeight="1" x14ac:dyDescent="0.25">
      <c r="A55" s="15">
        <v>5</v>
      </c>
      <c r="B55" s="26" t="s">
        <v>56</v>
      </c>
      <c r="C55" s="17">
        <v>1</v>
      </c>
      <c r="D55" s="1"/>
      <c r="E55" s="18"/>
      <c r="F55" s="18"/>
      <c r="G55" s="19">
        <f t="shared" ref="G55" si="17">PRODUCT(C55:F55)</f>
        <v>1</v>
      </c>
      <c r="H55" s="19" t="s">
        <v>57</v>
      </c>
      <c r="I55" s="2">
        <v>7000</v>
      </c>
      <c r="J55" s="19">
        <f>G55*I55</f>
        <v>7000</v>
      </c>
      <c r="K55" s="18"/>
    </row>
    <row r="56" spans="1:11" s="10" customFormat="1" x14ac:dyDescent="0.25">
      <c r="A56" s="15"/>
      <c r="B56" s="27"/>
      <c r="C56" s="17"/>
      <c r="D56" s="1"/>
      <c r="E56" s="18"/>
      <c r="F56" s="18"/>
      <c r="G56" s="2"/>
      <c r="H56" s="19"/>
      <c r="I56" s="2"/>
      <c r="J56" s="20"/>
      <c r="K56" s="18"/>
    </row>
    <row r="57" spans="1:11" s="10" customFormat="1" ht="15" customHeight="1" x14ac:dyDescent="0.25">
      <c r="A57" s="15">
        <v>6</v>
      </c>
      <c r="B57" s="26" t="s">
        <v>17</v>
      </c>
      <c r="C57" s="17">
        <v>1</v>
      </c>
      <c r="D57" s="1"/>
      <c r="E57" s="18"/>
      <c r="F57" s="18"/>
      <c r="G57" s="19">
        <f t="shared" ref="G57" si="18">PRODUCT(C57:F57)</f>
        <v>1</v>
      </c>
      <c r="H57" s="19" t="s">
        <v>18</v>
      </c>
      <c r="I57" s="2">
        <v>500</v>
      </c>
      <c r="J57" s="19">
        <f>G57*I57</f>
        <v>500</v>
      </c>
      <c r="K57" s="18"/>
    </row>
    <row r="58" spans="1:11" s="10" customFormat="1" x14ac:dyDescent="0.25">
      <c r="A58" s="15"/>
      <c r="B58" s="27"/>
      <c r="C58" s="17"/>
      <c r="D58" s="1"/>
      <c r="E58" s="18"/>
      <c r="F58" s="18"/>
      <c r="G58" s="2"/>
      <c r="H58" s="19"/>
      <c r="I58" s="2"/>
      <c r="J58" s="20"/>
      <c r="K58" s="18"/>
    </row>
    <row r="59" spans="1:11" s="10" customFormat="1" x14ac:dyDescent="0.25">
      <c r="A59" s="28"/>
      <c r="B59" s="29" t="s">
        <v>20</v>
      </c>
      <c r="C59" s="30"/>
      <c r="D59" s="31"/>
      <c r="E59" s="31"/>
      <c r="F59" s="31"/>
      <c r="G59" s="20"/>
      <c r="H59" s="20"/>
      <c r="I59" s="20"/>
      <c r="J59" s="20">
        <f>SUM(J10:J57)</f>
        <v>597058.1174791028</v>
      </c>
      <c r="K59" s="32"/>
    </row>
    <row r="60" spans="1:11" s="10" customFormat="1" x14ac:dyDescent="0.25"/>
    <row r="61" spans="1:11" s="40" customFormat="1" x14ac:dyDescent="0.25">
      <c r="A61" s="33"/>
      <c r="B61" s="34" t="s">
        <v>19</v>
      </c>
      <c r="C61" s="55">
        <f>J59</f>
        <v>597058.1174791028</v>
      </c>
      <c r="D61" s="56"/>
      <c r="E61" s="35">
        <v>100</v>
      </c>
      <c r="F61" s="33"/>
      <c r="G61" s="36"/>
      <c r="H61" s="33"/>
      <c r="I61" s="37"/>
      <c r="J61" s="38"/>
      <c r="K61" s="39"/>
    </row>
    <row r="62" spans="1:11" s="10" customFormat="1" x14ac:dyDescent="0.25">
      <c r="B62" s="34" t="s">
        <v>21</v>
      </c>
      <c r="C62" s="57">
        <v>500000</v>
      </c>
      <c r="D62" s="58"/>
      <c r="E62" s="35"/>
    </row>
    <row r="63" spans="1:11" s="10" customFormat="1" x14ac:dyDescent="0.25">
      <c r="B63" s="34" t="s">
        <v>22</v>
      </c>
      <c r="C63" s="57">
        <f>C62-C65-C66</f>
        <v>475000</v>
      </c>
      <c r="D63" s="58"/>
      <c r="E63" s="35">
        <f>C63/C61*100</f>
        <v>79.556744325919851</v>
      </c>
    </row>
    <row r="64" spans="1:11" s="10" customFormat="1" x14ac:dyDescent="0.25">
      <c r="B64" s="34" t="s">
        <v>26</v>
      </c>
      <c r="C64" s="59">
        <f>C61-C63</f>
        <v>122058.1174791028</v>
      </c>
      <c r="D64" s="59"/>
      <c r="E64" s="35">
        <f>100-E63</f>
        <v>20.443255674080149</v>
      </c>
    </row>
    <row r="65" spans="2:5" s="10" customFormat="1" x14ac:dyDescent="0.25">
      <c r="B65" s="34" t="s">
        <v>23</v>
      </c>
      <c r="C65" s="55">
        <f>C62*0.03</f>
        <v>15000</v>
      </c>
      <c r="D65" s="56"/>
      <c r="E65" s="35">
        <v>3</v>
      </c>
    </row>
    <row r="66" spans="2:5" s="10" customFormat="1" x14ac:dyDescent="0.25">
      <c r="B66" s="34" t="s">
        <v>24</v>
      </c>
      <c r="C66" s="55">
        <f>C62*0.02</f>
        <v>10000</v>
      </c>
      <c r="D66" s="56"/>
      <c r="E66" s="35">
        <v>2</v>
      </c>
    </row>
  </sheetData>
  <mergeCells count="15">
    <mergeCell ref="C66:D66"/>
    <mergeCell ref="C61:D61"/>
    <mergeCell ref="C62:D62"/>
    <mergeCell ref="C63:D63"/>
    <mergeCell ref="C64:D64"/>
    <mergeCell ref="C65:D65"/>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estimate</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2026-02-11T07:19:41Z</dcterms:modified>
</cp:coreProperties>
</file>