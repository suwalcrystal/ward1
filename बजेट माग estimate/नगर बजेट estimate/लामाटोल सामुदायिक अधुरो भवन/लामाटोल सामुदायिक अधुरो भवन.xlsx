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24226"/>
  <xr:revisionPtr revIDLastSave="0" documentId="13_ncr:1_{C6045509-B18C-4B83-9F41-50337EB266E0}" xr6:coauthVersionLast="47" xr6:coauthVersionMax="47" xr10:uidLastSave="{00000000-0000-0000-0000-000000000000}"/>
  <bookViews>
    <workbookView xWindow="-120" yWindow="-120" windowWidth="20730" windowHeight="11040" xr2:uid="{00000000-000D-0000-FFFF-FFFF00000000}"/>
  </bookViews>
  <sheets>
    <sheet name="estimate" sheetId="13"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13" l="1"/>
  <c r="D30" i="13"/>
  <c r="C25" i="13"/>
  <c r="D25" i="13"/>
  <c r="F25" i="13" s="1"/>
  <c r="G25" i="13" s="1"/>
  <c r="D24" i="13"/>
  <c r="D23" i="13"/>
  <c r="D22" i="13"/>
  <c r="D21" i="13"/>
  <c r="D20" i="13"/>
  <c r="D19" i="13"/>
  <c r="C24" i="13"/>
  <c r="C23" i="13"/>
  <c r="C22" i="13"/>
  <c r="F21" i="13"/>
  <c r="G21" i="13" s="1"/>
  <c r="C21" i="13"/>
  <c r="C20" i="13"/>
  <c r="F20" i="13" s="1"/>
  <c r="G20" i="13" s="1"/>
  <c r="C19" i="13"/>
  <c r="F19" i="13" s="1"/>
  <c r="G19" i="13" s="1"/>
  <c r="D18" i="13"/>
  <c r="D17" i="13"/>
  <c r="D16" i="13"/>
  <c r="D15" i="13"/>
  <c r="F15" i="13" s="1"/>
  <c r="G15" i="13" s="1"/>
  <c r="D14" i="13"/>
  <c r="D13" i="13"/>
  <c r="C14" i="13"/>
  <c r="C15" i="13"/>
  <c r="C16" i="13"/>
  <c r="C17" i="13"/>
  <c r="C18" i="13"/>
  <c r="C13" i="13"/>
  <c r="D12" i="13"/>
  <c r="F12" i="13"/>
  <c r="G12" i="13" s="1"/>
  <c r="D11" i="13"/>
  <c r="F11" i="13" s="1"/>
  <c r="G11" i="13" s="1"/>
  <c r="D10" i="13"/>
  <c r="C10" i="13"/>
  <c r="G26" i="13" l="1"/>
  <c r="F16" i="13"/>
  <c r="G16" i="13" s="1"/>
  <c r="F17" i="13"/>
  <c r="G17" i="13" s="1"/>
  <c r="F23" i="13"/>
  <c r="G23" i="13" s="1"/>
  <c r="F14" i="13"/>
  <c r="G14" i="13" s="1"/>
  <c r="F22" i="13"/>
  <c r="G22" i="13" s="1"/>
  <c r="F24" i="13"/>
  <c r="G24" i="13" s="1"/>
  <c r="F18" i="13"/>
  <c r="G18" i="13" s="1"/>
  <c r="F13" i="13"/>
  <c r="G13" i="13" s="1"/>
  <c r="G30" i="13"/>
  <c r="F10" i="13"/>
  <c r="G10" i="13" s="1"/>
  <c r="J27" i="13" l="1"/>
  <c r="G31" i="13"/>
  <c r="J33" i="13" s="1"/>
  <c r="J34" i="13" l="1"/>
  <c r="J26" i="13"/>
  <c r="J35" i="13"/>
  <c r="J31" i="13"/>
  <c r="J32" i="13"/>
  <c r="D71" i="13"/>
  <c r="G71" i="13" s="1"/>
  <c r="G72" i="13" s="1"/>
  <c r="B71" i="13"/>
  <c r="C65" i="13"/>
  <c r="B78" i="13"/>
  <c r="B62" i="13"/>
  <c r="F53" i="13"/>
  <c r="F52" i="13"/>
  <c r="J72" i="13" l="1"/>
  <c r="J75" i="13"/>
  <c r="J74" i="13"/>
  <c r="J73" i="13"/>
  <c r="E38" i="13" l="1"/>
  <c r="D38" i="13"/>
  <c r="D65" i="13"/>
  <c r="F51" i="13"/>
  <c r="E65" i="13" l="1"/>
  <c r="G65" i="13" s="1"/>
  <c r="C80" i="13"/>
  <c r="B64" i="13"/>
  <c r="C63" i="13"/>
  <c r="C79" i="13" s="1"/>
  <c r="C62" i="13"/>
  <c r="C78" i="13" s="1"/>
  <c r="C64" i="13"/>
  <c r="F64" i="13"/>
  <c r="F80" i="13" s="1"/>
  <c r="D64" i="13"/>
  <c r="D80" i="13" s="1"/>
  <c r="C45" i="13"/>
  <c r="B45" i="13"/>
  <c r="D45" i="13"/>
  <c r="F63" i="13"/>
  <c r="F79" i="13" s="1"/>
  <c r="I55" i="13"/>
  <c r="B51" i="13"/>
  <c r="B65" i="13" l="1"/>
  <c r="G54" i="13"/>
  <c r="G80" i="13"/>
  <c r="G64" i="13"/>
  <c r="E45" i="13"/>
  <c r="F62" i="13"/>
  <c r="F78" i="13" s="1"/>
  <c r="D51" i="13"/>
  <c r="D52" i="13" l="1"/>
  <c r="D53" i="13" l="1"/>
  <c r="D62" i="13"/>
  <c r="D78" i="13" s="1"/>
  <c r="G78" i="13" s="1"/>
  <c r="G52" i="13"/>
  <c r="C51" i="13"/>
  <c r="D63" i="13" l="1"/>
  <c r="G53" i="13"/>
  <c r="D79" i="13" l="1"/>
  <c r="G79" i="13" s="1"/>
  <c r="G81" i="13" s="1"/>
  <c r="C94" i="13"/>
  <c r="C93" i="13"/>
  <c r="G85" i="13"/>
  <c r="J85" i="13" s="1"/>
  <c r="J81" i="13" l="1"/>
  <c r="J83" i="13"/>
  <c r="J82" i="13"/>
  <c r="C91" i="13"/>
  <c r="G51" i="13"/>
  <c r="G55" i="13" s="1"/>
  <c r="J58" i="13" l="1"/>
  <c r="J56" i="13"/>
  <c r="J57" i="13"/>
  <c r="J59" i="13"/>
  <c r="J55" i="13"/>
  <c r="G38" i="13"/>
  <c r="G39" i="13" s="1"/>
  <c r="G63" i="13"/>
  <c r="G62" i="13"/>
  <c r="G66" i="13" l="1"/>
  <c r="J68" i="13" s="1"/>
  <c r="G45" i="13"/>
  <c r="G46" i="13" s="1"/>
  <c r="J48" i="13" s="1"/>
  <c r="J39" i="13"/>
  <c r="J41" i="13"/>
  <c r="J42" i="13"/>
  <c r="J40" i="13"/>
  <c r="J46" i="13" l="1"/>
  <c r="J47" i="13"/>
  <c r="J66" i="13"/>
  <c r="J67" i="13"/>
  <c r="J87" i="13" l="1"/>
  <c r="C89" i="13" s="1"/>
  <c r="C92" i="13" s="1"/>
  <c r="E91" i="13" l="1"/>
  <c r="E92" i="13" s="1"/>
</calcChain>
</file>

<file path=xl/sharedStrings.xml><?xml version="1.0" encoding="utf-8"?>
<sst xmlns="http://schemas.openxmlformats.org/spreadsheetml/2006/main" count="88" uniqueCount="69">
  <si>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</si>
  <si>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</si>
  <si>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</si>
  <si>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</si>
  <si>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</si>
  <si>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</si>
  <si>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</si>
  <si>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</si>
  <si>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</si>
  <si>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</si>
  <si>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</si>
  <si>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</si>
  <si>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</si>
  <si>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</si>
  <si>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</si>
  <si>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</si>
  <si>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</si>
  <si>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</si>
  <si>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</si>
  <si>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</si>
  <si>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</si>
  <si>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</si>
  <si>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</si>
  <si>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</si>
  <si>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</si>
  <si>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</si>
  <si>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</si>
  <si>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</si>
  <si>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</si>
  <si>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</si>
  <si>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-13% VAT for sand</t>
  </si>
  <si>
    <t>-13% VAT for cement</t>
  </si>
  <si>
    <t>-13% VAT for aggregate</t>
  </si>
  <si>
    <t>sqm</t>
  </si>
  <si>
    <t>-13% VAT for water</t>
  </si>
  <si>
    <t>l;d]G6 s+qmL6 ˆnf]l/Ë -!M@M$_ -#* dL=dL=_</t>
  </si>
  <si>
    <t>!@=% dL=dL= l;d]G6 afn'jf -!M$_ Knfi6/</t>
  </si>
  <si>
    <t># dL=dL= df]6fO{ d;Lgf] l;d]G6 3f]6\g] sfd</t>
  </si>
  <si>
    <t>-13% VAT for brick</t>
  </si>
  <si>
    <t>e'O{+tNnfdf lrDgL e§fsf] O{+6fsf] uf/f] l;d]G6 d;nf -!M^_ df</t>
  </si>
  <si>
    <t>-13% VAT for sanda</t>
  </si>
  <si>
    <t>-deduction for window</t>
  </si>
  <si>
    <t xml:space="preserve"> Ps sf]6 k|fO{d/ ;lxt b'O{ sf]6 j]b/sf]6 k]G6 ug]{ sfd</t>
  </si>
  <si>
    <t>-13% VAT for aster</t>
  </si>
  <si>
    <t>-13% VAT for weather coat</t>
  </si>
  <si>
    <t>Date:2082</t>
  </si>
  <si>
    <t xml:space="preserve">-for flooring </t>
  </si>
  <si>
    <t>-at GF wall</t>
  </si>
  <si>
    <t>Knfi6/ dfly @) dL=dL= afSnf] emNn/ jf kfgL k§L agfpg] sfd</t>
  </si>
  <si>
    <t>rm</t>
  </si>
  <si>
    <t>-13% VAT for waterproofing</t>
  </si>
  <si>
    <r>
      <t>Project:-</t>
    </r>
    <r>
      <rPr>
        <sz val="12"/>
        <rFont val="Preeti"/>
      </rPr>
      <t xml:space="preserve"> 9sfnufpF ;fd'bflos ejg</t>
    </r>
  </si>
  <si>
    <t>sfnf] kmnfd] kfO{ksf] 6«; agfO{ h8fg ug]{ sfd</t>
  </si>
  <si>
    <t>Unit length (Kg/m)</t>
  </si>
  <si>
    <t>Total Weight (kg)</t>
  </si>
  <si>
    <t>sub-total</t>
  </si>
  <si>
    <t>Kg</t>
  </si>
  <si>
    <t>-VAT 13% for materials</t>
  </si>
  <si>
    <t>)=$! dL=dL=afSnf] sf]?u]6]8 /+lug ss{6 kftfsf] 5fgf 5fpg] sfd</t>
  </si>
  <si>
    <t>-truss 1</t>
  </si>
  <si>
    <t>-13% VAT for sheet</t>
  </si>
  <si>
    <t>-13% VAT for nut bolt</t>
  </si>
  <si>
    <t>-13% VAT for j-hook</t>
  </si>
  <si>
    <t>-13% VAT for bitumen washer</t>
  </si>
  <si>
    <t>-MS square pipe of size 1.5"*1.5" and 1.6mm thickness for purlins</t>
  </si>
  <si>
    <t>-MS square pipe of size 1.5"*1.5" and 1.6mm thickness for diagnol member</t>
  </si>
  <si>
    <t>-MS square pipe of size 1.5"*1.5" and 1.6mm thickness for vertical member</t>
  </si>
  <si>
    <t>-MS square pipe of size 3"*3" and 1.6mm thickness for horizontal member</t>
  </si>
  <si>
    <t>-MS square pipe of size 2"*2" and 1.6mm thickness for inclined member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</si>
</sst>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0">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0" fontId="14" fillId="2" borderId="2" xfId="0" applyFont="1" applyFill="1" applyBorder="1" applyAlignment="1">
      <alignment vertical="center" wrapText="1"/>
    </xf>
    <xf numFmtId="2" fontId="2" fillId="0" borderId="2" xfId="1" applyNumberFormat="1" applyFont="1" applyFill="1" applyBorder="1" applyAlignment="1">
      <alignment vertical="center" wrapText="1"/>
    </xf>
    <xf numFmtId="2" fontId="2" fillId="0" borderId="2" xfId="0" applyNumberFormat="1" applyFont="1" applyBorder="1" applyAlignment="1">
      <alignment vertical="center" wrapText="1"/>
    </xf>
    <xf numFmtId="2" fontId="6" fillId="0" borderId="2" xfId="0" applyNumberFormat="1" applyFont="1" applyBorder="1" applyAlignment="1">
      <alignment vertical="center"/>
    </xf>
    <xf numFmtId="0" fontId="2" fillId="0" borderId="2" xfId="0" quotePrefix="1" applyFont="1" applyBorder="1" applyAlignment="1">
      <alignment horizontal="right" vertical="center" wrapText="1"/>
    </xf>
    <xf numFmtId="164" fontId="4" fillId="0" borderId="2" xfId="0" applyNumberFormat="1" applyFont="1" applyBorder="1" applyAlignment="1">
      <alignment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4"/>
  <sheetViews>
    <sheetView tabSelected="1" topLeftCell="A23" workbookViewId="0">
      <selection activeCell="E30" sqref="E30"/>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48" t="s">
        <v>0</v>
      </c>
      <c r="B1" s="48"/>
      <c r="C1" s="48"/>
      <c r="D1" s="48"/>
      <c r="E1" s="48"/>
      <c r="F1" s="48"/>
      <c r="G1" s="48"/>
      <c r="H1" s="48"/>
      <c r="I1" s="48"/>
      <c r="J1" s="48"/>
      <c r="K1" s="48"/>
    </row>
    <row r="2" spans="1:11" ht="22.5" x14ac:dyDescent="0.25">
      <c r="A2" s="49" t="s">
        <v>1</v>
      </c>
      <c r="B2" s="49"/>
      <c r="C2" s="49"/>
      <c r="D2" s="49"/>
      <c r="E2" s="49"/>
      <c r="F2" s="49"/>
      <c r="G2" s="49"/>
      <c r="H2" s="49"/>
      <c r="I2" s="49"/>
      <c r="J2" s="49"/>
      <c r="K2" s="49"/>
    </row>
    <row r="3" spans="1:11" x14ac:dyDescent="0.25">
      <c r="A3" s="50" t="s">
        <v>2</v>
      </c>
      <c r="B3" s="50"/>
      <c r="C3" s="50"/>
      <c r="D3" s="50"/>
      <c r="E3" s="50"/>
      <c r="F3" s="50"/>
      <c r="G3" s="50"/>
      <c r="H3" s="50"/>
      <c r="I3" s="50"/>
      <c r="J3" s="50"/>
      <c r="K3" s="50"/>
    </row>
    <row r="4" spans="1:11" x14ac:dyDescent="0.25">
      <c r="A4" s="50" t="s">
        <v>3</v>
      </c>
      <c r="B4" s="50"/>
      <c r="C4" s="50"/>
      <c r="D4" s="50"/>
      <c r="E4" s="50"/>
      <c r="F4" s="50"/>
      <c r="G4" s="50"/>
      <c r="H4" s="50"/>
      <c r="I4" s="50"/>
      <c r="J4" s="50"/>
      <c r="K4" s="50"/>
    </row>
    <row r="5" spans="1:11" ht="18.75" x14ac:dyDescent="0.3">
      <c r="A5" s="51" t="s">
        <v>4</v>
      </c>
      <c r="B5" s="51"/>
      <c r="C5" s="51"/>
      <c r="D5" s="51"/>
      <c r="E5" s="51"/>
      <c r="F5" s="51"/>
      <c r="G5" s="51"/>
      <c r="H5" s="51"/>
      <c r="I5" s="51"/>
      <c r="J5" s="51"/>
      <c r="K5" s="51"/>
    </row>
    <row r="6" spans="1:11" ht="15.75" x14ac:dyDescent="0.25">
      <c r="A6" s="52" t="s">
        <v>51</v>
      </c>
      <c r="B6" s="52"/>
      <c r="C6" s="52"/>
      <c r="D6" s="52"/>
      <c r="E6" s="52"/>
      <c r="F6" s="52"/>
      <c r="G6" s="4"/>
      <c r="H6" s="53" t="s">
        <v>25</v>
      </c>
      <c r="I6" s="53"/>
      <c r="J6" s="53"/>
      <c r="K6" s="53"/>
    </row>
    <row r="7" spans="1:11" ht="15.75" x14ac:dyDescent="0.25">
      <c r="A7" s="46" t="s">
        <v>29</v>
      </c>
      <c r="B7" s="46"/>
      <c r="C7" s="46"/>
      <c r="D7" s="46"/>
      <c r="E7" s="46"/>
      <c r="F7" s="46"/>
      <c r="G7" s="5"/>
      <c r="H7" s="47" t="s">
        <v>45</v>
      </c>
      <c r="I7" s="47"/>
      <c r="J7" s="47"/>
      <c r="K7" s="47"/>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2" customFormat="1" ht="45" x14ac:dyDescent="0.25">
      <c r="A9" s="15">
        <v>1</v>
      </c>
      <c r="B9" s="54" t="s">
        <v>52</v>
      </c>
      <c r="C9" s="17" t="s">
        <v>7</v>
      </c>
      <c r="D9" s="55" t="s">
        <v>27</v>
      </c>
      <c r="E9" s="56" t="s">
        <v>53</v>
      </c>
      <c r="F9" s="56" t="s">
        <v>54</v>
      </c>
      <c r="G9" s="56"/>
      <c r="H9" s="19"/>
      <c r="I9" s="2"/>
      <c r="J9" s="57"/>
      <c r="K9" s="18"/>
    </row>
    <row r="10" spans="1:11" s="12" customFormat="1" ht="45" x14ac:dyDescent="0.25">
      <c r="A10" s="21"/>
      <c r="B10" s="58" t="s">
        <v>68</v>
      </c>
      <c r="C10" s="59">
        <f>4*2</f>
        <v>8</v>
      </c>
      <c r="D10" s="35">
        <f>24/3.281</f>
        <v>7.3148430356598597</v>
      </c>
      <c r="E10" s="35">
        <v>2.4300000000000002</v>
      </c>
      <c r="F10" s="35">
        <f t="shared" ref="F10" si="0">PRODUCT(C10:E10)</f>
        <v>142.20054861322768</v>
      </c>
      <c r="G10" s="35">
        <f t="shared" ref="G10" si="1">F10</f>
        <v>142.20054861322768</v>
      </c>
      <c r="H10" s="57"/>
      <c r="I10" s="57"/>
      <c r="J10" s="57"/>
      <c r="K10" s="34"/>
    </row>
    <row r="11" spans="1:11" s="12" customFormat="1" ht="45" x14ac:dyDescent="0.25">
      <c r="A11" s="21"/>
      <c r="B11" s="58" t="s">
        <v>67</v>
      </c>
      <c r="C11" s="59">
        <v>4</v>
      </c>
      <c r="D11" s="35">
        <f>44.17/3.281</f>
        <v>13.462359036879</v>
      </c>
      <c r="E11" s="35">
        <v>3.54</v>
      </c>
      <c r="F11" s="35">
        <f t="shared" ref="F11:F18" si="2">PRODUCT(C11:E11)</f>
        <v>190.62700396220666</v>
      </c>
      <c r="G11" s="35">
        <f t="shared" ref="G11:G18" si="3">F11</f>
        <v>190.62700396220666</v>
      </c>
      <c r="H11" s="57"/>
      <c r="I11" s="57"/>
      <c r="J11" s="57"/>
      <c r="K11" s="34"/>
    </row>
    <row r="12" spans="1:11" s="12" customFormat="1" x14ac:dyDescent="0.25">
      <c r="A12" s="21"/>
      <c r="B12" s="58"/>
      <c r="C12" s="59">
        <v>2</v>
      </c>
      <c r="D12" s="35">
        <f>35.833/3.281</f>
        <v>10.921365437366656</v>
      </c>
      <c r="E12" s="35">
        <v>3.54</v>
      </c>
      <c r="F12" s="35">
        <f t="shared" si="2"/>
        <v>77.323267296555926</v>
      </c>
      <c r="G12" s="35">
        <f t="shared" si="3"/>
        <v>77.323267296555926</v>
      </c>
      <c r="H12" s="57"/>
      <c r="I12" s="57"/>
      <c r="J12" s="57"/>
      <c r="K12" s="34"/>
    </row>
    <row r="13" spans="1:11" s="12" customFormat="1" ht="45" x14ac:dyDescent="0.25">
      <c r="A13" s="21"/>
      <c r="B13" s="58" t="s">
        <v>66</v>
      </c>
      <c r="C13" s="59">
        <f>4*2</f>
        <v>8</v>
      </c>
      <c r="D13" s="35">
        <f>(3)/3.281</f>
        <v>0.91435537945748246</v>
      </c>
      <c r="E13" s="35">
        <v>1.83</v>
      </c>
      <c r="F13" s="35">
        <f t="shared" si="2"/>
        <v>13.386162755257544</v>
      </c>
      <c r="G13" s="35">
        <f t="shared" si="3"/>
        <v>13.386162755257544</v>
      </c>
      <c r="H13" s="57"/>
      <c r="I13" s="57"/>
      <c r="J13" s="57"/>
      <c r="K13" s="34"/>
    </row>
    <row r="14" spans="1:11" s="12" customFormat="1" x14ac:dyDescent="0.25">
      <c r="A14" s="21"/>
      <c r="B14" s="58"/>
      <c r="C14" s="59">
        <f t="shared" ref="C14:C17" si="4">4*2</f>
        <v>8</v>
      </c>
      <c r="D14" s="35">
        <f>(2.5)/3.281</f>
        <v>0.76196281621456874</v>
      </c>
      <c r="E14" s="35">
        <v>1.83</v>
      </c>
      <c r="F14" s="35">
        <f t="shared" ref="F14:F17" si="5">PRODUCT(C14:E14)</f>
        <v>11.155135629381286</v>
      </c>
      <c r="G14" s="35">
        <f t="shared" ref="G14:G17" si="6">F14</f>
        <v>11.155135629381286</v>
      </c>
      <c r="H14" s="57"/>
      <c r="I14" s="57"/>
      <c r="J14" s="57"/>
      <c r="K14" s="34"/>
    </row>
    <row r="15" spans="1:11" s="12" customFormat="1" x14ac:dyDescent="0.25">
      <c r="A15" s="21"/>
      <c r="B15" s="58"/>
      <c r="C15" s="59">
        <f t="shared" si="4"/>
        <v>8</v>
      </c>
      <c r="D15" s="35">
        <f>(2)/3.281</f>
        <v>0.6095702529716549</v>
      </c>
      <c r="E15" s="35">
        <v>1.83</v>
      </c>
      <c r="F15" s="35">
        <f t="shared" si="5"/>
        <v>8.9241085035050283</v>
      </c>
      <c r="G15" s="35">
        <f t="shared" si="6"/>
        <v>8.9241085035050283</v>
      </c>
      <c r="H15" s="57"/>
      <c r="I15" s="57"/>
      <c r="J15" s="57"/>
      <c r="K15" s="34"/>
    </row>
    <row r="16" spans="1:11" s="12" customFormat="1" x14ac:dyDescent="0.25">
      <c r="A16" s="21"/>
      <c r="B16" s="58"/>
      <c r="C16" s="59">
        <f t="shared" si="4"/>
        <v>8</v>
      </c>
      <c r="D16" s="35">
        <f>(1.5)/3.281</f>
        <v>0.45717768972874123</v>
      </c>
      <c r="E16" s="35">
        <v>1.83</v>
      </c>
      <c r="F16" s="35">
        <f t="shared" si="5"/>
        <v>6.6930813776287721</v>
      </c>
      <c r="G16" s="35">
        <f t="shared" si="6"/>
        <v>6.6930813776287721</v>
      </c>
      <c r="H16" s="57"/>
      <c r="I16" s="57"/>
      <c r="J16" s="57"/>
      <c r="K16" s="34"/>
    </row>
    <row r="17" spans="1:11" s="12" customFormat="1" x14ac:dyDescent="0.25">
      <c r="A17" s="21"/>
      <c r="B17" s="58"/>
      <c r="C17" s="59">
        <f t="shared" si="4"/>
        <v>8</v>
      </c>
      <c r="D17" s="35">
        <f>(1)/3.281</f>
        <v>0.30478512648582745</v>
      </c>
      <c r="E17" s="35">
        <v>1.83</v>
      </c>
      <c r="F17" s="35">
        <f t="shared" si="5"/>
        <v>4.4620542517525141</v>
      </c>
      <c r="G17" s="35">
        <f t="shared" si="6"/>
        <v>4.4620542517525141</v>
      </c>
      <c r="H17" s="57"/>
      <c r="I17" s="57"/>
      <c r="J17" s="57"/>
      <c r="K17" s="34"/>
    </row>
    <row r="18" spans="1:11" s="12" customFormat="1" x14ac:dyDescent="0.25">
      <c r="A18" s="21"/>
      <c r="B18" s="58"/>
      <c r="C18" s="59">
        <f>4*2</f>
        <v>8</v>
      </c>
      <c r="D18" s="35">
        <f>(0.5)/3.281</f>
        <v>0.15239256324291373</v>
      </c>
      <c r="E18" s="35">
        <v>1.83</v>
      </c>
      <c r="F18" s="35">
        <f t="shared" si="2"/>
        <v>2.2310271258762571</v>
      </c>
      <c r="G18" s="35">
        <f t="shared" si="3"/>
        <v>2.2310271258762571</v>
      </c>
      <c r="H18" s="57"/>
      <c r="I18" s="57"/>
      <c r="J18" s="57"/>
      <c r="K18" s="34"/>
    </row>
    <row r="19" spans="1:11" s="12" customFormat="1" ht="45" x14ac:dyDescent="0.25">
      <c r="A19" s="21"/>
      <c r="B19" s="58" t="s">
        <v>65</v>
      </c>
      <c r="C19" s="59">
        <f>4*2</f>
        <v>8</v>
      </c>
      <c r="D19" s="35">
        <f>(4.17)/3.281</f>
        <v>1.2709539774459007</v>
      </c>
      <c r="E19" s="35">
        <v>1.83</v>
      </c>
      <c r="F19" s="35">
        <f t="shared" ref="F19:F24" si="7">PRODUCT(C19:E19)</f>
        <v>18.606766229807988</v>
      </c>
      <c r="G19" s="35">
        <f t="shared" ref="G19:G24" si="8">F19</f>
        <v>18.606766229807988</v>
      </c>
      <c r="H19" s="57"/>
      <c r="I19" s="57"/>
      <c r="J19" s="57"/>
      <c r="K19" s="34"/>
    </row>
    <row r="20" spans="1:11" s="12" customFormat="1" x14ac:dyDescent="0.25">
      <c r="A20" s="21"/>
      <c r="B20" s="58"/>
      <c r="C20" s="59">
        <f t="shared" ref="C20:C23" si="9">4*2</f>
        <v>8</v>
      </c>
      <c r="D20" s="35">
        <f>(3.917)/3.281</f>
        <v>1.1938433404449862</v>
      </c>
      <c r="E20" s="35">
        <v>1.83</v>
      </c>
      <c r="F20" s="35">
        <f t="shared" si="7"/>
        <v>17.477866504114598</v>
      </c>
      <c r="G20" s="35">
        <f t="shared" si="8"/>
        <v>17.477866504114598</v>
      </c>
      <c r="H20" s="57"/>
      <c r="I20" s="57"/>
      <c r="J20" s="57"/>
      <c r="K20" s="34"/>
    </row>
    <row r="21" spans="1:11" s="12" customFormat="1" x14ac:dyDescent="0.25">
      <c r="A21" s="21"/>
      <c r="B21" s="58"/>
      <c r="C21" s="59">
        <f t="shared" si="9"/>
        <v>8</v>
      </c>
      <c r="D21" s="35">
        <f>(3.583)/3.281</f>
        <v>1.0920451081987199</v>
      </c>
      <c r="E21" s="35">
        <v>1.83</v>
      </c>
      <c r="F21" s="35">
        <f t="shared" si="7"/>
        <v>15.987540384029261</v>
      </c>
      <c r="G21" s="35">
        <f t="shared" si="8"/>
        <v>15.987540384029261</v>
      </c>
      <c r="H21" s="57"/>
      <c r="I21" s="57"/>
      <c r="J21" s="57"/>
      <c r="K21" s="34"/>
    </row>
    <row r="22" spans="1:11" s="12" customFormat="1" x14ac:dyDescent="0.25">
      <c r="A22" s="21"/>
      <c r="B22" s="58"/>
      <c r="C22" s="59">
        <f t="shared" si="9"/>
        <v>8</v>
      </c>
      <c r="D22" s="35">
        <f>(3.33)/3.281</f>
        <v>1.0149344711978054</v>
      </c>
      <c r="E22" s="35">
        <v>1.83</v>
      </c>
      <c r="F22" s="35">
        <f t="shared" si="7"/>
        <v>14.858640658335872</v>
      </c>
      <c r="G22" s="35">
        <f t="shared" si="8"/>
        <v>14.858640658335872</v>
      </c>
      <c r="H22" s="57"/>
      <c r="I22" s="57"/>
      <c r="J22" s="57"/>
      <c r="K22" s="34"/>
    </row>
    <row r="23" spans="1:11" s="12" customFormat="1" x14ac:dyDescent="0.25">
      <c r="A23" s="21"/>
      <c r="B23" s="58"/>
      <c r="C23" s="59">
        <f t="shared" si="9"/>
        <v>8</v>
      </c>
      <c r="D23" s="35">
        <f>(3)/3.281</f>
        <v>0.91435537945748246</v>
      </c>
      <c r="E23" s="35">
        <v>1.83</v>
      </c>
      <c r="F23" s="35">
        <f t="shared" si="7"/>
        <v>13.386162755257544</v>
      </c>
      <c r="G23" s="35">
        <f t="shared" si="8"/>
        <v>13.386162755257544</v>
      </c>
      <c r="H23" s="57"/>
      <c r="I23" s="57"/>
      <c r="J23" s="57"/>
      <c r="K23" s="34"/>
    </row>
    <row r="24" spans="1:11" s="12" customFormat="1" x14ac:dyDescent="0.25">
      <c r="A24" s="21"/>
      <c r="B24" s="58"/>
      <c r="C24" s="59">
        <f>4*2</f>
        <v>8</v>
      </c>
      <c r="D24" s="35">
        <f>(3)/3.281</f>
        <v>0.91435537945748246</v>
      </c>
      <c r="E24" s="35">
        <v>1.83</v>
      </c>
      <c r="F24" s="35">
        <f t="shared" si="7"/>
        <v>13.386162755257544</v>
      </c>
      <c r="G24" s="35">
        <f t="shared" si="8"/>
        <v>13.386162755257544</v>
      </c>
      <c r="H24" s="57"/>
      <c r="I24" s="57"/>
      <c r="J24" s="57"/>
      <c r="K24" s="34"/>
    </row>
    <row r="25" spans="1:11" s="12" customFormat="1" ht="30" x14ac:dyDescent="0.25">
      <c r="A25" s="21"/>
      <c r="B25" s="58" t="s">
        <v>64</v>
      </c>
      <c r="C25" s="59">
        <f>10*2</f>
        <v>20</v>
      </c>
      <c r="D25" s="35">
        <f>(36+2+2)/3.281</f>
        <v>12.1914050594331</v>
      </c>
      <c r="E25" s="35">
        <v>1.83</v>
      </c>
      <c r="F25" s="35">
        <f t="shared" ref="F25" si="10">PRODUCT(C25:E25)</f>
        <v>446.20542517525149</v>
      </c>
      <c r="G25" s="35">
        <f t="shared" ref="G25" si="11">F25</f>
        <v>446.20542517525149</v>
      </c>
      <c r="H25" s="57"/>
      <c r="I25" s="57"/>
      <c r="J25" s="57"/>
      <c r="K25" s="34"/>
    </row>
    <row r="26" spans="1:11" s="12" customFormat="1" x14ac:dyDescent="0.25">
      <c r="A26" s="15"/>
      <c r="B26" s="58" t="s">
        <v>55</v>
      </c>
      <c r="C26" s="17"/>
      <c r="D26" s="1"/>
      <c r="E26" s="18"/>
      <c r="F26" s="18"/>
      <c r="G26" s="57">
        <f>SUM(G11:G25)</f>
        <v>854.71040536421833</v>
      </c>
      <c r="H26" s="19" t="s">
        <v>56</v>
      </c>
      <c r="I26" s="2">
        <v>182.51</v>
      </c>
      <c r="J26" s="57">
        <f>G26*I26</f>
        <v>155993.19608302347</v>
      </c>
      <c r="K26" s="18"/>
    </row>
    <row r="27" spans="1:11" s="12" customFormat="1" x14ac:dyDescent="0.25">
      <c r="A27" s="15"/>
      <c r="B27" s="58" t="s">
        <v>57</v>
      </c>
      <c r="C27" s="17"/>
      <c r="D27" s="1"/>
      <c r="E27" s="18"/>
      <c r="F27" s="18"/>
      <c r="G27" s="57"/>
      <c r="H27" s="19"/>
      <c r="I27" s="2"/>
      <c r="J27" s="57">
        <f>0.13*G26*(1871.42/18.94)</f>
        <v>10978.768695082985</v>
      </c>
      <c r="K27" s="18"/>
    </row>
    <row r="28" spans="1:11" s="12" customFormat="1" x14ac:dyDescent="0.25">
      <c r="A28" s="15"/>
      <c r="B28" s="58"/>
      <c r="C28" s="17"/>
      <c r="D28" s="1"/>
      <c r="E28" s="18"/>
      <c r="F28" s="18"/>
      <c r="G28" s="57"/>
      <c r="H28" s="19"/>
      <c r="I28" s="2"/>
      <c r="J28" s="57"/>
      <c r="K28" s="18"/>
    </row>
    <row r="29" spans="1:11" s="12" customFormat="1" ht="30" x14ac:dyDescent="0.25">
      <c r="A29" s="15">
        <v>2</v>
      </c>
      <c r="B29" s="54" t="s">
        <v>58</v>
      </c>
      <c r="C29" s="17"/>
      <c r="D29" s="1"/>
      <c r="E29" s="18"/>
      <c r="F29" s="18"/>
      <c r="G29" s="57"/>
      <c r="H29" s="19"/>
      <c r="I29" s="2"/>
      <c r="J29" s="57"/>
      <c r="K29" s="18"/>
    </row>
    <row r="30" spans="1:11" s="12" customFormat="1" x14ac:dyDescent="0.25">
      <c r="A30" s="15"/>
      <c r="B30" s="58" t="s">
        <v>59</v>
      </c>
      <c r="C30" s="17">
        <v>1</v>
      </c>
      <c r="D30" s="1">
        <f>24.25/3.281</f>
        <v>7.391039317281316</v>
      </c>
      <c r="E30" s="18">
        <f>40/3.281</f>
        <v>12.1914050594331</v>
      </c>
      <c r="F30" s="18"/>
      <c r="G30" s="24">
        <f t="shared" ref="G30" si="12">PRODUCT(C30:F30)</f>
        <v>90.107154127172393</v>
      </c>
      <c r="H30" s="19"/>
      <c r="I30" s="2"/>
      <c r="J30" s="57"/>
      <c r="K30" s="18"/>
    </row>
    <row r="31" spans="1:11" s="12" customFormat="1" x14ac:dyDescent="0.25">
      <c r="A31" s="15"/>
      <c r="B31" s="58" t="s">
        <v>55</v>
      </c>
      <c r="C31" s="17"/>
      <c r="D31" s="1"/>
      <c r="E31" s="18"/>
      <c r="F31" s="18"/>
      <c r="G31" s="57">
        <f>SUM(G30:G30)</f>
        <v>90.107154127172393</v>
      </c>
      <c r="H31" s="19" t="s">
        <v>33</v>
      </c>
      <c r="I31" s="2">
        <v>1112.58</v>
      </c>
      <c r="J31" s="57">
        <f>G31*I31</f>
        <v>100251.41753880946</v>
      </c>
      <c r="K31" s="18"/>
    </row>
    <row r="32" spans="1:11" s="10" customFormat="1" x14ac:dyDescent="0.25">
      <c r="A32" s="21"/>
      <c r="B32" s="22" t="s">
        <v>60</v>
      </c>
      <c r="C32" s="23"/>
      <c r="D32" s="23"/>
      <c r="E32" s="23"/>
      <c r="F32" s="23"/>
      <c r="G32" s="23"/>
      <c r="H32" s="23"/>
      <c r="I32" s="23"/>
      <c r="J32" s="20">
        <f>0.13*G31*7050.67/10</f>
        <v>8259.1055090677983</v>
      </c>
      <c r="K32" s="23"/>
    </row>
    <row r="33" spans="1:11" s="10" customFormat="1" x14ac:dyDescent="0.25">
      <c r="A33" s="21"/>
      <c r="B33" s="22" t="s">
        <v>61</v>
      </c>
      <c r="C33" s="23"/>
      <c r="D33" s="23"/>
      <c r="E33" s="23"/>
      <c r="F33" s="23"/>
      <c r="G33" s="23"/>
      <c r="H33" s="23"/>
      <c r="I33" s="23"/>
      <c r="J33" s="20">
        <f>0.13*G31*1023.75/10</f>
        <v>1199.2135874900057</v>
      </c>
      <c r="K33" s="23"/>
    </row>
    <row r="34" spans="1:11" s="10" customFormat="1" x14ac:dyDescent="0.25">
      <c r="A34" s="21"/>
      <c r="B34" s="22" t="s">
        <v>62</v>
      </c>
      <c r="C34" s="23"/>
      <c r="D34" s="23"/>
      <c r="E34" s="23"/>
      <c r="F34" s="23"/>
      <c r="G34" s="23"/>
      <c r="H34" s="23"/>
      <c r="I34" s="23"/>
      <c r="J34" s="20">
        <f>0.13*G31*348.21/10</f>
        <v>407.8907578020951</v>
      </c>
      <c r="K34" s="23"/>
    </row>
    <row r="35" spans="1:11" s="10" customFormat="1" x14ac:dyDescent="0.25">
      <c r="A35" s="21"/>
      <c r="B35" s="22" t="s">
        <v>63</v>
      </c>
      <c r="C35" s="23"/>
      <c r="D35" s="23"/>
      <c r="E35" s="23"/>
      <c r="F35" s="23"/>
      <c r="G35" s="23"/>
      <c r="H35" s="23"/>
      <c r="I35" s="23"/>
      <c r="J35" s="20">
        <f>0.13*G31*165/10</f>
        <v>193.2798456027848</v>
      </c>
      <c r="K35" s="23"/>
    </row>
    <row r="36" spans="1:11" s="10" customFormat="1" x14ac:dyDescent="0.25">
      <c r="A36" s="21"/>
      <c r="B36" s="22"/>
      <c r="C36" s="23"/>
      <c r="D36" s="23"/>
      <c r="E36" s="23"/>
      <c r="F36" s="23"/>
      <c r="G36" s="23"/>
      <c r="H36" s="23"/>
      <c r="I36" s="23"/>
      <c r="J36" s="20"/>
      <c r="K36" s="23"/>
    </row>
    <row r="37" spans="1:11" ht="30" x14ac:dyDescent="0.25">
      <c r="A37" s="11">
        <v>7</v>
      </c>
      <c r="B37" s="25" t="s">
        <v>35</v>
      </c>
      <c r="C37" s="13"/>
      <c r="D37" s="13"/>
      <c r="E37" s="13"/>
      <c r="F37" s="13"/>
      <c r="G37" s="13"/>
      <c r="H37" s="13"/>
      <c r="I37" s="13"/>
      <c r="J37" s="13"/>
      <c r="K37" s="13"/>
    </row>
    <row r="38" spans="1:11" x14ac:dyDescent="0.25">
      <c r="A38" s="13"/>
      <c r="B38" s="14" t="s">
        <v>46</v>
      </c>
      <c r="C38" s="13">
        <v>1</v>
      </c>
      <c r="D38" s="3">
        <f>8/3.281</f>
        <v>2.4382810118866196</v>
      </c>
      <c r="E38" s="3">
        <f>8/3.281</f>
        <v>2.4382810118866196</v>
      </c>
      <c r="F38" s="13"/>
      <c r="G38" s="3">
        <f>PRODUCT(C38:F38)</f>
        <v>5.9452142929268375</v>
      </c>
      <c r="H38" s="13"/>
      <c r="I38" s="13"/>
      <c r="J38" s="13"/>
      <c r="K38" s="13"/>
    </row>
    <row r="39" spans="1:11" s="10" customFormat="1" ht="15" customHeight="1" x14ac:dyDescent="0.25">
      <c r="A39" s="15"/>
      <c r="B39" s="16" t="s">
        <v>16</v>
      </c>
      <c r="C39" s="17"/>
      <c r="D39" s="1"/>
      <c r="E39" s="18"/>
      <c r="F39" s="18"/>
      <c r="G39" s="2">
        <f>SUM(G38)</f>
        <v>5.9452142929268375</v>
      </c>
      <c r="H39" s="19" t="s">
        <v>33</v>
      </c>
      <c r="I39" s="2">
        <v>689.98</v>
      </c>
      <c r="J39" s="20">
        <f>G39*I39</f>
        <v>4102.0789578336598</v>
      </c>
      <c r="K39" s="18"/>
    </row>
    <row r="40" spans="1:11" s="10" customFormat="1" x14ac:dyDescent="0.25">
      <c r="A40" s="21"/>
      <c r="B40" s="22" t="s">
        <v>31</v>
      </c>
      <c r="C40" s="23"/>
      <c r="D40" s="24"/>
      <c r="E40" s="24"/>
      <c r="F40" s="24"/>
      <c r="G40" s="24"/>
      <c r="H40" s="23"/>
      <c r="I40" s="23"/>
      <c r="J40" s="20">
        <f>0.13*G39*1694.03/10</f>
        <v>130.92782779240906</v>
      </c>
      <c r="K40" s="23"/>
    </row>
    <row r="41" spans="1:11" x14ac:dyDescent="0.25">
      <c r="A41" s="13"/>
      <c r="B41" s="22" t="s">
        <v>30</v>
      </c>
      <c r="C41" s="23"/>
      <c r="D41" s="24"/>
      <c r="E41" s="24"/>
      <c r="F41" s="24"/>
      <c r="G41" s="24"/>
      <c r="H41" s="23"/>
      <c r="I41" s="23"/>
      <c r="J41" s="20">
        <f>0.13*G39*472.02/10</f>
        <v>36.481380657115238</v>
      </c>
      <c r="K41" s="13"/>
    </row>
    <row r="42" spans="1:11" x14ac:dyDescent="0.25">
      <c r="A42" s="13"/>
      <c r="B42" s="22" t="s">
        <v>32</v>
      </c>
      <c r="C42" s="23"/>
      <c r="D42" s="24"/>
      <c r="E42" s="24"/>
      <c r="F42" s="24"/>
      <c r="G42" s="24"/>
      <c r="H42" s="23"/>
      <c r="I42" s="23"/>
      <c r="J42" s="20">
        <f>0.13*G39*1207.6/10</f>
        <v>93.332730141799829</v>
      </c>
      <c r="K42" s="13"/>
    </row>
    <row r="43" spans="1:11" x14ac:dyDescent="0.25">
      <c r="A43" s="13"/>
      <c r="B43" s="13"/>
      <c r="C43" s="13"/>
      <c r="D43" s="13"/>
      <c r="E43" s="13"/>
      <c r="F43" s="13"/>
      <c r="G43" s="13"/>
      <c r="H43" s="13"/>
      <c r="I43" s="13"/>
      <c r="J43" s="13"/>
      <c r="K43" s="13"/>
    </row>
    <row r="44" spans="1:11" ht="30" x14ac:dyDescent="0.25">
      <c r="A44" s="11">
        <v>8</v>
      </c>
      <c r="B44" s="25" t="s">
        <v>37</v>
      </c>
      <c r="C44" s="13"/>
      <c r="D44" s="13"/>
      <c r="E44" s="13"/>
      <c r="F44" s="13"/>
      <c r="G44" s="13"/>
      <c r="H44" s="13"/>
      <c r="I44" s="13"/>
      <c r="J44" s="13"/>
      <c r="K44" s="13"/>
    </row>
    <row r="45" spans="1:11" x14ac:dyDescent="0.25">
      <c r="A45" s="13"/>
      <c r="B45" s="14" t="str">
        <f>B38</f>
        <v xml:space="preserve">-for flooring </v>
      </c>
      <c r="C45" s="13">
        <f>C38</f>
        <v>1</v>
      </c>
      <c r="D45" s="3">
        <f>D38</f>
        <v>2.4382810118866196</v>
      </c>
      <c r="E45" s="3">
        <f>E38</f>
        <v>2.4382810118866196</v>
      </c>
      <c r="F45" s="13"/>
      <c r="G45" s="3">
        <f>PRODUCT(C45:F45)</f>
        <v>5.9452142929268375</v>
      </c>
      <c r="H45" s="13"/>
      <c r="I45" s="13"/>
      <c r="J45" s="13"/>
      <c r="K45" s="13"/>
    </row>
    <row r="46" spans="1:11" s="10" customFormat="1" ht="15" customHeight="1" x14ac:dyDescent="0.25">
      <c r="A46" s="15"/>
      <c r="B46" s="16" t="s">
        <v>16</v>
      </c>
      <c r="C46" s="17"/>
      <c r="D46" s="1"/>
      <c r="E46" s="18"/>
      <c r="F46" s="18"/>
      <c r="G46" s="2">
        <f>SUM(G45:G45)</f>
        <v>5.9452142929268375</v>
      </c>
      <c r="H46" s="19" t="s">
        <v>33</v>
      </c>
      <c r="I46" s="2">
        <v>415.5</v>
      </c>
      <c r="J46" s="20">
        <f>G46*I46</f>
        <v>2470.2365387111008</v>
      </c>
      <c r="K46" s="18"/>
    </row>
    <row r="47" spans="1:11" s="10" customFormat="1" x14ac:dyDescent="0.25">
      <c r="A47" s="21"/>
      <c r="B47" s="22" t="s">
        <v>31</v>
      </c>
      <c r="C47" s="23"/>
      <c r="D47" s="24"/>
      <c r="E47" s="24"/>
      <c r="F47" s="24"/>
      <c r="G47" s="24"/>
      <c r="H47" s="23"/>
      <c r="I47" s="23"/>
      <c r="J47" s="20">
        <f>0.13*G46*7010.67/100</f>
        <v>54.183916133091415</v>
      </c>
      <c r="K47" s="23"/>
    </row>
    <row r="48" spans="1:11" x14ac:dyDescent="0.25">
      <c r="A48" s="13"/>
      <c r="B48" s="22" t="s">
        <v>30</v>
      </c>
      <c r="C48" s="23"/>
      <c r="D48" s="24"/>
      <c r="E48" s="24"/>
      <c r="F48" s="24"/>
      <c r="G48" s="24"/>
      <c r="H48" s="23"/>
      <c r="I48" s="23"/>
      <c r="J48" s="20">
        <f>0.13*G46*4639.73/100</f>
        <v>35.859445844717868</v>
      </c>
      <c r="K48" s="13"/>
    </row>
    <row r="49" spans="1:11" x14ac:dyDescent="0.25">
      <c r="A49" s="13"/>
      <c r="B49" s="13"/>
      <c r="C49" s="13"/>
      <c r="D49" s="13"/>
      <c r="E49" s="13"/>
      <c r="F49" s="13"/>
      <c r="G49" s="13"/>
      <c r="H49" s="13"/>
      <c r="I49" s="13"/>
      <c r="J49" s="13"/>
      <c r="K49" s="13"/>
    </row>
    <row r="50" spans="1:11" ht="30" x14ac:dyDescent="0.25">
      <c r="A50" s="11">
        <v>9</v>
      </c>
      <c r="B50" s="25" t="s">
        <v>39</v>
      </c>
      <c r="C50" s="13"/>
      <c r="D50" s="13"/>
      <c r="E50" s="13"/>
      <c r="F50" s="13"/>
      <c r="G50" s="13"/>
      <c r="H50" s="13"/>
      <c r="I50" s="13"/>
      <c r="J50" s="13"/>
      <c r="K50" s="13"/>
    </row>
    <row r="51" spans="1:11" x14ac:dyDescent="0.25">
      <c r="A51" s="13"/>
      <c r="B51" s="14" t="e">
        <f>#REF!</f>
        <v>#REF!</v>
      </c>
      <c r="C51" s="13" t="e">
        <f>#REF!</f>
        <v>#REF!</v>
      </c>
      <c r="D51" s="3" t="e">
        <f>#REF!</f>
        <v>#REF!</v>
      </c>
      <c r="E51" s="3">
        <v>0.23</v>
      </c>
      <c r="F51" s="3">
        <f>3.5/3.281</f>
        <v>1.0667479427003961</v>
      </c>
      <c r="G51" s="3" t="e">
        <f t="shared" ref="G51:G54" si="13">PRODUCT(C51:F51)</f>
        <v>#REF!</v>
      </c>
      <c r="H51" s="13"/>
      <c r="I51" s="13"/>
      <c r="J51" s="13"/>
      <c r="K51" s="13"/>
    </row>
    <row r="52" spans="1:11" x14ac:dyDescent="0.25">
      <c r="A52" s="13"/>
      <c r="B52" s="14" t="s">
        <v>47</v>
      </c>
      <c r="C52" s="13">
        <v>2</v>
      </c>
      <c r="D52" s="3" t="e">
        <f>#REF!</f>
        <v>#REF!</v>
      </c>
      <c r="E52" s="3">
        <v>0.23</v>
      </c>
      <c r="F52" s="3">
        <f>8.17/3.281</f>
        <v>2.4900944833892105</v>
      </c>
      <c r="G52" s="3" t="e">
        <f t="shared" si="13"/>
        <v>#REF!</v>
      </c>
      <c r="H52" s="13"/>
      <c r="I52" s="13"/>
      <c r="J52" s="13"/>
      <c r="K52" s="13"/>
    </row>
    <row r="53" spans="1:11" x14ac:dyDescent="0.25">
      <c r="A53" s="13"/>
      <c r="B53" s="14"/>
      <c r="C53" s="13">
        <v>1</v>
      </c>
      <c r="D53" s="3" t="e">
        <f>D52</f>
        <v>#REF!</v>
      </c>
      <c r="E53" s="3">
        <v>0.23</v>
      </c>
      <c r="F53" s="3">
        <f>8.17/3.281</f>
        <v>2.4900944833892105</v>
      </c>
      <c r="G53" s="3" t="e">
        <f t="shared" si="13"/>
        <v>#REF!</v>
      </c>
      <c r="H53" s="13"/>
      <c r="I53" s="13"/>
      <c r="J53" s="13"/>
      <c r="K53" s="13"/>
    </row>
    <row r="54" spans="1:11" x14ac:dyDescent="0.25">
      <c r="A54" s="13"/>
      <c r="B54" s="14" t="s">
        <v>41</v>
      </c>
      <c r="C54" s="13">
        <v>-2</v>
      </c>
      <c r="D54" s="3">
        <v>0.75</v>
      </c>
      <c r="E54" s="3">
        <v>0.23</v>
      </c>
      <c r="F54" s="3">
        <v>0.75</v>
      </c>
      <c r="G54" s="3">
        <f t="shared" si="13"/>
        <v>-0.25875000000000004</v>
      </c>
      <c r="H54" s="13"/>
      <c r="I54" s="13"/>
      <c r="J54" s="13"/>
      <c r="K54" s="13"/>
    </row>
    <row r="55" spans="1:11" s="10" customFormat="1" ht="15" customHeight="1" x14ac:dyDescent="0.25">
      <c r="A55" s="15"/>
      <c r="B55" s="16" t="s">
        <v>16</v>
      </c>
      <c r="C55" s="17"/>
      <c r="D55" s="1"/>
      <c r="E55" s="18"/>
      <c r="F55" s="18"/>
      <c r="G55" s="2" t="e">
        <f>SUM(G51:G54)</f>
        <v>#REF!</v>
      </c>
      <c r="H55" s="19" t="s">
        <v>28</v>
      </c>
      <c r="I55" s="2">
        <f>14491.84</f>
        <v>14491.84</v>
      </c>
      <c r="J55" s="20" t="e">
        <f>G55*I55</f>
        <v>#REF!</v>
      </c>
      <c r="K55" s="18"/>
    </row>
    <row r="56" spans="1:11" s="10" customFormat="1" x14ac:dyDescent="0.25">
      <c r="A56" s="21"/>
      <c r="B56" s="22" t="s">
        <v>38</v>
      </c>
      <c r="C56" s="23"/>
      <c r="D56" s="24"/>
      <c r="E56" s="24"/>
      <c r="F56" s="24"/>
      <c r="G56" s="24"/>
      <c r="H56" s="23"/>
      <c r="I56" s="23"/>
      <c r="J56" s="20" t="e">
        <f>0.13*G55*8481.2</f>
        <v>#REF!</v>
      </c>
      <c r="K56" s="23"/>
    </row>
    <row r="57" spans="1:11" s="10" customFormat="1" x14ac:dyDescent="0.25">
      <c r="A57" s="21"/>
      <c r="B57" s="22" t="s">
        <v>31</v>
      </c>
      <c r="C57" s="23"/>
      <c r="D57" s="24"/>
      <c r="E57" s="24"/>
      <c r="F57" s="24"/>
      <c r="G57" s="24"/>
      <c r="H57" s="23"/>
      <c r="I57" s="23"/>
      <c r="J57" s="20" t="e">
        <f>0.13*G55*912.17</f>
        <v>#REF!</v>
      </c>
      <c r="K57" s="23"/>
    </row>
    <row r="58" spans="1:11" s="10" customFormat="1" x14ac:dyDescent="0.25">
      <c r="A58" s="21"/>
      <c r="B58" s="22" t="s">
        <v>40</v>
      </c>
      <c r="C58" s="23"/>
      <c r="D58" s="24"/>
      <c r="E58" s="24"/>
      <c r="F58" s="24"/>
      <c r="G58" s="24"/>
      <c r="H58" s="23"/>
      <c r="I58" s="23"/>
      <c r="J58" s="20" t="e">
        <f>0.13*G55*953.37</f>
        <v>#REF!</v>
      </c>
      <c r="K58" s="23"/>
    </row>
    <row r="59" spans="1:11" s="10" customFormat="1" x14ac:dyDescent="0.25">
      <c r="A59" s="21"/>
      <c r="B59" s="22" t="s">
        <v>34</v>
      </c>
      <c r="C59" s="23"/>
      <c r="D59" s="24"/>
      <c r="E59" s="24"/>
      <c r="F59" s="24"/>
      <c r="G59" s="24"/>
      <c r="H59" s="23"/>
      <c r="I59" s="23"/>
      <c r="J59" s="20" t="e">
        <f>0.13*G55*28</f>
        <v>#REF!</v>
      </c>
      <c r="K59" s="23"/>
    </row>
    <row r="60" spans="1:11" x14ac:dyDescent="0.25">
      <c r="A60" s="13"/>
      <c r="B60" s="13"/>
      <c r="C60" s="13"/>
      <c r="D60" s="13"/>
      <c r="E60" s="13"/>
      <c r="F60" s="13"/>
      <c r="G60" s="13"/>
      <c r="H60" s="13"/>
      <c r="I60" s="13"/>
      <c r="J60" s="13"/>
      <c r="K60" s="13"/>
    </row>
    <row r="61" spans="1:11" ht="30" x14ac:dyDescent="0.25">
      <c r="A61" s="11">
        <v>10</v>
      </c>
      <c r="B61" s="25" t="s">
        <v>36</v>
      </c>
      <c r="C61" s="13"/>
      <c r="D61" s="13"/>
      <c r="E61" s="13"/>
      <c r="F61" s="13"/>
      <c r="G61" s="13"/>
      <c r="H61" s="13"/>
      <c r="I61" s="13"/>
      <c r="J61" s="13"/>
      <c r="K61" s="13"/>
    </row>
    <row r="62" spans="1:11" x14ac:dyDescent="0.25">
      <c r="A62" s="13"/>
      <c r="B62" s="14" t="str">
        <f>B52</f>
        <v>-at GF wall</v>
      </c>
      <c r="C62" s="13">
        <f>2*2</f>
        <v>4</v>
      </c>
      <c r="D62" s="3" t="e">
        <f>D52</f>
        <v>#REF!</v>
      </c>
      <c r="E62" s="3"/>
      <c r="F62" s="3">
        <f>F52</f>
        <v>2.4900944833892105</v>
      </c>
      <c r="G62" s="3" t="e">
        <f>PRODUCT(C62:F62)</f>
        <v>#REF!</v>
      </c>
      <c r="H62" s="13"/>
      <c r="I62" s="13"/>
      <c r="J62" s="13"/>
      <c r="K62" s="13"/>
    </row>
    <row r="63" spans="1:11" x14ac:dyDescent="0.25">
      <c r="A63" s="13"/>
      <c r="B63" s="14"/>
      <c r="C63" s="13">
        <f>2*C53</f>
        <v>2</v>
      </c>
      <c r="D63" s="3" t="e">
        <f>D53</f>
        <v>#REF!</v>
      </c>
      <c r="E63" s="3"/>
      <c r="F63" s="3">
        <f>F53</f>
        <v>2.4900944833892105</v>
      </c>
      <c r="G63" s="3" t="e">
        <f>PRODUCT(C63:F63)</f>
        <v>#REF!</v>
      </c>
      <c r="H63" s="13"/>
      <c r="I63" s="13"/>
      <c r="J63" s="13"/>
      <c r="K63" s="13"/>
    </row>
    <row r="64" spans="1:11" x14ac:dyDescent="0.25">
      <c r="A64" s="13"/>
      <c r="B64" s="14" t="str">
        <f>B54</f>
        <v>-deduction for window</v>
      </c>
      <c r="C64" s="13">
        <f>2*C54</f>
        <v>-4</v>
      </c>
      <c r="D64" s="3">
        <f>D54</f>
        <v>0.75</v>
      </c>
      <c r="E64" s="3"/>
      <c r="F64" s="3">
        <f>F54</f>
        <v>0.75</v>
      </c>
      <c r="G64" s="3">
        <f t="shared" ref="G64:G65" si="14">PRODUCT(C64:F64)</f>
        <v>-2.25</v>
      </c>
      <c r="H64" s="13"/>
      <c r="I64" s="13"/>
      <c r="J64" s="13"/>
      <c r="K64" s="13"/>
    </row>
    <row r="65" spans="1:11" x14ac:dyDescent="0.25">
      <c r="A65" s="13"/>
      <c r="B65" s="14" t="e">
        <f>#REF!</f>
        <v>#REF!</v>
      </c>
      <c r="C65" s="13" t="e">
        <f>#REF!</f>
        <v>#REF!</v>
      </c>
      <c r="D65" s="3" t="e">
        <f>#REF!</f>
        <v>#REF!</v>
      </c>
      <c r="E65" s="3" t="e">
        <f>#REF!</f>
        <v>#REF!</v>
      </c>
      <c r="F65" s="3"/>
      <c r="G65" s="3" t="e">
        <f t="shared" si="14"/>
        <v>#REF!</v>
      </c>
      <c r="H65" s="13"/>
      <c r="I65" s="13"/>
      <c r="J65" s="13"/>
      <c r="K65" s="13"/>
    </row>
    <row r="66" spans="1:11" s="10" customFormat="1" ht="15" customHeight="1" x14ac:dyDescent="0.25">
      <c r="A66" s="15"/>
      <c r="B66" s="16" t="s">
        <v>16</v>
      </c>
      <c r="C66" s="17"/>
      <c r="D66" s="1"/>
      <c r="E66" s="18"/>
      <c r="F66" s="18"/>
      <c r="G66" s="2" t="e">
        <f>SUM(G62:G65)</f>
        <v>#REF!</v>
      </c>
      <c r="H66" s="19" t="s">
        <v>33</v>
      </c>
      <c r="I66" s="2">
        <v>415.5</v>
      </c>
      <c r="J66" s="20" t="e">
        <f>G66*I66</f>
        <v>#REF!</v>
      </c>
      <c r="K66" s="18"/>
    </row>
    <row r="67" spans="1:11" s="10" customFormat="1" x14ac:dyDescent="0.25">
      <c r="A67" s="21"/>
      <c r="B67" s="22" t="s">
        <v>31</v>
      </c>
      <c r="C67" s="23"/>
      <c r="D67" s="24"/>
      <c r="E67" s="24"/>
      <c r="F67" s="24"/>
      <c r="G67" s="24"/>
      <c r="H67" s="23"/>
      <c r="I67" s="23"/>
      <c r="J67" s="20" t="e">
        <f>0.13*G66*7010.67/100</f>
        <v>#REF!</v>
      </c>
      <c r="K67" s="23"/>
    </row>
    <row r="68" spans="1:11" x14ac:dyDescent="0.25">
      <c r="A68" s="13"/>
      <c r="B68" s="22" t="s">
        <v>30</v>
      </c>
      <c r="C68" s="23"/>
      <c r="D68" s="24"/>
      <c r="E68" s="24"/>
      <c r="F68" s="24"/>
      <c r="G68" s="24"/>
      <c r="H68" s="23"/>
      <c r="I68" s="23"/>
      <c r="J68" s="20" t="e">
        <f>0.13*G66*4639.73/100</f>
        <v>#REF!</v>
      </c>
      <c r="K68" s="13"/>
    </row>
    <row r="69" spans="1:11" x14ac:dyDescent="0.25">
      <c r="A69" s="13"/>
      <c r="B69" s="13"/>
      <c r="C69" s="13"/>
      <c r="D69" s="13"/>
      <c r="E69" s="13"/>
      <c r="F69" s="13"/>
      <c r="G69" s="13"/>
      <c r="H69" s="13"/>
      <c r="I69" s="13"/>
      <c r="J69" s="13"/>
      <c r="K69" s="13"/>
    </row>
    <row r="70" spans="1:11" s="10" customFormat="1" ht="30" x14ac:dyDescent="0.25">
      <c r="A70" s="21">
        <v>11</v>
      </c>
      <c r="B70" s="25" t="s">
        <v>48</v>
      </c>
      <c r="C70" s="23"/>
      <c r="D70" s="24"/>
      <c r="E70" s="24"/>
      <c r="F70" s="24"/>
      <c r="G70" s="24"/>
      <c r="H70" s="23"/>
      <c r="I70" s="23"/>
      <c r="J70" s="20"/>
      <c r="K70" s="23"/>
    </row>
    <row r="71" spans="1:11" x14ac:dyDescent="0.25">
      <c r="A71" s="13"/>
      <c r="B71" s="14" t="e">
        <f>#REF!</f>
        <v>#REF!</v>
      </c>
      <c r="C71" s="13">
        <v>4</v>
      </c>
      <c r="D71" s="3">
        <f>12/3.281</f>
        <v>3.6574215178299299</v>
      </c>
      <c r="E71" s="3"/>
      <c r="F71" s="3"/>
      <c r="G71" s="3">
        <f>PRODUCT(C71:F71)</f>
        <v>14.629686071319719</v>
      </c>
      <c r="H71" s="13"/>
      <c r="I71" s="13"/>
      <c r="J71" s="13"/>
      <c r="K71" s="13"/>
    </row>
    <row r="72" spans="1:11" s="10" customFormat="1" ht="15" customHeight="1" x14ac:dyDescent="0.25">
      <c r="A72" s="15"/>
      <c r="B72" s="16" t="s">
        <v>16</v>
      </c>
      <c r="C72" s="17"/>
      <c r="D72" s="1"/>
      <c r="E72" s="18"/>
      <c r="F72" s="18"/>
      <c r="G72" s="2">
        <f>SUM(G70:G71)</f>
        <v>14.629686071319719</v>
      </c>
      <c r="H72" s="19" t="s">
        <v>49</v>
      </c>
      <c r="I72" s="2">
        <v>144.41</v>
      </c>
      <c r="J72" s="20">
        <f>G72*I72</f>
        <v>2112.6729655592808</v>
      </c>
      <c r="K72" s="18"/>
    </row>
    <row r="73" spans="1:11" s="10" customFormat="1" x14ac:dyDescent="0.25">
      <c r="A73" s="21"/>
      <c r="B73" s="22" t="s">
        <v>31</v>
      </c>
      <c r="C73" s="23"/>
      <c r="D73" s="24"/>
      <c r="E73" s="24"/>
      <c r="F73" s="24"/>
      <c r="G73" s="24"/>
      <c r="H73" s="23"/>
      <c r="I73" s="23"/>
      <c r="J73" s="20">
        <f>0.13*G72*91.21</f>
        <v>173.46857665345931</v>
      </c>
      <c r="K73" s="23"/>
    </row>
    <row r="74" spans="1:11" s="10" customFormat="1" x14ac:dyDescent="0.25">
      <c r="A74" s="21"/>
      <c r="B74" s="22" t="s">
        <v>30</v>
      </c>
      <c r="C74" s="23"/>
      <c r="D74" s="24"/>
      <c r="E74" s="24"/>
      <c r="F74" s="24"/>
      <c r="G74" s="24"/>
      <c r="H74" s="23"/>
      <c r="I74" s="23"/>
      <c r="J74" s="20">
        <f>0.13*G72*12.71</f>
        <v>24.172630295641575</v>
      </c>
      <c r="K74" s="23"/>
    </row>
    <row r="75" spans="1:11" s="10" customFormat="1" x14ac:dyDescent="0.25">
      <c r="A75" s="21"/>
      <c r="B75" s="22" t="s">
        <v>50</v>
      </c>
      <c r="C75" s="23"/>
      <c r="D75" s="24"/>
      <c r="E75" s="24"/>
      <c r="F75" s="24"/>
      <c r="G75" s="24"/>
      <c r="H75" s="23"/>
      <c r="I75" s="23"/>
      <c r="J75" s="20">
        <f>0.13*G72*0.02</f>
        <v>3.8037183785431271E-2</v>
      </c>
      <c r="K75" s="23"/>
    </row>
    <row r="76" spans="1:11" s="10" customFormat="1" x14ac:dyDescent="0.25">
      <c r="A76" s="21"/>
      <c r="B76" s="22"/>
      <c r="C76" s="23"/>
      <c r="D76" s="24"/>
      <c r="E76" s="24"/>
      <c r="F76" s="24"/>
      <c r="G76" s="24"/>
      <c r="H76" s="23"/>
      <c r="I76" s="23"/>
      <c r="J76" s="20"/>
      <c r="K76" s="23"/>
    </row>
    <row r="77" spans="1:11" ht="30" x14ac:dyDescent="0.25">
      <c r="A77" s="11">
        <v>12</v>
      </c>
      <c r="B77" s="25" t="s">
        <v>42</v>
      </c>
      <c r="C77" s="13"/>
      <c r="D77" s="13"/>
      <c r="E77" s="13"/>
      <c r="F77" s="13"/>
      <c r="G77" s="13"/>
      <c r="H77" s="13"/>
      <c r="I77" s="13"/>
      <c r="J77" s="13"/>
      <c r="K77" s="13"/>
    </row>
    <row r="78" spans="1:11" x14ac:dyDescent="0.25">
      <c r="A78" s="13"/>
      <c r="B78" s="14" t="str">
        <f>B52</f>
        <v>-at GF wall</v>
      </c>
      <c r="C78" s="13">
        <f>C62</f>
        <v>4</v>
      </c>
      <c r="D78" s="3" t="e">
        <f>D62</f>
        <v>#REF!</v>
      </c>
      <c r="E78" s="3"/>
      <c r="F78" s="3">
        <f>F62</f>
        <v>2.4900944833892105</v>
      </c>
      <c r="G78" s="3" t="e">
        <f>PRODUCT(C78:F78)</f>
        <v>#REF!</v>
      </c>
      <c r="H78" s="13"/>
      <c r="I78" s="13"/>
      <c r="J78" s="13"/>
      <c r="K78" s="13"/>
    </row>
    <row r="79" spans="1:11" x14ac:dyDescent="0.25">
      <c r="A79" s="13"/>
      <c r="B79" s="14"/>
      <c r="C79" s="13">
        <f>C63</f>
        <v>2</v>
      </c>
      <c r="D79" s="3" t="e">
        <f>D63</f>
        <v>#REF!</v>
      </c>
      <c r="E79" s="3"/>
      <c r="F79" s="3">
        <f>F63</f>
        <v>2.4900944833892105</v>
      </c>
      <c r="G79" s="3" t="e">
        <f>PRODUCT(C79:F79)</f>
        <v>#REF!</v>
      </c>
      <c r="H79" s="13"/>
      <c r="I79" s="13"/>
      <c r="J79" s="13"/>
      <c r="K79" s="13"/>
    </row>
    <row r="80" spans="1:11" x14ac:dyDescent="0.25">
      <c r="A80" s="13"/>
      <c r="B80" s="14" t="s">
        <v>41</v>
      </c>
      <c r="C80" s="13">
        <f>-2*2</f>
        <v>-4</v>
      </c>
      <c r="D80" s="3">
        <f>D64</f>
        <v>0.75</v>
      </c>
      <c r="E80" s="3"/>
      <c r="F80" s="3">
        <f>F64</f>
        <v>0.75</v>
      </c>
      <c r="G80" s="3">
        <f>PRODUCT(C80:F80)</f>
        <v>-2.25</v>
      </c>
      <c r="H80" s="13"/>
      <c r="I80" s="13"/>
      <c r="J80" s="13"/>
      <c r="K80" s="13"/>
    </row>
    <row r="81" spans="1:11" s="10" customFormat="1" ht="15" customHeight="1" x14ac:dyDescent="0.25">
      <c r="A81" s="15"/>
      <c r="B81" s="16" t="s">
        <v>16</v>
      </c>
      <c r="C81" s="17"/>
      <c r="D81" s="1"/>
      <c r="E81" s="18"/>
      <c r="F81" s="18"/>
      <c r="G81" s="2" t="e">
        <f>SUM(G78:G80)</f>
        <v>#REF!</v>
      </c>
      <c r="H81" s="19" t="s">
        <v>28</v>
      </c>
      <c r="I81" s="2">
        <v>253.8</v>
      </c>
      <c r="J81" s="20" t="e">
        <f>G81*I81</f>
        <v>#REF!</v>
      </c>
      <c r="K81" s="18"/>
    </row>
    <row r="82" spans="1:11" s="10" customFormat="1" x14ac:dyDescent="0.25">
      <c r="A82" s="21"/>
      <c r="B82" s="22" t="s">
        <v>43</v>
      </c>
      <c r="C82" s="23"/>
      <c r="D82" s="24"/>
      <c r="E82" s="24"/>
      <c r="F82" s="24"/>
      <c r="G82" s="24"/>
      <c r="H82" s="23"/>
      <c r="I82" s="23"/>
      <c r="J82" s="20" t="e">
        <f>0.13*G81*2304/100</f>
        <v>#REF!</v>
      </c>
      <c r="K82" s="23"/>
    </row>
    <row r="83" spans="1:11" s="10" customFormat="1" x14ac:dyDescent="0.25">
      <c r="A83" s="21"/>
      <c r="B83" s="22" t="s">
        <v>44</v>
      </c>
      <c r="C83" s="23"/>
      <c r="D83" s="24"/>
      <c r="E83" s="24"/>
      <c r="F83" s="24"/>
      <c r="G83" s="24"/>
      <c r="H83" s="23"/>
      <c r="I83" s="23"/>
      <c r="J83" s="20" t="e">
        <f>0.13*G81*10432/100</f>
        <v>#REF!</v>
      </c>
      <c r="K83" s="23"/>
    </row>
    <row r="84" spans="1:11" s="10" customFormat="1" x14ac:dyDescent="0.25">
      <c r="A84" s="21"/>
      <c r="B84" s="22"/>
      <c r="C84" s="23"/>
      <c r="D84" s="24"/>
      <c r="E84" s="24"/>
      <c r="F84" s="24"/>
      <c r="G84" s="24"/>
      <c r="H84" s="23"/>
      <c r="I84" s="23"/>
      <c r="J84" s="20"/>
      <c r="K84" s="23"/>
    </row>
    <row r="85" spans="1:11" s="10" customFormat="1" ht="15" customHeight="1" x14ac:dyDescent="0.25">
      <c r="A85" s="15">
        <v>16</v>
      </c>
      <c r="B85" s="26" t="s">
        <v>17</v>
      </c>
      <c r="C85" s="17">
        <v>1</v>
      </c>
      <c r="D85" s="1"/>
      <c r="E85" s="18"/>
      <c r="F85" s="18"/>
      <c r="G85" s="19">
        <f t="shared" ref="G85" si="15">PRODUCT(C85:F85)</f>
        <v>1</v>
      </c>
      <c r="H85" s="19" t="s">
        <v>18</v>
      </c>
      <c r="I85" s="2">
        <v>500</v>
      </c>
      <c r="J85" s="19">
        <f>G85*I85</f>
        <v>500</v>
      </c>
      <c r="K85" s="18"/>
    </row>
    <row r="86" spans="1:11" s="10" customFormat="1" x14ac:dyDescent="0.25">
      <c r="A86" s="15"/>
      <c r="B86" s="27"/>
      <c r="C86" s="17"/>
      <c r="D86" s="1"/>
      <c r="E86" s="18"/>
      <c r="F86" s="18"/>
      <c r="G86" s="2"/>
      <c r="H86" s="19"/>
      <c r="I86" s="2"/>
      <c r="J86" s="20"/>
      <c r="K86" s="18"/>
    </row>
    <row r="87" spans="1:11" s="10" customFormat="1" x14ac:dyDescent="0.25">
      <c r="A87" s="28"/>
      <c r="B87" s="29" t="s">
        <v>20</v>
      </c>
      <c r="C87" s="30"/>
      <c r="D87" s="31"/>
      <c r="E87" s="31"/>
      <c r="F87" s="31"/>
      <c r="G87" s="20"/>
      <c r="H87" s="20"/>
      <c r="I87" s="20"/>
      <c r="J87" s="20" t="e">
        <f>SUM(J37:J85)</f>
        <v>#REF!</v>
      </c>
      <c r="K87" s="32"/>
    </row>
    <row r="88" spans="1:11" s="10" customFormat="1" x14ac:dyDescent="0.25"/>
    <row r="89" spans="1:11" s="40" customFormat="1" x14ac:dyDescent="0.25">
      <c r="A89" s="33"/>
      <c r="B89" s="34" t="s">
        <v>19</v>
      </c>
      <c r="C89" s="41" t="e">
        <f>J87</f>
        <v>#REF!</v>
      </c>
      <c r="D89" s="42"/>
      <c r="E89" s="35">
        <v>100</v>
      </c>
      <c r="F89" s="33"/>
      <c r="G89" s="36"/>
      <c r="H89" s="33"/>
      <c r="I89" s="37"/>
      <c r="J89" s="38"/>
      <c r="K89" s="39"/>
    </row>
    <row r="90" spans="1:11" s="10" customFormat="1" x14ac:dyDescent="0.25">
      <c r="B90" s="34" t="s">
        <v>21</v>
      </c>
      <c r="C90" s="43">
        <v>400000</v>
      </c>
      <c r="D90" s="44"/>
      <c r="E90" s="35"/>
    </row>
    <row r="91" spans="1:11" s="10" customFormat="1" x14ac:dyDescent="0.25">
      <c r="B91" s="34" t="s">
        <v>22</v>
      </c>
      <c r="C91" s="43">
        <f>C90-C93-C94</f>
        <v>380000</v>
      </c>
      <c r="D91" s="44"/>
      <c r="E91" s="35" t="e">
        <f>C91/C89*100</f>
        <v>#REF!</v>
      </c>
    </row>
    <row r="92" spans="1:11" s="10" customFormat="1" x14ac:dyDescent="0.25">
      <c r="B92" s="34" t="s">
        <v>26</v>
      </c>
      <c r="C92" s="45" t="e">
        <f>C89-C91</f>
        <v>#REF!</v>
      </c>
      <c r="D92" s="45"/>
      <c r="E92" s="35" t="e">
        <f>100-E91</f>
        <v>#REF!</v>
      </c>
    </row>
    <row r="93" spans="1:11" s="10" customFormat="1" x14ac:dyDescent="0.25">
      <c r="B93" s="34" t="s">
        <v>23</v>
      </c>
      <c r="C93" s="41">
        <f>C90*0.03</f>
        <v>12000</v>
      </c>
      <c r="D93" s="42"/>
      <c r="E93" s="35">
        <v>3</v>
      </c>
    </row>
    <row r="94" spans="1:11" s="10" customFormat="1" x14ac:dyDescent="0.25">
      <c r="B94" s="34" t="s">
        <v>24</v>
      </c>
      <c r="C94" s="41">
        <f>C90*0.02</f>
        <v>8000</v>
      </c>
      <c r="D94" s="42"/>
      <c r="E94" s="35">
        <v>2</v>
      </c>
    </row>
  </sheetData>
  <mergeCells count="15">
    <mergeCell ref="A7:F7"/>
    <mergeCell ref="H7:K7"/>
    <mergeCell ref="A1:K1"/>
    <mergeCell ref="A2:K2"/>
    <mergeCell ref="A3:K3"/>
    <mergeCell ref="A4:K4"/>
    <mergeCell ref="A5:K5"/>
    <mergeCell ref="A6:F6"/>
    <mergeCell ref="H6:K6"/>
    <mergeCell ref="C94:D94"/>
    <mergeCell ref="C89:D89"/>
    <mergeCell ref="C90:D90"/>
    <mergeCell ref="C91:D91"/>
    <mergeCell ref="C92:D92"/>
    <mergeCell ref="C93:D93"/>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estimate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2026-02-04T09:24:33Z</dcterms:modified>
</cp:coreProperties>
</file>