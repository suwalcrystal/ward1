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124226"/>
  <xr:revisionPtr revIDLastSave="0" documentId="13_ncr:1_{7D324EE4-7309-4D93-9310-2CC9A4190478}" xr6:coauthVersionLast="47" xr6:coauthVersionMax="47" xr10:uidLastSave="{00000000-0000-0000-0000-000000000000}"/>
  <bookViews>
    <workbookView xWindow="-120" yWindow="-120" windowWidth="20730" windowHeight="11040" activeTab="2" xr2:uid="{00000000-000D-0000-FFFF-FFFF00000000}"/>
  </bookViews>
  <sheets>
    <sheet name="estimate" sheetId="12" r:id="rId1"/>
    <sheet name="WCR" sheetId="16" r:id="rId2"/>
    <sheet name="V" sheetId="14" r:id="rId3"/>
    <sheet name="chainage measurement" sheetId="15" r:id="rId4"/>
  </sheets>
  <externalReferences>
    <externalReference r:id="rId5"/>
    <externalReference r:id="rId6"/>
    <externalReference r:id="rId7"/>
    <externalReference r:id="rId8"/>
    <externalReference r:id="rId9"/>
    <externalReference r:id="rId10"/>
    <externalReference r:id="rId11"/>
    <externalReference r:id="rId12"/>
  </externalReferences>
  <definedNames>
    <definedName name="description_103">[1]Abstract!$B$16</definedName>
    <definedName name="description_124" localSheetId="0">#REF!</definedName>
    <definedName name="description_124" localSheetId="2">#REF!</definedName>
    <definedName name="description_124" localSheetId="1">#REF!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 localSheetId="2">#REF!</definedName>
    <definedName name="description_310" localSheetId="1">[4]Abstract!$B$60</definedName>
    <definedName name="description_310">#REF!</definedName>
    <definedName name="description_312" localSheetId="0">#REF!</definedName>
    <definedName name="description_312" localSheetId="2">#REF!</definedName>
    <definedName name="description_312" localSheetId="1">[5]Abstract!$B$61</definedName>
    <definedName name="description_312">#REF!</definedName>
    <definedName name="description_4">[6]Abstract!$B$170</definedName>
    <definedName name="description_5">[1]Abstract!$B$171</definedName>
    <definedName name="description_6" localSheetId="0">#REF!</definedName>
    <definedName name="description_6" localSheetId="2">#REF!</definedName>
    <definedName name="description_6" localSheetId="1">[4]Abstract!$B$172</definedName>
    <definedName name="description_6">#REF!</definedName>
    <definedName name="description_759">[1]Abstract!$B$278</definedName>
    <definedName name="description_781" localSheetId="0">#REF!</definedName>
    <definedName name="description_781" localSheetId="2">#REF!</definedName>
    <definedName name="description_781" localSheetId="1">[7]Abstract!$B$299</definedName>
    <definedName name="description_781">#REF!</definedName>
    <definedName name="description_783">[1]Abstract!$B$301</definedName>
    <definedName name="description_784">[3]Abstract!$B$300</definedName>
    <definedName name="_xlnm.Print_Area" localSheetId="0">estimate!$A$1:$K$46</definedName>
    <definedName name="_xlnm.Print_Area" localSheetId="2">V!$A$1:$K$117</definedName>
    <definedName name="_xlnm.Print_Area" localSheetId="1">WCR!$A$1:$K$34</definedName>
    <definedName name="_xlnm.Print_Titles" localSheetId="0">estimate!$1:$8</definedName>
    <definedName name="_xlnm.Print_Titles" localSheetId="2">V!$1:$8</definedName>
    <definedName name="_xlnm.Print_Titles" localSheetId="1">WCR!$1:$12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2" i="14" l="1"/>
  <c r="C63" i="14"/>
  <c r="C64" i="14"/>
  <c r="M76" i="14"/>
  <c r="M77" i="14"/>
  <c r="M78" i="14"/>
  <c r="M79" i="14"/>
  <c r="M80" i="14"/>
  <c r="M81" i="14"/>
  <c r="M82" i="14"/>
  <c r="M83" i="14"/>
  <c r="M84" i="14"/>
  <c r="M85" i="14"/>
  <c r="M86" i="14"/>
  <c r="M87" i="14"/>
  <c r="M88" i="14"/>
  <c r="M89" i="14"/>
  <c r="M90" i="14"/>
  <c r="M91" i="14"/>
  <c r="M92" i="14"/>
  <c r="M93" i="14"/>
  <c r="M94" i="14"/>
  <c r="M95" i="14"/>
  <c r="M96" i="14"/>
  <c r="M97" i="14"/>
  <c r="M98" i="14"/>
  <c r="M99" i="14"/>
  <c r="M100" i="14"/>
  <c r="M101" i="14"/>
  <c r="M75" i="14"/>
  <c r="M74" i="14"/>
  <c r="H32" i="16"/>
  <c r="E32" i="16"/>
  <c r="D32" i="16"/>
  <c r="C32" i="16"/>
  <c r="B32" i="16"/>
  <c r="A32" i="16"/>
  <c r="H30" i="16"/>
  <c r="E30" i="16"/>
  <c r="D30" i="16"/>
  <c r="C30" i="16"/>
  <c r="B30" i="16"/>
  <c r="A30" i="16"/>
  <c r="B28" i="16"/>
  <c r="F28" i="16"/>
  <c r="H26" i="16"/>
  <c r="F27" i="16"/>
  <c r="E26" i="16"/>
  <c r="D26" i="16"/>
  <c r="C26" i="16"/>
  <c r="B27" i="16"/>
  <c r="B26" i="16"/>
  <c r="A26" i="16"/>
  <c r="B21" i="16"/>
  <c r="F21" i="16"/>
  <c r="B22" i="16"/>
  <c r="F22" i="16"/>
  <c r="B23" i="16"/>
  <c r="F23" i="16"/>
  <c r="B24" i="16"/>
  <c r="F24" i="16"/>
  <c r="H19" i="16"/>
  <c r="F20" i="16"/>
  <c r="E19" i="16"/>
  <c r="D19" i="16"/>
  <c r="C19" i="16"/>
  <c r="B20" i="16"/>
  <c r="B19" i="16"/>
  <c r="A19" i="16"/>
  <c r="H16" i="16"/>
  <c r="F17" i="16"/>
  <c r="B17" i="16"/>
  <c r="E16" i="16"/>
  <c r="D16" i="16"/>
  <c r="C16" i="16"/>
  <c r="B16" i="16"/>
  <c r="A16" i="16"/>
  <c r="H13" i="16"/>
  <c r="F14" i="16"/>
  <c r="B14" i="16"/>
  <c r="E13" i="16"/>
  <c r="D13" i="16"/>
  <c r="C13" i="16"/>
  <c r="A13" i="16"/>
  <c r="B13" i="16"/>
  <c r="A9" i="16"/>
  <c r="F79" i="14"/>
  <c r="F80" i="14"/>
  <c r="F81" i="14"/>
  <c r="F82" i="14"/>
  <c r="F83" i="14"/>
  <c r="F84" i="14"/>
  <c r="F85" i="14"/>
  <c r="F86" i="14"/>
  <c r="F87" i="14"/>
  <c r="F88" i="14"/>
  <c r="F89" i="14"/>
  <c r="F90" i="14"/>
  <c r="F91" i="14"/>
  <c r="F92" i="14"/>
  <c r="F93" i="14"/>
  <c r="F94" i="14"/>
  <c r="F95" i="14"/>
  <c r="F96" i="14"/>
  <c r="F97" i="14"/>
  <c r="F98" i="14"/>
  <c r="F99" i="14"/>
  <c r="F100" i="14"/>
  <c r="F101" i="14"/>
  <c r="E75" i="14"/>
  <c r="E76" i="14"/>
  <c r="E77" i="14"/>
  <c r="E78" i="14"/>
  <c r="E79" i="14"/>
  <c r="E80" i="14"/>
  <c r="E81" i="14"/>
  <c r="E82" i="14"/>
  <c r="E83" i="14"/>
  <c r="E84" i="14"/>
  <c r="E85" i="14"/>
  <c r="E86" i="14"/>
  <c r="E87" i="14"/>
  <c r="E88" i="14"/>
  <c r="E89" i="14"/>
  <c r="E90" i="14"/>
  <c r="E91" i="14"/>
  <c r="E92" i="14"/>
  <c r="E93" i="14"/>
  <c r="E94" i="14"/>
  <c r="E95" i="14"/>
  <c r="E96" i="14"/>
  <c r="E97" i="14"/>
  <c r="E98" i="14"/>
  <c r="E99" i="14"/>
  <c r="E100" i="14"/>
  <c r="E101" i="14"/>
  <c r="E74" i="14"/>
  <c r="C51" i="14"/>
  <c r="C52" i="14"/>
  <c r="C53" i="14"/>
  <c r="C54" i="14"/>
  <c r="C55" i="14"/>
  <c r="C56" i="14"/>
  <c r="C57" i="14"/>
  <c r="C58" i="14"/>
  <c r="C59" i="14"/>
  <c r="C60" i="14"/>
  <c r="C61" i="14"/>
  <c r="F62" i="14"/>
  <c r="F63" i="14"/>
  <c r="F64" i="14"/>
  <c r="C65" i="14"/>
  <c r="F65" i="14"/>
  <c r="C50" i="14"/>
  <c r="F45" i="14"/>
  <c r="F42" i="14"/>
  <c r="F43" i="14"/>
  <c r="F44" i="14"/>
  <c r="C31" i="14"/>
  <c r="C32" i="14"/>
  <c r="C33" i="14"/>
  <c r="C34" i="14"/>
  <c r="C35" i="14"/>
  <c r="C36" i="14"/>
  <c r="C37" i="14"/>
  <c r="C38" i="14"/>
  <c r="C39" i="14"/>
  <c r="C40" i="14"/>
  <c r="C41" i="14"/>
  <c r="C30" i="14"/>
  <c r="F11" i="14"/>
  <c r="F12" i="14"/>
  <c r="F13" i="14"/>
  <c r="F14" i="14"/>
  <c r="F15" i="14"/>
  <c r="F16" i="14"/>
  <c r="F17" i="14"/>
  <c r="F18" i="14"/>
  <c r="F19" i="14"/>
  <c r="F20" i="14"/>
  <c r="F21" i="14"/>
  <c r="F10" i="14"/>
  <c r="E11" i="14"/>
  <c r="E12" i="14"/>
  <c r="E13" i="14"/>
  <c r="E14" i="14"/>
  <c r="E15" i="14"/>
  <c r="E16" i="14"/>
  <c r="E17" i="14"/>
  <c r="E18" i="14"/>
  <c r="E19" i="14"/>
  <c r="E20" i="14"/>
  <c r="E21" i="14"/>
  <c r="E22" i="14"/>
  <c r="E23" i="14"/>
  <c r="E24" i="14"/>
  <c r="E25" i="14"/>
  <c r="E10" i="14"/>
  <c r="D11" i="14"/>
  <c r="D12" i="14"/>
  <c r="D13" i="14"/>
  <c r="D14" i="14"/>
  <c r="D15" i="14"/>
  <c r="D16" i="14"/>
  <c r="D17" i="14"/>
  <c r="D18" i="14"/>
  <c r="D19" i="14"/>
  <c r="D20" i="14"/>
  <c r="D21" i="14"/>
  <c r="D22" i="14"/>
  <c r="D23" i="14"/>
  <c r="D24" i="14"/>
  <c r="D25" i="14"/>
  <c r="D10" i="14"/>
  <c r="C16" i="15"/>
  <c r="G15" i="15"/>
  <c r="G16" i="15"/>
  <c r="G17" i="15"/>
  <c r="G18" i="15"/>
  <c r="E15" i="15"/>
  <c r="E16" i="15"/>
  <c r="E17" i="15"/>
  <c r="E18" i="15"/>
  <c r="F18" i="15"/>
  <c r="F17" i="15"/>
  <c r="D17" i="15"/>
  <c r="F16" i="15"/>
  <c r="D16" i="15"/>
  <c r="F15" i="15"/>
  <c r="D15" i="15"/>
  <c r="B16" i="15"/>
  <c r="C14" i="15"/>
  <c r="G14" i="15"/>
  <c r="E4" i="15"/>
  <c r="E5" i="15"/>
  <c r="E6" i="15"/>
  <c r="E14" i="15"/>
  <c r="E3" i="15"/>
  <c r="F14" i="15"/>
  <c r="F13" i="15"/>
  <c r="F10" i="15"/>
  <c r="F11" i="15"/>
  <c r="F12" i="15"/>
  <c r="F9" i="15"/>
  <c r="F7" i="15"/>
  <c r="F8" i="15"/>
  <c r="F6" i="15"/>
  <c r="F5" i="15"/>
  <c r="F4" i="15"/>
  <c r="F3" i="15"/>
  <c r="F2" i="15"/>
  <c r="D14" i="15"/>
  <c r="D13" i="15"/>
  <c r="D12" i="15"/>
  <c r="D11" i="15"/>
  <c r="D10" i="15"/>
  <c r="D9" i="15"/>
  <c r="D8" i="15"/>
  <c r="D7" i="15"/>
  <c r="D6" i="15"/>
  <c r="D5" i="15"/>
  <c r="D4" i="15"/>
  <c r="D3" i="15"/>
  <c r="D2" i="15"/>
  <c r="B14" i="15"/>
  <c r="C117" i="14"/>
  <c r="C116" i="14"/>
  <c r="G108" i="14"/>
  <c r="G106" i="14"/>
  <c r="B74" i="14"/>
  <c r="B30" i="14"/>
  <c r="G35" i="12"/>
  <c r="J35" i="12" s="1"/>
  <c r="E10" i="12"/>
  <c r="G86" i="14" l="1"/>
  <c r="G32" i="16"/>
  <c r="G30" i="16"/>
  <c r="F76" i="14"/>
  <c r="F78" i="14"/>
  <c r="G80" i="14"/>
  <c r="F75" i="14"/>
  <c r="F77" i="14"/>
  <c r="G77" i="14" s="1"/>
  <c r="N75" i="14"/>
  <c r="N76" i="14"/>
  <c r="N77" i="14"/>
  <c r="O77" i="14" s="1"/>
  <c r="N78" i="14"/>
  <c r="N79" i="14"/>
  <c r="N80" i="14"/>
  <c r="N81" i="14"/>
  <c r="N82" i="14"/>
  <c r="N83" i="14"/>
  <c r="N84" i="14"/>
  <c r="N85" i="14"/>
  <c r="N86" i="14"/>
  <c r="N87" i="14"/>
  <c r="N88" i="14"/>
  <c r="N89" i="14"/>
  <c r="N90" i="14"/>
  <c r="N91" i="14"/>
  <c r="N92" i="14"/>
  <c r="N93" i="14"/>
  <c r="N94" i="14"/>
  <c r="N95" i="14"/>
  <c r="N96" i="14"/>
  <c r="N97" i="14"/>
  <c r="N98" i="14"/>
  <c r="N99" i="14"/>
  <c r="N100" i="14"/>
  <c r="N101" i="14"/>
  <c r="N74" i="14"/>
  <c r="G99" i="14"/>
  <c r="G79" i="14"/>
  <c r="O74" i="14"/>
  <c r="O83" i="14"/>
  <c r="O85" i="14"/>
  <c r="O86" i="14"/>
  <c r="O87" i="14"/>
  <c r="O88" i="14"/>
  <c r="O79" i="14"/>
  <c r="O82" i="14"/>
  <c r="O84" i="14"/>
  <c r="O89" i="14"/>
  <c r="M17" i="16"/>
  <c r="M14" i="16"/>
  <c r="F19" i="16"/>
  <c r="M19" i="16" s="1"/>
  <c r="F16" i="16"/>
  <c r="M16" i="16" s="1"/>
  <c r="F13" i="16"/>
  <c r="I30" i="16"/>
  <c r="F30" i="16"/>
  <c r="M30" i="16" s="1"/>
  <c r="M20" i="16"/>
  <c r="F26" i="16"/>
  <c r="M26" i="16" s="1"/>
  <c r="I32" i="16"/>
  <c r="F32" i="16"/>
  <c r="M27" i="16"/>
  <c r="G78" i="14"/>
  <c r="G81" i="14"/>
  <c r="G82" i="14"/>
  <c r="G88" i="14"/>
  <c r="G89" i="14"/>
  <c r="G90" i="14"/>
  <c r="G91" i="14"/>
  <c r="G92" i="14"/>
  <c r="G93" i="14"/>
  <c r="G94" i="14"/>
  <c r="G98" i="14"/>
  <c r="G101" i="14"/>
  <c r="G84" i="14"/>
  <c r="G85" i="14"/>
  <c r="G87" i="14"/>
  <c r="G95" i="14"/>
  <c r="G96" i="14"/>
  <c r="G97" i="14"/>
  <c r="G83" i="14"/>
  <c r="G100" i="14"/>
  <c r="E59" i="14"/>
  <c r="F50" i="14"/>
  <c r="D51" i="14"/>
  <c r="F51" i="14"/>
  <c r="D52" i="14"/>
  <c r="F52" i="14"/>
  <c r="F53" i="14"/>
  <c r="D54" i="14"/>
  <c r="E54" i="14"/>
  <c r="F55" i="14"/>
  <c r="D56" i="14"/>
  <c r="F56" i="14"/>
  <c r="F57" i="14"/>
  <c r="D58" i="14"/>
  <c r="F58" i="14"/>
  <c r="D59" i="14"/>
  <c r="E60" i="14"/>
  <c r="F61" i="14"/>
  <c r="D62" i="14"/>
  <c r="E62" i="14"/>
  <c r="D63" i="14"/>
  <c r="E64" i="14"/>
  <c r="D65" i="14"/>
  <c r="E50" i="14"/>
  <c r="E51" i="14"/>
  <c r="E52" i="14"/>
  <c r="D53" i="14"/>
  <c r="E53" i="14"/>
  <c r="F54" i="14"/>
  <c r="D55" i="14"/>
  <c r="E55" i="14"/>
  <c r="E56" i="14"/>
  <c r="D57" i="14"/>
  <c r="E57" i="14"/>
  <c r="E58" i="14"/>
  <c r="F59" i="14"/>
  <c r="D60" i="14"/>
  <c r="F60" i="14"/>
  <c r="D61" i="14"/>
  <c r="E61" i="14"/>
  <c r="E63" i="14"/>
  <c r="D64" i="14"/>
  <c r="E65" i="14"/>
  <c r="D50" i="14"/>
  <c r="D42" i="14"/>
  <c r="D32" i="14"/>
  <c r="D35" i="14"/>
  <c r="D41" i="14"/>
  <c r="E45" i="14"/>
  <c r="E42" i="14"/>
  <c r="D43" i="14"/>
  <c r="E44" i="14"/>
  <c r="D33" i="14"/>
  <c r="D39" i="14"/>
  <c r="E30" i="14"/>
  <c r="D45" i="14"/>
  <c r="E43" i="14"/>
  <c r="D44" i="14"/>
  <c r="D34" i="14"/>
  <c r="D36" i="14"/>
  <c r="D38" i="14"/>
  <c r="D40" i="14"/>
  <c r="D30" i="14"/>
  <c r="F36" i="14"/>
  <c r="E38" i="14"/>
  <c r="E39" i="14"/>
  <c r="E41" i="14"/>
  <c r="E37" i="14"/>
  <c r="F38" i="14"/>
  <c r="F41" i="14"/>
  <c r="F34" i="14"/>
  <c r="F39" i="14"/>
  <c r="F35" i="14"/>
  <c r="F40" i="14"/>
  <c r="F37" i="14"/>
  <c r="E36" i="14"/>
  <c r="E35" i="14"/>
  <c r="F30" i="14"/>
  <c r="D31" i="14"/>
  <c r="E34" i="14"/>
  <c r="D37" i="14"/>
  <c r="E40" i="14"/>
  <c r="F33" i="14"/>
  <c r="E33" i="14"/>
  <c r="F32" i="14"/>
  <c r="E31" i="14"/>
  <c r="E32" i="14"/>
  <c r="F31" i="14"/>
  <c r="G24" i="14"/>
  <c r="G23" i="14"/>
  <c r="G25" i="14"/>
  <c r="G10" i="14"/>
  <c r="G11" i="14"/>
  <c r="G12" i="14"/>
  <c r="G13" i="14"/>
  <c r="G14" i="14"/>
  <c r="G15" i="14"/>
  <c r="G16" i="14"/>
  <c r="G17" i="14"/>
  <c r="G18" i="14"/>
  <c r="G19" i="14"/>
  <c r="G21" i="14"/>
  <c r="G22" i="14"/>
  <c r="G20" i="14"/>
  <c r="E7" i="15"/>
  <c r="E8" i="15"/>
  <c r="E9" i="15"/>
  <c r="E10" i="15"/>
  <c r="E11" i="15"/>
  <c r="E12" i="15"/>
  <c r="E13" i="15"/>
  <c r="G5" i="15"/>
  <c r="G4" i="15"/>
  <c r="G6" i="15"/>
  <c r="G7" i="15"/>
  <c r="G8" i="15"/>
  <c r="G9" i="15"/>
  <c r="G10" i="15"/>
  <c r="G11" i="15"/>
  <c r="G12" i="15"/>
  <c r="G13" i="15"/>
  <c r="G3" i="15"/>
  <c r="B50" i="14"/>
  <c r="C114" i="14"/>
  <c r="J106" i="14"/>
  <c r="J108" i="14"/>
  <c r="G76" i="14" l="1"/>
  <c r="G75" i="14"/>
  <c r="G62" i="14"/>
  <c r="G63" i="14"/>
  <c r="G64" i="14"/>
  <c r="G65" i="14"/>
  <c r="G51" i="14"/>
  <c r="G53" i="14"/>
  <c r="G55" i="14"/>
  <c r="G57" i="14"/>
  <c r="G59" i="14"/>
  <c r="G60" i="14"/>
  <c r="G52" i="14"/>
  <c r="G54" i="14"/>
  <c r="G56" i="14"/>
  <c r="G58" i="14"/>
  <c r="G61" i="14"/>
  <c r="O76" i="14"/>
  <c r="O97" i="14"/>
  <c r="O75" i="14"/>
  <c r="O92" i="14"/>
  <c r="O93" i="14"/>
  <c r="O98" i="14"/>
  <c r="O101" i="14"/>
  <c r="O78" i="14"/>
  <c r="O80" i="14"/>
  <c r="O81" i="14"/>
  <c r="O90" i="14"/>
  <c r="O91" i="14"/>
  <c r="O94" i="14"/>
  <c r="O95" i="14"/>
  <c r="O96" i="14"/>
  <c r="O99" i="14"/>
  <c r="O100" i="14"/>
  <c r="G50" i="14"/>
  <c r="M13" i="16"/>
  <c r="F34" i="16"/>
  <c r="C6" i="16" s="1"/>
  <c r="J32" i="16"/>
  <c r="J30" i="16"/>
  <c r="F74" i="14"/>
  <c r="G74" i="14" s="1"/>
  <c r="G44" i="14"/>
  <c r="G42" i="14"/>
  <c r="G43" i="14"/>
  <c r="G45" i="14"/>
  <c r="G37" i="14"/>
  <c r="G31" i="14"/>
  <c r="G41" i="14"/>
  <c r="G40" i="14"/>
  <c r="G33" i="14"/>
  <c r="G30" i="14"/>
  <c r="G32" i="14"/>
  <c r="G38" i="14"/>
  <c r="G39" i="14"/>
  <c r="G35" i="14"/>
  <c r="G36" i="14"/>
  <c r="G34" i="14"/>
  <c r="G26" i="14"/>
  <c r="G13" i="16" s="1"/>
  <c r="I13" i="16" s="1"/>
  <c r="J13" i="16" s="1"/>
  <c r="G102" i="14" l="1"/>
  <c r="G66" i="14"/>
  <c r="G19" i="16" s="1"/>
  <c r="I19" i="16" s="1"/>
  <c r="G46" i="14"/>
  <c r="G16" i="16" s="1"/>
  <c r="I16" i="16" s="1"/>
  <c r="J16" i="16" s="1"/>
  <c r="J26" i="14"/>
  <c r="J27" i="14"/>
  <c r="I14" i="16" s="1"/>
  <c r="J19" i="16" l="1"/>
  <c r="J67" i="14"/>
  <c r="I20" i="16" s="1"/>
  <c r="J20" i="16" s="1"/>
  <c r="J66" i="14"/>
  <c r="J69" i="14"/>
  <c r="I22" i="16" s="1"/>
  <c r="J22" i="16" s="1"/>
  <c r="J70" i="14"/>
  <c r="I23" i="16" s="1"/>
  <c r="J23" i="16" s="1"/>
  <c r="J71" i="14"/>
  <c r="I24" i="16" s="1"/>
  <c r="J24" i="16" s="1"/>
  <c r="J68" i="14"/>
  <c r="I21" i="16" s="1"/>
  <c r="J21" i="16" s="1"/>
  <c r="G26" i="16"/>
  <c r="I26" i="16" s="1"/>
  <c r="J26" i="16" s="1"/>
  <c r="J102" i="14"/>
  <c r="J103" i="14"/>
  <c r="I27" i="16" s="1"/>
  <c r="J27" i="16" s="1"/>
  <c r="J104" i="14"/>
  <c r="I28" i="16" s="1"/>
  <c r="J28" i="16" s="1"/>
  <c r="J14" i="16"/>
  <c r="J47" i="14"/>
  <c r="I17" i="16" s="1"/>
  <c r="J46" i="14"/>
  <c r="E30" i="12"/>
  <c r="E29" i="12"/>
  <c r="B29" i="12"/>
  <c r="B15" i="12"/>
  <c r="B20" i="12" s="1"/>
  <c r="E15" i="12"/>
  <c r="I34" i="16" l="1"/>
  <c r="J17" i="16"/>
  <c r="J110" i="14"/>
  <c r="C112" i="14" s="1"/>
  <c r="E20" i="12"/>
  <c r="D30" i="12" s="1"/>
  <c r="C29" i="12" s="1"/>
  <c r="D15" i="12"/>
  <c r="J34" i="16" l="1"/>
  <c r="J6" i="16"/>
  <c r="C115" i="14"/>
  <c r="E114" i="14"/>
  <c r="E115" i="14" s="1"/>
  <c r="D20" i="12"/>
  <c r="G20" i="12" s="1"/>
  <c r="G21" i="12" s="1"/>
  <c r="D29" i="12"/>
  <c r="C30" i="12" s="1"/>
  <c r="F30" i="12" s="1"/>
  <c r="G30" i="12" s="1"/>
  <c r="G15" i="12"/>
  <c r="G16" i="12" s="1"/>
  <c r="J17" i="12" s="1"/>
  <c r="F29" i="12" l="1"/>
  <c r="G29" i="12" s="1"/>
  <c r="G31" i="12" s="1"/>
  <c r="J23" i="12"/>
  <c r="J26" i="12"/>
  <c r="J22" i="12"/>
  <c r="J25" i="12"/>
  <c r="J24" i="12"/>
  <c r="J21" i="12"/>
  <c r="J16" i="12"/>
  <c r="J32" i="12" l="1"/>
  <c r="J31" i="12"/>
  <c r="J33" i="12"/>
  <c r="G10" i="12"/>
  <c r="G11" i="12" s="1"/>
  <c r="J12" i="12" s="1"/>
  <c r="J11" i="12" l="1"/>
  <c r="C45" i="12" l="1"/>
  <c r="C46" i="12" l="1"/>
  <c r="C43" i="12" s="1"/>
  <c r="G37" i="12"/>
  <c r="J37" i="12" s="1"/>
  <c r="J39" i="12" s="1"/>
  <c r="C41" i="12" l="1"/>
  <c r="C44" i="12" s="1"/>
  <c r="E43" i="12" l="1"/>
  <c r="E44"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21" authorId="0" shapeId="0" xr:uid="{F9FB2097-7D50-4029-BCC1-76A1226422B5}">
      <text>
        <r>
          <rPr>
            <b/>
            <sz val="9"/>
            <color indexed="81"/>
            <rFont val="Tahoma"/>
            <family val="2"/>
          </rPr>
          <t>Author:</t>
        </r>
        <r>
          <rPr>
            <sz val="9"/>
            <color indexed="81"/>
            <rFont val="Tahoma"/>
          </rPr>
          <t xml:space="preserve">
soling stone end</t>
        </r>
      </text>
    </comment>
  </commentList>
</comments>
</file>

<file path=xl/sharedStrings.xml><?xml version="1.0" encoding="utf-8"?>
<sst xmlns="http://schemas.openxmlformats.org/spreadsheetml/2006/main" count="163" uniqueCount="70">
  <si>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</si>
  <si>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</si>
  <si>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</si>
  <si>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</si>
  <si>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</si>
  <si>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</si>
  <si>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</si>
  <si>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</si>
  <si>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</si>
  <si>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</si>
  <si>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</si>
  <si>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</si>
  <si>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</si>
  <si>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</si>
  <si>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</si>
  <si>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</si>
  <si>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Information board (सुचना पाटि)</t>
  </si>
  <si>
    <t>no.</t>
  </si>
  <si>
    <t>Total Estimated</t>
  </si>
  <si>
    <t>Total</t>
  </si>
  <si>
    <t>Budget allocated</t>
  </si>
  <si>
    <t>Municipal payment</t>
  </si>
  <si>
    <t xml:space="preserve">Contingencies </t>
  </si>
  <si>
    <t xml:space="preserve">Maintanince </t>
  </si>
  <si>
    <t>F.Y.: 2082/2083</t>
  </si>
  <si>
    <t>User contribution</t>
  </si>
  <si>
    <t>sub-total</t>
  </si>
  <si>
    <t>cum</t>
  </si>
  <si>
    <t>Location:- Shankharapur Municipality 1</t>
  </si>
  <si>
    <t>-13% VAT for sand</t>
  </si>
  <si>
    <t>-13% VAT for cement</t>
  </si>
  <si>
    <t>-13% VAT for aggregate</t>
  </si>
  <si>
    <t>-13% VAT for block stone</t>
  </si>
  <si>
    <t>Providing and laying of hand pack locally available Stone soling with 150 to 200 mm thick stones and packing with smaller stone on prepared surface as per Drawing and Technical Specifications.</t>
  </si>
  <si>
    <t>-13% VAT for water</t>
  </si>
  <si>
    <t>-13% VAT for formwork</t>
  </si>
  <si>
    <t>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t>
  </si>
  <si>
    <t>Providing and laying of Plain/Reinforced Cement Concrete in Foundation complete as per Drawing and Technical Specifications., RCC Grade M 20</t>
  </si>
  <si>
    <t xml:space="preserve">Providing and laying , fitting and placing HYSD bar reinforcement in sub-structure complete as per Drawing and Technical Specifications and instruction of site engineer  </t>
  </si>
  <si>
    <t>-for road</t>
  </si>
  <si>
    <t>Length (m)</t>
  </si>
  <si>
    <t>Unit weight (Kg/m)</t>
  </si>
  <si>
    <t>Total Weight (Kg)</t>
  </si>
  <si>
    <t>tonne</t>
  </si>
  <si>
    <t>-13% VAT for HYSD bar</t>
  </si>
  <si>
    <t>-13% VAT for binding wire</t>
  </si>
  <si>
    <t>-13% VAT for excavator</t>
  </si>
  <si>
    <t>Provisional sum for lab tests</t>
  </si>
  <si>
    <t>PS</t>
  </si>
  <si>
    <r>
      <t xml:space="preserve">Project:- </t>
    </r>
    <r>
      <rPr>
        <sz val="12"/>
        <rFont val="Preeti"/>
      </rPr>
      <t>nfFs'/Ljf]6 b]jL ;'df/f ;8s</t>
    </r>
  </si>
  <si>
    <t xml:space="preserve">Date:2082          </t>
  </si>
  <si>
    <t>Chainage</t>
  </si>
  <si>
    <t>Description</t>
  </si>
  <si>
    <t>Remarks</t>
  </si>
  <si>
    <t>include stone soling</t>
  </si>
  <si>
    <t>only RCC</t>
  </si>
  <si>
    <t>Work Completion Report</t>
  </si>
  <si>
    <t>Total Estimated Amount:</t>
  </si>
  <si>
    <t>Total Valuated Amount :</t>
  </si>
  <si>
    <t xml:space="preserve">Work Started : </t>
  </si>
  <si>
    <t xml:space="preserve">Work Finished:           </t>
  </si>
  <si>
    <t xml:space="preserve">F.Y:2082/2083            </t>
  </si>
  <si>
    <t>S.No.</t>
  </si>
  <si>
    <t>Estimated</t>
  </si>
  <si>
    <t>Valuated</t>
  </si>
  <si>
    <t>Difference</t>
  </si>
  <si>
    <t xml:space="preserve">Quantity </t>
  </si>
  <si>
    <r>
      <t>Project:-</t>
    </r>
    <r>
      <rPr>
        <sz val="12"/>
        <rFont val="Preeti"/>
      </rPr>
      <t xml:space="preserve"> </t>
    </r>
    <r>
      <rPr>
        <sz val="14"/>
        <rFont val="Preeti"/>
      </rPr>
      <t>nfFs'/Ljf]6 b]jL ;'df/f ;8s</t>
    </r>
  </si>
  <si>
    <t>Date:2083/02/18</t>
  </si>
  <si>
    <t xml:space="preserve">Date:2083/02/18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</si>
</sst>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0.000"/>
  </numFmts>
  <fonts count="25"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1"/>
      <color theme="6" tint="-0.499984740745262"/>
      <name val="Calibri"/>
      <family val="2"/>
      <scheme val="minor"/>
    </font>
    <font>
      <b/>
      <sz val="11"/>
      <color theme="1"/>
      <name val="Calibri"/>
      <family val="2"/>
      <scheme val="minor"/>
    </font>
    <font>
      <b/>
      <sz val="11"/>
      <color theme="1"/>
      <name val="Times New Roman"/>
      <family val="1"/>
    </font>
    <font>
      <b/>
      <sz val="20"/>
      <color theme="1"/>
      <name val="Times New Roman"/>
      <family val="1"/>
    </font>
    <font>
      <b/>
      <sz val="14"/>
      <color theme="1"/>
      <name val="Calibri"/>
      <family val="2"/>
      <scheme val="minor"/>
    </font>
    <font>
      <sz val="12"/>
      <color theme="1"/>
      <name val="Calibri"/>
      <family val="2"/>
      <scheme val="minor"/>
    </font>
    <font>
      <sz val="14"/>
      <color theme="1"/>
      <name val="Calibri"/>
      <family val="2"/>
      <scheme val="minor"/>
    </font>
    <font>
      <sz val="14"/>
      <name val="Preeti"/>
    </font>
    <font>
      <sz val="11"/>
      <color theme="1"/>
      <name val="Times New Roman"/>
      <family val="1"/>
    </font>
    <font>
      <sz val="12"/>
      <color theme="1"/>
      <name val="Times New Roman"/>
      <family val="1"/>
    </font>
    <font>
      <sz val="9"/>
      <color indexed="81"/>
      <name val="Tahoma"/>
    </font>
    <font>
      <b/>
      <sz val="9"/>
      <color indexed="81"/>
      <name val="Tahoma"/>
      <family val="2"/>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92">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4" fillId="0" borderId="0" xfId="0" applyFont="1"/>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quotePrefix="1" applyFont="1" applyBorder="1" applyAlignment="1">
      <alignment wrapText="1"/>
    </xf>
    <xf numFmtId="0" fontId="4" fillId="0" borderId="2" xfId="0" applyFont="1" applyBorder="1"/>
    <xf numFmtId="2" fontId="3" fillId="0" borderId="2" xfId="0" applyNumberFormat="1" applyFont="1" applyBorder="1"/>
    <xf numFmtId="2" fontId="4" fillId="0" borderId="2" xfId="0" applyNumberFormat="1" applyFont="1" applyBorder="1"/>
    <xf numFmtId="1" fontId="3" fillId="0" borderId="2" xfId="0" applyNumberFormat="1" applyFont="1" applyBorder="1" applyAlignment="1">
      <alignment vertical="center"/>
    </xf>
    <xf numFmtId="0" fontId="2" fillId="0" borderId="2" xfId="0" quotePrefix="1" applyFont="1" applyBorder="1" applyAlignment="1">
      <alignment horizontal="right" vertical="center"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6" fillId="0" borderId="2" xfId="0" applyNumberFormat="1" applyFont="1" applyBorder="1" applyAlignment="1">
      <alignment vertical="center"/>
    </xf>
    <xf numFmtId="2" fontId="3" fillId="0" borderId="2" xfId="0" applyNumberFormat="1" applyFont="1" applyBorder="1" applyAlignment="1">
      <alignment vertical="center"/>
    </xf>
    <xf numFmtId="0" fontId="4" fillId="0" borderId="0" xfId="0" applyFont="1" applyAlignment="1">
      <alignment vertical="center"/>
    </xf>
    <xf numFmtId="0" fontId="4" fillId="0" borderId="2" xfId="0" quotePrefix="1" applyFont="1" applyBorder="1" applyAlignment="1">
      <alignment horizontal="right"/>
    </xf>
    <xf numFmtId="0" fontId="4" fillId="0" borderId="2" xfId="0" applyFont="1" applyBorder="1" applyAlignment="1">
      <alignment wrapText="1"/>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2" xfId="0" quotePrefix="1" applyFont="1" applyBorder="1" applyAlignment="1">
      <alignment vertical="center" wrapText="1"/>
    </xf>
    <xf numFmtId="0" fontId="4" fillId="0" borderId="2" xfId="0" applyFont="1" applyBorder="1" applyAlignment="1">
      <alignment vertical="center" wrapText="1"/>
    </xf>
    <xf numFmtId="0" fontId="13" fillId="0" borderId="0" xfId="0" applyFont="1"/>
    <xf numFmtId="0" fontId="0" fillId="0" borderId="2" xfId="0" applyBorder="1"/>
    <xf numFmtId="0" fontId="13" fillId="0" borderId="2" xfId="0" applyFont="1" applyBorder="1"/>
    <xf numFmtId="165" fontId="0" fillId="0" borderId="2" xfId="0" applyNumberFormat="1" applyBorder="1"/>
    <xf numFmtId="2" fontId="13" fillId="0" borderId="2" xfId="0" applyNumberFormat="1" applyFont="1" applyBorder="1"/>
    <xf numFmtId="165" fontId="13" fillId="0" borderId="2" xfId="0" applyNumberFormat="1" applyFont="1" applyBorder="1"/>
    <xf numFmtId="2" fontId="0" fillId="0" borderId="2" xfId="0" applyNumberFormat="1" applyBorder="1"/>
    <xf numFmtId="2" fontId="4" fillId="0" borderId="0" xfId="0" applyNumberFormat="1" applyFont="1"/>
    <xf numFmtId="0" fontId="0" fillId="0" borderId="0" xfId="0" applyAlignment="1">
      <alignment vertical="center"/>
    </xf>
    <xf numFmtId="0" fontId="18" fillId="0" borderId="0" xfId="0" applyFont="1"/>
    <xf numFmtId="0" fontId="19" fillId="0" borderId="0" xfId="0" applyFont="1" applyAlignment="1">
      <alignment horizontal="center"/>
    </xf>
    <xf numFmtId="0" fontId="0" fillId="0" borderId="0" xfId="0" applyAlignment="1">
      <alignment horizontal="left"/>
    </xf>
    <xf numFmtId="0" fontId="0" fillId="2" borderId="2" xfId="0" applyFill="1" applyBorder="1"/>
    <xf numFmtId="1" fontId="15" fillId="0" borderId="2" xfId="0" applyNumberFormat="1" applyFont="1" applyBorder="1" applyAlignment="1">
      <alignment vertical="center"/>
    </xf>
    <xf numFmtId="2" fontId="0" fillId="0" borderId="2" xfId="0" applyNumberFormat="1" applyBorder="1" applyAlignment="1">
      <alignment vertical="center"/>
    </xf>
    <xf numFmtId="43" fontId="14" fillId="0" borderId="2" xfId="1" applyFont="1" applyBorder="1" applyAlignment="1">
      <alignment vertical="center"/>
    </xf>
    <xf numFmtId="0" fontId="0" fillId="0" borderId="2" xfId="0" applyBorder="1" applyAlignment="1">
      <alignment vertical="center" wrapText="1"/>
    </xf>
    <xf numFmtId="0" fontId="15" fillId="0" borderId="2" xfId="0" applyFont="1" applyBorder="1" applyAlignment="1">
      <alignment vertical="center"/>
    </xf>
    <xf numFmtId="0" fontId="21" fillId="0" borderId="2" xfId="0" applyFont="1" applyBorder="1" applyAlignment="1">
      <alignment vertical="center"/>
    </xf>
    <xf numFmtId="0" fontId="8" fillId="3" borderId="2" xfId="0" applyFont="1" applyFill="1" applyBorder="1" applyAlignment="1">
      <alignment vertical="center" wrapText="1"/>
    </xf>
    <xf numFmtId="1" fontId="22" fillId="0" borderId="2" xfId="0" applyNumberFormat="1" applyFont="1" applyBorder="1" applyAlignment="1">
      <alignment horizontal="right" vertical="center" wrapText="1"/>
    </xf>
    <xf numFmtId="1" fontId="21" fillId="0" borderId="2" xfId="0" applyNumberFormat="1" applyFont="1" applyBorder="1" applyAlignment="1">
      <alignment vertical="center" wrapText="1"/>
    </xf>
    <xf numFmtId="0" fontId="14" fillId="0" borderId="2" xfId="0" applyFont="1" applyBorder="1" applyAlignment="1">
      <alignment horizontal="right"/>
    </xf>
    <xf numFmtId="2" fontId="14" fillId="0" borderId="2" xfId="0" applyNumberFormat="1" applyFont="1" applyBorder="1"/>
    <xf numFmtId="43" fontId="14" fillId="0" borderId="2" xfId="1" applyFont="1" applyBorder="1"/>
    <xf numFmtId="1" fontId="8" fillId="3" borderId="2" xfId="0" applyNumberFormat="1"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Border="1" applyAlignment="1">
      <alignment horizontal="center" vertical="center"/>
    </xf>
    <xf numFmtId="0" fontId="0" fillId="2" borderId="2" xfId="0" applyFill="1" applyBorder="1" applyAlignment="1">
      <alignment horizontal="center" vertical="center" wrapText="1"/>
    </xf>
    <xf numFmtId="0" fontId="0" fillId="2" borderId="2" xfId="0" applyFill="1" applyBorder="1" applyAlignment="1">
      <alignment horizontal="center" vertical="center"/>
    </xf>
    <xf numFmtId="0" fontId="0" fillId="2" borderId="2" xfId="0" applyFill="1" applyBorder="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0" xfId="0" applyAlignment="1">
      <alignment horizontal="right"/>
    </xf>
    <xf numFmtId="0" fontId="0" fillId="0" borderId="0" xfId="0" applyAlignment="1">
      <alignment horizontal="left"/>
    </xf>
    <xf numFmtId="0" fontId="15" fillId="0" borderId="0" xfId="0" applyFont="1" applyAlignment="1">
      <alignment horizontal="center"/>
    </xf>
    <xf numFmtId="0" fontId="16" fillId="0" borderId="0" xfId="0" applyFont="1" applyAlignment="1">
      <alignment horizontal="center"/>
    </xf>
    <xf numFmtId="0" fontId="14" fillId="0" borderId="0" xfId="0" applyFont="1" applyAlignment="1">
      <alignment horizontal="center" vertical="center"/>
    </xf>
    <xf numFmtId="0" fontId="17" fillId="0" borderId="0" xfId="0" applyFont="1" applyAlignment="1">
      <alignment horizontal="center"/>
    </xf>
    <xf numFmtId="43" fontId="18" fillId="0" borderId="0" xfId="0" applyNumberFormat="1" applyFont="1" applyAlignment="1">
      <alignment horizontal="center"/>
    </xf>
    <xf numFmtId="0" fontId="18" fillId="0" borderId="0" xfId="0" applyFont="1" applyAlignment="1">
      <alignment horizont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sharedStrings" Target="sharedStrings.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081_082\ofc\ofc\For-all-Road-rate-analysis-81-82-shankharapur-as-per-dor-norm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81-082\ofc\For-all-Road-rate-analysis-81-82-shankharapur-as-per-dor-norm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082_083\ward1\rate%20analysis\For%20all%20Road-rate%20analysis%2082%2083%20shankharapur.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081-082\ofc\Rate%20analysis\For-all-Road-rate-analysis-81-82-shankharapur-as-per-dor-norms.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082_083\ward1\&#2348;&#2332;&#2375;&#2335;%20&#2350;&#2366;&#2327;%20estimate\&#2344;&#2327;&#2352;%20&#2348;&#2332;&#2375;&#2335;%20estimate\&#2340;&#2367;&#2344;&#2328;&#2352;&#2375;%20&#2348;&#2366;&#2335;&#2379;%20&#2360;&#2381;&#2340;&#2352;&#2379;&#2344;&#2381;&#2344;&#2340;&#2367;\valuation%20&#2340;&#2367;&#2344;&#2328;&#2352;&#2375;%20&#2348;&#2366;&#2335;&#2379;%20&#2360;&#2381;&#2340;&#2352;&#2379;&#2344;&#2381;&#2344;&#2340;&#236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60">
          <cell r="B60" t="str">
            <v>Providing and laying of hand pack Stone soling with 150 to 200 mm thick stones and packing with smaller stone on prepared surface as per Drawing and Technical Specifications.</v>
          </cell>
        </row>
        <row r="172">
          <cell r="B172" t="str">
            <v>Providing and laying of Plain/Reinforced Cement Concrete in Foundation complete as per Drawing and Technical Specifications., RCC Grade M 20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61">
          <cell r="B61" t="str">
            <v>Providing and laying  granular sub-base   on prepared surface, mixing  at OMC, and compacting  to achieve the desired density, complete as per Drawing and Technical Specifications., By Mechanical means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170">
          <cell r="B170" t="str">
            <v>Providing and laying of Plain/Reinforced Cement Concrete in Foundation complete as per Drawing and Technical Specifications, PCC Grade M 15, Manual Mixing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ow r="299">
          <cell r="B299" t="str">
            <v>Random Rubble Masonry, Providing and laying of Stone Masonry Work in Cement Mortar 1:4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valuation"/>
      <sheetName val="WCR"/>
      <sheetName val="m"/>
    </sheetNames>
    <sheetDataSet>
      <sheetData sheetId="0">
        <row r="6">
          <cell r="A6" t="str">
            <v>Project:-तिनघरे बाटो स्तरोन्नति</v>
          </cell>
        </row>
        <row r="7">
          <cell r="A7" t="str">
            <v>Location:- Shankharapur Municipality 1</v>
          </cell>
        </row>
      </sheetData>
      <sheetData sheetId="1">
        <row r="12">
          <cell r="G12">
            <v>63.93</v>
          </cell>
        </row>
      </sheetData>
      <sheetData sheetId="2"/>
      <sheetData sheetId="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6"/>
  <sheetViews>
    <sheetView view="pageBreakPreview" topLeftCell="A16" zoomScale="95" zoomScaleNormal="100" zoomScaleSheetLayoutView="95" workbookViewId="0">
      <selection activeCell="A6" sqref="A6:F6"/>
    </sheetView>
  </sheetViews>
  <sheetFormatPr defaultColWidth="9.140625" defaultRowHeight="15" x14ac:dyDescent="0.25"/>
  <cols>
    <col min="1" max="1" width="4.7109375" style="3" customWidth="1"/>
    <col min="2" max="2" width="30.85546875" style="3" customWidth="1"/>
    <col min="3" max="3" width="4.42578125" style="3" bestFit="1" customWidth="1"/>
    <col min="4" max="4" width="8.42578125" style="3" customWidth="1"/>
    <col min="5" max="5" width="8.5703125" style="3" customWidth="1"/>
    <col min="6" max="6" width="7.28515625" style="3" customWidth="1"/>
    <col min="7" max="7" width="9.140625" style="3"/>
    <col min="8" max="8" width="5" style="3" bestFit="1" customWidth="1"/>
    <col min="9" max="9" width="9.5703125" style="3" customWidth="1"/>
    <col min="10" max="10" width="10.7109375" style="3" bestFit="1" customWidth="1"/>
    <col min="11" max="16384" width="9.140625" style="3"/>
  </cols>
  <sheetData>
    <row r="1" spans="1:11" x14ac:dyDescent="0.25">
      <c r="A1" s="68" t="s">
        <v>0</v>
      </c>
      <c r="B1" s="68"/>
      <c r="C1" s="68"/>
      <c r="D1" s="68"/>
      <c r="E1" s="68"/>
      <c r="F1" s="68"/>
      <c r="G1" s="68"/>
      <c r="H1" s="68"/>
      <c r="I1" s="68"/>
      <c r="J1" s="68"/>
      <c r="K1" s="68"/>
    </row>
    <row r="2" spans="1:11" ht="22.5" x14ac:dyDescent="0.25">
      <c r="A2" s="69" t="s">
        <v>1</v>
      </c>
      <c r="B2" s="69"/>
      <c r="C2" s="69"/>
      <c r="D2" s="69"/>
      <c r="E2" s="69"/>
      <c r="F2" s="69"/>
      <c r="G2" s="69"/>
      <c r="H2" s="69"/>
      <c r="I2" s="69"/>
      <c r="J2" s="69"/>
      <c r="K2" s="69"/>
    </row>
    <row r="3" spans="1:11" x14ac:dyDescent="0.25">
      <c r="A3" s="70" t="s">
        <v>2</v>
      </c>
      <c r="B3" s="70"/>
      <c r="C3" s="70"/>
      <c r="D3" s="70"/>
      <c r="E3" s="70"/>
      <c r="F3" s="70"/>
      <c r="G3" s="70"/>
      <c r="H3" s="70"/>
      <c r="I3" s="70"/>
      <c r="J3" s="70"/>
      <c r="K3" s="70"/>
    </row>
    <row r="4" spans="1:11" x14ac:dyDescent="0.25">
      <c r="A4" s="70" t="s">
        <v>3</v>
      </c>
      <c r="B4" s="70"/>
      <c r="C4" s="70"/>
      <c r="D4" s="70"/>
      <c r="E4" s="70"/>
      <c r="F4" s="70"/>
      <c r="G4" s="70"/>
      <c r="H4" s="70"/>
      <c r="I4" s="70"/>
      <c r="J4" s="70"/>
      <c r="K4" s="70"/>
    </row>
    <row r="5" spans="1:11" ht="18.75" x14ac:dyDescent="0.3">
      <c r="A5" s="71" t="s">
        <v>4</v>
      </c>
      <c r="B5" s="71"/>
      <c r="C5" s="71"/>
      <c r="D5" s="71"/>
      <c r="E5" s="71"/>
      <c r="F5" s="71"/>
      <c r="G5" s="71"/>
      <c r="H5" s="71"/>
      <c r="I5" s="71"/>
      <c r="J5" s="71"/>
      <c r="K5" s="71"/>
    </row>
    <row r="6" spans="1:11" ht="15.75" x14ac:dyDescent="0.25">
      <c r="A6" s="66" t="s">
        <v>49</v>
      </c>
      <c r="B6" s="66"/>
      <c r="C6" s="66"/>
      <c r="D6" s="66"/>
      <c r="E6" s="66"/>
      <c r="F6" s="66"/>
      <c r="G6" s="4"/>
      <c r="H6" s="67" t="s">
        <v>24</v>
      </c>
      <c r="I6" s="67"/>
      <c r="J6" s="67"/>
      <c r="K6" s="67"/>
    </row>
    <row r="7" spans="1:11" ht="15.75" x14ac:dyDescent="0.25">
      <c r="A7" s="74" t="s">
        <v>28</v>
      </c>
      <c r="B7" s="74"/>
      <c r="C7" s="74"/>
      <c r="D7" s="74"/>
      <c r="E7" s="74"/>
      <c r="F7" s="74"/>
      <c r="G7" s="5"/>
      <c r="H7" s="75" t="s">
        <v>50</v>
      </c>
      <c r="I7" s="75"/>
      <c r="J7" s="75"/>
      <c r="K7" s="75"/>
    </row>
    <row r="8" spans="1:11" ht="15.75" x14ac:dyDescent="0.25">
      <c r="A8" s="6" t="s">
        <v>5</v>
      </c>
      <c r="B8" s="7" t="s">
        <v>6</v>
      </c>
      <c r="C8" s="6" t="s">
        <v>7</v>
      </c>
      <c r="D8" s="8" t="s">
        <v>8</v>
      </c>
      <c r="E8" s="8" t="s">
        <v>9</v>
      </c>
      <c r="F8" s="8" t="s">
        <v>10</v>
      </c>
      <c r="G8" s="8" t="s">
        <v>11</v>
      </c>
      <c r="H8" s="6" t="s">
        <v>12</v>
      </c>
      <c r="I8" s="8" t="s">
        <v>13</v>
      </c>
      <c r="J8" s="8" t="s">
        <v>14</v>
      </c>
      <c r="K8" s="9" t="s">
        <v>15</v>
      </c>
    </row>
    <row r="9" spans="1:11" s="21" customFormat="1" ht="150" x14ac:dyDescent="0.25">
      <c r="A9" s="10">
        <v>1</v>
      </c>
      <c r="B9" s="38" t="s">
        <v>36</v>
      </c>
      <c r="C9" s="32"/>
      <c r="D9" s="32"/>
      <c r="E9" s="32"/>
      <c r="F9" s="32"/>
      <c r="G9" s="32"/>
      <c r="H9" s="32"/>
      <c r="I9" s="32"/>
      <c r="J9" s="32"/>
      <c r="K9" s="32"/>
    </row>
    <row r="10" spans="1:11" x14ac:dyDescent="0.25">
      <c r="A10" s="10"/>
      <c r="B10" s="16" t="s">
        <v>39</v>
      </c>
      <c r="C10" s="12">
        <v>1</v>
      </c>
      <c r="D10" s="14">
        <v>56</v>
      </c>
      <c r="E10" s="14">
        <f>10/3.281</f>
        <v>3.047851264858275</v>
      </c>
      <c r="F10" s="12">
        <v>0.15</v>
      </c>
      <c r="G10" s="14">
        <f t="shared" ref="G10" si="0">PRODUCT(C10:F10)</f>
        <v>25.601950624809511</v>
      </c>
      <c r="H10" s="12"/>
      <c r="I10" s="12"/>
      <c r="J10" s="13"/>
      <c r="K10" s="12"/>
    </row>
    <row r="11" spans="1:11" s="21" customFormat="1" x14ac:dyDescent="0.25">
      <c r="A11" s="15"/>
      <c r="B11" s="16" t="s">
        <v>26</v>
      </c>
      <c r="C11" s="17"/>
      <c r="D11" s="1"/>
      <c r="E11" s="18"/>
      <c r="F11" s="18"/>
      <c r="G11" s="19">
        <f>SUM(G10:G10)</f>
        <v>25.601950624809511</v>
      </c>
      <c r="H11" s="20" t="s">
        <v>27</v>
      </c>
      <c r="I11" s="2">
        <v>62.95</v>
      </c>
      <c r="J11" s="19">
        <f>G11*I11</f>
        <v>1611.6427918317588</v>
      </c>
      <c r="K11" s="18"/>
    </row>
    <row r="12" spans="1:11" x14ac:dyDescent="0.25">
      <c r="A12" s="10"/>
      <c r="B12" s="22" t="s">
        <v>46</v>
      </c>
      <c r="C12" s="12"/>
      <c r="D12" s="12"/>
      <c r="E12" s="12"/>
      <c r="F12" s="12"/>
      <c r="G12" s="12"/>
      <c r="H12" s="12"/>
      <c r="I12" s="12"/>
      <c r="J12" s="13">
        <f>0.13*G11*18612/360</f>
        <v>172.07071014934473</v>
      </c>
      <c r="K12" s="12"/>
    </row>
    <row r="13" spans="1:11" x14ac:dyDescent="0.25">
      <c r="A13" s="10"/>
      <c r="B13" s="22"/>
      <c r="C13" s="12"/>
      <c r="D13" s="12"/>
      <c r="E13" s="12"/>
      <c r="F13" s="12"/>
      <c r="G13" s="12"/>
      <c r="H13" s="12"/>
      <c r="I13" s="12"/>
      <c r="J13" s="13"/>
      <c r="K13" s="12"/>
    </row>
    <row r="14" spans="1:11" ht="105" x14ac:dyDescent="0.25">
      <c r="A14" s="10">
        <v>2</v>
      </c>
      <c r="B14" s="11" t="s">
        <v>33</v>
      </c>
      <c r="C14" s="12"/>
      <c r="D14" s="12"/>
      <c r="E14" s="12"/>
      <c r="F14" s="12"/>
      <c r="G14" s="12"/>
      <c r="H14" s="12"/>
      <c r="I14" s="12"/>
      <c r="J14" s="12"/>
      <c r="K14" s="12"/>
    </row>
    <row r="15" spans="1:11" x14ac:dyDescent="0.25">
      <c r="A15" s="10"/>
      <c r="B15" s="16" t="str">
        <f>B10</f>
        <v>-for road</v>
      </c>
      <c r="C15" s="12">
        <v>1</v>
      </c>
      <c r="D15" s="14">
        <f>D10</f>
        <v>56</v>
      </c>
      <c r="E15" s="14">
        <f>E10</f>
        <v>3.047851264858275</v>
      </c>
      <c r="F15" s="12">
        <v>0.15</v>
      </c>
      <c r="G15" s="14">
        <f t="shared" ref="G15" si="1">PRODUCT(C15:F15)</f>
        <v>25.601950624809511</v>
      </c>
      <c r="H15" s="12"/>
      <c r="I15" s="12"/>
      <c r="J15" s="13"/>
      <c r="K15" s="12"/>
    </row>
    <row r="16" spans="1:11" s="21" customFormat="1" x14ac:dyDescent="0.25">
      <c r="A16" s="15"/>
      <c r="B16" s="16" t="s">
        <v>26</v>
      </c>
      <c r="C16" s="17"/>
      <c r="D16" s="1"/>
      <c r="E16" s="18"/>
      <c r="F16" s="18"/>
      <c r="G16" s="19">
        <f>SUM(G15:G15)</f>
        <v>25.601950624809511</v>
      </c>
      <c r="H16" s="20" t="s">
        <v>27</v>
      </c>
      <c r="I16" s="2">
        <v>4458.5200000000004</v>
      </c>
      <c r="J16" s="19">
        <f>G16*I16</f>
        <v>114146.80889972571</v>
      </c>
      <c r="K16" s="18"/>
    </row>
    <row r="17" spans="1:11" x14ac:dyDescent="0.25">
      <c r="A17" s="10"/>
      <c r="B17" s="22" t="s">
        <v>32</v>
      </c>
      <c r="C17" s="12"/>
      <c r="D17" s="12"/>
      <c r="E17" s="12"/>
      <c r="F17" s="12"/>
      <c r="G17" s="12"/>
      <c r="H17" s="12"/>
      <c r="I17" s="12"/>
      <c r="J17" s="13">
        <f>0.13*G16*14817.6/5</f>
        <v>9863.3460530326138</v>
      </c>
      <c r="K17" s="12"/>
    </row>
    <row r="18" spans="1:11" x14ac:dyDescent="0.25">
      <c r="A18" s="10"/>
      <c r="B18" s="11"/>
      <c r="C18" s="12"/>
      <c r="D18" s="12"/>
      <c r="E18" s="12"/>
      <c r="F18" s="12"/>
      <c r="G18" s="12"/>
      <c r="H18" s="12"/>
      <c r="I18" s="12"/>
      <c r="J18" s="12"/>
      <c r="K18" s="12"/>
    </row>
    <row r="19" spans="1:11" ht="74.25" customHeight="1" x14ac:dyDescent="0.25">
      <c r="A19" s="10">
        <v>3</v>
      </c>
      <c r="B19" s="11" t="s">
        <v>37</v>
      </c>
      <c r="C19" s="12"/>
      <c r="D19" s="23"/>
      <c r="E19" s="23"/>
      <c r="F19" s="23"/>
      <c r="G19" s="12"/>
      <c r="H19" s="12"/>
      <c r="I19" s="12"/>
      <c r="J19" s="13"/>
      <c r="K19" s="12"/>
    </row>
    <row r="20" spans="1:11" x14ac:dyDescent="0.25">
      <c r="A20" s="10"/>
      <c r="B20" s="16" t="str">
        <f>B15</f>
        <v>-for road</v>
      </c>
      <c r="C20" s="12">
        <v>1</v>
      </c>
      <c r="D20" s="14">
        <f>D15</f>
        <v>56</v>
      </c>
      <c r="E20" s="14">
        <f>E15</f>
        <v>3.047851264858275</v>
      </c>
      <c r="F20" s="12">
        <v>0.15</v>
      </c>
      <c r="G20" s="14">
        <f t="shared" ref="G20" si="2">PRODUCT(C20:F20)</f>
        <v>25.601950624809511</v>
      </c>
      <c r="H20" s="12"/>
      <c r="I20" s="12"/>
      <c r="J20" s="13"/>
      <c r="K20" s="12"/>
    </row>
    <row r="21" spans="1:11" s="21" customFormat="1" x14ac:dyDescent="0.25">
      <c r="A21" s="15"/>
      <c r="B21" s="16" t="s">
        <v>26</v>
      </c>
      <c r="C21" s="17"/>
      <c r="D21" s="1"/>
      <c r="E21" s="18"/>
      <c r="F21" s="18"/>
      <c r="G21" s="19">
        <f>SUM(G20:G20)</f>
        <v>25.601950624809511</v>
      </c>
      <c r="H21" s="20" t="s">
        <v>27</v>
      </c>
      <c r="I21" s="2">
        <v>12000.5</v>
      </c>
      <c r="J21" s="19">
        <f>G21*I21</f>
        <v>307236.20847302652</v>
      </c>
      <c r="K21" s="18"/>
    </row>
    <row r="22" spans="1:11" x14ac:dyDescent="0.25">
      <c r="A22" s="10"/>
      <c r="B22" s="22" t="s">
        <v>30</v>
      </c>
      <c r="C22" s="12"/>
      <c r="D22" s="12"/>
      <c r="E22" s="12"/>
      <c r="F22" s="12"/>
      <c r="G22" s="12"/>
      <c r="H22" s="12"/>
      <c r="I22" s="12"/>
      <c r="J22" s="13">
        <f>0.13*G21*67891.51/15</f>
        <v>15064.010752819264</v>
      </c>
      <c r="K22" s="12"/>
    </row>
    <row r="23" spans="1:11" x14ac:dyDescent="0.25">
      <c r="A23" s="10"/>
      <c r="B23" s="22" t="s">
        <v>29</v>
      </c>
      <c r="C23" s="12"/>
      <c r="D23" s="12"/>
      <c r="E23" s="12"/>
      <c r="F23" s="12"/>
      <c r="G23" s="12"/>
      <c r="H23" s="12"/>
      <c r="I23" s="12"/>
      <c r="J23" s="13">
        <f>0.13*G21*21432.6/15</f>
        <v>4755.5418469978658</v>
      </c>
      <c r="K23" s="12"/>
    </row>
    <row r="24" spans="1:11" x14ac:dyDescent="0.25">
      <c r="A24" s="10"/>
      <c r="B24" s="22" t="s">
        <v>31</v>
      </c>
      <c r="C24" s="12"/>
      <c r="D24" s="12"/>
      <c r="E24" s="12"/>
      <c r="F24" s="12"/>
      <c r="G24" s="12"/>
      <c r="H24" s="12"/>
      <c r="I24" s="12"/>
      <c r="J24" s="13">
        <f>0.13*G21*(27147.96+17146.08)/15</f>
        <v>9828.1198171289252</v>
      </c>
      <c r="K24" s="12"/>
    </row>
    <row r="25" spans="1:11" x14ac:dyDescent="0.25">
      <c r="A25" s="10"/>
      <c r="B25" s="22" t="s">
        <v>34</v>
      </c>
      <c r="C25" s="12"/>
      <c r="D25" s="12"/>
      <c r="E25" s="12"/>
      <c r="F25" s="12"/>
      <c r="G25" s="12"/>
      <c r="H25" s="12"/>
      <c r="I25" s="12"/>
      <c r="J25" s="13">
        <f>0.13*G21*775/15</f>
        <v>171.95976836330388</v>
      </c>
      <c r="K25" s="12"/>
    </row>
    <row r="26" spans="1:11" x14ac:dyDescent="0.25">
      <c r="A26" s="10"/>
      <c r="B26" s="22" t="s">
        <v>35</v>
      </c>
      <c r="C26" s="12"/>
      <c r="D26" s="12"/>
      <c r="E26" s="12"/>
      <c r="F26" s="12"/>
      <c r="G26" s="12"/>
      <c r="H26" s="12"/>
      <c r="I26" s="12"/>
      <c r="J26" s="13">
        <f>0.13*G21*6923.4/15</f>
        <v>1536.18872295032</v>
      </c>
      <c r="K26" s="12"/>
    </row>
    <row r="27" spans="1:11" x14ac:dyDescent="0.25">
      <c r="A27" s="10"/>
      <c r="B27" s="22"/>
      <c r="C27" s="12"/>
      <c r="D27" s="12"/>
      <c r="E27" s="12"/>
      <c r="F27" s="12"/>
      <c r="G27" s="12"/>
      <c r="H27" s="12"/>
      <c r="I27" s="12"/>
      <c r="J27" s="13"/>
      <c r="K27" s="12"/>
    </row>
    <row r="28" spans="1:11" s="21" customFormat="1" ht="90" x14ac:dyDescent="0.25">
      <c r="A28" s="10">
        <v>4</v>
      </c>
      <c r="B28" s="38" t="s">
        <v>38</v>
      </c>
      <c r="C28" s="32" t="s">
        <v>7</v>
      </c>
      <c r="D28" s="39" t="s">
        <v>40</v>
      </c>
      <c r="E28" s="39" t="s">
        <v>41</v>
      </c>
      <c r="F28" s="39" t="s">
        <v>42</v>
      </c>
      <c r="G28" s="32"/>
      <c r="H28" s="32"/>
      <c r="I28" s="32"/>
      <c r="J28" s="20"/>
      <c r="K28" s="32"/>
    </row>
    <row r="29" spans="1:11" x14ac:dyDescent="0.25">
      <c r="A29" s="10"/>
      <c r="B29" s="16" t="str">
        <f>B10</f>
        <v>-for road</v>
      </c>
      <c r="C29" s="12">
        <f>TRUNC(D30/0.15,0)+1</f>
        <v>20</v>
      </c>
      <c r="D29" s="14">
        <f>D15-0.1</f>
        <v>55.9</v>
      </c>
      <c r="E29" s="14">
        <f>10*10/162</f>
        <v>0.61728395061728392</v>
      </c>
      <c r="F29" s="12">
        <f>PRODUCT(C29:E29)</f>
        <v>690.12345679012344</v>
      </c>
      <c r="G29" s="14">
        <f>F29/1000</f>
        <v>0.69012345679012344</v>
      </c>
      <c r="H29" s="12"/>
      <c r="I29" s="12"/>
      <c r="J29" s="13"/>
      <c r="K29" s="12"/>
    </row>
    <row r="30" spans="1:11" x14ac:dyDescent="0.25">
      <c r="A30" s="10"/>
      <c r="B30" s="16"/>
      <c r="C30" s="12">
        <f>TRUNC(D29/0.15,0)+1</f>
        <v>373</v>
      </c>
      <c r="D30" s="14">
        <f>E20-0.1</f>
        <v>2.9478512648582749</v>
      </c>
      <c r="E30" s="14">
        <f>10*10/162</f>
        <v>0.61728395061728392</v>
      </c>
      <c r="F30" s="12">
        <f>PRODUCT(C30:E30)</f>
        <v>678.7336554272448</v>
      </c>
      <c r="G30" s="14">
        <f>F30/1000</f>
        <v>0.67873365542724484</v>
      </c>
      <c r="H30" s="12"/>
      <c r="I30" s="12"/>
      <c r="J30" s="13"/>
      <c r="K30" s="12"/>
    </row>
    <row r="31" spans="1:11" s="21" customFormat="1" x14ac:dyDescent="0.25">
      <c r="A31" s="15"/>
      <c r="B31" s="16" t="s">
        <v>26</v>
      </c>
      <c r="C31" s="17"/>
      <c r="D31" s="1"/>
      <c r="E31" s="18"/>
      <c r="F31" s="18"/>
      <c r="G31" s="19">
        <f>SUM(G29:G29)</f>
        <v>0.69012345679012344</v>
      </c>
      <c r="H31" s="20" t="s">
        <v>43</v>
      </c>
      <c r="I31" s="2">
        <v>124355</v>
      </c>
      <c r="J31" s="19">
        <f>G31*I31</f>
        <v>85820.3024691358</v>
      </c>
      <c r="K31" s="18"/>
    </row>
    <row r="32" spans="1:11" x14ac:dyDescent="0.25">
      <c r="A32" s="10"/>
      <c r="B32" s="22" t="s">
        <v>44</v>
      </c>
      <c r="C32" s="12"/>
      <c r="D32" s="12"/>
      <c r="E32" s="12"/>
      <c r="F32" s="12"/>
      <c r="G32" s="12"/>
      <c r="H32" s="12"/>
      <c r="I32" s="12"/>
      <c r="J32" s="13">
        <f>0.13*G31*110000</f>
        <v>9868.7654320987658</v>
      </c>
      <c r="K32" s="12"/>
    </row>
    <row r="33" spans="1:11" x14ac:dyDescent="0.25">
      <c r="A33" s="10"/>
      <c r="B33" s="22" t="s">
        <v>45</v>
      </c>
      <c r="C33" s="12"/>
      <c r="D33" s="12"/>
      <c r="E33" s="12"/>
      <c r="F33" s="12"/>
      <c r="G33" s="12"/>
      <c r="H33" s="12"/>
      <c r="I33" s="12"/>
      <c r="J33" s="13">
        <f>0.13*G31*960</f>
        <v>86.127407407407404</v>
      </c>
      <c r="K33" s="12"/>
    </row>
    <row r="34" spans="1:11" x14ac:dyDescent="0.25">
      <c r="A34" s="10"/>
      <c r="B34" s="22"/>
      <c r="C34" s="12"/>
      <c r="D34" s="12"/>
      <c r="E34" s="12"/>
      <c r="F34" s="12"/>
      <c r="G34" s="12"/>
      <c r="H34" s="12"/>
      <c r="I34" s="12"/>
      <c r="J34" s="13"/>
      <c r="K34" s="12"/>
    </row>
    <row r="35" spans="1:11" ht="15" customHeight="1" x14ac:dyDescent="0.25">
      <c r="A35" s="15">
        <v>5</v>
      </c>
      <c r="B35" s="24" t="s">
        <v>47</v>
      </c>
      <c r="C35" s="17">
        <v>1</v>
      </c>
      <c r="D35" s="1"/>
      <c r="E35" s="18"/>
      <c r="F35" s="18"/>
      <c r="G35" s="20">
        <f t="shared" ref="G35" si="3">PRODUCT(C35:F35)</f>
        <v>1</v>
      </c>
      <c r="H35" s="20" t="s">
        <v>48</v>
      </c>
      <c r="I35" s="2">
        <v>5000</v>
      </c>
      <c r="J35" s="20">
        <f>G35*I35</f>
        <v>5000</v>
      </c>
      <c r="K35" s="18"/>
    </row>
    <row r="36" spans="1:11" x14ac:dyDescent="0.25">
      <c r="A36" s="15"/>
      <c r="B36" s="25"/>
      <c r="C36" s="17"/>
      <c r="D36" s="1"/>
      <c r="E36" s="18"/>
      <c r="F36" s="18"/>
      <c r="G36" s="2"/>
      <c r="H36" s="20"/>
      <c r="I36" s="2"/>
      <c r="J36" s="13"/>
      <c r="K36" s="18"/>
    </row>
    <row r="37" spans="1:11" ht="15" customHeight="1" x14ac:dyDescent="0.25">
      <c r="A37" s="15">
        <v>6</v>
      </c>
      <c r="B37" s="24" t="s">
        <v>16</v>
      </c>
      <c r="C37" s="17">
        <v>1</v>
      </c>
      <c r="D37" s="1"/>
      <c r="E37" s="18"/>
      <c r="F37" s="18"/>
      <c r="G37" s="20">
        <f t="shared" ref="G37" si="4">PRODUCT(C37:F37)</f>
        <v>1</v>
      </c>
      <c r="H37" s="20" t="s">
        <v>17</v>
      </c>
      <c r="I37" s="2">
        <v>500</v>
      </c>
      <c r="J37" s="20">
        <f>G37*I37</f>
        <v>500</v>
      </c>
      <c r="K37" s="18"/>
    </row>
    <row r="38" spans="1:11" x14ac:dyDescent="0.25">
      <c r="A38" s="15"/>
      <c r="B38" s="25"/>
      <c r="C38" s="17"/>
      <c r="D38" s="1"/>
      <c r="E38" s="18"/>
      <c r="F38" s="18"/>
      <c r="G38" s="2"/>
      <c r="H38" s="20"/>
      <c r="I38" s="2"/>
      <c r="J38" s="13"/>
      <c r="K38" s="18"/>
    </row>
    <row r="39" spans="1:11" x14ac:dyDescent="0.25">
      <c r="A39" s="26"/>
      <c r="B39" s="27" t="s">
        <v>19</v>
      </c>
      <c r="C39" s="28"/>
      <c r="D39" s="29"/>
      <c r="E39" s="29"/>
      <c r="F39" s="29"/>
      <c r="G39" s="13"/>
      <c r="H39" s="13"/>
      <c r="I39" s="13"/>
      <c r="J39" s="13">
        <f>SUM(J9:J37)</f>
        <v>565661.09314466768</v>
      </c>
      <c r="K39" s="30"/>
    </row>
    <row r="41" spans="1:11" s="21" customFormat="1" x14ac:dyDescent="0.25">
      <c r="A41" s="31"/>
      <c r="B41" s="32" t="s">
        <v>18</v>
      </c>
      <c r="C41" s="72">
        <f>J39</f>
        <v>565661.09314466768</v>
      </c>
      <c r="D41" s="73"/>
      <c r="E41" s="33">
        <v>100</v>
      </c>
      <c r="F41" s="31"/>
      <c r="G41" s="34"/>
      <c r="H41" s="31"/>
      <c r="I41" s="35"/>
      <c r="J41" s="36"/>
      <c r="K41" s="37"/>
    </row>
    <row r="42" spans="1:11" x14ac:dyDescent="0.25">
      <c r="B42" s="32" t="s">
        <v>20</v>
      </c>
      <c r="C42" s="76">
        <v>500000</v>
      </c>
      <c r="D42" s="77"/>
      <c r="E42" s="33"/>
    </row>
    <row r="43" spans="1:11" x14ac:dyDescent="0.25">
      <c r="B43" s="32" t="s">
        <v>21</v>
      </c>
      <c r="C43" s="76">
        <f>C42-C45-C46</f>
        <v>475000</v>
      </c>
      <c r="D43" s="77"/>
      <c r="E43" s="33">
        <f>C43/C41*100</f>
        <v>83.972542173502262</v>
      </c>
    </row>
    <row r="44" spans="1:11" x14ac:dyDescent="0.25">
      <c r="B44" s="32" t="s">
        <v>25</v>
      </c>
      <c r="C44" s="78">
        <f>C41-C43</f>
        <v>90661.093144667684</v>
      </c>
      <c r="D44" s="78"/>
      <c r="E44" s="33">
        <f>100-E43</f>
        <v>16.027457826497738</v>
      </c>
    </row>
    <row r="45" spans="1:11" x14ac:dyDescent="0.25">
      <c r="B45" s="32" t="s">
        <v>22</v>
      </c>
      <c r="C45" s="72">
        <f>C42*0.03</f>
        <v>15000</v>
      </c>
      <c r="D45" s="73"/>
      <c r="E45" s="33">
        <v>3</v>
      </c>
    </row>
    <row r="46" spans="1:11" x14ac:dyDescent="0.25">
      <c r="B46" s="32" t="s">
        <v>23</v>
      </c>
      <c r="C46" s="72">
        <f>C42*0.02</f>
        <v>10000</v>
      </c>
      <c r="D46" s="73"/>
      <c r="E46" s="33">
        <v>2</v>
      </c>
    </row>
  </sheetData>
  <mergeCells count="15">
    <mergeCell ref="A6:F6"/>
    <mergeCell ref="H6:K6"/>
    <mergeCell ref="A1:K1"/>
    <mergeCell ref="A2:K2"/>
    <mergeCell ref="A3:K3"/>
    <mergeCell ref="A4:K4"/>
    <mergeCell ref="A5:K5"/>
    <mergeCell ref="C45:D45"/>
    <mergeCell ref="C46:D46"/>
    <mergeCell ref="A7:F7"/>
    <mergeCell ref="H7:K7"/>
    <mergeCell ref="C41:D41"/>
    <mergeCell ref="C42:D42"/>
    <mergeCell ref="C43:D43"/>
    <mergeCell ref="C44:D44"/>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rowBreaks count="1" manualBreakCount="1">
    <brk id="36" max="1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DF8C9-3E66-4974-8F80-3FB08C7F71A6}">
  <dimension ref="A1:M34"/>
  <sheetViews>
    <sheetView view="pageBreakPreview" topLeftCell="A23" zoomScaleNormal="100" zoomScaleSheetLayoutView="100" workbookViewId="0">
      <selection activeCell="H33" sqref="H33"/>
    </sheetView>
  </sheetViews>
  <sheetFormatPr defaultRowHeight="15" x14ac:dyDescent="0.25"/>
  <cols>
    <col min="1" max="1" width="6.28515625" customWidth="1"/>
    <col min="2" max="2" width="39.28515625" customWidth="1"/>
    <col min="3" max="3" width="8.85546875" customWidth="1"/>
    <col min="4" max="4" width="9.28515625" bestFit="1" customWidth="1"/>
    <col min="5" max="5" width="11.5703125" bestFit="1" customWidth="1"/>
    <col min="6" max="6" width="12.28515625" bestFit="1" customWidth="1"/>
    <col min="7" max="7" width="9.5703125" bestFit="1" customWidth="1"/>
    <col min="8" max="8" width="11.140625" bestFit="1" customWidth="1"/>
    <col min="9" max="9" width="11.85546875" bestFit="1" customWidth="1"/>
    <col min="10" max="10" width="12.28515625" bestFit="1" customWidth="1"/>
    <col min="11" max="11" width="11" customWidth="1"/>
    <col min="13" max="13" width="9.5703125" bestFit="1" customWidth="1"/>
  </cols>
  <sheetData>
    <row r="1" spans="1:13" x14ac:dyDescent="0.25">
      <c r="A1" s="86" t="s">
        <v>0</v>
      </c>
      <c r="B1" s="86"/>
      <c r="C1" s="86"/>
      <c r="D1" s="86"/>
      <c r="E1" s="86"/>
      <c r="F1" s="86"/>
      <c r="G1" s="86"/>
      <c r="H1" s="86"/>
      <c r="I1" s="86"/>
      <c r="J1" s="86"/>
      <c r="K1" s="86"/>
    </row>
    <row r="2" spans="1:13" ht="25.5" x14ac:dyDescent="0.35">
      <c r="A2" s="87" t="s">
        <v>1</v>
      </c>
      <c r="B2" s="87"/>
      <c r="C2" s="87"/>
      <c r="D2" s="87"/>
      <c r="E2" s="87"/>
      <c r="F2" s="87"/>
      <c r="G2" s="87"/>
      <c r="H2" s="87"/>
      <c r="I2" s="87"/>
      <c r="J2" s="87"/>
      <c r="K2" s="87"/>
    </row>
    <row r="3" spans="1:13" s="48" customFormat="1" x14ac:dyDescent="0.25">
      <c r="A3" s="88" t="s">
        <v>2</v>
      </c>
      <c r="B3" s="88"/>
      <c r="C3" s="88"/>
      <c r="D3" s="88"/>
      <c r="E3" s="88"/>
      <c r="F3" s="88"/>
      <c r="G3" s="88"/>
      <c r="H3" s="88"/>
      <c r="I3" s="88"/>
      <c r="J3" s="88"/>
      <c r="K3" s="88"/>
    </row>
    <row r="4" spans="1:13" s="48" customFormat="1" x14ac:dyDescent="0.25">
      <c r="A4" s="88" t="s">
        <v>3</v>
      </c>
      <c r="B4" s="88"/>
      <c r="C4" s="88"/>
      <c r="D4" s="88"/>
      <c r="E4" s="88"/>
      <c r="F4" s="88"/>
      <c r="G4" s="88"/>
      <c r="H4" s="88"/>
      <c r="I4" s="88"/>
      <c r="J4" s="88"/>
      <c r="K4" s="88"/>
    </row>
    <row r="5" spans="1:13" ht="18.75" x14ac:dyDescent="0.3">
      <c r="A5" s="89" t="s">
        <v>56</v>
      </c>
      <c r="B5" s="89"/>
      <c r="C5" s="89"/>
      <c r="D5" s="89"/>
      <c r="E5" s="89"/>
      <c r="F5" s="89"/>
      <c r="G5" s="89"/>
      <c r="H5" s="89"/>
      <c r="I5" s="89"/>
      <c r="J5" s="89"/>
      <c r="K5" s="89"/>
    </row>
    <row r="6" spans="1:13" ht="18.75" x14ac:dyDescent="0.3">
      <c r="A6" s="49" t="s">
        <v>57</v>
      </c>
      <c r="B6" s="49"/>
      <c r="C6" s="90">
        <f>F34</f>
        <v>565661.09314466768</v>
      </c>
      <c r="D6" s="91"/>
      <c r="E6" s="50"/>
      <c r="F6" s="49"/>
      <c r="G6" s="49"/>
      <c r="H6" s="49" t="s">
        <v>58</v>
      </c>
      <c r="I6" s="49"/>
      <c r="J6" s="90">
        <f>I34</f>
        <v>563256.49796061974</v>
      </c>
      <c r="K6" s="91"/>
    </row>
    <row r="7" spans="1:13" x14ac:dyDescent="0.25">
      <c r="A7" s="51" t="s">
        <v>59</v>
      </c>
      <c r="B7" s="51"/>
      <c r="C7" s="51"/>
      <c r="D7" s="51"/>
      <c r="F7" s="82"/>
      <c r="G7" s="82"/>
      <c r="I7" s="83" t="s">
        <v>60</v>
      </c>
      <c r="J7" s="83"/>
      <c r="K7" s="83"/>
    </row>
    <row r="8" spans="1:13" ht="18" x14ac:dyDescent="0.25">
      <c r="A8" s="66" t="s">
        <v>67</v>
      </c>
      <c r="B8" s="66"/>
      <c r="C8" s="66"/>
      <c r="D8" s="66"/>
      <c r="E8" s="66"/>
      <c r="F8" s="66"/>
      <c r="I8" s="84" t="s">
        <v>61</v>
      </c>
      <c r="J8" s="84"/>
      <c r="K8" s="84"/>
    </row>
    <row r="9" spans="1:13" x14ac:dyDescent="0.25">
      <c r="A9" s="85" t="str">
        <f>[8]estimate!A7</f>
        <v>Location:- Shankharapur Municipality 1</v>
      </c>
      <c r="B9" s="85"/>
      <c r="C9" s="85"/>
      <c r="D9" s="85"/>
      <c r="E9" s="85"/>
      <c r="F9" s="85"/>
      <c r="I9" s="84" t="s">
        <v>69</v>
      </c>
      <c r="J9" s="84"/>
      <c r="K9" s="84"/>
    </row>
    <row r="11" spans="1:13" x14ac:dyDescent="0.25">
      <c r="A11" s="80" t="s">
        <v>62</v>
      </c>
      <c r="B11" s="80" t="s">
        <v>52</v>
      </c>
      <c r="C11" s="80" t="s">
        <v>12</v>
      </c>
      <c r="D11" s="81" t="s">
        <v>63</v>
      </c>
      <c r="E11" s="81"/>
      <c r="F11" s="81"/>
      <c r="G11" s="81" t="s">
        <v>64</v>
      </c>
      <c r="H11" s="81"/>
      <c r="I11" s="81"/>
      <c r="J11" s="80" t="s">
        <v>65</v>
      </c>
      <c r="K11" s="79" t="s">
        <v>53</v>
      </c>
    </row>
    <row r="12" spans="1:13" x14ac:dyDescent="0.25">
      <c r="A12" s="80"/>
      <c r="B12" s="80"/>
      <c r="C12" s="80"/>
      <c r="D12" s="52" t="s">
        <v>66</v>
      </c>
      <c r="E12" s="52" t="s">
        <v>13</v>
      </c>
      <c r="F12" s="52" t="s">
        <v>14</v>
      </c>
      <c r="G12" s="52" t="s">
        <v>66</v>
      </c>
      <c r="H12" s="52" t="s">
        <v>13</v>
      </c>
      <c r="I12" s="52" t="s">
        <v>14</v>
      </c>
      <c r="J12" s="80"/>
      <c r="K12" s="79"/>
    </row>
    <row r="13" spans="1:13" s="48" customFormat="1" ht="135" x14ac:dyDescent="0.25">
      <c r="A13" s="53">
        <f>estimate!A9</f>
        <v>1</v>
      </c>
      <c r="B13" s="11" t="str">
        <f>estimate!B9</f>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
      <c r="C13" s="54" t="str">
        <f>estimate!H11</f>
        <v>cum</v>
      </c>
      <c r="D13" s="54">
        <f>estimate!G11</f>
        <v>25.601950624809511</v>
      </c>
      <c r="E13" s="54">
        <f>estimate!I11</f>
        <v>62.95</v>
      </c>
      <c r="F13" s="54">
        <f>D13*E13</f>
        <v>1611.6427918317588</v>
      </c>
      <c r="G13" s="54">
        <f>V!G26</f>
        <v>27.265642159770337</v>
      </c>
      <c r="H13" s="54">
        <f>V!I26</f>
        <v>62.95</v>
      </c>
      <c r="I13" s="54">
        <f>G13*H13</f>
        <v>1716.3721739575428</v>
      </c>
      <c r="J13" s="55">
        <f>I13-F13</f>
        <v>104.72938212578401</v>
      </c>
      <c r="K13" s="56"/>
      <c r="M13" s="48">
        <f>1.25*F13</f>
        <v>2014.5534897896985</v>
      </c>
    </row>
    <row r="14" spans="1:13" s="48" customFormat="1" ht="15.75" x14ac:dyDescent="0.25">
      <c r="A14" s="53"/>
      <c r="B14" s="60" t="str">
        <f>estimate!B12</f>
        <v>-13% VAT for excavator</v>
      </c>
      <c r="C14" s="54"/>
      <c r="D14" s="54"/>
      <c r="E14" s="54"/>
      <c r="F14" s="54">
        <f>estimate!J12</f>
        <v>172.07071014934473</v>
      </c>
      <c r="G14" s="54"/>
      <c r="H14" s="54"/>
      <c r="I14" s="54">
        <f>V!J27</f>
        <v>183.25238095581648</v>
      </c>
      <c r="J14" s="55">
        <f>I14-F14</f>
        <v>11.181670806471743</v>
      </c>
      <c r="K14" s="56"/>
      <c r="M14" s="48">
        <f t="shared" ref="M14" si="0">1.25*F14</f>
        <v>215.0883876866809</v>
      </c>
    </row>
    <row r="15" spans="1:13" s="48" customFormat="1" x14ac:dyDescent="0.25">
      <c r="A15" s="57"/>
      <c r="B15" s="58"/>
      <c r="C15" s="54"/>
      <c r="D15" s="54"/>
      <c r="E15" s="54"/>
      <c r="F15" s="54"/>
      <c r="G15" s="54"/>
      <c r="H15" s="54"/>
      <c r="I15" s="54"/>
      <c r="J15" s="55"/>
      <c r="K15" s="56"/>
    </row>
    <row r="16" spans="1:13" s="48" customFormat="1" ht="78.75" x14ac:dyDescent="0.25">
      <c r="A16" s="53">
        <f>estimate!A14</f>
        <v>2</v>
      </c>
      <c r="B16" s="59" t="str">
        <f>estimate!B14</f>
        <v>Providing and laying of hand pack locally available Stone soling with 150 to 200 mm thick stones and packing with smaller stone on prepared surface as per Drawing and Technical Specifications.</v>
      </c>
      <c r="C16" s="54" t="str">
        <f>estimate!H16</f>
        <v>cum</v>
      </c>
      <c r="D16" s="54">
        <f>estimate!G16</f>
        <v>25.601950624809511</v>
      </c>
      <c r="E16" s="54">
        <f>estimate!I16</f>
        <v>4458.5200000000004</v>
      </c>
      <c r="F16" s="54">
        <f>D16*E16</f>
        <v>114146.80889972571</v>
      </c>
      <c r="G16" s="54">
        <f>V!G46</f>
        <v>19.640222480358585</v>
      </c>
      <c r="H16" s="54">
        <f>V!I46</f>
        <v>4458.5200000000004</v>
      </c>
      <c r="I16" s="54">
        <f>G16*H16</f>
        <v>87566.324733128364</v>
      </c>
      <c r="J16" s="55">
        <f>I16-F16</f>
        <v>-26580.484166597351</v>
      </c>
      <c r="K16" s="56"/>
      <c r="M16" s="48">
        <f t="shared" ref="M16:M30" si="1">1.25*F16</f>
        <v>142683.51112465715</v>
      </c>
    </row>
    <row r="17" spans="1:13" s="48" customFormat="1" ht="15.75" x14ac:dyDescent="0.25">
      <c r="A17" s="53"/>
      <c r="B17" s="60" t="str">
        <f>estimate!B17</f>
        <v>-13% VAT for block stone</v>
      </c>
      <c r="C17" s="54"/>
      <c r="D17" s="54"/>
      <c r="E17" s="54"/>
      <c r="F17" s="54">
        <f>estimate!J17</f>
        <v>9863.3460530326138</v>
      </c>
      <c r="G17" s="54"/>
      <c r="H17" s="54"/>
      <c r="I17" s="54">
        <f>V!J47</f>
        <v>7566.544976248997</v>
      </c>
      <c r="J17" s="55">
        <f>I17-F17</f>
        <v>-2296.8010767836167</v>
      </c>
      <c r="K17" s="56"/>
      <c r="M17" s="48">
        <f t="shared" ref="M17" si="2">1.25*F17</f>
        <v>12329.182566290767</v>
      </c>
    </row>
    <row r="18" spans="1:13" s="48" customFormat="1" ht="15.75" x14ac:dyDescent="0.25">
      <c r="A18" s="53"/>
      <c r="B18" s="59"/>
      <c r="C18" s="54"/>
      <c r="D18" s="54"/>
      <c r="E18" s="54"/>
      <c r="F18" s="54"/>
      <c r="G18" s="54"/>
      <c r="H18" s="54"/>
      <c r="I18" s="54"/>
      <c r="J18" s="55"/>
      <c r="K18" s="56"/>
    </row>
    <row r="19" spans="1:13" s="48" customFormat="1" ht="31.5" x14ac:dyDescent="0.25">
      <c r="A19" s="53">
        <f>estimate!A19</f>
        <v>3</v>
      </c>
      <c r="B19" s="59" t="str">
        <f>estimate!B19</f>
        <v>Providing and laying of Plain/Reinforced Cement Concrete in Foundation complete as per Drawing and Technical Specifications., RCC Grade M 20</v>
      </c>
      <c r="C19" s="54" t="str">
        <f>estimate!H21</f>
        <v>cum</v>
      </c>
      <c r="D19" s="54">
        <f>estimate!G21</f>
        <v>25.601950624809511</v>
      </c>
      <c r="E19" s="54">
        <f>estimate!I21</f>
        <v>12000.5</v>
      </c>
      <c r="F19" s="54">
        <f>D19*E19</f>
        <v>307236.20847302652</v>
      </c>
      <c r="G19" s="54">
        <f>V!G66</f>
        <v>27.265642159770337</v>
      </c>
      <c r="H19" s="54">
        <f>V!I66</f>
        <v>12000.5</v>
      </c>
      <c r="I19" s="54">
        <f>G19*H19</f>
        <v>327201.33873832395</v>
      </c>
      <c r="J19" s="55">
        <f>I19-F19</f>
        <v>19965.130265297426</v>
      </c>
      <c r="K19" s="56"/>
      <c r="M19" s="48">
        <f t="shared" si="1"/>
        <v>384045.26059128315</v>
      </c>
    </row>
    <row r="20" spans="1:13" s="48" customFormat="1" ht="15.75" x14ac:dyDescent="0.25">
      <c r="A20" s="53"/>
      <c r="B20" s="60" t="str">
        <f>estimate!B22</f>
        <v>-13% VAT for cement</v>
      </c>
      <c r="C20" s="54"/>
      <c r="D20" s="54"/>
      <c r="E20" s="54"/>
      <c r="F20" s="54">
        <f>estimate!J22</f>
        <v>15064.010752819264</v>
      </c>
      <c r="G20" s="54"/>
      <c r="H20" s="54"/>
      <c r="I20" s="54">
        <f>V!J67</f>
        <v>16042.915350336069</v>
      </c>
      <c r="J20" s="55">
        <f>I20-F20</f>
        <v>978.90459751680464</v>
      </c>
      <c r="K20" s="56"/>
      <c r="M20" s="48">
        <f t="shared" si="1"/>
        <v>18830.013441024079</v>
      </c>
    </row>
    <row r="21" spans="1:13" s="48" customFormat="1" ht="15.75" x14ac:dyDescent="0.25">
      <c r="A21" s="53"/>
      <c r="B21" s="60" t="str">
        <f>estimate!B23</f>
        <v>-13% VAT for sand</v>
      </c>
      <c r="C21" s="54"/>
      <c r="D21" s="54"/>
      <c r="E21" s="54"/>
      <c r="F21" s="54">
        <f>estimate!J23</f>
        <v>4755.5418469978658</v>
      </c>
      <c r="G21" s="54"/>
      <c r="H21" s="54"/>
      <c r="I21" s="54">
        <f>V!J68</f>
        <v>5064.5712186636119</v>
      </c>
      <c r="J21" s="55">
        <f t="shared" ref="J21:J24" si="3">I21-F21</f>
        <v>309.02937166574611</v>
      </c>
      <c r="K21" s="56"/>
    </row>
    <row r="22" spans="1:13" s="48" customFormat="1" ht="15.75" x14ac:dyDescent="0.25">
      <c r="A22" s="53"/>
      <c r="B22" s="60" t="str">
        <f>estimate!B24</f>
        <v>-13% VAT for aggregate</v>
      </c>
      <c r="C22" s="54"/>
      <c r="D22" s="54"/>
      <c r="E22" s="54"/>
      <c r="F22" s="54">
        <f>estimate!J24</f>
        <v>9828.1198171289252</v>
      </c>
      <c r="G22" s="54"/>
      <c r="H22" s="54"/>
      <c r="I22" s="54">
        <f>V!J69</f>
        <v>10466.780518571466</v>
      </c>
      <c r="J22" s="55">
        <f t="shared" si="3"/>
        <v>638.66070144254081</v>
      </c>
      <c r="K22" s="56"/>
    </row>
    <row r="23" spans="1:13" s="48" customFormat="1" ht="15.75" x14ac:dyDescent="0.25">
      <c r="A23" s="53"/>
      <c r="B23" s="60" t="str">
        <f>estimate!B25</f>
        <v>-13% VAT for water</v>
      </c>
      <c r="C23" s="54"/>
      <c r="D23" s="54"/>
      <c r="E23" s="54"/>
      <c r="F23" s="54">
        <f>estimate!J25</f>
        <v>171.95976836330388</v>
      </c>
      <c r="G23" s="54"/>
      <c r="H23" s="54"/>
      <c r="I23" s="54">
        <f>V!J70</f>
        <v>183.13422983979078</v>
      </c>
      <c r="J23" s="55">
        <f t="shared" si="3"/>
        <v>11.174461476486897</v>
      </c>
      <c r="K23" s="56"/>
    </row>
    <row r="24" spans="1:13" s="48" customFormat="1" ht="15.75" x14ac:dyDescent="0.25">
      <c r="A24" s="53"/>
      <c r="B24" s="60" t="str">
        <f>estimate!B26</f>
        <v>-13% VAT for formwork</v>
      </c>
      <c r="C24" s="54"/>
      <c r="D24" s="54"/>
      <c r="E24" s="54"/>
      <c r="F24" s="54">
        <f>estimate!J26</f>
        <v>1536.18872295032</v>
      </c>
      <c r="G24" s="54"/>
      <c r="H24" s="54"/>
      <c r="I24" s="54">
        <f>V!J71</f>
        <v>1636.0148733842677</v>
      </c>
      <c r="J24" s="55">
        <f t="shared" si="3"/>
        <v>99.82615043394776</v>
      </c>
      <c r="K24" s="56"/>
    </row>
    <row r="25" spans="1:13" s="48" customFormat="1" x14ac:dyDescent="0.25">
      <c r="A25" s="57"/>
      <c r="B25" s="58"/>
      <c r="C25" s="54"/>
      <c r="D25" s="54"/>
      <c r="E25" s="54"/>
      <c r="F25" s="54"/>
      <c r="G25" s="54"/>
      <c r="H25" s="54"/>
      <c r="I25" s="54"/>
      <c r="J25" s="55"/>
      <c r="K25" s="56"/>
    </row>
    <row r="26" spans="1:13" s="48" customFormat="1" ht="78.75" x14ac:dyDescent="0.25">
      <c r="A26" s="53">
        <f>estimate!A28</f>
        <v>4</v>
      </c>
      <c r="B26" s="59" t="str">
        <f>estimate!B28</f>
        <v xml:space="preserve">Providing and laying , fitting and placing HYSD bar reinforcement in sub-structure complete as per Drawing and Technical Specifications and instruction of site engineer  </v>
      </c>
      <c r="C26" s="54" t="str">
        <f>estimate!H31</f>
        <v>tonne</v>
      </c>
      <c r="D26" s="54">
        <f>estimate!G31</f>
        <v>0.69012345679012344</v>
      </c>
      <c r="E26" s="54">
        <f>estimate!I31</f>
        <v>124355</v>
      </c>
      <c r="F26" s="54">
        <f>D26*E26</f>
        <v>85820.3024691358</v>
      </c>
      <c r="G26" s="54">
        <f>V!G102</f>
        <v>0.7214972839506173</v>
      </c>
      <c r="H26" s="54">
        <f>V!I102</f>
        <v>124355</v>
      </c>
      <c r="I26" s="54">
        <f>G26*H26</f>
        <v>89721.794745679013</v>
      </c>
      <c r="J26" s="55">
        <f>I26-F26</f>
        <v>3901.4922765432129</v>
      </c>
      <c r="K26" s="56"/>
      <c r="M26" s="48">
        <f t="shared" si="1"/>
        <v>107275.37808641975</v>
      </c>
    </row>
    <row r="27" spans="1:13" s="48" customFormat="1" ht="15.75" x14ac:dyDescent="0.25">
      <c r="A27" s="53"/>
      <c r="B27" s="60" t="str">
        <f>estimate!B32</f>
        <v>-13% VAT for HYSD bar</v>
      </c>
      <c r="C27" s="54"/>
      <c r="D27" s="54"/>
      <c r="E27" s="54"/>
      <c r="F27" s="54">
        <f>estimate!J32</f>
        <v>9868.7654320987658</v>
      </c>
      <c r="G27" s="54"/>
      <c r="H27" s="54"/>
      <c r="I27" s="54">
        <f>V!J103</f>
        <v>10317.411160493828</v>
      </c>
      <c r="J27" s="55">
        <f>I27-F27</f>
        <v>448.64572839506218</v>
      </c>
      <c r="K27" s="56"/>
      <c r="M27" s="48">
        <f t="shared" si="1"/>
        <v>12335.956790123457</v>
      </c>
    </row>
    <row r="28" spans="1:13" s="48" customFormat="1" ht="15.75" x14ac:dyDescent="0.25">
      <c r="A28" s="53"/>
      <c r="B28" s="60" t="str">
        <f>estimate!B33</f>
        <v>-13% VAT for binding wire</v>
      </c>
      <c r="C28" s="54"/>
      <c r="D28" s="54"/>
      <c r="E28" s="54"/>
      <c r="F28" s="54">
        <f>estimate!J33</f>
        <v>86.127407407407404</v>
      </c>
      <c r="G28" s="54"/>
      <c r="H28" s="54"/>
      <c r="I28" s="54">
        <f>V!J104</f>
        <v>90.042861037037042</v>
      </c>
      <c r="J28" s="55">
        <f>I28-F28</f>
        <v>3.9154536296296385</v>
      </c>
      <c r="K28" s="56"/>
    </row>
    <row r="29" spans="1:13" s="48" customFormat="1" x14ac:dyDescent="0.25">
      <c r="A29" s="57"/>
      <c r="B29" s="58"/>
      <c r="C29" s="54"/>
      <c r="D29" s="54"/>
      <c r="E29" s="54"/>
      <c r="F29" s="54"/>
      <c r="G29" s="54"/>
      <c r="H29" s="54"/>
      <c r="I29" s="54"/>
      <c r="J29" s="55"/>
      <c r="K29" s="56"/>
    </row>
    <row r="30" spans="1:13" s="48" customFormat="1" ht="15.75" x14ac:dyDescent="0.25">
      <c r="A30" s="53">
        <f>estimate!A35</f>
        <v>5</v>
      </c>
      <c r="B30" s="65" t="str">
        <f>estimate!B35</f>
        <v>Provisional sum for lab tests</v>
      </c>
      <c r="C30" s="54" t="str">
        <f>estimate!H35</f>
        <v>PS</v>
      </c>
      <c r="D30" s="54">
        <f>estimate!G35</f>
        <v>1</v>
      </c>
      <c r="E30" s="54">
        <f>estimate!I35</f>
        <v>5000</v>
      </c>
      <c r="F30" s="54">
        <f>D30*E30</f>
        <v>5000</v>
      </c>
      <c r="G30" s="54">
        <f>V!G106</f>
        <v>1</v>
      </c>
      <c r="H30" s="54">
        <f>V!I106</f>
        <v>5000</v>
      </c>
      <c r="I30" s="54">
        <f>G30*H30</f>
        <v>5000</v>
      </c>
      <c r="J30" s="55">
        <f>I30-F30</f>
        <v>0</v>
      </c>
      <c r="K30" s="56"/>
      <c r="M30" s="48">
        <f t="shared" si="1"/>
        <v>6250</v>
      </c>
    </row>
    <row r="31" spans="1:13" s="48" customFormat="1" x14ac:dyDescent="0.25">
      <c r="A31" s="57"/>
      <c r="B31" s="58"/>
      <c r="C31" s="54"/>
      <c r="D31" s="54"/>
      <c r="E31" s="54"/>
      <c r="F31" s="54"/>
      <c r="G31" s="54"/>
      <c r="H31" s="54"/>
      <c r="I31" s="54"/>
      <c r="J31" s="55"/>
      <c r="K31" s="56"/>
    </row>
    <row r="32" spans="1:13" s="48" customFormat="1" x14ac:dyDescent="0.25">
      <c r="A32" s="53">
        <f>estimate!A37</f>
        <v>6</v>
      </c>
      <c r="B32" s="61" t="str">
        <f>estimate!B37</f>
        <v>Information board (सुचना पाटि)</v>
      </c>
      <c r="C32" s="54" t="str">
        <f>estimate!H37</f>
        <v>no.</v>
      </c>
      <c r="D32" s="54">
        <f>estimate!G37</f>
        <v>1</v>
      </c>
      <c r="E32" s="54">
        <f>estimate!I37</f>
        <v>500</v>
      </c>
      <c r="F32" s="54">
        <f>D32*E32</f>
        <v>500</v>
      </c>
      <c r="G32" s="54">
        <f>V!G108</f>
        <v>1</v>
      </c>
      <c r="H32" s="54">
        <f>V!I108</f>
        <v>500</v>
      </c>
      <c r="I32" s="54">
        <f>G32*H32</f>
        <v>500</v>
      </c>
      <c r="J32" s="55">
        <f>I32-F32</f>
        <v>0</v>
      </c>
      <c r="K32" s="56"/>
    </row>
    <row r="33" spans="1:11" s="48" customFormat="1" x14ac:dyDescent="0.25">
      <c r="A33" s="58"/>
      <c r="B33" s="58"/>
      <c r="C33" s="54"/>
      <c r="D33" s="54"/>
      <c r="E33" s="54"/>
      <c r="F33" s="54"/>
      <c r="G33" s="54"/>
      <c r="H33" s="54"/>
      <c r="I33" s="54"/>
      <c r="J33" s="55"/>
      <c r="K33" s="56"/>
    </row>
    <row r="34" spans="1:11" x14ac:dyDescent="0.25">
      <c r="A34" s="41"/>
      <c r="B34" s="62" t="s">
        <v>19</v>
      </c>
      <c r="C34" s="62"/>
      <c r="D34" s="63"/>
      <c r="E34" s="63"/>
      <c r="F34" s="63">
        <f>SUM(F13:F32)</f>
        <v>565661.09314466768</v>
      </c>
      <c r="G34" s="63"/>
      <c r="H34" s="63"/>
      <c r="I34" s="63">
        <f>SUM(I13:I32)</f>
        <v>563256.49796061974</v>
      </c>
      <c r="J34" s="64">
        <f>I34-F34</f>
        <v>-2404.5951840479393</v>
      </c>
      <c r="K34" s="41"/>
    </row>
  </sheetData>
  <mergeCells count="20">
    <mergeCell ref="C6:D6"/>
    <mergeCell ref="J6:K6"/>
    <mergeCell ref="A1:K1"/>
    <mergeCell ref="A2:K2"/>
    <mergeCell ref="A3:K3"/>
    <mergeCell ref="A4:K4"/>
    <mergeCell ref="A5:K5"/>
    <mergeCell ref="F7:G7"/>
    <mergeCell ref="I7:K7"/>
    <mergeCell ref="A8:F8"/>
    <mergeCell ref="I8:K8"/>
    <mergeCell ref="A9:F9"/>
    <mergeCell ref="I9:K9"/>
    <mergeCell ref="K11:K12"/>
    <mergeCell ref="A11:A12"/>
    <mergeCell ref="B11:B12"/>
    <mergeCell ref="C11:C12"/>
    <mergeCell ref="D11:F11"/>
    <mergeCell ref="G11:I11"/>
    <mergeCell ref="J11:J12"/>
  </mergeCells>
  <printOptions horizontalCentered="1"/>
  <pageMargins left="0.7" right="0.7" top="0.75" bottom="0.75" header="0.3" footer="0.3"/>
  <pageSetup scale="85" orientation="landscape" horizontalDpi="300" verticalDpi="300" r:id="rId1"/>
  <headerFooter>
    <oddFooter xml:space="preserve">&amp;LPrepared By:
&amp;CChecked By:
&amp;RApproved By: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29D35-9056-4106-AB6F-B9EE00C2369D}">
  <dimension ref="A1:P117"/>
  <sheetViews>
    <sheetView tabSelected="1" view="pageBreakPreview" topLeftCell="A81" zoomScale="95" zoomScaleNormal="100" zoomScaleSheetLayoutView="95" workbookViewId="0">
      <selection activeCell="C46" sqref="C46"/>
    </sheetView>
  </sheetViews>
  <sheetFormatPr defaultColWidth="9.140625" defaultRowHeight="15" x14ac:dyDescent="0.25"/>
  <cols>
    <col min="1" max="1" width="4.7109375" style="3" customWidth="1"/>
    <col min="2" max="2" width="30.85546875" style="3" customWidth="1"/>
    <col min="3" max="3" width="4.42578125" style="3" bestFit="1" customWidth="1"/>
    <col min="4" max="4" width="8.42578125" style="3" customWidth="1"/>
    <col min="5" max="5" width="8.5703125" style="3" customWidth="1"/>
    <col min="6" max="6" width="7.28515625" style="3" customWidth="1"/>
    <col min="7" max="7" width="9.140625" style="3"/>
    <col min="8" max="8" width="5" style="3" bestFit="1" customWidth="1"/>
    <col min="9" max="9" width="9.5703125" style="3" customWidth="1"/>
    <col min="10" max="10" width="10.7109375" style="3" bestFit="1" customWidth="1"/>
    <col min="11" max="16384" width="9.140625" style="3"/>
  </cols>
  <sheetData>
    <row r="1" spans="1:11" x14ac:dyDescent="0.25">
      <c r="A1" s="68" t="s">
        <v>0</v>
      </c>
      <c r="B1" s="68"/>
      <c r="C1" s="68"/>
      <c r="D1" s="68"/>
      <c r="E1" s="68"/>
      <c r="F1" s="68"/>
      <c r="G1" s="68"/>
      <c r="H1" s="68"/>
      <c r="I1" s="68"/>
      <c r="J1" s="68"/>
      <c r="K1" s="68"/>
    </row>
    <row r="2" spans="1:11" ht="22.5" x14ac:dyDescent="0.25">
      <c r="A2" s="69" t="s">
        <v>1</v>
      </c>
      <c r="B2" s="69"/>
      <c r="C2" s="69"/>
      <c r="D2" s="69"/>
      <c r="E2" s="69"/>
      <c r="F2" s="69"/>
      <c r="G2" s="69"/>
      <c r="H2" s="69"/>
      <c r="I2" s="69"/>
      <c r="J2" s="69"/>
      <c r="K2" s="69"/>
    </row>
    <row r="3" spans="1:11" x14ac:dyDescent="0.25">
      <c r="A3" s="70" t="s">
        <v>2</v>
      </c>
      <c r="B3" s="70"/>
      <c r="C3" s="70"/>
      <c r="D3" s="70"/>
      <c r="E3" s="70"/>
      <c r="F3" s="70"/>
      <c r="G3" s="70"/>
      <c r="H3" s="70"/>
      <c r="I3" s="70"/>
      <c r="J3" s="70"/>
      <c r="K3" s="70"/>
    </row>
    <row r="4" spans="1:11" x14ac:dyDescent="0.25">
      <c r="A4" s="70" t="s">
        <v>3</v>
      </c>
      <c r="B4" s="70"/>
      <c r="C4" s="70"/>
      <c r="D4" s="70"/>
      <c r="E4" s="70"/>
      <c r="F4" s="70"/>
      <c r="G4" s="70"/>
      <c r="H4" s="70"/>
      <c r="I4" s="70"/>
      <c r="J4" s="70"/>
      <c r="K4" s="70"/>
    </row>
    <row r="5" spans="1:11" ht="18.75" x14ac:dyDescent="0.3">
      <c r="A5" s="71" t="s">
        <v>4</v>
      </c>
      <c r="B5" s="71"/>
      <c r="C5" s="71"/>
      <c r="D5" s="71"/>
      <c r="E5" s="71"/>
      <c r="F5" s="71"/>
      <c r="G5" s="71"/>
      <c r="H5" s="71"/>
      <c r="I5" s="71"/>
      <c r="J5" s="71"/>
      <c r="K5" s="71"/>
    </row>
    <row r="6" spans="1:11" ht="15.75" x14ac:dyDescent="0.25">
      <c r="A6" s="66" t="s">
        <v>49</v>
      </c>
      <c r="B6" s="66"/>
      <c r="C6" s="66"/>
      <c r="D6" s="66"/>
      <c r="E6" s="66"/>
      <c r="F6" s="66"/>
      <c r="G6" s="4"/>
      <c r="H6" s="67" t="s">
        <v>24</v>
      </c>
      <c r="I6" s="67"/>
      <c r="J6" s="67"/>
      <c r="K6" s="67"/>
    </row>
    <row r="7" spans="1:11" ht="15.75" x14ac:dyDescent="0.25">
      <c r="A7" s="74" t="s">
        <v>28</v>
      </c>
      <c r="B7" s="74"/>
      <c r="C7" s="74"/>
      <c r="D7" s="74"/>
      <c r="E7" s="74"/>
      <c r="F7" s="74"/>
      <c r="G7" s="5"/>
      <c r="H7" s="75" t="s">
        <v>68</v>
      </c>
      <c r="I7" s="75"/>
      <c r="J7" s="75"/>
      <c r="K7" s="75"/>
    </row>
    <row r="8" spans="1:11" ht="15.75" x14ac:dyDescent="0.25">
      <c r="A8" s="6" t="s">
        <v>5</v>
      </c>
      <c r="B8" s="7" t="s">
        <v>6</v>
      </c>
      <c r="C8" s="6" t="s">
        <v>7</v>
      </c>
      <c r="D8" s="8" t="s">
        <v>8</v>
      </c>
      <c r="E8" s="8" t="s">
        <v>9</v>
      </c>
      <c r="F8" s="8" t="s">
        <v>10</v>
      </c>
      <c r="G8" s="8" t="s">
        <v>11</v>
      </c>
      <c r="H8" s="6" t="s">
        <v>12</v>
      </c>
      <c r="I8" s="8" t="s">
        <v>13</v>
      </c>
      <c r="J8" s="8" t="s">
        <v>14</v>
      </c>
      <c r="K8" s="9" t="s">
        <v>15</v>
      </c>
    </row>
    <row r="9" spans="1:11" s="21" customFormat="1" ht="150" x14ac:dyDescent="0.25">
      <c r="A9" s="10">
        <v>1</v>
      </c>
      <c r="B9" s="38" t="s">
        <v>36</v>
      </c>
      <c r="C9" s="32"/>
      <c r="D9" s="32"/>
      <c r="E9" s="32"/>
      <c r="F9" s="32"/>
      <c r="G9" s="32"/>
      <c r="H9" s="32"/>
      <c r="I9" s="32"/>
      <c r="J9" s="32"/>
      <c r="K9" s="32"/>
    </row>
    <row r="10" spans="1:11" x14ac:dyDescent="0.25">
      <c r="A10" s="10"/>
      <c r="B10" s="16" t="s">
        <v>39</v>
      </c>
      <c r="C10" s="12">
        <v>1</v>
      </c>
      <c r="D10" s="14">
        <f>'chainage measurement'!C3</f>
        <v>5</v>
      </c>
      <c r="E10" s="14">
        <f>'chainage measurement'!E3</f>
        <v>3.3907345321548306</v>
      </c>
      <c r="F10" s="14">
        <f>'chainage measurement'!G3-0.15</f>
        <v>0.12699380270242813</v>
      </c>
      <c r="G10" s="14">
        <f t="shared" ref="G10:G25" si="0">PRODUCT(C10:F10)</f>
        <v>2.1530113609639026</v>
      </c>
      <c r="H10" s="12"/>
      <c r="I10" s="12"/>
      <c r="J10" s="13"/>
      <c r="K10" s="12"/>
    </row>
    <row r="11" spans="1:11" x14ac:dyDescent="0.25">
      <c r="A11" s="10"/>
      <c r="B11" s="16"/>
      <c r="C11" s="12">
        <v>1</v>
      </c>
      <c r="D11" s="14">
        <f>'chainage measurement'!C4</f>
        <v>5</v>
      </c>
      <c r="E11" s="14">
        <f>'chainage measurement'!E4</f>
        <v>3.3145382505333738</v>
      </c>
      <c r="F11" s="14">
        <f>'chainage measurement'!G4-0.15</f>
        <v>0.12699380270242813</v>
      </c>
      <c r="G11" s="14">
        <f t="shared" si="0"/>
        <v>2.1046290831894328</v>
      </c>
      <c r="H11" s="12"/>
      <c r="I11" s="12"/>
      <c r="J11" s="13"/>
      <c r="K11" s="12"/>
    </row>
    <row r="12" spans="1:11" x14ac:dyDescent="0.25">
      <c r="A12" s="10"/>
      <c r="B12" s="16"/>
      <c r="C12" s="12">
        <v>1</v>
      </c>
      <c r="D12" s="14">
        <f>'chainage measurement'!C5</f>
        <v>5</v>
      </c>
      <c r="E12" s="14">
        <f>'chainage measurement'!E5</f>
        <v>3.0219445291069795</v>
      </c>
      <c r="F12" s="14">
        <f>'chainage measurement'!G5-0.15</f>
        <v>0.10398760540485627</v>
      </c>
      <c r="G12" s="14">
        <f t="shared" si="0"/>
        <v>1.571223876240704</v>
      </c>
      <c r="H12" s="12"/>
      <c r="I12" s="12"/>
      <c r="J12" s="13"/>
      <c r="K12" s="12"/>
    </row>
    <row r="13" spans="1:11" x14ac:dyDescent="0.25">
      <c r="A13" s="10"/>
      <c r="B13" s="16"/>
      <c r="C13" s="12">
        <v>1</v>
      </c>
      <c r="D13" s="14">
        <f>'chainage measurement'!C6</f>
        <v>5</v>
      </c>
      <c r="E13" s="14">
        <f>'chainage measurement'!E6</f>
        <v>2.9838463882962509</v>
      </c>
      <c r="F13" s="14">
        <f>'chainage measurement'!G6-0.15</f>
        <v>0.11033729553997765</v>
      </c>
      <c r="G13" s="14">
        <f t="shared" si="0"/>
        <v>1.6461477039566916</v>
      </c>
      <c r="H13" s="12"/>
      <c r="I13" s="12"/>
      <c r="J13" s="13"/>
      <c r="K13" s="12"/>
    </row>
    <row r="14" spans="1:11" x14ac:dyDescent="0.25">
      <c r="A14" s="10"/>
      <c r="B14" s="16"/>
      <c r="C14" s="12">
        <v>1</v>
      </c>
      <c r="D14" s="14">
        <f>'chainage measurement'!C7</f>
        <v>5</v>
      </c>
      <c r="E14" s="14">
        <f>'chainage measurement'!E7</f>
        <v>3.1621456872904599</v>
      </c>
      <c r="F14" s="14">
        <f>'chainage measurement'!G7-0.15</f>
        <v>0.11668698567509903</v>
      </c>
      <c r="G14" s="14">
        <f t="shared" si="0"/>
        <v>1.8449062425771903</v>
      </c>
      <c r="H14" s="12"/>
      <c r="I14" s="12"/>
      <c r="J14" s="13"/>
      <c r="K14" s="12"/>
    </row>
    <row r="15" spans="1:11" x14ac:dyDescent="0.25">
      <c r="A15" s="10"/>
      <c r="B15" s="16"/>
      <c r="C15" s="12">
        <v>1</v>
      </c>
      <c r="D15" s="14">
        <f>'chainage measurement'!C8</f>
        <v>5</v>
      </c>
      <c r="E15" s="14">
        <f>'chainage measurement'!E8</f>
        <v>3.0859494056690031</v>
      </c>
      <c r="F15" s="14">
        <f>'chainage measurement'!G8-0.15</f>
        <v>0.11668698567509903</v>
      </c>
      <c r="G15" s="14">
        <f t="shared" si="0"/>
        <v>1.8004506704668966</v>
      </c>
      <c r="H15" s="12"/>
      <c r="I15" s="12"/>
      <c r="J15" s="13"/>
      <c r="K15" s="12"/>
    </row>
    <row r="16" spans="1:11" x14ac:dyDescent="0.25">
      <c r="A16" s="10"/>
      <c r="B16" s="16"/>
      <c r="C16" s="12">
        <v>1</v>
      </c>
      <c r="D16" s="14">
        <f>'chainage measurement'!C9</f>
        <v>5</v>
      </c>
      <c r="E16" s="14">
        <f>'chainage measurement'!E9</f>
        <v>3.1366961292288935</v>
      </c>
      <c r="F16" s="14">
        <f>'chainage measurement'!G9-0.15</f>
        <v>0.11033729553997765</v>
      </c>
      <c r="G16" s="14">
        <f t="shared" si="0"/>
        <v>1.7304728391491617</v>
      </c>
      <c r="H16" s="12"/>
      <c r="I16" s="12"/>
      <c r="J16" s="13"/>
      <c r="K16" s="12"/>
    </row>
    <row r="17" spans="1:11" x14ac:dyDescent="0.25">
      <c r="A17" s="10"/>
      <c r="B17" s="16"/>
      <c r="C17" s="12">
        <v>1</v>
      </c>
      <c r="D17" s="14">
        <f>'chainage measurement'!C10</f>
        <v>5</v>
      </c>
      <c r="E17" s="14">
        <f>'chainage measurement'!E10</f>
        <v>3.1366961292288935</v>
      </c>
      <c r="F17" s="14">
        <f>'chainage measurement'!G10-0.15</f>
        <v>0.10398760540485627</v>
      </c>
      <c r="G17" s="14">
        <f t="shared" si="0"/>
        <v>1.6308875968059711</v>
      </c>
      <c r="H17" s="12"/>
      <c r="I17" s="12"/>
      <c r="J17" s="13"/>
      <c r="K17" s="12"/>
    </row>
    <row r="18" spans="1:11" x14ac:dyDescent="0.25">
      <c r="A18" s="10"/>
      <c r="B18" s="16"/>
      <c r="C18" s="12">
        <v>1</v>
      </c>
      <c r="D18" s="14">
        <f>'chainage measurement'!C11</f>
        <v>5</v>
      </c>
      <c r="E18" s="14">
        <f>'chainage measurement'!E11</f>
        <v>3.1240475464797317</v>
      </c>
      <c r="F18" s="14">
        <f>'chainage measurement'!G11-0.15</f>
        <v>0.10398760540485627</v>
      </c>
      <c r="G18" s="14">
        <f t="shared" si="0"/>
        <v>1.6243111176467186</v>
      </c>
      <c r="H18" s="12"/>
      <c r="I18" s="12"/>
      <c r="J18" s="13"/>
      <c r="K18" s="12"/>
    </row>
    <row r="19" spans="1:11" x14ac:dyDescent="0.25">
      <c r="A19" s="10"/>
      <c r="B19" s="16"/>
      <c r="C19" s="12">
        <v>1</v>
      </c>
      <c r="D19" s="14">
        <f>'chainage measurement'!C12</f>
        <v>5</v>
      </c>
      <c r="E19" s="14">
        <f>'chainage measurement'!E12</f>
        <v>3.2002438281011885</v>
      </c>
      <c r="F19" s="14">
        <f>'chainage measurement'!G12-0.15</f>
        <v>0.10398760540485627</v>
      </c>
      <c r="G19" s="14">
        <f t="shared" si="0"/>
        <v>1.6639284619795653</v>
      </c>
      <c r="H19" s="12"/>
      <c r="I19" s="12"/>
      <c r="J19" s="13"/>
      <c r="K19" s="12"/>
    </row>
    <row r="20" spans="1:11" x14ac:dyDescent="0.25">
      <c r="A20" s="10"/>
      <c r="B20" s="16"/>
      <c r="C20" s="12">
        <v>1</v>
      </c>
      <c r="D20" s="14">
        <f>'chainage measurement'!C13</f>
        <v>5</v>
      </c>
      <c r="E20" s="14">
        <f>'chainage measurement'!E13</f>
        <v>3.1240475464797317</v>
      </c>
      <c r="F20" s="14">
        <f>'chainage measurement'!G13-0.15</f>
        <v>7.8588844864370622E-2</v>
      </c>
      <c r="G20" s="14">
        <f t="shared" si="0"/>
        <v>1.2275764398960665</v>
      </c>
      <c r="H20" s="12"/>
      <c r="I20" s="12"/>
      <c r="J20" s="13"/>
      <c r="K20" s="12"/>
    </row>
    <row r="21" spans="1:11" x14ac:dyDescent="0.25">
      <c r="A21" s="10"/>
      <c r="B21" s="16"/>
      <c r="C21" s="12">
        <v>1</v>
      </c>
      <c r="D21" s="14">
        <f>'chainage measurement'!C14</f>
        <v>3.047851264858275</v>
      </c>
      <c r="E21" s="14">
        <f>'chainage measurement'!E14</f>
        <v>3.2002438281011885</v>
      </c>
      <c r="F21" s="14">
        <f>'chainage measurement'!G14-0.15</f>
        <v>6.5889464594127783E-2</v>
      </c>
      <c r="G21" s="14">
        <f t="shared" si="0"/>
        <v>0.64267708748628227</v>
      </c>
      <c r="H21" s="12"/>
      <c r="I21" s="12"/>
      <c r="J21" s="13"/>
      <c r="K21" s="12"/>
    </row>
    <row r="22" spans="1:11" x14ac:dyDescent="0.25">
      <c r="A22" s="10"/>
      <c r="B22" s="16"/>
      <c r="C22" s="12">
        <v>1</v>
      </c>
      <c r="D22" s="14">
        <f>'chainage measurement'!C15</f>
        <v>6</v>
      </c>
      <c r="E22" s="14">
        <f>'chainage measurement'!E15</f>
        <v>3.5557756781469063</v>
      </c>
      <c r="F22" s="14">
        <v>0.15</v>
      </c>
      <c r="G22" s="14">
        <f t="shared" si="0"/>
        <v>3.2001981103322157</v>
      </c>
      <c r="H22" s="12"/>
      <c r="I22" s="12"/>
      <c r="J22" s="13"/>
      <c r="K22" s="12"/>
    </row>
    <row r="23" spans="1:11" x14ac:dyDescent="0.25">
      <c r="A23" s="10"/>
      <c r="B23" s="16"/>
      <c r="C23" s="12">
        <v>1</v>
      </c>
      <c r="D23" s="14">
        <f>'chainage measurement'!C16</f>
        <v>0.35558264756679875</v>
      </c>
      <c r="E23" s="14">
        <f>'chainage measurement'!E16</f>
        <v>3.8351112465711674</v>
      </c>
      <c r="F23" s="14">
        <v>0.15</v>
      </c>
      <c r="G23" s="14">
        <f t="shared" si="0"/>
        <v>0.20455485161534726</v>
      </c>
      <c r="H23" s="12"/>
      <c r="I23" s="12"/>
      <c r="J23" s="13"/>
      <c r="K23" s="12"/>
    </row>
    <row r="24" spans="1:11" x14ac:dyDescent="0.25">
      <c r="A24" s="10"/>
      <c r="B24" s="16"/>
      <c r="C24" s="12">
        <v>1</v>
      </c>
      <c r="D24" s="14">
        <f>'chainage measurement'!C17</f>
        <v>5</v>
      </c>
      <c r="E24" s="14">
        <f>'chainage measurement'!E17</f>
        <v>4.4925556232855843</v>
      </c>
      <c r="F24" s="14">
        <v>0.15</v>
      </c>
      <c r="G24" s="14">
        <f t="shared" si="0"/>
        <v>3.3694167174641878</v>
      </c>
      <c r="H24" s="12"/>
      <c r="I24" s="12"/>
      <c r="J24" s="13"/>
      <c r="K24" s="12"/>
    </row>
    <row r="25" spans="1:11" x14ac:dyDescent="0.25">
      <c r="A25" s="10"/>
      <c r="B25" s="16"/>
      <c r="C25" s="12">
        <v>1</v>
      </c>
      <c r="D25" s="14">
        <f>'chainage measurement'!C18</f>
        <v>1</v>
      </c>
      <c r="E25" s="14">
        <f>'chainage measurement'!E18</f>
        <v>5.6750000000000007</v>
      </c>
      <c r="F25" s="14">
        <v>0.15</v>
      </c>
      <c r="G25" s="14">
        <f t="shared" si="0"/>
        <v>0.85125000000000006</v>
      </c>
      <c r="H25" s="12"/>
      <c r="I25" s="12"/>
      <c r="J25" s="13"/>
      <c r="K25" s="12"/>
    </row>
    <row r="26" spans="1:11" s="21" customFormat="1" x14ac:dyDescent="0.25">
      <c r="A26" s="15"/>
      <c r="B26" s="16" t="s">
        <v>26</v>
      </c>
      <c r="C26" s="17"/>
      <c r="D26" s="1"/>
      <c r="E26" s="18"/>
      <c r="F26" s="18"/>
      <c r="G26" s="19">
        <f>SUM(G10:G25)</f>
        <v>27.265642159770337</v>
      </c>
      <c r="H26" s="20" t="s">
        <v>27</v>
      </c>
      <c r="I26" s="2">
        <v>62.95</v>
      </c>
      <c r="J26" s="19">
        <f>G26*I26</f>
        <v>1716.3721739575428</v>
      </c>
      <c r="K26" s="18"/>
    </row>
    <row r="27" spans="1:11" x14ac:dyDescent="0.25">
      <c r="A27" s="10"/>
      <c r="B27" s="22" t="s">
        <v>46</v>
      </c>
      <c r="C27" s="12"/>
      <c r="D27" s="12"/>
      <c r="E27" s="12"/>
      <c r="F27" s="12"/>
      <c r="G27" s="12"/>
      <c r="H27" s="12"/>
      <c r="I27" s="12"/>
      <c r="J27" s="13">
        <f>0.13*G26*18612/360</f>
        <v>183.25238095581648</v>
      </c>
      <c r="K27" s="12"/>
    </row>
    <row r="28" spans="1:11" x14ac:dyDescent="0.25">
      <c r="A28" s="10"/>
      <c r="B28" s="22"/>
      <c r="C28" s="12"/>
      <c r="D28" s="12"/>
      <c r="E28" s="12"/>
      <c r="F28" s="12"/>
      <c r="G28" s="12"/>
      <c r="H28" s="12"/>
      <c r="I28" s="12"/>
      <c r="J28" s="13"/>
      <c r="K28" s="12"/>
    </row>
    <row r="29" spans="1:11" ht="105" x14ac:dyDescent="0.25">
      <c r="A29" s="10">
        <v>2</v>
      </c>
      <c r="B29" s="11" t="s">
        <v>33</v>
      </c>
      <c r="C29" s="12"/>
      <c r="D29" s="12"/>
      <c r="E29" s="12"/>
      <c r="F29" s="12"/>
      <c r="G29" s="12"/>
      <c r="H29" s="12"/>
      <c r="I29" s="12"/>
      <c r="J29" s="12"/>
      <c r="K29" s="12"/>
    </row>
    <row r="30" spans="1:11" x14ac:dyDescent="0.25">
      <c r="A30" s="10"/>
      <c r="B30" s="16" t="str">
        <f>B10</f>
        <v>-for road</v>
      </c>
      <c r="C30" s="12">
        <f>C10</f>
        <v>1</v>
      </c>
      <c r="D30" s="14">
        <f>D10</f>
        <v>5</v>
      </c>
      <c r="E30" s="14">
        <f>E10</f>
        <v>3.3907345321548306</v>
      </c>
      <c r="F30" s="14">
        <f>F10</f>
        <v>0.12699380270242813</v>
      </c>
      <c r="G30" s="14">
        <f t="shared" ref="G30:G45" si="1">PRODUCT(C30:F30)</f>
        <v>2.1530113609639026</v>
      </c>
      <c r="H30" s="12"/>
      <c r="I30" s="12"/>
      <c r="J30" s="13"/>
      <c r="K30" s="12"/>
    </row>
    <row r="31" spans="1:11" x14ac:dyDescent="0.25">
      <c r="A31" s="10"/>
      <c r="B31" s="16"/>
      <c r="C31" s="12">
        <f t="shared" ref="C31:F45" si="2">C11</f>
        <v>1</v>
      </c>
      <c r="D31" s="14">
        <f t="shared" si="2"/>
        <v>5</v>
      </c>
      <c r="E31" s="14">
        <f t="shared" si="2"/>
        <v>3.3145382505333738</v>
      </c>
      <c r="F31" s="14">
        <f t="shared" si="2"/>
        <v>0.12699380270242813</v>
      </c>
      <c r="G31" s="14">
        <f t="shared" si="1"/>
        <v>2.1046290831894328</v>
      </c>
      <c r="H31" s="12"/>
      <c r="I31" s="12"/>
      <c r="J31" s="13"/>
      <c r="K31" s="12"/>
    </row>
    <row r="32" spans="1:11" x14ac:dyDescent="0.25">
      <c r="A32" s="10"/>
      <c r="B32" s="16"/>
      <c r="C32" s="12">
        <f t="shared" si="2"/>
        <v>1</v>
      </c>
      <c r="D32" s="14">
        <f t="shared" si="2"/>
        <v>5</v>
      </c>
      <c r="E32" s="14">
        <f t="shared" si="2"/>
        <v>3.0219445291069795</v>
      </c>
      <c r="F32" s="14">
        <f t="shared" si="2"/>
        <v>0.10398760540485627</v>
      </c>
      <c r="G32" s="14">
        <f t="shared" si="1"/>
        <v>1.571223876240704</v>
      </c>
      <c r="H32" s="12"/>
      <c r="I32" s="12"/>
      <c r="J32" s="13"/>
      <c r="K32" s="12"/>
    </row>
    <row r="33" spans="1:11" x14ac:dyDescent="0.25">
      <c r="A33" s="10"/>
      <c r="B33" s="16"/>
      <c r="C33" s="12">
        <f t="shared" si="2"/>
        <v>1</v>
      </c>
      <c r="D33" s="14">
        <f t="shared" si="2"/>
        <v>5</v>
      </c>
      <c r="E33" s="14">
        <f t="shared" si="2"/>
        <v>2.9838463882962509</v>
      </c>
      <c r="F33" s="14">
        <f t="shared" si="2"/>
        <v>0.11033729553997765</v>
      </c>
      <c r="G33" s="14">
        <f t="shared" si="1"/>
        <v>1.6461477039566916</v>
      </c>
      <c r="H33" s="12"/>
      <c r="I33" s="12"/>
      <c r="J33" s="13"/>
      <c r="K33" s="12"/>
    </row>
    <row r="34" spans="1:11" x14ac:dyDescent="0.25">
      <c r="A34" s="10"/>
      <c r="B34" s="16"/>
      <c r="C34" s="12">
        <f t="shared" si="2"/>
        <v>1</v>
      </c>
      <c r="D34" s="14">
        <f t="shared" si="2"/>
        <v>5</v>
      </c>
      <c r="E34" s="14">
        <f t="shared" si="2"/>
        <v>3.1621456872904599</v>
      </c>
      <c r="F34" s="14">
        <f t="shared" si="2"/>
        <v>0.11668698567509903</v>
      </c>
      <c r="G34" s="14">
        <f t="shared" si="1"/>
        <v>1.8449062425771903</v>
      </c>
      <c r="H34" s="12"/>
      <c r="I34" s="12"/>
      <c r="J34" s="13"/>
      <c r="K34" s="12"/>
    </row>
    <row r="35" spans="1:11" x14ac:dyDescent="0.25">
      <c r="A35" s="10"/>
      <c r="B35" s="16"/>
      <c r="C35" s="12">
        <f t="shared" si="2"/>
        <v>1</v>
      </c>
      <c r="D35" s="14">
        <f t="shared" si="2"/>
        <v>5</v>
      </c>
      <c r="E35" s="14">
        <f t="shared" si="2"/>
        <v>3.0859494056690031</v>
      </c>
      <c r="F35" s="14">
        <f t="shared" si="2"/>
        <v>0.11668698567509903</v>
      </c>
      <c r="G35" s="14">
        <f t="shared" si="1"/>
        <v>1.8004506704668966</v>
      </c>
      <c r="H35" s="12"/>
      <c r="I35" s="12"/>
      <c r="J35" s="13"/>
      <c r="K35" s="12"/>
    </row>
    <row r="36" spans="1:11" x14ac:dyDescent="0.25">
      <c r="A36" s="10"/>
      <c r="B36" s="16"/>
      <c r="C36" s="12">
        <f t="shared" si="2"/>
        <v>1</v>
      </c>
      <c r="D36" s="14">
        <f t="shared" si="2"/>
        <v>5</v>
      </c>
      <c r="E36" s="14">
        <f t="shared" si="2"/>
        <v>3.1366961292288935</v>
      </c>
      <c r="F36" s="14">
        <f t="shared" si="2"/>
        <v>0.11033729553997765</v>
      </c>
      <c r="G36" s="14">
        <f t="shared" si="1"/>
        <v>1.7304728391491617</v>
      </c>
      <c r="H36" s="12"/>
      <c r="I36" s="12"/>
      <c r="J36" s="13"/>
      <c r="K36" s="12"/>
    </row>
    <row r="37" spans="1:11" x14ac:dyDescent="0.25">
      <c r="A37" s="10"/>
      <c r="B37" s="16"/>
      <c r="C37" s="12">
        <f t="shared" si="2"/>
        <v>1</v>
      </c>
      <c r="D37" s="14">
        <f t="shared" si="2"/>
        <v>5</v>
      </c>
      <c r="E37" s="14">
        <f t="shared" si="2"/>
        <v>3.1366961292288935</v>
      </c>
      <c r="F37" s="14">
        <f t="shared" si="2"/>
        <v>0.10398760540485627</v>
      </c>
      <c r="G37" s="14">
        <f t="shared" si="1"/>
        <v>1.6308875968059711</v>
      </c>
      <c r="H37" s="12"/>
      <c r="I37" s="12"/>
      <c r="J37" s="13"/>
      <c r="K37" s="12"/>
    </row>
    <row r="38" spans="1:11" x14ac:dyDescent="0.25">
      <c r="A38" s="10"/>
      <c r="B38" s="16"/>
      <c r="C38" s="12">
        <f t="shared" si="2"/>
        <v>1</v>
      </c>
      <c r="D38" s="14">
        <f t="shared" si="2"/>
        <v>5</v>
      </c>
      <c r="E38" s="14">
        <f t="shared" si="2"/>
        <v>3.1240475464797317</v>
      </c>
      <c r="F38" s="14">
        <f t="shared" si="2"/>
        <v>0.10398760540485627</v>
      </c>
      <c r="G38" s="14">
        <f t="shared" si="1"/>
        <v>1.6243111176467186</v>
      </c>
      <c r="H38" s="12"/>
      <c r="I38" s="12"/>
      <c r="J38" s="13"/>
      <c r="K38" s="12"/>
    </row>
    <row r="39" spans="1:11" x14ac:dyDescent="0.25">
      <c r="A39" s="10"/>
      <c r="B39" s="16"/>
      <c r="C39" s="12">
        <f t="shared" si="2"/>
        <v>1</v>
      </c>
      <c r="D39" s="14">
        <f t="shared" si="2"/>
        <v>5</v>
      </c>
      <c r="E39" s="14">
        <f t="shared" si="2"/>
        <v>3.2002438281011885</v>
      </c>
      <c r="F39" s="14">
        <f t="shared" si="2"/>
        <v>0.10398760540485627</v>
      </c>
      <c r="G39" s="14">
        <f t="shared" si="1"/>
        <v>1.6639284619795653</v>
      </c>
      <c r="H39" s="12"/>
      <c r="I39" s="12"/>
      <c r="J39" s="13"/>
      <c r="K39" s="12"/>
    </row>
    <row r="40" spans="1:11" x14ac:dyDescent="0.25">
      <c r="A40" s="10"/>
      <c r="B40" s="16"/>
      <c r="C40" s="12">
        <f t="shared" si="2"/>
        <v>1</v>
      </c>
      <c r="D40" s="14">
        <f t="shared" si="2"/>
        <v>5</v>
      </c>
      <c r="E40" s="14">
        <f t="shared" si="2"/>
        <v>3.1240475464797317</v>
      </c>
      <c r="F40" s="14">
        <f t="shared" si="2"/>
        <v>7.8588844864370622E-2</v>
      </c>
      <c r="G40" s="14">
        <f t="shared" si="1"/>
        <v>1.2275764398960665</v>
      </c>
      <c r="H40" s="12"/>
      <c r="I40" s="12"/>
      <c r="J40" s="13"/>
      <c r="K40" s="12"/>
    </row>
    <row r="41" spans="1:11" x14ac:dyDescent="0.25">
      <c r="A41" s="10"/>
      <c r="B41" s="16"/>
      <c r="C41" s="12">
        <f t="shared" si="2"/>
        <v>1</v>
      </c>
      <c r="D41" s="14">
        <f t="shared" si="2"/>
        <v>3.047851264858275</v>
      </c>
      <c r="E41" s="14">
        <f t="shared" si="2"/>
        <v>3.2002438281011885</v>
      </c>
      <c r="F41" s="14">
        <f t="shared" si="2"/>
        <v>6.5889464594127783E-2</v>
      </c>
      <c r="G41" s="14">
        <f t="shared" si="1"/>
        <v>0.64267708748628227</v>
      </c>
      <c r="H41" s="12"/>
      <c r="I41" s="12"/>
      <c r="J41" s="13"/>
      <c r="K41" s="12"/>
    </row>
    <row r="42" spans="1:11" x14ac:dyDescent="0.25">
      <c r="A42" s="10"/>
      <c r="B42" s="16"/>
      <c r="C42" s="12">
        <v>0</v>
      </c>
      <c r="D42" s="14">
        <f t="shared" si="2"/>
        <v>6</v>
      </c>
      <c r="E42" s="14">
        <f t="shared" si="2"/>
        <v>3.5557756781469063</v>
      </c>
      <c r="F42" s="14">
        <f t="shared" si="2"/>
        <v>0.15</v>
      </c>
      <c r="G42" s="14">
        <f t="shared" si="1"/>
        <v>0</v>
      </c>
      <c r="H42" s="12"/>
      <c r="I42" s="12"/>
      <c r="J42" s="13"/>
      <c r="K42" s="12"/>
    </row>
    <row r="43" spans="1:11" x14ac:dyDescent="0.25">
      <c r="A43" s="10"/>
      <c r="B43" s="16"/>
      <c r="C43" s="12">
        <v>0</v>
      </c>
      <c r="D43" s="14">
        <f t="shared" si="2"/>
        <v>0.35558264756679875</v>
      </c>
      <c r="E43" s="14">
        <f t="shared" si="2"/>
        <v>3.8351112465711674</v>
      </c>
      <c r="F43" s="14">
        <f t="shared" si="2"/>
        <v>0.15</v>
      </c>
      <c r="G43" s="14">
        <f t="shared" si="1"/>
        <v>0</v>
      </c>
      <c r="H43" s="12"/>
      <c r="I43" s="12"/>
      <c r="J43" s="13"/>
      <c r="K43" s="12"/>
    </row>
    <row r="44" spans="1:11" x14ac:dyDescent="0.25">
      <c r="A44" s="10"/>
      <c r="B44" s="16"/>
      <c r="C44" s="12">
        <v>0</v>
      </c>
      <c r="D44" s="14">
        <f t="shared" si="2"/>
        <v>5</v>
      </c>
      <c r="E44" s="14">
        <f t="shared" si="2"/>
        <v>4.4925556232855843</v>
      </c>
      <c r="F44" s="14">
        <f t="shared" si="2"/>
        <v>0.15</v>
      </c>
      <c r="G44" s="14">
        <f t="shared" si="1"/>
        <v>0</v>
      </c>
      <c r="H44" s="12"/>
      <c r="I44" s="12"/>
      <c r="J44" s="13"/>
      <c r="K44" s="12"/>
    </row>
    <row r="45" spans="1:11" x14ac:dyDescent="0.25">
      <c r="A45" s="10"/>
      <c r="B45" s="16"/>
      <c r="C45" s="12">
        <v>0</v>
      </c>
      <c r="D45" s="14">
        <f t="shared" si="2"/>
        <v>1</v>
      </c>
      <c r="E45" s="14">
        <f t="shared" si="2"/>
        <v>5.6750000000000007</v>
      </c>
      <c r="F45" s="14">
        <f t="shared" si="2"/>
        <v>0.15</v>
      </c>
      <c r="G45" s="14">
        <f t="shared" si="1"/>
        <v>0</v>
      </c>
      <c r="H45" s="12"/>
      <c r="I45" s="12"/>
      <c r="J45" s="13"/>
      <c r="K45" s="12"/>
    </row>
    <row r="46" spans="1:11" s="21" customFormat="1" x14ac:dyDescent="0.25">
      <c r="A46" s="15"/>
      <c r="B46" s="16" t="s">
        <v>26</v>
      </c>
      <c r="C46" s="17"/>
      <c r="D46" s="1"/>
      <c r="E46" s="18"/>
      <c r="F46" s="18"/>
      <c r="G46" s="19">
        <f>SUM(G30:G45)</f>
        <v>19.640222480358585</v>
      </c>
      <c r="H46" s="20" t="s">
        <v>27</v>
      </c>
      <c r="I46" s="2">
        <v>4458.5200000000004</v>
      </c>
      <c r="J46" s="19">
        <f>G46*I46</f>
        <v>87566.324733128364</v>
      </c>
      <c r="K46" s="18"/>
    </row>
    <row r="47" spans="1:11" x14ac:dyDescent="0.25">
      <c r="A47" s="10"/>
      <c r="B47" s="22" t="s">
        <v>32</v>
      </c>
      <c r="C47" s="12"/>
      <c r="D47" s="12"/>
      <c r="E47" s="12"/>
      <c r="F47" s="12"/>
      <c r="G47" s="12"/>
      <c r="H47" s="12"/>
      <c r="I47" s="12"/>
      <c r="J47" s="13">
        <f>0.13*G46*14817.6/5</f>
        <v>7566.544976248997</v>
      </c>
      <c r="K47" s="12"/>
    </row>
    <row r="48" spans="1:11" x14ac:dyDescent="0.25">
      <c r="A48" s="10"/>
      <c r="B48" s="11"/>
      <c r="C48" s="12"/>
      <c r="D48" s="12"/>
      <c r="E48" s="12"/>
      <c r="F48" s="12"/>
      <c r="G48" s="12"/>
      <c r="H48" s="12"/>
      <c r="I48" s="12"/>
      <c r="J48" s="12"/>
      <c r="K48" s="12"/>
    </row>
    <row r="49" spans="1:11" ht="74.25" customHeight="1" x14ac:dyDescent="0.25">
      <c r="A49" s="10">
        <v>3</v>
      </c>
      <c r="B49" s="11" t="s">
        <v>37</v>
      </c>
      <c r="C49" s="12"/>
      <c r="D49" s="23"/>
      <c r="E49" s="23"/>
      <c r="F49" s="23"/>
      <c r="G49" s="12"/>
      <c r="H49" s="12"/>
      <c r="I49" s="12"/>
      <c r="J49" s="13"/>
      <c r="K49" s="12"/>
    </row>
    <row r="50" spans="1:11" x14ac:dyDescent="0.25">
      <c r="A50" s="10"/>
      <c r="B50" s="16" t="str">
        <f>B30</f>
        <v>-for road</v>
      </c>
      <c r="C50" s="12">
        <f>C10</f>
        <v>1</v>
      </c>
      <c r="D50" s="14">
        <f t="shared" ref="D50:F50" si="3">D10</f>
        <v>5</v>
      </c>
      <c r="E50" s="14">
        <f t="shared" si="3"/>
        <v>3.3907345321548306</v>
      </c>
      <c r="F50" s="14">
        <f t="shared" si="3"/>
        <v>0.12699380270242813</v>
      </c>
      <c r="G50" s="14">
        <f t="shared" ref="G50:G65" si="4">PRODUCT(C50:F50)</f>
        <v>2.1530113609639026</v>
      </c>
      <c r="H50" s="12"/>
      <c r="I50" s="12"/>
      <c r="J50" s="13"/>
      <c r="K50" s="12"/>
    </row>
    <row r="51" spans="1:11" x14ac:dyDescent="0.25">
      <c r="A51" s="10"/>
      <c r="B51" s="16"/>
      <c r="C51" s="12">
        <f t="shared" ref="C51:F51" si="5">C11</f>
        <v>1</v>
      </c>
      <c r="D51" s="14">
        <f t="shared" si="5"/>
        <v>5</v>
      </c>
      <c r="E51" s="14">
        <f t="shared" si="5"/>
        <v>3.3145382505333738</v>
      </c>
      <c r="F51" s="14">
        <f t="shared" si="5"/>
        <v>0.12699380270242813</v>
      </c>
      <c r="G51" s="14">
        <f t="shared" si="4"/>
        <v>2.1046290831894328</v>
      </c>
      <c r="H51" s="12"/>
      <c r="I51" s="12"/>
      <c r="J51" s="13"/>
      <c r="K51" s="12"/>
    </row>
    <row r="52" spans="1:11" x14ac:dyDescent="0.25">
      <c r="A52" s="10"/>
      <c r="B52" s="16"/>
      <c r="C52" s="12">
        <f t="shared" ref="C52:F52" si="6">C12</f>
        <v>1</v>
      </c>
      <c r="D52" s="14">
        <f t="shared" si="6"/>
        <v>5</v>
      </c>
      <c r="E52" s="14">
        <f t="shared" si="6"/>
        <v>3.0219445291069795</v>
      </c>
      <c r="F52" s="14">
        <f t="shared" si="6"/>
        <v>0.10398760540485627</v>
      </c>
      <c r="G52" s="14">
        <f t="shared" si="4"/>
        <v>1.571223876240704</v>
      </c>
      <c r="H52" s="12"/>
      <c r="I52" s="12"/>
      <c r="J52" s="13"/>
      <c r="K52" s="12"/>
    </row>
    <row r="53" spans="1:11" x14ac:dyDescent="0.25">
      <c r="A53" s="10"/>
      <c r="B53" s="16"/>
      <c r="C53" s="12">
        <f t="shared" ref="C53:F53" si="7">C13</f>
        <v>1</v>
      </c>
      <c r="D53" s="14">
        <f t="shared" si="7"/>
        <v>5</v>
      </c>
      <c r="E53" s="14">
        <f t="shared" si="7"/>
        <v>2.9838463882962509</v>
      </c>
      <c r="F53" s="14">
        <f t="shared" si="7"/>
        <v>0.11033729553997765</v>
      </c>
      <c r="G53" s="14">
        <f t="shared" si="4"/>
        <v>1.6461477039566916</v>
      </c>
      <c r="H53" s="12"/>
      <c r="I53" s="12"/>
      <c r="J53" s="13"/>
      <c r="K53" s="12"/>
    </row>
    <row r="54" spans="1:11" x14ac:dyDescent="0.25">
      <c r="A54" s="10"/>
      <c r="B54" s="16"/>
      <c r="C54" s="12">
        <f t="shared" ref="C54:F54" si="8">C14</f>
        <v>1</v>
      </c>
      <c r="D54" s="14">
        <f t="shared" si="8"/>
        <v>5</v>
      </c>
      <c r="E54" s="14">
        <f t="shared" si="8"/>
        <v>3.1621456872904599</v>
      </c>
      <c r="F54" s="14">
        <f t="shared" si="8"/>
        <v>0.11668698567509903</v>
      </c>
      <c r="G54" s="14">
        <f t="shared" si="4"/>
        <v>1.8449062425771903</v>
      </c>
      <c r="H54" s="12"/>
      <c r="I54" s="12"/>
      <c r="J54" s="13"/>
      <c r="K54" s="12"/>
    </row>
    <row r="55" spans="1:11" x14ac:dyDescent="0.25">
      <c r="A55" s="10"/>
      <c r="B55" s="16"/>
      <c r="C55" s="12">
        <f t="shared" ref="C55:F55" si="9">C15</f>
        <v>1</v>
      </c>
      <c r="D55" s="14">
        <f t="shared" si="9"/>
        <v>5</v>
      </c>
      <c r="E55" s="14">
        <f t="shared" si="9"/>
        <v>3.0859494056690031</v>
      </c>
      <c r="F55" s="14">
        <f t="shared" si="9"/>
        <v>0.11668698567509903</v>
      </c>
      <c r="G55" s="14">
        <f t="shared" si="4"/>
        <v>1.8004506704668966</v>
      </c>
      <c r="H55" s="12"/>
      <c r="I55" s="12"/>
      <c r="J55" s="13"/>
      <c r="K55" s="12"/>
    </row>
    <row r="56" spans="1:11" x14ac:dyDescent="0.25">
      <c r="A56" s="10"/>
      <c r="B56" s="16"/>
      <c r="C56" s="12">
        <f t="shared" ref="C56:F56" si="10">C16</f>
        <v>1</v>
      </c>
      <c r="D56" s="14">
        <f t="shared" si="10"/>
        <v>5</v>
      </c>
      <c r="E56" s="14">
        <f t="shared" si="10"/>
        <v>3.1366961292288935</v>
      </c>
      <c r="F56" s="14">
        <f t="shared" si="10"/>
        <v>0.11033729553997765</v>
      </c>
      <c r="G56" s="14">
        <f t="shared" si="4"/>
        <v>1.7304728391491617</v>
      </c>
      <c r="H56" s="12"/>
      <c r="I56" s="12"/>
      <c r="J56" s="13"/>
      <c r="K56" s="12"/>
    </row>
    <row r="57" spans="1:11" x14ac:dyDescent="0.25">
      <c r="A57" s="10"/>
      <c r="B57" s="16"/>
      <c r="C57" s="12">
        <f t="shared" ref="C57:F57" si="11">C17</f>
        <v>1</v>
      </c>
      <c r="D57" s="14">
        <f t="shared" si="11"/>
        <v>5</v>
      </c>
      <c r="E57" s="14">
        <f t="shared" si="11"/>
        <v>3.1366961292288935</v>
      </c>
      <c r="F57" s="14">
        <f t="shared" si="11"/>
        <v>0.10398760540485627</v>
      </c>
      <c r="G57" s="14">
        <f t="shared" si="4"/>
        <v>1.6308875968059711</v>
      </c>
      <c r="H57" s="12"/>
      <c r="I57" s="12"/>
      <c r="J57" s="13"/>
      <c r="K57" s="12"/>
    </row>
    <row r="58" spans="1:11" x14ac:dyDescent="0.25">
      <c r="A58" s="10"/>
      <c r="B58" s="16"/>
      <c r="C58" s="12">
        <f t="shared" ref="C58:F58" si="12">C18</f>
        <v>1</v>
      </c>
      <c r="D58" s="14">
        <f t="shared" si="12"/>
        <v>5</v>
      </c>
      <c r="E58" s="14">
        <f t="shared" si="12"/>
        <v>3.1240475464797317</v>
      </c>
      <c r="F58" s="14">
        <f t="shared" si="12"/>
        <v>0.10398760540485627</v>
      </c>
      <c r="G58" s="14">
        <f t="shared" si="4"/>
        <v>1.6243111176467186</v>
      </c>
      <c r="H58" s="12"/>
      <c r="I58" s="12"/>
      <c r="J58" s="13"/>
      <c r="K58" s="12"/>
    </row>
    <row r="59" spans="1:11" x14ac:dyDescent="0.25">
      <c r="A59" s="10"/>
      <c r="B59" s="16"/>
      <c r="C59" s="12">
        <f t="shared" ref="C59:F59" si="13">C19</f>
        <v>1</v>
      </c>
      <c r="D59" s="14">
        <f t="shared" si="13"/>
        <v>5</v>
      </c>
      <c r="E59" s="14">
        <f t="shared" si="13"/>
        <v>3.2002438281011885</v>
      </c>
      <c r="F59" s="14">
        <f t="shared" si="13"/>
        <v>0.10398760540485627</v>
      </c>
      <c r="G59" s="14">
        <f t="shared" si="4"/>
        <v>1.6639284619795653</v>
      </c>
      <c r="H59" s="12"/>
      <c r="I59" s="12"/>
      <c r="J59" s="13"/>
      <c r="K59" s="12"/>
    </row>
    <row r="60" spans="1:11" x14ac:dyDescent="0.25">
      <c r="A60" s="10"/>
      <c r="B60" s="16"/>
      <c r="C60" s="12">
        <f t="shared" ref="C60:F60" si="14">C20</f>
        <v>1</v>
      </c>
      <c r="D60" s="14">
        <f t="shared" si="14"/>
        <v>5</v>
      </c>
      <c r="E60" s="14">
        <f t="shared" si="14"/>
        <v>3.1240475464797317</v>
      </c>
      <c r="F60" s="14">
        <f t="shared" si="14"/>
        <v>7.8588844864370622E-2</v>
      </c>
      <c r="G60" s="14">
        <f t="shared" si="4"/>
        <v>1.2275764398960665</v>
      </c>
      <c r="H60" s="12"/>
      <c r="I60" s="12"/>
      <c r="J60" s="13"/>
      <c r="K60" s="12"/>
    </row>
    <row r="61" spans="1:11" x14ac:dyDescent="0.25">
      <c r="A61" s="10"/>
      <c r="B61" s="16"/>
      <c r="C61" s="12">
        <f t="shared" ref="C61:F61" si="15">C21</f>
        <v>1</v>
      </c>
      <c r="D61" s="14">
        <f t="shared" si="15"/>
        <v>3.047851264858275</v>
      </c>
      <c r="E61" s="14">
        <f t="shared" si="15"/>
        <v>3.2002438281011885</v>
      </c>
      <c r="F61" s="14">
        <f t="shared" si="15"/>
        <v>6.5889464594127783E-2</v>
      </c>
      <c r="G61" s="14">
        <f t="shared" si="4"/>
        <v>0.64267708748628227</v>
      </c>
      <c r="H61" s="12"/>
      <c r="I61" s="12"/>
      <c r="J61" s="13"/>
      <c r="K61" s="12"/>
    </row>
    <row r="62" spans="1:11" x14ac:dyDescent="0.25">
      <c r="A62" s="10"/>
      <c r="B62" s="16"/>
      <c r="C62" s="12">
        <f t="shared" ref="C62:F62" si="16">C22</f>
        <v>1</v>
      </c>
      <c r="D62" s="14">
        <f t="shared" si="16"/>
        <v>6</v>
      </c>
      <c r="E62" s="14">
        <f t="shared" si="16"/>
        <v>3.5557756781469063</v>
      </c>
      <c r="F62" s="14">
        <f t="shared" si="16"/>
        <v>0.15</v>
      </c>
      <c r="G62" s="14">
        <f t="shared" si="4"/>
        <v>3.2001981103322157</v>
      </c>
      <c r="H62" s="12"/>
      <c r="I62" s="12"/>
      <c r="J62" s="13"/>
      <c r="K62" s="12"/>
    </row>
    <row r="63" spans="1:11" x14ac:dyDescent="0.25">
      <c r="A63" s="10"/>
      <c r="B63" s="16"/>
      <c r="C63" s="12">
        <f t="shared" ref="C63:F63" si="17">C23</f>
        <v>1</v>
      </c>
      <c r="D63" s="14">
        <f t="shared" si="17"/>
        <v>0.35558264756679875</v>
      </c>
      <c r="E63" s="14">
        <f t="shared" si="17"/>
        <v>3.8351112465711674</v>
      </c>
      <c r="F63" s="14">
        <f t="shared" si="17"/>
        <v>0.15</v>
      </c>
      <c r="G63" s="14">
        <f t="shared" si="4"/>
        <v>0.20455485161534726</v>
      </c>
      <c r="H63" s="12"/>
      <c r="I63" s="12"/>
      <c r="J63" s="13"/>
      <c r="K63" s="12"/>
    </row>
    <row r="64" spans="1:11" x14ac:dyDescent="0.25">
      <c r="A64" s="10"/>
      <c r="B64" s="16"/>
      <c r="C64" s="12">
        <f t="shared" ref="C64:F64" si="18">C24</f>
        <v>1</v>
      </c>
      <c r="D64" s="14">
        <f t="shared" si="18"/>
        <v>5</v>
      </c>
      <c r="E64" s="14">
        <f t="shared" si="18"/>
        <v>4.4925556232855843</v>
      </c>
      <c r="F64" s="14">
        <f t="shared" si="18"/>
        <v>0.15</v>
      </c>
      <c r="G64" s="14">
        <f t="shared" si="4"/>
        <v>3.3694167174641878</v>
      </c>
      <c r="H64" s="12"/>
      <c r="I64" s="12"/>
      <c r="J64" s="13"/>
      <c r="K64" s="12"/>
    </row>
    <row r="65" spans="1:16" x14ac:dyDescent="0.25">
      <c r="A65" s="10"/>
      <c r="B65" s="16"/>
      <c r="C65" s="12">
        <f t="shared" ref="C65:F65" si="19">C25</f>
        <v>1</v>
      </c>
      <c r="D65" s="14">
        <f t="shared" si="19"/>
        <v>1</v>
      </c>
      <c r="E65" s="14">
        <f t="shared" si="19"/>
        <v>5.6750000000000007</v>
      </c>
      <c r="F65" s="14">
        <f t="shared" si="19"/>
        <v>0.15</v>
      </c>
      <c r="G65" s="14">
        <f t="shared" si="4"/>
        <v>0.85125000000000006</v>
      </c>
      <c r="H65" s="12"/>
      <c r="I65" s="12"/>
      <c r="J65" s="13"/>
      <c r="K65" s="12"/>
    </row>
    <row r="66" spans="1:16" s="21" customFormat="1" x14ac:dyDescent="0.25">
      <c r="A66" s="15"/>
      <c r="B66" s="16" t="s">
        <v>26</v>
      </c>
      <c r="C66" s="17"/>
      <c r="D66" s="1"/>
      <c r="E66" s="18"/>
      <c r="F66" s="18"/>
      <c r="G66" s="19">
        <f>SUM(G50:G65)</f>
        <v>27.265642159770337</v>
      </c>
      <c r="H66" s="20" t="s">
        <v>27</v>
      </c>
      <c r="I66" s="2">
        <v>12000.5</v>
      </c>
      <c r="J66" s="19">
        <f>G66*I66</f>
        <v>327201.33873832395</v>
      </c>
      <c r="K66" s="18"/>
    </row>
    <row r="67" spans="1:16" x14ac:dyDescent="0.25">
      <c r="A67" s="10"/>
      <c r="B67" s="22" t="s">
        <v>30</v>
      </c>
      <c r="C67" s="12"/>
      <c r="D67" s="12"/>
      <c r="E67" s="12"/>
      <c r="F67" s="12"/>
      <c r="G67" s="12"/>
      <c r="H67" s="12"/>
      <c r="I67" s="12"/>
      <c r="J67" s="13">
        <f>0.13*G66*67891.51/15</f>
        <v>16042.915350336069</v>
      </c>
      <c r="K67" s="12"/>
    </row>
    <row r="68" spans="1:16" x14ac:dyDescent="0.25">
      <c r="A68" s="10"/>
      <c r="B68" s="22" t="s">
        <v>29</v>
      </c>
      <c r="C68" s="12"/>
      <c r="D68" s="12"/>
      <c r="E68" s="12"/>
      <c r="F68" s="12"/>
      <c r="G68" s="12"/>
      <c r="H68" s="12"/>
      <c r="I68" s="12"/>
      <c r="J68" s="13">
        <f>0.13*G66*21432.6/15</f>
        <v>5064.5712186636119</v>
      </c>
      <c r="K68" s="12"/>
    </row>
    <row r="69" spans="1:16" x14ac:dyDescent="0.25">
      <c r="A69" s="10"/>
      <c r="B69" s="22" t="s">
        <v>31</v>
      </c>
      <c r="C69" s="12"/>
      <c r="D69" s="12"/>
      <c r="E69" s="12"/>
      <c r="F69" s="12"/>
      <c r="G69" s="12"/>
      <c r="H69" s="12"/>
      <c r="I69" s="12"/>
      <c r="J69" s="13">
        <f>0.13*G66*(27147.96+17146.08)/15</f>
        <v>10466.780518571466</v>
      </c>
      <c r="K69" s="12"/>
    </row>
    <row r="70" spans="1:16" x14ac:dyDescent="0.25">
      <c r="A70" s="10"/>
      <c r="B70" s="22" t="s">
        <v>34</v>
      </c>
      <c r="C70" s="12"/>
      <c r="D70" s="12"/>
      <c r="E70" s="12"/>
      <c r="F70" s="12"/>
      <c r="G70" s="12"/>
      <c r="H70" s="12"/>
      <c r="I70" s="12"/>
      <c r="J70" s="13">
        <f>0.13*G66*775/15</f>
        <v>183.13422983979078</v>
      </c>
      <c r="K70" s="12"/>
    </row>
    <row r="71" spans="1:16" x14ac:dyDescent="0.25">
      <c r="A71" s="10"/>
      <c r="B71" s="22" t="s">
        <v>35</v>
      </c>
      <c r="C71" s="12"/>
      <c r="D71" s="12"/>
      <c r="E71" s="12"/>
      <c r="F71" s="12"/>
      <c r="G71" s="12"/>
      <c r="H71" s="12"/>
      <c r="I71" s="12"/>
      <c r="J71" s="13">
        <f>0.13*G66*6923.4/15</f>
        <v>1636.0148733842677</v>
      </c>
      <c r="K71" s="12"/>
    </row>
    <row r="72" spans="1:16" x14ac:dyDescent="0.25">
      <c r="A72" s="10"/>
      <c r="B72" s="22"/>
      <c r="C72" s="12"/>
      <c r="D72" s="12"/>
      <c r="E72" s="12"/>
      <c r="F72" s="12"/>
      <c r="G72" s="12"/>
      <c r="H72" s="12"/>
      <c r="I72" s="12"/>
      <c r="J72" s="13"/>
      <c r="K72" s="12"/>
    </row>
    <row r="73" spans="1:16" s="21" customFormat="1" ht="90" x14ac:dyDescent="0.25">
      <c r="A73" s="10">
        <v>4</v>
      </c>
      <c r="B73" s="38" t="s">
        <v>38</v>
      </c>
      <c r="C73" s="32" t="s">
        <v>7</v>
      </c>
      <c r="D73" s="39" t="s">
        <v>40</v>
      </c>
      <c r="E73" s="39" t="s">
        <v>41</v>
      </c>
      <c r="F73" s="39" t="s">
        <v>42</v>
      </c>
      <c r="G73" s="32"/>
      <c r="H73" s="32"/>
      <c r="I73" s="32"/>
      <c r="J73" s="20"/>
      <c r="K73" s="32"/>
    </row>
    <row r="74" spans="1:16" x14ac:dyDescent="0.25">
      <c r="A74" s="10"/>
      <c r="B74" s="16" t="str">
        <f>B10</f>
        <v>-for road</v>
      </c>
      <c r="C74" s="12">
        <v>16</v>
      </c>
      <c r="D74" s="14">
        <v>4</v>
      </c>
      <c r="E74" s="14">
        <f>8*8/162</f>
        <v>0.39506172839506171</v>
      </c>
      <c r="F74" s="12">
        <f>PRODUCT(C74:E74)</f>
        <v>25.283950617283949</v>
      </c>
      <c r="G74" s="14">
        <f>F74/1000</f>
        <v>2.5283950617283949E-2</v>
      </c>
      <c r="H74" s="12"/>
      <c r="I74" s="12"/>
      <c r="J74" s="13"/>
      <c r="K74" s="12"/>
      <c r="M74" s="3">
        <f>D75/(7/12/3.281)</f>
        <v>16.311257142857141</v>
      </c>
      <c r="N74" s="3">
        <f>TRUNC(M74,0)</f>
        <v>16</v>
      </c>
      <c r="O74" s="3">
        <f>C74-N74</f>
        <v>0</v>
      </c>
      <c r="P74" s="47"/>
    </row>
    <row r="75" spans="1:16" x14ac:dyDescent="0.25">
      <c r="A75" s="10"/>
      <c r="B75" s="16"/>
      <c r="C75" s="12">
        <v>22</v>
      </c>
      <c r="D75" s="14">
        <v>2.9</v>
      </c>
      <c r="E75" s="14">
        <f t="shared" ref="E75:E101" si="20">8*8/162</f>
        <v>0.39506172839506171</v>
      </c>
      <c r="F75" s="12">
        <f t="shared" ref="F75:F101" si="21">PRODUCT(C75:E75)</f>
        <v>25.204938271604934</v>
      </c>
      <c r="G75" s="14">
        <f t="shared" ref="G75:G101" si="22">F75/1000</f>
        <v>2.5204938271604936E-2</v>
      </c>
      <c r="H75" s="12"/>
      <c r="I75" s="12"/>
      <c r="J75" s="13"/>
      <c r="K75" s="12"/>
      <c r="M75" s="3">
        <f>D74/(7/12/3.281)</f>
        <v>22.498285714285714</v>
      </c>
      <c r="N75" s="3">
        <f t="shared" ref="N75:N101" si="23">TRUNC(M75,0)</f>
        <v>22</v>
      </c>
      <c r="O75" s="3">
        <f t="shared" ref="O75:O101" si="24">C75-N75</f>
        <v>0</v>
      </c>
      <c r="P75" s="47"/>
    </row>
    <row r="76" spans="1:16" x14ac:dyDescent="0.25">
      <c r="A76" s="10"/>
      <c r="B76" s="16"/>
      <c r="C76" s="12">
        <v>16</v>
      </c>
      <c r="D76" s="14">
        <v>4.12</v>
      </c>
      <c r="E76" s="14">
        <f t="shared" si="20"/>
        <v>0.39506172839506171</v>
      </c>
      <c r="F76" s="12">
        <f t="shared" si="21"/>
        <v>26.042469135802467</v>
      </c>
      <c r="G76" s="14">
        <f t="shared" si="22"/>
        <v>2.6042469135802465E-2</v>
      </c>
      <c r="H76" s="12"/>
      <c r="I76" s="12"/>
      <c r="J76" s="13"/>
      <c r="K76" s="12"/>
      <c r="M76" s="3">
        <f t="shared" ref="M76" si="25">D77/(7/12/3.281)</f>
        <v>16.536239999999999</v>
      </c>
      <c r="N76" s="3">
        <f t="shared" si="23"/>
        <v>16</v>
      </c>
      <c r="O76" s="3">
        <f t="shared" si="24"/>
        <v>0</v>
      </c>
    </row>
    <row r="77" spans="1:16" x14ac:dyDescent="0.25">
      <c r="A77" s="10"/>
      <c r="B77" s="16"/>
      <c r="C77" s="12">
        <v>23</v>
      </c>
      <c r="D77" s="14">
        <v>2.94</v>
      </c>
      <c r="E77" s="14">
        <f t="shared" si="20"/>
        <v>0.39506172839506171</v>
      </c>
      <c r="F77" s="12">
        <f t="shared" si="21"/>
        <v>26.714074074074073</v>
      </c>
      <c r="G77" s="14">
        <f t="shared" si="22"/>
        <v>2.6714074074074074E-2</v>
      </c>
      <c r="H77" s="12"/>
      <c r="I77" s="12"/>
      <c r="J77" s="13"/>
      <c r="K77" s="12"/>
      <c r="M77" s="3">
        <f t="shared" ref="M77" si="26">D76/(7/12/3.281)</f>
        <v>23.173234285714287</v>
      </c>
      <c r="N77" s="3">
        <f t="shared" si="23"/>
        <v>23</v>
      </c>
      <c r="O77" s="3">
        <f t="shared" si="24"/>
        <v>0</v>
      </c>
    </row>
    <row r="78" spans="1:16" x14ac:dyDescent="0.25">
      <c r="A78" s="10"/>
      <c r="B78" s="16"/>
      <c r="C78" s="12">
        <v>16</v>
      </c>
      <c r="D78" s="14">
        <v>3.9</v>
      </c>
      <c r="E78" s="14">
        <f t="shared" si="20"/>
        <v>0.39506172839506171</v>
      </c>
      <c r="F78" s="12">
        <f t="shared" si="21"/>
        <v>24.651851851851848</v>
      </c>
      <c r="G78" s="14">
        <f t="shared" si="22"/>
        <v>2.4651851851851848E-2</v>
      </c>
      <c r="H78" s="12"/>
      <c r="I78" s="12"/>
      <c r="J78" s="13"/>
      <c r="K78" s="12"/>
      <c r="M78" s="3">
        <f t="shared" ref="M78" si="27">D79/(7/12/3.281)</f>
        <v>16.536239999999999</v>
      </c>
      <c r="N78" s="3">
        <f t="shared" si="23"/>
        <v>16</v>
      </c>
      <c r="O78" s="3">
        <f t="shared" si="24"/>
        <v>0</v>
      </c>
    </row>
    <row r="79" spans="1:16" x14ac:dyDescent="0.25">
      <c r="A79" s="10"/>
      <c r="B79" s="16"/>
      <c r="C79" s="12">
        <v>21</v>
      </c>
      <c r="D79" s="14">
        <v>2.94</v>
      </c>
      <c r="E79" s="14">
        <f t="shared" si="20"/>
        <v>0.39506172839506171</v>
      </c>
      <c r="F79" s="12">
        <f t="shared" si="21"/>
        <v>24.391111111111112</v>
      </c>
      <c r="G79" s="14">
        <f t="shared" si="22"/>
        <v>2.4391111111111113E-2</v>
      </c>
      <c r="H79" s="12"/>
      <c r="I79" s="12"/>
      <c r="J79" s="13"/>
      <c r="K79" s="12"/>
      <c r="M79" s="3">
        <f t="shared" ref="M79" si="28">D78/(7/12/3.281)</f>
        <v>21.935828571428569</v>
      </c>
      <c r="N79" s="3">
        <f t="shared" si="23"/>
        <v>21</v>
      </c>
      <c r="O79" s="3">
        <f t="shared" si="24"/>
        <v>0</v>
      </c>
    </row>
    <row r="80" spans="1:16" x14ac:dyDescent="0.25">
      <c r="A80" s="10"/>
      <c r="B80" s="16"/>
      <c r="C80" s="12">
        <v>15</v>
      </c>
      <c r="D80" s="14">
        <v>5.0999999999999996</v>
      </c>
      <c r="E80" s="14">
        <f t="shared" si="20"/>
        <v>0.39506172839506171</v>
      </c>
      <c r="F80" s="12">
        <f t="shared" si="21"/>
        <v>30.222222222222221</v>
      </c>
      <c r="G80" s="14">
        <f t="shared" si="22"/>
        <v>3.022222222222222E-2</v>
      </c>
      <c r="H80" s="12"/>
      <c r="I80" s="12"/>
      <c r="J80" s="13"/>
      <c r="K80" s="12"/>
      <c r="M80" s="3">
        <f t="shared" ref="M80" si="29">D81/(7/12/3.281)</f>
        <v>15.186342857142858</v>
      </c>
      <c r="N80" s="3">
        <f t="shared" si="23"/>
        <v>15</v>
      </c>
      <c r="O80" s="3">
        <f t="shared" si="24"/>
        <v>0</v>
      </c>
    </row>
    <row r="81" spans="1:15" x14ac:dyDescent="0.25">
      <c r="A81" s="10"/>
      <c r="B81" s="16"/>
      <c r="C81" s="12">
        <v>28</v>
      </c>
      <c r="D81" s="14">
        <v>2.7</v>
      </c>
      <c r="E81" s="14">
        <f t="shared" si="20"/>
        <v>0.39506172839506171</v>
      </c>
      <c r="F81" s="12">
        <f t="shared" si="21"/>
        <v>29.866666666666667</v>
      </c>
      <c r="G81" s="14">
        <f t="shared" si="22"/>
        <v>2.9866666666666666E-2</v>
      </c>
      <c r="H81" s="12"/>
      <c r="I81" s="12"/>
      <c r="J81" s="13"/>
      <c r="K81" s="12"/>
      <c r="M81" s="3">
        <f t="shared" ref="M81" si="30">D80/(7/12/3.281)</f>
        <v>28.685314285714284</v>
      </c>
      <c r="N81" s="3">
        <f t="shared" si="23"/>
        <v>28</v>
      </c>
      <c r="O81" s="3">
        <f t="shared" si="24"/>
        <v>0</v>
      </c>
    </row>
    <row r="82" spans="1:15" x14ac:dyDescent="0.25">
      <c r="A82" s="10"/>
      <c r="B82" s="16"/>
      <c r="C82" s="12">
        <v>16</v>
      </c>
      <c r="D82" s="14">
        <v>3.87</v>
      </c>
      <c r="E82" s="14">
        <f t="shared" si="20"/>
        <v>0.39506172839506171</v>
      </c>
      <c r="F82" s="12">
        <f t="shared" si="21"/>
        <v>24.46222222222222</v>
      </c>
      <c r="G82" s="14">
        <f t="shared" si="22"/>
        <v>2.4462222222222219E-2</v>
      </c>
      <c r="H82" s="12"/>
      <c r="I82" s="12"/>
      <c r="J82" s="13"/>
      <c r="K82" s="12"/>
      <c r="M82" s="3">
        <f t="shared" ref="M82" si="31">D83/(7/12/3.281)</f>
        <v>16.536239999999999</v>
      </c>
      <c r="N82" s="3">
        <f t="shared" si="23"/>
        <v>16</v>
      </c>
      <c r="O82" s="3">
        <f t="shared" si="24"/>
        <v>0</v>
      </c>
    </row>
    <row r="83" spans="1:15" x14ac:dyDescent="0.25">
      <c r="A83" s="10"/>
      <c r="B83" s="16"/>
      <c r="C83" s="12">
        <v>21</v>
      </c>
      <c r="D83" s="14">
        <v>2.94</v>
      </c>
      <c r="E83" s="14">
        <f t="shared" si="20"/>
        <v>0.39506172839506171</v>
      </c>
      <c r="F83" s="12">
        <f t="shared" si="21"/>
        <v>24.391111111111112</v>
      </c>
      <c r="G83" s="14">
        <f t="shared" si="22"/>
        <v>2.4391111111111113E-2</v>
      </c>
      <c r="H83" s="12"/>
      <c r="I83" s="12"/>
      <c r="J83" s="13"/>
      <c r="K83" s="12"/>
      <c r="M83" s="3">
        <f t="shared" ref="M83" si="32">D82/(7/12/3.281)</f>
        <v>21.76709142857143</v>
      </c>
      <c r="N83" s="3">
        <f t="shared" si="23"/>
        <v>21</v>
      </c>
      <c r="O83" s="3">
        <f t="shared" si="24"/>
        <v>0</v>
      </c>
    </row>
    <row r="84" spans="1:15" x14ac:dyDescent="0.25">
      <c r="A84" s="10"/>
      <c r="B84" s="16"/>
      <c r="C84" s="12">
        <v>16</v>
      </c>
      <c r="D84" s="14">
        <v>4.0599999999999996</v>
      </c>
      <c r="E84" s="14">
        <f t="shared" si="20"/>
        <v>0.39506172839506171</v>
      </c>
      <c r="F84" s="12">
        <f t="shared" si="21"/>
        <v>25.663209876543206</v>
      </c>
      <c r="G84" s="14">
        <f t="shared" si="22"/>
        <v>2.5663209876543205E-2</v>
      </c>
      <c r="H84" s="12"/>
      <c r="I84" s="12"/>
      <c r="J84" s="13"/>
      <c r="K84" s="12"/>
      <c r="M84" s="3">
        <f t="shared" ref="M84" si="33">D85/(7/12/3.281)</f>
        <v>16.479994285714287</v>
      </c>
      <c r="N84" s="3">
        <f t="shared" si="23"/>
        <v>16</v>
      </c>
      <c r="O84" s="3">
        <f t="shared" si="24"/>
        <v>0</v>
      </c>
    </row>
    <row r="85" spans="1:15" x14ac:dyDescent="0.25">
      <c r="A85" s="10"/>
      <c r="B85" s="16"/>
      <c r="C85" s="12">
        <v>22</v>
      </c>
      <c r="D85" s="14">
        <v>2.93</v>
      </c>
      <c r="E85" s="14">
        <f t="shared" si="20"/>
        <v>0.39506172839506171</v>
      </c>
      <c r="F85" s="12">
        <f t="shared" si="21"/>
        <v>25.465679012345682</v>
      </c>
      <c r="G85" s="14">
        <f t="shared" si="22"/>
        <v>2.5465679012345682E-2</v>
      </c>
      <c r="H85" s="12"/>
      <c r="I85" s="12"/>
      <c r="J85" s="13"/>
      <c r="K85" s="12"/>
      <c r="M85" s="3">
        <f t="shared" ref="M85" si="34">D84/(7/12/3.281)</f>
        <v>22.835759999999997</v>
      </c>
      <c r="N85" s="3">
        <f t="shared" si="23"/>
        <v>22</v>
      </c>
      <c r="O85" s="3">
        <f t="shared" si="24"/>
        <v>0</v>
      </c>
    </row>
    <row r="86" spans="1:15" x14ac:dyDescent="0.25">
      <c r="A86" s="10"/>
      <c r="B86" s="16"/>
      <c r="C86" s="12">
        <v>16</v>
      </c>
      <c r="D86" s="14">
        <v>4.0999999999999996</v>
      </c>
      <c r="E86" s="14">
        <f t="shared" si="20"/>
        <v>0.39506172839506171</v>
      </c>
      <c r="F86" s="12">
        <f t="shared" si="21"/>
        <v>25.916049382716047</v>
      </c>
      <c r="G86" s="14">
        <f t="shared" si="22"/>
        <v>2.5916049382716046E-2</v>
      </c>
      <c r="H86" s="12"/>
      <c r="I86" s="12"/>
      <c r="J86" s="13"/>
      <c r="K86" s="12"/>
      <c r="M86" s="3">
        <f t="shared" ref="M86" si="35">D87/(7/12/3.281)</f>
        <v>16.536239999999999</v>
      </c>
      <c r="N86" s="3">
        <f t="shared" si="23"/>
        <v>16</v>
      </c>
      <c r="O86" s="3">
        <f t="shared" si="24"/>
        <v>0</v>
      </c>
    </row>
    <row r="87" spans="1:15" x14ac:dyDescent="0.25">
      <c r="A87" s="10"/>
      <c r="B87" s="16"/>
      <c r="C87" s="12">
        <v>23</v>
      </c>
      <c r="D87" s="14">
        <v>2.94</v>
      </c>
      <c r="E87" s="14">
        <f t="shared" si="20"/>
        <v>0.39506172839506171</v>
      </c>
      <c r="F87" s="12">
        <f t="shared" si="21"/>
        <v>26.714074074074073</v>
      </c>
      <c r="G87" s="14">
        <f t="shared" si="22"/>
        <v>2.6714074074074074E-2</v>
      </c>
      <c r="H87" s="12"/>
      <c r="I87" s="12"/>
      <c r="J87" s="13"/>
      <c r="K87" s="12"/>
      <c r="M87" s="3">
        <f t="shared" ref="M87" si="36">D86/(7/12/3.281)</f>
        <v>23.060742857142856</v>
      </c>
      <c r="N87" s="3">
        <f t="shared" si="23"/>
        <v>23</v>
      </c>
      <c r="O87" s="3">
        <f t="shared" si="24"/>
        <v>0</v>
      </c>
    </row>
    <row r="88" spans="1:15" x14ac:dyDescent="0.25">
      <c r="A88" s="10"/>
      <c r="B88" s="16"/>
      <c r="C88" s="12">
        <v>15</v>
      </c>
      <c r="D88" s="14">
        <v>4.13</v>
      </c>
      <c r="E88" s="14">
        <f t="shared" si="20"/>
        <v>0.39506172839506171</v>
      </c>
      <c r="F88" s="12">
        <f t="shared" si="21"/>
        <v>24.474074074074071</v>
      </c>
      <c r="G88" s="14">
        <f t="shared" si="22"/>
        <v>2.4474074074074072E-2</v>
      </c>
      <c r="H88" s="12"/>
      <c r="I88" s="12"/>
      <c r="J88" s="13"/>
      <c r="K88" s="12"/>
      <c r="M88" s="3">
        <f t="shared" ref="M88" si="37">D89/(7/12/3.281)</f>
        <v>15.186342857142858</v>
      </c>
      <c r="N88" s="3">
        <f t="shared" si="23"/>
        <v>15</v>
      </c>
      <c r="O88" s="3">
        <f t="shared" si="24"/>
        <v>0</v>
      </c>
    </row>
    <row r="89" spans="1:15" x14ac:dyDescent="0.25">
      <c r="A89" s="10"/>
      <c r="B89" s="16"/>
      <c r="C89" s="12">
        <v>23</v>
      </c>
      <c r="D89" s="14">
        <v>2.7</v>
      </c>
      <c r="E89" s="14">
        <f t="shared" si="20"/>
        <v>0.39506172839506171</v>
      </c>
      <c r="F89" s="12">
        <f t="shared" si="21"/>
        <v>24.533333333333331</v>
      </c>
      <c r="G89" s="14">
        <f t="shared" si="22"/>
        <v>2.4533333333333331E-2</v>
      </c>
      <c r="H89" s="12"/>
      <c r="I89" s="12"/>
      <c r="J89" s="13"/>
      <c r="K89" s="12"/>
      <c r="M89" s="3">
        <f t="shared" ref="M89" si="38">D88/(7/12/3.281)</f>
        <v>23.229479999999999</v>
      </c>
      <c r="N89" s="3">
        <f t="shared" si="23"/>
        <v>23</v>
      </c>
      <c r="O89" s="3">
        <f t="shared" si="24"/>
        <v>0</v>
      </c>
    </row>
    <row r="90" spans="1:15" x14ac:dyDescent="0.25">
      <c r="A90" s="10"/>
      <c r="B90" s="16"/>
      <c r="C90" s="12">
        <v>16</v>
      </c>
      <c r="D90" s="14">
        <v>2.82</v>
      </c>
      <c r="E90" s="14">
        <f t="shared" si="20"/>
        <v>0.39506172839506171</v>
      </c>
      <c r="F90" s="12">
        <f t="shared" si="21"/>
        <v>17.825185185185184</v>
      </c>
      <c r="G90" s="14">
        <f t="shared" si="22"/>
        <v>1.7825185185185183E-2</v>
      </c>
      <c r="H90" s="12"/>
      <c r="I90" s="12"/>
      <c r="J90" s="13"/>
      <c r="K90" s="12"/>
      <c r="M90" s="3">
        <f t="shared" ref="M90" si="39">D91/(7/12/3.281)</f>
        <v>16.704977142857143</v>
      </c>
      <c r="N90" s="3">
        <f t="shared" si="23"/>
        <v>16</v>
      </c>
      <c r="O90" s="3">
        <f t="shared" si="24"/>
        <v>0</v>
      </c>
    </row>
    <row r="91" spans="1:15" x14ac:dyDescent="0.25">
      <c r="A91" s="10"/>
      <c r="B91" s="16"/>
      <c r="C91" s="12">
        <v>15</v>
      </c>
      <c r="D91" s="14">
        <v>2.97</v>
      </c>
      <c r="E91" s="14">
        <f t="shared" si="20"/>
        <v>0.39506172839506171</v>
      </c>
      <c r="F91" s="12">
        <f t="shared" si="21"/>
        <v>17.600000000000001</v>
      </c>
      <c r="G91" s="14">
        <f t="shared" si="22"/>
        <v>1.7600000000000001E-2</v>
      </c>
      <c r="H91" s="12"/>
      <c r="I91" s="12"/>
      <c r="J91" s="13"/>
      <c r="K91" s="12"/>
      <c r="M91" s="3">
        <f t="shared" ref="M91" si="40">D90/(7/12/3.281)</f>
        <v>15.861291428571427</v>
      </c>
      <c r="N91" s="3">
        <f t="shared" si="23"/>
        <v>15</v>
      </c>
      <c r="O91" s="3">
        <f t="shared" si="24"/>
        <v>0</v>
      </c>
    </row>
    <row r="92" spans="1:15" x14ac:dyDescent="0.25">
      <c r="A92" s="10"/>
      <c r="B92" s="16"/>
      <c r="C92" s="12">
        <v>16</v>
      </c>
      <c r="D92" s="14">
        <v>4.0999999999999996</v>
      </c>
      <c r="E92" s="14">
        <f t="shared" si="20"/>
        <v>0.39506172839506171</v>
      </c>
      <c r="F92" s="12">
        <f t="shared" si="21"/>
        <v>25.916049382716047</v>
      </c>
      <c r="G92" s="14">
        <f t="shared" si="22"/>
        <v>2.5916049382716046E-2</v>
      </c>
      <c r="H92" s="12"/>
      <c r="I92" s="12"/>
      <c r="J92" s="13"/>
      <c r="K92" s="12"/>
      <c r="M92" s="3">
        <f t="shared" ref="M92" si="41">D93/(7/12/3.281)</f>
        <v>16.479994285714287</v>
      </c>
      <c r="N92" s="3">
        <f t="shared" si="23"/>
        <v>16</v>
      </c>
      <c r="O92" s="3">
        <f t="shared" si="24"/>
        <v>0</v>
      </c>
    </row>
    <row r="93" spans="1:15" x14ac:dyDescent="0.25">
      <c r="A93" s="10"/>
      <c r="B93" s="16"/>
      <c r="C93" s="12">
        <v>23</v>
      </c>
      <c r="D93" s="14">
        <v>2.93</v>
      </c>
      <c r="E93" s="14">
        <f t="shared" si="20"/>
        <v>0.39506172839506171</v>
      </c>
      <c r="F93" s="12">
        <f t="shared" si="21"/>
        <v>26.623209876543207</v>
      </c>
      <c r="G93" s="14">
        <f t="shared" si="22"/>
        <v>2.6623209876543208E-2</v>
      </c>
      <c r="H93" s="12"/>
      <c r="I93" s="12"/>
      <c r="J93" s="13"/>
      <c r="K93" s="12"/>
      <c r="M93" s="3">
        <f t="shared" ref="M93" si="42">D92/(7/12/3.281)</f>
        <v>23.060742857142856</v>
      </c>
      <c r="N93" s="3">
        <f t="shared" si="23"/>
        <v>23</v>
      </c>
      <c r="O93" s="3">
        <f t="shared" si="24"/>
        <v>0</v>
      </c>
    </row>
    <row r="94" spans="1:15" x14ac:dyDescent="0.25">
      <c r="A94" s="10"/>
      <c r="B94" s="16"/>
      <c r="C94" s="12">
        <v>16</v>
      </c>
      <c r="D94" s="14">
        <v>3.55</v>
      </c>
      <c r="E94" s="14">
        <f t="shared" si="20"/>
        <v>0.39506172839506171</v>
      </c>
      <c r="F94" s="12">
        <f t="shared" si="21"/>
        <v>22.439506172839504</v>
      </c>
      <c r="G94" s="14">
        <f t="shared" si="22"/>
        <v>2.2439506172839505E-2</v>
      </c>
      <c r="H94" s="12"/>
      <c r="I94" s="12"/>
      <c r="J94" s="13"/>
      <c r="K94" s="12"/>
      <c r="M94" s="3">
        <f t="shared" ref="M94" si="43">D95/(7/12/3.281)</f>
        <v>16.536239999999999</v>
      </c>
      <c r="N94" s="3">
        <f t="shared" si="23"/>
        <v>16</v>
      </c>
      <c r="O94" s="3">
        <f t="shared" si="24"/>
        <v>0</v>
      </c>
    </row>
    <row r="95" spans="1:15" x14ac:dyDescent="0.25">
      <c r="A95" s="10"/>
      <c r="B95" s="16"/>
      <c r="C95" s="12">
        <v>19</v>
      </c>
      <c r="D95" s="14">
        <v>2.94</v>
      </c>
      <c r="E95" s="14">
        <f t="shared" si="20"/>
        <v>0.39506172839506171</v>
      </c>
      <c r="F95" s="12">
        <f t="shared" si="21"/>
        <v>22.068148148148147</v>
      </c>
      <c r="G95" s="14">
        <f t="shared" si="22"/>
        <v>2.2068148148148146E-2</v>
      </c>
      <c r="H95" s="12"/>
      <c r="I95" s="12"/>
      <c r="J95" s="13"/>
      <c r="K95" s="12"/>
      <c r="M95" s="3">
        <f t="shared" ref="M95" si="44">D94/(7/12/3.281)</f>
        <v>19.967228571428571</v>
      </c>
      <c r="N95" s="3">
        <f t="shared" si="23"/>
        <v>19</v>
      </c>
      <c r="O95" s="3">
        <f t="shared" si="24"/>
        <v>0</v>
      </c>
    </row>
    <row r="96" spans="1:15" x14ac:dyDescent="0.25">
      <c r="A96" s="10"/>
      <c r="B96" s="16"/>
      <c r="C96" s="12">
        <v>16</v>
      </c>
      <c r="D96" s="14">
        <v>3.56</v>
      </c>
      <c r="E96" s="14">
        <f t="shared" si="20"/>
        <v>0.39506172839506171</v>
      </c>
      <c r="F96" s="12">
        <f t="shared" si="21"/>
        <v>22.502716049382716</v>
      </c>
      <c r="G96" s="14">
        <f t="shared" si="22"/>
        <v>2.2502716049382716E-2</v>
      </c>
      <c r="H96" s="12"/>
      <c r="I96" s="12"/>
      <c r="J96" s="13"/>
      <c r="K96" s="12"/>
      <c r="M96" s="3">
        <f t="shared" ref="M96" si="45">D97/(7/12/3.281)</f>
        <v>16.536239999999999</v>
      </c>
      <c r="N96" s="3">
        <f t="shared" si="23"/>
        <v>16</v>
      </c>
      <c r="O96" s="3">
        <f t="shared" si="24"/>
        <v>0</v>
      </c>
    </row>
    <row r="97" spans="1:15" x14ac:dyDescent="0.25">
      <c r="A97" s="10"/>
      <c r="B97" s="16"/>
      <c r="C97" s="12">
        <v>20</v>
      </c>
      <c r="D97" s="14">
        <v>2.94</v>
      </c>
      <c r="E97" s="14">
        <f t="shared" si="20"/>
        <v>0.39506172839506171</v>
      </c>
      <c r="F97" s="12">
        <f t="shared" si="21"/>
        <v>23.229629629629628</v>
      </c>
      <c r="G97" s="14">
        <f t="shared" si="22"/>
        <v>2.3229629629629628E-2</v>
      </c>
      <c r="H97" s="12"/>
      <c r="I97" s="12"/>
      <c r="J97" s="13"/>
      <c r="K97" s="12"/>
      <c r="M97" s="3">
        <f t="shared" ref="M97" si="46">D96/(7/12/3.281)</f>
        <v>20.023474285714286</v>
      </c>
      <c r="N97" s="3">
        <f t="shared" si="23"/>
        <v>20</v>
      </c>
      <c r="O97" s="3">
        <f t="shared" si="24"/>
        <v>0</v>
      </c>
    </row>
    <row r="98" spans="1:15" x14ac:dyDescent="0.25">
      <c r="A98" s="10"/>
      <c r="B98" s="16"/>
      <c r="C98" s="12">
        <v>16</v>
      </c>
      <c r="D98" s="14">
        <v>6.4</v>
      </c>
      <c r="E98" s="14">
        <f t="shared" si="20"/>
        <v>0.39506172839506171</v>
      </c>
      <c r="F98" s="12">
        <f t="shared" si="21"/>
        <v>40.45432098765432</v>
      </c>
      <c r="G98" s="14">
        <f t="shared" si="22"/>
        <v>4.0454320987654321E-2</v>
      </c>
      <c r="H98" s="12"/>
      <c r="I98" s="12"/>
      <c r="J98" s="13"/>
      <c r="K98" s="12"/>
      <c r="M98" s="3">
        <f t="shared" ref="M98" si="47">D99/(7/12/3.281)</f>
        <v>16.479994285714287</v>
      </c>
      <c r="N98" s="3">
        <f t="shared" si="23"/>
        <v>16</v>
      </c>
      <c r="O98" s="3">
        <f t="shared" si="24"/>
        <v>0</v>
      </c>
    </row>
    <row r="99" spans="1:15" x14ac:dyDescent="0.25">
      <c r="A99" s="10"/>
      <c r="B99" s="16"/>
      <c r="C99" s="12">
        <v>35</v>
      </c>
      <c r="D99" s="14">
        <v>2.93</v>
      </c>
      <c r="E99" s="14">
        <f t="shared" si="20"/>
        <v>0.39506172839506171</v>
      </c>
      <c r="F99" s="12">
        <f t="shared" si="21"/>
        <v>40.513580246913584</v>
      </c>
      <c r="G99" s="14">
        <f t="shared" si="22"/>
        <v>4.0513580246913587E-2</v>
      </c>
      <c r="H99" s="12"/>
      <c r="I99" s="12"/>
      <c r="J99" s="13"/>
      <c r="K99" s="12"/>
      <c r="M99" s="3">
        <f t="shared" ref="M99" si="48">D98/(7/12/3.281)</f>
        <v>35.997257142857144</v>
      </c>
      <c r="N99" s="3">
        <f t="shared" si="23"/>
        <v>35</v>
      </c>
      <c r="O99" s="3">
        <f t="shared" si="24"/>
        <v>0</v>
      </c>
    </row>
    <row r="100" spans="1:15" x14ac:dyDescent="0.25">
      <c r="A100" s="10"/>
      <c r="B100" s="16"/>
      <c r="C100" s="12">
        <v>16</v>
      </c>
      <c r="D100" s="14">
        <v>3.8</v>
      </c>
      <c r="E100" s="14">
        <f t="shared" si="20"/>
        <v>0.39506172839506171</v>
      </c>
      <c r="F100" s="12">
        <f t="shared" si="21"/>
        <v>24.019753086419751</v>
      </c>
      <c r="G100" s="14">
        <f t="shared" si="22"/>
        <v>2.4019753086419751E-2</v>
      </c>
      <c r="H100" s="12"/>
      <c r="I100" s="12"/>
      <c r="J100" s="13"/>
      <c r="K100" s="12"/>
      <c r="M100" s="3">
        <f t="shared" ref="M100" si="49">D101/(7/12/3.281)</f>
        <v>16.479994285714287</v>
      </c>
      <c r="N100" s="3">
        <f t="shared" si="23"/>
        <v>16</v>
      </c>
      <c r="O100" s="3">
        <f t="shared" si="24"/>
        <v>0</v>
      </c>
    </row>
    <row r="101" spans="1:15" x14ac:dyDescent="0.25">
      <c r="A101" s="10"/>
      <c r="B101" s="16"/>
      <c r="C101" s="12">
        <v>21</v>
      </c>
      <c r="D101" s="14">
        <v>2.93</v>
      </c>
      <c r="E101" s="14">
        <f t="shared" si="20"/>
        <v>0.39506172839506171</v>
      </c>
      <c r="F101" s="12">
        <f t="shared" si="21"/>
        <v>24.308148148148149</v>
      </c>
      <c r="G101" s="14">
        <f t="shared" si="22"/>
        <v>2.4308148148148148E-2</v>
      </c>
      <c r="H101" s="12"/>
      <c r="I101" s="12"/>
      <c r="J101" s="13"/>
      <c r="K101" s="12"/>
      <c r="M101" s="3">
        <f t="shared" ref="M101" si="50">D100/(7/12/3.281)</f>
        <v>21.373371428571428</v>
      </c>
      <c r="N101" s="3">
        <f t="shared" si="23"/>
        <v>21</v>
      </c>
      <c r="O101" s="3">
        <f t="shared" si="24"/>
        <v>0</v>
      </c>
    </row>
    <row r="102" spans="1:15" s="21" customFormat="1" x14ac:dyDescent="0.25">
      <c r="A102" s="15"/>
      <c r="B102" s="16" t="s">
        <v>26</v>
      </c>
      <c r="C102" s="17"/>
      <c r="D102" s="1"/>
      <c r="E102" s="18"/>
      <c r="F102" s="18"/>
      <c r="G102" s="19">
        <f>SUM(G74:G101)</f>
        <v>0.7214972839506173</v>
      </c>
      <c r="H102" s="20" t="s">
        <v>43</v>
      </c>
      <c r="I102" s="2">
        <v>124355</v>
      </c>
      <c r="J102" s="19">
        <f>G102*I102</f>
        <v>89721.794745679013</v>
      </c>
      <c r="K102" s="18"/>
    </row>
    <row r="103" spans="1:15" x14ac:dyDescent="0.25">
      <c r="A103" s="10"/>
      <c r="B103" s="22" t="s">
        <v>44</v>
      </c>
      <c r="C103" s="12"/>
      <c r="D103" s="12"/>
      <c r="E103" s="12"/>
      <c r="F103" s="12"/>
      <c r="G103" s="12"/>
      <c r="H103" s="12"/>
      <c r="I103" s="12"/>
      <c r="J103" s="13">
        <f>0.13*G102*110000</f>
        <v>10317.411160493828</v>
      </c>
      <c r="K103" s="12"/>
    </row>
    <row r="104" spans="1:15" x14ac:dyDescent="0.25">
      <c r="A104" s="10"/>
      <c r="B104" s="22" t="s">
        <v>45</v>
      </c>
      <c r="C104" s="12"/>
      <c r="D104" s="12"/>
      <c r="E104" s="12"/>
      <c r="F104" s="12"/>
      <c r="G104" s="12"/>
      <c r="H104" s="12"/>
      <c r="I104" s="12"/>
      <c r="J104" s="13">
        <f>0.13*G102*960</f>
        <v>90.042861037037042</v>
      </c>
      <c r="K104" s="12"/>
    </row>
    <row r="105" spans="1:15" x14ac:dyDescent="0.25">
      <c r="A105" s="10"/>
      <c r="B105" s="22"/>
      <c r="C105" s="12"/>
      <c r="D105" s="12"/>
      <c r="E105" s="12"/>
      <c r="F105" s="12"/>
      <c r="G105" s="12"/>
      <c r="H105" s="12"/>
      <c r="I105" s="12"/>
      <c r="J105" s="13"/>
      <c r="K105" s="12"/>
    </row>
    <row r="106" spans="1:15" ht="15" customHeight="1" x14ac:dyDescent="0.25">
      <c r="A106" s="15">
        <v>5</v>
      </c>
      <c r="B106" s="24" t="s">
        <v>47</v>
      </c>
      <c r="C106" s="17">
        <v>1</v>
      </c>
      <c r="D106" s="1"/>
      <c r="E106" s="18"/>
      <c r="F106" s="18"/>
      <c r="G106" s="20">
        <f t="shared" ref="G106" si="51">PRODUCT(C106:F106)</f>
        <v>1</v>
      </c>
      <c r="H106" s="20" t="s">
        <v>48</v>
      </c>
      <c r="I106" s="2">
        <v>5000</v>
      </c>
      <c r="J106" s="20">
        <f>G106*I106</f>
        <v>5000</v>
      </c>
      <c r="K106" s="18"/>
    </row>
    <row r="107" spans="1:15" x14ac:dyDescent="0.25">
      <c r="A107" s="15"/>
      <c r="B107" s="25"/>
      <c r="C107" s="17"/>
      <c r="D107" s="1"/>
      <c r="E107" s="18"/>
      <c r="F107" s="18"/>
      <c r="G107" s="2"/>
      <c r="H107" s="20"/>
      <c r="I107" s="2"/>
      <c r="J107" s="13"/>
      <c r="K107" s="18"/>
    </row>
    <row r="108" spans="1:15" ht="15" customHeight="1" x14ac:dyDescent="0.25">
      <c r="A108" s="15">
        <v>6</v>
      </c>
      <c r="B108" s="24" t="s">
        <v>16</v>
      </c>
      <c r="C108" s="17">
        <v>1</v>
      </c>
      <c r="D108" s="1"/>
      <c r="E108" s="18"/>
      <c r="F108" s="18"/>
      <c r="G108" s="20">
        <f t="shared" ref="G108" si="52">PRODUCT(C108:F108)</f>
        <v>1</v>
      </c>
      <c r="H108" s="20" t="s">
        <v>17</v>
      </c>
      <c r="I108" s="2">
        <v>500</v>
      </c>
      <c r="J108" s="20">
        <f>G108*I108</f>
        <v>500</v>
      </c>
      <c r="K108" s="18"/>
    </row>
    <row r="109" spans="1:15" x14ac:dyDescent="0.25">
      <c r="A109" s="15"/>
      <c r="B109" s="25"/>
      <c r="C109" s="17"/>
      <c r="D109" s="1"/>
      <c r="E109" s="18"/>
      <c r="F109" s="18"/>
      <c r="G109" s="2"/>
      <c r="H109" s="20"/>
      <c r="I109" s="2"/>
      <c r="J109" s="13"/>
      <c r="K109" s="18"/>
    </row>
    <row r="110" spans="1:15" x14ac:dyDescent="0.25">
      <c r="A110" s="26"/>
      <c r="B110" s="27" t="s">
        <v>19</v>
      </c>
      <c r="C110" s="28"/>
      <c r="D110" s="29"/>
      <c r="E110" s="29"/>
      <c r="F110" s="29"/>
      <c r="G110" s="13"/>
      <c r="H110" s="13"/>
      <c r="I110" s="13"/>
      <c r="J110" s="13">
        <f>SUM(J9:J108)</f>
        <v>563256.49796061974</v>
      </c>
      <c r="K110" s="30"/>
    </row>
    <row r="112" spans="1:15" s="21" customFormat="1" x14ac:dyDescent="0.25">
      <c r="A112" s="31"/>
      <c r="B112" s="32" t="s">
        <v>18</v>
      </c>
      <c r="C112" s="72">
        <f>J110</f>
        <v>563256.49796061974</v>
      </c>
      <c r="D112" s="73"/>
      <c r="E112" s="33">
        <v>100</v>
      </c>
      <c r="F112" s="31"/>
      <c r="G112" s="34"/>
      <c r="H112" s="31"/>
      <c r="I112" s="35"/>
      <c r="J112" s="36"/>
      <c r="K112" s="37"/>
    </row>
    <row r="113" spans="2:5" x14ac:dyDescent="0.25">
      <c r="B113" s="32" t="s">
        <v>20</v>
      </c>
      <c r="C113" s="76">
        <v>500000</v>
      </c>
      <c r="D113" s="77"/>
      <c r="E113" s="33"/>
    </row>
    <row r="114" spans="2:5" x14ac:dyDescent="0.25">
      <c r="B114" s="32" t="s">
        <v>21</v>
      </c>
      <c r="C114" s="76">
        <f>C113-C116-C117</f>
        <v>475000</v>
      </c>
      <c r="D114" s="77"/>
      <c r="E114" s="33">
        <f>C114/C112*100</f>
        <v>84.331028886454106</v>
      </c>
    </row>
    <row r="115" spans="2:5" x14ac:dyDescent="0.25">
      <c r="B115" s="32" t="s">
        <v>25</v>
      </c>
      <c r="C115" s="78">
        <f>C112-C114</f>
        <v>88256.497960619745</v>
      </c>
      <c r="D115" s="78"/>
      <c r="E115" s="33">
        <f>100-E114</f>
        <v>15.668971113545894</v>
      </c>
    </row>
    <row r="116" spans="2:5" x14ac:dyDescent="0.25">
      <c r="B116" s="32" t="s">
        <v>22</v>
      </c>
      <c r="C116" s="72">
        <f>C113*0.03</f>
        <v>15000</v>
      </c>
      <c r="D116" s="73"/>
      <c r="E116" s="33">
        <v>3</v>
      </c>
    </row>
    <row r="117" spans="2:5" x14ac:dyDescent="0.25">
      <c r="B117" s="32" t="s">
        <v>23</v>
      </c>
      <c r="C117" s="72">
        <f>C113*0.02</f>
        <v>10000</v>
      </c>
      <c r="D117" s="73"/>
      <c r="E117" s="33">
        <v>2</v>
      </c>
    </row>
  </sheetData>
  <mergeCells count="15">
    <mergeCell ref="C116:D116"/>
    <mergeCell ref="C117:D117"/>
    <mergeCell ref="A7:F7"/>
    <mergeCell ref="H7:K7"/>
    <mergeCell ref="C112:D112"/>
    <mergeCell ref="C113:D113"/>
    <mergeCell ref="C114:D114"/>
    <mergeCell ref="C115:D115"/>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rowBreaks count="1" manualBreakCount="1">
    <brk id="107" max="10"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5AE00-3B69-4334-8160-184E0D6CBEFD}">
  <dimension ref="A1:H18"/>
  <sheetViews>
    <sheetView workbookViewId="0">
      <pane ySplit="1" topLeftCell="A2" activePane="bottomLeft" state="frozen"/>
      <selection pane="bottomLeft" activeCell="F15" sqref="F15"/>
    </sheetView>
  </sheetViews>
  <sheetFormatPr defaultRowHeight="15" x14ac:dyDescent="0.25"/>
  <cols>
    <col min="1" max="1" width="11.140625" bestFit="1" customWidth="1"/>
    <col min="3" max="3" width="9.140625" style="40"/>
    <col min="5" max="5" width="9.140625" style="40"/>
    <col min="7" max="7" width="9.140625" style="40"/>
    <col min="8" max="8" width="19" bestFit="1" customWidth="1"/>
  </cols>
  <sheetData>
    <row r="1" spans="1:8" x14ac:dyDescent="0.25">
      <c r="A1" s="41" t="s">
        <v>52</v>
      </c>
      <c r="B1" s="41" t="s">
        <v>51</v>
      </c>
      <c r="C1" s="42" t="s">
        <v>8</v>
      </c>
      <c r="D1" s="41"/>
      <c r="E1" s="42" t="s">
        <v>9</v>
      </c>
      <c r="F1" s="41"/>
      <c r="G1" s="42" t="s">
        <v>10</v>
      </c>
      <c r="H1" s="41" t="s">
        <v>53</v>
      </c>
    </row>
    <row r="2" spans="1:8" x14ac:dyDescent="0.25">
      <c r="A2" s="41"/>
      <c r="B2" s="41">
        <v>0</v>
      </c>
      <c r="C2" s="42"/>
      <c r="D2" s="43">
        <f>11/3.281</f>
        <v>3.3526363913441024</v>
      </c>
      <c r="E2" s="42"/>
      <c r="F2" s="43">
        <f>10/12/3.281</f>
        <v>0.25398760540485626</v>
      </c>
      <c r="G2" s="42"/>
      <c r="H2" s="41" t="s">
        <v>54</v>
      </c>
    </row>
    <row r="3" spans="1:8" x14ac:dyDescent="0.25">
      <c r="A3" s="41"/>
      <c r="B3" s="41">
        <v>5</v>
      </c>
      <c r="C3" s="42">
        <v>5</v>
      </c>
      <c r="D3" s="43">
        <f>11.25/3.281</f>
        <v>3.4288326729655592</v>
      </c>
      <c r="E3" s="44">
        <f>(D2+D3)/2</f>
        <v>3.3907345321548306</v>
      </c>
      <c r="F3" s="43">
        <f>0.3</f>
        <v>0.3</v>
      </c>
      <c r="G3" s="44">
        <f>(F2+F3)/2</f>
        <v>0.27699380270242813</v>
      </c>
      <c r="H3" s="41" t="s">
        <v>54</v>
      </c>
    </row>
    <row r="4" spans="1:8" x14ac:dyDescent="0.25">
      <c r="A4" s="41"/>
      <c r="B4" s="41">
        <v>5</v>
      </c>
      <c r="C4" s="42">
        <v>5</v>
      </c>
      <c r="D4" s="43">
        <f>10.5/3.281</f>
        <v>3.2002438281011885</v>
      </c>
      <c r="E4" s="44">
        <f t="shared" ref="E4:E18" si="0">(D3+D4)/2</f>
        <v>3.3145382505333738</v>
      </c>
      <c r="F4" s="43">
        <f>10/12/3.281</f>
        <v>0.25398760540485626</v>
      </c>
      <c r="G4" s="44">
        <f t="shared" ref="G4:G18" si="1">(F3+F4)/2</f>
        <v>0.27699380270242813</v>
      </c>
      <c r="H4" s="41" t="s">
        <v>54</v>
      </c>
    </row>
    <row r="5" spans="1:8" x14ac:dyDescent="0.25">
      <c r="A5" s="41"/>
      <c r="B5" s="41">
        <v>5</v>
      </c>
      <c r="C5" s="42">
        <v>5</v>
      </c>
      <c r="D5" s="43">
        <f>9.33/3.281</f>
        <v>2.8436452301127706</v>
      </c>
      <c r="E5" s="44">
        <f t="shared" si="0"/>
        <v>3.0219445291069795</v>
      </c>
      <c r="F5" s="43">
        <f>10/12/3.281</f>
        <v>0.25398760540485626</v>
      </c>
      <c r="G5" s="44">
        <f t="shared" si="1"/>
        <v>0.25398760540485626</v>
      </c>
      <c r="H5" s="41" t="s">
        <v>54</v>
      </c>
    </row>
    <row r="6" spans="1:8" x14ac:dyDescent="0.25">
      <c r="A6" s="41"/>
      <c r="B6" s="41">
        <v>5</v>
      </c>
      <c r="C6" s="42">
        <v>5</v>
      </c>
      <c r="D6" s="43">
        <f>10.25/3.281</f>
        <v>3.1240475464797317</v>
      </c>
      <c r="E6" s="44">
        <f t="shared" si="0"/>
        <v>2.9838463882962509</v>
      </c>
      <c r="F6" s="43">
        <f>10.5/12/3.281</f>
        <v>0.26668698567509902</v>
      </c>
      <c r="G6" s="44">
        <f t="shared" si="1"/>
        <v>0.26033729553997764</v>
      </c>
      <c r="H6" s="41" t="s">
        <v>54</v>
      </c>
    </row>
    <row r="7" spans="1:8" x14ac:dyDescent="0.25">
      <c r="A7" s="41"/>
      <c r="B7" s="41">
        <v>5</v>
      </c>
      <c r="C7" s="42">
        <v>5</v>
      </c>
      <c r="D7" s="43">
        <f>10.5/3.281</f>
        <v>3.2002438281011885</v>
      </c>
      <c r="E7" s="44">
        <f t="shared" si="0"/>
        <v>3.1621456872904599</v>
      </c>
      <c r="F7" s="43">
        <f t="shared" ref="F7:F8" si="2">10.5/12/3.281</f>
        <v>0.26668698567509902</v>
      </c>
      <c r="G7" s="44">
        <f t="shared" si="1"/>
        <v>0.26668698567509902</v>
      </c>
      <c r="H7" s="41" t="s">
        <v>54</v>
      </c>
    </row>
    <row r="8" spans="1:8" x14ac:dyDescent="0.25">
      <c r="A8" s="41"/>
      <c r="B8" s="41">
        <v>5</v>
      </c>
      <c r="C8" s="42">
        <v>5</v>
      </c>
      <c r="D8" s="43">
        <f>9.75/3.281</f>
        <v>2.9716549832368178</v>
      </c>
      <c r="E8" s="44">
        <f t="shared" si="0"/>
        <v>3.0859494056690031</v>
      </c>
      <c r="F8" s="43">
        <f t="shared" si="2"/>
        <v>0.26668698567509902</v>
      </c>
      <c r="G8" s="44">
        <f t="shared" si="1"/>
        <v>0.26668698567509902</v>
      </c>
      <c r="H8" s="41" t="s">
        <v>54</v>
      </c>
    </row>
    <row r="9" spans="1:8" x14ac:dyDescent="0.25">
      <c r="A9" s="41"/>
      <c r="B9" s="41">
        <v>5</v>
      </c>
      <c r="C9" s="42">
        <v>5</v>
      </c>
      <c r="D9" s="43">
        <f>10.833/3.281</f>
        <v>3.3017372752209693</v>
      </c>
      <c r="E9" s="44">
        <f t="shared" si="0"/>
        <v>3.1366961292288935</v>
      </c>
      <c r="F9" s="43">
        <f>10/12/3.281</f>
        <v>0.25398760540485626</v>
      </c>
      <c r="G9" s="44">
        <f t="shared" si="1"/>
        <v>0.26033729553997764</v>
      </c>
      <c r="H9" s="41" t="s">
        <v>54</v>
      </c>
    </row>
    <row r="10" spans="1:8" x14ac:dyDescent="0.25">
      <c r="A10" s="41"/>
      <c r="B10" s="41">
        <v>5</v>
      </c>
      <c r="C10" s="42">
        <v>5</v>
      </c>
      <c r="D10" s="43">
        <f>9.75/3.281</f>
        <v>2.9716549832368178</v>
      </c>
      <c r="E10" s="44">
        <f t="shared" si="0"/>
        <v>3.1366961292288935</v>
      </c>
      <c r="F10" s="43">
        <f t="shared" ref="F10:F12" si="3">10/12/3.281</f>
        <v>0.25398760540485626</v>
      </c>
      <c r="G10" s="44">
        <f t="shared" si="1"/>
        <v>0.25398760540485626</v>
      </c>
      <c r="H10" s="41" t="s">
        <v>54</v>
      </c>
    </row>
    <row r="11" spans="1:8" x14ac:dyDescent="0.25">
      <c r="A11" s="41"/>
      <c r="B11" s="41">
        <v>5</v>
      </c>
      <c r="C11" s="42">
        <v>5</v>
      </c>
      <c r="D11" s="43">
        <f>10.75/3.281</f>
        <v>3.2764401097226452</v>
      </c>
      <c r="E11" s="44">
        <f t="shared" si="0"/>
        <v>3.1240475464797317</v>
      </c>
      <c r="F11" s="43">
        <f t="shared" si="3"/>
        <v>0.25398760540485626</v>
      </c>
      <c r="G11" s="44">
        <f t="shared" si="1"/>
        <v>0.25398760540485626</v>
      </c>
      <c r="H11" s="41" t="s">
        <v>54</v>
      </c>
    </row>
    <row r="12" spans="1:8" x14ac:dyDescent="0.25">
      <c r="A12" s="41"/>
      <c r="B12" s="41">
        <v>5</v>
      </c>
      <c r="C12" s="42">
        <v>5</v>
      </c>
      <c r="D12" s="43">
        <f>10.25/3.281</f>
        <v>3.1240475464797317</v>
      </c>
      <c r="E12" s="44">
        <f t="shared" si="0"/>
        <v>3.2002438281011885</v>
      </c>
      <c r="F12" s="43">
        <f t="shared" si="3"/>
        <v>0.25398760540485626</v>
      </c>
      <c r="G12" s="44">
        <f t="shared" si="1"/>
        <v>0.25398760540485626</v>
      </c>
      <c r="H12" s="41" t="s">
        <v>54</v>
      </c>
    </row>
    <row r="13" spans="1:8" x14ac:dyDescent="0.25">
      <c r="A13" s="41"/>
      <c r="B13" s="41">
        <v>5</v>
      </c>
      <c r="C13" s="42">
        <v>5</v>
      </c>
      <c r="D13" s="43">
        <f>10.25/3.281</f>
        <v>3.1240475464797317</v>
      </c>
      <c r="E13" s="44">
        <f t="shared" si="0"/>
        <v>3.1240475464797317</v>
      </c>
      <c r="F13" s="43">
        <f>8/12/3.281</f>
        <v>0.20319008432388497</v>
      </c>
      <c r="G13" s="44">
        <f t="shared" si="1"/>
        <v>0.22858884486437062</v>
      </c>
      <c r="H13" s="41" t="s">
        <v>54</v>
      </c>
    </row>
    <row r="14" spans="1:8" x14ac:dyDescent="0.25">
      <c r="A14" s="41"/>
      <c r="B14" s="43">
        <f>10/3.281</f>
        <v>3.047851264858275</v>
      </c>
      <c r="C14" s="45">
        <f>10/3.281</f>
        <v>3.047851264858275</v>
      </c>
      <c r="D14" s="43">
        <f>10.75/3.281</f>
        <v>3.2764401097226452</v>
      </c>
      <c r="E14" s="44">
        <f t="shared" si="0"/>
        <v>3.2002438281011885</v>
      </c>
      <c r="F14" s="43">
        <f>9/12/3.281</f>
        <v>0.22858884486437062</v>
      </c>
      <c r="G14" s="44">
        <f t="shared" si="1"/>
        <v>0.21588946459412778</v>
      </c>
      <c r="H14" s="41" t="s">
        <v>54</v>
      </c>
    </row>
    <row r="15" spans="1:8" x14ac:dyDescent="0.25">
      <c r="A15" s="41"/>
      <c r="B15" s="41">
        <v>5</v>
      </c>
      <c r="C15" s="42">
        <v>6</v>
      </c>
      <c r="D15" s="43">
        <f>12.583/3.281</f>
        <v>3.8351112465711674</v>
      </c>
      <c r="E15" s="44">
        <f t="shared" si="0"/>
        <v>3.5557756781469063</v>
      </c>
      <c r="F15" s="43">
        <f>7/12/3.281</f>
        <v>0.17779132378339937</v>
      </c>
      <c r="G15" s="44">
        <f t="shared" si="1"/>
        <v>0.203190084323885</v>
      </c>
      <c r="H15" s="41" t="s">
        <v>55</v>
      </c>
    </row>
    <row r="16" spans="1:8" x14ac:dyDescent="0.25">
      <c r="A16" s="41"/>
      <c r="B16" s="46">
        <f>14/12/3.281</f>
        <v>0.35558264756679875</v>
      </c>
      <c r="C16" s="44">
        <f>14/12/3.281</f>
        <v>0.35558264756679875</v>
      </c>
      <c r="D16" s="43">
        <f>12.583/3.281</f>
        <v>3.8351112465711674</v>
      </c>
      <c r="E16" s="44">
        <f t="shared" si="0"/>
        <v>3.8351112465711674</v>
      </c>
      <c r="F16" s="43">
        <f>7/12/3.281</f>
        <v>0.17779132378339937</v>
      </c>
      <c r="G16" s="44">
        <f t="shared" si="1"/>
        <v>0.17779132378339937</v>
      </c>
      <c r="H16" s="41" t="s">
        <v>55</v>
      </c>
    </row>
    <row r="17" spans="1:8" x14ac:dyDescent="0.25">
      <c r="A17" s="41"/>
      <c r="B17" s="41">
        <v>5</v>
      </c>
      <c r="C17" s="42">
        <v>5</v>
      </c>
      <c r="D17" s="43">
        <f>5.15</f>
        <v>5.15</v>
      </c>
      <c r="E17" s="44">
        <f t="shared" si="0"/>
        <v>4.4925556232855843</v>
      </c>
      <c r="F17" s="43">
        <f>8/12/3.281</f>
        <v>0.20319008432388497</v>
      </c>
      <c r="G17" s="44">
        <f t="shared" si="1"/>
        <v>0.19049070405364216</v>
      </c>
      <c r="H17" s="41" t="s">
        <v>55</v>
      </c>
    </row>
    <row r="18" spans="1:8" x14ac:dyDescent="0.25">
      <c r="A18" s="41"/>
      <c r="B18" s="41">
        <v>1</v>
      </c>
      <c r="C18" s="42">
        <v>1</v>
      </c>
      <c r="D18" s="43">
        <v>6.2</v>
      </c>
      <c r="E18" s="44">
        <f t="shared" si="0"/>
        <v>5.6750000000000007</v>
      </c>
      <c r="F18" s="43">
        <f>6/12/3.281</f>
        <v>0.15239256324291373</v>
      </c>
      <c r="G18" s="44">
        <f t="shared" si="1"/>
        <v>0.17779132378339935</v>
      </c>
      <c r="H18" s="41"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estimate</vt:lpstr>
      <vt:lpstr>WCR</vt:lpstr>
      <vt:lpstr>V</vt:lpstr>
      <vt:lpstr>chainage measurement</vt:lpstr>
      <vt:lpstr>estimate!Print_Area</vt:lpstr>
      <vt:lpstr>V!Print_Area</vt:lpstr>
      <vt:lpstr>WCR!Print_Area</vt:lpstr>
      <vt:lpstr>estimate!Print_Titles</vt:lpstr>
      <vt:lpstr>V!Print_Titles</vt:lpstr>
      <vt:lpstr>WCR!Print_Titles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2026-06-10T04:08:19Z</dcterms:modified>
</cp:coreProperties>
</file>