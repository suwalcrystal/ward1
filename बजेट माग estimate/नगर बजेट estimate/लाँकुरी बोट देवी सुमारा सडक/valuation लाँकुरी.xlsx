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E55D0E06-9D79-475E-AEF2-8FDD488C6CE3}" xr6:coauthVersionLast="47" xr6:coauthVersionMax="47" xr10:uidLastSave="{00000000-0000-0000-0000-000000000000}"/>
  <bookViews>
    <workbookView xWindow="-120" yWindow="-120" windowWidth="20730" windowHeight="11040" activeTab="1" xr2:uid="{00000000-000D-0000-FFFF-FFFF00000000}"/>
  </bookViews>
  <sheets>
    <sheet name="estimate" sheetId="12" r:id="rId1"/>
    <sheet name="V" sheetId="14" r:id="rId2"/>
    <sheet name="chainage measurement" sheetId="15" r:id="rId3"/>
  </sheets>
  <externalReferences>
    <externalReference r:id="rId4"/>
    <externalReference r:id="rId5"/>
    <externalReference r:id="rId6"/>
    <externalReference r:id="rId7"/>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4">[4]Abstract!$B$170</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1">V!$A$1:$K$73</definedName>
    <definedName name="_xlnm.Print_Titles" localSheetId="0">estimate!$1:$8</definedName>
    <definedName name="_xlnm.Print_Titles" localSheetId="1">V!$1:$8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14" l="1"/>
  <c r="D32" i="14"/>
  <c r="E32" i="14"/>
  <c r="F32" i="14"/>
  <c r="C33" i="14"/>
  <c r="D33" i="14"/>
  <c r="E33" i="14"/>
  <c r="F33" i="14"/>
  <c r="C34" i="14"/>
  <c r="D34" i="14"/>
  <c r="E34" i="14"/>
  <c r="F34" i="14"/>
  <c r="C35" i="14"/>
  <c r="D35" i="14"/>
  <c r="E35" i="14"/>
  <c r="F35" i="14"/>
  <c r="C36" i="14"/>
  <c r="D36" i="14"/>
  <c r="E36" i="14"/>
  <c r="F36" i="14"/>
  <c r="C37" i="14"/>
  <c r="D37" i="14"/>
  <c r="E37" i="14"/>
  <c r="F37" i="14"/>
  <c r="C38" i="14"/>
  <c r="D38" i="14"/>
  <c r="E38" i="14"/>
  <c r="F38" i="14"/>
  <c r="C39" i="14"/>
  <c r="D39" i="14"/>
  <c r="E39" i="14"/>
  <c r="F39" i="14"/>
  <c r="C40" i="14"/>
  <c r="D40" i="14"/>
  <c r="E40" i="14"/>
  <c r="F40" i="14"/>
  <c r="C41" i="14"/>
  <c r="D41" i="14"/>
  <c r="E41" i="14"/>
  <c r="F41" i="14"/>
  <c r="C42" i="14"/>
  <c r="D42" i="14"/>
  <c r="E42" i="14"/>
  <c r="F42" i="14"/>
  <c r="D31" i="14"/>
  <c r="E31" i="14"/>
  <c r="F31" i="14"/>
  <c r="C31" i="14"/>
  <c r="F11" i="14"/>
  <c r="F12" i="14"/>
  <c r="F13" i="14"/>
  <c r="F14" i="14"/>
  <c r="F15" i="14"/>
  <c r="F16" i="14"/>
  <c r="F17" i="14"/>
  <c r="F18" i="14"/>
  <c r="F19" i="14"/>
  <c r="F20" i="14"/>
  <c r="F21" i="14"/>
  <c r="F10" i="14"/>
  <c r="E11" i="14"/>
  <c r="E12" i="14"/>
  <c r="E13" i="14"/>
  <c r="E14" i="14"/>
  <c r="E15" i="14"/>
  <c r="E16" i="14"/>
  <c r="E17" i="14"/>
  <c r="E18" i="14"/>
  <c r="E19" i="14"/>
  <c r="E20" i="14"/>
  <c r="E21" i="14"/>
  <c r="E22" i="14"/>
  <c r="E23" i="14"/>
  <c r="E24" i="14"/>
  <c r="E25" i="14"/>
  <c r="E10" i="14"/>
  <c r="D11" i="14"/>
  <c r="D12" i="14"/>
  <c r="D13" i="14"/>
  <c r="D14" i="14"/>
  <c r="D15" i="14"/>
  <c r="D16" i="14"/>
  <c r="D17" i="14"/>
  <c r="D18" i="14"/>
  <c r="D19" i="14"/>
  <c r="D20" i="14"/>
  <c r="D21" i="14"/>
  <c r="D22" i="14"/>
  <c r="D23" i="14"/>
  <c r="D24" i="14"/>
  <c r="D25" i="14"/>
  <c r="D10" i="14"/>
  <c r="C16" i="15"/>
  <c r="G15" i="15"/>
  <c r="G16" i="15"/>
  <c r="G17" i="15"/>
  <c r="G18" i="15"/>
  <c r="E15" i="15"/>
  <c r="E16" i="15"/>
  <c r="E17" i="15"/>
  <c r="E18" i="15"/>
  <c r="F18" i="15"/>
  <c r="F17" i="15"/>
  <c r="D17" i="15"/>
  <c r="F16" i="15"/>
  <c r="D16" i="15"/>
  <c r="F15" i="15"/>
  <c r="D15" i="15"/>
  <c r="B16" i="15"/>
  <c r="C14" i="15"/>
  <c r="G14" i="15"/>
  <c r="E4" i="15"/>
  <c r="E5" i="15"/>
  <c r="E6" i="15"/>
  <c r="E14" i="15"/>
  <c r="E3" i="15"/>
  <c r="F14" i="15"/>
  <c r="F13" i="15"/>
  <c r="F10" i="15"/>
  <c r="F11" i="15"/>
  <c r="F12" i="15"/>
  <c r="F9" i="15"/>
  <c r="F7" i="15"/>
  <c r="F8" i="15"/>
  <c r="F6" i="15"/>
  <c r="F5" i="15"/>
  <c r="F4" i="15"/>
  <c r="F3" i="15"/>
  <c r="F2" i="15"/>
  <c r="D14" i="15"/>
  <c r="D13" i="15"/>
  <c r="D12" i="15"/>
  <c r="D11" i="15"/>
  <c r="D10" i="15"/>
  <c r="D9" i="15"/>
  <c r="D8" i="15"/>
  <c r="D7" i="15"/>
  <c r="D6" i="15"/>
  <c r="D5" i="15"/>
  <c r="D4" i="15"/>
  <c r="D3" i="15"/>
  <c r="D2" i="15"/>
  <c r="B14" i="15"/>
  <c r="C73" i="14"/>
  <c r="C72" i="14"/>
  <c r="G64" i="14"/>
  <c r="G62" i="14"/>
  <c r="E57" i="14"/>
  <c r="E56" i="14"/>
  <c r="B56" i="14"/>
  <c r="D30" i="14"/>
  <c r="B30" i="14"/>
  <c r="G35" i="12"/>
  <c r="J35" i="12" s="1"/>
  <c r="E10" i="12"/>
  <c r="G24" i="14" l="1"/>
  <c r="G23" i="14"/>
  <c r="G25" i="14"/>
  <c r="G10" i="14"/>
  <c r="G11" i="14"/>
  <c r="G12" i="14"/>
  <c r="G13" i="14"/>
  <c r="G14" i="14"/>
  <c r="G15" i="14"/>
  <c r="G16" i="14"/>
  <c r="G17" i="14"/>
  <c r="G18" i="14"/>
  <c r="G19" i="14"/>
  <c r="G21" i="14"/>
  <c r="G22" i="14"/>
  <c r="G20" i="14"/>
  <c r="E7" i="15"/>
  <c r="E8" i="15"/>
  <c r="E9" i="15"/>
  <c r="E10" i="15"/>
  <c r="E11" i="15"/>
  <c r="E12" i="15"/>
  <c r="E13" i="15"/>
  <c r="G5" i="15"/>
  <c r="G4" i="15"/>
  <c r="G6" i="15"/>
  <c r="G7" i="15"/>
  <c r="G8" i="15"/>
  <c r="G9" i="15"/>
  <c r="G10" i="15"/>
  <c r="G11" i="15"/>
  <c r="G12" i="15"/>
  <c r="G13" i="15"/>
  <c r="G3" i="15"/>
  <c r="B47" i="14"/>
  <c r="C70" i="14"/>
  <c r="J62" i="14"/>
  <c r="J64" i="14"/>
  <c r="D56" i="14"/>
  <c r="C57" i="14" s="1"/>
  <c r="E30" i="14"/>
  <c r="E47" i="14" s="1"/>
  <c r="D57" i="14" s="1"/>
  <c r="C56" i="14" s="1"/>
  <c r="F56" i="14" s="1"/>
  <c r="G56" i="14" s="1"/>
  <c r="G58" i="14" s="1"/>
  <c r="J60" i="14" s="1"/>
  <c r="D47" i="14"/>
  <c r="G26" i="14" l="1"/>
  <c r="G47" i="14"/>
  <c r="G48" i="14" s="1"/>
  <c r="G30" i="14"/>
  <c r="G43" i="14" s="1"/>
  <c r="F57" i="14"/>
  <c r="G57" i="14" s="1"/>
  <c r="J59" i="14"/>
  <c r="J58" i="14"/>
  <c r="J26" i="14" l="1"/>
  <c r="J27" i="14"/>
  <c r="J44" i="14"/>
  <c r="J43" i="14"/>
  <c r="J48" i="14"/>
  <c r="J49" i="14"/>
  <c r="J51" i="14"/>
  <c r="J52" i="14"/>
  <c r="J53" i="14"/>
  <c r="J50" i="14"/>
  <c r="J66" i="14" l="1"/>
  <c r="C68" i="14" s="1"/>
  <c r="E30" i="12"/>
  <c r="E29" i="12"/>
  <c r="B29" i="12"/>
  <c r="B15" i="12"/>
  <c r="B20" i="12" s="1"/>
  <c r="E15" i="12"/>
  <c r="C71" i="14" l="1"/>
  <c r="E70" i="14"/>
  <c r="E71" i="14" s="1"/>
  <c r="E20" i="12"/>
  <c r="D30" i="12" s="1"/>
  <c r="C29" i="12" s="1"/>
  <c r="D15" i="12"/>
  <c r="D20" i="12" l="1"/>
  <c r="G20" i="12" s="1"/>
  <c r="G21" i="12" s="1"/>
  <c r="D29" i="12"/>
  <c r="C30" i="12" s="1"/>
  <c r="F30" i="12" s="1"/>
  <c r="G30" i="12" s="1"/>
  <c r="G15" i="12"/>
  <c r="G16" i="12" s="1"/>
  <c r="J17" i="12" s="1"/>
  <c r="F29" i="12" l="1"/>
  <c r="G29" i="12" s="1"/>
  <c r="G31" i="12" s="1"/>
  <c r="J23" i="12"/>
  <c r="J26" i="12"/>
  <c r="J22" i="12"/>
  <c r="J25" i="12"/>
  <c r="J24" i="12"/>
  <c r="J21" i="12"/>
  <c r="J16" i="12"/>
  <c r="J32" i="12" l="1"/>
  <c r="J31" i="12"/>
  <c r="J33" i="12"/>
  <c r="G10" i="12"/>
  <c r="G11" i="12" s="1"/>
  <c r="J12" i="12" s="1"/>
  <c r="J11" i="12" l="1"/>
  <c r="C45" i="12" l="1"/>
  <c r="C46" i="12" l="1"/>
  <c r="C43" i="12" s="1"/>
  <c r="G37" i="12"/>
  <c r="J37" i="12" s="1"/>
  <c r="J39" i="12" s="1"/>
  <c r="C41" i="12" l="1"/>
  <c r="C44" i="12" s="1"/>
  <c r="E43" i="12" l="1"/>
  <c r="E44" i="12" s="1"/>
</calcChain>
</file>

<file path=xl/sharedStrings.xml><?xml version="1.0" encoding="utf-8"?>
<sst xmlns="http://schemas.openxmlformats.org/spreadsheetml/2006/main" count="137" uniqueCount="56">
  <si>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</si>
  <si>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</si>
  <si>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</si>
  <si>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</si>
  <si>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</si>
  <si>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</si>
  <si>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</si>
  <si>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</si>
  <si>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</si>
  <si>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</si>
  <si>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</si>
  <si>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</si>
  <si>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</si>
  <si>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</si>
  <si>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</si>
  <si>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</si>
  <si>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</si>
  <si>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</si>
  <si>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</si>
  <si>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</si>
  <si>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</si>
  <si>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</si>
  <si>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</si>
  <si>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</si>
  <si>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</si>
  <si>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</si>
  <si>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sub-total</t>
  </si>
  <si>
    <t>cum</t>
  </si>
  <si>
    <t>Location:- Shankharapur Municipality 1</t>
  </si>
  <si>
    <t>-13% VAT for sand</t>
  </si>
  <si>
    <t>-13% VAT for cement</t>
  </si>
  <si>
    <t>-13% VAT for aggregate</t>
  </si>
  <si>
    <t>-13% VAT for block stone</t>
  </si>
  <si>
    <t>Providing and laying of hand pack locally available Stone soling with 150 to 200 mm thick stones and packing with smaller stone on prepared surface as per Drawing and Technical Specifications.</t>
  </si>
  <si>
    <t>-13% VAT for water</t>
  </si>
  <si>
    <t>-13% VAT for formwork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</si>
  <si>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</si>
  <si>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Providing and laying of Plain/Reinforced Cement Concrete in Foundation complete as per Drawing and Technical Specifications., RCC Grade M 20</t>
  </si>
  <si>
    <t xml:space="preserve">Providing and laying , fitting and placing HYSD bar reinforcement in sub-structure complete as per Drawing and Technical Specifications and instruction of site engineer  </t>
  </si>
  <si>
    <t>-for road</t>
  </si>
  <si>
    <t>Length (m)</t>
  </si>
  <si>
    <t>Unit weight (Kg/m)</t>
  </si>
  <si>
    <t>Total Weight (Kg)</t>
  </si>
  <si>
    <t>tonne</t>
  </si>
  <si>
    <t>-13% VAT for HYSD bar</t>
  </si>
  <si>
    <t>-13% VAT for binding wire</t>
  </si>
  <si>
    <t>-13% VAT for excavator</t>
  </si>
  <si>
    <t>Provisional sum for lab tests</t>
  </si>
  <si>
    <t>PS</t>
  </si>
  <si>
    <r>
      <t xml:space="preserve">Project:- </t>
    </r>
    <r>
      <rPr>
        <sz val="12"/>
        <rFont val="Preeti"/>
      </rPr>
      <t>nfFs'/Ljf]6 b]jL ;'df/f ;8s</t>
    </r>
  </si>
  <si>
    <t xml:space="preserve">Date:2082          </t>
  </si>
  <si>
    <t>Chainage</t>
  </si>
  <si>
    <t>Description</t>
  </si>
  <si>
    <t>Remarks</t>
  </si>
  <si>
    <t>include stone soling</t>
  </si>
  <si>
    <t>only RCC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</si>
</sst>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7" formatCode="0.0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1"/>
      <color theme="6" tint="-0.499984740745262"/>
      <name val="Calibri"/>
      <family val="2"/>
      <scheme val="minor"/>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quotePrefix="1" applyFont="1" applyBorder="1" applyAlignment="1">
      <alignment wrapText="1"/>
    </xf>
    <xf numFmtId="0" fontId="4" fillId="0" borderId="2" xfId="0" applyFont="1" applyBorder="1"/>
    <xf numFmtId="2" fontId="3" fillId="0" borderId="2" xfId="0" applyNumberFormat="1" applyFont="1" applyBorder="1"/>
    <xf numFmtId="2"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6" fillId="0" borderId="2" xfId="0" applyNumberFormat="1" applyFont="1" applyBorder="1" applyAlignment="1">
      <alignment vertical="center"/>
    </xf>
    <xf numFmtId="2" fontId="3" fillId="0" borderId="2" xfId="0" applyNumberFormat="1" applyFont="1" applyBorder="1" applyAlignment="1">
      <alignment vertical="center"/>
    </xf>
    <xf numFmtId="0" fontId="4" fillId="0" borderId="0" xfId="0" applyFont="1" applyAlignment="1">
      <alignment vertical="center"/>
    </xf>
    <xf numFmtId="0" fontId="4" fillId="0" borderId="2" xfId="0" quotePrefix="1" applyFont="1" applyBorder="1" applyAlignment="1">
      <alignment horizontal="right"/>
    </xf>
    <xf numFmtId="0" fontId="4" fillId="0" borderId="2" xfId="0" applyFont="1" applyBorder="1" applyAlignment="1">
      <alignment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vertical="center" wrapText="1"/>
    </xf>
    <xf numFmtId="0" fontId="4" fillId="0" borderId="2" xfId="0" applyFont="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13" fillId="0" borderId="0" xfId="0" applyFont="1"/>
    <xf numFmtId="0" fontId="0" fillId="0" borderId="2" xfId="0" applyBorder="1"/>
    <xf numFmtId="0" fontId="13" fillId="0" borderId="2" xfId="0" applyFont="1" applyBorder="1"/>
    <xf numFmtId="167" fontId="0" fillId="0" borderId="2" xfId="0" applyNumberFormat="1" applyBorder="1"/>
    <xf numFmtId="2" fontId="13" fillId="0" borderId="2" xfId="0" applyNumberFormat="1" applyFont="1" applyBorder="1"/>
    <xf numFmtId="167" fontId="13" fillId="0" borderId="2" xfId="0" applyNumberFormat="1" applyFont="1" applyBorder="1"/>
    <xf numFmtId="2" fontId="0" fillId="0" borderId="2" xfId="0" applyNumberForma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calcChain" Target="calcChain.xml"/><Relationship Id="rId5" Type="http://schemas.openxmlformats.org/officeDocument/2006/relationships/externalLink" Target="externalLinks/externalLink2.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70">
          <cell r="B170" t="str">
            <v>Providing and laying of Plain/Reinforced Cement Concrete in Foundation complete as per Drawing and Technical Specifications, PCC Grade M 15, Manual Mixing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6"/>
  <sheetViews>
    <sheetView view="pageBreakPreview" topLeftCell="A30" zoomScale="95" zoomScaleNormal="100" zoomScaleSheetLayoutView="95" workbookViewId="0">
      <selection activeCell="D20" sqref="D20"/>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47" t="s">
        <v>49</v>
      </c>
      <c r="B6" s="47"/>
      <c r="C6" s="47"/>
      <c r="D6" s="47"/>
      <c r="E6" s="47"/>
      <c r="F6" s="47"/>
      <c r="G6" s="4"/>
      <c r="H6" s="48" t="s">
        <v>24</v>
      </c>
      <c r="I6" s="48"/>
      <c r="J6" s="48"/>
      <c r="K6" s="48"/>
    </row>
    <row r="7" spans="1:11" ht="15.75" x14ac:dyDescent="0.25">
      <c r="A7" s="42" t="s">
        <v>28</v>
      </c>
      <c r="B7" s="42"/>
      <c r="C7" s="42"/>
      <c r="D7" s="42"/>
      <c r="E7" s="42"/>
      <c r="F7" s="42"/>
      <c r="G7" s="5"/>
      <c r="H7" s="43" t="s">
        <v>50</v>
      </c>
      <c r="I7" s="43"/>
      <c r="J7" s="43"/>
      <c r="K7" s="43"/>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v>56</v>
      </c>
      <c r="E10" s="14">
        <f>10/3.281</f>
        <v>3.047851264858275</v>
      </c>
      <c r="F10" s="12">
        <v>0.15</v>
      </c>
      <c r="G10" s="14">
        <f t="shared" ref="G10" si="0">PRODUCT(C10:F10)</f>
        <v>25.601950624809511</v>
      </c>
      <c r="H10" s="12"/>
      <c r="I10" s="12"/>
      <c r="J10" s="13"/>
      <c r="K10" s="12"/>
    </row>
    <row r="11" spans="1:11" s="21" customFormat="1" x14ac:dyDescent="0.25">
      <c r="A11" s="15"/>
      <c r="B11" s="16" t="s">
        <v>26</v>
      </c>
      <c r="C11" s="17"/>
      <c r="D11" s="1"/>
      <c r="E11" s="18"/>
      <c r="F11" s="18"/>
      <c r="G11" s="19">
        <f>SUM(G10:G10)</f>
        <v>25.601950624809511</v>
      </c>
      <c r="H11" s="20" t="s">
        <v>27</v>
      </c>
      <c r="I11" s="2">
        <v>62.95</v>
      </c>
      <c r="J11" s="19">
        <f>G11*I11</f>
        <v>1611.6427918317588</v>
      </c>
      <c r="K11" s="18"/>
    </row>
    <row r="12" spans="1:11" x14ac:dyDescent="0.25">
      <c r="A12" s="10"/>
      <c r="B12" s="22" t="s">
        <v>46</v>
      </c>
      <c r="C12" s="12"/>
      <c r="D12" s="12"/>
      <c r="E12" s="12"/>
      <c r="F12" s="12"/>
      <c r="G12" s="12"/>
      <c r="H12" s="12"/>
      <c r="I12" s="12"/>
      <c r="J12" s="13">
        <f>0.13*G11*18612/360</f>
        <v>172.07071014934473</v>
      </c>
      <c r="K12" s="12"/>
    </row>
    <row r="13" spans="1:11" x14ac:dyDescent="0.25">
      <c r="A13" s="10"/>
      <c r="B13" s="22"/>
      <c r="C13" s="12"/>
      <c r="D13" s="12"/>
      <c r="E13" s="12"/>
      <c r="F13" s="12"/>
      <c r="G13" s="12"/>
      <c r="H13" s="12"/>
      <c r="I13" s="12"/>
      <c r="J13" s="13"/>
      <c r="K13" s="12"/>
    </row>
    <row r="14" spans="1:11" ht="105" x14ac:dyDescent="0.25">
      <c r="A14" s="10">
        <v>2</v>
      </c>
      <c r="B14" s="11" t="s">
        <v>33</v>
      </c>
      <c r="C14" s="12"/>
      <c r="D14" s="12"/>
      <c r="E14" s="12"/>
      <c r="F14" s="12"/>
      <c r="G14" s="12"/>
      <c r="H14" s="12"/>
      <c r="I14" s="12"/>
      <c r="J14" s="12"/>
      <c r="K14" s="12"/>
    </row>
    <row r="15" spans="1:11" x14ac:dyDescent="0.25">
      <c r="A15" s="10"/>
      <c r="B15" s="16" t="str">
        <f>B10</f>
        <v>-for road</v>
      </c>
      <c r="C15" s="12">
        <v>1</v>
      </c>
      <c r="D15" s="14">
        <f>D10</f>
        <v>56</v>
      </c>
      <c r="E15" s="14">
        <f>E10</f>
        <v>3.047851264858275</v>
      </c>
      <c r="F15" s="12">
        <v>0.15</v>
      </c>
      <c r="G15" s="14">
        <f t="shared" ref="G15" si="1">PRODUCT(C15:F15)</f>
        <v>25.601950624809511</v>
      </c>
      <c r="H15" s="12"/>
      <c r="I15" s="12"/>
      <c r="J15" s="13"/>
      <c r="K15" s="12"/>
    </row>
    <row r="16" spans="1:11" s="21" customFormat="1" x14ac:dyDescent="0.25">
      <c r="A16" s="15"/>
      <c r="B16" s="16" t="s">
        <v>26</v>
      </c>
      <c r="C16" s="17"/>
      <c r="D16" s="1"/>
      <c r="E16" s="18"/>
      <c r="F16" s="18"/>
      <c r="G16" s="19">
        <f>SUM(G15:G15)</f>
        <v>25.601950624809511</v>
      </c>
      <c r="H16" s="20" t="s">
        <v>27</v>
      </c>
      <c r="I16" s="2">
        <v>4458.5200000000004</v>
      </c>
      <c r="J16" s="19">
        <f>G16*I16</f>
        <v>114146.80889972571</v>
      </c>
      <c r="K16" s="18"/>
    </row>
    <row r="17" spans="1:11" x14ac:dyDescent="0.25">
      <c r="A17" s="10"/>
      <c r="B17" s="22" t="s">
        <v>32</v>
      </c>
      <c r="C17" s="12"/>
      <c r="D17" s="12"/>
      <c r="E17" s="12"/>
      <c r="F17" s="12"/>
      <c r="G17" s="12"/>
      <c r="H17" s="12"/>
      <c r="I17" s="12"/>
      <c r="J17" s="13">
        <f>0.13*G16*14817.6/5</f>
        <v>9863.3460530326138</v>
      </c>
      <c r="K17" s="12"/>
    </row>
    <row r="18" spans="1:11" x14ac:dyDescent="0.25">
      <c r="A18" s="10"/>
      <c r="B18" s="11"/>
      <c r="C18" s="12"/>
      <c r="D18" s="12"/>
      <c r="E18" s="12"/>
      <c r="F18" s="12"/>
      <c r="G18" s="12"/>
      <c r="H18" s="12"/>
      <c r="I18" s="12"/>
      <c r="J18" s="12"/>
      <c r="K18" s="12"/>
    </row>
    <row r="19" spans="1:11" ht="74.25" customHeight="1" x14ac:dyDescent="0.25">
      <c r="A19" s="10">
        <v>3</v>
      </c>
      <c r="B19" s="11" t="s">
        <v>37</v>
      </c>
      <c r="C19" s="12"/>
      <c r="D19" s="23"/>
      <c r="E19" s="23"/>
      <c r="F19" s="23"/>
      <c r="G19" s="12"/>
      <c r="H19" s="12"/>
      <c r="I19" s="12"/>
      <c r="J19" s="13"/>
      <c r="K19" s="12"/>
    </row>
    <row r="20" spans="1:11" x14ac:dyDescent="0.25">
      <c r="A20" s="10"/>
      <c r="B20" s="16" t="str">
        <f>B15</f>
        <v>-for road</v>
      </c>
      <c r="C20" s="12">
        <v>1</v>
      </c>
      <c r="D20" s="14">
        <f>D15</f>
        <v>56</v>
      </c>
      <c r="E20" s="14">
        <f>E15</f>
        <v>3.047851264858275</v>
      </c>
      <c r="F20" s="12">
        <v>0.15</v>
      </c>
      <c r="G20" s="14">
        <f t="shared" ref="G20" si="2">PRODUCT(C20:F20)</f>
        <v>25.601950624809511</v>
      </c>
      <c r="H20" s="12"/>
      <c r="I20" s="12"/>
      <c r="J20" s="13"/>
      <c r="K20" s="12"/>
    </row>
    <row r="21" spans="1:11" s="21" customFormat="1" x14ac:dyDescent="0.25">
      <c r="A21" s="15"/>
      <c r="B21" s="16" t="s">
        <v>26</v>
      </c>
      <c r="C21" s="17"/>
      <c r="D21" s="1"/>
      <c r="E21" s="18"/>
      <c r="F21" s="18"/>
      <c r="G21" s="19">
        <f>SUM(G20:G20)</f>
        <v>25.601950624809511</v>
      </c>
      <c r="H21" s="20" t="s">
        <v>27</v>
      </c>
      <c r="I21" s="2">
        <v>12000.5</v>
      </c>
      <c r="J21" s="19">
        <f>G21*I21</f>
        <v>307236.20847302652</v>
      </c>
      <c r="K21" s="18"/>
    </row>
    <row r="22" spans="1:11" x14ac:dyDescent="0.25">
      <c r="A22" s="10"/>
      <c r="B22" s="22" t="s">
        <v>30</v>
      </c>
      <c r="C22" s="12"/>
      <c r="D22" s="12"/>
      <c r="E22" s="12"/>
      <c r="F22" s="12"/>
      <c r="G22" s="12"/>
      <c r="H22" s="12"/>
      <c r="I22" s="12"/>
      <c r="J22" s="13">
        <f>0.13*G21*67891.51/15</f>
        <v>15064.010752819264</v>
      </c>
      <c r="K22" s="12"/>
    </row>
    <row r="23" spans="1:11" x14ac:dyDescent="0.25">
      <c r="A23" s="10"/>
      <c r="B23" s="22" t="s">
        <v>29</v>
      </c>
      <c r="C23" s="12"/>
      <c r="D23" s="12"/>
      <c r="E23" s="12"/>
      <c r="F23" s="12"/>
      <c r="G23" s="12"/>
      <c r="H23" s="12"/>
      <c r="I23" s="12"/>
      <c r="J23" s="13">
        <f>0.13*G21*21432.6/15</f>
        <v>4755.5418469978658</v>
      </c>
      <c r="K23" s="12"/>
    </row>
    <row r="24" spans="1:11" x14ac:dyDescent="0.25">
      <c r="A24" s="10"/>
      <c r="B24" s="22" t="s">
        <v>31</v>
      </c>
      <c r="C24" s="12"/>
      <c r="D24" s="12"/>
      <c r="E24" s="12"/>
      <c r="F24" s="12"/>
      <c r="G24" s="12"/>
      <c r="H24" s="12"/>
      <c r="I24" s="12"/>
      <c r="J24" s="13">
        <f>0.13*G21*(27147.96+17146.08)/15</f>
        <v>9828.1198171289252</v>
      </c>
      <c r="K24" s="12"/>
    </row>
    <row r="25" spans="1:11" x14ac:dyDescent="0.25">
      <c r="A25" s="10"/>
      <c r="B25" s="22" t="s">
        <v>34</v>
      </c>
      <c r="C25" s="12"/>
      <c r="D25" s="12"/>
      <c r="E25" s="12"/>
      <c r="F25" s="12"/>
      <c r="G25" s="12"/>
      <c r="H25" s="12"/>
      <c r="I25" s="12"/>
      <c r="J25" s="13">
        <f>0.13*G21*775/15</f>
        <v>171.95976836330388</v>
      </c>
      <c r="K25" s="12"/>
    </row>
    <row r="26" spans="1:11" x14ac:dyDescent="0.25">
      <c r="A26" s="10"/>
      <c r="B26" s="22" t="s">
        <v>35</v>
      </c>
      <c r="C26" s="12"/>
      <c r="D26" s="12"/>
      <c r="E26" s="12"/>
      <c r="F26" s="12"/>
      <c r="G26" s="12"/>
      <c r="H26" s="12"/>
      <c r="I26" s="12"/>
      <c r="J26" s="13">
        <f>0.13*G21*6923.4/15</f>
        <v>1536.18872295032</v>
      </c>
      <c r="K26" s="12"/>
    </row>
    <row r="27" spans="1:11" x14ac:dyDescent="0.25">
      <c r="A27" s="10"/>
      <c r="B27" s="22"/>
      <c r="C27" s="12"/>
      <c r="D27" s="12"/>
      <c r="E27" s="12"/>
      <c r="F27" s="12"/>
      <c r="G27" s="12"/>
      <c r="H27" s="12"/>
      <c r="I27" s="12"/>
      <c r="J27" s="13"/>
      <c r="K27" s="12"/>
    </row>
    <row r="28" spans="1:11" s="21" customFormat="1" ht="90" x14ac:dyDescent="0.25">
      <c r="A28" s="10">
        <v>4</v>
      </c>
      <c r="B28" s="38" t="s">
        <v>38</v>
      </c>
      <c r="C28" s="32" t="s">
        <v>7</v>
      </c>
      <c r="D28" s="39" t="s">
        <v>40</v>
      </c>
      <c r="E28" s="39" t="s">
        <v>41</v>
      </c>
      <c r="F28" s="39" t="s">
        <v>42</v>
      </c>
      <c r="G28" s="32"/>
      <c r="H28" s="32"/>
      <c r="I28" s="32"/>
      <c r="J28" s="20"/>
      <c r="K28" s="32"/>
    </row>
    <row r="29" spans="1:11" x14ac:dyDescent="0.25">
      <c r="A29" s="10"/>
      <c r="B29" s="16" t="str">
        <f>B10</f>
        <v>-for road</v>
      </c>
      <c r="C29" s="12">
        <f>TRUNC(D30/0.15,0)+1</f>
        <v>20</v>
      </c>
      <c r="D29" s="14">
        <f>D15-0.1</f>
        <v>55.9</v>
      </c>
      <c r="E29" s="14">
        <f>10*10/162</f>
        <v>0.61728395061728392</v>
      </c>
      <c r="F29" s="12">
        <f>PRODUCT(C29:E29)</f>
        <v>690.12345679012344</v>
      </c>
      <c r="G29" s="14">
        <f>F29/1000</f>
        <v>0.69012345679012344</v>
      </c>
      <c r="H29" s="12"/>
      <c r="I29" s="12"/>
      <c r="J29" s="13"/>
      <c r="K29" s="12"/>
    </row>
    <row r="30" spans="1:11" x14ac:dyDescent="0.25">
      <c r="A30" s="10"/>
      <c r="B30" s="16"/>
      <c r="C30" s="12">
        <f>TRUNC(D29/0.15,0)+1</f>
        <v>373</v>
      </c>
      <c r="D30" s="14">
        <f>E20-0.1</f>
        <v>2.9478512648582749</v>
      </c>
      <c r="E30" s="14">
        <f>10*10/162</f>
        <v>0.61728395061728392</v>
      </c>
      <c r="F30" s="12">
        <f>PRODUCT(C30:E30)</f>
        <v>678.7336554272448</v>
      </c>
      <c r="G30" s="14">
        <f>F30/1000</f>
        <v>0.67873365542724484</v>
      </c>
      <c r="H30" s="12"/>
      <c r="I30" s="12"/>
      <c r="J30" s="13"/>
      <c r="K30" s="12"/>
    </row>
    <row r="31" spans="1:11" s="21" customFormat="1" x14ac:dyDescent="0.25">
      <c r="A31" s="15"/>
      <c r="B31" s="16" t="s">
        <v>26</v>
      </c>
      <c r="C31" s="17"/>
      <c r="D31" s="1"/>
      <c r="E31" s="18"/>
      <c r="F31" s="18"/>
      <c r="G31" s="19">
        <f>SUM(G29:G29)</f>
        <v>0.69012345679012344</v>
      </c>
      <c r="H31" s="20" t="s">
        <v>43</v>
      </c>
      <c r="I31" s="2">
        <v>124355</v>
      </c>
      <c r="J31" s="19">
        <f>G31*I31</f>
        <v>85820.3024691358</v>
      </c>
      <c r="K31" s="18"/>
    </row>
    <row r="32" spans="1:11" x14ac:dyDescent="0.25">
      <c r="A32" s="10"/>
      <c r="B32" s="22" t="s">
        <v>44</v>
      </c>
      <c r="C32" s="12"/>
      <c r="D32" s="12"/>
      <c r="E32" s="12"/>
      <c r="F32" s="12"/>
      <c r="G32" s="12"/>
      <c r="H32" s="12"/>
      <c r="I32" s="12"/>
      <c r="J32" s="13">
        <f>0.13*G31*110000</f>
        <v>9868.7654320987658</v>
      </c>
      <c r="K32" s="12"/>
    </row>
    <row r="33" spans="1:11" x14ac:dyDescent="0.25">
      <c r="A33" s="10"/>
      <c r="B33" s="22" t="s">
        <v>45</v>
      </c>
      <c r="C33" s="12"/>
      <c r="D33" s="12"/>
      <c r="E33" s="12"/>
      <c r="F33" s="12"/>
      <c r="G33" s="12"/>
      <c r="H33" s="12"/>
      <c r="I33" s="12"/>
      <c r="J33" s="13">
        <f>0.13*G31*960</f>
        <v>86.127407407407404</v>
      </c>
      <c r="K33" s="12"/>
    </row>
    <row r="34" spans="1:11" x14ac:dyDescent="0.25">
      <c r="A34" s="10"/>
      <c r="B34" s="22"/>
      <c r="C34" s="12"/>
      <c r="D34" s="12"/>
      <c r="E34" s="12"/>
      <c r="F34" s="12"/>
      <c r="G34" s="12"/>
      <c r="H34" s="12"/>
      <c r="I34" s="12"/>
      <c r="J34" s="13"/>
      <c r="K34" s="12"/>
    </row>
    <row r="35" spans="1:11" ht="15" customHeight="1" x14ac:dyDescent="0.25">
      <c r="A35" s="15">
        <v>5</v>
      </c>
      <c r="B35" s="24" t="s">
        <v>47</v>
      </c>
      <c r="C35" s="17">
        <v>1</v>
      </c>
      <c r="D35" s="1"/>
      <c r="E35" s="18"/>
      <c r="F35" s="18"/>
      <c r="G35" s="20">
        <f t="shared" ref="G35" si="3">PRODUCT(C35:F35)</f>
        <v>1</v>
      </c>
      <c r="H35" s="20" t="s">
        <v>48</v>
      </c>
      <c r="I35" s="2">
        <v>5000</v>
      </c>
      <c r="J35" s="20">
        <f>G35*I35</f>
        <v>5000</v>
      </c>
      <c r="K35" s="18"/>
    </row>
    <row r="36" spans="1:11" x14ac:dyDescent="0.25">
      <c r="A36" s="15"/>
      <c r="B36" s="25"/>
      <c r="C36" s="17"/>
      <c r="D36" s="1"/>
      <c r="E36" s="18"/>
      <c r="F36" s="18"/>
      <c r="G36" s="2"/>
      <c r="H36" s="20"/>
      <c r="I36" s="2"/>
      <c r="J36" s="13"/>
      <c r="K36" s="18"/>
    </row>
    <row r="37" spans="1:11" ht="15" customHeight="1" x14ac:dyDescent="0.25">
      <c r="A37" s="15">
        <v>6</v>
      </c>
      <c r="B37" s="24" t="s">
        <v>16</v>
      </c>
      <c r="C37" s="17">
        <v>1</v>
      </c>
      <c r="D37" s="1"/>
      <c r="E37" s="18"/>
      <c r="F37" s="18"/>
      <c r="G37" s="20">
        <f t="shared" ref="G37" si="4">PRODUCT(C37:F37)</f>
        <v>1</v>
      </c>
      <c r="H37" s="20" t="s">
        <v>17</v>
      </c>
      <c r="I37" s="2">
        <v>500</v>
      </c>
      <c r="J37" s="20">
        <f>G37*I37</f>
        <v>500</v>
      </c>
      <c r="K37" s="18"/>
    </row>
    <row r="38" spans="1:11" x14ac:dyDescent="0.25">
      <c r="A38" s="15"/>
      <c r="B38" s="25"/>
      <c r="C38" s="17"/>
      <c r="D38" s="1"/>
      <c r="E38" s="18"/>
      <c r="F38" s="18"/>
      <c r="G38" s="2"/>
      <c r="H38" s="20"/>
      <c r="I38" s="2"/>
      <c r="J38" s="13"/>
      <c r="K38" s="18"/>
    </row>
    <row r="39" spans="1:11" x14ac:dyDescent="0.25">
      <c r="A39" s="26"/>
      <c r="B39" s="27" t="s">
        <v>19</v>
      </c>
      <c r="C39" s="28"/>
      <c r="D39" s="29"/>
      <c r="E39" s="29"/>
      <c r="F39" s="29"/>
      <c r="G39" s="13"/>
      <c r="H39" s="13"/>
      <c r="I39" s="13"/>
      <c r="J39" s="13">
        <f>SUM(J9:J37)</f>
        <v>565661.09314466768</v>
      </c>
      <c r="K39" s="30"/>
    </row>
    <row r="41" spans="1:11" s="21" customFormat="1" x14ac:dyDescent="0.25">
      <c r="A41" s="31"/>
      <c r="B41" s="32" t="s">
        <v>18</v>
      </c>
      <c r="C41" s="40">
        <f>J39</f>
        <v>565661.09314466768</v>
      </c>
      <c r="D41" s="41"/>
      <c r="E41" s="33">
        <v>100</v>
      </c>
      <c r="F41" s="31"/>
      <c r="G41" s="34"/>
      <c r="H41" s="31"/>
      <c r="I41" s="35"/>
      <c r="J41" s="36"/>
      <c r="K41" s="37"/>
    </row>
    <row r="42" spans="1:11" x14ac:dyDescent="0.25">
      <c r="B42" s="32" t="s">
        <v>20</v>
      </c>
      <c r="C42" s="44">
        <v>500000</v>
      </c>
      <c r="D42" s="45"/>
      <c r="E42" s="33"/>
    </row>
    <row r="43" spans="1:11" x14ac:dyDescent="0.25">
      <c r="B43" s="32" t="s">
        <v>21</v>
      </c>
      <c r="C43" s="44">
        <f>C42-C45-C46</f>
        <v>475000</v>
      </c>
      <c r="D43" s="45"/>
      <c r="E43" s="33">
        <f>C43/C41*100</f>
        <v>83.972542173502262</v>
      </c>
    </row>
    <row r="44" spans="1:11" x14ac:dyDescent="0.25">
      <c r="B44" s="32" t="s">
        <v>25</v>
      </c>
      <c r="C44" s="46">
        <f>C41-C43</f>
        <v>90661.093144667684</v>
      </c>
      <c r="D44" s="46"/>
      <c r="E44" s="33">
        <f>100-E43</f>
        <v>16.027457826497738</v>
      </c>
    </row>
    <row r="45" spans="1:11" x14ac:dyDescent="0.25">
      <c r="B45" s="32" t="s">
        <v>22</v>
      </c>
      <c r="C45" s="40">
        <f>C42*0.03</f>
        <v>15000</v>
      </c>
      <c r="D45" s="41"/>
      <c r="E45" s="33">
        <v>3</v>
      </c>
    </row>
    <row r="46" spans="1:11" x14ac:dyDescent="0.25">
      <c r="B46" s="32" t="s">
        <v>23</v>
      </c>
      <c r="C46" s="40">
        <f>C42*0.02</f>
        <v>10000</v>
      </c>
      <c r="D46" s="41"/>
      <c r="E46" s="33">
        <v>2</v>
      </c>
    </row>
  </sheetData>
  <mergeCells count="15">
    <mergeCell ref="A6:F6"/>
    <mergeCell ref="H6:K6"/>
    <mergeCell ref="A1:K1"/>
    <mergeCell ref="A2:K2"/>
    <mergeCell ref="A3:K3"/>
    <mergeCell ref="A4:K4"/>
    <mergeCell ref="A5:K5"/>
    <mergeCell ref="C45:D45"/>
    <mergeCell ref="C46:D46"/>
    <mergeCell ref="A7:F7"/>
    <mergeCell ref="H7:K7"/>
    <mergeCell ref="C41:D41"/>
    <mergeCell ref="C42:D42"/>
    <mergeCell ref="C43:D43"/>
    <mergeCell ref="C44:D4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6"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9D35-9056-4106-AB6F-B9EE00C2369D}">
  <dimension ref="A1:K73"/>
  <sheetViews>
    <sheetView tabSelected="1" view="pageBreakPreview" topLeftCell="A29" zoomScale="95" zoomScaleNormal="100" zoomScaleSheetLayoutView="95" workbookViewId="0">
      <selection activeCell="I35" sqref="I35"/>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47" t="s">
        <v>49</v>
      </c>
      <c r="B6" s="47"/>
      <c r="C6" s="47"/>
      <c r="D6" s="47"/>
      <c r="E6" s="47"/>
      <c r="F6" s="47"/>
      <c r="G6" s="4"/>
      <c r="H6" s="48" t="s">
        <v>24</v>
      </c>
      <c r="I6" s="48"/>
      <c r="J6" s="48"/>
      <c r="K6" s="48"/>
    </row>
    <row r="7" spans="1:11" ht="15.75" x14ac:dyDescent="0.25">
      <c r="A7" s="42" t="s">
        <v>28</v>
      </c>
      <c r="B7" s="42"/>
      <c r="C7" s="42"/>
      <c r="D7" s="42"/>
      <c r="E7" s="42"/>
      <c r="F7" s="42"/>
      <c r="G7" s="5"/>
      <c r="H7" s="43" t="s">
        <v>50</v>
      </c>
      <c r="I7" s="43"/>
      <c r="J7" s="43"/>
      <c r="K7" s="43"/>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f>'chainage measurement'!C3</f>
        <v>5</v>
      </c>
      <c r="E10" s="14">
        <f>'chainage measurement'!E3</f>
        <v>3.3907345321548306</v>
      </c>
      <c r="F10" s="14">
        <f>'chainage measurement'!G3-0.15</f>
        <v>0.12699380270242813</v>
      </c>
      <c r="G10" s="14">
        <f t="shared" ref="G10:G25" si="0">PRODUCT(C10:F10)</f>
        <v>2.1530113609639026</v>
      </c>
      <c r="H10" s="12"/>
      <c r="I10" s="12"/>
      <c r="J10" s="13"/>
      <c r="K10" s="12"/>
    </row>
    <row r="11" spans="1:11" x14ac:dyDescent="0.25">
      <c r="A11" s="10"/>
      <c r="B11" s="16"/>
      <c r="C11" s="12">
        <v>1</v>
      </c>
      <c r="D11" s="14">
        <f>'chainage measurement'!C4</f>
        <v>5</v>
      </c>
      <c r="E11" s="14">
        <f>'chainage measurement'!E4</f>
        <v>3.3145382505333738</v>
      </c>
      <c r="F11" s="14">
        <f>'chainage measurement'!G4-0.15</f>
        <v>0.12699380270242813</v>
      </c>
      <c r="G11" s="14">
        <f t="shared" si="0"/>
        <v>2.1046290831894328</v>
      </c>
      <c r="H11" s="12"/>
      <c r="I11" s="12"/>
      <c r="J11" s="13"/>
      <c r="K11" s="12"/>
    </row>
    <row r="12" spans="1:11" x14ac:dyDescent="0.25">
      <c r="A12" s="10"/>
      <c r="B12" s="16"/>
      <c r="C12" s="12">
        <v>1</v>
      </c>
      <c r="D12" s="14">
        <f>'chainage measurement'!C5</f>
        <v>5</v>
      </c>
      <c r="E12" s="14">
        <f>'chainage measurement'!E5</f>
        <v>3.0219445291069795</v>
      </c>
      <c r="F12" s="14">
        <f>'chainage measurement'!G5-0.15</f>
        <v>0.10398760540485627</v>
      </c>
      <c r="G12" s="14">
        <f t="shared" si="0"/>
        <v>1.571223876240704</v>
      </c>
      <c r="H12" s="12"/>
      <c r="I12" s="12"/>
      <c r="J12" s="13"/>
      <c r="K12" s="12"/>
    </row>
    <row r="13" spans="1:11" x14ac:dyDescent="0.25">
      <c r="A13" s="10"/>
      <c r="B13" s="16"/>
      <c r="C13" s="12">
        <v>1</v>
      </c>
      <c r="D13" s="14">
        <f>'chainage measurement'!C6</f>
        <v>5</v>
      </c>
      <c r="E13" s="14">
        <f>'chainage measurement'!E6</f>
        <v>2.9838463882962509</v>
      </c>
      <c r="F13" s="14">
        <f>'chainage measurement'!G6-0.15</f>
        <v>0.11033729553997765</v>
      </c>
      <c r="G13" s="14">
        <f t="shared" si="0"/>
        <v>1.6461477039566916</v>
      </c>
      <c r="H13" s="12"/>
      <c r="I13" s="12"/>
      <c r="J13" s="13"/>
      <c r="K13" s="12"/>
    </row>
    <row r="14" spans="1:11" x14ac:dyDescent="0.25">
      <c r="A14" s="10"/>
      <c r="B14" s="16"/>
      <c r="C14" s="12">
        <v>1</v>
      </c>
      <c r="D14" s="14">
        <f>'chainage measurement'!C7</f>
        <v>5</v>
      </c>
      <c r="E14" s="14">
        <f>'chainage measurement'!E7</f>
        <v>3.1621456872904599</v>
      </c>
      <c r="F14" s="14">
        <f>'chainage measurement'!G7-0.15</f>
        <v>0.11668698567509903</v>
      </c>
      <c r="G14" s="14">
        <f t="shared" si="0"/>
        <v>1.8449062425771903</v>
      </c>
      <c r="H14" s="12"/>
      <c r="I14" s="12"/>
      <c r="J14" s="13"/>
      <c r="K14" s="12"/>
    </row>
    <row r="15" spans="1:11" x14ac:dyDescent="0.25">
      <c r="A15" s="10"/>
      <c r="B15" s="16"/>
      <c r="C15" s="12">
        <v>1</v>
      </c>
      <c r="D15" s="14">
        <f>'chainage measurement'!C8</f>
        <v>5</v>
      </c>
      <c r="E15" s="14">
        <f>'chainage measurement'!E8</f>
        <v>3.0859494056690031</v>
      </c>
      <c r="F15" s="14">
        <f>'chainage measurement'!G8-0.15</f>
        <v>0.11668698567509903</v>
      </c>
      <c r="G15" s="14">
        <f t="shared" si="0"/>
        <v>1.8004506704668966</v>
      </c>
      <c r="H15" s="12"/>
      <c r="I15" s="12"/>
      <c r="J15" s="13"/>
      <c r="K15" s="12"/>
    </row>
    <row r="16" spans="1:11" x14ac:dyDescent="0.25">
      <c r="A16" s="10"/>
      <c r="B16" s="16"/>
      <c r="C16" s="12">
        <v>1</v>
      </c>
      <c r="D16" s="14">
        <f>'chainage measurement'!C9</f>
        <v>5</v>
      </c>
      <c r="E16" s="14">
        <f>'chainage measurement'!E9</f>
        <v>3.1366961292288935</v>
      </c>
      <c r="F16" s="14">
        <f>'chainage measurement'!G9-0.15</f>
        <v>0.11033729553997765</v>
      </c>
      <c r="G16" s="14">
        <f t="shared" si="0"/>
        <v>1.7304728391491617</v>
      </c>
      <c r="H16" s="12"/>
      <c r="I16" s="12"/>
      <c r="J16" s="13"/>
      <c r="K16" s="12"/>
    </row>
    <row r="17" spans="1:11" x14ac:dyDescent="0.25">
      <c r="A17" s="10"/>
      <c r="B17" s="16"/>
      <c r="C17" s="12">
        <v>1</v>
      </c>
      <c r="D17" s="14">
        <f>'chainage measurement'!C10</f>
        <v>5</v>
      </c>
      <c r="E17" s="14">
        <f>'chainage measurement'!E10</f>
        <v>3.1366961292288935</v>
      </c>
      <c r="F17" s="14">
        <f>'chainage measurement'!G10-0.15</f>
        <v>0.10398760540485627</v>
      </c>
      <c r="G17" s="14">
        <f t="shared" si="0"/>
        <v>1.6308875968059711</v>
      </c>
      <c r="H17" s="12"/>
      <c r="I17" s="12"/>
      <c r="J17" s="13"/>
      <c r="K17" s="12"/>
    </row>
    <row r="18" spans="1:11" x14ac:dyDescent="0.25">
      <c r="A18" s="10"/>
      <c r="B18" s="16"/>
      <c r="C18" s="12">
        <v>1</v>
      </c>
      <c r="D18" s="14">
        <f>'chainage measurement'!C11</f>
        <v>5</v>
      </c>
      <c r="E18" s="14">
        <f>'chainage measurement'!E11</f>
        <v>3.1240475464797317</v>
      </c>
      <c r="F18" s="14">
        <f>'chainage measurement'!G11-0.15</f>
        <v>0.10398760540485627</v>
      </c>
      <c r="G18" s="14">
        <f t="shared" si="0"/>
        <v>1.6243111176467186</v>
      </c>
      <c r="H18" s="12"/>
      <c r="I18" s="12"/>
      <c r="J18" s="13"/>
      <c r="K18" s="12"/>
    </row>
    <row r="19" spans="1:11" x14ac:dyDescent="0.25">
      <c r="A19" s="10"/>
      <c r="B19" s="16"/>
      <c r="C19" s="12">
        <v>1</v>
      </c>
      <c r="D19" s="14">
        <f>'chainage measurement'!C12</f>
        <v>5</v>
      </c>
      <c r="E19" s="14">
        <f>'chainage measurement'!E12</f>
        <v>3.2002438281011885</v>
      </c>
      <c r="F19" s="14">
        <f>'chainage measurement'!G12-0.15</f>
        <v>0.10398760540485627</v>
      </c>
      <c r="G19" s="14">
        <f t="shared" si="0"/>
        <v>1.6639284619795653</v>
      </c>
      <c r="H19" s="12"/>
      <c r="I19" s="12"/>
      <c r="J19" s="13"/>
      <c r="K19" s="12"/>
    </row>
    <row r="20" spans="1:11" x14ac:dyDescent="0.25">
      <c r="A20" s="10"/>
      <c r="B20" s="16"/>
      <c r="C20" s="12">
        <v>1</v>
      </c>
      <c r="D20" s="14">
        <f>'chainage measurement'!C13</f>
        <v>5</v>
      </c>
      <c r="E20" s="14">
        <f>'chainage measurement'!E13</f>
        <v>3.1240475464797317</v>
      </c>
      <c r="F20" s="14">
        <f>'chainage measurement'!G13-0.15</f>
        <v>7.8588844864370622E-2</v>
      </c>
      <c r="G20" s="14">
        <f t="shared" si="0"/>
        <v>1.2275764398960665</v>
      </c>
      <c r="H20" s="12"/>
      <c r="I20" s="12"/>
      <c r="J20" s="13"/>
      <c r="K20" s="12"/>
    </row>
    <row r="21" spans="1:11" x14ac:dyDescent="0.25">
      <c r="A21" s="10"/>
      <c r="B21" s="16"/>
      <c r="C21" s="55">
        <v>1</v>
      </c>
      <c r="D21" s="57">
        <f>'chainage measurement'!C14</f>
        <v>3.047851264858275</v>
      </c>
      <c r="E21" s="57">
        <f>'chainage measurement'!E14</f>
        <v>3.2002438281011885</v>
      </c>
      <c r="F21" s="57">
        <f>'chainage measurement'!G14-0.15</f>
        <v>6.5889464594127783E-2</v>
      </c>
      <c r="G21" s="14">
        <f t="shared" si="0"/>
        <v>0.64267708748628227</v>
      </c>
      <c r="H21" s="12"/>
      <c r="I21" s="12"/>
      <c r="J21" s="13"/>
      <c r="K21" s="12"/>
    </row>
    <row r="22" spans="1:11" x14ac:dyDescent="0.25">
      <c r="A22" s="10"/>
      <c r="B22" s="16"/>
      <c r="C22" s="12">
        <v>1</v>
      </c>
      <c r="D22" s="14">
        <f>'chainage measurement'!C15</f>
        <v>6</v>
      </c>
      <c r="E22" s="14">
        <f>'chainage measurement'!E15</f>
        <v>3.5557756781469063</v>
      </c>
      <c r="F22" s="14">
        <v>0.15</v>
      </c>
      <c r="G22" s="14">
        <f t="shared" si="0"/>
        <v>3.2001981103322157</v>
      </c>
      <c r="H22" s="12"/>
      <c r="I22" s="12"/>
      <c r="J22" s="13"/>
      <c r="K22" s="12"/>
    </row>
    <row r="23" spans="1:11" x14ac:dyDescent="0.25">
      <c r="A23" s="10"/>
      <c r="B23" s="16"/>
      <c r="C23" s="12">
        <v>1</v>
      </c>
      <c r="D23" s="14">
        <f>'chainage measurement'!C16</f>
        <v>0.35558264756679875</v>
      </c>
      <c r="E23" s="14">
        <f>'chainage measurement'!E16</f>
        <v>3.8351112465711674</v>
      </c>
      <c r="F23" s="14">
        <v>0.15</v>
      </c>
      <c r="G23" s="14">
        <f t="shared" si="0"/>
        <v>0.20455485161534726</v>
      </c>
      <c r="H23" s="12"/>
      <c r="I23" s="12"/>
      <c r="J23" s="13"/>
      <c r="K23" s="12"/>
    </row>
    <row r="24" spans="1:11" x14ac:dyDescent="0.25">
      <c r="A24" s="10"/>
      <c r="B24" s="16"/>
      <c r="C24" s="12">
        <v>1</v>
      </c>
      <c r="D24" s="14">
        <f>'chainage measurement'!C17</f>
        <v>5</v>
      </c>
      <c r="E24" s="14">
        <f>'chainage measurement'!E17</f>
        <v>4.4925556232855843</v>
      </c>
      <c r="F24" s="14">
        <v>0.15</v>
      </c>
      <c r="G24" s="14">
        <f t="shared" si="0"/>
        <v>3.3694167174641878</v>
      </c>
      <c r="H24" s="12"/>
      <c r="I24" s="12"/>
      <c r="J24" s="13"/>
      <c r="K24" s="12"/>
    </row>
    <row r="25" spans="1:11" x14ac:dyDescent="0.25">
      <c r="A25" s="10"/>
      <c r="B25" s="16"/>
      <c r="C25" s="12">
        <v>0</v>
      </c>
      <c r="D25" s="14">
        <f>'chainage measurement'!C18</f>
        <v>1</v>
      </c>
      <c r="E25" s="14">
        <f>'chainage measurement'!E18</f>
        <v>5.6750000000000007</v>
      </c>
      <c r="F25" s="14">
        <v>0.15</v>
      </c>
      <c r="G25" s="14">
        <f t="shared" si="0"/>
        <v>0</v>
      </c>
      <c r="H25" s="12"/>
      <c r="I25" s="12"/>
      <c r="J25" s="13"/>
      <c r="K25" s="12"/>
    </row>
    <row r="26" spans="1:11" s="21" customFormat="1" x14ac:dyDescent="0.25">
      <c r="A26" s="15"/>
      <c r="B26" s="16" t="s">
        <v>26</v>
      </c>
      <c r="C26" s="17"/>
      <c r="D26" s="1"/>
      <c r="E26" s="18"/>
      <c r="F26" s="18"/>
      <c r="G26" s="19">
        <f>SUM(G10:G25)</f>
        <v>26.414392159770337</v>
      </c>
      <c r="H26" s="20" t="s">
        <v>27</v>
      </c>
      <c r="I26" s="2">
        <v>62.95</v>
      </c>
      <c r="J26" s="19">
        <f>G26*I26</f>
        <v>1662.7859864575428</v>
      </c>
      <c r="K26" s="18"/>
    </row>
    <row r="27" spans="1:11" x14ac:dyDescent="0.25">
      <c r="A27" s="10"/>
      <c r="B27" s="22" t="s">
        <v>46</v>
      </c>
      <c r="C27" s="12"/>
      <c r="D27" s="12"/>
      <c r="E27" s="12"/>
      <c r="F27" s="12"/>
      <c r="G27" s="12"/>
      <c r="H27" s="12"/>
      <c r="I27" s="12"/>
      <c r="J27" s="13">
        <f>0.13*G26*18612/360</f>
        <v>177.53112970581645</v>
      </c>
      <c r="K27" s="12"/>
    </row>
    <row r="28" spans="1:11" x14ac:dyDescent="0.25">
      <c r="A28" s="10"/>
      <c r="B28" s="22"/>
      <c r="C28" s="12"/>
      <c r="D28" s="12"/>
      <c r="E28" s="12"/>
      <c r="F28" s="12"/>
      <c r="G28" s="12"/>
      <c r="H28" s="12"/>
      <c r="I28" s="12"/>
      <c r="J28" s="13"/>
      <c r="K28" s="12"/>
    </row>
    <row r="29" spans="1:11" ht="105" x14ac:dyDescent="0.25">
      <c r="A29" s="10">
        <v>2</v>
      </c>
      <c r="B29" s="11" t="s">
        <v>33</v>
      </c>
      <c r="C29" s="12"/>
      <c r="D29" s="12"/>
      <c r="E29" s="12"/>
      <c r="F29" s="12"/>
      <c r="G29" s="12"/>
      <c r="H29" s="12"/>
      <c r="I29" s="12"/>
      <c r="J29" s="12"/>
      <c r="K29" s="12"/>
    </row>
    <row r="30" spans="1:11" x14ac:dyDescent="0.25">
      <c r="A30" s="10"/>
      <c r="B30" s="16" t="str">
        <f>B10</f>
        <v>-for road</v>
      </c>
      <c r="C30" s="12">
        <v>1</v>
      </c>
      <c r="D30" s="14" t="e">
        <f>#REF!</f>
        <v>#REF!</v>
      </c>
      <c r="E30" s="14" t="e">
        <f>#REF!</f>
        <v>#REF!</v>
      </c>
      <c r="F30" s="12">
        <v>0.15</v>
      </c>
      <c r="G30" s="14" t="e">
        <f t="shared" ref="G30" si="1">PRODUCT(C30:F30)</f>
        <v>#REF!</v>
      </c>
      <c r="H30" s="12"/>
      <c r="I30" s="12"/>
      <c r="J30" s="13"/>
      <c r="K30" s="12"/>
    </row>
    <row r="31" spans="1:11" x14ac:dyDescent="0.25">
      <c r="A31" s="10"/>
      <c r="B31" s="16"/>
      <c r="C31" s="12">
        <f>C10</f>
        <v>1</v>
      </c>
      <c r="D31" s="12">
        <f t="shared" ref="D31:F31" si="2">D10</f>
        <v>5</v>
      </c>
      <c r="E31" s="12">
        <f t="shared" si="2"/>
        <v>3.3907345321548306</v>
      </c>
      <c r="F31" s="12">
        <f t="shared" si="2"/>
        <v>0.12699380270242813</v>
      </c>
      <c r="G31" s="14"/>
      <c r="H31" s="12"/>
      <c r="I31" s="12"/>
      <c r="J31" s="13"/>
      <c r="K31" s="12"/>
    </row>
    <row r="32" spans="1:11" x14ac:dyDescent="0.25">
      <c r="A32" s="10"/>
      <c r="B32" s="16"/>
      <c r="C32" s="12">
        <f t="shared" ref="C32:F32" si="3">C11</f>
        <v>1</v>
      </c>
      <c r="D32" s="12">
        <f t="shared" si="3"/>
        <v>5</v>
      </c>
      <c r="E32" s="12">
        <f t="shared" si="3"/>
        <v>3.3145382505333738</v>
      </c>
      <c r="F32" s="12">
        <f t="shared" si="3"/>
        <v>0.12699380270242813</v>
      </c>
      <c r="G32" s="14"/>
      <c r="H32" s="12"/>
      <c r="I32" s="12"/>
      <c r="J32" s="13"/>
      <c r="K32" s="12"/>
    </row>
    <row r="33" spans="1:11" x14ac:dyDescent="0.25">
      <c r="A33" s="10"/>
      <c r="B33" s="16"/>
      <c r="C33" s="12">
        <f t="shared" ref="C33:F33" si="4">C12</f>
        <v>1</v>
      </c>
      <c r="D33" s="12">
        <f t="shared" si="4"/>
        <v>5</v>
      </c>
      <c r="E33" s="12">
        <f t="shared" si="4"/>
        <v>3.0219445291069795</v>
      </c>
      <c r="F33" s="12">
        <f t="shared" si="4"/>
        <v>0.10398760540485627</v>
      </c>
      <c r="G33" s="14"/>
      <c r="H33" s="12"/>
      <c r="I33" s="12"/>
      <c r="J33" s="13"/>
      <c r="K33" s="12"/>
    </row>
    <row r="34" spans="1:11" x14ac:dyDescent="0.25">
      <c r="A34" s="10"/>
      <c r="B34" s="16"/>
      <c r="C34" s="12">
        <f t="shared" ref="C34:F34" si="5">C13</f>
        <v>1</v>
      </c>
      <c r="D34" s="12">
        <f t="shared" si="5"/>
        <v>5</v>
      </c>
      <c r="E34" s="12">
        <f t="shared" si="5"/>
        <v>2.9838463882962509</v>
      </c>
      <c r="F34" s="12">
        <f t="shared" si="5"/>
        <v>0.11033729553997765</v>
      </c>
      <c r="G34" s="14"/>
      <c r="H34" s="12"/>
      <c r="I34" s="12"/>
      <c r="J34" s="13"/>
      <c r="K34" s="12"/>
    </row>
    <row r="35" spans="1:11" x14ac:dyDescent="0.25">
      <c r="A35" s="10"/>
      <c r="B35" s="16"/>
      <c r="C35" s="12">
        <f t="shared" ref="C35:F35" si="6">C14</f>
        <v>1</v>
      </c>
      <c r="D35" s="12">
        <f t="shared" si="6"/>
        <v>5</v>
      </c>
      <c r="E35" s="12">
        <f t="shared" si="6"/>
        <v>3.1621456872904599</v>
      </c>
      <c r="F35" s="12">
        <f t="shared" si="6"/>
        <v>0.11668698567509903</v>
      </c>
      <c r="G35" s="14"/>
      <c r="H35" s="12"/>
      <c r="I35" s="12"/>
      <c r="J35" s="13"/>
      <c r="K35" s="12"/>
    </row>
    <row r="36" spans="1:11" x14ac:dyDescent="0.25">
      <c r="A36" s="10"/>
      <c r="B36" s="16"/>
      <c r="C36" s="12">
        <f t="shared" ref="C36:F36" si="7">C15</f>
        <v>1</v>
      </c>
      <c r="D36" s="12">
        <f t="shared" si="7"/>
        <v>5</v>
      </c>
      <c r="E36" s="12">
        <f t="shared" si="7"/>
        <v>3.0859494056690031</v>
      </c>
      <c r="F36" s="12">
        <f t="shared" si="7"/>
        <v>0.11668698567509903</v>
      </c>
      <c r="G36" s="14"/>
      <c r="H36" s="12"/>
      <c r="I36" s="12"/>
      <c r="J36" s="13"/>
      <c r="K36" s="12"/>
    </row>
    <row r="37" spans="1:11" x14ac:dyDescent="0.25">
      <c r="A37" s="10"/>
      <c r="B37" s="16"/>
      <c r="C37" s="12">
        <f t="shared" ref="C37:F37" si="8">C16</f>
        <v>1</v>
      </c>
      <c r="D37" s="12">
        <f t="shared" si="8"/>
        <v>5</v>
      </c>
      <c r="E37" s="12">
        <f t="shared" si="8"/>
        <v>3.1366961292288935</v>
      </c>
      <c r="F37" s="12">
        <f t="shared" si="8"/>
        <v>0.11033729553997765</v>
      </c>
      <c r="G37" s="14"/>
      <c r="H37" s="12"/>
      <c r="I37" s="12"/>
      <c r="J37" s="13"/>
      <c r="K37" s="12"/>
    </row>
    <row r="38" spans="1:11" x14ac:dyDescent="0.25">
      <c r="A38" s="10"/>
      <c r="B38" s="16"/>
      <c r="C38" s="12">
        <f t="shared" ref="C38:F38" si="9">C17</f>
        <v>1</v>
      </c>
      <c r="D38" s="12">
        <f t="shared" si="9"/>
        <v>5</v>
      </c>
      <c r="E38" s="12">
        <f t="shared" si="9"/>
        <v>3.1366961292288935</v>
      </c>
      <c r="F38" s="12">
        <f t="shared" si="9"/>
        <v>0.10398760540485627</v>
      </c>
      <c r="G38" s="14"/>
      <c r="H38" s="12"/>
      <c r="I38" s="12"/>
      <c r="J38" s="13"/>
      <c r="K38" s="12"/>
    </row>
    <row r="39" spans="1:11" x14ac:dyDescent="0.25">
      <c r="A39" s="10"/>
      <c r="B39" s="16"/>
      <c r="C39" s="12">
        <f t="shared" ref="C39:F39" si="10">C18</f>
        <v>1</v>
      </c>
      <c r="D39" s="12">
        <f t="shared" si="10"/>
        <v>5</v>
      </c>
      <c r="E39" s="12">
        <f t="shared" si="10"/>
        <v>3.1240475464797317</v>
      </c>
      <c r="F39" s="12">
        <f t="shared" si="10"/>
        <v>0.10398760540485627</v>
      </c>
      <c r="G39" s="14"/>
      <c r="H39" s="12"/>
      <c r="I39" s="12"/>
      <c r="J39" s="13"/>
      <c r="K39" s="12"/>
    </row>
    <row r="40" spans="1:11" x14ac:dyDescent="0.25">
      <c r="A40" s="10"/>
      <c r="B40" s="16"/>
      <c r="C40" s="12">
        <f t="shared" ref="C40:F40" si="11">C19</f>
        <v>1</v>
      </c>
      <c r="D40" s="12">
        <f t="shared" si="11"/>
        <v>5</v>
      </c>
      <c r="E40" s="12">
        <f t="shared" si="11"/>
        <v>3.2002438281011885</v>
      </c>
      <c r="F40" s="12">
        <f t="shared" si="11"/>
        <v>0.10398760540485627</v>
      </c>
      <c r="G40" s="14"/>
      <c r="H40" s="12"/>
      <c r="I40" s="12"/>
      <c r="J40" s="13"/>
      <c r="K40" s="12"/>
    </row>
    <row r="41" spans="1:11" x14ac:dyDescent="0.25">
      <c r="A41" s="10"/>
      <c r="B41" s="16"/>
      <c r="C41" s="12">
        <f t="shared" ref="C41:F41" si="12">C20</f>
        <v>1</v>
      </c>
      <c r="D41" s="12">
        <f t="shared" si="12"/>
        <v>5</v>
      </c>
      <c r="E41" s="12">
        <f t="shared" si="12"/>
        <v>3.1240475464797317</v>
      </c>
      <c r="F41" s="12">
        <f t="shared" si="12"/>
        <v>7.8588844864370622E-2</v>
      </c>
      <c r="G41" s="14"/>
      <c r="H41" s="12"/>
      <c r="I41" s="12"/>
      <c r="J41" s="13"/>
      <c r="K41" s="12"/>
    </row>
    <row r="42" spans="1:11" x14ac:dyDescent="0.25">
      <c r="A42" s="10"/>
      <c r="B42" s="16"/>
      <c r="C42" s="12">
        <f t="shared" ref="C42:F42" si="13">C21</f>
        <v>1</v>
      </c>
      <c r="D42" s="12">
        <f t="shared" si="13"/>
        <v>3.047851264858275</v>
      </c>
      <c r="E42" s="12">
        <f t="shared" si="13"/>
        <v>3.2002438281011885</v>
      </c>
      <c r="F42" s="12">
        <f t="shared" si="13"/>
        <v>6.5889464594127783E-2</v>
      </c>
      <c r="G42" s="14"/>
      <c r="H42" s="12"/>
      <c r="I42" s="12"/>
      <c r="J42" s="13"/>
      <c r="K42" s="12"/>
    </row>
    <row r="43" spans="1:11" s="21" customFormat="1" x14ac:dyDescent="0.25">
      <c r="A43" s="15"/>
      <c r="B43" s="16" t="s">
        <v>26</v>
      </c>
      <c r="C43" s="17"/>
      <c r="D43" s="1"/>
      <c r="E43" s="18"/>
      <c r="F43" s="18"/>
      <c r="G43" s="19" t="e">
        <f>SUM(G30:G30)</f>
        <v>#REF!</v>
      </c>
      <c r="H43" s="20" t="s">
        <v>27</v>
      </c>
      <c r="I43" s="2">
        <v>4458.5200000000004</v>
      </c>
      <c r="J43" s="19" t="e">
        <f>G43*I43</f>
        <v>#REF!</v>
      </c>
      <c r="K43" s="18"/>
    </row>
    <row r="44" spans="1:11" x14ac:dyDescent="0.25">
      <c r="A44" s="10"/>
      <c r="B44" s="22" t="s">
        <v>32</v>
      </c>
      <c r="C44" s="12"/>
      <c r="D44" s="12"/>
      <c r="E44" s="12"/>
      <c r="F44" s="12"/>
      <c r="G44" s="12"/>
      <c r="H44" s="12"/>
      <c r="I44" s="12"/>
      <c r="J44" s="13" t="e">
        <f>0.13*G43*14817.6/5</f>
        <v>#REF!</v>
      </c>
      <c r="K44" s="12"/>
    </row>
    <row r="45" spans="1:11" x14ac:dyDescent="0.25">
      <c r="A45" s="10"/>
      <c r="B45" s="11"/>
      <c r="C45" s="12"/>
      <c r="D45" s="12"/>
      <c r="E45" s="12"/>
      <c r="F45" s="12"/>
      <c r="G45" s="12"/>
      <c r="H45" s="12"/>
      <c r="I45" s="12"/>
      <c r="J45" s="12"/>
      <c r="K45" s="12"/>
    </row>
    <row r="46" spans="1:11" ht="74.25" customHeight="1" x14ac:dyDescent="0.25">
      <c r="A46" s="10">
        <v>3</v>
      </c>
      <c r="B46" s="11" t="s">
        <v>37</v>
      </c>
      <c r="C46" s="12"/>
      <c r="D46" s="23"/>
      <c r="E46" s="23"/>
      <c r="F46" s="23"/>
      <c r="G46" s="12"/>
      <c r="H46" s="12"/>
      <c r="I46" s="12"/>
      <c r="J46" s="13"/>
      <c r="K46" s="12"/>
    </row>
    <row r="47" spans="1:11" x14ac:dyDescent="0.25">
      <c r="A47" s="10"/>
      <c r="B47" s="16" t="str">
        <f>B30</f>
        <v>-for road</v>
      </c>
      <c r="C47" s="12">
        <v>1</v>
      </c>
      <c r="D47" s="14" t="e">
        <f>D30</f>
        <v>#REF!</v>
      </c>
      <c r="E47" s="14" t="e">
        <f>E30</f>
        <v>#REF!</v>
      </c>
      <c r="F47" s="12">
        <v>0.15</v>
      </c>
      <c r="G47" s="14" t="e">
        <f t="shared" ref="G47" si="14">PRODUCT(C47:F47)</f>
        <v>#REF!</v>
      </c>
      <c r="H47" s="12"/>
      <c r="I47" s="12"/>
      <c r="J47" s="13"/>
      <c r="K47" s="12"/>
    </row>
    <row r="48" spans="1:11" s="21" customFormat="1" x14ac:dyDescent="0.25">
      <c r="A48" s="15"/>
      <c r="B48" s="16" t="s">
        <v>26</v>
      </c>
      <c r="C48" s="17"/>
      <c r="D48" s="1"/>
      <c r="E48" s="18"/>
      <c r="F48" s="18"/>
      <c r="G48" s="19" t="e">
        <f>SUM(G47:G47)</f>
        <v>#REF!</v>
      </c>
      <c r="H48" s="20" t="s">
        <v>27</v>
      </c>
      <c r="I48" s="2">
        <v>12000.5</v>
      </c>
      <c r="J48" s="19" t="e">
        <f>G48*I48</f>
        <v>#REF!</v>
      </c>
      <c r="K48" s="18"/>
    </row>
    <row r="49" spans="1:11" x14ac:dyDescent="0.25">
      <c r="A49" s="10"/>
      <c r="B49" s="22" t="s">
        <v>30</v>
      </c>
      <c r="C49" s="12"/>
      <c r="D49" s="12"/>
      <c r="E49" s="12"/>
      <c r="F49" s="12"/>
      <c r="G49" s="12"/>
      <c r="H49" s="12"/>
      <c r="I49" s="12"/>
      <c r="J49" s="13" t="e">
        <f>0.13*G48*67891.51/15</f>
        <v>#REF!</v>
      </c>
      <c r="K49" s="12"/>
    </row>
    <row r="50" spans="1:11" x14ac:dyDescent="0.25">
      <c r="A50" s="10"/>
      <c r="B50" s="22" t="s">
        <v>29</v>
      </c>
      <c r="C50" s="12"/>
      <c r="D50" s="12"/>
      <c r="E50" s="12"/>
      <c r="F50" s="12"/>
      <c r="G50" s="12"/>
      <c r="H50" s="12"/>
      <c r="I50" s="12"/>
      <c r="J50" s="13" t="e">
        <f>0.13*G48*21432.6/15</f>
        <v>#REF!</v>
      </c>
      <c r="K50" s="12"/>
    </row>
    <row r="51" spans="1:11" x14ac:dyDescent="0.25">
      <c r="A51" s="10"/>
      <c r="B51" s="22" t="s">
        <v>31</v>
      </c>
      <c r="C51" s="12"/>
      <c r="D51" s="12"/>
      <c r="E51" s="12"/>
      <c r="F51" s="12"/>
      <c r="G51" s="12"/>
      <c r="H51" s="12"/>
      <c r="I51" s="12"/>
      <c r="J51" s="13" t="e">
        <f>0.13*G48*(27147.96+17146.08)/15</f>
        <v>#REF!</v>
      </c>
      <c r="K51" s="12"/>
    </row>
    <row r="52" spans="1:11" x14ac:dyDescent="0.25">
      <c r="A52" s="10"/>
      <c r="B52" s="22" t="s">
        <v>34</v>
      </c>
      <c r="C52" s="12"/>
      <c r="D52" s="12"/>
      <c r="E52" s="12"/>
      <c r="F52" s="12"/>
      <c r="G52" s="12"/>
      <c r="H52" s="12"/>
      <c r="I52" s="12"/>
      <c r="J52" s="13" t="e">
        <f>0.13*G48*775/15</f>
        <v>#REF!</v>
      </c>
      <c r="K52" s="12"/>
    </row>
    <row r="53" spans="1:11" x14ac:dyDescent="0.25">
      <c r="A53" s="10"/>
      <c r="B53" s="22" t="s">
        <v>35</v>
      </c>
      <c r="C53" s="12"/>
      <c r="D53" s="12"/>
      <c r="E53" s="12"/>
      <c r="F53" s="12"/>
      <c r="G53" s="12"/>
      <c r="H53" s="12"/>
      <c r="I53" s="12"/>
      <c r="J53" s="13" t="e">
        <f>0.13*G48*6923.4/15</f>
        <v>#REF!</v>
      </c>
      <c r="K53" s="12"/>
    </row>
    <row r="54" spans="1:11" x14ac:dyDescent="0.25">
      <c r="A54" s="10"/>
      <c r="B54" s="22"/>
      <c r="C54" s="12"/>
      <c r="D54" s="12"/>
      <c r="E54" s="12"/>
      <c r="F54" s="12"/>
      <c r="G54" s="12"/>
      <c r="H54" s="12"/>
      <c r="I54" s="12"/>
      <c r="J54" s="13"/>
      <c r="K54" s="12"/>
    </row>
    <row r="55" spans="1:11" s="21" customFormat="1" ht="90" x14ac:dyDescent="0.25">
      <c r="A55" s="10">
        <v>4</v>
      </c>
      <c r="B55" s="38" t="s">
        <v>38</v>
      </c>
      <c r="C55" s="32" t="s">
        <v>7</v>
      </c>
      <c r="D55" s="39" t="s">
        <v>40</v>
      </c>
      <c r="E55" s="39" t="s">
        <v>41</v>
      </c>
      <c r="F55" s="39" t="s">
        <v>42</v>
      </c>
      <c r="G55" s="32"/>
      <c r="H55" s="32"/>
      <c r="I55" s="32"/>
      <c r="J55" s="20"/>
      <c r="K55" s="32"/>
    </row>
    <row r="56" spans="1:11" x14ac:dyDescent="0.25">
      <c r="A56" s="10"/>
      <c r="B56" s="16" t="str">
        <f>B10</f>
        <v>-for road</v>
      </c>
      <c r="C56" s="12" t="e">
        <f>TRUNC(D57/0.15,0)+1</f>
        <v>#REF!</v>
      </c>
      <c r="D56" s="14" t="e">
        <f>D30-0.1</f>
        <v>#REF!</v>
      </c>
      <c r="E56" s="14">
        <f>10*10/162</f>
        <v>0.61728395061728392</v>
      </c>
      <c r="F56" s="12" t="e">
        <f>PRODUCT(C56:E56)</f>
        <v>#REF!</v>
      </c>
      <c r="G56" s="14" t="e">
        <f>F56/1000</f>
        <v>#REF!</v>
      </c>
      <c r="H56" s="12"/>
      <c r="I56" s="12"/>
      <c r="J56" s="13"/>
      <c r="K56" s="12"/>
    </row>
    <row r="57" spans="1:11" x14ac:dyDescent="0.25">
      <c r="A57" s="10"/>
      <c r="B57" s="16"/>
      <c r="C57" s="12" t="e">
        <f>TRUNC(D56/0.15,0)+1</f>
        <v>#REF!</v>
      </c>
      <c r="D57" s="14" t="e">
        <f>E47-0.1</f>
        <v>#REF!</v>
      </c>
      <c r="E57" s="14">
        <f>10*10/162</f>
        <v>0.61728395061728392</v>
      </c>
      <c r="F57" s="12" t="e">
        <f>PRODUCT(C57:E57)</f>
        <v>#REF!</v>
      </c>
      <c r="G57" s="14" t="e">
        <f>F57/1000</f>
        <v>#REF!</v>
      </c>
      <c r="H57" s="12"/>
      <c r="I57" s="12"/>
      <c r="J57" s="13"/>
      <c r="K57" s="12"/>
    </row>
    <row r="58" spans="1:11" s="21" customFormat="1" x14ac:dyDescent="0.25">
      <c r="A58" s="15"/>
      <c r="B58" s="16" t="s">
        <v>26</v>
      </c>
      <c r="C58" s="17"/>
      <c r="D58" s="1"/>
      <c r="E58" s="18"/>
      <c r="F58" s="18"/>
      <c r="G58" s="19" t="e">
        <f>SUM(G56:G56)</f>
        <v>#REF!</v>
      </c>
      <c r="H58" s="20" t="s">
        <v>43</v>
      </c>
      <c r="I58" s="2">
        <v>124355</v>
      </c>
      <c r="J58" s="19" t="e">
        <f>G58*I58</f>
        <v>#REF!</v>
      </c>
      <c r="K58" s="18"/>
    </row>
    <row r="59" spans="1:11" x14ac:dyDescent="0.25">
      <c r="A59" s="10"/>
      <c r="B59" s="22" t="s">
        <v>44</v>
      </c>
      <c r="C59" s="12"/>
      <c r="D59" s="12"/>
      <c r="E59" s="12"/>
      <c r="F59" s="12"/>
      <c r="G59" s="12"/>
      <c r="H59" s="12"/>
      <c r="I59" s="12"/>
      <c r="J59" s="13" t="e">
        <f>0.13*G58*110000</f>
        <v>#REF!</v>
      </c>
      <c r="K59" s="12"/>
    </row>
    <row r="60" spans="1:11" x14ac:dyDescent="0.25">
      <c r="A60" s="10"/>
      <c r="B60" s="22" t="s">
        <v>45</v>
      </c>
      <c r="C60" s="12"/>
      <c r="D60" s="12"/>
      <c r="E60" s="12"/>
      <c r="F60" s="12"/>
      <c r="G60" s="12"/>
      <c r="H60" s="12"/>
      <c r="I60" s="12"/>
      <c r="J60" s="13" t="e">
        <f>0.13*G58*960</f>
        <v>#REF!</v>
      </c>
      <c r="K60" s="12"/>
    </row>
    <row r="61" spans="1:11" x14ac:dyDescent="0.25">
      <c r="A61" s="10"/>
      <c r="B61" s="22"/>
      <c r="C61" s="12"/>
      <c r="D61" s="12"/>
      <c r="E61" s="12"/>
      <c r="F61" s="12"/>
      <c r="G61" s="12"/>
      <c r="H61" s="12"/>
      <c r="I61" s="12"/>
      <c r="J61" s="13"/>
      <c r="K61" s="12"/>
    </row>
    <row r="62" spans="1:11" ht="15" customHeight="1" x14ac:dyDescent="0.25">
      <c r="A62" s="15">
        <v>5</v>
      </c>
      <c r="B62" s="24" t="s">
        <v>47</v>
      </c>
      <c r="C62" s="17">
        <v>1</v>
      </c>
      <c r="D62" s="1"/>
      <c r="E62" s="18"/>
      <c r="F62" s="18"/>
      <c r="G62" s="20">
        <f t="shared" ref="G62" si="15">PRODUCT(C62:F62)</f>
        <v>1</v>
      </c>
      <c r="H62" s="20" t="s">
        <v>48</v>
      </c>
      <c r="I62" s="2">
        <v>5000</v>
      </c>
      <c r="J62" s="20">
        <f>G62*I62</f>
        <v>5000</v>
      </c>
      <c r="K62" s="18"/>
    </row>
    <row r="63" spans="1:11" x14ac:dyDescent="0.25">
      <c r="A63" s="15"/>
      <c r="B63" s="25"/>
      <c r="C63" s="17"/>
      <c r="D63" s="1"/>
      <c r="E63" s="18"/>
      <c r="F63" s="18"/>
      <c r="G63" s="2"/>
      <c r="H63" s="20"/>
      <c r="I63" s="2"/>
      <c r="J63" s="13"/>
      <c r="K63" s="18"/>
    </row>
    <row r="64" spans="1:11" ht="15" customHeight="1" x14ac:dyDescent="0.25">
      <c r="A64" s="15">
        <v>6</v>
      </c>
      <c r="B64" s="24" t="s">
        <v>16</v>
      </c>
      <c r="C64" s="17">
        <v>1</v>
      </c>
      <c r="D64" s="1"/>
      <c r="E64" s="18"/>
      <c r="F64" s="18"/>
      <c r="G64" s="20">
        <f t="shared" ref="G64" si="16">PRODUCT(C64:F64)</f>
        <v>1</v>
      </c>
      <c r="H64" s="20" t="s">
        <v>17</v>
      </c>
      <c r="I64" s="2">
        <v>500</v>
      </c>
      <c r="J64" s="20">
        <f>G64*I64</f>
        <v>500</v>
      </c>
      <c r="K64" s="18"/>
    </row>
    <row r="65" spans="1:11" x14ac:dyDescent="0.25">
      <c r="A65" s="15"/>
      <c r="B65" s="25"/>
      <c r="C65" s="17"/>
      <c r="D65" s="1"/>
      <c r="E65" s="18"/>
      <c r="F65" s="18"/>
      <c r="G65" s="2"/>
      <c r="H65" s="20"/>
      <c r="I65" s="2"/>
      <c r="J65" s="13"/>
      <c r="K65" s="18"/>
    </row>
    <row r="66" spans="1:11" x14ac:dyDescent="0.25">
      <c r="A66" s="26"/>
      <c r="B66" s="27" t="s">
        <v>19</v>
      </c>
      <c r="C66" s="28"/>
      <c r="D66" s="29"/>
      <c r="E66" s="29"/>
      <c r="F66" s="29"/>
      <c r="G66" s="13"/>
      <c r="H66" s="13"/>
      <c r="I66" s="13"/>
      <c r="J66" s="13" t="e">
        <f>SUM(J9:J64)</f>
        <v>#REF!</v>
      </c>
      <c r="K66" s="30"/>
    </row>
    <row r="68" spans="1:11" s="21" customFormat="1" x14ac:dyDescent="0.25">
      <c r="A68" s="31"/>
      <c r="B68" s="32" t="s">
        <v>18</v>
      </c>
      <c r="C68" s="40" t="e">
        <f>J66</f>
        <v>#REF!</v>
      </c>
      <c r="D68" s="41"/>
      <c r="E68" s="33">
        <v>100</v>
      </c>
      <c r="F68" s="31"/>
      <c r="G68" s="34"/>
      <c r="H68" s="31"/>
      <c r="I68" s="35"/>
      <c r="J68" s="36"/>
      <c r="K68" s="37"/>
    </row>
    <row r="69" spans="1:11" x14ac:dyDescent="0.25">
      <c r="B69" s="32" t="s">
        <v>20</v>
      </c>
      <c r="C69" s="44">
        <v>500000</v>
      </c>
      <c r="D69" s="45"/>
      <c r="E69" s="33"/>
    </row>
    <row r="70" spans="1:11" x14ac:dyDescent="0.25">
      <c r="B70" s="32" t="s">
        <v>21</v>
      </c>
      <c r="C70" s="44">
        <f>C69-C72-C73</f>
        <v>475000</v>
      </c>
      <c r="D70" s="45"/>
      <c r="E70" s="33" t="e">
        <f>C70/C68*100</f>
        <v>#REF!</v>
      </c>
    </row>
    <row r="71" spans="1:11" x14ac:dyDescent="0.25">
      <c r="B71" s="32" t="s">
        <v>25</v>
      </c>
      <c r="C71" s="46" t="e">
        <f>C68-C70</f>
        <v>#REF!</v>
      </c>
      <c r="D71" s="46"/>
      <c r="E71" s="33" t="e">
        <f>100-E70</f>
        <v>#REF!</v>
      </c>
    </row>
    <row r="72" spans="1:11" x14ac:dyDescent="0.25">
      <c r="B72" s="32" t="s">
        <v>22</v>
      </c>
      <c r="C72" s="40">
        <f>C69*0.03</f>
        <v>15000</v>
      </c>
      <c r="D72" s="41"/>
      <c r="E72" s="33">
        <v>3</v>
      </c>
    </row>
    <row r="73" spans="1:11" x14ac:dyDescent="0.25">
      <c r="B73" s="32" t="s">
        <v>23</v>
      </c>
      <c r="C73" s="40">
        <f>C69*0.02</f>
        <v>10000</v>
      </c>
      <c r="D73" s="41"/>
      <c r="E73" s="33">
        <v>2</v>
      </c>
    </row>
  </sheetData>
  <mergeCells count="15">
    <mergeCell ref="C72:D72"/>
    <mergeCell ref="C73:D73"/>
    <mergeCell ref="A7:F7"/>
    <mergeCell ref="H7:K7"/>
    <mergeCell ref="C68:D68"/>
    <mergeCell ref="C69:D69"/>
    <mergeCell ref="C70:D70"/>
    <mergeCell ref="C71:D71"/>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63"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5AE00-3B69-4334-8160-184E0D6CBEFD}">
  <dimension ref="A1:H18"/>
  <sheetViews>
    <sheetView workbookViewId="0">
      <pane ySplit="1" topLeftCell="A2" activePane="bottomLeft" state="frozen"/>
      <selection pane="bottomLeft" activeCell="F15" sqref="F15"/>
    </sheetView>
  </sheetViews>
  <sheetFormatPr defaultRowHeight="15" x14ac:dyDescent="0.25"/>
  <cols>
    <col min="1" max="1" width="11.140625" bestFit="1" customWidth="1"/>
    <col min="3" max="3" width="9.140625" style="53"/>
    <col min="5" max="5" width="9.140625" style="53"/>
    <col min="7" max="7" width="9.140625" style="53"/>
    <col min="8" max="8" width="19" bestFit="1" customWidth="1"/>
  </cols>
  <sheetData>
    <row r="1" spans="1:8" x14ac:dyDescent="0.25">
      <c r="A1" s="54" t="s">
        <v>52</v>
      </c>
      <c r="B1" s="54" t="s">
        <v>51</v>
      </c>
      <c r="C1" s="55" t="s">
        <v>8</v>
      </c>
      <c r="D1" s="54"/>
      <c r="E1" s="55" t="s">
        <v>9</v>
      </c>
      <c r="F1" s="54"/>
      <c r="G1" s="55" t="s">
        <v>10</v>
      </c>
      <c r="H1" s="54" t="s">
        <v>53</v>
      </c>
    </row>
    <row r="2" spans="1:8" x14ac:dyDescent="0.25">
      <c r="A2" s="54"/>
      <c r="B2" s="54">
        <v>0</v>
      </c>
      <c r="C2" s="55"/>
      <c r="D2" s="56">
        <f>11/3.281</f>
        <v>3.3526363913441024</v>
      </c>
      <c r="E2" s="55"/>
      <c r="F2" s="56">
        <f>10/12/3.281</f>
        <v>0.25398760540485626</v>
      </c>
      <c r="G2" s="55"/>
      <c r="H2" s="54" t="s">
        <v>54</v>
      </c>
    </row>
    <row r="3" spans="1:8" x14ac:dyDescent="0.25">
      <c r="A3" s="54"/>
      <c r="B3" s="54">
        <v>5</v>
      </c>
      <c r="C3" s="55">
        <v>5</v>
      </c>
      <c r="D3" s="56">
        <f>11.25/3.281</f>
        <v>3.4288326729655592</v>
      </c>
      <c r="E3" s="57">
        <f>(D2+D3)/2</f>
        <v>3.3907345321548306</v>
      </c>
      <c r="F3" s="56">
        <f>0.3</f>
        <v>0.3</v>
      </c>
      <c r="G3" s="57">
        <f>(F2+F3)/2</f>
        <v>0.27699380270242813</v>
      </c>
      <c r="H3" s="54" t="s">
        <v>54</v>
      </c>
    </row>
    <row r="4" spans="1:8" x14ac:dyDescent="0.25">
      <c r="A4" s="54"/>
      <c r="B4" s="54">
        <v>5</v>
      </c>
      <c r="C4" s="55">
        <v>5</v>
      </c>
      <c r="D4" s="56">
        <f>10.5/3.281</f>
        <v>3.2002438281011885</v>
      </c>
      <c r="E4" s="57">
        <f t="shared" ref="E4:E18" si="0">(D3+D4)/2</f>
        <v>3.3145382505333738</v>
      </c>
      <c r="F4" s="56">
        <f>10/12/3.281</f>
        <v>0.25398760540485626</v>
      </c>
      <c r="G4" s="57">
        <f t="shared" ref="G4:G18" si="1">(F3+F4)/2</f>
        <v>0.27699380270242813</v>
      </c>
      <c r="H4" s="54" t="s">
        <v>54</v>
      </c>
    </row>
    <row r="5" spans="1:8" x14ac:dyDescent="0.25">
      <c r="A5" s="54"/>
      <c r="B5" s="54">
        <v>5</v>
      </c>
      <c r="C5" s="55">
        <v>5</v>
      </c>
      <c r="D5" s="56">
        <f>9.33/3.281</f>
        <v>2.8436452301127706</v>
      </c>
      <c r="E5" s="57">
        <f t="shared" si="0"/>
        <v>3.0219445291069795</v>
      </c>
      <c r="F5" s="56">
        <f>10/12/3.281</f>
        <v>0.25398760540485626</v>
      </c>
      <c r="G5" s="57">
        <f t="shared" si="1"/>
        <v>0.25398760540485626</v>
      </c>
      <c r="H5" s="54" t="s">
        <v>54</v>
      </c>
    </row>
    <row r="6" spans="1:8" x14ac:dyDescent="0.25">
      <c r="A6" s="54"/>
      <c r="B6" s="54">
        <v>5</v>
      </c>
      <c r="C6" s="55">
        <v>5</v>
      </c>
      <c r="D6" s="56">
        <f>10.25/3.281</f>
        <v>3.1240475464797317</v>
      </c>
      <c r="E6" s="57">
        <f t="shared" si="0"/>
        <v>2.9838463882962509</v>
      </c>
      <c r="F6" s="56">
        <f>10.5/12/3.281</f>
        <v>0.26668698567509902</v>
      </c>
      <c r="G6" s="57">
        <f t="shared" si="1"/>
        <v>0.26033729553997764</v>
      </c>
      <c r="H6" s="54" t="s">
        <v>54</v>
      </c>
    </row>
    <row r="7" spans="1:8" x14ac:dyDescent="0.25">
      <c r="A7" s="54"/>
      <c r="B7" s="54">
        <v>5</v>
      </c>
      <c r="C7" s="55">
        <v>5</v>
      </c>
      <c r="D7" s="56">
        <f>10.5/3.281</f>
        <v>3.2002438281011885</v>
      </c>
      <c r="E7" s="57">
        <f t="shared" si="0"/>
        <v>3.1621456872904599</v>
      </c>
      <c r="F7" s="56">
        <f t="shared" ref="F7:F8" si="2">10.5/12/3.281</f>
        <v>0.26668698567509902</v>
      </c>
      <c r="G7" s="57">
        <f t="shared" si="1"/>
        <v>0.26668698567509902</v>
      </c>
      <c r="H7" s="54" t="s">
        <v>54</v>
      </c>
    </row>
    <row r="8" spans="1:8" x14ac:dyDescent="0.25">
      <c r="A8" s="54"/>
      <c r="B8" s="54">
        <v>5</v>
      </c>
      <c r="C8" s="55">
        <v>5</v>
      </c>
      <c r="D8" s="56">
        <f>9.75/3.281</f>
        <v>2.9716549832368178</v>
      </c>
      <c r="E8" s="57">
        <f t="shared" si="0"/>
        <v>3.0859494056690031</v>
      </c>
      <c r="F8" s="56">
        <f t="shared" si="2"/>
        <v>0.26668698567509902</v>
      </c>
      <c r="G8" s="57">
        <f t="shared" si="1"/>
        <v>0.26668698567509902</v>
      </c>
      <c r="H8" s="54" t="s">
        <v>54</v>
      </c>
    </row>
    <row r="9" spans="1:8" x14ac:dyDescent="0.25">
      <c r="A9" s="54"/>
      <c r="B9" s="54">
        <v>5</v>
      </c>
      <c r="C9" s="55">
        <v>5</v>
      </c>
      <c r="D9" s="56">
        <f>10.833/3.281</f>
        <v>3.3017372752209693</v>
      </c>
      <c r="E9" s="57">
        <f t="shared" si="0"/>
        <v>3.1366961292288935</v>
      </c>
      <c r="F9" s="56">
        <f>10/12/3.281</f>
        <v>0.25398760540485626</v>
      </c>
      <c r="G9" s="57">
        <f t="shared" si="1"/>
        <v>0.26033729553997764</v>
      </c>
      <c r="H9" s="54" t="s">
        <v>54</v>
      </c>
    </row>
    <row r="10" spans="1:8" x14ac:dyDescent="0.25">
      <c r="A10" s="54"/>
      <c r="B10" s="54">
        <v>5</v>
      </c>
      <c r="C10" s="55">
        <v>5</v>
      </c>
      <c r="D10" s="56">
        <f>9.75/3.281</f>
        <v>2.9716549832368178</v>
      </c>
      <c r="E10" s="57">
        <f t="shared" si="0"/>
        <v>3.1366961292288935</v>
      </c>
      <c r="F10" s="56">
        <f t="shared" ref="F10:F12" si="3">10/12/3.281</f>
        <v>0.25398760540485626</v>
      </c>
      <c r="G10" s="57">
        <f t="shared" si="1"/>
        <v>0.25398760540485626</v>
      </c>
      <c r="H10" s="54" t="s">
        <v>54</v>
      </c>
    </row>
    <row r="11" spans="1:8" x14ac:dyDescent="0.25">
      <c r="A11" s="54"/>
      <c r="B11" s="54">
        <v>5</v>
      </c>
      <c r="C11" s="55">
        <v>5</v>
      </c>
      <c r="D11" s="56">
        <f>10.75/3.281</f>
        <v>3.2764401097226452</v>
      </c>
      <c r="E11" s="57">
        <f t="shared" si="0"/>
        <v>3.1240475464797317</v>
      </c>
      <c r="F11" s="56">
        <f t="shared" si="3"/>
        <v>0.25398760540485626</v>
      </c>
      <c r="G11" s="57">
        <f t="shared" si="1"/>
        <v>0.25398760540485626</v>
      </c>
      <c r="H11" s="54" t="s">
        <v>54</v>
      </c>
    </row>
    <row r="12" spans="1:8" x14ac:dyDescent="0.25">
      <c r="A12" s="54"/>
      <c r="B12" s="54">
        <v>5</v>
      </c>
      <c r="C12" s="55">
        <v>5</v>
      </c>
      <c r="D12" s="56">
        <f>10.25/3.281</f>
        <v>3.1240475464797317</v>
      </c>
      <c r="E12" s="57">
        <f t="shared" si="0"/>
        <v>3.2002438281011885</v>
      </c>
      <c r="F12" s="56">
        <f t="shared" si="3"/>
        <v>0.25398760540485626</v>
      </c>
      <c r="G12" s="57">
        <f t="shared" si="1"/>
        <v>0.25398760540485626</v>
      </c>
      <c r="H12" s="54" t="s">
        <v>54</v>
      </c>
    </row>
    <row r="13" spans="1:8" x14ac:dyDescent="0.25">
      <c r="A13" s="54"/>
      <c r="B13" s="54">
        <v>5</v>
      </c>
      <c r="C13" s="55">
        <v>5</v>
      </c>
      <c r="D13" s="56">
        <f>10.25/3.281</f>
        <v>3.1240475464797317</v>
      </c>
      <c r="E13" s="57">
        <f t="shared" si="0"/>
        <v>3.1240475464797317</v>
      </c>
      <c r="F13" s="56">
        <f>8/12/3.281</f>
        <v>0.20319008432388497</v>
      </c>
      <c r="G13" s="57">
        <f t="shared" si="1"/>
        <v>0.22858884486437062</v>
      </c>
      <c r="H13" s="54" t="s">
        <v>54</v>
      </c>
    </row>
    <row r="14" spans="1:8" x14ac:dyDescent="0.25">
      <c r="A14" s="54"/>
      <c r="B14" s="56">
        <f>10/3.281</f>
        <v>3.047851264858275</v>
      </c>
      <c r="C14" s="58">
        <f>10/3.281</f>
        <v>3.047851264858275</v>
      </c>
      <c r="D14" s="56">
        <f>10.75/3.281</f>
        <v>3.2764401097226452</v>
      </c>
      <c r="E14" s="57">
        <f t="shared" si="0"/>
        <v>3.2002438281011885</v>
      </c>
      <c r="F14" s="56">
        <f>9/12/3.281</f>
        <v>0.22858884486437062</v>
      </c>
      <c r="G14" s="57">
        <f t="shared" si="1"/>
        <v>0.21588946459412778</v>
      </c>
      <c r="H14" s="54" t="s">
        <v>54</v>
      </c>
    </row>
    <row r="15" spans="1:8" x14ac:dyDescent="0.25">
      <c r="A15" s="54"/>
      <c r="B15" s="54">
        <v>5</v>
      </c>
      <c r="C15" s="55">
        <v>6</v>
      </c>
      <c r="D15" s="56">
        <f>12.583/3.281</f>
        <v>3.8351112465711674</v>
      </c>
      <c r="E15" s="57">
        <f t="shared" si="0"/>
        <v>3.5557756781469063</v>
      </c>
      <c r="F15" s="56">
        <f>7/12/3.281</f>
        <v>0.17779132378339937</v>
      </c>
      <c r="G15" s="57">
        <f t="shared" si="1"/>
        <v>0.203190084323885</v>
      </c>
      <c r="H15" s="54" t="s">
        <v>55</v>
      </c>
    </row>
    <row r="16" spans="1:8" x14ac:dyDescent="0.25">
      <c r="A16" s="54"/>
      <c r="B16" s="59">
        <f>14/12/3.281</f>
        <v>0.35558264756679875</v>
      </c>
      <c r="C16" s="57">
        <f>14/12/3.281</f>
        <v>0.35558264756679875</v>
      </c>
      <c r="D16" s="56">
        <f>12.583/3.281</f>
        <v>3.8351112465711674</v>
      </c>
      <c r="E16" s="57">
        <f t="shared" si="0"/>
        <v>3.8351112465711674</v>
      </c>
      <c r="F16" s="56">
        <f>7/12/3.281</f>
        <v>0.17779132378339937</v>
      </c>
      <c r="G16" s="57">
        <f t="shared" si="1"/>
        <v>0.17779132378339937</v>
      </c>
      <c r="H16" s="54" t="s">
        <v>55</v>
      </c>
    </row>
    <row r="17" spans="1:8" x14ac:dyDescent="0.25">
      <c r="A17" s="54"/>
      <c r="B17" s="54">
        <v>5</v>
      </c>
      <c r="C17" s="55">
        <v>5</v>
      </c>
      <c r="D17" s="56">
        <f>5.15</f>
        <v>5.15</v>
      </c>
      <c r="E17" s="57">
        <f t="shared" si="0"/>
        <v>4.4925556232855843</v>
      </c>
      <c r="F17" s="56">
        <f>8/12/3.281</f>
        <v>0.20319008432388497</v>
      </c>
      <c r="G17" s="57">
        <f t="shared" si="1"/>
        <v>0.19049070405364216</v>
      </c>
      <c r="H17" s="54" t="s">
        <v>55</v>
      </c>
    </row>
    <row r="18" spans="1:8" x14ac:dyDescent="0.25">
      <c r="A18" s="54"/>
      <c r="B18" s="54">
        <v>1</v>
      </c>
      <c r="C18" s="55">
        <v>1</v>
      </c>
      <c r="D18" s="56">
        <v>6.2</v>
      </c>
      <c r="E18" s="57">
        <f t="shared" si="0"/>
        <v>5.6750000000000007</v>
      </c>
      <c r="F18" s="56">
        <f>6/12/3.281</f>
        <v>0.15239256324291373</v>
      </c>
      <c r="G18" s="57">
        <f t="shared" si="1"/>
        <v>0.17779132378339935</v>
      </c>
      <c r="H18" s="54" t="s">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estimate</vt:lpstr>
      <vt:lpstr>V</vt:lpstr>
      <vt:lpstr>chainage measurement</vt:lpstr>
      <vt:lpstr>estimate!Print_Area</vt:lpstr>
      <vt:lpstr>V!Print_Area</vt:lpstr>
      <vt:lpstr>estimate!Print_Titles</vt:lpstr>
      <vt:lpstr>V!Print_Titles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2026-06-04T05:41:49Z</dcterms:modified>
</cp:coreProperties>
</file>