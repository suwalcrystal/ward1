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1"/>
  </bookViews>
  <sheets>
    <sheet name="estimate" sheetId="12" r:id="rId1"/>
    <sheet name="gravel" sheetId="13" r:id="rId2"/>
  </sheets>
  <externalReferences>
    <externalReference r:id="rId3"/>
    <externalReference r:id="rId4"/>
    <externalReference r:id="rId5"/>
    <externalReference r:id="rId6"/>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4">[4]Abstract!$B$170</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estimate!$A$1:$K$46</definedName>
    <definedName name="_xlnm.Print_Area" localSheetId="1">gravel!$A$1:$K$47</definedName>
    <definedName name="_xlnm.Print_Titles" localSheetId="0">estimate!$1:$8</definedName>
    <definedName name="_xlnm.Print_Titles" localSheetId="1">gravel!$1:$8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12" l="1"/>
  <c r="J35" i="12" s="1"/>
  <c r="G36" i="13"/>
  <c r="J36" i="13" s="1"/>
  <c r="C47" i="13"/>
  <c r="C46" i="13"/>
  <c r="C44" i="13"/>
  <c r="G38" i="13"/>
  <c r="J38" i="13" s="1"/>
  <c r="E31" i="13"/>
  <c r="E30" i="13"/>
  <c r="D30" i="13"/>
  <c r="C31" i="13" s="1"/>
  <c r="F31" i="13" s="1"/>
  <c r="G31" i="13" s="1"/>
  <c r="B30" i="13"/>
  <c r="E15" i="13"/>
  <c r="E21" i="13" s="1"/>
  <c r="D31" i="13" s="1"/>
  <c r="C30" i="13" s="1"/>
  <c r="D15" i="13"/>
  <c r="D21" i="13" s="1"/>
  <c r="G21" i="13" s="1"/>
  <c r="G22" i="13" s="1"/>
  <c r="B15" i="13"/>
  <c r="B21" i="13" s="1"/>
  <c r="E10" i="13"/>
  <c r="G10" i="13" s="1"/>
  <c r="G11" i="13" s="1"/>
  <c r="E10" i="12"/>
  <c r="F30" i="13" l="1"/>
  <c r="G30" i="13" s="1"/>
  <c r="G32" i="13" s="1"/>
  <c r="J27" i="13"/>
  <c r="J25" i="13"/>
  <c r="J24" i="13"/>
  <c r="J23" i="13"/>
  <c r="J26" i="13"/>
  <c r="J22" i="13"/>
  <c r="J12" i="13"/>
  <c r="J11" i="13"/>
  <c r="J34" i="13"/>
  <c r="J33" i="13"/>
  <c r="J32" i="13"/>
  <c r="G15" i="13"/>
  <c r="G16" i="13" s="1"/>
  <c r="J17" i="13" l="1"/>
  <c r="J18" i="13"/>
  <c r="J16" i="13"/>
  <c r="J40" i="13"/>
  <c r="C42" i="13" s="1"/>
  <c r="C45" i="13" l="1"/>
  <c r="E44" i="13"/>
  <c r="E45" i="13" s="1"/>
  <c r="E30" i="12" l="1"/>
  <c r="E29" i="12"/>
  <c r="B29" i="12"/>
  <c r="B15" i="12"/>
  <c r="B20" i="12" s="1"/>
  <c r="E15" i="12"/>
  <c r="E20" i="12" l="1"/>
  <c r="D30" i="12" s="1"/>
  <c r="C29" i="12" s="1"/>
  <c r="D15" i="12"/>
  <c r="D20" i="12" l="1"/>
  <c r="G20" i="12" s="1"/>
  <c r="G21" i="12" s="1"/>
  <c r="D29" i="12"/>
  <c r="C30" i="12" s="1"/>
  <c r="F30" i="12" s="1"/>
  <c r="G30" i="12" s="1"/>
  <c r="G15" i="12"/>
  <c r="G16" i="12" s="1"/>
  <c r="J17" i="12" s="1"/>
  <c r="F29" i="12" l="1"/>
  <c r="G29" i="12" s="1"/>
  <c r="G31" i="12" s="1"/>
  <c r="J32" i="12" s="1"/>
  <c r="J23" i="12"/>
  <c r="J26" i="12"/>
  <c r="J22" i="12"/>
  <c r="J25" i="12"/>
  <c r="J24" i="12"/>
  <c r="J31" i="12"/>
  <c r="J21" i="12"/>
  <c r="J16" i="12"/>
  <c r="J33" i="12" l="1"/>
  <c r="G10" i="12"/>
  <c r="G11" i="12" s="1"/>
  <c r="J12" i="12" s="1"/>
  <c r="J11" i="12" l="1"/>
  <c r="C45" i="12" l="1"/>
  <c r="C46" i="12" l="1"/>
  <c r="C43" i="12" s="1"/>
  <c r="G37" i="12"/>
  <c r="J37" i="12" s="1"/>
  <c r="J39" i="12" s="1"/>
  <c r="C41" i="12" l="1"/>
  <c r="C44" i="12" s="1"/>
  <c r="E43" i="12" l="1"/>
  <c r="E44" i="12" s="1"/>
</calcChain>
</file>

<file path=xl/sharedStrings.xml><?xml version="1.0" encoding="utf-8"?>
<sst xmlns="http://schemas.openxmlformats.org/spreadsheetml/2006/main" count="115" uniqueCount="52">
  <si>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</si>
  <si>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</si>
  <si>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</si>
  <si>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</si>
  <si>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</si>
  <si>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</si>
  <si>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</si>
  <si>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</si>
  <si>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</si>
  <si>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</si>
  <si>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</si>
  <si>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</si>
  <si>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</si>
  <si>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</si>
  <si>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</si>
  <si>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</si>
  <si>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</si>
  <si>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</si>
  <si>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</si>
  <si>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</si>
  <si>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</si>
  <si>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</si>
  <si>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</si>
  <si>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</si>
  <si>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</si>
  <si>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</si>
  <si>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sub-total</t>
  </si>
  <si>
    <t>cum</t>
  </si>
  <si>
    <t>Location:- Shankharapur Municipality 1</t>
  </si>
  <si>
    <t>-13% VAT for sand</t>
  </si>
  <si>
    <t>-13% VAT for cement</t>
  </si>
  <si>
    <t>-13% VAT for aggregate</t>
  </si>
  <si>
    <t>-13% VAT for block stone</t>
  </si>
  <si>
    <t>Providing and laying of hand pack locally available Stone soling with 150 to 200 mm thick stones and packing with smaller stone on prepared surface as per Drawing and Technical Specifications.</t>
  </si>
  <si>
    <t>-13% VAT for water</t>
  </si>
  <si>
    <t>-13% VAT for formwork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</si>
  <si>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</si>
  <si>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Providing and laying of Plain/Reinforced Cement Concrete in Foundation complete as per Drawing and Technical Specifications., RCC Grade M 20</t>
  </si>
  <si>
    <t xml:space="preserve">Providing and laying , fitting and placing HYSD bar reinforcement in sub-structure complete as per Drawing and Technical Specifications and instruction of site engineer  </t>
  </si>
  <si>
    <t>-for road</t>
  </si>
  <si>
    <t>Length (m)</t>
  </si>
  <si>
    <t>Unit weight (Kg/m)</t>
  </si>
  <si>
    <t>Total Weight (Kg)</t>
  </si>
  <si>
    <t>tonne</t>
  </si>
  <si>
    <t>-13% VAT for HYSD bar</t>
  </si>
  <si>
    <t>-13% VAT for binding wire</t>
  </si>
  <si>
    <t>-13% VAT for excavator</t>
  </si>
  <si>
    <t>Provisional sum for lab tests</t>
  </si>
  <si>
    <t>PS</t>
  </si>
  <si>
    <t>Providing and laying  granular sub-base   on prepared surface, mixing  at OMC, and compacting  to achieve the desired density, complete as per Drawing and Technical Specifications., By Mechanical means</t>
  </si>
  <si>
    <r>
      <t xml:space="preserve">Project:- </t>
    </r>
    <r>
      <rPr>
        <sz val="12"/>
        <rFont val="Preeti"/>
      </rPr>
      <t>nfFs'/Ljf]6 b]jL ;'df/f ;8s</t>
    </r>
  </si>
  <si>
    <t xml:space="preserve">Date:2082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</si>
</sst>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3">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4" fillId="0" borderId="0" xfId="0" applyFont="1" applyFill="1"/>
    <xf numFmtId="0" fontId="9" fillId="0" borderId="0" xfId="0" applyFont="1" applyFill="1" applyAlignment="1">
      <alignment horizontal="center"/>
    </xf>
    <xf numFmtId="164" fontId="9" fillId="0" borderId="0" xfId="1" applyFont="1" applyFill="1"/>
    <xf numFmtId="0" fontId="9" fillId="0" borderId="2" xfId="0" applyFont="1" applyFill="1" applyBorder="1" applyAlignment="1">
      <alignment horizontal="center"/>
    </xf>
    <xf numFmtId="0" fontId="9" fillId="0" borderId="2" xfId="0" applyFont="1" applyFill="1" applyBorder="1" applyAlignment="1">
      <alignment horizontal="center" vertical="top" wrapText="1"/>
    </xf>
    <xf numFmtId="164" fontId="9" fillId="0" borderId="2" xfId="1" applyFont="1" applyFill="1" applyBorder="1" applyAlignment="1">
      <alignment horizontal="center"/>
    </xf>
    <xf numFmtId="0" fontId="9" fillId="0" borderId="2" xfId="0" applyFont="1" applyFill="1" applyBorder="1" applyAlignment="1">
      <alignment horizontal="center" wrapText="1"/>
    </xf>
    <xf numFmtId="0" fontId="6" fillId="0" borderId="2" xfId="0" applyFont="1" applyFill="1" applyBorder="1" applyAlignment="1">
      <alignment vertical="center"/>
    </xf>
    <xf numFmtId="0" fontId="4" fillId="0" borderId="2" xfId="0" quotePrefix="1" applyFont="1" applyFill="1" applyBorder="1" applyAlignment="1">
      <alignment wrapText="1"/>
    </xf>
    <xf numFmtId="0" fontId="4" fillId="0" borderId="2" xfId="0" applyFont="1" applyFill="1" applyBorder="1"/>
    <xf numFmtId="2" fontId="3" fillId="0" borderId="2" xfId="0" applyNumberFormat="1" applyFont="1" applyFill="1" applyBorder="1"/>
    <xf numFmtId="2" fontId="4" fillId="0" borderId="2" xfId="0" applyNumberFormat="1" applyFont="1" applyFill="1" applyBorder="1"/>
    <xf numFmtId="1" fontId="3" fillId="0" borderId="2" xfId="0" applyNumberFormat="1" applyFont="1" applyFill="1" applyBorder="1" applyAlignment="1">
      <alignment vertical="center"/>
    </xf>
    <xf numFmtId="0" fontId="2" fillId="0" borderId="2" xfId="0" quotePrefix="1" applyFont="1" applyFill="1" applyBorder="1" applyAlignment="1">
      <alignment horizontal="right" vertical="center" wrapText="1"/>
    </xf>
    <xf numFmtId="165" fontId="2" fillId="0" borderId="2" xfId="0" applyNumberFormat="1" applyFont="1" applyFill="1" applyBorder="1" applyAlignment="1">
      <alignment vertical="center"/>
    </xf>
    <xf numFmtId="2" fontId="2" fillId="0" borderId="2" xfId="0" applyNumberFormat="1" applyFont="1" applyFill="1" applyBorder="1" applyAlignment="1">
      <alignment vertical="center"/>
    </xf>
    <xf numFmtId="2" fontId="6" fillId="0" borderId="2" xfId="0" applyNumberFormat="1" applyFont="1" applyFill="1" applyBorder="1" applyAlignment="1">
      <alignment vertical="center"/>
    </xf>
    <xf numFmtId="2" fontId="3" fillId="0" borderId="2" xfId="0" applyNumberFormat="1" applyFont="1" applyFill="1" applyBorder="1" applyAlignment="1">
      <alignment vertical="center"/>
    </xf>
    <xf numFmtId="0" fontId="4" fillId="0" borderId="0" xfId="0" applyFont="1" applyFill="1" applyAlignment="1">
      <alignment vertical="center"/>
    </xf>
    <xf numFmtId="0" fontId="4" fillId="0" borderId="2" xfId="0" quotePrefix="1" applyFont="1" applyFill="1" applyBorder="1" applyAlignment="1">
      <alignment horizontal="right"/>
    </xf>
    <xf numFmtId="0" fontId="4" fillId="0" borderId="2" xfId="0" applyFont="1" applyFill="1" applyBorder="1" applyAlignment="1">
      <alignment wrapText="1"/>
    </xf>
    <xf numFmtId="1" fontId="2" fillId="0" borderId="2" xfId="0" applyNumberFormat="1" applyFont="1" applyFill="1" applyBorder="1" applyAlignment="1">
      <alignment vertical="center" wrapText="1"/>
    </xf>
    <xf numFmtId="1" fontId="2" fillId="0" borderId="2" xfId="0" applyNumberFormat="1" applyFont="1" applyFill="1" applyBorder="1" applyAlignment="1">
      <alignment horizontal="right" vertical="center" wrapText="1"/>
    </xf>
    <xf numFmtId="0" fontId="3" fillId="0" borderId="2" xfId="0" applyFont="1" applyFill="1" applyBorder="1"/>
    <xf numFmtId="0" fontId="3" fillId="0" borderId="2" xfId="0" applyFont="1" applyFill="1" applyBorder="1" applyAlignment="1">
      <alignment horizontal="right" wrapText="1"/>
    </xf>
    <xf numFmtId="165" fontId="2" fillId="0" borderId="2" xfId="0" applyNumberFormat="1" applyFont="1" applyFill="1" applyBorder="1"/>
    <xf numFmtId="2" fontId="2" fillId="0" borderId="2" xfId="0" applyNumberFormat="1" applyFont="1" applyFill="1" applyBorder="1"/>
    <xf numFmtId="0" fontId="2" fillId="0" borderId="2" xfId="0" applyFont="1" applyFill="1" applyBorder="1"/>
    <xf numFmtId="0" fontId="2" fillId="0" borderId="0" xfId="0" applyFont="1" applyFill="1" applyAlignment="1">
      <alignment vertical="center"/>
    </xf>
    <xf numFmtId="0" fontId="4" fillId="0" borderId="2" xfId="0" applyFont="1" applyFill="1" applyBorder="1" applyAlignment="1">
      <alignment vertical="center"/>
    </xf>
    <xf numFmtId="2" fontId="4" fillId="0" borderId="2" xfId="0" applyNumberFormat="1" applyFont="1" applyFill="1" applyBorder="1" applyAlignment="1">
      <alignment vertical="center"/>
    </xf>
    <xf numFmtId="2" fontId="2" fillId="0" borderId="0" xfId="0" applyNumberFormat="1" applyFont="1" applyFill="1" applyAlignment="1">
      <alignment vertical="center"/>
    </xf>
    <xf numFmtId="0" fontId="3" fillId="0" borderId="0" xfId="0" applyFont="1" applyFill="1" applyAlignment="1">
      <alignment horizontal="right" vertical="center"/>
    </xf>
    <xf numFmtId="164" fontId="3" fillId="0" borderId="0" xfId="1" applyFont="1" applyFill="1" applyBorder="1" applyAlignment="1">
      <alignment vertical="center"/>
    </xf>
    <xf numFmtId="0" fontId="3" fillId="0" borderId="0" xfId="0" applyFont="1" applyFill="1" applyAlignment="1">
      <alignment vertical="center"/>
    </xf>
    <xf numFmtId="0" fontId="4" fillId="0" borderId="2" xfId="0" quotePrefix="1" applyFont="1" applyFill="1" applyBorder="1" applyAlignment="1">
      <alignment vertical="center" wrapText="1"/>
    </xf>
    <xf numFmtId="0" fontId="4" fillId="0" borderId="2" xfId="0" applyFont="1" applyFill="1" applyBorder="1" applyAlignment="1">
      <alignment vertical="center" wrapText="1"/>
    </xf>
    <xf numFmtId="2" fontId="4" fillId="0" borderId="3" xfId="0" applyNumberFormat="1" applyFont="1" applyFill="1" applyBorder="1" applyAlignment="1">
      <alignment horizontal="center" vertical="center"/>
    </xf>
    <xf numFmtId="2" fontId="4" fillId="0" borderId="4" xfId="0" applyNumberFormat="1" applyFont="1" applyFill="1" applyBorder="1" applyAlignment="1">
      <alignment horizontal="center" vertical="center"/>
    </xf>
    <xf numFmtId="0" fontId="8" fillId="0" borderId="1" xfId="0" applyFont="1" applyFill="1" applyBorder="1"/>
    <xf numFmtId="0" fontId="8" fillId="0" borderId="1" xfId="0" applyFont="1" applyFill="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Fill="1" applyBorder="1" applyAlignment="1">
      <alignment horizontal="center" vertical="center"/>
    </xf>
    <xf numFmtId="0" fontId="8" fillId="0" borderId="0" xfId="0" applyFont="1" applyFill="1" applyAlignment="1">
      <alignment horizontal="left"/>
    </xf>
    <xf numFmtId="0" fontId="8" fillId="0" borderId="0" xfId="0" applyFont="1" applyFill="1" applyAlignment="1">
      <alignment horizontal="right"/>
    </xf>
    <xf numFmtId="0" fontId="3" fillId="0" borderId="0" xfId="0" applyFont="1" applyFill="1" applyAlignment="1">
      <alignment horizontal="center" vertical="center"/>
    </xf>
    <xf numFmtId="0" fontId="5" fillId="0" borderId="0" xfId="0" applyFont="1" applyFill="1" applyAlignment="1">
      <alignment horizontal="center" vertical="center"/>
    </xf>
    <xf numFmtId="0" fontId="6" fillId="0" borderId="0" xfId="0" applyFont="1" applyFill="1" applyAlignment="1">
      <alignment horizontal="center" vertical="center"/>
    </xf>
    <xf numFmtId="0" fontId="7" fillId="0" borderId="0" xfId="0" applyFont="1" applyFill="1" applyAlignment="1">
      <alignment horizont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5" Type="http://schemas.openxmlformats.org/officeDocument/2006/relationships/externalLink" Target="externalLinks/externalLink3.xml"/><Relationship Id="rId10" Type="http://schemas.openxmlformats.org/officeDocument/2006/relationships/calcChain" Target="calcChain.xml"/><Relationship Id="rId4" Type="http://schemas.openxmlformats.org/officeDocument/2006/relationships/externalLink" Target="externalLinks/externalLink2.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70">
          <cell r="B170" t="str">
            <v>Providing and laying of Plain/Reinforced Cement Concrete in Foundation complete as per Drawing and Technical Specifications, PCC Grade M 15, Manual Mixing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
  <sheetViews>
    <sheetView zoomScaleNormal="100" zoomScaleSheetLayoutView="95" workbookViewId="0">
      <selection activeCell="H8" sqref="H8"/>
    </sheetView>
  </sheetViews>
  <sheetFormatPr defaultColWidth="9.109375" defaultRowHeight="14.4" x14ac:dyDescent="0.3"/>
  <cols>
    <col min="1" max="1" width="4.6640625" style="3" customWidth="1"/>
    <col min="2" max="2" width="30.88671875" style="3" customWidth="1"/>
    <col min="3" max="3" width="4.44140625" style="3" bestFit="1" customWidth="1"/>
    <col min="4" max="4" width="8.44140625" style="3" customWidth="1"/>
    <col min="5" max="5" width="8.5546875" style="3" customWidth="1"/>
    <col min="6" max="6" width="7.33203125" style="3" customWidth="1"/>
    <col min="7" max="7" width="9.109375" style="3"/>
    <col min="8" max="8" width="5" style="3" bestFit="1" customWidth="1"/>
    <col min="9" max="9" width="9.5546875" style="3" customWidth="1"/>
    <col min="10" max="10" width="10.6640625" style="3" bestFit="1" customWidth="1"/>
    <col min="11" max="16384" width="9.109375" style="3"/>
  </cols>
  <sheetData>
    <row r="1" spans="1:11" x14ac:dyDescent="0.3">
      <c r="A1" s="49" t="s">
        <v>0</v>
      </c>
      <c r="B1" s="49"/>
      <c r="C1" s="49"/>
      <c r="D1" s="49"/>
      <c r="E1" s="49"/>
      <c r="F1" s="49"/>
      <c r="G1" s="49"/>
      <c r="H1" s="49"/>
      <c r="I1" s="49"/>
      <c r="J1" s="49"/>
      <c r="K1" s="49"/>
    </row>
    <row r="2" spans="1:11" ht="22.8" x14ac:dyDescent="0.3">
      <c r="A2" s="50" t="s">
        <v>1</v>
      </c>
      <c r="B2" s="50"/>
      <c r="C2" s="50"/>
      <c r="D2" s="50"/>
      <c r="E2" s="50"/>
      <c r="F2" s="50"/>
      <c r="G2" s="50"/>
      <c r="H2" s="50"/>
      <c r="I2" s="50"/>
      <c r="J2" s="50"/>
      <c r="K2" s="50"/>
    </row>
    <row r="3" spans="1:11" x14ac:dyDescent="0.3">
      <c r="A3" s="51" t="s">
        <v>2</v>
      </c>
      <c r="B3" s="51"/>
      <c r="C3" s="51"/>
      <c r="D3" s="51"/>
      <c r="E3" s="51"/>
      <c r="F3" s="51"/>
      <c r="G3" s="51"/>
      <c r="H3" s="51"/>
      <c r="I3" s="51"/>
      <c r="J3" s="51"/>
      <c r="K3" s="51"/>
    </row>
    <row r="4" spans="1:11" x14ac:dyDescent="0.3">
      <c r="A4" s="51" t="s">
        <v>3</v>
      </c>
      <c r="B4" s="51"/>
      <c r="C4" s="51"/>
      <c r="D4" s="51"/>
      <c r="E4" s="51"/>
      <c r="F4" s="51"/>
      <c r="G4" s="51"/>
      <c r="H4" s="51"/>
      <c r="I4" s="51"/>
      <c r="J4" s="51"/>
      <c r="K4" s="51"/>
    </row>
    <row r="5" spans="1:11" ht="17.399999999999999" x14ac:dyDescent="0.3">
      <c r="A5" s="52" t="s">
        <v>4</v>
      </c>
      <c r="B5" s="52"/>
      <c r="C5" s="52"/>
      <c r="D5" s="52"/>
      <c r="E5" s="52"/>
      <c r="F5" s="52"/>
      <c r="G5" s="52"/>
      <c r="H5" s="52"/>
      <c r="I5" s="52"/>
      <c r="J5" s="52"/>
      <c r="K5" s="52"/>
    </row>
    <row r="6" spans="1:11" ht="15.6" x14ac:dyDescent="0.3">
      <c r="A6" s="47" t="s">
        <v>50</v>
      </c>
      <c r="B6" s="47"/>
      <c r="C6" s="47"/>
      <c r="D6" s="47"/>
      <c r="E6" s="47"/>
      <c r="F6" s="47"/>
      <c r="G6" s="4"/>
      <c r="H6" s="48" t="s">
        <v>24</v>
      </c>
      <c r="I6" s="48"/>
      <c r="J6" s="48"/>
      <c r="K6" s="48"/>
    </row>
    <row r="7" spans="1:11" ht="15.6" x14ac:dyDescent="0.3">
      <c r="A7" s="42" t="s">
        <v>28</v>
      </c>
      <c r="B7" s="42"/>
      <c r="C7" s="42"/>
      <c r="D7" s="42"/>
      <c r="E7" s="42"/>
      <c r="F7" s="42"/>
      <c r="G7" s="5"/>
      <c r="H7" s="43" t="s">
        <v>51</v>
      </c>
      <c r="I7" s="43"/>
      <c r="J7" s="43"/>
      <c r="K7" s="43"/>
    </row>
    <row r="8" spans="1:11" ht="15.6" x14ac:dyDescent="0.3">
      <c r="A8" s="6" t="s">
        <v>5</v>
      </c>
      <c r="B8" s="7" t="s">
        <v>6</v>
      </c>
      <c r="C8" s="6" t="s">
        <v>7</v>
      </c>
      <c r="D8" s="8" t="s">
        <v>8</v>
      </c>
      <c r="E8" s="8" t="s">
        <v>9</v>
      </c>
      <c r="F8" s="8" t="s">
        <v>10</v>
      </c>
      <c r="G8" s="8" t="s">
        <v>11</v>
      </c>
      <c r="H8" s="6" t="s">
        <v>12</v>
      </c>
      <c r="I8" s="8" t="s">
        <v>13</v>
      </c>
      <c r="J8" s="8" t="s">
        <v>14</v>
      </c>
      <c r="K8" s="9" t="s">
        <v>15</v>
      </c>
    </row>
    <row r="9" spans="1:11" s="21" customFormat="1" ht="144" x14ac:dyDescent="0.3">
      <c r="A9" s="10">
        <v>1</v>
      </c>
      <c r="B9" s="38" t="s">
        <v>36</v>
      </c>
      <c r="C9" s="32"/>
      <c r="D9" s="32"/>
      <c r="E9" s="32"/>
      <c r="F9" s="32"/>
      <c r="G9" s="32"/>
      <c r="H9" s="32"/>
      <c r="I9" s="32"/>
      <c r="J9" s="32"/>
      <c r="K9" s="32"/>
    </row>
    <row r="10" spans="1:11" x14ac:dyDescent="0.3">
      <c r="A10" s="10"/>
      <c r="B10" s="16" t="s">
        <v>39</v>
      </c>
      <c r="C10" s="12">
        <v>1</v>
      </c>
      <c r="D10" s="14">
        <v>56</v>
      </c>
      <c r="E10" s="14">
        <f>10/3.281</f>
        <v>3.047851264858275</v>
      </c>
      <c r="F10" s="12">
        <v>0.15</v>
      </c>
      <c r="G10" s="14">
        <f t="shared" ref="G10" si="0">PRODUCT(C10:F10)</f>
        <v>25.601950624809511</v>
      </c>
      <c r="H10" s="12"/>
      <c r="I10" s="12"/>
      <c r="J10" s="13"/>
      <c r="K10" s="12"/>
    </row>
    <row r="11" spans="1:11" s="21" customFormat="1" x14ac:dyDescent="0.3">
      <c r="A11" s="15"/>
      <c r="B11" s="16" t="s">
        <v>26</v>
      </c>
      <c r="C11" s="17"/>
      <c r="D11" s="1"/>
      <c r="E11" s="18"/>
      <c r="F11" s="18"/>
      <c r="G11" s="19">
        <f>SUM(G10:G10)</f>
        <v>25.601950624809511</v>
      </c>
      <c r="H11" s="20" t="s">
        <v>27</v>
      </c>
      <c r="I11" s="2">
        <v>62.95</v>
      </c>
      <c r="J11" s="19">
        <f>G11*I11</f>
        <v>1611.6427918317588</v>
      </c>
      <c r="K11" s="18"/>
    </row>
    <row r="12" spans="1:11" x14ac:dyDescent="0.3">
      <c r="A12" s="10"/>
      <c r="B12" s="22" t="s">
        <v>46</v>
      </c>
      <c r="C12" s="12"/>
      <c r="D12" s="12"/>
      <c r="E12" s="12"/>
      <c r="F12" s="12"/>
      <c r="G12" s="12"/>
      <c r="H12" s="12"/>
      <c r="I12" s="12"/>
      <c r="J12" s="13">
        <f>0.13*G11*18612/360</f>
        <v>172.07071014934473</v>
      </c>
      <c r="K12" s="12"/>
    </row>
    <row r="13" spans="1:11" x14ac:dyDescent="0.3">
      <c r="A13" s="10"/>
      <c r="B13" s="22"/>
      <c r="C13" s="12"/>
      <c r="D13" s="12"/>
      <c r="E13" s="12"/>
      <c r="F13" s="12"/>
      <c r="G13" s="12"/>
      <c r="H13" s="12"/>
      <c r="I13" s="12"/>
      <c r="J13" s="13"/>
      <c r="K13" s="12"/>
    </row>
    <row r="14" spans="1:11" ht="86.4" x14ac:dyDescent="0.3">
      <c r="A14" s="10">
        <v>2</v>
      </c>
      <c r="B14" s="11" t="s">
        <v>33</v>
      </c>
      <c r="C14" s="12"/>
      <c r="D14" s="12"/>
      <c r="E14" s="12"/>
      <c r="F14" s="12"/>
      <c r="G14" s="12"/>
      <c r="H14" s="12"/>
      <c r="I14" s="12"/>
      <c r="J14" s="12"/>
      <c r="K14" s="12"/>
    </row>
    <row r="15" spans="1:11" x14ac:dyDescent="0.3">
      <c r="A15" s="10"/>
      <c r="B15" s="16" t="str">
        <f>B10</f>
        <v>-for road</v>
      </c>
      <c r="C15" s="12">
        <v>1</v>
      </c>
      <c r="D15" s="14">
        <f>D10</f>
        <v>56</v>
      </c>
      <c r="E15" s="14">
        <f>E10</f>
        <v>3.047851264858275</v>
      </c>
      <c r="F15" s="12">
        <v>0.15</v>
      </c>
      <c r="G15" s="14">
        <f t="shared" ref="G15" si="1">PRODUCT(C15:F15)</f>
        <v>25.601950624809511</v>
      </c>
      <c r="H15" s="12"/>
      <c r="I15" s="12"/>
      <c r="J15" s="13"/>
      <c r="K15" s="12"/>
    </row>
    <row r="16" spans="1:11" s="21" customFormat="1" x14ac:dyDescent="0.3">
      <c r="A16" s="15"/>
      <c r="B16" s="16" t="s">
        <v>26</v>
      </c>
      <c r="C16" s="17"/>
      <c r="D16" s="1"/>
      <c r="E16" s="18"/>
      <c r="F16" s="18"/>
      <c r="G16" s="19">
        <f>SUM(G15:G15)</f>
        <v>25.601950624809511</v>
      </c>
      <c r="H16" s="20" t="s">
        <v>27</v>
      </c>
      <c r="I16" s="2">
        <v>4458.5200000000004</v>
      </c>
      <c r="J16" s="19">
        <f>G16*I16</f>
        <v>114146.80889972571</v>
      </c>
      <c r="K16" s="18"/>
    </row>
    <row r="17" spans="1:11" x14ac:dyDescent="0.3">
      <c r="A17" s="10"/>
      <c r="B17" s="22" t="s">
        <v>32</v>
      </c>
      <c r="C17" s="12"/>
      <c r="D17" s="12"/>
      <c r="E17" s="12"/>
      <c r="F17" s="12"/>
      <c r="G17" s="12"/>
      <c r="H17" s="12"/>
      <c r="I17" s="12"/>
      <c r="J17" s="13">
        <f>0.13*G16*14817.6/5</f>
        <v>9863.3460530326138</v>
      </c>
      <c r="K17" s="12"/>
    </row>
    <row r="18" spans="1:11" x14ac:dyDescent="0.3">
      <c r="A18" s="10"/>
      <c r="B18" s="11"/>
      <c r="C18" s="12"/>
      <c r="D18" s="12"/>
      <c r="E18" s="12"/>
      <c r="F18" s="12"/>
      <c r="G18" s="12"/>
      <c r="H18" s="12"/>
      <c r="I18" s="12"/>
      <c r="J18" s="12"/>
      <c r="K18" s="12"/>
    </row>
    <row r="19" spans="1:11" ht="72" x14ac:dyDescent="0.3">
      <c r="A19" s="10">
        <v>3</v>
      </c>
      <c r="B19" s="11" t="s">
        <v>37</v>
      </c>
      <c r="C19" s="12"/>
      <c r="D19" s="23"/>
      <c r="E19" s="23"/>
      <c r="F19" s="23"/>
      <c r="G19" s="12"/>
      <c r="H19" s="12"/>
      <c r="I19" s="12"/>
      <c r="J19" s="13"/>
      <c r="K19" s="12"/>
    </row>
    <row r="20" spans="1:11" x14ac:dyDescent="0.3">
      <c r="A20" s="10"/>
      <c r="B20" s="16" t="str">
        <f>B15</f>
        <v>-for road</v>
      </c>
      <c r="C20" s="12">
        <v>1</v>
      </c>
      <c r="D20" s="14">
        <f>D15</f>
        <v>56</v>
      </c>
      <c r="E20" s="14">
        <f>E15</f>
        <v>3.047851264858275</v>
      </c>
      <c r="F20" s="12">
        <v>0.15</v>
      </c>
      <c r="G20" s="14">
        <f t="shared" ref="G20" si="2">PRODUCT(C20:F20)</f>
        <v>25.601950624809511</v>
      </c>
      <c r="H20" s="12"/>
      <c r="I20" s="12"/>
      <c r="J20" s="13"/>
      <c r="K20" s="12"/>
    </row>
    <row r="21" spans="1:11" s="21" customFormat="1" x14ac:dyDescent="0.3">
      <c r="A21" s="15"/>
      <c r="B21" s="16" t="s">
        <v>26</v>
      </c>
      <c r="C21" s="17"/>
      <c r="D21" s="1"/>
      <c r="E21" s="18"/>
      <c r="F21" s="18"/>
      <c r="G21" s="19">
        <f>SUM(G20:G20)</f>
        <v>25.601950624809511</v>
      </c>
      <c r="H21" s="20" t="s">
        <v>27</v>
      </c>
      <c r="I21" s="2">
        <v>12000.5</v>
      </c>
      <c r="J21" s="19">
        <f>G21*I21</f>
        <v>307236.20847302652</v>
      </c>
      <c r="K21" s="18"/>
    </row>
    <row r="22" spans="1:11" x14ac:dyDescent="0.3">
      <c r="A22" s="10"/>
      <c r="B22" s="22" t="s">
        <v>30</v>
      </c>
      <c r="C22" s="12"/>
      <c r="D22" s="12"/>
      <c r="E22" s="12"/>
      <c r="F22" s="12"/>
      <c r="G22" s="12"/>
      <c r="H22" s="12"/>
      <c r="I22" s="12"/>
      <c r="J22" s="13">
        <f>0.13*G21*67891.51/15</f>
        <v>15064.010752819264</v>
      </c>
      <c r="K22" s="12"/>
    </row>
    <row r="23" spans="1:11" x14ac:dyDescent="0.3">
      <c r="A23" s="10"/>
      <c r="B23" s="22" t="s">
        <v>29</v>
      </c>
      <c r="C23" s="12"/>
      <c r="D23" s="12"/>
      <c r="E23" s="12"/>
      <c r="F23" s="12"/>
      <c r="G23" s="12"/>
      <c r="H23" s="12"/>
      <c r="I23" s="12"/>
      <c r="J23" s="13">
        <f>0.13*G21*21432.6/15</f>
        <v>4755.5418469978658</v>
      </c>
      <c r="K23" s="12"/>
    </row>
    <row r="24" spans="1:11" x14ac:dyDescent="0.3">
      <c r="A24" s="10"/>
      <c r="B24" s="22" t="s">
        <v>31</v>
      </c>
      <c r="C24" s="12"/>
      <c r="D24" s="12"/>
      <c r="E24" s="12"/>
      <c r="F24" s="12"/>
      <c r="G24" s="12"/>
      <c r="H24" s="12"/>
      <c r="I24" s="12"/>
      <c r="J24" s="13">
        <f>0.13*G21*(27147.96+17146.08)/15</f>
        <v>9828.1198171289252</v>
      </c>
      <c r="K24" s="12"/>
    </row>
    <row r="25" spans="1:11" x14ac:dyDescent="0.3">
      <c r="A25" s="10"/>
      <c r="B25" s="22" t="s">
        <v>34</v>
      </c>
      <c r="C25" s="12"/>
      <c r="D25" s="12"/>
      <c r="E25" s="12"/>
      <c r="F25" s="12"/>
      <c r="G25" s="12"/>
      <c r="H25" s="12"/>
      <c r="I25" s="12"/>
      <c r="J25" s="13">
        <f>0.13*G21*775/15</f>
        <v>171.95976836330388</v>
      </c>
      <c r="K25" s="12"/>
    </row>
    <row r="26" spans="1:11" x14ac:dyDescent="0.3">
      <c r="A26" s="10"/>
      <c r="B26" s="22" t="s">
        <v>35</v>
      </c>
      <c r="C26" s="12"/>
      <c r="D26" s="12"/>
      <c r="E26" s="12"/>
      <c r="F26" s="12"/>
      <c r="G26" s="12"/>
      <c r="H26" s="12"/>
      <c r="I26" s="12"/>
      <c r="J26" s="13">
        <f>0.13*G21*6923.4/15</f>
        <v>1536.18872295032</v>
      </c>
      <c r="K26" s="12"/>
    </row>
    <row r="27" spans="1:11" x14ac:dyDescent="0.3">
      <c r="A27" s="10"/>
      <c r="B27" s="22"/>
      <c r="C27" s="12"/>
      <c r="D27" s="12"/>
      <c r="E27" s="12"/>
      <c r="F27" s="12"/>
      <c r="G27" s="12"/>
      <c r="H27" s="12"/>
      <c r="I27" s="12"/>
      <c r="J27" s="13"/>
      <c r="K27" s="12"/>
    </row>
    <row r="28" spans="1:11" s="21" customFormat="1" ht="86.4" x14ac:dyDescent="0.3">
      <c r="A28" s="10">
        <v>4</v>
      </c>
      <c r="B28" s="38" t="s">
        <v>38</v>
      </c>
      <c r="C28" s="32" t="s">
        <v>7</v>
      </c>
      <c r="D28" s="39" t="s">
        <v>40</v>
      </c>
      <c r="E28" s="39" t="s">
        <v>41</v>
      </c>
      <c r="F28" s="39" t="s">
        <v>42</v>
      </c>
      <c r="G28" s="32"/>
      <c r="H28" s="32"/>
      <c r="I28" s="32"/>
      <c r="J28" s="20"/>
      <c r="K28" s="32"/>
    </row>
    <row r="29" spans="1:11" x14ac:dyDescent="0.3">
      <c r="A29" s="10"/>
      <c r="B29" s="16" t="str">
        <f>B10</f>
        <v>-for road</v>
      </c>
      <c r="C29" s="12">
        <f>TRUNC(D30/0.15,0)+1</f>
        <v>20</v>
      </c>
      <c r="D29" s="14">
        <f>D15-0.1</f>
        <v>55.9</v>
      </c>
      <c r="E29" s="14">
        <f>10*10/162</f>
        <v>0.61728395061728392</v>
      </c>
      <c r="F29" s="12">
        <f>PRODUCT(C29:E29)</f>
        <v>690.12345679012344</v>
      </c>
      <c r="G29" s="14">
        <f>F29/1000</f>
        <v>0.69012345679012344</v>
      </c>
      <c r="H29" s="12"/>
      <c r="I29" s="12"/>
      <c r="J29" s="13"/>
      <c r="K29" s="12"/>
    </row>
    <row r="30" spans="1:11" x14ac:dyDescent="0.3">
      <c r="A30" s="10"/>
      <c r="B30" s="16"/>
      <c r="C30" s="12">
        <f>TRUNC(D29/0.15,0)+1</f>
        <v>373</v>
      </c>
      <c r="D30" s="14">
        <f>E20-0.1</f>
        <v>2.9478512648582749</v>
      </c>
      <c r="E30" s="14">
        <f>10*10/162</f>
        <v>0.61728395061728392</v>
      </c>
      <c r="F30" s="12">
        <f>PRODUCT(C30:E30)</f>
        <v>678.7336554272448</v>
      </c>
      <c r="G30" s="14">
        <f>F30/1000</f>
        <v>0.67873365542724484</v>
      </c>
      <c r="H30" s="12"/>
      <c r="I30" s="12"/>
      <c r="J30" s="13"/>
      <c r="K30" s="12"/>
    </row>
    <row r="31" spans="1:11" s="21" customFormat="1" x14ac:dyDescent="0.3">
      <c r="A31" s="15"/>
      <c r="B31" s="16" t="s">
        <v>26</v>
      </c>
      <c r="C31" s="17"/>
      <c r="D31" s="1"/>
      <c r="E31" s="18"/>
      <c r="F31" s="18"/>
      <c r="G31" s="19">
        <f>SUM(G29:G29)</f>
        <v>0.69012345679012344</v>
      </c>
      <c r="H31" s="20" t="s">
        <v>43</v>
      </c>
      <c r="I31" s="2">
        <v>124355</v>
      </c>
      <c r="J31" s="19">
        <f>G31*I31</f>
        <v>85820.3024691358</v>
      </c>
      <c r="K31" s="18"/>
    </row>
    <row r="32" spans="1:11" x14ac:dyDescent="0.3">
      <c r="A32" s="10"/>
      <c r="B32" s="22" t="s">
        <v>44</v>
      </c>
      <c r="C32" s="12"/>
      <c r="D32" s="12"/>
      <c r="E32" s="12"/>
      <c r="F32" s="12"/>
      <c r="G32" s="12"/>
      <c r="H32" s="12"/>
      <c r="I32" s="12"/>
      <c r="J32" s="13">
        <f>0.13*G31*110000</f>
        <v>9868.7654320987658</v>
      </c>
      <c r="K32" s="12"/>
    </row>
    <row r="33" spans="1:11" x14ac:dyDescent="0.3">
      <c r="A33" s="10"/>
      <c r="B33" s="22" t="s">
        <v>45</v>
      </c>
      <c r="C33" s="12"/>
      <c r="D33" s="12"/>
      <c r="E33" s="12"/>
      <c r="F33" s="12"/>
      <c r="G33" s="12"/>
      <c r="H33" s="12"/>
      <c r="I33" s="12"/>
      <c r="J33" s="13">
        <f>0.13*G31*960</f>
        <v>86.127407407407404</v>
      </c>
      <c r="K33" s="12"/>
    </row>
    <row r="34" spans="1:11" x14ac:dyDescent="0.3">
      <c r="A34" s="10"/>
      <c r="B34" s="22"/>
      <c r="C34" s="12"/>
      <c r="D34" s="12"/>
      <c r="E34" s="12"/>
      <c r="F34" s="12"/>
      <c r="G34" s="12"/>
      <c r="H34" s="12"/>
      <c r="I34" s="12"/>
      <c r="J34" s="13"/>
      <c r="K34" s="12"/>
    </row>
    <row r="35" spans="1:11" ht="15" customHeight="1" x14ac:dyDescent="0.3">
      <c r="A35" s="15">
        <v>5</v>
      </c>
      <c r="B35" s="24" t="s">
        <v>47</v>
      </c>
      <c r="C35" s="17">
        <v>1</v>
      </c>
      <c r="D35" s="1"/>
      <c r="E35" s="18"/>
      <c r="F35" s="18"/>
      <c r="G35" s="20">
        <f t="shared" ref="G35" si="3">PRODUCT(C35:F35)</f>
        <v>1</v>
      </c>
      <c r="H35" s="20" t="s">
        <v>48</v>
      </c>
      <c r="I35" s="2">
        <v>5000</v>
      </c>
      <c r="J35" s="20">
        <f>G35*I35</f>
        <v>5000</v>
      </c>
      <c r="K35" s="18"/>
    </row>
    <row r="36" spans="1:11" x14ac:dyDescent="0.3">
      <c r="A36" s="15"/>
      <c r="B36" s="25"/>
      <c r="C36" s="17"/>
      <c r="D36" s="1"/>
      <c r="E36" s="18"/>
      <c r="F36" s="18"/>
      <c r="G36" s="2"/>
      <c r="H36" s="20"/>
      <c r="I36" s="2"/>
      <c r="J36" s="13"/>
      <c r="K36" s="18"/>
    </row>
    <row r="37" spans="1:11" ht="15" customHeight="1" x14ac:dyDescent="0.3">
      <c r="A37" s="15">
        <v>6</v>
      </c>
      <c r="B37" s="24" t="s">
        <v>16</v>
      </c>
      <c r="C37" s="17">
        <v>1</v>
      </c>
      <c r="D37" s="1"/>
      <c r="E37" s="18"/>
      <c r="F37" s="18"/>
      <c r="G37" s="20">
        <f t="shared" ref="G37" si="4">PRODUCT(C37:F37)</f>
        <v>1</v>
      </c>
      <c r="H37" s="20" t="s">
        <v>17</v>
      </c>
      <c r="I37" s="2">
        <v>500</v>
      </c>
      <c r="J37" s="20">
        <f>G37*I37</f>
        <v>500</v>
      </c>
      <c r="K37" s="18"/>
    </row>
    <row r="38" spans="1:11" x14ac:dyDescent="0.3">
      <c r="A38" s="15"/>
      <c r="B38" s="25"/>
      <c r="C38" s="17"/>
      <c r="D38" s="1"/>
      <c r="E38" s="18"/>
      <c r="F38" s="18"/>
      <c r="G38" s="2"/>
      <c r="H38" s="20"/>
      <c r="I38" s="2"/>
      <c r="J38" s="13"/>
      <c r="K38" s="18"/>
    </row>
    <row r="39" spans="1:11" x14ac:dyDescent="0.3">
      <c r="A39" s="26"/>
      <c r="B39" s="27" t="s">
        <v>19</v>
      </c>
      <c r="C39" s="28"/>
      <c r="D39" s="29"/>
      <c r="E39" s="29"/>
      <c r="F39" s="29"/>
      <c r="G39" s="13"/>
      <c r="H39" s="13"/>
      <c r="I39" s="13"/>
      <c r="J39" s="13">
        <f>SUM(J9:J37)</f>
        <v>565661.09314466768</v>
      </c>
      <c r="K39" s="30"/>
    </row>
    <row r="41" spans="1:11" s="21" customFormat="1" x14ac:dyDescent="0.3">
      <c r="A41" s="31"/>
      <c r="B41" s="32" t="s">
        <v>18</v>
      </c>
      <c r="C41" s="40">
        <f>J39</f>
        <v>565661.09314466768</v>
      </c>
      <c r="D41" s="41"/>
      <c r="E41" s="33">
        <v>100</v>
      </c>
      <c r="F41" s="31"/>
      <c r="G41" s="34"/>
      <c r="H41" s="31"/>
      <c r="I41" s="35"/>
      <c r="J41" s="36"/>
      <c r="K41" s="37"/>
    </row>
    <row r="42" spans="1:11" x14ac:dyDescent="0.3">
      <c r="B42" s="32" t="s">
        <v>20</v>
      </c>
      <c r="C42" s="44">
        <v>500000</v>
      </c>
      <c r="D42" s="45"/>
      <c r="E42" s="33"/>
    </row>
    <row r="43" spans="1:11" x14ac:dyDescent="0.3">
      <c r="B43" s="32" t="s">
        <v>21</v>
      </c>
      <c r="C43" s="44">
        <f>C42-C45-C46</f>
        <v>475000</v>
      </c>
      <c r="D43" s="45"/>
      <c r="E43" s="33">
        <f>C43/C41*100</f>
        <v>83.972542173502262</v>
      </c>
    </row>
    <row r="44" spans="1:11" x14ac:dyDescent="0.3">
      <c r="B44" s="32" t="s">
        <v>25</v>
      </c>
      <c r="C44" s="46">
        <f>C41-C43</f>
        <v>90661.093144667684</v>
      </c>
      <c r="D44" s="46"/>
      <c r="E44" s="33">
        <f>100-E43</f>
        <v>16.027457826497738</v>
      </c>
    </row>
    <row r="45" spans="1:11" x14ac:dyDescent="0.3">
      <c r="B45" s="32" t="s">
        <v>22</v>
      </c>
      <c r="C45" s="40">
        <f>C42*0.03</f>
        <v>15000</v>
      </c>
      <c r="D45" s="41"/>
      <c r="E45" s="33">
        <v>3</v>
      </c>
    </row>
    <row r="46" spans="1:11" x14ac:dyDescent="0.3">
      <c r="B46" s="32" t="s">
        <v>23</v>
      </c>
      <c r="C46" s="40">
        <f>C42*0.02</f>
        <v>10000</v>
      </c>
      <c r="D46" s="41"/>
      <c r="E46" s="33">
        <v>2</v>
      </c>
    </row>
  </sheetData>
  <mergeCells count="15">
    <mergeCell ref="A6:F6"/>
    <mergeCell ref="H6:K6"/>
    <mergeCell ref="A1:K1"/>
    <mergeCell ref="A2:K2"/>
    <mergeCell ref="A3:K3"/>
    <mergeCell ref="A4:K4"/>
    <mergeCell ref="A5:K5"/>
    <mergeCell ref="C45:D45"/>
    <mergeCell ref="C46:D46"/>
    <mergeCell ref="A7:F7"/>
    <mergeCell ref="H7:K7"/>
    <mergeCell ref="C41:D41"/>
    <mergeCell ref="C42:D42"/>
    <mergeCell ref="C43:D43"/>
    <mergeCell ref="C44:D4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
  <sheetViews>
    <sheetView tabSelected="1" zoomScaleNormal="100" zoomScaleSheetLayoutView="95" workbookViewId="0">
      <selection activeCell="H8" sqref="H8"/>
    </sheetView>
  </sheetViews>
  <sheetFormatPr defaultColWidth="9.109375" defaultRowHeight="14.4" x14ac:dyDescent="0.3"/>
  <cols>
    <col min="1" max="1" width="4.6640625" style="3" customWidth="1"/>
    <col min="2" max="2" width="30.88671875" style="3" customWidth="1"/>
    <col min="3" max="3" width="4.44140625" style="3" bestFit="1" customWidth="1"/>
    <col min="4" max="4" width="8.44140625" style="3" customWidth="1"/>
    <col min="5" max="5" width="8.5546875" style="3" customWidth="1"/>
    <col min="6" max="6" width="7.33203125" style="3" customWidth="1"/>
    <col min="7" max="7" width="9.109375" style="3"/>
    <col min="8" max="8" width="5" style="3" bestFit="1" customWidth="1"/>
    <col min="9" max="9" width="9.5546875" style="3" customWidth="1"/>
    <col min="10" max="10" width="10.6640625" style="3" bestFit="1" customWidth="1"/>
    <col min="11" max="16384" width="9.109375" style="3"/>
  </cols>
  <sheetData>
    <row r="1" spans="1:11" x14ac:dyDescent="0.3">
      <c r="A1" s="49" t="s">
        <v>0</v>
      </c>
      <c r="B1" s="49"/>
      <c r="C1" s="49"/>
      <c r="D1" s="49"/>
      <c r="E1" s="49"/>
      <c r="F1" s="49"/>
      <c r="G1" s="49"/>
      <c r="H1" s="49"/>
      <c r="I1" s="49"/>
      <c r="J1" s="49"/>
      <c r="K1" s="49"/>
    </row>
    <row r="2" spans="1:11" ht="22.8" x14ac:dyDescent="0.3">
      <c r="A2" s="50" t="s">
        <v>1</v>
      </c>
      <c r="B2" s="50"/>
      <c r="C2" s="50"/>
      <c r="D2" s="50"/>
      <c r="E2" s="50"/>
      <c r="F2" s="50"/>
      <c r="G2" s="50"/>
      <c r="H2" s="50"/>
      <c r="I2" s="50"/>
      <c r="J2" s="50"/>
      <c r="K2" s="50"/>
    </row>
    <row r="3" spans="1:11" x14ac:dyDescent="0.3">
      <c r="A3" s="51" t="s">
        <v>2</v>
      </c>
      <c r="B3" s="51"/>
      <c r="C3" s="51"/>
      <c r="D3" s="51"/>
      <c r="E3" s="51"/>
      <c r="F3" s="51"/>
      <c r="G3" s="51"/>
      <c r="H3" s="51"/>
      <c r="I3" s="51"/>
      <c r="J3" s="51"/>
      <c r="K3" s="51"/>
    </row>
    <row r="4" spans="1:11" x14ac:dyDescent="0.3">
      <c r="A4" s="51" t="s">
        <v>3</v>
      </c>
      <c r="B4" s="51"/>
      <c r="C4" s="51"/>
      <c r="D4" s="51"/>
      <c r="E4" s="51"/>
      <c r="F4" s="51"/>
      <c r="G4" s="51"/>
      <c r="H4" s="51"/>
      <c r="I4" s="51"/>
      <c r="J4" s="51"/>
      <c r="K4" s="51"/>
    </row>
    <row r="5" spans="1:11" ht="17.399999999999999" x14ac:dyDescent="0.3">
      <c r="A5" s="52" t="s">
        <v>4</v>
      </c>
      <c r="B5" s="52"/>
      <c r="C5" s="52"/>
      <c r="D5" s="52"/>
      <c r="E5" s="52"/>
      <c r="F5" s="52"/>
      <c r="G5" s="52"/>
      <c r="H5" s="52"/>
      <c r="I5" s="52"/>
      <c r="J5" s="52"/>
      <c r="K5" s="52"/>
    </row>
    <row r="6" spans="1:11" ht="15.6" x14ac:dyDescent="0.3">
      <c r="A6" s="47" t="s">
        <v>50</v>
      </c>
      <c r="B6" s="47"/>
      <c r="C6" s="47"/>
      <c r="D6" s="47"/>
      <c r="E6" s="47"/>
      <c r="F6" s="47"/>
      <c r="G6" s="4"/>
      <c r="H6" s="48" t="s">
        <v>24</v>
      </c>
      <c r="I6" s="48"/>
      <c r="J6" s="48"/>
      <c r="K6" s="48"/>
    </row>
    <row r="7" spans="1:11" ht="15.6" x14ac:dyDescent="0.3">
      <c r="A7" s="42" t="s">
        <v>28</v>
      </c>
      <c r="B7" s="42"/>
      <c r="C7" s="42"/>
      <c r="D7" s="42"/>
      <c r="E7" s="42"/>
      <c r="F7" s="42"/>
      <c r="G7" s="5"/>
      <c r="H7" s="43" t="s">
        <v>51</v>
      </c>
      <c r="I7" s="43"/>
      <c r="J7" s="43"/>
      <c r="K7" s="43"/>
    </row>
    <row r="8" spans="1:11" ht="15.6" x14ac:dyDescent="0.3">
      <c r="A8" s="6" t="s">
        <v>5</v>
      </c>
      <c r="B8" s="7" t="s">
        <v>6</v>
      </c>
      <c r="C8" s="6" t="s">
        <v>7</v>
      </c>
      <c r="D8" s="8" t="s">
        <v>8</v>
      </c>
      <c r="E8" s="8" t="s">
        <v>9</v>
      </c>
      <c r="F8" s="8" t="s">
        <v>10</v>
      </c>
      <c r="G8" s="8" t="s">
        <v>11</v>
      </c>
      <c r="H8" s="6" t="s">
        <v>12</v>
      </c>
      <c r="I8" s="8" t="s">
        <v>13</v>
      </c>
      <c r="J8" s="8" t="s">
        <v>14</v>
      </c>
      <c r="K8" s="9" t="s">
        <v>15</v>
      </c>
    </row>
    <row r="9" spans="1:11" s="21" customFormat="1" ht="144" x14ac:dyDescent="0.3">
      <c r="A9" s="10">
        <v>1</v>
      </c>
      <c r="B9" s="38" t="s">
        <v>36</v>
      </c>
      <c r="C9" s="32"/>
      <c r="D9" s="32"/>
      <c r="E9" s="32"/>
      <c r="F9" s="32"/>
      <c r="G9" s="32"/>
      <c r="H9" s="32"/>
      <c r="I9" s="32"/>
      <c r="J9" s="32"/>
      <c r="K9" s="32"/>
    </row>
    <row r="10" spans="1:11" x14ac:dyDescent="0.3">
      <c r="A10" s="10"/>
      <c r="B10" s="16" t="s">
        <v>39</v>
      </c>
      <c r="C10" s="12">
        <v>1</v>
      </c>
      <c r="D10" s="14">
        <v>60</v>
      </c>
      <c r="E10" s="14">
        <f>10/3.281</f>
        <v>3.047851264858275</v>
      </c>
      <c r="F10" s="12">
        <v>0.15</v>
      </c>
      <c r="G10" s="14">
        <f t="shared" ref="G10" si="0">PRODUCT(C10:F10)</f>
        <v>27.430661383724473</v>
      </c>
      <c r="H10" s="12"/>
      <c r="I10" s="12"/>
      <c r="J10" s="13"/>
      <c r="K10" s="12"/>
    </row>
    <row r="11" spans="1:11" s="21" customFormat="1" x14ac:dyDescent="0.3">
      <c r="A11" s="15"/>
      <c r="B11" s="16" t="s">
        <v>26</v>
      </c>
      <c r="C11" s="17"/>
      <c r="D11" s="1"/>
      <c r="E11" s="18"/>
      <c r="F11" s="18"/>
      <c r="G11" s="19">
        <f>SUM(G10:G10)</f>
        <v>27.430661383724473</v>
      </c>
      <c r="H11" s="20" t="s">
        <v>27</v>
      </c>
      <c r="I11" s="2">
        <v>62.95</v>
      </c>
      <c r="J11" s="19">
        <f>G11*I11</f>
        <v>1726.7601341054556</v>
      </c>
      <c r="K11" s="18"/>
    </row>
    <row r="12" spans="1:11" x14ac:dyDescent="0.3">
      <c r="A12" s="10"/>
      <c r="B12" s="22" t="s">
        <v>46</v>
      </c>
      <c r="C12" s="12"/>
      <c r="D12" s="12"/>
      <c r="E12" s="12"/>
      <c r="F12" s="12"/>
      <c r="G12" s="12"/>
      <c r="H12" s="12"/>
      <c r="I12" s="12"/>
      <c r="J12" s="13">
        <f>0.13*G11*18612/360</f>
        <v>184.36147516001219</v>
      </c>
      <c r="K12" s="12"/>
    </row>
    <row r="13" spans="1:11" x14ac:dyDescent="0.3">
      <c r="A13" s="10"/>
      <c r="B13" s="22"/>
      <c r="C13" s="12"/>
      <c r="D13" s="12"/>
      <c r="E13" s="12"/>
      <c r="F13" s="12"/>
      <c r="G13" s="12"/>
      <c r="H13" s="12"/>
      <c r="I13" s="12"/>
      <c r="J13" s="13"/>
      <c r="K13" s="12"/>
    </row>
    <row r="14" spans="1:11" ht="100.8" x14ac:dyDescent="0.3">
      <c r="A14" s="10">
        <v>2</v>
      </c>
      <c r="B14" s="11" t="s">
        <v>49</v>
      </c>
      <c r="C14" s="12"/>
      <c r="D14" s="12"/>
      <c r="E14" s="12"/>
      <c r="F14" s="12"/>
      <c r="G14" s="12"/>
      <c r="H14" s="12"/>
      <c r="I14" s="12"/>
      <c r="J14" s="12"/>
      <c r="K14" s="12"/>
    </row>
    <row r="15" spans="1:11" x14ac:dyDescent="0.3">
      <c r="A15" s="10"/>
      <c r="B15" s="16" t="str">
        <f>B10</f>
        <v>-for road</v>
      </c>
      <c r="C15" s="12">
        <v>1</v>
      </c>
      <c r="D15" s="14">
        <f>D10</f>
        <v>60</v>
      </c>
      <c r="E15" s="14">
        <f>E10</f>
        <v>3.047851264858275</v>
      </c>
      <c r="F15" s="12">
        <v>0.15</v>
      </c>
      <c r="G15" s="14">
        <f t="shared" ref="G15" si="1">PRODUCT(C15:F15)</f>
        <v>27.430661383724473</v>
      </c>
      <c r="H15" s="12"/>
      <c r="I15" s="12"/>
      <c r="J15" s="13"/>
      <c r="K15" s="12"/>
    </row>
    <row r="16" spans="1:11" s="21" customFormat="1" x14ac:dyDescent="0.3">
      <c r="A16" s="15"/>
      <c r="B16" s="16" t="s">
        <v>26</v>
      </c>
      <c r="C16" s="17"/>
      <c r="D16" s="1"/>
      <c r="E16" s="18"/>
      <c r="F16" s="18"/>
      <c r="G16" s="19">
        <f>SUM(G15:G15)</f>
        <v>27.430661383724473</v>
      </c>
      <c r="H16" s="20" t="s">
        <v>27</v>
      </c>
      <c r="I16" s="2">
        <v>2976.7</v>
      </c>
      <c r="J16" s="19">
        <f>G16*I16</f>
        <v>81652.849740932637</v>
      </c>
      <c r="K16" s="18"/>
    </row>
    <row r="17" spans="1:11" x14ac:dyDescent="0.3">
      <c r="A17" s="10"/>
      <c r="B17" s="22" t="s">
        <v>32</v>
      </c>
      <c r="C17" s="12"/>
      <c r="D17" s="12"/>
      <c r="E17" s="12"/>
      <c r="F17" s="12"/>
      <c r="G17" s="12"/>
      <c r="H17" s="12"/>
      <c r="I17" s="12"/>
      <c r="J17" s="13">
        <f>0.13*G16*826398.72/300</f>
        <v>9823.087497714112</v>
      </c>
      <c r="K17" s="12"/>
    </row>
    <row r="18" spans="1:11" x14ac:dyDescent="0.3">
      <c r="A18" s="10"/>
      <c r="B18" s="22" t="s">
        <v>34</v>
      </c>
      <c r="C18" s="12"/>
      <c r="D18" s="12"/>
      <c r="E18" s="12"/>
      <c r="F18" s="12"/>
      <c r="G18" s="12"/>
      <c r="H18" s="12"/>
      <c r="I18" s="12"/>
      <c r="J18" s="13">
        <f>0.13*G16*5580/300</f>
        <v>66.327339225845776</v>
      </c>
      <c r="K18" s="12"/>
    </row>
    <row r="19" spans="1:11" x14ac:dyDescent="0.3">
      <c r="A19" s="10"/>
      <c r="B19" s="11"/>
      <c r="C19" s="12"/>
      <c r="D19" s="12"/>
      <c r="E19" s="12"/>
      <c r="F19" s="12"/>
      <c r="G19" s="12"/>
      <c r="H19" s="12"/>
      <c r="I19" s="12"/>
      <c r="J19" s="12"/>
      <c r="K19" s="12"/>
    </row>
    <row r="20" spans="1:11" ht="72" x14ac:dyDescent="0.3">
      <c r="A20" s="10">
        <v>3</v>
      </c>
      <c r="B20" s="11" t="s">
        <v>37</v>
      </c>
      <c r="C20" s="12"/>
      <c r="D20" s="23"/>
      <c r="E20" s="23"/>
      <c r="F20" s="23"/>
      <c r="G20" s="12"/>
      <c r="H20" s="12"/>
      <c r="I20" s="12"/>
      <c r="J20" s="13"/>
      <c r="K20" s="12"/>
    </row>
    <row r="21" spans="1:11" x14ac:dyDescent="0.3">
      <c r="A21" s="10"/>
      <c r="B21" s="16" t="str">
        <f>B15</f>
        <v>-for road</v>
      </c>
      <c r="C21" s="12">
        <v>1</v>
      </c>
      <c r="D21" s="14">
        <f>D15</f>
        <v>60</v>
      </c>
      <c r="E21" s="14">
        <f>E15</f>
        <v>3.047851264858275</v>
      </c>
      <c r="F21" s="12">
        <v>0.15</v>
      </c>
      <c r="G21" s="14">
        <f t="shared" ref="G21" si="2">PRODUCT(C21:F21)</f>
        <v>27.430661383724473</v>
      </c>
      <c r="H21" s="12"/>
      <c r="I21" s="12"/>
      <c r="J21" s="13"/>
      <c r="K21" s="12"/>
    </row>
    <row r="22" spans="1:11" s="21" customFormat="1" x14ac:dyDescent="0.3">
      <c r="A22" s="15"/>
      <c r="B22" s="16" t="s">
        <v>26</v>
      </c>
      <c r="C22" s="17"/>
      <c r="D22" s="1"/>
      <c r="E22" s="18"/>
      <c r="F22" s="18"/>
      <c r="G22" s="19">
        <f>SUM(G21:G21)</f>
        <v>27.430661383724473</v>
      </c>
      <c r="H22" s="20" t="s">
        <v>27</v>
      </c>
      <c r="I22" s="2">
        <v>12000.5</v>
      </c>
      <c r="J22" s="19">
        <f>G22*I22</f>
        <v>329181.65193538554</v>
      </c>
      <c r="K22" s="18"/>
    </row>
    <row r="23" spans="1:11" x14ac:dyDescent="0.3">
      <c r="A23" s="10"/>
      <c r="B23" s="22" t="s">
        <v>30</v>
      </c>
      <c r="C23" s="12"/>
      <c r="D23" s="12"/>
      <c r="E23" s="12"/>
      <c r="F23" s="12"/>
      <c r="G23" s="12"/>
      <c r="H23" s="12"/>
      <c r="I23" s="12"/>
      <c r="J23" s="13">
        <f>0.13*G22*67891.51/15</f>
        <v>16140.011520877781</v>
      </c>
      <c r="K23" s="12"/>
    </row>
    <row r="24" spans="1:11" x14ac:dyDescent="0.3">
      <c r="A24" s="10"/>
      <c r="B24" s="22" t="s">
        <v>29</v>
      </c>
      <c r="C24" s="12"/>
      <c r="D24" s="12"/>
      <c r="E24" s="12"/>
      <c r="F24" s="12"/>
      <c r="G24" s="12"/>
      <c r="H24" s="12"/>
      <c r="I24" s="12"/>
      <c r="J24" s="13">
        <f>0.13*G22*21432.6/15</f>
        <v>5095.2234074977141</v>
      </c>
      <c r="K24" s="12"/>
    </row>
    <row r="25" spans="1:11" x14ac:dyDescent="0.3">
      <c r="A25" s="10"/>
      <c r="B25" s="22" t="s">
        <v>31</v>
      </c>
      <c r="C25" s="12"/>
      <c r="D25" s="12"/>
      <c r="E25" s="12"/>
      <c r="F25" s="12"/>
      <c r="G25" s="12"/>
      <c r="H25" s="12"/>
      <c r="I25" s="12"/>
      <c r="J25" s="13">
        <f>0.13*G22*(27147.96+17146.08)/15</f>
        <v>10530.128375495276</v>
      </c>
      <c r="K25" s="12"/>
    </row>
    <row r="26" spans="1:11" x14ac:dyDescent="0.3">
      <c r="A26" s="10"/>
      <c r="B26" s="22" t="s">
        <v>34</v>
      </c>
      <c r="C26" s="12"/>
      <c r="D26" s="12"/>
      <c r="E26" s="12"/>
      <c r="F26" s="12"/>
      <c r="G26" s="12"/>
      <c r="H26" s="12"/>
      <c r="I26" s="12"/>
      <c r="J26" s="13">
        <f>0.13*G22*775/15</f>
        <v>184.24260896068273</v>
      </c>
      <c r="K26" s="12"/>
    </row>
    <row r="27" spans="1:11" x14ac:dyDescent="0.3">
      <c r="A27" s="10"/>
      <c r="B27" s="22" t="s">
        <v>35</v>
      </c>
      <c r="C27" s="12"/>
      <c r="D27" s="12"/>
      <c r="E27" s="12"/>
      <c r="F27" s="12"/>
      <c r="G27" s="12"/>
      <c r="H27" s="12"/>
      <c r="I27" s="12"/>
      <c r="J27" s="13">
        <f>0.13*G22*6923.4/15</f>
        <v>1645.916488875343</v>
      </c>
      <c r="K27" s="12"/>
    </row>
    <row r="28" spans="1:11" x14ac:dyDescent="0.3">
      <c r="A28" s="10"/>
      <c r="B28" s="22"/>
      <c r="C28" s="12"/>
      <c r="D28" s="12"/>
      <c r="E28" s="12"/>
      <c r="F28" s="12"/>
      <c r="G28" s="12"/>
      <c r="H28" s="12"/>
      <c r="I28" s="12"/>
      <c r="J28" s="13"/>
      <c r="K28" s="12"/>
    </row>
    <row r="29" spans="1:11" s="21" customFormat="1" ht="86.4" x14ac:dyDescent="0.3">
      <c r="A29" s="10">
        <v>4</v>
      </c>
      <c r="B29" s="38" t="s">
        <v>38</v>
      </c>
      <c r="C29" s="32" t="s">
        <v>7</v>
      </c>
      <c r="D29" s="39" t="s">
        <v>40</v>
      </c>
      <c r="E29" s="39" t="s">
        <v>41</v>
      </c>
      <c r="F29" s="39" t="s">
        <v>42</v>
      </c>
      <c r="G29" s="32"/>
      <c r="H29" s="32"/>
      <c r="I29" s="32"/>
      <c r="J29" s="20"/>
      <c r="K29" s="32"/>
    </row>
    <row r="30" spans="1:11" x14ac:dyDescent="0.3">
      <c r="A30" s="10"/>
      <c r="B30" s="16" t="str">
        <f>B10</f>
        <v>-for road</v>
      </c>
      <c r="C30" s="12">
        <f>TRUNC(D31/0.15,0)+1</f>
        <v>20</v>
      </c>
      <c r="D30" s="14">
        <f>D15-0.1</f>
        <v>59.9</v>
      </c>
      <c r="E30" s="14">
        <f>10*10/162</f>
        <v>0.61728395061728392</v>
      </c>
      <c r="F30" s="12">
        <f>PRODUCT(C30:E30)</f>
        <v>739.50617283950612</v>
      </c>
      <c r="G30" s="14">
        <f>F30/1000</f>
        <v>0.73950617283950615</v>
      </c>
      <c r="H30" s="12"/>
      <c r="I30" s="12"/>
      <c r="J30" s="13"/>
      <c r="K30" s="12"/>
    </row>
    <row r="31" spans="1:11" x14ac:dyDescent="0.3">
      <c r="A31" s="10"/>
      <c r="B31" s="16"/>
      <c r="C31" s="12">
        <f>TRUNC(D30/0.15,0)+1</f>
        <v>400</v>
      </c>
      <c r="D31" s="14">
        <f>E21-0.1</f>
        <v>2.9478512648582749</v>
      </c>
      <c r="E31" s="14">
        <f>10*10/162</f>
        <v>0.61728395061728392</v>
      </c>
      <c r="F31" s="12">
        <f>PRODUCT(C31:E31)</f>
        <v>727.86450984154931</v>
      </c>
      <c r="G31" s="14">
        <f>F31/1000</f>
        <v>0.72786450984154927</v>
      </c>
      <c r="H31" s="12"/>
      <c r="I31" s="12"/>
      <c r="J31" s="13"/>
      <c r="K31" s="12"/>
    </row>
    <row r="32" spans="1:11" s="21" customFormat="1" x14ac:dyDescent="0.3">
      <c r="A32" s="15"/>
      <c r="B32" s="16" t="s">
        <v>26</v>
      </c>
      <c r="C32" s="17"/>
      <c r="D32" s="1"/>
      <c r="E32" s="18"/>
      <c r="F32" s="18"/>
      <c r="G32" s="19">
        <f>SUM(G30:G30)</f>
        <v>0.73950617283950615</v>
      </c>
      <c r="H32" s="20" t="s">
        <v>43</v>
      </c>
      <c r="I32" s="2">
        <v>124355</v>
      </c>
      <c r="J32" s="19">
        <f>G32*I32</f>
        <v>91961.290123456783</v>
      </c>
      <c r="K32" s="18"/>
    </row>
    <row r="33" spans="1:11" x14ac:dyDescent="0.3">
      <c r="A33" s="10"/>
      <c r="B33" s="22" t="s">
        <v>44</v>
      </c>
      <c r="C33" s="12"/>
      <c r="D33" s="12"/>
      <c r="E33" s="12"/>
      <c r="F33" s="12"/>
      <c r="G33" s="12"/>
      <c r="H33" s="12"/>
      <c r="I33" s="12"/>
      <c r="J33" s="13">
        <f>0.13*G32*110000</f>
        <v>10574.938271604939</v>
      </c>
      <c r="K33" s="12"/>
    </row>
    <row r="34" spans="1:11" x14ac:dyDescent="0.3">
      <c r="A34" s="10"/>
      <c r="B34" s="22" t="s">
        <v>45</v>
      </c>
      <c r="C34" s="12"/>
      <c r="D34" s="12"/>
      <c r="E34" s="12"/>
      <c r="F34" s="12"/>
      <c r="G34" s="12"/>
      <c r="H34" s="12"/>
      <c r="I34" s="12"/>
      <c r="J34" s="13">
        <f>0.13*G32*960</f>
        <v>92.290370370370368</v>
      </c>
      <c r="K34" s="12"/>
    </row>
    <row r="35" spans="1:11" x14ac:dyDescent="0.3">
      <c r="A35" s="10"/>
      <c r="B35" s="22"/>
      <c r="C35" s="12"/>
      <c r="D35" s="12"/>
      <c r="E35" s="12"/>
      <c r="F35" s="12"/>
      <c r="G35" s="12"/>
      <c r="H35" s="12"/>
      <c r="I35" s="12"/>
      <c r="J35" s="13"/>
      <c r="K35" s="12"/>
    </row>
    <row r="36" spans="1:11" ht="15" customHeight="1" x14ac:dyDescent="0.3">
      <c r="A36" s="15">
        <v>5</v>
      </c>
      <c r="B36" s="24" t="s">
        <v>47</v>
      </c>
      <c r="C36" s="17">
        <v>1</v>
      </c>
      <c r="D36" s="1"/>
      <c r="E36" s="18"/>
      <c r="F36" s="18"/>
      <c r="G36" s="20">
        <f t="shared" ref="G36" si="3">PRODUCT(C36:F36)</f>
        <v>1</v>
      </c>
      <c r="H36" s="20" t="s">
        <v>48</v>
      </c>
      <c r="I36" s="2">
        <v>5000</v>
      </c>
      <c r="J36" s="20">
        <f>G36*I36</f>
        <v>5000</v>
      </c>
      <c r="K36" s="18"/>
    </row>
    <row r="37" spans="1:11" x14ac:dyDescent="0.3">
      <c r="A37" s="15"/>
      <c r="B37" s="25"/>
      <c r="C37" s="17"/>
      <c r="D37" s="1"/>
      <c r="E37" s="18"/>
      <c r="F37" s="18"/>
      <c r="G37" s="2"/>
      <c r="H37" s="20"/>
      <c r="I37" s="2"/>
      <c r="J37" s="13"/>
      <c r="K37" s="18"/>
    </row>
    <row r="38" spans="1:11" ht="15" customHeight="1" x14ac:dyDescent="0.3">
      <c r="A38" s="15">
        <v>6</v>
      </c>
      <c r="B38" s="24" t="s">
        <v>16</v>
      </c>
      <c r="C38" s="17">
        <v>1</v>
      </c>
      <c r="D38" s="1"/>
      <c r="E38" s="18"/>
      <c r="F38" s="18"/>
      <c r="G38" s="20">
        <f t="shared" ref="G38" si="4">PRODUCT(C38:F38)</f>
        <v>1</v>
      </c>
      <c r="H38" s="20" t="s">
        <v>17</v>
      </c>
      <c r="I38" s="2">
        <v>500</v>
      </c>
      <c r="J38" s="20">
        <f>G38*I38</f>
        <v>500</v>
      </c>
      <c r="K38" s="18"/>
    </row>
    <row r="39" spans="1:11" x14ac:dyDescent="0.3">
      <c r="A39" s="15"/>
      <c r="B39" s="25"/>
      <c r="C39" s="17"/>
      <c r="D39" s="1"/>
      <c r="E39" s="18"/>
      <c r="F39" s="18"/>
      <c r="G39" s="2"/>
      <c r="H39" s="20"/>
      <c r="I39" s="2"/>
      <c r="J39" s="13"/>
      <c r="K39" s="18"/>
    </row>
    <row r="40" spans="1:11" x14ac:dyDescent="0.3">
      <c r="A40" s="26"/>
      <c r="B40" s="27" t="s">
        <v>19</v>
      </c>
      <c r="C40" s="28"/>
      <c r="D40" s="29"/>
      <c r="E40" s="29"/>
      <c r="F40" s="29"/>
      <c r="G40" s="13"/>
      <c r="H40" s="13"/>
      <c r="I40" s="13"/>
      <c r="J40" s="13">
        <f>SUM(J9:J38)</f>
        <v>564359.07928966242</v>
      </c>
      <c r="K40" s="30"/>
    </row>
    <row r="42" spans="1:11" s="21" customFormat="1" x14ac:dyDescent="0.3">
      <c r="A42" s="31"/>
      <c r="B42" s="32" t="s">
        <v>18</v>
      </c>
      <c r="C42" s="40">
        <f>J40</f>
        <v>564359.07928966242</v>
      </c>
      <c r="D42" s="41"/>
      <c r="E42" s="33">
        <v>100</v>
      </c>
      <c r="F42" s="31"/>
      <c r="G42" s="34"/>
      <c r="H42" s="31"/>
      <c r="I42" s="35"/>
      <c r="J42" s="36"/>
      <c r="K42" s="37"/>
    </row>
    <row r="43" spans="1:11" x14ac:dyDescent="0.3">
      <c r="B43" s="32" t="s">
        <v>20</v>
      </c>
      <c r="C43" s="44">
        <v>500000</v>
      </c>
      <c r="D43" s="45"/>
      <c r="E43" s="33"/>
    </row>
    <row r="44" spans="1:11" x14ac:dyDescent="0.3">
      <c r="B44" s="32" t="s">
        <v>21</v>
      </c>
      <c r="C44" s="44">
        <f>C43-C46-C47</f>
        <v>475000</v>
      </c>
      <c r="D44" s="45"/>
      <c r="E44" s="33">
        <f>C44/C42*100</f>
        <v>84.166272401936837</v>
      </c>
    </row>
    <row r="45" spans="1:11" x14ac:dyDescent="0.3">
      <c r="B45" s="32" t="s">
        <v>25</v>
      </c>
      <c r="C45" s="46">
        <f>C42-C44</f>
        <v>89359.079289662419</v>
      </c>
      <c r="D45" s="46"/>
      <c r="E45" s="33">
        <f>100-E44</f>
        <v>15.833727598063163</v>
      </c>
    </row>
    <row r="46" spans="1:11" x14ac:dyDescent="0.3">
      <c r="B46" s="32" t="s">
        <v>22</v>
      </c>
      <c r="C46" s="40">
        <f>C43*0.03</f>
        <v>15000</v>
      </c>
      <c r="D46" s="41"/>
      <c r="E46" s="33">
        <v>3</v>
      </c>
    </row>
    <row r="47" spans="1:11" x14ac:dyDescent="0.3">
      <c r="B47" s="32" t="s">
        <v>23</v>
      </c>
      <c r="C47" s="40">
        <f>C43*0.02</f>
        <v>10000</v>
      </c>
      <c r="D47" s="41"/>
      <c r="E47" s="33">
        <v>2</v>
      </c>
    </row>
  </sheetData>
  <mergeCells count="15">
    <mergeCell ref="C46:D46"/>
    <mergeCell ref="C47:D47"/>
    <mergeCell ref="A7:F7"/>
    <mergeCell ref="H7:K7"/>
    <mergeCell ref="C42:D42"/>
    <mergeCell ref="C43:D43"/>
    <mergeCell ref="C44:D44"/>
    <mergeCell ref="C45:D45"/>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gravel</vt:lpstr>
      <vt:lpstr>estimate!Print_Area</vt:lpstr>
      <vt:lpstr>gravel!Print_Area</vt:lpstr>
      <vt:lpstr>estimate!Print_Titles</vt:lpstr>
      <vt:lpstr>gravel!Print_Titles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2026-02-09T01:40:11Z</dcterms:modified>
</cp:coreProperties>
</file>