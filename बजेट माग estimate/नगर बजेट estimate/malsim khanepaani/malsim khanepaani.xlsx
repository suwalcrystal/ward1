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BB3E3914-8EEC-4F35-AD86-2BCAB2B3FE10}"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estimate!$A$1:$K$41</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2" l="1"/>
  <c r="Q20" i="12" l="1"/>
  <c r="Q23" i="12"/>
  <c r="G30" i="12"/>
  <c r="J30" i="12" s="1"/>
  <c r="G27" i="12"/>
  <c r="G28" i="12" s="1"/>
  <c r="D16" i="12"/>
  <c r="G16" i="12" s="1"/>
  <c r="G17" i="12" s="1"/>
  <c r="F21" i="12"/>
  <c r="G21" i="12" s="1"/>
  <c r="F22" i="12"/>
  <c r="G22" i="12" s="1"/>
  <c r="S13" i="12"/>
  <c r="R12" i="12"/>
  <c r="S12" i="12" s="1"/>
  <c r="R11" i="12"/>
  <c r="J28" i="12" l="1"/>
  <c r="J17" i="12"/>
  <c r="F20" i="12" l="1"/>
  <c r="G20" i="12" s="1"/>
  <c r="G23" i="12" s="1"/>
  <c r="G12" i="12"/>
  <c r="J23" i="12" l="1"/>
  <c r="G11" i="12"/>
  <c r="J24" i="12" l="1"/>
  <c r="G10" i="12"/>
  <c r="G13" i="12" s="1"/>
  <c r="J13" i="12" l="1"/>
  <c r="C40" i="12" l="1"/>
  <c r="C41" i="12" l="1"/>
  <c r="C38" i="12" s="1"/>
  <c r="G32" i="12"/>
  <c r="J32" i="12" s="1"/>
  <c r="J34" i="12" s="1"/>
  <c r="C36" i="12" l="1"/>
  <c r="C39" i="12" s="1"/>
  <c r="E38" i="12" l="1"/>
  <c r="E39" i="12" s="1"/>
</calcChain>
</file>

<file path=xl/sharedStrings.xml><?xml version="1.0" encoding="utf-8"?>
<sst xmlns="http://schemas.openxmlformats.org/spreadsheetml/2006/main" count="53" uniqueCount="48">
  <si>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</si>
  <si>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</si>
  <si>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</si>
  <si>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</si>
  <si>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</si>
  <si>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</si>
  <si>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</si>
  <si>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</si>
  <si>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</si>
  <si>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</si>
  <si>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</si>
  <si>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</si>
  <si>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</si>
  <si>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</si>
  <si>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</si>
  <si>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</si>
  <si>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</si>
  <si>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</si>
  <si>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</si>
  <si>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</si>
  <si>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</si>
  <si>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</si>
  <si>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</si>
  <si>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</si>
  <si>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</si>
  <si>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</si>
  <si>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</si>
  <si>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</si>
  <si>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</si>
  <si>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</si>
  <si>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</si>
  <si>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</si>
  <si>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</si>
  <si>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</si>
  <si>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Date:2082/09/07</t>
  </si>
  <si>
    <t>Location:- Shankharapur Municipality 1</t>
  </si>
  <si>
    <t>-13% VAT for material</t>
  </si>
  <si>
    <t>-for pipe laying</t>
  </si>
  <si>
    <t>-from source1 to tank 3, 32mm dia pipe</t>
  </si>
  <si>
    <t>-from tank 2 to 2 houses, 32mm dia pipe</t>
  </si>
  <si>
    <t>-from tank 3 to daando house, 32mm dia pipe</t>
  </si>
  <si>
    <t>Laying and joining of 32 mmØ HDPE pipe with butt-weld joints</t>
  </si>
  <si>
    <t>rm</t>
  </si>
  <si>
    <t>32mm GI pipe threaded</t>
  </si>
  <si>
    <t>Provisional sum for other unforseen works</t>
  </si>
  <si>
    <t>PS</t>
  </si>
  <si>
    <r>
      <t>Project:-</t>
    </r>
    <r>
      <rPr>
        <sz val="12"/>
        <rFont val="Preeti"/>
      </rPr>
      <t xml:space="preserve"> </t>
    </r>
    <r>
      <rPr>
        <sz val="14"/>
        <rFont val="Preeti"/>
      </rPr>
      <t>dnl;d vfg]kfgL</t>
    </r>
  </si>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</sst>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6">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4" fillId="0" borderId="2" xfId="0" quotePrefix="1" applyFont="1" applyBorder="1" applyAlignment="1">
      <alignment horizontal="right"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1"/>
  <sheetViews>
    <sheetView tabSelected="1" view="pageBreakPreview" zoomScale="95" zoomScaleNormal="100" zoomScaleSheetLayoutView="95" workbookViewId="0">
      <selection activeCell="J9" sqref="J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9" x14ac:dyDescent="0.25">
      <c r="A1" s="41" t="s">
        <v>0</v>
      </c>
      <c r="B1" s="41"/>
      <c r="C1" s="41"/>
      <c r="D1" s="41"/>
      <c r="E1" s="41"/>
      <c r="F1" s="41"/>
      <c r="G1" s="41"/>
      <c r="H1" s="41"/>
      <c r="I1" s="41"/>
      <c r="J1" s="41"/>
      <c r="K1" s="41"/>
    </row>
    <row r="2" spans="1:19" ht="22.5" x14ac:dyDescent="0.25">
      <c r="A2" s="42" t="s">
        <v>1</v>
      </c>
      <c r="B2" s="42"/>
      <c r="C2" s="42"/>
      <c r="D2" s="42"/>
      <c r="E2" s="42"/>
      <c r="F2" s="42"/>
      <c r="G2" s="42"/>
      <c r="H2" s="42"/>
      <c r="I2" s="42"/>
      <c r="J2" s="42"/>
      <c r="K2" s="42"/>
    </row>
    <row r="3" spans="1:19" x14ac:dyDescent="0.25">
      <c r="A3" s="43" t="s">
        <v>2</v>
      </c>
      <c r="B3" s="43"/>
      <c r="C3" s="43"/>
      <c r="D3" s="43"/>
      <c r="E3" s="43"/>
      <c r="F3" s="43"/>
      <c r="G3" s="43"/>
      <c r="H3" s="43"/>
      <c r="I3" s="43"/>
      <c r="J3" s="43"/>
      <c r="K3" s="43"/>
    </row>
    <row r="4" spans="1:19" x14ac:dyDescent="0.25">
      <c r="A4" s="43" t="s">
        <v>3</v>
      </c>
      <c r="B4" s="43"/>
      <c r="C4" s="43"/>
      <c r="D4" s="43"/>
      <c r="E4" s="43"/>
      <c r="F4" s="43"/>
      <c r="G4" s="43"/>
      <c r="H4" s="43"/>
      <c r="I4" s="43"/>
      <c r="J4" s="43"/>
      <c r="K4" s="43"/>
    </row>
    <row r="5" spans="1:19" ht="18.75" x14ac:dyDescent="0.3">
      <c r="A5" s="44" t="s">
        <v>4</v>
      </c>
      <c r="B5" s="44"/>
      <c r="C5" s="44"/>
      <c r="D5" s="44"/>
      <c r="E5" s="44"/>
      <c r="F5" s="44"/>
      <c r="G5" s="44"/>
      <c r="H5" s="44"/>
      <c r="I5" s="44"/>
      <c r="J5" s="44"/>
      <c r="K5" s="44"/>
    </row>
    <row r="6" spans="1:19" ht="18" x14ac:dyDescent="0.25">
      <c r="A6" s="39" t="s">
        <v>46</v>
      </c>
      <c r="B6" s="39"/>
      <c r="C6" s="39"/>
      <c r="D6" s="39"/>
      <c r="E6" s="39"/>
      <c r="F6" s="39"/>
      <c r="G6" s="10"/>
      <c r="H6" s="40" t="s">
        <v>25</v>
      </c>
      <c r="I6" s="40"/>
      <c r="J6" s="40"/>
      <c r="K6" s="40"/>
    </row>
    <row r="7" spans="1:19" ht="15.75" x14ac:dyDescent="0.25">
      <c r="A7" s="47" t="s">
        <v>35</v>
      </c>
      <c r="B7" s="47"/>
      <c r="C7" s="47"/>
      <c r="D7" s="47"/>
      <c r="E7" s="47"/>
      <c r="F7" s="47"/>
      <c r="G7" s="11"/>
      <c r="H7" s="48" t="s">
        <v>34</v>
      </c>
      <c r="I7" s="48"/>
      <c r="J7" s="48"/>
      <c r="K7" s="48"/>
    </row>
    <row r="8" spans="1:19" ht="15.75" x14ac:dyDescent="0.25">
      <c r="A8" s="12" t="s">
        <v>5</v>
      </c>
      <c r="B8" s="13" t="s">
        <v>6</v>
      </c>
      <c r="C8" s="12" t="s">
        <v>7</v>
      </c>
      <c r="D8" s="14" t="s">
        <v>8</v>
      </c>
      <c r="E8" s="14" t="s">
        <v>9</v>
      </c>
      <c r="F8" s="14" t="s">
        <v>10</v>
      </c>
      <c r="G8" s="14" t="s">
        <v>11</v>
      </c>
      <c r="H8" s="12" t="s">
        <v>12</v>
      </c>
      <c r="I8" s="14" t="s">
        <v>13</v>
      </c>
      <c r="J8" s="14" t="s">
        <v>14</v>
      </c>
      <c r="K8" s="15" t="s">
        <v>15</v>
      </c>
    </row>
    <row r="9" spans="1:19" ht="33" x14ac:dyDescent="0.25">
      <c r="A9" s="16">
        <v>1</v>
      </c>
      <c r="B9" s="52" t="s">
        <v>47</v>
      </c>
      <c r="C9" s="17"/>
      <c r="D9" s="17"/>
      <c r="E9" s="17"/>
      <c r="F9" s="17"/>
      <c r="G9" s="17"/>
      <c r="H9" s="17"/>
      <c r="I9" s="17"/>
      <c r="J9" s="18"/>
      <c r="K9" s="17"/>
    </row>
    <row r="10" spans="1:19" x14ac:dyDescent="0.25">
      <c r="A10" s="16"/>
      <c r="B10" s="32" t="s">
        <v>37</v>
      </c>
      <c r="C10" s="17">
        <v>1</v>
      </c>
      <c r="D10" s="33">
        <v>175</v>
      </c>
      <c r="E10" s="17">
        <v>0.3</v>
      </c>
      <c r="F10" s="17">
        <v>0.45</v>
      </c>
      <c r="G10" s="33">
        <f t="shared" ref="G10:G12" si="0">PRODUCT(C10:F10)</f>
        <v>23.625</v>
      </c>
      <c r="H10" s="17"/>
      <c r="I10" s="17"/>
      <c r="J10" s="18"/>
      <c r="K10" s="17"/>
    </row>
    <row r="11" spans="1:19" x14ac:dyDescent="0.25">
      <c r="A11" s="16"/>
      <c r="B11" s="32"/>
      <c r="C11" s="17">
        <v>1</v>
      </c>
      <c r="D11" s="33">
        <v>150</v>
      </c>
      <c r="E11" s="17">
        <v>0.3</v>
      </c>
      <c r="F11" s="17">
        <v>0.45</v>
      </c>
      <c r="G11" s="33">
        <f t="shared" si="0"/>
        <v>20.25</v>
      </c>
      <c r="H11" s="17"/>
      <c r="I11" s="17"/>
      <c r="J11" s="18"/>
      <c r="K11" s="17"/>
      <c r="R11" s="19">
        <f>480/3.281</f>
        <v>146.29686071319719</v>
      </c>
    </row>
    <row r="12" spans="1:19" x14ac:dyDescent="0.25">
      <c r="A12" s="16"/>
      <c r="B12" s="32"/>
      <c r="C12" s="17">
        <v>1</v>
      </c>
      <c r="D12" s="33">
        <v>415</v>
      </c>
      <c r="E12" s="17">
        <v>0.3</v>
      </c>
      <c r="F12" s="17">
        <v>0.45</v>
      </c>
      <c r="G12" s="33">
        <f t="shared" si="0"/>
        <v>56.024999999999999</v>
      </c>
      <c r="H12" s="17"/>
      <c r="I12" s="17"/>
      <c r="J12" s="18"/>
      <c r="K12" s="17"/>
      <c r="R12" s="19">
        <f>160+135+301</f>
        <v>596</v>
      </c>
      <c r="S12" s="19">
        <f>R12/3.281</f>
        <v>181.65193538555317</v>
      </c>
    </row>
    <row r="13" spans="1:19" s="35" customFormat="1" x14ac:dyDescent="0.25">
      <c r="A13" s="2"/>
      <c r="B13" s="53" t="s">
        <v>28</v>
      </c>
      <c r="C13" s="3"/>
      <c r="D13" s="4"/>
      <c r="E13" s="5"/>
      <c r="F13" s="5"/>
      <c r="G13" s="54">
        <f>SUM(G10:G12)</f>
        <v>99.9</v>
      </c>
      <c r="H13" s="7" t="s">
        <v>29</v>
      </c>
      <c r="I13" s="6">
        <v>963.05</v>
      </c>
      <c r="J13" s="54">
        <f>G13*I13</f>
        <v>96208.695000000007</v>
      </c>
      <c r="K13" s="5"/>
      <c r="R13" s="35">
        <v>1269</v>
      </c>
      <c r="S13" s="35">
        <f>R13/3.281</f>
        <v>386.77232551051509</v>
      </c>
    </row>
    <row r="14" spans="1:19" x14ac:dyDescent="0.25">
      <c r="A14" s="16"/>
      <c r="B14" s="32"/>
      <c r="C14" s="17"/>
      <c r="D14" s="17"/>
      <c r="E14" s="17"/>
      <c r="F14" s="17"/>
      <c r="G14" s="17"/>
      <c r="H14" s="17"/>
      <c r="I14" s="17"/>
      <c r="J14" s="18"/>
      <c r="K14" s="17"/>
    </row>
    <row r="15" spans="1:19" ht="30" x14ac:dyDescent="0.25">
      <c r="A15" s="16">
        <v>2</v>
      </c>
      <c r="B15" s="52" t="s">
        <v>41</v>
      </c>
      <c r="C15" s="17"/>
      <c r="D15" s="17"/>
      <c r="E15" s="17"/>
      <c r="F15" s="17"/>
      <c r="G15" s="17"/>
      <c r="H15" s="17"/>
      <c r="I15" s="17"/>
      <c r="J15" s="17"/>
      <c r="K15" s="17"/>
    </row>
    <row r="16" spans="1:19" x14ac:dyDescent="0.25">
      <c r="A16" s="16"/>
      <c r="B16" s="32" t="s">
        <v>37</v>
      </c>
      <c r="C16" s="17">
        <v>1</v>
      </c>
      <c r="D16" s="33">
        <f>SUM(D20:D22)-100</f>
        <v>1900</v>
      </c>
      <c r="E16" s="17"/>
      <c r="F16" s="17"/>
      <c r="G16" s="33">
        <f t="shared" ref="G16" si="1">PRODUCT(C16:F16)</f>
        <v>1900</v>
      </c>
      <c r="H16" s="17"/>
      <c r="I16" s="17"/>
      <c r="J16" s="18"/>
      <c r="K16" s="17"/>
    </row>
    <row r="17" spans="1:17" s="35" customFormat="1" x14ac:dyDescent="0.25">
      <c r="A17" s="2"/>
      <c r="B17" s="53" t="s">
        <v>28</v>
      </c>
      <c r="C17" s="3"/>
      <c r="D17" s="4"/>
      <c r="E17" s="5"/>
      <c r="F17" s="5"/>
      <c r="G17" s="54">
        <f>SUM(G16:G16)</f>
        <v>1900</v>
      </c>
      <c r="H17" s="7" t="s">
        <v>42</v>
      </c>
      <c r="I17" s="6">
        <f>5319.5/1000</f>
        <v>5.3194999999999997</v>
      </c>
      <c r="J17" s="54">
        <f>G17*I17</f>
        <v>10107.049999999999</v>
      </c>
      <c r="K17" s="5"/>
    </row>
    <row r="18" spans="1:17" x14ac:dyDescent="0.25">
      <c r="A18" s="16"/>
      <c r="B18" s="52"/>
      <c r="C18" s="17"/>
      <c r="D18" s="17"/>
      <c r="E18" s="17"/>
      <c r="F18" s="17"/>
      <c r="G18" s="17"/>
      <c r="H18" s="17"/>
      <c r="I18" s="17"/>
      <c r="J18" s="17"/>
      <c r="K18" s="17"/>
    </row>
    <row r="19" spans="1:17" ht="45" x14ac:dyDescent="0.25">
      <c r="A19" s="16">
        <v>3</v>
      </c>
      <c r="B19" s="36" t="s">
        <v>30</v>
      </c>
      <c r="C19" s="17"/>
      <c r="D19" s="37" t="s">
        <v>27</v>
      </c>
      <c r="E19" s="37" t="s">
        <v>31</v>
      </c>
      <c r="F19" s="37" t="s">
        <v>32</v>
      </c>
      <c r="G19" s="17"/>
      <c r="H19" s="17"/>
      <c r="I19" s="17"/>
      <c r="J19" s="18"/>
      <c r="K19" s="17"/>
    </row>
    <row r="20" spans="1:17" ht="30" x14ac:dyDescent="0.25">
      <c r="A20" s="16"/>
      <c r="B20" s="38" t="s">
        <v>38</v>
      </c>
      <c r="C20" s="17">
        <v>1</v>
      </c>
      <c r="D20" s="17">
        <v>400</v>
      </c>
      <c r="E20" s="17">
        <v>0.33800000000000002</v>
      </c>
      <c r="F20" s="17">
        <f>C20*D20*E20</f>
        <v>135.20000000000002</v>
      </c>
      <c r="G20" s="33">
        <f>F20</f>
        <v>135.20000000000002</v>
      </c>
      <c r="H20" s="17"/>
      <c r="I20" s="17"/>
      <c r="J20" s="18"/>
      <c r="K20" s="17"/>
      <c r="Q20" s="19">
        <f>0.338*287</f>
        <v>97.006</v>
      </c>
    </row>
    <row r="21" spans="1:17" ht="30" x14ac:dyDescent="0.25">
      <c r="A21" s="16"/>
      <c r="B21" s="38" t="s">
        <v>39</v>
      </c>
      <c r="C21" s="17">
        <v>1</v>
      </c>
      <c r="D21" s="17">
        <v>300</v>
      </c>
      <c r="E21" s="17">
        <v>0.33800000000000002</v>
      </c>
      <c r="F21" s="17">
        <f t="shared" ref="F21:F22" si="2">C21*D21*E21</f>
        <v>101.4</v>
      </c>
      <c r="G21" s="33">
        <f t="shared" ref="G21:G22" si="3">F21</f>
        <v>101.4</v>
      </c>
      <c r="H21" s="17"/>
      <c r="I21" s="17"/>
      <c r="J21" s="18"/>
      <c r="K21" s="17"/>
    </row>
    <row r="22" spans="1:17" ht="30" x14ac:dyDescent="0.25">
      <c r="A22" s="16"/>
      <c r="B22" s="38" t="s">
        <v>40</v>
      </c>
      <c r="C22" s="17">
        <v>1</v>
      </c>
      <c r="D22" s="17">
        <v>1300</v>
      </c>
      <c r="E22" s="17">
        <v>0.33800000000000002</v>
      </c>
      <c r="F22" s="17">
        <f t="shared" si="2"/>
        <v>439.40000000000003</v>
      </c>
      <c r="G22" s="33">
        <f t="shared" si="3"/>
        <v>439.40000000000003</v>
      </c>
      <c r="H22" s="17"/>
      <c r="I22" s="17"/>
      <c r="J22" s="18"/>
      <c r="K22" s="17"/>
    </row>
    <row r="23" spans="1:17" ht="15" customHeight="1" x14ac:dyDescent="0.25">
      <c r="A23" s="2"/>
      <c r="B23" s="34" t="s">
        <v>16</v>
      </c>
      <c r="C23" s="3"/>
      <c r="D23" s="4"/>
      <c r="E23" s="5"/>
      <c r="F23" s="5"/>
      <c r="G23" s="6">
        <f>SUM(G20:G22)</f>
        <v>676</v>
      </c>
      <c r="H23" s="7" t="s">
        <v>33</v>
      </c>
      <c r="I23" s="6">
        <v>287</v>
      </c>
      <c r="J23" s="18">
        <f>G23*I23</f>
        <v>194012</v>
      </c>
      <c r="K23" s="5"/>
      <c r="Q23" s="19">
        <f>1.13*287</f>
        <v>324.30999999999995</v>
      </c>
    </row>
    <row r="24" spans="1:17" x14ac:dyDescent="0.25">
      <c r="A24" s="16"/>
      <c r="B24" s="32" t="s">
        <v>36</v>
      </c>
      <c r="C24" s="17"/>
      <c r="D24" s="17"/>
      <c r="E24" s="17"/>
      <c r="F24" s="17"/>
      <c r="G24" s="17"/>
      <c r="H24" s="17"/>
      <c r="I24" s="17"/>
      <c r="J24" s="18">
        <f>0.13*J23</f>
        <v>25221.56</v>
      </c>
      <c r="K24" s="17"/>
    </row>
    <row r="25" spans="1:17" x14ac:dyDescent="0.25">
      <c r="A25" s="16"/>
      <c r="B25" s="17"/>
      <c r="C25" s="17"/>
      <c r="D25" s="17"/>
      <c r="E25" s="17"/>
      <c r="F25" s="17"/>
      <c r="G25" s="17"/>
      <c r="H25" s="17"/>
      <c r="I25" s="17"/>
      <c r="J25" s="17"/>
      <c r="K25" s="17"/>
    </row>
    <row r="26" spans="1:17" x14ac:dyDescent="0.25">
      <c r="A26" s="16">
        <v>4</v>
      </c>
      <c r="B26" s="52" t="s">
        <v>43</v>
      </c>
      <c r="C26" s="17"/>
      <c r="D26" s="17"/>
      <c r="E26" s="17"/>
      <c r="F26" s="17"/>
      <c r="G26" s="17"/>
      <c r="H26" s="17"/>
      <c r="I26" s="17"/>
      <c r="J26" s="17"/>
      <c r="K26" s="17"/>
    </row>
    <row r="27" spans="1:17" x14ac:dyDescent="0.25">
      <c r="A27" s="16"/>
      <c r="B27" s="32" t="s">
        <v>37</v>
      </c>
      <c r="C27" s="17">
        <v>1</v>
      </c>
      <c r="D27" s="33">
        <v>6</v>
      </c>
      <c r="E27" s="17"/>
      <c r="F27" s="17"/>
      <c r="G27" s="33">
        <f t="shared" ref="G27" si="4">PRODUCT(C27:F27)</f>
        <v>6</v>
      </c>
      <c r="H27" s="17"/>
      <c r="I27" s="17"/>
      <c r="J27" s="18"/>
      <c r="K27" s="17"/>
    </row>
    <row r="28" spans="1:17" s="35" customFormat="1" x14ac:dyDescent="0.25">
      <c r="A28" s="2"/>
      <c r="B28" s="53" t="s">
        <v>28</v>
      </c>
      <c r="C28" s="3"/>
      <c r="D28" s="4"/>
      <c r="E28" s="5"/>
      <c r="F28" s="5"/>
      <c r="G28" s="54">
        <f>SUM(G27:G27)</f>
        <v>6</v>
      </c>
      <c r="H28" s="7" t="s">
        <v>42</v>
      </c>
      <c r="I28" s="6">
        <v>452</v>
      </c>
      <c r="J28" s="54">
        <f>G28*I28</f>
        <v>2712</v>
      </c>
      <c r="K28" s="5"/>
    </row>
    <row r="29" spans="1:17" x14ac:dyDescent="0.25">
      <c r="A29" s="16"/>
      <c r="B29" s="52"/>
      <c r="C29" s="17"/>
      <c r="D29" s="17"/>
      <c r="E29" s="17"/>
      <c r="F29" s="17"/>
      <c r="G29" s="17"/>
      <c r="H29" s="17"/>
      <c r="I29" s="17"/>
      <c r="J29" s="17"/>
      <c r="K29" s="17"/>
    </row>
    <row r="30" spans="1:17" s="35" customFormat="1" ht="30" x14ac:dyDescent="0.25">
      <c r="A30" s="2">
        <v>5</v>
      </c>
      <c r="B30" s="55" t="s">
        <v>44</v>
      </c>
      <c r="C30" s="3">
        <v>1</v>
      </c>
      <c r="D30" s="4"/>
      <c r="E30" s="5"/>
      <c r="F30" s="5"/>
      <c r="G30" s="54">
        <f t="shared" ref="G30" si="5">PRODUCT(C30:F30)</f>
        <v>1</v>
      </c>
      <c r="H30" s="7" t="s">
        <v>45</v>
      </c>
      <c r="I30" s="6">
        <v>7000</v>
      </c>
      <c r="J30" s="54">
        <f>G30*I30</f>
        <v>7000</v>
      </c>
      <c r="K30" s="5"/>
    </row>
    <row r="31" spans="1:17" x14ac:dyDescent="0.25">
      <c r="A31" s="16"/>
      <c r="B31" s="52"/>
      <c r="C31" s="17"/>
      <c r="D31" s="17"/>
      <c r="E31" s="17"/>
      <c r="F31" s="17"/>
      <c r="G31" s="17"/>
      <c r="H31" s="17"/>
      <c r="I31" s="17"/>
      <c r="J31" s="17"/>
      <c r="K31" s="17"/>
    </row>
    <row r="32" spans="1:17" ht="15" customHeight="1" x14ac:dyDescent="0.25">
      <c r="A32" s="2">
        <v>6</v>
      </c>
      <c r="B32" s="1" t="s">
        <v>17</v>
      </c>
      <c r="C32" s="3">
        <v>1</v>
      </c>
      <c r="D32" s="4"/>
      <c r="E32" s="5"/>
      <c r="F32" s="5"/>
      <c r="G32" s="7">
        <f t="shared" ref="G32" si="6">PRODUCT(C32:F32)</f>
        <v>1</v>
      </c>
      <c r="H32" s="7" t="s">
        <v>18</v>
      </c>
      <c r="I32" s="6">
        <v>500</v>
      </c>
      <c r="J32" s="7">
        <f>G32*I32</f>
        <v>500</v>
      </c>
      <c r="K32" s="5"/>
    </row>
    <row r="33" spans="1:19" x14ac:dyDescent="0.25">
      <c r="A33" s="2"/>
      <c r="B33" s="8"/>
      <c r="C33" s="3"/>
      <c r="D33" s="4"/>
      <c r="E33" s="5"/>
      <c r="F33" s="5"/>
      <c r="G33" s="6"/>
      <c r="H33" s="7"/>
      <c r="I33" s="6"/>
      <c r="J33" s="18"/>
      <c r="K33" s="5"/>
    </row>
    <row r="34" spans="1:19" x14ac:dyDescent="0.25">
      <c r="A34" s="21"/>
      <c r="B34" s="22" t="s">
        <v>20</v>
      </c>
      <c r="C34" s="23"/>
      <c r="D34" s="24"/>
      <c r="E34" s="24"/>
      <c r="F34" s="24"/>
      <c r="G34" s="18"/>
      <c r="H34" s="18"/>
      <c r="I34" s="18"/>
      <c r="J34" s="18">
        <f>SUM(J9:J32)</f>
        <v>335761.30499999999</v>
      </c>
      <c r="K34" s="25"/>
    </row>
    <row r="35" spans="1:19" x14ac:dyDescent="0.25">
      <c r="M35" s="20"/>
      <c r="N35" s="20"/>
      <c r="O35" s="20"/>
      <c r="P35" s="20"/>
      <c r="Q35" s="20"/>
      <c r="R35" s="20"/>
      <c r="S35" s="20"/>
    </row>
    <row r="36" spans="1:19" s="20" customFormat="1" x14ac:dyDescent="0.25">
      <c r="A36" s="26"/>
      <c r="B36" s="27" t="s">
        <v>19</v>
      </c>
      <c r="C36" s="45">
        <f>J34</f>
        <v>335761.30499999999</v>
      </c>
      <c r="D36" s="46"/>
      <c r="E36" s="9">
        <v>100</v>
      </c>
      <c r="F36" s="26"/>
      <c r="G36" s="28"/>
      <c r="H36" s="26"/>
      <c r="I36" s="29"/>
      <c r="J36" s="30"/>
      <c r="K36" s="31"/>
      <c r="M36" s="19"/>
      <c r="N36" s="19"/>
      <c r="O36" s="19"/>
      <c r="P36" s="19"/>
      <c r="Q36" s="19"/>
      <c r="R36" s="19"/>
      <c r="S36" s="19"/>
    </row>
    <row r="37" spans="1:19" x14ac:dyDescent="0.25">
      <c r="B37" s="27" t="s">
        <v>21</v>
      </c>
      <c r="C37" s="49">
        <v>300000</v>
      </c>
      <c r="D37" s="50"/>
      <c r="E37" s="9"/>
    </row>
    <row r="38" spans="1:19" x14ac:dyDescent="0.25">
      <c r="B38" s="27" t="s">
        <v>22</v>
      </c>
      <c r="C38" s="49">
        <f>C37-C40-C41</f>
        <v>285000</v>
      </c>
      <c r="D38" s="50"/>
      <c r="E38" s="9">
        <f>C38/C36*100</f>
        <v>84.881728703073762</v>
      </c>
    </row>
    <row r="39" spans="1:19" x14ac:dyDescent="0.25">
      <c r="B39" s="27" t="s">
        <v>26</v>
      </c>
      <c r="C39" s="51">
        <f>C36-C38</f>
        <v>50761.304999999993</v>
      </c>
      <c r="D39" s="51"/>
      <c r="E39" s="9">
        <f>100-E38</f>
        <v>15.118271296926238</v>
      </c>
    </row>
    <row r="40" spans="1:19" x14ac:dyDescent="0.25">
      <c r="B40" s="27" t="s">
        <v>23</v>
      </c>
      <c r="C40" s="45">
        <f>C37*0.03</f>
        <v>9000</v>
      </c>
      <c r="D40" s="46"/>
      <c r="E40" s="9">
        <v>3</v>
      </c>
    </row>
    <row r="41" spans="1:19" x14ac:dyDescent="0.25">
      <c r="B41" s="27" t="s">
        <v>24</v>
      </c>
      <c r="C41" s="45">
        <f>C37*0.02</f>
        <v>6000</v>
      </c>
      <c r="D41" s="46"/>
      <c r="E41" s="9">
        <v>2</v>
      </c>
    </row>
  </sheetData>
  <mergeCells count="15">
    <mergeCell ref="C40:D40"/>
    <mergeCell ref="C41:D41"/>
    <mergeCell ref="A7:F7"/>
    <mergeCell ref="H7:K7"/>
    <mergeCell ref="C36:D36"/>
    <mergeCell ref="C37:D37"/>
    <mergeCell ref="C38:D38"/>
    <mergeCell ref="C39:D39"/>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2025-12-29T08:12:22Z</dcterms:modified>
</cp:coreProperties>
</file>