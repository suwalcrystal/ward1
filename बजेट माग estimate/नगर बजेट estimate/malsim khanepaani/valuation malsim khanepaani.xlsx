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24226"/>
  <xr:revisionPtr revIDLastSave="0" documentId="13_ncr:1_{814476F4-2FE2-4DF8-A736-479CAE56A123}" xr6:coauthVersionLast="47" xr6:coauthVersionMax="47" xr10:uidLastSave="{00000000-0000-0000-0000-000000000000}"/>
  <bookViews>
    <workbookView xWindow="-120" yWindow="-120" windowWidth="20730" windowHeight="11040" xr2:uid="{00000000-000D-0000-FFFF-FFFF00000000}"/>
  </bookViews>
  <sheets>
    <sheet name="estimate" sheetId="12" r:id="rId1"/>
    <sheet name="WCR" sheetId="14" r:id="rId2"/>
    <sheet name="V" sheetId="13" r:id="rId3"/>
    <sheet name="M" sheetId="16" r:id="rId4"/>
    <sheet name="original estimate" sheetId="15" state="hidden" r:id="rId5"/>
  </sheets>
  <externalReferences>
    <externalReference r:id="rId6"/>
    <externalReference r:id="rId7"/>
    <externalReference r:id="rId8"/>
    <externalReference r:id="rId9"/>
    <externalReference r:id="rId10"/>
    <externalReference r:id="rId11"/>
    <externalReference r:id="rId12"/>
  </externalReferences>
  <definedNames>
    <definedName name="description_103">[1]Abstract!$B$16</definedName>
    <definedName name="description_124" localSheetId="0">#REF!</definedName>
    <definedName name="description_124" localSheetId="3">#REF!</definedName>
    <definedName name="description_124" localSheetId="4">#REF!</definedName>
    <definedName name="description_124" localSheetId="2">#REF!</definedName>
    <definedName name="description_124" localSheetId="1">#REF!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 localSheetId="3">#REF!</definedName>
    <definedName name="description_310" localSheetId="4">#REF!</definedName>
    <definedName name="description_310" localSheetId="2">#REF!</definedName>
    <definedName name="description_310" localSheetId="1">[4]Abstract!$B$60</definedName>
    <definedName name="description_310">#REF!</definedName>
    <definedName name="description_312" localSheetId="0">#REF!</definedName>
    <definedName name="description_312" localSheetId="3">#REF!</definedName>
    <definedName name="description_312" localSheetId="4">#REF!</definedName>
    <definedName name="description_312" localSheetId="2">#REF!</definedName>
    <definedName name="description_312" localSheetId="1">[5]Abstract!$B$61</definedName>
    <definedName name="description_312">#REF!</definedName>
    <definedName name="description_5">[1]Abstract!$B$171</definedName>
    <definedName name="description_6" localSheetId="0">#REF!</definedName>
    <definedName name="description_6" localSheetId="3">#REF!</definedName>
    <definedName name="description_6" localSheetId="4">#REF!</definedName>
    <definedName name="description_6" localSheetId="2">#REF!</definedName>
    <definedName name="description_6" localSheetId="1">[4]Abstract!$B$172</definedName>
    <definedName name="description_6">#REF!</definedName>
    <definedName name="description_759">[1]Abstract!$B$278</definedName>
    <definedName name="description_781" localSheetId="0">#REF!</definedName>
    <definedName name="description_781" localSheetId="3">#REF!</definedName>
    <definedName name="description_781" localSheetId="4">#REF!</definedName>
    <definedName name="description_781" localSheetId="2">#REF!</definedName>
    <definedName name="description_781" localSheetId="1">[6]Abstract!$B$299</definedName>
    <definedName name="description_781">#REF!</definedName>
    <definedName name="description_783">[1]Abstract!$B$301</definedName>
    <definedName name="description_784">[3]Abstract!$B$300</definedName>
    <definedName name="_xlnm.Print_Area" localSheetId="0">estimate!$A$1:$K$42</definedName>
    <definedName name="_xlnm.Print_Area" localSheetId="3">M!$A$1:$K$48</definedName>
    <definedName name="_xlnm.Print_Area" localSheetId="4">'original estimate'!$A$1:$K$41</definedName>
    <definedName name="_xlnm.Print_Area" localSheetId="2">V!$A$1:$K$48</definedName>
    <definedName name="_xlnm.Print_Area" localSheetId="1">WCR!$A$1:$K$27</definedName>
    <definedName name="_xlnm.Print_Titles" localSheetId="0">estimate!$1:$8</definedName>
    <definedName name="_xlnm.Print_Titles" localSheetId="3">M!$1:$8</definedName>
    <definedName name="_xlnm.Print_Titles" localSheetId="4">'original estimate'!$1:$8</definedName>
    <definedName name="_xlnm.Print_Titles" localSheetId="2">V!$1:$8</definedName>
    <definedName name="_xlnm.Print_Titles" localSheetId="1">WCR!$1:$12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8" i="16" l="1"/>
  <c r="C47" i="16"/>
  <c r="G39" i="16"/>
  <c r="J39" i="16" s="1"/>
  <c r="G37" i="16"/>
  <c r="J37" i="16" s="1"/>
  <c r="G33" i="16"/>
  <c r="G34" i="16" s="1"/>
  <c r="J34" i="16" s="1"/>
  <c r="J35" i="16" s="1"/>
  <c r="F28" i="16"/>
  <c r="G28" i="16" s="1"/>
  <c r="F27" i="16"/>
  <c r="G27" i="16" s="1"/>
  <c r="F26" i="16"/>
  <c r="G26" i="16" s="1"/>
  <c r="F25" i="16"/>
  <c r="G25" i="16" s="1"/>
  <c r="F24" i="16"/>
  <c r="G24" i="16" s="1"/>
  <c r="F23" i="16"/>
  <c r="G23" i="16" s="1"/>
  <c r="G29" i="16" s="1"/>
  <c r="J29" i="16" s="1"/>
  <c r="J30" i="16" s="1"/>
  <c r="I20" i="16"/>
  <c r="D19" i="16"/>
  <c r="G19" i="16" s="1"/>
  <c r="G20" i="16" s="1"/>
  <c r="J20" i="16" s="1"/>
  <c r="G15" i="16"/>
  <c r="D15" i="16"/>
  <c r="D14" i="16"/>
  <c r="G14" i="16" s="1"/>
  <c r="D13" i="16"/>
  <c r="G13" i="16" s="1"/>
  <c r="D12" i="16"/>
  <c r="G12" i="16" s="1"/>
  <c r="D11" i="16"/>
  <c r="G11" i="16" s="1"/>
  <c r="D10" i="16"/>
  <c r="G10" i="16" s="1"/>
  <c r="D15" i="13"/>
  <c r="G15" i="13" s="1"/>
  <c r="D13" i="13"/>
  <c r="D14" i="13"/>
  <c r="G14" i="13" s="1"/>
  <c r="D12" i="13"/>
  <c r="D11" i="13"/>
  <c r="D10" i="13"/>
  <c r="H25" i="14"/>
  <c r="G25" i="14"/>
  <c r="I25" i="14" s="1"/>
  <c r="E25" i="14"/>
  <c r="D25" i="14"/>
  <c r="C25" i="14"/>
  <c r="B25" i="14"/>
  <c r="A25" i="14"/>
  <c r="H23" i="14"/>
  <c r="G23" i="14"/>
  <c r="E23" i="14"/>
  <c r="D23" i="14"/>
  <c r="C23" i="14"/>
  <c r="B23" i="14"/>
  <c r="A23" i="14"/>
  <c r="I21" i="14"/>
  <c r="J35" i="13"/>
  <c r="H20" i="14"/>
  <c r="F21" i="14"/>
  <c r="M21" i="14" s="1"/>
  <c r="E20" i="14"/>
  <c r="D20" i="14"/>
  <c r="C20" i="14"/>
  <c r="B21" i="14"/>
  <c r="C41" i="15"/>
  <c r="C40" i="15"/>
  <c r="C38" i="15"/>
  <c r="G32" i="15"/>
  <c r="J32" i="15" s="1"/>
  <c r="G30" i="15"/>
  <c r="J30" i="15" s="1"/>
  <c r="G27" i="15"/>
  <c r="G28" i="15" s="1"/>
  <c r="J28" i="15" s="1"/>
  <c r="Q23" i="15"/>
  <c r="F22" i="15"/>
  <c r="G22" i="15" s="1"/>
  <c r="G21" i="15"/>
  <c r="F21" i="15"/>
  <c r="Q20" i="15"/>
  <c r="F20" i="15"/>
  <c r="G20" i="15" s="1"/>
  <c r="G23" i="15" s="1"/>
  <c r="J23" i="15" s="1"/>
  <c r="J24" i="15" s="1"/>
  <c r="I17" i="15"/>
  <c r="G16" i="15"/>
  <c r="G17" i="15" s="1"/>
  <c r="J17" i="15" s="1"/>
  <c r="D16" i="15"/>
  <c r="S13" i="15"/>
  <c r="R12" i="15"/>
  <c r="S12" i="15" s="1"/>
  <c r="G12" i="15"/>
  <c r="R11" i="15"/>
  <c r="G11" i="15"/>
  <c r="G10" i="15"/>
  <c r="G13" i="15" s="1"/>
  <c r="J13" i="15" s="1"/>
  <c r="J34" i="15" s="1"/>
  <c r="C36" i="15" s="1"/>
  <c r="C39" i="15" s="1"/>
  <c r="B20" i="14"/>
  <c r="A20" i="14"/>
  <c r="H17" i="14"/>
  <c r="B18" i="14"/>
  <c r="E17" i="14"/>
  <c r="C17" i="14"/>
  <c r="B17" i="14"/>
  <c r="A13" i="14"/>
  <c r="A15" i="14"/>
  <c r="A17" i="14"/>
  <c r="E15" i="14"/>
  <c r="C15" i="14"/>
  <c r="B15" i="14"/>
  <c r="H13" i="14"/>
  <c r="E13" i="14"/>
  <c r="C13" i="14"/>
  <c r="A9" i="14"/>
  <c r="F27" i="13"/>
  <c r="G27" i="13" s="1"/>
  <c r="F25" i="13"/>
  <c r="G25" i="13" s="1"/>
  <c r="F28" i="13"/>
  <c r="G28" i="13" s="1"/>
  <c r="C48" i="13"/>
  <c r="C47" i="13"/>
  <c r="G39" i="13"/>
  <c r="J39" i="13" s="1"/>
  <c r="G37" i="13"/>
  <c r="J37" i="13" s="1"/>
  <c r="G33" i="13"/>
  <c r="G34" i="13" s="1"/>
  <c r="I20" i="13"/>
  <c r="H15" i="14" s="1"/>
  <c r="G12" i="13"/>
  <c r="G10" i="13"/>
  <c r="I17" i="12"/>
  <c r="G16" i="16" l="1"/>
  <c r="J16" i="16" s="1"/>
  <c r="J41" i="16" s="1"/>
  <c r="C43" i="16" s="1"/>
  <c r="I23" i="14"/>
  <c r="F23" i="14"/>
  <c r="G13" i="13"/>
  <c r="G16" i="13" s="1"/>
  <c r="F26" i="13"/>
  <c r="G26" i="13" s="1"/>
  <c r="G11" i="13"/>
  <c r="F24" i="13"/>
  <c r="G24" i="13" s="1"/>
  <c r="D19" i="13"/>
  <c r="G19" i="13" s="1"/>
  <c r="G20" i="13" s="1"/>
  <c r="F23" i="13"/>
  <c r="G23" i="13" s="1"/>
  <c r="J34" i="13"/>
  <c r="G20" i="14"/>
  <c r="I20" i="14" s="1"/>
  <c r="J21" i="14"/>
  <c r="F20" i="14"/>
  <c r="E38" i="15"/>
  <c r="E39" i="15" s="1"/>
  <c r="F25" i="14"/>
  <c r="J25" i="14" s="1"/>
  <c r="Q20" i="12"/>
  <c r="Q23" i="12"/>
  <c r="G31" i="12"/>
  <c r="J31" i="12" s="1"/>
  <c r="G27" i="12"/>
  <c r="G28" i="12" s="1"/>
  <c r="D16" i="12"/>
  <c r="G16" i="12" s="1"/>
  <c r="G17" i="12" s="1"/>
  <c r="D15" i="14" s="1"/>
  <c r="F15" i="14" s="1"/>
  <c r="F21" i="12"/>
  <c r="G21" i="12" s="1"/>
  <c r="F22" i="12"/>
  <c r="G22" i="12" s="1"/>
  <c r="S13" i="12"/>
  <c r="R12" i="12"/>
  <c r="S12" i="12" s="1"/>
  <c r="R11" i="12"/>
  <c r="C45" i="16" l="1"/>
  <c r="G15" i="14"/>
  <c r="I15" i="14" s="1"/>
  <c r="J15" i="14" s="1"/>
  <c r="J20" i="13"/>
  <c r="M23" i="14"/>
  <c r="J23" i="14"/>
  <c r="G29" i="13"/>
  <c r="J16" i="13"/>
  <c r="G13" i="14"/>
  <c r="I13" i="14" s="1"/>
  <c r="M20" i="14"/>
  <c r="J20" i="14"/>
  <c r="M15" i="14"/>
  <c r="J28" i="12"/>
  <c r="J29" i="12" s="1"/>
  <c r="J17" i="12"/>
  <c r="E45" i="16" l="1"/>
  <c r="E46" i="16" s="1"/>
  <c r="C46" i="16"/>
  <c r="G17" i="14"/>
  <c r="I17" i="14" s="1"/>
  <c r="J29" i="13"/>
  <c r="F20" i="12"/>
  <c r="G20" i="12" s="1"/>
  <c r="G23" i="12" s="1"/>
  <c r="D17" i="14" s="1"/>
  <c r="F17" i="14" s="1"/>
  <c r="G12" i="12"/>
  <c r="J30" i="13" l="1"/>
  <c r="J17" i="14"/>
  <c r="M17" i="14"/>
  <c r="J23" i="12"/>
  <c r="G11" i="12"/>
  <c r="J41" i="13" l="1"/>
  <c r="C43" i="13" s="1"/>
  <c r="C45" i="13" s="1"/>
  <c r="I18" i="14"/>
  <c r="I27" i="14" s="1"/>
  <c r="J6" i="14" s="1"/>
  <c r="C46" i="13"/>
  <c r="E45" i="13"/>
  <c r="E46" i="13" s="1"/>
  <c r="J24" i="12"/>
  <c r="F18" i="14" s="1"/>
  <c r="G10" i="12"/>
  <c r="G13" i="12" s="1"/>
  <c r="D13" i="14" s="1"/>
  <c r="F13" i="14" s="1"/>
  <c r="J18" i="14" l="1"/>
  <c r="M18" i="14"/>
  <c r="M13" i="14"/>
  <c r="J13" i="14"/>
  <c r="F27" i="14"/>
  <c r="J13" i="12"/>
  <c r="J27" i="14" l="1"/>
  <c r="C6" i="14"/>
  <c r="C41" i="12"/>
  <c r="C42" i="12" l="1"/>
  <c r="C39" i="12" s="1"/>
  <c r="G33" i="12"/>
  <c r="J33" i="12" s="1"/>
  <c r="J35" i="12" s="1"/>
  <c r="C37" i="12" l="1"/>
  <c r="C40" i="12" s="1"/>
  <c r="E39" i="12" l="1"/>
  <c r="E40" i="12" s="1"/>
</calcChain>
</file>

<file path=xl/sharedStrings.xml><?xml version="1.0" encoding="utf-8"?>
<sst xmlns="http://schemas.openxmlformats.org/spreadsheetml/2006/main" count="258" uniqueCount="72">
  <si>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</si>
  <si>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</si>
  <si>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</si>
  <si>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</si>
  <si>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</si>
  <si>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</si>
  <si>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</si>
  <si>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</si>
  <si>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</si>
  <si>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</si>
  <si>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</si>
  <si>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</si>
  <si>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</si>
  <si>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</si>
  <si>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</si>
  <si>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</si>
  <si>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</si>
  <si>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</si>
  <si>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</si>
  <si>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</si>
  <si>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</si>
  <si>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</si>
  <si>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</si>
  <si>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</si>
  <si>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</si>
  <si>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</si>
  <si>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</si>
  <si>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</si>
  <si>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</si>
  <si>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</si>
  <si>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</si>
  <si>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</si>
  <si>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</si>
  <si>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</si>
  <si>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Date:2082/09/07</t>
  </si>
  <si>
    <t>Location:- Shankharapur Municipality 1</t>
  </si>
  <si>
    <t>-13% VAT for material</t>
  </si>
  <si>
    <t>-for pipe laying</t>
  </si>
  <si>
    <t>-from source1 to tank 3, 32mm dia pipe</t>
  </si>
  <si>
    <t>-from tank 2 to 2 houses, 32mm dia pipe</t>
  </si>
  <si>
    <t>-from tank 3 to daando house, 32mm dia pipe</t>
  </si>
  <si>
    <t>Laying and joining of 32 mmØ HDPE pipe with butt-weld joints</t>
  </si>
  <si>
    <t>rm</t>
  </si>
  <si>
    <t>32mm GI pipe threaded</t>
  </si>
  <si>
    <t>Provisional sum for other unforseen works</t>
  </si>
  <si>
    <t>PS</t>
  </si>
  <si>
    <r>
      <t>Project:-</t>
    </r>
    <r>
      <rPr>
        <sz val="12"/>
        <rFont val="Preeti"/>
      </rPr>
      <t xml:space="preserve"> </t>
    </r>
    <r>
      <rPr>
        <sz val="14"/>
        <rFont val="Preeti"/>
      </rPr>
      <t>dnl;d vfg]kfgL</t>
    </r>
  </si>
  <si>
    <r>
      <t>Earthwork in Excavation in ordinary soil (</t>
    </r>
    <r>
      <rPr>
        <b/>
        <sz val="14"/>
        <rFont val="Preeti"/>
      </rPr>
      <t>vGg] k'g{] sfo{</t>
    </r>
    <r>
      <rPr>
        <sz val="11"/>
        <rFont val="Calibri"/>
        <family val="2"/>
        <scheme val="minor"/>
      </rPr>
      <t>)</t>
    </r>
  </si>
  <si>
    <t>Detail Valuated Sheet</t>
  </si>
  <si>
    <t>-for pipe laying water tank 1 to tank 2</t>
  </si>
  <si>
    <t>-for pipe laying source 1 to tank 2</t>
  </si>
  <si>
    <t>-for pipe laying tank 2 to destination 1</t>
  </si>
  <si>
    <t>-for pipe laying tank 2 to destination 2</t>
  </si>
  <si>
    <t>-for pipe laying tank 2 to destination 3</t>
  </si>
  <si>
    <t>-for pipe laying tank 2 to destination 4</t>
  </si>
  <si>
    <t>Total Valuated</t>
  </si>
  <si>
    <t>Work Completion Report</t>
  </si>
  <si>
    <t>Total Estimated Amount:</t>
  </si>
  <si>
    <t>Total Valuated Amount :</t>
  </si>
  <si>
    <t xml:space="preserve">Work Started : </t>
  </si>
  <si>
    <t xml:space="preserve">Work Finished:           </t>
  </si>
  <si>
    <t xml:space="preserve">F.Y:2082/2083            </t>
  </si>
  <si>
    <t>S.No.</t>
  </si>
  <si>
    <t>Description</t>
  </si>
  <si>
    <t>Estimated</t>
  </si>
  <si>
    <t>Valuated</t>
  </si>
  <si>
    <t>Difference</t>
  </si>
  <si>
    <t>Remarks</t>
  </si>
  <si>
    <t xml:space="preserve">Quantity </t>
  </si>
  <si>
    <t>Detail Quantity Measurement Sheet</t>
  </si>
  <si>
    <t>Date:2082/12/09</t>
  </si>
  <si>
    <t xml:space="preserve">Date:2082/12/09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</si>
</sst>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4"/>
      <name val="Preeti"/>
    </font>
    <font>
      <b/>
      <sz val="11"/>
      <color theme="1"/>
      <name val="Calibri"/>
      <family val="2"/>
      <scheme val="minor"/>
    </font>
    <font>
      <sz val="8"/>
      <name val="Calibri"/>
      <family val="2"/>
      <scheme val="minor"/>
    </font>
    <font>
      <b/>
      <sz val="11"/>
      <color theme="1"/>
      <name val="Times New Roman"/>
      <family val="1"/>
    </font>
    <font>
      <b/>
      <sz val="20"/>
      <color theme="1"/>
      <name val="Times New Roman"/>
      <family val="1"/>
    </font>
    <font>
      <b/>
      <sz val="14"/>
      <color theme="1"/>
      <name val="Calibri"/>
      <family val="2"/>
      <scheme val="minor"/>
    </font>
    <font>
      <sz val="12"/>
      <color theme="1"/>
      <name val="Calibri"/>
      <family val="2"/>
      <scheme val="minor"/>
    </font>
    <font>
      <sz val="14"/>
      <color theme="1"/>
      <name val="Calibri"/>
      <family val="2"/>
      <scheme val="minor"/>
    </font>
    <font>
      <sz val="12"/>
      <color theme="1"/>
      <name val="Times New Roman"/>
      <family val="1"/>
    </font>
    <font>
      <sz val="11"/>
      <color theme="1"/>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90">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0" fillId="0" borderId="0" xfId="0" applyAlignment="1">
      <alignment vertical="center"/>
    </xf>
    <xf numFmtId="1" fontId="2" fillId="0" borderId="2" xfId="0" quotePrefix="1" applyNumberFormat="1" applyFont="1" applyBorder="1" applyAlignment="1">
      <alignment vertical="center" wrapText="1"/>
    </xf>
    <xf numFmtId="0" fontId="4" fillId="0" borderId="2" xfId="0" applyFont="1" applyBorder="1" applyAlignment="1">
      <alignment wrapText="1"/>
    </xf>
    <xf numFmtId="0" fontId="4" fillId="0" borderId="2" xfId="0" quotePrefix="1" applyFont="1" applyBorder="1" applyAlignment="1">
      <alignment horizontal="right" wrapText="1"/>
    </xf>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0" fontId="2" fillId="0" borderId="2" xfId="0" quotePrefix="1" applyFont="1" applyBorder="1" applyAlignment="1">
      <alignment vertical="center" wrapText="1"/>
    </xf>
    <xf numFmtId="0" fontId="8" fillId="0" borderId="1" xfId="0" applyFont="1" applyBorder="1" applyAlignment="1">
      <alignment horizontal="right"/>
    </xf>
    <xf numFmtId="0" fontId="8" fillId="0" borderId="0" xfId="0" applyFont="1" applyAlignment="1">
      <alignment horizontal="right"/>
    </xf>
    <xf numFmtId="0" fontId="20" fillId="0" borderId="0" xfId="0" applyFont="1"/>
    <xf numFmtId="0" fontId="21" fillId="0" borderId="0" xfId="0" applyFont="1" applyAlignment="1">
      <alignment horizontal="center"/>
    </xf>
    <xf numFmtId="0" fontId="0" fillId="0" borderId="0" xfId="0" applyAlignment="1">
      <alignment horizontal="left"/>
    </xf>
    <xf numFmtId="0" fontId="0" fillId="2" borderId="2" xfId="0" applyFill="1" applyBorder="1"/>
    <xf numFmtId="1" fontId="17" fillId="0" borderId="2" xfId="0" applyNumberFormat="1" applyFont="1" applyBorder="1" applyAlignment="1">
      <alignment vertical="center"/>
    </xf>
    <xf numFmtId="2" fontId="0" fillId="0" borderId="2" xfId="0" applyNumberFormat="1" applyBorder="1" applyAlignment="1">
      <alignment vertical="center"/>
    </xf>
    <xf numFmtId="43" fontId="15" fillId="0" borderId="2" xfId="1" applyFont="1" applyBorder="1" applyAlignment="1">
      <alignment vertical="center"/>
    </xf>
    <xf numFmtId="0" fontId="0" fillId="0" borderId="2" xfId="0" applyBorder="1" applyAlignment="1">
      <alignment vertical="center" wrapText="1"/>
    </xf>
    <xf numFmtId="1" fontId="22" fillId="0" borderId="2" xfId="0" applyNumberFormat="1" applyFont="1" applyBorder="1" applyAlignment="1">
      <alignment horizontal="right" vertical="center" wrapText="1"/>
    </xf>
    <xf numFmtId="0" fontId="17" fillId="0" borderId="2" xfId="0" applyFont="1" applyBorder="1" applyAlignment="1">
      <alignment vertical="center"/>
    </xf>
    <xf numFmtId="0" fontId="23" fillId="0" borderId="2" xfId="0" applyFont="1" applyBorder="1" applyAlignment="1">
      <alignment vertical="center"/>
    </xf>
    <xf numFmtId="1" fontId="23" fillId="0" borderId="2" xfId="0" applyNumberFormat="1" applyFont="1" applyBorder="1" applyAlignment="1">
      <alignment vertical="center" wrapText="1"/>
    </xf>
    <xf numFmtId="0" fontId="0" fillId="0" borderId="2" xfId="0" applyBorder="1"/>
    <xf numFmtId="0" fontId="15" fillId="0" borderId="2" xfId="0" applyFont="1" applyBorder="1" applyAlignment="1">
      <alignment horizontal="right"/>
    </xf>
    <xf numFmtId="2" fontId="15" fillId="0" borderId="2" xfId="0" applyNumberFormat="1" applyFont="1" applyBorder="1"/>
    <xf numFmtId="43" fontId="15" fillId="0" borderId="2" xfId="1" applyFont="1" applyBorder="1"/>
    <xf numFmtId="0" fontId="8" fillId="3" borderId="2" xfId="0" applyFont="1" applyFill="1" applyBorder="1" applyAlignment="1">
      <alignment vertical="center" wrapText="1"/>
    </xf>
    <xf numFmtId="0" fontId="8" fillId="0" borderId="1" xfId="0" applyFont="1" applyBorder="1"/>
    <xf numFmtId="0" fontId="8" fillId="0" borderId="0" xfId="0" applyFont="1"/>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1" xfId="0" applyFont="1" applyBorder="1" applyAlignment="1">
      <alignment horizontal="right"/>
    </xf>
    <xf numFmtId="0" fontId="8" fillId="0" borderId="0" xfId="0" applyFont="1" applyAlignment="1">
      <alignment horizontal="right"/>
    </xf>
    <xf numFmtId="43" fontId="20" fillId="0" borderId="0" xfId="0" applyNumberFormat="1" applyFont="1" applyAlignment="1">
      <alignment horizontal="center"/>
    </xf>
    <xf numFmtId="0" fontId="20"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5" fillId="0" borderId="0" xfId="0" applyFont="1" applyAlignment="1">
      <alignment horizontal="center" vertical="center"/>
    </xf>
    <xf numFmtId="0" fontId="19"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0" xfId="0" applyAlignment="1">
      <alignment horizontal="right"/>
    </xf>
    <xf numFmtId="0" fontId="0" fillId="0" borderId="0" xfId="0" applyAlignment="1">
      <alignment horizontal="left"/>
    </xf>
    <xf numFmtId="0" fontId="0" fillId="2" borderId="2" xfId="0" applyFill="1" applyBorder="1" applyAlignment="1">
      <alignment horizontal="center" vertical="center" wrapText="1"/>
    </xf>
    <xf numFmtId="0" fontId="0" fillId="2" borderId="2" xfId="0" applyFill="1" applyBorder="1" applyAlignment="1">
      <alignment horizontal="center" vertical="center"/>
    </xf>
    <xf numFmtId="0" fontId="0" fillId="2" borderId="2" xfId="0" applyFill="1" applyBorder="1" applyAlignment="1">
      <alignment horizont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081_082\ofc\ofc\For-all-Road-rate-analysis-81-82-shankharapur-as-per-dor-norm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81-082\ofc\For-all-Road-rate-analysis-81-82-shankharapur-as-per-dor-norm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081-082\ofc\Rate%20analysis\For-all-Road-rate-analysis-81-82-shankharapur-as-per-dor-norm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082_083\ward1\&#2348;&#2332;&#2375;&#2335;%20&#2350;&#2366;&#2327;%20estimate\&#2344;&#2327;&#2352;%20&#2348;&#2332;&#2375;&#2335;%20estimate\&#2340;&#2367;&#2344;&#2328;&#2352;&#2375;%20&#2348;&#2366;&#2335;&#2379;%20&#2360;&#2381;&#2340;&#2352;&#2379;&#2344;&#2381;&#2344;&#2340;&#2367;\valuation%20&#2340;&#2367;&#2344;&#2328;&#2352;&#2375;%20&#2348;&#2366;&#2335;&#2379;%20&#2360;&#2381;&#2340;&#2352;&#2379;&#2344;&#2381;&#2344;&#2340;&#236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60">
          <cell r="B60" t="str">
            <v>Providing and laying of hand pack Stone soling with 150 to 200 mm thick stones and packing with smaller stone on prepared surface as per Drawing and Technical Specifications.</v>
          </cell>
        </row>
        <row r="172">
          <cell r="B172" t="str">
            <v>Providing and laying of Plain/Reinforced Cement Concrete in Foundation complete as per Drawing and Technical Specifications., RCC Grade M 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61">
          <cell r="B61" t="str">
            <v>Providing and laying  granular sub-base   on prepared surface, mixing  at OMC, and compacting  to achieve the desired density, complete as per Drawing and Technical Specifications., By Mechanical means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ow r="299">
          <cell r="B299" t="str">
            <v>Random Rubble Masonry, Providing and laying of Stone Masonry Work in Cement Mortar 1:4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valuation"/>
      <sheetName val="WCR"/>
      <sheetName val="m"/>
    </sheetNames>
    <sheetDataSet>
      <sheetData sheetId="0">
        <row r="6">
          <cell r="A6" t="str">
            <v>Project:-तिनघरे बाटो स्तरोन्नति</v>
          </cell>
        </row>
        <row r="7">
          <cell r="A7" t="str">
            <v>Location:- Shankharapur Municipality 1</v>
          </cell>
        </row>
      </sheetData>
      <sheetData sheetId="1">
        <row r="12">
          <cell r="G12">
            <v>63.93</v>
          </cell>
        </row>
      </sheetData>
      <sheetData sheetId="2"/>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2"/>
  <sheetViews>
    <sheetView tabSelected="1" view="pageBreakPreview" topLeftCell="A25" zoomScale="95" zoomScaleNormal="100" zoomScaleSheetLayoutView="95" workbookViewId="0">
      <selection activeCell="J35" sqref="J35"/>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customWidth="1"/>
    <col min="10" max="10" width="10.7109375" style="19" bestFit="1" customWidth="1"/>
    <col min="11" max="12" width="9.140625" style="19"/>
    <col min="13" max="16" width="0" style="19" hidden="1" customWidth="1"/>
    <col min="17" max="16384" width="9.140625" style="19"/>
  </cols>
  <sheetData>
    <row r="1" spans="1:19" x14ac:dyDescent="0.25">
      <c r="A1" s="70" t="s">
        <v>0</v>
      </c>
      <c r="B1" s="70"/>
      <c r="C1" s="70"/>
      <c r="D1" s="70"/>
      <c r="E1" s="70"/>
      <c r="F1" s="70"/>
      <c r="G1" s="70"/>
      <c r="H1" s="70"/>
      <c r="I1" s="70"/>
      <c r="J1" s="70"/>
      <c r="K1" s="70"/>
    </row>
    <row r="2" spans="1:19" ht="22.5" x14ac:dyDescent="0.25">
      <c r="A2" s="71" t="s">
        <v>1</v>
      </c>
      <c r="B2" s="71"/>
      <c r="C2" s="71"/>
      <c r="D2" s="71"/>
      <c r="E2" s="71"/>
      <c r="F2" s="71"/>
      <c r="G2" s="71"/>
      <c r="H2" s="71"/>
      <c r="I2" s="71"/>
      <c r="J2" s="71"/>
      <c r="K2" s="71"/>
    </row>
    <row r="3" spans="1:19" x14ac:dyDescent="0.25">
      <c r="A3" s="72" t="s">
        <v>2</v>
      </c>
      <c r="B3" s="72"/>
      <c r="C3" s="72"/>
      <c r="D3" s="72"/>
      <c r="E3" s="72"/>
      <c r="F3" s="72"/>
      <c r="G3" s="72"/>
      <c r="H3" s="72"/>
      <c r="I3" s="72"/>
      <c r="J3" s="72"/>
      <c r="K3" s="72"/>
    </row>
    <row r="4" spans="1:19" x14ac:dyDescent="0.25">
      <c r="A4" s="72" t="s">
        <v>3</v>
      </c>
      <c r="B4" s="72"/>
      <c r="C4" s="72"/>
      <c r="D4" s="72"/>
      <c r="E4" s="72"/>
      <c r="F4" s="72"/>
      <c r="G4" s="72"/>
      <c r="H4" s="72"/>
      <c r="I4" s="72"/>
      <c r="J4" s="72"/>
      <c r="K4" s="72"/>
    </row>
    <row r="5" spans="1:19" ht="18.75" x14ac:dyDescent="0.3">
      <c r="A5" s="73" t="s">
        <v>4</v>
      </c>
      <c r="B5" s="73"/>
      <c r="C5" s="73"/>
      <c r="D5" s="73"/>
      <c r="E5" s="73"/>
      <c r="F5" s="73"/>
      <c r="G5" s="73"/>
      <c r="H5" s="73"/>
      <c r="I5" s="73"/>
      <c r="J5" s="73"/>
      <c r="K5" s="73"/>
    </row>
    <row r="6" spans="1:19" ht="18" x14ac:dyDescent="0.25">
      <c r="A6" s="74" t="s">
        <v>46</v>
      </c>
      <c r="B6" s="74"/>
      <c r="C6" s="74"/>
      <c r="D6" s="74"/>
      <c r="E6" s="74"/>
      <c r="F6" s="74"/>
      <c r="G6" s="10"/>
      <c r="H6" s="76" t="s">
        <v>25</v>
      </c>
      <c r="I6" s="76"/>
      <c r="J6" s="76"/>
      <c r="K6" s="76"/>
    </row>
    <row r="7" spans="1:19" ht="15.75" x14ac:dyDescent="0.25">
      <c r="A7" s="66" t="s">
        <v>35</v>
      </c>
      <c r="B7" s="66"/>
      <c r="C7" s="66"/>
      <c r="D7" s="66"/>
      <c r="E7" s="66"/>
      <c r="F7" s="66"/>
      <c r="G7" s="11"/>
      <c r="H7" s="75" t="s">
        <v>34</v>
      </c>
      <c r="I7" s="75"/>
      <c r="J7" s="75"/>
      <c r="K7" s="75"/>
    </row>
    <row r="8" spans="1:19" ht="15.75" x14ac:dyDescent="0.25">
      <c r="A8" s="12" t="s">
        <v>5</v>
      </c>
      <c r="B8" s="13" t="s">
        <v>6</v>
      </c>
      <c r="C8" s="12" t="s">
        <v>7</v>
      </c>
      <c r="D8" s="14" t="s">
        <v>8</v>
      </c>
      <c r="E8" s="14" t="s">
        <v>9</v>
      </c>
      <c r="F8" s="14" t="s">
        <v>10</v>
      </c>
      <c r="G8" s="14" t="s">
        <v>11</v>
      </c>
      <c r="H8" s="12" t="s">
        <v>12</v>
      </c>
      <c r="I8" s="14" t="s">
        <v>13</v>
      </c>
      <c r="J8" s="14" t="s">
        <v>14</v>
      </c>
      <c r="K8" s="15" t="s">
        <v>15</v>
      </c>
    </row>
    <row r="9" spans="1:19" ht="33" x14ac:dyDescent="0.25">
      <c r="A9" s="16">
        <v>1</v>
      </c>
      <c r="B9" s="39" t="s">
        <v>47</v>
      </c>
      <c r="C9" s="17"/>
      <c r="D9" s="17"/>
      <c r="E9" s="17"/>
      <c r="F9" s="17"/>
      <c r="G9" s="17"/>
      <c r="H9" s="17"/>
      <c r="I9" s="17"/>
      <c r="J9" s="18"/>
      <c r="K9" s="17"/>
    </row>
    <row r="10" spans="1:19" x14ac:dyDescent="0.25">
      <c r="A10" s="16"/>
      <c r="B10" s="32" t="s">
        <v>37</v>
      </c>
      <c r="C10" s="17">
        <v>1</v>
      </c>
      <c r="D10" s="33">
        <v>175</v>
      </c>
      <c r="E10" s="17">
        <v>0.3</v>
      </c>
      <c r="F10" s="17">
        <v>0.45</v>
      </c>
      <c r="G10" s="33">
        <f t="shared" ref="G10:G12" si="0">PRODUCT(C10:F10)</f>
        <v>23.625</v>
      </c>
      <c r="H10" s="17"/>
      <c r="I10" s="17"/>
      <c r="J10" s="18"/>
      <c r="K10" s="17"/>
    </row>
    <row r="11" spans="1:19" x14ac:dyDescent="0.25">
      <c r="A11" s="16"/>
      <c r="B11" s="32"/>
      <c r="C11" s="17">
        <v>1</v>
      </c>
      <c r="D11" s="33">
        <v>150</v>
      </c>
      <c r="E11" s="17">
        <v>0.3</v>
      </c>
      <c r="F11" s="17">
        <v>0.45</v>
      </c>
      <c r="G11" s="33">
        <f t="shared" si="0"/>
        <v>20.25</v>
      </c>
      <c r="H11" s="17"/>
      <c r="I11" s="17"/>
      <c r="J11" s="18"/>
      <c r="K11" s="17"/>
      <c r="R11" s="19">
        <f>480/3.281</f>
        <v>146.29686071319719</v>
      </c>
    </row>
    <row r="12" spans="1:19" x14ac:dyDescent="0.25">
      <c r="A12" s="16"/>
      <c r="B12" s="32"/>
      <c r="C12" s="17">
        <v>1</v>
      </c>
      <c r="D12" s="33">
        <v>415</v>
      </c>
      <c r="E12" s="17">
        <v>0.3</v>
      </c>
      <c r="F12" s="17">
        <v>0.45</v>
      </c>
      <c r="G12" s="33">
        <f t="shared" si="0"/>
        <v>56.024999999999999</v>
      </c>
      <c r="H12" s="17"/>
      <c r="I12" s="17"/>
      <c r="J12" s="18"/>
      <c r="K12" s="17"/>
      <c r="R12" s="19">
        <f>160+135+301</f>
        <v>596</v>
      </c>
      <c r="S12" s="19">
        <f>R12/3.281</f>
        <v>181.65193538555317</v>
      </c>
    </row>
    <row r="13" spans="1:19" s="35" customFormat="1" x14ac:dyDescent="0.25">
      <c r="A13" s="2"/>
      <c r="B13" s="40" t="s">
        <v>28</v>
      </c>
      <c r="C13" s="3"/>
      <c r="D13" s="4"/>
      <c r="E13" s="5"/>
      <c r="F13" s="5"/>
      <c r="G13" s="41">
        <f>SUM(G10:G12)</f>
        <v>99.9</v>
      </c>
      <c r="H13" s="7" t="s">
        <v>29</v>
      </c>
      <c r="I13" s="6">
        <v>963.05</v>
      </c>
      <c r="J13" s="41">
        <f>G13*I13</f>
        <v>96208.695000000007</v>
      </c>
      <c r="K13" s="5"/>
      <c r="R13" s="35">
        <v>1269</v>
      </c>
      <c r="S13" s="35">
        <f>R13/3.281</f>
        <v>386.77232551051509</v>
      </c>
    </row>
    <row r="14" spans="1:19" x14ac:dyDescent="0.25">
      <c r="A14" s="16"/>
      <c r="B14" s="32"/>
      <c r="C14" s="17"/>
      <c r="D14" s="17"/>
      <c r="E14" s="17"/>
      <c r="F14" s="17"/>
      <c r="G14" s="17"/>
      <c r="H14" s="17"/>
      <c r="I14" s="17"/>
      <c r="J14" s="18"/>
      <c r="K14" s="17"/>
    </row>
    <row r="15" spans="1:19" ht="30" x14ac:dyDescent="0.25">
      <c r="A15" s="16">
        <v>2</v>
      </c>
      <c r="B15" s="39" t="s">
        <v>41</v>
      </c>
      <c r="C15" s="17"/>
      <c r="D15" s="17"/>
      <c r="E15" s="17"/>
      <c r="F15" s="17"/>
      <c r="G15" s="17"/>
      <c r="H15" s="17"/>
      <c r="I15" s="17"/>
      <c r="J15" s="17"/>
      <c r="K15" s="17"/>
    </row>
    <row r="16" spans="1:19" x14ac:dyDescent="0.25">
      <c r="A16" s="16"/>
      <c r="B16" s="32" t="s">
        <v>37</v>
      </c>
      <c r="C16" s="17">
        <v>1</v>
      </c>
      <c r="D16" s="33">
        <f>SUM(D20:D22)-100</f>
        <v>1900</v>
      </c>
      <c r="E16" s="17"/>
      <c r="F16" s="17"/>
      <c r="G16" s="33">
        <f t="shared" ref="G16" si="1">PRODUCT(C16:F16)</f>
        <v>1900</v>
      </c>
      <c r="H16" s="17"/>
      <c r="I16" s="17"/>
      <c r="J16" s="18"/>
      <c r="K16" s="17"/>
    </row>
    <row r="17" spans="1:17" s="35" customFormat="1" x14ac:dyDescent="0.25">
      <c r="A17" s="2"/>
      <c r="B17" s="40" t="s">
        <v>28</v>
      </c>
      <c r="C17" s="3"/>
      <c r="D17" s="4"/>
      <c r="E17" s="5"/>
      <c r="F17" s="5"/>
      <c r="G17" s="41">
        <f>SUM(G16:G16)</f>
        <v>1900</v>
      </c>
      <c r="H17" s="7" t="s">
        <v>42</v>
      </c>
      <c r="I17" s="6">
        <f>5319.5/1000</f>
        <v>5.3194999999999997</v>
      </c>
      <c r="J17" s="41">
        <f>G17*I17</f>
        <v>10107.049999999999</v>
      </c>
      <c r="K17" s="5"/>
    </row>
    <row r="18" spans="1:17" x14ac:dyDescent="0.25">
      <c r="A18" s="16"/>
      <c r="B18" s="39"/>
      <c r="C18" s="17"/>
      <c r="D18" s="17"/>
      <c r="E18" s="17"/>
      <c r="F18" s="17"/>
      <c r="G18" s="17"/>
      <c r="H18" s="17"/>
      <c r="I18" s="17"/>
      <c r="J18" s="17"/>
      <c r="K18" s="17"/>
    </row>
    <row r="19" spans="1:17" ht="45" x14ac:dyDescent="0.25">
      <c r="A19" s="16">
        <v>3</v>
      </c>
      <c r="B19" s="36" t="s">
        <v>30</v>
      </c>
      <c r="C19" s="17"/>
      <c r="D19" s="37" t="s">
        <v>27</v>
      </c>
      <c r="E19" s="37" t="s">
        <v>31</v>
      </c>
      <c r="F19" s="37" t="s">
        <v>32</v>
      </c>
      <c r="G19" s="17"/>
      <c r="H19" s="17"/>
      <c r="I19" s="17"/>
      <c r="J19" s="18"/>
      <c r="K19" s="17"/>
    </row>
    <row r="20" spans="1:17" ht="30" x14ac:dyDescent="0.25">
      <c r="A20" s="16"/>
      <c r="B20" s="38" t="s">
        <v>38</v>
      </c>
      <c r="C20" s="17">
        <v>1</v>
      </c>
      <c r="D20" s="17">
        <v>400</v>
      </c>
      <c r="E20" s="17">
        <v>0.33800000000000002</v>
      </c>
      <c r="F20" s="17">
        <f>C20*D20*E20</f>
        <v>135.20000000000002</v>
      </c>
      <c r="G20" s="33">
        <f>F20</f>
        <v>135.20000000000002</v>
      </c>
      <c r="H20" s="17"/>
      <c r="I20" s="17"/>
      <c r="J20" s="18"/>
      <c r="K20" s="17"/>
      <c r="Q20" s="19">
        <f>0.338*287</f>
        <v>97.006</v>
      </c>
    </row>
    <row r="21" spans="1:17" ht="30" x14ac:dyDescent="0.25">
      <c r="A21" s="16"/>
      <c r="B21" s="38" t="s">
        <v>39</v>
      </c>
      <c r="C21" s="17">
        <v>1</v>
      </c>
      <c r="D21" s="17">
        <v>300</v>
      </c>
      <c r="E21" s="17">
        <v>0.33800000000000002</v>
      </c>
      <c r="F21" s="17">
        <f t="shared" ref="F21:F22" si="2">C21*D21*E21</f>
        <v>101.4</v>
      </c>
      <c r="G21" s="33">
        <f t="shared" ref="G21:G22" si="3">F21</f>
        <v>101.4</v>
      </c>
      <c r="H21" s="17"/>
      <c r="I21" s="17"/>
      <c r="J21" s="18"/>
      <c r="K21" s="17"/>
    </row>
    <row r="22" spans="1:17" ht="30" x14ac:dyDescent="0.25">
      <c r="A22" s="16"/>
      <c r="B22" s="38" t="s">
        <v>40</v>
      </c>
      <c r="C22" s="17">
        <v>1</v>
      </c>
      <c r="D22" s="17">
        <v>1300</v>
      </c>
      <c r="E22" s="17">
        <v>0.33800000000000002</v>
      </c>
      <c r="F22" s="17">
        <f t="shared" si="2"/>
        <v>439.40000000000003</v>
      </c>
      <c r="G22" s="33">
        <f t="shared" si="3"/>
        <v>439.40000000000003</v>
      </c>
      <c r="H22" s="17"/>
      <c r="I22" s="17"/>
      <c r="J22" s="18"/>
      <c r="K22" s="17"/>
    </row>
    <row r="23" spans="1:17" ht="15" customHeight="1" x14ac:dyDescent="0.25">
      <c r="A23" s="2"/>
      <c r="B23" s="34" t="s">
        <v>16</v>
      </c>
      <c r="C23" s="3"/>
      <c r="D23" s="4"/>
      <c r="E23" s="5"/>
      <c r="F23" s="5"/>
      <c r="G23" s="6">
        <f>SUM(G20:G22)</f>
        <v>676</v>
      </c>
      <c r="H23" s="7" t="s">
        <v>33</v>
      </c>
      <c r="I23" s="6">
        <v>287</v>
      </c>
      <c r="J23" s="18">
        <f>G23*I23</f>
        <v>194012</v>
      </c>
      <c r="K23" s="5"/>
      <c r="Q23" s="19">
        <f>1.13*287</f>
        <v>324.30999999999995</v>
      </c>
    </row>
    <row r="24" spans="1:17" x14ac:dyDescent="0.25">
      <c r="A24" s="16"/>
      <c r="B24" s="32" t="s">
        <v>36</v>
      </c>
      <c r="C24" s="17"/>
      <c r="D24" s="17"/>
      <c r="E24" s="17"/>
      <c r="F24" s="17"/>
      <c r="G24" s="17"/>
      <c r="H24" s="17"/>
      <c r="I24" s="17"/>
      <c r="J24" s="18">
        <f>0.13*J23</f>
        <v>25221.56</v>
      </c>
      <c r="K24" s="17"/>
    </row>
    <row r="25" spans="1:17" x14ac:dyDescent="0.25">
      <c r="A25" s="16"/>
      <c r="B25" s="17"/>
      <c r="C25" s="17"/>
      <c r="D25" s="17"/>
      <c r="E25" s="17"/>
      <c r="F25" s="17"/>
      <c r="G25" s="17"/>
      <c r="H25" s="17"/>
      <c r="I25" s="17"/>
      <c r="J25" s="17"/>
      <c r="K25" s="17"/>
    </row>
    <row r="26" spans="1:17" x14ac:dyDescent="0.25">
      <c r="A26" s="16">
        <v>4</v>
      </c>
      <c r="B26" s="39" t="s">
        <v>43</v>
      </c>
      <c r="C26" s="17"/>
      <c r="D26" s="17"/>
      <c r="E26" s="17"/>
      <c r="F26" s="17"/>
      <c r="G26" s="17"/>
      <c r="H26" s="17"/>
      <c r="I26" s="17"/>
      <c r="J26" s="17"/>
      <c r="K26" s="17"/>
    </row>
    <row r="27" spans="1:17" x14ac:dyDescent="0.25">
      <c r="A27" s="16"/>
      <c r="B27" s="32" t="s">
        <v>37</v>
      </c>
      <c r="C27" s="17">
        <v>1</v>
      </c>
      <c r="D27" s="33">
        <v>6</v>
      </c>
      <c r="E27" s="17"/>
      <c r="F27" s="17"/>
      <c r="G27" s="33">
        <f t="shared" ref="G27" si="4">PRODUCT(C27:F27)</f>
        <v>6</v>
      </c>
      <c r="H27" s="17"/>
      <c r="I27" s="17"/>
      <c r="J27" s="18"/>
      <c r="K27" s="17"/>
    </row>
    <row r="28" spans="1:17" s="35" customFormat="1" x14ac:dyDescent="0.25">
      <c r="A28" s="2"/>
      <c r="B28" s="40" t="s">
        <v>28</v>
      </c>
      <c r="C28" s="3"/>
      <c r="D28" s="4"/>
      <c r="E28" s="5"/>
      <c r="F28" s="5"/>
      <c r="G28" s="41">
        <f>SUM(G27:G27)</f>
        <v>6</v>
      </c>
      <c r="H28" s="7" t="s">
        <v>42</v>
      </c>
      <c r="I28" s="6">
        <v>452</v>
      </c>
      <c r="J28" s="41">
        <f>G28*I28</f>
        <v>2712</v>
      </c>
      <c r="K28" s="5"/>
    </row>
    <row r="29" spans="1:17" x14ac:dyDescent="0.25">
      <c r="A29" s="16"/>
      <c r="B29" s="32" t="s">
        <v>36</v>
      </c>
      <c r="C29" s="17"/>
      <c r="D29" s="17"/>
      <c r="E29" s="17"/>
      <c r="F29" s="17"/>
      <c r="G29" s="17"/>
      <c r="H29" s="17"/>
      <c r="I29" s="17"/>
      <c r="J29" s="18">
        <f>0.13*J28</f>
        <v>352.56</v>
      </c>
      <c r="K29" s="17"/>
    </row>
    <row r="30" spans="1:17" x14ac:dyDescent="0.25">
      <c r="A30" s="16"/>
      <c r="B30" s="39"/>
      <c r="C30" s="17"/>
      <c r="D30" s="17"/>
      <c r="E30" s="17"/>
      <c r="F30" s="17"/>
      <c r="G30" s="17"/>
      <c r="H30" s="17"/>
      <c r="I30" s="17"/>
      <c r="J30" s="17"/>
      <c r="K30" s="17"/>
    </row>
    <row r="31" spans="1:17" s="35" customFormat="1" ht="30" x14ac:dyDescent="0.25">
      <c r="A31" s="2">
        <v>5</v>
      </c>
      <c r="B31" s="42" t="s">
        <v>44</v>
      </c>
      <c r="C31" s="3">
        <v>1</v>
      </c>
      <c r="D31" s="4"/>
      <c r="E31" s="5"/>
      <c r="F31" s="5"/>
      <c r="G31" s="41">
        <f t="shared" ref="G31" si="5">PRODUCT(C31:F31)</f>
        <v>1</v>
      </c>
      <c r="H31" s="7" t="s">
        <v>45</v>
      </c>
      <c r="I31" s="6">
        <v>7000</v>
      </c>
      <c r="J31" s="41">
        <f>G31*I31</f>
        <v>7000</v>
      </c>
      <c r="K31" s="5"/>
    </row>
    <row r="32" spans="1:17" x14ac:dyDescent="0.25">
      <c r="A32" s="16"/>
      <c r="B32" s="39"/>
      <c r="C32" s="17"/>
      <c r="D32" s="17"/>
      <c r="E32" s="17"/>
      <c r="F32" s="17"/>
      <c r="G32" s="17"/>
      <c r="H32" s="17"/>
      <c r="I32" s="17"/>
      <c r="J32" s="17"/>
      <c r="K32" s="17"/>
    </row>
    <row r="33" spans="1:19" ht="15" customHeight="1" x14ac:dyDescent="0.25">
      <c r="A33" s="2">
        <v>6</v>
      </c>
      <c r="B33" s="1" t="s">
        <v>17</v>
      </c>
      <c r="C33" s="3">
        <v>1</v>
      </c>
      <c r="D33" s="4"/>
      <c r="E33" s="5"/>
      <c r="F33" s="5"/>
      <c r="G33" s="7">
        <f t="shared" ref="G33" si="6">PRODUCT(C33:F33)</f>
        <v>1</v>
      </c>
      <c r="H33" s="7" t="s">
        <v>18</v>
      </c>
      <c r="I33" s="6">
        <v>500</v>
      </c>
      <c r="J33" s="7">
        <f>G33*I33</f>
        <v>500</v>
      </c>
      <c r="K33" s="5"/>
    </row>
    <row r="34" spans="1:19" x14ac:dyDescent="0.25">
      <c r="A34" s="2"/>
      <c r="B34" s="8"/>
      <c r="C34" s="3"/>
      <c r="D34" s="4"/>
      <c r="E34" s="5"/>
      <c r="F34" s="5"/>
      <c r="G34" s="6"/>
      <c r="H34" s="7"/>
      <c r="I34" s="6"/>
      <c r="J34" s="18"/>
      <c r="K34" s="5"/>
    </row>
    <row r="35" spans="1:19" x14ac:dyDescent="0.25">
      <c r="A35" s="21"/>
      <c r="B35" s="22" t="s">
        <v>20</v>
      </c>
      <c r="C35" s="23"/>
      <c r="D35" s="24"/>
      <c r="E35" s="24"/>
      <c r="F35" s="24"/>
      <c r="G35" s="18"/>
      <c r="H35" s="18"/>
      <c r="I35" s="18"/>
      <c r="J35" s="18">
        <f>SUM(J9:J33)</f>
        <v>336113.86499999999</v>
      </c>
      <c r="K35" s="25"/>
    </row>
    <row r="36" spans="1:19" x14ac:dyDescent="0.25">
      <c r="M36" s="20"/>
      <c r="N36" s="20"/>
      <c r="O36" s="20"/>
      <c r="P36" s="20"/>
      <c r="Q36" s="20"/>
      <c r="R36" s="20"/>
      <c r="S36" s="20"/>
    </row>
    <row r="37" spans="1:19" s="20" customFormat="1" x14ac:dyDescent="0.25">
      <c r="A37" s="26"/>
      <c r="B37" s="27" t="s">
        <v>19</v>
      </c>
      <c r="C37" s="64">
        <f>J35</f>
        <v>336113.86499999999</v>
      </c>
      <c r="D37" s="65"/>
      <c r="E37" s="9">
        <v>100</v>
      </c>
      <c r="F37" s="26"/>
      <c r="G37" s="28"/>
      <c r="H37" s="26"/>
      <c r="I37" s="29"/>
      <c r="J37" s="30"/>
      <c r="K37" s="31"/>
      <c r="M37" s="19"/>
      <c r="N37" s="19"/>
      <c r="O37" s="19"/>
      <c r="P37" s="19"/>
      <c r="Q37" s="19"/>
      <c r="R37" s="19"/>
      <c r="S37" s="19"/>
    </row>
    <row r="38" spans="1:19" x14ac:dyDescent="0.25">
      <c r="B38" s="27" t="s">
        <v>21</v>
      </c>
      <c r="C38" s="67">
        <v>300000</v>
      </c>
      <c r="D38" s="68"/>
      <c r="E38" s="9"/>
    </row>
    <row r="39" spans="1:19" x14ac:dyDescent="0.25">
      <c r="B39" s="27" t="s">
        <v>22</v>
      </c>
      <c r="C39" s="67">
        <f>C38-C41-C42</f>
        <v>285000</v>
      </c>
      <c r="D39" s="68"/>
      <c r="E39" s="9">
        <f>C39/C37*100</f>
        <v>84.79269369027665</v>
      </c>
    </row>
    <row r="40" spans="1:19" x14ac:dyDescent="0.25">
      <c r="B40" s="27" t="s">
        <v>26</v>
      </c>
      <c r="C40" s="69">
        <f>C37-C39</f>
        <v>51113.864999999991</v>
      </c>
      <c r="D40" s="69"/>
      <c r="E40" s="9">
        <f>100-E39</f>
        <v>15.20730630972335</v>
      </c>
    </row>
    <row r="41" spans="1:19" x14ac:dyDescent="0.25">
      <c r="B41" s="27" t="s">
        <v>23</v>
      </c>
      <c r="C41" s="64">
        <f>C38*0.03</f>
        <v>9000</v>
      </c>
      <c r="D41" s="65"/>
      <c r="E41" s="9">
        <v>3</v>
      </c>
    </row>
    <row r="42" spans="1:19" x14ac:dyDescent="0.25">
      <c r="B42" s="27" t="s">
        <v>24</v>
      </c>
      <c r="C42" s="64">
        <f>C38*0.02</f>
        <v>6000</v>
      </c>
      <c r="D42" s="65"/>
      <c r="E42" s="9">
        <v>2</v>
      </c>
    </row>
  </sheetData>
  <mergeCells count="15">
    <mergeCell ref="A6:F6"/>
    <mergeCell ref="H6:K6"/>
    <mergeCell ref="A1:K1"/>
    <mergeCell ref="A2:K2"/>
    <mergeCell ref="A3:K3"/>
    <mergeCell ref="A4:K4"/>
    <mergeCell ref="A5:K5"/>
    <mergeCell ref="C41:D41"/>
    <mergeCell ref="C42:D42"/>
    <mergeCell ref="A7:F7"/>
    <mergeCell ref="H7:K7"/>
    <mergeCell ref="C37:D37"/>
    <mergeCell ref="C38:D38"/>
    <mergeCell ref="C39:D39"/>
    <mergeCell ref="C40:D40"/>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70852-FE4C-43CC-827D-ECC3D84F2A83}">
  <dimension ref="A1:M27"/>
  <sheetViews>
    <sheetView view="pageBreakPreview" topLeftCell="A15" zoomScaleNormal="100" zoomScaleSheetLayoutView="100" workbookViewId="0">
      <selection activeCell="K13" sqref="K13"/>
    </sheetView>
  </sheetViews>
  <sheetFormatPr defaultRowHeight="15" x14ac:dyDescent="0.25"/>
  <cols>
    <col min="1" max="1" width="6.28515625" customWidth="1"/>
    <col min="2" max="2" width="39.28515625" customWidth="1"/>
    <col min="3" max="3" width="8.85546875" customWidth="1"/>
    <col min="4" max="4" width="9.28515625" bestFit="1" customWidth="1"/>
    <col min="5" max="5" width="11.5703125" bestFit="1" customWidth="1"/>
    <col min="6" max="6" width="12.28515625" bestFit="1" customWidth="1"/>
    <col min="7" max="7" width="9.5703125" bestFit="1" customWidth="1"/>
    <col min="8" max="8" width="11.140625" bestFit="1" customWidth="1"/>
    <col min="9" max="9" width="11.85546875" bestFit="1" customWidth="1"/>
    <col min="10" max="10" width="12.28515625" bestFit="1" customWidth="1"/>
    <col min="11" max="11" width="11" customWidth="1"/>
    <col min="13" max="13" width="9.5703125" bestFit="1" customWidth="1"/>
  </cols>
  <sheetData>
    <row r="1" spans="1:13" x14ac:dyDescent="0.25">
      <c r="A1" s="79" t="s">
        <v>0</v>
      </c>
      <c r="B1" s="79"/>
      <c r="C1" s="79"/>
      <c r="D1" s="79"/>
      <c r="E1" s="79"/>
      <c r="F1" s="79"/>
      <c r="G1" s="79"/>
      <c r="H1" s="79"/>
      <c r="I1" s="79"/>
      <c r="J1" s="79"/>
      <c r="K1" s="79"/>
    </row>
    <row r="2" spans="1:13" ht="25.5" x14ac:dyDescent="0.35">
      <c r="A2" s="80" t="s">
        <v>1</v>
      </c>
      <c r="B2" s="80"/>
      <c r="C2" s="80"/>
      <c r="D2" s="80"/>
      <c r="E2" s="80"/>
      <c r="F2" s="80"/>
      <c r="G2" s="80"/>
      <c r="H2" s="80"/>
      <c r="I2" s="80"/>
      <c r="J2" s="80"/>
      <c r="K2" s="80"/>
    </row>
    <row r="3" spans="1:13" s="35" customFormat="1" x14ac:dyDescent="0.25">
      <c r="A3" s="81" t="s">
        <v>2</v>
      </c>
      <c r="B3" s="81"/>
      <c r="C3" s="81"/>
      <c r="D3" s="81"/>
      <c r="E3" s="81"/>
      <c r="F3" s="81"/>
      <c r="G3" s="81"/>
      <c r="H3" s="81"/>
      <c r="I3" s="81"/>
      <c r="J3" s="81"/>
      <c r="K3" s="81"/>
    </row>
    <row r="4" spans="1:13" s="35" customFormat="1" x14ac:dyDescent="0.25">
      <c r="A4" s="81" t="s">
        <v>3</v>
      </c>
      <c r="B4" s="81"/>
      <c r="C4" s="81"/>
      <c r="D4" s="81"/>
      <c r="E4" s="81"/>
      <c r="F4" s="81"/>
      <c r="G4" s="81"/>
      <c r="H4" s="81"/>
      <c r="I4" s="81"/>
      <c r="J4" s="81"/>
      <c r="K4" s="81"/>
    </row>
    <row r="5" spans="1:13" ht="18.75" x14ac:dyDescent="0.3">
      <c r="A5" s="82" t="s">
        <v>56</v>
      </c>
      <c r="B5" s="82"/>
      <c r="C5" s="82"/>
      <c r="D5" s="82"/>
      <c r="E5" s="82"/>
      <c r="F5" s="82"/>
      <c r="G5" s="82"/>
      <c r="H5" s="82"/>
      <c r="I5" s="82"/>
      <c r="J5" s="82"/>
      <c r="K5" s="82"/>
    </row>
    <row r="6" spans="1:13" ht="18.75" x14ac:dyDescent="0.3">
      <c r="A6" s="45" t="s">
        <v>57</v>
      </c>
      <c r="B6" s="45"/>
      <c r="C6" s="77">
        <f>F27</f>
        <v>336113.86499999999</v>
      </c>
      <c r="D6" s="78"/>
      <c r="E6" s="46"/>
      <c r="F6" s="45"/>
      <c r="G6" s="45"/>
      <c r="H6" s="45" t="s">
        <v>58</v>
      </c>
      <c r="I6" s="45"/>
      <c r="J6" s="77">
        <f>I27</f>
        <v>208459.4124</v>
      </c>
      <c r="K6" s="78"/>
    </row>
    <row r="7" spans="1:13" x14ac:dyDescent="0.25">
      <c r="A7" s="47" t="s">
        <v>59</v>
      </c>
      <c r="B7" s="47"/>
      <c r="C7" s="47"/>
      <c r="D7" s="47"/>
      <c r="F7" s="83"/>
      <c r="G7" s="83"/>
      <c r="I7" s="84" t="s">
        <v>60</v>
      </c>
      <c r="J7" s="84"/>
      <c r="K7" s="84"/>
    </row>
    <row r="8" spans="1:13" ht="18" x14ac:dyDescent="0.25">
      <c r="A8" s="74" t="s">
        <v>46</v>
      </c>
      <c r="B8" s="74"/>
      <c r="C8" s="74"/>
      <c r="D8" s="74"/>
      <c r="E8" s="74"/>
      <c r="F8" s="74"/>
      <c r="I8" s="85" t="s">
        <v>61</v>
      </c>
      <c r="J8" s="85"/>
      <c r="K8" s="85"/>
    </row>
    <row r="9" spans="1:13" x14ac:dyDescent="0.25">
      <c r="A9" s="86" t="str">
        <f>[7]estimate!A7</f>
        <v>Location:- Shankharapur Municipality 1</v>
      </c>
      <c r="B9" s="86"/>
      <c r="C9" s="86"/>
      <c r="D9" s="86"/>
      <c r="E9" s="86"/>
      <c r="F9" s="86"/>
      <c r="I9" s="85" t="s">
        <v>71</v>
      </c>
      <c r="J9" s="85"/>
      <c r="K9" s="85"/>
    </row>
    <row r="11" spans="1:13" x14ac:dyDescent="0.25">
      <c r="A11" s="88" t="s">
        <v>62</v>
      </c>
      <c r="B11" s="88" t="s">
        <v>63</v>
      </c>
      <c r="C11" s="88" t="s">
        <v>12</v>
      </c>
      <c r="D11" s="89" t="s">
        <v>64</v>
      </c>
      <c r="E11" s="89"/>
      <c r="F11" s="89"/>
      <c r="G11" s="89" t="s">
        <v>65</v>
      </c>
      <c r="H11" s="89"/>
      <c r="I11" s="89"/>
      <c r="J11" s="88" t="s">
        <v>66</v>
      </c>
      <c r="K11" s="87" t="s">
        <v>67</v>
      </c>
    </row>
    <row r="12" spans="1:13" x14ac:dyDescent="0.25">
      <c r="A12" s="88"/>
      <c r="B12" s="88"/>
      <c r="C12" s="88"/>
      <c r="D12" s="48" t="s">
        <v>68</v>
      </c>
      <c r="E12" s="48" t="s">
        <v>13</v>
      </c>
      <c r="F12" s="48" t="s">
        <v>14</v>
      </c>
      <c r="G12" s="48" t="s">
        <v>68</v>
      </c>
      <c r="H12" s="48" t="s">
        <v>13</v>
      </c>
      <c r="I12" s="48" t="s">
        <v>14</v>
      </c>
      <c r="J12" s="88"/>
      <c r="K12" s="87"/>
    </row>
    <row r="13" spans="1:13" s="35" customFormat="1" ht="33" x14ac:dyDescent="0.25">
      <c r="A13" s="49">
        <f>estimate!A9</f>
        <v>1</v>
      </c>
      <c r="B13" s="39" t="s">
        <v>47</v>
      </c>
      <c r="C13" s="50" t="str">
        <f>estimate!H13</f>
        <v>cum</v>
      </c>
      <c r="D13" s="50">
        <f>estimate!G13</f>
        <v>99.9</v>
      </c>
      <c r="E13" s="50">
        <f>estimate!I13</f>
        <v>963.05</v>
      </c>
      <c r="F13" s="50">
        <f>D13*E13</f>
        <v>96208.695000000007</v>
      </c>
      <c r="G13" s="50">
        <f>V!G16</f>
        <v>88.199999999999989</v>
      </c>
      <c r="H13" s="50">
        <f>V!I16</f>
        <v>963.05</v>
      </c>
      <c r="I13" s="50">
        <f>G13*H13</f>
        <v>84941.00999999998</v>
      </c>
      <c r="J13" s="51">
        <f>I13-F13</f>
        <v>-11267.685000000027</v>
      </c>
      <c r="K13" s="52"/>
      <c r="M13" s="35">
        <f>1.25*F13</f>
        <v>120260.86875000001</v>
      </c>
    </row>
    <row r="14" spans="1:13" s="35" customFormat="1" x14ac:dyDescent="0.25">
      <c r="A14" s="54"/>
      <c r="B14" s="55"/>
      <c r="C14" s="50"/>
      <c r="D14" s="50"/>
      <c r="E14" s="50"/>
      <c r="F14" s="50"/>
      <c r="G14" s="50"/>
      <c r="H14" s="50"/>
      <c r="I14" s="50"/>
      <c r="J14" s="51"/>
      <c r="K14" s="52"/>
    </row>
    <row r="15" spans="1:13" s="35" customFormat="1" ht="31.5" x14ac:dyDescent="0.25">
      <c r="A15" s="49">
        <f>estimate!A15</f>
        <v>2</v>
      </c>
      <c r="B15" s="61" t="str">
        <f>estimate!B15</f>
        <v>Laying and joining of 32 mmØ HDPE pipe with butt-weld joints</v>
      </c>
      <c r="C15" s="50" t="str">
        <f>estimate!H17</f>
        <v>rm</v>
      </c>
      <c r="D15" s="50">
        <f>estimate!G17</f>
        <v>1900</v>
      </c>
      <c r="E15" s="50">
        <f>estimate!I17</f>
        <v>5.3194999999999997</v>
      </c>
      <c r="F15" s="50">
        <f>D15*E15</f>
        <v>10107.049999999999</v>
      </c>
      <c r="G15" s="50">
        <f>V!G20</f>
        <v>0</v>
      </c>
      <c r="H15" s="50">
        <f>V!I20</f>
        <v>5.3194999999999997</v>
      </c>
      <c r="I15" s="50">
        <f>G15*H15</f>
        <v>0</v>
      </c>
      <c r="J15" s="51">
        <f>I15-F15</f>
        <v>-10107.049999999999</v>
      </c>
      <c r="K15" s="52"/>
      <c r="M15" s="35">
        <f t="shared" ref="M15:M23" si="0">1.25*F15</f>
        <v>12633.8125</v>
      </c>
    </row>
    <row r="16" spans="1:13" s="35" customFormat="1" ht="15.75" x14ac:dyDescent="0.25">
      <c r="A16" s="49"/>
      <c r="B16" s="61"/>
      <c r="C16" s="50"/>
      <c r="D16" s="50"/>
      <c r="E16" s="50"/>
      <c r="F16" s="50"/>
      <c r="G16" s="50"/>
      <c r="H16" s="50"/>
      <c r="I16" s="50"/>
      <c r="J16" s="51"/>
      <c r="K16" s="52"/>
    </row>
    <row r="17" spans="1:13" s="35" customFormat="1" ht="31.5" x14ac:dyDescent="0.25">
      <c r="A17" s="49">
        <f>estimate!A19</f>
        <v>3</v>
      </c>
      <c r="B17" s="61" t="str">
        <f>estimate!B19</f>
        <v>-High Density Polythene Pipe NS 40 pipe material PE 100, PN 16</v>
      </c>
      <c r="C17" s="50" t="str">
        <f>estimate!H23</f>
        <v>kg</v>
      </c>
      <c r="D17" s="50">
        <f>estimate!G23</f>
        <v>676</v>
      </c>
      <c r="E17" s="50">
        <f>estimate!I23</f>
        <v>287</v>
      </c>
      <c r="F17" s="50">
        <f>D17*E17</f>
        <v>194012</v>
      </c>
      <c r="G17" s="50">
        <f>V!G29</f>
        <v>365.03999999999996</v>
      </c>
      <c r="H17" s="50">
        <f>V!I29</f>
        <v>287</v>
      </c>
      <c r="I17" s="50">
        <f>G17*H17</f>
        <v>104766.48</v>
      </c>
      <c r="J17" s="51">
        <f>I17-F17</f>
        <v>-89245.52</v>
      </c>
      <c r="K17" s="52"/>
      <c r="M17" s="35">
        <f t="shared" si="0"/>
        <v>242515</v>
      </c>
    </row>
    <row r="18" spans="1:13" s="35" customFormat="1" ht="15.75" x14ac:dyDescent="0.25">
      <c r="A18" s="49"/>
      <c r="B18" s="53" t="str">
        <f>estimate!B24</f>
        <v>-13% VAT for material</v>
      </c>
      <c r="C18" s="50"/>
      <c r="D18" s="50"/>
      <c r="E18" s="50"/>
      <c r="F18" s="50">
        <f>estimate!J24</f>
        <v>25221.56</v>
      </c>
      <c r="G18" s="50"/>
      <c r="H18" s="50"/>
      <c r="I18" s="50">
        <f>V!J30</f>
        <v>13619.642400000001</v>
      </c>
      <c r="J18" s="51">
        <f>I18-F18</f>
        <v>-11601.917600000001</v>
      </c>
      <c r="K18" s="52"/>
      <c r="M18" s="35">
        <f t="shared" ref="M18" si="1">1.25*F18</f>
        <v>31526.95</v>
      </c>
    </row>
    <row r="19" spans="1:13" s="35" customFormat="1" x14ac:dyDescent="0.25">
      <c r="A19" s="54"/>
      <c r="B19" s="55"/>
      <c r="C19" s="50"/>
      <c r="D19" s="50"/>
      <c r="E19" s="50"/>
      <c r="F19" s="50"/>
      <c r="G19" s="50"/>
      <c r="H19" s="50"/>
      <c r="I19" s="50"/>
      <c r="J19" s="51"/>
      <c r="K19" s="52"/>
    </row>
    <row r="20" spans="1:13" s="35" customFormat="1" ht="15.75" x14ac:dyDescent="0.25">
      <c r="A20" s="49">
        <f>estimate!A26</f>
        <v>4</v>
      </c>
      <c r="B20" s="61" t="str">
        <f>estimate!B26</f>
        <v>32mm GI pipe threaded</v>
      </c>
      <c r="C20" s="50" t="str">
        <f>estimate!H28</f>
        <v>rm</v>
      </c>
      <c r="D20" s="50">
        <f>estimate!G28</f>
        <v>6</v>
      </c>
      <c r="E20" s="50">
        <f>estimate!I28</f>
        <v>452</v>
      </c>
      <c r="F20" s="50">
        <f>D20*E20</f>
        <v>2712</v>
      </c>
      <c r="G20" s="50">
        <f>V!G34</f>
        <v>3</v>
      </c>
      <c r="H20" s="50">
        <f>V!I34</f>
        <v>452</v>
      </c>
      <c r="I20" s="50">
        <f>G20*H20</f>
        <v>1356</v>
      </c>
      <c r="J20" s="51">
        <f>I20-F20</f>
        <v>-1356</v>
      </c>
      <c r="K20" s="52"/>
      <c r="M20" s="35">
        <f t="shared" si="0"/>
        <v>3390</v>
      </c>
    </row>
    <row r="21" spans="1:13" s="35" customFormat="1" ht="15.75" x14ac:dyDescent="0.25">
      <c r="A21" s="49"/>
      <c r="B21" s="53" t="str">
        <f>estimate!B29</f>
        <v>-13% VAT for material</v>
      </c>
      <c r="C21" s="50"/>
      <c r="D21" s="50"/>
      <c r="E21" s="50"/>
      <c r="F21" s="50">
        <f>estimate!J29</f>
        <v>352.56</v>
      </c>
      <c r="G21" s="50"/>
      <c r="H21" s="50"/>
      <c r="I21" s="50">
        <f>V!J35</f>
        <v>176.28</v>
      </c>
      <c r="J21" s="51">
        <f>I21-F21</f>
        <v>-176.28</v>
      </c>
      <c r="K21" s="52"/>
      <c r="M21" s="35">
        <f t="shared" si="0"/>
        <v>440.7</v>
      </c>
    </row>
    <row r="22" spans="1:13" s="35" customFormat="1" x14ac:dyDescent="0.25">
      <c r="A22" s="54"/>
      <c r="B22" s="55"/>
      <c r="C22" s="50"/>
      <c r="D22" s="50"/>
      <c r="E22" s="50"/>
      <c r="F22" s="50"/>
      <c r="G22" s="50"/>
      <c r="H22" s="50"/>
      <c r="I22" s="50"/>
      <c r="J22" s="51"/>
      <c r="K22" s="52"/>
    </row>
    <row r="23" spans="1:13" s="35" customFormat="1" ht="15.75" x14ac:dyDescent="0.25">
      <c r="A23" s="49">
        <f>estimate!A31</f>
        <v>5</v>
      </c>
      <c r="B23" s="61" t="str">
        <f>estimate!B31</f>
        <v>Provisional sum for other unforseen works</v>
      </c>
      <c r="C23" s="50" t="str">
        <f>estimate!H31</f>
        <v>PS</v>
      </c>
      <c r="D23" s="50">
        <f>estimate!G31</f>
        <v>1</v>
      </c>
      <c r="E23" s="50">
        <f>estimate!I31</f>
        <v>7000</v>
      </c>
      <c r="F23" s="50">
        <f>D23*E23</f>
        <v>7000</v>
      </c>
      <c r="G23" s="50">
        <f>V!G37</f>
        <v>1</v>
      </c>
      <c r="H23" s="50">
        <f>V!I37</f>
        <v>3100</v>
      </c>
      <c r="I23" s="50">
        <f>G23*H23</f>
        <v>3100</v>
      </c>
      <c r="J23" s="51">
        <f>I23-F23</f>
        <v>-3900</v>
      </c>
      <c r="K23" s="52"/>
      <c r="M23" s="35">
        <f t="shared" si="0"/>
        <v>8750</v>
      </c>
    </row>
    <row r="24" spans="1:13" s="35" customFormat="1" x14ac:dyDescent="0.25">
      <c r="A24" s="54"/>
      <c r="B24" s="55"/>
      <c r="C24" s="50"/>
      <c r="D24" s="50"/>
      <c r="E24" s="50"/>
      <c r="F24" s="50"/>
      <c r="G24" s="50"/>
      <c r="H24" s="50"/>
      <c r="I24" s="50"/>
      <c r="J24" s="51"/>
      <c r="K24" s="52"/>
    </row>
    <row r="25" spans="1:13" s="35" customFormat="1" x14ac:dyDescent="0.25">
      <c r="A25" s="49">
        <f>estimate!A33</f>
        <v>6</v>
      </c>
      <c r="B25" s="56" t="str">
        <f>estimate!B33</f>
        <v>Information board (सुचना पाटि)</v>
      </c>
      <c r="C25" s="50" t="str">
        <f>estimate!H33</f>
        <v>no.</v>
      </c>
      <c r="D25" s="50">
        <f>estimate!G33</f>
        <v>1</v>
      </c>
      <c r="E25" s="50">
        <f>estimate!I33</f>
        <v>500</v>
      </c>
      <c r="F25" s="50">
        <f>D25*E25</f>
        <v>500</v>
      </c>
      <c r="G25" s="50">
        <f>V!C39</f>
        <v>1</v>
      </c>
      <c r="H25" s="50">
        <f>V!I39</f>
        <v>500</v>
      </c>
      <c r="I25" s="50">
        <f>G25*H25</f>
        <v>500</v>
      </c>
      <c r="J25" s="51">
        <f>I25-F25</f>
        <v>0</v>
      </c>
      <c r="K25" s="52"/>
    </row>
    <row r="26" spans="1:13" s="35" customFormat="1" x14ac:dyDescent="0.25">
      <c r="A26" s="55"/>
      <c r="B26" s="55"/>
      <c r="C26" s="50"/>
      <c r="D26" s="50"/>
      <c r="E26" s="50"/>
      <c r="F26" s="50"/>
      <c r="G26" s="50"/>
      <c r="H26" s="50"/>
      <c r="I26" s="50"/>
      <c r="J26" s="51"/>
      <c r="K26" s="52"/>
    </row>
    <row r="27" spans="1:13" x14ac:dyDescent="0.25">
      <c r="A27" s="57"/>
      <c r="B27" s="58" t="s">
        <v>20</v>
      </c>
      <c r="C27" s="58"/>
      <c r="D27" s="59"/>
      <c r="E27" s="59"/>
      <c r="F27" s="59">
        <f>SUM(F13:F25)</f>
        <v>336113.86499999999</v>
      </c>
      <c r="G27" s="59"/>
      <c r="H27" s="59"/>
      <c r="I27" s="59">
        <f>SUM(I13:I25)</f>
        <v>208459.4124</v>
      </c>
      <c r="J27" s="60">
        <f>I27-F27</f>
        <v>-127654.45259999999</v>
      </c>
      <c r="K27" s="57"/>
    </row>
  </sheetData>
  <mergeCells count="20">
    <mergeCell ref="K11:K12"/>
    <mergeCell ref="A11:A12"/>
    <mergeCell ref="B11:B12"/>
    <mergeCell ref="C11:C12"/>
    <mergeCell ref="D11:F11"/>
    <mergeCell ref="G11:I11"/>
    <mergeCell ref="J11:J12"/>
    <mergeCell ref="F7:G7"/>
    <mergeCell ref="I7:K7"/>
    <mergeCell ref="A8:F8"/>
    <mergeCell ref="I8:K8"/>
    <mergeCell ref="A9:F9"/>
    <mergeCell ref="I9:K9"/>
    <mergeCell ref="C6:D6"/>
    <mergeCell ref="J6:K6"/>
    <mergeCell ref="A1:K1"/>
    <mergeCell ref="A2:K2"/>
    <mergeCell ref="A3:K3"/>
    <mergeCell ref="A4:K4"/>
    <mergeCell ref="A5:K5"/>
  </mergeCells>
  <printOptions horizontalCentered="1"/>
  <pageMargins left="0.7" right="0.7" top="0.75" bottom="0.75" header="0.3" footer="0.3"/>
  <pageSetup scale="85" orientation="landscape" horizontalDpi="300" verticalDpi="300" r:id="rId1"/>
  <headerFooter>
    <oddFooter xml:space="preserve">&amp;LPrepared By:
&amp;CChecked By:
&amp;RApproved By: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72EE9-C995-45D0-9088-869C13D9042F}">
  <dimension ref="A1:K48"/>
  <sheetViews>
    <sheetView view="pageBreakPreview" topLeftCell="A8" zoomScale="95" zoomScaleNormal="100" zoomScaleSheetLayoutView="95" workbookViewId="0">
      <selection activeCell="J41" sqref="J41"/>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customWidth="1"/>
    <col min="10" max="10" width="10.7109375" style="19" bestFit="1" customWidth="1"/>
    <col min="11" max="16384" width="9.140625" style="19"/>
  </cols>
  <sheetData>
    <row r="1" spans="1:11" x14ac:dyDescent="0.25">
      <c r="A1" s="70" t="s">
        <v>0</v>
      </c>
      <c r="B1" s="70"/>
      <c r="C1" s="70"/>
      <c r="D1" s="70"/>
      <c r="E1" s="70"/>
      <c r="F1" s="70"/>
      <c r="G1" s="70"/>
      <c r="H1" s="70"/>
      <c r="I1" s="70"/>
      <c r="J1" s="70"/>
      <c r="K1" s="70"/>
    </row>
    <row r="2" spans="1:11" ht="22.5" x14ac:dyDescent="0.25">
      <c r="A2" s="71" t="s">
        <v>1</v>
      </c>
      <c r="B2" s="71"/>
      <c r="C2" s="71"/>
      <c r="D2" s="71"/>
      <c r="E2" s="71"/>
      <c r="F2" s="71"/>
      <c r="G2" s="71"/>
      <c r="H2" s="71"/>
      <c r="I2" s="71"/>
      <c r="J2" s="71"/>
      <c r="K2" s="71"/>
    </row>
    <row r="3" spans="1:11" x14ac:dyDescent="0.25">
      <c r="A3" s="72" t="s">
        <v>2</v>
      </c>
      <c r="B3" s="72"/>
      <c r="C3" s="72"/>
      <c r="D3" s="72"/>
      <c r="E3" s="72"/>
      <c r="F3" s="72"/>
      <c r="G3" s="72"/>
      <c r="H3" s="72"/>
      <c r="I3" s="72"/>
      <c r="J3" s="72"/>
      <c r="K3" s="72"/>
    </row>
    <row r="4" spans="1:11" x14ac:dyDescent="0.25">
      <c r="A4" s="72" t="s">
        <v>3</v>
      </c>
      <c r="B4" s="72"/>
      <c r="C4" s="72"/>
      <c r="D4" s="72"/>
      <c r="E4" s="72"/>
      <c r="F4" s="72"/>
      <c r="G4" s="72"/>
      <c r="H4" s="72"/>
      <c r="I4" s="72"/>
      <c r="J4" s="72"/>
      <c r="K4" s="72"/>
    </row>
    <row r="5" spans="1:11" ht="18.75" x14ac:dyDescent="0.3">
      <c r="A5" s="73" t="s">
        <v>48</v>
      </c>
      <c r="B5" s="73"/>
      <c r="C5" s="73"/>
      <c r="D5" s="73"/>
      <c r="E5" s="73"/>
      <c r="F5" s="73"/>
      <c r="G5" s="73"/>
      <c r="H5" s="73"/>
      <c r="I5" s="73"/>
      <c r="J5" s="73"/>
      <c r="K5" s="73"/>
    </row>
    <row r="6" spans="1:11" ht="18" x14ac:dyDescent="0.25">
      <c r="A6" s="74" t="s">
        <v>46</v>
      </c>
      <c r="B6" s="74"/>
      <c r="C6" s="74"/>
      <c r="D6" s="74"/>
      <c r="E6" s="74"/>
      <c r="F6" s="74"/>
      <c r="G6" s="10"/>
      <c r="H6" s="76" t="s">
        <v>25</v>
      </c>
      <c r="I6" s="76"/>
      <c r="J6" s="76"/>
      <c r="K6" s="76"/>
    </row>
    <row r="7" spans="1:11" ht="15.75" x14ac:dyDescent="0.25">
      <c r="A7" s="66" t="s">
        <v>35</v>
      </c>
      <c r="B7" s="66"/>
      <c r="C7" s="66"/>
      <c r="D7" s="66"/>
      <c r="E7" s="66"/>
      <c r="F7" s="66"/>
      <c r="G7" s="11"/>
      <c r="H7" s="75" t="s">
        <v>70</v>
      </c>
      <c r="I7" s="75"/>
      <c r="J7" s="75"/>
      <c r="K7" s="75"/>
    </row>
    <row r="8" spans="1:11" ht="15.75" x14ac:dyDescent="0.25">
      <c r="A8" s="12" t="s">
        <v>5</v>
      </c>
      <c r="B8" s="13" t="s">
        <v>6</v>
      </c>
      <c r="C8" s="12" t="s">
        <v>7</v>
      </c>
      <c r="D8" s="14" t="s">
        <v>8</v>
      </c>
      <c r="E8" s="14" t="s">
        <v>9</v>
      </c>
      <c r="F8" s="14" t="s">
        <v>10</v>
      </c>
      <c r="G8" s="14" t="s">
        <v>11</v>
      </c>
      <c r="H8" s="12" t="s">
        <v>12</v>
      </c>
      <c r="I8" s="14" t="s">
        <v>13</v>
      </c>
      <c r="J8" s="14" t="s">
        <v>14</v>
      </c>
      <c r="K8" s="15" t="s">
        <v>15</v>
      </c>
    </row>
    <row r="9" spans="1:11" ht="33" x14ac:dyDescent="0.25">
      <c r="A9" s="16">
        <v>1</v>
      </c>
      <c r="B9" s="39" t="s">
        <v>47</v>
      </c>
      <c r="C9" s="17"/>
      <c r="D9" s="17"/>
      <c r="E9" s="17"/>
      <c r="F9" s="17"/>
      <c r="G9" s="17"/>
      <c r="H9" s="17"/>
      <c r="I9" s="17"/>
      <c r="J9" s="18"/>
      <c r="K9" s="17"/>
    </row>
    <row r="10" spans="1:11" x14ac:dyDescent="0.25">
      <c r="A10" s="16"/>
      <c r="B10" s="32" t="s">
        <v>50</v>
      </c>
      <c r="C10" s="17">
        <v>1</v>
      </c>
      <c r="D10" s="33">
        <f>90+38+40-1</f>
        <v>167</v>
      </c>
      <c r="E10" s="17">
        <v>0.3</v>
      </c>
      <c r="F10" s="17">
        <v>0.3</v>
      </c>
      <c r="G10" s="33">
        <f t="shared" ref="G10:G12" si="0">PRODUCT(C10:F10)</f>
        <v>15.03</v>
      </c>
      <c r="H10" s="17"/>
      <c r="I10" s="17"/>
      <c r="J10" s="18"/>
      <c r="K10" s="17"/>
    </row>
    <row r="11" spans="1:11" x14ac:dyDescent="0.25">
      <c r="A11" s="16"/>
      <c r="B11" s="32" t="s">
        <v>49</v>
      </c>
      <c r="C11" s="17">
        <v>1</v>
      </c>
      <c r="D11" s="33">
        <f>40+43-2</f>
        <v>81</v>
      </c>
      <c r="E11" s="17">
        <v>0.3</v>
      </c>
      <c r="F11" s="17">
        <v>0.3</v>
      </c>
      <c r="G11" s="33">
        <f t="shared" si="0"/>
        <v>7.29</v>
      </c>
      <c r="H11" s="17"/>
      <c r="I11" s="17"/>
      <c r="J11" s="18"/>
      <c r="K11" s="17"/>
    </row>
    <row r="12" spans="1:11" x14ac:dyDescent="0.25">
      <c r="A12" s="16"/>
      <c r="B12" s="32" t="s">
        <v>51</v>
      </c>
      <c r="C12" s="17">
        <v>1</v>
      </c>
      <c r="D12" s="33">
        <f>50+30+2+50+38-20</f>
        <v>150</v>
      </c>
      <c r="E12" s="17">
        <v>0.3</v>
      </c>
      <c r="F12" s="17">
        <v>0.3</v>
      </c>
      <c r="G12" s="33">
        <f t="shared" si="0"/>
        <v>13.5</v>
      </c>
      <c r="H12" s="17"/>
      <c r="I12" s="17"/>
      <c r="J12" s="18"/>
      <c r="K12" s="17"/>
    </row>
    <row r="13" spans="1:11" x14ac:dyDescent="0.25">
      <c r="A13" s="16"/>
      <c r="B13" s="32" t="s">
        <v>52</v>
      </c>
      <c r="C13" s="17">
        <v>1</v>
      </c>
      <c r="D13" s="33">
        <f>36+35-15</f>
        <v>56</v>
      </c>
      <c r="E13" s="17">
        <v>0.3</v>
      </c>
      <c r="F13" s="17">
        <v>0.3</v>
      </c>
      <c r="G13" s="33">
        <f t="shared" ref="G13" si="1">PRODUCT(C13:F13)</f>
        <v>5.04</v>
      </c>
      <c r="H13" s="17"/>
      <c r="I13" s="17"/>
      <c r="J13" s="18"/>
      <c r="K13" s="17"/>
    </row>
    <row r="14" spans="1:11" x14ac:dyDescent="0.25">
      <c r="A14" s="16"/>
      <c r="B14" s="32" t="s">
        <v>53</v>
      </c>
      <c r="C14" s="17">
        <v>1</v>
      </c>
      <c r="D14" s="33">
        <f>23-15</f>
        <v>8</v>
      </c>
      <c r="E14" s="17">
        <v>0.3</v>
      </c>
      <c r="F14" s="17">
        <v>0.3</v>
      </c>
      <c r="G14" s="33">
        <f t="shared" ref="G14" si="2">PRODUCT(C14:F14)</f>
        <v>0.72</v>
      </c>
      <c r="H14" s="17"/>
      <c r="I14" s="17"/>
      <c r="J14" s="18"/>
      <c r="K14" s="17"/>
    </row>
    <row r="15" spans="1:11" x14ac:dyDescent="0.25">
      <c r="A15" s="16"/>
      <c r="B15" s="32" t="s">
        <v>54</v>
      </c>
      <c r="C15" s="17">
        <v>1</v>
      </c>
      <c r="D15" s="33">
        <f>36+11+23+30-0.7+50+25+30.7-8+8+50+9+50+50+40+20+50+50+42-3-40-5</f>
        <v>518</v>
      </c>
      <c r="E15" s="17">
        <v>0.3</v>
      </c>
      <c r="F15" s="17">
        <v>0.3</v>
      </c>
      <c r="G15" s="33">
        <f t="shared" ref="G15" si="3">PRODUCT(C15:F15)</f>
        <v>46.62</v>
      </c>
      <c r="H15" s="17"/>
      <c r="I15" s="17"/>
      <c r="J15" s="18"/>
      <c r="K15" s="17"/>
    </row>
    <row r="16" spans="1:11" s="35" customFormat="1" x14ac:dyDescent="0.25">
      <c r="A16" s="2"/>
      <c r="B16" s="40" t="s">
        <v>28</v>
      </c>
      <c r="C16" s="3"/>
      <c r="D16" s="4"/>
      <c r="E16" s="5"/>
      <c r="F16" s="5"/>
      <c r="G16" s="41">
        <f>SUM(G10:G15)</f>
        <v>88.199999999999989</v>
      </c>
      <c r="H16" s="7" t="s">
        <v>29</v>
      </c>
      <c r="I16" s="6">
        <v>963.05</v>
      </c>
      <c r="J16" s="41">
        <f>G16*I16</f>
        <v>84941.00999999998</v>
      </c>
      <c r="K16" s="5"/>
    </row>
    <row r="17" spans="1:11" x14ac:dyDescent="0.25">
      <c r="A17" s="16"/>
      <c r="B17" s="32"/>
      <c r="C17" s="17"/>
      <c r="D17" s="17"/>
      <c r="E17" s="17"/>
      <c r="F17" s="17"/>
      <c r="G17" s="17"/>
      <c r="H17" s="17"/>
      <c r="I17" s="17"/>
      <c r="J17" s="18"/>
      <c r="K17" s="17"/>
    </row>
    <row r="18" spans="1:11" ht="30" x14ac:dyDescent="0.25">
      <c r="A18" s="16">
        <v>2</v>
      </c>
      <c r="B18" s="39" t="s">
        <v>41</v>
      </c>
      <c r="C18" s="17"/>
      <c r="D18" s="17"/>
      <c r="E18" s="17"/>
      <c r="F18" s="17"/>
      <c r="G18" s="17"/>
      <c r="H18" s="17"/>
      <c r="I18" s="17"/>
      <c r="J18" s="17"/>
      <c r="K18" s="17"/>
    </row>
    <row r="19" spans="1:11" x14ac:dyDescent="0.25">
      <c r="A19" s="16"/>
      <c r="B19" s="32" t="s">
        <v>37</v>
      </c>
      <c r="C19" s="17">
        <v>0</v>
      </c>
      <c r="D19" s="33">
        <f>(SUM(D10:D15))-1*3</f>
        <v>977</v>
      </c>
      <c r="E19" s="17"/>
      <c r="F19" s="17"/>
      <c r="G19" s="33">
        <f t="shared" ref="G19" si="4">PRODUCT(C19:F19)</f>
        <v>0</v>
      </c>
      <c r="H19" s="17"/>
      <c r="I19" s="17"/>
      <c r="J19" s="18"/>
      <c r="K19" s="17"/>
    </row>
    <row r="20" spans="1:11" s="35" customFormat="1" x14ac:dyDescent="0.25">
      <c r="A20" s="2"/>
      <c r="B20" s="40" t="s">
        <v>28</v>
      </c>
      <c r="C20" s="3"/>
      <c r="D20" s="4"/>
      <c r="E20" s="5"/>
      <c r="F20" s="5"/>
      <c r="G20" s="41">
        <f>SUM(G19:G19)</f>
        <v>0</v>
      </c>
      <c r="H20" s="7" t="s">
        <v>42</v>
      </c>
      <c r="I20" s="6">
        <f>5319.5/1000</f>
        <v>5.3194999999999997</v>
      </c>
      <c r="J20" s="41">
        <f>G20*I20</f>
        <v>0</v>
      </c>
      <c r="K20" s="5"/>
    </row>
    <row r="21" spans="1:11" x14ac:dyDescent="0.25">
      <c r="A21" s="16"/>
      <c r="B21" s="39"/>
      <c r="C21" s="17"/>
      <c r="D21" s="17"/>
      <c r="E21" s="17"/>
      <c r="F21" s="17"/>
      <c r="G21" s="17"/>
      <c r="H21" s="17"/>
      <c r="I21" s="17"/>
      <c r="J21" s="17"/>
      <c r="K21" s="17"/>
    </row>
    <row r="22" spans="1:11" ht="45" x14ac:dyDescent="0.25">
      <c r="A22" s="16">
        <v>3</v>
      </c>
      <c r="B22" s="36" t="s">
        <v>30</v>
      </c>
      <c r="C22" s="17"/>
      <c r="D22" s="37" t="s">
        <v>27</v>
      </c>
      <c r="E22" s="37" t="s">
        <v>31</v>
      </c>
      <c r="F22" s="37" t="s">
        <v>32</v>
      </c>
      <c r="G22" s="17"/>
      <c r="H22" s="17"/>
      <c r="I22" s="17"/>
      <c r="J22" s="18"/>
      <c r="K22" s="17"/>
    </row>
    <row r="23" spans="1:11" x14ac:dyDescent="0.25">
      <c r="A23" s="16"/>
      <c r="B23" s="32" t="s">
        <v>50</v>
      </c>
      <c r="C23" s="17">
        <v>1</v>
      </c>
      <c r="D23" s="33">
        <v>168</v>
      </c>
      <c r="E23" s="17">
        <v>0.33800000000000002</v>
      </c>
      <c r="F23" s="17">
        <f>C23*D23*E23</f>
        <v>56.784000000000006</v>
      </c>
      <c r="G23" s="33">
        <f>F23</f>
        <v>56.784000000000006</v>
      </c>
      <c r="H23" s="17"/>
      <c r="I23" s="17"/>
      <c r="J23" s="18"/>
      <c r="K23" s="17"/>
    </row>
    <row r="24" spans="1:11" x14ac:dyDescent="0.25">
      <c r="A24" s="16"/>
      <c r="B24" s="32" t="s">
        <v>49</v>
      </c>
      <c r="C24" s="17">
        <v>1</v>
      </c>
      <c r="D24" s="33">
        <v>83</v>
      </c>
      <c r="E24" s="17">
        <v>0.33800000000000002</v>
      </c>
      <c r="F24" s="17">
        <f t="shared" ref="F24:F25" si="5">C24*D24*E24</f>
        <v>28.054000000000002</v>
      </c>
      <c r="G24" s="33">
        <f t="shared" ref="G24:G25" si="6">F24</f>
        <v>28.054000000000002</v>
      </c>
      <c r="H24" s="17"/>
      <c r="I24" s="17"/>
      <c r="J24" s="18"/>
      <c r="K24" s="17"/>
    </row>
    <row r="25" spans="1:11" x14ac:dyDescent="0.25">
      <c r="A25" s="16"/>
      <c r="B25" s="32" t="s">
        <v>51</v>
      </c>
      <c r="C25" s="17">
        <v>1</v>
      </c>
      <c r="D25" s="33">
        <v>170</v>
      </c>
      <c r="E25" s="17">
        <v>0.33800000000000002</v>
      </c>
      <c r="F25" s="17">
        <f t="shared" si="5"/>
        <v>57.46</v>
      </c>
      <c r="G25" s="33">
        <f t="shared" si="6"/>
        <v>57.46</v>
      </c>
      <c r="H25" s="17"/>
      <c r="I25" s="17"/>
      <c r="J25" s="18"/>
      <c r="K25" s="17"/>
    </row>
    <row r="26" spans="1:11" x14ac:dyDescent="0.25">
      <c r="A26" s="16"/>
      <c r="B26" s="32" t="s">
        <v>52</v>
      </c>
      <c r="C26" s="17">
        <v>1</v>
      </c>
      <c r="D26" s="33">
        <v>71</v>
      </c>
      <c r="E26" s="17">
        <v>0.33800000000000002</v>
      </c>
      <c r="F26" s="17">
        <f t="shared" ref="F26:F28" si="7">C26*D26*E26</f>
        <v>23.998000000000001</v>
      </c>
      <c r="G26" s="33">
        <f t="shared" ref="G26:G28" si="8">F26</f>
        <v>23.998000000000001</v>
      </c>
      <c r="H26" s="17"/>
      <c r="I26" s="17"/>
      <c r="J26" s="18"/>
      <c r="K26" s="17"/>
    </row>
    <row r="27" spans="1:11" x14ac:dyDescent="0.25">
      <c r="A27" s="16"/>
      <c r="B27" s="32" t="s">
        <v>53</v>
      </c>
      <c r="C27" s="17">
        <v>1</v>
      </c>
      <c r="D27" s="33">
        <v>23</v>
      </c>
      <c r="E27" s="17">
        <v>0.33800000000000002</v>
      </c>
      <c r="F27" s="17">
        <f t="shared" si="7"/>
        <v>7.7740000000000009</v>
      </c>
      <c r="G27" s="33">
        <f t="shared" si="8"/>
        <v>7.7740000000000009</v>
      </c>
      <c r="H27" s="17"/>
      <c r="I27" s="17"/>
      <c r="J27" s="18"/>
      <c r="K27" s="17"/>
    </row>
    <row r="28" spans="1:11" x14ac:dyDescent="0.25">
      <c r="A28" s="16"/>
      <c r="B28" s="32" t="s">
        <v>54</v>
      </c>
      <c r="C28" s="17">
        <v>1</v>
      </c>
      <c r="D28" s="33">
        <v>565</v>
      </c>
      <c r="E28" s="17">
        <v>0.33800000000000002</v>
      </c>
      <c r="F28" s="17">
        <f t="shared" si="7"/>
        <v>190.97</v>
      </c>
      <c r="G28" s="33">
        <f t="shared" si="8"/>
        <v>190.97</v>
      </c>
      <c r="H28" s="17"/>
      <c r="I28" s="17"/>
      <c r="J28" s="18"/>
      <c r="K28" s="17"/>
    </row>
    <row r="29" spans="1:11" ht="15" customHeight="1" x14ac:dyDescent="0.25">
      <c r="A29" s="2"/>
      <c r="B29" s="34" t="s">
        <v>16</v>
      </c>
      <c r="C29" s="3"/>
      <c r="D29" s="4"/>
      <c r="E29" s="5"/>
      <c r="F29" s="5"/>
      <c r="G29" s="6">
        <f>SUM(G23:G28)</f>
        <v>365.03999999999996</v>
      </c>
      <c r="H29" s="7" t="s">
        <v>33</v>
      </c>
      <c r="I29" s="6">
        <v>287</v>
      </c>
      <c r="J29" s="18">
        <f>G29*I29</f>
        <v>104766.48</v>
      </c>
      <c r="K29" s="5"/>
    </row>
    <row r="30" spans="1:11" x14ac:dyDescent="0.25">
      <c r="A30" s="16"/>
      <c r="B30" s="32" t="s">
        <v>36</v>
      </c>
      <c r="C30" s="17"/>
      <c r="D30" s="17"/>
      <c r="E30" s="17"/>
      <c r="F30" s="17"/>
      <c r="G30" s="17"/>
      <c r="H30" s="17"/>
      <c r="I30" s="17"/>
      <c r="J30" s="18">
        <f>0.13*J29</f>
        <v>13619.642400000001</v>
      </c>
      <c r="K30" s="17"/>
    </row>
    <row r="31" spans="1:11" x14ac:dyDescent="0.25">
      <c r="A31" s="16"/>
      <c r="B31" s="17"/>
      <c r="C31" s="17"/>
      <c r="D31" s="17"/>
      <c r="E31" s="17"/>
      <c r="F31" s="17"/>
      <c r="G31" s="17"/>
      <c r="H31" s="17"/>
      <c r="I31" s="17"/>
      <c r="J31" s="17"/>
      <c r="K31" s="17"/>
    </row>
    <row r="32" spans="1:11" x14ac:dyDescent="0.25">
      <c r="A32" s="16">
        <v>4</v>
      </c>
      <c r="B32" s="39" t="s">
        <v>43</v>
      </c>
      <c r="C32" s="17"/>
      <c r="D32" s="17"/>
      <c r="E32" s="17"/>
      <c r="F32" s="17"/>
      <c r="G32" s="17"/>
      <c r="H32" s="17"/>
      <c r="I32" s="17"/>
      <c r="J32" s="17"/>
      <c r="K32" s="17"/>
    </row>
    <row r="33" spans="1:11" x14ac:dyDescent="0.25">
      <c r="A33" s="16"/>
      <c r="B33" s="32" t="s">
        <v>37</v>
      </c>
      <c r="C33" s="17">
        <v>1</v>
      </c>
      <c r="D33" s="33">
        <v>3</v>
      </c>
      <c r="E33" s="17"/>
      <c r="F33" s="17"/>
      <c r="G33" s="33">
        <f t="shared" ref="G33" si="9">PRODUCT(C33:F33)</f>
        <v>3</v>
      </c>
      <c r="H33" s="17"/>
      <c r="I33" s="17"/>
      <c r="J33" s="18"/>
      <c r="K33" s="17"/>
    </row>
    <row r="34" spans="1:11" s="35" customFormat="1" x14ac:dyDescent="0.25">
      <c r="A34" s="2"/>
      <c r="B34" s="40" t="s">
        <v>28</v>
      </c>
      <c r="C34" s="3"/>
      <c r="D34" s="4"/>
      <c r="E34" s="5"/>
      <c r="F34" s="5"/>
      <c r="G34" s="41">
        <f>SUM(G33:G33)</f>
        <v>3</v>
      </c>
      <c r="H34" s="7" t="s">
        <v>42</v>
      </c>
      <c r="I34" s="6">
        <v>452</v>
      </c>
      <c r="J34" s="41">
        <f>G34*I34</f>
        <v>1356</v>
      </c>
      <c r="K34" s="5"/>
    </row>
    <row r="35" spans="1:11" x14ac:dyDescent="0.25">
      <c r="A35" s="16"/>
      <c r="B35" s="32" t="s">
        <v>36</v>
      </c>
      <c r="C35" s="17"/>
      <c r="D35" s="17"/>
      <c r="E35" s="17"/>
      <c r="F35" s="17"/>
      <c r="G35" s="17"/>
      <c r="H35" s="17"/>
      <c r="I35" s="17"/>
      <c r="J35" s="18">
        <f>0.13*J34</f>
        <v>176.28</v>
      </c>
      <c r="K35" s="17"/>
    </row>
    <row r="36" spans="1:11" x14ac:dyDescent="0.25">
      <c r="A36" s="16"/>
      <c r="B36" s="39"/>
      <c r="C36" s="17"/>
      <c r="D36" s="17"/>
      <c r="E36" s="17"/>
      <c r="F36" s="17"/>
      <c r="G36" s="17"/>
      <c r="H36" s="17"/>
      <c r="I36" s="17"/>
      <c r="J36" s="17"/>
      <c r="K36" s="17"/>
    </row>
    <row r="37" spans="1:11" s="35" customFormat="1" ht="30" x14ac:dyDescent="0.25">
      <c r="A37" s="2">
        <v>5</v>
      </c>
      <c r="B37" s="42" t="s">
        <v>44</v>
      </c>
      <c r="C37" s="3">
        <v>1</v>
      </c>
      <c r="D37" s="4"/>
      <c r="E37" s="5"/>
      <c r="F37" s="5"/>
      <c r="G37" s="41">
        <f t="shared" ref="G37" si="10">PRODUCT(C37:F37)</f>
        <v>1</v>
      </c>
      <c r="H37" s="7" t="s">
        <v>45</v>
      </c>
      <c r="I37" s="6">
        <v>3100</v>
      </c>
      <c r="J37" s="41">
        <f>G37*I37</f>
        <v>3100</v>
      </c>
      <c r="K37" s="5"/>
    </row>
    <row r="38" spans="1:11" x14ac:dyDescent="0.25">
      <c r="A38" s="16"/>
      <c r="B38" s="39"/>
      <c r="C38" s="17"/>
      <c r="D38" s="17"/>
      <c r="E38" s="17"/>
      <c r="F38" s="17"/>
      <c r="G38" s="17"/>
      <c r="H38" s="17"/>
      <c r="I38" s="17"/>
      <c r="J38" s="17"/>
      <c r="K38" s="17"/>
    </row>
    <row r="39" spans="1:11" ht="15" customHeight="1" x14ac:dyDescent="0.25">
      <c r="A39" s="2">
        <v>6</v>
      </c>
      <c r="B39" s="1" t="s">
        <v>17</v>
      </c>
      <c r="C39" s="3">
        <v>1</v>
      </c>
      <c r="D39" s="4"/>
      <c r="E39" s="5"/>
      <c r="F39" s="5"/>
      <c r="G39" s="7">
        <f t="shared" ref="G39" si="11">PRODUCT(C39:F39)</f>
        <v>1</v>
      </c>
      <c r="H39" s="7" t="s">
        <v>18</v>
      </c>
      <c r="I39" s="6">
        <v>500</v>
      </c>
      <c r="J39" s="7">
        <f>G39*I39</f>
        <v>500</v>
      </c>
      <c r="K39" s="5"/>
    </row>
    <row r="40" spans="1:11" x14ac:dyDescent="0.25">
      <c r="A40" s="2"/>
      <c r="B40" s="8"/>
      <c r="C40" s="3"/>
      <c r="D40" s="4"/>
      <c r="E40" s="5"/>
      <c r="F40" s="5"/>
      <c r="G40" s="6"/>
      <c r="H40" s="7"/>
      <c r="I40" s="6"/>
      <c r="J40" s="18"/>
      <c r="K40" s="5"/>
    </row>
    <row r="41" spans="1:11" x14ac:dyDescent="0.25">
      <c r="A41" s="21"/>
      <c r="B41" s="22" t="s">
        <v>20</v>
      </c>
      <c r="C41" s="23"/>
      <c r="D41" s="24"/>
      <c r="E41" s="24"/>
      <c r="F41" s="24"/>
      <c r="G41" s="18"/>
      <c r="H41" s="18"/>
      <c r="I41" s="18"/>
      <c r="J41" s="18">
        <f>SUM(J9:J39)</f>
        <v>208459.4124</v>
      </c>
      <c r="K41" s="25"/>
    </row>
    <row r="43" spans="1:11" s="20" customFormat="1" x14ac:dyDescent="0.25">
      <c r="A43" s="26"/>
      <c r="B43" s="27" t="s">
        <v>55</v>
      </c>
      <c r="C43" s="64">
        <f>J41</f>
        <v>208459.4124</v>
      </c>
      <c r="D43" s="65"/>
      <c r="E43" s="9">
        <v>100</v>
      </c>
      <c r="F43" s="26"/>
      <c r="G43" s="28"/>
      <c r="H43" s="26"/>
      <c r="I43" s="29"/>
      <c r="J43" s="30"/>
      <c r="K43" s="31"/>
    </row>
    <row r="44" spans="1:11" x14ac:dyDescent="0.25">
      <c r="B44" s="27" t="s">
        <v>21</v>
      </c>
      <c r="C44" s="67">
        <v>300000</v>
      </c>
      <c r="D44" s="68"/>
      <c r="E44" s="9"/>
    </row>
    <row r="45" spans="1:11" x14ac:dyDescent="0.25">
      <c r="B45" s="27" t="s">
        <v>22</v>
      </c>
      <c r="C45" s="67">
        <f>84.79%*C43</f>
        <v>176752.73577396001</v>
      </c>
      <c r="D45" s="68"/>
      <c r="E45" s="9">
        <f>C45/C43*100</f>
        <v>84.79</v>
      </c>
    </row>
    <row r="46" spans="1:11" x14ac:dyDescent="0.25">
      <c r="B46" s="27" t="s">
        <v>26</v>
      </c>
      <c r="C46" s="69">
        <f>C43-C45</f>
        <v>31706.676626039989</v>
      </c>
      <c r="D46" s="69"/>
      <c r="E46" s="9">
        <f>100-E45</f>
        <v>15.209999999999994</v>
      </c>
    </row>
    <row r="47" spans="1:11" x14ac:dyDescent="0.25">
      <c r="B47" s="27" t="s">
        <v>23</v>
      </c>
      <c r="C47" s="64">
        <f>C44*0.03</f>
        <v>9000</v>
      </c>
      <c r="D47" s="65"/>
      <c r="E47" s="9">
        <v>3</v>
      </c>
    </row>
    <row r="48" spans="1:11" x14ac:dyDescent="0.25">
      <c r="B48" s="27" t="s">
        <v>24</v>
      </c>
      <c r="C48" s="64">
        <f>C44*0.02</f>
        <v>6000</v>
      </c>
      <c r="D48" s="65"/>
      <c r="E48" s="9">
        <v>2</v>
      </c>
    </row>
  </sheetData>
  <mergeCells count="15">
    <mergeCell ref="C47:D47"/>
    <mergeCell ref="C48:D48"/>
    <mergeCell ref="A7:F7"/>
    <mergeCell ref="H7:K7"/>
    <mergeCell ref="C43:D43"/>
    <mergeCell ref="C44:D44"/>
    <mergeCell ref="C45:D45"/>
    <mergeCell ref="C46:D46"/>
    <mergeCell ref="A6:F6"/>
    <mergeCell ref="H6:K6"/>
    <mergeCell ref="A1:K1"/>
    <mergeCell ref="A2:K2"/>
    <mergeCell ref="A3:K3"/>
    <mergeCell ref="A4:K4"/>
    <mergeCell ref="A5:K5"/>
  </mergeCells>
  <phoneticPr fontId="16" type="noConversion"/>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42F61-87AB-4749-B1E7-6713FC71D00F}">
  <dimension ref="A1:K48"/>
  <sheetViews>
    <sheetView view="pageBreakPreview" topLeftCell="A6" zoomScale="95" zoomScaleNormal="100" zoomScaleSheetLayoutView="95" workbookViewId="0">
      <selection activeCell="K9" sqref="K9"/>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hidden="1" customWidth="1"/>
    <col min="10" max="10" width="10.7109375" style="19" hidden="1" customWidth="1"/>
    <col min="11" max="16384" width="9.140625" style="19"/>
  </cols>
  <sheetData>
    <row r="1" spans="1:11" x14ac:dyDescent="0.25">
      <c r="A1" s="70" t="s">
        <v>0</v>
      </c>
      <c r="B1" s="70"/>
      <c r="C1" s="70"/>
      <c r="D1" s="70"/>
      <c r="E1" s="70"/>
      <c r="F1" s="70"/>
      <c r="G1" s="70"/>
      <c r="H1" s="70"/>
      <c r="I1" s="70"/>
      <c r="J1" s="70"/>
      <c r="K1" s="70"/>
    </row>
    <row r="2" spans="1:11" ht="22.5" x14ac:dyDescent="0.25">
      <c r="A2" s="71" t="s">
        <v>1</v>
      </c>
      <c r="B2" s="71"/>
      <c r="C2" s="71"/>
      <c r="D2" s="71"/>
      <c r="E2" s="71"/>
      <c r="F2" s="71"/>
      <c r="G2" s="71"/>
      <c r="H2" s="71"/>
      <c r="I2" s="71"/>
      <c r="J2" s="71"/>
      <c r="K2" s="71"/>
    </row>
    <row r="3" spans="1:11" x14ac:dyDescent="0.25">
      <c r="A3" s="72" t="s">
        <v>2</v>
      </c>
      <c r="B3" s="72"/>
      <c r="C3" s="72"/>
      <c r="D3" s="72"/>
      <c r="E3" s="72"/>
      <c r="F3" s="72"/>
      <c r="G3" s="72"/>
      <c r="H3" s="72"/>
      <c r="I3" s="72"/>
      <c r="J3" s="72"/>
      <c r="K3" s="72"/>
    </row>
    <row r="4" spans="1:11" x14ac:dyDescent="0.25">
      <c r="A4" s="72" t="s">
        <v>3</v>
      </c>
      <c r="B4" s="72"/>
      <c r="C4" s="72"/>
      <c r="D4" s="72"/>
      <c r="E4" s="72"/>
      <c r="F4" s="72"/>
      <c r="G4" s="72"/>
      <c r="H4" s="72"/>
      <c r="I4" s="72"/>
      <c r="J4" s="72"/>
      <c r="K4" s="72"/>
    </row>
    <row r="5" spans="1:11" ht="18.75" x14ac:dyDescent="0.3">
      <c r="A5" s="73" t="s">
        <v>69</v>
      </c>
      <c r="B5" s="73"/>
      <c r="C5" s="73"/>
      <c r="D5" s="73"/>
      <c r="E5" s="73"/>
      <c r="F5" s="73"/>
      <c r="G5" s="73"/>
      <c r="H5" s="73"/>
      <c r="I5" s="73"/>
      <c r="J5" s="73"/>
      <c r="K5" s="73"/>
    </row>
    <row r="6" spans="1:11" ht="18" x14ac:dyDescent="0.25">
      <c r="A6" s="74" t="s">
        <v>46</v>
      </c>
      <c r="B6" s="74"/>
      <c r="C6" s="74"/>
      <c r="D6" s="74"/>
      <c r="E6" s="74"/>
      <c r="F6" s="74"/>
      <c r="G6" s="10"/>
      <c r="I6" s="63"/>
      <c r="J6" s="63"/>
      <c r="K6" s="44" t="s">
        <v>25</v>
      </c>
    </row>
    <row r="7" spans="1:11" ht="15.75" x14ac:dyDescent="0.25">
      <c r="A7" s="66" t="s">
        <v>35</v>
      </c>
      <c r="B7" s="66"/>
      <c r="C7" s="66"/>
      <c r="D7" s="66"/>
      <c r="E7" s="66"/>
      <c r="F7" s="66"/>
      <c r="G7" s="11"/>
      <c r="I7" s="62"/>
      <c r="J7" s="62"/>
      <c r="K7" s="43" t="s">
        <v>70</v>
      </c>
    </row>
    <row r="8" spans="1:11" ht="15.75" x14ac:dyDescent="0.25">
      <c r="A8" s="12" t="s">
        <v>5</v>
      </c>
      <c r="B8" s="13" t="s">
        <v>6</v>
      </c>
      <c r="C8" s="12" t="s">
        <v>7</v>
      </c>
      <c r="D8" s="14" t="s">
        <v>8</v>
      </c>
      <c r="E8" s="14" t="s">
        <v>9</v>
      </c>
      <c r="F8" s="14" t="s">
        <v>10</v>
      </c>
      <c r="G8" s="14" t="s">
        <v>11</v>
      </c>
      <c r="H8" s="12" t="s">
        <v>12</v>
      </c>
      <c r="I8" s="14" t="s">
        <v>13</v>
      </c>
      <c r="J8" s="14" t="s">
        <v>14</v>
      </c>
      <c r="K8" s="15" t="s">
        <v>15</v>
      </c>
    </row>
    <row r="9" spans="1:11" ht="33" x14ac:dyDescent="0.25">
      <c r="A9" s="16">
        <v>1</v>
      </c>
      <c r="B9" s="39" t="s">
        <v>47</v>
      </c>
      <c r="C9" s="17"/>
      <c r="D9" s="17"/>
      <c r="E9" s="17"/>
      <c r="F9" s="17"/>
      <c r="G9" s="17"/>
      <c r="H9" s="17"/>
      <c r="I9" s="17"/>
      <c r="J9" s="18"/>
      <c r="K9" s="17"/>
    </row>
    <row r="10" spans="1:11" x14ac:dyDescent="0.25">
      <c r="A10" s="16"/>
      <c r="B10" s="32" t="s">
        <v>50</v>
      </c>
      <c r="C10" s="17">
        <v>1</v>
      </c>
      <c r="D10" s="33">
        <f>90+38+40-1</f>
        <v>167</v>
      </c>
      <c r="E10" s="17">
        <v>0.3</v>
      </c>
      <c r="F10" s="17">
        <v>0.3</v>
      </c>
      <c r="G10" s="33">
        <f t="shared" ref="G10:G15" si="0">PRODUCT(C10:F10)</f>
        <v>15.03</v>
      </c>
      <c r="H10" s="17"/>
      <c r="I10" s="17"/>
      <c r="J10" s="18"/>
      <c r="K10" s="17"/>
    </row>
    <row r="11" spans="1:11" x14ac:dyDescent="0.25">
      <c r="A11" s="16"/>
      <c r="B11" s="32" t="s">
        <v>49</v>
      </c>
      <c r="C11" s="17">
        <v>1</v>
      </c>
      <c r="D11" s="33">
        <f>40+43-2</f>
        <v>81</v>
      </c>
      <c r="E11" s="17">
        <v>0.3</v>
      </c>
      <c r="F11" s="17">
        <v>0.3</v>
      </c>
      <c r="G11" s="33">
        <f t="shared" si="0"/>
        <v>7.29</v>
      </c>
      <c r="H11" s="17"/>
      <c r="I11" s="17"/>
      <c r="J11" s="18"/>
      <c r="K11" s="17"/>
    </row>
    <row r="12" spans="1:11" x14ac:dyDescent="0.25">
      <c r="A12" s="16"/>
      <c r="B12" s="32" t="s">
        <v>51</v>
      </c>
      <c r="C12" s="17">
        <v>1</v>
      </c>
      <c r="D12" s="33">
        <f>50+30+2+50+38-20</f>
        <v>150</v>
      </c>
      <c r="E12" s="17">
        <v>0.3</v>
      </c>
      <c r="F12" s="17">
        <v>0.3</v>
      </c>
      <c r="G12" s="33">
        <f t="shared" si="0"/>
        <v>13.5</v>
      </c>
      <c r="H12" s="17"/>
      <c r="I12" s="17"/>
      <c r="J12" s="18"/>
      <c r="K12" s="17"/>
    </row>
    <row r="13" spans="1:11" x14ac:dyDescent="0.25">
      <c r="A13" s="16"/>
      <c r="B13" s="32" t="s">
        <v>52</v>
      </c>
      <c r="C13" s="17">
        <v>1</v>
      </c>
      <c r="D13" s="33">
        <f>36+35-15</f>
        <v>56</v>
      </c>
      <c r="E13" s="17">
        <v>0.3</v>
      </c>
      <c r="F13" s="17">
        <v>0.3</v>
      </c>
      <c r="G13" s="33">
        <f t="shared" si="0"/>
        <v>5.04</v>
      </c>
      <c r="H13" s="17"/>
      <c r="I13" s="17"/>
      <c r="J13" s="18"/>
      <c r="K13" s="17"/>
    </row>
    <row r="14" spans="1:11" x14ac:dyDescent="0.25">
      <c r="A14" s="16"/>
      <c r="B14" s="32" t="s">
        <v>53</v>
      </c>
      <c r="C14" s="17">
        <v>1</v>
      </c>
      <c r="D14" s="33">
        <f>23-15</f>
        <v>8</v>
      </c>
      <c r="E14" s="17">
        <v>0.3</v>
      </c>
      <c r="F14" s="17">
        <v>0.3</v>
      </c>
      <c r="G14" s="33">
        <f t="shared" si="0"/>
        <v>0.72</v>
      </c>
      <c r="H14" s="17"/>
      <c r="I14" s="17"/>
      <c r="J14" s="18"/>
      <c r="K14" s="17"/>
    </row>
    <row r="15" spans="1:11" x14ac:dyDescent="0.25">
      <c r="A15" s="16"/>
      <c r="B15" s="32" t="s">
        <v>54</v>
      </c>
      <c r="C15" s="17">
        <v>1</v>
      </c>
      <c r="D15" s="33">
        <f>36+11+23+30-0.7+50+25+30.7-8+8+50+9+50+50+40+20+50+50+42-3-40-5</f>
        <v>518</v>
      </c>
      <c r="E15" s="17">
        <v>0.3</v>
      </c>
      <c r="F15" s="17">
        <v>0.3</v>
      </c>
      <c r="G15" s="33">
        <f t="shared" si="0"/>
        <v>46.62</v>
      </c>
      <c r="H15" s="17"/>
      <c r="I15" s="17"/>
      <c r="J15" s="18"/>
      <c r="K15" s="17"/>
    </row>
    <row r="16" spans="1:11" s="35" customFormat="1" x14ac:dyDescent="0.25">
      <c r="A16" s="2"/>
      <c r="B16" s="40" t="s">
        <v>28</v>
      </c>
      <c r="C16" s="3"/>
      <c r="D16" s="4"/>
      <c r="E16" s="5"/>
      <c r="F16" s="5"/>
      <c r="G16" s="41">
        <f>SUM(G10:G15)</f>
        <v>88.199999999999989</v>
      </c>
      <c r="H16" s="7" t="s">
        <v>29</v>
      </c>
      <c r="I16" s="6">
        <v>963.05</v>
      </c>
      <c r="J16" s="41">
        <f>G16*I16</f>
        <v>84941.00999999998</v>
      </c>
      <c r="K16" s="5"/>
    </row>
    <row r="17" spans="1:11" x14ac:dyDescent="0.25">
      <c r="A17" s="16"/>
      <c r="B17" s="32"/>
      <c r="C17" s="17"/>
      <c r="D17" s="17"/>
      <c r="E17" s="17"/>
      <c r="F17" s="17"/>
      <c r="G17" s="17"/>
      <c r="H17" s="17"/>
      <c r="I17" s="17"/>
      <c r="J17" s="18"/>
      <c r="K17" s="17"/>
    </row>
    <row r="18" spans="1:11" ht="30" x14ac:dyDescent="0.25">
      <c r="A18" s="16">
        <v>2</v>
      </c>
      <c r="B18" s="39" t="s">
        <v>41</v>
      </c>
      <c r="C18" s="17"/>
      <c r="D18" s="17"/>
      <c r="E18" s="17"/>
      <c r="F18" s="17"/>
      <c r="G18" s="17"/>
      <c r="H18" s="17"/>
      <c r="I18" s="17"/>
      <c r="J18" s="17"/>
      <c r="K18" s="17"/>
    </row>
    <row r="19" spans="1:11" x14ac:dyDescent="0.25">
      <c r="A19" s="16"/>
      <c r="B19" s="32" t="s">
        <v>37</v>
      </c>
      <c r="C19" s="17">
        <v>0</v>
      </c>
      <c r="D19" s="33">
        <f>(SUM(D10:D15))-1*3</f>
        <v>977</v>
      </c>
      <c r="E19" s="17"/>
      <c r="F19" s="17"/>
      <c r="G19" s="33">
        <f t="shared" ref="G19" si="1">PRODUCT(C19:F19)</f>
        <v>0</v>
      </c>
      <c r="H19" s="17"/>
      <c r="I19" s="17"/>
      <c r="J19" s="18"/>
      <c r="K19" s="17"/>
    </row>
    <row r="20" spans="1:11" s="35" customFormat="1" x14ac:dyDescent="0.25">
      <c r="A20" s="2"/>
      <c r="B20" s="40" t="s">
        <v>28</v>
      </c>
      <c r="C20" s="3"/>
      <c r="D20" s="4"/>
      <c r="E20" s="5"/>
      <c r="F20" s="5"/>
      <c r="G20" s="41">
        <f>SUM(G19:G19)</f>
        <v>0</v>
      </c>
      <c r="H20" s="7" t="s">
        <v>42</v>
      </c>
      <c r="I20" s="6">
        <f>5319.5/1000</f>
        <v>5.3194999999999997</v>
      </c>
      <c r="J20" s="41">
        <f>G20*I20</f>
        <v>0</v>
      </c>
      <c r="K20" s="5"/>
    </row>
    <row r="21" spans="1:11" x14ac:dyDescent="0.25">
      <c r="A21" s="16"/>
      <c r="B21" s="39"/>
      <c r="C21" s="17"/>
      <c r="D21" s="17"/>
      <c r="E21" s="17"/>
      <c r="F21" s="17"/>
      <c r="G21" s="17"/>
      <c r="H21" s="17"/>
      <c r="I21" s="17"/>
      <c r="J21" s="17"/>
      <c r="K21" s="17"/>
    </row>
    <row r="22" spans="1:11" ht="45" x14ac:dyDescent="0.25">
      <c r="A22" s="16">
        <v>3</v>
      </c>
      <c r="B22" s="36" t="s">
        <v>30</v>
      </c>
      <c r="C22" s="17"/>
      <c r="D22" s="37" t="s">
        <v>27</v>
      </c>
      <c r="E22" s="37" t="s">
        <v>31</v>
      </c>
      <c r="F22" s="37" t="s">
        <v>32</v>
      </c>
      <c r="G22" s="17"/>
      <c r="H22" s="17"/>
      <c r="I22" s="17"/>
      <c r="J22" s="18"/>
      <c r="K22" s="17"/>
    </row>
    <row r="23" spans="1:11" x14ac:dyDescent="0.25">
      <c r="A23" s="16"/>
      <c r="B23" s="32" t="s">
        <v>50</v>
      </c>
      <c r="C23" s="17">
        <v>1</v>
      </c>
      <c r="D23" s="33">
        <v>168</v>
      </c>
      <c r="E23" s="17">
        <v>0.33800000000000002</v>
      </c>
      <c r="F23" s="17">
        <f>C23*D23*E23</f>
        <v>56.784000000000006</v>
      </c>
      <c r="G23" s="33">
        <f>F23</f>
        <v>56.784000000000006</v>
      </c>
      <c r="H23" s="17"/>
      <c r="I23" s="17"/>
      <c r="J23" s="18"/>
      <c r="K23" s="17"/>
    </row>
    <row r="24" spans="1:11" x14ac:dyDescent="0.25">
      <c r="A24" s="16"/>
      <c r="B24" s="32" t="s">
        <v>49</v>
      </c>
      <c r="C24" s="17">
        <v>1</v>
      </c>
      <c r="D24" s="33">
        <v>83</v>
      </c>
      <c r="E24" s="17">
        <v>0.33800000000000002</v>
      </c>
      <c r="F24" s="17">
        <f t="shared" ref="F24:F28" si="2">C24*D24*E24</f>
        <v>28.054000000000002</v>
      </c>
      <c r="G24" s="33">
        <f t="shared" ref="G24:G28" si="3">F24</f>
        <v>28.054000000000002</v>
      </c>
      <c r="H24" s="17"/>
      <c r="I24" s="17"/>
      <c r="J24" s="18"/>
      <c r="K24" s="17"/>
    </row>
    <row r="25" spans="1:11" x14ac:dyDescent="0.25">
      <c r="A25" s="16"/>
      <c r="B25" s="32" t="s">
        <v>51</v>
      </c>
      <c r="C25" s="17">
        <v>1</v>
      </c>
      <c r="D25" s="33">
        <v>170</v>
      </c>
      <c r="E25" s="17">
        <v>0.33800000000000002</v>
      </c>
      <c r="F25" s="17">
        <f t="shared" si="2"/>
        <v>57.46</v>
      </c>
      <c r="G25" s="33">
        <f t="shared" si="3"/>
        <v>57.46</v>
      </c>
      <c r="H25" s="17"/>
      <c r="I25" s="17"/>
      <c r="J25" s="18"/>
      <c r="K25" s="17"/>
    </row>
    <row r="26" spans="1:11" x14ac:dyDescent="0.25">
      <c r="A26" s="16"/>
      <c r="B26" s="32" t="s">
        <v>52</v>
      </c>
      <c r="C26" s="17">
        <v>1</v>
      </c>
      <c r="D26" s="33">
        <v>71</v>
      </c>
      <c r="E26" s="17">
        <v>0.33800000000000002</v>
      </c>
      <c r="F26" s="17">
        <f t="shared" si="2"/>
        <v>23.998000000000001</v>
      </c>
      <c r="G26" s="33">
        <f t="shared" si="3"/>
        <v>23.998000000000001</v>
      </c>
      <c r="H26" s="17"/>
      <c r="I26" s="17"/>
      <c r="J26" s="18"/>
      <c r="K26" s="17"/>
    </row>
    <row r="27" spans="1:11" x14ac:dyDescent="0.25">
      <c r="A27" s="16"/>
      <c r="B27" s="32" t="s">
        <v>53</v>
      </c>
      <c r="C27" s="17">
        <v>1</v>
      </c>
      <c r="D27" s="33">
        <v>23</v>
      </c>
      <c r="E27" s="17">
        <v>0.33800000000000002</v>
      </c>
      <c r="F27" s="17">
        <f t="shared" si="2"/>
        <v>7.7740000000000009</v>
      </c>
      <c r="G27" s="33">
        <f t="shared" si="3"/>
        <v>7.7740000000000009</v>
      </c>
      <c r="H27" s="17"/>
      <c r="I27" s="17"/>
      <c r="J27" s="18"/>
      <c r="K27" s="17"/>
    </row>
    <row r="28" spans="1:11" x14ac:dyDescent="0.25">
      <c r="A28" s="16"/>
      <c r="B28" s="32" t="s">
        <v>54</v>
      </c>
      <c r="C28" s="17">
        <v>1</v>
      </c>
      <c r="D28" s="33">
        <v>565</v>
      </c>
      <c r="E28" s="17">
        <v>0.33800000000000002</v>
      </c>
      <c r="F28" s="17">
        <f t="shared" si="2"/>
        <v>190.97</v>
      </c>
      <c r="G28" s="33">
        <f t="shared" si="3"/>
        <v>190.97</v>
      </c>
      <c r="H28" s="17"/>
      <c r="I28" s="17"/>
      <c r="J28" s="18"/>
      <c r="K28" s="17"/>
    </row>
    <row r="29" spans="1:11" ht="15" customHeight="1" x14ac:dyDescent="0.25">
      <c r="A29" s="2"/>
      <c r="B29" s="34" t="s">
        <v>16</v>
      </c>
      <c r="C29" s="3"/>
      <c r="D29" s="4"/>
      <c r="E29" s="5"/>
      <c r="F29" s="5"/>
      <c r="G29" s="6">
        <f>SUM(G23:G28)</f>
        <v>365.03999999999996</v>
      </c>
      <c r="H29" s="7" t="s">
        <v>33</v>
      </c>
      <c r="I29" s="6">
        <v>287</v>
      </c>
      <c r="J29" s="18">
        <f>G29*I29</f>
        <v>104766.48</v>
      </c>
      <c r="K29" s="5"/>
    </row>
    <row r="30" spans="1:11" hidden="1" x14ac:dyDescent="0.25">
      <c r="A30" s="16"/>
      <c r="B30" s="32" t="s">
        <v>36</v>
      </c>
      <c r="C30" s="17"/>
      <c r="D30" s="17"/>
      <c r="E30" s="17"/>
      <c r="F30" s="17"/>
      <c r="G30" s="17"/>
      <c r="H30" s="17"/>
      <c r="I30" s="17"/>
      <c r="J30" s="18">
        <f>0.13*J29</f>
        <v>13619.642400000001</v>
      </c>
      <c r="K30" s="17"/>
    </row>
    <row r="31" spans="1:11" x14ac:dyDescent="0.25">
      <c r="A31" s="16"/>
      <c r="B31" s="17"/>
      <c r="C31" s="17"/>
      <c r="D31" s="17"/>
      <c r="E31" s="17"/>
      <c r="F31" s="17"/>
      <c r="G31" s="17"/>
      <c r="H31" s="17"/>
      <c r="I31" s="17"/>
      <c r="J31" s="17"/>
      <c r="K31" s="17"/>
    </row>
    <row r="32" spans="1:11" x14ac:dyDescent="0.25">
      <c r="A32" s="16">
        <v>4</v>
      </c>
      <c r="B32" s="39" t="s">
        <v>43</v>
      </c>
      <c r="C32" s="17"/>
      <c r="D32" s="17"/>
      <c r="E32" s="17"/>
      <c r="F32" s="17"/>
      <c r="G32" s="17"/>
      <c r="H32" s="17"/>
      <c r="I32" s="17"/>
      <c r="J32" s="17"/>
      <c r="K32" s="17"/>
    </row>
    <row r="33" spans="1:11" x14ac:dyDescent="0.25">
      <c r="A33" s="16"/>
      <c r="B33" s="32" t="s">
        <v>37</v>
      </c>
      <c r="C33" s="17">
        <v>1</v>
      </c>
      <c r="D33" s="33">
        <v>3</v>
      </c>
      <c r="E33" s="17"/>
      <c r="F33" s="17"/>
      <c r="G33" s="33">
        <f t="shared" ref="G33" si="4">PRODUCT(C33:F33)</f>
        <v>3</v>
      </c>
      <c r="H33" s="17"/>
      <c r="I33" s="17"/>
      <c r="J33" s="18"/>
      <c r="K33" s="17"/>
    </row>
    <row r="34" spans="1:11" s="35" customFormat="1" x14ac:dyDescent="0.25">
      <c r="A34" s="2"/>
      <c r="B34" s="40" t="s">
        <v>28</v>
      </c>
      <c r="C34" s="3"/>
      <c r="D34" s="4"/>
      <c r="E34" s="5"/>
      <c r="F34" s="5"/>
      <c r="G34" s="41">
        <f>SUM(G33:G33)</f>
        <v>3</v>
      </c>
      <c r="H34" s="7" t="s">
        <v>42</v>
      </c>
      <c r="I34" s="6">
        <v>452</v>
      </c>
      <c r="J34" s="41">
        <f>G34*I34</f>
        <v>1356</v>
      </c>
      <c r="K34" s="5"/>
    </row>
    <row r="35" spans="1:11" hidden="1" x14ac:dyDescent="0.25">
      <c r="A35" s="16"/>
      <c r="B35" s="32" t="s">
        <v>36</v>
      </c>
      <c r="C35" s="17"/>
      <c r="D35" s="17"/>
      <c r="E35" s="17"/>
      <c r="F35" s="17"/>
      <c r="G35" s="17"/>
      <c r="H35" s="17"/>
      <c r="I35" s="17"/>
      <c r="J35" s="18">
        <f>0.13*J34</f>
        <v>176.28</v>
      </c>
      <c r="K35" s="17"/>
    </row>
    <row r="36" spans="1:11" x14ac:dyDescent="0.25">
      <c r="A36" s="16"/>
      <c r="B36" s="39"/>
      <c r="C36" s="17"/>
      <c r="D36" s="17"/>
      <c r="E36" s="17"/>
      <c r="F36" s="17"/>
      <c r="G36" s="17"/>
      <c r="H36" s="17"/>
      <c r="I36" s="17"/>
      <c r="J36" s="17"/>
      <c r="K36" s="17"/>
    </row>
    <row r="37" spans="1:11" s="35" customFormat="1" ht="30" x14ac:dyDescent="0.25">
      <c r="A37" s="2">
        <v>5</v>
      </c>
      <c r="B37" s="42" t="s">
        <v>44</v>
      </c>
      <c r="C37" s="3">
        <v>1</v>
      </c>
      <c r="D37" s="4"/>
      <c r="E37" s="5"/>
      <c r="F37" s="5"/>
      <c r="G37" s="41">
        <f t="shared" ref="G37" si="5">PRODUCT(C37:F37)</f>
        <v>1</v>
      </c>
      <c r="H37" s="7" t="s">
        <v>45</v>
      </c>
      <c r="I37" s="6">
        <v>3100</v>
      </c>
      <c r="J37" s="41">
        <f>G37*I37</f>
        <v>3100</v>
      </c>
      <c r="K37" s="5"/>
    </row>
    <row r="38" spans="1:11" x14ac:dyDescent="0.25">
      <c r="A38" s="16"/>
      <c r="B38" s="39"/>
      <c r="C38" s="17"/>
      <c r="D38" s="17"/>
      <c r="E38" s="17"/>
      <c r="F38" s="17"/>
      <c r="G38" s="17"/>
      <c r="H38" s="17"/>
      <c r="I38" s="17"/>
      <c r="J38" s="17"/>
      <c r="K38" s="17"/>
    </row>
    <row r="39" spans="1:11" ht="15" customHeight="1" x14ac:dyDescent="0.25">
      <c r="A39" s="2">
        <v>6</v>
      </c>
      <c r="B39" s="1" t="s">
        <v>17</v>
      </c>
      <c r="C39" s="3">
        <v>1</v>
      </c>
      <c r="D39" s="4"/>
      <c r="E39" s="5"/>
      <c r="F39" s="5"/>
      <c r="G39" s="7">
        <f t="shared" ref="G39" si="6">PRODUCT(C39:F39)</f>
        <v>1</v>
      </c>
      <c r="H39" s="7" t="s">
        <v>18</v>
      </c>
      <c r="I39" s="6">
        <v>500</v>
      </c>
      <c r="J39" s="7">
        <f>G39*I39</f>
        <v>500</v>
      </c>
      <c r="K39" s="5"/>
    </row>
    <row r="40" spans="1:11" x14ac:dyDescent="0.25">
      <c r="A40" s="2"/>
      <c r="B40" s="8"/>
      <c r="C40" s="3"/>
      <c r="D40" s="4"/>
      <c r="E40" s="5"/>
      <c r="F40" s="5"/>
      <c r="G40" s="6"/>
      <c r="H40" s="7"/>
      <c r="I40" s="6"/>
      <c r="J40" s="18"/>
      <c r="K40" s="5"/>
    </row>
    <row r="41" spans="1:11" x14ac:dyDescent="0.25">
      <c r="A41" s="21"/>
      <c r="B41" s="22" t="s">
        <v>20</v>
      </c>
      <c r="C41" s="23"/>
      <c r="D41" s="24"/>
      <c r="E41" s="24"/>
      <c r="F41" s="24"/>
      <c r="G41" s="18"/>
      <c r="H41" s="18"/>
      <c r="I41" s="18"/>
      <c r="J41" s="18">
        <f>SUM(J9:J39)</f>
        <v>208459.4124</v>
      </c>
      <c r="K41" s="25"/>
    </row>
    <row r="43" spans="1:11" s="20" customFormat="1" hidden="1" x14ac:dyDescent="0.25">
      <c r="A43" s="26"/>
      <c r="B43" s="27" t="s">
        <v>55</v>
      </c>
      <c r="C43" s="64">
        <f>J41</f>
        <v>208459.4124</v>
      </c>
      <c r="D43" s="65"/>
      <c r="E43" s="9">
        <v>100</v>
      </c>
      <c r="F43" s="26"/>
      <c r="G43" s="28"/>
      <c r="H43" s="26"/>
      <c r="I43" s="29"/>
      <c r="J43" s="30"/>
      <c r="K43" s="31"/>
    </row>
    <row r="44" spans="1:11" hidden="1" x14ac:dyDescent="0.25">
      <c r="B44" s="27" t="s">
        <v>21</v>
      </c>
      <c r="C44" s="67">
        <v>300000</v>
      </c>
      <c r="D44" s="68"/>
      <c r="E44" s="9"/>
    </row>
    <row r="45" spans="1:11" hidden="1" x14ac:dyDescent="0.25">
      <c r="B45" s="27" t="s">
        <v>22</v>
      </c>
      <c r="C45" s="67">
        <f>84.79%*C43</f>
        <v>176752.73577396001</v>
      </c>
      <c r="D45" s="68"/>
      <c r="E45" s="9">
        <f>C45/C43*100</f>
        <v>84.79</v>
      </c>
    </row>
    <row r="46" spans="1:11" hidden="1" x14ac:dyDescent="0.25">
      <c r="B46" s="27" t="s">
        <v>26</v>
      </c>
      <c r="C46" s="69">
        <f>C43-C45</f>
        <v>31706.676626039989</v>
      </c>
      <c r="D46" s="69"/>
      <c r="E46" s="9">
        <f>100-E45</f>
        <v>15.209999999999994</v>
      </c>
    </row>
    <row r="47" spans="1:11" hidden="1" x14ac:dyDescent="0.25">
      <c r="B47" s="27" t="s">
        <v>23</v>
      </c>
      <c r="C47" s="64">
        <f>C44*0.03</f>
        <v>9000</v>
      </c>
      <c r="D47" s="65"/>
      <c r="E47" s="9">
        <v>3</v>
      </c>
    </row>
    <row r="48" spans="1:11" hidden="1" x14ac:dyDescent="0.25">
      <c r="B48" s="27" t="s">
        <v>24</v>
      </c>
      <c r="C48" s="64">
        <f>C44*0.02</f>
        <v>6000</v>
      </c>
      <c r="D48" s="65"/>
      <c r="E48" s="9">
        <v>2</v>
      </c>
    </row>
  </sheetData>
  <mergeCells count="13">
    <mergeCell ref="A6:F6"/>
    <mergeCell ref="A1:K1"/>
    <mergeCell ref="A2:K2"/>
    <mergeCell ref="A3:K3"/>
    <mergeCell ref="A4:K4"/>
    <mergeCell ref="A5:K5"/>
    <mergeCell ref="C47:D47"/>
    <mergeCell ref="C48:D48"/>
    <mergeCell ref="A7:F7"/>
    <mergeCell ref="C43:D43"/>
    <mergeCell ref="C44:D44"/>
    <mergeCell ref="C45:D45"/>
    <mergeCell ref="C46:D46"/>
  </mergeCells>
  <pageMargins left="0.70866141732283505" right="0.70866141732283505" top="0.74803149606299202" bottom="0.74803149606299202" header="0.31496062992126" footer="0.31496062992126"/>
  <pageSetup paperSize="9" scale="95" orientation="portrait" verticalDpi="1200" r:id="rId1"/>
  <headerFooter>
    <oddFooter>&amp;LPrepared By:&amp;CChecked By:&amp;RApproved By: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0B604-1950-4F4C-A16C-E1F1668745FE}">
  <dimension ref="A1:S41"/>
  <sheetViews>
    <sheetView view="pageBreakPreview" topLeftCell="A25" zoomScale="95" zoomScaleNormal="100" zoomScaleSheetLayoutView="95" workbookViewId="0">
      <selection activeCell="J38" sqref="J38"/>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customWidth="1"/>
    <col min="10" max="10" width="10.7109375" style="19" bestFit="1" customWidth="1"/>
    <col min="11" max="12" width="9.140625" style="19"/>
    <col min="13" max="16" width="0" style="19" hidden="1" customWidth="1"/>
    <col min="17" max="16384" width="9.140625" style="19"/>
  </cols>
  <sheetData>
    <row r="1" spans="1:19" x14ac:dyDescent="0.25">
      <c r="A1" s="70" t="s">
        <v>0</v>
      </c>
      <c r="B1" s="70"/>
      <c r="C1" s="70"/>
      <c r="D1" s="70"/>
      <c r="E1" s="70"/>
      <c r="F1" s="70"/>
      <c r="G1" s="70"/>
      <c r="H1" s="70"/>
      <c r="I1" s="70"/>
      <c r="J1" s="70"/>
      <c r="K1" s="70"/>
    </row>
    <row r="2" spans="1:19" ht="22.5" x14ac:dyDescent="0.25">
      <c r="A2" s="71" t="s">
        <v>1</v>
      </c>
      <c r="B2" s="71"/>
      <c r="C2" s="71"/>
      <c r="D2" s="71"/>
      <c r="E2" s="71"/>
      <c r="F2" s="71"/>
      <c r="G2" s="71"/>
      <c r="H2" s="71"/>
      <c r="I2" s="71"/>
      <c r="J2" s="71"/>
      <c r="K2" s="71"/>
    </row>
    <row r="3" spans="1:19" x14ac:dyDescent="0.25">
      <c r="A3" s="72" t="s">
        <v>2</v>
      </c>
      <c r="B3" s="72"/>
      <c r="C3" s="72"/>
      <c r="D3" s="72"/>
      <c r="E3" s="72"/>
      <c r="F3" s="72"/>
      <c r="G3" s="72"/>
      <c r="H3" s="72"/>
      <c r="I3" s="72"/>
      <c r="J3" s="72"/>
      <c r="K3" s="72"/>
    </row>
    <row r="4" spans="1:19" x14ac:dyDescent="0.25">
      <c r="A4" s="72" t="s">
        <v>3</v>
      </c>
      <c r="B4" s="72"/>
      <c r="C4" s="72"/>
      <c r="D4" s="72"/>
      <c r="E4" s="72"/>
      <c r="F4" s="72"/>
      <c r="G4" s="72"/>
      <c r="H4" s="72"/>
      <c r="I4" s="72"/>
      <c r="J4" s="72"/>
      <c r="K4" s="72"/>
    </row>
    <row r="5" spans="1:19" ht="18.75" x14ac:dyDescent="0.3">
      <c r="A5" s="73" t="s">
        <v>4</v>
      </c>
      <c r="B5" s="73"/>
      <c r="C5" s="73"/>
      <c r="D5" s="73"/>
      <c r="E5" s="73"/>
      <c r="F5" s="73"/>
      <c r="G5" s="73"/>
      <c r="H5" s="73"/>
      <c r="I5" s="73"/>
      <c r="J5" s="73"/>
      <c r="K5" s="73"/>
    </row>
    <row r="6" spans="1:19" ht="18" x14ac:dyDescent="0.25">
      <c r="A6" s="74" t="s">
        <v>46</v>
      </c>
      <c r="B6" s="74"/>
      <c r="C6" s="74"/>
      <c r="D6" s="74"/>
      <c r="E6" s="74"/>
      <c r="F6" s="74"/>
      <c r="G6" s="10"/>
      <c r="H6" s="76" t="s">
        <v>25</v>
      </c>
      <c r="I6" s="76"/>
      <c r="J6" s="76"/>
      <c r="K6" s="76"/>
    </row>
    <row r="7" spans="1:19" ht="15.75" x14ac:dyDescent="0.25">
      <c r="A7" s="66" t="s">
        <v>35</v>
      </c>
      <c r="B7" s="66"/>
      <c r="C7" s="66"/>
      <c r="D7" s="66"/>
      <c r="E7" s="66"/>
      <c r="F7" s="66"/>
      <c r="G7" s="11"/>
      <c r="H7" s="75" t="s">
        <v>34</v>
      </c>
      <c r="I7" s="75"/>
      <c r="J7" s="75"/>
      <c r="K7" s="75"/>
    </row>
    <row r="8" spans="1:19" ht="15.75" x14ac:dyDescent="0.25">
      <c r="A8" s="12" t="s">
        <v>5</v>
      </c>
      <c r="B8" s="13" t="s">
        <v>6</v>
      </c>
      <c r="C8" s="12" t="s">
        <v>7</v>
      </c>
      <c r="D8" s="14" t="s">
        <v>8</v>
      </c>
      <c r="E8" s="14" t="s">
        <v>9</v>
      </c>
      <c r="F8" s="14" t="s">
        <v>10</v>
      </c>
      <c r="G8" s="14" t="s">
        <v>11</v>
      </c>
      <c r="H8" s="12" t="s">
        <v>12</v>
      </c>
      <c r="I8" s="14" t="s">
        <v>13</v>
      </c>
      <c r="J8" s="14" t="s">
        <v>14</v>
      </c>
      <c r="K8" s="15" t="s">
        <v>15</v>
      </c>
    </row>
    <row r="9" spans="1:19" ht="33" x14ac:dyDescent="0.25">
      <c r="A9" s="16">
        <v>1</v>
      </c>
      <c r="B9" s="39" t="s">
        <v>47</v>
      </c>
      <c r="C9" s="17"/>
      <c r="D9" s="17"/>
      <c r="E9" s="17"/>
      <c r="F9" s="17"/>
      <c r="G9" s="17"/>
      <c r="H9" s="17"/>
      <c r="I9" s="17"/>
      <c r="J9" s="18"/>
      <c r="K9" s="17"/>
    </row>
    <row r="10" spans="1:19" x14ac:dyDescent="0.25">
      <c r="A10" s="16"/>
      <c r="B10" s="32" t="s">
        <v>37</v>
      </c>
      <c r="C10" s="17">
        <v>1</v>
      </c>
      <c r="D10" s="33">
        <v>175</v>
      </c>
      <c r="E10" s="17">
        <v>0.3</v>
      </c>
      <c r="F10" s="17">
        <v>0.45</v>
      </c>
      <c r="G10" s="33">
        <f t="shared" ref="G10:G12" si="0">PRODUCT(C10:F10)</f>
        <v>23.625</v>
      </c>
      <c r="H10" s="17"/>
      <c r="I10" s="17"/>
      <c r="J10" s="18"/>
      <c r="K10" s="17"/>
    </row>
    <row r="11" spans="1:19" x14ac:dyDescent="0.25">
      <c r="A11" s="16"/>
      <c r="B11" s="32"/>
      <c r="C11" s="17">
        <v>1</v>
      </c>
      <c r="D11" s="33">
        <v>150</v>
      </c>
      <c r="E11" s="17">
        <v>0.3</v>
      </c>
      <c r="F11" s="17">
        <v>0.45</v>
      </c>
      <c r="G11" s="33">
        <f t="shared" si="0"/>
        <v>20.25</v>
      </c>
      <c r="H11" s="17"/>
      <c r="I11" s="17"/>
      <c r="J11" s="18"/>
      <c r="K11" s="17"/>
      <c r="R11" s="19">
        <f>480/3.281</f>
        <v>146.29686071319719</v>
      </c>
    </row>
    <row r="12" spans="1:19" x14ac:dyDescent="0.25">
      <c r="A12" s="16"/>
      <c r="B12" s="32"/>
      <c r="C12" s="17">
        <v>1</v>
      </c>
      <c r="D12" s="33">
        <v>415</v>
      </c>
      <c r="E12" s="17">
        <v>0.3</v>
      </c>
      <c r="F12" s="17">
        <v>0.45</v>
      </c>
      <c r="G12" s="33">
        <f t="shared" si="0"/>
        <v>56.024999999999999</v>
      </c>
      <c r="H12" s="17"/>
      <c r="I12" s="17"/>
      <c r="J12" s="18"/>
      <c r="K12" s="17"/>
      <c r="R12" s="19">
        <f>160+135+301</f>
        <v>596</v>
      </c>
      <c r="S12" s="19">
        <f>R12/3.281</f>
        <v>181.65193538555317</v>
      </c>
    </row>
    <row r="13" spans="1:19" s="35" customFormat="1" x14ac:dyDescent="0.25">
      <c r="A13" s="2"/>
      <c r="B13" s="40" t="s">
        <v>28</v>
      </c>
      <c r="C13" s="3"/>
      <c r="D13" s="4"/>
      <c r="E13" s="5"/>
      <c r="F13" s="5"/>
      <c r="G13" s="41">
        <f>SUM(G10:G12)</f>
        <v>99.9</v>
      </c>
      <c r="H13" s="7" t="s">
        <v>29</v>
      </c>
      <c r="I13" s="6">
        <v>963.05</v>
      </c>
      <c r="J13" s="41">
        <f>G13*I13</f>
        <v>96208.695000000007</v>
      </c>
      <c r="K13" s="5"/>
      <c r="R13" s="35">
        <v>1269</v>
      </c>
      <c r="S13" s="35">
        <f>R13/3.281</f>
        <v>386.77232551051509</v>
      </c>
    </row>
    <row r="14" spans="1:19" x14ac:dyDescent="0.25">
      <c r="A14" s="16"/>
      <c r="B14" s="32"/>
      <c r="C14" s="17"/>
      <c r="D14" s="17"/>
      <c r="E14" s="17"/>
      <c r="F14" s="17"/>
      <c r="G14" s="17"/>
      <c r="H14" s="17"/>
      <c r="I14" s="17"/>
      <c r="J14" s="18"/>
      <c r="K14" s="17"/>
    </row>
    <row r="15" spans="1:19" ht="30" x14ac:dyDescent="0.25">
      <c r="A15" s="16">
        <v>2</v>
      </c>
      <c r="B15" s="39" t="s">
        <v>41</v>
      </c>
      <c r="C15" s="17"/>
      <c r="D15" s="17"/>
      <c r="E15" s="17"/>
      <c r="F15" s="17"/>
      <c r="G15" s="17"/>
      <c r="H15" s="17"/>
      <c r="I15" s="17"/>
      <c r="J15" s="17"/>
      <c r="K15" s="17"/>
    </row>
    <row r="16" spans="1:19" x14ac:dyDescent="0.25">
      <c r="A16" s="16"/>
      <c r="B16" s="32" t="s">
        <v>37</v>
      </c>
      <c r="C16" s="17">
        <v>1</v>
      </c>
      <c r="D16" s="33">
        <f>SUM(D20:D22)-100</f>
        <v>1900</v>
      </c>
      <c r="E16" s="17"/>
      <c r="F16" s="17"/>
      <c r="G16" s="33">
        <f t="shared" ref="G16" si="1">PRODUCT(C16:F16)</f>
        <v>1900</v>
      </c>
      <c r="H16" s="17"/>
      <c r="I16" s="17"/>
      <c r="J16" s="18"/>
      <c r="K16" s="17"/>
    </row>
    <row r="17" spans="1:17" s="35" customFormat="1" x14ac:dyDescent="0.25">
      <c r="A17" s="2"/>
      <c r="B17" s="40" t="s">
        <v>28</v>
      </c>
      <c r="C17" s="3"/>
      <c r="D17" s="4"/>
      <c r="E17" s="5"/>
      <c r="F17" s="5"/>
      <c r="G17" s="41">
        <f>SUM(G16:G16)</f>
        <v>1900</v>
      </c>
      <c r="H17" s="7" t="s">
        <v>42</v>
      </c>
      <c r="I17" s="6">
        <f>5319.5/1000</f>
        <v>5.3194999999999997</v>
      </c>
      <c r="J17" s="41">
        <f>G17*I17</f>
        <v>10107.049999999999</v>
      </c>
      <c r="K17" s="5"/>
    </row>
    <row r="18" spans="1:17" x14ac:dyDescent="0.25">
      <c r="A18" s="16"/>
      <c r="B18" s="39"/>
      <c r="C18" s="17"/>
      <c r="D18" s="17"/>
      <c r="E18" s="17"/>
      <c r="F18" s="17"/>
      <c r="G18" s="17"/>
      <c r="H18" s="17"/>
      <c r="I18" s="17"/>
      <c r="J18" s="17"/>
      <c r="K18" s="17"/>
    </row>
    <row r="19" spans="1:17" ht="45" x14ac:dyDescent="0.25">
      <c r="A19" s="16">
        <v>3</v>
      </c>
      <c r="B19" s="36" t="s">
        <v>30</v>
      </c>
      <c r="C19" s="17"/>
      <c r="D19" s="37" t="s">
        <v>27</v>
      </c>
      <c r="E19" s="37" t="s">
        <v>31</v>
      </c>
      <c r="F19" s="37" t="s">
        <v>32</v>
      </c>
      <c r="G19" s="17"/>
      <c r="H19" s="17"/>
      <c r="I19" s="17"/>
      <c r="J19" s="18"/>
      <c r="K19" s="17"/>
    </row>
    <row r="20" spans="1:17" ht="30" x14ac:dyDescent="0.25">
      <c r="A20" s="16"/>
      <c r="B20" s="38" t="s">
        <v>38</v>
      </c>
      <c r="C20" s="17">
        <v>1</v>
      </c>
      <c r="D20" s="17">
        <v>400</v>
      </c>
      <c r="E20" s="17">
        <v>0.33800000000000002</v>
      </c>
      <c r="F20" s="17">
        <f>C20*D20*E20</f>
        <v>135.20000000000002</v>
      </c>
      <c r="G20" s="33">
        <f>F20</f>
        <v>135.20000000000002</v>
      </c>
      <c r="H20" s="17"/>
      <c r="I20" s="17"/>
      <c r="J20" s="18"/>
      <c r="K20" s="17"/>
      <c r="Q20" s="19">
        <f>0.338*287</f>
        <v>97.006</v>
      </c>
    </row>
    <row r="21" spans="1:17" ht="30" x14ac:dyDescent="0.25">
      <c r="A21" s="16"/>
      <c r="B21" s="38" t="s">
        <v>39</v>
      </c>
      <c r="C21" s="17">
        <v>1</v>
      </c>
      <c r="D21" s="17">
        <v>300</v>
      </c>
      <c r="E21" s="17">
        <v>0.33800000000000002</v>
      </c>
      <c r="F21" s="17">
        <f t="shared" ref="F21:F22" si="2">C21*D21*E21</f>
        <v>101.4</v>
      </c>
      <c r="G21" s="33">
        <f t="shared" ref="G21:G22" si="3">F21</f>
        <v>101.4</v>
      </c>
      <c r="H21" s="17"/>
      <c r="I21" s="17"/>
      <c r="J21" s="18"/>
      <c r="K21" s="17"/>
    </row>
    <row r="22" spans="1:17" ht="30" x14ac:dyDescent="0.25">
      <c r="A22" s="16"/>
      <c r="B22" s="38" t="s">
        <v>40</v>
      </c>
      <c r="C22" s="17">
        <v>1</v>
      </c>
      <c r="D22" s="17">
        <v>1300</v>
      </c>
      <c r="E22" s="17">
        <v>0.33800000000000002</v>
      </c>
      <c r="F22" s="17">
        <f t="shared" si="2"/>
        <v>439.40000000000003</v>
      </c>
      <c r="G22" s="33">
        <f t="shared" si="3"/>
        <v>439.40000000000003</v>
      </c>
      <c r="H22" s="17"/>
      <c r="I22" s="17"/>
      <c r="J22" s="18"/>
      <c r="K22" s="17"/>
    </row>
    <row r="23" spans="1:17" ht="15" customHeight="1" x14ac:dyDescent="0.25">
      <c r="A23" s="2"/>
      <c r="B23" s="34" t="s">
        <v>16</v>
      </c>
      <c r="C23" s="3"/>
      <c r="D23" s="4"/>
      <c r="E23" s="5"/>
      <c r="F23" s="5"/>
      <c r="G23" s="6">
        <f>SUM(G20:G22)</f>
        <v>676</v>
      </c>
      <c r="H23" s="7" t="s">
        <v>33</v>
      </c>
      <c r="I23" s="6">
        <v>287</v>
      </c>
      <c r="J23" s="18">
        <f>G23*I23</f>
        <v>194012</v>
      </c>
      <c r="K23" s="5"/>
      <c r="Q23" s="19">
        <f>1.13*287</f>
        <v>324.30999999999995</v>
      </c>
    </row>
    <row r="24" spans="1:17" x14ac:dyDescent="0.25">
      <c r="A24" s="16"/>
      <c r="B24" s="32" t="s">
        <v>36</v>
      </c>
      <c r="C24" s="17"/>
      <c r="D24" s="17"/>
      <c r="E24" s="17"/>
      <c r="F24" s="17"/>
      <c r="G24" s="17"/>
      <c r="H24" s="17"/>
      <c r="I24" s="17"/>
      <c r="J24" s="18">
        <f>0.13*J23</f>
        <v>25221.56</v>
      </c>
      <c r="K24" s="17"/>
    </row>
    <row r="25" spans="1:17" x14ac:dyDescent="0.25">
      <c r="A25" s="16"/>
      <c r="B25" s="17"/>
      <c r="C25" s="17"/>
      <c r="D25" s="17"/>
      <c r="E25" s="17"/>
      <c r="F25" s="17"/>
      <c r="G25" s="17"/>
      <c r="H25" s="17"/>
      <c r="I25" s="17"/>
      <c r="J25" s="17"/>
      <c r="K25" s="17"/>
    </row>
    <row r="26" spans="1:17" x14ac:dyDescent="0.25">
      <c r="A26" s="16">
        <v>4</v>
      </c>
      <c r="B26" s="39" t="s">
        <v>43</v>
      </c>
      <c r="C26" s="17"/>
      <c r="D26" s="17"/>
      <c r="E26" s="17"/>
      <c r="F26" s="17"/>
      <c r="G26" s="17"/>
      <c r="H26" s="17"/>
      <c r="I26" s="17"/>
      <c r="J26" s="17"/>
      <c r="K26" s="17"/>
    </row>
    <row r="27" spans="1:17" x14ac:dyDescent="0.25">
      <c r="A27" s="16"/>
      <c r="B27" s="32" t="s">
        <v>37</v>
      </c>
      <c r="C27" s="17">
        <v>1</v>
      </c>
      <c r="D27" s="33">
        <v>6</v>
      </c>
      <c r="E27" s="17"/>
      <c r="F27" s="17"/>
      <c r="G27" s="33">
        <f t="shared" ref="G27" si="4">PRODUCT(C27:F27)</f>
        <v>6</v>
      </c>
      <c r="H27" s="17"/>
      <c r="I27" s="17"/>
      <c r="J27" s="18"/>
      <c r="K27" s="17"/>
    </row>
    <row r="28" spans="1:17" s="35" customFormat="1" x14ac:dyDescent="0.25">
      <c r="A28" s="2"/>
      <c r="B28" s="40" t="s">
        <v>28</v>
      </c>
      <c r="C28" s="3"/>
      <c r="D28" s="4"/>
      <c r="E28" s="5"/>
      <c r="F28" s="5"/>
      <c r="G28" s="41">
        <f>SUM(G27:G27)</f>
        <v>6</v>
      </c>
      <c r="H28" s="7" t="s">
        <v>42</v>
      </c>
      <c r="I28" s="6">
        <v>452</v>
      </c>
      <c r="J28" s="41">
        <f>G28*I28</f>
        <v>2712</v>
      </c>
      <c r="K28" s="5"/>
    </row>
    <row r="29" spans="1:17" x14ac:dyDescent="0.25">
      <c r="A29" s="16"/>
      <c r="B29" s="39"/>
      <c r="C29" s="17"/>
      <c r="D29" s="17"/>
      <c r="E29" s="17"/>
      <c r="F29" s="17"/>
      <c r="G29" s="17"/>
      <c r="H29" s="17"/>
      <c r="I29" s="17"/>
      <c r="J29" s="17"/>
      <c r="K29" s="17"/>
    </row>
    <row r="30" spans="1:17" s="35" customFormat="1" ht="30" x14ac:dyDescent="0.25">
      <c r="A30" s="2">
        <v>5</v>
      </c>
      <c r="B30" s="42" t="s">
        <v>44</v>
      </c>
      <c r="C30" s="3">
        <v>1</v>
      </c>
      <c r="D30" s="4"/>
      <c r="E30" s="5"/>
      <c r="F30" s="5"/>
      <c r="G30" s="41">
        <f t="shared" ref="G30" si="5">PRODUCT(C30:F30)</f>
        <v>1</v>
      </c>
      <c r="H30" s="7" t="s">
        <v>45</v>
      </c>
      <c r="I30" s="6">
        <v>7000</v>
      </c>
      <c r="J30" s="41">
        <f>G30*I30</f>
        <v>7000</v>
      </c>
      <c r="K30" s="5"/>
    </row>
    <row r="31" spans="1:17" x14ac:dyDescent="0.25">
      <c r="A31" s="16"/>
      <c r="B31" s="39"/>
      <c r="C31" s="17"/>
      <c r="D31" s="17"/>
      <c r="E31" s="17"/>
      <c r="F31" s="17"/>
      <c r="G31" s="17"/>
      <c r="H31" s="17"/>
      <c r="I31" s="17"/>
      <c r="J31" s="17"/>
      <c r="K31" s="17"/>
    </row>
    <row r="32" spans="1:17" ht="15" customHeight="1" x14ac:dyDescent="0.25">
      <c r="A32" s="2">
        <v>6</v>
      </c>
      <c r="B32" s="1" t="s">
        <v>17</v>
      </c>
      <c r="C32" s="3">
        <v>1</v>
      </c>
      <c r="D32" s="4"/>
      <c r="E32" s="5"/>
      <c r="F32" s="5"/>
      <c r="G32" s="7">
        <f t="shared" ref="G32" si="6">PRODUCT(C32:F32)</f>
        <v>1</v>
      </c>
      <c r="H32" s="7" t="s">
        <v>18</v>
      </c>
      <c r="I32" s="6">
        <v>500</v>
      </c>
      <c r="J32" s="7">
        <f>G32*I32</f>
        <v>500</v>
      </c>
      <c r="K32" s="5"/>
    </row>
    <row r="33" spans="1:19" x14ac:dyDescent="0.25">
      <c r="A33" s="2"/>
      <c r="B33" s="8"/>
      <c r="C33" s="3"/>
      <c r="D33" s="4"/>
      <c r="E33" s="5"/>
      <c r="F33" s="5"/>
      <c r="G33" s="6"/>
      <c r="H33" s="7"/>
      <c r="I33" s="6"/>
      <c r="J33" s="18"/>
      <c r="K33" s="5"/>
    </row>
    <row r="34" spans="1:19" x14ac:dyDescent="0.25">
      <c r="A34" s="21"/>
      <c r="B34" s="22" t="s">
        <v>20</v>
      </c>
      <c r="C34" s="23"/>
      <c r="D34" s="24"/>
      <c r="E34" s="24"/>
      <c r="F34" s="24"/>
      <c r="G34" s="18"/>
      <c r="H34" s="18"/>
      <c r="I34" s="18"/>
      <c r="J34" s="18">
        <f>SUM(J9:J32)</f>
        <v>335761.30499999999</v>
      </c>
      <c r="K34" s="25"/>
    </row>
    <row r="35" spans="1:19" x14ac:dyDescent="0.25">
      <c r="M35" s="20"/>
      <c r="N35" s="20"/>
      <c r="O35" s="20"/>
      <c r="P35" s="20"/>
      <c r="Q35" s="20"/>
      <c r="R35" s="20"/>
      <c r="S35" s="20"/>
    </row>
    <row r="36" spans="1:19" s="20" customFormat="1" x14ac:dyDescent="0.25">
      <c r="A36" s="26"/>
      <c r="B36" s="27" t="s">
        <v>19</v>
      </c>
      <c r="C36" s="64">
        <f>J34</f>
        <v>335761.30499999999</v>
      </c>
      <c r="D36" s="65"/>
      <c r="E36" s="9">
        <v>100</v>
      </c>
      <c r="F36" s="26"/>
      <c r="G36" s="28"/>
      <c r="H36" s="26"/>
      <c r="I36" s="29"/>
      <c r="J36" s="30"/>
      <c r="K36" s="31"/>
      <c r="M36" s="19"/>
      <c r="N36" s="19"/>
      <c r="O36" s="19"/>
      <c r="P36" s="19"/>
      <c r="Q36" s="19"/>
      <c r="R36" s="19"/>
      <c r="S36" s="19"/>
    </row>
    <row r="37" spans="1:19" x14ac:dyDescent="0.25">
      <c r="B37" s="27" t="s">
        <v>21</v>
      </c>
      <c r="C37" s="67">
        <v>300000</v>
      </c>
      <c r="D37" s="68"/>
      <c r="E37" s="9"/>
    </row>
    <row r="38" spans="1:19" x14ac:dyDescent="0.25">
      <c r="B38" s="27" t="s">
        <v>22</v>
      </c>
      <c r="C38" s="67">
        <f>C37-C40-C41</f>
        <v>285000</v>
      </c>
      <c r="D38" s="68"/>
      <c r="E38" s="9">
        <f>C38/C36*100</f>
        <v>84.881728703073762</v>
      </c>
    </row>
    <row r="39" spans="1:19" x14ac:dyDescent="0.25">
      <c r="B39" s="27" t="s">
        <v>26</v>
      </c>
      <c r="C39" s="69">
        <f>C36-C38</f>
        <v>50761.304999999993</v>
      </c>
      <c r="D39" s="69"/>
      <c r="E39" s="9">
        <f>100-E38</f>
        <v>15.118271296926238</v>
      </c>
    </row>
    <row r="40" spans="1:19" x14ac:dyDescent="0.25">
      <c r="B40" s="27" t="s">
        <v>23</v>
      </c>
      <c r="C40" s="64">
        <f>C37*0.03</f>
        <v>9000</v>
      </c>
      <c r="D40" s="65"/>
      <c r="E40" s="9">
        <v>3</v>
      </c>
    </row>
    <row r="41" spans="1:19" x14ac:dyDescent="0.25">
      <c r="B41" s="27" t="s">
        <v>24</v>
      </c>
      <c r="C41" s="64">
        <f>C37*0.02</f>
        <v>6000</v>
      </c>
      <c r="D41" s="65"/>
      <c r="E41" s="9">
        <v>2</v>
      </c>
    </row>
  </sheetData>
  <mergeCells count="15">
    <mergeCell ref="C40:D40"/>
    <mergeCell ref="C41:D41"/>
    <mergeCell ref="A7:F7"/>
    <mergeCell ref="H7:K7"/>
    <mergeCell ref="C36:D36"/>
    <mergeCell ref="C37:D37"/>
    <mergeCell ref="C38:D38"/>
    <mergeCell ref="C39:D39"/>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estimate</vt:lpstr>
      <vt:lpstr>WCR</vt:lpstr>
      <vt:lpstr>V</vt:lpstr>
      <vt:lpstr>M</vt:lpstr>
      <vt:lpstr>original estimate</vt:lpstr>
      <vt:lpstr>estimate!Print_Area</vt:lpstr>
      <vt:lpstr>M!Print_Area</vt:lpstr>
      <vt:lpstr>'original estimate'!Print_Area</vt:lpstr>
      <vt:lpstr>V!Print_Area</vt:lpstr>
      <vt:lpstr>WCR!Print_Area</vt:lpstr>
      <vt:lpstr>estimate!Print_Titles</vt:lpstr>
      <vt:lpstr>M!Print_Titles</vt:lpstr>
      <vt:lpstr>'original estimate'!Print_Titles</vt:lpstr>
      <vt:lpstr>V!Print_Titles</vt:lpstr>
      <vt:lpstr>WCR!Print_Titles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2026-05-19T05:06:29Z</dcterms:modified>
</cp:coreProperties>
</file>