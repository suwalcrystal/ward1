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124226"/>
  <xr:revisionPtr revIDLastSave="0" documentId="13_ncr:1_{EB733EAF-A4F9-477B-BE11-ECBA2198FB0F}"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2" i="13" l="1"/>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80" i="13" l="1"/>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J140" i="13" l="1"/>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C158" i="13" l="1"/>
  <c r="C157" i="13"/>
  <c r="G149" i="13"/>
  <c r="J149" i="13" s="1"/>
  <c r="C155" i="13" l="1"/>
  <c r="G115" i="13"/>
  <c r="G121" i="13" s="1"/>
  <c r="J124" i="13" l="1"/>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J62" i="13" l="1"/>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alcChain>
</file>

<file path=xl/sharedStrings.xml><?xml version="1.0" encoding="utf-8"?>
<sst xmlns="http://schemas.openxmlformats.org/spreadsheetml/2006/main" count="136" uniqueCount="89">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</sst>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164" fontId="3" fillId="0" borderId="2" xfId="1" applyNumberFormat="1" applyFont="1" applyFill="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abSelected="1" topLeftCell="A136" zoomScaleNormal="100" workbookViewId="0">
      <selection activeCell="H145" sqref="H145"/>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3" t="s">
        <v>0</v>
      </c>
      <c r="B1" s="53"/>
      <c r="C1" s="53"/>
      <c r="D1" s="53"/>
      <c r="E1" s="53"/>
      <c r="F1" s="53"/>
      <c r="G1" s="53"/>
      <c r="H1" s="53"/>
      <c r="I1" s="53"/>
      <c r="J1" s="53"/>
      <c r="K1" s="53"/>
    </row>
    <row r="2" spans="1:11" ht="22.5" x14ac:dyDescent="0.25">
      <c r="A2" s="54" t="s">
        <v>1</v>
      </c>
      <c r="B2" s="54"/>
      <c r="C2" s="54"/>
      <c r="D2" s="54"/>
      <c r="E2" s="54"/>
      <c r="F2" s="54"/>
      <c r="G2" s="54"/>
      <c r="H2" s="54"/>
      <c r="I2" s="54"/>
      <c r="J2" s="54"/>
      <c r="K2" s="54"/>
    </row>
    <row r="3" spans="1:11" x14ac:dyDescent="0.25">
      <c r="A3" s="55" t="s">
        <v>2</v>
      </c>
      <c r="B3" s="55"/>
      <c r="C3" s="55"/>
      <c r="D3" s="55"/>
      <c r="E3" s="55"/>
      <c r="F3" s="55"/>
      <c r="G3" s="55"/>
      <c r="H3" s="55"/>
      <c r="I3" s="55"/>
      <c r="J3" s="55"/>
      <c r="K3" s="55"/>
    </row>
    <row r="4" spans="1:11" x14ac:dyDescent="0.25">
      <c r="A4" s="55" t="s">
        <v>3</v>
      </c>
      <c r="B4" s="55"/>
      <c r="C4" s="55"/>
      <c r="D4" s="55"/>
      <c r="E4" s="55"/>
      <c r="F4" s="55"/>
      <c r="G4" s="55"/>
      <c r="H4" s="55"/>
      <c r="I4" s="55"/>
      <c r="J4" s="55"/>
      <c r="K4" s="55"/>
    </row>
    <row r="5" spans="1:11" ht="18.75" x14ac:dyDescent="0.3">
      <c r="A5" s="56" t="s">
        <v>4</v>
      </c>
      <c r="B5" s="56"/>
      <c r="C5" s="56"/>
      <c r="D5" s="56"/>
      <c r="E5" s="56"/>
      <c r="F5" s="56"/>
      <c r="G5" s="56"/>
      <c r="H5" s="56"/>
      <c r="I5" s="56"/>
      <c r="J5" s="56"/>
      <c r="K5" s="56"/>
    </row>
    <row r="6" spans="1:11" ht="15.75" x14ac:dyDescent="0.25">
      <c r="A6" s="57" t="s">
        <v>86</v>
      </c>
      <c r="B6" s="57"/>
      <c r="C6" s="57"/>
      <c r="D6" s="57"/>
      <c r="E6" s="57"/>
      <c r="F6" s="57"/>
      <c r="G6" s="4"/>
      <c r="H6" s="58" t="s">
        <v>25</v>
      </c>
      <c r="I6" s="58"/>
      <c r="J6" s="58"/>
      <c r="K6" s="58"/>
    </row>
    <row r="7" spans="1:11" ht="15.75" x14ac:dyDescent="0.25">
      <c r="A7" s="51" t="s">
        <v>29</v>
      </c>
      <c r="B7" s="51"/>
      <c r="C7" s="51"/>
      <c r="D7" s="51"/>
      <c r="E7" s="51"/>
      <c r="F7" s="51"/>
      <c r="G7" s="5"/>
      <c r="H7" s="52" t="s">
        <v>88</v>
      </c>
      <c r="I7" s="52"/>
      <c r="J7" s="52"/>
      <c r="K7" s="52"/>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59">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46">
        <f>J151</f>
        <v>791637.34255256748</v>
      </c>
      <c r="D153" s="47"/>
      <c r="E153" s="39">
        <v>100</v>
      </c>
      <c r="F153" s="37"/>
      <c r="G153" s="40"/>
      <c r="H153" s="37"/>
      <c r="I153" s="41"/>
      <c r="J153" s="42"/>
      <c r="K153" s="43"/>
    </row>
    <row r="154" spans="1:11" s="10" customFormat="1" x14ac:dyDescent="0.25">
      <c r="B154" s="38" t="s">
        <v>21</v>
      </c>
      <c r="C154" s="48">
        <v>700000</v>
      </c>
      <c r="D154" s="49"/>
      <c r="E154" s="39"/>
    </row>
    <row r="155" spans="1:11" s="10" customFormat="1" x14ac:dyDescent="0.25">
      <c r="B155" s="38" t="s">
        <v>22</v>
      </c>
      <c r="C155" s="48">
        <f>C154-C157-C158</f>
        <v>665000</v>
      </c>
      <c r="D155" s="49"/>
      <c r="E155" s="39">
        <f>C155/C153*100</f>
        <v>84.003111558098539</v>
      </c>
    </row>
    <row r="156" spans="1:11" s="10" customFormat="1" x14ac:dyDescent="0.25">
      <c r="B156" s="38" t="s">
        <v>26</v>
      </c>
      <c r="C156" s="50">
        <f>C153-C155</f>
        <v>126637.34255256748</v>
      </c>
      <c r="D156" s="50"/>
      <c r="E156" s="39">
        <f>100-E155</f>
        <v>15.996888441901461</v>
      </c>
    </row>
    <row r="157" spans="1:11" s="10" customFormat="1" x14ac:dyDescent="0.25">
      <c r="B157" s="38" t="s">
        <v>23</v>
      </c>
      <c r="C157" s="46">
        <f>C154*0.03</f>
        <v>21000</v>
      </c>
      <c r="D157" s="47"/>
      <c r="E157" s="39">
        <v>3</v>
      </c>
    </row>
    <row r="158" spans="1:11" s="10" customFormat="1" x14ac:dyDescent="0.25">
      <c r="B158" s="38" t="s">
        <v>24</v>
      </c>
      <c r="C158" s="46">
        <f>C154*0.02</f>
        <v>14000</v>
      </c>
      <c r="D158" s="47"/>
      <c r="E158" s="39">
        <v>2</v>
      </c>
    </row>
  </sheetData>
  <mergeCells count="15">
    <mergeCell ref="A7:F7"/>
    <mergeCell ref="H7:K7"/>
    <mergeCell ref="A1:K1"/>
    <mergeCell ref="A2:K2"/>
    <mergeCell ref="A3:K3"/>
    <mergeCell ref="A4:K4"/>
    <mergeCell ref="A5:K5"/>
    <mergeCell ref="A6:F6"/>
    <mergeCell ref="H6:K6"/>
    <mergeCell ref="C158:D158"/>
    <mergeCell ref="C153:D153"/>
    <mergeCell ref="C154:D154"/>
    <mergeCell ref="C155:D155"/>
    <mergeCell ref="C156:D156"/>
    <mergeCell ref="C157:D157"/>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2026-02-02T06:20:22Z</dcterms:modified>
</cp:coreProperties>
</file>