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1" i="13" l="1"/>
  <c r="J147" i="13"/>
  <c r="G147" i="13"/>
  <c r="E85" i="13"/>
  <c r="F85" i="13" s="1"/>
  <c r="G85" i="13" s="1"/>
  <c r="E86" i="13"/>
  <c r="F86" i="13"/>
  <c r="G86" i="13" s="1"/>
  <c r="E87" i="13"/>
  <c r="F87" i="13"/>
  <c r="G87" i="13"/>
  <c r="C87" i="13"/>
  <c r="C85" i="13"/>
  <c r="D86" i="13"/>
  <c r="F84" i="13"/>
  <c r="G84" i="13" s="1"/>
  <c r="E84" i="13"/>
  <c r="D84" i="13"/>
  <c r="G60" i="13"/>
  <c r="G61" i="13"/>
  <c r="E61" i="13"/>
  <c r="E60" i="13"/>
  <c r="D61" i="13"/>
  <c r="D60" i="13"/>
  <c r="C61" i="13"/>
  <c r="C60" i="13"/>
  <c r="B60" i="13"/>
  <c r="D43" i="13"/>
  <c r="G43" i="13" s="1"/>
  <c r="G42" i="13"/>
  <c r="D42" i="13"/>
  <c r="E83" i="13"/>
  <c r="F83" i="13" s="1"/>
  <c r="G83" i="13" s="1"/>
  <c r="E82" i="13"/>
  <c r="F82" i="13"/>
  <c r="G82" i="13" s="1"/>
  <c r="C83" i="13"/>
  <c r="C82" i="13"/>
  <c r="D83" i="13"/>
  <c r="D82" i="13"/>
  <c r="B82" i="13"/>
  <c r="G59" i="13"/>
  <c r="F59" i="13"/>
  <c r="D59" i="13"/>
  <c r="C59" i="13"/>
  <c r="B59" i="13"/>
  <c r="G41" i="13"/>
  <c r="F41" i="13"/>
  <c r="D41" i="13"/>
  <c r="G27" i="13"/>
  <c r="C81" i="13"/>
  <c r="F81" i="13" s="1"/>
  <c r="G81" i="13" s="1"/>
  <c r="E81" i="13"/>
  <c r="D81" i="13"/>
  <c r="E80" i="13"/>
  <c r="F80" i="13" s="1"/>
  <c r="G80" i="13" s="1"/>
  <c r="D80" i="13"/>
  <c r="C80" i="13"/>
  <c r="B80" i="13"/>
  <c r="G58" i="13"/>
  <c r="F58" i="13"/>
  <c r="D58" i="13"/>
  <c r="C58" i="13"/>
  <c r="B58" i="13"/>
  <c r="G40" i="13"/>
  <c r="D40" i="13"/>
  <c r="J145" i="13"/>
  <c r="C79" i="13"/>
  <c r="F79" i="13" s="1"/>
  <c r="G79" i="13" s="1"/>
  <c r="E79" i="13"/>
  <c r="D79" i="13"/>
  <c r="F78" i="13"/>
  <c r="G78" i="13" s="1"/>
  <c r="E78" i="13"/>
  <c r="D78" i="13"/>
  <c r="C78" i="13"/>
  <c r="B78" i="13"/>
  <c r="F57" i="13"/>
  <c r="C57" i="13"/>
  <c r="B57" i="13"/>
  <c r="F143" i="13"/>
  <c r="G143" i="13" s="1"/>
  <c r="G144" i="13" s="1"/>
  <c r="F131" i="13"/>
  <c r="F138" i="13"/>
  <c r="D138" i="13"/>
  <c r="C131" i="13"/>
  <c r="C130" i="13"/>
  <c r="B103" i="13"/>
  <c r="B102" i="13"/>
  <c r="D131" i="13"/>
  <c r="F130" i="13"/>
  <c r="D130" i="13"/>
  <c r="F129" i="13"/>
  <c r="D129" i="13"/>
  <c r="D128" i="13"/>
  <c r="E74" i="13"/>
  <c r="E73" i="13"/>
  <c r="E77" i="13"/>
  <c r="E76" i="13"/>
  <c r="D77" i="13"/>
  <c r="D76" i="13"/>
  <c r="E75" i="13"/>
  <c r="D75" i="13"/>
  <c r="C75" i="13"/>
  <c r="D74" i="13"/>
  <c r="D73" i="13"/>
  <c r="M72" i="13"/>
  <c r="D72" i="13"/>
  <c r="C74" i="13" s="1"/>
  <c r="E72" i="13"/>
  <c r="E71" i="13"/>
  <c r="D71" i="13"/>
  <c r="C72" i="13"/>
  <c r="C71" i="13"/>
  <c r="E70" i="13"/>
  <c r="E69" i="13"/>
  <c r="C70" i="13"/>
  <c r="C69" i="13"/>
  <c r="D69" i="13"/>
  <c r="C101" i="13"/>
  <c r="C129" i="13" s="1"/>
  <c r="C100" i="13"/>
  <c r="C128" i="13" s="1"/>
  <c r="C103" i="13"/>
  <c r="C102" i="13"/>
  <c r="F120" i="13"/>
  <c r="F103" i="13" s="1"/>
  <c r="D120" i="13"/>
  <c r="D103" i="13" s="1"/>
  <c r="F119" i="13"/>
  <c r="F102" i="13" s="1"/>
  <c r="D119" i="13"/>
  <c r="D102" i="13" s="1"/>
  <c r="C109" i="13"/>
  <c r="B109" i="13"/>
  <c r="C26" i="13"/>
  <c r="B26" i="13"/>
  <c r="E93" i="13"/>
  <c r="E26" i="13" s="1"/>
  <c r="D93" i="13"/>
  <c r="D109" i="13" s="1"/>
  <c r="D117" i="13"/>
  <c r="D101" i="13" s="1"/>
  <c r="F117" i="13"/>
  <c r="F101" i="13" s="1"/>
  <c r="F116" i="13"/>
  <c r="D116" i="13"/>
  <c r="D100" i="13" s="1"/>
  <c r="I121" i="13"/>
  <c r="B115" i="13"/>
  <c r="F56" i="13"/>
  <c r="C56" i="13"/>
  <c r="B56" i="13"/>
  <c r="B77" i="13" s="1"/>
  <c r="D55" i="13"/>
  <c r="C55" i="13"/>
  <c r="B55" i="13"/>
  <c r="F54" i="13"/>
  <c r="B54" i="13"/>
  <c r="B75" i="13" s="1"/>
  <c r="C53" i="13"/>
  <c r="B53" i="13"/>
  <c r="F37" i="13"/>
  <c r="F55" i="13" s="1"/>
  <c r="F36" i="13"/>
  <c r="F53" i="13" s="1"/>
  <c r="D36" i="13"/>
  <c r="D53" i="13" s="1"/>
  <c r="C25" i="13"/>
  <c r="B25" i="13"/>
  <c r="D17" i="13"/>
  <c r="D25" i="13" s="1"/>
  <c r="E17" i="13"/>
  <c r="E25" i="13" s="1"/>
  <c r="B16" i="13"/>
  <c r="B24" i="13" s="1"/>
  <c r="C16" i="13"/>
  <c r="E16" i="13"/>
  <c r="E24" i="13" s="1"/>
  <c r="E35" i="13" s="1"/>
  <c r="E38" i="13" s="1"/>
  <c r="E15" i="13"/>
  <c r="E23" i="13" s="1"/>
  <c r="D15" i="13"/>
  <c r="D23" i="13" s="1"/>
  <c r="C15" i="13"/>
  <c r="C23" i="13" s="1"/>
  <c r="B15" i="13"/>
  <c r="B23" i="13" s="1"/>
  <c r="B34" i="13" s="1"/>
  <c r="B69" i="13" s="1"/>
  <c r="F11" i="13"/>
  <c r="D11" i="13"/>
  <c r="G116" i="13" l="1"/>
  <c r="D118" i="13"/>
  <c r="G118" i="13" s="1"/>
  <c r="J144" i="13"/>
  <c r="C73" i="13"/>
  <c r="G131" i="13"/>
  <c r="G138" i="13"/>
  <c r="G139" i="13" s="1"/>
  <c r="G120" i="13"/>
  <c r="G129" i="13"/>
  <c r="G119" i="13"/>
  <c r="D26" i="13"/>
  <c r="G130" i="13"/>
  <c r="G102" i="13"/>
  <c r="G117" i="13"/>
  <c r="E109" i="13"/>
  <c r="F100" i="13"/>
  <c r="F128" i="13" s="1"/>
  <c r="G128" i="13" s="1"/>
  <c r="G103" i="13"/>
  <c r="G26" i="13"/>
  <c r="G11" i="13"/>
  <c r="G17" i="13"/>
  <c r="D16" i="13"/>
  <c r="D24" i="13" s="1"/>
  <c r="D35" i="13" s="1"/>
  <c r="D115" i="13" s="1"/>
  <c r="G25" i="13"/>
  <c r="C24" i="13"/>
  <c r="J140" i="13" l="1"/>
  <c r="J139" i="13"/>
  <c r="G132" i="13"/>
  <c r="G16" i="13"/>
  <c r="D54" i="13"/>
  <c r="D38" i="13"/>
  <c r="G24" i="13"/>
  <c r="C35" i="13"/>
  <c r="D56" i="13" l="1"/>
  <c r="D39" i="13"/>
  <c r="J132" i="13"/>
  <c r="J134" i="13"/>
  <c r="J133" i="13"/>
  <c r="C76" i="13"/>
  <c r="C77" i="13"/>
  <c r="F77" i="13" s="1"/>
  <c r="G77" i="13" s="1"/>
  <c r="C54" i="13"/>
  <c r="C115" i="13"/>
  <c r="D57" i="13" l="1"/>
  <c r="G57" i="13" s="1"/>
  <c r="G39" i="13"/>
  <c r="C158" i="13" l="1"/>
  <c r="C157" i="13"/>
  <c r="G149" i="13"/>
  <c r="J149" i="13" s="1"/>
  <c r="C155" i="13" l="1"/>
  <c r="G115" i="13"/>
  <c r="G121" i="13" s="1"/>
  <c r="J124" i="13" l="1"/>
  <c r="J122" i="13"/>
  <c r="J123" i="13"/>
  <c r="J125" i="13"/>
  <c r="G56" i="13"/>
  <c r="F76" i="13"/>
  <c r="G76" i="13" s="1"/>
  <c r="F74" i="13"/>
  <c r="G74" i="13" s="1"/>
  <c r="J121" i="13"/>
  <c r="F73" i="13"/>
  <c r="G73" i="13" s="1"/>
  <c r="F75" i="13"/>
  <c r="G75" i="13" s="1"/>
  <c r="G93" i="13"/>
  <c r="G94" i="13" s="1"/>
  <c r="G101" i="13"/>
  <c r="G100" i="13"/>
  <c r="G104" i="13" s="1"/>
  <c r="F71" i="13"/>
  <c r="G71" i="13" s="1"/>
  <c r="G53" i="13"/>
  <c r="G54" i="13"/>
  <c r="G55" i="13"/>
  <c r="G62" i="13" s="1"/>
  <c r="J62" i="13" l="1"/>
  <c r="J106" i="13"/>
  <c r="G109" i="13"/>
  <c r="G110" i="13" s="1"/>
  <c r="J112" i="13" s="1"/>
  <c r="F72" i="13"/>
  <c r="G72" i="13" s="1"/>
  <c r="J94" i="13"/>
  <c r="J96" i="13"/>
  <c r="J97" i="13"/>
  <c r="J95" i="13"/>
  <c r="G10" i="13"/>
  <c r="G12" i="13" s="1"/>
  <c r="G15" i="13"/>
  <c r="G18" i="13" s="1"/>
  <c r="G23" i="13"/>
  <c r="F69" i="13"/>
  <c r="G69" i="13" s="1"/>
  <c r="G36" i="13"/>
  <c r="G35" i="13"/>
  <c r="G34" i="13"/>
  <c r="G37" i="13"/>
  <c r="F70" i="13"/>
  <c r="G70" i="13" s="1"/>
  <c r="G88" i="13" l="1"/>
  <c r="J88" i="13" s="1"/>
  <c r="J27" i="13"/>
  <c r="J20" i="13"/>
  <c r="J19" i="13"/>
  <c r="J110" i="13"/>
  <c r="J111" i="13"/>
  <c r="J104" i="13"/>
  <c r="J105" i="13"/>
  <c r="J28" i="13"/>
  <c r="J30" i="13"/>
  <c r="J29" i="13"/>
  <c r="J31" i="13"/>
  <c r="J12" i="13"/>
  <c r="J63" i="13"/>
  <c r="J64" i="13"/>
  <c r="J65" i="13"/>
  <c r="J66" i="13"/>
  <c r="J18" i="13"/>
  <c r="G38" i="13"/>
  <c r="G44" i="13" s="1"/>
  <c r="J44" i="13" l="1"/>
  <c r="J90" i="13"/>
  <c r="J89" i="13"/>
  <c r="J47" i="13"/>
  <c r="J50" i="13"/>
  <c r="J46" i="13"/>
  <c r="J48" i="13"/>
  <c r="J45" i="13"/>
  <c r="J49" i="13"/>
  <c r="C153" i="13" l="1"/>
  <c r="C156" i="13" s="1"/>
  <c r="E155" i="13" l="1"/>
  <c r="E156" i="13" s="1"/>
</calcChain>
</file>

<file path=xl/sharedStrings.xml><?xml version="1.0" encoding="utf-8"?>
<sst xmlns="http://schemas.openxmlformats.org/spreadsheetml/2006/main" count="135" uniqueCount="88">
  <si>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</si>
  <si>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</si>
  <si>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</si>
  <si>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</si>
  <si>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</si>
  <si>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</si>
  <si>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</si>
  <si>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</si>
  <si>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</si>
  <si>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</si>
  <si>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</si>
  <si>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</si>
  <si>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</si>
  <si>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</si>
  <si>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</si>
  <si>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</si>
  <si>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</si>
  <si>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</si>
  <si>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</si>
  <si>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</si>
  <si>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</si>
  <si>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</si>
  <si>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</si>
  <si>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</si>
  <si>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</si>
  <si>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</si>
  <si>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</si>
  <si>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</si>
  <si>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</si>
  <si>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</si>
  <si>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</si>
  <si>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</si>
  <si>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</si>
  <si>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</si>
  <si>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</si>
  <si>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hu leQf kvf{ndf l;d]G6 s+lqm6 ug]{ sfd-lk=;L=;L= +!M#M^_</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</si>
  <si>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</si>
  <si>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</si>
  <si>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</si>
  <si>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</si>
  <si>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</si>
  <si>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</si>
  <si>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</si>
  <si>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</si>
  <si>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</si>
  <si>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</si>
  <si>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</si>
  <si>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</si>
  <si>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</si>
  <si>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</si>
  <si>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</si>
  <si>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l;d]G6 s+qmL6 ˆnf]l/Ë -!M@M$_ -#* dL=dL=_</t>
  </si>
  <si>
    <t>-for flooring</t>
  </si>
  <si>
    <t>!@=% dL=dL= l;d]G6 afn'jf -!M$_ Knfi6/</t>
  </si>
  <si>
    <t># dL=dL= df]6fO{ d;Lgf] l;d]G6 3f]6\g] sfd</t>
  </si>
  <si>
    <t>-13% VAT for brick</t>
  </si>
  <si>
    <t>g/d k|sf/sf] Sn] / l;N6L df6f]df ;j} lsl;dsf] vGg] sfd</t>
  </si>
  <si>
    <t>-for foundation</t>
  </si>
  <si>
    <t>;'Vvf O{6f RofK6f] 5fKg] sfd</t>
  </si>
  <si>
    <t>-for tie beam</t>
  </si>
  <si>
    <t>-for neck column</t>
  </si>
  <si>
    <t>-GF column</t>
  </si>
  <si>
    <t>-for beam</t>
  </si>
  <si>
    <t>e'O{+tNnfdf lrDgL e§fsf] O{+6fsf] uf/f] l;d]G6 d;nf -!M^_ df</t>
  </si>
  <si>
    <t>-13% VAT for sanda</t>
  </si>
  <si>
    <t>-at existing paati</t>
  </si>
  <si>
    <t>-for flooring at existing paati</t>
  </si>
  <si>
    <t>-at existing paati wall</t>
  </si>
  <si>
    <t>-deduction for window</t>
  </si>
  <si>
    <t>-deduction for chain gate</t>
  </si>
  <si>
    <t>-for neck column to 1st floor</t>
  </si>
  <si>
    <t>-for binding stirrups</t>
  </si>
  <si>
    <t>.-for stirrups</t>
  </si>
  <si>
    <t xml:space="preserve"> Ps sf]6 k|fO{d/ ;lxt b'O{ sf]6 j]b/sf]6 k]G6 ug]{ sfd</t>
  </si>
  <si>
    <t>-13% VAT for aster</t>
  </si>
  <si>
    <t>-13% VAT for weather coat</t>
  </si>
  <si>
    <t>kmnfd] sf]nfK;Lan u]6 k]lG6Ë / h8fg ;d]t ug]{</t>
  </si>
  <si>
    <t>-for chain gate</t>
  </si>
  <si>
    <r>
      <t xml:space="preserve"># </t>
    </r>
    <r>
      <rPr>
        <b/>
        <sz val="12"/>
        <rFont val="Arial"/>
        <family val="2"/>
      </rPr>
      <t>X</t>
    </r>
    <r>
      <rPr>
        <b/>
        <sz val="12"/>
        <rFont val="Preeti"/>
      </rPr>
      <t xml:space="preserve"> @) dL=dL= kmnfd] lu|n agfO{ vfS;L nufO{ /]8cS;fO8 k]G6 </t>
    </r>
  </si>
  <si>
    <t>-for window</t>
  </si>
  <si>
    <t>-kitab rakhne thaun</t>
  </si>
  <si>
    <t>-for support beam</t>
  </si>
  <si>
    <t>-for column over support beam</t>
  </si>
  <si>
    <t>-for inclined slab</t>
  </si>
  <si>
    <t>-for cantilever</t>
  </si>
  <si>
    <t>Provisional sum for lab tests</t>
  </si>
  <si>
    <r>
      <t>Project:-</t>
    </r>
    <r>
      <rPr>
        <sz val="12"/>
        <rFont val="Preeti"/>
      </rPr>
      <t xml:space="preserve"> ef]tfª\u] lrxfgkfl6</t>
    </r>
  </si>
  <si>
    <t>Date:2082/09/13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</si>
</sst>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b/>
      <sz val="12"/>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Fill="1" applyBorder="1"/>
    <xf numFmtId="0" fontId="3" fillId="0" borderId="0" xfId="0" applyFont="1" applyFill="1" applyAlignment="1">
      <alignment horizontal="center" vertical="center"/>
    </xf>
    <xf numFmtId="0" fontId="0" fillId="0" borderId="0" xfId="0" applyFill="1"/>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9" fillId="0" borderId="0" xfId="0" applyFont="1" applyFill="1" applyAlignment="1">
      <alignment horizontal="center"/>
    </xf>
    <xf numFmtId="0" fontId="8" fillId="0" borderId="0" xfId="0" applyFont="1" applyFill="1" applyAlignment="1">
      <alignment horizontal="right"/>
    </xf>
    <xf numFmtId="0" fontId="8" fillId="0" borderId="1" xfId="0" applyFont="1" applyFill="1" applyBorder="1"/>
    <xf numFmtId="164" fontId="9" fillId="0" borderId="0" xfId="1" applyFont="1" applyFill="1"/>
    <xf numFmtId="0" fontId="8" fillId="0" borderId="1" xfId="0" applyFont="1" applyFill="1" applyBorder="1" applyAlignment="1">
      <alignment horizontal="right"/>
    </xf>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4" fillId="0" borderId="0" xfId="0" applyFont="1" applyFill="1"/>
    <xf numFmtId="0" fontId="13" fillId="0" borderId="2" xfId="0" applyFont="1" applyFill="1" applyBorder="1" applyAlignment="1">
      <alignment vertical="center"/>
    </xf>
    <xf numFmtId="0" fontId="14" fillId="0" borderId="2" xfId="0" applyFont="1" applyFill="1" applyBorder="1" applyAlignment="1">
      <alignment wrapText="1"/>
    </xf>
    <xf numFmtId="0" fontId="0" fillId="0" borderId="2" xfId="0" applyFill="1" applyBorder="1" applyAlignment="1">
      <alignment vertical="center"/>
    </xf>
    <xf numFmtId="0" fontId="0" fillId="0" borderId="0" xfId="0" applyFill="1" applyAlignment="1">
      <alignment vertical="center"/>
    </xf>
    <xf numFmtId="0" fontId="0" fillId="0" borderId="2" xfId="0" applyFill="1" applyBorder="1"/>
    <xf numFmtId="0" fontId="0" fillId="0" borderId="2" xfId="0" quotePrefix="1" applyFill="1" applyBorder="1" applyAlignment="1">
      <alignment horizontal="right"/>
    </xf>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2" fontId="0" fillId="0" borderId="2" xfId="0" applyNumberFormat="1" applyFill="1" applyBorder="1" applyAlignment="1">
      <alignment vertical="center"/>
    </xf>
    <xf numFmtId="0" fontId="6" fillId="0" borderId="2" xfId="0" applyFont="1" applyFill="1" applyBorder="1" applyAlignment="1">
      <alignment vertical="center"/>
    </xf>
    <xf numFmtId="0" fontId="4" fillId="0" borderId="2" xfId="0" quotePrefix="1" applyFont="1" applyFill="1" applyBorder="1" applyAlignment="1">
      <alignment horizontal="right"/>
    </xf>
    <xf numFmtId="0" fontId="4" fillId="0" borderId="2" xfId="0" applyFont="1" applyFill="1" applyBorder="1"/>
    <xf numFmtId="2" fontId="4" fillId="0" borderId="2" xfId="0" applyNumberFormat="1" applyFont="1" applyFill="1" applyBorder="1"/>
    <xf numFmtId="0" fontId="14" fillId="0" borderId="2" xfId="0" applyFont="1" applyFill="1" applyBorder="1" applyAlignment="1">
      <alignment vertical="center" wrapText="1"/>
    </xf>
    <xf numFmtId="2" fontId="0" fillId="0" borderId="2" xfId="0" applyNumberFormat="1" applyFill="1" applyBorder="1" applyAlignment="1">
      <alignment vertical="center" wrapText="1"/>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0" fontId="4" fillId="0" borderId="2" xfId="0" applyFont="1" applyFill="1" applyBorder="1" applyAlignment="1">
      <alignment vertical="center"/>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0" fontId="4" fillId="0" borderId="0" xfId="0" applyFont="1" applyFill="1" applyAlignment="1">
      <alignment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8"/>
  <sheetViews>
    <sheetView tabSelected="1" workbookViewId="0">
      <selection activeCell="F18" sqref="F18"/>
    </sheetView>
  </sheetViews>
  <sheetFormatPr defaultColWidth="9.109375" defaultRowHeight="14.4" x14ac:dyDescent="0.3"/>
  <cols>
    <col min="1" max="1" width="4.6640625" style="5" customWidth="1"/>
    <col min="2" max="2" width="30.88671875" style="5" customWidth="1"/>
    <col min="3" max="3" width="5.21875" style="5" bestFit="1" customWidth="1"/>
    <col min="4" max="4" width="8.44140625" style="5" customWidth="1"/>
    <col min="5" max="5" width="8.5546875" style="5" customWidth="1"/>
    <col min="6" max="6" width="7.33203125" style="5" customWidth="1"/>
    <col min="7" max="7" width="9.109375" style="5"/>
    <col min="8" max="8" width="5" style="5" bestFit="1" customWidth="1"/>
    <col min="9" max="9" width="9.5546875" style="5" customWidth="1"/>
    <col min="10" max="10" width="10.6640625" style="5" bestFit="1" customWidth="1"/>
    <col min="11" max="16384" width="9.109375" style="5"/>
  </cols>
  <sheetData>
    <row r="1" spans="1:11" s="5" customFormat="1" x14ac:dyDescent="0.3">
      <c r="A1" s="4" t="s">
        <v>0</v>
      </c>
      <c r="B1" s="4"/>
      <c r="C1" s="4"/>
      <c r="D1" s="4"/>
      <c r="E1" s="4"/>
      <c r="F1" s="4"/>
      <c r="G1" s="4"/>
      <c r="H1" s="4"/>
      <c r="I1" s="4"/>
      <c r="J1" s="4"/>
      <c r="K1" s="4"/>
    </row>
    <row r="2" spans="1:11" s="5" customFormat="1" ht="22.8" x14ac:dyDescent="0.3">
      <c r="A2" s="6" t="s">
        <v>1</v>
      </c>
      <c r="B2" s="6"/>
      <c r="C2" s="6"/>
      <c r="D2" s="6"/>
      <c r="E2" s="6"/>
      <c r="F2" s="6"/>
      <c r="G2" s="6"/>
      <c r="H2" s="6"/>
      <c r="I2" s="6"/>
      <c r="J2" s="6"/>
      <c r="K2" s="6"/>
    </row>
    <row r="3" spans="1:11" s="5" customFormat="1" x14ac:dyDescent="0.3">
      <c r="A3" s="7" t="s">
        <v>2</v>
      </c>
      <c r="B3" s="7"/>
      <c r="C3" s="7"/>
      <c r="D3" s="7"/>
      <c r="E3" s="7"/>
      <c r="F3" s="7"/>
      <c r="G3" s="7"/>
      <c r="H3" s="7"/>
      <c r="I3" s="7"/>
      <c r="J3" s="7"/>
      <c r="K3" s="7"/>
    </row>
    <row r="4" spans="1:11" s="5" customFormat="1" x14ac:dyDescent="0.3">
      <c r="A4" s="7" t="s">
        <v>3</v>
      </c>
      <c r="B4" s="7"/>
      <c r="C4" s="7"/>
      <c r="D4" s="7"/>
      <c r="E4" s="7"/>
      <c r="F4" s="7"/>
      <c r="G4" s="7"/>
      <c r="H4" s="7"/>
      <c r="I4" s="7"/>
      <c r="J4" s="7"/>
      <c r="K4" s="7"/>
    </row>
    <row r="5" spans="1:11" s="5" customFormat="1" ht="17.399999999999999" x14ac:dyDescent="0.3">
      <c r="A5" s="8" t="s">
        <v>4</v>
      </c>
      <c r="B5" s="8"/>
      <c r="C5" s="8"/>
      <c r="D5" s="8"/>
      <c r="E5" s="8"/>
      <c r="F5" s="8"/>
      <c r="G5" s="8"/>
      <c r="H5" s="8"/>
      <c r="I5" s="8"/>
      <c r="J5" s="8"/>
      <c r="K5" s="8"/>
    </row>
    <row r="6" spans="1:11" s="5" customFormat="1" ht="15.6" x14ac:dyDescent="0.3">
      <c r="A6" s="9" t="s">
        <v>86</v>
      </c>
      <c r="B6" s="9"/>
      <c r="C6" s="9"/>
      <c r="D6" s="9"/>
      <c r="E6" s="9"/>
      <c r="F6" s="9"/>
      <c r="G6" s="10"/>
      <c r="H6" s="11" t="s">
        <v>25</v>
      </c>
      <c r="I6" s="11"/>
      <c r="J6" s="11"/>
      <c r="K6" s="11"/>
    </row>
    <row r="7" spans="1:11" s="5" customFormat="1" ht="15.6" x14ac:dyDescent="0.3">
      <c r="A7" s="12" t="s">
        <v>29</v>
      </c>
      <c r="B7" s="12"/>
      <c r="C7" s="12"/>
      <c r="D7" s="12"/>
      <c r="E7" s="12"/>
      <c r="F7" s="12"/>
      <c r="G7" s="13"/>
      <c r="H7" s="14" t="s">
        <v>87</v>
      </c>
      <c r="I7" s="14"/>
      <c r="J7" s="14"/>
      <c r="K7" s="14"/>
    </row>
    <row r="8" spans="1:11" s="19" customFormat="1" ht="15.6" x14ac:dyDescent="0.3">
      <c r="A8" s="15" t="s">
        <v>5</v>
      </c>
      <c r="B8" s="16" t="s">
        <v>6</v>
      </c>
      <c r="C8" s="15" t="s">
        <v>7</v>
      </c>
      <c r="D8" s="17" t="s">
        <v>8</v>
      </c>
      <c r="E8" s="17" t="s">
        <v>9</v>
      </c>
      <c r="F8" s="17" t="s">
        <v>10</v>
      </c>
      <c r="G8" s="17" t="s">
        <v>11</v>
      </c>
      <c r="H8" s="15" t="s">
        <v>12</v>
      </c>
      <c r="I8" s="17" t="s">
        <v>13</v>
      </c>
      <c r="J8" s="17" t="s">
        <v>14</v>
      </c>
      <c r="K8" s="18" t="s">
        <v>15</v>
      </c>
    </row>
    <row r="9" spans="1:11" s="23" customFormat="1" ht="30" x14ac:dyDescent="0.25">
      <c r="A9" s="20">
        <v>1</v>
      </c>
      <c r="B9" s="21" t="s">
        <v>56</v>
      </c>
      <c r="C9" s="22"/>
      <c r="D9" s="22"/>
      <c r="E9" s="22"/>
      <c r="F9" s="22"/>
      <c r="G9" s="22"/>
      <c r="H9" s="22"/>
      <c r="I9" s="22"/>
      <c r="J9" s="22"/>
      <c r="K9" s="22"/>
    </row>
    <row r="10" spans="1:11" s="5" customFormat="1" x14ac:dyDescent="0.3">
      <c r="A10" s="24"/>
      <c r="B10" s="25" t="s">
        <v>57</v>
      </c>
      <c r="C10" s="24">
        <v>4</v>
      </c>
      <c r="D10" s="3">
        <v>1.5</v>
      </c>
      <c r="E10" s="3">
        <v>1.5</v>
      </c>
      <c r="F10" s="3">
        <v>1.5</v>
      </c>
      <c r="G10" s="3">
        <f>PRODUCT(C10:F10)</f>
        <v>13.5</v>
      </c>
      <c r="H10" s="24"/>
      <c r="I10" s="24"/>
      <c r="J10" s="24"/>
      <c r="K10" s="24"/>
    </row>
    <row r="11" spans="1:11" s="5" customFormat="1" x14ac:dyDescent="0.3">
      <c r="A11" s="24"/>
      <c r="B11" s="25" t="s">
        <v>59</v>
      </c>
      <c r="C11" s="24">
        <v>4</v>
      </c>
      <c r="D11" s="3">
        <f>(12-2.333)/3.281</f>
        <v>2.9463578177384941</v>
      </c>
      <c r="E11" s="3">
        <v>0.23</v>
      </c>
      <c r="F11" s="3">
        <f>(3.5+0.17+0.25)/3.281</f>
        <v>1.1947576958244437</v>
      </c>
      <c r="G11" s="3">
        <f>PRODUCT(C11:F11)</f>
        <v>3.2385689832039333</v>
      </c>
      <c r="H11" s="24"/>
      <c r="I11" s="24"/>
      <c r="J11" s="24"/>
      <c r="K11" s="24"/>
    </row>
    <row r="12" spans="1:11" s="19" customFormat="1" ht="15" customHeight="1" x14ac:dyDescent="0.3">
      <c r="A12" s="26"/>
      <c r="B12" s="27" t="s">
        <v>16</v>
      </c>
      <c r="C12" s="28"/>
      <c r="D12" s="1"/>
      <c r="E12" s="29"/>
      <c r="F12" s="29"/>
      <c r="G12" s="2">
        <f>SUM(G10:G11)</f>
        <v>16.738568983203933</v>
      </c>
      <c r="H12" s="30" t="s">
        <v>28</v>
      </c>
      <c r="I12" s="2">
        <v>674.12</v>
      </c>
      <c r="J12" s="31">
        <f>G12*I12</f>
        <v>11283.804122957436</v>
      </c>
      <c r="K12" s="29"/>
    </row>
    <row r="13" spans="1:11" s="5" customFormat="1" x14ac:dyDescent="0.3">
      <c r="A13" s="24"/>
      <c r="B13" s="24"/>
      <c r="C13" s="24"/>
      <c r="D13" s="3"/>
      <c r="E13" s="3"/>
      <c r="F13" s="3"/>
      <c r="G13" s="3"/>
      <c r="H13" s="24"/>
      <c r="I13" s="24"/>
      <c r="J13" s="24"/>
      <c r="K13" s="24"/>
    </row>
    <row r="14" spans="1:11" s="23" customFormat="1" ht="15" x14ac:dyDescent="0.25">
      <c r="A14" s="20">
        <v>2</v>
      </c>
      <c r="B14" s="21" t="s">
        <v>58</v>
      </c>
      <c r="C14" s="22"/>
      <c r="D14" s="32"/>
      <c r="E14" s="32"/>
      <c r="F14" s="32"/>
      <c r="G14" s="32"/>
      <c r="H14" s="22"/>
      <c r="I14" s="22"/>
      <c r="J14" s="22"/>
      <c r="K14" s="22"/>
    </row>
    <row r="15" spans="1:11" s="5" customFormat="1" x14ac:dyDescent="0.3">
      <c r="A15" s="24"/>
      <c r="B15" s="25" t="str">
        <f>B10</f>
        <v>-for foundation</v>
      </c>
      <c r="C15" s="24">
        <f>C10</f>
        <v>4</v>
      </c>
      <c r="D15" s="3">
        <f>D10</f>
        <v>1.5</v>
      </c>
      <c r="E15" s="3">
        <f>E10</f>
        <v>1.5</v>
      </c>
      <c r="F15" s="3"/>
      <c r="G15" s="3">
        <f>PRODUCT(C15:F15)</f>
        <v>9</v>
      </c>
      <c r="H15" s="24"/>
      <c r="I15" s="24"/>
      <c r="J15" s="24"/>
      <c r="K15" s="24"/>
    </row>
    <row r="16" spans="1:11" s="5" customFormat="1" x14ac:dyDescent="0.3">
      <c r="A16" s="24"/>
      <c r="B16" s="25" t="str">
        <f>B11</f>
        <v>-for tie beam</v>
      </c>
      <c r="C16" s="24">
        <f>C11</f>
        <v>4</v>
      </c>
      <c r="D16" s="3">
        <f>D11</f>
        <v>2.9463578177384941</v>
      </c>
      <c r="E16" s="3">
        <f>E11</f>
        <v>0.23</v>
      </c>
      <c r="F16" s="3"/>
      <c r="G16" s="3">
        <f>PRODUCT(C16:F16)</f>
        <v>2.7106491923194147</v>
      </c>
      <c r="H16" s="24"/>
      <c r="I16" s="24"/>
      <c r="J16" s="24"/>
      <c r="K16" s="24"/>
    </row>
    <row r="17" spans="1:11" s="5" customFormat="1" x14ac:dyDescent="0.3">
      <c r="A17" s="24"/>
      <c r="B17" s="25" t="s">
        <v>52</v>
      </c>
      <c r="C17" s="24">
        <v>1</v>
      </c>
      <c r="D17" s="3">
        <f>(12-2.333)/3.281</f>
        <v>2.9463578177384941</v>
      </c>
      <c r="E17" s="3">
        <f>(12-2.333)/3.281</f>
        <v>2.9463578177384941</v>
      </c>
      <c r="F17" s="3"/>
      <c r="G17" s="3">
        <f>PRODUCT(C17:F17)</f>
        <v>8.6810243901487407</v>
      </c>
      <c r="H17" s="24"/>
      <c r="I17" s="24"/>
      <c r="J17" s="24"/>
      <c r="K17" s="24"/>
    </row>
    <row r="18" spans="1:11" s="19" customFormat="1" ht="15" customHeight="1" x14ac:dyDescent="0.3">
      <c r="A18" s="26"/>
      <c r="B18" s="27" t="s">
        <v>16</v>
      </c>
      <c r="C18" s="28"/>
      <c r="D18" s="1"/>
      <c r="E18" s="29"/>
      <c r="F18" s="29"/>
      <c r="G18" s="2">
        <f>SUM(G15:G17)</f>
        <v>20.391673582468158</v>
      </c>
      <c r="H18" s="30" t="s">
        <v>34</v>
      </c>
      <c r="I18" s="2">
        <v>1017.47</v>
      </c>
      <c r="J18" s="31">
        <f>G18*I18</f>
        <v>20747.916119953876</v>
      </c>
      <c r="K18" s="29"/>
    </row>
    <row r="19" spans="1:11" s="19" customFormat="1" x14ac:dyDescent="0.3">
      <c r="A19" s="33"/>
      <c r="B19" s="34" t="s">
        <v>55</v>
      </c>
      <c r="C19" s="35"/>
      <c r="D19" s="36"/>
      <c r="E19" s="36"/>
      <c r="F19" s="36"/>
      <c r="G19" s="36"/>
      <c r="H19" s="35"/>
      <c r="I19" s="35"/>
      <c r="J19" s="31">
        <f>0.13*G18*6360.9/10</f>
        <v>1686.2221543793821</v>
      </c>
      <c r="K19" s="35"/>
    </row>
    <row r="20" spans="1:11" s="5" customFormat="1" x14ac:dyDescent="0.3">
      <c r="A20" s="24"/>
      <c r="B20" s="34" t="s">
        <v>31</v>
      </c>
      <c r="C20" s="24"/>
      <c r="D20" s="3"/>
      <c r="E20" s="3"/>
      <c r="F20" s="3"/>
      <c r="G20" s="3"/>
      <c r="H20" s="24"/>
      <c r="I20" s="24"/>
      <c r="J20" s="31">
        <f>0.13*G18*2256.3/10</f>
        <v>598.12653035359779</v>
      </c>
      <c r="K20" s="24"/>
    </row>
    <row r="21" spans="1:11" s="5" customFormat="1" x14ac:dyDescent="0.3">
      <c r="A21" s="24"/>
      <c r="B21" s="24"/>
      <c r="C21" s="24"/>
      <c r="D21" s="3"/>
      <c r="E21" s="3"/>
      <c r="F21" s="3"/>
      <c r="G21" s="3"/>
      <c r="H21" s="24"/>
      <c r="I21" s="24"/>
      <c r="J21" s="24"/>
      <c r="K21" s="24"/>
    </row>
    <row r="22" spans="1:11" s="23" customFormat="1" ht="30" x14ac:dyDescent="0.25">
      <c r="A22" s="20">
        <v>3</v>
      </c>
      <c r="B22" s="21" t="s">
        <v>35</v>
      </c>
      <c r="C22" s="22"/>
      <c r="D22" s="32"/>
      <c r="E22" s="32"/>
      <c r="F22" s="32"/>
      <c r="G22" s="32"/>
      <c r="H22" s="22"/>
      <c r="I22" s="22"/>
      <c r="J22" s="22"/>
      <c r="K22" s="22"/>
    </row>
    <row r="23" spans="1:11" s="5" customFormat="1" x14ac:dyDescent="0.3">
      <c r="A23" s="24"/>
      <c r="B23" s="25" t="str">
        <f>B15</f>
        <v>-for foundation</v>
      </c>
      <c r="C23" s="24">
        <f>C15</f>
        <v>4</v>
      </c>
      <c r="D23" s="3">
        <f>D15</f>
        <v>1.5</v>
      </c>
      <c r="E23" s="3">
        <f>E15</f>
        <v>1.5</v>
      </c>
      <c r="F23" s="3">
        <v>7.4999999999999997E-2</v>
      </c>
      <c r="G23" s="3">
        <f>PRODUCT(C23:F23)</f>
        <v>0.67499999999999993</v>
      </c>
      <c r="H23" s="24"/>
      <c r="I23" s="24"/>
      <c r="J23" s="24"/>
      <c r="K23" s="24"/>
    </row>
    <row r="24" spans="1:11" s="5" customFormat="1" x14ac:dyDescent="0.3">
      <c r="A24" s="24"/>
      <c r="B24" s="25" t="str">
        <f>B16</f>
        <v>-for tie beam</v>
      </c>
      <c r="C24" s="24">
        <f>C16</f>
        <v>4</v>
      </c>
      <c r="D24" s="3">
        <f>D16</f>
        <v>2.9463578177384941</v>
      </c>
      <c r="E24" s="3">
        <f>E16</f>
        <v>0.23</v>
      </c>
      <c r="F24" s="3">
        <v>7.4999999999999997E-2</v>
      </c>
      <c r="G24" s="3">
        <f>PRODUCT(C24:F24)</f>
        <v>0.2032986894239561</v>
      </c>
      <c r="H24" s="24"/>
      <c r="I24" s="24"/>
      <c r="J24" s="24"/>
      <c r="K24" s="24"/>
    </row>
    <row r="25" spans="1:11" s="5" customFormat="1" x14ac:dyDescent="0.3">
      <c r="A25" s="24"/>
      <c r="B25" s="25" t="str">
        <f>B17</f>
        <v>-for flooring</v>
      </c>
      <c r="C25" s="24">
        <f t="shared" ref="C25:E25" si="0">C17</f>
        <v>1</v>
      </c>
      <c r="D25" s="3">
        <f t="shared" si="0"/>
        <v>2.9463578177384941</v>
      </c>
      <c r="E25" s="3">
        <f t="shared" si="0"/>
        <v>2.9463578177384941</v>
      </c>
      <c r="F25" s="3">
        <v>7.4999999999999997E-2</v>
      </c>
      <c r="G25" s="3">
        <f>PRODUCT(C25:F25)</f>
        <v>0.65107682926115551</v>
      </c>
      <c r="H25" s="24"/>
      <c r="I25" s="24"/>
      <c r="J25" s="24"/>
      <c r="K25" s="24"/>
    </row>
    <row r="26" spans="1:11" s="5" customFormat="1" x14ac:dyDescent="0.3">
      <c r="A26" s="24"/>
      <c r="B26" s="25" t="str">
        <f>B93</f>
        <v>-for flooring at existing paati</v>
      </c>
      <c r="C26" s="24">
        <f>C93</f>
        <v>1</v>
      </c>
      <c r="D26" s="3">
        <f>D93</f>
        <v>5.1813471502590671</v>
      </c>
      <c r="E26" s="3">
        <f>E93</f>
        <v>7.5434318805242304</v>
      </c>
      <c r="F26" s="3">
        <v>7.4999999999999997E-2</v>
      </c>
      <c r="G26" s="3">
        <f>PRODUCT(C26:F26)</f>
        <v>2.9313854457995716</v>
      </c>
      <c r="H26" s="24"/>
      <c r="I26" s="24"/>
      <c r="J26" s="24"/>
      <c r="K26" s="24"/>
    </row>
    <row r="27" spans="1:11" s="19" customFormat="1" ht="15" customHeight="1" x14ac:dyDescent="0.3">
      <c r="A27" s="26"/>
      <c r="B27" s="27" t="s">
        <v>16</v>
      </c>
      <c r="C27" s="28"/>
      <c r="D27" s="1"/>
      <c r="E27" s="29"/>
      <c r="F27" s="29"/>
      <c r="G27" s="2">
        <f>SUM(G23:G26)</f>
        <v>4.4607609644846828</v>
      </c>
      <c r="H27" s="30" t="s">
        <v>28</v>
      </c>
      <c r="I27" s="2">
        <v>4495.6400000000003</v>
      </c>
      <c r="J27" s="31">
        <f>G27*I27</f>
        <v>20053.975422375923</v>
      </c>
      <c r="K27" s="29"/>
    </row>
    <row r="28" spans="1:11" s="19" customFormat="1" x14ac:dyDescent="0.3">
      <c r="A28" s="33"/>
      <c r="B28" s="34" t="s">
        <v>32</v>
      </c>
      <c r="C28" s="35"/>
      <c r="D28" s="36"/>
      <c r="E28" s="36"/>
      <c r="F28" s="36"/>
      <c r="G28" s="36"/>
      <c r="H28" s="35"/>
      <c r="I28" s="35"/>
      <c r="J28" s="31">
        <f>0.13*G27*2866.82</f>
        <v>1662.4658372665174</v>
      </c>
      <c r="K28" s="35"/>
    </row>
    <row r="29" spans="1:11" s="19" customFormat="1" x14ac:dyDescent="0.3">
      <c r="A29" s="33"/>
      <c r="B29" s="34" t="s">
        <v>33</v>
      </c>
      <c r="C29" s="35"/>
      <c r="D29" s="36"/>
      <c r="E29" s="36"/>
      <c r="F29" s="36"/>
      <c r="G29" s="36"/>
      <c r="H29" s="35"/>
      <c r="I29" s="35"/>
      <c r="J29" s="31">
        <f>0.13*G27*(2065.63+805.06)</f>
        <v>1664.7100461077496</v>
      </c>
      <c r="K29" s="35"/>
    </row>
    <row r="30" spans="1:11" s="19" customFormat="1" x14ac:dyDescent="0.3">
      <c r="A30" s="33"/>
      <c r="B30" s="34" t="s">
        <v>31</v>
      </c>
      <c r="C30" s="35"/>
      <c r="D30" s="36"/>
      <c r="E30" s="36"/>
      <c r="F30" s="36"/>
      <c r="G30" s="36"/>
      <c r="H30" s="35"/>
      <c r="I30" s="35"/>
      <c r="J30" s="31">
        <f>0.13*G27*1493.61</f>
        <v>866.14283394131576</v>
      </c>
      <c r="K30" s="35"/>
    </row>
    <row r="31" spans="1:11" s="5" customFormat="1" x14ac:dyDescent="0.3">
      <c r="A31" s="24"/>
      <c r="B31" s="34" t="s">
        <v>36</v>
      </c>
      <c r="C31" s="24"/>
      <c r="D31" s="3"/>
      <c r="E31" s="3"/>
      <c r="F31" s="3"/>
      <c r="G31" s="3"/>
      <c r="H31" s="24"/>
      <c r="I31" s="24"/>
      <c r="J31" s="31">
        <f>0.13*G27*33.6</f>
        <v>19.484603892869096</v>
      </c>
      <c r="K31" s="24"/>
    </row>
    <row r="32" spans="1:11" s="5" customFormat="1" x14ac:dyDescent="0.3">
      <c r="A32" s="24"/>
      <c r="B32" s="24"/>
      <c r="C32" s="24"/>
      <c r="D32" s="3"/>
      <c r="E32" s="3"/>
      <c r="F32" s="3"/>
      <c r="G32" s="3"/>
      <c r="H32" s="24"/>
      <c r="I32" s="24"/>
      <c r="J32" s="24"/>
      <c r="K32" s="24"/>
    </row>
    <row r="33" spans="1:11" s="23" customFormat="1" ht="30" x14ac:dyDescent="0.25">
      <c r="A33" s="20">
        <v>4</v>
      </c>
      <c r="B33" s="21" t="s">
        <v>43</v>
      </c>
      <c r="C33" s="22"/>
      <c r="D33" s="32"/>
      <c r="E33" s="32"/>
      <c r="F33" s="32"/>
      <c r="G33" s="32"/>
      <c r="H33" s="22"/>
      <c r="I33" s="22"/>
      <c r="J33" s="22"/>
      <c r="K33" s="22"/>
    </row>
    <row r="34" spans="1:11" s="5" customFormat="1" x14ac:dyDescent="0.3">
      <c r="A34" s="24"/>
      <c r="B34" s="25" t="str">
        <f>B23</f>
        <v>-for foundation</v>
      </c>
      <c r="C34" s="24">
        <v>4</v>
      </c>
      <c r="D34" s="3">
        <v>1.5</v>
      </c>
      <c r="E34" s="3">
        <v>1.5</v>
      </c>
      <c r="F34" s="3">
        <v>0.45</v>
      </c>
      <c r="G34" s="3">
        <f>PRODUCT(C34:F34)</f>
        <v>4.05</v>
      </c>
      <c r="H34" s="24"/>
      <c r="I34" s="24"/>
      <c r="J34" s="24"/>
      <c r="K34" s="24"/>
    </row>
    <row r="35" spans="1:11" s="5" customFormat="1" x14ac:dyDescent="0.3">
      <c r="A35" s="24"/>
      <c r="B35" s="25" t="s">
        <v>59</v>
      </c>
      <c r="C35" s="24">
        <f>C24</f>
        <v>4</v>
      </c>
      <c r="D35" s="3">
        <f>D24</f>
        <v>2.9463578177384941</v>
      </c>
      <c r="E35" s="3">
        <f>E24</f>
        <v>0.23</v>
      </c>
      <c r="F35" s="3">
        <v>0.23</v>
      </c>
      <c r="G35" s="3">
        <f>PRODUCT(C35:F35)</f>
        <v>0.62344931423346539</v>
      </c>
      <c r="H35" s="24"/>
      <c r="I35" s="24"/>
      <c r="J35" s="24"/>
      <c r="K35" s="24"/>
    </row>
    <row r="36" spans="1:11" s="5" customFormat="1" x14ac:dyDescent="0.3">
      <c r="A36" s="24"/>
      <c r="B36" s="25" t="s">
        <v>60</v>
      </c>
      <c r="C36" s="24">
        <v>4</v>
      </c>
      <c r="D36" s="3">
        <f>(1.5-3.5/3.281)</f>
        <v>0.43325205729960392</v>
      </c>
      <c r="E36" s="3">
        <v>0.35</v>
      </c>
      <c r="F36" s="3">
        <f>(3.5+1.6)/3.281</f>
        <v>1.55440414507772</v>
      </c>
      <c r="G36" s="3">
        <f>PRODUCT(C36:F36)</f>
        <v>0.94282831122193578</v>
      </c>
      <c r="H36" s="24"/>
      <c r="I36" s="24"/>
      <c r="J36" s="24"/>
      <c r="K36" s="24"/>
    </row>
    <row r="37" spans="1:11" s="5" customFormat="1" x14ac:dyDescent="0.3">
      <c r="A37" s="24"/>
      <c r="B37" s="25" t="s">
        <v>61</v>
      </c>
      <c r="C37" s="24">
        <v>4</v>
      </c>
      <c r="D37" s="3">
        <v>0.35</v>
      </c>
      <c r="E37" s="3">
        <v>0.35</v>
      </c>
      <c r="F37" s="3">
        <f>10.5/3.281</f>
        <v>3.2002438281011885</v>
      </c>
      <c r="G37" s="3">
        <f t="shared" ref="G37:G42" si="1">PRODUCT(C37:F37)</f>
        <v>1.5681194757695822</v>
      </c>
      <c r="H37" s="24"/>
      <c r="I37" s="24"/>
      <c r="J37" s="24"/>
      <c r="K37" s="24"/>
    </row>
    <row r="38" spans="1:11" s="5" customFormat="1" x14ac:dyDescent="0.3">
      <c r="A38" s="24"/>
      <c r="B38" s="25" t="s">
        <v>62</v>
      </c>
      <c r="C38" s="24">
        <v>4</v>
      </c>
      <c r="D38" s="3">
        <f>D35</f>
        <v>2.9463578177384941</v>
      </c>
      <c r="E38" s="3">
        <f>E35</f>
        <v>0.23</v>
      </c>
      <c r="F38" s="3">
        <v>0.23</v>
      </c>
      <c r="G38" s="3">
        <f t="shared" si="1"/>
        <v>0.62344931423346539</v>
      </c>
      <c r="H38" s="24"/>
      <c r="I38" s="24"/>
      <c r="J38" s="24"/>
      <c r="K38" s="24"/>
    </row>
    <row r="39" spans="1:11" s="5" customFormat="1" x14ac:dyDescent="0.3">
      <c r="A39" s="24"/>
      <c r="B39" s="25" t="s">
        <v>81</v>
      </c>
      <c r="C39" s="24">
        <v>2</v>
      </c>
      <c r="D39" s="3">
        <f>D38</f>
        <v>2.9463578177384941</v>
      </c>
      <c r="E39" s="3">
        <v>0.23</v>
      </c>
      <c r="F39" s="3">
        <v>0.23</v>
      </c>
      <c r="G39" s="3">
        <f t="shared" si="1"/>
        <v>0.3117246571167327</v>
      </c>
      <c r="H39" s="24"/>
      <c r="I39" s="24"/>
      <c r="J39" s="24"/>
      <c r="K39" s="24"/>
    </row>
    <row r="40" spans="1:11" s="5" customFormat="1" x14ac:dyDescent="0.3">
      <c r="A40" s="24"/>
      <c r="B40" s="25" t="s">
        <v>82</v>
      </c>
      <c r="C40" s="24">
        <v>4</v>
      </c>
      <c r="D40" s="3">
        <f>0.23</f>
        <v>0.23</v>
      </c>
      <c r="E40" s="3">
        <v>0.23</v>
      </c>
      <c r="F40" s="3">
        <v>1.5</v>
      </c>
      <c r="G40" s="3">
        <f t="shared" si="1"/>
        <v>0.31740000000000002</v>
      </c>
      <c r="H40" s="24"/>
      <c r="I40" s="24"/>
      <c r="J40" s="24"/>
      <c r="K40" s="24"/>
    </row>
    <row r="41" spans="1:11" s="5" customFormat="1" x14ac:dyDescent="0.3">
      <c r="A41" s="24"/>
      <c r="B41" s="25" t="s">
        <v>83</v>
      </c>
      <c r="C41" s="24">
        <v>4</v>
      </c>
      <c r="D41" s="3">
        <f>((12+5.5)/2)/3.281</f>
        <v>2.6668698567509903</v>
      </c>
      <c r="E41" s="3">
        <v>0.1</v>
      </c>
      <c r="F41" s="3">
        <f>0.75</f>
        <v>0.75</v>
      </c>
      <c r="G41" s="3">
        <f t="shared" si="1"/>
        <v>0.800060957025297</v>
      </c>
      <c r="H41" s="24"/>
      <c r="I41" s="24"/>
      <c r="J41" s="24"/>
      <c r="K41" s="24"/>
    </row>
    <row r="42" spans="1:11" s="5" customFormat="1" x14ac:dyDescent="0.3">
      <c r="A42" s="24"/>
      <c r="B42" s="25" t="s">
        <v>84</v>
      </c>
      <c r="C42" s="24">
        <v>2</v>
      </c>
      <c r="D42" s="3">
        <f>12/3.281</f>
        <v>3.6574215178299299</v>
      </c>
      <c r="E42" s="3">
        <v>0.6</v>
      </c>
      <c r="F42" s="3">
        <v>0.125</v>
      </c>
      <c r="G42" s="3">
        <f t="shared" si="1"/>
        <v>0.5486132276744895</v>
      </c>
      <c r="H42" s="24"/>
      <c r="I42" s="24"/>
      <c r="J42" s="24"/>
      <c r="K42" s="24"/>
    </row>
    <row r="43" spans="1:11" s="5" customFormat="1" x14ac:dyDescent="0.3">
      <c r="A43" s="24"/>
      <c r="B43" s="25"/>
      <c r="C43" s="24">
        <v>2</v>
      </c>
      <c r="D43" s="3">
        <f>(12+4)/3.281</f>
        <v>4.8765620237732392</v>
      </c>
      <c r="E43" s="3">
        <v>0.6</v>
      </c>
      <c r="F43" s="3">
        <v>0.125</v>
      </c>
      <c r="G43" s="3">
        <f t="shared" ref="G43" si="2">PRODUCT(C43:F43)</f>
        <v>0.73148430356598582</v>
      </c>
      <c r="H43" s="24"/>
      <c r="I43" s="24"/>
      <c r="J43" s="24"/>
      <c r="K43" s="24"/>
    </row>
    <row r="44" spans="1:11" s="19" customFormat="1" ht="15" customHeight="1" x14ac:dyDescent="0.3">
      <c r="A44" s="26"/>
      <c r="B44" s="27" t="s">
        <v>16</v>
      </c>
      <c r="C44" s="28"/>
      <c r="D44" s="1"/>
      <c r="E44" s="29"/>
      <c r="F44" s="29"/>
      <c r="G44" s="2">
        <f>SUM(G34:G43)</f>
        <v>10.517129560840955</v>
      </c>
      <c r="H44" s="30" t="s">
        <v>28</v>
      </c>
      <c r="I44" s="2">
        <v>13957.29</v>
      </c>
      <c r="J44" s="31">
        <f>G44*I44</f>
        <v>146790.62724822987</v>
      </c>
      <c r="K44" s="29"/>
    </row>
    <row r="45" spans="1:11" s="19" customFormat="1" x14ac:dyDescent="0.3">
      <c r="A45" s="33"/>
      <c r="B45" s="34" t="s">
        <v>32</v>
      </c>
      <c r="C45" s="35"/>
      <c r="D45" s="36"/>
      <c r="E45" s="36"/>
      <c r="F45" s="36"/>
      <c r="G45" s="36"/>
      <c r="H45" s="35"/>
      <c r="I45" s="35"/>
      <c r="J45" s="31">
        <f>0.13*G44*5212.4</f>
        <v>7126.5331959805608</v>
      </c>
      <c r="K45" s="35"/>
    </row>
    <row r="46" spans="1:11" s="19" customFormat="1" x14ac:dyDescent="0.3">
      <c r="A46" s="33"/>
      <c r="B46" s="34" t="s">
        <v>33</v>
      </c>
      <c r="C46" s="35"/>
      <c r="D46" s="36"/>
      <c r="E46" s="36"/>
      <c r="F46" s="36"/>
      <c r="G46" s="36"/>
      <c r="H46" s="35"/>
      <c r="I46" s="35"/>
      <c r="J46" s="31">
        <f>0.13*G44*(1912.03+921.59)</f>
        <v>3874.2013266047188</v>
      </c>
      <c r="K46" s="35"/>
    </row>
    <row r="47" spans="1:11" s="19" customFormat="1" x14ac:dyDescent="0.3">
      <c r="A47" s="33"/>
      <c r="B47" s="34" t="s">
        <v>31</v>
      </c>
      <c r="C47" s="35"/>
      <c r="D47" s="36"/>
      <c r="E47" s="36"/>
      <c r="F47" s="36"/>
      <c r="G47" s="36"/>
      <c r="H47" s="35"/>
      <c r="I47" s="35"/>
      <c r="J47" s="31">
        <f>0.13*G44*1350.6</f>
        <v>1846.5765740333331</v>
      </c>
      <c r="K47" s="35"/>
    </row>
    <row r="48" spans="1:11" s="5" customFormat="1" x14ac:dyDescent="0.3">
      <c r="A48" s="24"/>
      <c r="B48" s="34" t="s">
        <v>36</v>
      </c>
      <c r="C48" s="24"/>
      <c r="D48" s="3"/>
      <c r="E48" s="3"/>
      <c r="F48" s="3"/>
      <c r="G48" s="3"/>
      <c r="H48" s="24"/>
      <c r="I48" s="24"/>
      <c r="J48" s="31">
        <f>0.13*G44*56</f>
        <v>76.564703202922146</v>
      </c>
      <c r="K48" s="24"/>
    </row>
    <row r="49" spans="1:11" s="19" customFormat="1" x14ac:dyDescent="0.3">
      <c r="A49" s="33"/>
      <c r="B49" s="34" t="s">
        <v>44</v>
      </c>
      <c r="C49" s="35"/>
      <c r="D49" s="36"/>
      <c r="E49" s="36"/>
      <c r="F49" s="36"/>
      <c r="G49" s="36"/>
      <c r="H49" s="35"/>
      <c r="I49" s="35"/>
      <c r="J49" s="31">
        <f>0.13*G44*392.92</f>
        <v>537.21077111593172</v>
      </c>
      <c r="K49" s="35"/>
    </row>
    <row r="50" spans="1:11" s="5" customFormat="1" x14ac:dyDescent="0.3">
      <c r="A50" s="24"/>
      <c r="B50" s="34" t="s">
        <v>45</v>
      </c>
      <c r="C50" s="24"/>
      <c r="D50" s="3"/>
      <c r="E50" s="3"/>
      <c r="F50" s="3"/>
      <c r="G50" s="3"/>
      <c r="H50" s="24"/>
      <c r="I50" s="24"/>
      <c r="J50" s="31">
        <f>0.13*G44*14.15</f>
        <v>19.346259827166936</v>
      </c>
      <c r="K50" s="24"/>
    </row>
    <row r="51" spans="1:11" s="5" customFormat="1" x14ac:dyDescent="0.3">
      <c r="A51" s="24"/>
      <c r="B51" s="24"/>
      <c r="C51" s="24"/>
      <c r="D51" s="3"/>
      <c r="E51" s="3"/>
      <c r="F51" s="3"/>
      <c r="G51" s="3"/>
      <c r="H51" s="24"/>
      <c r="I51" s="24"/>
      <c r="J51" s="24"/>
      <c r="K51" s="24"/>
    </row>
    <row r="52" spans="1:11" s="23" customFormat="1" ht="30" x14ac:dyDescent="0.25">
      <c r="A52" s="20">
        <v>5</v>
      </c>
      <c r="B52" s="21" t="s">
        <v>46</v>
      </c>
      <c r="C52" s="22"/>
      <c r="D52" s="32"/>
      <c r="E52" s="32"/>
      <c r="F52" s="32"/>
      <c r="G52" s="32"/>
      <c r="H52" s="22"/>
      <c r="I52" s="22"/>
      <c r="J52" s="22"/>
      <c r="K52" s="22"/>
    </row>
    <row r="53" spans="1:11" s="5" customFormat="1" x14ac:dyDescent="0.3">
      <c r="A53" s="24"/>
      <c r="B53" s="25" t="str">
        <f>B36</f>
        <v>-for neck column</v>
      </c>
      <c r="C53" s="24">
        <f>C36</f>
        <v>4</v>
      </c>
      <c r="D53" s="3">
        <f>D36</f>
        <v>0.43325205729960392</v>
      </c>
      <c r="E53" s="3"/>
      <c r="F53" s="3">
        <f>F36-0.23</f>
        <v>1.32440414507772</v>
      </c>
      <c r="G53" s="3">
        <f>PRODUCT(C53:F53)</f>
        <v>2.2952032822041812</v>
      </c>
      <c r="H53" s="24"/>
      <c r="I53" s="24"/>
      <c r="J53" s="24"/>
      <c r="K53" s="24"/>
    </row>
    <row r="54" spans="1:11" s="5" customFormat="1" x14ac:dyDescent="0.3">
      <c r="A54" s="24"/>
      <c r="B54" s="25" t="str">
        <f>B35</f>
        <v>-for tie beam</v>
      </c>
      <c r="C54" s="24">
        <f>C35</f>
        <v>4</v>
      </c>
      <c r="D54" s="3">
        <f>D35</f>
        <v>2.9463578177384941</v>
      </c>
      <c r="E54" s="3"/>
      <c r="F54" s="3">
        <f>0.23*2</f>
        <v>0.46</v>
      </c>
      <c r="G54" s="3">
        <f>PRODUCT(C54:F54)</f>
        <v>5.4212983846388294</v>
      </c>
      <c r="H54" s="24"/>
      <c r="I54" s="24"/>
      <c r="J54" s="24"/>
      <c r="K54" s="24"/>
    </row>
    <row r="55" spans="1:11" s="5" customFormat="1" x14ac:dyDescent="0.3">
      <c r="A55" s="24"/>
      <c r="B55" s="25" t="str">
        <f>B37</f>
        <v>-GF column</v>
      </c>
      <c r="C55" s="24">
        <f>C37</f>
        <v>4</v>
      </c>
      <c r="D55" s="3">
        <f>0.35*4</f>
        <v>1.4</v>
      </c>
      <c r="E55" s="3"/>
      <c r="F55" s="3">
        <f>F37</f>
        <v>3.2002438281011885</v>
      </c>
      <c r="G55" s="3">
        <f t="shared" ref="G55:G61" si="3">PRODUCT(C55:F55)</f>
        <v>17.921365437366653</v>
      </c>
      <c r="H55" s="24"/>
      <c r="I55" s="24"/>
      <c r="J55" s="24"/>
      <c r="K55" s="24"/>
    </row>
    <row r="56" spans="1:11" s="5" customFormat="1" x14ac:dyDescent="0.3">
      <c r="A56" s="24"/>
      <c r="B56" s="25" t="str">
        <f>B38</f>
        <v>-for beam</v>
      </c>
      <c r="C56" s="24">
        <f>C38</f>
        <v>4</v>
      </c>
      <c r="D56" s="3">
        <f>D38</f>
        <v>2.9463578177384941</v>
      </c>
      <c r="E56" s="3"/>
      <c r="F56" s="3">
        <f>0.23*2</f>
        <v>0.46</v>
      </c>
      <c r="G56" s="3">
        <f t="shared" si="3"/>
        <v>5.4212983846388294</v>
      </c>
      <c r="H56" s="24"/>
      <c r="I56" s="24"/>
      <c r="J56" s="24"/>
      <c r="K56" s="24"/>
    </row>
    <row r="57" spans="1:11" s="5" customFormat="1" x14ac:dyDescent="0.3">
      <c r="A57" s="24"/>
      <c r="B57" s="25" t="str">
        <f>B39</f>
        <v>-for support beam</v>
      </c>
      <c r="C57" s="24">
        <f>C39</f>
        <v>2</v>
      </c>
      <c r="D57" s="3">
        <f>D39</f>
        <v>2.9463578177384941</v>
      </c>
      <c r="E57" s="3"/>
      <c r="F57" s="3">
        <f>0.23*2</f>
        <v>0.46</v>
      </c>
      <c r="G57" s="3">
        <f t="shared" si="3"/>
        <v>2.7106491923194147</v>
      </c>
      <c r="H57" s="24"/>
      <c r="I57" s="24"/>
      <c r="J57" s="24"/>
      <c r="K57" s="24"/>
    </row>
    <row r="58" spans="1:11" s="5" customFormat="1" x14ac:dyDescent="0.3">
      <c r="A58" s="24"/>
      <c r="B58" s="25" t="str">
        <f>B40</f>
        <v>-for column over support beam</v>
      </c>
      <c r="C58" s="24">
        <f>C40</f>
        <v>4</v>
      </c>
      <c r="D58" s="3">
        <f>D40</f>
        <v>0.23</v>
      </c>
      <c r="E58" s="3"/>
      <c r="F58" s="3">
        <f>F40</f>
        <v>1.5</v>
      </c>
      <c r="G58" s="3">
        <f t="shared" si="3"/>
        <v>1.3800000000000001</v>
      </c>
      <c r="H58" s="24"/>
      <c r="I58" s="24"/>
      <c r="J58" s="24"/>
      <c r="K58" s="24"/>
    </row>
    <row r="59" spans="1:11" s="5" customFormat="1" x14ac:dyDescent="0.3">
      <c r="A59" s="24"/>
      <c r="B59" s="25" t="str">
        <f>B41</f>
        <v>-for inclined slab</v>
      </c>
      <c r="C59" s="24">
        <f>C41</f>
        <v>4</v>
      </c>
      <c r="D59" s="3">
        <f>D41</f>
        <v>2.6668698567509903</v>
      </c>
      <c r="E59" s="3"/>
      <c r="F59" s="3">
        <f>F41</f>
        <v>0.75</v>
      </c>
      <c r="G59" s="3">
        <f t="shared" si="3"/>
        <v>8.0006095702529709</v>
      </c>
      <c r="H59" s="24"/>
      <c r="I59" s="24"/>
      <c r="J59" s="24"/>
      <c r="K59" s="24"/>
    </row>
    <row r="60" spans="1:11" s="5" customFormat="1" x14ac:dyDescent="0.3">
      <c r="A60" s="24"/>
      <c r="B60" s="25" t="str">
        <f>B42</f>
        <v>-for cantilever</v>
      </c>
      <c r="C60" s="24">
        <f>C42</f>
        <v>2</v>
      </c>
      <c r="D60" s="3">
        <f>D42</f>
        <v>3.6574215178299299</v>
      </c>
      <c r="E60" s="3">
        <f>E42</f>
        <v>0.6</v>
      </c>
      <c r="F60" s="3"/>
      <c r="G60" s="3">
        <f t="shared" si="3"/>
        <v>4.388905821395916</v>
      </c>
      <c r="H60" s="24"/>
      <c r="I60" s="24"/>
      <c r="J60" s="24"/>
      <c r="K60" s="24"/>
    </row>
    <row r="61" spans="1:11" s="5" customFormat="1" x14ac:dyDescent="0.3">
      <c r="A61" s="24"/>
      <c r="B61" s="25"/>
      <c r="C61" s="24">
        <f>C43</f>
        <v>2</v>
      </c>
      <c r="D61" s="3">
        <f>D43</f>
        <v>4.8765620237732392</v>
      </c>
      <c r="E61" s="3">
        <f>E43</f>
        <v>0.6</v>
      </c>
      <c r="F61" s="3"/>
      <c r="G61" s="3">
        <f t="shared" si="3"/>
        <v>5.8518744285278865</v>
      </c>
      <c r="H61" s="24"/>
      <c r="I61" s="24"/>
      <c r="J61" s="24"/>
      <c r="K61" s="24"/>
    </row>
    <row r="62" spans="1:11" s="19" customFormat="1" ht="15" customHeight="1" x14ac:dyDescent="0.3">
      <c r="A62" s="26"/>
      <c r="B62" s="27" t="s">
        <v>16</v>
      </c>
      <c r="C62" s="28"/>
      <c r="D62" s="1"/>
      <c r="E62" s="29"/>
      <c r="F62" s="29"/>
      <c r="G62" s="2">
        <f>SUM(G53:G61)</f>
        <v>53.391204501344681</v>
      </c>
      <c r="H62" s="30" t="s">
        <v>34</v>
      </c>
      <c r="I62" s="2">
        <v>922.71</v>
      </c>
      <c r="J62" s="31">
        <f>G62*I62</f>
        <v>49264.598305435749</v>
      </c>
      <c r="K62" s="29"/>
    </row>
    <row r="63" spans="1:11" s="19" customFormat="1" x14ac:dyDescent="0.3">
      <c r="A63" s="33"/>
      <c r="B63" s="34" t="s">
        <v>47</v>
      </c>
      <c r="C63" s="35"/>
      <c r="D63" s="36"/>
      <c r="E63" s="36"/>
      <c r="F63" s="36"/>
      <c r="G63" s="36"/>
      <c r="H63" s="35"/>
      <c r="I63" s="35"/>
      <c r="J63" s="31">
        <f>0.13*G62*20062.02/100</f>
        <v>1392.4760362890872</v>
      </c>
      <c r="K63" s="35"/>
    </row>
    <row r="64" spans="1:11" s="19" customFormat="1" x14ac:dyDescent="0.3">
      <c r="A64" s="33"/>
      <c r="B64" s="34" t="s">
        <v>48</v>
      </c>
      <c r="C64" s="35"/>
      <c r="D64" s="36"/>
      <c r="E64" s="36"/>
      <c r="F64" s="36"/>
      <c r="G64" s="36"/>
      <c r="H64" s="35"/>
      <c r="I64" s="35"/>
      <c r="J64" s="31">
        <f>0.13*G62*13328.25/100</f>
        <v>925.09471781356149</v>
      </c>
      <c r="K64" s="35"/>
    </row>
    <row r="65" spans="1:13" s="19" customFormat="1" x14ac:dyDescent="0.3">
      <c r="A65" s="33"/>
      <c r="B65" s="34" t="s">
        <v>49</v>
      </c>
      <c r="C65" s="35"/>
      <c r="D65" s="36"/>
      <c r="E65" s="36"/>
      <c r="F65" s="36"/>
      <c r="G65" s="36"/>
      <c r="H65" s="35"/>
      <c r="I65" s="35"/>
      <c r="J65" s="31">
        <f>0.13*G62*10137.6/100</f>
        <v>703.63627717868144</v>
      </c>
      <c r="K65" s="35"/>
    </row>
    <row r="66" spans="1:13" s="5" customFormat="1" x14ac:dyDescent="0.3">
      <c r="A66" s="24"/>
      <c r="B66" s="34" t="s">
        <v>50</v>
      </c>
      <c r="C66" s="24"/>
      <c r="D66" s="3"/>
      <c r="E66" s="3"/>
      <c r="F66" s="3"/>
      <c r="G66" s="3"/>
      <c r="H66" s="24"/>
      <c r="I66" s="24"/>
      <c r="J66" s="31">
        <f>0.13*G62*3300/100</f>
        <v>229.04826731076872</v>
      </c>
      <c r="K66" s="24"/>
    </row>
    <row r="67" spans="1:13" s="5" customFormat="1" x14ac:dyDescent="0.3">
      <c r="A67" s="24"/>
      <c r="B67" s="24"/>
      <c r="C67" s="24"/>
      <c r="D67" s="3"/>
      <c r="E67" s="3"/>
      <c r="F67" s="3"/>
      <c r="G67" s="3"/>
      <c r="H67" s="24"/>
      <c r="I67" s="24"/>
      <c r="J67" s="24"/>
      <c r="K67" s="24"/>
    </row>
    <row r="68" spans="1:13" s="23" customFormat="1" ht="43.2" x14ac:dyDescent="0.3">
      <c r="A68" s="20">
        <v>6</v>
      </c>
      <c r="B68" s="37" t="s">
        <v>37</v>
      </c>
      <c r="C68" s="22" t="s">
        <v>7</v>
      </c>
      <c r="D68" s="38" t="s">
        <v>27</v>
      </c>
      <c r="E68" s="38" t="s">
        <v>40</v>
      </c>
      <c r="F68" s="38" t="s">
        <v>41</v>
      </c>
      <c r="G68" s="32"/>
      <c r="H68" s="22"/>
      <c r="I68" s="22"/>
      <c r="J68" s="22"/>
      <c r="K68" s="22"/>
    </row>
    <row r="69" spans="1:13" s="5" customFormat="1" x14ac:dyDescent="0.3">
      <c r="A69" s="24"/>
      <c r="B69" s="25" t="str">
        <f>B34</f>
        <v>-for foundation</v>
      </c>
      <c r="C69" s="24">
        <f>TRUNC((1.5-0.1)/0.15,0)+1</f>
        <v>10</v>
      </c>
      <c r="D69" s="3">
        <f>1.5</f>
        <v>1.5</v>
      </c>
      <c r="E69" s="3">
        <f>12*12/162</f>
        <v>0.88888888888888884</v>
      </c>
      <c r="F69" s="3">
        <f t="shared" ref="F69:F76" si="4">PRODUCT(C69:E69)</f>
        <v>13.333333333333332</v>
      </c>
      <c r="G69" s="3">
        <f t="shared" ref="G69:G76" si="5">F69/1000</f>
        <v>1.3333333333333332E-2</v>
      </c>
      <c r="H69" s="24"/>
      <c r="I69" s="24"/>
      <c r="J69" s="24"/>
      <c r="K69" s="24"/>
    </row>
    <row r="70" spans="1:13" s="5" customFormat="1" x14ac:dyDescent="0.3">
      <c r="A70" s="24"/>
      <c r="B70" s="25"/>
      <c r="C70" s="24">
        <f>TRUNC((1.5-0.1)/0.15,0)+1</f>
        <v>10</v>
      </c>
      <c r="D70" s="3">
        <v>1.5</v>
      </c>
      <c r="E70" s="3">
        <f>12*12/162</f>
        <v>0.88888888888888884</v>
      </c>
      <c r="F70" s="3">
        <f t="shared" si="4"/>
        <v>13.333333333333332</v>
      </c>
      <c r="G70" s="3">
        <f t="shared" si="5"/>
        <v>1.3333333333333332E-2</v>
      </c>
      <c r="H70" s="24"/>
      <c r="I70" s="24"/>
      <c r="J70" s="24"/>
      <c r="K70" s="24"/>
    </row>
    <row r="71" spans="1:13" s="5" customFormat="1" x14ac:dyDescent="0.3">
      <c r="A71" s="24"/>
      <c r="B71" s="25" t="s">
        <v>70</v>
      </c>
      <c r="C71" s="24">
        <f>4*4</f>
        <v>16</v>
      </c>
      <c r="D71" s="3">
        <f>(10.5+1.5+5-0.17*2)/3.281+0.45+0.45</f>
        <v>5.9777202072538858</v>
      </c>
      <c r="E71" s="3">
        <f t="shared" ref="E71" si="6">12*12/162</f>
        <v>0.88888888888888884</v>
      </c>
      <c r="F71" s="3">
        <f t="shared" si="4"/>
        <v>85.01646516983304</v>
      </c>
      <c r="G71" s="3">
        <f t="shared" si="5"/>
        <v>8.5016465169833036E-2</v>
      </c>
      <c r="H71" s="24"/>
      <c r="I71" s="24"/>
      <c r="J71" s="24"/>
      <c r="K71" s="24"/>
    </row>
    <row r="72" spans="1:13" s="5" customFormat="1" x14ac:dyDescent="0.3">
      <c r="A72" s="24"/>
      <c r="B72" s="25"/>
      <c r="C72" s="24">
        <f>4*4</f>
        <v>16</v>
      </c>
      <c r="D72" s="3">
        <f>(10.5+1.5+5-0.17*2)/3.281+0.45+0.45</f>
        <v>5.9777202072538858</v>
      </c>
      <c r="E72" s="3">
        <f>16*16/162</f>
        <v>1.5802469135802468</v>
      </c>
      <c r="F72" s="3">
        <f t="shared" si="4"/>
        <v>151.14038252414761</v>
      </c>
      <c r="G72" s="3">
        <f t="shared" si="5"/>
        <v>0.1511403825241476</v>
      </c>
      <c r="H72" s="24"/>
      <c r="I72" s="24"/>
      <c r="J72" s="24"/>
      <c r="K72" s="24"/>
      <c r="M72" s="5">
        <f>(10.5+1.5+5-0.17*2)/3.281</f>
        <v>5.0777202072538854</v>
      </c>
    </row>
    <row r="73" spans="1:13" s="5" customFormat="1" x14ac:dyDescent="0.3">
      <c r="A73" s="24"/>
      <c r="B73" s="25" t="s">
        <v>71</v>
      </c>
      <c r="C73" s="24">
        <f>4*(TRUNC((D72-0.45-0.45)/0.15,0)+1)</f>
        <v>136</v>
      </c>
      <c r="D73" s="3">
        <f>0.917*4/3.281</f>
        <v>1.1179518439500153</v>
      </c>
      <c r="E73" s="3">
        <f>8*8/162</f>
        <v>0.39506172839506171</v>
      </c>
      <c r="F73" s="3">
        <f t="shared" si="4"/>
        <v>60.065758331734159</v>
      </c>
      <c r="G73" s="3">
        <f t="shared" si="5"/>
        <v>6.0065758331734158E-2</v>
      </c>
      <c r="H73" s="24"/>
      <c r="I73" s="24"/>
      <c r="J73" s="24"/>
      <c r="K73" s="24"/>
    </row>
    <row r="74" spans="1:13" s="5" customFormat="1" x14ac:dyDescent="0.3">
      <c r="A74" s="24"/>
      <c r="B74" s="25"/>
      <c r="C74" s="24">
        <f>4*(TRUNC((D72-0.45-0.45)/0.15,0)+1)</f>
        <v>136</v>
      </c>
      <c r="D74" s="3">
        <f>0.833*4/3.281</f>
        <v>1.015544041450777</v>
      </c>
      <c r="E74" s="3">
        <f>8*8/162</f>
        <v>0.39506172839506171</v>
      </c>
      <c r="F74" s="3">
        <f t="shared" si="4"/>
        <v>54.56355146165162</v>
      </c>
      <c r="G74" s="3">
        <f t="shared" si="5"/>
        <v>5.4563551461651622E-2</v>
      </c>
      <c r="H74" s="24"/>
      <c r="I74" s="24"/>
      <c r="J74" s="24"/>
      <c r="K74" s="24"/>
    </row>
    <row r="75" spans="1:13" s="5" customFormat="1" x14ac:dyDescent="0.3">
      <c r="A75" s="24"/>
      <c r="B75" s="25" t="str">
        <f>B54</f>
        <v>-for tie beam</v>
      </c>
      <c r="C75" s="24">
        <f>4*4</f>
        <v>16</v>
      </c>
      <c r="D75" s="3">
        <f>(12+0.75*2)/3.281</f>
        <v>4.1145992075586708</v>
      </c>
      <c r="E75" s="3">
        <f>12*12/162</f>
        <v>0.88888888888888884</v>
      </c>
      <c r="F75" s="3">
        <f t="shared" si="4"/>
        <v>58.518744285278871</v>
      </c>
      <c r="G75" s="3">
        <f t="shared" si="5"/>
        <v>5.8518744285278868E-2</v>
      </c>
      <c r="H75" s="24"/>
      <c r="I75" s="24"/>
      <c r="J75" s="24"/>
      <c r="K75" s="24"/>
    </row>
    <row r="76" spans="1:13" s="5" customFormat="1" x14ac:dyDescent="0.3">
      <c r="A76" s="24"/>
      <c r="B76" s="25" t="s">
        <v>72</v>
      </c>
      <c r="C76" s="24">
        <f>4*(TRUNC((D54-0.1)/0.15,0)+1)</f>
        <v>76</v>
      </c>
      <c r="D76" s="3">
        <f>(0.583*4+0.17*2)/3.281</f>
        <v>0.81438585797013097</v>
      </c>
      <c r="E76" s="3">
        <f>8*8/162</f>
        <v>0.39506172839506171</v>
      </c>
      <c r="F76" s="3">
        <f t="shared" si="4"/>
        <v>24.451684031893311</v>
      </c>
      <c r="G76" s="3">
        <f t="shared" si="5"/>
        <v>2.4451684031893312E-2</v>
      </c>
      <c r="H76" s="24"/>
      <c r="I76" s="24"/>
      <c r="J76" s="24"/>
      <c r="K76" s="24"/>
    </row>
    <row r="77" spans="1:13" s="5" customFormat="1" x14ac:dyDescent="0.3">
      <c r="A77" s="24"/>
      <c r="B77" s="25" t="str">
        <f>B56</f>
        <v>-for beam</v>
      </c>
      <c r="C77" s="24">
        <f>4*(TRUNC((D54-0.1)/0.15,0)+1)</f>
        <v>76</v>
      </c>
      <c r="D77" s="3">
        <f>(0.583*4+0.17*2)/3.281</f>
        <v>0.81438585797013097</v>
      </c>
      <c r="E77" s="3">
        <f>8*8/162</f>
        <v>0.39506172839506171</v>
      </c>
      <c r="F77" s="3">
        <f t="shared" ref="F77:F78" si="7">PRODUCT(C77:E77)</f>
        <v>24.451684031893311</v>
      </c>
      <c r="G77" s="3">
        <f t="shared" ref="G77:G78" si="8">F77/1000</f>
        <v>2.4451684031893312E-2</v>
      </c>
      <c r="H77" s="24"/>
      <c r="I77" s="24"/>
      <c r="J77" s="24"/>
      <c r="K77" s="24"/>
    </row>
    <row r="78" spans="1:13" s="5" customFormat="1" x14ac:dyDescent="0.3">
      <c r="A78" s="24"/>
      <c r="B78" s="25" t="str">
        <f>B57</f>
        <v>-for support beam</v>
      </c>
      <c r="C78" s="24">
        <f>4*4</f>
        <v>16</v>
      </c>
      <c r="D78" s="3">
        <f>(12+0.75*2)/3.281</f>
        <v>4.1145992075586708</v>
      </c>
      <c r="E78" s="3">
        <f>12*12/162</f>
        <v>0.88888888888888884</v>
      </c>
      <c r="F78" s="3">
        <f t="shared" si="7"/>
        <v>58.518744285278871</v>
      </c>
      <c r="G78" s="3">
        <f t="shared" si="8"/>
        <v>5.8518744285278868E-2</v>
      </c>
      <c r="H78" s="24"/>
      <c r="I78" s="24"/>
      <c r="J78" s="24"/>
      <c r="K78" s="24"/>
    </row>
    <row r="79" spans="1:13" s="5" customFormat="1" x14ac:dyDescent="0.3">
      <c r="A79" s="24"/>
      <c r="B79" s="25"/>
      <c r="C79" s="24">
        <f>2*(TRUNC((D56-0.1)/0.15,0)+1)</f>
        <v>38</v>
      </c>
      <c r="D79" s="3">
        <f>(0.583*4+0.17*2)/3.281</f>
        <v>0.81438585797013097</v>
      </c>
      <c r="E79" s="3">
        <f>8*8/162</f>
        <v>0.39506172839506171</v>
      </c>
      <c r="F79" s="3">
        <f t="shared" ref="F79:F81" si="9">PRODUCT(C79:E79)</f>
        <v>12.225842015946656</v>
      </c>
      <c r="G79" s="3">
        <f t="shared" ref="G79:G81" si="10">F79/1000</f>
        <v>1.2225842015946656E-2</v>
      </c>
      <c r="H79" s="24"/>
      <c r="I79" s="24"/>
      <c r="J79" s="24"/>
      <c r="K79" s="24"/>
    </row>
    <row r="80" spans="1:13" s="5" customFormat="1" x14ac:dyDescent="0.3">
      <c r="A80" s="24"/>
      <c r="B80" s="25" t="str">
        <f>B58</f>
        <v>-for column over support beam</v>
      </c>
      <c r="C80" s="24">
        <f>C58*4</f>
        <v>16</v>
      </c>
      <c r="D80" s="3">
        <f>1.5+0.45+0.45</f>
        <v>2.4</v>
      </c>
      <c r="E80" s="3">
        <f>12*12/162</f>
        <v>0.88888888888888884</v>
      </c>
      <c r="F80" s="3">
        <f t="shared" si="9"/>
        <v>34.133333333333333</v>
      </c>
      <c r="G80" s="3">
        <f t="shared" si="10"/>
        <v>3.4133333333333335E-2</v>
      </c>
      <c r="H80" s="24"/>
      <c r="I80" s="24"/>
      <c r="J80" s="24"/>
      <c r="K80" s="24"/>
    </row>
    <row r="81" spans="1:11" s="5" customFormat="1" x14ac:dyDescent="0.3">
      <c r="A81" s="24"/>
      <c r="B81" s="25" t="s">
        <v>71</v>
      </c>
      <c r="C81" s="24">
        <f>4*(TRUNC((D80-0.1)/0.15,0)+1)</f>
        <v>64</v>
      </c>
      <c r="D81" s="3">
        <f>0.917*4/3.281</f>
        <v>1.1179518439500153</v>
      </c>
      <c r="E81" s="3">
        <f>8*8/162</f>
        <v>0.39506172839506171</v>
      </c>
      <c r="F81" s="3">
        <f t="shared" si="9"/>
        <v>28.266239214933719</v>
      </c>
      <c r="G81" s="3">
        <f t="shared" si="10"/>
        <v>2.8266239214933719E-2</v>
      </c>
      <c r="H81" s="24"/>
      <c r="I81" s="24"/>
      <c r="J81" s="24"/>
      <c r="K81" s="24"/>
    </row>
    <row r="82" spans="1:11" s="5" customFormat="1" x14ac:dyDescent="0.3">
      <c r="A82" s="24"/>
      <c r="B82" s="25" t="str">
        <f>B59</f>
        <v>-for inclined slab</v>
      </c>
      <c r="C82" s="24">
        <f>4*(TRUNC((D83/0.15),0)+1)</f>
        <v>24</v>
      </c>
      <c r="D82" s="3">
        <f>D59</f>
        <v>2.6668698567509903</v>
      </c>
      <c r="E82" s="3">
        <f>10*10/162</f>
        <v>0.61728395061728392</v>
      </c>
      <c r="F82" s="3">
        <f t="shared" ref="F82:F83" si="11">PRODUCT(C82:E82)</f>
        <v>39.509183062977634</v>
      </c>
      <c r="G82" s="3">
        <f t="shared" ref="G82:G83" si="12">F82/1000</f>
        <v>3.9509183062977633E-2</v>
      </c>
      <c r="H82" s="24"/>
      <c r="I82" s="24"/>
      <c r="J82" s="24"/>
      <c r="K82" s="24"/>
    </row>
    <row r="83" spans="1:11" s="5" customFormat="1" x14ac:dyDescent="0.3">
      <c r="A83" s="24"/>
      <c r="B83" s="25"/>
      <c r="C83" s="24">
        <f>4*(TRUNC((D82/0.15),0)+1)</f>
        <v>72</v>
      </c>
      <c r="D83" s="3">
        <f>F59</f>
        <v>0.75</v>
      </c>
      <c r="E83" s="3">
        <f>10*10/162</f>
        <v>0.61728395061728392</v>
      </c>
      <c r="F83" s="3">
        <f t="shared" si="11"/>
        <v>33.333333333333329</v>
      </c>
      <c r="G83" s="3">
        <f t="shared" si="12"/>
        <v>3.3333333333333326E-2</v>
      </c>
      <c r="H83" s="24"/>
      <c r="I83" s="24"/>
      <c r="J83" s="24"/>
      <c r="K83" s="24"/>
    </row>
    <row r="84" spans="1:11" s="5" customFormat="1" x14ac:dyDescent="0.3">
      <c r="A84" s="24"/>
      <c r="B84" s="25" t="s">
        <v>84</v>
      </c>
      <c r="C84" s="24">
        <v>3</v>
      </c>
      <c r="D84" s="3">
        <f>(12+2+2)/3.281</f>
        <v>4.8765620237732392</v>
      </c>
      <c r="E84" s="3">
        <f>10*10/162</f>
        <v>0.61728395061728392</v>
      </c>
      <c r="F84" s="3">
        <f t="shared" ref="F84" si="13">PRODUCT(C84:E84)</f>
        <v>9.030670414394887</v>
      </c>
      <c r="G84" s="3">
        <f t="shared" ref="G84" si="14">F84/1000</f>
        <v>9.0306704143948875E-3</v>
      </c>
      <c r="H84" s="24"/>
      <c r="I84" s="24"/>
      <c r="J84" s="24"/>
      <c r="K84" s="24"/>
    </row>
    <row r="85" spans="1:11" s="5" customFormat="1" x14ac:dyDescent="0.3">
      <c r="A85" s="24"/>
      <c r="B85" s="25"/>
      <c r="C85" s="24">
        <f>26</f>
        <v>26</v>
      </c>
      <c r="D85" s="3">
        <v>0.6</v>
      </c>
      <c r="E85" s="3">
        <f t="shared" ref="E85:E87" si="15">10*10/162</f>
        <v>0.61728395061728392</v>
      </c>
      <c r="F85" s="3">
        <f t="shared" ref="F85:F87" si="16">PRODUCT(C85:E85)</f>
        <v>9.6296296296296298</v>
      </c>
      <c r="G85" s="3">
        <f t="shared" ref="G85:G87" si="17">F85/1000</f>
        <v>9.6296296296296303E-3</v>
      </c>
      <c r="H85" s="24"/>
      <c r="I85" s="24"/>
      <c r="J85" s="24"/>
      <c r="K85" s="24"/>
    </row>
    <row r="86" spans="1:11" s="5" customFormat="1" x14ac:dyDescent="0.3">
      <c r="A86" s="24"/>
      <c r="B86" s="25"/>
      <c r="C86" s="24">
        <v>3</v>
      </c>
      <c r="D86" s="3">
        <f>(12+2+2)/3.281</f>
        <v>4.8765620237732392</v>
      </c>
      <c r="E86" s="3">
        <f t="shared" si="15"/>
        <v>0.61728395061728392</v>
      </c>
      <c r="F86" s="3">
        <f t="shared" si="16"/>
        <v>9.030670414394887</v>
      </c>
      <c r="G86" s="3">
        <f t="shared" si="17"/>
        <v>9.0306704143948875E-3</v>
      </c>
      <c r="H86" s="24"/>
      <c r="I86" s="24"/>
      <c r="J86" s="24"/>
      <c r="K86" s="24"/>
    </row>
    <row r="87" spans="1:11" s="5" customFormat="1" x14ac:dyDescent="0.3">
      <c r="A87" s="24"/>
      <c r="B87" s="25"/>
      <c r="C87" s="24">
        <f>C85</f>
        <v>26</v>
      </c>
      <c r="D87" s="3">
        <v>0.6</v>
      </c>
      <c r="E87" s="3">
        <f t="shared" si="15"/>
        <v>0.61728395061728392</v>
      </c>
      <c r="F87" s="3">
        <f t="shared" si="16"/>
        <v>9.6296296296296298</v>
      </c>
      <c r="G87" s="3">
        <f t="shared" si="17"/>
        <v>9.6296296296296303E-3</v>
      </c>
      <c r="H87" s="24"/>
      <c r="I87" s="24"/>
      <c r="J87" s="24"/>
      <c r="K87" s="24"/>
    </row>
    <row r="88" spans="1:11" s="19" customFormat="1" ht="15" customHeight="1" x14ac:dyDescent="0.3">
      <c r="A88" s="26"/>
      <c r="B88" s="27" t="s">
        <v>16</v>
      </c>
      <c r="C88" s="28"/>
      <c r="D88" s="1"/>
      <c r="E88" s="29"/>
      <c r="F88" s="29"/>
      <c r="G88" s="2">
        <f>SUM(G69:G87)</f>
        <v>0.72818221183695131</v>
      </c>
      <c r="H88" s="30" t="s">
        <v>42</v>
      </c>
      <c r="I88" s="2">
        <v>132360</v>
      </c>
      <c r="J88" s="31">
        <f>G88*I88</f>
        <v>96382.197558738873</v>
      </c>
      <c r="K88" s="29"/>
    </row>
    <row r="89" spans="1:11" s="19" customFormat="1" x14ac:dyDescent="0.3">
      <c r="A89" s="33"/>
      <c r="B89" s="34" t="s">
        <v>39</v>
      </c>
      <c r="C89" s="35"/>
      <c r="D89" s="35"/>
      <c r="E89" s="35"/>
      <c r="F89" s="35"/>
      <c r="G89" s="35"/>
      <c r="H89" s="35"/>
      <c r="I89" s="35"/>
      <c r="J89" s="31">
        <f>0.13*G88*105000</f>
        <v>9939.6871915743868</v>
      </c>
      <c r="K89" s="35"/>
    </row>
    <row r="90" spans="1:11" s="19" customFormat="1" x14ac:dyDescent="0.3">
      <c r="A90" s="33"/>
      <c r="B90" s="34" t="s">
        <v>38</v>
      </c>
      <c r="C90" s="35"/>
      <c r="D90" s="35"/>
      <c r="E90" s="35"/>
      <c r="F90" s="35"/>
      <c r="G90" s="35"/>
      <c r="H90" s="35"/>
      <c r="I90" s="35"/>
      <c r="J90" s="31">
        <f>0.13*G88*1200</f>
        <v>113.59642504656442</v>
      </c>
      <c r="K90" s="35"/>
    </row>
    <row r="91" spans="1:11" s="5" customFormat="1" x14ac:dyDescent="0.3">
      <c r="A91" s="24"/>
      <c r="B91" s="24"/>
      <c r="C91" s="24"/>
      <c r="D91" s="24"/>
      <c r="E91" s="24"/>
      <c r="F91" s="24"/>
      <c r="G91" s="24"/>
      <c r="H91" s="24"/>
      <c r="I91" s="24"/>
      <c r="J91" s="24"/>
      <c r="K91" s="24"/>
    </row>
    <row r="92" spans="1:11" s="5" customFormat="1" ht="30" x14ac:dyDescent="0.3">
      <c r="A92" s="20">
        <v>7</v>
      </c>
      <c r="B92" s="37" t="s">
        <v>51</v>
      </c>
      <c r="C92" s="24"/>
      <c r="D92" s="24"/>
      <c r="E92" s="24"/>
      <c r="F92" s="24"/>
      <c r="G92" s="24"/>
      <c r="H92" s="24"/>
      <c r="I92" s="24"/>
      <c r="J92" s="24"/>
      <c r="K92" s="24"/>
    </row>
    <row r="93" spans="1:11" s="5" customFormat="1" x14ac:dyDescent="0.3">
      <c r="A93" s="24"/>
      <c r="B93" s="25" t="s">
        <v>66</v>
      </c>
      <c r="C93" s="24">
        <v>1</v>
      </c>
      <c r="D93" s="3">
        <f>(18.5-0.75*2)/3.281</f>
        <v>5.1813471502590671</v>
      </c>
      <c r="E93" s="3">
        <f>(8.75+17.5-0.75*2)/3.281</f>
        <v>7.5434318805242304</v>
      </c>
      <c r="F93" s="24"/>
      <c r="G93" s="3">
        <f>PRODUCT(C93:F93)</f>
        <v>39.08513927732762</v>
      </c>
      <c r="H93" s="24"/>
      <c r="I93" s="24"/>
      <c r="J93" s="24"/>
      <c r="K93" s="24"/>
    </row>
    <row r="94" spans="1:11" s="19" customFormat="1" ht="15" customHeight="1" x14ac:dyDescent="0.3">
      <c r="A94" s="26"/>
      <c r="B94" s="27" t="s">
        <v>16</v>
      </c>
      <c r="C94" s="28"/>
      <c r="D94" s="1"/>
      <c r="E94" s="29"/>
      <c r="F94" s="29"/>
      <c r="G94" s="2">
        <f>SUM(G93)</f>
        <v>39.08513927732762</v>
      </c>
      <c r="H94" s="30" t="s">
        <v>34</v>
      </c>
      <c r="I94" s="2">
        <v>689.98</v>
      </c>
      <c r="J94" s="31">
        <f>G94*I94</f>
        <v>26967.964398570512</v>
      </c>
      <c r="K94" s="29"/>
    </row>
    <row r="95" spans="1:11" s="19" customFormat="1" x14ac:dyDescent="0.3">
      <c r="A95" s="33"/>
      <c r="B95" s="34" t="s">
        <v>32</v>
      </c>
      <c r="C95" s="35"/>
      <c r="D95" s="36"/>
      <c r="E95" s="36"/>
      <c r="F95" s="36"/>
      <c r="G95" s="36"/>
      <c r="H95" s="35"/>
      <c r="I95" s="35"/>
      <c r="J95" s="31">
        <f>0.13*G94*1694.03/10</f>
        <v>860.74818036962699</v>
      </c>
      <c r="K95" s="35"/>
    </row>
    <row r="96" spans="1:11" s="5" customFormat="1" x14ac:dyDescent="0.3">
      <c r="A96" s="24"/>
      <c r="B96" s="34" t="s">
        <v>31</v>
      </c>
      <c r="C96" s="35"/>
      <c r="D96" s="36"/>
      <c r="E96" s="36"/>
      <c r="F96" s="36"/>
      <c r="G96" s="36"/>
      <c r="H96" s="35"/>
      <c r="I96" s="35"/>
      <c r="J96" s="31">
        <f>0.13*G94*472.02/10</f>
        <v>239.83657674189439</v>
      </c>
      <c r="K96" s="24"/>
    </row>
    <row r="97" spans="1:11" s="5" customFormat="1" x14ac:dyDescent="0.3">
      <c r="A97" s="24"/>
      <c r="B97" s="34" t="s">
        <v>33</v>
      </c>
      <c r="C97" s="35"/>
      <c r="D97" s="36"/>
      <c r="E97" s="36"/>
      <c r="F97" s="36"/>
      <c r="G97" s="36"/>
      <c r="H97" s="35"/>
      <c r="I97" s="35"/>
      <c r="J97" s="31">
        <f>0.13*G94*1207.6/10</f>
        <v>613.58978448691084</v>
      </c>
      <c r="K97" s="24"/>
    </row>
    <row r="98" spans="1:11" s="5" customFormat="1" x14ac:dyDescent="0.3">
      <c r="A98" s="24"/>
      <c r="B98" s="24"/>
      <c r="C98" s="24"/>
      <c r="D98" s="24"/>
      <c r="E98" s="24"/>
      <c r="F98" s="24"/>
      <c r="G98" s="24"/>
      <c r="H98" s="24"/>
      <c r="I98" s="24"/>
      <c r="J98" s="24"/>
      <c r="K98" s="24"/>
    </row>
    <row r="99" spans="1:11" s="5" customFormat="1" ht="30" x14ac:dyDescent="0.3">
      <c r="A99" s="20">
        <v>8</v>
      </c>
      <c r="B99" s="37" t="s">
        <v>53</v>
      </c>
      <c r="C99" s="24"/>
      <c r="D99" s="24"/>
      <c r="E99" s="24"/>
      <c r="F99" s="24"/>
      <c r="G99" s="24"/>
      <c r="H99" s="24"/>
      <c r="I99" s="24"/>
      <c r="J99" s="24"/>
      <c r="K99" s="24"/>
    </row>
    <row r="100" spans="1:11" s="5" customFormat="1" x14ac:dyDescent="0.3">
      <c r="A100" s="24"/>
      <c r="B100" s="25" t="s">
        <v>67</v>
      </c>
      <c r="C100" s="24">
        <f>2*2</f>
        <v>4</v>
      </c>
      <c r="D100" s="3">
        <f>D116</f>
        <v>5.6385248399878085</v>
      </c>
      <c r="E100" s="3"/>
      <c r="F100" s="3">
        <f>F116</f>
        <v>2.2858884486437061</v>
      </c>
      <c r="G100" s="3">
        <f>PRODUCT(C100:F100)</f>
        <v>51.556155196474933</v>
      </c>
      <c r="H100" s="24"/>
      <c r="I100" s="24"/>
      <c r="J100" s="24"/>
      <c r="K100" s="24"/>
    </row>
    <row r="101" spans="1:11" s="5" customFormat="1" x14ac:dyDescent="0.3">
      <c r="A101" s="24"/>
      <c r="B101" s="25"/>
      <c r="C101" s="3">
        <f>2*C117</f>
        <v>4</v>
      </c>
      <c r="D101" s="3">
        <f>D117</f>
        <v>8.0006095702529709</v>
      </c>
      <c r="E101" s="3"/>
      <c r="F101" s="3">
        <f>F117</f>
        <v>2.2858884486437061</v>
      </c>
      <c r="G101" s="3">
        <f>PRODUCT(C101:F101)</f>
        <v>73.154003994998206</v>
      </c>
      <c r="H101" s="24"/>
      <c r="I101" s="24"/>
      <c r="J101" s="24"/>
      <c r="K101" s="24"/>
    </row>
    <row r="102" spans="1:11" s="5" customFormat="1" x14ac:dyDescent="0.3">
      <c r="A102" s="24"/>
      <c r="B102" s="25" t="str">
        <f>B119</f>
        <v>-deduction for window</v>
      </c>
      <c r="C102" s="3">
        <f>2*C119</f>
        <v>-4</v>
      </c>
      <c r="D102" s="3">
        <f t="shared" ref="D102" si="18">D119</f>
        <v>1.8</v>
      </c>
      <c r="E102" s="3"/>
      <c r="F102" s="3">
        <f t="shared" ref="F102:F103" si="19">F119</f>
        <v>1.3715330691862238</v>
      </c>
      <c r="G102" s="3">
        <f t="shared" ref="G102:G103" si="20">PRODUCT(C102:F102)</f>
        <v>-9.875038098140811</v>
      </c>
      <c r="H102" s="24"/>
      <c r="I102" s="24"/>
      <c r="J102" s="24"/>
      <c r="K102" s="24"/>
    </row>
    <row r="103" spans="1:11" s="5" customFormat="1" x14ac:dyDescent="0.3">
      <c r="A103" s="24"/>
      <c r="B103" s="25" t="str">
        <f>B120</f>
        <v>-deduction for chain gate</v>
      </c>
      <c r="C103" s="3">
        <f>2*C120</f>
        <v>-2</v>
      </c>
      <c r="D103" s="3">
        <f t="shared" ref="D103" si="21">D120</f>
        <v>2.4382810118866196</v>
      </c>
      <c r="E103" s="3"/>
      <c r="F103" s="3">
        <f t="shared" si="19"/>
        <v>1.3715330691862238</v>
      </c>
      <c r="G103" s="3">
        <f t="shared" si="20"/>
        <v>-6.6883660795426936</v>
      </c>
      <c r="H103" s="24"/>
      <c r="I103" s="24"/>
      <c r="J103" s="24"/>
      <c r="K103" s="24"/>
    </row>
    <row r="104" spans="1:11" s="19" customFormat="1" ht="15" customHeight="1" x14ac:dyDescent="0.3">
      <c r="A104" s="26"/>
      <c r="B104" s="27" t="s">
        <v>16</v>
      </c>
      <c r="C104" s="28"/>
      <c r="D104" s="1"/>
      <c r="E104" s="29"/>
      <c r="F104" s="29"/>
      <c r="G104" s="2">
        <f>SUM(G100:G103)</f>
        <v>108.14675501378964</v>
      </c>
      <c r="H104" s="30" t="s">
        <v>34</v>
      </c>
      <c r="I104" s="2">
        <v>415.5</v>
      </c>
      <c r="J104" s="31">
        <f>G104*I104</f>
        <v>44934.976708229595</v>
      </c>
      <c r="K104" s="29"/>
    </row>
    <row r="105" spans="1:11" s="19" customFormat="1" x14ac:dyDescent="0.3">
      <c r="A105" s="33"/>
      <c r="B105" s="34" t="s">
        <v>32</v>
      </c>
      <c r="C105" s="35"/>
      <c r="D105" s="36"/>
      <c r="E105" s="36"/>
      <c r="F105" s="36"/>
      <c r="G105" s="36"/>
      <c r="H105" s="35"/>
      <c r="I105" s="35"/>
      <c r="J105" s="31">
        <f>0.13*G104*7010.67/100</f>
        <v>985.63557426428201</v>
      </c>
      <c r="K105" s="35"/>
    </row>
    <row r="106" spans="1:11" s="5" customFormat="1" x14ac:dyDescent="0.3">
      <c r="A106" s="24"/>
      <c r="B106" s="34" t="s">
        <v>31</v>
      </c>
      <c r="C106" s="35"/>
      <c r="D106" s="36"/>
      <c r="E106" s="36"/>
      <c r="F106" s="36"/>
      <c r="G106" s="36"/>
      <c r="H106" s="35"/>
      <c r="I106" s="35"/>
      <c r="J106" s="31">
        <f>0.13*G104*4639.73/100</f>
        <v>652.30326673216928</v>
      </c>
      <c r="K106" s="24"/>
    </row>
    <row r="107" spans="1:11" s="5" customFormat="1" x14ac:dyDescent="0.3">
      <c r="A107" s="24"/>
      <c r="B107" s="24"/>
      <c r="C107" s="24"/>
      <c r="D107" s="24"/>
      <c r="E107" s="24"/>
      <c r="F107" s="24"/>
      <c r="G107" s="24"/>
      <c r="H107" s="24"/>
      <c r="I107" s="24"/>
      <c r="J107" s="24"/>
      <c r="K107" s="24"/>
    </row>
    <row r="108" spans="1:11" s="5" customFormat="1" ht="30" x14ac:dyDescent="0.3">
      <c r="A108" s="20">
        <v>9</v>
      </c>
      <c r="B108" s="37" t="s">
        <v>54</v>
      </c>
      <c r="C108" s="24"/>
      <c r="D108" s="24"/>
      <c r="E108" s="24"/>
      <c r="F108" s="24"/>
      <c r="G108" s="24"/>
      <c r="H108" s="24"/>
      <c r="I108" s="24"/>
      <c r="J108" s="24"/>
      <c r="K108" s="24"/>
    </row>
    <row r="109" spans="1:11" s="5" customFormat="1" x14ac:dyDescent="0.3">
      <c r="A109" s="24"/>
      <c r="B109" s="25" t="str">
        <f>B93</f>
        <v>-for flooring at existing paati</v>
      </c>
      <c r="C109" s="24">
        <f>C93</f>
        <v>1</v>
      </c>
      <c r="D109" s="3">
        <f>D93</f>
        <v>5.1813471502590671</v>
      </c>
      <c r="E109" s="3">
        <f>E93</f>
        <v>7.5434318805242304</v>
      </c>
      <c r="F109" s="24"/>
      <c r="G109" s="3">
        <f>PRODUCT(C109:F109)</f>
        <v>39.08513927732762</v>
      </c>
      <c r="H109" s="24"/>
      <c r="I109" s="24"/>
      <c r="J109" s="24"/>
      <c r="K109" s="24"/>
    </row>
    <row r="110" spans="1:11" s="19" customFormat="1" ht="15" customHeight="1" x14ac:dyDescent="0.3">
      <c r="A110" s="26"/>
      <c r="B110" s="27" t="s">
        <v>16</v>
      </c>
      <c r="C110" s="28"/>
      <c r="D110" s="1"/>
      <c r="E110" s="29"/>
      <c r="F110" s="29"/>
      <c r="G110" s="2">
        <f>SUM(G109:G109)</f>
        <v>39.08513927732762</v>
      </c>
      <c r="H110" s="30" t="s">
        <v>34</v>
      </c>
      <c r="I110" s="2">
        <v>415.5</v>
      </c>
      <c r="J110" s="31">
        <f>G110*I110</f>
        <v>16239.875369729627</v>
      </c>
      <c r="K110" s="29"/>
    </row>
    <row r="111" spans="1:11" s="19" customFormat="1" x14ac:dyDescent="0.3">
      <c r="A111" s="33"/>
      <c r="B111" s="34" t="s">
        <v>32</v>
      </c>
      <c r="C111" s="35"/>
      <c r="D111" s="36"/>
      <c r="E111" s="36"/>
      <c r="F111" s="36"/>
      <c r="G111" s="36"/>
      <c r="H111" s="35"/>
      <c r="I111" s="35"/>
      <c r="J111" s="31">
        <f>0.13*G110*7010.67/100</f>
        <v>356.21691739059713</v>
      </c>
      <c r="K111" s="35"/>
    </row>
    <row r="112" spans="1:11" s="5" customFormat="1" x14ac:dyDescent="0.3">
      <c r="A112" s="24"/>
      <c r="B112" s="34" t="s">
        <v>31</v>
      </c>
      <c r="C112" s="35"/>
      <c r="D112" s="36"/>
      <c r="E112" s="36"/>
      <c r="F112" s="36"/>
      <c r="G112" s="36"/>
      <c r="H112" s="35"/>
      <c r="I112" s="35"/>
      <c r="J112" s="31">
        <f>0.13*G110*4639.73/100</f>
        <v>235.74784123695386</v>
      </c>
      <c r="K112" s="24"/>
    </row>
    <row r="113" spans="1:11" s="5" customFormat="1" x14ac:dyDescent="0.3">
      <c r="A113" s="24"/>
      <c r="B113" s="24"/>
      <c r="C113" s="24"/>
      <c r="D113" s="24"/>
      <c r="E113" s="24"/>
      <c r="F113" s="24"/>
      <c r="G113" s="24"/>
      <c r="H113" s="24"/>
      <c r="I113" s="24"/>
      <c r="J113" s="24"/>
      <c r="K113" s="24"/>
    </row>
    <row r="114" spans="1:11" s="5" customFormat="1" ht="30" x14ac:dyDescent="0.3">
      <c r="A114" s="20">
        <v>10</v>
      </c>
      <c r="B114" s="37" t="s">
        <v>63</v>
      </c>
      <c r="C114" s="24"/>
      <c r="D114" s="24"/>
      <c r="E114" s="24"/>
      <c r="F114" s="24"/>
      <c r="G114" s="24"/>
      <c r="H114" s="24"/>
      <c r="I114" s="24"/>
      <c r="J114" s="24"/>
      <c r="K114" s="24"/>
    </row>
    <row r="115" spans="1:11" s="5" customFormat="1" x14ac:dyDescent="0.3">
      <c r="A115" s="24"/>
      <c r="B115" s="25" t="str">
        <f>B35</f>
        <v>-for tie beam</v>
      </c>
      <c r="C115" s="3">
        <f>C35</f>
        <v>4</v>
      </c>
      <c r="D115" s="3">
        <f>D35</f>
        <v>2.9463578177384941</v>
      </c>
      <c r="E115" s="3">
        <v>0.23</v>
      </c>
      <c r="F115" s="24">
        <v>0.9</v>
      </c>
      <c r="G115" s="3">
        <f>PRODUCT(C115:F115)</f>
        <v>2.4395842730874735</v>
      </c>
      <c r="H115" s="24"/>
      <c r="I115" s="24"/>
      <c r="J115" s="24"/>
      <c r="K115" s="24"/>
    </row>
    <row r="116" spans="1:11" s="5" customFormat="1" x14ac:dyDescent="0.3">
      <c r="A116" s="24"/>
      <c r="B116" s="25" t="s">
        <v>65</v>
      </c>
      <c r="C116" s="3">
        <v>2</v>
      </c>
      <c r="D116" s="3">
        <f>18.5/3.281</f>
        <v>5.6385248399878085</v>
      </c>
      <c r="E116" s="3">
        <v>0.23</v>
      </c>
      <c r="F116" s="3">
        <f>7.5/3.281</f>
        <v>2.2858884486437061</v>
      </c>
      <c r="G116" s="3">
        <f>PRODUCT(C116:F116)</f>
        <v>5.9289578475946181</v>
      </c>
      <c r="H116" s="24"/>
      <c r="I116" s="24"/>
      <c r="J116" s="24"/>
      <c r="K116" s="24"/>
    </row>
    <row r="117" spans="1:11" s="5" customFormat="1" x14ac:dyDescent="0.3">
      <c r="A117" s="24"/>
      <c r="B117" s="25"/>
      <c r="C117" s="3">
        <v>2</v>
      </c>
      <c r="D117" s="3">
        <f>(8.75+17.5)/3.281</f>
        <v>8.0006095702529709</v>
      </c>
      <c r="E117" s="3">
        <v>0.23</v>
      </c>
      <c r="F117" s="3">
        <f>7.5/3.281</f>
        <v>2.2858884486437061</v>
      </c>
      <c r="G117" s="3">
        <f>PRODUCT(C117:F117)</f>
        <v>8.4127104594247939</v>
      </c>
      <c r="H117" s="24"/>
      <c r="I117" s="24"/>
      <c r="J117" s="24"/>
      <c r="K117" s="24"/>
    </row>
    <row r="118" spans="1:11" s="5" customFormat="1" x14ac:dyDescent="0.3">
      <c r="A118" s="24"/>
      <c r="B118" s="25" t="s">
        <v>80</v>
      </c>
      <c r="C118" s="3">
        <v>1</v>
      </c>
      <c r="D118" s="3">
        <f>D117</f>
        <v>8.0006095702529709</v>
      </c>
      <c r="E118" s="3">
        <v>0.3</v>
      </c>
      <c r="F118" s="3">
        <v>0.45</v>
      </c>
      <c r="G118" s="3">
        <f>PRODUCT(C118:F118)</f>
        <v>1.0800822919841511</v>
      </c>
      <c r="H118" s="24"/>
      <c r="I118" s="24"/>
      <c r="J118" s="24"/>
      <c r="K118" s="24"/>
    </row>
    <row r="119" spans="1:11" s="5" customFormat="1" x14ac:dyDescent="0.3">
      <c r="A119" s="24"/>
      <c r="B119" s="25" t="s">
        <v>68</v>
      </c>
      <c r="C119" s="3">
        <v>-2</v>
      </c>
      <c r="D119" s="3">
        <f>1.8</f>
        <v>1.8</v>
      </c>
      <c r="E119" s="3">
        <v>0.23</v>
      </c>
      <c r="F119" s="3">
        <f>4.5/3.281</f>
        <v>1.3715330691862238</v>
      </c>
      <c r="G119" s="3">
        <f>PRODUCT(C119:F119)</f>
        <v>-1.1356293812861933</v>
      </c>
      <c r="H119" s="24"/>
      <c r="I119" s="24"/>
      <c r="J119" s="24"/>
      <c r="K119" s="24"/>
    </row>
    <row r="120" spans="1:11" s="5" customFormat="1" x14ac:dyDescent="0.3">
      <c r="A120" s="24"/>
      <c r="B120" s="25" t="s">
        <v>69</v>
      </c>
      <c r="C120" s="3">
        <v>-1</v>
      </c>
      <c r="D120" s="3">
        <f>8/3.281</f>
        <v>2.4382810118866196</v>
      </c>
      <c r="E120" s="3">
        <v>0.23</v>
      </c>
      <c r="F120" s="3">
        <f>4.5/3.281</f>
        <v>1.3715330691862238</v>
      </c>
      <c r="G120" s="3">
        <f>PRODUCT(C120:F120)</f>
        <v>-0.76916209914740985</v>
      </c>
      <c r="H120" s="24"/>
      <c r="I120" s="24"/>
      <c r="J120" s="24"/>
      <c r="K120" s="24"/>
    </row>
    <row r="121" spans="1:11" s="19" customFormat="1" ht="15" customHeight="1" x14ac:dyDescent="0.3">
      <c r="A121" s="26"/>
      <c r="B121" s="27" t="s">
        <v>16</v>
      </c>
      <c r="C121" s="28"/>
      <c r="D121" s="1"/>
      <c r="E121" s="29"/>
      <c r="F121" s="29"/>
      <c r="G121" s="2">
        <f>SUM(G115:G120)</f>
        <v>15.956543391657435</v>
      </c>
      <c r="H121" s="30" t="s">
        <v>28</v>
      </c>
      <c r="I121" s="2">
        <f>14491.84</f>
        <v>14491.84</v>
      </c>
      <c r="J121" s="31">
        <f>G121*I121</f>
        <v>231239.67378495689</v>
      </c>
      <c r="K121" s="29"/>
    </row>
    <row r="122" spans="1:11" s="19" customFormat="1" x14ac:dyDescent="0.3">
      <c r="A122" s="33"/>
      <c r="B122" s="34" t="s">
        <v>55</v>
      </c>
      <c r="C122" s="35"/>
      <c r="D122" s="36"/>
      <c r="E122" s="36"/>
      <c r="F122" s="36"/>
      <c r="G122" s="36"/>
      <c r="H122" s="35"/>
      <c r="I122" s="35"/>
      <c r="J122" s="31">
        <f>0.13*G121*8481.2</f>
        <v>17592.982655732259</v>
      </c>
      <c r="K122" s="35"/>
    </row>
    <row r="123" spans="1:11" s="19" customFormat="1" x14ac:dyDescent="0.3">
      <c r="A123" s="33"/>
      <c r="B123" s="34" t="s">
        <v>32</v>
      </c>
      <c r="C123" s="35"/>
      <c r="D123" s="36"/>
      <c r="E123" s="36"/>
      <c r="F123" s="36"/>
      <c r="G123" s="36"/>
      <c r="H123" s="35"/>
      <c r="I123" s="35"/>
      <c r="J123" s="31">
        <f>0.13*G121*912.17</f>
        <v>1892.1604241238613</v>
      </c>
      <c r="K123" s="35"/>
    </row>
    <row r="124" spans="1:11" s="19" customFormat="1" x14ac:dyDescent="0.3">
      <c r="A124" s="33"/>
      <c r="B124" s="34" t="s">
        <v>64</v>
      </c>
      <c r="C124" s="35"/>
      <c r="D124" s="36"/>
      <c r="E124" s="36"/>
      <c r="F124" s="36"/>
      <c r="G124" s="36"/>
      <c r="H124" s="35"/>
      <c r="I124" s="35"/>
      <c r="J124" s="31">
        <f>0.13*G121*953.37</f>
        <v>1977.6236705295787</v>
      </c>
      <c r="K124" s="35"/>
    </row>
    <row r="125" spans="1:11" s="19" customFormat="1" x14ac:dyDescent="0.3">
      <c r="A125" s="33"/>
      <c r="B125" s="34" t="s">
        <v>36</v>
      </c>
      <c r="C125" s="35"/>
      <c r="D125" s="36"/>
      <c r="E125" s="36"/>
      <c r="F125" s="36"/>
      <c r="G125" s="36"/>
      <c r="H125" s="35"/>
      <c r="I125" s="35"/>
      <c r="J125" s="31">
        <f>0.13*G121*28</f>
        <v>58.08181794563307</v>
      </c>
      <c r="K125" s="35"/>
    </row>
    <row r="126" spans="1:11" s="5" customFormat="1" x14ac:dyDescent="0.3">
      <c r="A126" s="24"/>
      <c r="B126" s="24"/>
      <c r="C126" s="24"/>
      <c r="D126" s="24"/>
      <c r="E126" s="24"/>
      <c r="F126" s="24"/>
      <c r="G126" s="24"/>
      <c r="H126" s="24"/>
      <c r="I126" s="24"/>
      <c r="J126" s="24"/>
      <c r="K126" s="24"/>
    </row>
    <row r="127" spans="1:11" s="5" customFormat="1" ht="30" x14ac:dyDescent="0.3">
      <c r="A127" s="20">
        <v>11</v>
      </c>
      <c r="B127" s="37" t="s">
        <v>73</v>
      </c>
      <c r="C127" s="24"/>
      <c r="D127" s="24"/>
      <c r="E127" s="24"/>
      <c r="F127" s="24"/>
      <c r="G127" s="24"/>
      <c r="H127" s="24"/>
      <c r="I127" s="24"/>
      <c r="J127" s="24"/>
      <c r="K127" s="24"/>
    </row>
    <row r="128" spans="1:11" s="5" customFormat="1" x14ac:dyDescent="0.3">
      <c r="A128" s="24"/>
      <c r="B128" s="25" t="s">
        <v>65</v>
      </c>
      <c r="C128" s="3">
        <f>C100</f>
        <v>4</v>
      </c>
      <c r="D128" s="3">
        <f>18.5/3.281</f>
        <v>5.6385248399878085</v>
      </c>
      <c r="E128" s="3"/>
      <c r="F128" s="3">
        <f>F100</f>
        <v>2.2858884486437061</v>
      </c>
      <c r="G128" s="3">
        <f>PRODUCT(C128:F128)</f>
        <v>51.556155196474933</v>
      </c>
      <c r="H128" s="24"/>
      <c r="I128" s="24"/>
      <c r="J128" s="24"/>
      <c r="K128" s="24"/>
    </row>
    <row r="129" spans="1:11" s="5" customFormat="1" x14ac:dyDescent="0.3">
      <c r="A129" s="24"/>
      <c r="B129" s="25"/>
      <c r="C129" s="3">
        <f>C101</f>
        <v>4</v>
      </c>
      <c r="D129" s="3">
        <f>(8.75+17.5)/3.281</f>
        <v>8.0006095702529709</v>
      </c>
      <c r="E129" s="3"/>
      <c r="F129" s="3">
        <f>7.5/3.281</f>
        <v>2.2858884486437061</v>
      </c>
      <c r="G129" s="3">
        <f>PRODUCT(C129:F129)</f>
        <v>73.154003994998206</v>
      </c>
      <c r="H129" s="24"/>
      <c r="I129" s="24"/>
      <c r="J129" s="24"/>
      <c r="K129" s="24"/>
    </row>
    <row r="130" spans="1:11" s="5" customFormat="1" x14ac:dyDescent="0.3">
      <c r="A130" s="24"/>
      <c r="B130" s="25" t="s">
        <v>68</v>
      </c>
      <c r="C130" s="3">
        <f>-2*2</f>
        <v>-4</v>
      </c>
      <c r="D130" s="3">
        <f>1.8</f>
        <v>1.8</v>
      </c>
      <c r="E130" s="3"/>
      <c r="F130" s="3">
        <f>4.5/3.281</f>
        <v>1.3715330691862238</v>
      </c>
      <c r="G130" s="3">
        <f>PRODUCT(C130:F130)</f>
        <v>-9.875038098140811</v>
      </c>
      <c r="H130" s="24"/>
      <c r="I130" s="24"/>
      <c r="J130" s="24"/>
      <c r="K130" s="24"/>
    </row>
    <row r="131" spans="1:11" s="5" customFormat="1" x14ac:dyDescent="0.3">
      <c r="A131" s="24"/>
      <c r="B131" s="25" t="s">
        <v>69</v>
      </c>
      <c r="C131" s="3">
        <f>-1*2</f>
        <v>-2</v>
      </c>
      <c r="D131" s="3">
        <f>8/3.281</f>
        <v>2.4382810118866196</v>
      </c>
      <c r="E131" s="3"/>
      <c r="F131" s="3">
        <f>7/3.281</f>
        <v>2.1334958854007922</v>
      </c>
      <c r="G131" s="3">
        <f>PRODUCT(C131:F131)</f>
        <v>-10.404125012621966</v>
      </c>
      <c r="H131" s="24"/>
      <c r="I131" s="24"/>
      <c r="J131" s="24"/>
      <c r="K131" s="24"/>
    </row>
    <row r="132" spans="1:11" s="19" customFormat="1" ht="15" customHeight="1" x14ac:dyDescent="0.3">
      <c r="A132" s="26"/>
      <c r="B132" s="27" t="s">
        <v>16</v>
      </c>
      <c r="C132" s="28"/>
      <c r="D132" s="1"/>
      <c r="E132" s="29"/>
      <c r="F132" s="29"/>
      <c r="G132" s="2">
        <f>SUM(G128:G131)</f>
        <v>104.43099608071037</v>
      </c>
      <c r="H132" s="30" t="s">
        <v>28</v>
      </c>
      <c r="I132" s="2">
        <v>253.8</v>
      </c>
      <c r="J132" s="31">
        <f>G132*I132</f>
        <v>26504.586805284292</v>
      </c>
      <c r="K132" s="29"/>
    </row>
    <row r="133" spans="1:11" s="19" customFormat="1" x14ac:dyDescent="0.3">
      <c r="A133" s="33"/>
      <c r="B133" s="34" t="s">
        <v>74</v>
      </c>
      <c r="C133" s="35"/>
      <c r="D133" s="36"/>
      <c r="E133" s="36"/>
      <c r="F133" s="36"/>
      <c r="G133" s="36"/>
      <c r="H133" s="35"/>
      <c r="I133" s="35"/>
      <c r="J133" s="31">
        <f>0.13*G132*2304/100</f>
        <v>312.79171946094374</v>
      </c>
      <c r="K133" s="35"/>
    </row>
    <row r="134" spans="1:11" s="19" customFormat="1" x14ac:dyDescent="0.3">
      <c r="A134" s="33"/>
      <c r="B134" s="34" t="s">
        <v>75</v>
      </c>
      <c r="C134" s="35"/>
      <c r="D134" s="36"/>
      <c r="E134" s="36"/>
      <c r="F134" s="36"/>
      <c r="G134" s="36"/>
      <c r="H134" s="35"/>
      <c r="I134" s="35"/>
      <c r="J134" s="31">
        <f>0.13*G132*10432/100</f>
        <v>1416.251396448162</v>
      </c>
      <c r="K134" s="35"/>
    </row>
    <row r="135" spans="1:11" s="19" customFormat="1" x14ac:dyDescent="0.3">
      <c r="A135" s="33"/>
      <c r="B135" s="34"/>
      <c r="C135" s="35"/>
      <c r="D135" s="36"/>
      <c r="E135" s="36"/>
      <c r="F135" s="36"/>
      <c r="G135" s="36"/>
      <c r="H135" s="35"/>
      <c r="I135" s="35"/>
      <c r="J135" s="31"/>
      <c r="K135" s="35"/>
    </row>
    <row r="136" spans="1:11" s="5" customFormat="1" ht="30" x14ac:dyDescent="0.3">
      <c r="A136" s="20">
        <v>12</v>
      </c>
      <c r="B136" s="37" t="s">
        <v>76</v>
      </c>
      <c r="C136" s="24"/>
      <c r="D136" s="24"/>
      <c r="E136" s="24"/>
      <c r="F136" s="24"/>
      <c r="G136" s="24"/>
      <c r="H136" s="24"/>
      <c r="I136" s="24"/>
      <c r="J136" s="24"/>
      <c r="K136" s="24"/>
    </row>
    <row r="137" spans="1:11" s="5" customFormat="1" x14ac:dyDescent="0.3">
      <c r="A137" s="24"/>
      <c r="B137" s="25" t="s">
        <v>65</v>
      </c>
      <c r="C137" s="3"/>
      <c r="D137" s="3"/>
      <c r="E137" s="3"/>
      <c r="F137" s="3"/>
      <c r="G137" s="3"/>
      <c r="H137" s="24"/>
      <c r="I137" s="24"/>
      <c r="J137" s="24"/>
      <c r="K137" s="24"/>
    </row>
    <row r="138" spans="1:11" s="5" customFormat="1" x14ac:dyDescent="0.3">
      <c r="A138" s="24"/>
      <c r="B138" s="25" t="s">
        <v>77</v>
      </c>
      <c r="C138" s="3">
        <v>1</v>
      </c>
      <c r="D138" s="3">
        <f>8/3.281</f>
        <v>2.4382810118866196</v>
      </c>
      <c r="E138" s="3"/>
      <c r="F138" s="3">
        <f>4.5/3.281</f>
        <v>1.3715330691862238</v>
      </c>
      <c r="G138" s="3">
        <f>PRODUCT(C138:F138)</f>
        <v>3.3441830397713468</v>
      </c>
      <c r="H138" s="24"/>
      <c r="I138" s="24"/>
      <c r="J138" s="24"/>
      <c r="K138" s="24"/>
    </row>
    <row r="139" spans="1:11" s="19" customFormat="1" ht="15" customHeight="1" x14ac:dyDescent="0.3">
      <c r="A139" s="26"/>
      <c r="B139" s="27" t="s">
        <v>16</v>
      </c>
      <c r="C139" s="28"/>
      <c r="D139" s="1"/>
      <c r="E139" s="29"/>
      <c r="F139" s="29"/>
      <c r="G139" s="2">
        <f>SUM(G137:G138)</f>
        <v>3.3441830397713468</v>
      </c>
      <c r="H139" s="30" t="s">
        <v>28</v>
      </c>
      <c r="I139" s="2">
        <v>6391.43</v>
      </c>
      <c r="J139" s="31">
        <f>G139*I139</f>
        <v>21374.111805885779</v>
      </c>
      <c r="K139" s="29"/>
    </row>
    <row r="140" spans="1:11" s="19" customFormat="1" x14ac:dyDescent="0.3">
      <c r="A140" s="33"/>
      <c r="B140" s="34" t="s">
        <v>74</v>
      </c>
      <c r="C140" s="35"/>
      <c r="D140" s="36"/>
      <c r="E140" s="36"/>
      <c r="F140" s="36"/>
      <c r="G140" s="36"/>
      <c r="H140" s="35"/>
      <c r="I140" s="35"/>
      <c r="J140" s="31">
        <f>0.13*G139*2304/100</f>
        <v>10.016497040723138</v>
      </c>
      <c r="K140" s="35"/>
    </row>
    <row r="141" spans="1:11" s="19" customFormat="1" x14ac:dyDescent="0.3">
      <c r="A141" s="33"/>
      <c r="B141" s="34"/>
      <c r="C141" s="35"/>
      <c r="D141" s="36"/>
      <c r="E141" s="36"/>
      <c r="F141" s="36"/>
      <c r="G141" s="36"/>
      <c r="H141" s="35"/>
      <c r="I141" s="35"/>
      <c r="J141" s="31"/>
      <c r="K141" s="35"/>
    </row>
    <row r="142" spans="1:11" s="19" customFormat="1" ht="30.6" x14ac:dyDescent="0.3">
      <c r="A142" s="33">
        <v>13</v>
      </c>
      <c r="B142" s="37" t="s">
        <v>78</v>
      </c>
      <c r="C142" s="35"/>
      <c r="D142" s="36"/>
      <c r="E142" s="36"/>
      <c r="F142" s="36"/>
      <c r="G142" s="36"/>
      <c r="H142" s="35"/>
      <c r="I142" s="35"/>
      <c r="J142" s="31"/>
      <c r="K142" s="35"/>
    </row>
    <row r="143" spans="1:11" s="5" customFormat="1" x14ac:dyDescent="0.3">
      <c r="A143" s="24"/>
      <c r="B143" s="25" t="s">
        <v>79</v>
      </c>
      <c r="C143" s="3">
        <v>2</v>
      </c>
      <c r="D143" s="3">
        <v>1.8</v>
      </c>
      <c r="E143" s="3"/>
      <c r="F143" s="3">
        <f>4.5/3.281</f>
        <v>1.3715330691862238</v>
      </c>
      <c r="G143" s="3">
        <f>PRODUCT(C143:F143)</f>
        <v>4.9375190490704055</v>
      </c>
      <c r="H143" s="24"/>
      <c r="I143" s="24"/>
      <c r="J143" s="24"/>
      <c r="K143" s="24"/>
    </row>
    <row r="144" spans="1:11" s="19" customFormat="1" ht="15" customHeight="1" x14ac:dyDescent="0.3">
      <c r="A144" s="26"/>
      <c r="B144" s="27" t="s">
        <v>16</v>
      </c>
      <c r="C144" s="28"/>
      <c r="D144" s="1"/>
      <c r="E144" s="29"/>
      <c r="F144" s="29"/>
      <c r="G144" s="2">
        <f>SUM(G142:G143)</f>
        <v>4.9375190490704055</v>
      </c>
      <c r="H144" s="30" t="s">
        <v>28</v>
      </c>
      <c r="I144" s="2">
        <v>2485.56</v>
      </c>
      <c r="J144" s="31">
        <f>G144*I144</f>
        <v>12272.499847607436</v>
      </c>
      <c r="K144" s="29"/>
    </row>
    <row r="145" spans="1:11" s="19" customFormat="1" x14ac:dyDescent="0.3">
      <c r="A145" s="33"/>
      <c r="B145" s="34" t="s">
        <v>74</v>
      </c>
      <c r="C145" s="35"/>
      <c r="D145" s="36"/>
      <c r="E145" s="36"/>
      <c r="F145" s="36"/>
      <c r="G145" s="36"/>
      <c r="H145" s="35"/>
      <c r="I145" s="35"/>
      <c r="J145" s="31">
        <f>0.13*J144</f>
        <v>1595.4249801889669</v>
      </c>
      <c r="K145" s="35"/>
    </row>
    <row r="146" spans="1:11" s="19" customFormat="1" x14ac:dyDescent="0.3">
      <c r="A146" s="33"/>
      <c r="B146" s="34"/>
      <c r="C146" s="35"/>
      <c r="D146" s="36"/>
      <c r="E146" s="36"/>
      <c r="F146" s="36"/>
      <c r="G146" s="36"/>
      <c r="H146" s="35"/>
      <c r="I146" s="35"/>
      <c r="J146" s="31"/>
      <c r="K146" s="35"/>
    </row>
    <row r="147" spans="1:11" s="19" customFormat="1" ht="15" customHeight="1" x14ac:dyDescent="0.3">
      <c r="A147" s="26">
        <v>14</v>
      </c>
      <c r="B147" s="39" t="s">
        <v>85</v>
      </c>
      <c r="C147" s="28">
        <v>1</v>
      </c>
      <c r="D147" s="1"/>
      <c r="E147" s="29"/>
      <c r="F147" s="29"/>
      <c r="G147" s="30">
        <f t="shared" ref="G147" si="22">PRODUCT(C147:F147)</f>
        <v>1</v>
      </c>
      <c r="H147" s="30" t="s">
        <v>30</v>
      </c>
      <c r="I147" s="2">
        <v>5000</v>
      </c>
      <c r="J147" s="30">
        <f>G147*I147</f>
        <v>5000</v>
      </c>
      <c r="K147" s="29"/>
    </row>
    <row r="148" spans="1:11" s="19" customFormat="1" x14ac:dyDescent="0.3">
      <c r="A148" s="26"/>
      <c r="B148" s="40"/>
      <c r="C148" s="28"/>
      <c r="D148" s="1"/>
      <c r="E148" s="29"/>
      <c r="F148" s="29"/>
      <c r="G148" s="2"/>
      <c r="H148" s="30"/>
      <c r="I148" s="2"/>
      <c r="J148" s="31"/>
      <c r="K148" s="29"/>
    </row>
    <row r="149" spans="1:11" s="19" customFormat="1" ht="15" customHeight="1" x14ac:dyDescent="0.3">
      <c r="A149" s="26">
        <v>15</v>
      </c>
      <c r="B149" s="39" t="s">
        <v>17</v>
      </c>
      <c r="C149" s="28">
        <v>1</v>
      </c>
      <c r="D149" s="1"/>
      <c r="E149" s="29"/>
      <c r="F149" s="29"/>
      <c r="G149" s="30">
        <f t="shared" ref="G149" si="23">PRODUCT(C149:F149)</f>
        <v>1</v>
      </c>
      <c r="H149" s="30" t="s">
        <v>18</v>
      </c>
      <c r="I149" s="2">
        <v>500</v>
      </c>
      <c r="J149" s="30">
        <f>G149*I149</f>
        <v>500</v>
      </c>
      <c r="K149" s="29"/>
    </row>
    <row r="150" spans="1:11" s="19" customFormat="1" x14ac:dyDescent="0.3">
      <c r="A150" s="26"/>
      <c r="B150" s="40"/>
      <c r="C150" s="28"/>
      <c r="D150" s="1"/>
      <c r="E150" s="29"/>
      <c r="F150" s="29"/>
      <c r="G150" s="2"/>
      <c r="H150" s="30"/>
      <c r="I150" s="2"/>
      <c r="J150" s="31"/>
      <c r="K150" s="29"/>
    </row>
    <row r="151" spans="1:11" s="19" customFormat="1" x14ac:dyDescent="0.3">
      <c r="A151" s="41"/>
      <c r="B151" s="42" t="s">
        <v>20</v>
      </c>
      <c r="C151" s="43"/>
      <c r="D151" s="44"/>
      <c r="E151" s="44"/>
      <c r="F151" s="44"/>
      <c r="G151" s="31"/>
      <c r="H151" s="31"/>
      <c r="I151" s="31"/>
      <c r="J151" s="31">
        <f>SUM(J10:J149)</f>
        <v>791637.34255256748</v>
      </c>
      <c r="K151" s="45"/>
    </row>
    <row r="152" spans="1:11" s="19" customFormat="1" x14ac:dyDescent="0.3"/>
    <row r="153" spans="1:11" s="55" customFormat="1" x14ac:dyDescent="0.3">
      <c r="A153" s="46"/>
      <c r="B153" s="47" t="s">
        <v>19</v>
      </c>
      <c r="C153" s="48">
        <f>J151</f>
        <v>791637.34255256748</v>
      </c>
      <c r="D153" s="49"/>
      <c r="E153" s="50">
        <v>100</v>
      </c>
      <c r="F153" s="46"/>
      <c r="G153" s="51"/>
      <c r="H153" s="46"/>
      <c r="I153" s="52"/>
      <c r="J153" s="53"/>
      <c r="K153" s="54"/>
    </row>
    <row r="154" spans="1:11" s="19" customFormat="1" x14ac:dyDescent="0.3">
      <c r="B154" s="47" t="s">
        <v>21</v>
      </c>
      <c r="C154" s="56">
        <v>700000</v>
      </c>
      <c r="D154" s="57"/>
      <c r="E154" s="50"/>
    </row>
    <row r="155" spans="1:11" s="19" customFormat="1" x14ac:dyDescent="0.3">
      <c r="B155" s="47" t="s">
        <v>22</v>
      </c>
      <c r="C155" s="56">
        <f>C154-C157-C158</f>
        <v>665000</v>
      </c>
      <c r="D155" s="57"/>
      <c r="E155" s="50">
        <f>C155/C153*100</f>
        <v>84.003111558098539</v>
      </c>
    </row>
    <row r="156" spans="1:11" s="19" customFormat="1" x14ac:dyDescent="0.3">
      <c r="B156" s="47" t="s">
        <v>26</v>
      </c>
      <c r="C156" s="58">
        <f>C153-C155</f>
        <v>126637.34255256748</v>
      </c>
      <c r="D156" s="58"/>
      <c r="E156" s="50">
        <f>100-E155</f>
        <v>15.996888441901461</v>
      </c>
    </row>
    <row r="157" spans="1:11" s="19" customFormat="1" x14ac:dyDescent="0.3">
      <c r="B157" s="47" t="s">
        <v>23</v>
      </c>
      <c r="C157" s="48">
        <f>C154*0.03</f>
        <v>21000</v>
      </c>
      <c r="D157" s="49"/>
      <c r="E157" s="50">
        <v>3</v>
      </c>
    </row>
    <row r="158" spans="1:11" s="19" customFormat="1" x14ac:dyDescent="0.3">
      <c r="B158" s="47" t="s">
        <v>24</v>
      </c>
      <c r="C158" s="48">
        <f>C154*0.02</f>
        <v>14000</v>
      </c>
      <c r="D158" s="49"/>
      <c r="E158" s="50">
        <v>2</v>
      </c>
    </row>
  </sheetData>
  <mergeCells count="15">
    <mergeCell ref="A7:F7"/>
    <mergeCell ref="H7:K7"/>
    <mergeCell ref="A1:K1"/>
    <mergeCell ref="A2:K2"/>
    <mergeCell ref="A3:K3"/>
    <mergeCell ref="A4:K4"/>
    <mergeCell ref="A5:K5"/>
    <mergeCell ref="A6:F6"/>
    <mergeCell ref="H6:K6"/>
    <mergeCell ref="C158:D158"/>
    <mergeCell ref="C153:D153"/>
    <mergeCell ref="C154:D154"/>
    <mergeCell ref="C155:D155"/>
    <mergeCell ref="C156:D156"/>
    <mergeCell ref="C157:D15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2025-12-30T19:31:54Z</dcterms:modified>
</cp:coreProperties>
</file>