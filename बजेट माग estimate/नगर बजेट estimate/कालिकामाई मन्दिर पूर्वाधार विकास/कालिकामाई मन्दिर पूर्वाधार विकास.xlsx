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13_ncr:1_{F66ACE7E-08EF-420B-9195-30C64B44A44D}"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estimate!$A$1:$K$55</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5" i="12" l="1"/>
  <c r="M15" i="12"/>
  <c r="P15" i="12" s="1"/>
  <c r="E15" i="12"/>
  <c r="G15" i="12" s="1"/>
  <c r="G20" i="12" s="1"/>
  <c r="C54" i="12"/>
  <c r="J21" i="12" l="1"/>
  <c r="J20" i="12"/>
  <c r="E39" i="12"/>
  <c r="D39" i="12"/>
  <c r="N39" i="12"/>
  <c r="M39" i="12"/>
  <c r="N29" i="12"/>
  <c r="M29" i="12"/>
  <c r="D24" i="12"/>
  <c r="D29" i="12" s="1"/>
  <c r="D30" i="12" s="1"/>
  <c r="G30" i="12" s="1"/>
  <c r="B24" i="12"/>
  <c r="B29" i="12" s="1"/>
  <c r="B39" i="12" s="1"/>
  <c r="E24" i="12"/>
  <c r="N24" i="12"/>
  <c r="M24" i="12"/>
  <c r="P29" i="12" l="1"/>
  <c r="P39" i="12"/>
  <c r="G39" i="12"/>
  <c r="G40" i="12" s="1"/>
  <c r="J44" i="12" s="1"/>
  <c r="G10" i="12"/>
  <c r="P24" i="12"/>
  <c r="G24" i="12"/>
  <c r="G25" i="12" s="1"/>
  <c r="E29" i="12"/>
  <c r="G29" i="12" s="1"/>
  <c r="G31" i="12" s="1"/>
  <c r="J36" i="12" s="1"/>
  <c r="J41" i="12" l="1"/>
  <c r="J42" i="12"/>
  <c r="J43" i="12"/>
  <c r="J35" i="12"/>
  <c r="J34" i="12"/>
  <c r="J33" i="12"/>
  <c r="J32" i="12"/>
  <c r="J40" i="12"/>
  <c r="J25" i="12"/>
  <c r="J26" i="12"/>
  <c r="J31" i="12"/>
  <c r="N10" i="12" l="1"/>
  <c r="M10" i="12"/>
  <c r="P10" i="12" l="1"/>
  <c r="G11" i="12"/>
  <c r="J11" i="12" l="1"/>
  <c r="J12" i="12" s="1"/>
  <c r="C55" i="12"/>
  <c r="C52" i="12" s="1"/>
  <c r="G46" i="12"/>
  <c r="J46" i="12" s="1"/>
  <c r="J48" i="12" l="1"/>
  <c r="C50" i="12" s="1"/>
  <c r="C53" i="12" s="1"/>
  <c r="E52" i="12" l="1"/>
  <c r="E53" i="12" s="1"/>
</calcChain>
</file>

<file path=xl/sharedStrings.xml><?xml version="1.0" encoding="utf-8"?>
<sst xmlns="http://schemas.openxmlformats.org/spreadsheetml/2006/main" count="58" uniqueCount="46">
  <si>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</si>
  <si>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</si>
  <si>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</si>
  <si>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</si>
  <si>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</si>
  <si>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</si>
  <si>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</si>
  <si>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</si>
  <si>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</si>
  <si>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</si>
  <si>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</si>
  <si>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</si>
  <si>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</si>
  <si>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</si>
  <si>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</si>
  <si>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</si>
  <si>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</si>
  <si>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</si>
  <si>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</si>
  <si>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</si>
  <si>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</si>
  <si>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</si>
  <si>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</si>
  <si>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</si>
  <si>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</si>
  <si>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</si>
  <si>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</si>
  <si>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</si>
  <si>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</si>
  <si>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</si>
  <si>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</si>
  <si>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</si>
  <si>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</si>
  <si>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</si>
  <si>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</si>
  <si>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</si>
  <si>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</si>
  <si>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</si>
  <si>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</si>
  <si>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</si>
  <si>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-13% VAT for water</t>
  </si>
  <si>
    <t>User contribution</t>
  </si>
  <si>
    <t>%) dL=dL=Aof;sf] :6]Gn];l:6nsf] x\of08/]ndf @ ld6/sf] b"/Ldf %) dL=dL=Aof;sf] :6]Gn];l:6ns} 7f8f] kf]i6 /fvL x\of08/]n / e"O+sf] aLrdf tLg tx t];f]{ @% dL=dL=Aof;sf] :6]Gn];l:6nsf] d]Da/ /fvL @Ú–^Æ b]lv #Ú–)Æ ;Dd prfO{ ePsf] /]lnË pknAw u/fO{ h8fg u/L /+u ;d]t nufpg] sfd .</t>
  </si>
  <si>
    <r>
      <t xml:space="preserve">Project:- </t>
    </r>
    <r>
      <rPr>
        <b/>
        <sz val="14"/>
        <rFont val="Preeti"/>
      </rPr>
      <t>sflnsfdfO{ dlGb/ k"jf{wf/ ljsf;</t>
    </r>
  </si>
  <si>
    <t>-for railing</t>
  </si>
  <si>
    <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</si>
</sst>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b/>
      <sz val="12"/>
      <color theme="1"/>
      <name val="Preeti"/>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2">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13" fillId="2" borderId="2" xfId="0" applyFont="1" applyFill="1" applyBorder="1" applyAlignment="1">
      <alignment vertical="center" wrapText="1"/>
    </xf>
    <xf numFmtId="2" fontId="4" fillId="0" borderId="0" xfId="0" applyNumberFormat="1" applyFont="1" applyBorder="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5"/>
  <sheetViews>
    <sheetView tabSelected="1" topLeftCell="A14" zoomScale="90" zoomScaleNormal="90" zoomScaleSheetLayoutView="95" workbookViewId="0">
      <selection activeCell="G14" sqref="G14"/>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39" t="s">
        <v>0</v>
      </c>
      <c r="B1" s="39"/>
      <c r="C1" s="39"/>
      <c r="D1" s="39"/>
      <c r="E1" s="39"/>
      <c r="F1" s="39"/>
      <c r="G1" s="39"/>
      <c r="H1" s="39"/>
      <c r="I1" s="39"/>
      <c r="J1" s="39"/>
      <c r="K1" s="39"/>
    </row>
    <row r="2" spans="1:16" ht="22.5" x14ac:dyDescent="0.25">
      <c r="A2" s="40" t="s">
        <v>1</v>
      </c>
      <c r="B2" s="40"/>
      <c r="C2" s="40"/>
      <c r="D2" s="40"/>
      <c r="E2" s="40"/>
      <c r="F2" s="40"/>
      <c r="G2" s="40"/>
      <c r="H2" s="40"/>
      <c r="I2" s="40"/>
      <c r="J2" s="40"/>
      <c r="K2" s="40"/>
    </row>
    <row r="3" spans="1:16" x14ac:dyDescent="0.25">
      <c r="A3" s="41" t="s">
        <v>2</v>
      </c>
      <c r="B3" s="41"/>
      <c r="C3" s="41"/>
      <c r="D3" s="41"/>
      <c r="E3" s="41"/>
      <c r="F3" s="41"/>
      <c r="G3" s="41"/>
      <c r="H3" s="41"/>
      <c r="I3" s="41"/>
      <c r="J3" s="41"/>
      <c r="K3" s="41"/>
    </row>
    <row r="4" spans="1:16" x14ac:dyDescent="0.25">
      <c r="A4" s="41" t="s">
        <v>3</v>
      </c>
      <c r="B4" s="41"/>
      <c r="C4" s="41"/>
      <c r="D4" s="41"/>
      <c r="E4" s="41"/>
      <c r="F4" s="41"/>
      <c r="G4" s="41"/>
      <c r="H4" s="41"/>
      <c r="I4" s="41"/>
      <c r="J4" s="41"/>
      <c r="K4" s="41"/>
    </row>
    <row r="5" spans="1:16" ht="18.75" x14ac:dyDescent="0.3">
      <c r="A5" s="42" t="s">
        <v>4</v>
      </c>
      <c r="B5" s="42"/>
      <c r="C5" s="42"/>
      <c r="D5" s="42"/>
      <c r="E5" s="42"/>
      <c r="F5" s="42"/>
      <c r="G5" s="42"/>
      <c r="H5" s="42"/>
      <c r="I5" s="42"/>
      <c r="J5" s="42"/>
      <c r="K5" s="42"/>
    </row>
    <row r="6" spans="1:16" ht="18" x14ac:dyDescent="0.25">
      <c r="A6" s="37" t="s">
        <v>43</v>
      </c>
      <c r="B6" s="37"/>
      <c r="C6" s="37"/>
      <c r="D6" s="37"/>
      <c r="E6" s="37"/>
      <c r="F6" s="37"/>
      <c r="G6" s="10"/>
      <c r="H6" s="38" t="s">
        <v>29</v>
      </c>
      <c r="I6" s="38"/>
      <c r="J6" s="38"/>
      <c r="K6" s="38"/>
    </row>
    <row r="7" spans="1:16" ht="15.75" x14ac:dyDescent="0.25">
      <c r="A7" s="45" t="s">
        <v>5</v>
      </c>
      <c r="B7" s="45"/>
      <c r="C7" s="45"/>
      <c r="D7" s="45"/>
      <c r="E7" s="45"/>
      <c r="F7" s="45"/>
      <c r="G7" s="11"/>
      <c r="H7" s="46" t="s">
        <v>23</v>
      </c>
      <c r="I7" s="46"/>
      <c r="J7" s="46"/>
      <c r="K7" s="46"/>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50" x14ac:dyDescent="0.25">
      <c r="A9" s="16">
        <v>1</v>
      </c>
      <c r="B9" s="50" t="s">
        <v>42</v>
      </c>
      <c r="C9" s="17"/>
      <c r="D9" s="17"/>
      <c r="E9" s="17"/>
      <c r="F9" s="17"/>
      <c r="G9" s="17"/>
      <c r="H9" s="17"/>
      <c r="I9" s="17"/>
      <c r="J9" s="17"/>
      <c r="K9" s="17"/>
    </row>
    <row r="10" spans="1:16" x14ac:dyDescent="0.25">
      <c r="A10" s="16"/>
      <c r="B10" s="32" t="s">
        <v>44</v>
      </c>
      <c r="C10" s="17">
        <v>1</v>
      </c>
      <c r="D10" s="33">
        <v>15</v>
      </c>
      <c r="E10" s="33"/>
      <c r="F10" s="33"/>
      <c r="G10" s="33">
        <f>PRODUCT(C10:F10)</f>
        <v>15</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15</v>
      </c>
      <c r="H11" s="7" t="s">
        <v>45</v>
      </c>
      <c r="I11" s="6">
        <v>4132.8</v>
      </c>
      <c r="J11" s="18">
        <f>G11*I11</f>
        <v>61992</v>
      </c>
      <c r="K11" s="5"/>
    </row>
    <row r="12" spans="1:16" x14ac:dyDescent="0.25">
      <c r="A12" s="16"/>
      <c r="B12" s="32" t="s">
        <v>24</v>
      </c>
      <c r="C12" s="17"/>
      <c r="D12" s="17"/>
      <c r="E12" s="17"/>
      <c r="F12" s="17"/>
      <c r="G12" s="17"/>
      <c r="H12" s="17"/>
      <c r="I12" s="17"/>
      <c r="J12" s="18">
        <f>0.13*J11</f>
        <v>8058.96</v>
      </c>
      <c r="K12" s="17"/>
    </row>
    <row r="13" spans="1:16" x14ac:dyDescent="0.25">
      <c r="A13" s="16"/>
      <c r="B13" s="17"/>
      <c r="C13" s="17"/>
      <c r="D13" s="17"/>
      <c r="E13" s="17"/>
      <c r="F13" s="17"/>
      <c r="G13" s="17"/>
      <c r="H13" s="17"/>
      <c r="I13" s="17"/>
      <c r="J13" s="17"/>
      <c r="K13" s="17"/>
    </row>
    <row r="14" spans="1:16" ht="188.25" customHeight="1" x14ac:dyDescent="0.25">
      <c r="A14" s="16">
        <v>1</v>
      </c>
      <c r="B14" s="35" t="s">
        <v>39</v>
      </c>
      <c r="C14" s="17"/>
      <c r="D14" s="17"/>
      <c r="E14" s="17"/>
      <c r="F14" s="17"/>
      <c r="G14" s="17"/>
      <c r="H14" s="17"/>
      <c r="I14" s="17"/>
      <c r="J14" s="17"/>
      <c r="K14" s="17"/>
    </row>
    <row r="15" spans="1:16" x14ac:dyDescent="0.25">
      <c r="A15" s="16"/>
      <c r="B15" s="32" t="s">
        <v>30</v>
      </c>
      <c r="C15" s="17">
        <v>1</v>
      </c>
      <c r="D15" s="33">
        <v>18.5</v>
      </c>
      <c r="E15" s="33">
        <f>F15/2</f>
        <v>1.5</v>
      </c>
      <c r="F15" s="33">
        <v>3</v>
      </c>
      <c r="G15" s="33">
        <f>PRODUCT(C15:F15)</f>
        <v>83.25</v>
      </c>
      <c r="H15" s="17"/>
      <c r="I15" s="17"/>
      <c r="J15" s="17"/>
      <c r="K15" s="17"/>
      <c r="M15" s="33">
        <f>7</f>
        <v>7</v>
      </c>
      <c r="N15" s="33">
        <f>2</f>
        <v>2</v>
      </c>
      <c r="O15" s="33"/>
      <c r="P15" s="33">
        <f>PI()*M15*SQRT(M15^2+N15^2)</f>
        <v>160.09797821843054</v>
      </c>
    </row>
    <row r="16" spans="1:16" x14ac:dyDescent="0.25">
      <c r="A16" s="16"/>
      <c r="B16" s="32"/>
      <c r="C16" s="17"/>
      <c r="D16" s="33"/>
      <c r="E16" s="33"/>
      <c r="F16" s="33"/>
      <c r="G16" s="33"/>
      <c r="H16" s="17"/>
      <c r="I16" s="17"/>
      <c r="J16" s="17"/>
      <c r="K16" s="17"/>
      <c r="M16" s="51"/>
      <c r="N16" s="51"/>
      <c r="O16" s="51"/>
      <c r="P16" s="51"/>
    </row>
    <row r="17" spans="1:16" x14ac:dyDescent="0.25">
      <c r="A17" s="16"/>
      <c r="B17" s="32"/>
      <c r="C17" s="17"/>
      <c r="D17" s="33"/>
      <c r="E17" s="33"/>
      <c r="F17" s="33"/>
      <c r="G17" s="33"/>
      <c r="H17" s="17"/>
      <c r="I17" s="17"/>
      <c r="J17" s="17"/>
      <c r="K17" s="17"/>
      <c r="M17" s="51"/>
      <c r="N17" s="51"/>
      <c r="O17" s="51"/>
      <c r="P17" s="51"/>
    </row>
    <row r="18" spans="1:16" x14ac:dyDescent="0.25">
      <c r="A18" s="16"/>
      <c r="B18" s="32"/>
      <c r="C18" s="17"/>
      <c r="D18" s="33"/>
      <c r="E18" s="33"/>
      <c r="F18" s="33"/>
      <c r="G18" s="33"/>
      <c r="H18" s="17"/>
      <c r="I18" s="17"/>
      <c r="J18" s="17"/>
      <c r="K18" s="17"/>
      <c r="M18" s="51"/>
      <c r="N18" s="51"/>
      <c r="O18" s="51"/>
      <c r="P18" s="51"/>
    </row>
    <row r="19" spans="1:16" x14ac:dyDescent="0.25">
      <c r="A19" s="16"/>
      <c r="B19" s="32"/>
      <c r="C19" s="17"/>
      <c r="D19" s="33"/>
      <c r="E19" s="33"/>
      <c r="F19" s="33"/>
      <c r="G19" s="33"/>
      <c r="H19" s="17"/>
      <c r="I19" s="17"/>
      <c r="J19" s="17"/>
      <c r="K19" s="17"/>
      <c r="M19" s="51"/>
      <c r="N19" s="51"/>
      <c r="O19" s="51"/>
      <c r="P19" s="51"/>
    </row>
    <row r="20" spans="1:16" ht="15" customHeight="1" x14ac:dyDescent="0.25">
      <c r="A20" s="2"/>
      <c r="B20" s="34" t="s">
        <v>17</v>
      </c>
      <c r="C20" s="3"/>
      <c r="D20" s="4"/>
      <c r="E20" s="5"/>
      <c r="F20" s="5"/>
      <c r="G20" s="6">
        <f>SUM(G15:G15)</f>
        <v>83.25</v>
      </c>
      <c r="H20" s="7" t="s">
        <v>18</v>
      </c>
      <c r="I20" s="6">
        <v>62.95</v>
      </c>
      <c r="J20" s="18">
        <f>G20*I20</f>
        <v>5240.5875000000005</v>
      </c>
      <c r="K20" s="5"/>
    </row>
    <row r="21" spans="1:16" x14ac:dyDescent="0.25">
      <c r="A21" s="16"/>
      <c r="B21" s="32" t="s">
        <v>24</v>
      </c>
      <c r="C21" s="17"/>
      <c r="D21" s="17"/>
      <c r="E21" s="17"/>
      <c r="F21" s="17"/>
      <c r="G21" s="17"/>
      <c r="H21" s="17"/>
      <c r="I21" s="17"/>
      <c r="J21" s="18">
        <f>0.13*G20*(18612)/360</f>
        <v>559.52324999999996</v>
      </c>
      <c r="K21" s="17"/>
    </row>
    <row r="22" spans="1:16" x14ac:dyDescent="0.25">
      <c r="A22" s="16"/>
      <c r="B22" s="17"/>
      <c r="C22" s="17"/>
      <c r="D22" s="17"/>
      <c r="E22" s="17"/>
      <c r="F22" s="17"/>
      <c r="G22" s="17"/>
      <c r="H22" s="17"/>
      <c r="I22" s="17"/>
      <c r="J22" s="17"/>
      <c r="K22" s="17"/>
    </row>
    <row r="23" spans="1:16" ht="94.5" x14ac:dyDescent="0.25">
      <c r="A23" s="16">
        <v>2</v>
      </c>
      <c r="B23" s="35" t="s">
        <v>31</v>
      </c>
      <c r="C23" s="17"/>
      <c r="D23" s="17"/>
      <c r="E23" s="17"/>
      <c r="F23" s="17"/>
      <c r="G23" s="17"/>
      <c r="H23" s="17"/>
      <c r="I23" s="17"/>
      <c r="J23" s="17"/>
      <c r="K23" s="17"/>
    </row>
    <row r="24" spans="1:16" x14ac:dyDescent="0.25">
      <c r="A24" s="16"/>
      <c r="B24" s="32" t="str">
        <f>B10</f>
        <v>-for railing</v>
      </c>
      <c r="C24" s="17">
        <v>1</v>
      </c>
      <c r="D24" s="33">
        <f>D10</f>
        <v>15</v>
      </c>
      <c r="E24" s="33">
        <f>E10</f>
        <v>0</v>
      </c>
      <c r="F24" s="33">
        <v>0.15</v>
      </c>
      <c r="G24" s="33">
        <f>PRODUCT(C24:F24)</f>
        <v>0</v>
      </c>
      <c r="H24" s="17"/>
      <c r="I24" s="17"/>
      <c r="J24" s="17"/>
      <c r="K24" s="17"/>
      <c r="M24" s="33">
        <f>7</f>
        <v>7</v>
      </c>
      <c r="N24" s="33">
        <f>2</f>
        <v>2</v>
      </c>
      <c r="O24" s="33"/>
      <c r="P24" s="33">
        <f>PI()*M24*SQRT(M24^2+N24^2)</f>
        <v>160.09797821843054</v>
      </c>
    </row>
    <row r="25" spans="1:16" ht="15" customHeight="1" x14ac:dyDescent="0.25">
      <c r="A25" s="2"/>
      <c r="B25" s="34" t="s">
        <v>17</v>
      </c>
      <c r="C25" s="3"/>
      <c r="D25" s="4"/>
      <c r="E25" s="5"/>
      <c r="F25" s="5"/>
      <c r="G25" s="6">
        <f>SUM(G24:G24)</f>
        <v>0</v>
      </c>
      <c r="H25" s="7" t="s">
        <v>18</v>
      </c>
      <c r="I25" s="6">
        <v>4458.5200000000004</v>
      </c>
      <c r="J25" s="18">
        <f>G25*I25</f>
        <v>0</v>
      </c>
      <c r="K25" s="5"/>
    </row>
    <row r="26" spans="1:16" x14ac:dyDescent="0.25">
      <c r="A26" s="16"/>
      <c r="B26" s="32" t="s">
        <v>24</v>
      </c>
      <c r="C26" s="17"/>
      <c r="D26" s="17"/>
      <c r="E26" s="17"/>
      <c r="F26" s="17"/>
      <c r="G26" s="17"/>
      <c r="H26" s="17"/>
      <c r="I26" s="17"/>
      <c r="J26" s="18">
        <f>0.13*G25*(14817.6)/5</f>
        <v>0</v>
      </c>
      <c r="K26" s="17"/>
    </row>
    <row r="27" spans="1:16" x14ac:dyDescent="0.25">
      <c r="A27" s="16"/>
      <c r="B27" s="17"/>
      <c r="C27" s="17"/>
      <c r="D27" s="17"/>
      <c r="E27" s="17"/>
      <c r="F27" s="17"/>
      <c r="G27" s="17"/>
      <c r="H27" s="17"/>
      <c r="I27" s="17"/>
      <c r="J27" s="17"/>
      <c r="K27" s="17"/>
    </row>
    <row r="28" spans="1:16" ht="78.75" x14ac:dyDescent="0.25">
      <c r="A28" s="16">
        <v>3</v>
      </c>
      <c r="B28" s="35" t="s">
        <v>32</v>
      </c>
      <c r="C28" s="17"/>
      <c r="D28" s="17"/>
      <c r="E28" s="17"/>
      <c r="F28" s="17"/>
      <c r="G28" s="17"/>
      <c r="H28" s="17"/>
      <c r="I28" s="17"/>
      <c r="J28" s="17"/>
      <c r="K28" s="17"/>
    </row>
    <row r="29" spans="1:16" x14ac:dyDescent="0.25">
      <c r="A29" s="16"/>
      <c r="B29" s="32" t="str">
        <f>B24</f>
        <v>-for railing</v>
      </c>
      <c r="C29" s="17">
        <v>1</v>
      </c>
      <c r="D29" s="33">
        <f>D24</f>
        <v>15</v>
      </c>
      <c r="E29" s="33">
        <f>E24</f>
        <v>0</v>
      </c>
      <c r="F29" s="33">
        <v>0.05</v>
      </c>
      <c r="G29" s="33">
        <f>PRODUCT(C29:F29)</f>
        <v>0</v>
      </c>
      <c r="H29" s="17"/>
      <c r="I29" s="17"/>
      <c r="J29" s="17"/>
      <c r="K29" s="17"/>
      <c r="M29" s="33">
        <f>7</f>
        <v>7</v>
      </c>
      <c r="N29" s="33">
        <f>2</f>
        <v>2</v>
      </c>
      <c r="O29" s="33"/>
      <c r="P29" s="33">
        <f>PI()*M29*SQRT(M29^2+N29^2)</f>
        <v>160.09797821843054</v>
      </c>
    </row>
    <row r="30" spans="1:16" x14ac:dyDescent="0.25">
      <c r="A30" s="16"/>
      <c r="B30" s="32"/>
      <c r="C30" s="17">
        <v>1</v>
      </c>
      <c r="D30" s="33">
        <f>D29</f>
        <v>15</v>
      </c>
      <c r="E30" s="33">
        <v>0.45</v>
      </c>
      <c r="F30" s="33">
        <v>0.05</v>
      </c>
      <c r="G30" s="33">
        <f>PRODUCT(C30:F30)</f>
        <v>0.33750000000000002</v>
      </c>
      <c r="H30" s="17"/>
      <c r="I30" s="17"/>
      <c r="J30" s="17"/>
      <c r="K30" s="17"/>
      <c r="M30" s="36"/>
      <c r="N30" s="36"/>
      <c r="O30" s="36"/>
      <c r="P30" s="36"/>
    </row>
    <row r="31" spans="1:16" ht="15" customHeight="1" x14ac:dyDescent="0.25">
      <c r="A31" s="2"/>
      <c r="B31" s="34" t="s">
        <v>17</v>
      </c>
      <c r="C31" s="3"/>
      <c r="D31" s="4"/>
      <c r="E31" s="5"/>
      <c r="F31" s="5"/>
      <c r="G31" s="6">
        <f>SUM(G29:G30)</f>
        <v>0.33750000000000002</v>
      </c>
      <c r="H31" s="7" t="s">
        <v>18</v>
      </c>
      <c r="I31" s="6">
        <v>10964.46</v>
      </c>
      <c r="J31" s="18">
        <f>G31*I31</f>
        <v>3700.5052500000002</v>
      </c>
      <c r="K31" s="5"/>
    </row>
    <row r="32" spans="1:16" x14ac:dyDescent="0.25">
      <c r="A32" s="16"/>
      <c r="B32" s="32" t="s">
        <v>33</v>
      </c>
      <c r="C32" s="17"/>
      <c r="D32" s="17"/>
      <c r="E32" s="17"/>
      <c r="F32" s="17"/>
      <c r="G32" s="17"/>
      <c r="H32" s="17"/>
      <c r="I32" s="17"/>
      <c r="J32" s="18">
        <f>0.13*G31*(53818.03)/15</f>
        <v>157.41773775000001</v>
      </c>
      <c r="K32" s="17"/>
    </row>
    <row r="33" spans="1:16" x14ac:dyDescent="0.25">
      <c r="A33" s="16"/>
      <c r="B33" s="32" t="s">
        <v>34</v>
      </c>
      <c r="C33" s="17"/>
      <c r="D33" s="17"/>
      <c r="E33" s="17"/>
      <c r="F33" s="17"/>
      <c r="G33" s="17"/>
      <c r="H33" s="17"/>
      <c r="I33" s="17"/>
      <c r="J33" s="18">
        <f>0.13*G31*(21432.6)/15</f>
        <v>62.690354999999997</v>
      </c>
      <c r="K33" s="17"/>
    </row>
    <row r="34" spans="1:16" x14ac:dyDescent="0.25">
      <c r="A34" s="16"/>
      <c r="B34" s="32" t="s">
        <v>35</v>
      </c>
      <c r="C34" s="17"/>
      <c r="D34" s="17"/>
      <c r="E34" s="17"/>
      <c r="F34" s="17"/>
      <c r="G34" s="17"/>
      <c r="H34" s="17"/>
      <c r="I34" s="17"/>
      <c r="J34" s="18">
        <f>0.13*G31*(25719.12+13573.98+4286.52)/15</f>
        <v>127.4703885</v>
      </c>
      <c r="K34" s="17"/>
    </row>
    <row r="35" spans="1:16" x14ac:dyDescent="0.25">
      <c r="A35" s="16"/>
      <c r="B35" s="32" t="s">
        <v>36</v>
      </c>
      <c r="C35" s="17"/>
      <c r="D35" s="17"/>
      <c r="E35" s="17"/>
      <c r="F35" s="17"/>
      <c r="G35" s="17"/>
      <c r="H35" s="17"/>
      <c r="I35" s="17"/>
      <c r="J35" s="18">
        <f>0.13*G31*(6325.7)/15</f>
        <v>18.502672500000003</v>
      </c>
      <c r="K35" s="17"/>
    </row>
    <row r="36" spans="1:16" x14ac:dyDescent="0.25">
      <c r="A36" s="16"/>
      <c r="B36" s="32" t="s">
        <v>40</v>
      </c>
      <c r="C36" s="17"/>
      <c r="D36" s="17"/>
      <c r="E36" s="17"/>
      <c r="F36" s="17"/>
      <c r="G36" s="17"/>
      <c r="H36" s="17"/>
      <c r="I36" s="17"/>
      <c r="J36" s="18">
        <f>0.13*G31*(310)/5</f>
        <v>2.7202500000000005</v>
      </c>
      <c r="K36" s="17"/>
    </row>
    <row r="37" spans="1:16" x14ac:dyDescent="0.25">
      <c r="A37" s="16"/>
      <c r="B37" s="17"/>
      <c r="C37" s="17"/>
      <c r="D37" s="17"/>
      <c r="E37" s="17"/>
      <c r="F37" s="17"/>
      <c r="G37" s="17"/>
      <c r="H37" s="17"/>
      <c r="I37" s="17"/>
      <c r="J37" s="17"/>
      <c r="K37" s="17"/>
    </row>
    <row r="38" spans="1:16" ht="110.25" x14ac:dyDescent="0.25">
      <c r="A38" s="16">
        <v>4</v>
      </c>
      <c r="B38" s="35" t="s">
        <v>37</v>
      </c>
      <c r="C38" s="17"/>
      <c r="D38" s="17"/>
      <c r="E38" s="17"/>
      <c r="F38" s="17"/>
      <c r="G38" s="17"/>
      <c r="H38" s="17"/>
      <c r="I38" s="17"/>
      <c r="J38" s="17"/>
      <c r="K38" s="17"/>
    </row>
    <row r="39" spans="1:16" x14ac:dyDescent="0.25">
      <c r="A39" s="16"/>
      <c r="B39" s="32" t="str">
        <f>B29</f>
        <v>-for railing</v>
      </c>
      <c r="C39" s="17">
        <v>1</v>
      </c>
      <c r="D39" s="33">
        <f>D10</f>
        <v>15</v>
      </c>
      <c r="E39" s="33">
        <f>((F39/2)+0.45)/2</f>
        <v>0.97499999999999998</v>
      </c>
      <c r="F39" s="33">
        <v>3</v>
      </c>
      <c r="G39" s="33">
        <f>PRODUCT(C39:F39)</f>
        <v>43.875</v>
      </c>
      <c r="H39" s="17"/>
      <c r="I39" s="17"/>
      <c r="J39" s="17"/>
      <c r="K39" s="17"/>
      <c r="M39" s="33">
        <f>7</f>
        <v>7</v>
      </c>
      <c r="N39" s="33">
        <f>2</f>
        <v>2</v>
      </c>
      <c r="O39" s="33"/>
      <c r="P39" s="33">
        <f>PI()*M39*SQRT(M39^2+N39^2)</f>
        <v>160.09797821843054</v>
      </c>
    </row>
    <row r="40" spans="1:16" ht="15" customHeight="1" x14ac:dyDescent="0.25">
      <c r="A40" s="2"/>
      <c r="B40" s="34" t="s">
        <v>17</v>
      </c>
      <c r="C40" s="3"/>
      <c r="D40" s="4"/>
      <c r="E40" s="5"/>
      <c r="F40" s="5"/>
      <c r="G40" s="6">
        <f>SUM(G39:G39)</f>
        <v>43.875</v>
      </c>
      <c r="H40" s="7" t="s">
        <v>18</v>
      </c>
      <c r="I40" s="6">
        <v>8987.83</v>
      </c>
      <c r="J40" s="18">
        <f>G40*I40</f>
        <v>394341.04125000001</v>
      </c>
      <c r="K40" s="5"/>
    </row>
    <row r="41" spans="1:16" x14ac:dyDescent="0.25">
      <c r="A41" s="16"/>
      <c r="B41" s="32" t="s">
        <v>33</v>
      </c>
      <c r="C41" s="17"/>
      <c r="D41" s="17"/>
      <c r="E41" s="17"/>
      <c r="F41" s="17"/>
      <c r="G41" s="17"/>
      <c r="H41" s="17"/>
      <c r="I41" s="17"/>
      <c r="J41" s="18">
        <f>0.13*G40*(5863.95)/5</f>
        <v>6689.3009625000004</v>
      </c>
      <c r="K41" s="17"/>
    </row>
    <row r="42" spans="1:16" x14ac:dyDescent="0.25">
      <c r="A42" s="16"/>
      <c r="B42" s="32" t="s">
        <v>34</v>
      </c>
      <c r="C42" s="17"/>
      <c r="D42" s="17"/>
      <c r="E42" s="17"/>
      <c r="F42" s="17"/>
      <c r="G42" s="17"/>
      <c r="H42" s="17"/>
      <c r="I42" s="17"/>
      <c r="J42" s="18">
        <f>0.13*G40*(6604.416)/5</f>
        <v>7533.9875520000005</v>
      </c>
      <c r="K42" s="17"/>
    </row>
    <row r="43" spans="1:16" x14ac:dyDescent="0.25">
      <c r="A43" s="16"/>
      <c r="B43" s="32" t="s">
        <v>38</v>
      </c>
      <c r="C43" s="17"/>
      <c r="D43" s="17"/>
      <c r="E43" s="17"/>
      <c r="F43" s="17"/>
      <c r="G43" s="17"/>
      <c r="H43" s="17"/>
      <c r="I43" s="17"/>
      <c r="J43" s="18">
        <f>0.13*G40*(14808.78)/5</f>
        <v>16893.115785000002</v>
      </c>
      <c r="K43" s="17"/>
    </row>
    <row r="44" spans="1:16" x14ac:dyDescent="0.25">
      <c r="A44" s="16"/>
      <c r="B44" s="32" t="s">
        <v>40</v>
      </c>
      <c r="C44" s="17"/>
      <c r="D44" s="17"/>
      <c r="E44" s="17"/>
      <c r="F44" s="17"/>
      <c r="G44" s="17"/>
      <c r="H44" s="17"/>
      <c r="I44" s="17"/>
      <c r="J44" s="18">
        <f>0.13*G40*(310)/5</f>
        <v>353.63250000000005</v>
      </c>
      <c r="K44" s="17"/>
    </row>
    <row r="45" spans="1:16" x14ac:dyDescent="0.25">
      <c r="A45" s="16"/>
      <c r="B45" s="17"/>
      <c r="C45" s="17"/>
      <c r="D45" s="17"/>
      <c r="E45" s="17"/>
      <c r="F45" s="17"/>
      <c r="G45" s="17"/>
      <c r="H45" s="17"/>
      <c r="I45" s="17"/>
      <c r="J45" s="17"/>
      <c r="K45" s="17"/>
    </row>
    <row r="46" spans="1:16" ht="15" customHeight="1" x14ac:dyDescent="0.25">
      <c r="A46" s="2">
        <v>5</v>
      </c>
      <c r="B46" s="1" t="s">
        <v>19</v>
      </c>
      <c r="C46" s="3">
        <v>1</v>
      </c>
      <c r="D46" s="4"/>
      <c r="E46" s="5"/>
      <c r="F46" s="5"/>
      <c r="G46" s="7">
        <f t="shared" ref="G46" si="0">PRODUCT(C46:F46)</f>
        <v>1</v>
      </c>
      <c r="H46" s="7" t="s">
        <v>20</v>
      </c>
      <c r="I46" s="6">
        <v>500</v>
      </c>
      <c r="J46" s="7">
        <f>G46*I46</f>
        <v>500</v>
      </c>
      <c r="K46" s="5"/>
    </row>
    <row r="47" spans="1:16" x14ac:dyDescent="0.25">
      <c r="A47" s="2"/>
      <c r="B47" s="8"/>
      <c r="C47" s="3"/>
      <c r="D47" s="4"/>
      <c r="E47" s="5"/>
      <c r="F47" s="5"/>
      <c r="G47" s="6"/>
      <c r="H47" s="7"/>
      <c r="I47" s="6"/>
      <c r="J47" s="18"/>
      <c r="K47" s="5"/>
    </row>
    <row r="48" spans="1:16" x14ac:dyDescent="0.25">
      <c r="A48" s="21"/>
      <c r="B48" s="22" t="s">
        <v>22</v>
      </c>
      <c r="C48" s="23"/>
      <c r="D48" s="24"/>
      <c r="E48" s="24"/>
      <c r="F48" s="24"/>
      <c r="G48" s="18"/>
      <c r="H48" s="18"/>
      <c r="I48" s="18"/>
      <c r="J48" s="18">
        <f>SUM(J9:J46)</f>
        <v>506231.45545325003</v>
      </c>
      <c r="K48" s="25"/>
    </row>
    <row r="49" spans="1:19" x14ac:dyDescent="0.25">
      <c r="M49" s="20"/>
      <c r="N49" s="20"/>
      <c r="O49" s="20"/>
      <c r="P49" s="20"/>
      <c r="Q49" s="20"/>
      <c r="R49" s="20"/>
      <c r="S49" s="20"/>
    </row>
    <row r="50" spans="1:19" s="20" customFormat="1" x14ac:dyDescent="0.25">
      <c r="A50" s="26"/>
      <c r="B50" s="27" t="s">
        <v>21</v>
      </c>
      <c r="C50" s="43">
        <f>J48</f>
        <v>506231.45545325003</v>
      </c>
      <c r="D50" s="44"/>
      <c r="E50" s="9">
        <v>100</v>
      </c>
      <c r="F50" s="26"/>
      <c r="G50" s="28"/>
      <c r="H50" s="26"/>
      <c r="I50" s="29"/>
      <c r="J50" s="30"/>
      <c r="K50" s="31"/>
      <c r="M50" s="19"/>
      <c r="N50" s="19"/>
      <c r="O50" s="19"/>
      <c r="P50" s="19"/>
      <c r="Q50" s="19"/>
      <c r="R50" s="19"/>
      <c r="S50" s="19"/>
    </row>
    <row r="51" spans="1:19" x14ac:dyDescent="0.25">
      <c r="B51" s="27" t="s">
        <v>25</v>
      </c>
      <c r="C51" s="47">
        <v>500000</v>
      </c>
      <c r="D51" s="48"/>
      <c r="E51" s="9"/>
    </row>
    <row r="52" spans="1:19" x14ac:dyDescent="0.25">
      <c r="B52" s="27" t="s">
        <v>26</v>
      </c>
      <c r="C52" s="47">
        <f>C51-C54-C55</f>
        <v>475000</v>
      </c>
      <c r="D52" s="48"/>
      <c r="E52" s="9">
        <f>C52/C50*100</f>
        <v>93.830597621539098</v>
      </c>
    </row>
    <row r="53" spans="1:19" x14ac:dyDescent="0.25">
      <c r="B53" s="27" t="s">
        <v>41</v>
      </c>
      <c r="C53" s="49">
        <f>C50-C52</f>
        <v>31231.455453250033</v>
      </c>
      <c r="D53" s="49"/>
      <c r="E53" s="9">
        <f>100-E52</f>
        <v>6.1694023784609016</v>
      </c>
    </row>
    <row r="54" spans="1:19" x14ac:dyDescent="0.25">
      <c r="B54" s="27" t="s">
        <v>27</v>
      </c>
      <c r="C54" s="43">
        <f>C51*0.03</f>
        <v>15000</v>
      </c>
      <c r="D54" s="44"/>
      <c r="E54" s="9">
        <v>3</v>
      </c>
    </row>
    <row r="55" spans="1:19" x14ac:dyDescent="0.25">
      <c r="B55" s="27" t="s">
        <v>28</v>
      </c>
      <c r="C55" s="43">
        <f>C51*0.02</f>
        <v>10000</v>
      </c>
      <c r="D55" s="44"/>
      <c r="E55" s="9">
        <v>2</v>
      </c>
    </row>
  </sheetData>
  <mergeCells count="15">
    <mergeCell ref="C54:D54"/>
    <mergeCell ref="C55:D55"/>
    <mergeCell ref="A7:F7"/>
    <mergeCell ref="H7:K7"/>
    <mergeCell ref="C50:D50"/>
    <mergeCell ref="C51:D51"/>
    <mergeCell ref="C52:D52"/>
    <mergeCell ref="C53:D53"/>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7"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2026-02-12T09:22:44Z</dcterms:modified>
</cp:coreProperties>
</file>