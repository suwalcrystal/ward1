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defaultThemeVersion="124226"/>
  <xr:revisionPtr revIDLastSave="0" documentId="13_ncr:1_{560C8237-DCF2-4535-974C-C50E8C6E57C6}" xr6:coauthVersionLast="47" xr6:coauthVersionMax="47" xr10:uidLastSave="{00000000-0000-0000-0000-000000000000}"/>
  <bookViews>
    <workbookView xWindow="-120" yWindow="-120" windowWidth="20730" windowHeight="11040" activeTab="3" xr2:uid="{00000000-000D-0000-FFFF-FFFF00000000}"/>
  </bookViews>
  <sheets>
    <sheet name="estimate" sheetId="12" r:id="rId1"/>
    <sheet name="WCR" sheetId="14" r:id="rId2"/>
    <sheet name="V" sheetId="13" r:id="rId3"/>
    <sheet name="M" sheetId="15" r:id="rId4"/>
  </sheets>
  <externalReferences>
    <externalReference r:id="rId5"/>
    <externalReference r:id="rId6"/>
    <externalReference r:id="rId7"/>
    <externalReference r:id="rId8"/>
    <externalReference r:id="rId9"/>
    <externalReference r:id="rId10"/>
    <externalReference r:id="rId11"/>
  </externalReferences>
  <definedNames>
    <definedName name="description_103">[1]Abstract!$B$16</definedName>
    <definedName name="description_124" localSheetId="0">#REF!</definedName>
    <definedName name="description_124" localSheetId="3">#REF!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3">#REF!</definedName>
    <definedName name="description_310" localSheetId="2">#REF!</definedName>
    <definedName name="description_310" localSheetId="1">[4]Abstract!$B$60</definedName>
    <definedName name="description_310">#REF!</definedName>
    <definedName name="description_312" localSheetId="0">#REF!</definedName>
    <definedName name="description_312" localSheetId="3">#REF!</definedName>
    <definedName name="description_312" localSheetId="2">#REF!</definedName>
    <definedName name="description_312" localSheetId="1">[5]Abstract!$B$61</definedName>
    <definedName name="description_312">#REF!</definedName>
    <definedName name="description_5">[1]Abstract!$B$171</definedName>
    <definedName name="description_6" localSheetId="0">#REF!</definedName>
    <definedName name="description_6" localSheetId="3">#REF!</definedName>
    <definedName name="description_6" localSheetId="2">#REF!</definedName>
    <definedName name="description_6" localSheetId="1">[4]Abstract!$B$172</definedName>
    <definedName name="description_6">#REF!</definedName>
    <definedName name="description_759">[1]Abstract!$B$278</definedName>
    <definedName name="description_781" localSheetId="0">#REF!</definedName>
    <definedName name="description_781" localSheetId="3">#REF!</definedName>
    <definedName name="description_781" localSheetId="2">#REF!</definedName>
    <definedName name="description_781" localSheetId="1">[6]Abstract!$B$299</definedName>
    <definedName name="description_781">#REF!</definedName>
    <definedName name="description_783">[1]Abstract!$B$301</definedName>
    <definedName name="description_784">[3]Abstract!$B$300</definedName>
    <definedName name="_xlnm.Print_Area" localSheetId="0">estimate!$A$1:$K$88</definedName>
    <definedName name="_xlnm.Print_Area" localSheetId="3">M!$A$1:$K$127</definedName>
    <definedName name="_xlnm.Print_Area" localSheetId="2">V!$A$1:$K$127</definedName>
    <definedName name="_xlnm.Print_Area" localSheetId="1">WCR!$A$1:$K$55</definedName>
    <definedName name="_xlnm.Print_Titles" localSheetId="0">estimate!$1:$8</definedName>
    <definedName name="_xlnm.Print_Titles" localSheetId="3">M!$1:$8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7" i="15" l="1"/>
  <c r="C126" i="15"/>
  <c r="C124" i="15" s="1"/>
  <c r="G118" i="15"/>
  <c r="J118" i="15" s="1"/>
  <c r="G116" i="15"/>
  <c r="J116" i="15" s="1"/>
  <c r="D112" i="15"/>
  <c r="D111" i="15"/>
  <c r="F111" i="15" s="1"/>
  <c r="G111" i="15" s="1"/>
  <c r="D106" i="15"/>
  <c r="G106" i="15" s="1"/>
  <c r="G107" i="15" s="1"/>
  <c r="J107" i="15" s="1"/>
  <c r="J108" i="15" s="1"/>
  <c r="G98" i="15"/>
  <c r="F98" i="15"/>
  <c r="F97" i="15"/>
  <c r="G97" i="15" s="1"/>
  <c r="G99" i="15" s="1"/>
  <c r="E90" i="15"/>
  <c r="D90" i="15"/>
  <c r="G90" i="15" s="1"/>
  <c r="E89" i="15"/>
  <c r="G89" i="15" s="1"/>
  <c r="D89" i="15"/>
  <c r="E88" i="15"/>
  <c r="D88" i="15"/>
  <c r="G88" i="15" s="1"/>
  <c r="G87" i="15"/>
  <c r="E87" i="15"/>
  <c r="D87" i="15"/>
  <c r="E86" i="15"/>
  <c r="D86" i="15"/>
  <c r="G86" i="15" s="1"/>
  <c r="E85" i="15"/>
  <c r="G85" i="15" s="1"/>
  <c r="G91" i="15" s="1"/>
  <c r="D85" i="15"/>
  <c r="F77" i="15"/>
  <c r="D77" i="15"/>
  <c r="G77" i="15" s="1"/>
  <c r="G76" i="15"/>
  <c r="F76" i="15"/>
  <c r="G75" i="15"/>
  <c r="F74" i="15"/>
  <c r="M74" i="15" s="1"/>
  <c r="O74" i="15" s="1"/>
  <c r="E74" i="15"/>
  <c r="G74" i="15" s="1"/>
  <c r="G78" i="15" s="1"/>
  <c r="D65" i="15"/>
  <c r="C65" i="15"/>
  <c r="G65" i="15" s="1"/>
  <c r="G64" i="15"/>
  <c r="D64" i="15"/>
  <c r="C64" i="15"/>
  <c r="B64" i="15"/>
  <c r="G62" i="15"/>
  <c r="D62" i="15"/>
  <c r="E61" i="15"/>
  <c r="G61" i="15" s="1"/>
  <c r="D61" i="15"/>
  <c r="G60" i="15"/>
  <c r="E60" i="15"/>
  <c r="D60" i="15"/>
  <c r="E59" i="15"/>
  <c r="D59" i="15"/>
  <c r="G59" i="15" s="1"/>
  <c r="G58" i="15"/>
  <c r="D58" i="15"/>
  <c r="G57" i="15"/>
  <c r="D57" i="15"/>
  <c r="D56" i="15"/>
  <c r="G56" i="15" s="1"/>
  <c r="G55" i="15"/>
  <c r="D55" i="15"/>
  <c r="G54" i="15"/>
  <c r="E54" i="15"/>
  <c r="D54" i="15"/>
  <c r="B54" i="15"/>
  <c r="E53" i="15"/>
  <c r="D53" i="15"/>
  <c r="C53" i="15"/>
  <c r="G53" i="15" s="1"/>
  <c r="E52" i="15"/>
  <c r="G52" i="15" s="1"/>
  <c r="D52" i="15"/>
  <c r="C52" i="15"/>
  <c r="E51" i="15"/>
  <c r="D51" i="15"/>
  <c r="C51" i="15"/>
  <c r="G51" i="15" s="1"/>
  <c r="E50" i="15"/>
  <c r="D50" i="15"/>
  <c r="C50" i="15"/>
  <c r="G50" i="15" s="1"/>
  <c r="G49" i="15"/>
  <c r="E49" i="15"/>
  <c r="D49" i="15"/>
  <c r="C49" i="15"/>
  <c r="E48" i="15"/>
  <c r="D48" i="15"/>
  <c r="C48" i="15"/>
  <c r="G48" i="15" s="1"/>
  <c r="B48" i="15"/>
  <c r="G47" i="15"/>
  <c r="E47" i="15"/>
  <c r="D47" i="15"/>
  <c r="D30" i="15" s="1"/>
  <c r="G30" i="15" s="1"/>
  <c r="G46" i="15"/>
  <c r="D46" i="15"/>
  <c r="G44" i="15"/>
  <c r="D44" i="15"/>
  <c r="B44" i="15"/>
  <c r="B74" i="15" s="1"/>
  <c r="E39" i="15"/>
  <c r="E63" i="15" s="1"/>
  <c r="D39" i="15"/>
  <c r="D63" i="15" s="1"/>
  <c r="C39" i="15"/>
  <c r="E38" i="15"/>
  <c r="D38" i="15"/>
  <c r="C38" i="15"/>
  <c r="G38" i="15" s="1"/>
  <c r="E37" i="15"/>
  <c r="C37" i="15"/>
  <c r="B37" i="15"/>
  <c r="B31" i="15"/>
  <c r="E30" i="15"/>
  <c r="B29" i="15"/>
  <c r="M24" i="15"/>
  <c r="F24" i="15"/>
  <c r="E20" i="15"/>
  <c r="D20" i="15"/>
  <c r="C20" i="15"/>
  <c r="G20" i="15" s="1"/>
  <c r="F19" i="15"/>
  <c r="E19" i="15"/>
  <c r="D19" i="15"/>
  <c r="C19" i="15"/>
  <c r="G19" i="15" s="1"/>
  <c r="E18" i="15"/>
  <c r="D18" i="15"/>
  <c r="G18" i="15" s="1"/>
  <c r="E17" i="15"/>
  <c r="D17" i="15"/>
  <c r="G17" i="15" s="1"/>
  <c r="E16" i="15"/>
  <c r="D16" i="15"/>
  <c r="E15" i="15"/>
  <c r="E36" i="15" s="1"/>
  <c r="D15" i="15"/>
  <c r="D36" i="15" s="1"/>
  <c r="C15" i="15"/>
  <c r="E14" i="15"/>
  <c r="E35" i="15" s="1"/>
  <c r="D14" i="15"/>
  <c r="D35" i="15" s="1"/>
  <c r="C14" i="15"/>
  <c r="E13" i="15"/>
  <c r="E34" i="15" s="1"/>
  <c r="D13" i="15"/>
  <c r="D34" i="15" s="1"/>
  <c r="C13" i="15"/>
  <c r="E12" i="15"/>
  <c r="E33" i="15" s="1"/>
  <c r="D12" i="15"/>
  <c r="D33" i="15" s="1"/>
  <c r="C12" i="15"/>
  <c r="E11" i="15"/>
  <c r="E32" i="15" s="1"/>
  <c r="D11" i="15"/>
  <c r="D32" i="15" s="1"/>
  <c r="C11" i="15"/>
  <c r="G10" i="15"/>
  <c r="E10" i="15"/>
  <c r="E31" i="15" s="1"/>
  <c r="D10" i="15"/>
  <c r="D31" i="15" s="1"/>
  <c r="C10" i="15"/>
  <c r="C31" i="15" s="1"/>
  <c r="G31" i="15" s="1"/>
  <c r="D87" i="13"/>
  <c r="E87" i="13"/>
  <c r="E86" i="13"/>
  <c r="D86" i="13"/>
  <c r="E74" i="13"/>
  <c r="F24" i="13"/>
  <c r="E85" i="13"/>
  <c r="O74" i="13"/>
  <c r="F77" i="13"/>
  <c r="D88" i="13"/>
  <c r="E88" i="13"/>
  <c r="M24" i="13"/>
  <c r="M74" i="13"/>
  <c r="E61" i="13"/>
  <c r="E60" i="13"/>
  <c r="D61" i="13"/>
  <c r="D60" i="13"/>
  <c r="D62" i="13"/>
  <c r="G60" i="13"/>
  <c r="G61" i="13"/>
  <c r="G62" i="13"/>
  <c r="E59" i="13"/>
  <c r="D59" i="13"/>
  <c r="D55" i="13"/>
  <c r="D56" i="13"/>
  <c r="D57" i="13"/>
  <c r="D58" i="13"/>
  <c r="E54" i="13"/>
  <c r="D54" i="13"/>
  <c r="C38" i="13"/>
  <c r="C39" i="13"/>
  <c r="E17" i="13"/>
  <c r="D17" i="13"/>
  <c r="E16" i="13"/>
  <c r="D16" i="13"/>
  <c r="E18" i="13"/>
  <c r="D18" i="13"/>
  <c r="E30" i="13"/>
  <c r="E90" i="13"/>
  <c r="C49" i="13"/>
  <c r="C50" i="13"/>
  <c r="C51" i="13"/>
  <c r="C52" i="13"/>
  <c r="C53" i="13"/>
  <c r="C48" i="13"/>
  <c r="E47" i="13"/>
  <c r="D46" i="13"/>
  <c r="F76" i="13"/>
  <c r="D77" i="13"/>
  <c r="C20" i="13"/>
  <c r="D20" i="13"/>
  <c r="E20" i="13"/>
  <c r="E19" i="13"/>
  <c r="D19" i="13"/>
  <c r="C19" i="13"/>
  <c r="C11" i="13"/>
  <c r="C12" i="13"/>
  <c r="C13" i="13"/>
  <c r="C14" i="13"/>
  <c r="C15" i="13"/>
  <c r="C10" i="13"/>
  <c r="G75" i="13"/>
  <c r="D90" i="13"/>
  <c r="E89" i="13"/>
  <c r="D89" i="13"/>
  <c r="D85" i="13"/>
  <c r="F98" i="13"/>
  <c r="F97" i="13"/>
  <c r="D111" i="13"/>
  <c r="D106" i="13"/>
  <c r="H53" i="14"/>
  <c r="E53" i="14"/>
  <c r="D53" i="14"/>
  <c r="C53" i="14"/>
  <c r="B53" i="14"/>
  <c r="A53" i="14"/>
  <c r="H51" i="14"/>
  <c r="E51" i="14"/>
  <c r="D51" i="14"/>
  <c r="C51" i="14"/>
  <c r="B51" i="14"/>
  <c r="A51" i="14"/>
  <c r="H48" i="14"/>
  <c r="F49" i="14"/>
  <c r="E48" i="14"/>
  <c r="D48" i="14"/>
  <c r="C48" i="14"/>
  <c r="B49" i="14"/>
  <c r="B48" i="14"/>
  <c r="A48" i="14"/>
  <c r="H45" i="14"/>
  <c r="B46" i="14"/>
  <c r="F46" i="14"/>
  <c r="E45" i="14"/>
  <c r="D45" i="14"/>
  <c r="C45" i="14"/>
  <c r="B45" i="14"/>
  <c r="A45" i="14"/>
  <c r="B43" i="14"/>
  <c r="F43" i="14"/>
  <c r="B41" i="14"/>
  <c r="F41" i="14"/>
  <c r="B42" i="14"/>
  <c r="F42" i="14"/>
  <c r="F40" i="14"/>
  <c r="H39" i="14"/>
  <c r="E39" i="14"/>
  <c r="D39" i="14"/>
  <c r="C39" i="14"/>
  <c r="B40" i="14"/>
  <c r="B39" i="14"/>
  <c r="A39" i="14"/>
  <c r="B36" i="14"/>
  <c r="F36" i="14"/>
  <c r="B37" i="14"/>
  <c r="F37" i="14"/>
  <c r="H34" i="14"/>
  <c r="F35" i="14"/>
  <c r="E34" i="14"/>
  <c r="D34" i="14"/>
  <c r="C34" i="14"/>
  <c r="B35" i="14"/>
  <c r="B34" i="14"/>
  <c r="A34" i="14"/>
  <c r="B30" i="14"/>
  <c r="F30" i="14"/>
  <c r="B31" i="14"/>
  <c r="F31" i="14"/>
  <c r="B32" i="14"/>
  <c r="F32" i="14"/>
  <c r="H28" i="14"/>
  <c r="F29" i="14"/>
  <c r="E28" i="14"/>
  <c r="D28" i="14"/>
  <c r="C28" i="14"/>
  <c r="B29" i="14"/>
  <c r="B28" i="14"/>
  <c r="A28" i="14"/>
  <c r="B23" i="14"/>
  <c r="F23" i="14"/>
  <c r="B24" i="14"/>
  <c r="F24" i="14"/>
  <c r="B25" i="14"/>
  <c r="F25" i="14"/>
  <c r="B26" i="14"/>
  <c r="F26" i="14"/>
  <c r="F22" i="14"/>
  <c r="H21" i="14"/>
  <c r="E21" i="14"/>
  <c r="D21" i="14"/>
  <c r="C21" i="14"/>
  <c r="B22" i="14"/>
  <c r="B21" i="14"/>
  <c r="A21" i="14"/>
  <c r="H18" i="14"/>
  <c r="F19" i="14"/>
  <c r="E18" i="14"/>
  <c r="D18" i="14"/>
  <c r="C18" i="14"/>
  <c r="B19" i="14"/>
  <c r="B18" i="14"/>
  <c r="A18" i="14"/>
  <c r="H15" i="14"/>
  <c r="F16" i="14"/>
  <c r="B16" i="14"/>
  <c r="E15" i="14"/>
  <c r="D15" i="14"/>
  <c r="C15" i="14"/>
  <c r="B15" i="14"/>
  <c r="A15" i="14"/>
  <c r="H13" i="14"/>
  <c r="E13" i="14"/>
  <c r="D13" i="14"/>
  <c r="C13" i="14"/>
  <c r="B13" i="14"/>
  <c r="A13" i="14"/>
  <c r="A9" i="14"/>
  <c r="F74" i="13"/>
  <c r="C127" i="13"/>
  <c r="C126" i="13"/>
  <c r="G118" i="13"/>
  <c r="G116" i="13"/>
  <c r="G51" i="14" s="1"/>
  <c r="D112" i="13"/>
  <c r="B64" i="13"/>
  <c r="C37" i="13"/>
  <c r="B37" i="13"/>
  <c r="B31" i="13"/>
  <c r="B29" i="13"/>
  <c r="D44" i="12"/>
  <c r="D30" i="12"/>
  <c r="D22" i="12" s="1"/>
  <c r="D17" i="12" s="1"/>
  <c r="D12" i="12" s="1"/>
  <c r="G77" i="12"/>
  <c r="J77" i="12" s="1"/>
  <c r="F72" i="12"/>
  <c r="G72" i="12" s="1"/>
  <c r="F73" i="12"/>
  <c r="G73" i="12" s="1"/>
  <c r="G74" i="12" s="1"/>
  <c r="D73" i="12"/>
  <c r="D72" i="12"/>
  <c r="N72" i="12"/>
  <c r="M72" i="12"/>
  <c r="E30" i="12"/>
  <c r="E22" i="12" s="1"/>
  <c r="E17" i="12" s="1"/>
  <c r="D35" i="12"/>
  <c r="C35" i="12"/>
  <c r="G35" i="12" s="1"/>
  <c r="B35" i="12"/>
  <c r="D59" i="12"/>
  <c r="G59" i="12" s="1"/>
  <c r="G60" i="12" s="1"/>
  <c r="J62" i="12" s="1"/>
  <c r="N59" i="12"/>
  <c r="M59" i="12"/>
  <c r="P59" i="12" s="1"/>
  <c r="E52" i="12"/>
  <c r="N52" i="12"/>
  <c r="M52" i="12"/>
  <c r="E24" i="12"/>
  <c r="E33" i="12" s="1"/>
  <c r="E25" i="12"/>
  <c r="E23" i="12"/>
  <c r="E32" i="12" s="1"/>
  <c r="C23" i="12"/>
  <c r="C32" i="12" s="1"/>
  <c r="C24" i="12"/>
  <c r="C33" i="12" s="1"/>
  <c r="C25" i="12"/>
  <c r="C34" i="12" s="1"/>
  <c r="D23" i="12"/>
  <c r="D32" i="12" s="1"/>
  <c r="B25" i="12"/>
  <c r="B34" i="12" s="1"/>
  <c r="B23" i="12"/>
  <c r="B32" i="12" s="1"/>
  <c r="B22" i="12"/>
  <c r="G13" i="12"/>
  <c r="D11" i="12"/>
  <c r="G11" i="12" s="1"/>
  <c r="N10" i="12"/>
  <c r="M10" i="12"/>
  <c r="G10" i="12"/>
  <c r="N17" i="12"/>
  <c r="M17" i="12"/>
  <c r="C87" i="12"/>
  <c r="N112" i="15" l="1"/>
  <c r="F112" i="15"/>
  <c r="G112" i="15" s="1"/>
  <c r="G113" i="15" s="1"/>
  <c r="J114" i="15" s="1"/>
  <c r="J113" i="15"/>
  <c r="J100" i="15"/>
  <c r="J99" i="15"/>
  <c r="J101" i="15"/>
  <c r="J102" i="15"/>
  <c r="J103" i="15"/>
  <c r="J92" i="15"/>
  <c r="J94" i="15"/>
  <c r="J91" i="15"/>
  <c r="J93" i="15"/>
  <c r="J81" i="15"/>
  <c r="J80" i="15"/>
  <c r="J78" i="15"/>
  <c r="J82" i="15"/>
  <c r="J79" i="15"/>
  <c r="D45" i="15"/>
  <c r="G45" i="15" s="1"/>
  <c r="G66" i="15" s="1"/>
  <c r="D29" i="15"/>
  <c r="C63" i="15"/>
  <c r="G63" i="15" s="1"/>
  <c r="G39" i="15"/>
  <c r="D37" i="15"/>
  <c r="G37" i="15" s="1"/>
  <c r="G16" i="15"/>
  <c r="C36" i="15"/>
  <c r="G36" i="15" s="1"/>
  <c r="G15" i="15"/>
  <c r="C35" i="15"/>
  <c r="G35" i="15" s="1"/>
  <c r="G14" i="15"/>
  <c r="G13" i="15"/>
  <c r="C34" i="15"/>
  <c r="G34" i="15" s="1"/>
  <c r="G12" i="15"/>
  <c r="C33" i="15"/>
  <c r="G33" i="15" s="1"/>
  <c r="G11" i="15"/>
  <c r="G21" i="15" s="1"/>
  <c r="J21" i="15" s="1"/>
  <c r="C32" i="15"/>
  <c r="G32" i="15" s="1"/>
  <c r="D11" i="13"/>
  <c r="D32" i="13" s="1"/>
  <c r="D49" i="13"/>
  <c r="N112" i="13"/>
  <c r="G59" i="13"/>
  <c r="G55" i="13"/>
  <c r="G56" i="13"/>
  <c r="G57" i="13"/>
  <c r="G58" i="13"/>
  <c r="C63" i="13"/>
  <c r="D38" i="13"/>
  <c r="E38" i="13"/>
  <c r="D39" i="13"/>
  <c r="D63" i="13" s="1"/>
  <c r="E39" i="13"/>
  <c r="E63" i="13" s="1"/>
  <c r="G18" i="13"/>
  <c r="G17" i="13"/>
  <c r="E37" i="13"/>
  <c r="C33" i="13"/>
  <c r="C35" i="13"/>
  <c r="C34" i="13"/>
  <c r="C36" i="13"/>
  <c r="C65" i="13"/>
  <c r="D65" i="13"/>
  <c r="D50" i="13"/>
  <c r="E53" i="13"/>
  <c r="E49" i="13"/>
  <c r="E52" i="13"/>
  <c r="E48" i="13"/>
  <c r="D51" i="13"/>
  <c r="E51" i="13"/>
  <c r="D53" i="13"/>
  <c r="G51" i="13"/>
  <c r="E50" i="13"/>
  <c r="D52" i="13"/>
  <c r="D48" i="13"/>
  <c r="G46" i="13"/>
  <c r="D47" i="13"/>
  <c r="F19" i="13"/>
  <c r="G76" i="13"/>
  <c r="D64" i="13"/>
  <c r="C64" i="13"/>
  <c r="E11" i="13"/>
  <c r="E32" i="13" s="1"/>
  <c r="D12" i="13"/>
  <c r="D33" i="13" s="1"/>
  <c r="E12" i="13"/>
  <c r="E33" i="13" s="1"/>
  <c r="D13" i="13"/>
  <c r="D34" i="13" s="1"/>
  <c r="E13" i="13"/>
  <c r="E34" i="13" s="1"/>
  <c r="D14" i="13"/>
  <c r="D35" i="13" s="1"/>
  <c r="E14" i="13"/>
  <c r="E35" i="13" s="1"/>
  <c r="D15" i="13"/>
  <c r="D36" i="13" s="1"/>
  <c r="E15" i="13"/>
  <c r="E36" i="13" s="1"/>
  <c r="C32" i="13"/>
  <c r="E10" i="13"/>
  <c r="D10" i="13"/>
  <c r="C31" i="13"/>
  <c r="G77" i="13"/>
  <c r="G90" i="13"/>
  <c r="G89" i="13"/>
  <c r="G87" i="13"/>
  <c r="G88" i="13"/>
  <c r="G86" i="13"/>
  <c r="G98" i="13"/>
  <c r="F111" i="13"/>
  <c r="F112" i="13"/>
  <c r="G53" i="14"/>
  <c r="G106" i="13"/>
  <c r="F51" i="14"/>
  <c r="M51" i="14" s="1"/>
  <c r="F48" i="14"/>
  <c r="M48" i="14" s="1"/>
  <c r="M49" i="14"/>
  <c r="F45" i="14"/>
  <c r="M45" i="14" s="1"/>
  <c r="M46" i="14"/>
  <c r="M40" i="14"/>
  <c r="F39" i="14"/>
  <c r="M39" i="14" s="1"/>
  <c r="F34" i="14"/>
  <c r="M34" i="14" s="1"/>
  <c r="M35" i="14"/>
  <c r="F18" i="14"/>
  <c r="M18" i="14" s="1"/>
  <c r="F28" i="14"/>
  <c r="M19" i="14"/>
  <c r="F21" i="14"/>
  <c r="M21" i="14" s="1"/>
  <c r="F53" i="14"/>
  <c r="M29" i="14"/>
  <c r="M22" i="14"/>
  <c r="F15" i="14"/>
  <c r="M15" i="14" s="1"/>
  <c r="F13" i="14"/>
  <c r="D44" i="13"/>
  <c r="D29" i="13" s="1"/>
  <c r="G85" i="13"/>
  <c r="C124" i="13"/>
  <c r="G97" i="13"/>
  <c r="G99" i="13" s="1"/>
  <c r="B54" i="13"/>
  <c r="B48" i="13"/>
  <c r="J116" i="13"/>
  <c r="B44" i="13"/>
  <c r="B74" i="13" s="1"/>
  <c r="J118" i="13"/>
  <c r="P72" i="12"/>
  <c r="G12" i="12"/>
  <c r="G14" i="12" s="1"/>
  <c r="J14" i="12" s="1"/>
  <c r="D25" i="12"/>
  <c r="D34" i="12" s="1"/>
  <c r="J63" i="12"/>
  <c r="J64" i="12"/>
  <c r="J61" i="12"/>
  <c r="P52" i="12"/>
  <c r="G17" i="12"/>
  <c r="G18" i="12" s="1"/>
  <c r="P17" i="12"/>
  <c r="J60" i="12"/>
  <c r="P10" i="12"/>
  <c r="D52" i="12"/>
  <c r="G52" i="12" s="1"/>
  <c r="G53" i="12" s="1"/>
  <c r="G32" i="12"/>
  <c r="E34" i="12"/>
  <c r="G23" i="12"/>
  <c r="D24" i="12"/>
  <c r="E44" i="12"/>
  <c r="N44" i="12"/>
  <c r="M44" i="12"/>
  <c r="N30" i="12"/>
  <c r="M30" i="12"/>
  <c r="D31" i="12"/>
  <c r="G31" i="12" s="1"/>
  <c r="B30" i="12"/>
  <c r="B44" i="12" s="1"/>
  <c r="N22" i="12"/>
  <c r="M22" i="12"/>
  <c r="J67" i="15" l="1"/>
  <c r="J70" i="15"/>
  <c r="J71" i="15"/>
  <c r="J68" i="15"/>
  <c r="J69" i="15"/>
  <c r="J66" i="15"/>
  <c r="G29" i="15"/>
  <c r="G40" i="15" s="1"/>
  <c r="D24" i="15"/>
  <c r="G24" i="15" s="1"/>
  <c r="G25" i="15" s="1"/>
  <c r="G10" i="13"/>
  <c r="G63" i="13"/>
  <c r="G38" i="13"/>
  <c r="G39" i="13"/>
  <c r="G35" i="13"/>
  <c r="G36" i="13"/>
  <c r="G47" i="13"/>
  <c r="D30" i="13"/>
  <c r="G30" i="13" s="1"/>
  <c r="G33" i="13"/>
  <c r="G34" i="13"/>
  <c r="G65" i="13"/>
  <c r="G19" i="13"/>
  <c r="G91" i="13"/>
  <c r="G50" i="13"/>
  <c r="G53" i="13"/>
  <c r="G52" i="13"/>
  <c r="I51" i="14"/>
  <c r="G64" i="13"/>
  <c r="D31" i="13"/>
  <c r="G20" i="13"/>
  <c r="G11" i="13"/>
  <c r="G12" i="13"/>
  <c r="G13" i="13"/>
  <c r="G14" i="13"/>
  <c r="G15" i="13"/>
  <c r="E31" i="13"/>
  <c r="G74" i="13"/>
  <c r="G78" i="13" s="1"/>
  <c r="G39" i="14"/>
  <c r="I39" i="14" s="1"/>
  <c r="I53" i="14"/>
  <c r="G111" i="13"/>
  <c r="G112" i="13"/>
  <c r="G107" i="13"/>
  <c r="M28" i="14"/>
  <c r="M13" i="14"/>
  <c r="F55" i="14"/>
  <c r="C6" i="14" s="1"/>
  <c r="G44" i="13"/>
  <c r="G29" i="13"/>
  <c r="D24" i="13"/>
  <c r="D45" i="13"/>
  <c r="G45" i="13" s="1"/>
  <c r="J19" i="12"/>
  <c r="J18" i="12"/>
  <c r="J75" i="12"/>
  <c r="J74" i="12"/>
  <c r="G34" i="12"/>
  <c r="G25" i="12"/>
  <c r="J55" i="12"/>
  <c r="J54" i="12"/>
  <c r="J56" i="12"/>
  <c r="J53" i="12"/>
  <c r="G24" i="12"/>
  <c r="D33" i="12"/>
  <c r="G33" i="12" s="1"/>
  <c r="P30" i="12"/>
  <c r="P44" i="12"/>
  <c r="G44" i="12"/>
  <c r="G45" i="12" s="1"/>
  <c r="J49" i="12" s="1"/>
  <c r="G67" i="12"/>
  <c r="P22" i="12"/>
  <c r="G22" i="12"/>
  <c r="G30" i="12"/>
  <c r="J41" i="15" l="1"/>
  <c r="J40" i="15"/>
  <c r="J25" i="15"/>
  <c r="J120" i="15" s="1"/>
  <c r="C122" i="15" s="1"/>
  <c r="J26" i="15"/>
  <c r="J51" i="14"/>
  <c r="G32" i="13"/>
  <c r="G49" i="13"/>
  <c r="G31" i="13"/>
  <c r="G34" i="14"/>
  <c r="I34" i="14" s="1"/>
  <c r="J99" i="13"/>
  <c r="J100" i="13"/>
  <c r="I40" i="14" s="1"/>
  <c r="J40" i="14" s="1"/>
  <c r="J101" i="13"/>
  <c r="I41" i="14" s="1"/>
  <c r="J41" i="14" s="1"/>
  <c r="G28" i="14"/>
  <c r="I28" i="14" s="1"/>
  <c r="J39" i="14"/>
  <c r="J102" i="13"/>
  <c r="I42" i="14" s="1"/>
  <c r="J42" i="14" s="1"/>
  <c r="J103" i="13"/>
  <c r="I43" i="14" s="1"/>
  <c r="J43" i="14" s="1"/>
  <c r="J93" i="13"/>
  <c r="I36" i="14" s="1"/>
  <c r="J36" i="14" s="1"/>
  <c r="J92" i="13"/>
  <c r="I35" i="14" s="1"/>
  <c r="J35" i="14" s="1"/>
  <c r="J94" i="13"/>
  <c r="I37" i="14" s="1"/>
  <c r="J37" i="14" s="1"/>
  <c r="J91" i="13"/>
  <c r="G45" i="14"/>
  <c r="I45" i="14" s="1"/>
  <c r="J53" i="14"/>
  <c r="G113" i="13"/>
  <c r="G48" i="14" s="1"/>
  <c r="I48" i="14" s="1"/>
  <c r="J48" i="14" s="1"/>
  <c r="J107" i="13"/>
  <c r="J108" i="13" s="1"/>
  <c r="I46" i="14" s="1"/>
  <c r="J46" i="14" s="1"/>
  <c r="G24" i="13"/>
  <c r="G25" i="13" s="1"/>
  <c r="G15" i="14" s="1"/>
  <c r="I15" i="14" s="1"/>
  <c r="J15" i="14" s="1"/>
  <c r="G36" i="12"/>
  <c r="J41" i="12" s="1"/>
  <c r="G26" i="12"/>
  <c r="J26" i="12" s="1"/>
  <c r="J46" i="12"/>
  <c r="J47" i="12"/>
  <c r="J48" i="12"/>
  <c r="J45" i="12"/>
  <c r="C125" i="15" l="1"/>
  <c r="E124" i="15"/>
  <c r="E125" i="15" s="1"/>
  <c r="J34" i="14"/>
  <c r="G48" i="13"/>
  <c r="J79" i="13"/>
  <c r="I29" i="14" s="1"/>
  <c r="J29" i="14" s="1"/>
  <c r="J78" i="13"/>
  <c r="J80" i="13"/>
  <c r="I30" i="14" s="1"/>
  <c r="J30" i="14" s="1"/>
  <c r="J81" i="13"/>
  <c r="I31" i="14" s="1"/>
  <c r="J31" i="14" s="1"/>
  <c r="J82" i="13"/>
  <c r="I32" i="14" s="1"/>
  <c r="J32" i="14" s="1"/>
  <c r="J28" i="14"/>
  <c r="J45" i="14"/>
  <c r="J114" i="13"/>
  <c r="I49" i="14" s="1"/>
  <c r="J113" i="13"/>
  <c r="J25" i="13"/>
  <c r="J26" i="13"/>
  <c r="I16" i="14" s="1"/>
  <c r="J16" i="14" s="1"/>
  <c r="D37" i="13"/>
  <c r="G16" i="13"/>
  <c r="G21" i="13" s="1"/>
  <c r="J27" i="12"/>
  <c r="J37" i="12"/>
  <c r="J38" i="12"/>
  <c r="J39" i="12"/>
  <c r="J40" i="12"/>
  <c r="J36" i="12"/>
  <c r="N67" i="12"/>
  <c r="M67" i="12"/>
  <c r="J49" i="14" l="1"/>
  <c r="J21" i="13"/>
  <c r="G13" i="14"/>
  <c r="I13" i="14" s="1"/>
  <c r="G37" i="13"/>
  <c r="G40" i="13" s="1"/>
  <c r="G18" i="14" s="1"/>
  <c r="I18" i="14" s="1"/>
  <c r="J18" i="14" s="1"/>
  <c r="G54" i="13"/>
  <c r="G66" i="13" s="1"/>
  <c r="G21" i="14" s="1"/>
  <c r="I21" i="14" s="1"/>
  <c r="J21" i="14" s="1"/>
  <c r="P67" i="12"/>
  <c r="G68" i="12"/>
  <c r="J13" i="14" l="1"/>
  <c r="J40" i="13"/>
  <c r="J41" i="13"/>
  <c r="I19" i="14" s="1"/>
  <c r="J69" i="13"/>
  <c r="I24" i="14" s="1"/>
  <c r="J24" i="14" s="1"/>
  <c r="J67" i="13"/>
  <c r="I22" i="14" s="1"/>
  <c r="J22" i="14" s="1"/>
  <c r="J71" i="13"/>
  <c r="I26" i="14" s="1"/>
  <c r="J26" i="14" s="1"/>
  <c r="J70" i="13"/>
  <c r="I25" i="14" s="1"/>
  <c r="J25" i="14" s="1"/>
  <c r="J68" i="13"/>
  <c r="I23" i="14" s="1"/>
  <c r="J23" i="14" s="1"/>
  <c r="J66" i="13"/>
  <c r="J68" i="12"/>
  <c r="J69" i="12" s="1"/>
  <c r="C88" i="12"/>
  <c r="C85" i="12" s="1"/>
  <c r="G79" i="12"/>
  <c r="J79" i="12" s="1"/>
  <c r="J81" i="12" s="1"/>
  <c r="I55" i="14" l="1"/>
  <c r="J19" i="14"/>
  <c r="J120" i="13"/>
  <c r="C122" i="13" s="1"/>
  <c r="C83" i="12"/>
  <c r="C86" i="12" s="1"/>
  <c r="J6" i="14" l="1"/>
  <c r="J55" i="14"/>
  <c r="C125" i="13"/>
  <c r="E124" i="13"/>
  <c r="E125" i="13" s="1"/>
  <c r="E85" i="12"/>
  <c r="E86" i="12" s="1"/>
</calcChain>
</file>

<file path=xl/sharedStrings.xml><?xml version="1.0" encoding="utf-8"?>
<sst xmlns="http://schemas.openxmlformats.org/spreadsheetml/2006/main" count="301" uniqueCount="89">
  <si>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</si>
  <si>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</si>
  <si>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</si>
  <si>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</si>
  <si>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</si>
  <si>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</si>
  <si>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</si>
  <si>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</si>
  <si>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</si>
  <si>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</si>
  <si>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</si>
  <si>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</si>
  <si>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</si>
  <si>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</si>
  <si>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</si>
  <si>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</si>
  <si>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</si>
  <si>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</si>
  <si>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</si>
  <si>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</si>
  <si>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</si>
  <si>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</si>
  <si>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</si>
  <si>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</si>
  <si>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</si>
  <si>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</si>
  <si>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</si>
  <si>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</si>
  <si>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</si>
  <si>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</si>
  <si>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</si>
  <si>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</si>
  <si>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</si>
  <si>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</si>
  <si>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</si>
  <si>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</si>
  <si>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</si>
  <si>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</si>
  <si>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</si>
  <si>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</si>
  <si>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</si>
  <si>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 dL=dL=Aof;sf] :6]Gn];l:6nsf] x\of08/]ndf @ ld6/sf] b"/Ldf %) dL=dL=Aof;sf] :6]Gn];l:6ns} 7f8f] kf]i6 /fvL x\of08/]n / e"O+sf] aLrdf tLg tx t];f]{ @% dL=dL=Aof;sf] :6]Gn];l:6nsf] d]Da/ /fvL @Ú–^Æ b]lv #Ú–)Æ ;Dd prfO{ ePsf] /]lnË pknAw u/fO{ h8fg u/L /+u ;d]t nufpg] sfd .</t>
  </si>
  <si>
    <r>
      <t xml:space="preserve">Project:- </t>
    </r>
    <r>
      <rPr>
        <b/>
        <sz val="14"/>
        <rFont val="Preeti"/>
      </rPr>
      <t>sflnsfdfO{ dlGb/ k"jf{wf/ ljsf;</t>
    </r>
  </si>
  <si>
    <t>-for railing</t>
  </si>
  <si>
    <t>rm</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</si>
  <si>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</si>
  <si>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levelling</t>
  </si>
  <si>
    <t>-for steps</t>
  </si>
  <si>
    <t>-Area for brick wall</t>
  </si>
  <si>
    <t>-for flooring</t>
  </si>
  <si>
    <t>sqm</t>
  </si>
  <si>
    <t>dfn;fdfg pknAw u/L %) dL=dL= df]6f] x]eL 8o"6L OG6/nls+u s+lqm6Ans %) dL=dL=df]6fOsf] qm;/ 8:6 dfyL /fvL la5ofpg]] sfd k'/f .</t>
  </si>
  <si>
    <t>-13% VAT for grey interlocking block</t>
  </si>
  <si>
    <t>-13% VAT for stone dust (area*5cm)</t>
  </si>
  <si>
    <t>-13% VAT for stone dust</t>
  </si>
  <si>
    <t>e'O{+tNnfdf lrDgL e§fsf] O{+6fsf] uf/f] l;d]G6 d;nf -!M^_ df</t>
  </si>
  <si>
    <t>-for brick wall</t>
  </si>
  <si>
    <t>cum</t>
  </si>
  <si>
    <t>-13% VAT for brick</t>
  </si>
  <si>
    <t>sfnf] kmnfd] kfO{ksf] 6«; agfO{ h8fg ug]{ sfd</t>
  </si>
  <si>
    <t>Length (m)</t>
  </si>
  <si>
    <t>Unit Weight (kg/m)</t>
  </si>
  <si>
    <t>Total Weight (Kg)</t>
  </si>
  <si>
    <t>-Rectangular hollow section of size 80mm*40mm*1.6mm for diyo works around temple</t>
  </si>
  <si>
    <t>- MS Square pipe of size 3"*3" with 1.6mm thickness for post</t>
  </si>
  <si>
    <t>Kg</t>
  </si>
  <si>
    <t>Provisional sum for unforseen works</t>
  </si>
  <si>
    <t>PS</t>
  </si>
  <si>
    <t>Location:- Shankharapur Municipality 1</t>
  </si>
  <si>
    <t>Work Completion Report</t>
  </si>
  <si>
    <t>Total Estimated Amount:</t>
  </si>
  <si>
    <t>Total Valuated Amount :</t>
  </si>
  <si>
    <t xml:space="preserve">Work Started : </t>
  </si>
  <si>
    <t xml:space="preserve">Work Finished:           </t>
  </si>
  <si>
    <t xml:space="preserve">F.Y:2082/2083            </t>
  </si>
  <si>
    <t>S.No.</t>
  </si>
  <si>
    <t>Description</t>
  </si>
  <si>
    <t>Estimated</t>
  </si>
  <si>
    <t>Valuated</t>
  </si>
  <si>
    <t>Difference</t>
  </si>
  <si>
    <t>Remarks</t>
  </si>
  <si>
    <t xml:space="preserve">Quantity </t>
  </si>
  <si>
    <r>
      <t xml:space="preserve">Project:- </t>
    </r>
    <r>
      <rPr>
        <b/>
        <sz val="12"/>
        <rFont val="Preeti"/>
      </rPr>
      <t>sflnsfdfO{ dlGb/ k"jf{wf/ ljsf;</t>
    </r>
  </si>
  <si>
    <t>-for steps side</t>
  </si>
  <si>
    <t>Total Valuated</t>
  </si>
  <si>
    <t>Detail Valuated Sheet</t>
  </si>
  <si>
    <t>Detail Quantity Measurement Sheet</t>
  </si>
  <si>
    <t xml:space="preserve">Date:2083/03/24       </t>
  </si>
  <si>
    <t>Date: 2083/03/24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</si>
</sst>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2"/>
      <color theme="1"/>
      <name val="Preeti"/>
    </font>
    <font>
      <b/>
      <sz val="14"/>
      <name val="Preeti"/>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
      <b/>
      <sz val="12"/>
      <name val="Preeti"/>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3" fillId="2" borderId="2" xfId="0" applyFont="1" applyFill="1" applyBorder="1" applyAlignment="1">
      <alignment vertical="center" wrapText="1"/>
    </xf>
    <xf numFmtId="0" fontId="4" fillId="0" borderId="2" xfId="0" applyFont="1" applyBorder="1" applyAlignment="1">
      <alignment horizontal="center" wrapText="1"/>
    </xf>
    <xf numFmtId="0" fontId="4" fillId="0" borderId="2" xfId="0" applyFont="1" applyBorder="1" applyAlignment="1">
      <alignment wrapText="1"/>
    </xf>
    <xf numFmtId="0" fontId="4" fillId="0" borderId="2" xfId="0" quotePrefix="1" applyFont="1" applyBorder="1" applyAlignment="1">
      <alignment horizontal="right" wrapText="1"/>
    </xf>
    <xf numFmtId="0" fontId="8" fillId="0" borderId="1" xfId="0" applyFont="1" applyBorder="1" applyAlignment="1">
      <alignment horizontal="right"/>
    </xf>
    <xf numFmtId="0" fontId="8" fillId="0" borderId="0" xfId="0" applyFont="1" applyAlignment="1">
      <alignment horizontal="right"/>
    </xf>
    <xf numFmtId="0" fontId="0" fillId="0" borderId="0" xfId="0" applyAlignment="1">
      <alignment vertical="center"/>
    </xf>
    <xf numFmtId="0" fontId="19" fillId="0" borderId="0" xfId="0" applyFont="1"/>
    <xf numFmtId="0" fontId="20" fillId="0" borderId="0" xfId="0" applyFont="1" applyAlignment="1">
      <alignment horizontal="center"/>
    </xf>
    <xf numFmtId="0" fontId="0" fillId="0" borderId="0" xfId="0" applyAlignment="1">
      <alignment horizontal="left"/>
    </xf>
    <xf numFmtId="0" fontId="0" fillId="3" borderId="2" xfId="0" applyFill="1" applyBorder="1"/>
    <xf numFmtId="1" fontId="16" fillId="0" borderId="2" xfId="0" applyNumberFormat="1" applyFont="1" applyBorder="1" applyAlignment="1">
      <alignment vertical="center"/>
    </xf>
    <xf numFmtId="0" fontId="4" fillId="0" borderId="2" xfId="0" quotePrefix="1" applyFont="1" applyBorder="1" applyAlignment="1">
      <alignment vertical="center" wrapText="1"/>
    </xf>
    <xf numFmtId="2" fontId="0" fillId="0" borderId="2" xfId="0" applyNumberFormat="1" applyBorder="1" applyAlignment="1">
      <alignment vertical="center"/>
    </xf>
    <xf numFmtId="43" fontId="15" fillId="0" borderId="2" xfId="1" applyFont="1" applyBorder="1" applyAlignment="1">
      <alignment vertical="center"/>
    </xf>
    <xf numFmtId="0" fontId="0" fillId="0" borderId="2" xfId="0" applyBorder="1" applyAlignment="1">
      <alignment vertical="center" wrapText="1"/>
    </xf>
    <xf numFmtId="0" fontId="16" fillId="0" borderId="2" xfId="0" applyFont="1" applyBorder="1" applyAlignment="1">
      <alignment vertical="center"/>
    </xf>
    <xf numFmtId="0" fontId="21" fillId="0" borderId="2" xfId="0" applyFont="1" applyBorder="1" applyAlignment="1">
      <alignment vertical="center"/>
    </xf>
    <xf numFmtId="0" fontId="8" fillId="2" borderId="2" xfId="0" applyFont="1" applyFill="1" applyBorder="1" applyAlignment="1">
      <alignment vertical="center" wrapText="1"/>
    </xf>
    <xf numFmtId="1" fontId="22" fillId="0" borderId="2" xfId="0" applyNumberFormat="1" applyFont="1" applyBorder="1" applyAlignment="1">
      <alignment horizontal="right" vertical="center" wrapText="1"/>
    </xf>
    <xf numFmtId="1" fontId="21" fillId="0" borderId="2" xfId="0" applyNumberFormat="1" applyFont="1" applyBorder="1" applyAlignment="1">
      <alignment vertical="center" wrapText="1"/>
    </xf>
    <xf numFmtId="0" fontId="0" fillId="0" borderId="2" xfId="0" applyBorder="1"/>
    <xf numFmtId="0" fontId="15" fillId="0" borderId="2" xfId="0" applyFont="1" applyBorder="1" applyAlignment="1">
      <alignment horizontal="right"/>
    </xf>
    <xf numFmtId="2" fontId="15" fillId="0" borderId="2" xfId="0" applyNumberFormat="1" applyFont="1" applyBorder="1"/>
    <xf numFmtId="43" fontId="15" fillId="0" borderId="2" xfId="1" applyFont="1" applyBorder="1"/>
    <xf numFmtId="0" fontId="23" fillId="2" borderId="2" xfId="0" applyFont="1" applyFill="1" applyBorder="1" applyAlignment="1">
      <alignment vertical="center" wrapText="1"/>
    </xf>
    <xf numFmtId="0" fontId="8" fillId="0" borderId="1" xfId="0" applyFont="1" applyBorder="1"/>
    <xf numFmtId="0" fontId="8" fillId="0" borderId="0" xfId="0" applyFont="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43" fontId="19" fillId="0" borderId="0" xfId="0" applyNumberFormat="1" applyFont="1" applyAlignment="1">
      <alignment horizontal="center"/>
    </xf>
    <xf numFmtId="0" fontId="19" fillId="0" borderId="0" xfId="0" applyFont="1" applyAlignment="1">
      <alignment horizontal="center"/>
    </xf>
    <xf numFmtId="0" fontId="16" fillId="0" borderId="0" xfId="0" applyFont="1" applyAlignment="1">
      <alignment horizontal="center"/>
    </xf>
    <xf numFmtId="0" fontId="17" fillId="0" borderId="0" xfId="0" applyFont="1" applyAlignment="1">
      <alignment horizontal="center"/>
    </xf>
    <xf numFmtId="0" fontId="15" fillId="0" borderId="0" xfId="0" applyFont="1" applyAlignment="1">
      <alignment horizontal="center" vertical="center"/>
    </xf>
    <xf numFmtId="0" fontId="18"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externalLink" Target="externalLinks/externalLink7.xml"/><Relationship Id="rId5" Type="http://schemas.openxmlformats.org/officeDocument/2006/relationships/externalLink" Target="externalLinks/externalLink1.xml"/><Relationship Id="rId15" Type="http://schemas.openxmlformats.org/officeDocument/2006/relationships/calcChain" Target="calcChain.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8"/>
  <sheetViews>
    <sheetView view="pageBreakPreview" topLeftCell="A42" zoomScale="95" zoomScaleNormal="90" zoomScaleSheetLayoutView="95" workbookViewId="0">
      <selection activeCell="F44" sqref="F44"/>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2" width="9.140625" style="19"/>
    <col min="13" max="16" width="9.140625" style="19" customWidth="1"/>
    <col min="17" max="16384" width="9.140625" style="19"/>
  </cols>
  <sheetData>
    <row r="1" spans="1:16" x14ac:dyDescent="0.25">
      <c r="A1" s="74" t="s">
        <v>0</v>
      </c>
      <c r="B1" s="74"/>
      <c r="C1" s="74"/>
      <c r="D1" s="74"/>
      <c r="E1" s="74"/>
      <c r="F1" s="74"/>
      <c r="G1" s="74"/>
      <c r="H1" s="74"/>
      <c r="I1" s="74"/>
      <c r="J1" s="74"/>
      <c r="K1" s="74"/>
    </row>
    <row r="2" spans="1:16" ht="22.5" x14ac:dyDescent="0.25">
      <c r="A2" s="75" t="s">
        <v>1</v>
      </c>
      <c r="B2" s="75"/>
      <c r="C2" s="75"/>
      <c r="D2" s="75"/>
      <c r="E2" s="75"/>
      <c r="F2" s="75"/>
      <c r="G2" s="75"/>
      <c r="H2" s="75"/>
      <c r="I2" s="75"/>
      <c r="J2" s="75"/>
      <c r="K2" s="75"/>
    </row>
    <row r="3" spans="1:16" x14ac:dyDescent="0.25">
      <c r="A3" s="76" t="s">
        <v>2</v>
      </c>
      <c r="B3" s="76"/>
      <c r="C3" s="76"/>
      <c r="D3" s="76"/>
      <c r="E3" s="76"/>
      <c r="F3" s="76"/>
      <c r="G3" s="76"/>
      <c r="H3" s="76"/>
      <c r="I3" s="76"/>
      <c r="J3" s="76"/>
      <c r="K3" s="76"/>
    </row>
    <row r="4" spans="1:16" x14ac:dyDescent="0.25">
      <c r="A4" s="76" t="s">
        <v>3</v>
      </c>
      <c r="B4" s="76"/>
      <c r="C4" s="76"/>
      <c r="D4" s="76"/>
      <c r="E4" s="76"/>
      <c r="F4" s="76"/>
      <c r="G4" s="76"/>
      <c r="H4" s="76"/>
      <c r="I4" s="76"/>
      <c r="J4" s="76"/>
      <c r="K4" s="76"/>
    </row>
    <row r="5" spans="1:16" ht="18.75" x14ac:dyDescent="0.3">
      <c r="A5" s="77" t="s">
        <v>4</v>
      </c>
      <c r="B5" s="77"/>
      <c r="C5" s="77"/>
      <c r="D5" s="77"/>
      <c r="E5" s="77"/>
      <c r="F5" s="77"/>
      <c r="G5" s="77"/>
      <c r="H5" s="77"/>
      <c r="I5" s="77"/>
      <c r="J5" s="77"/>
      <c r="K5" s="77"/>
    </row>
    <row r="6" spans="1:16" ht="18" x14ac:dyDescent="0.25">
      <c r="A6" s="72" t="s">
        <v>42</v>
      </c>
      <c r="B6" s="72"/>
      <c r="C6" s="72"/>
      <c r="D6" s="72"/>
      <c r="E6" s="72"/>
      <c r="F6" s="72"/>
      <c r="G6" s="10"/>
      <c r="H6" s="73" t="s">
        <v>28</v>
      </c>
      <c r="I6" s="73"/>
      <c r="J6" s="73"/>
      <c r="K6" s="73"/>
    </row>
    <row r="7" spans="1:16" ht="15.75" x14ac:dyDescent="0.25">
      <c r="A7" s="67" t="s">
        <v>68</v>
      </c>
      <c r="B7" s="67"/>
      <c r="C7" s="67"/>
      <c r="D7" s="67"/>
      <c r="E7" s="67"/>
      <c r="F7" s="67"/>
      <c r="G7" s="11"/>
      <c r="H7" s="68" t="s">
        <v>22</v>
      </c>
      <c r="I7" s="68"/>
      <c r="J7" s="68"/>
      <c r="K7" s="68"/>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6">
        <v>1</v>
      </c>
      <c r="B9" s="35" t="s">
        <v>45</v>
      </c>
      <c r="C9" s="17"/>
      <c r="D9" s="17"/>
      <c r="E9" s="17"/>
      <c r="F9" s="17"/>
      <c r="G9" s="17"/>
      <c r="H9" s="17"/>
      <c r="I9" s="17"/>
      <c r="J9" s="17"/>
      <c r="K9" s="17"/>
    </row>
    <row r="10" spans="1:16" x14ac:dyDescent="0.25">
      <c r="A10" s="16"/>
      <c r="B10" s="32" t="s">
        <v>46</v>
      </c>
      <c r="C10" s="17">
        <v>1</v>
      </c>
      <c r="D10" s="33">
        <v>2</v>
      </c>
      <c r="E10" s="33">
        <v>2.7</v>
      </c>
      <c r="F10" s="33">
        <v>0.15</v>
      </c>
      <c r="G10" s="33">
        <f>PRODUCT(C10:F10)</f>
        <v>0.81</v>
      </c>
      <c r="H10" s="17"/>
      <c r="I10" s="17"/>
      <c r="J10" s="17"/>
      <c r="K10" s="17"/>
      <c r="M10" s="33">
        <f>7</f>
        <v>7</v>
      </c>
      <c r="N10" s="33">
        <f>2</f>
        <v>2</v>
      </c>
      <c r="O10" s="33"/>
      <c r="P10" s="33">
        <f>PI()*M10*SQRT(M10^2+N10^2)</f>
        <v>160.09797821843054</v>
      </c>
    </row>
    <row r="11" spans="1:16" x14ac:dyDescent="0.25">
      <c r="A11" s="16"/>
      <c r="B11" s="32"/>
      <c r="C11" s="17">
        <v>1</v>
      </c>
      <c r="D11" s="33">
        <f>15</f>
        <v>15</v>
      </c>
      <c r="E11" s="33">
        <v>3.4</v>
      </c>
      <c r="F11" s="33">
        <v>0.15</v>
      </c>
      <c r="G11" s="33">
        <f t="shared" ref="G11:G13" si="0">PRODUCT(C11:F11)</f>
        <v>7.6499999999999995</v>
      </c>
      <c r="H11" s="17"/>
      <c r="I11" s="17"/>
      <c r="J11" s="17"/>
      <c r="K11" s="17"/>
      <c r="M11" s="36"/>
      <c r="N11" s="36"/>
      <c r="O11" s="36"/>
      <c r="P11" s="36"/>
    </row>
    <row r="12" spans="1:16" x14ac:dyDescent="0.25">
      <c r="A12" s="16"/>
      <c r="B12" s="32" t="s">
        <v>47</v>
      </c>
      <c r="C12" s="17">
        <v>1</v>
      </c>
      <c r="D12" s="33">
        <f>1.5+D17</f>
        <v>7.5957025297165499</v>
      </c>
      <c r="E12" s="33">
        <v>1.2</v>
      </c>
      <c r="F12" s="33">
        <v>0.15</v>
      </c>
      <c r="G12" s="33">
        <f t="shared" si="0"/>
        <v>1.3672264553489788</v>
      </c>
      <c r="H12" s="17"/>
      <c r="I12" s="17"/>
      <c r="J12" s="17"/>
      <c r="K12" s="17"/>
      <c r="M12" s="36"/>
      <c r="N12" s="36"/>
      <c r="O12" s="36"/>
      <c r="P12" s="36"/>
    </row>
    <row r="13" spans="1:16" x14ac:dyDescent="0.25">
      <c r="A13" s="16"/>
      <c r="B13" s="32" t="s">
        <v>48</v>
      </c>
      <c r="C13" s="17">
        <v>1</v>
      </c>
      <c r="D13" s="33">
        <v>4</v>
      </c>
      <c r="E13" s="33">
        <v>0.23</v>
      </c>
      <c r="F13" s="33">
        <v>0.15</v>
      </c>
      <c r="G13" s="33">
        <f t="shared" si="0"/>
        <v>0.13800000000000001</v>
      </c>
      <c r="H13" s="17"/>
      <c r="I13" s="17"/>
      <c r="J13" s="17"/>
      <c r="K13" s="17"/>
      <c r="M13" s="36"/>
      <c r="N13" s="36"/>
      <c r="O13" s="36"/>
      <c r="P13" s="36"/>
    </row>
    <row r="14" spans="1:16" ht="15" customHeight="1" x14ac:dyDescent="0.25">
      <c r="A14" s="2"/>
      <c r="B14" s="34" t="s">
        <v>16</v>
      </c>
      <c r="C14" s="3"/>
      <c r="D14" s="4"/>
      <c r="E14" s="5"/>
      <c r="F14" s="5"/>
      <c r="G14" s="6">
        <f>SUM(G10:G13)</f>
        <v>9.9652264553489776</v>
      </c>
      <c r="H14" s="7" t="s">
        <v>17</v>
      </c>
      <c r="I14" s="6">
        <v>748.9</v>
      </c>
      <c r="J14" s="18">
        <f>G14*I14</f>
        <v>7462.9580924108486</v>
      </c>
      <c r="K14" s="5"/>
    </row>
    <row r="15" spans="1:16" x14ac:dyDescent="0.25">
      <c r="A15" s="16"/>
      <c r="B15" s="17"/>
      <c r="C15" s="17"/>
      <c r="D15" s="17"/>
      <c r="E15" s="17"/>
      <c r="F15" s="17"/>
      <c r="G15" s="17"/>
      <c r="H15" s="17"/>
      <c r="I15" s="17"/>
      <c r="J15" s="17"/>
      <c r="K15" s="17"/>
    </row>
    <row r="16" spans="1:16" ht="173.25" x14ac:dyDescent="0.25">
      <c r="A16" s="16">
        <v>2</v>
      </c>
      <c r="B16" s="35" t="s">
        <v>38</v>
      </c>
      <c r="C16" s="17"/>
      <c r="D16" s="17"/>
      <c r="E16" s="17"/>
      <c r="F16" s="17"/>
      <c r="G16" s="17"/>
      <c r="H16" s="17"/>
      <c r="I16" s="17"/>
      <c r="J16" s="17"/>
      <c r="K16" s="17"/>
    </row>
    <row r="17" spans="1:16" x14ac:dyDescent="0.25">
      <c r="A17" s="16"/>
      <c r="B17" s="32" t="s">
        <v>29</v>
      </c>
      <c r="C17" s="17">
        <v>1</v>
      </c>
      <c r="D17" s="33">
        <f>D22</f>
        <v>6.0957025297165499</v>
      </c>
      <c r="E17" s="33">
        <f>E22</f>
        <v>1.925</v>
      </c>
      <c r="F17" s="33">
        <v>0.75</v>
      </c>
      <c r="G17" s="33">
        <f>PRODUCT(C17:F17)</f>
        <v>8.8006705272782693</v>
      </c>
      <c r="H17" s="17"/>
      <c r="I17" s="17"/>
      <c r="J17" s="17"/>
      <c r="K17" s="17"/>
      <c r="M17" s="33">
        <f>7</f>
        <v>7</v>
      </c>
      <c r="N17" s="33">
        <f>2</f>
        <v>2</v>
      </c>
      <c r="O17" s="33"/>
      <c r="P17" s="33">
        <f>PI()*M17*SQRT(M17^2+N17^2)</f>
        <v>160.09797821843054</v>
      </c>
    </row>
    <row r="18" spans="1:16" ht="15" customHeight="1" x14ac:dyDescent="0.25">
      <c r="A18" s="2"/>
      <c r="B18" s="34" t="s">
        <v>16</v>
      </c>
      <c r="C18" s="3"/>
      <c r="D18" s="4"/>
      <c r="E18" s="5"/>
      <c r="F18" s="5"/>
      <c r="G18" s="6">
        <f>SUM(G17:G17)</f>
        <v>8.8006705272782693</v>
      </c>
      <c r="H18" s="7" t="s">
        <v>17</v>
      </c>
      <c r="I18" s="6">
        <v>62.95</v>
      </c>
      <c r="J18" s="18">
        <f>G18*I18</f>
        <v>554.00220969216707</v>
      </c>
      <c r="K18" s="5"/>
    </row>
    <row r="19" spans="1:16" x14ac:dyDescent="0.25">
      <c r="A19" s="16"/>
      <c r="B19" s="32" t="s">
        <v>23</v>
      </c>
      <c r="C19" s="17"/>
      <c r="D19" s="17"/>
      <c r="E19" s="17"/>
      <c r="F19" s="17"/>
      <c r="G19" s="17"/>
      <c r="H19" s="17"/>
      <c r="I19" s="17"/>
      <c r="J19" s="18">
        <f>0.13*G18*(18612)/360</f>
        <v>59.149306613837254</v>
      </c>
      <c r="K19" s="17"/>
    </row>
    <row r="20" spans="1:16" x14ac:dyDescent="0.25">
      <c r="A20" s="16"/>
      <c r="B20" s="17"/>
      <c r="C20" s="17"/>
      <c r="D20" s="17"/>
      <c r="E20" s="17"/>
      <c r="F20" s="17"/>
      <c r="G20" s="17"/>
      <c r="H20" s="17"/>
      <c r="I20" s="17"/>
      <c r="J20" s="17"/>
      <c r="K20" s="17"/>
    </row>
    <row r="21" spans="1:16" ht="110.25" x14ac:dyDescent="0.25">
      <c r="A21" s="16">
        <v>3</v>
      </c>
      <c r="B21" s="35" t="s">
        <v>30</v>
      </c>
      <c r="C21" s="17"/>
      <c r="D21" s="17"/>
      <c r="E21" s="17"/>
      <c r="F21" s="17"/>
      <c r="G21" s="17"/>
      <c r="H21" s="17"/>
      <c r="I21" s="17"/>
      <c r="J21" s="17"/>
      <c r="K21" s="17"/>
    </row>
    <row r="22" spans="1:16" x14ac:dyDescent="0.25">
      <c r="A22" s="16"/>
      <c r="B22" s="32" t="str">
        <f>B17</f>
        <v>-for masonary wall</v>
      </c>
      <c r="C22" s="17">
        <v>1</v>
      </c>
      <c r="D22" s="33">
        <f>D30</f>
        <v>6.0957025297165499</v>
      </c>
      <c r="E22" s="33">
        <f>E30</f>
        <v>1.925</v>
      </c>
      <c r="F22" s="33">
        <v>0.15</v>
      </c>
      <c r="G22" s="33">
        <f>PRODUCT(C22:F22)</f>
        <v>1.7601341054556536</v>
      </c>
      <c r="H22" s="17"/>
      <c r="I22" s="17"/>
      <c r="J22" s="17"/>
      <c r="K22" s="17"/>
      <c r="M22" s="33">
        <f>7</f>
        <v>7</v>
      </c>
      <c r="N22" s="33">
        <f>2</f>
        <v>2</v>
      </c>
      <c r="O22" s="33"/>
      <c r="P22" s="33">
        <f>PI()*M22*SQRT(M22^2+N22^2)</f>
        <v>160.09797821843054</v>
      </c>
    </row>
    <row r="23" spans="1:16" x14ac:dyDescent="0.25">
      <c r="A23" s="16"/>
      <c r="B23" s="32" t="str">
        <f>B10</f>
        <v>-for levelling</v>
      </c>
      <c r="C23" s="17">
        <f>C10</f>
        <v>1</v>
      </c>
      <c r="D23" s="33">
        <f>D10</f>
        <v>2</v>
      </c>
      <c r="E23" s="33">
        <f>E10</f>
        <v>2.7</v>
      </c>
      <c r="F23" s="33">
        <v>0.15</v>
      </c>
      <c r="G23" s="33">
        <f t="shared" ref="G23:G25" si="1">PRODUCT(C23:F23)</f>
        <v>0.81</v>
      </c>
      <c r="H23" s="17"/>
      <c r="I23" s="17"/>
      <c r="J23" s="17"/>
      <c r="K23" s="17"/>
      <c r="M23" s="36"/>
      <c r="N23" s="36"/>
      <c r="O23" s="36"/>
      <c r="P23" s="36"/>
    </row>
    <row r="24" spans="1:16" x14ac:dyDescent="0.25">
      <c r="A24" s="16"/>
      <c r="B24" s="32"/>
      <c r="C24" s="17">
        <f>C11</f>
        <v>1</v>
      </c>
      <c r="D24" s="33">
        <f t="shared" ref="D24:E25" si="2">D11</f>
        <v>15</v>
      </c>
      <c r="E24" s="33">
        <f t="shared" si="2"/>
        <v>3.4</v>
      </c>
      <c r="F24" s="33">
        <v>0.15</v>
      </c>
      <c r="G24" s="33">
        <f t="shared" si="1"/>
        <v>7.6499999999999995</v>
      </c>
      <c r="H24" s="17"/>
      <c r="I24" s="17"/>
      <c r="J24" s="17"/>
      <c r="K24" s="17"/>
      <c r="M24" s="36"/>
      <c r="N24" s="36"/>
      <c r="O24" s="36"/>
      <c r="P24" s="36"/>
    </row>
    <row r="25" spans="1:16" x14ac:dyDescent="0.25">
      <c r="A25" s="16"/>
      <c r="B25" s="32" t="str">
        <f t="shared" ref="B25" si="3">B12</f>
        <v>-for steps</v>
      </c>
      <c r="C25" s="17">
        <f>C12</f>
        <v>1</v>
      </c>
      <c r="D25" s="33">
        <f t="shared" si="2"/>
        <v>7.5957025297165499</v>
      </c>
      <c r="E25" s="33">
        <f t="shared" si="2"/>
        <v>1.2</v>
      </c>
      <c r="F25" s="33">
        <v>0.15</v>
      </c>
      <c r="G25" s="33">
        <f t="shared" si="1"/>
        <v>1.3672264553489788</v>
      </c>
      <c r="H25" s="17"/>
      <c r="I25" s="17"/>
      <c r="J25" s="17"/>
      <c r="K25" s="17"/>
      <c r="M25" s="36"/>
      <c r="N25" s="36"/>
      <c r="O25" s="36"/>
      <c r="P25" s="36"/>
    </row>
    <row r="26" spans="1:16" ht="15" customHeight="1" x14ac:dyDescent="0.25">
      <c r="A26" s="2"/>
      <c r="B26" s="34" t="s">
        <v>16</v>
      </c>
      <c r="C26" s="3"/>
      <c r="D26" s="4"/>
      <c r="E26" s="5"/>
      <c r="F26" s="5"/>
      <c r="G26" s="6">
        <f>SUM(G22:G25)</f>
        <v>11.587360560804632</v>
      </c>
      <c r="H26" s="7" t="s">
        <v>17</v>
      </c>
      <c r="I26" s="6">
        <v>4458.5200000000004</v>
      </c>
      <c r="J26" s="18">
        <f>G26*I26</f>
        <v>51662.478807558669</v>
      </c>
      <c r="K26" s="5"/>
    </row>
    <row r="27" spans="1:16" x14ac:dyDescent="0.25">
      <c r="A27" s="16"/>
      <c r="B27" s="32" t="s">
        <v>23</v>
      </c>
      <c r="C27" s="17"/>
      <c r="D27" s="17"/>
      <c r="E27" s="17"/>
      <c r="F27" s="17"/>
      <c r="G27" s="17"/>
      <c r="H27" s="17"/>
      <c r="I27" s="17"/>
      <c r="J27" s="18">
        <f>0.13*G26*(14817.6)/5</f>
        <v>4464.118719990247</v>
      </c>
      <c r="K27" s="17"/>
    </row>
    <row r="28" spans="1:16" x14ac:dyDescent="0.25">
      <c r="A28" s="16"/>
      <c r="B28" s="17"/>
      <c r="C28" s="17"/>
      <c r="D28" s="17"/>
      <c r="E28" s="17"/>
      <c r="F28" s="17"/>
      <c r="G28" s="17"/>
      <c r="H28" s="17"/>
      <c r="I28" s="17"/>
      <c r="J28" s="17"/>
      <c r="K28" s="17"/>
    </row>
    <row r="29" spans="1:16" ht="94.5" x14ac:dyDescent="0.25">
      <c r="A29" s="16">
        <v>4</v>
      </c>
      <c r="B29" s="35" t="s">
        <v>31</v>
      </c>
      <c r="C29" s="17"/>
      <c r="D29" s="17"/>
      <c r="E29" s="17"/>
      <c r="F29" s="17"/>
      <c r="G29" s="17"/>
      <c r="H29" s="17"/>
      <c r="I29" s="17"/>
      <c r="J29" s="17"/>
      <c r="K29" s="17"/>
    </row>
    <row r="30" spans="1:16" x14ac:dyDescent="0.25">
      <c r="A30" s="16"/>
      <c r="B30" s="32" t="str">
        <f>B22</f>
        <v>-for masonary wall</v>
      </c>
      <c r="C30" s="17">
        <v>1</v>
      </c>
      <c r="D30" s="33">
        <f>D44</f>
        <v>6.0957025297165499</v>
      </c>
      <c r="E30" s="33">
        <f>F44/2</f>
        <v>1.925</v>
      </c>
      <c r="F30" s="33">
        <v>0.05</v>
      </c>
      <c r="G30" s="33">
        <f>PRODUCT(C30:F30)</f>
        <v>0.58671136848521799</v>
      </c>
      <c r="H30" s="17"/>
      <c r="I30" s="17"/>
      <c r="J30" s="17"/>
      <c r="K30" s="17"/>
      <c r="M30" s="33">
        <f>7</f>
        <v>7</v>
      </c>
      <c r="N30" s="33">
        <f>2</f>
        <v>2</v>
      </c>
      <c r="O30" s="33"/>
      <c r="P30" s="33">
        <f>PI()*M30*SQRT(M30^2+N30^2)</f>
        <v>160.09797821843054</v>
      </c>
    </row>
    <row r="31" spans="1:16" x14ac:dyDescent="0.25">
      <c r="A31" s="16"/>
      <c r="B31" s="32"/>
      <c r="C31" s="17">
        <v>1</v>
      </c>
      <c r="D31" s="33">
        <f>D30</f>
        <v>6.0957025297165499</v>
      </c>
      <c r="E31" s="33">
        <v>0.45</v>
      </c>
      <c r="F31" s="33">
        <v>0.05</v>
      </c>
      <c r="G31" s="33">
        <f>PRODUCT(C31:F31)</f>
        <v>0.13715330691862238</v>
      </c>
      <c r="H31" s="17"/>
      <c r="I31" s="17"/>
      <c r="J31" s="17"/>
      <c r="K31" s="17"/>
      <c r="M31" s="36"/>
      <c r="N31" s="36"/>
      <c r="O31" s="36"/>
      <c r="P31" s="36"/>
    </row>
    <row r="32" spans="1:16" x14ac:dyDescent="0.25">
      <c r="A32" s="16"/>
      <c r="B32" s="32" t="str">
        <f>B23</f>
        <v>-for levelling</v>
      </c>
      <c r="C32" s="17">
        <f>C23</f>
        <v>1</v>
      </c>
      <c r="D32" s="33">
        <f>D23</f>
        <v>2</v>
      </c>
      <c r="E32" s="33">
        <f>E23</f>
        <v>2.7</v>
      </c>
      <c r="F32" s="33">
        <v>0.05</v>
      </c>
      <c r="G32" s="33">
        <f t="shared" ref="G32:G35" si="4">PRODUCT(C32:F32)</f>
        <v>0.27</v>
      </c>
      <c r="H32" s="17"/>
      <c r="I32" s="17"/>
      <c r="J32" s="17"/>
      <c r="K32" s="17"/>
      <c r="M32" s="36"/>
      <c r="N32" s="36"/>
      <c r="O32" s="36"/>
      <c r="P32" s="36"/>
    </row>
    <row r="33" spans="1:16" x14ac:dyDescent="0.25">
      <c r="A33" s="16"/>
      <c r="B33" s="32"/>
      <c r="C33" s="17">
        <f t="shared" ref="C33:E33" si="5">C24</f>
        <v>1</v>
      </c>
      <c r="D33" s="33">
        <f t="shared" si="5"/>
        <v>15</v>
      </c>
      <c r="E33" s="33">
        <f t="shared" si="5"/>
        <v>3.4</v>
      </c>
      <c r="F33" s="33">
        <v>0.05</v>
      </c>
      <c r="G33" s="33">
        <f t="shared" si="4"/>
        <v>2.5500000000000003</v>
      </c>
      <c r="H33" s="17"/>
      <c r="I33" s="17"/>
      <c r="J33" s="17"/>
      <c r="K33" s="17"/>
      <c r="M33" s="36"/>
      <c r="N33" s="36"/>
      <c r="O33" s="36"/>
      <c r="P33" s="36"/>
    </row>
    <row r="34" spans="1:16" x14ac:dyDescent="0.25">
      <c r="A34" s="16"/>
      <c r="B34" s="32" t="str">
        <f>B25</f>
        <v>-for steps</v>
      </c>
      <c r="C34" s="17">
        <f t="shared" ref="C34:E34" si="6">C25</f>
        <v>1</v>
      </c>
      <c r="D34" s="33">
        <f t="shared" si="6"/>
        <v>7.5957025297165499</v>
      </c>
      <c r="E34" s="33">
        <f t="shared" si="6"/>
        <v>1.2</v>
      </c>
      <c r="F34" s="33">
        <v>7.4999999999999997E-2</v>
      </c>
      <c r="G34" s="33">
        <f t="shared" si="4"/>
        <v>0.6836132276744894</v>
      </c>
      <c r="H34" s="17"/>
      <c r="I34" s="17"/>
      <c r="J34" s="17"/>
      <c r="K34" s="17"/>
      <c r="M34" s="36"/>
      <c r="N34" s="36"/>
      <c r="O34" s="36"/>
      <c r="P34" s="36"/>
    </row>
    <row r="35" spans="1:16" x14ac:dyDescent="0.25">
      <c r="A35" s="16"/>
      <c r="B35" s="32" t="str">
        <f>B13</f>
        <v>-Area for brick wall</v>
      </c>
      <c r="C35" s="17">
        <f>C13</f>
        <v>1</v>
      </c>
      <c r="D35" s="33">
        <f>D13</f>
        <v>4</v>
      </c>
      <c r="E35" s="33">
        <v>0.23</v>
      </c>
      <c r="F35" s="33">
        <v>0.05</v>
      </c>
      <c r="G35" s="33">
        <f t="shared" si="4"/>
        <v>4.6000000000000006E-2</v>
      </c>
      <c r="H35" s="17"/>
      <c r="I35" s="17"/>
      <c r="J35" s="17"/>
      <c r="K35" s="17"/>
      <c r="M35" s="36"/>
      <c r="N35" s="36"/>
      <c r="O35" s="36"/>
      <c r="P35" s="36"/>
    </row>
    <row r="36" spans="1:16" ht="15" customHeight="1" x14ac:dyDescent="0.25">
      <c r="A36" s="2"/>
      <c r="B36" s="34" t="s">
        <v>16</v>
      </c>
      <c r="C36" s="3"/>
      <c r="D36" s="4"/>
      <c r="E36" s="5"/>
      <c r="F36" s="5"/>
      <c r="G36" s="6">
        <f>SUM(G30:G35)</f>
        <v>4.2734779030783301</v>
      </c>
      <c r="H36" s="7" t="s">
        <v>17</v>
      </c>
      <c r="I36" s="6">
        <v>10964.46</v>
      </c>
      <c r="J36" s="18">
        <f>G36*I36</f>
        <v>46856.377529186226</v>
      </c>
      <c r="K36" s="5"/>
    </row>
    <row r="37" spans="1:16" x14ac:dyDescent="0.25">
      <c r="A37" s="16"/>
      <c r="B37" s="32" t="s">
        <v>32</v>
      </c>
      <c r="C37" s="17"/>
      <c r="D37" s="17"/>
      <c r="E37" s="17"/>
      <c r="F37" s="17"/>
      <c r="G37" s="17"/>
      <c r="H37" s="17"/>
      <c r="I37" s="17"/>
      <c r="J37" s="18">
        <f>0.13*G36*(53818.03)/15</f>
        <v>1993.2480705991243</v>
      </c>
      <c r="K37" s="17"/>
    </row>
    <row r="38" spans="1:16" x14ac:dyDescent="0.25">
      <c r="A38" s="16"/>
      <c r="B38" s="32" t="s">
        <v>33</v>
      </c>
      <c r="C38" s="17"/>
      <c r="D38" s="17"/>
      <c r="E38" s="17"/>
      <c r="F38" s="17"/>
      <c r="G38" s="17"/>
      <c r="H38" s="17"/>
      <c r="I38" s="17"/>
      <c r="J38" s="18">
        <f>0.13*G36*(21432.6)/15</f>
        <v>793.79510171447725</v>
      </c>
      <c r="K38" s="17"/>
    </row>
    <row r="39" spans="1:16" x14ac:dyDescent="0.25">
      <c r="A39" s="16"/>
      <c r="B39" s="32" t="s">
        <v>34</v>
      </c>
      <c r="C39" s="17"/>
      <c r="D39" s="17"/>
      <c r="E39" s="17"/>
      <c r="F39" s="17"/>
      <c r="G39" s="17"/>
      <c r="H39" s="17"/>
      <c r="I39" s="17"/>
      <c r="J39" s="18">
        <f>0.13*G36*(25719.12+13573.98+4286.52)/15</f>
        <v>1614.0500401527704</v>
      </c>
      <c r="K39" s="17"/>
    </row>
    <row r="40" spans="1:16" x14ac:dyDescent="0.25">
      <c r="A40" s="16"/>
      <c r="B40" s="32" t="s">
        <v>35</v>
      </c>
      <c r="C40" s="17"/>
      <c r="D40" s="17"/>
      <c r="E40" s="17"/>
      <c r="F40" s="17"/>
      <c r="G40" s="17"/>
      <c r="H40" s="17"/>
      <c r="I40" s="17"/>
      <c r="J40" s="18">
        <f>0.13*G36*(6325.7)/15</f>
        <v>234.28373948635578</v>
      </c>
      <c r="K40" s="17"/>
    </row>
    <row r="41" spans="1:16" x14ac:dyDescent="0.25">
      <c r="A41" s="16"/>
      <c r="B41" s="32" t="s">
        <v>39</v>
      </c>
      <c r="C41" s="17"/>
      <c r="D41" s="17"/>
      <c r="E41" s="17"/>
      <c r="F41" s="17"/>
      <c r="G41" s="17"/>
      <c r="H41" s="17"/>
      <c r="I41" s="17"/>
      <c r="J41" s="18">
        <f>0.13*G36*(310)/5</f>
        <v>34.444231898811339</v>
      </c>
      <c r="K41" s="17"/>
    </row>
    <row r="42" spans="1:16" x14ac:dyDescent="0.25">
      <c r="A42" s="16"/>
      <c r="B42" s="17"/>
      <c r="C42" s="17"/>
      <c r="D42" s="17"/>
      <c r="E42" s="17"/>
      <c r="F42" s="17"/>
      <c r="G42" s="17"/>
      <c r="H42" s="17"/>
      <c r="I42" s="17"/>
      <c r="J42" s="17"/>
      <c r="K42" s="17"/>
    </row>
    <row r="43" spans="1:16" ht="110.25" x14ac:dyDescent="0.25">
      <c r="A43" s="16">
        <v>5</v>
      </c>
      <c r="B43" s="35" t="s">
        <v>36</v>
      </c>
      <c r="C43" s="17"/>
      <c r="D43" s="17"/>
      <c r="E43" s="17"/>
      <c r="F43" s="17"/>
      <c r="G43" s="17"/>
      <c r="H43" s="17"/>
      <c r="I43" s="17"/>
      <c r="J43" s="17"/>
      <c r="K43" s="17"/>
    </row>
    <row r="44" spans="1:16" x14ac:dyDescent="0.25">
      <c r="A44" s="16"/>
      <c r="B44" s="32" t="str">
        <f>B30</f>
        <v>-for masonary wall</v>
      </c>
      <c r="C44" s="17">
        <v>1</v>
      </c>
      <c r="D44" s="33">
        <f>20/3.281</f>
        <v>6.0957025297165499</v>
      </c>
      <c r="E44" s="33">
        <f>((F44/2)+0.45)/2</f>
        <v>1.1875</v>
      </c>
      <c r="F44" s="33">
        <v>3.85</v>
      </c>
      <c r="G44" s="33">
        <f>PRODUCT(C44:F44)</f>
        <v>27.868790003047852</v>
      </c>
      <c r="H44" s="17"/>
      <c r="I44" s="17"/>
      <c r="J44" s="17"/>
      <c r="K44" s="17"/>
      <c r="M44" s="33">
        <f>7</f>
        <v>7</v>
      </c>
      <c r="N44" s="33">
        <f>2</f>
        <v>2</v>
      </c>
      <c r="O44" s="33"/>
      <c r="P44" s="33">
        <f>PI()*M44*SQRT(M44^2+N44^2)</f>
        <v>160.09797821843054</v>
      </c>
    </row>
    <row r="45" spans="1:16" ht="15" customHeight="1" x14ac:dyDescent="0.25">
      <c r="A45" s="2"/>
      <c r="B45" s="34" t="s">
        <v>16</v>
      </c>
      <c r="C45" s="3"/>
      <c r="D45" s="4"/>
      <c r="E45" s="5"/>
      <c r="F45" s="5"/>
      <c r="G45" s="6">
        <f>SUM(G44:G44)</f>
        <v>27.868790003047852</v>
      </c>
      <c r="H45" s="7" t="s">
        <v>17</v>
      </c>
      <c r="I45" s="6">
        <v>8987.83</v>
      </c>
      <c r="J45" s="18">
        <f>G45*I45</f>
        <v>250479.94685309357</v>
      </c>
      <c r="K45" s="5"/>
    </row>
    <row r="46" spans="1:16" x14ac:dyDescent="0.25">
      <c r="A46" s="16"/>
      <c r="B46" s="32" t="s">
        <v>32</v>
      </c>
      <c r="C46" s="17"/>
      <c r="D46" s="17"/>
      <c r="E46" s="17"/>
      <c r="F46" s="17"/>
      <c r="G46" s="17"/>
      <c r="H46" s="17"/>
      <c r="I46" s="17"/>
      <c r="J46" s="18">
        <f>0.13*G45*(5863.95)/5</f>
        <v>4248.950969597684</v>
      </c>
      <c r="K46" s="17"/>
    </row>
    <row r="47" spans="1:16" x14ac:dyDescent="0.25">
      <c r="A47" s="16"/>
      <c r="B47" s="32" t="s">
        <v>33</v>
      </c>
      <c r="C47" s="17"/>
      <c r="D47" s="17"/>
      <c r="E47" s="17"/>
      <c r="F47" s="17"/>
      <c r="G47" s="17"/>
      <c r="H47" s="17"/>
      <c r="I47" s="17"/>
      <c r="J47" s="18">
        <f>0.13*G45*(6604.416)/5</f>
        <v>4785.4841475160019</v>
      </c>
      <c r="K47" s="17"/>
    </row>
    <row r="48" spans="1:16" x14ac:dyDescent="0.25">
      <c r="A48" s="16"/>
      <c r="B48" s="32" t="s">
        <v>37</v>
      </c>
      <c r="C48" s="17"/>
      <c r="D48" s="17"/>
      <c r="E48" s="17"/>
      <c r="F48" s="17"/>
      <c r="G48" s="17"/>
      <c r="H48" s="17"/>
      <c r="I48" s="17"/>
      <c r="J48" s="18">
        <f>0.13*G45*(14808.78)/5</f>
        <v>10730.272280554711</v>
      </c>
      <c r="K48" s="17"/>
    </row>
    <row r="49" spans="1:16" x14ac:dyDescent="0.25">
      <c r="A49" s="16"/>
      <c r="B49" s="32" t="s">
        <v>39</v>
      </c>
      <c r="C49" s="17"/>
      <c r="D49" s="17"/>
      <c r="E49" s="17"/>
      <c r="F49" s="17"/>
      <c r="G49" s="17"/>
      <c r="H49" s="17"/>
      <c r="I49" s="17"/>
      <c r="J49" s="18">
        <f>0.13*G45*(310)/5</f>
        <v>224.62244742456568</v>
      </c>
      <c r="K49" s="17"/>
    </row>
    <row r="50" spans="1:16" x14ac:dyDescent="0.25">
      <c r="A50" s="16"/>
      <c r="B50" s="17"/>
      <c r="C50" s="17"/>
      <c r="D50" s="17"/>
      <c r="E50" s="17"/>
      <c r="F50" s="17"/>
      <c r="G50" s="17"/>
      <c r="H50" s="17"/>
      <c r="I50" s="17"/>
      <c r="J50" s="17"/>
      <c r="K50" s="17"/>
    </row>
    <row r="51" spans="1:16" ht="75" x14ac:dyDescent="0.25">
      <c r="A51" s="16">
        <v>6</v>
      </c>
      <c r="B51" s="37" t="s">
        <v>51</v>
      </c>
      <c r="C51" s="17"/>
      <c r="D51" s="17"/>
      <c r="E51" s="17"/>
      <c r="F51" s="17"/>
      <c r="G51" s="17"/>
      <c r="H51" s="17"/>
      <c r="I51" s="17"/>
      <c r="J51" s="17"/>
      <c r="K51" s="17"/>
    </row>
    <row r="52" spans="1:16" x14ac:dyDescent="0.25">
      <c r="A52" s="16"/>
      <c r="B52" s="32" t="s">
        <v>49</v>
      </c>
      <c r="C52" s="17">
        <v>1</v>
      </c>
      <c r="D52" s="33">
        <f>D11</f>
        <v>15</v>
      </c>
      <c r="E52" s="33">
        <f>E11</f>
        <v>3.4</v>
      </c>
      <c r="F52" s="33"/>
      <c r="G52" s="33">
        <f>PRODUCT(C52:F52)</f>
        <v>51</v>
      </c>
      <c r="H52" s="17"/>
      <c r="I52" s="17"/>
      <c r="J52" s="17"/>
      <c r="K52" s="17"/>
      <c r="M52" s="33">
        <f>7</f>
        <v>7</v>
      </c>
      <c r="N52" s="33">
        <f>2</f>
        <v>2</v>
      </c>
      <c r="O52" s="33"/>
      <c r="P52" s="33">
        <f>PI()*M52*SQRT(M52^2+N52^2)</f>
        <v>160.09797821843054</v>
      </c>
    </row>
    <row r="53" spans="1:16" ht="15" customHeight="1" x14ac:dyDescent="0.25">
      <c r="A53" s="2"/>
      <c r="B53" s="34" t="s">
        <v>16</v>
      </c>
      <c r="C53" s="3"/>
      <c r="D53" s="4"/>
      <c r="E53" s="5"/>
      <c r="F53" s="5"/>
      <c r="G53" s="6">
        <f>SUM(G52:G52)</f>
        <v>51</v>
      </c>
      <c r="H53" s="7" t="s">
        <v>50</v>
      </c>
      <c r="I53" s="6">
        <v>1754.28</v>
      </c>
      <c r="J53" s="18">
        <f>G53*I53</f>
        <v>89468.28</v>
      </c>
      <c r="K53" s="5"/>
    </row>
    <row r="54" spans="1:16" x14ac:dyDescent="0.25">
      <c r="A54" s="16"/>
      <c r="B54" s="32" t="s">
        <v>52</v>
      </c>
      <c r="C54" s="17"/>
      <c r="D54" s="17"/>
      <c r="E54" s="17"/>
      <c r="F54" s="17"/>
      <c r="G54" s="17"/>
      <c r="H54" s="17"/>
      <c r="I54" s="17"/>
      <c r="J54" s="18">
        <f>0.13*G53*(6036.36/10)</f>
        <v>4002.1066799999999</v>
      </c>
      <c r="K54" s="17"/>
    </row>
    <row r="55" spans="1:16" x14ac:dyDescent="0.25">
      <c r="A55" s="16"/>
      <c r="B55" s="32" t="s">
        <v>53</v>
      </c>
      <c r="C55" s="17"/>
      <c r="D55" s="17"/>
      <c r="E55" s="17"/>
      <c r="F55" s="17"/>
      <c r="G55" s="17"/>
      <c r="H55" s="17"/>
      <c r="I55" s="17"/>
      <c r="J55" s="18">
        <f>0.13*G53*(33.99)/10</f>
        <v>22.53537</v>
      </c>
      <c r="K55" s="17"/>
    </row>
    <row r="56" spans="1:16" x14ac:dyDescent="0.25">
      <c r="A56" s="16"/>
      <c r="B56" s="32" t="s">
        <v>54</v>
      </c>
      <c r="C56" s="17"/>
      <c r="D56" s="17"/>
      <c r="E56" s="17"/>
      <c r="F56" s="17"/>
      <c r="G56" s="17"/>
      <c r="H56" s="17"/>
      <c r="I56" s="17"/>
      <c r="J56" s="18">
        <f>0.13*G53*(877.45/10)</f>
        <v>581.74935000000005</v>
      </c>
      <c r="K56" s="17"/>
    </row>
    <row r="57" spans="1:16" x14ac:dyDescent="0.25">
      <c r="A57" s="16"/>
      <c r="B57" s="17"/>
      <c r="C57" s="17"/>
      <c r="D57" s="17"/>
      <c r="E57" s="17"/>
      <c r="F57" s="17"/>
      <c r="G57" s="17"/>
      <c r="H57" s="17"/>
      <c r="I57" s="17"/>
      <c r="J57" s="17"/>
      <c r="K57" s="17"/>
    </row>
    <row r="58" spans="1:16" ht="30" x14ac:dyDescent="0.25">
      <c r="A58" s="16">
        <v>7</v>
      </c>
      <c r="B58" s="37" t="s">
        <v>55</v>
      </c>
      <c r="C58" s="17"/>
      <c r="D58" s="17"/>
      <c r="E58" s="17"/>
      <c r="F58" s="17"/>
      <c r="G58" s="17"/>
      <c r="H58" s="17"/>
      <c r="I58" s="17"/>
      <c r="J58" s="17"/>
      <c r="K58" s="17"/>
    </row>
    <row r="59" spans="1:16" x14ac:dyDescent="0.25">
      <c r="A59" s="16"/>
      <c r="B59" s="32" t="s">
        <v>56</v>
      </c>
      <c r="C59" s="17">
        <v>1</v>
      </c>
      <c r="D59" s="33">
        <f>D13</f>
        <v>4</v>
      </c>
      <c r="E59" s="33">
        <v>0.23</v>
      </c>
      <c r="F59" s="33">
        <v>0.45</v>
      </c>
      <c r="G59" s="33">
        <f>PRODUCT(C59:F59)</f>
        <v>0.41400000000000003</v>
      </c>
      <c r="H59" s="17"/>
      <c r="I59" s="17"/>
      <c r="J59" s="17"/>
      <c r="K59" s="17"/>
      <c r="M59" s="33">
        <f>7</f>
        <v>7</v>
      </c>
      <c r="N59" s="33">
        <f>2</f>
        <v>2</v>
      </c>
      <c r="O59" s="33"/>
      <c r="P59" s="33">
        <f>PI()*M59*SQRT(M59^2+N59^2)</f>
        <v>160.09797821843054</v>
      </c>
    </row>
    <row r="60" spans="1:16" ht="15" customHeight="1" x14ac:dyDescent="0.25">
      <c r="A60" s="2"/>
      <c r="B60" s="34" t="s">
        <v>16</v>
      </c>
      <c r="C60" s="3"/>
      <c r="D60" s="4"/>
      <c r="E60" s="5"/>
      <c r="F60" s="5"/>
      <c r="G60" s="6">
        <f>SUM(G59:G59)</f>
        <v>0.41400000000000003</v>
      </c>
      <c r="H60" s="7" t="s">
        <v>57</v>
      </c>
      <c r="I60" s="6">
        <v>1754.28</v>
      </c>
      <c r="J60" s="18">
        <f>G60*I60</f>
        <v>726.27192000000002</v>
      </c>
      <c r="K60" s="5"/>
    </row>
    <row r="61" spans="1:16" x14ac:dyDescent="0.25">
      <c r="A61" s="16"/>
      <c r="B61" s="32" t="s">
        <v>58</v>
      </c>
      <c r="C61" s="17"/>
      <c r="D61" s="17"/>
      <c r="E61" s="17"/>
      <c r="F61" s="17"/>
      <c r="G61" s="17"/>
      <c r="H61" s="17"/>
      <c r="I61" s="17"/>
      <c r="J61" s="18">
        <f>0.13*G60*(8481.2)</f>
        <v>456.45818400000007</v>
      </c>
      <c r="K61" s="17"/>
    </row>
    <row r="62" spans="1:16" x14ac:dyDescent="0.25">
      <c r="A62" s="16"/>
      <c r="B62" s="32" t="s">
        <v>32</v>
      </c>
      <c r="C62" s="17"/>
      <c r="D62" s="17"/>
      <c r="E62" s="17"/>
      <c r="F62" s="17"/>
      <c r="G62" s="17"/>
      <c r="H62" s="17"/>
      <c r="I62" s="17"/>
      <c r="J62" s="18">
        <f>0.13*G60*912.17</f>
        <v>49.0929894</v>
      </c>
      <c r="K62" s="17"/>
    </row>
    <row r="63" spans="1:16" x14ac:dyDescent="0.25">
      <c r="A63" s="16"/>
      <c r="B63" s="32" t="s">
        <v>33</v>
      </c>
      <c r="C63" s="17"/>
      <c r="D63" s="17"/>
      <c r="E63" s="17"/>
      <c r="F63" s="17"/>
      <c r="G63" s="17"/>
      <c r="H63" s="17"/>
      <c r="I63" s="17"/>
      <c r="J63" s="18">
        <f>0.13*G60*953.37</f>
        <v>51.310373400000003</v>
      </c>
      <c r="K63" s="17"/>
    </row>
    <row r="64" spans="1:16" x14ac:dyDescent="0.25">
      <c r="A64" s="16"/>
      <c r="B64" s="32" t="s">
        <v>39</v>
      </c>
      <c r="C64" s="17"/>
      <c r="D64" s="17"/>
      <c r="E64" s="17"/>
      <c r="F64" s="17"/>
      <c r="G64" s="17"/>
      <c r="H64" s="17"/>
      <c r="I64" s="17"/>
      <c r="J64" s="18">
        <f>0.13*G60*28</f>
        <v>1.5069600000000003</v>
      </c>
      <c r="K64" s="17"/>
    </row>
    <row r="65" spans="1:16" x14ac:dyDescent="0.25">
      <c r="A65" s="16"/>
      <c r="B65" s="17"/>
      <c r="C65" s="17"/>
      <c r="D65" s="17"/>
      <c r="E65" s="17"/>
      <c r="F65" s="17"/>
      <c r="G65" s="17"/>
      <c r="H65" s="17"/>
      <c r="I65" s="17"/>
      <c r="J65" s="17"/>
      <c r="K65" s="17"/>
    </row>
    <row r="66" spans="1:16" ht="150" x14ac:dyDescent="0.25">
      <c r="A66" s="16">
        <v>8</v>
      </c>
      <c r="B66" s="37" t="s">
        <v>41</v>
      </c>
      <c r="C66" s="17"/>
      <c r="D66" s="17"/>
      <c r="E66" s="17"/>
      <c r="F66" s="17"/>
      <c r="G66" s="17"/>
      <c r="H66" s="17"/>
      <c r="I66" s="17"/>
      <c r="J66" s="17"/>
      <c r="K66" s="17"/>
    </row>
    <row r="67" spans="1:16" x14ac:dyDescent="0.25">
      <c r="A67" s="16"/>
      <c r="B67" s="32" t="s">
        <v>43</v>
      </c>
      <c r="C67" s="17">
        <v>1</v>
      </c>
      <c r="D67" s="33">
        <v>15</v>
      </c>
      <c r="E67" s="33"/>
      <c r="F67" s="33"/>
      <c r="G67" s="33">
        <f>PRODUCT(C67:F67)</f>
        <v>15</v>
      </c>
      <c r="H67" s="17"/>
      <c r="I67" s="17"/>
      <c r="J67" s="17"/>
      <c r="K67" s="17"/>
      <c r="M67" s="33">
        <f>7</f>
        <v>7</v>
      </c>
      <c r="N67" s="33">
        <f>2</f>
        <v>2</v>
      </c>
      <c r="O67" s="33"/>
      <c r="P67" s="33">
        <f>PI()*M67*SQRT(M67^2+N67^2)</f>
        <v>160.09797821843054</v>
      </c>
    </row>
    <row r="68" spans="1:16" ht="15" customHeight="1" x14ac:dyDescent="0.25">
      <c r="A68" s="2"/>
      <c r="B68" s="34" t="s">
        <v>16</v>
      </c>
      <c r="C68" s="3"/>
      <c r="D68" s="4"/>
      <c r="E68" s="5"/>
      <c r="F68" s="5"/>
      <c r="G68" s="6">
        <f>SUM(G67:G67)</f>
        <v>15</v>
      </c>
      <c r="H68" s="7" t="s">
        <v>44</v>
      </c>
      <c r="I68" s="6">
        <v>4132.8</v>
      </c>
      <c r="J68" s="18">
        <f>G68*I68</f>
        <v>61992</v>
      </c>
      <c r="K68" s="5"/>
    </row>
    <row r="69" spans="1:16" x14ac:dyDescent="0.25">
      <c r="A69" s="16"/>
      <c r="B69" s="32" t="s">
        <v>23</v>
      </c>
      <c r="C69" s="17"/>
      <c r="D69" s="17"/>
      <c r="E69" s="17"/>
      <c r="F69" s="17"/>
      <c r="G69" s="17"/>
      <c r="H69" s="17"/>
      <c r="I69" s="17"/>
      <c r="J69" s="18">
        <f>0.13*J68</f>
        <v>8058.96</v>
      </c>
      <c r="K69" s="17"/>
    </row>
    <row r="70" spans="1:16" x14ac:dyDescent="0.25">
      <c r="A70" s="16"/>
      <c r="B70" s="17"/>
      <c r="C70" s="17"/>
      <c r="D70" s="17"/>
      <c r="E70" s="17"/>
      <c r="F70" s="17"/>
      <c r="G70" s="17"/>
      <c r="H70" s="17"/>
      <c r="I70" s="17"/>
      <c r="J70" s="17"/>
      <c r="K70" s="17"/>
    </row>
    <row r="71" spans="1:16" ht="45" x14ac:dyDescent="0.25">
      <c r="A71" s="16">
        <v>9</v>
      </c>
      <c r="B71" s="37" t="s">
        <v>59</v>
      </c>
      <c r="C71" s="17" t="s">
        <v>7</v>
      </c>
      <c r="D71" s="38" t="s">
        <v>60</v>
      </c>
      <c r="E71" s="39" t="s">
        <v>61</v>
      </c>
      <c r="F71" s="39" t="s">
        <v>62</v>
      </c>
      <c r="G71" s="17"/>
      <c r="H71" s="17"/>
      <c r="I71" s="17"/>
      <c r="J71" s="17"/>
      <c r="K71" s="17"/>
    </row>
    <row r="72" spans="1:16" ht="45" x14ac:dyDescent="0.25">
      <c r="A72" s="16"/>
      <c r="B72" s="40" t="s">
        <v>63</v>
      </c>
      <c r="C72" s="17">
        <v>1</v>
      </c>
      <c r="D72" s="33">
        <f>4*(7.5/3.281)-(3/3.281)</f>
        <v>8.2291984151173416</v>
      </c>
      <c r="E72" s="33">
        <v>2.88</v>
      </c>
      <c r="F72" s="33">
        <f>PRODUCT(C72:E72)</f>
        <v>23.700091435537942</v>
      </c>
      <c r="G72" s="33">
        <f>F72</f>
        <v>23.700091435537942</v>
      </c>
      <c r="H72" s="17"/>
      <c r="I72" s="17"/>
      <c r="J72" s="17"/>
      <c r="K72" s="17"/>
      <c r="M72" s="33">
        <f>7</f>
        <v>7</v>
      </c>
      <c r="N72" s="33">
        <f>2</f>
        <v>2</v>
      </c>
      <c r="O72" s="33"/>
      <c r="P72" s="33">
        <f>PI()*M72*SQRT(M72^2+N72^2)</f>
        <v>160.09797821843054</v>
      </c>
    </row>
    <row r="73" spans="1:16" ht="30" x14ac:dyDescent="0.25">
      <c r="A73" s="16"/>
      <c r="B73" s="40" t="s">
        <v>64</v>
      </c>
      <c r="C73" s="17">
        <v>10</v>
      </c>
      <c r="D73" s="33">
        <f>2.5/3.281</f>
        <v>0.76196281621456874</v>
      </c>
      <c r="E73" s="33">
        <v>3.54</v>
      </c>
      <c r="F73" s="33">
        <f>PRODUCT(C73:E73)</f>
        <v>26.973483693995735</v>
      </c>
      <c r="G73" s="33">
        <f>F73</f>
        <v>26.973483693995735</v>
      </c>
      <c r="H73" s="17"/>
      <c r="I73" s="17"/>
      <c r="J73" s="17"/>
      <c r="K73" s="17"/>
      <c r="M73" s="36"/>
      <c r="N73" s="36"/>
      <c r="O73" s="36"/>
      <c r="P73" s="36"/>
    </row>
    <row r="74" spans="1:16" ht="15" customHeight="1" x14ac:dyDescent="0.25">
      <c r="A74" s="2"/>
      <c r="B74" s="34" t="s">
        <v>16</v>
      </c>
      <c r="C74" s="3"/>
      <c r="D74" s="4"/>
      <c r="E74" s="5"/>
      <c r="F74" s="5"/>
      <c r="G74" s="6">
        <f>SUM(G72:G73)</f>
        <v>50.673575129533674</v>
      </c>
      <c r="H74" s="7" t="s">
        <v>65</v>
      </c>
      <c r="I74" s="6">
        <v>182.51</v>
      </c>
      <c r="J74" s="18">
        <f>G74*I74</f>
        <v>9248.4341968911904</v>
      </c>
      <c r="K74" s="5"/>
    </row>
    <row r="75" spans="1:16" x14ac:dyDescent="0.25">
      <c r="A75" s="16"/>
      <c r="B75" s="32" t="s">
        <v>23</v>
      </c>
      <c r="C75" s="17"/>
      <c r="D75" s="17"/>
      <c r="E75" s="17"/>
      <c r="F75" s="17"/>
      <c r="G75" s="17"/>
      <c r="H75" s="17"/>
      <c r="I75" s="17"/>
      <c r="J75" s="18">
        <f>0.13*G74*(1871.42/18.94)</f>
        <v>650.90287518260561</v>
      </c>
      <c r="K75" s="17"/>
    </row>
    <row r="76" spans="1:16" x14ac:dyDescent="0.25">
      <c r="A76" s="16"/>
      <c r="B76" s="17"/>
      <c r="C76" s="17"/>
      <c r="D76" s="17"/>
      <c r="E76" s="17"/>
      <c r="F76" s="17"/>
      <c r="G76" s="17"/>
      <c r="H76" s="17"/>
      <c r="I76" s="17"/>
      <c r="J76" s="17"/>
      <c r="K76" s="17"/>
    </row>
    <row r="77" spans="1:16" ht="30" x14ac:dyDescent="0.25">
      <c r="A77" s="2">
        <v>10</v>
      </c>
      <c r="B77" s="1" t="s">
        <v>66</v>
      </c>
      <c r="C77" s="3">
        <v>1</v>
      </c>
      <c r="D77" s="4"/>
      <c r="E77" s="5"/>
      <c r="F77" s="5"/>
      <c r="G77" s="7">
        <f t="shared" ref="G77" si="7">PRODUCT(C77:F77)</f>
        <v>1</v>
      </c>
      <c r="H77" s="7" t="s">
        <v>67</v>
      </c>
      <c r="I77" s="6">
        <v>7000</v>
      </c>
      <c r="J77" s="7">
        <f>G77*I77</f>
        <v>7000</v>
      </c>
      <c r="K77" s="5"/>
    </row>
    <row r="78" spans="1:16" x14ac:dyDescent="0.25">
      <c r="A78" s="2"/>
      <c r="B78" s="8"/>
      <c r="C78" s="3"/>
      <c r="D78" s="4"/>
      <c r="E78" s="5"/>
      <c r="F78" s="5"/>
      <c r="G78" s="6"/>
      <c r="H78" s="7"/>
      <c r="I78" s="6"/>
      <c r="J78" s="18"/>
      <c r="K78" s="5"/>
    </row>
    <row r="79" spans="1:16" ht="15" customHeight="1" x14ac:dyDescent="0.25">
      <c r="A79" s="2">
        <v>11</v>
      </c>
      <c r="B79" s="1" t="s">
        <v>18</v>
      </c>
      <c r="C79" s="3">
        <v>1</v>
      </c>
      <c r="D79" s="4"/>
      <c r="E79" s="5"/>
      <c r="F79" s="5"/>
      <c r="G79" s="7">
        <f t="shared" ref="G79" si="8">PRODUCT(C79:F79)</f>
        <v>1</v>
      </c>
      <c r="H79" s="7" t="s">
        <v>19</v>
      </c>
      <c r="I79" s="6">
        <v>500</v>
      </c>
      <c r="J79" s="7">
        <f>G79*I79</f>
        <v>500</v>
      </c>
      <c r="K79" s="5"/>
    </row>
    <row r="80" spans="1:16" x14ac:dyDescent="0.25">
      <c r="A80" s="2"/>
      <c r="B80" s="8"/>
      <c r="C80" s="3"/>
      <c r="D80" s="4"/>
      <c r="E80" s="5"/>
      <c r="F80" s="5"/>
      <c r="G80" s="6"/>
      <c r="H80" s="7"/>
      <c r="I80" s="6"/>
      <c r="J80" s="18"/>
      <c r="K80" s="5"/>
    </row>
    <row r="81" spans="1:19" x14ac:dyDescent="0.25">
      <c r="A81" s="21"/>
      <c r="B81" s="22" t="s">
        <v>21</v>
      </c>
      <c r="C81" s="23"/>
      <c r="D81" s="24"/>
      <c r="E81" s="24"/>
      <c r="F81" s="24"/>
      <c r="G81" s="18"/>
      <c r="H81" s="18"/>
      <c r="I81" s="18"/>
      <c r="J81" s="18">
        <f>SUM(J10:J79)</f>
        <v>569007.79144636379</v>
      </c>
      <c r="K81" s="25"/>
    </row>
    <row r="82" spans="1:19" x14ac:dyDescent="0.25">
      <c r="M82" s="20"/>
      <c r="N82" s="20"/>
      <c r="O82" s="20"/>
      <c r="P82" s="20"/>
      <c r="Q82" s="20"/>
      <c r="R82" s="20"/>
      <c r="S82" s="20"/>
    </row>
    <row r="83" spans="1:19" s="20" customFormat="1" x14ac:dyDescent="0.25">
      <c r="A83" s="26"/>
      <c r="B83" s="27" t="s">
        <v>20</v>
      </c>
      <c r="C83" s="65">
        <f>J81</f>
        <v>569007.79144636379</v>
      </c>
      <c r="D83" s="66"/>
      <c r="E83" s="9">
        <v>100</v>
      </c>
      <c r="F83" s="26"/>
      <c r="G83" s="28"/>
      <c r="H83" s="26"/>
      <c r="I83" s="29"/>
      <c r="J83" s="30"/>
      <c r="K83" s="31"/>
      <c r="M83" s="19"/>
      <c r="N83" s="19"/>
      <c r="O83" s="19"/>
      <c r="P83" s="19"/>
      <c r="Q83" s="19"/>
      <c r="R83" s="19"/>
      <c r="S83" s="19"/>
    </row>
    <row r="84" spans="1:19" x14ac:dyDescent="0.25">
      <c r="B84" s="27" t="s">
        <v>24</v>
      </c>
      <c r="C84" s="69">
        <v>500000</v>
      </c>
      <c r="D84" s="70"/>
      <c r="E84" s="9"/>
    </row>
    <row r="85" spans="1:19" x14ac:dyDescent="0.25">
      <c r="B85" s="27" t="s">
        <v>25</v>
      </c>
      <c r="C85" s="69">
        <f>C84-C87-C88</f>
        <v>475000</v>
      </c>
      <c r="D85" s="70"/>
      <c r="E85" s="9">
        <f>C85/C83*100</f>
        <v>83.47864601161173</v>
      </c>
    </row>
    <row r="86" spans="1:19" x14ac:dyDescent="0.25">
      <c r="B86" s="27" t="s">
        <v>40</v>
      </c>
      <c r="C86" s="71">
        <f>C83-C85</f>
        <v>94007.791446363786</v>
      </c>
      <c r="D86" s="71"/>
      <c r="E86" s="9">
        <f>100-E85</f>
        <v>16.52135398838827</v>
      </c>
    </row>
    <row r="87" spans="1:19" x14ac:dyDescent="0.25">
      <c r="B87" s="27" t="s">
        <v>26</v>
      </c>
      <c r="C87" s="65">
        <f>C84*0.03</f>
        <v>15000</v>
      </c>
      <c r="D87" s="66"/>
      <c r="E87" s="9">
        <v>3</v>
      </c>
    </row>
    <row r="88" spans="1:19" x14ac:dyDescent="0.25">
      <c r="B88" s="27" t="s">
        <v>27</v>
      </c>
      <c r="C88" s="65">
        <f>C84*0.02</f>
        <v>10000</v>
      </c>
      <c r="D88" s="66"/>
      <c r="E88" s="9">
        <v>2</v>
      </c>
    </row>
  </sheetData>
  <mergeCells count="15">
    <mergeCell ref="A6:F6"/>
    <mergeCell ref="H6:K6"/>
    <mergeCell ref="A1:K1"/>
    <mergeCell ref="A2:K2"/>
    <mergeCell ref="A3:K3"/>
    <mergeCell ref="A4:K4"/>
    <mergeCell ref="A5:K5"/>
    <mergeCell ref="C87:D87"/>
    <mergeCell ref="C88:D88"/>
    <mergeCell ref="A7:F7"/>
    <mergeCell ref="H7:K7"/>
    <mergeCell ref="C83:D83"/>
    <mergeCell ref="C84:D84"/>
    <mergeCell ref="C85:D85"/>
    <mergeCell ref="C86:D8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B66D3-EA0D-4D89-BE16-2F9B8B0286E8}">
  <dimension ref="A1:M55"/>
  <sheetViews>
    <sheetView view="pageBreakPreview" zoomScaleNormal="100" zoomScaleSheetLayoutView="100" workbookViewId="0">
      <selection activeCell="I10" sqref="I10"/>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80" t="s">
        <v>0</v>
      </c>
      <c r="B1" s="80"/>
      <c r="C1" s="80"/>
      <c r="D1" s="80"/>
      <c r="E1" s="80"/>
      <c r="F1" s="80"/>
      <c r="G1" s="80"/>
      <c r="H1" s="80"/>
      <c r="I1" s="80"/>
      <c r="J1" s="80"/>
      <c r="K1" s="80"/>
    </row>
    <row r="2" spans="1:13" ht="25.5" x14ac:dyDescent="0.35">
      <c r="A2" s="81" t="s">
        <v>1</v>
      </c>
      <c r="B2" s="81"/>
      <c r="C2" s="81"/>
      <c r="D2" s="81"/>
      <c r="E2" s="81"/>
      <c r="F2" s="81"/>
      <c r="G2" s="81"/>
      <c r="H2" s="81"/>
      <c r="I2" s="81"/>
      <c r="J2" s="81"/>
      <c r="K2" s="81"/>
    </row>
    <row r="3" spans="1:13" s="43" customFormat="1" x14ac:dyDescent="0.25">
      <c r="A3" s="82" t="s">
        <v>2</v>
      </c>
      <c r="B3" s="82"/>
      <c r="C3" s="82"/>
      <c r="D3" s="82"/>
      <c r="E3" s="82"/>
      <c r="F3" s="82"/>
      <c r="G3" s="82"/>
      <c r="H3" s="82"/>
      <c r="I3" s="82"/>
      <c r="J3" s="82"/>
      <c r="K3" s="82"/>
    </row>
    <row r="4" spans="1:13" s="43" customFormat="1" x14ac:dyDescent="0.25">
      <c r="A4" s="82" t="s">
        <v>3</v>
      </c>
      <c r="B4" s="82"/>
      <c r="C4" s="82"/>
      <c r="D4" s="82"/>
      <c r="E4" s="82"/>
      <c r="F4" s="82"/>
      <c r="G4" s="82"/>
      <c r="H4" s="82"/>
      <c r="I4" s="82"/>
      <c r="J4" s="82"/>
      <c r="K4" s="82"/>
    </row>
    <row r="5" spans="1:13" ht="18.75" x14ac:dyDescent="0.3">
      <c r="A5" s="83" t="s">
        <v>69</v>
      </c>
      <c r="B5" s="83"/>
      <c r="C5" s="83"/>
      <c r="D5" s="83"/>
      <c r="E5" s="83"/>
      <c r="F5" s="83"/>
      <c r="G5" s="83"/>
      <c r="H5" s="83"/>
      <c r="I5" s="83"/>
      <c r="J5" s="83"/>
      <c r="K5" s="83"/>
    </row>
    <row r="6" spans="1:13" ht="18.75" x14ac:dyDescent="0.3">
      <c r="A6" s="44" t="s">
        <v>70</v>
      </c>
      <c r="B6" s="44"/>
      <c r="C6" s="78">
        <f>F55</f>
        <v>569007.79144636379</v>
      </c>
      <c r="D6" s="79"/>
      <c r="E6" s="45"/>
      <c r="F6" s="44"/>
      <c r="G6" s="44"/>
      <c r="H6" s="44" t="s">
        <v>71</v>
      </c>
      <c r="I6" s="44"/>
      <c r="J6" s="78">
        <f>I55</f>
        <v>569089.07039927552</v>
      </c>
      <c r="K6" s="79"/>
    </row>
    <row r="7" spans="1:13" x14ac:dyDescent="0.25">
      <c r="A7" s="46" t="s">
        <v>72</v>
      </c>
      <c r="B7" s="46"/>
      <c r="C7" s="46"/>
      <c r="D7" s="46"/>
      <c r="F7" s="84"/>
      <c r="G7" s="84"/>
      <c r="I7" s="85" t="s">
        <v>73</v>
      </c>
      <c r="J7" s="85"/>
      <c r="K7" s="85"/>
    </row>
    <row r="8" spans="1:13" ht="18" customHeight="1" x14ac:dyDescent="0.25">
      <c r="A8" s="72" t="s">
        <v>82</v>
      </c>
      <c r="B8" s="72"/>
      <c r="C8" s="72"/>
      <c r="D8" s="72"/>
      <c r="E8" s="72"/>
      <c r="F8" s="72"/>
      <c r="I8" s="86" t="s">
        <v>74</v>
      </c>
      <c r="J8" s="86"/>
      <c r="K8" s="86"/>
    </row>
    <row r="9" spans="1:13" x14ac:dyDescent="0.25">
      <c r="A9" s="87" t="str">
        <f>[7]estimate!A7</f>
        <v>Location:- Shankharapur Municipality 1</v>
      </c>
      <c r="B9" s="87"/>
      <c r="C9" s="87"/>
      <c r="D9" s="87"/>
      <c r="E9" s="87"/>
      <c r="F9" s="87"/>
      <c r="I9" s="86" t="s">
        <v>87</v>
      </c>
      <c r="J9" s="86"/>
      <c r="K9" s="86"/>
    </row>
    <row r="11" spans="1:13" x14ac:dyDescent="0.25">
      <c r="A11" s="89" t="s">
        <v>75</v>
      </c>
      <c r="B11" s="89" t="s">
        <v>76</v>
      </c>
      <c r="C11" s="89" t="s">
        <v>12</v>
      </c>
      <c r="D11" s="90" t="s">
        <v>77</v>
      </c>
      <c r="E11" s="90"/>
      <c r="F11" s="90"/>
      <c r="G11" s="90" t="s">
        <v>78</v>
      </c>
      <c r="H11" s="90"/>
      <c r="I11" s="90"/>
      <c r="J11" s="89" t="s">
        <v>79</v>
      </c>
      <c r="K11" s="88" t="s">
        <v>80</v>
      </c>
    </row>
    <row r="12" spans="1:13" x14ac:dyDescent="0.25">
      <c r="A12" s="89"/>
      <c r="B12" s="89"/>
      <c r="C12" s="89"/>
      <c r="D12" s="47" t="s">
        <v>81</v>
      </c>
      <c r="E12" s="47" t="s">
        <v>13</v>
      </c>
      <c r="F12" s="47" t="s">
        <v>14</v>
      </c>
      <c r="G12" s="47" t="s">
        <v>81</v>
      </c>
      <c r="H12" s="47" t="s">
        <v>13</v>
      </c>
      <c r="I12" s="47" t="s">
        <v>14</v>
      </c>
      <c r="J12" s="89"/>
      <c r="K12" s="88"/>
    </row>
    <row r="13" spans="1:13" s="43" customFormat="1" ht="126.75" customHeight="1" x14ac:dyDescent="0.25">
      <c r="A13" s="48">
        <f>estimate!A9</f>
        <v>1</v>
      </c>
      <c r="B13" s="49" t="str">
        <f>estimate!B9</f>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
      <c r="C13" s="50" t="str">
        <f>estimate!H14</f>
        <v>m3</v>
      </c>
      <c r="D13" s="50">
        <f>estimate!G14</f>
        <v>9.9652264553489776</v>
      </c>
      <c r="E13" s="50">
        <f>estimate!I14</f>
        <v>748.9</v>
      </c>
      <c r="F13" s="50">
        <f>D13*E13</f>
        <v>7462.9580924108486</v>
      </c>
      <c r="G13" s="50">
        <f>V!G21</f>
        <v>11.854446675724136</v>
      </c>
      <c r="H13" s="50">
        <f>V!I21</f>
        <v>748.9</v>
      </c>
      <c r="I13" s="50">
        <f>G13*H13</f>
        <v>8877.7951154498041</v>
      </c>
      <c r="J13" s="51">
        <f>I13-F13</f>
        <v>1414.8370230389555</v>
      </c>
      <c r="K13" s="52"/>
      <c r="M13" s="43">
        <f>1.25*F13</f>
        <v>9328.6976155135599</v>
      </c>
    </row>
    <row r="14" spans="1:13" s="43" customFormat="1" x14ac:dyDescent="0.25">
      <c r="A14" s="53"/>
      <c r="B14" s="54"/>
      <c r="C14" s="50"/>
      <c r="D14" s="50"/>
      <c r="E14" s="50"/>
      <c r="F14" s="50"/>
      <c r="G14" s="50"/>
      <c r="H14" s="50"/>
      <c r="I14" s="50"/>
      <c r="J14" s="51"/>
      <c r="K14" s="52"/>
    </row>
    <row r="15" spans="1:13" s="43" customFormat="1" ht="126.75" customHeight="1" x14ac:dyDescent="0.25">
      <c r="A15" s="48">
        <f>estimate!A16</f>
        <v>2</v>
      </c>
      <c r="B15" s="49" t="str">
        <f>estimate!B16</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5" s="50" t="str">
        <f>estimate!H18</f>
        <v>m3</v>
      </c>
      <c r="D15" s="50">
        <f>estimate!G18</f>
        <v>8.8006705272782693</v>
      </c>
      <c r="E15" s="50">
        <f>estimate!I18</f>
        <v>62.95</v>
      </c>
      <c r="F15" s="50">
        <f>D15*E15</f>
        <v>554.00220969216707</v>
      </c>
      <c r="G15" s="50">
        <f>V!G25</f>
        <v>10.909769887229503</v>
      </c>
      <c r="H15" s="50">
        <f>V!I25</f>
        <v>62.95</v>
      </c>
      <c r="I15" s="50">
        <f>G15*H15</f>
        <v>686.77001440109723</v>
      </c>
      <c r="J15" s="51">
        <f>I15-F15</f>
        <v>132.76780470893016</v>
      </c>
      <c r="K15" s="52"/>
      <c r="M15" s="43">
        <f t="shared" ref="M15:M29" si="0">1.25*F15</f>
        <v>692.50276211520884</v>
      </c>
    </row>
    <row r="16" spans="1:13" s="43" customFormat="1" x14ac:dyDescent="0.25">
      <c r="A16" s="48"/>
      <c r="B16" s="40" t="str">
        <f>estimate!B19</f>
        <v>-13% VAT for materials</v>
      </c>
      <c r="C16" s="50"/>
      <c r="D16" s="50"/>
      <c r="E16" s="50"/>
      <c r="F16" s="50">
        <f>estimate!J19</f>
        <v>59.149306613837254</v>
      </c>
      <c r="G16" s="50"/>
      <c r="H16" s="50"/>
      <c r="I16" s="50">
        <f>V!J26</f>
        <v>73.324563412069494</v>
      </c>
      <c r="J16" s="51">
        <f>I16-F16</f>
        <v>14.17525679823224</v>
      </c>
      <c r="K16" s="52"/>
    </row>
    <row r="17" spans="1:13" s="43" customFormat="1" ht="15.75" x14ac:dyDescent="0.25">
      <c r="A17" s="48"/>
      <c r="B17" s="55"/>
      <c r="C17" s="50"/>
      <c r="D17" s="50"/>
      <c r="E17" s="50"/>
      <c r="F17" s="50"/>
      <c r="G17" s="50"/>
      <c r="H17" s="50"/>
      <c r="I17" s="50"/>
      <c r="J17" s="51"/>
      <c r="K17" s="52"/>
    </row>
    <row r="18" spans="1:13" s="43" customFormat="1" ht="78.75" x14ac:dyDescent="0.25">
      <c r="A18" s="48">
        <f>estimate!A21</f>
        <v>3</v>
      </c>
      <c r="B18" s="55" t="str">
        <f>estimate!B21</f>
        <v>Providing and laying of hand pack locally available Stone soling with 150 to 200 mm thick stones and packing with smaller stone on prepared surface as per Drawing and Technical Specifications.</v>
      </c>
      <c r="C18" s="50" t="str">
        <f>estimate!H26</f>
        <v>m3</v>
      </c>
      <c r="D18" s="50">
        <f>estimate!G26</f>
        <v>11.587360560804632</v>
      </c>
      <c r="E18" s="50">
        <f>estimate!I26</f>
        <v>4458.5200000000004</v>
      </c>
      <c r="F18" s="50">
        <f>D18*E18</f>
        <v>51662.478807558669</v>
      </c>
      <c r="G18" s="50">
        <f>V!G40</f>
        <v>10.57716399395223</v>
      </c>
      <c r="H18" s="50">
        <f>V!I40</f>
        <v>4458.5200000000004</v>
      </c>
      <c r="I18" s="50">
        <f>G18*H18</f>
        <v>47158.497210315902</v>
      </c>
      <c r="J18" s="51">
        <f>I18-F18</f>
        <v>-4503.9815972427677</v>
      </c>
      <c r="K18" s="52"/>
      <c r="M18" s="43">
        <f t="shared" ref="M18:M19" si="1">1.25*F18</f>
        <v>64578.098509448333</v>
      </c>
    </row>
    <row r="19" spans="1:13" s="43" customFormat="1" ht="15.75" x14ac:dyDescent="0.25">
      <c r="A19" s="48"/>
      <c r="B19" s="56" t="str">
        <f>estimate!B27</f>
        <v>-13% VAT for materials</v>
      </c>
      <c r="C19" s="50"/>
      <c r="D19" s="50"/>
      <c r="E19" s="50"/>
      <c r="F19" s="50">
        <f>estimate!J27</f>
        <v>4464.118719990247</v>
      </c>
      <c r="G19" s="50"/>
      <c r="H19" s="50"/>
      <c r="I19" s="50">
        <f>V!J41</f>
        <v>4074.9328151164509</v>
      </c>
      <c r="J19" s="51">
        <f>I19-F19</f>
        <v>-389.18590487379606</v>
      </c>
      <c r="K19" s="52"/>
      <c r="M19" s="43">
        <f t="shared" si="1"/>
        <v>5580.1483999878092</v>
      </c>
    </row>
    <row r="20" spans="1:13" s="43" customFormat="1" ht="15.75" x14ac:dyDescent="0.25">
      <c r="A20" s="48"/>
      <c r="B20" s="56"/>
      <c r="C20" s="50"/>
      <c r="D20" s="50"/>
      <c r="E20" s="50"/>
      <c r="F20" s="50"/>
      <c r="G20" s="50"/>
      <c r="H20" s="50"/>
      <c r="I20" s="50"/>
      <c r="J20" s="51"/>
      <c r="K20" s="52"/>
    </row>
    <row r="21" spans="1:13" s="43" customFormat="1" ht="63" x14ac:dyDescent="0.25">
      <c r="A21" s="48">
        <f>estimate!A29</f>
        <v>4</v>
      </c>
      <c r="B21" s="55" t="str">
        <f>estimate!B29</f>
        <v>Providing and laying of Plain/Reinforced Cement Concrete in Foundation complete as per Drawing and Technical Specifications, PCC Grade M 15</v>
      </c>
      <c r="C21" s="50" t="str">
        <f>estimate!H36</f>
        <v>m3</v>
      </c>
      <c r="D21" s="50">
        <f>estimate!G36</f>
        <v>4.2734779030783301</v>
      </c>
      <c r="E21" s="50">
        <f>estimate!I36</f>
        <v>10964.46</v>
      </c>
      <c r="F21" s="50">
        <f>D21*E21</f>
        <v>46856.377529186226</v>
      </c>
      <c r="G21" s="50">
        <f>V!G66</f>
        <v>3.981674887589004</v>
      </c>
      <c r="H21" s="50">
        <f>V!I66</f>
        <v>10964.46</v>
      </c>
      <c r="I21" s="50">
        <f>G21*H21</f>
        <v>43656.915037974126</v>
      </c>
      <c r="J21" s="51">
        <f>I21-F21</f>
        <v>-3199.4624912120998</v>
      </c>
      <c r="K21" s="52"/>
      <c r="M21" s="43">
        <f t="shared" si="0"/>
        <v>58570.471911482782</v>
      </c>
    </row>
    <row r="22" spans="1:13" s="43" customFormat="1" ht="15.75" x14ac:dyDescent="0.25">
      <c r="A22" s="48"/>
      <c r="B22" s="56" t="str">
        <f>estimate!B37</f>
        <v>-13% VAT for cement</v>
      </c>
      <c r="C22" s="50"/>
      <c r="D22" s="50"/>
      <c r="E22" s="50"/>
      <c r="F22" s="50">
        <f>estimate!J37</f>
        <v>1993.2480705991243</v>
      </c>
      <c r="G22" s="50"/>
      <c r="H22" s="50"/>
      <c r="I22" s="50">
        <f>V!J67</f>
        <v>1857.1444541044341</v>
      </c>
      <c r="J22" s="51">
        <f>I22-F22</f>
        <v>-136.10361649469019</v>
      </c>
      <c r="K22" s="52"/>
      <c r="M22" s="43">
        <f t="shared" si="0"/>
        <v>2491.5600882489052</v>
      </c>
    </row>
    <row r="23" spans="1:13" s="43" customFormat="1" ht="15.75" x14ac:dyDescent="0.25">
      <c r="A23" s="48"/>
      <c r="B23" s="56" t="str">
        <f>estimate!B38</f>
        <v>-13% VAT for sand</v>
      </c>
      <c r="C23" s="50"/>
      <c r="D23" s="50"/>
      <c r="E23" s="50"/>
      <c r="F23" s="50">
        <f>estimate!J38</f>
        <v>793.79510171447725</v>
      </c>
      <c r="G23" s="50"/>
      <c r="H23" s="50"/>
      <c r="I23" s="50">
        <f>V!J68</f>
        <v>739.59292502974733</v>
      </c>
      <c r="J23" s="51">
        <f t="shared" ref="J23:J26" si="2">I23-F23</f>
        <v>-54.20217668472992</v>
      </c>
      <c r="K23" s="52"/>
    </row>
    <row r="24" spans="1:13" s="43" customFormat="1" ht="15.75" x14ac:dyDescent="0.25">
      <c r="A24" s="48"/>
      <c r="B24" s="56" t="str">
        <f>estimate!B39</f>
        <v>-13% VAT for aggregate</v>
      </c>
      <c r="C24" s="50"/>
      <c r="D24" s="50"/>
      <c r="E24" s="50"/>
      <c r="F24" s="50">
        <f>estimate!J39</f>
        <v>1614.0500401527704</v>
      </c>
      <c r="G24" s="50"/>
      <c r="H24" s="50"/>
      <c r="I24" s="50">
        <f>V!J69</f>
        <v>1503.8389475604863</v>
      </c>
      <c r="J24" s="51">
        <f t="shared" si="2"/>
        <v>-110.2110925922841</v>
      </c>
      <c r="K24" s="52"/>
    </row>
    <row r="25" spans="1:13" s="43" customFormat="1" ht="15.75" x14ac:dyDescent="0.25">
      <c r="A25" s="48"/>
      <c r="B25" s="56" t="str">
        <f>estimate!B40</f>
        <v>-13% VAT for formworks</v>
      </c>
      <c r="C25" s="50"/>
      <c r="D25" s="50"/>
      <c r="E25" s="50"/>
      <c r="F25" s="50">
        <f>estimate!J40</f>
        <v>234.28373948635578</v>
      </c>
      <c r="G25" s="50"/>
      <c r="H25" s="50"/>
      <c r="I25" s="50">
        <f>V!J70</f>
        <v>218.28630058232193</v>
      </c>
      <c r="J25" s="51">
        <f t="shared" si="2"/>
        <v>-15.997438904033856</v>
      </c>
      <c r="K25" s="52"/>
    </row>
    <row r="26" spans="1:13" s="43" customFormat="1" ht="15.75" x14ac:dyDescent="0.25">
      <c r="A26" s="48"/>
      <c r="B26" s="56" t="str">
        <f>estimate!B41</f>
        <v>-13% VAT for water</v>
      </c>
      <c r="C26" s="50"/>
      <c r="D26" s="50"/>
      <c r="E26" s="50"/>
      <c r="F26" s="50">
        <f>estimate!J41</f>
        <v>34.444231898811339</v>
      </c>
      <c r="G26" s="50"/>
      <c r="H26" s="50"/>
      <c r="I26" s="50">
        <f>V!J71</f>
        <v>32.092299593967375</v>
      </c>
      <c r="J26" s="51">
        <f t="shared" si="2"/>
        <v>-2.3519323048439631</v>
      </c>
      <c r="K26" s="52"/>
    </row>
    <row r="27" spans="1:13" s="43" customFormat="1" x14ac:dyDescent="0.25">
      <c r="A27" s="53"/>
      <c r="B27" s="54"/>
      <c r="C27" s="50"/>
      <c r="D27" s="50"/>
      <c r="E27" s="50"/>
      <c r="F27" s="50"/>
      <c r="G27" s="50"/>
      <c r="H27" s="50"/>
      <c r="I27" s="50"/>
      <c r="J27" s="51"/>
      <c r="K27" s="52"/>
    </row>
    <row r="28" spans="1:13" s="43" customFormat="1" ht="78.75" x14ac:dyDescent="0.25">
      <c r="A28" s="48">
        <f>estimate!A43</f>
        <v>5</v>
      </c>
      <c r="B28" s="55" t="str">
        <f>estimate!B43</f>
        <v>Random Rubble Masonry, Providing and laying of Stone Masonry Work in Cement Mortar 1:6 in Foundation complete as per Drawing and Technical Specifications., Using Concrete Mixer</v>
      </c>
      <c r="C28" s="50" t="str">
        <f>estimate!H45</f>
        <v>m3</v>
      </c>
      <c r="D28" s="50">
        <f>estimate!G45</f>
        <v>27.868790003047852</v>
      </c>
      <c r="E28" s="50">
        <f>estimate!I45</f>
        <v>8987.83</v>
      </c>
      <c r="F28" s="50">
        <f>D28*E28</f>
        <v>250479.94685309357</v>
      </c>
      <c r="G28" s="50">
        <f>V!G78</f>
        <v>28.561538258082177</v>
      </c>
      <c r="H28" s="50">
        <f>V!I78</f>
        <v>8987.83</v>
      </c>
      <c r="I28" s="50">
        <f>G28*H28</f>
        <v>256706.25040213871</v>
      </c>
      <c r="J28" s="51">
        <f>I28-F28</f>
        <v>6226.3035490451439</v>
      </c>
      <c r="K28" s="52"/>
      <c r="M28" s="43">
        <f t="shared" si="0"/>
        <v>313099.93356636696</v>
      </c>
    </row>
    <row r="29" spans="1:13" s="43" customFormat="1" ht="15.75" x14ac:dyDescent="0.25">
      <c r="A29" s="48"/>
      <c r="B29" s="56" t="str">
        <f>estimate!B46</f>
        <v>-13% VAT for cement</v>
      </c>
      <c r="C29" s="50"/>
      <c r="D29" s="50"/>
      <c r="E29" s="50"/>
      <c r="F29" s="50">
        <f>estimate!J46</f>
        <v>4248.950969597684</v>
      </c>
      <c r="G29" s="50"/>
      <c r="H29" s="50"/>
      <c r="I29" s="50">
        <f>V!J79</f>
        <v>4354.5692389805054</v>
      </c>
      <c r="J29" s="51">
        <f>I29-F29</f>
        <v>105.61826938282138</v>
      </c>
      <c r="K29" s="52"/>
      <c r="M29" s="43">
        <f t="shared" si="0"/>
        <v>5311.1887119971052</v>
      </c>
    </row>
    <row r="30" spans="1:13" s="43" customFormat="1" ht="15.75" x14ac:dyDescent="0.25">
      <c r="A30" s="48"/>
      <c r="B30" s="56" t="str">
        <f>estimate!B47</f>
        <v>-13% VAT for sand</v>
      </c>
      <c r="C30" s="50"/>
      <c r="D30" s="50"/>
      <c r="E30" s="50"/>
      <c r="F30" s="50">
        <f>estimate!J47</f>
        <v>4785.4841475160019</v>
      </c>
      <c r="G30" s="50"/>
      <c r="H30" s="50"/>
      <c r="I30" s="50">
        <f>V!J80</f>
        <v>4904.4392866635417</v>
      </c>
      <c r="J30" s="51">
        <f t="shared" ref="J30:J32" si="3">I30-F30</f>
        <v>118.95513914753974</v>
      </c>
      <c r="K30" s="52"/>
    </row>
    <row r="31" spans="1:13" s="43" customFormat="1" ht="15.75" x14ac:dyDescent="0.25">
      <c r="A31" s="48"/>
      <c r="B31" s="56" t="str">
        <f>estimate!B48</f>
        <v>-13% VAT for stone</v>
      </c>
      <c r="C31" s="50"/>
      <c r="D31" s="50"/>
      <c r="E31" s="50"/>
      <c r="F31" s="50">
        <f>estimate!J48</f>
        <v>10730.272280554711</v>
      </c>
      <c r="G31" s="50"/>
      <c r="H31" s="50"/>
      <c r="I31" s="50">
        <f>V!J81</f>
        <v>10996.999949663577</v>
      </c>
      <c r="J31" s="51">
        <f t="shared" si="3"/>
        <v>266.72766910886639</v>
      </c>
      <c r="K31" s="52"/>
    </row>
    <row r="32" spans="1:13" s="43" customFormat="1" ht="15.75" x14ac:dyDescent="0.25">
      <c r="A32" s="48"/>
      <c r="B32" s="56" t="str">
        <f>estimate!B49</f>
        <v>-13% VAT for water</v>
      </c>
      <c r="C32" s="50"/>
      <c r="D32" s="50"/>
      <c r="E32" s="50"/>
      <c r="F32" s="50">
        <f>estimate!J49</f>
        <v>224.62244742456568</v>
      </c>
      <c r="G32" s="50"/>
      <c r="H32" s="50"/>
      <c r="I32" s="50">
        <f>V!J82</f>
        <v>230.20599836014236</v>
      </c>
      <c r="J32" s="51">
        <f t="shared" si="3"/>
        <v>5.5835509355766817</v>
      </c>
      <c r="K32" s="52"/>
    </row>
    <row r="33" spans="1:13" s="43" customFormat="1" x14ac:dyDescent="0.25">
      <c r="A33" s="53"/>
      <c r="B33" s="54"/>
      <c r="C33" s="50"/>
      <c r="D33" s="50"/>
      <c r="E33" s="50"/>
      <c r="F33" s="50"/>
      <c r="G33" s="50"/>
      <c r="H33" s="50"/>
      <c r="I33" s="50"/>
      <c r="J33" s="51"/>
      <c r="K33" s="52"/>
    </row>
    <row r="34" spans="1:13" s="43" customFormat="1" ht="60" x14ac:dyDescent="0.25">
      <c r="A34" s="48">
        <f>estimate!A51</f>
        <v>6</v>
      </c>
      <c r="B34" s="62" t="str">
        <f>estimate!B51</f>
        <v>dfn;fdfg pknAw u/L %) dL=dL= df]6f] x]eL 8o"6L OG6/nls+u s+lqm6Ans %) dL=dL=df]6fOsf] qm;/ 8:6 dfyL /fvL la5ofpg]] sfd k'/f .</v>
      </c>
      <c r="C34" s="50" t="str">
        <f>estimate!H53</f>
        <v>sqm</v>
      </c>
      <c r="D34" s="50">
        <f>estimate!G53</f>
        <v>51</v>
      </c>
      <c r="E34" s="50">
        <f>estimate!I53</f>
        <v>1754.28</v>
      </c>
      <c r="F34" s="50">
        <f>D34*E34</f>
        <v>89468.28</v>
      </c>
      <c r="G34" s="50">
        <f>V!G91</f>
        <v>52.114375463134515</v>
      </c>
      <c r="H34" s="50">
        <f>V!I91</f>
        <v>1754.28</v>
      </c>
      <c r="I34" s="50">
        <f>G34*H34</f>
        <v>91423.206587467619</v>
      </c>
      <c r="J34" s="51">
        <f>I34-F34</f>
        <v>1954.9265874676203</v>
      </c>
      <c r="K34" s="52"/>
      <c r="M34" s="43">
        <f t="shared" ref="M34:M35" si="4">1.25*F34</f>
        <v>111835.35</v>
      </c>
    </row>
    <row r="35" spans="1:13" s="43" customFormat="1" ht="15.75" x14ac:dyDescent="0.25">
      <c r="A35" s="48"/>
      <c r="B35" s="56" t="str">
        <f>estimate!B54</f>
        <v>-13% VAT for grey interlocking block</v>
      </c>
      <c r="C35" s="50"/>
      <c r="D35" s="50"/>
      <c r="E35" s="50"/>
      <c r="F35" s="50">
        <f>estimate!J54</f>
        <v>4002.1066799999999</v>
      </c>
      <c r="G35" s="50"/>
      <c r="H35" s="50"/>
      <c r="I35" s="50">
        <f>V!J92</f>
        <v>4089.5547091184067</v>
      </c>
      <c r="J35" s="51">
        <f>I35-F35</f>
        <v>87.448029118406794</v>
      </c>
      <c r="K35" s="52"/>
      <c r="M35" s="43">
        <f t="shared" si="4"/>
        <v>5002.6333500000001</v>
      </c>
    </row>
    <row r="36" spans="1:13" s="43" customFormat="1" ht="15.75" x14ac:dyDescent="0.25">
      <c r="A36" s="48"/>
      <c r="B36" s="56" t="str">
        <f>estimate!B55</f>
        <v>-13% VAT for stone dust (area*5cm)</v>
      </c>
      <c r="C36" s="50"/>
      <c r="D36" s="50"/>
      <c r="E36" s="50"/>
      <c r="F36" s="50">
        <f>estimate!J55</f>
        <v>22.53537</v>
      </c>
      <c r="G36" s="50"/>
      <c r="H36" s="50"/>
      <c r="I36" s="50">
        <f>V!J93</f>
        <v>23.027779085895251</v>
      </c>
      <c r="J36" s="51">
        <f t="shared" ref="J36:J37" si="5">I36-F36</f>
        <v>0.49240908589525034</v>
      </c>
      <c r="K36" s="52"/>
    </row>
    <row r="37" spans="1:13" s="43" customFormat="1" ht="15.75" x14ac:dyDescent="0.25">
      <c r="A37" s="48"/>
      <c r="B37" s="56" t="str">
        <f>estimate!B56</f>
        <v>-13% VAT for stone dust</v>
      </c>
      <c r="C37" s="50"/>
      <c r="D37" s="50"/>
      <c r="E37" s="50"/>
      <c r="F37" s="50">
        <f>estimate!J56</f>
        <v>581.74935000000005</v>
      </c>
      <c r="G37" s="50"/>
      <c r="H37" s="50"/>
      <c r="I37" s="50">
        <f>V!J94</f>
        <v>594.46086375165601</v>
      </c>
      <c r="J37" s="51">
        <f t="shared" si="5"/>
        <v>12.711513751655957</v>
      </c>
      <c r="K37" s="52"/>
    </row>
    <row r="38" spans="1:13" s="43" customFormat="1" x14ac:dyDescent="0.25">
      <c r="A38" s="53"/>
      <c r="B38" s="54"/>
      <c r="C38" s="50"/>
      <c r="D38" s="50"/>
      <c r="E38" s="50"/>
      <c r="F38" s="50"/>
      <c r="G38" s="50"/>
      <c r="H38" s="50"/>
      <c r="I38" s="50"/>
      <c r="J38" s="51"/>
      <c r="K38" s="52"/>
    </row>
    <row r="39" spans="1:13" s="43" customFormat="1" ht="30" x14ac:dyDescent="0.25">
      <c r="A39" s="48">
        <f>estimate!A58</f>
        <v>7</v>
      </c>
      <c r="B39" s="62" t="str">
        <f>estimate!B58</f>
        <v>e'O{+tNnfdf lrDgL e§fsf] O{+6fsf] uf/f] l;d]G6 d;nf -!M^_ df</v>
      </c>
      <c r="C39" s="50" t="str">
        <f>estimate!H60</f>
        <v>cum</v>
      </c>
      <c r="D39" s="50">
        <f>estimate!G60</f>
        <v>0.41400000000000003</v>
      </c>
      <c r="E39" s="50">
        <f>estimate!I60</f>
        <v>1754.28</v>
      </c>
      <c r="F39" s="50">
        <f>D39*E39</f>
        <v>726.27192000000002</v>
      </c>
      <c r="G39" s="50">
        <f>V!G99</f>
        <v>0.35071459920755871</v>
      </c>
      <c r="H39" s="50">
        <f>V!I99</f>
        <v>1754.28</v>
      </c>
      <c r="I39" s="50">
        <f>G39*H39</f>
        <v>615.25160709783609</v>
      </c>
      <c r="J39" s="51">
        <f>I39-F39</f>
        <v>-111.02031290216394</v>
      </c>
      <c r="K39" s="52"/>
      <c r="M39" s="43">
        <f t="shared" ref="M39:M40" si="6">1.25*F39</f>
        <v>907.83990000000006</v>
      </c>
    </row>
    <row r="40" spans="1:13" s="43" customFormat="1" ht="15.75" x14ac:dyDescent="0.25">
      <c r="A40" s="48"/>
      <c r="B40" s="56" t="str">
        <f>estimate!B61</f>
        <v>-13% VAT for brick</v>
      </c>
      <c r="C40" s="50"/>
      <c r="D40" s="50"/>
      <c r="E40" s="50"/>
      <c r="F40" s="50">
        <f>estimate!J61</f>
        <v>456.45818400000007</v>
      </c>
      <c r="G40" s="50"/>
      <c r="H40" s="50"/>
      <c r="I40" s="50">
        <f>V!J100</f>
        <v>386.68248564388915</v>
      </c>
      <c r="J40" s="51">
        <f>I40-F40</f>
        <v>-69.775698356110922</v>
      </c>
      <c r="K40" s="52"/>
      <c r="M40" s="43">
        <f t="shared" si="6"/>
        <v>570.57273000000009</v>
      </c>
    </row>
    <row r="41" spans="1:13" s="43" customFormat="1" ht="15.75" x14ac:dyDescent="0.25">
      <c r="A41" s="48"/>
      <c r="B41" s="56" t="str">
        <f>estimate!B62</f>
        <v>-13% VAT for cement</v>
      </c>
      <c r="C41" s="50"/>
      <c r="D41" s="50"/>
      <c r="E41" s="50"/>
      <c r="F41" s="50">
        <f>estimate!J62</f>
        <v>49.0929894</v>
      </c>
      <c r="G41" s="50"/>
      <c r="H41" s="50"/>
      <c r="I41" s="50">
        <f>V!J101</f>
        <v>41.588473674690647</v>
      </c>
      <c r="J41" s="51">
        <f t="shared" ref="J41" si="7">I41-F41</f>
        <v>-7.5045157253093535</v>
      </c>
      <c r="K41" s="52"/>
    </row>
    <row r="42" spans="1:13" s="43" customFormat="1" ht="15.75" x14ac:dyDescent="0.25">
      <c r="A42" s="48"/>
      <c r="B42" s="56" t="str">
        <f>estimate!B63</f>
        <v>-13% VAT for sand</v>
      </c>
      <c r="C42" s="50"/>
      <c r="D42" s="50"/>
      <c r="E42" s="50"/>
      <c r="F42" s="50">
        <f>estimate!J63</f>
        <v>51.310373400000003</v>
      </c>
      <c r="G42" s="50"/>
      <c r="H42" s="50"/>
      <c r="I42" s="50">
        <f>V!J102</f>
        <v>43.466901068046333</v>
      </c>
      <c r="J42" s="51">
        <f>I42-F42</f>
        <v>-7.8434723319536701</v>
      </c>
      <c r="K42" s="52"/>
    </row>
    <row r="43" spans="1:13" s="43" customFormat="1" ht="15.75" x14ac:dyDescent="0.25">
      <c r="A43" s="48"/>
      <c r="B43" s="56" t="str">
        <f>estimate!B64</f>
        <v>-13% VAT for water</v>
      </c>
      <c r="C43" s="50"/>
      <c r="D43" s="50"/>
      <c r="E43" s="50"/>
      <c r="F43" s="50">
        <f>estimate!J64</f>
        <v>1.5069600000000003</v>
      </c>
      <c r="G43" s="50"/>
      <c r="H43" s="50"/>
      <c r="I43" s="50">
        <f>V!J103</f>
        <v>1.2766011411155138</v>
      </c>
      <c r="J43" s="51">
        <f>I43-F43</f>
        <v>-0.23035885888448648</v>
      </c>
      <c r="K43" s="52"/>
    </row>
    <row r="44" spans="1:13" s="43" customFormat="1" x14ac:dyDescent="0.25">
      <c r="A44" s="53"/>
      <c r="B44" s="54"/>
      <c r="C44" s="50"/>
      <c r="D44" s="50"/>
      <c r="E44" s="50"/>
      <c r="F44" s="50"/>
      <c r="G44" s="50"/>
      <c r="H44" s="50"/>
      <c r="I44" s="50"/>
      <c r="J44" s="51"/>
      <c r="K44" s="52"/>
    </row>
    <row r="45" spans="1:13" s="43" customFormat="1" ht="105" x14ac:dyDescent="0.25">
      <c r="A45" s="48">
        <f>estimate!A66</f>
        <v>8</v>
      </c>
      <c r="B45" s="62" t="str">
        <f>estimate!B66</f>
        <v>%) dL=dL=Aof;sf] :6]Gn];l:6nsf] x\of08/]ndf @ ld6/sf] b"/Ldf %) dL=dL=Aof;sf] :6]Gn];l:6ns} 7f8f] kf]i6 /fvL x\of08/]n / e"O+sf] aLrdf tLg tx t];f]{ @% dL=dL=Aof;sf] :6]Gn];l:6nsf] d]Da/ /fvL @Ú–^Æ b]lv #Ú–)Æ ;Dd prfO{ ePsf] /]lnË pknAw u/fO{ h8fg u/L /+u ;d]t nufpg] sfd .</v>
      </c>
      <c r="C45" s="50" t="str">
        <f>estimate!H68</f>
        <v>rm</v>
      </c>
      <c r="D45" s="50">
        <f>estimate!G68</f>
        <v>15</v>
      </c>
      <c r="E45" s="50">
        <f>estimate!I68</f>
        <v>4132.8</v>
      </c>
      <c r="F45" s="50">
        <f>D45*E45</f>
        <v>61992</v>
      </c>
      <c r="G45" s="50">
        <f>V!G107</f>
        <v>14.9</v>
      </c>
      <c r="H45" s="50">
        <f>V!I107</f>
        <v>4132.8</v>
      </c>
      <c r="I45" s="50">
        <f>G45*H45</f>
        <v>61578.720000000001</v>
      </c>
      <c r="J45" s="51">
        <f>I45-F45</f>
        <v>-413.27999999999884</v>
      </c>
      <c r="K45" s="52"/>
      <c r="M45" s="43">
        <f t="shared" ref="M45:M46" si="8">1.25*F45</f>
        <v>77490</v>
      </c>
    </row>
    <row r="46" spans="1:13" s="43" customFormat="1" ht="15.75" x14ac:dyDescent="0.25">
      <c r="A46" s="48"/>
      <c r="B46" s="56" t="str">
        <f>estimate!B69</f>
        <v>-13% VAT for materials</v>
      </c>
      <c r="C46" s="50"/>
      <c r="D46" s="50"/>
      <c r="E46" s="50"/>
      <c r="F46" s="50">
        <f>estimate!J69</f>
        <v>8058.96</v>
      </c>
      <c r="G46" s="50"/>
      <c r="H46" s="50"/>
      <c r="I46" s="50">
        <f>V!J108</f>
        <v>8005.2336000000005</v>
      </c>
      <c r="J46" s="51">
        <f>I46-F46</f>
        <v>-53.726399999999558</v>
      </c>
      <c r="K46" s="52"/>
      <c r="M46" s="43">
        <f t="shared" si="8"/>
        <v>10073.700000000001</v>
      </c>
    </row>
    <row r="47" spans="1:13" s="43" customFormat="1" x14ac:dyDescent="0.25">
      <c r="A47" s="53"/>
      <c r="B47" s="54"/>
      <c r="C47" s="50"/>
      <c r="D47" s="50"/>
      <c r="E47" s="50"/>
      <c r="F47" s="50"/>
      <c r="G47" s="50"/>
      <c r="H47" s="50"/>
      <c r="I47" s="50"/>
      <c r="J47" s="51"/>
      <c r="K47" s="52"/>
    </row>
    <row r="48" spans="1:13" s="43" customFormat="1" ht="23.25" customHeight="1" x14ac:dyDescent="0.25">
      <c r="A48" s="48">
        <f>estimate!A71</f>
        <v>9</v>
      </c>
      <c r="B48" s="62" t="str">
        <f>estimate!B71</f>
        <v>sfnf] kmnfd] kfO{ksf] 6«; agfO{ h8fg ug]{ sfd</v>
      </c>
      <c r="C48" s="50" t="str">
        <f>estimate!H74</f>
        <v>Kg</v>
      </c>
      <c r="D48" s="50">
        <f>estimate!G74</f>
        <v>50.673575129533674</v>
      </c>
      <c r="E48" s="50">
        <f>estimate!I74</f>
        <v>182.51</v>
      </c>
      <c r="F48" s="50">
        <f>D48*E48</f>
        <v>9248.4341968911904</v>
      </c>
      <c r="G48" s="50">
        <f>V!G113</f>
        <v>44.610813776287713</v>
      </c>
      <c r="H48" s="50">
        <f>V!I113</f>
        <v>182.51</v>
      </c>
      <c r="I48" s="50">
        <f>G48*H48</f>
        <v>8141.9196223102699</v>
      </c>
      <c r="J48" s="51">
        <f>I48-F48</f>
        <v>-1106.5145745809205</v>
      </c>
      <c r="K48" s="52"/>
      <c r="M48" s="43">
        <f t="shared" ref="M48:M49" si="9">1.25*F48</f>
        <v>11560.542746113988</v>
      </c>
    </row>
    <row r="49" spans="1:13" s="43" customFormat="1" ht="15.75" x14ac:dyDescent="0.25">
      <c r="A49" s="48"/>
      <c r="B49" s="56" t="str">
        <f>estimate!B75</f>
        <v>-13% VAT for materials</v>
      </c>
      <c r="C49" s="50"/>
      <c r="D49" s="50"/>
      <c r="E49" s="50"/>
      <c r="F49" s="50">
        <f>estimate!J75</f>
        <v>650.90287518260561</v>
      </c>
      <c r="G49" s="50"/>
      <c r="H49" s="50"/>
      <c r="I49" s="50">
        <f>V!J114</f>
        <v>573.02660956909426</v>
      </c>
      <c r="J49" s="51">
        <f>I49-F49</f>
        <v>-77.87626561351135</v>
      </c>
      <c r="K49" s="52"/>
      <c r="M49" s="43">
        <f t="shared" si="9"/>
        <v>813.62859397825696</v>
      </c>
    </row>
    <row r="50" spans="1:13" s="43" customFormat="1" ht="15.75" x14ac:dyDescent="0.25">
      <c r="A50" s="48"/>
      <c r="B50" s="56"/>
      <c r="C50" s="50"/>
      <c r="D50" s="50"/>
      <c r="E50" s="50"/>
      <c r="F50" s="50"/>
      <c r="G50" s="50"/>
      <c r="H50" s="50"/>
      <c r="I50" s="50"/>
      <c r="J50" s="51"/>
      <c r="K50" s="52"/>
    </row>
    <row r="51" spans="1:13" s="43" customFormat="1" x14ac:dyDescent="0.25">
      <c r="A51" s="48">
        <f>estimate!A77</f>
        <v>10</v>
      </c>
      <c r="B51" s="57" t="str">
        <f>estimate!B77</f>
        <v>Provisional sum for unforseen works</v>
      </c>
      <c r="C51" s="50" t="str">
        <f>estimate!H77</f>
        <v>PS</v>
      </c>
      <c r="D51" s="50">
        <f>estimate!G77</f>
        <v>1</v>
      </c>
      <c r="E51" s="50">
        <f>estimate!I77</f>
        <v>7000</v>
      </c>
      <c r="F51" s="50">
        <f>D51*E51</f>
        <v>7000</v>
      </c>
      <c r="G51" s="50">
        <f>V!G116</f>
        <v>1</v>
      </c>
      <c r="H51" s="50">
        <f>V!I116</f>
        <v>7000</v>
      </c>
      <c r="I51" s="50">
        <f>G51*H51</f>
        <v>7000</v>
      </c>
      <c r="J51" s="51">
        <f>I51-F51</f>
        <v>0</v>
      </c>
      <c r="K51" s="52"/>
      <c r="M51" s="43">
        <f t="shared" ref="M51" si="10">1.25*F51</f>
        <v>8750</v>
      </c>
    </row>
    <row r="52" spans="1:13" s="43" customFormat="1" x14ac:dyDescent="0.25">
      <c r="A52" s="53"/>
      <c r="B52" s="54"/>
      <c r="C52" s="50"/>
      <c r="D52" s="50"/>
      <c r="E52" s="50"/>
      <c r="F52" s="50"/>
      <c r="G52" s="50"/>
      <c r="H52" s="50"/>
      <c r="I52" s="50"/>
      <c r="J52" s="51"/>
      <c r="K52" s="52"/>
    </row>
    <row r="53" spans="1:13" s="43" customFormat="1" x14ac:dyDescent="0.25">
      <c r="A53" s="48">
        <f>estimate!A79</f>
        <v>11</v>
      </c>
      <c r="B53" s="57" t="str">
        <f>estimate!B79</f>
        <v>Information board (सुचना पाटि)</v>
      </c>
      <c r="C53" s="50" t="str">
        <f>estimate!H79</f>
        <v>no.</v>
      </c>
      <c r="D53" s="50">
        <f>estimate!G79</f>
        <v>1</v>
      </c>
      <c r="E53" s="50">
        <f>estimate!I79</f>
        <v>500</v>
      </c>
      <c r="F53" s="50">
        <f>D53*E53</f>
        <v>500</v>
      </c>
      <c r="G53" s="50">
        <f>V!G118</f>
        <v>1</v>
      </c>
      <c r="H53" s="50">
        <f>V!I118</f>
        <v>500</v>
      </c>
      <c r="I53" s="50">
        <f>G53*H53</f>
        <v>500</v>
      </c>
      <c r="J53" s="51">
        <f>I53-F53</f>
        <v>0</v>
      </c>
      <c r="K53" s="52"/>
    </row>
    <row r="54" spans="1:13" s="43" customFormat="1" x14ac:dyDescent="0.25">
      <c r="A54" s="54"/>
      <c r="B54" s="54"/>
      <c r="C54" s="50"/>
      <c r="D54" s="50"/>
      <c r="E54" s="50"/>
      <c r="F54" s="50"/>
      <c r="G54" s="50"/>
      <c r="H54" s="50"/>
      <c r="I54" s="50"/>
      <c r="J54" s="51"/>
      <c r="K54" s="52"/>
    </row>
    <row r="55" spans="1:13" x14ac:dyDescent="0.25">
      <c r="A55" s="58"/>
      <c r="B55" s="59" t="s">
        <v>21</v>
      </c>
      <c r="C55" s="59"/>
      <c r="D55" s="60"/>
      <c r="E55" s="60"/>
      <c r="F55" s="60">
        <f>SUM(F13:F53)</f>
        <v>569007.79144636379</v>
      </c>
      <c r="G55" s="60"/>
      <c r="H55" s="60"/>
      <c r="I55" s="60">
        <f>SUM(I13:I53)</f>
        <v>569089.07039927552</v>
      </c>
      <c r="J55" s="61">
        <f>I55-F55</f>
        <v>81.278952911728993</v>
      </c>
      <c r="K55" s="58"/>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C6:D6"/>
    <mergeCell ref="J6:K6"/>
    <mergeCell ref="A1:K1"/>
    <mergeCell ref="A2:K2"/>
    <mergeCell ref="A3:K3"/>
    <mergeCell ref="A4:K4"/>
    <mergeCell ref="A5:K5"/>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14D-FDCD-4226-ABA7-7A5406278FD6}">
  <dimension ref="A1:O127"/>
  <sheetViews>
    <sheetView view="pageBreakPreview" zoomScale="95" zoomScaleNormal="90" zoomScaleSheetLayoutView="95" workbookViewId="0">
      <selection activeCell="H8" sqref="H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6384" width="9.140625" style="19"/>
  </cols>
  <sheetData>
    <row r="1" spans="1:11" x14ac:dyDescent="0.25">
      <c r="A1" s="74" t="s">
        <v>0</v>
      </c>
      <c r="B1" s="74"/>
      <c r="C1" s="74"/>
      <c r="D1" s="74"/>
      <c r="E1" s="74"/>
      <c r="F1" s="74"/>
      <c r="G1" s="74"/>
      <c r="H1" s="74"/>
      <c r="I1" s="74"/>
      <c r="J1" s="74"/>
      <c r="K1" s="74"/>
    </row>
    <row r="2" spans="1:11" ht="22.5" x14ac:dyDescent="0.25">
      <c r="A2" s="75" t="s">
        <v>1</v>
      </c>
      <c r="B2" s="75"/>
      <c r="C2" s="75"/>
      <c r="D2" s="75"/>
      <c r="E2" s="75"/>
      <c r="F2" s="75"/>
      <c r="G2" s="75"/>
      <c r="H2" s="75"/>
      <c r="I2" s="75"/>
      <c r="J2" s="75"/>
      <c r="K2" s="75"/>
    </row>
    <row r="3" spans="1:11" x14ac:dyDescent="0.25">
      <c r="A3" s="76" t="s">
        <v>2</v>
      </c>
      <c r="B3" s="76"/>
      <c r="C3" s="76"/>
      <c r="D3" s="76"/>
      <c r="E3" s="76"/>
      <c r="F3" s="76"/>
      <c r="G3" s="76"/>
      <c r="H3" s="76"/>
      <c r="I3" s="76"/>
      <c r="J3" s="76"/>
      <c r="K3" s="76"/>
    </row>
    <row r="4" spans="1:11" x14ac:dyDescent="0.25">
      <c r="A4" s="76" t="s">
        <v>3</v>
      </c>
      <c r="B4" s="76"/>
      <c r="C4" s="76"/>
      <c r="D4" s="76"/>
      <c r="E4" s="76"/>
      <c r="F4" s="76"/>
      <c r="G4" s="76"/>
      <c r="H4" s="76"/>
      <c r="I4" s="76"/>
      <c r="J4" s="76"/>
      <c r="K4" s="76"/>
    </row>
    <row r="5" spans="1:11" ht="18.75" x14ac:dyDescent="0.3">
      <c r="A5" s="77" t="s">
        <v>85</v>
      </c>
      <c r="B5" s="77"/>
      <c r="C5" s="77"/>
      <c r="D5" s="77"/>
      <c r="E5" s="77"/>
      <c r="F5" s="77"/>
      <c r="G5" s="77"/>
      <c r="H5" s="77"/>
      <c r="I5" s="77"/>
      <c r="J5" s="77"/>
      <c r="K5" s="77"/>
    </row>
    <row r="6" spans="1:11" ht="18" x14ac:dyDescent="0.25">
      <c r="A6" s="72" t="s">
        <v>42</v>
      </c>
      <c r="B6" s="72"/>
      <c r="C6" s="72"/>
      <c r="D6" s="72"/>
      <c r="E6" s="72"/>
      <c r="F6" s="72"/>
      <c r="G6" s="10"/>
      <c r="H6" s="73" t="s">
        <v>28</v>
      </c>
      <c r="I6" s="73"/>
      <c r="J6" s="73"/>
      <c r="K6" s="73"/>
    </row>
    <row r="7" spans="1:11" ht="15.75" x14ac:dyDescent="0.25">
      <c r="A7" s="67" t="s">
        <v>68</v>
      </c>
      <c r="B7" s="67"/>
      <c r="C7" s="67"/>
      <c r="D7" s="67"/>
      <c r="E7" s="67"/>
      <c r="F7" s="67"/>
      <c r="G7" s="11"/>
      <c r="H7" s="68" t="s">
        <v>88</v>
      </c>
      <c r="I7" s="68"/>
      <c r="J7" s="68"/>
      <c r="K7" s="68"/>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157.5" x14ac:dyDescent="0.25">
      <c r="A9" s="16">
        <v>1</v>
      </c>
      <c r="B9" s="35" t="s">
        <v>45</v>
      </c>
      <c r="C9" s="17"/>
      <c r="D9" s="17"/>
      <c r="E9" s="17"/>
      <c r="F9" s="17"/>
      <c r="G9" s="17"/>
      <c r="H9" s="17"/>
      <c r="I9" s="17"/>
      <c r="J9" s="17"/>
      <c r="K9" s="17"/>
    </row>
    <row r="10" spans="1:11" x14ac:dyDescent="0.25">
      <c r="A10" s="16"/>
      <c r="B10" s="32" t="s">
        <v>46</v>
      </c>
      <c r="C10" s="17">
        <f>C85</f>
        <v>1</v>
      </c>
      <c r="D10" s="33">
        <f>D85</f>
        <v>8.6</v>
      </c>
      <c r="E10" s="33">
        <f>E85</f>
        <v>2.6033221578786954</v>
      </c>
      <c r="F10" s="33">
        <v>0.15</v>
      </c>
      <c r="G10" s="33">
        <f>PRODUCT(C10:F10)</f>
        <v>3.3582855836635166</v>
      </c>
      <c r="H10" s="17"/>
      <c r="I10" s="17"/>
      <c r="J10" s="17"/>
      <c r="K10" s="17"/>
    </row>
    <row r="11" spans="1:11" x14ac:dyDescent="0.25">
      <c r="A11" s="16"/>
      <c r="B11" s="32"/>
      <c r="C11" s="17">
        <f t="shared" ref="C11:E11" si="0">C86</f>
        <v>1</v>
      </c>
      <c r="D11" s="33">
        <f t="shared" si="0"/>
        <v>3.2307223407497712</v>
      </c>
      <c r="E11" s="33">
        <f t="shared" si="0"/>
        <v>3.3273392258457783</v>
      </c>
      <c r="F11" s="33">
        <v>0.23</v>
      </c>
      <c r="G11" s="33">
        <f t="shared" ref="G11:G15" si="1">PRODUCT(C11:F11)</f>
        <v>2.472433109604391</v>
      </c>
      <c r="H11" s="17"/>
      <c r="I11" s="17"/>
      <c r="J11" s="17"/>
      <c r="K11" s="17"/>
    </row>
    <row r="12" spans="1:11" x14ac:dyDescent="0.25">
      <c r="A12" s="16"/>
      <c r="B12" s="32"/>
      <c r="C12" s="17">
        <f t="shared" ref="C12:E12" si="2">C87</f>
        <v>1</v>
      </c>
      <c r="D12" s="33">
        <f t="shared" si="2"/>
        <v>3.3017372752209693</v>
      </c>
      <c r="E12" s="33">
        <f t="shared" si="2"/>
        <v>2.4256324291374578</v>
      </c>
      <c r="F12" s="33">
        <v>0.23</v>
      </c>
      <c r="G12" s="33">
        <f t="shared" si="1"/>
        <v>1.842024231671624</v>
      </c>
      <c r="H12" s="17"/>
      <c r="I12" s="17"/>
      <c r="J12" s="17"/>
      <c r="K12" s="17"/>
    </row>
    <row r="13" spans="1:11" x14ac:dyDescent="0.25">
      <c r="A13" s="16"/>
      <c r="B13" s="32"/>
      <c r="C13" s="17">
        <f t="shared" ref="C13:E13" si="3">C88</f>
        <v>1</v>
      </c>
      <c r="D13" s="33">
        <f t="shared" si="3"/>
        <v>2.895458701615361</v>
      </c>
      <c r="E13" s="33">
        <f t="shared" si="3"/>
        <v>1.6763181956720512</v>
      </c>
      <c r="F13" s="33">
        <v>0.23</v>
      </c>
      <c r="G13" s="33">
        <f t="shared" si="1"/>
        <v>1.1163533244570045</v>
      </c>
      <c r="H13" s="17"/>
      <c r="I13" s="17"/>
      <c r="J13" s="17"/>
      <c r="K13" s="17"/>
    </row>
    <row r="14" spans="1:11" x14ac:dyDescent="0.25">
      <c r="A14" s="16"/>
      <c r="B14" s="32"/>
      <c r="C14" s="17">
        <f t="shared" ref="C14:E14" si="4">C89</f>
        <v>1</v>
      </c>
      <c r="D14" s="33">
        <f t="shared" si="4"/>
        <v>2.2858884486437061</v>
      </c>
      <c r="E14" s="33">
        <f t="shared" si="4"/>
        <v>2.0572996037793354</v>
      </c>
      <c r="F14" s="33">
        <v>0.23</v>
      </c>
      <c r="G14" s="33">
        <f t="shared" si="1"/>
        <v>1.081634201926045</v>
      </c>
      <c r="H14" s="17"/>
      <c r="I14" s="17"/>
      <c r="J14" s="17"/>
      <c r="K14" s="17"/>
    </row>
    <row r="15" spans="1:11" x14ac:dyDescent="0.25">
      <c r="A15" s="16"/>
      <c r="B15" s="32"/>
      <c r="C15" s="17">
        <f t="shared" ref="C15:E15" si="5">C90</f>
        <v>1</v>
      </c>
      <c r="D15" s="33">
        <f t="shared" si="5"/>
        <v>2.0572996037793354</v>
      </c>
      <c r="E15" s="33">
        <f t="shared" si="5"/>
        <v>0.68576653459311188</v>
      </c>
      <c r="F15" s="33">
        <v>0.23</v>
      </c>
      <c r="G15" s="33">
        <f t="shared" si="1"/>
        <v>0.32449026057781349</v>
      </c>
      <c r="H15" s="17"/>
      <c r="I15" s="17"/>
      <c r="J15" s="17"/>
      <c r="K15" s="17"/>
    </row>
    <row r="16" spans="1:11" x14ac:dyDescent="0.25">
      <c r="A16" s="16"/>
      <c r="B16" s="32" t="s">
        <v>47</v>
      </c>
      <c r="C16" s="17">
        <v>1</v>
      </c>
      <c r="D16" s="33">
        <f>4.5/3.281</f>
        <v>1.3715330691862238</v>
      </c>
      <c r="E16" s="33">
        <f>(1+0.75+0.75+1+1)/3.281</f>
        <v>1.3715330691862238</v>
      </c>
      <c r="F16" s="33">
        <v>0.3</v>
      </c>
      <c r="G16" s="33">
        <f t="shared" ref="G16:G20" si="6">PRODUCT(C16:F16)</f>
        <v>0.56433088796141484</v>
      </c>
      <c r="H16" s="17"/>
      <c r="I16" s="17"/>
      <c r="J16" s="17"/>
      <c r="K16" s="17"/>
    </row>
    <row r="17" spans="1:13" x14ac:dyDescent="0.25">
      <c r="A17" s="16"/>
      <c r="B17" s="32"/>
      <c r="C17" s="17">
        <v>1</v>
      </c>
      <c r="D17" s="33">
        <f>2.75/3.281</f>
        <v>0.8381590978360256</v>
      </c>
      <c r="E17" s="33">
        <f>4*(0.917/3.281)</f>
        <v>1.1179518439500153</v>
      </c>
      <c r="F17" s="33">
        <v>0.3</v>
      </c>
      <c r="G17" s="33">
        <f t="shared" si="6"/>
        <v>0.28110645268477985</v>
      </c>
      <c r="H17" s="17"/>
      <c r="I17" s="17"/>
      <c r="J17" s="17"/>
      <c r="K17" s="17"/>
    </row>
    <row r="18" spans="1:13" x14ac:dyDescent="0.25">
      <c r="A18" s="16"/>
      <c r="B18" s="32"/>
      <c r="C18" s="17">
        <v>1</v>
      </c>
      <c r="D18" s="33">
        <f>7/3.281</f>
        <v>2.1334958854007922</v>
      </c>
      <c r="E18" s="33">
        <f>4.5/3.281</f>
        <v>1.3715330691862238</v>
      </c>
      <c r="F18" s="33">
        <v>0.15</v>
      </c>
      <c r="G18" s="33">
        <f t="shared" si="6"/>
        <v>0.43892402396998925</v>
      </c>
      <c r="H18" s="17"/>
      <c r="I18" s="17"/>
      <c r="J18" s="17"/>
      <c r="K18" s="17"/>
    </row>
    <row r="19" spans="1:13" x14ac:dyDescent="0.25">
      <c r="A19" s="16"/>
      <c r="B19" s="32" t="s">
        <v>48</v>
      </c>
      <c r="C19" s="17">
        <f>C97</f>
        <v>1</v>
      </c>
      <c r="D19" s="33">
        <f>D97</f>
        <v>4.3499999999999996</v>
      </c>
      <c r="E19" s="33">
        <f t="shared" ref="E19:F20" si="7">E97</f>
        <v>0.23</v>
      </c>
      <c r="F19" s="33">
        <f t="shared" si="7"/>
        <v>0.25398760540485626</v>
      </c>
      <c r="G19" s="33">
        <f t="shared" si="6"/>
        <v>0.25411459920755869</v>
      </c>
      <c r="H19" s="17"/>
      <c r="I19" s="17"/>
      <c r="J19" s="17"/>
      <c r="K19" s="17"/>
    </row>
    <row r="20" spans="1:13" x14ac:dyDescent="0.25">
      <c r="A20" s="16"/>
      <c r="B20" s="32"/>
      <c r="C20" s="17">
        <f>C98</f>
        <v>1</v>
      </c>
      <c r="D20" s="33">
        <f>D98</f>
        <v>4.2</v>
      </c>
      <c r="E20" s="33">
        <f t="shared" si="7"/>
        <v>0.23</v>
      </c>
      <c r="F20" s="33">
        <v>0.125</v>
      </c>
      <c r="G20" s="33">
        <f t="shared" si="6"/>
        <v>0.12075000000000001</v>
      </c>
      <c r="H20" s="17"/>
      <c r="I20" s="17"/>
      <c r="J20" s="17"/>
      <c r="K20" s="17"/>
    </row>
    <row r="21" spans="1:13" ht="15" customHeight="1" x14ac:dyDescent="0.25">
      <c r="A21" s="2"/>
      <c r="B21" s="34" t="s">
        <v>16</v>
      </c>
      <c r="C21" s="3"/>
      <c r="D21" s="4"/>
      <c r="E21" s="5"/>
      <c r="F21" s="5"/>
      <c r="G21" s="6">
        <f>SUM(G10:G20)</f>
        <v>11.854446675724136</v>
      </c>
      <c r="H21" s="7" t="s">
        <v>17</v>
      </c>
      <c r="I21" s="6">
        <v>748.9</v>
      </c>
      <c r="J21" s="18">
        <f>G21*I21</f>
        <v>8877.7951154498041</v>
      </c>
      <c r="K21" s="5"/>
    </row>
    <row r="22" spans="1:13" x14ac:dyDescent="0.25">
      <c r="A22" s="16"/>
      <c r="B22" s="17"/>
      <c r="C22" s="17"/>
      <c r="D22" s="17"/>
      <c r="E22" s="17"/>
      <c r="F22" s="17"/>
      <c r="G22" s="17"/>
      <c r="H22" s="17"/>
      <c r="I22" s="17"/>
      <c r="J22" s="17"/>
      <c r="K22" s="17"/>
    </row>
    <row r="23" spans="1:13" ht="157.5" x14ac:dyDescent="0.25">
      <c r="A23" s="16">
        <v>2</v>
      </c>
      <c r="B23" s="35" t="s">
        <v>38</v>
      </c>
      <c r="C23" s="17"/>
      <c r="D23" s="17"/>
      <c r="E23" s="17"/>
      <c r="F23" s="17"/>
      <c r="G23" s="17"/>
      <c r="H23" s="17"/>
      <c r="I23" s="17"/>
      <c r="J23" s="17"/>
      <c r="K23" s="17"/>
    </row>
    <row r="24" spans="1:13" x14ac:dyDescent="0.25">
      <c r="A24" s="16"/>
      <c r="B24" s="32" t="s">
        <v>29</v>
      </c>
      <c r="C24" s="17">
        <v>1</v>
      </c>
      <c r="D24" s="33">
        <f>D29</f>
        <v>6.65</v>
      </c>
      <c r="E24" s="33">
        <v>1.9</v>
      </c>
      <c r="F24" s="33">
        <f>2.833/3.281</f>
        <v>0.86345626333434933</v>
      </c>
      <c r="G24" s="33">
        <f>PRODUCT(C24:F24)</f>
        <v>10.909769887229503</v>
      </c>
      <c r="H24" s="17"/>
      <c r="I24" s="17"/>
      <c r="J24" s="17"/>
      <c r="K24" s="17"/>
      <c r="M24" s="19">
        <f>0.8*3.281</f>
        <v>2.6248000000000005</v>
      </c>
    </row>
    <row r="25" spans="1:13" ht="15" customHeight="1" x14ac:dyDescent="0.25">
      <c r="A25" s="2"/>
      <c r="B25" s="34" t="s">
        <v>16</v>
      </c>
      <c r="C25" s="3"/>
      <c r="D25" s="4"/>
      <c r="E25" s="5"/>
      <c r="F25" s="5"/>
      <c r="G25" s="6">
        <f>SUM(G24:G24)</f>
        <v>10.909769887229503</v>
      </c>
      <c r="H25" s="7" t="s">
        <v>17</v>
      </c>
      <c r="I25" s="6">
        <v>62.95</v>
      </c>
      <c r="J25" s="18">
        <f>G25*I25</f>
        <v>686.77001440109723</v>
      </c>
      <c r="K25" s="5"/>
    </row>
    <row r="26" spans="1:13" x14ac:dyDescent="0.25">
      <c r="A26" s="16"/>
      <c r="B26" s="32" t="s">
        <v>23</v>
      </c>
      <c r="C26" s="17"/>
      <c r="D26" s="17"/>
      <c r="E26" s="17"/>
      <c r="F26" s="17"/>
      <c r="G26" s="17"/>
      <c r="H26" s="17"/>
      <c r="I26" s="17"/>
      <c r="J26" s="18">
        <f>0.13*G25*(18612)/360</f>
        <v>73.324563412069494</v>
      </c>
      <c r="K26" s="17"/>
    </row>
    <row r="27" spans="1:13" x14ac:dyDescent="0.25">
      <c r="A27" s="16"/>
      <c r="B27" s="17"/>
      <c r="C27" s="17"/>
      <c r="D27" s="17"/>
      <c r="E27" s="17"/>
      <c r="F27" s="17"/>
      <c r="G27" s="17"/>
      <c r="H27" s="17"/>
      <c r="I27" s="17"/>
      <c r="J27" s="17"/>
      <c r="K27" s="17"/>
    </row>
    <row r="28" spans="1:13" ht="94.5" x14ac:dyDescent="0.25">
      <c r="A28" s="16">
        <v>3</v>
      </c>
      <c r="B28" s="35" t="s">
        <v>30</v>
      </c>
      <c r="C28" s="17"/>
      <c r="D28" s="17"/>
      <c r="E28" s="17"/>
      <c r="F28" s="17"/>
      <c r="G28" s="17"/>
      <c r="H28" s="17"/>
      <c r="I28" s="17"/>
      <c r="J28" s="17"/>
      <c r="K28" s="17"/>
    </row>
    <row r="29" spans="1:13" x14ac:dyDescent="0.25">
      <c r="A29" s="16"/>
      <c r="B29" s="32" t="str">
        <f>B24</f>
        <v>-for masonary wall</v>
      </c>
      <c r="C29" s="17">
        <v>1</v>
      </c>
      <c r="D29" s="33">
        <f>D44</f>
        <v>6.65</v>
      </c>
      <c r="E29" s="33">
        <v>1.8</v>
      </c>
      <c r="F29" s="33">
        <v>0.15</v>
      </c>
      <c r="G29" s="33">
        <f>PRODUCT(C29:F29)</f>
        <v>1.7955000000000001</v>
      </c>
      <c r="H29" s="17"/>
      <c r="I29" s="17"/>
      <c r="J29" s="17"/>
      <c r="K29" s="17"/>
    </row>
    <row r="30" spans="1:13" x14ac:dyDescent="0.25">
      <c r="A30" s="16"/>
      <c r="B30" s="32"/>
      <c r="C30" s="17">
        <v>1</v>
      </c>
      <c r="D30" s="33">
        <f>D47</f>
        <v>1.3715330691862238</v>
      </c>
      <c r="E30" s="33">
        <f>0.5</f>
        <v>0.5</v>
      </c>
      <c r="F30" s="33">
        <v>0.15</v>
      </c>
      <c r="G30" s="33">
        <f>PRODUCT(C30:F30)</f>
        <v>0.10286498018896678</v>
      </c>
      <c r="H30" s="17"/>
      <c r="I30" s="17"/>
      <c r="J30" s="17"/>
      <c r="K30" s="17"/>
    </row>
    <row r="31" spans="1:13" x14ac:dyDescent="0.25">
      <c r="A31" s="16"/>
      <c r="B31" s="32" t="str">
        <f>B10</f>
        <v>-for levelling</v>
      </c>
      <c r="C31" s="17">
        <f>C10</f>
        <v>1</v>
      </c>
      <c r="D31" s="33">
        <f>D10</f>
        <v>8.6</v>
      </c>
      <c r="E31" s="33">
        <f>E10</f>
        <v>2.6033221578786954</v>
      </c>
      <c r="F31" s="33">
        <v>0.15</v>
      </c>
      <c r="G31" s="33">
        <f t="shared" ref="G31:G37" si="8">PRODUCT(C31:F31)</f>
        <v>3.3582855836635166</v>
      </c>
      <c r="H31" s="17"/>
      <c r="I31" s="17"/>
      <c r="J31" s="17"/>
      <c r="K31" s="17"/>
    </row>
    <row r="32" spans="1:13" x14ac:dyDescent="0.25">
      <c r="A32" s="16"/>
      <c r="B32" s="32"/>
      <c r="C32" s="17">
        <f>C11</f>
        <v>1</v>
      </c>
      <c r="D32" s="33">
        <f t="shared" ref="D32:E32" si="9">D11</f>
        <v>3.2307223407497712</v>
      </c>
      <c r="E32" s="33">
        <f t="shared" si="9"/>
        <v>3.3273392258457783</v>
      </c>
      <c r="F32" s="33">
        <v>0.15</v>
      </c>
      <c r="G32" s="33">
        <f t="shared" si="8"/>
        <v>1.6124563758289505</v>
      </c>
      <c r="H32" s="17"/>
      <c r="I32" s="17"/>
      <c r="J32" s="17"/>
      <c r="K32" s="17"/>
    </row>
    <row r="33" spans="1:11" x14ac:dyDescent="0.25">
      <c r="A33" s="16"/>
      <c r="B33" s="32"/>
      <c r="C33" s="17">
        <f t="shared" ref="C33:C36" si="10">C12</f>
        <v>1</v>
      </c>
      <c r="D33" s="33">
        <f t="shared" ref="D33:E33" si="11">D12</f>
        <v>3.3017372752209693</v>
      </c>
      <c r="E33" s="33">
        <f t="shared" si="11"/>
        <v>2.4256324291374578</v>
      </c>
      <c r="F33" s="33">
        <v>0.15</v>
      </c>
      <c r="G33" s="33">
        <f t="shared" si="8"/>
        <v>1.2013201510901894</v>
      </c>
      <c r="H33" s="17"/>
      <c r="I33" s="17"/>
      <c r="J33" s="17"/>
      <c r="K33" s="17"/>
    </row>
    <row r="34" spans="1:11" x14ac:dyDescent="0.25">
      <c r="A34" s="16"/>
      <c r="B34" s="32"/>
      <c r="C34" s="17">
        <f t="shared" si="10"/>
        <v>1</v>
      </c>
      <c r="D34" s="33">
        <f t="shared" ref="D34:E34" si="12">D13</f>
        <v>2.895458701615361</v>
      </c>
      <c r="E34" s="33">
        <f t="shared" si="12"/>
        <v>1.6763181956720512</v>
      </c>
      <c r="F34" s="33">
        <v>0.15</v>
      </c>
      <c r="G34" s="33">
        <f t="shared" si="8"/>
        <v>0.72805651595022025</v>
      </c>
      <c r="H34" s="17"/>
      <c r="I34" s="17"/>
      <c r="J34" s="17"/>
      <c r="K34" s="17"/>
    </row>
    <row r="35" spans="1:11" x14ac:dyDescent="0.25">
      <c r="A35" s="16"/>
      <c r="B35" s="32"/>
      <c r="C35" s="17">
        <f t="shared" si="10"/>
        <v>1</v>
      </c>
      <c r="D35" s="33">
        <f t="shared" ref="D35:E35" si="13">D14</f>
        <v>2.2858884486437061</v>
      </c>
      <c r="E35" s="33">
        <f t="shared" si="13"/>
        <v>2.0572996037793354</v>
      </c>
      <c r="F35" s="33">
        <v>0.15</v>
      </c>
      <c r="G35" s="33">
        <f t="shared" si="8"/>
        <v>0.70541360995176849</v>
      </c>
      <c r="H35" s="17"/>
      <c r="I35" s="17"/>
      <c r="J35" s="17"/>
      <c r="K35" s="17"/>
    </row>
    <row r="36" spans="1:11" x14ac:dyDescent="0.25">
      <c r="A36" s="16"/>
      <c r="B36" s="32"/>
      <c r="C36" s="17">
        <f t="shared" si="10"/>
        <v>1</v>
      </c>
      <c r="D36" s="33">
        <f t="shared" ref="D36:E36" si="14">D15</f>
        <v>2.0572996037793354</v>
      </c>
      <c r="E36" s="33">
        <f t="shared" si="14"/>
        <v>0.68576653459311188</v>
      </c>
      <c r="F36" s="33">
        <v>0.15</v>
      </c>
      <c r="G36" s="33">
        <f t="shared" si="8"/>
        <v>0.21162408298553054</v>
      </c>
      <c r="H36" s="17"/>
      <c r="I36" s="17"/>
      <c r="J36" s="17"/>
      <c r="K36" s="17"/>
    </row>
    <row r="37" spans="1:11" x14ac:dyDescent="0.25">
      <c r="A37" s="16"/>
      <c r="B37" s="32" t="str">
        <f t="shared" ref="B37" si="15">B16</f>
        <v>-for steps</v>
      </c>
      <c r="C37" s="17">
        <f>C16</f>
        <v>1</v>
      </c>
      <c r="D37" s="33">
        <f t="shared" ref="D37:E37" si="16">D16</f>
        <v>1.3715330691862238</v>
      </c>
      <c r="E37" s="33">
        <f t="shared" si="16"/>
        <v>1.3715330691862238</v>
      </c>
      <c r="F37" s="33">
        <v>0.15</v>
      </c>
      <c r="G37" s="33">
        <f t="shared" si="8"/>
        <v>0.28216544398070742</v>
      </c>
      <c r="H37" s="17"/>
      <c r="I37" s="17"/>
      <c r="J37" s="17"/>
      <c r="K37" s="17"/>
    </row>
    <row r="38" spans="1:11" x14ac:dyDescent="0.25">
      <c r="A38" s="16"/>
      <c r="B38" s="32"/>
      <c r="C38" s="17">
        <f t="shared" ref="C38:E38" si="17">C17</f>
        <v>1</v>
      </c>
      <c r="D38" s="33">
        <f t="shared" si="17"/>
        <v>0.8381590978360256</v>
      </c>
      <c r="E38" s="33">
        <f t="shared" si="17"/>
        <v>1.1179518439500153</v>
      </c>
      <c r="F38" s="33">
        <v>0.15</v>
      </c>
      <c r="G38" s="33">
        <f t="shared" ref="G38:G39" si="18">PRODUCT(C38:F38)</f>
        <v>0.14055322634238993</v>
      </c>
      <c r="H38" s="17"/>
      <c r="I38" s="17"/>
      <c r="J38" s="17"/>
      <c r="K38" s="17"/>
    </row>
    <row r="39" spans="1:11" x14ac:dyDescent="0.25">
      <c r="A39" s="16"/>
      <c r="B39" s="32"/>
      <c r="C39" s="17">
        <f t="shared" ref="C39:E39" si="19">C18</f>
        <v>1</v>
      </c>
      <c r="D39" s="33">
        <f t="shared" si="19"/>
        <v>2.1334958854007922</v>
      </c>
      <c r="E39" s="33">
        <f t="shared" si="19"/>
        <v>1.3715330691862238</v>
      </c>
      <c r="F39" s="33">
        <v>0.15</v>
      </c>
      <c r="G39" s="33">
        <f t="shared" si="18"/>
        <v>0.43892402396998925</v>
      </c>
      <c r="H39" s="17"/>
      <c r="I39" s="17"/>
      <c r="J39" s="17"/>
      <c r="K39" s="17"/>
    </row>
    <row r="40" spans="1:11" ht="15" customHeight="1" x14ac:dyDescent="0.25">
      <c r="A40" s="2"/>
      <c r="B40" s="34" t="s">
        <v>16</v>
      </c>
      <c r="C40" s="3"/>
      <c r="D40" s="4"/>
      <c r="E40" s="5"/>
      <c r="F40" s="5"/>
      <c r="G40" s="6">
        <f>SUM(G29:G39)</f>
        <v>10.57716399395223</v>
      </c>
      <c r="H40" s="7" t="s">
        <v>17</v>
      </c>
      <c r="I40" s="6">
        <v>4458.5200000000004</v>
      </c>
      <c r="J40" s="18">
        <f>G40*I40</f>
        <v>47158.497210315902</v>
      </c>
      <c r="K40" s="5"/>
    </row>
    <row r="41" spans="1:11" x14ac:dyDescent="0.25">
      <c r="A41" s="16"/>
      <c r="B41" s="32" t="s">
        <v>23</v>
      </c>
      <c r="C41" s="17"/>
      <c r="D41" s="17"/>
      <c r="E41" s="17"/>
      <c r="F41" s="17"/>
      <c r="G41" s="17"/>
      <c r="H41" s="17"/>
      <c r="I41" s="17"/>
      <c r="J41" s="18">
        <f>0.13*G40*(14817.6)/5</f>
        <v>4074.9328151164509</v>
      </c>
      <c r="K41" s="17"/>
    </row>
    <row r="42" spans="1:11" x14ac:dyDescent="0.25">
      <c r="A42" s="16"/>
      <c r="B42" s="17"/>
      <c r="C42" s="17"/>
      <c r="D42" s="17"/>
      <c r="E42" s="17"/>
      <c r="F42" s="17"/>
      <c r="G42" s="17"/>
      <c r="H42" s="17"/>
      <c r="I42" s="17"/>
      <c r="J42" s="17"/>
      <c r="K42" s="17"/>
    </row>
    <row r="43" spans="1:11" ht="78.75" x14ac:dyDescent="0.25">
      <c r="A43" s="16">
        <v>4</v>
      </c>
      <c r="B43" s="35" t="s">
        <v>31</v>
      </c>
      <c r="C43" s="17"/>
      <c r="D43" s="17"/>
      <c r="E43" s="17"/>
      <c r="F43" s="17"/>
      <c r="G43" s="17"/>
      <c r="H43" s="17"/>
      <c r="I43" s="17"/>
      <c r="J43" s="17"/>
      <c r="K43" s="17"/>
    </row>
    <row r="44" spans="1:11" x14ac:dyDescent="0.25">
      <c r="A44" s="16"/>
      <c r="B44" s="32" t="str">
        <f>B29</f>
        <v>-for masonary wall</v>
      </c>
      <c r="C44" s="17">
        <v>1</v>
      </c>
      <c r="D44" s="33">
        <f>D74</f>
        <v>6.65</v>
      </c>
      <c r="E44" s="33">
        <v>1.8</v>
      </c>
      <c r="F44" s="33">
        <v>0.05</v>
      </c>
      <c r="G44" s="33">
        <f>PRODUCT(C44:F44)</f>
        <v>0.59850000000000003</v>
      </c>
      <c r="H44" s="17"/>
      <c r="I44" s="17"/>
      <c r="J44" s="17"/>
      <c r="K44" s="17"/>
    </row>
    <row r="45" spans="1:11" x14ac:dyDescent="0.25">
      <c r="A45" s="16"/>
      <c r="B45" s="32"/>
      <c r="C45" s="17">
        <v>1</v>
      </c>
      <c r="D45" s="33">
        <f>D44</f>
        <v>6.65</v>
      </c>
      <c r="E45" s="33">
        <v>0.5</v>
      </c>
      <c r="F45" s="33">
        <v>0.05</v>
      </c>
      <c r="G45" s="33">
        <f>PRODUCT(C45:F45)</f>
        <v>0.16625000000000001</v>
      </c>
      <c r="H45" s="17"/>
      <c r="I45" s="17"/>
      <c r="J45" s="17"/>
      <c r="K45" s="17"/>
    </row>
    <row r="46" spans="1:11" x14ac:dyDescent="0.25">
      <c r="A46" s="16"/>
      <c r="B46" s="32"/>
      <c r="C46" s="17">
        <v>1</v>
      </c>
      <c r="D46" s="33">
        <f>D75</f>
        <v>2.2000000000000002</v>
      </c>
      <c r="E46" s="33">
        <v>0.45</v>
      </c>
      <c r="F46" s="33">
        <v>0.05</v>
      </c>
      <c r="G46" s="33">
        <f t="shared" ref="G46:G47" si="20">PRODUCT(C46:F46)</f>
        <v>4.9500000000000009E-2</v>
      </c>
      <c r="H46" s="17"/>
      <c r="I46" s="17"/>
      <c r="J46" s="17"/>
      <c r="K46" s="17"/>
    </row>
    <row r="47" spans="1:11" x14ac:dyDescent="0.25">
      <c r="A47" s="16"/>
      <c r="B47" s="32"/>
      <c r="C47" s="17">
        <v>1</v>
      </c>
      <c r="D47" s="33">
        <f>D77</f>
        <v>1.3715330691862238</v>
      </c>
      <c r="E47" s="33">
        <f>E77</f>
        <v>0.45</v>
      </c>
      <c r="F47" s="33">
        <v>0.05</v>
      </c>
      <c r="G47" s="33">
        <f t="shared" si="20"/>
        <v>3.0859494056690036E-2</v>
      </c>
      <c r="H47" s="17"/>
      <c r="I47" s="17"/>
      <c r="J47" s="17"/>
      <c r="K47" s="17"/>
    </row>
    <row r="48" spans="1:11" x14ac:dyDescent="0.25">
      <c r="A48" s="16"/>
      <c r="B48" s="32" t="str">
        <f>B31</f>
        <v>-for levelling</v>
      </c>
      <c r="C48" s="17">
        <f>C85</f>
        <v>1</v>
      </c>
      <c r="D48" s="33">
        <f>D85</f>
        <v>8.6</v>
      </c>
      <c r="E48" s="33">
        <f>E85</f>
        <v>2.6033221578786954</v>
      </c>
      <c r="F48" s="33">
        <v>0.05</v>
      </c>
      <c r="G48" s="33">
        <f t="shared" ref="G48:G64" si="21">PRODUCT(C48:F48)</f>
        <v>1.1194285278878391</v>
      </c>
      <c r="H48" s="17"/>
      <c r="I48" s="17"/>
      <c r="J48" s="17"/>
      <c r="K48" s="17"/>
    </row>
    <row r="49" spans="1:11" x14ac:dyDescent="0.25">
      <c r="A49" s="16"/>
      <c r="B49" s="32"/>
      <c r="C49" s="17">
        <f t="shared" ref="C49:C53" si="22">C86</f>
        <v>1</v>
      </c>
      <c r="D49" s="33">
        <f t="shared" ref="D49:E49" si="23">D86</f>
        <v>3.2307223407497712</v>
      </c>
      <c r="E49" s="33">
        <f t="shared" si="23"/>
        <v>3.3273392258457783</v>
      </c>
      <c r="F49" s="33">
        <v>0.05</v>
      </c>
      <c r="G49" s="33">
        <f t="shared" si="21"/>
        <v>0.53748545860965025</v>
      </c>
      <c r="H49" s="17"/>
      <c r="I49" s="17"/>
      <c r="J49" s="17"/>
      <c r="K49" s="17"/>
    </row>
    <row r="50" spans="1:11" x14ac:dyDescent="0.25">
      <c r="A50" s="16"/>
      <c r="B50" s="32"/>
      <c r="C50" s="17">
        <f t="shared" si="22"/>
        <v>1</v>
      </c>
      <c r="D50" s="33">
        <f t="shared" ref="D50:E50" si="24">D87</f>
        <v>3.3017372752209693</v>
      </c>
      <c r="E50" s="33">
        <f t="shared" si="24"/>
        <v>2.4256324291374578</v>
      </c>
      <c r="F50" s="33">
        <v>0.05</v>
      </c>
      <c r="G50" s="33">
        <f t="shared" ref="G50:G53" si="25">PRODUCT(C50:F50)</f>
        <v>0.40044005036339653</v>
      </c>
      <c r="H50" s="17"/>
      <c r="I50" s="17"/>
      <c r="J50" s="17"/>
      <c r="K50" s="17"/>
    </row>
    <row r="51" spans="1:11" x14ac:dyDescent="0.25">
      <c r="A51" s="16"/>
      <c r="B51" s="32"/>
      <c r="C51" s="17">
        <f t="shared" si="22"/>
        <v>1</v>
      </c>
      <c r="D51" s="33">
        <f t="shared" ref="D51:E51" si="26">D88</f>
        <v>2.895458701615361</v>
      </c>
      <c r="E51" s="33">
        <f t="shared" si="26"/>
        <v>1.6763181956720512</v>
      </c>
      <c r="F51" s="33">
        <v>0.05</v>
      </c>
      <c r="G51" s="33">
        <f t="shared" si="25"/>
        <v>0.2426855053167401</v>
      </c>
      <c r="H51" s="17"/>
      <c r="I51" s="17"/>
      <c r="J51" s="17"/>
      <c r="K51" s="17"/>
    </row>
    <row r="52" spans="1:11" x14ac:dyDescent="0.25">
      <c r="A52" s="16"/>
      <c r="B52" s="32"/>
      <c r="C52" s="17">
        <f t="shared" si="22"/>
        <v>1</v>
      </c>
      <c r="D52" s="33">
        <f t="shared" ref="D52:E52" si="27">D89</f>
        <v>2.2858884486437061</v>
      </c>
      <c r="E52" s="33">
        <f t="shared" si="27"/>
        <v>2.0572996037793354</v>
      </c>
      <c r="F52" s="33">
        <v>0.05</v>
      </c>
      <c r="G52" s="33">
        <f t="shared" si="25"/>
        <v>0.23513786998392283</v>
      </c>
      <c r="H52" s="17"/>
      <c r="I52" s="17"/>
      <c r="J52" s="17"/>
      <c r="K52" s="17"/>
    </row>
    <row r="53" spans="1:11" x14ac:dyDescent="0.25">
      <c r="A53" s="16"/>
      <c r="B53" s="32"/>
      <c r="C53" s="17">
        <f t="shared" si="22"/>
        <v>1</v>
      </c>
      <c r="D53" s="33">
        <f t="shared" ref="D53:E53" si="28">D90</f>
        <v>2.0572996037793354</v>
      </c>
      <c r="E53" s="33">
        <f t="shared" si="28"/>
        <v>0.68576653459311188</v>
      </c>
      <c r="F53" s="33">
        <v>0.05</v>
      </c>
      <c r="G53" s="33">
        <f t="shared" si="25"/>
        <v>7.0541360995176855E-2</v>
      </c>
      <c r="H53" s="17"/>
      <c r="I53" s="17"/>
      <c r="J53" s="17"/>
      <c r="K53" s="17"/>
    </row>
    <row r="54" spans="1:11" x14ac:dyDescent="0.25">
      <c r="A54" s="16"/>
      <c r="B54" s="32" t="str">
        <f>B37</f>
        <v>-for steps</v>
      </c>
      <c r="C54" s="17">
        <v>0.5</v>
      </c>
      <c r="D54" s="33">
        <f>4.5/3.281</f>
        <v>1.3715330691862238</v>
      </c>
      <c r="E54" s="33">
        <f>0.3</f>
        <v>0.3</v>
      </c>
      <c r="F54" s="33">
        <v>0.15</v>
      </c>
      <c r="G54" s="33">
        <f t="shared" si="21"/>
        <v>3.0859494056690032E-2</v>
      </c>
      <c r="H54" s="17"/>
      <c r="I54" s="17"/>
      <c r="J54" s="17"/>
      <c r="K54" s="17"/>
    </row>
    <row r="55" spans="1:11" x14ac:dyDescent="0.25">
      <c r="A55" s="16"/>
      <c r="B55" s="32"/>
      <c r="C55" s="17">
        <v>0.5</v>
      </c>
      <c r="D55" s="33">
        <f t="shared" ref="D55:D58" si="29">4.5/3.281</f>
        <v>1.3715330691862238</v>
      </c>
      <c r="E55" s="33">
        <v>0.23</v>
      </c>
      <c r="F55" s="33">
        <v>0.15</v>
      </c>
      <c r="G55" s="33">
        <f t="shared" si="21"/>
        <v>2.3658945443462361E-2</v>
      </c>
      <c r="H55" s="17"/>
      <c r="I55" s="17"/>
      <c r="J55" s="17"/>
      <c r="K55" s="17"/>
    </row>
    <row r="56" spans="1:11" x14ac:dyDescent="0.25">
      <c r="A56" s="16"/>
      <c r="B56" s="32"/>
      <c r="C56" s="17">
        <v>0.5</v>
      </c>
      <c r="D56" s="33">
        <f t="shared" si="29"/>
        <v>1.3715330691862238</v>
      </c>
      <c r="E56" s="33">
        <v>0.23</v>
      </c>
      <c r="F56" s="33">
        <v>0.15</v>
      </c>
      <c r="G56" s="33">
        <f t="shared" si="21"/>
        <v>2.3658945443462361E-2</v>
      </c>
      <c r="H56" s="17"/>
      <c r="I56" s="17"/>
      <c r="J56" s="17"/>
      <c r="K56" s="17"/>
    </row>
    <row r="57" spans="1:11" x14ac:dyDescent="0.25">
      <c r="A57" s="16"/>
      <c r="B57" s="32"/>
      <c r="C57" s="17">
        <v>0.5</v>
      </c>
      <c r="D57" s="33">
        <f t="shared" si="29"/>
        <v>1.3715330691862238</v>
      </c>
      <c r="E57" s="33">
        <v>0.3</v>
      </c>
      <c r="F57" s="33">
        <v>0.15</v>
      </c>
      <c r="G57" s="33">
        <f t="shared" si="21"/>
        <v>3.0859494056690032E-2</v>
      </c>
      <c r="H57" s="17"/>
      <c r="I57" s="17"/>
      <c r="J57" s="17"/>
      <c r="K57" s="17"/>
    </row>
    <row r="58" spans="1:11" x14ac:dyDescent="0.25">
      <c r="A58" s="16"/>
      <c r="B58" s="32"/>
      <c r="C58" s="17">
        <v>0.5</v>
      </c>
      <c r="D58" s="33">
        <f t="shared" si="29"/>
        <v>1.3715330691862238</v>
      </c>
      <c r="E58" s="33">
        <v>0.3</v>
      </c>
      <c r="F58" s="33">
        <v>0.15</v>
      </c>
      <c r="G58" s="33">
        <f t="shared" si="21"/>
        <v>3.0859494056690032E-2</v>
      </c>
      <c r="H58" s="17"/>
      <c r="I58" s="17"/>
      <c r="J58" s="17"/>
      <c r="K58" s="17"/>
    </row>
    <row r="59" spans="1:11" x14ac:dyDescent="0.25">
      <c r="A59" s="16"/>
      <c r="B59" s="32"/>
      <c r="C59" s="17">
        <v>0.5</v>
      </c>
      <c r="D59" s="33">
        <f>2.75/3.281</f>
        <v>0.8381590978360256</v>
      </c>
      <c r="E59" s="33">
        <f>0.917/3.281</f>
        <v>0.27948796098750384</v>
      </c>
      <c r="F59" s="33">
        <v>0.15</v>
      </c>
      <c r="G59" s="33">
        <f t="shared" si="21"/>
        <v>1.7569153292798741E-2</v>
      </c>
      <c r="H59" s="17"/>
      <c r="I59" s="17"/>
      <c r="J59" s="17"/>
      <c r="K59" s="17"/>
    </row>
    <row r="60" spans="1:11" x14ac:dyDescent="0.25">
      <c r="A60" s="16"/>
      <c r="B60" s="32"/>
      <c r="C60" s="17">
        <v>0.5</v>
      </c>
      <c r="D60" s="33">
        <f t="shared" ref="D60:D62" si="30">2.75/3.281</f>
        <v>0.8381590978360256</v>
      </c>
      <c r="E60" s="33">
        <f t="shared" ref="E60:E61" si="31">0.917/3.281</f>
        <v>0.27948796098750384</v>
      </c>
      <c r="F60" s="33">
        <v>0.15</v>
      </c>
      <c r="G60" s="33">
        <f t="shared" si="21"/>
        <v>1.7569153292798741E-2</v>
      </c>
      <c r="H60" s="17"/>
      <c r="I60" s="17"/>
      <c r="J60" s="17"/>
      <c r="K60" s="17"/>
    </row>
    <row r="61" spans="1:11" x14ac:dyDescent="0.25">
      <c r="A61" s="16"/>
      <c r="B61" s="32"/>
      <c r="C61" s="17">
        <v>0.5</v>
      </c>
      <c r="D61" s="33">
        <f>3/3.281</f>
        <v>0.91435537945748246</v>
      </c>
      <c r="E61" s="33">
        <f t="shared" si="31"/>
        <v>0.27948796098750384</v>
      </c>
      <c r="F61" s="33">
        <v>0.15</v>
      </c>
      <c r="G61" s="33">
        <f t="shared" si="21"/>
        <v>1.9166349046689533E-2</v>
      </c>
      <c r="H61" s="17"/>
      <c r="I61" s="17"/>
      <c r="J61" s="17"/>
      <c r="K61" s="17"/>
    </row>
    <row r="62" spans="1:11" x14ac:dyDescent="0.25">
      <c r="A62" s="16"/>
      <c r="B62" s="32"/>
      <c r="C62" s="17">
        <v>0.5</v>
      </c>
      <c r="D62" s="33">
        <f t="shared" si="30"/>
        <v>0.8381590978360256</v>
      </c>
      <c r="E62" s="33">
        <v>0.3</v>
      </c>
      <c r="F62" s="33">
        <v>0.15</v>
      </c>
      <c r="G62" s="33">
        <f t="shared" si="21"/>
        <v>1.8858579701310576E-2</v>
      </c>
      <c r="H62" s="17"/>
      <c r="I62" s="17"/>
      <c r="J62" s="17"/>
      <c r="K62" s="17"/>
    </row>
    <row r="63" spans="1:11" x14ac:dyDescent="0.25">
      <c r="A63" s="16"/>
      <c r="B63" s="32"/>
      <c r="C63" s="17">
        <f t="shared" ref="C63:E63" si="32">C39</f>
        <v>1</v>
      </c>
      <c r="D63" s="33">
        <f t="shared" si="32"/>
        <v>2.1334958854007922</v>
      </c>
      <c r="E63" s="33">
        <f t="shared" si="32"/>
        <v>1.3715330691862238</v>
      </c>
      <c r="F63" s="33">
        <v>7.4999999999999997E-2</v>
      </c>
      <c r="G63" s="33">
        <f t="shared" si="21"/>
        <v>0.21946201198499463</v>
      </c>
      <c r="H63" s="17"/>
      <c r="I63" s="17"/>
      <c r="J63" s="17"/>
      <c r="K63" s="17"/>
    </row>
    <row r="64" spans="1:11" x14ac:dyDescent="0.25">
      <c r="A64" s="16"/>
      <c r="B64" s="32" t="str">
        <f>B19</f>
        <v>-Area for brick wall</v>
      </c>
      <c r="C64" s="17">
        <f>C19</f>
        <v>1</v>
      </c>
      <c r="D64" s="33">
        <f>D19</f>
        <v>4.3499999999999996</v>
      </c>
      <c r="E64" s="33">
        <v>0.23</v>
      </c>
      <c r="F64" s="33">
        <v>0.05</v>
      </c>
      <c r="G64" s="33">
        <f t="shared" si="21"/>
        <v>5.0025E-2</v>
      </c>
      <c r="H64" s="17"/>
      <c r="I64" s="17"/>
      <c r="J64" s="17"/>
      <c r="K64" s="17"/>
    </row>
    <row r="65" spans="1:15" x14ac:dyDescent="0.25">
      <c r="A65" s="16"/>
      <c r="B65" s="32"/>
      <c r="C65" s="17">
        <f>C20</f>
        <v>1</v>
      </c>
      <c r="D65" s="33">
        <f>D20</f>
        <v>4.2</v>
      </c>
      <c r="E65" s="33">
        <v>0.23</v>
      </c>
      <c r="F65" s="33">
        <v>0.05</v>
      </c>
      <c r="G65" s="33">
        <f t="shared" ref="G65" si="33">PRODUCT(C65:F65)</f>
        <v>4.830000000000001E-2</v>
      </c>
      <c r="H65" s="17"/>
      <c r="I65" s="17"/>
      <c r="J65" s="17"/>
      <c r="K65" s="17"/>
    </row>
    <row r="66" spans="1:15" ht="15" customHeight="1" x14ac:dyDescent="0.25">
      <c r="A66" s="2"/>
      <c r="B66" s="34" t="s">
        <v>16</v>
      </c>
      <c r="C66" s="3"/>
      <c r="D66" s="4"/>
      <c r="E66" s="5"/>
      <c r="F66" s="5"/>
      <c r="G66" s="6">
        <f>SUM(G44:G65)</f>
        <v>3.981674887589004</v>
      </c>
      <c r="H66" s="7" t="s">
        <v>17</v>
      </c>
      <c r="I66" s="6">
        <v>10964.46</v>
      </c>
      <c r="J66" s="18">
        <f>G66*I66</f>
        <v>43656.915037974126</v>
      </c>
      <c r="K66" s="5"/>
    </row>
    <row r="67" spans="1:15" x14ac:dyDescent="0.25">
      <c r="A67" s="16"/>
      <c r="B67" s="32" t="s">
        <v>32</v>
      </c>
      <c r="C67" s="17"/>
      <c r="D67" s="17"/>
      <c r="E67" s="17"/>
      <c r="F67" s="17"/>
      <c r="G67" s="17"/>
      <c r="H67" s="17"/>
      <c r="I67" s="17"/>
      <c r="J67" s="18">
        <f>0.13*G66*(53818.03)/15</f>
        <v>1857.1444541044341</v>
      </c>
      <c r="K67" s="17"/>
    </row>
    <row r="68" spans="1:15" x14ac:dyDescent="0.25">
      <c r="A68" s="16"/>
      <c r="B68" s="32" t="s">
        <v>33</v>
      </c>
      <c r="C68" s="17"/>
      <c r="D68" s="17"/>
      <c r="E68" s="17"/>
      <c r="F68" s="17"/>
      <c r="G68" s="17"/>
      <c r="H68" s="17"/>
      <c r="I68" s="17"/>
      <c r="J68" s="18">
        <f>0.13*G66*(21432.6)/15</f>
        <v>739.59292502974733</v>
      </c>
      <c r="K68" s="17"/>
    </row>
    <row r="69" spans="1:15" x14ac:dyDescent="0.25">
      <c r="A69" s="16"/>
      <c r="B69" s="32" t="s">
        <v>34</v>
      </c>
      <c r="C69" s="17"/>
      <c r="D69" s="17"/>
      <c r="E69" s="17"/>
      <c r="F69" s="17"/>
      <c r="G69" s="17"/>
      <c r="H69" s="17"/>
      <c r="I69" s="17"/>
      <c r="J69" s="18">
        <f>0.13*G66*(25719.12+13573.98+4286.52)/15</f>
        <v>1503.8389475604863</v>
      </c>
      <c r="K69" s="17"/>
    </row>
    <row r="70" spans="1:15" x14ac:dyDescent="0.25">
      <c r="A70" s="16"/>
      <c r="B70" s="32" t="s">
        <v>35</v>
      </c>
      <c r="C70" s="17"/>
      <c r="D70" s="17"/>
      <c r="E70" s="17"/>
      <c r="F70" s="17"/>
      <c r="G70" s="17"/>
      <c r="H70" s="17"/>
      <c r="I70" s="17"/>
      <c r="J70" s="18">
        <f>0.13*G66*(6325.7)/15</f>
        <v>218.28630058232193</v>
      </c>
      <c r="K70" s="17"/>
    </row>
    <row r="71" spans="1:15" x14ac:dyDescent="0.25">
      <c r="A71" s="16"/>
      <c r="B71" s="32" t="s">
        <v>39</v>
      </c>
      <c r="C71" s="17"/>
      <c r="D71" s="17"/>
      <c r="E71" s="17"/>
      <c r="F71" s="17"/>
      <c r="G71" s="17"/>
      <c r="H71" s="17"/>
      <c r="I71" s="17"/>
      <c r="J71" s="18">
        <f>0.13*G66*(310)/5</f>
        <v>32.092299593967375</v>
      </c>
      <c r="K71" s="17"/>
    </row>
    <row r="72" spans="1:15" x14ac:dyDescent="0.25">
      <c r="A72" s="16"/>
      <c r="B72" s="17"/>
      <c r="C72" s="17"/>
      <c r="D72" s="17"/>
      <c r="E72" s="17"/>
      <c r="F72" s="17"/>
      <c r="G72" s="17"/>
      <c r="H72" s="17"/>
      <c r="I72" s="17"/>
      <c r="J72" s="17"/>
      <c r="K72" s="17"/>
    </row>
    <row r="73" spans="1:15" ht="110.25" x14ac:dyDescent="0.25">
      <c r="A73" s="16">
        <v>5</v>
      </c>
      <c r="B73" s="35" t="s">
        <v>36</v>
      </c>
      <c r="C73" s="17"/>
      <c r="D73" s="17"/>
      <c r="E73" s="17"/>
      <c r="F73" s="17"/>
      <c r="G73" s="17"/>
      <c r="H73" s="17"/>
      <c r="I73" s="17"/>
      <c r="J73" s="17"/>
      <c r="K73" s="17"/>
    </row>
    <row r="74" spans="1:15" x14ac:dyDescent="0.25">
      <c r="A74" s="16"/>
      <c r="B74" s="32" t="str">
        <f>B44</f>
        <v>-for masonary wall</v>
      </c>
      <c r="C74" s="17">
        <v>1</v>
      </c>
      <c r="D74" s="33">
        <v>6.65</v>
      </c>
      <c r="E74" s="33">
        <f>(1.85+0.5)/2</f>
        <v>1.175</v>
      </c>
      <c r="F74" s="33">
        <f>(3.78+3.55+3.2)/3</f>
        <v>3.5100000000000002</v>
      </c>
      <c r="G74" s="33">
        <f>PRODUCT(C74:F74)</f>
        <v>27.426262500000004</v>
      </c>
      <c r="H74" s="17"/>
      <c r="I74" s="17"/>
      <c r="J74" s="17"/>
      <c r="K74" s="17"/>
      <c r="M74" s="19">
        <f>F74/2</f>
        <v>1.7550000000000001</v>
      </c>
      <c r="N74" s="19">
        <v>0.5</v>
      </c>
      <c r="O74" s="19">
        <f>(M74+N74)/2</f>
        <v>1.1274999999999999</v>
      </c>
    </row>
    <row r="75" spans="1:15" x14ac:dyDescent="0.25">
      <c r="A75" s="16"/>
      <c r="B75" s="32" t="s">
        <v>83</v>
      </c>
      <c r="C75" s="17">
        <v>1</v>
      </c>
      <c r="D75" s="33">
        <v>2.2000000000000002</v>
      </c>
      <c r="E75" s="33">
        <v>0.5</v>
      </c>
      <c r="F75" s="33">
        <v>0.6</v>
      </c>
      <c r="G75" s="33">
        <f t="shared" ref="G75:G77" si="34">PRODUCT(C75:F75)</f>
        <v>0.66</v>
      </c>
      <c r="H75" s="17"/>
      <c r="I75" s="17"/>
      <c r="J75" s="17"/>
      <c r="K75" s="17"/>
    </row>
    <row r="76" spans="1:15" x14ac:dyDescent="0.25">
      <c r="A76" s="16"/>
      <c r="B76" s="32"/>
      <c r="C76" s="17">
        <v>1</v>
      </c>
      <c r="D76" s="33">
        <v>0.6</v>
      </c>
      <c r="E76" s="33">
        <v>0.5</v>
      </c>
      <c r="F76" s="33">
        <f>13/12/3.281</f>
        <v>0.33018388702631307</v>
      </c>
      <c r="G76" s="33">
        <f t="shared" si="34"/>
        <v>9.9055166107893916E-2</v>
      </c>
      <c r="H76" s="17"/>
      <c r="I76" s="17"/>
      <c r="J76" s="17"/>
      <c r="K76" s="17"/>
    </row>
    <row r="77" spans="1:15" x14ac:dyDescent="0.25">
      <c r="A77" s="16"/>
      <c r="B77" s="32"/>
      <c r="C77" s="17">
        <v>1</v>
      </c>
      <c r="D77" s="33">
        <f>4.5/3.281</f>
        <v>1.3715330691862238</v>
      </c>
      <c r="E77" s="33">
        <v>0.45</v>
      </c>
      <c r="F77" s="33">
        <f>(0.5*4)/3.281</f>
        <v>0.6095702529716549</v>
      </c>
      <c r="G77" s="33">
        <f t="shared" si="34"/>
        <v>0.37622059197427649</v>
      </c>
      <c r="H77" s="17"/>
      <c r="I77" s="17"/>
      <c r="J77" s="17"/>
      <c r="K77" s="17"/>
    </row>
    <row r="78" spans="1:15" ht="15" customHeight="1" x14ac:dyDescent="0.25">
      <c r="A78" s="2"/>
      <c r="B78" s="34" t="s">
        <v>16</v>
      </c>
      <c r="C78" s="3"/>
      <c r="D78" s="4"/>
      <c r="E78" s="5"/>
      <c r="F78" s="5"/>
      <c r="G78" s="6">
        <f>SUM(G74:G77)</f>
        <v>28.561538258082177</v>
      </c>
      <c r="H78" s="7" t="s">
        <v>17</v>
      </c>
      <c r="I78" s="6">
        <v>8987.83</v>
      </c>
      <c r="J78" s="18">
        <f>G78*I78</f>
        <v>256706.25040213871</v>
      </c>
      <c r="K78" s="5"/>
    </row>
    <row r="79" spans="1:15" x14ac:dyDescent="0.25">
      <c r="A79" s="16"/>
      <c r="B79" s="32" t="s">
        <v>32</v>
      </c>
      <c r="C79" s="17"/>
      <c r="D79" s="17"/>
      <c r="E79" s="17"/>
      <c r="F79" s="17"/>
      <c r="G79" s="17"/>
      <c r="H79" s="17"/>
      <c r="I79" s="17"/>
      <c r="J79" s="18">
        <f>0.13*G78*(5863.95)/5</f>
        <v>4354.5692389805054</v>
      </c>
      <c r="K79" s="17"/>
    </row>
    <row r="80" spans="1:15" x14ac:dyDescent="0.25">
      <c r="A80" s="16"/>
      <c r="B80" s="32" t="s">
        <v>33</v>
      </c>
      <c r="C80" s="17"/>
      <c r="D80" s="17"/>
      <c r="E80" s="17"/>
      <c r="F80" s="17"/>
      <c r="G80" s="17"/>
      <c r="H80" s="17"/>
      <c r="I80" s="17"/>
      <c r="J80" s="18">
        <f>0.13*G78*(6604.416)/5</f>
        <v>4904.4392866635417</v>
      </c>
      <c r="K80" s="17"/>
    </row>
    <row r="81" spans="1:11" x14ac:dyDescent="0.25">
      <c r="A81" s="16"/>
      <c r="B81" s="32" t="s">
        <v>37</v>
      </c>
      <c r="C81" s="17"/>
      <c r="D81" s="17"/>
      <c r="E81" s="17"/>
      <c r="F81" s="17"/>
      <c r="G81" s="17"/>
      <c r="H81" s="17"/>
      <c r="I81" s="17"/>
      <c r="J81" s="18">
        <f>0.13*G78*(14808.78)/5</f>
        <v>10996.999949663577</v>
      </c>
      <c r="K81" s="17"/>
    </row>
    <row r="82" spans="1:11" x14ac:dyDescent="0.25">
      <c r="A82" s="16"/>
      <c r="B82" s="32" t="s">
        <v>39</v>
      </c>
      <c r="C82" s="17"/>
      <c r="D82" s="17"/>
      <c r="E82" s="17"/>
      <c r="F82" s="17"/>
      <c r="G82" s="17"/>
      <c r="H82" s="17"/>
      <c r="I82" s="17"/>
      <c r="J82" s="18">
        <f>0.13*G78*(310)/5</f>
        <v>230.20599836014236</v>
      </c>
      <c r="K82" s="17"/>
    </row>
    <row r="83" spans="1:11" x14ac:dyDescent="0.25">
      <c r="A83" s="16"/>
      <c r="B83" s="17"/>
      <c r="C83" s="17"/>
      <c r="D83" s="17"/>
      <c r="E83" s="17"/>
      <c r="F83" s="17"/>
      <c r="G83" s="17"/>
      <c r="H83" s="17"/>
      <c r="I83" s="17"/>
      <c r="J83" s="17"/>
      <c r="K83" s="17"/>
    </row>
    <row r="84" spans="1:11" ht="75" x14ac:dyDescent="0.25">
      <c r="A84" s="16">
        <v>6</v>
      </c>
      <c r="B84" s="37" t="s">
        <v>51</v>
      </c>
      <c r="C84" s="17"/>
      <c r="D84" s="17"/>
      <c r="E84" s="17"/>
      <c r="F84" s="17"/>
      <c r="G84" s="17"/>
      <c r="H84" s="17"/>
      <c r="I84" s="17"/>
      <c r="J84" s="17"/>
      <c r="K84" s="17"/>
    </row>
    <row r="85" spans="1:11" x14ac:dyDescent="0.25">
      <c r="A85" s="16"/>
      <c r="B85" s="32" t="s">
        <v>49</v>
      </c>
      <c r="C85" s="17">
        <v>1</v>
      </c>
      <c r="D85" s="33">
        <f>7.4+1.2</f>
        <v>8.6</v>
      </c>
      <c r="E85" s="33">
        <f>((6+11.083)/2)/3.281</f>
        <v>2.6033221578786954</v>
      </c>
      <c r="F85" s="33"/>
      <c r="G85" s="33">
        <f>PRODUCT(C85:F85)</f>
        <v>22.388570557756779</v>
      </c>
      <c r="H85" s="17"/>
      <c r="I85" s="17"/>
      <c r="J85" s="17"/>
      <c r="K85" s="17"/>
    </row>
    <row r="86" spans="1:11" x14ac:dyDescent="0.25">
      <c r="A86" s="16"/>
      <c r="B86" s="32"/>
      <c r="C86" s="17">
        <v>1</v>
      </c>
      <c r="D86" s="33">
        <f>10.6/3.281</f>
        <v>3.2307223407497712</v>
      </c>
      <c r="E86" s="33">
        <f>10.917/3.281</f>
        <v>3.3273392258457783</v>
      </c>
      <c r="F86" s="33"/>
      <c r="G86" s="33">
        <f>PRODUCT(C86:F86)</f>
        <v>10.749709172193004</v>
      </c>
      <c r="H86" s="17"/>
      <c r="I86" s="17"/>
      <c r="J86" s="17"/>
      <c r="K86" s="17"/>
    </row>
    <row r="87" spans="1:11" x14ac:dyDescent="0.25">
      <c r="A87" s="16"/>
      <c r="B87" s="32"/>
      <c r="C87" s="17">
        <v>1</v>
      </c>
      <c r="D87" s="33">
        <f>10.833/3.281</f>
        <v>3.3017372752209693</v>
      </c>
      <c r="E87" s="33">
        <f>((10.917+5)/2)/3.281</f>
        <v>2.4256324291374578</v>
      </c>
      <c r="F87" s="33"/>
      <c r="G87" s="33">
        <f t="shared" ref="G87:G90" si="35">PRODUCT(C87:F87)</f>
        <v>8.0088010072679303</v>
      </c>
      <c r="H87" s="17"/>
      <c r="I87" s="17"/>
      <c r="J87" s="17"/>
      <c r="K87" s="17"/>
    </row>
    <row r="88" spans="1:11" x14ac:dyDescent="0.25">
      <c r="A88" s="16"/>
      <c r="B88" s="32"/>
      <c r="C88" s="17">
        <v>1</v>
      </c>
      <c r="D88" s="33">
        <f>9.5/3.281</f>
        <v>2.895458701615361</v>
      </c>
      <c r="E88" s="33">
        <f>((6+5)/2)/3.281</f>
        <v>1.6763181956720512</v>
      </c>
      <c r="F88" s="33"/>
      <c r="G88" s="33">
        <f t="shared" si="35"/>
        <v>4.8537101063348018</v>
      </c>
      <c r="H88" s="17"/>
      <c r="I88" s="17"/>
      <c r="J88" s="17"/>
      <c r="K88" s="17"/>
    </row>
    <row r="89" spans="1:11" x14ac:dyDescent="0.25">
      <c r="A89" s="16"/>
      <c r="B89" s="32"/>
      <c r="C89" s="17">
        <v>1</v>
      </c>
      <c r="D89" s="33">
        <f>7.5/3.281</f>
        <v>2.2858884486437061</v>
      </c>
      <c r="E89" s="33">
        <f>((9+4.5)/2)/3.281</f>
        <v>2.0572996037793354</v>
      </c>
      <c r="F89" s="33"/>
      <c r="G89" s="33">
        <f t="shared" si="35"/>
        <v>4.7027573996784566</v>
      </c>
      <c r="H89" s="17"/>
      <c r="I89" s="17"/>
      <c r="J89" s="17"/>
      <c r="K89" s="17"/>
    </row>
    <row r="90" spans="1:11" x14ac:dyDescent="0.25">
      <c r="A90" s="16"/>
      <c r="B90" s="32"/>
      <c r="C90" s="17">
        <v>1</v>
      </c>
      <c r="D90" s="33">
        <f>6.75/3.281</f>
        <v>2.0572996037793354</v>
      </c>
      <c r="E90" s="33">
        <f>(4.5/2)/3.281</f>
        <v>0.68576653459311188</v>
      </c>
      <c r="F90" s="33"/>
      <c r="G90" s="33">
        <f t="shared" si="35"/>
        <v>1.410827219903537</v>
      </c>
      <c r="H90" s="17"/>
      <c r="I90" s="17"/>
      <c r="J90" s="17"/>
      <c r="K90" s="17"/>
    </row>
    <row r="91" spans="1:11" ht="15" customHeight="1" x14ac:dyDescent="0.25">
      <c r="A91" s="2"/>
      <c r="B91" s="34" t="s">
        <v>16</v>
      </c>
      <c r="C91" s="3"/>
      <c r="D91" s="4"/>
      <c r="E91" s="5"/>
      <c r="F91" s="5"/>
      <c r="G91" s="6">
        <f>SUM(G85:G90)</f>
        <v>52.114375463134515</v>
      </c>
      <c r="H91" s="7" t="s">
        <v>50</v>
      </c>
      <c r="I91" s="6">
        <v>1754.28</v>
      </c>
      <c r="J91" s="18">
        <f>G91*I91</f>
        <v>91423.206587467619</v>
      </c>
      <c r="K91" s="5"/>
    </row>
    <row r="92" spans="1:11" x14ac:dyDescent="0.25">
      <c r="A92" s="16"/>
      <c r="B92" s="32" t="s">
        <v>52</v>
      </c>
      <c r="C92" s="17"/>
      <c r="D92" s="17"/>
      <c r="E92" s="17"/>
      <c r="F92" s="17"/>
      <c r="G92" s="17"/>
      <c r="H92" s="17"/>
      <c r="I92" s="17"/>
      <c r="J92" s="18">
        <f>0.13*G91*(6036.36/10)</f>
        <v>4089.5547091184067</v>
      </c>
      <c r="K92" s="17"/>
    </row>
    <row r="93" spans="1:11" x14ac:dyDescent="0.25">
      <c r="A93" s="16"/>
      <c r="B93" s="32" t="s">
        <v>53</v>
      </c>
      <c r="C93" s="17"/>
      <c r="D93" s="17"/>
      <c r="E93" s="17"/>
      <c r="F93" s="17"/>
      <c r="G93" s="17"/>
      <c r="H93" s="17"/>
      <c r="I93" s="17"/>
      <c r="J93" s="18">
        <f>0.13*G91*(33.99)/10</f>
        <v>23.027779085895251</v>
      </c>
      <c r="K93" s="17"/>
    </row>
    <row r="94" spans="1:11" x14ac:dyDescent="0.25">
      <c r="A94" s="16"/>
      <c r="B94" s="32" t="s">
        <v>54</v>
      </c>
      <c r="C94" s="17"/>
      <c r="D94" s="17"/>
      <c r="E94" s="17"/>
      <c r="F94" s="17"/>
      <c r="G94" s="17"/>
      <c r="H94" s="17"/>
      <c r="I94" s="17"/>
      <c r="J94" s="18">
        <f>0.13*G91*(877.45/10)</f>
        <v>594.46086375165601</v>
      </c>
      <c r="K94" s="17"/>
    </row>
    <row r="95" spans="1:11" x14ac:dyDescent="0.25">
      <c r="A95" s="16"/>
      <c r="B95" s="17"/>
      <c r="C95" s="17"/>
      <c r="D95" s="17"/>
      <c r="E95" s="17"/>
      <c r="F95" s="17"/>
      <c r="G95" s="17"/>
      <c r="H95" s="17"/>
      <c r="I95" s="17"/>
      <c r="J95" s="17"/>
      <c r="K95" s="17"/>
    </row>
    <row r="96" spans="1:11" ht="30" x14ac:dyDescent="0.25">
      <c r="A96" s="16">
        <v>7</v>
      </c>
      <c r="B96" s="37" t="s">
        <v>55</v>
      </c>
      <c r="C96" s="17"/>
      <c r="D96" s="17"/>
      <c r="E96" s="17"/>
      <c r="F96" s="17"/>
      <c r="G96" s="17"/>
      <c r="H96" s="17"/>
      <c r="I96" s="17"/>
      <c r="J96" s="17"/>
      <c r="K96" s="17"/>
    </row>
    <row r="97" spans="1:14" x14ac:dyDescent="0.25">
      <c r="A97" s="16"/>
      <c r="B97" s="32" t="s">
        <v>56</v>
      </c>
      <c r="C97" s="17">
        <v>1</v>
      </c>
      <c r="D97" s="33">
        <v>4.3499999999999996</v>
      </c>
      <c r="E97" s="33">
        <v>0.23</v>
      </c>
      <c r="F97" s="33">
        <f>10/12/3.281</f>
        <v>0.25398760540485626</v>
      </c>
      <c r="G97" s="33">
        <f>PRODUCT(C97:F97)</f>
        <v>0.25411459920755869</v>
      </c>
      <c r="H97" s="17"/>
      <c r="I97" s="17"/>
      <c r="J97" s="17"/>
      <c r="K97" s="17"/>
    </row>
    <row r="98" spans="1:14" x14ac:dyDescent="0.25">
      <c r="A98" s="16"/>
      <c r="B98" s="32"/>
      <c r="C98" s="17">
        <v>1</v>
      </c>
      <c r="D98" s="33">
        <v>4.2</v>
      </c>
      <c r="E98" s="33">
        <v>0.23</v>
      </c>
      <c r="F98" s="33">
        <f>0.1</f>
        <v>0.1</v>
      </c>
      <c r="G98" s="33">
        <f>PRODUCT(C98:F98)</f>
        <v>9.6600000000000019E-2</v>
      </c>
      <c r="H98" s="17"/>
      <c r="I98" s="17"/>
      <c r="J98" s="17"/>
      <c r="K98" s="17"/>
    </row>
    <row r="99" spans="1:14" ht="15" customHeight="1" x14ac:dyDescent="0.25">
      <c r="A99" s="2"/>
      <c r="B99" s="34" t="s">
        <v>16</v>
      </c>
      <c r="C99" s="3"/>
      <c r="D99" s="4"/>
      <c r="E99" s="5"/>
      <c r="F99" s="5"/>
      <c r="G99" s="6">
        <f>SUM(G97:G98)</f>
        <v>0.35071459920755871</v>
      </c>
      <c r="H99" s="7" t="s">
        <v>57</v>
      </c>
      <c r="I99" s="6">
        <v>1754.28</v>
      </c>
      <c r="J99" s="18">
        <f>G99*I99</f>
        <v>615.25160709783609</v>
      </c>
      <c r="K99" s="5"/>
    </row>
    <row r="100" spans="1:14" x14ac:dyDescent="0.25">
      <c r="A100" s="16"/>
      <c r="B100" s="32" t="s">
        <v>58</v>
      </c>
      <c r="C100" s="17"/>
      <c r="D100" s="17"/>
      <c r="E100" s="17"/>
      <c r="F100" s="17"/>
      <c r="G100" s="17"/>
      <c r="H100" s="17"/>
      <c r="I100" s="17"/>
      <c r="J100" s="18">
        <f>0.13*G99*(8481.2)</f>
        <v>386.68248564388915</v>
      </c>
      <c r="K100" s="17"/>
    </row>
    <row r="101" spans="1:14" x14ac:dyDescent="0.25">
      <c r="A101" s="16"/>
      <c r="B101" s="32" t="s">
        <v>32</v>
      </c>
      <c r="C101" s="17"/>
      <c r="D101" s="17"/>
      <c r="E101" s="17"/>
      <c r="F101" s="17"/>
      <c r="G101" s="17"/>
      <c r="H101" s="17"/>
      <c r="I101" s="17"/>
      <c r="J101" s="18">
        <f>0.13*G99*912.17</f>
        <v>41.588473674690647</v>
      </c>
      <c r="K101" s="17"/>
    </row>
    <row r="102" spans="1:14" x14ac:dyDescent="0.25">
      <c r="A102" s="16"/>
      <c r="B102" s="32" t="s">
        <v>33</v>
      </c>
      <c r="C102" s="17"/>
      <c r="D102" s="17"/>
      <c r="E102" s="17"/>
      <c r="F102" s="17"/>
      <c r="G102" s="17"/>
      <c r="H102" s="17"/>
      <c r="I102" s="17"/>
      <c r="J102" s="18">
        <f>0.13*G99*953.37</f>
        <v>43.466901068046333</v>
      </c>
      <c r="K102" s="17"/>
    </row>
    <row r="103" spans="1:14" x14ac:dyDescent="0.25">
      <c r="A103" s="16"/>
      <c r="B103" s="32" t="s">
        <v>39</v>
      </c>
      <c r="C103" s="17"/>
      <c r="D103" s="17"/>
      <c r="E103" s="17"/>
      <c r="F103" s="17"/>
      <c r="G103" s="17"/>
      <c r="H103" s="17"/>
      <c r="I103" s="17"/>
      <c r="J103" s="18">
        <f>0.13*G99*28</f>
        <v>1.2766011411155138</v>
      </c>
      <c r="K103" s="17"/>
    </row>
    <row r="104" spans="1:14" x14ac:dyDescent="0.25">
      <c r="A104" s="16"/>
      <c r="B104" s="17"/>
      <c r="C104" s="17"/>
      <c r="D104" s="17"/>
      <c r="E104" s="17"/>
      <c r="F104" s="17"/>
      <c r="G104" s="17"/>
      <c r="H104" s="17"/>
      <c r="I104" s="17"/>
      <c r="J104" s="17"/>
      <c r="K104" s="17"/>
    </row>
    <row r="105" spans="1:14" ht="135" x14ac:dyDescent="0.25">
      <c r="A105" s="16">
        <v>8</v>
      </c>
      <c r="B105" s="37" t="s">
        <v>41</v>
      </c>
      <c r="C105" s="17"/>
      <c r="D105" s="17"/>
      <c r="E105" s="17"/>
      <c r="F105" s="17"/>
      <c r="G105" s="17"/>
      <c r="H105" s="17"/>
      <c r="I105" s="17"/>
      <c r="J105" s="17"/>
      <c r="K105" s="17"/>
    </row>
    <row r="106" spans="1:14" x14ac:dyDescent="0.25">
      <c r="A106" s="16"/>
      <c r="B106" s="32" t="s">
        <v>43</v>
      </c>
      <c r="C106" s="17">
        <v>1</v>
      </c>
      <c r="D106" s="33">
        <f>7.5+7.4</f>
        <v>14.9</v>
      </c>
      <c r="E106" s="33"/>
      <c r="F106" s="33"/>
      <c r="G106" s="33">
        <f>PRODUCT(C106:F106)</f>
        <v>14.9</v>
      </c>
      <c r="H106" s="17"/>
      <c r="I106" s="17"/>
      <c r="J106" s="17"/>
      <c r="K106" s="17"/>
    </row>
    <row r="107" spans="1:14" ht="15" customHeight="1" x14ac:dyDescent="0.25">
      <c r="A107" s="2"/>
      <c r="B107" s="34" t="s">
        <v>16</v>
      </c>
      <c r="C107" s="3"/>
      <c r="D107" s="4"/>
      <c r="E107" s="5"/>
      <c r="F107" s="5"/>
      <c r="G107" s="6">
        <f>SUM(G106:G106)</f>
        <v>14.9</v>
      </c>
      <c r="H107" s="7" t="s">
        <v>44</v>
      </c>
      <c r="I107" s="6">
        <v>4132.8</v>
      </c>
      <c r="J107" s="18">
        <f>G107*I107</f>
        <v>61578.720000000001</v>
      </c>
      <c r="K107" s="5"/>
    </row>
    <row r="108" spans="1:14" x14ac:dyDescent="0.25">
      <c r="A108" s="16"/>
      <c r="B108" s="32" t="s">
        <v>23</v>
      </c>
      <c r="C108" s="17"/>
      <c r="D108" s="17"/>
      <c r="E108" s="17"/>
      <c r="F108" s="17"/>
      <c r="G108" s="17"/>
      <c r="H108" s="17"/>
      <c r="I108" s="17"/>
      <c r="J108" s="18">
        <f>0.13*J107</f>
        <v>8005.2336000000005</v>
      </c>
      <c r="K108" s="17"/>
    </row>
    <row r="109" spans="1:14" x14ac:dyDescent="0.25">
      <c r="A109" s="16"/>
      <c r="B109" s="17"/>
      <c r="C109" s="17"/>
      <c r="D109" s="17"/>
      <c r="E109" s="17"/>
      <c r="F109" s="17"/>
      <c r="G109" s="17"/>
      <c r="H109" s="17"/>
      <c r="I109" s="17"/>
      <c r="J109" s="17"/>
      <c r="K109" s="17"/>
    </row>
    <row r="110" spans="1:14" ht="45" x14ac:dyDescent="0.25">
      <c r="A110" s="16">
        <v>9</v>
      </c>
      <c r="B110" s="37" t="s">
        <v>59</v>
      </c>
      <c r="C110" s="17" t="s">
        <v>7</v>
      </c>
      <c r="D110" s="38" t="s">
        <v>60</v>
      </c>
      <c r="E110" s="39" t="s">
        <v>61</v>
      </c>
      <c r="F110" s="39" t="s">
        <v>62</v>
      </c>
      <c r="G110" s="17"/>
      <c r="H110" s="17"/>
      <c r="I110" s="17"/>
      <c r="J110" s="17"/>
      <c r="K110" s="17"/>
    </row>
    <row r="111" spans="1:14" ht="45" x14ac:dyDescent="0.25">
      <c r="A111" s="16"/>
      <c r="B111" s="40" t="s">
        <v>63</v>
      </c>
      <c r="C111" s="17">
        <v>1</v>
      </c>
      <c r="D111" s="33">
        <f>(6.667+7+1.833+0.083+1.5+0.083+6)/3.281</f>
        <v>7.0606522401706782</v>
      </c>
      <c r="E111" s="33">
        <v>2.88</v>
      </c>
      <c r="F111" s="33">
        <f>PRODUCT(C111:E111)</f>
        <v>20.334678451691552</v>
      </c>
      <c r="G111" s="33">
        <f>F111</f>
        <v>20.334678451691552</v>
      </c>
      <c r="H111" s="17"/>
      <c r="I111" s="17"/>
      <c r="J111" s="17"/>
      <c r="K111" s="17"/>
    </row>
    <row r="112" spans="1:14" ht="30" x14ac:dyDescent="0.25">
      <c r="A112" s="16"/>
      <c r="B112" s="40" t="s">
        <v>64</v>
      </c>
      <c r="C112" s="17">
        <v>9</v>
      </c>
      <c r="D112" s="33">
        <f>2.5/3.281</f>
        <v>0.76196281621456874</v>
      </c>
      <c r="E112" s="33">
        <v>3.54</v>
      </c>
      <c r="F112" s="33">
        <f>PRODUCT(C112:E112)</f>
        <v>24.276135324596158</v>
      </c>
      <c r="G112" s="33">
        <f>F112</f>
        <v>24.276135324596158</v>
      </c>
      <c r="H112" s="17"/>
      <c r="I112" s="17"/>
      <c r="J112" s="17"/>
      <c r="K112" s="17"/>
      <c r="N112" s="19">
        <f>PRODUCT(D112:E112)</f>
        <v>2.6973483693995735</v>
      </c>
    </row>
    <row r="113" spans="1:13" ht="15" customHeight="1" x14ac:dyDescent="0.25">
      <c r="A113" s="2"/>
      <c r="B113" s="34" t="s">
        <v>16</v>
      </c>
      <c r="C113" s="3"/>
      <c r="D113" s="4"/>
      <c r="E113" s="5"/>
      <c r="F113" s="5"/>
      <c r="G113" s="6">
        <f>SUM(G111:G112)</f>
        <v>44.610813776287713</v>
      </c>
      <c r="H113" s="7" t="s">
        <v>65</v>
      </c>
      <c r="I113" s="6">
        <v>182.51</v>
      </c>
      <c r="J113" s="18">
        <f>G113*I113</f>
        <v>8141.9196223102699</v>
      </c>
      <c r="K113" s="5"/>
    </row>
    <row r="114" spans="1:13" x14ac:dyDescent="0.25">
      <c r="A114" s="16"/>
      <c r="B114" s="32" t="s">
        <v>23</v>
      </c>
      <c r="C114" s="17"/>
      <c r="D114" s="17"/>
      <c r="E114" s="17"/>
      <c r="F114" s="17"/>
      <c r="G114" s="17"/>
      <c r="H114" s="17"/>
      <c r="I114" s="17"/>
      <c r="J114" s="18">
        <f>0.13*G113*(1871.42/18.94)</f>
        <v>573.02660956909426</v>
      </c>
      <c r="K114" s="17"/>
    </row>
    <row r="115" spans="1:13" x14ac:dyDescent="0.25">
      <c r="A115" s="16"/>
      <c r="B115" s="17"/>
      <c r="C115" s="17"/>
      <c r="D115" s="17"/>
      <c r="E115" s="17"/>
      <c r="F115" s="17"/>
      <c r="G115" s="17"/>
      <c r="H115" s="17"/>
      <c r="I115" s="17"/>
      <c r="J115" s="17"/>
      <c r="K115" s="17"/>
    </row>
    <row r="116" spans="1:13" ht="30" x14ac:dyDescent="0.25">
      <c r="A116" s="2">
        <v>10</v>
      </c>
      <c r="B116" s="1" t="s">
        <v>66</v>
      </c>
      <c r="C116" s="3">
        <v>1</v>
      </c>
      <c r="D116" s="4"/>
      <c r="E116" s="5"/>
      <c r="F116" s="5"/>
      <c r="G116" s="7">
        <f t="shared" ref="G116" si="36">PRODUCT(C116:F116)</f>
        <v>1</v>
      </c>
      <c r="H116" s="7" t="s">
        <v>67</v>
      </c>
      <c r="I116" s="6">
        <v>7000</v>
      </c>
      <c r="J116" s="7">
        <f>G116*I116</f>
        <v>7000</v>
      </c>
      <c r="K116" s="5"/>
    </row>
    <row r="117" spans="1:13" x14ac:dyDescent="0.25">
      <c r="A117" s="2"/>
      <c r="B117" s="8"/>
      <c r="C117" s="3"/>
      <c r="D117" s="4"/>
      <c r="E117" s="5"/>
      <c r="F117" s="5"/>
      <c r="G117" s="6"/>
      <c r="H117" s="7"/>
      <c r="I117" s="6"/>
      <c r="J117" s="18"/>
      <c r="K117" s="5"/>
    </row>
    <row r="118" spans="1:13" ht="15" customHeight="1" x14ac:dyDescent="0.25">
      <c r="A118" s="2">
        <v>11</v>
      </c>
      <c r="B118" s="1" t="s">
        <v>18</v>
      </c>
      <c r="C118" s="3">
        <v>1</v>
      </c>
      <c r="D118" s="4"/>
      <c r="E118" s="5"/>
      <c r="F118" s="5"/>
      <c r="G118" s="7">
        <f t="shared" ref="G118" si="37">PRODUCT(C118:F118)</f>
        <v>1</v>
      </c>
      <c r="H118" s="7" t="s">
        <v>19</v>
      </c>
      <c r="I118" s="6">
        <v>500</v>
      </c>
      <c r="J118" s="7">
        <f>G118*I118</f>
        <v>500</v>
      </c>
      <c r="K118" s="5"/>
    </row>
    <row r="119" spans="1:13" x14ac:dyDescent="0.25">
      <c r="A119" s="2"/>
      <c r="B119" s="8"/>
      <c r="C119" s="3"/>
      <c r="D119" s="4"/>
      <c r="E119" s="5"/>
      <c r="F119" s="5"/>
      <c r="G119" s="6"/>
      <c r="H119" s="7"/>
      <c r="I119" s="6"/>
      <c r="J119" s="18"/>
      <c r="K119" s="5"/>
    </row>
    <row r="120" spans="1:13" x14ac:dyDescent="0.25">
      <c r="A120" s="21"/>
      <c r="B120" s="22" t="s">
        <v>21</v>
      </c>
      <c r="C120" s="23"/>
      <c r="D120" s="24"/>
      <c r="E120" s="24"/>
      <c r="F120" s="24"/>
      <c r="G120" s="18"/>
      <c r="H120" s="18"/>
      <c r="I120" s="18"/>
      <c r="J120" s="18">
        <f>SUM(J10:J118)</f>
        <v>569089.07039927552</v>
      </c>
      <c r="K120" s="25"/>
    </row>
    <row r="121" spans="1:13" x14ac:dyDescent="0.25">
      <c r="M121" s="20"/>
    </row>
    <row r="122" spans="1:13" s="20" customFormat="1" x14ac:dyDescent="0.25">
      <c r="A122" s="26"/>
      <c r="B122" s="27" t="s">
        <v>84</v>
      </c>
      <c r="C122" s="65">
        <f>J120</f>
        <v>569089.07039927552</v>
      </c>
      <c r="D122" s="66"/>
      <c r="E122" s="9">
        <v>100</v>
      </c>
      <c r="F122" s="26"/>
      <c r="G122" s="28"/>
      <c r="H122" s="26"/>
      <c r="I122" s="29"/>
      <c r="J122" s="30"/>
      <c r="K122" s="31"/>
      <c r="M122" s="19"/>
    </row>
    <row r="123" spans="1:13" x14ac:dyDescent="0.25">
      <c r="B123" s="27" t="s">
        <v>24</v>
      </c>
      <c r="C123" s="69">
        <v>500000</v>
      </c>
      <c r="D123" s="70"/>
      <c r="E123" s="9"/>
    </row>
    <row r="124" spans="1:13" x14ac:dyDescent="0.25">
      <c r="B124" s="27" t="s">
        <v>25</v>
      </c>
      <c r="C124" s="69">
        <f>C123-C126-C127</f>
        <v>475000</v>
      </c>
      <c r="D124" s="70"/>
      <c r="E124" s="9">
        <f>C124/C122*100</f>
        <v>83.466723349077469</v>
      </c>
    </row>
    <row r="125" spans="1:13" x14ac:dyDescent="0.25">
      <c r="B125" s="27" t="s">
        <v>40</v>
      </c>
      <c r="C125" s="71">
        <f>C122-C124</f>
        <v>94089.070399275515</v>
      </c>
      <c r="D125" s="71"/>
      <c r="E125" s="9">
        <f>100-E124</f>
        <v>16.533276650922531</v>
      </c>
    </row>
    <row r="126" spans="1:13" x14ac:dyDescent="0.25">
      <c r="B126" s="27" t="s">
        <v>26</v>
      </c>
      <c r="C126" s="65">
        <f>C123*0.03</f>
        <v>15000</v>
      </c>
      <c r="D126" s="66"/>
      <c r="E126" s="9">
        <v>3</v>
      </c>
    </row>
    <row r="127" spans="1:13" x14ac:dyDescent="0.25">
      <c r="B127" s="27" t="s">
        <v>27</v>
      </c>
      <c r="C127" s="65">
        <f>C123*0.02</f>
        <v>10000</v>
      </c>
      <c r="D127" s="66"/>
      <c r="E127" s="9">
        <v>2</v>
      </c>
    </row>
  </sheetData>
  <mergeCells count="15">
    <mergeCell ref="A6:F6"/>
    <mergeCell ref="H6:K6"/>
    <mergeCell ref="A1:K1"/>
    <mergeCell ref="A2:K2"/>
    <mergeCell ref="A3:K3"/>
    <mergeCell ref="A4:K4"/>
    <mergeCell ref="A5:K5"/>
    <mergeCell ref="C126:D126"/>
    <mergeCell ref="C127:D127"/>
    <mergeCell ref="A7:F7"/>
    <mergeCell ref="H7:K7"/>
    <mergeCell ref="C122:D122"/>
    <mergeCell ref="C123:D123"/>
    <mergeCell ref="C124:D124"/>
    <mergeCell ref="C125:D12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76D98-3BC7-4A5E-8616-C32DDB337D93}">
  <dimension ref="A1:O127"/>
  <sheetViews>
    <sheetView tabSelected="1" view="pageBreakPreview" zoomScale="95" zoomScaleNormal="90" zoomScaleSheetLayoutView="95" workbookViewId="0">
      <selection activeCell="K8" sqref="K8"/>
    </sheetView>
  </sheetViews>
  <sheetFormatPr defaultColWidth="9.140625" defaultRowHeight="15" x14ac:dyDescent="0.25"/>
  <cols>
    <col min="1" max="1" width="4.7109375" style="19" customWidth="1"/>
    <col min="2" max="2" width="38.570312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6384" width="9.140625" style="19"/>
  </cols>
  <sheetData>
    <row r="1" spans="1:11" x14ac:dyDescent="0.25">
      <c r="A1" s="74" t="s">
        <v>0</v>
      </c>
      <c r="B1" s="74"/>
      <c r="C1" s="74"/>
      <c r="D1" s="74"/>
      <c r="E1" s="74"/>
      <c r="F1" s="74"/>
      <c r="G1" s="74"/>
      <c r="H1" s="74"/>
      <c r="I1" s="74"/>
      <c r="J1" s="74"/>
      <c r="K1" s="74"/>
    </row>
    <row r="2" spans="1:11" ht="22.5" x14ac:dyDescent="0.25">
      <c r="A2" s="75" t="s">
        <v>1</v>
      </c>
      <c r="B2" s="75"/>
      <c r="C2" s="75"/>
      <c r="D2" s="75"/>
      <c r="E2" s="75"/>
      <c r="F2" s="75"/>
      <c r="G2" s="75"/>
      <c r="H2" s="75"/>
      <c r="I2" s="75"/>
      <c r="J2" s="75"/>
      <c r="K2" s="75"/>
    </row>
    <row r="3" spans="1:11" x14ac:dyDescent="0.25">
      <c r="A3" s="76" t="s">
        <v>2</v>
      </c>
      <c r="B3" s="76"/>
      <c r="C3" s="76"/>
      <c r="D3" s="76"/>
      <c r="E3" s="76"/>
      <c r="F3" s="76"/>
      <c r="G3" s="76"/>
      <c r="H3" s="76"/>
      <c r="I3" s="76"/>
      <c r="J3" s="76"/>
      <c r="K3" s="76"/>
    </row>
    <row r="4" spans="1:11" x14ac:dyDescent="0.25">
      <c r="A4" s="76" t="s">
        <v>3</v>
      </c>
      <c r="B4" s="76"/>
      <c r="C4" s="76"/>
      <c r="D4" s="76"/>
      <c r="E4" s="76"/>
      <c r="F4" s="76"/>
      <c r="G4" s="76"/>
      <c r="H4" s="76"/>
      <c r="I4" s="76"/>
      <c r="J4" s="76"/>
      <c r="K4" s="76"/>
    </row>
    <row r="5" spans="1:11" ht="18.75" x14ac:dyDescent="0.3">
      <c r="A5" s="77" t="s">
        <v>86</v>
      </c>
      <c r="B5" s="77"/>
      <c r="C5" s="77"/>
      <c r="D5" s="77"/>
      <c r="E5" s="77"/>
      <c r="F5" s="77"/>
      <c r="G5" s="77"/>
      <c r="H5" s="77"/>
      <c r="I5" s="77"/>
      <c r="J5" s="77"/>
      <c r="K5" s="77"/>
    </row>
    <row r="6" spans="1:11" ht="18" x14ac:dyDescent="0.25">
      <c r="A6" s="72" t="s">
        <v>42</v>
      </c>
      <c r="B6" s="72"/>
      <c r="C6" s="72"/>
      <c r="D6" s="72"/>
      <c r="E6" s="72"/>
      <c r="F6" s="72"/>
      <c r="G6" s="10"/>
      <c r="I6" s="64"/>
      <c r="J6" s="64"/>
      <c r="K6" s="42" t="s">
        <v>28</v>
      </c>
    </row>
    <row r="7" spans="1:11" ht="15.75" x14ac:dyDescent="0.25">
      <c r="A7" s="67" t="s">
        <v>68</v>
      </c>
      <c r="B7" s="67"/>
      <c r="C7" s="67"/>
      <c r="D7" s="67"/>
      <c r="E7" s="67"/>
      <c r="F7" s="67"/>
      <c r="G7" s="11"/>
      <c r="I7" s="63"/>
      <c r="J7" s="63"/>
      <c r="K7" s="41" t="s">
        <v>88</v>
      </c>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141.75" x14ac:dyDescent="0.25">
      <c r="A9" s="16">
        <v>1</v>
      </c>
      <c r="B9" s="35" t="s">
        <v>45</v>
      </c>
      <c r="C9" s="17"/>
      <c r="D9" s="17"/>
      <c r="E9" s="17"/>
      <c r="F9" s="17"/>
      <c r="G9" s="17"/>
      <c r="H9" s="17"/>
      <c r="I9" s="17"/>
      <c r="J9" s="17"/>
      <c r="K9" s="17"/>
    </row>
    <row r="10" spans="1:11" x14ac:dyDescent="0.25">
      <c r="A10" s="16"/>
      <c r="B10" s="32" t="s">
        <v>46</v>
      </c>
      <c r="C10" s="17">
        <f>C85</f>
        <v>1</v>
      </c>
      <c r="D10" s="33">
        <f>D85</f>
        <v>8.6</v>
      </c>
      <c r="E10" s="33">
        <f>E85</f>
        <v>2.6033221578786954</v>
      </c>
      <c r="F10" s="33">
        <v>0.15</v>
      </c>
      <c r="G10" s="33">
        <f>PRODUCT(C10:F10)</f>
        <v>3.3582855836635166</v>
      </c>
      <c r="H10" s="17"/>
      <c r="I10" s="17"/>
      <c r="J10" s="17"/>
      <c r="K10" s="17"/>
    </row>
    <row r="11" spans="1:11" x14ac:dyDescent="0.25">
      <c r="A11" s="16"/>
      <c r="B11" s="32"/>
      <c r="C11" s="17">
        <f t="shared" ref="C11:E15" si="0">C86</f>
        <v>1</v>
      </c>
      <c r="D11" s="33">
        <f t="shared" si="0"/>
        <v>3.2307223407497712</v>
      </c>
      <c r="E11" s="33">
        <f t="shared" si="0"/>
        <v>3.3273392258457783</v>
      </c>
      <c r="F11" s="33">
        <v>0.23</v>
      </c>
      <c r="G11" s="33">
        <f t="shared" ref="G11:G20" si="1">PRODUCT(C11:F11)</f>
        <v>2.472433109604391</v>
      </c>
      <c r="H11" s="17"/>
      <c r="I11" s="17"/>
      <c r="J11" s="17"/>
      <c r="K11" s="17"/>
    </row>
    <row r="12" spans="1:11" x14ac:dyDescent="0.25">
      <c r="A12" s="16"/>
      <c r="B12" s="32"/>
      <c r="C12" s="17">
        <f t="shared" si="0"/>
        <v>1</v>
      </c>
      <c r="D12" s="33">
        <f t="shared" si="0"/>
        <v>3.3017372752209693</v>
      </c>
      <c r="E12" s="33">
        <f t="shared" si="0"/>
        <v>2.4256324291374578</v>
      </c>
      <c r="F12" s="33">
        <v>0.23</v>
      </c>
      <c r="G12" s="33">
        <f t="shared" si="1"/>
        <v>1.842024231671624</v>
      </c>
      <c r="H12" s="17"/>
      <c r="I12" s="17"/>
      <c r="J12" s="17"/>
      <c r="K12" s="17"/>
    </row>
    <row r="13" spans="1:11" x14ac:dyDescent="0.25">
      <c r="A13" s="16"/>
      <c r="B13" s="32"/>
      <c r="C13" s="17">
        <f t="shared" si="0"/>
        <v>1</v>
      </c>
      <c r="D13" s="33">
        <f t="shared" si="0"/>
        <v>2.895458701615361</v>
      </c>
      <c r="E13" s="33">
        <f t="shared" si="0"/>
        <v>1.6763181956720512</v>
      </c>
      <c r="F13" s="33">
        <v>0.23</v>
      </c>
      <c r="G13" s="33">
        <f t="shared" si="1"/>
        <v>1.1163533244570045</v>
      </c>
      <c r="H13" s="17"/>
      <c r="I13" s="17"/>
      <c r="J13" s="17"/>
      <c r="K13" s="17"/>
    </row>
    <row r="14" spans="1:11" x14ac:dyDescent="0.25">
      <c r="A14" s="16"/>
      <c r="B14" s="32"/>
      <c r="C14" s="17">
        <f t="shared" si="0"/>
        <v>1</v>
      </c>
      <c r="D14" s="33">
        <f t="shared" si="0"/>
        <v>2.2858884486437061</v>
      </c>
      <c r="E14" s="33">
        <f t="shared" si="0"/>
        <v>2.0572996037793354</v>
      </c>
      <c r="F14" s="33">
        <v>0.23</v>
      </c>
      <c r="G14" s="33">
        <f t="shared" si="1"/>
        <v>1.081634201926045</v>
      </c>
      <c r="H14" s="17"/>
      <c r="I14" s="17"/>
      <c r="J14" s="17"/>
      <c r="K14" s="17"/>
    </row>
    <row r="15" spans="1:11" x14ac:dyDescent="0.25">
      <c r="A15" s="16"/>
      <c r="B15" s="32"/>
      <c r="C15" s="17">
        <f t="shared" si="0"/>
        <v>1</v>
      </c>
      <c r="D15" s="33">
        <f t="shared" si="0"/>
        <v>2.0572996037793354</v>
      </c>
      <c r="E15" s="33">
        <f t="shared" si="0"/>
        <v>0.68576653459311188</v>
      </c>
      <c r="F15" s="33">
        <v>0.23</v>
      </c>
      <c r="G15" s="33">
        <f t="shared" si="1"/>
        <v>0.32449026057781349</v>
      </c>
      <c r="H15" s="17"/>
      <c r="I15" s="17"/>
      <c r="J15" s="17"/>
      <c r="K15" s="17"/>
    </row>
    <row r="16" spans="1:11" x14ac:dyDescent="0.25">
      <c r="A16" s="16"/>
      <c r="B16" s="32" t="s">
        <v>47</v>
      </c>
      <c r="C16" s="17">
        <v>1</v>
      </c>
      <c r="D16" s="33">
        <f>4.5/3.281</f>
        <v>1.3715330691862238</v>
      </c>
      <c r="E16" s="33">
        <f>(1+0.75+0.75+1+1)/3.281</f>
        <v>1.3715330691862238</v>
      </c>
      <c r="F16" s="33">
        <v>0.3</v>
      </c>
      <c r="G16" s="33">
        <f t="shared" si="1"/>
        <v>0.56433088796141484</v>
      </c>
      <c r="H16" s="17"/>
      <c r="I16" s="17"/>
      <c r="J16" s="17"/>
      <c r="K16" s="17"/>
    </row>
    <row r="17" spans="1:13" x14ac:dyDescent="0.25">
      <c r="A17" s="16"/>
      <c r="B17" s="32"/>
      <c r="C17" s="17">
        <v>1</v>
      </c>
      <c r="D17" s="33">
        <f>2.75/3.281</f>
        <v>0.8381590978360256</v>
      </c>
      <c r="E17" s="33">
        <f>4*(0.917/3.281)</f>
        <v>1.1179518439500153</v>
      </c>
      <c r="F17" s="33">
        <v>0.3</v>
      </c>
      <c r="G17" s="33">
        <f t="shared" si="1"/>
        <v>0.28110645268477985</v>
      </c>
      <c r="H17" s="17"/>
      <c r="I17" s="17"/>
      <c r="J17" s="17"/>
      <c r="K17" s="17"/>
    </row>
    <row r="18" spans="1:13" x14ac:dyDescent="0.25">
      <c r="A18" s="16"/>
      <c r="B18" s="32"/>
      <c r="C18" s="17">
        <v>1</v>
      </c>
      <c r="D18" s="33">
        <f>7/3.281</f>
        <v>2.1334958854007922</v>
      </c>
      <c r="E18" s="33">
        <f>4.5/3.281</f>
        <v>1.3715330691862238</v>
      </c>
      <c r="F18" s="33">
        <v>0.15</v>
      </c>
      <c r="G18" s="33">
        <f t="shared" si="1"/>
        <v>0.43892402396998925</v>
      </c>
      <c r="H18" s="17"/>
      <c r="I18" s="17"/>
      <c r="J18" s="17"/>
      <c r="K18" s="17"/>
    </row>
    <row r="19" spans="1:13" x14ac:dyDescent="0.25">
      <c r="A19" s="16"/>
      <c r="B19" s="32" t="s">
        <v>48</v>
      </c>
      <c r="C19" s="17">
        <f>C97</f>
        <v>1</v>
      </c>
      <c r="D19" s="33">
        <f>D97</f>
        <v>4.3499999999999996</v>
      </c>
      <c r="E19" s="33">
        <f t="shared" ref="E19:F20" si="2">E97</f>
        <v>0.23</v>
      </c>
      <c r="F19" s="33">
        <f t="shared" si="2"/>
        <v>0.25398760540485626</v>
      </c>
      <c r="G19" s="33">
        <f t="shared" si="1"/>
        <v>0.25411459920755869</v>
      </c>
      <c r="H19" s="17"/>
      <c r="I19" s="17"/>
      <c r="J19" s="17"/>
      <c r="K19" s="17"/>
    </row>
    <row r="20" spans="1:13" x14ac:dyDescent="0.25">
      <c r="A20" s="16"/>
      <c r="B20" s="32"/>
      <c r="C20" s="17">
        <f>C98</f>
        <v>1</v>
      </c>
      <c r="D20" s="33">
        <f>D98</f>
        <v>4.2</v>
      </c>
      <c r="E20" s="33">
        <f t="shared" si="2"/>
        <v>0.23</v>
      </c>
      <c r="F20" s="33">
        <v>0.125</v>
      </c>
      <c r="G20" s="33">
        <f t="shared" si="1"/>
        <v>0.12075000000000001</v>
      </c>
      <c r="H20" s="17"/>
      <c r="I20" s="17"/>
      <c r="J20" s="17"/>
      <c r="K20" s="17"/>
    </row>
    <row r="21" spans="1:13" ht="15" customHeight="1" x14ac:dyDescent="0.25">
      <c r="A21" s="2"/>
      <c r="B21" s="34" t="s">
        <v>16</v>
      </c>
      <c r="C21" s="3"/>
      <c r="D21" s="4"/>
      <c r="E21" s="5"/>
      <c r="F21" s="5"/>
      <c r="G21" s="6">
        <f>SUM(G10:G20)</f>
        <v>11.854446675724136</v>
      </c>
      <c r="H21" s="7" t="s">
        <v>17</v>
      </c>
      <c r="I21" s="6">
        <v>748.9</v>
      </c>
      <c r="J21" s="18">
        <f>G21*I21</f>
        <v>8877.7951154498041</v>
      </c>
      <c r="K21" s="5"/>
    </row>
    <row r="22" spans="1:13" x14ac:dyDescent="0.25">
      <c r="A22" s="16"/>
      <c r="B22" s="17"/>
      <c r="C22" s="17"/>
      <c r="D22" s="17"/>
      <c r="E22" s="17"/>
      <c r="F22" s="17"/>
      <c r="G22" s="17"/>
      <c r="H22" s="17"/>
      <c r="I22" s="17"/>
      <c r="J22" s="17"/>
      <c r="K22" s="17"/>
    </row>
    <row r="23" spans="1:13" ht="141.75" x14ac:dyDescent="0.25">
      <c r="A23" s="16">
        <v>2</v>
      </c>
      <c r="B23" s="35" t="s">
        <v>38</v>
      </c>
      <c r="C23" s="17"/>
      <c r="D23" s="17"/>
      <c r="E23" s="17"/>
      <c r="F23" s="17"/>
      <c r="G23" s="17"/>
      <c r="H23" s="17"/>
      <c r="I23" s="17"/>
      <c r="J23" s="17"/>
      <c r="K23" s="17"/>
    </row>
    <row r="24" spans="1:13" x14ac:dyDescent="0.25">
      <c r="A24" s="16"/>
      <c r="B24" s="32" t="s">
        <v>29</v>
      </c>
      <c r="C24" s="17">
        <v>1</v>
      </c>
      <c r="D24" s="33">
        <f>D29</f>
        <v>6.65</v>
      </c>
      <c r="E24" s="33">
        <v>1.9</v>
      </c>
      <c r="F24" s="33">
        <f>2.833/3.281</f>
        <v>0.86345626333434933</v>
      </c>
      <c r="G24" s="33">
        <f>PRODUCT(C24:F24)</f>
        <v>10.909769887229503</v>
      </c>
      <c r="H24" s="17"/>
      <c r="I24" s="17"/>
      <c r="J24" s="17"/>
      <c r="K24" s="17"/>
      <c r="M24" s="19">
        <f>0.8*3.281</f>
        <v>2.6248000000000005</v>
      </c>
    </row>
    <row r="25" spans="1:13" ht="15" customHeight="1" x14ac:dyDescent="0.25">
      <c r="A25" s="2"/>
      <c r="B25" s="34" t="s">
        <v>16</v>
      </c>
      <c r="C25" s="3"/>
      <c r="D25" s="4"/>
      <c r="E25" s="5"/>
      <c r="F25" s="5"/>
      <c r="G25" s="6">
        <f>SUM(G24:G24)</f>
        <v>10.909769887229503</v>
      </c>
      <c r="H25" s="7" t="s">
        <v>17</v>
      </c>
      <c r="I25" s="6">
        <v>62.95</v>
      </c>
      <c r="J25" s="18">
        <f>G25*I25</f>
        <v>686.77001440109723</v>
      </c>
      <c r="K25" s="5"/>
    </row>
    <row r="26" spans="1:13" hidden="1" x14ac:dyDescent="0.25">
      <c r="A26" s="16"/>
      <c r="B26" s="32" t="s">
        <v>23</v>
      </c>
      <c r="C26" s="17"/>
      <c r="D26" s="17"/>
      <c r="E26" s="17"/>
      <c r="F26" s="17"/>
      <c r="G26" s="17"/>
      <c r="H26" s="17"/>
      <c r="I26" s="17"/>
      <c r="J26" s="18">
        <f>0.13*G25*(18612)/360</f>
        <v>73.324563412069494</v>
      </c>
      <c r="K26" s="17"/>
    </row>
    <row r="27" spans="1:13" x14ac:dyDescent="0.25">
      <c r="A27" s="16"/>
      <c r="B27" s="17"/>
      <c r="C27" s="17"/>
      <c r="D27" s="17"/>
      <c r="E27" s="17"/>
      <c r="F27" s="17"/>
      <c r="G27" s="17"/>
      <c r="H27" s="17"/>
      <c r="I27" s="17"/>
      <c r="J27" s="17"/>
      <c r="K27" s="17"/>
    </row>
    <row r="28" spans="1:13" ht="78.75" x14ac:dyDescent="0.25">
      <c r="A28" s="16">
        <v>3</v>
      </c>
      <c r="B28" s="35" t="s">
        <v>30</v>
      </c>
      <c r="C28" s="17"/>
      <c r="D28" s="17"/>
      <c r="E28" s="17"/>
      <c r="F28" s="17"/>
      <c r="G28" s="17"/>
      <c r="H28" s="17"/>
      <c r="I28" s="17"/>
      <c r="J28" s="17"/>
      <c r="K28" s="17"/>
    </row>
    <row r="29" spans="1:13" x14ac:dyDescent="0.25">
      <c r="A29" s="16"/>
      <c r="B29" s="32" t="str">
        <f>B24</f>
        <v>-for masonary wall</v>
      </c>
      <c r="C29" s="17">
        <v>1</v>
      </c>
      <c r="D29" s="33">
        <f>D44</f>
        <v>6.65</v>
      </c>
      <c r="E29" s="33">
        <v>1.8</v>
      </c>
      <c r="F29" s="33">
        <v>0.15</v>
      </c>
      <c r="G29" s="33">
        <f>PRODUCT(C29:F29)</f>
        <v>1.7955000000000001</v>
      </c>
      <c r="H29" s="17"/>
      <c r="I29" s="17"/>
      <c r="J29" s="17"/>
      <c r="K29" s="17"/>
    </row>
    <row r="30" spans="1:13" x14ac:dyDescent="0.25">
      <c r="A30" s="16"/>
      <c r="B30" s="32"/>
      <c r="C30" s="17">
        <v>1</v>
      </c>
      <c r="D30" s="33">
        <f>D47</f>
        <v>1.3715330691862238</v>
      </c>
      <c r="E30" s="33">
        <f>0.5</f>
        <v>0.5</v>
      </c>
      <c r="F30" s="33">
        <v>0.15</v>
      </c>
      <c r="G30" s="33">
        <f>PRODUCT(C30:F30)</f>
        <v>0.10286498018896678</v>
      </c>
      <c r="H30" s="17"/>
      <c r="I30" s="17"/>
      <c r="J30" s="17"/>
      <c r="K30" s="17"/>
    </row>
    <row r="31" spans="1:13" x14ac:dyDescent="0.25">
      <c r="A31" s="16"/>
      <c r="B31" s="32" t="str">
        <f>B10</f>
        <v>-for levelling</v>
      </c>
      <c r="C31" s="17">
        <f>C10</f>
        <v>1</v>
      </c>
      <c r="D31" s="33">
        <f>D10</f>
        <v>8.6</v>
      </c>
      <c r="E31" s="33">
        <f>E10</f>
        <v>2.6033221578786954</v>
      </c>
      <c r="F31" s="33">
        <v>0.15</v>
      </c>
      <c r="G31" s="33">
        <f t="shared" ref="G31:G39" si="3">PRODUCT(C31:F31)</f>
        <v>3.3582855836635166</v>
      </c>
      <c r="H31" s="17"/>
      <c r="I31" s="17"/>
      <c r="J31" s="17"/>
      <c r="K31" s="17"/>
    </row>
    <row r="32" spans="1:13" x14ac:dyDescent="0.25">
      <c r="A32" s="16"/>
      <c r="B32" s="32"/>
      <c r="C32" s="17">
        <f>C11</f>
        <v>1</v>
      </c>
      <c r="D32" s="33">
        <f t="shared" ref="D32:E37" si="4">D11</f>
        <v>3.2307223407497712</v>
      </c>
      <c r="E32" s="33">
        <f t="shared" si="4"/>
        <v>3.3273392258457783</v>
      </c>
      <c r="F32" s="33">
        <v>0.15</v>
      </c>
      <c r="G32" s="33">
        <f t="shared" si="3"/>
        <v>1.6124563758289505</v>
      </c>
      <c r="H32" s="17"/>
      <c r="I32" s="17"/>
      <c r="J32" s="17"/>
      <c r="K32" s="17"/>
    </row>
    <row r="33" spans="1:11" x14ac:dyDescent="0.25">
      <c r="A33" s="16"/>
      <c r="B33" s="32"/>
      <c r="C33" s="17">
        <f t="shared" ref="C33:C36" si="5">C12</f>
        <v>1</v>
      </c>
      <c r="D33" s="33">
        <f t="shared" si="4"/>
        <v>3.3017372752209693</v>
      </c>
      <c r="E33" s="33">
        <f t="shared" si="4"/>
        <v>2.4256324291374578</v>
      </c>
      <c r="F33" s="33">
        <v>0.15</v>
      </c>
      <c r="G33" s="33">
        <f t="shared" si="3"/>
        <v>1.2013201510901894</v>
      </c>
      <c r="H33" s="17"/>
      <c r="I33" s="17"/>
      <c r="J33" s="17"/>
      <c r="K33" s="17"/>
    </row>
    <row r="34" spans="1:11" x14ac:dyDescent="0.25">
      <c r="A34" s="16"/>
      <c r="B34" s="32"/>
      <c r="C34" s="17">
        <f t="shared" si="5"/>
        <v>1</v>
      </c>
      <c r="D34" s="33">
        <f t="shared" si="4"/>
        <v>2.895458701615361</v>
      </c>
      <c r="E34" s="33">
        <f t="shared" si="4"/>
        <v>1.6763181956720512</v>
      </c>
      <c r="F34" s="33">
        <v>0.15</v>
      </c>
      <c r="G34" s="33">
        <f t="shared" si="3"/>
        <v>0.72805651595022025</v>
      </c>
      <c r="H34" s="17"/>
      <c r="I34" s="17"/>
      <c r="J34" s="17"/>
      <c r="K34" s="17"/>
    </row>
    <row r="35" spans="1:11" x14ac:dyDescent="0.25">
      <c r="A35" s="16"/>
      <c r="B35" s="32"/>
      <c r="C35" s="17">
        <f t="shared" si="5"/>
        <v>1</v>
      </c>
      <c r="D35" s="33">
        <f t="shared" si="4"/>
        <v>2.2858884486437061</v>
      </c>
      <c r="E35" s="33">
        <f t="shared" si="4"/>
        <v>2.0572996037793354</v>
      </c>
      <c r="F35" s="33">
        <v>0.15</v>
      </c>
      <c r="G35" s="33">
        <f t="shared" si="3"/>
        <v>0.70541360995176849</v>
      </c>
      <c r="H35" s="17"/>
      <c r="I35" s="17"/>
      <c r="J35" s="17"/>
      <c r="K35" s="17"/>
    </row>
    <row r="36" spans="1:11" x14ac:dyDescent="0.25">
      <c r="A36" s="16"/>
      <c r="B36" s="32"/>
      <c r="C36" s="17">
        <f t="shared" si="5"/>
        <v>1</v>
      </c>
      <c r="D36" s="33">
        <f t="shared" si="4"/>
        <v>2.0572996037793354</v>
      </c>
      <c r="E36" s="33">
        <f t="shared" si="4"/>
        <v>0.68576653459311188</v>
      </c>
      <c r="F36" s="33">
        <v>0.15</v>
      </c>
      <c r="G36" s="33">
        <f t="shared" si="3"/>
        <v>0.21162408298553054</v>
      </c>
      <c r="H36" s="17"/>
      <c r="I36" s="17"/>
      <c r="J36" s="17"/>
      <c r="K36" s="17"/>
    </row>
    <row r="37" spans="1:11" x14ac:dyDescent="0.25">
      <c r="A37" s="16"/>
      <c r="B37" s="32" t="str">
        <f t="shared" ref="B37" si="6">B16</f>
        <v>-for steps</v>
      </c>
      <c r="C37" s="17">
        <f>C16</f>
        <v>1</v>
      </c>
      <c r="D37" s="33">
        <f t="shared" si="4"/>
        <v>1.3715330691862238</v>
      </c>
      <c r="E37" s="33">
        <f t="shared" si="4"/>
        <v>1.3715330691862238</v>
      </c>
      <c r="F37" s="33">
        <v>0.15</v>
      </c>
      <c r="G37" s="33">
        <f t="shared" si="3"/>
        <v>0.28216544398070742</v>
      </c>
      <c r="H37" s="17"/>
      <c r="I37" s="17"/>
      <c r="J37" s="17"/>
      <c r="K37" s="17"/>
    </row>
    <row r="38" spans="1:11" x14ac:dyDescent="0.25">
      <c r="A38" s="16"/>
      <c r="B38" s="32"/>
      <c r="C38" s="17">
        <f t="shared" ref="C38:E39" si="7">C17</f>
        <v>1</v>
      </c>
      <c r="D38" s="33">
        <f t="shared" si="7"/>
        <v>0.8381590978360256</v>
      </c>
      <c r="E38" s="33">
        <f t="shared" si="7"/>
        <v>1.1179518439500153</v>
      </c>
      <c r="F38" s="33">
        <v>0.15</v>
      </c>
      <c r="G38" s="33">
        <f t="shared" si="3"/>
        <v>0.14055322634238993</v>
      </c>
      <c r="H38" s="17"/>
      <c r="I38" s="17"/>
      <c r="J38" s="17"/>
      <c r="K38" s="17"/>
    </row>
    <row r="39" spans="1:11" x14ac:dyDescent="0.25">
      <c r="A39" s="16"/>
      <c r="B39" s="32"/>
      <c r="C39" s="17">
        <f t="shared" si="7"/>
        <v>1</v>
      </c>
      <c r="D39" s="33">
        <f t="shared" si="7"/>
        <v>2.1334958854007922</v>
      </c>
      <c r="E39" s="33">
        <f t="shared" si="7"/>
        <v>1.3715330691862238</v>
      </c>
      <c r="F39" s="33">
        <v>0.15</v>
      </c>
      <c r="G39" s="33">
        <f t="shared" si="3"/>
        <v>0.43892402396998925</v>
      </c>
      <c r="H39" s="17"/>
      <c r="I39" s="17"/>
      <c r="J39" s="17"/>
      <c r="K39" s="17"/>
    </row>
    <row r="40" spans="1:11" ht="15" customHeight="1" x14ac:dyDescent="0.25">
      <c r="A40" s="2"/>
      <c r="B40" s="34" t="s">
        <v>16</v>
      </c>
      <c r="C40" s="3"/>
      <c r="D40" s="4"/>
      <c r="E40" s="5"/>
      <c r="F40" s="5"/>
      <c r="G40" s="6">
        <f>SUM(G29:G39)</f>
        <v>10.57716399395223</v>
      </c>
      <c r="H40" s="7" t="s">
        <v>17</v>
      </c>
      <c r="I40" s="6">
        <v>4458.5200000000004</v>
      </c>
      <c r="J40" s="18">
        <f>G40*I40</f>
        <v>47158.497210315902</v>
      </c>
      <c r="K40" s="5"/>
    </row>
    <row r="41" spans="1:11" hidden="1" x14ac:dyDescent="0.25">
      <c r="A41" s="16"/>
      <c r="B41" s="32" t="s">
        <v>23</v>
      </c>
      <c r="C41" s="17"/>
      <c r="D41" s="17"/>
      <c r="E41" s="17"/>
      <c r="F41" s="17"/>
      <c r="G41" s="17"/>
      <c r="H41" s="17"/>
      <c r="I41" s="17"/>
      <c r="J41" s="18">
        <f>0.13*G40*(14817.6)/5</f>
        <v>4074.9328151164509</v>
      </c>
      <c r="K41" s="17"/>
    </row>
    <row r="42" spans="1:11" x14ac:dyDescent="0.25">
      <c r="A42" s="16"/>
      <c r="B42" s="17"/>
      <c r="C42" s="17"/>
      <c r="D42" s="17"/>
      <c r="E42" s="17"/>
      <c r="F42" s="17"/>
      <c r="G42" s="17"/>
      <c r="H42" s="17"/>
      <c r="I42" s="17"/>
      <c r="J42" s="17"/>
      <c r="K42" s="17"/>
    </row>
    <row r="43" spans="1:11" ht="63" x14ac:dyDescent="0.25">
      <c r="A43" s="16">
        <v>4</v>
      </c>
      <c r="B43" s="35" t="s">
        <v>31</v>
      </c>
      <c r="C43" s="17"/>
      <c r="D43" s="17"/>
      <c r="E43" s="17"/>
      <c r="F43" s="17"/>
      <c r="G43" s="17"/>
      <c r="H43" s="17"/>
      <c r="I43" s="17"/>
      <c r="J43" s="17"/>
      <c r="K43" s="17"/>
    </row>
    <row r="44" spans="1:11" x14ac:dyDescent="0.25">
      <c r="A44" s="16"/>
      <c r="B44" s="32" t="str">
        <f>B29</f>
        <v>-for masonary wall</v>
      </c>
      <c r="C44" s="17">
        <v>1</v>
      </c>
      <c r="D44" s="33">
        <f>D74</f>
        <v>6.65</v>
      </c>
      <c r="E44" s="33">
        <v>1.8</v>
      </c>
      <c r="F44" s="33">
        <v>0.05</v>
      </c>
      <c r="G44" s="33">
        <f>PRODUCT(C44:F44)</f>
        <v>0.59850000000000003</v>
      </c>
      <c r="H44" s="17"/>
      <c r="I44" s="17"/>
      <c r="J44" s="17"/>
      <c r="K44" s="17"/>
    </row>
    <row r="45" spans="1:11" x14ac:dyDescent="0.25">
      <c r="A45" s="16"/>
      <c r="B45" s="32"/>
      <c r="C45" s="17">
        <v>1</v>
      </c>
      <c r="D45" s="33">
        <f>D44</f>
        <v>6.65</v>
      </c>
      <c r="E45" s="33">
        <v>0.5</v>
      </c>
      <c r="F45" s="33">
        <v>0.05</v>
      </c>
      <c r="G45" s="33">
        <f>PRODUCT(C45:F45)</f>
        <v>0.16625000000000001</v>
      </c>
      <c r="H45" s="17"/>
      <c r="I45" s="17"/>
      <c r="J45" s="17"/>
      <c r="K45" s="17"/>
    </row>
    <row r="46" spans="1:11" x14ac:dyDescent="0.25">
      <c r="A46" s="16"/>
      <c r="B46" s="32"/>
      <c r="C46" s="17">
        <v>1</v>
      </c>
      <c r="D46" s="33">
        <f>D75</f>
        <v>2.2000000000000002</v>
      </c>
      <c r="E46" s="33">
        <v>0.45</v>
      </c>
      <c r="F46" s="33">
        <v>0.05</v>
      </c>
      <c r="G46" s="33">
        <f t="shared" ref="G46:G65" si="8">PRODUCT(C46:F46)</f>
        <v>4.9500000000000009E-2</v>
      </c>
      <c r="H46" s="17"/>
      <c r="I46" s="17"/>
      <c r="J46" s="17"/>
      <c r="K46" s="17"/>
    </row>
    <row r="47" spans="1:11" x14ac:dyDescent="0.25">
      <c r="A47" s="16"/>
      <c r="B47" s="32"/>
      <c r="C47" s="17">
        <v>1</v>
      </c>
      <c r="D47" s="33">
        <f>D77</f>
        <v>1.3715330691862238</v>
      </c>
      <c r="E47" s="33">
        <f>E77</f>
        <v>0.45</v>
      </c>
      <c r="F47" s="33">
        <v>0.05</v>
      </c>
      <c r="G47" s="33">
        <f t="shared" si="8"/>
        <v>3.0859494056690036E-2</v>
      </c>
      <c r="H47" s="17"/>
      <c r="I47" s="17"/>
      <c r="J47" s="17"/>
      <c r="K47" s="17"/>
    </row>
    <row r="48" spans="1:11" x14ac:dyDescent="0.25">
      <c r="A48" s="16"/>
      <c r="B48" s="32" t="str">
        <f>B31</f>
        <v>-for levelling</v>
      </c>
      <c r="C48" s="17">
        <f>C85</f>
        <v>1</v>
      </c>
      <c r="D48" s="33">
        <f>D85</f>
        <v>8.6</v>
      </c>
      <c r="E48" s="33">
        <f>E85</f>
        <v>2.6033221578786954</v>
      </c>
      <c r="F48" s="33">
        <v>0.05</v>
      </c>
      <c r="G48" s="33">
        <f t="shared" si="8"/>
        <v>1.1194285278878391</v>
      </c>
      <c r="H48" s="17"/>
      <c r="I48" s="17"/>
      <c r="J48" s="17"/>
      <c r="K48" s="17"/>
    </row>
    <row r="49" spans="1:11" x14ac:dyDescent="0.25">
      <c r="A49" s="16"/>
      <c r="B49" s="32"/>
      <c r="C49" s="17">
        <f t="shared" ref="C49:E53" si="9">C86</f>
        <v>1</v>
      </c>
      <c r="D49" s="33">
        <f t="shared" si="9"/>
        <v>3.2307223407497712</v>
      </c>
      <c r="E49" s="33">
        <f t="shared" si="9"/>
        <v>3.3273392258457783</v>
      </c>
      <c r="F49" s="33">
        <v>0.05</v>
      </c>
      <c r="G49" s="33">
        <f t="shared" si="8"/>
        <v>0.53748545860965025</v>
      </c>
      <c r="H49" s="17"/>
      <c r="I49" s="17"/>
      <c r="J49" s="17"/>
      <c r="K49" s="17"/>
    </row>
    <row r="50" spans="1:11" x14ac:dyDescent="0.25">
      <c r="A50" s="16"/>
      <c r="B50" s="32"/>
      <c r="C50" s="17">
        <f t="shared" si="9"/>
        <v>1</v>
      </c>
      <c r="D50" s="33">
        <f t="shared" si="9"/>
        <v>3.3017372752209693</v>
      </c>
      <c r="E50" s="33">
        <f t="shared" si="9"/>
        <v>2.4256324291374578</v>
      </c>
      <c r="F50" s="33">
        <v>0.05</v>
      </c>
      <c r="G50" s="33">
        <f t="shared" si="8"/>
        <v>0.40044005036339653</v>
      </c>
      <c r="H50" s="17"/>
      <c r="I50" s="17"/>
      <c r="J50" s="17"/>
      <c r="K50" s="17"/>
    </row>
    <row r="51" spans="1:11" x14ac:dyDescent="0.25">
      <c r="A51" s="16"/>
      <c r="B51" s="32"/>
      <c r="C51" s="17">
        <f t="shared" si="9"/>
        <v>1</v>
      </c>
      <c r="D51" s="33">
        <f t="shared" si="9"/>
        <v>2.895458701615361</v>
      </c>
      <c r="E51" s="33">
        <f t="shared" si="9"/>
        <v>1.6763181956720512</v>
      </c>
      <c r="F51" s="33">
        <v>0.05</v>
      </c>
      <c r="G51" s="33">
        <f t="shared" si="8"/>
        <v>0.2426855053167401</v>
      </c>
      <c r="H51" s="17"/>
      <c r="I51" s="17"/>
      <c r="J51" s="17"/>
      <c r="K51" s="17"/>
    </row>
    <row r="52" spans="1:11" x14ac:dyDescent="0.25">
      <c r="A52" s="16"/>
      <c r="B52" s="32"/>
      <c r="C52" s="17">
        <f t="shared" si="9"/>
        <v>1</v>
      </c>
      <c r="D52" s="33">
        <f t="shared" si="9"/>
        <v>2.2858884486437061</v>
      </c>
      <c r="E52" s="33">
        <f t="shared" si="9"/>
        <v>2.0572996037793354</v>
      </c>
      <c r="F52" s="33">
        <v>0.05</v>
      </c>
      <c r="G52" s="33">
        <f t="shared" si="8"/>
        <v>0.23513786998392283</v>
      </c>
      <c r="H52" s="17"/>
      <c r="I52" s="17"/>
      <c r="J52" s="17"/>
      <c r="K52" s="17"/>
    </row>
    <row r="53" spans="1:11" x14ac:dyDescent="0.25">
      <c r="A53" s="16"/>
      <c r="B53" s="32"/>
      <c r="C53" s="17">
        <f t="shared" si="9"/>
        <v>1</v>
      </c>
      <c r="D53" s="33">
        <f t="shared" si="9"/>
        <v>2.0572996037793354</v>
      </c>
      <c r="E53" s="33">
        <f t="shared" si="9"/>
        <v>0.68576653459311188</v>
      </c>
      <c r="F53" s="33">
        <v>0.05</v>
      </c>
      <c r="G53" s="33">
        <f t="shared" si="8"/>
        <v>7.0541360995176855E-2</v>
      </c>
      <c r="H53" s="17"/>
      <c r="I53" s="17"/>
      <c r="J53" s="17"/>
      <c r="K53" s="17"/>
    </row>
    <row r="54" spans="1:11" x14ac:dyDescent="0.25">
      <c r="A54" s="16"/>
      <c r="B54" s="32" t="str">
        <f>B37</f>
        <v>-for steps</v>
      </c>
      <c r="C54" s="17">
        <v>0.5</v>
      </c>
      <c r="D54" s="33">
        <f>4.5/3.281</f>
        <v>1.3715330691862238</v>
      </c>
      <c r="E54" s="33">
        <f>0.3</f>
        <v>0.3</v>
      </c>
      <c r="F54" s="33">
        <v>0.15</v>
      </c>
      <c r="G54" s="33">
        <f t="shared" si="8"/>
        <v>3.0859494056690032E-2</v>
      </c>
      <c r="H54" s="17"/>
      <c r="I54" s="17"/>
      <c r="J54" s="17"/>
      <c r="K54" s="17"/>
    </row>
    <row r="55" spans="1:11" x14ac:dyDescent="0.25">
      <c r="A55" s="16"/>
      <c r="B55" s="32"/>
      <c r="C55" s="17">
        <v>0.5</v>
      </c>
      <c r="D55" s="33">
        <f t="shared" ref="D55:D58" si="10">4.5/3.281</f>
        <v>1.3715330691862238</v>
      </c>
      <c r="E55" s="33">
        <v>0.23</v>
      </c>
      <c r="F55" s="33">
        <v>0.15</v>
      </c>
      <c r="G55" s="33">
        <f t="shared" si="8"/>
        <v>2.3658945443462361E-2</v>
      </c>
      <c r="H55" s="17"/>
      <c r="I55" s="17"/>
      <c r="J55" s="17"/>
      <c r="K55" s="17"/>
    </row>
    <row r="56" spans="1:11" x14ac:dyDescent="0.25">
      <c r="A56" s="16"/>
      <c r="B56" s="32"/>
      <c r="C56" s="17">
        <v>0.5</v>
      </c>
      <c r="D56" s="33">
        <f t="shared" si="10"/>
        <v>1.3715330691862238</v>
      </c>
      <c r="E56" s="33">
        <v>0.23</v>
      </c>
      <c r="F56" s="33">
        <v>0.15</v>
      </c>
      <c r="G56" s="33">
        <f t="shared" si="8"/>
        <v>2.3658945443462361E-2</v>
      </c>
      <c r="H56" s="17"/>
      <c r="I56" s="17"/>
      <c r="J56" s="17"/>
      <c r="K56" s="17"/>
    </row>
    <row r="57" spans="1:11" x14ac:dyDescent="0.25">
      <c r="A57" s="16"/>
      <c r="B57" s="32"/>
      <c r="C57" s="17">
        <v>0.5</v>
      </c>
      <c r="D57" s="33">
        <f t="shared" si="10"/>
        <v>1.3715330691862238</v>
      </c>
      <c r="E57" s="33">
        <v>0.3</v>
      </c>
      <c r="F57" s="33">
        <v>0.15</v>
      </c>
      <c r="G57" s="33">
        <f t="shared" si="8"/>
        <v>3.0859494056690032E-2</v>
      </c>
      <c r="H57" s="17"/>
      <c r="I57" s="17"/>
      <c r="J57" s="17"/>
      <c r="K57" s="17"/>
    </row>
    <row r="58" spans="1:11" x14ac:dyDescent="0.25">
      <c r="A58" s="16"/>
      <c r="B58" s="32"/>
      <c r="C58" s="17">
        <v>0.5</v>
      </c>
      <c r="D58" s="33">
        <f t="shared" si="10"/>
        <v>1.3715330691862238</v>
      </c>
      <c r="E58" s="33">
        <v>0.3</v>
      </c>
      <c r="F58" s="33">
        <v>0.15</v>
      </c>
      <c r="G58" s="33">
        <f t="shared" si="8"/>
        <v>3.0859494056690032E-2</v>
      </c>
      <c r="H58" s="17"/>
      <c r="I58" s="17"/>
      <c r="J58" s="17"/>
      <c r="K58" s="17"/>
    </row>
    <row r="59" spans="1:11" x14ac:dyDescent="0.25">
      <c r="A59" s="16"/>
      <c r="B59" s="32"/>
      <c r="C59" s="17">
        <v>0.5</v>
      </c>
      <c r="D59" s="33">
        <f>2.75/3.281</f>
        <v>0.8381590978360256</v>
      </c>
      <c r="E59" s="33">
        <f>0.917/3.281</f>
        <v>0.27948796098750384</v>
      </c>
      <c r="F59" s="33">
        <v>0.15</v>
      </c>
      <c r="G59" s="33">
        <f t="shared" si="8"/>
        <v>1.7569153292798741E-2</v>
      </c>
      <c r="H59" s="17"/>
      <c r="I59" s="17"/>
      <c r="J59" s="17"/>
      <c r="K59" s="17"/>
    </row>
    <row r="60" spans="1:11" x14ac:dyDescent="0.25">
      <c r="A60" s="16"/>
      <c r="B60" s="32"/>
      <c r="C60" s="17">
        <v>0.5</v>
      </c>
      <c r="D60" s="33">
        <f t="shared" ref="D60:D62" si="11">2.75/3.281</f>
        <v>0.8381590978360256</v>
      </c>
      <c r="E60" s="33">
        <f t="shared" ref="E60:E61" si="12">0.917/3.281</f>
        <v>0.27948796098750384</v>
      </c>
      <c r="F60" s="33">
        <v>0.15</v>
      </c>
      <c r="G60" s="33">
        <f t="shared" si="8"/>
        <v>1.7569153292798741E-2</v>
      </c>
      <c r="H60" s="17"/>
      <c r="I60" s="17"/>
      <c r="J60" s="17"/>
      <c r="K60" s="17"/>
    </row>
    <row r="61" spans="1:11" x14ac:dyDescent="0.25">
      <c r="A61" s="16"/>
      <c r="B61" s="32"/>
      <c r="C61" s="17">
        <v>0.5</v>
      </c>
      <c r="D61" s="33">
        <f>3/3.281</f>
        <v>0.91435537945748246</v>
      </c>
      <c r="E61" s="33">
        <f t="shared" si="12"/>
        <v>0.27948796098750384</v>
      </c>
      <c r="F61" s="33">
        <v>0.15</v>
      </c>
      <c r="G61" s="33">
        <f t="shared" si="8"/>
        <v>1.9166349046689533E-2</v>
      </c>
      <c r="H61" s="17"/>
      <c r="I61" s="17"/>
      <c r="J61" s="17"/>
      <c r="K61" s="17"/>
    </row>
    <row r="62" spans="1:11" x14ac:dyDescent="0.25">
      <c r="A62" s="16"/>
      <c r="B62" s="32"/>
      <c r="C62" s="17">
        <v>0.5</v>
      </c>
      <c r="D62" s="33">
        <f t="shared" si="11"/>
        <v>0.8381590978360256</v>
      </c>
      <c r="E62" s="33">
        <v>0.3</v>
      </c>
      <c r="F62" s="33">
        <v>0.15</v>
      </c>
      <c r="G62" s="33">
        <f t="shared" si="8"/>
        <v>1.8858579701310576E-2</v>
      </c>
      <c r="H62" s="17"/>
      <c r="I62" s="17"/>
      <c r="J62" s="17"/>
      <c r="K62" s="17"/>
    </row>
    <row r="63" spans="1:11" x14ac:dyDescent="0.25">
      <c r="A63" s="16"/>
      <c r="B63" s="32"/>
      <c r="C63" s="17">
        <f t="shared" ref="C63:E63" si="13">C39</f>
        <v>1</v>
      </c>
      <c r="D63" s="33">
        <f t="shared" si="13"/>
        <v>2.1334958854007922</v>
      </c>
      <c r="E63" s="33">
        <f t="shared" si="13"/>
        <v>1.3715330691862238</v>
      </c>
      <c r="F63" s="33">
        <v>7.4999999999999997E-2</v>
      </c>
      <c r="G63" s="33">
        <f t="shared" si="8"/>
        <v>0.21946201198499463</v>
      </c>
      <c r="H63" s="17"/>
      <c r="I63" s="17"/>
      <c r="J63" s="17"/>
      <c r="K63" s="17"/>
    </row>
    <row r="64" spans="1:11" x14ac:dyDescent="0.25">
      <c r="A64" s="16"/>
      <c r="B64" s="32" t="str">
        <f>B19</f>
        <v>-Area for brick wall</v>
      </c>
      <c r="C64" s="17">
        <f>C19</f>
        <v>1</v>
      </c>
      <c r="D64" s="33">
        <f>D19</f>
        <v>4.3499999999999996</v>
      </c>
      <c r="E64" s="33">
        <v>0.23</v>
      </c>
      <c r="F64" s="33">
        <v>0.05</v>
      </c>
      <c r="G64" s="33">
        <f t="shared" si="8"/>
        <v>5.0025E-2</v>
      </c>
      <c r="H64" s="17"/>
      <c r="I64" s="17"/>
      <c r="J64" s="17"/>
      <c r="K64" s="17"/>
    </row>
    <row r="65" spans="1:15" x14ac:dyDescent="0.25">
      <c r="A65" s="16"/>
      <c r="B65" s="32"/>
      <c r="C65" s="17">
        <f>C20</f>
        <v>1</v>
      </c>
      <c r="D65" s="33">
        <f>D20</f>
        <v>4.2</v>
      </c>
      <c r="E65" s="33">
        <v>0.23</v>
      </c>
      <c r="F65" s="33">
        <v>0.05</v>
      </c>
      <c r="G65" s="33">
        <f t="shared" si="8"/>
        <v>4.830000000000001E-2</v>
      </c>
      <c r="H65" s="17"/>
      <c r="I65" s="17"/>
      <c r="J65" s="17"/>
      <c r="K65" s="17"/>
    </row>
    <row r="66" spans="1:15" ht="15" customHeight="1" x14ac:dyDescent="0.25">
      <c r="A66" s="2"/>
      <c r="B66" s="34" t="s">
        <v>16</v>
      </c>
      <c r="C66" s="3"/>
      <c r="D66" s="4"/>
      <c r="E66" s="5"/>
      <c r="F66" s="5"/>
      <c r="G66" s="6">
        <f>SUM(G44:G65)</f>
        <v>3.981674887589004</v>
      </c>
      <c r="H66" s="7" t="s">
        <v>17</v>
      </c>
      <c r="I66" s="6">
        <v>10964.46</v>
      </c>
      <c r="J66" s="18">
        <f>G66*I66</f>
        <v>43656.915037974126</v>
      </c>
      <c r="K66" s="5"/>
    </row>
    <row r="67" spans="1:15" hidden="1" x14ac:dyDescent="0.25">
      <c r="A67" s="16"/>
      <c r="B67" s="32" t="s">
        <v>32</v>
      </c>
      <c r="C67" s="17"/>
      <c r="D67" s="17"/>
      <c r="E67" s="17"/>
      <c r="F67" s="17"/>
      <c r="G67" s="17"/>
      <c r="H67" s="17"/>
      <c r="I67" s="17"/>
      <c r="J67" s="18">
        <f>0.13*G66*(53818.03)/15</f>
        <v>1857.1444541044341</v>
      </c>
      <c r="K67" s="17"/>
    </row>
    <row r="68" spans="1:15" hidden="1" x14ac:dyDescent="0.25">
      <c r="A68" s="16"/>
      <c r="B68" s="32" t="s">
        <v>33</v>
      </c>
      <c r="C68" s="17"/>
      <c r="D68" s="17"/>
      <c r="E68" s="17"/>
      <c r="F68" s="17"/>
      <c r="G68" s="17"/>
      <c r="H68" s="17"/>
      <c r="I68" s="17"/>
      <c r="J68" s="18">
        <f>0.13*G66*(21432.6)/15</f>
        <v>739.59292502974733</v>
      </c>
      <c r="K68" s="17"/>
    </row>
    <row r="69" spans="1:15" hidden="1" x14ac:dyDescent="0.25">
      <c r="A69" s="16"/>
      <c r="B69" s="32" t="s">
        <v>34</v>
      </c>
      <c r="C69" s="17"/>
      <c r="D69" s="17"/>
      <c r="E69" s="17"/>
      <c r="F69" s="17"/>
      <c r="G69" s="17"/>
      <c r="H69" s="17"/>
      <c r="I69" s="17"/>
      <c r="J69" s="18">
        <f>0.13*G66*(25719.12+13573.98+4286.52)/15</f>
        <v>1503.8389475604863</v>
      </c>
      <c r="K69" s="17"/>
    </row>
    <row r="70" spans="1:15" hidden="1" x14ac:dyDescent="0.25">
      <c r="A70" s="16"/>
      <c r="B70" s="32" t="s">
        <v>35</v>
      </c>
      <c r="C70" s="17"/>
      <c r="D70" s="17"/>
      <c r="E70" s="17"/>
      <c r="F70" s="17"/>
      <c r="G70" s="17"/>
      <c r="H70" s="17"/>
      <c r="I70" s="17"/>
      <c r="J70" s="18">
        <f>0.13*G66*(6325.7)/15</f>
        <v>218.28630058232193</v>
      </c>
      <c r="K70" s="17"/>
    </row>
    <row r="71" spans="1:15" hidden="1" x14ac:dyDescent="0.25">
      <c r="A71" s="16"/>
      <c r="B71" s="32" t="s">
        <v>39</v>
      </c>
      <c r="C71" s="17"/>
      <c r="D71" s="17"/>
      <c r="E71" s="17"/>
      <c r="F71" s="17"/>
      <c r="G71" s="17"/>
      <c r="H71" s="17"/>
      <c r="I71" s="17"/>
      <c r="J71" s="18">
        <f>0.13*G66*(310)/5</f>
        <v>32.092299593967375</v>
      </c>
      <c r="K71" s="17"/>
    </row>
    <row r="72" spans="1:15" x14ac:dyDescent="0.25">
      <c r="A72" s="16"/>
      <c r="B72" s="17"/>
      <c r="C72" s="17"/>
      <c r="D72" s="17"/>
      <c r="E72" s="17"/>
      <c r="F72" s="17"/>
      <c r="G72" s="17"/>
      <c r="H72" s="17"/>
      <c r="I72" s="17"/>
      <c r="J72" s="17"/>
      <c r="K72" s="17"/>
    </row>
    <row r="73" spans="1:15" ht="78.75" x14ac:dyDescent="0.25">
      <c r="A73" s="16">
        <v>5</v>
      </c>
      <c r="B73" s="35" t="s">
        <v>36</v>
      </c>
      <c r="C73" s="17"/>
      <c r="D73" s="17"/>
      <c r="E73" s="17"/>
      <c r="F73" s="17"/>
      <c r="G73" s="17"/>
      <c r="H73" s="17"/>
      <c r="I73" s="17"/>
      <c r="J73" s="17"/>
      <c r="K73" s="17"/>
    </row>
    <row r="74" spans="1:15" x14ac:dyDescent="0.25">
      <c r="A74" s="16"/>
      <c r="B74" s="32" t="str">
        <f>B44</f>
        <v>-for masonary wall</v>
      </c>
      <c r="C74" s="17">
        <v>1</v>
      </c>
      <c r="D74" s="33">
        <v>6.65</v>
      </c>
      <c r="E74" s="33">
        <f>(1.85+0.5)/2</f>
        <v>1.175</v>
      </c>
      <c r="F74" s="33">
        <f>(3.78+3.55+3.2)/3</f>
        <v>3.5100000000000002</v>
      </c>
      <c r="G74" s="33">
        <f>PRODUCT(C74:F74)</f>
        <v>27.426262500000004</v>
      </c>
      <c r="H74" s="17"/>
      <c r="I74" s="17"/>
      <c r="J74" s="17"/>
      <c r="K74" s="17"/>
      <c r="M74" s="19">
        <f>F74/2</f>
        <v>1.7550000000000001</v>
      </c>
      <c r="N74" s="19">
        <v>0.5</v>
      </c>
      <c r="O74" s="19">
        <f>(M74+N74)/2</f>
        <v>1.1274999999999999</v>
      </c>
    </row>
    <row r="75" spans="1:15" x14ac:dyDescent="0.25">
      <c r="A75" s="16"/>
      <c r="B75" s="32" t="s">
        <v>83</v>
      </c>
      <c r="C75" s="17">
        <v>1</v>
      </c>
      <c r="D75" s="33">
        <v>2.2000000000000002</v>
      </c>
      <c r="E75" s="33">
        <v>0.5</v>
      </c>
      <c r="F75" s="33">
        <v>0.6</v>
      </c>
      <c r="G75" s="33">
        <f t="shared" ref="G75:G77" si="14">PRODUCT(C75:F75)</f>
        <v>0.66</v>
      </c>
      <c r="H75" s="17"/>
      <c r="I75" s="17"/>
      <c r="J75" s="17"/>
      <c r="K75" s="17"/>
    </row>
    <row r="76" spans="1:15" x14ac:dyDescent="0.25">
      <c r="A76" s="16"/>
      <c r="B76" s="32"/>
      <c r="C76" s="17">
        <v>1</v>
      </c>
      <c r="D76" s="33">
        <v>0.6</v>
      </c>
      <c r="E76" s="33">
        <v>0.5</v>
      </c>
      <c r="F76" s="33">
        <f>13/12/3.281</f>
        <v>0.33018388702631307</v>
      </c>
      <c r="G76" s="33">
        <f t="shared" si="14"/>
        <v>9.9055166107893916E-2</v>
      </c>
      <c r="H76" s="17"/>
      <c r="I76" s="17"/>
      <c r="J76" s="17"/>
      <c r="K76" s="17"/>
    </row>
    <row r="77" spans="1:15" x14ac:dyDescent="0.25">
      <c r="A77" s="16"/>
      <c r="B77" s="32"/>
      <c r="C77" s="17">
        <v>1</v>
      </c>
      <c r="D77" s="33">
        <f>4.5/3.281</f>
        <v>1.3715330691862238</v>
      </c>
      <c r="E77" s="33">
        <v>0.45</v>
      </c>
      <c r="F77" s="33">
        <f>(0.5*4)/3.281</f>
        <v>0.6095702529716549</v>
      </c>
      <c r="G77" s="33">
        <f t="shared" si="14"/>
        <v>0.37622059197427649</v>
      </c>
      <c r="H77" s="17"/>
      <c r="I77" s="17"/>
      <c r="J77" s="17"/>
      <c r="K77" s="17"/>
    </row>
    <row r="78" spans="1:15" ht="15" customHeight="1" x14ac:dyDescent="0.25">
      <c r="A78" s="2"/>
      <c r="B78" s="34" t="s">
        <v>16</v>
      </c>
      <c r="C78" s="3"/>
      <c r="D78" s="4"/>
      <c r="E78" s="5"/>
      <c r="F78" s="5"/>
      <c r="G78" s="6">
        <f>SUM(G74:G77)</f>
        <v>28.561538258082177</v>
      </c>
      <c r="H78" s="7" t="s">
        <v>17</v>
      </c>
      <c r="I78" s="6">
        <v>8987.83</v>
      </c>
      <c r="J78" s="18">
        <f>G78*I78</f>
        <v>256706.25040213871</v>
      </c>
      <c r="K78" s="5"/>
    </row>
    <row r="79" spans="1:15" hidden="1" x14ac:dyDescent="0.25">
      <c r="A79" s="16"/>
      <c r="B79" s="32" t="s">
        <v>32</v>
      </c>
      <c r="C79" s="17"/>
      <c r="D79" s="17"/>
      <c r="E79" s="17"/>
      <c r="F79" s="17"/>
      <c r="G79" s="17"/>
      <c r="H79" s="17"/>
      <c r="I79" s="17"/>
      <c r="J79" s="18">
        <f>0.13*G78*(5863.95)/5</f>
        <v>4354.5692389805054</v>
      </c>
      <c r="K79" s="17"/>
    </row>
    <row r="80" spans="1:15" hidden="1" x14ac:dyDescent="0.25">
      <c r="A80" s="16"/>
      <c r="B80" s="32" t="s">
        <v>33</v>
      </c>
      <c r="C80" s="17"/>
      <c r="D80" s="17"/>
      <c r="E80" s="17"/>
      <c r="F80" s="17"/>
      <c r="G80" s="17"/>
      <c r="H80" s="17"/>
      <c r="I80" s="17"/>
      <c r="J80" s="18">
        <f>0.13*G78*(6604.416)/5</f>
        <v>4904.4392866635417</v>
      </c>
      <c r="K80" s="17"/>
    </row>
    <row r="81" spans="1:11" hidden="1" x14ac:dyDescent="0.25">
      <c r="A81" s="16"/>
      <c r="B81" s="32" t="s">
        <v>37</v>
      </c>
      <c r="C81" s="17"/>
      <c r="D81" s="17"/>
      <c r="E81" s="17"/>
      <c r="F81" s="17"/>
      <c r="G81" s="17"/>
      <c r="H81" s="17"/>
      <c r="I81" s="17"/>
      <c r="J81" s="18">
        <f>0.13*G78*(14808.78)/5</f>
        <v>10996.999949663577</v>
      </c>
      <c r="K81" s="17"/>
    </row>
    <row r="82" spans="1:11" hidden="1" x14ac:dyDescent="0.25">
      <c r="A82" s="16"/>
      <c r="B82" s="32" t="s">
        <v>39</v>
      </c>
      <c r="C82" s="17"/>
      <c r="D82" s="17"/>
      <c r="E82" s="17"/>
      <c r="F82" s="17"/>
      <c r="G82" s="17"/>
      <c r="H82" s="17"/>
      <c r="I82" s="17"/>
      <c r="J82" s="18">
        <f>0.13*G78*(310)/5</f>
        <v>230.20599836014236</v>
      </c>
      <c r="K82" s="17"/>
    </row>
    <row r="83" spans="1:11" x14ac:dyDescent="0.25">
      <c r="A83" s="16"/>
      <c r="B83" s="17"/>
      <c r="C83" s="17"/>
      <c r="D83" s="17"/>
      <c r="E83" s="17"/>
      <c r="F83" s="17"/>
      <c r="G83" s="17"/>
      <c r="H83" s="17"/>
      <c r="I83" s="17"/>
      <c r="J83" s="17"/>
      <c r="K83" s="17"/>
    </row>
    <row r="84" spans="1:11" ht="60" x14ac:dyDescent="0.25">
      <c r="A84" s="16">
        <v>6</v>
      </c>
      <c r="B84" s="37" t="s">
        <v>51</v>
      </c>
      <c r="C84" s="17"/>
      <c r="D84" s="17"/>
      <c r="E84" s="17"/>
      <c r="F84" s="17"/>
      <c r="G84" s="17"/>
      <c r="H84" s="17"/>
      <c r="I84" s="17"/>
      <c r="J84" s="17"/>
      <c r="K84" s="17"/>
    </row>
    <row r="85" spans="1:11" x14ac:dyDescent="0.25">
      <c r="A85" s="16"/>
      <c r="B85" s="32" t="s">
        <v>49</v>
      </c>
      <c r="C85" s="17">
        <v>1</v>
      </c>
      <c r="D85" s="33">
        <f>7.4+1.2</f>
        <v>8.6</v>
      </c>
      <c r="E85" s="33">
        <f>((6+11.083)/2)/3.281</f>
        <v>2.6033221578786954</v>
      </c>
      <c r="F85" s="33"/>
      <c r="G85" s="33">
        <f>PRODUCT(C85:F85)</f>
        <v>22.388570557756779</v>
      </c>
      <c r="H85" s="17"/>
      <c r="I85" s="17"/>
      <c r="J85" s="17"/>
      <c r="K85" s="17"/>
    </row>
    <row r="86" spans="1:11" x14ac:dyDescent="0.25">
      <c r="A86" s="16"/>
      <c r="B86" s="32"/>
      <c r="C86" s="17">
        <v>1</v>
      </c>
      <c r="D86" s="33">
        <f>10.6/3.281</f>
        <v>3.2307223407497712</v>
      </c>
      <c r="E86" s="33">
        <f>10.917/3.281</f>
        <v>3.3273392258457783</v>
      </c>
      <c r="F86" s="33"/>
      <c r="G86" s="33">
        <f>PRODUCT(C86:F86)</f>
        <v>10.749709172193004</v>
      </c>
      <c r="H86" s="17"/>
      <c r="I86" s="17"/>
      <c r="J86" s="17"/>
      <c r="K86" s="17"/>
    </row>
    <row r="87" spans="1:11" x14ac:dyDescent="0.25">
      <c r="A87" s="16"/>
      <c r="B87" s="32"/>
      <c r="C87" s="17">
        <v>1</v>
      </c>
      <c r="D87" s="33">
        <f>10.833/3.281</f>
        <v>3.3017372752209693</v>
      </c>
      <c r="E87" s="33">
        <f>((10.917+5)/2)/3.281</f>
        <v>2.4256324291374578</v>
      </c>
      <c r="F87" s="33"/>
      <c r="G87" s="33">
        <f t="shared" ref="G87:G90" si="15">PRODUCT(C87:F87)</f>
        <v>8.0088010072679303</v>
      </c>
      <c r="H87" s="17"/>
      <c r="I87" s="17"/>
      <c r="J87" s="17"/>
      <c r="K87" s="17"/>
    </row>
    <row r="88" spans="1:11" x14ac:dyDescent="0.25">
      <c r="A88" s="16"/>
      <c r="B88" s="32"/>
      <c r="C88" s="17">
        <v>1</v>
      </c>
      <c r="D88" s="33">
        <f>9.5/3.281</f>
        <v>2.895458701615361</v>
      </c>
      <c r="E88" s="33">
        <f>((6+5)/2)/3.281</f>
        <v>1.6763181956720512</v>
      </c>
      <c r="F88" s="33"/>
      <c r="G88" s="33">
        <f t="shared" si="15"/>
        <v>4.8537101063348018</v>
      </c>
      <c r="H88" s="17"/>
      <c r="I88" s="17"/>
      <c r="J88" s="17"/>
      <c r="K88" s="17"/>
    </row>
    <row r="89" spans="1:11" x14ac:dyDescent="0.25">
      <c r="A89" s="16"/>
      <c r="B89" s="32"/>
      <c r="C89" s="17">
        <v>1</v>
      </c>
      <c r="D89" s="33">
        <f>7.5/3.281</f>
        <v>2.2858884486437061</v>
      </c>
      <c r="E89" s="33">
        <f>((9+4.5)/2)/3.281</f>
        <v>2.0572996037793354</v>
      </c>
      <c r="F89" s="33"/>
      <c r="G89" s="33">
        <f t="shared" si="15"/>
        <v>4.7027573996784566</v>
      </c>
      <c r="H89" s="17"/>
      <c r="I89" s="17"/>
      <c r="J89" s="17"/>
      <c r="K89" s="17"/>
    </row>
    <row r="90" spans="1:11" x14ac:dyDescent="0.25">
      <c r="A90" s="16"/>
      <c r="B90" s="32"/>
      <c r="C90" s="17">
        <v>1</v>
      </c>
      <c r="D90" s="33">
        <f>6.75/3.281</f>
        <v>2.0572996037793354</v>
      </c>
      <c r="E90" s="33">
        <f>(4.5/2)/3.281</f>
        <v>0.68576653459311188</v>
      </c>
      <c r="F90" s="33"/>
      <c r="G90" s="33">
        <f t="shared" si="15"/>
        <v>1.410827219903537</v>
      </c>
      <c r="H90" s="17"/>
      <c r="I90" s="17"/>
      <c r="J90" s="17"/>
      <c r="K90" s="17"/>
    </row>
    <row r="91" spans="1:11" ht="15" customHeight="1" x14ac:dyDescent="0.25">
      <c r="A91" s="2"/>
      <c r="B91" s="34" t="s">
        <v>16</v>
      </c>
      <c r="C91" s="3"/>
      <c r="D91" s="4"/>
      <c r="E91" s="5"/>
      <c r="F91" s="5"/>
      <c r="G91" s="6">
        <f>SUM(G85:G90)</f>
        <v>52.114375463134515</v>
      </c>
      <c r="H91" s="7" t="s">
        <v>50</v>
      </c>
      <c r="I91" s="6">
        <v>1754.28</v>
      </c>
      <c r="J91" s="18">
        <f>G91*I91</f>
        <v>91423.206587467619</v>
      </c>
      <c r="K91" s="5"/>
    </row>
    <row r="92" spans="1:11" hidden="1" x14ac:dyDescent="0.25">
      <c r="A92" s="16"/>
      <c r="B92" s="32" t="s">
        <v>52</v>
      </c>
      <c r="C92" s="17"/>
      <c r="D92" s="17"/>
      <c r="E92" s="17"/>
      <c r="F92" s="17"/>
      <c r="G92" s="17"/>
      <c r="H92" s="17"/>
      <c r="I92" s="17"/>
      <c r="J92" s="18">
        <f>0.13*G91*(6036.36/10)</f>
        <v>4089.5547091184067</v>
      </c>
      <c r="K92" s="17"/>
    </row>
    <row r="93" spans="1:11" hidden="1" x14ac:dyDescent="0.25">
      <c r="A93" s="16"/>
      <c r="B93" s="32" t="s">
        <v>53</v>
      </c>
      <c r="C93" s="17"/>
      <c r="D93" s="17"/>
      <c r="E93" s="17"/>
      <c r="F93" s="17"/>
      <c r="G93" s="17"/>
      <c r="H93" s="17"/>
      <c r="I93" s="17"/>
      <c r="J93" s="18">
        <f>0.13*G91*(33.99)/10</f>
        <v>23.027779085895251</v>
      </c>
      <c r="K93" s="17"/>
    </row>
    <row r="94" spans="1:11" hidden="1" x14ac:dyDescent="0.25">
      <c r="A94" s="16"/>
      <c r="B94" s="32" t="s">
        <v>54</v>
      </c>
      <c r="C94" s="17"/>
      <c r="D94" s="17"/>
      <c r="E94" s="17"/>
      <c r="F94" s="17"/>
      <c r="G94" s="17"/>
      <c r="H94" s="17"/>
      <c r="I94" s="17"/>
      <c r="J94" s="18">
        <f>0.13*G91*(877.45/10)</f>
        <v>594.46086375165601</v>
      </c>
      <c r="K94" s="17"/>
    </row>
    <row r="95" spans="1:11" x14ac:dyDescent="0.25">
      <c r="A95" s="16"/>
      <c r="B95" s="17"/>
      <c r="C95" s="17"/>
      <c r="D95" s="17"/>
      <c r="E95" s="17"/>
      <c r="F95" s="17"/>
      <c r="G95" s="17"/>
      <c r="H95" s="17"/>
      <c r="I95" s="17"/>
      <c r="J95" s="17"/>
      <c r="K95" s="17"/>
    </row>
    <row r="96" spans="1:11" ht="30" x14ac:dyDescent="0.25">
      <c r="A96" s="16">
        <v>7</v>
      </c>
      <c r="B96" s="37" t="s">
        <v>55</v>
      </c>
      <c r="C96" s="17"/>
      <c r="D96" s="17"/>
      <c r="E96" s="17"/>
      <c r="F96" s="17"/>
      <c r="G96" s="17"/>
      <c r="H96" s="17"/>
      <c r="I96" s="17"/>
      <c r="J96" s="17"/>
      <c r="K96" s="17"/>
    </row>
    <row r="97" spans="1:14" x14ac:dyDescent="0.25">
      <c r="A97" s="16"/>
      <c r="B97" s="32" t="s">
        <v>56</v>
      </c>
      <c r="C97" s="17">
        <v>1</v>
      </c>
      <c r="D97" s="33">
        <v>4.3499999999999996</v>
      </c>
      <c r="E97" s="33">
        <v>0.23</v>
      </c>
      <c r="F97" s="33">
        <f>10/12/3.281</f>
        <v>0.25398760540485626</v>
      </c>
      <c r="G97" s="33">
        <f>PRODUCT(C97:F97)</f>
        <v>0.25411459920755869</v>
      </c>
      <c r="H97" s="17"/>
      <c r="I97" s="17"/>
      <c r="J97" s="17"/>
      <c r="K97" s="17"/>
    </row>
    <row r="98" spans="1:14" x14ac:dyDescent="0.25">
      <c r="A98" s="16"/>
      <c r="B98" s="32"/>
      <c r="C98" s="17">
        <v>1</v>
      </c>
      <c r="D98" s="33">
        <v>4.2</v>
      </c>
      <c r="E98" s="33">
        <v>0.23</v>
      </c>
      <c r="F98" s="33">
        <f>0.1</f>
        <v>0.1</v>
      </c>
      <c r="G98" s="33">
        <f>PRODUCT(C98:F98)</f>
        <v>9.6600000000000019E-2</v>
      </c>
      <c r="H98" s="17"/>
      <c r="I98" s="17"/>
      <c r="J98" s="17"/>
      <c r="K98" s="17"/>
    </row>
    <row r="99" spans="1:14" ht="15" customHeight="1" x14ac:dyDescent="0.25">
      <c r="A99" s="2"/>
      <c r="B99" s="34" t="s">
        <v>16</v>
      </c>
      <c r="C99" s="3"/>
      <c r="D99" s="4"/>
      <c r="E99" s="5"/>
      <c r="F99" s="5"/>
      <c r="G99" s="6">
        <f>SUM(G97:G98)</f>
        <v>0.35071459920755871</v>
      </c>
      <c r="H99" s="7" t="s">
        <v>57</v>
      </c>
      <c r="I99" s="6">
        <v>1754.28</v>
      </c>
      <c r="J99" s="18">
        <f>G99*I99</f>
        <v>615.25160709783609</v>
      </c>
      <c r="K99" s="5"/>
    </row>
    <row r="100" spans="1:14" hidden="1" x14ac:dyDescent="0.25">
      <c r="A100" s="16"/>
      <c r="B100" s="32" t="s">
        <v>58</v>
      </c>
      <c r="C100" s="17"/>
      <c r="D100" s="17"/>
      <c r="E100" s="17"/>
      <c r="F100" s="17"/>
      <c r="G100" s="17"/>
      <c r="H100" s="17"/>
      <c r="I100" s="17"/>
      <c r="J100" s="18">
        <f>0.13*G99*(8481.2)</f>
        <v>386.68248564388915</v>
      </c>
      <c r="K100" s="17"/>
    </row>
    <row r="101" spans="1:14" hidden="1" x14ac:dyDescent="0.25">
      <c r="A101" s="16"/>
      <c r="B101" s="32" t="s">
        <v>32</v>
      </c>
      <c r="C101" s="17"/>
      <c r="D101" s="17"/>
      <c r="E101" s="17"/>
      <c r="F101" s="17"/>
      <c r="G101" s="17"/>
      <c r="H101" s="17"/>
      <c r="I101" s="17"/>
      <c r="J101" s="18">
        <f>0.13*G99*912.17</f>
        <v>41.588473674690647</v>
      </c>
      <c r="K101" s="17"/>
    </row>
    <row r="102" spans="1:14" hidden="1" x14ac:dyDescent="0.25">
      <c r="A102" s="16"/>
      <c r="B102" s="32" t="s">
        <v>33</v>
      </c>
      <c r="C102" s="17"/>
      <c r="D102" s="17"/>
      <c r="E102" s="17"/>
      <c r="F102" s="17"/>
      <c r="G102" s="17"/>
      <c r="H102" s="17"/>
      <c r="I102" s="17"/>
      <c r="J102" s="18">
        <f>0.13*G99*953.37</f>
        <v>43.466901068046333</v>
      </c>
      <c r="K102" s="17"/>
    </row>
    <row r="103" spans="1:14" hidden="1" x14ac:dyDescent="0.25">
      <c r="A103" s="16"/>
      <c r="B103" s="32" t="s">
        <v>39</v>
      </c>
      <c r="C103" s="17"/>
      <c r="D103" s="17"/>
      <c r="E103" s="17"/>
      <c r="F103" s="17"/>
      <c r="G103" s="17"/>
      <c r="H103" s="17"/>
      <c r="I103" s="17"/>
      <c r="J103" s="18">
        <f>0.13*G99*28</f>
        <v>1.2766011411155138</v>
      </c>
      <c r="K103" s="17"/>
    </row>
    <row r="104" spans="1:14" x14ac:dyDescent="0.25">
      <c r="A104" s="16"/>
      <c r="B104" s="17"/>
      <c r="C104" s="17"/>
      <c r="D104" s="17"/>
      <c r="E104" s="17"/>
      <c r="F104" s="17"/>
      <c r="G104" s="17"/>
      <c r="H104" s="17"/>
      <c r="I104" s="17"/>
      <c r="J104" s="17"/>
      <c r="K104" s="17"/>
    </row>
    <row r="105" spans="1:14" ht="105" x14ac:dyDescent="0.25">
      <c r="A105" s="16">
        <v>8</v>
      </c>
      <c r="B105" s="37" t="s">
        <v>41</v>
      </c>
      <c r="C105" s="17"/>
      <c r="D105" s="17"/>
      <c r="E105" s="17"/>
      <c r="F105" s="17"/>
      <c r="G105" s="17"/>
      <c r="H105" s="17"/>
      <c r="I105" s="17"/>
      <c r="J105" s="17"/>
      <c r="K105" s="17"/>
    </row>
    <row r="106" spans="1:14" x14ac:dyDescent="0.25">
      <c r="A106" s="16"/>
      <c r="B106" s="32" t="s">
        <v>43</v>
      </c>
      <c r="C106" s="17">
        <v>1</v>
      </c>
      <c r="D106" s="33">
        <f>7.5+7.4</f>
        <v>14.9</v>
      </c>
      <c r="E106" s="33"/>
      <c r="F106" s="33"/>
      <c r="G106" s="33">
        <f>PRODUCT(C106:F106)</f>
        <v>14.9</v>
      </c>
      <c r="H106" s="17"/>
      <c r="I106" s="17"/>
      <c r="J106" s="17"/>
      <c r="K106" s="17"/>
    </row>
    <row r="107" spans="1:14" ht="15" customHeight="1" x14ac:dyDescent="0.25">
      <c r="A107" s="2"/>
      <c r="B107" s="34" t="s">
        <v>16</v>
      </c>
      <c r="C107" s="3"/>
      <c r="D107" s="4"/>
      <c r="E107" s="5"/>
      <c r="F107" s="5"/>
      <c r="G107" s="6">
        <f>SUM(G106:G106)</f>
        <v>14.9</v>
      </c>
      <c r="H107" s="7" t="s">
        <v>44</v>
      </c>
      <c r="I107" s="6">
        <v>4132.8</v>
      </c>
      <c r="J107" s="18">
        <f>G107*I107</f>
        <v>61578.720000000001</v>
      </c>
      <c r="K107" s="5"/>
    </row>
    <row r="108" spans="1:14" hidden="1" x14ac:dyDescent="0.25">
      <c r="A108" s="16"/>
      <c r="B108" s="32" t="s">
        <v>23</v>
      </c>
      <c r="C108" s="17"/>
      <c r="D108" s="17"/>
      <c r="E108" s="17"/>
      <c r="F108" s="17"/>
      <c r="G108" s="17"/>
      <c r="H108" s="17"/>
      <c r="I108" s="17"/>
      <c r="J108" s="18">
        <f>0.13*J107</f>
        <v>8005.2336000000005</v>
      </c>
      <c r="K108" s="17"/>
    </row>
    <row r="109" spans="1:14" x14ac:dyDescent="0.25">
      <c r="A109" s="16"/>
      <c r="B109" s="17"/>
      <c r="C109" s="17"/>
      <c r="D109" s="17"/>
      <c r="E109" s="17"/>
      <c r="F109" s="17"/>
      <c r="G109" s="17"/>
      <c r="H109" s="17"/>
      <c r="I109" s="17"/>
      <c r="J109" s="17"/>
      <c r="K109" s="17"/>
    </row>
    <row r="110" spans="1:14" ht="45" x14ac:dyDescent="0.25">
      <c r="A110" s="16">
        <v>9</v>
      </c>
      <c r="B110" s="37" t="s">
        <v>59</v>
      </c>
      <c r="C110" s="17" t="s">
        <v>7</v>
      </c>
      <c r="D110" s="38" t="s">
        <v>60</v>
      </c>
      <c r="E110" s="39" t="s">
        <v>61</v>
      </c>
      <c r="F110" s="39" t="s">
        <v>62</v>
      </c>
      <c r="G110" s="17"/>
      <c r="H110" s="17"/>
      <c r="I110" s="17"/>
      <c r="J110" s="17"/>
      <c r="K110" s="17"/>
    </row>
    <row r="111" spans="1:14" ht="45" x14ac:dyDescent="0.25">
      <c r="A111" s="16"/>
      <c r="B111" s="40" t="s">
        <v>63</v>
      </c>
      <c r="C111" s="17">
        <v>1</v>
      </c>
      <c r="D111" s="33">
        <f>(6.667+7+1.833+0.083+1.5+0.083+6)/3.281</f>
        <v>7.0606522401706782</v>
      </c>
      <c r="E111" s="33">
        <v>2.88</v>
      </c>
      <c r="F111" s="33">
        <f>PRODUCT(C111:E111)</f>
        <v>20.334678451691552</v>
      </c>
      <c r="G111" s="33">
        <f>F111</f>
        <v>20.334678451691552</v>
      </c>
      <c r="H111" s="17"/>
      <c r="I111" s="17"/>
      <c r="J111" s="17"/>
      <c r="K111" s="17"/>
    </row>
    <row r="112" spans="1:14" ht="30" x14ac:dyDescent="0.25">
      <c r="A112" s="16"/>
      <c r="B112" s="40" t="s">
        <v>64</v>
      </c>
      <c r="C112" s="17">
        <v>9</v>
      </c>
      <c r="D112" s="33">
        <f>2.5/3.281</f>
        <v>0.76196281621456874</v>
      </c>
      <c r="E112" s="33">
        <v>3.54</v>
      </c>
      <c r="F112" s="33">
        <f>PRODUCT(C112:E112)</f>
        <v>24.276135324596158</v>
      </c>
      <c r="G112" s="33">
        <f>F112</f>
        <v>24.276135324596158</v>
      </c>
      <c r="H112" s="17"/>
      <c r="I112" s="17"/>
      <c r="J112" s="17"/>
      <c r="K112" s="17"/>
      <c r="N112" s="19">
        <f>PRODUCT(D112:E112)</f>
        <v>2.6973483693995735</v>
      </c>
    </row>
    <row r="113" spans="1:13" ht="15" customHeight="1" x14ac:dyDescent="0.25">
      <c r="A113" s="2"/>
      <c r="B113" s="34" t="s">
        <v>16</v>
      </c>
      <c r="C113" s="3"/>
      <c r="D113" s="4"/>
      <c r="E113" s="5"/>
      <c r="F113" s="5"/>
      <c r="G113" s="6">
        <f>SUM(G111:G112)</f>
        <v>44.610813776287713</v>
      </c>
      <c r="H113" s="7" t="s">
        <v>65</v>
      </c>
      <c r="I113" s="6">
        <v>182.51</v>
      </c>
      <c r="J113" s="18">
        <f>G113*I113</f>
        <v>8141.9196223102699</v>
      </c>
      <c r="K113" s="5"/>
    </row>
    <row r="114" spans="1:13" hidden="1" x14ac:dyDescent="0.25">
      <c r="A114" s="16"/>
      <c r="B114" s="32" t="s">
        <v>23</v>
      </c>
      <c r="C114" s="17"/>
      <c r="D114" s="17"/>
      <c r="E114" s="17"/>
      <c r="F114" s="17"/>
      <c r="G114" s="17"/>
      <c r="H114" s="17"/>
      <c r="I114" s="17"/>
      <c r="J114" s="18">
        <f>0.13*G113*(1871.42/18.94)</f>
        <v>573.02660956909426</v>
      </c>
      <c r="K114" s="17"/>
    </row>
    <row r="115" spans="1:13" x14ac:dyDescent="0.25">
      <c r="A115" s="16"/>
      <c r="B115" s="17"/>
      <c r="C115" s="17"/>
      <c r="D115" s="17"/>
      <c r="E115" s="17"/>
      <c r="F115" s="17"/>
      <c r="G115" s="17"/>
      <c r="H115" s="17"/>
      <c r="I115" s="17"/>
      <c r="J115" s="17"/>
      <c r="K115" s="17"/>
    </row>
    <row r="116" spans="1:13" x14ac:dyDescent="0.25">
      <c r="A116" s="2">
        <v>10</v>
      </c>
      <c r="B116" s="1" t="s">
        <v>66</v>
      </c>
      <c r="C116" s="3">
        <v>1</v>
      </c>
      <c r="D116" s="4"/>
      <c r="E116" s="5"/>
      <c r="F116" s="5"/>
      <c r="G116" s="7">
        <f t="shared" ref="G116" si="16">PRODUCT(C116:F116)</f>
        <v>1</v>
      </c>
      <c r="H116" s="7" t="s">
        <v>67</v>
      </c>
      <c r="I116" s="6">
        <v>7000</v>
      </c>
      <c r="J116" s="7">
        <f>G116*I116</f>
        <v>7000</v>
      </c>
      <c r="K116" s="5"/>
    </row>
    <row r="117" spans="1:13" x14ac:dyDescent="0.25">
      <c r="A117" s="2"/>
      <c r="B117" s="8"/>
      <c r="C117" s="3"/>
      <c r="D117" s="4"/>
      <c r="E117" s="5"/>
      <c r="F117" s="5"/>
      <c r="G117" s="6"/>
      <c r="H117" s="7"/>
      <c r="I117" s="6"/>
      <c r="J117" s="18"/>
      <c r="K117" s="5"/>
    </row>
    <row r="118" spans="1:13" ht="15" customHeight="1" x14ac:dyDescent="0.25">
      <c r="A118" s="2">
        <v>11</v>
      </c>
      <c r="B118" s="1" t="s">
        <v>18</v>
      </c>
      <c r="C118" s="3">
        <v>1</v>
      </c>
      <c r="D118" s="4"/>
      <c r="E118" s="5"/>
      <c r="F118" s="5"/>
      <c r="G118" s="7">
        <f t="shared" ref="G118" si="17">PRODUCT(C118:F118)</f>
        <v>1</v>
      </c>
      <c r="H118" s="7" t="s">
        <v>19</v>
      </c>
      <c r="I118" s="6">
        <v>500</v>
      </c>
      <c r="J118" s="7">
        <f>G118*I118</f>
        <v>500</v>
      </c>
      <c r="K118" s="5"/>
    </row>
    <row r="119" spans="1:13" x14ac:dyDescent="0.25">
      <c r="A119" s="2"/>
      <c r="B119" s="8"/>
      <c r="C119" s="3"/>
      <c r="D119" s="4"/>
      <c r="E119" s="5"/>
      <c r="F119" s="5"/>
      <c r="G119" s="6"/>
      <c r="H119" s="7"/>
      <c r="I119" s="6"/>
      <c r="J119" s="18"/>
      <c r="K119" s="5"/>
    </row>
    <row r="120" spans="1:13" x14ac:dyDescent="0.25">
      <c r="A120" s="21"/>
      <c r="B120" s="22" t="s">
        <v>21</v>
      </c>
      <c r="C120" s="23"/>
      <c r="D120" s="24"/>
      <c r="E120" s="24"/>
      <c r="F120" s="24"/>
      <c r="G120" s="18"/>
      <c r="H120" s="18"/>
      <c r="I120" s="18"/>
      <c r="J120" s="18">
        <f>SUM(J10:J118)</f>
        <v>569089.07039927552</v>
      </c>
      <c r="K120" s="25"/>
    </row>
    <row r="121" spans="1:13" x14ac:dyDescent="0.25">
      <c r="M121" s="20"/>
    </row>
    <row r="122" spans="1:13" s="20" customFormat="1" hidden="1" x14ac:dyDescent="0.25">
      <c r="A122" s="26"/>
      <c r="B122" s="27" t="s">
        <v>84</v>
      </c>
      <c r="C122" s="65">
        <f>J120</f>
        <v>569089.07039927552</v>
      </c>
      <c r="D122" s="66"/>
      <c r="E122" s="9">
        <v>100</v>
      </c>
      <c r="F122" s="26"/>
      <c r="G122" s="28"/>
      <c r="H122" s="26"/>
      <c r="I122" s="29"/>
      <c r="J122" s="30"/>
      <c r="K122" s="31"/>
      <c r="M122" s="19"/>
    </row>
    <row r="123" spans="1:13" hidden="1" x14ac:dyDescent="0.25">
      <c r="B123" s="27" t="s">
        <v>24</v>
      </c>
      <c r="C123" s="69">
        <v>500000</v>
      </c>
      <c r="D123" s="70"/>
      <c r="E123" s="9"/>
    </row>
    <row r="124" spans="1:13" hidden="1" x14ac:dyDescent="0.25">
      <c r="B124" s="27" t="s">
        <v>25</v>
      </c>
      <c r="C124" s="69">
        <f>C123-C126-C127</f>
        <v>475000</v>
      </c>
      <c r="D124" s="70"/>
      <c r="E124" s="9">
        <f>C124/C122*100</f>
        <v>83.466723349077469</v>
      </c>
    </row>
    <row r="125" spans="1:13" hidden="1" x14ac:dyDescent="0.25">
      <c r="B125" s="27" t="s">
        <v>40</v>
      </c>
      <c r="C125" s="71">
        <f>C122-C124</f>
        <v>94089.070399275515</v>
      </c>
      <c r="D125" s="71"/>
      <c r="E125" s="9">
        <f>100-E124</f>
        <v>16.533276650922531</v>
      </c>
    </row>
    <row r="126" spans="1:13" hidden="1" x14ac:dyDescent="0.25">
      <c r="B126" s="27" t="s">
        <v>26</v>
      </c>
      <c r="C126" s="65">
        <f>C123*0.03</f>
        <v>15000</v>
      </c>
      <c r="D126" s="66"/>
      <c r="E126" s="9">
        <v>3</v>
      </c>
    </row>
    <row r="127" spans="1:13" hidden="1" x14ac:dyDescent="0.25">
      <c r="B127" s="27" t="s">
        <v>27</v>
      </c>
      <c r="C127" s="65">
        <f>C123*0.02</f>
        <v>10000</v>
      </c>
      <c r="D127" s="66"/>
      <c r="E127" s="9">
        <v>2</v>
      </c>
    </row>
  </sheetData>
  <mergeCells count="13">
    <mergeCell ref="A6:F6"/>
    <mergeCell ref="A1:K1"/>
    <mergeCell ref="A2:K2"/>
    <mergeCell ref="A3:K3"/>
    <mergeCell ref="A4:K4"/>
    <mergeCell ref="A5:K5"/>
    <mergeCell ref="C126:D126"/>
    <mergeCell ref="C127:D127"/>
    <mergeCell ref="A7:F7"/>
    <mergeCell ref="C122:D122"/>
    <mergeCell ref="C123:D123"/>
    <mergeCell ref="C124:D124"/>
    <mergeCell ref="C125:D125"/>
  </mergeCells>
  <pageMargins left="0.70866141732283505" right="0.70866141732283505" top="0.74803149606299202" bottom="0.74803149606299202" header="0.31496062992126" footer="0.31496062992126"/>
  <pageSetup paperSize="9" scale="9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estimate</vt:lpstr>
      <vt:lpstr>WCR</vt:lpstr>
      <vt:lpstr>V</vt:lpstr>
      <vt:lpstr>M</vt:lpstr>
      <vt:lpstr>estimate!Print_Area</vt:lpstr>
      <vt:lpstr>M!Print_Area</vt:lpstr>
      <vt:lpstr>V!Print_Area</vt:lpstr>
      <vt:lpstr>WCR!Print_Area</vt:lpstr>
      <vt:lpstr>estimate!Print_Titles</vt:lpstr>
      <vt:lpstr>M!Print_Titles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2026-07-08T06:00:21Z</dcterms:modified>
</cp:coreProperties>
</file>