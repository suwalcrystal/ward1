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8" i="13" l="1"/>
  <c r="G118" i="13" s="1"/>
  <c r="G119" i="13" s="1"/>
  <c r="B118" i="13"/>
  <c r="C112" i="13"/>
  <c r="D133" i="13"/>
  <c r="B125" i="13"/>
  <c r="B109" i="13"/>
  <c r="F100" i="13"/>
  <c r="F99" i="13"/>
  <c r="J119" i="13" l="1"/>
  <c r="J122" i="13"/>
  <c r="J121" i="13"/>
  <c r="J120" i="13"/>
  <c r="E85" i="13" l="1"/>
  <c r="D85" i="13"/>
  <c r="C79" i="13"/>
  <c r="E79" i="13"/>
  <c r="E78" i="13"/>
  <c r="C78" i="13"/>
  <c r="D78" i="13"/>
  <c r="D74" i="13"/>
  <c r="D72" i="13"/>
  <c r="M70" i="13"/>
  <c r="N70" i="13" s="1"/>
  <c r="D68" i="13"/>
  <c r="C71" i="13" s="1"/>
  <c r="D69" i="13"/>
  <c r="C70" i="13" s="1"/>
  <c r="C55" i="13"/>
  <c r="E39" i="13"/>
  <c r="D39" i="13"/>
  <c r="D112" i="13" s="1"/>
  <c r="D41" i="13"/>
  <c r="F36" i="13"/>
  <c r="F35" i="13"/>
  <c r="E17" i="13"/>
  <c r="D17" i="13"/>
  <c r="D16" i="13"/>
  <c r="F11" i="13"/>
  <c r="D11" i="13"/>
  <c r="N11" i="13"/>
  <c r="M11" i="13"/>
  <c r="F98" i="13"/>
  <c r="E56" i="13" l="1"/>
  <c r="D77" i="13" s="1"/>
  <c r="C76" i="13" s="1"/>
  <c r="E112" i="13"/>
  <c r="G112" i="13" s="1"/>
  <c r="G148" i="13"/>
  <c r="J148" i="13" s="1"/>
  <c r="E58" i="13"/>
  <c r="E57" i="13"/>
  <c r="C58" i="13"/>
  <c r="C57" i="13"/>
  <c r="B57" i="13"/>
  <c r="G41" i="13"/>
  <c r="D40" i="13"/>
  <c r="D57" i="13" s="1"/>
  <c r="E77" i="13"/>
  <c r="E76" i="13"/>
  <c r="C56" i="13"/>
  <c r="B56" i="13"/>
  <c r="D56" i="13"/>
  <c r="E75" i="13"/>
  <c r="D75" i="13"/>
  <c r="E74" i="13"/>
  <c r="C74" i="13"/>
  <c r="F55" i="13"/>
  <c r="B55" i="13"/>
  <c r="C127" i="13"/>
  <c r="B111" i="13"/>
  <c r="E71" i="13"/>
  <c r="E70" i="13"/>
  <c r="E73" i="13"/>
  <c r="D73" i="13"/>
  <c r="E72" i="13"/>
  <c r="C72" i="13"/>
  <c r="D71" i="13"/>
  <c r="D70" i="13"/>
  <c r="M69" i="13"/>
  <c r="E69" i="13"/>
  <c r="E68" i="13"/>
  <c r="C69" i="13"/>
  <c r="C68" i="13"/>
  <c r="E67" i="13"/>
  <c r="E66" i="13"/>
  <c r="C67" i="13"/>
  <c r="C66" i="13"/>
  <c r="D66" i="13"/>
  <c r="C110" i="13"/>
  <c r="C126" i="13" s="1"/>
  <c r="C109" i="13"/>
  <c r="C125" i="13" s="1"/>
  <c r="C111" i="13"/>
  <c r="F111" i="13"/>
  <c r="F127" i="13" s="1"/>
  <c r="F138" i="13" s="1"/>
  <c r="G138" i="13" s="1"/>
  <c r="G139" i="13" s="1"/>
  <c r="D111" i="13"/>
  <c r="D127" i="13" s="1"/>
  <c r="D138" i="13" s="1"/>
  <c r="C92" i="13"/>
  <c r="B92" i="13"/>
  <c r="D92" i="13"/>
  <c r="F110" i="13"/>
  <c r="F126" i="13" s="1"/>
  <c r="F133" i="13" s="1"/>
  <c r="I102" i="13"/>
  <c r="B98" i="13"/>
  <c r="F54" i="13"/>
  <c r="C54" i="13"/>
  <c r="B54" i="13"/>
  <c r="B74" i="13" s="1"/>
  <c r="D53" i="13"/>
  <c r="C53" i="13"/>
  <c r="B53" i="13"/>
  <c r="F52" i="13"/>
  <c r="B52" i="13"/>
  <c r="B72" i="13" s="1"/>
  <c r="C51" i="13"/>
  <c r="B51" i="13"/>
  <c r="F53" i="13"/>
  <c r="F51" i="13"/>
  <c r="D51" i="13"/>
  <c r="C25" i="13"/>
  <c r="B25" i="13"/>
  <c r="D25" i="13"/>
  <c r="E25" i="13"/>
  <c r="B16" i="13"/>
  <c r="B24" i="13" s="1"/>
  <c r="C16" i="13"/>
  <c r="E16" i="13"/>
  <c r="E24" i="13" s="1"/>
  <c r="E34" i="13" s="1"/>
  <c r="E37" i="13" s="1"/>
  <c r="E15" i="13"/>
  <c r="E23" i="13" s="1"/>
  <c r="D15" i="13"/>
  <c r="D23" i="13" s="1"/>
  <c r="C15" i="13"/>
  <c r="C23" i="13" s="1"/>
  <c r="B15" i="13"/>
  <c r="B23" i="13" s="1"/>
  <c r="B33" i="13" s="1"/>
  <c r="B66" i="13" s="1"/>
  <c r="J143" i="13" l="1"/>
  <c r="J142" i="13"/>
  <c r="J141" i="13"/>
  <c r="J140" i="13"/>
  <c r="J146" i="13"/>
  <c r="J145" i="13"/>
  <c r="J144" i="13"/>
  <c r="B76" i="13"/>
  <c r="B112" i="13"/>
  <c r="D76" i="13"/>
  <c r="F76" i="13" s="1"/>
  <c r="G76" i="13" s="1"/>
  <c r="C77" i="13"/>
  <c r="F77" i="13" s="1"/>
  <c r="G77" i="13" s="1"/>
  <c r="G40" i="13"/>
  <c r="G53" i="13"/>
  <c r="F78" i="13"/>
  <c r="G78" i="13" s="1"/>
  <c r="G57" i="13"/>
  <c r="F74" i="13"/>
  <c r="G74" i="13" s="1"/>
  <c r="G39" i="13"/>
  <c r="F79" i="13"/>
  <c r="G79" i="13" s="1"/>
  <c r="D58" i="13"/>
  <c r="G58" i="13" s="1"/>
  <c r="G56" i="13"/>
  <c r="J139" i="13"/>
  <c r="G133" i="13"/>
  <c r="G134" i="13" s="1"/>
  <c r="G101" i="13"/>
  <c r="G127" i="13"/>
  <c r="G111" i="13"/>
  <c r="E92" i="13"/>
  <c r="F109" i="13"/>
  <c r="F125" i="13" s="1"/>
  <c r="G11" i="13"/>
  <c r="G17" i="13"/>
  <c r="D24" i="13"/>
  <c r="D34" i="13" s="1"/>
  <c r="D98" i="13" s="1"/>
  <c r="G25" i="13"/>
  <c r="C24" i="13"/>
  <c r="J135" i="13" l="1"/>
  <c r="J134" i="13"/>
  <c r="G16" i="13"/>
  <c r="D52" i="13"/>
  <c r="D37" i="13"/>
  <c r="D99" i="13" s="1"/>
  <c r="G24" i="13"/>
  <c r="C34" i="13"/>
  <c r="D100" i="13" l="1"/>
  <c r="D109" i="13"/>
  <c r="D125" i="13" s="1"/>
  <c r="G125" i="13" s="1"/>
  <c r="G99" i="13"/>
  <c r="D54" i="13"/>
  <c r="C73" i="13"/>
  <c r="C52" i="13"/>
  <c r="C98" i="13"/>
  <c r="D110" i="13" l="1"/>
  <c r="G100" i="13"/>
  <c r="D55" i="13"/>
  <c r="G55" i="13" s="1"/>
  <c r="G38" i="13"/>
  <c r="D126" i="13" l="1"/>
  <c r="G126" i="13" s="1"/>
  <c r="G128" i="13" s="1"/>
  <c r="C75" i="13"/>
  <c r="F75" i="13" s="1"/>
  <c r="G75" i="13" s="1"/>
  <c r="C159" i="13"/>
  <c r="C158" i="13"/>
  <c r="G150" i="13"/>
  <c r="J150" i="13" s="1"/>
  <c r="J128" i="13" l="1"/>
  <c r="J130" i="13"/>
  <c r="J129" i="13"/>
  <c r="C156" i="13"/>
  <c r="G98" i="13"/>
  <c r="G102" i="13" s="1"/>
  <c r="J105" i="13" l="1"/>
  <c r="J103" i="13"/>
  <c r="J104" i="13"/>
  <c r="J106" i="13"/>
  <c r="G54" i="13"/>
  <c r="F73" i="13"/>
  <c r="G73" i="13" s="1"/>
  <c r="F71" i="13"/>
  <c r="G71" i="13" s="1"/>
  <c r="J102" i="13"/>
  <c r="F70" i="13"/>
  <c r="G70" i="13" s="1"/>
  <c r="F72" i="13"/>
  <c r="G72" i="13" s="1"/>
  <c r="G85" i="13"/>
  <c r="G86" i="13" s="1"/>
  <c r="G110" i="13"/>
  <c r="G109" i="13"/>
  <c r="G113" i="13" s="1"/>
  <c r="F68" i="13"/>
  <c r="G68" i="13" s="1"/>
  <c r="G51" i="13"/>
  <c r="G52" i="13"/>
  <c r="G59" i="13" l="1"/>
  <c r="J59" i="13" s="1"/>
  <c r="J115" i="13"/>
  <c r="G92" i="13"/>
  <c r="G93" i="13" s="1"/>
  <c r="J95" i="13" s="1"/>
  <c r="F69" i="13"/>
  <c r="G69" i="13" s="1"/>
  <c r="J86" i="13"/>
  <c r="J88" i="13"/>
  <c r="J89" i="13"/>
  <c r="J87" i="13"/>
  <c r="G10" i="13"/>
  <c r="G12" i="13" s="1"/>
  <c r="G15" i="13"/>
  <c r="G18" i="13" s="1"/>
  <c r="G23" i="13"/>
  <c r="G26" i="13" s="1"/>
  <c r="F66" i="13"/>
  <c r="G66" i="13" s="1"/>
  <c r="G35" i="13"/>
  <c r="G34" i="13"/>
  <c r="G33" i="13"/>
  <c r="G36" i="13"/>
  <c r="F67" i="13"/>
  <c r="G67" i="13" s="1"/>
  <c r="G80" i="13" l="1"/>
  <c r="J80" i="13" s="1"/>
  <c r="J26" i="13"/>
  <c r="J20" i="13"/>
  <c r="J19" i="13"/>
  <c r="J93" i="13"/>
  <c r="J94" i="13"/>
  <c r="J113" i="13"/>
  <c r="J114" i="13"/>
  <c r="J27" i="13"/>
  <c r="J29" i="13"/>
  <c r="J28" i="13"/>
  <c r="J30" i="13"/>
  <c r="J12" i="13"/>
  <c r="J60" i="13"/>
  <c r="J61" i="13"/>
  <c r="J62" i="13"/>
  <c r="J63" i="13"/>
  <c r="J18" i="13"/>
  <c r="G37" i="13"/>
  <c r="G42" i="13" s="1"/>
  <c r="J42" i="13" l="1"/>
  <c r="J82" i="13"/>
  <c r="J81" i="13"/>
  <c r="J45" i="13"/>
  <c r="J48" i="13"/>
  <c r="J44" i="13"/>
  <c r="J46" i="13"/>
  <c r="J43" i="13"/>
  <c r="J47" i="13"/>
  <c r="J152" i="13" l="1"/>
  <c r="C154" i="13" s="1"/>
  <c r="C157" i="13" s="1"/>
  <c r="E156" i="13" l="1"/>
  <c r="E157" i="13" s="1"/>
</calcChain>
</file>

<file path=xl/sharedStrings.xml><?xml version="1.0" encoding="utf-8"?>
<sst xmlns="http://schemas.openxmlformats.org/spreadsheetml/2006/main" count="139" uniqueCount="96">
  <si>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</si>
  <si>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</si>
  <si>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</si>
  <si>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</si>
  <si>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</si>
  <si>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</si>
  <si>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</si>
  <si>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</si>
  <si>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</si>
  <si>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</si>
  <si>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</si>
  <si>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</si>
  <si>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</si>
  <si>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</si>
  <si>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</si>
  <si>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</si>
  <si>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</si>
  <si>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</si>
  <si>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</si>
  <si>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</si>
  <si>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</si>
  <si>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</si>
  <si>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</si>
  <si>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</si>
  <si>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</si>
  <si>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</si>
  <si>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</si>
  <si>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</si>
  <si>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</si>
  <si>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</si>
  <si>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</si>
  <si>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</si>
  <si>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</si>
  <si>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</si>
  <si>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</si>
  <si>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</si>
  <si>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</si>
  <si>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</si>
  <si>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</si>
  <si>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</si>
  <si>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</si>
  <si>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</si>
  <si>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</si>
  <si>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</si>
  <si>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</si>
  <si>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</si>
  <si>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</si>
  <si>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</si>
  <si>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</si>
  <si>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</si>
  <si>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</si>
  <si>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</si>
  <si>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-for flooring</t>
  </si>
  <si>
    <t>!@=% dL=dL= l;d]G6 afn'jf -!M$_ Knfi6/</t>
  </si>
  <si>
    <t># dL=dL= df]6fO{ d;Lgf] l;d]G6 3f]6\g] sfd</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</si>
  <si>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</si>
  <si>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</si>
  <si>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</si>
  <si>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</si>
  <si>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</si>
  <si>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</si>
  <si>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</si>
  <si>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</si>
  <si>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</si>
  <si>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</si>
  <si>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-deduction for window</t>
  </si>
  <si>
    <t>-for neck column to 1st floor</t>
  </si>
  <si>
    <t>-for binding stirrups</t>
  </si>
  <si>
    <t>.-for stirrups</t>
  </si>
  <si>
    <t xml:space="preserve"> Ps sf]6 k|fO{d/ ;lxt b'O{ sf]6 j]b/sf]6 k]G6 ug]{ sfd</t>
  </si>
  <si>
    <t>-13% VAT for aster</t>
  </si>
  <si>
    <t>-13% VAT for weather coat</t>
  </si>
  <si>
    <t>kmnfd] sf]nfK;Lan u]6 k]lG6Ë / h8fg ;d]t ug]{</t>
  </si>
  <si>
    <t>-for chain gate</t>
  </si>
  <si>
    <t>-for window</t>
  </si>
  <si>
    <t>-for inclined slab</t>
  </si>
  <si>
    <t>-for cantilever</t>
  </si>
  <si>
    <t>Date:2082</t>
  </si>
  <si>
    <t>-for wall below tie beam</t>
  </si>
  <si>
    <t>-for cantilever beam</t>
  </si>
  <si>
    <t>-for cantilever slab</t>
  </si>
  <si>
    <t xml:space="preserve">-for flooring </t>
  </si>
  <si>
    <t>-at GF wall</t>
  </si>
  <si>
    <t>#* dL=dL= afSnf] lr/fg cu|fv sf7sf] k|m]d xfnL l8nfvfkf agfO</t>
  </si>
  <si>
    <t>Knfi6/ dfly @) dL=dL= afSnf] emNn/ jf kfgL k§L agfpg] sfd</t>
  </si>
  <si>
    <t>rm</t>
  </si>
  <si>
    <t>-13% VAT for waterproofing</t>
  </si>
  <si>
    <t>Provisional sum for lab tests and other unforseen works</t>
  </si>
  <si>
    <t>-13% VAT for salwood</t>
  </si>
  <si>
    <r>
      <t>-13% VAT for</t>
    </r>
    <r>
      <rPr>
        <sz val="11"/>
        <rFont val="Preeti"/>
      </rPr>
      <t xml:space="preserve"> !)) dL=dL= sAhf</t>
    </r>
  </si>
  <si>
    <r>
      <t xml:space="preserve">-13% VAT for </t>
    </r>
    <r>
      <rPr>
        <sz val="11"/>
        <rFont val="Preeti"/>
      </rPr>
      <t>!%) dL=dL=5]:sLgL</t>
    </r>
  </si>
  <si>
    <r>
      <t xml:space="preserve">-13% VAT for </t>
    </r>
    <r>
      <rPr>
        <sz val="11"/>
        <rFont val="Preeti"/>
      </rPr>
      <t>#))dL=dL= 5]:sLgL</t>
    </r>
  </si>
  <si>
    <r>
      <t xml:space="preserve">-13% VAT for </t>
    </r>
    <r>
      <rPr>
        <sz val="11"/>
        <rFont val="Preeti"/>
      </rPr>
      <t>XoflG8n</t>
    </r>
  </si>
  <si>
    <r>
      <t xml:space="preserve">-13% VAT for </t>
    </r>
    <r>
      <rPr>
        <sz val="11"/>
        <rFont val="Preeti"/>
      </rPr>
      <t>k]r lsnf</t>
    </r>
  </si>
  <si>
    <r>
      <t xml:space="preserve">-13% VAT for </t>
    </r>
    <r>
      <rPr>
        <sz val="11"/>
        <rFont val="Preeti"/>
      </rPr>
      <t xml:space="preserve">#)) dL=dL=nlsË ;]6 '-;fwf/0f_ </t>
    </r>
  </si>
  <si>
    <r>
      <t>Project:-</t>
    </r>
    <r>
      <rPr>
        <sz val="12"/>
        <rFont val="Preeti"/>
      </rPr>
      <t xml:space="preserve"> 9sfnufpF ;fd'bflos ejg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</si>
</sst>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13"/>
      <name val="Preeti"/>
    </font>
    <font>
      <sz val="11"/>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3">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Fill="1" applyBorder="1"/>
    <xf numFmtId="0" fontId="0" fillId="0" borderId="0" xfId="0" applyFill="1"/>
    <xf numFmtId="0" fontId="9" fillId="0" borderId="0" xfId="0" applyFont="1" applyFill="1" applyAlignment="1">
      <alignment horizontal="center"/>
    </xf>
    <xf numFmtId="164" fontId="9" fillId="0" borderId="0" xfId="1"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xf numFmtId="0" fontId="13" fillId="0" borderId="2" xfId="0" applyFont="1" applyFill="1" applyBorder="1" applyAlignment="1">
      <alignment vertical="center"/>
    </xf>
    <xf numFmtId="0" fontId="14" fillId="0" borderId="2" xfId="0" applyFont="1" applyFill="1" applyBorder="1" applyAlignment="1">
      <alignment wrapText="1"/>
    </xf>
    <xf numFmtId="0" fontId="0" fillId="0" borderId="2" xfId="0" applyFill="1" applyBorder="1" applyAlignment="1">
      <alignment vertical="center"/>
    </xf>
    <xf numFmtId="0" fontId="0" fillId="0" borderId="0" xfId="0" applyFill="1" applyAlignment="1">
      <alignment vertical="center"/>
    </xf>
    <xf numFmtId="0" fontId="0" fillId="0" borderId="2" xfId="0" applyFill="1" applyBorder="1"/>
    <xf numFmtId="0" fontId="0" fillId="0" borderId="2" xfId="0" quotePrefix="1" applyFill="1" applyBorder="1" applyAlignment="1">
      <alignment horizontal="right"/>
    </xf>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2" fontId="0" fillId="0" borderId="2" xfId="0" applyNumberFormat="1" applyFill="1" applyBorder="1" applyAlignment="1">
      <alignment vertical="center"/>
    </xf>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0" fontId="14" fillId="0" borderId="2" xfId="0" applyFont="1" applyFill="1" applyBorder="1" applyAlignment="1">
      <alignment vertical="center" wrapText="1"/>
    </xf>
    <xf numFmtId="2" fontId="0" fillId="0" borderId="2" xfId="0" applyNumberFormat="1" applyFill="1" applyBorder="1" applyAlignment="1">
      <alignment vertical="center" wrapText="1"/>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0" xfId="0" applyFont="1" applyFill="1" applyAlignment="1">
      <alignment vertical="center"/>
    </xf>
    <xf numFmtId="0" fontId="8" fillId="0" borderId="1" xfId="0" applyFont="1" applyFill="1" applyBorder="1"/>
    <xf numFmtId="0" fontId="8" fillId="0" borderId="1" xfId="0" applyFont="1" applyFill="1" applyBorder="1" applyAlignment="1">
      <alignment horizontal="right"/>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8" fillId="0" borderId="0" xfId="0" applyFont="1" applyFill="1" applyAlignment="1">
      <alignment horizontal="right"/>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4" fillId="0" borderId="0" xfId="0" applyFont="1" applyFill="1" applyBorder="1"/>
    <xf numFmtId="0" fontId="15" fillId="0" borderId="0" xfId="0" applyFont="1" applyBorder="1" applyAlignment="1">
      <alignment horizontal="center"/>
    </xf>
    <xf numFmtId="0" fontId="12" fillId="0" borderId="0" xfId="0" applyFont="1" applyBorder="1" applyAlignment="1">
      <alignment horizontal="center"/>
    </xf>
    <xf numFmtId="0" fontId="15" fillId="0" borderId="0" xfId="0" quotePrefix="1" applyFont="1" applyBorder="1" applyAlignment="1">
      <alignment horizont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9"/>
  <sheetViews>
    <sheetView tabSelected="1" workbookViewId="0">
      <selection activeCell="A7" sqref="A7:F7"/>
    </sheetView>
  </sheetViews>
  <sheetFormatPr defaultColWidth="9.109375" defaultRowHeight="14.4" x14ac:dyDescent="0.3"/>
  <cols>
    <col min="1" max="1" width="4.6640625" style="4" customWidth="1"/>
    <col min="2" max="2" width="30.88671875" style="4" customWidth="1"/>
    <col min="3" max="3" width="5.21875" style="4" bestFit="1" customWidth="1"/>
    <col min="4" max="4" width="8.44140625" style="4" customWidth="1"/>
    <col min="5" max="5" width="8.5546875" style="4" customWidth="1"/>
    <col min="6" max="6" width="7.33203125" style="4" customWidth="1"/>
    <col min="7" max="7" width="9.109375" style="4"/>
    <col min="8" max="8" width="5" style="4" bestFit="1" customWidth="1"/>
    <col min="9" max="9" width="9.5546875" style="4" customWidth="1"/>
    <col min="10" max="10" width="10.6640625" style="4" bestFit="1" customWidth="1"/>
    <col min="11" max="16384" width="9.109375" style="4"/>
  </cols>
  <sheetData>
    <row r="1" spans="1:14" x14ac:dyDescent="0.3">
      <c r="A1" s="48" t="s">
        <v>0</v>
      </c>
      <c r="B1" s="48"/>
      <c r="C1" s="48"/>
      <c r="D1" s="48"/>
      <c r="E1" s="48"/>
      <c r="F1" s="48"/>
      <c r="G1" s="48"/>
      <c r="H1" s="48"/>
      <c r="I1" s="48"/>
      <c r="J1" s="48"/>
      <c r="K1" s="48"/>
    </row>
    <row r="2" spans="1:14" ht="22.8" x14ac:dyDescent="0.3">
      <c r="A2" s="49" t="s">
        <v>1</v>
      </c>
      <c r="B2" s="49"/>
      <c r="C2" s="49"/>
      <c r="D2" s="49"/>
      <c r="E2" s="49"/>
      <c r="F2" s="49"/>
      <c r="G2" s="49"/>
      <c r="H2" s="49"/>
      <c r="I2" s="49"/>
      <c r="J2" s="49"/>
      <c r="K2" s="49"/>
    </row>
    <row r="3" spans="1:14" x14ac:dyDescent="0.3">
      <c r="A3" s="50" t="s">
        <v>2</v>
      </c>
      <c r="B3" s="50"/>
      <c r="C3" s="50"/>
      <c r="D3" s="50"/>
      <c r="E3" s="50"/>
      <c r="F3" s="50"/>
      <c r="G3" s="50"/>
      <c r="H3" s="50"/>
      <c r="I3" s="50"/>
      <c r="J3" s="50"/>
      <c r="K3" s="50"/>
    </row>
    <row r="4" spans="1:14" x14ac:dyDescent="0.3">
      <c r="A4" s="50" t="s">
        <v>3</v>
      </c>
      <c r="B4" s="50"/>
      <c r="C4" s="50"/>
      <c r="D4" s="50"/>
      <c r="E4" s="50"/>
      <c r="F4" s="50"/>
      <c r="G4" s="50"/>
      <c r="H4" s="50"/>
      <c r="I4" s="50"/>
      <c r="J4" s="50"/>
      <c r="K4" s="50"/>
    </row>
    <row r="5" spans="1:14" ht="17.399999999999999" x14ac:dyDescent="0.3">
      <c r="A5" s="51" t="s">
        <v>4</v>
      </c>
      <c r="B5" s="51"/>
      <c r="C5" s="51"/>
      <c r="D5" s="51"/>
      <c r="E5" s="51"/>
      <c r="F5" s="51"/>
      <c r="G5" s="51"/>
      <c r="H5" s="51"/>
      <c r="I5" s="51"/>
      <c r="J5" s="51"/>
      <c r="K5" s="51"/>
    </row>
    <row r="6" spans="1:14" ht="15.6" x14ac:dyDescent="0.3">
      <c r="A6" s="52" t="s">
        <v>95</v>
      </c>
      <c r="B6" s="52"/>
      <c r="C6" s="52"/>
      <c r="D6" s="52"/>
      <c r="E6" s="52"/>
      <c r="F6" s="52"/>
      <c r="G6" s="5"/>
      <c r="H6" s="53" t="s">
        <v>25</v>
      </c>
      <c r="I6" s="53"/>
      <c r="J6" s="53"/>
      <c r="K6" s="53"/>
    </row>
    <row r="7" spans="1:14" ht="15.6" x14ac:dyDescent="0.3">
      <c r="A7" s="46" t="s">
        <v>29</v>
      </c>
      <c r="B7" s="46"/>
      <c r="C7" s="46"/>
      <c r="D7" s="46"/>
      <c r="E7" s="46"/>
      <c r="F7" s="46"/>
      <c r="G7" s="6"/>
      <c r="H7" s="47" t="s">
        <v>77</v>
      </c>
      <c r="I7" s="47"/>
      <c r="J7" s="47"/>
      <c r="K7" s="47"/>
    </row>
    <row r="8" spans="1:14" s="11" customFormat="1" ht="15.6" x14ac:dyDescent="0.3">
      <c r="A8" s="7" t="s">
        <v>5</v>
      </c>
      <c r="B8" s="8" t="s">
        <v>6</v>
      </c>
      <c r="C8" s="7" t="s">
        <v>7</v>
      </c>
      <c r="D8" s="9" t="s">
        <v>8</v>
      </c>
      <c r="E8" s="9" t="s">
        <v>9</v>
      </c>
      <c r="F8" s="9" t="s">
        <v>10</v>
      </c>
      <c r="G8" s="9" t="s">
        <v>11</v>
      </c>
      <c r="H8" s="7" t="s">
        <v>12</v>
      </c>
      <c r="I8" s="9" t="s">
        <v>13</v>
      </c>
      <c r="J8" s="9" t="s">
        <v>14</v>
      </c>
      <c r="K8" s="10" t="s">
        <v>15</v>
      </c>
    </row>
    <row r="9" spans="1:14" s="15" customFormat="1" ht="30" x14ac:dyDescent="0.25">
      <c r="A9" s="12">
        <v>1</v>
      </c>
      <c r="B9" s="13" t="s">
        <v>56</v>
      </c>
      <c r="C9" s="14"/>
      <c r="D9" s="14"/>
      <c r="E9" s="14"/>
      <c r="F9" s="14"/>
      <c r="G9" s="14"/>
      <c r="H9" s="14"/>
      <c r="I9" s="14"/>
      <c r="J9" s="14"/>
      <c r="K9" s="14"/>
    </row>
    <row r="10" spans="1:14" x14ac:dyDescent="0.3">
      <c r="A10" s="16"/>
      <c r="B10" s="17" t="s">
        <v>57</v>
      </c>
      <c r="C10" s="16">
        <v>4</v>
      </c>
      <c r="D10" s="3">
        <v>1.5</v>
      </c>
      <c r="E10" s="3">
        <v>1.5</v>
      </c>
      <c r="F10" s="3">
        <v>1.5</v>
      </c>
      <c r="G10" s="3">
        <f>PRODUCT(C10:F10)</f>
        <v>13.5</v>
      </c>
      <c r="H10" s="16"/>
      <c r="I10" s="16"/>
      <c r="J10" s="16"/>
      <c r="K10" s="16"/>
    </row>
    <row r="11" spans="1:14" x14ac:dyDescent="0.3">
      <c r="A11" s="16"/>
      <c r="B11" s="17" t="s">
        <v>78</v>
      </c>
      <c r="C11" s="16">
        <v>4</v>
      </c>
      <c r="D11" s="3">
        <f>1.833/3.281</f>
        <v>0.55867113684852177</v>
      </c>
      <c r="E11" s="3">
        <v>0.23</v>
      </c>
      <c r="F11" s="3">
        <f>(F10-0.23-0.23)</f>
        <v>1.04</v>
      </c>
      <c r="G11" s="3">
        <f>PRODUCT(C11:F11)</f>
        <v>0.5345365437366657</v>
      </c>
      <c r="H11" s="16"/>
      <c r="I11" s="16"/>
      <c r="J11" s="16"/>
      <c r="K11" s="16"/>
      <c r="M11" s="4">
        <f>(3.5)/3.281</f>
        <v>1.0667479427003961</v>
      </c>
      <c r="N11" s="4">
        <f>4.25/3.281</f>
        <v>1.2953367875647668</v>
      </c>
    </row>
    <row r="12" spans="1:14" s="11" customFormat="1" ht="15" customHeight="1" x14ac:dyDescent="0.3">
      <c r="A12" s="18"/>
      <c r="B12" s="19" t="s">
        <v>16</v>
      </c>
      <c r="C12" s="20"/>
      <c r="D12" s="1"/>
      <c r="E12" s="21"/>
      <c r="F12" s="21"/>
      <c r="G12" s="2">
        <f>SUM(G10:G11)</f>
        <v>14.034536543736666</v>
      </c>
      <c r="H12" s="22" t="s">
        <v>28</v>
      </c>
      <c r="I12" s="2">
        <v>674.12</v>
      </c>
      <c r="J12" s="23">
        <f>G12*I12</f>
        <v>9460.9617748637611</v>
      </c>
      <c r="K12" s="21"/>
    </row>
    <row r="13" spans="1:14" x14ac:dyDescent="0.3">
      <c r="A13" s="16"/>
      <c r="B13" s="16"/>
      <c r="C13" s="16"/>
      <c r="D13" s="3"/>
      <c r="E13" s="3"/>
      <c r="F13" s="3"/>
      <c r="G13" s="3"/>
      <c r="H13" s="16"/>
      <c r="I13" s="16"/>
      <c r="J13" s="16"/>
      <c r="K13" s="16"/>
    </row>
    <row r="14" spans="1:14" s="15" customFormat="1" ht="15" x14ac:dyDescent="0.25">
      <c r="A14" s="12">
        <v>2</v>
      </c>
      <c r="B14" s="13" t="s">
        <v>58</v>
      </c>
      <c r="C14" s="14"/>
      <c r="D14" s="24"/>
      <c r="E14" s="24"/>
      <c r="F14" s="24"/>
      <c r="G14" s="24"/>
      <c r="H14" s="14"/>
      <c r="I14" s="14"/>
      <c r="J14" s="14"/>
      <c r="K14" s="14"/>
    </row>
    <row r="15" spans="1:14" x14ac:dyDescent="0.3">
      <c r="A15" s="16"/>
      <c r="B15" s="17" t="str">
        <f t="shared" ref="B15:E16" si="0">B10</f>
        <v>-for foundation</v>
      </c>
      <c r="C15" s="16">
        <f t="shared" si="0"/>
        <v>4</v>
      </c>
      <c r="D15" s="3">
        <f t="shared" si="0"/>
        <v>1.5</v>
      </c>
      <c r="E15" s="3">
        <f t="shared" si="0"/>
        <v>1.5</v>
      </c>
      <c r="F15" s="3"/>
      <c r="G15" s="3">
        <f>PRODUCT(C15:F15)</f>
        <v>9</v>
      </c>
      <c r="H15" s="16"/>
      <c r="I15" s="16"/>
      <c r="J15" s="16"/>
      <c r="K15" s="16"/>
    </row>
    <row r="16" spans="1:14" x14ac:dyDescent="0.3">
      <c r="A16" s="16"/>
      <c r="B16" s="17" t="str">
        <f t="shared" si="0"/>
        <v>-for wall below tie beam</v>
      </c>
      <c r="C16" s="16">
        <f t="shared" si="0"/>
        <v>4</v>
      </c>
      <c r="D16" s="3">
        <f>5.667/3.281</f>
        <v>1.7272173117951843</v>
      </c>
      <c r="E16" s="3">
        <f t="shared" si="0"/>
        <v>0.23</v>
      </c>
      <c r="F16" s="3"/>
      <c r="G16" s="3">
        <f>PRODUCT(C16:F16)</f>
        <v>1.5890399268515696</v>
      </c>
      <c r="H16" s="16"/>
      <c r="I16" s="16"/>
      <c r="J16" s="16"/>
      <c r="K16" s="16"/>
    </row>
    <row r="17" spans="1:11" x14ac:dyDescent="0.3">
      <c r="A17" s="16"/>
      <c r="B17" s="17" t="s">
        <v>52</v>
      </c>
      <c r="C17" s="16">
        <v>1</v>
      </c>
      <c r="D17" s="3">
        <f>6.5/3.281</f>
        <v>1.9811033221578787</v>
      </c>
      <c r="E17" s="3">
        <f>6.5/3.281</f>
        <v>1.9811033221578787</v>
      </c>
      <c r="F17" s="3"/>
      <c r="G17" s="3">
        <f>PRODUCT(C17:F17)</f>
        <v>3.9247703730649834</v>
      </c>
      <c r="H17" s="16"/>
      <c r="I17" s="16"/>
      <c r="J17" s="16"/>
      <c r="K17" s="16"/>
    </row>
    <row r="18" spans="1:11" s="11" customFormat="1" ht="15" customHeight="1" x14ac:dyDescent="0.3">
      <c r="A18" s="18"/>
      <c r="B18" s="19" t="s">
        <v>16</v>
      </c>
      <c r="C18" s="20"/>
      <c r="D18" s="1"/>
      <c r="E18" s="21"/>
      <c r="F18" s="21"/>
      <c r="G18" s="2">
        <f>SUM(G15:G17)</f>
        <v>14.513810299916553</v>
      </c>
      <c r="H18" s="22" t="s">
        <v>34</v>
      </c>
      <c r="I18" s="2">
        <v>1017.47</v>
      </c>
      <c r="J18" s="23">
        <f>G18*I18</f>
        <v>14767.366565856097</v>
      </c>
      <c r="K18" s="21"/>
    </row>
    <row r="19" spans="1:11" s="11" customFormat="1" x14ac:dyDescent="0.3">
      <c r="A19" s="25"/>
      <c r="B19" s="26" t="s">
        <v>55</v>
      </c>
      <c r="C19" s="27"/>
      <c r="D19" s="28"/>
      <c r="E19" s="28"/>
      <c r="F19" s="28"/>
      <c r="G19" s="28"/>
      <c r="H19" s="27"/>
      <c r="I19" s="27"/>
      <c r="J19" s="23">
        <f>0.13*G18*6360.9/10</f>
        <v>1200.1716471776097</v>
      </c>
      <c r="K19" s="27"/>
    </row>
    <row r="20" spans="1:11" x14ac:dyDescent="0.3">
      <c r="A20" s="16"/>
      <c r="B20" s="26" t="s">
        <v>31</v>
      </c>
      <c r="C20" s="16"/>
      <c r="D20" s="3"/>
      <c r="E20" s="3"/>
      <c r="F20" s="3"/>
      <c r="G20" s="3"/>
      <c r="H20" s="16"/>
      <c r="I20" s="16"/>
      <c r="J20" s="23">
        <f>0.13*G18*2256.3/10</f>
        <v>425.71763233612245</v>
      </c>
      <c r="K20" s="16"/>
    </row>
    <row r="21" spans="1:11" x14ac:dyDescent="0.3">
      <c r="A21" s="16"/>
      <c r="B21" s="16"/>
      <c r="C21" s="16"/>
      <c r="D21" s="3"/>
      <c r="E21" s="3"/>
      <c r="F21" s="3"/>
      <c r="G21" s="3"/>
      <c r="H21" s="16"/>
      <c r="I21" s="16"/>
      <c r="J21" s="16"/>
      <c r="K21" s="16"/>
    </row>
    <row r="22" spans="1:11" s="15" customFormat="1" ht="30" x14ac:dyDescent="0.25">
      <c r="A22" s="12">
        <v>3</v>
      </c>
      <c r="B22" s="13" t="s">
        <v>35</v>
      </c>
      <c r="C22" s="14"/>
      <c r="D22" s="24"/>
      <c r="E22" s="24"/>
      <c r="F22" s="24"/>
      <c r="G22" s="24"/>
      <c r="H22" s="14"/>
      <c r="I22" s="14"/>
      <c r="J22" s="14"/>
      <c r="K22" s="14"/>
    </row>
    <row r="23" spans="1:11" x14ac:dyDescent="0.3">
      <c r="A23" s="16"/>
      <c r="B23" s="17" t="str">
        <f t="shared" ref="B23:E24" si="1">B15</f>
        <v>-for foundation</v>
      </c>
      <c r="C23" s="16">
        <f t="shared" si="1"/>
        <v>4</v>
      </c>
      <c r="D23" s="3">
        <f t="shared" si="1"/>
        <v>1.5</v>
      </c>
      <c r="E23" s="3">
        <f t="shared" si="1"/>
        <v>1.5</v>
      </c>
      <c r="F23" s="3">
        <v>7.4999999999999997E-2</v>
      </c>
      <c r="G23" s="3">
        <f>PRODUCT(C23:F23)</f>
        <v>0.67499999999999993</v>
      </c>
      <c r="H23" s="16"/>
      <c r="I23" s="16"/>
      <c r="J23" s="16"/>
      <c r="K23" s="16"/>
    </row>
    <row r="24" spans="1:11" x14ac:dyDescent="0.3">
      <c r="A24" s="16"/>
      <c r="B24" s="17" t="str">
        <f t="shared" si="1"/>
        <v>-for wall below tie beam</v>
      </c>
      <c r="C24" s="16">
        <f t="shared" si="1"/>
        <v>4</v>
      </c>
      <c r="D24" s="3">
        <f t="shared" si="1"/>
        <v>1.7272173117951843</v>
      </c>
      <c r="E24" s="3">
        <f t="shared" si="1"/>
        <v>0.23</v>
      </c>
      <c r="F24" s="3">
        <v>7.4999999999999997E-2</v>
      </c>
      <c r="G24" s="3">
        <f>PRODUCT(C24:F24)</f>
        <v>0.11917799451386771</v>
      </c>
      <c r="H24" s="16"/>
      <c r="I24" s="16"/>
      <c r="J24" s="16"/>
      <c r="K24" s="16"/>
    </row>
    <row r="25" spans="1:11" x14ac:dyDescent="0.3">
      <c r="A25" s="16"/>
      <c r="B25" s="17" t="str">
        <f>B17</f>
        <v>-for flooring</v>
      </c>
      <c r="C25" s="16">
        <f t="shared" ref="C25:E25" si="2">C17</f>
        <v>1</v>
      </c>
      <c r="D25" s="3">
        <f t="shared" si="2"/>
        <v>1.9811033221578787</v>
      </c>
      <c r="E25" s="3">
        <f t="shared" si="2"/>
        <v>1.9811033221578787</v>
      </c>
      <c r="F25" s="3">
        <v>7.4999999999999997E-2</v>
      </c>
      <c r="G25" s="3">
        <f>PRODUCT(C25:F25)</f>
        <v>0.29435777797987372</v>
      </c>
      <c r="H25" s="16"/>
      <c r="I25" s="16"/>
      <c r="J25" s="16"/>
      <c r="K25" s="16"/>
    </row>
    <row r="26" spans="1:11" s="11" customFormat="1" ht="15" customHeight="1" x14ac:dyDescent="0.3">
      <c r="A26" s="18"/>
      <c r="B26" s="19" t="s">
        <v>16</v>
      </c>
      <c r="C26" s="20"/>
      <c r="D26" s="1"/>
      <c r="E26" s="21"/>
      <c r="F26" s="21"/>
      <c r="G26" s="2">
        <f>SUM(G23:G25)</f>
        <v>1.0885357724937412</v>
      </c>
      <c r="H26" s="22" t="s">
        <v>28</v>
      </c>
      <c r="I26" s="2">
        <v>4495.6400000000003</v>
      </c>
      <c r="J26" s="23">
        <f>G26*I26</f>
        <v>4893.6649602537627</v>
      </c>
      <c r="K26" s="21"/>
    </row>
    <row r="27" spans="1:11" s="11" customFormat="1" x14ac:dyDescent="0.3">
      <c r="A27" s="25"/>
      <c r="B27" s="26" t="s">
        <v>32</v>
      </c>
      <c r="C27" s="27"/>
      <c r="D27" s="28"/>
      <c r="E27" s="28"/>
      <c r="F27" s="28"/>
      <c r="G27" s="28"/>
      <c r="H27" s="27"/>
      <c r="I27" s="27"/>
      <c r="J27" s="23">
        <f>0.13*G26*2866.82</f>
        <v>405.68269602906599</v>
      </c>
      <c r="K27" s="27"/>
    </row>
    <row r="28" spans="1:11" s="11" customFormat="1" x14ac:dyDescent="0.3">
      <c r="A28" s="25"/>
      <c r="B28" s="26" t="s">
        <v>33</v>
      </c>
      <c r="C28" s="27"/>
      <c r="D28" s="28"/>
      <c r="E28" s="28"/>
      <c r="F28" s="28"/>
      <c r="G28" s="28"/>
      <c r="H28" s="27"/>
      <c r="I28" s="27"/>
      <c r="J28" s="23">
        <f>0.13*G26*(2065.63+805.06)</f>
        <v>406.23033837620756</v>
      </c>
      <c r="K28" s="27"/>
    </row>
    <row r="29" spans="1:11" s="11" customFormat="1" x14ac:dyDescent="0.3">
      <c r="A29" s="25"/>
      <c r="B29" s="26" t="s">
        <v>31</v>
      </c>
      <c r="C29" s="27"/>
      <c r="D29" s="28"/>
      <c r="E29" s="28"/>
      <c r="F29" s="28"/>
      <c r="G29" s="28"/>
      <c r="H29" s="27"/>
      <c r="I29" s="27"/>
      <c r="J29" s="23">
        <f>0.13*G26*1493.61</f>
        <v>211.36022897006899</v>
      </c>
      <c r="K29" s="27"/>
    </row>
    <row r="30" spans="1:11" x14ac:dyDescent="0.3">
      <c r="A30" s="16"/>
      <c r="B30" s="26" t="s">
        <v>36</v>
      </c>
      <c r="C30" s="16"/>
      <c r="D30" s="3"/>
      <c r="E30" s="3"/>
      <c r="F30" s="3"/>
      <c r="G30" s="3"/>
      <c r="H30" s="16"/>
      <c r="I30" s="16"/>
      <c r="J30" s="23">
        <f>0.13*G26*33.6</f>
        <v>4.754724254252662</v>
      </c>
      <c r="K30" s="16"/>
    </row>
    <row r="31" spans="1:11" x14ac:dyDescent="0.3">
      <c r="A31" s="16"/>
      <c r="B31" s="16"/>
      <c r="C31" s="16"/>
      <c r="D31" s="3"/>
      <c r="E31" s="3"/>
      <c r="F31" s="3"/>
      <c r="G31" s="3"/>
      <c r="H31" s="16"/>
      <c r="I31" s="16"/>
      <c r="J31" s="16"/>
      <c r="K31" s="16"/>
    </row>
    <row r="32" spans="1:11" s="15" customFormat="1" ht="30" x14ac:dyDescent="0.25">
      <c r="A32" s="12">
        <v>4</v>
      </c>
      <c r="B32" s="13" t="s">
        <v>43</v>
      </c>
      <c r="C32" s="14"/>
      <c r="D32" s="24"/>
      <c r="E32" s="24"/>
      <c r="F32" s="24"/>
      <c r="G32" s="24"/>
      <c r="H32" s="14"/>
      <c r="I32" s="14"/>
      <c r="J32" s="14"/>
      <c r="K32" s="14"/>
    </row>
    <row r="33" spans="1:11" x14ac:dyDescent="0.3">
      <c r="A33" s="16"/>
      <c r="B33" s="17" t="str">
        <f>B23</f>
        <v>-for foundation</v>
      </c>
      <c r="C33" s="16">
        <v>4</v>
      </c>
      <c r="D33" s="3">
        <v>1.5</v>
      </c>
      <c r="E33" s="3">
        <v>1.5</v>
      </c>
      <c r="F33" s="3">
        <v>0.45</v>
      </c>
      <c r="G33" s="3">
        <f>PRODUCT(C33:F33)</f>
        <v>4.05</v>
      </c>
      <c r="H33" s="16"/>
      <c r="I33" s="16"/>
      <c r="J33" s="16"/>
      <c r="K33" s="16"/>
    </row>
    <row r="34" spans="1:11" x14ac:dyDescent="0.3">
      <c r="A34" s="16"/>
      <c r="B34" s="17" t="s">
        <v>59</v>
      </c>
      <c r="C34" s="16">
        <f>C24</f>
        <v>4</v>
      </c>
      <c r="D34" s="3">
        <f>D24</f>
        <v>1.7272173117951843</v>
      </c>
      <c r="E34" s="3">
        <f>E24</f>
        <v>0.23</v>
      </c>
      <c r="F34" s="3">
        <v>0.23</v>
      </c>
      <c r="G34" s="3">
        <f>PRODUCT(C34:F34)</f>
        <v>0.36547918317586103</v>
      </c>
      <c r="H34" s="16"/>
      <c r="I34" s="16"/>
      <c r="J34" s="16"/>
      <c r="K34" s="16"/>
    </row>
    <row r="35" spans="1:11" x14ac:dyDescent="0.3">
      <c r="A35" s="16"/>
      <c r="B35" s="17" t="s">
        <v>60</v>
      </c>
      <c r="C35" s="16">
        <v>4</v>
      </c>
      <c r="D35" s="3">
        <v>0.35</v>
      </c>
      <c r="E35" s="3">
        <v>0.35</v>
      </c>
      <c r="F35" s="3">
        <f>(3.5+1.5)/3.281</f>
        <v>1.5239256324291375</v>
      </c>
      <c r="G35" s="3">
        <f>PRODUCT(C35:F35)</f>
        <v>0.74672355989027728</v>
      </c>
      <c r="H35" s="16"/>
      <c r="I35" s="16"/>
      <c r="J35" s="16"/>
      <c r="K35" s="16"/>
    </row>
    <row r="36" spans="1:11" x14ac:dyDescent="0.3">
      <c r="A36" s="16"/>
      <c r="B36" s="17" t="s">
        <v>61</v>
      </c>
      <c r="C36" s="16">
        <v>4</v>
      </c>
      <c r="D36" s="3">
        <v>0.35</v>
      </c>
      <c r="E36" s="3">
        <v>0.35</v>
      </c>
      <c r="F36" s="3">
        <f>(9.33-0.42)/3.281</f>
        <v>2.715635476988723</v>
      </c>
      <c r="G36" s="3">
        <f t="shared" ref="G36:G40" si="3">PRODUCT(C36:F36)</f>
        <v>1.3306613837244741</v>
      </c>
      <c r="H36" s="16"/>
      <c r="I36" s="16"/>
      <c r="J36" s="16"/>
      <c r="K36" s="16"/>
    </row>
    <row r="37" spans="1:11" x14ac:dyDescent="0.3">
      <c r="A37" s="16"/>
      <c r="B37" s="17" t="s">
        <v>62</v>
      </c>
      <c r="C37" s="16">
        <v>4</v>
      </c>
      <c r="D37" s="3">
        <f>D34</f>
        <v>1.7272173117951843</v>
      </c>
      <c r="E37" s="3">
        <f>E34</f>
        <v>0.23</v>
      </c>
      <c r="F37" s="3">
        <v>0.23</v>
      </c>
      <c r="G37" s="3">
        <f t="shared" si="3"/>
        <v>0.36547918317586103</v>
      </c>
      <c r="H37" s="16"/>
      <c r="I37" s="16"/>
      <c r="J37" s="16"/>
      <c r="K37" s="16"/>
    </row>
    <row r="38" spans="1:11" x14ac:dyDescent="0.3">
      <c r="A38" s="16"/>
      <c r="B38" s="17" t="s">
        <v>79</v>
      </c>
      <c r="C38" s="16">
        <v>2</v>
      </c>
      <c r="D38" s="3">
        <v>0.6</v>
      </c>
      <c r="E38" s="3">
        <v>0.23</v>
      </c>
      <c r="F38" s="3">
        <v>0.23</v>
      </c>
      <c r="G38" s="3">
        <f t="shared" si="3"/>
        <v>6.3480000000000009E-2</v>
      </c>
      <c r="H38" s="16"/>
      <c r="I38" s="16"/>
      <c r="J38" s="16"/>
      <c r="K38" s="16"/>
    </row>
    <row r="39" spans="1:11" x14ac:dyDescent="0.3">
      <c r="A39" s="16"/>
      <c r="B39" s="17" t="s">
        <v>75</v>
      </c>
      <c r="C39" s="16">
        <v>4</v>
      </c>
      <c r="D39" s="3">
        <f>(4.917)/3.281</f>
        <v>1.4986284669308136</v>
      </c>
      <c r="E39" s="3">
        <f>4/3.281</f>
        <v>1.2191405059433098</v>
      </c>
      <c r="F39" s="3">
        <v>7.4999999999999997E-2</v>
      </c>
      <c r="G39" s="3">
        <f t="shared" si="3"/>
        <v>0.54811160021852368</v>
      </c>
      <c r="H39" s="16"/>
      <c r="I39" s="16"/>
      <c r="J39" s="16"/>
      <c r="K39" s="16"/>
    </row>
    <row r="40" spans="1:11" x14ac:dyDescent="0.3">
      <c r="A40" s="16"/>
      <c r="B40" s="17" t="s">
        <v>80</v>
      </c>
      <c r="C40" s="16">
        <v>2</v>
      </c>
      <c r="D40" s="3">
        <f>12/3.281</f>
        <v>3.6574215178299299</v>
      </c>
      <c r="E40" s="3">
        <v>0.6</v>
      </c>
      <c r="F40" s="3">
        <v>0.125</v>
      </c>
      <c r="G40" s="3">
        <f t="shared" si="3"/>
        <v>0.5486132276744895</v>
      </c>
      <c r="H40" s="16"/>
      <c r="I40" s="16"/>
      <c r="J40" s="16"/>
      <c r="K40" s="16"/>
    </row>
    <row r="41" spans="1:11" x14ac:dyDescent="0.3">
      <c r="A41" s="16"/>
      <c r="B41" s="17"/>
      <c r="C41" s="16">
        <v>2</v>
      </c>
      <c r="D41" s="3">
        <f>(12-4)/3.281</f>
        <v>2.4382810118866196</v>
      </c>
      <c r="E41" s="3">
        <v>0.6</v>
      </c>
      <c r="F41" s="3">
        <v>0.125</v>
      </c>
      <c r="G41" s="3">
        <f t="shared" ref="G41" si="4">PRODUCT(C41:F41)</f>
        <v>0.36574215178299291</v>
      </c>
      <c r="H41" s="16"/>
      <c r="I41" s="16"/>
      <c r="J41" s="16"/>
      <c r="K41" s="16"/>
    </row>
    <row r="42" spans="1:11" s="11" customFormat="1" ht="15" customHeight="1" x14ac:dyDescent="0.3">
      <c r="A42" s="18"/>
      <c r="B42" s="19" t="s">
        <v>16</v>
      </c>
      <c r="C42" s="20"/>
      <c r="D42" s="1"/>
      <c r="E42" s="21"/>
      <c r="F42" s="21"/>
      <c r="G42" s="2">
        <f>SUM(G33:G41)</f>
        <v>8.3842902896424789</v>
      </c>
      <c r="H42" s="22" t="s">
        <v>28</v>
      </c>
      <c r="I42" s="2">
        <v>13957.29</v>
      </c>
      <c r="J42" s="23">
        <f>G42*I42</f>
        <v>117021.97101672408</v>
      </c>
      <c r="K42" s="21"/>
    </row>
    <row r="43" spans="1:11" s="11" customFormat="1" x14ac:dyDescent="0.3">
      <c r="A43" s="25"/>
      <c r="B43" s="26" t="s">
        <v>32</v>
      </c>
      <c r="C43" s="27"/>
      <c r="D43" s="28"/>
      <c r="E43" s="28"/>
      <c r="F43" s="28"/>
      <c r="G43" s="28"/>
      <c r="H43" s="27"/>
      <c r="I43" s="27"/>
      <c r="J43" s="23">
        <f>0.13*G42*5212.4</f>
        <v>5681.2957117452197</v>
      </c>
      <c r="K43" s="27"/>
    </row>
    <row r="44" spans="1:11" s="11" customFormat="1" x14ac:dyDescent="0.3">
      <c r="A44" s="25"/>
      <c r="B44" s="26" t="s">
        <v>33</v>
      </c>
      <c r="C44" s="27"/>
      <c r="D44" s="28"/>
      <c r="E44" s="28"/>
      <c r="F44" s="28"/>
      <c r="G44" s="28"/>
      <c r="H44" s="27"/>
      <c r="I44" s="27"/>
      <c r="J44" s="23">
        <f>0.13*G42*(1912.03+921.59)</f>
        <v>3088.5260445697736</v>
      </c>
      <c r="K44" s="27"/>
    </row>
    <row r="45" spans="1:11" s="11" customFormat="1" x14ac:dyDescent="0.3">
      <c r="A45" s="25"/>
      <c r="B45" s="26" t="s">
        <v>31</v>
      </c>
      <c r="C45" s="27"/>
      <c r="D45" s="28"/>
      <c r="E45" s="28"/>
      <c r="F45" s="28"/>
      <c r="G45" s="28"/>
      <c r="H45" s="27"/>
      <c r="I45" s="27"/>
      <c r="J45" s="23">
        <f>0.13*G42*1350.6</f>
        <v>1472.0969204748471</v>
      </c>
      <c r="K45" s="27"/>
    </row>
    <row r="46" spans="1:11" x14ac:dyDescent="0.3">
      <c r="A46" s="16"/>
      <c r="B46" s="26" t="s">
        <v>36</v>
      </c>
      <c r="C46" s="16"/>
      <c r="D46" s="3"/>
      <c r="E46" s="3"/>
      <c r="F46" s="3"/>
      <c r="G46" s="3"/>
      <c r="H46" s="16"/>
      <c r="I46" s="16"/>
      <c r="J46" s="23">
        <f>0.13*G42*56</f>
        <v>61.03763330859725</v>
      </c>
      <c r="K46" s="16"/>
    </row>
    <row r="47" spans="1:11" s="11" customFormat="1" x14ac:dyDescent="0.3">
      <c r="A47" s="25"/>
      <c r="B47" s="26" t="s">
        <v>44</v>
      </c>
      <c r="C47" s="27"/>
      <c r="D47" s="28"/>
      <c r="E47" s="28"/>
      <c r="F47" s="28"/>
      <c r="G47" s="28"/>
      <c r="H47" s="27"/>
      <c r="I47" s="27"/>
      <c r="J47" s="23">
        <f>0.13*G42*392.92</f>
        <v>428.26619427882201</v>
      </c>
      <c r="K47" s="27"/>
    </row>
    <row r="48" spans="1:11" x14ac:dyDescent="0.3">
      <c r="A48" s="16"/>
      <c r="B48" s="26" t="s">
        <v>45</v>
      </c>
      <c r="C48" s="16"/>
      <c r="D48" s="3"/>
      <c r="E48" s="3"/>
      <c r="F48" s="3"/>
      <c r="G48" s="3"/>
      <c r="H48" s="16"/>
      <c r="I48" s="16"/>
      <c r="J48" s="23">
        <f>0.13*G42*14.15</f>
        <v>15.422901987797342</v>
      </c>
      <c r="K48" s="16"/>
    </row>
    <row r="49" spans="1:11" x14ac:dyDescent="0.3">
      <c r="A49" s="16"/>
      <c r="B49" s="16"/>
      <c r="C49" s="16"/>
      <c r="D49" s="3"/>
      <c r="E49" s="3"/>
      <c r="F49" s="3"/>
      <c r="G49" s="3"/>
      <c r="H49" s="16"/>
      <c r="I49" s="16"/>
      <c r="J49" s="16"/>
      <c r="K49" s="16"/>
    </row>
    <row r="50" spans="1:11" s="15" customFormat="1" ht="30" x14ac:dyDescent="0.25">
      <c r="A50" s="12">
        <v>5</v>
      </c>
      <c r="B50" s="13" t="s">
        <v>46</v>
      </c>
      <c r="C50" s="14"/>
      <c r="D50" s="24"/>
      <c r="E50" s="24"/>
      <c r="F50" s="24"/>
      <c r="G50" s="24"/>
      <c r="H50" s="14"/>
      <c r="I50" s="14"/>
      <c r="J50" s="14"/>
      <c r="K50" s="14"/>
    </row>
    <row r="51" spans="1:11" x14ac:dyDescent="0.3">
      <c r="A51" s="16"/>
      <c r="B51" s="17" t="str">
        <f>B35</f>
        <v>-for neck column</v>
      </c>
      <c r="C51" s="16">
        <f>C35</f>
        <v>4</v>
      </c>
      <c r="D51" s="3">
        <f>D35</f>
        <v>0.35</v>
      </c>
      <c r="E51" s="3"/>
      <c r="F51" s="3">
        <f>F35-0.23</f>
        <v>1.2939256324291375</v>
      </c>
      <c r="G51" s="3">
        <f>PRODUCT(C51:F51)</f>
        <v>1.8114958854007923</v>
      </c>
      <c r="H51" s="16"/>
      <c r="I51" s="16"/>
      <c r="J51" s="16"/>
      <c r="K51" s="16"/>
    </row>
    <row r="52" spans="1:11" x14ac:dyDescent="0.3">
      <c r="A52" s="16"/>
      <c r="B52" s="17" t="str">
        <f>B34</f>
        <v>-for tie beam</v>
      </c>
      <c r="C52" s="16">
        <f>C34</f>
        <v>4</v>
      </c>
      <c r="D52" s="3">
        <f>D34</f>
        <v>1.7272173117951843</v>
      </c>
      <c r="E52" s="3"/>
      <c r="F52" s="3">
        <f>0.23*2</f>
        <v>0.46</v>
      </c>
      <c r="G52" s="3">
        <f>PRODUCT(C52:F52)</f>
        <v>3.1780798537031392</v>
      </c>
      <c r="H52" s="16"/>
      <c r="I52" s="16"/>
      <c r="J52" s="16"/>
      <c r="K52" s="16"/>
    </row>
    <row r="53" spans="1:11" x14ac:dyDescent="0.3">
      <c r="A53" s="16"/>
      <c r="B53" s="17" t="str">
        <f>B36</f>
        <v>-GF column</v>
      </c>
      <c r="C53" s="16">
        <f>C36</f>
        <v>4</v>
      </c>
      <c r="D53" s="3">
        <f>0.35*4</f>
        <v>1.4</v>
      </c>
      <c r="E53" s="3"/>
      <c r="F53" s="3">
        <f>F36</f>
        <v>2.715635476988723</v>
      </c>
      <c r="G53" s="3">
        <f>PRODUCT(C53:F53)</f>
        <v>15.207558671136848</v>
      </c>
      <c r="H53" s="16"/>
      <c r="I53" s="16"/>
      <c r="J53" s="16"/>
      <c r="K53" s="16"/>
    </row>
    <row r="54" spans="1:11" x14ac:dyDescent="0.3">
      <c r="A54" s="16"/>
      <c r="B54" s="17" t="str">
        <f>B37</f>
        <v>-for beam</v>
      </c>
      <c r="C54" s="16">
        <f>C37</f>
        <v>4</v>
      </c>
      <c r="D54" s="3">
        <f>D37</f>
        <v>1.7272173117951843</v>
      </c>
      <c r="E54" s="3"/>
      <c r="F54" s="3">
        <f>0.23*2</f>
        <v>0.46</v>
      </c>
      <c r="G54" s="3">
        <f t="shared" ref="G54:G58" si="5">PRODUCT(C54:F54)</f>
        <v>3.1780798537031392</v>
      </c>
      <c r="H54" s="16"/>
      <c r="I54" s="16"/>
      <c r="J54" s="16"/>
      <c r="K54" s="16"/>
    </row>
    <row r="55" spans="1:11" x14ac:dyDescent="0.3">
      <c r="A55" s="16"/>
      <c r="B55" s="17" t="str">
        <f>B38</f>
        <v>-for cantilever beam</v>
      </c>
      <c r="C55" s="16">
        <f>C38*4</f>
        <v>8</v>
      </c>
      <c r="D55" s="3">
        <f>D38</f>
        <v>0.6</v>
      </c>
      <c r="E55" s="3"/>
      <c r="F55" s="3">
        <f>0.23*2</f>
        <v>0.46</v>
      </c>
      <c r="G55" s="3">
        <f t="shared" si="5"/>
        <v>2.2080000000000002</v>
      </c>
      <c r="H55" s="16"/>
      <c r="I55" s="16"/>
      <c r="J55" s="16"/>
      <c r="K55" s="16"/>
    </row>
    <row r="56" spans="1:11" x14ac:dyDescent="0.3">
      <c r="A56" s="16"/>
      <c r="B56" s="17" t="str">
        <f t="shared" ref="B56:C57" si="6">B39</f>
        <v>-for inclined slab</v>
      </c>
      <c r="C56" s="16">
        <f t="shared" si="6"/>
        <v>4</v>
      </c>
      <c r="D56" s="3">
        <f t="shared" ref="D56:D58" si="7">D39</f>
        <v>1.4986284669308136</v>
      </c>
      <c r="E56" s="3">
        <f>E39</f>
        <v>1.2191405059433098</v>
      </c>
      <c r="F56" s="3"/>
      <c r="G56" s="3">
        <f t="shared" si="5"/>
        <v>7.3081546695803157</v>
      </c>
      <c r="H56" s="16"/>
      <c r="I56" s="16"/>
      <c r="J56" s="16"/>
      <c r="K56" s="16"/>
    </row>
    <row r="57" spans="1:11" x14ac:dyDescent="0.3">
      <c r="A57" s="16"/>
      <c r="B57" s="17" t="str">
        <f t="shared" si="6"/>
        <v>-for cantilever slab</v>
      </c>
      <c r="C57" s="16">
        <f t="shared" si="6"/>
        <v>2</v>
      </c>
      <c r="D57" s="3">
        <f t="shared" si="7"/>
        <v>3.6574215178299299</v>
      </c>
      <c r="E57" s="3">
        <f>E40</f>
        <v>0.6</v>
      </c>
      <c r="F57" s="3"/>
      <c r="G57" s="3">
        <f t="shared" si="5"/>
        <v>4.388905821395916</v>
      </c>
      <c r="H57" s="16"/>
      <c r="I57" s="16"/>
      <c r="J57" s="16"/>
      <c r="K57" s="16"/>
    </row>
    <row r="58" spans="1:11" x14ac:dyDescent="0.3">
      <c r="A58" s="16"/>
      <c r="B58" s="17"/>
      <c r="C58" s="16">
        <f>C41</f>
        <v>2</v>
      </c>
      <c r="D58" s="3">
        <f t="shared" si="7"/>
        <v>2.4382810118866196</v>
      </c>
      <c r="E58" s="3">
        <f>E41</f>
        <v>0.6</v>
      </c>
      <c r="F58" s="3"/>
      <c r="G58" s="3">
        <f t="shared" si="5"/>
        <v>2.9259372142639433</v>
      </c>
      <c r="H58" s="16"/>
      <c r="I58" s="16"/>
      <c r="J58" s="16"/>
      <c r="K58" s="16"/>
    </row>
    <row r="59" spans="1:11" s="11" customFormat="1" ht="15" customHeight="1" x14ac:dyDescent="0.3">
      <c r="A59" s="18"/>
      <c r="B59" s="19" t="s">
        <v>16</v>
      </c>
      <c r="C59" s="20"/>
      <c r="D59" s="1"/>
      <c r="E59" s="21"/>
      <c r="F59" s="21"/>
      <c r="G59" s="2">
        <f>SUM(G51:G58)</f>
        <v>40.206211969184096</v>
      </c>
      <c r="H59" s="22" t="s">
        <v>34</v>
      </c>
      <c r="I59" s="2">
        <v>922.71</v>
      </c>
      <c r="J59" s="23">
        <f>G59*I59</f>
        <v>37098.673846085861</v>
      </c>
      <c r="K59" s="21"/>
    </row>
    <row r="60" spans="1:11" s="11" customFormat="1" x14ac:dyDescent="0.3">
      <c r="A60" s="25"/>
      <c r="B60" s="26" t="s">
        <v>47</v>
      </c>
      <c r="C60" s="27"/>
      <c r="D60" s="28"/>
      <c r="E60" s="28"/>
      <c r="F60" s="28"/>
      <c r="G60" s="28"/>
      <c r="H60" s="27"/>
      <c r="I60" s="27"/>
      <c r="J60" s="23">
        <f>0.13*G59*20062.02/100</f>
        <v>1048.603177245014</v>
      </c>
      <c r="K60" s="27"/>
    </row>
    <row r="61" spans="1:11" s="11" customFormat="1" x14ac:dyDescent="0.3">
      <c r="A61" s="25"/>
      <c r="B61" s="26" t="s">
        <v>48</v>
      </c>
      <c r="C61" s="27"/>
      <c r="D61" s="28"/>
      <c r="E61" s="28"/>
      <c r="F61" s="28"/>
      <c r="G61" s="28"/>
      <c r="H61" s="27"/>
      <c r="I61" s="27"/>
      <c r="J61" s="23">
        <f>0.13*G59*13328.25/100</f>
        <v>696.64197808176129</v>
      </c>
      <c r="K61" s="27"/>
    </row>
    <row r="62" spans="1:11" s="11" customFormat="1" x14ac:dyDescent="0.3">
      <c r="A62" s="25"/>
      <c r="B62" s="26" t="s">
        <v>49</v>
      </c>
      <c r="C62" s="27"/>
      <c r="D62" s="28"/>
      <c r="E62" s="28"/>
      <c r="F62" s="28"/>
      <c r="G62" s="28"/>
      <c r="H62" s="27"/>
      <c r="I62" s="27"/>
      <c r="J62" s="23">
        <f>0.13*G59*10137.6/100</f>
        <v>529.87284279644098</v>
      </c>
      <c r="K62" s="27"/>
    </row>
    <row r="63" spans="1:11" x14ac:dyDescent="0.3">
      <c r="A63" s="16"/>
      <c r="B63" s="26" t="s">
        <v>50</v>
      </c>
      <c r="C63" s="16"/>
      <c r="D63" s="3"/>
      <c r="E63" s="3"/>
      <c r="F63" s="3"/>
      <c r="G63" s="3"/>
      <c r="H63" s="16"/>
      <c r="I63" s="16"/>
      <c r="J63" s="23">
        <f>0.13*G59*3300/100</f>
        <v>172.48464934779977</v>
      </c>
      <c r="K63" s="16"/>
    </row>
    <row r="64" spans="1:11" x14ac:dyDescent="0.3">
      <c r="A64" s="16"/>
      <c r="B64" s="16"/>
      <c r="C64" s="16"/>
      <c r="D64" s="3"/>
      <c r="E64" s="3"/>
      <c r="F64" s="3"/>
      <c r="G64" s="3"/>
      <c r="H64" s="16"/>
      <c r="I64" s="16"/>
      <c r="J64" s="16"/>
      <c r="K64" s="16"/>
    </row>
    <row r="65" spans="1:14" s="15" customFormat="1" ht="43.2" x14ac:dyDescent="0.3">
      <c r="A65" s="12">
        <v>6</v>
      </c>
      <c r="B65" s="29" t="s">
        <v>37</v>
      </c>
      <c r="C65" s="14" t="s">
        <v>7</v>
      </c>
      <c r="D65" s="30" t="s">
        <v>27</v>
      </c>
      <c r="E65" s="30" t="s">
        <v>40</v>
      </c>
      <c r="F65" s="30" t="s">
        <v>41</v>
      </c>
      <c r="G65" s="24"/>
      <c r="H65" s="14"/>
      <c r="I65" s="14"/>
      <c r="J65" s="14"/>
      <c r="K65" s="14"/>
    </row>
    <row r="66" spans="1:14" x14ac:dyDescent="0.3">
      <c r="A66" s="16"/>
      <c r="B66" s="17" t="str">
        <f>B33</f>
        <v>-for foundation</v>
      </c>
      <c r="C66" s="16">
        <f>TRUNC((1.5-0.1)/0.15,0)+1</f>
        <v>10</v>
      </c>
      <c r="D66" s="3">
        <f>1.5</f>
        <v>1.5</v>
      </c>
      <c r="E66" s="3">
        <f>12*12/162</f>
        <v>0.88888888888888884</v>
      </c>
      <c r="F66" s="3">
        <f t="shared" ref="F66:F73" si="8">PRODUCT(C66:E66)</f>
        <v>13.333333333333332</v>
      </c>
      <c r="G66" s="3">
        <f t="shared" ref="G66:G73" si="9">F66/1000</f>
        <v>1.3333333333333332E-2</v>
      </c>
      <c r="H66" s="16"/>
      <c r="I66" s="16"/>
      <c r="J66" s="16"/>
      <c r="K66" s="16"/>
    </row>
    <row r="67" spans="1:14" x14ac:dyDescent="0.3">
      <c r="A67" s="16"/>
      <c r="B67" s="17"/>
      <c r="C67" s="16">
        <f>TRUNC((1.5-0.1)/0.15,0)+1</f>
        <v>10</v>
      </c>
      <c r="D67" s="3">
        <v>1.5</v>
      </c>
      <c r="E67" s="3">
        <f>12*12/162</f>
        <v>0.88888888888888884</v>
      </c>
      <c r="F67" s="3">
        <f t="shared" si="8"/>
        <v>13.333333333333332</v>
      </c>
      <c r="G67" s="3">
        <f t="shared" si="9"/>
        <v>1.3333333333333332E-2</v>
      </c>
      <c r="H67" s="16"/>
      <c r="I67" s="16"/>
      <c r="J67" s="16"/>
      <c r="K67" s="16"/>
    </row>
    <row r="68" spans="1:14" x14ac:dyDescent="0.3">
      <c r="A68" s="16"/>
      <c r="B68" s="17" t="s">
        <v>66</v>
      </c>
      <c r="C68" s="16">
        <f>4*4</f>
        <v>16</v>
      </c>
      <c r="D68" s="3">
        <f>(9.33+1.5+5-0.17*2-0.75)/3.281+0.45+0.75</f>
        <v>5.692532764401097</v>
      </c>
      <c r="E68" s="3">
        <f t="shared" ref="E68" si="10">12*12/162</f>
        <v>0.88888888888888884</v>
      </c>
      <c r="F68" s="3">
        <f t="shared" si="8"/>
        <v>80.960465982593377</v>
      </c>
      <c r="G68" s="3">
        <f t="shared" si="9"/>
        <v>8.0960465982593377E-2</v>
      </c>
      <c r="H68" s="16"/>
      <c r="I68" s="16"/>
      <c r="J68" s="16"/>
      <c r="K68" s="16"/>
    </row>
    <row r="69" spans="1:14" x14ac:dyDescent="0.3">
      <c r="A69" s="16"/>
      <c r="B69" s="17"/>
      <c r="C69" s="16">
        <f>4*4</f>
        <v>16</v>
      </c>
      <c r="D69" s="3">
        <f>(9.33+1.5+5-0.17*2-0.75)/3.281+0.45+0.96</f>
        <v>5.902532764401097</v>
      </c>
      <c r="E69" s="3">
        <f>16*16/162</f>
        <v>1.5802469135802468</v>
      </c>
      <c r="F69" s="3">
        <f t="shared" si="8"/>
        <v>149.23934693201784</v>
      </c>
      <c r="G69" s="3">
        <f t="shared" si="9"/>
        <v>0.14923934693201785</v>
      </c>
      <c r="H69" s="16"/>
      <c r="I69" s="16"/>
      <c r="J69" s="16"/>
      <c r="K69" s="16"/>
      <c r="M69" s="4">
        <f>(10.5+1.5+5-0.17*2)/3.281</f>
        <v>5.0777202072538854</v>
      </c>
    </row>
    <row r="70" spans="1:14" x14ac:dyDescent="0.3">
      <c r="A70" s="16"/>
      <c r="B70" s="17" t="s">
        <v>67</v>
      </c>
      <c r="C70" s="16">
        <f>4*(TRUNC((D69-0.45-0.96-0.17*2)/0.15,0)+1)</f>
        <v>112</v>
      </c>
      <c r="D70" s="3">
        <f>0.917*4/3.281</f>
        <v>1.1179518439500153</v>
      </c>
      <c r="E70" s="3">
        <f>8*8/162</f>
        <v>0.39506172839506171</v>
      </c>
      <c r="F70" s="3">
        <f t="shared" si="8"/>
        <v>49.465918626134012</v>
      </c>
      <c r="G70" s="3">
        <f t="shared" si="9"/>
        <v>4.946591862613401E-2</v>
      </c>
      <c r="H70" s="16"/>
      <c r="I70" s="16"/>
      <c r="J70" s="16"/>
      <c r="K70" s="16"/>
      <c r="M70" s="4">
        <f>1.5+5+9.33-0.17*2</f>
        <v>15.49</v>
      </c>
      <c r="N70" s="4">
        <f>M70/3.281</f>
        <v>4.7211216092654675</v>
      </c>
    </row>
    <row r="71" spans="1:14" x14ac:dyDescent="0.3">
      <c r="A71" s="16"/>
      <c r="B71" s="17"/>
      <c r="C71" s="16">
        <f>4*(TRUNC((D68-0.45-0.75-0.17*2)/0.15,0)+1)</f>
        <v>112</v>
      </c>
      <c r="D71" s="3">
        <f>0.833*4/3.281</f>
        <v>1.015544041450777</v>
      </c>
      <c r="E71" s="3">
        <f>8*8/162</f>
        <v>0.39506172839506171</v>
      </c>
      <c r="F71" s="3">
        <f t="shared" si="8"/>
        <v>44.934689439007215</v>
      </c>
      <c r="G71" s="3">
        <f t="shared" si="9"/>
        <v>4.4934689439007212E-2</v>
      </c>
      <c r="H71" s="16"/>
      <c r="I71" s="16"/>
      <c r="J71" s="16"/>
      <c r="K71" s="16"/>
    </row>
    <row r="72" spans="1:14" x14ac:dyDescent="0.3">
      <c r="A72" s="16"/>
      <c r="B72" s="17" t="str">
        <f>B52</f>
        <v>-for tie beam</v>
      </c>
      <c r="C72" s="16">
        <f>4*4</f>
        <v>16</v>
      </c>
      <c r="D72" s="3">
        <f>(8-0.17*2+0.67*2)/3.281</f>
        <v>2.7430661383724475</v>
      </c>
      <c r="E72" s="3">
        <f>12*12/162</f>
        <v>0.88888888888888884</v>
      </c>
      <c r="F72" s="3">
        <f t="shared" si="8"/>
        <v>39.012496190185921</v>
      </c>
      <c r="G72" s="3">
        <f t="shared" si="9"/>
        <v>3.9012496190185923E-2</v>
      </c>
      <c r="H72" s="16"/>
      <c r="I72" s="16"/>
      <c r="J72" s="16"/>
      <c r="K72" s="16"/>
    </row>
    <row r="73" spans="1:14" x14ac:dyDescent="0.3">
      <c r="A73" s="16"/>
      <c r="B73" s="17" t="s">
        <v>68</v>
      </c>
      <c r="C73" s="16">
        <f>4*(TRUNC((D52-0.1)/0.15,0)+1)</f>
        <v>44</v>
      </c>
      <c r="D73" s="3">
        <f>(0.583*4+0.17*2)/3.281</f>
        <v>0.81438585797013097</v>
      </c>
      <c r="E73" s="3">
        <f>8*8/162</f>
        <v>0.39506172839506171</v>
      </c>
      <c r="F73" s="3">
        <f t="shared" si="8"/>
        <v>14.156238123727709</v>
      </c>
      <c r="G73" s="3">
        <f t="shared" si="9"/>
        <v>1.4156238123727708E-2</v>
      </c>
      <c r="H73" s="16"/>
      <c r="I73" s="16"/>
      <c r="J73" s="16"/>
      <c r="K73" s="16"/>
    </row>
    <row r="74" spans="1:14" x14ac:dyDescent="0.3">
      <c r="A74" s="16"/>
      <c r="B74" s="17" t="str">
        <f>B54</f>
        <v>-for beam</v>
      </c>
      <c r="C74" s="16">
        <f>4*4</f>
        <v>16</v>
      </c>
      <c r="D74" s="3">
        <f>(12-0.17*2+0.67*2)/3.281</f>
        <v>3.9622066443157573</v>
      </c>
      <c r="E74" s="3">
        <f>12*12/162</f>
        <v>0.88888888888888884</v>
      </c>
      <c r="F74" s="3">
        <f t="shared" ref="F74" si="11">PRODUCT(C74:E74)</f>
        <v>56.3513833858241</v>
      </c>
      <c r="G74" s="3">
        <f t="shared" ref="G74" si="12">F74/1000</f>
        <v>5.63513833858241E-2</v>
      </c>
      <c r="H74" s="16"/>
      <c r="I74" s="16"/>
      <c r="J74" s="16"/>
      <c r="K74" s="16"/>
    </row>
    <row r="75" spans="1:14" x14ac:dyDescent="0.3">
      <c r="A75" s="16"/>
      <c r="B75" s="17"/>
      <c r="C75" s="16">
        <f>2*(TRUNC((D54+D55-0.1*2)/0.15,0)+1)</f>
        <v>30</v>
      </c>
      <c r="D75" s="3">
        <f>(0.583*4+0.17*2)/3.281</f>
        <v>0.81438585797013097</v>
      </c>
      <c r="E75" s="3">
        <f>8*8/162</f>
        <v>0.39506172839506171</v>
      </c>
      <c r="F75" s="3">
        <f t="shared" ref="F75" si="13">PRODUCT(C75:E75)</f>
        <v>9.6519805389052564</v>
      </c>
      <c r="G75" s="3">
        <f t="shared" ref="G75" si="14">F75/1000</f>
        <v>9.6519805389052565E-3</v>
      </c>
      <c r="H75" s="16"/>
      <c r="I75" s="16"/>
      <c r="J75" s="16"/>
      <c r="K75" s="16"/>
    </row>
    <row r="76" spans="1:14" x14ac:dyDescent="0.3">
      <c r="A76" s="16"/>
      <c r="B76" s="17" t="str">
        <f>B56</f>
        <v>-for inclined slab</v>
      </c>
      <c r="C76" s="16">
        <f>2*4*(TRUNC(((D77-0.1)/0.15),0))+2+2</f>
        <v>60</v>
      </c>
      <c r="D76" s="3">
        <f>D56/2</f>
        <v>0.74931423346540682</v>
      </c>
      <c r="E76" s="3">
        <f>10*10/162</f>
        <v>0.61728395061728392</v>
      </c>
      <c r="F76" s="3">
        <f t="shared" ref="F76:F77" si="15">PRODUCT(C76:E76)</f>
        <v>27.752379017237288</v>
      </c>
      <c r="G76" s="3">
        <f t="shared" ref="G76:G77" si="16">F76/1000</f>
        <v>2.7752379017237289E-2</v>
      </c>
      <c r="H76" s="16"/>
      <c r="I76" s="16"/>
      <c r="J76" s="16"/>
      <c r="K76" s="16"/>
    </row>
    <row r="77" spans="1:14" x14ac:dyDescent="0.3">
      <c r="A77" s="16"/>
      <c r="B77" s="17"/>
      <c r="C77" s="16">
        <f>4*(TRUNC(((D56-0.1)/0.15),0)+1)</f>
        <v>40</v>
      </c>
      <c r="D77" s="3">
        <f>E56</f>
        <v>1.2191405059433098</v>
      </c>
      <c r="E77" s="3">
        <f>10*10/162</f>
        <v>0.61728395061728392</v>
      </c>
      <c r="F77" s="3">
        <f t="shared" si="15"/>
        <v>30.102234714649622</v>
      </c>
      <c r="G77" s="3">
        <f t="shared" si="16"/>
        <v>3.0102234714649623E-2</v>
      </c>
      <c r="H77" s="16"/>
      <c r="I77" s="16"/>
      <c r="J77" s="16"/>
      <c r="K77" s="16"/>
    </row>
    <row r="78" spans="1:14" x14ac:dyDescent="0.3">
      <c r="A78" s="16"/>
      <c r="B78" s="17" t="s">
        <v>76</v>
      </c>
      <c r="C78" s="16">
        <f>4*4*2</f>
        <v>32</v>
      </c>
      <c r="D78" s="3">
        <f>(8+2+2-0.17*2)/3.281</f>
        <v>3.5537945748247486</v>
      </c>
      <c r="E78" s="3">
        <f>8*8/162</f>
        <v>0.39506172839506171</v>
      </c>
      <c r="F78" s="3">
        <f t="shared" ref="F78" si="17">PRODUCT(C78:E78)</f>
        <v>44.926983266920274</v>
      </c>
      <c r="G78" s="3">
        <f t="shared" ref="G78" si="18">F78/1000</f>
        <v>4.4926983266920274E-2</v>
      </c>
      <c r="H78" s="16"/>
      <c r="I78" s="16"/>
      <c r="J78" s="16"/>
      <c r="K78" s="16"/>
    </row>
    <row r="79" spans="1:14" x14ac:dyDescent="0.3">
      <c r="A79" s="16"/>
      <c r="B79" s="17"/>
      <c r="C79" s="16">
        <f>13*4*2</f>
        <v>104</v>
      </c>
      <c r="D79" s="3">
        <v>0.6</v>
      </c>
      <c r="E79" s="3">
        <f>8*8/162</f>
        <v>0.39506172839506171</v>
      </c>
      <c r="F79" s="3">
        <f t="shared" ref="F79" si="19">PRODUCT(C79:E79)</f>
        <v>24.651851851851848</v>
      </c>
      <c r="G79" s="3">
        <f t="shared" ref="G79" si="20">F79/1000</f>
        <v>2.4651851851851848E-2</v>
      </c>
      <c r="H79" s="16"/>
      <c r="I79" s="16"/>
      <c r="J79" s="16"/>
      <c r="K79" s="16"/>
    </row>
    <row r="80" spans="1:14" s="11" customFormat="1" ht="15" customHeight="1" x14ac:dyDescent="0.3">
      <c r="A80" s="18"/>
      <c r="B80" s="19" t="s">
        <v>16</v>
      </c>
      <c r="C80" s="20"/>
      <c r="D80" s="1"/>
      <c r="E80" s="21"/>
      <c r="F80" s="21"/>
      <c r="G80" s="2">
        <f>SUM(G66:G79)</f>
        <v>0.59787263473572105</v>
      </c>
      <c r="H80" s="22" t="s">
        <v>42</v>
      </c>
      <c r="I80" s="2">
        <v>132360</v>
      </c>
      <c r="J80" s="23">
        <f>G80*I80</f>
        <v>79134.421933620033</v>
      </c>
      <c r="K80" s="21"/>
    </row>
    <row r="81" spans="1:11" s="11" customFormat="1" x14ac:dyDescent="0.3">
      <c r="A81" s="25"/>
      <c r="B81" s="26" t="s">
        <v>39</v>
      </c>
      <c r="C81" s="27"/>
      <c r="D81" s="27"/>
      <c r="E81" s="27"/>
      <c r="F81" s="27"/>
      <c r="G81" s="27"/>
      <c r="H81" s="27"/>
      <c r="I81" s="27"/>
      <c r="J81" s="23">
        <f>0.13*G80*105000</f>
        <v>8160.9614641425924</v>
      </c>
      <c r="K81" s="27"/>
    </row>
    <row r="82" spans="1:11" s="11" customFormat="1" x14ac:dyDescent="0.3">
      <c r="A82" s="25"/>
      <c r="B82" s="26" t="s">
        <v>38</v>
      </c>
      <c r="C82" s="27"/>
      <c r="D82" s="27"/>
      <c r="E82" s="27"/>
      <c r="F82" s="27"/>
      <c r="G82" s="27"/>
      <c r="H82" s="27"/>
      <c r="I82" s="27"/>
      <c r="J82" s="23">
        <f>0.13*G80*1200</f>
        <v>93.268131018772493</v>
      </c>
      <c r="K82" s="27"/>
    </row>
    <row r="83" spans="1:11" x14ac:dyDescent="0.3">
      <c r="A83" s="16"/>
      <c r="B83" s="16"/>
      <c r="C83" s="16"/>
      <c r="D83" s="16"/>
      <c r="E83" s="16"/>
      <c r="F83" s="16"/>
      <c r="G83" s="16"/>
      <c r="H83" s="16"/>
      <c r="I83" s="16"/>
      <c r="J83" s="16"/>
      <c r="K83" s="16"/>
    </row>
    <row r="84" spans="1:11" ht="30" x14ac:dyDescent="0.3">
      <c r="A84" s="12">
        <v>7</v>
      </c>
      <c r="B84" s="29" t="s">
        <v>51</v>
      </c>
      <c r="C84" s="16"/>
      <c r="D84" s="16"/>
      <c r="E84" s="16"/>
      <c r="F84" s="16"/>
      <c r="G84" s="16"/>
      <c r="H84" s="16"/>
      <c r="I84" s="16"/>
      <c r="J84" s="16"/>
      <c r="K84" s="16"/>
    </row>
    <row r="85" spans="1:11" x14ac:dyDescent="0.3">
      <c r="A85" s="16"/>
      <c r="B85" s="17" t="s">
        <v>81</v>
      </c>
      <c r="C85" s="16">
        <v>1</v>
      </c>
      <c r="D85" s="3">
        <f>8/3.281</f>
        <v>2.4382810118866196</v>
      </c>
      <c r="E85" s="3">
        <f>8/3.281</f>
        <v>2.4382810118866196</v>
      </c>
      <c r="F85" s="16"/>
      <c r="G85" s="3">
        <f>PRODUCT(C85:F85)</f>
        <v>5.9452142929268375</v>
      </c>
      <c r="H85" s="16"/>
      <c r="I85" s="16"/>
      <c r="J85" s="16"/>
      <c r="K85" s="16"/>
    </row>
    <row r="86" spans="1:11" s="11" customFormat="1" ht="15" customHeight="1" x14ac:dyDescent="0.3">
      <c r="A86" s="18"/>
      <c r="B86" s="19" t="s">
        <v>16</v>
      </c>
      <c r="C86" s="20"/>
      <c r="D86" s="1"/>
      <c r="E86" s="21"/>
      <c r="F86" s="21"/>
      <c r="G86" s="2">
        <f>SUM(G85)</f>
        <v>5.9452142929268375</v>
      </c>
      <c r="H86" s="22" t="s">
        <v>34</v>
      </c>
      <c r="I86" s="2">
        <v>689.98</v>
      </c>
      <c r="J86" s="23">
        <f>G86*I86</f>
        <v>4102.0789578336598</v>
      </c>
      <c r="K86" s="21"/>
    </row>
    <row r="87" spans="1:11" s="11" customFormat="1" x14ac:dyDescent="0.3">
      <c r="A87" s="25"/>
      <c r="B87" s="26" t="s">
        <v>32</v>
      </c>
      <c r="C87" s="27"/>
      <c r="D87" s="28"/>
      <c r="E87" s="28"/>
      <c r="F87" s="28"/>
      <c r="G87" s="28"/>
      <c r="H87" s="27"/>
      <c r="I87" s="27"/>
      <c r="J87" s="23">
        <f>0.13*G86*1694.03/10</f>
        <v>130.92782779240906</v>
      </c>
      <c r="K87" s="27"/>
    </row>
    <row r="88" spans="1:11" x14ac:dyDescent="0.3">
      <c r="A88" s="16"/>
      <c r="B88" s="26" t="s">
        <v>31</v>
      </c>
      <c r="C88" s="27"/>
      <c r="D88" s="28"/>
      <c r="E88" s="28"/>
      <c r="F88" s="28"/>
      <c r="G88" s="28"/>
      <c r="H88" s="27"/>
      <c r="I88" s="27"/>
      <c r="J88" s="23">
        <f>0.13*G86*472.02/10</f>
        <v>36.481380657115238</v>
      </c>
      <c r="K88" s="16"/>
    </row>
    <row r="89" spans="1:11" x14ac:dyDescent="0.3">
      <c r="A89" s="16"/>
      <c r="B89" s="26" t="s">
        <v>33</v>
      </c>
      <c r="C89" s="27"/>
      <c r="D89" s="28"/>
      <c r="E89" s="28"/>
      <c r="F89" s="28"/>
      <c r="G89" s="28"/>
      <c r="H89" s="27"/>
      <c r="I89" s="27"/>
      <c r="J89" s="23">
        <f>0.13*G86*1207.6/10</f>
        <v>93.332730141799829</v>
      </c>
      <c r="K89" s="16"/>
    </row>
    <row r="90" spans="1:11" x14ac:dyDescent="0.3">
      <c r="A90" s="16"/>
      <c r="B90" s="16"/>
      <c r="C90" s="16"/>
      <c r="D90" s="16"/>
      <c r="E90" s="16"/>
      <c r="F90" s="16"/>
      <c r="G90" s="16"/>
      <c r="H90" s="16"/>
      <c r="I90" s="16"/>
      <c r="J90" s="16"/>
      <c r="K90" s="16"/>
    </row>
    <row r="91" spans="1:11" ht="30" x14ac:dyDescent="0.3">
      <c r="A91" s="12">
        <v>8</v>
      </c>
      <c r="B91" s="29" t="s">
        <v>54</v>
      </c>
      <c r="C91" s="16"/>
      <c r="D91" s="16"/>
      <c r="E91" s="16"/>
      <c r="F91" s="16"/>
      <c r="G91" s="16"/>
      <c r="H91" s="16"/>
      <c r="I91" s="16"/>
      <c r="J91" s="16"/>
      <c r="K91" s="16"/>
    </row>
    <row r="92" spans="1:11" x14ac:dyDescent="0.3">
      <c r="A92" s="16"/>
      <c r="B92" s="17" t="str">
        <f>B85</f>
        <v xml:space="preserve">-for flooring </v>
      </c>
      <c r="C92" s="16">
        <f>C85</f>
        <v>1</v>
      </c>
      <c r="D92" s="3">
        <f>D85</f>
        <v>2.4382810118866196</v>
      </c>
      <c r="E92" s="3">
        <f>E85</f>
        <v>2.4382810118866196</v>
      </c>
      <c r="F92" s="16"/>
      <c r="G92" s="3">
        <f>PRODUCT(C92:F92)</f>
        <v>5.9452142929268375</v>
      </c>
      <c r="H92" s="16"/>
      <c r="I92" s="16"/>
      <c r="J92" s="16"/>
      <c r="K92" s="16"/>
    </row>
    <row r="93" spans="1:11" s="11" customFormat="1" ht="15" customHeight="1" x14ac:dyDescent="0.3">
      <c r="A93" s="18"/>
      <c r="B93" s="19" t="s">
        <v>16</v>
      </c>
      <c r="C93" s="20"/>
      <c r="D93" s="1"/>
      <c r="E93" s="21"/>
      <c r="F93" s="21"/>
      <c r="G93" s="2">
        <f>SUM(G92:G92)</f>
        <v>5.9452142929268375</v>
      </c>
      <c r="H93" s="22" t="s">
        <v>34</v>
      </c>
      <c r="I93" s="2">
        <v>415.5</v>
      </c>
      <c r="J93" s="23">
        <f>G93*I93</f>
        <v>2470.2365387111008</v>
      </c>
      <c r="K93" s="21"/>
    </row>
    <row r="94" spans="1:11" s="11" customFormat="1" x14ac:dyDescent="0.3">
      <c r="A94" s="25"/>
      <c r="B94" s="26" t="s">
        <v>32</v>
      </c>
      <c r="C94" s="27"/>
      <c r="D94" s="28"/>
      <c r="E94" s="28"/>
      <c r="F94" s="28"/>
      <c r="G94" s="28"/>
      <c r="H94" s="27"/>
      <c r="I94" s="27"/>
      <c r="J94" s="23">
        <f>0.13*G93*7010.67/100</f>
        <v>54.183916133091415</v>
      </c>
      <c r="K94" s="27"/>
    </row>
    <row r="95" spans="1:11" x14ac:dyDescent="0.3">
      <c r="A95" s="16"/>
      <c r="B95" s="26" t="s">
        <v>31</v>
      </c>
      <c r="C95" s="27"/>
      <c r="D95" s="28"/>
      <c r="E95" s="28"/>
      <c r="F95" s="28"/>
      <c r="G95" s="28"/>
      <c r="H95" s="27"/>
      <c r="I95" s="27"/>
      <c r="J95" s="23">
        <f>0.13*G93*4639.73/100</f>
        <v>35.859445844717868</v>
      </c>
      <c r="K95" s="16"/>
    </row>
    <row r="96" spans="1:11" x14ac:dyDescent="0.3">
      <c r="A96" s="16"/>
      <c r="B96" s="16"/>
      <c r="C96" s="16"/>
      <c r="D96" s="16"/>
      <c r="E96" s="16"/>
      <c r="F96" s="16"/>
      <c r="G96" s="16"/>
      <c r="H96" s="16"/>
      <c r="I96" s="16"/>
      <c r="J96" s="16"/>
      <c r="K96" s="16"/>
    </row>
    <row r="97" spans="1:11" ht="30" x14ac:dyDescent="0.3">
      <c r="A97" s="12">
        <v>9</v>
      </c>
      <c r="B97" s="29" t="s">
        <v>63</v>
      </c>
      <c r="C97" s="16"/>
      <c r="D97" s="16"/>
      <c r="E97" s="16"/>
      <c r="F97" s="16"/>
      <c r="G97" s="16"/>
      <c r="H97" s="16"/>
      <c r="I97" s="16"/>
      <c r="J97" s="16"/>
      <c r="K97" s="16"/>
    </row>
    <row r="98" spans="1:11" x14ac:dyDescent="0.3">
      <c r="A98" s="16"/>
      <c r="B98" s="17" t="str">
        <f>B34</f>
        <v>-for tie beam</v>
      </c>
      <c r="C98" s="16">
        <f>C34</f>
        <v>4</v>
      </c>
      <c r="D98" s="3">
        <f>D34</f>
        <v>1.7272173117951843</v>
      </c>
      <c r="E98" s="3">
        <v>0.23</v>
      </c>
      <c r="F98" s="3">
        <f>3.5/3.281</f>
        <v>1.0667479427003961</v>
      </c>
      <c r="G98" s="3">
        <f t="shared" ref="G98:G101" si="21">PRODUCT(C98:F98)</f>
        <v>1.6951050728376997</v>
      </c>
      <c r="H98" s="16"/>
      <c r="I98" s="16"/>
      <c r="J98" s="16"/>
      <c r="K98" s="16"/>
    </row>
    <row r="99" spans="1:11" x14ac:dyDescent="0.3">
      <c r="A99" s="16"/>
      <c r="B99" s="17" t="s">
        <v>82</v>
      </c>
      <c r="C99" s="16">
        <v>2</v>
      </c>
      <c r="D99" s="3">
        <f>D37</f>
        <v>1.7272173117951843</v>
      </c>
      <c r="E99" s="3">
        <v>0.23</v>
      </c>
      <c r="F99" s="3">
        <f>8.17/3.281</f>
        <v>2.4900944833892105</v>
      </c>
      <c r="G99" s="3">
        <f t="shared" si="21"/>
        <v>1.978429777869144</v>
      </c>
      <c r="H99" s="16"/>
      <c r="I99" s="16"/>
      <c r="J99" s="16"/>
      <c r="K99" s="16"/>
    </row>
    <row r="100" spans="1:11" x14ac:dyDescent="0.3">
      <c r="A100" s="16"/>
      <c r="B100" s="17"/>
      <c r="C100" s="16">
        <v>1</v>
      </c>
      <c r="D100" s="3">
        <f>D99</f>
        <v>1.7272173117951843</v>
      </c>
      <c r="E100" s="3">
        <v>0.23</v>
      </c>
      <c r="F100" s="3">
        <f>8.17/3.281</f>
        <v>2.4900944833892105</v>
      </c>
      <c r="G100" s="3">
        <f t="shared" si="21"/>
        <v>0.98921488893457199</v>
      </c>
      <c r="H100" s="16"/>
      <c r="I100" s="16"/>
      <c r="J100" s="16"/>
      <c r="K100" s="16"/>
    </row>
    <row r="101" spans="1:11" x14ac:dyDescent="0.3">
      <c r="A101" s="16"/>
      <c r="B101" s="17" t="s">
        <v>65</v>
      </c>
      <c r="C101" s="16">
        <v>-2</v>
      </c>
      <c r="D101" s="3">
        <v>0.75</v>
      </c>
      <c r="E101" s="3">
        <v>0.23</v>
      </c>
      <c r="F101" s="3">
        <v>0.75</v>
      </c>
      <c r="G101" s="3">
        <f t="shared" si="21"/>
        <v>-0.25875000000000004</v>
      </c>
      <c r="H101" s="16"/>
      <c r="I101" s="16"/>
      <c r="J101" s="16"/>
      <c r="K101" s="16"/>
    </row>
    <row r="102" spans="1:11" s="11" customFormat="1" ht="15" customHeight="1" x14ac:dyDescent="0.3">
      <c r="A102" s="18"/>
      <c r="B102" s="19" t="s">
        <v>16</v>
      </c>
      <c r="C102" s="20"/>
      <c r="D102" s="1"/>
      <c r="E102" s="21"/>
      <c r="F102" s="21"/>
      <c r="G102" s="2">
        <f>SUM(G98:G101)</f>
        <v>4.4039997396414154</v>
      </c>
      <c r="H102" s="22" t="s">
        <v>28</v>
      </c>
      <c r="I102" s="2">
        <f>14491.84</f>
        <v>14491.84</v>
      </c>
      <c r="J102" s="23">
        <f>G102*I102</f>
        <v>63822.059586925054</v>
      </c>
      <c r="K102" s="21"/>
    </row>
    <row r="103" spans="1:11" s="11" customFormat="1" x14ac:dyDescent="0.3">
      <c r="A103" s="25"/>
      <c r="B103" s="26" t="s">
        <v>55</v>
      </c>
      <c r="C103" s="27"/>
      <c r="D103" s="28"/>
      <c r="E103" s="28"/>
      <c r="F103" s="28"/>
      <c r="G103" s="28"/>
      <c r="H103" s="27"/>
      <c r="I103" s="27"/>
      <c r="J103" s="23">
        <f>0.13*G102*8481.2</f>
        <v>4855.656336940081</v>
      </c>
      <c r="K103" s="27"/>
    </row>
    <row r="104" spans="1:11" s="11" customFormat="1" x14ac:dyDescent="0.3">
      <c r="A104" s="25"/>
      <c r="B104" s="26" t="s">
        <v>32</v>
      </c>
      <c r="C104" s="27"/>
      <c r="D104" s="28"/>
      <c r="E104" s="28"/>
      <c r="F104" s="28"/>
      <c r="G104" s="28"/>
      <c r="H104" s="27"/>
      <c r="I104" s="27"/>
      <c r="J104" s="23">
        <f>0.13*G102*912.17</f>
        <v>522.23553752613236</v>
      </c>
      <c r="K104" s="27"/>
    </row>
    <row r="105" spans="1:11" s="11" customFormat="1" x14ac:dyDescent="0.3">
      <c r="A105" s="25"/>
      <c r="B105" s="26" t="s">
        <v>64</v>
      </c>
      <c r="C105" s="27"/>
      <c r="D105" s="28"/>
      <c r="E105" s="28"/>
      <c r="F105" s="28"/>
      <c r="G105" s="28"/>
      <c r="H105" s="27"/>
      <c r="I105" s="27"/>
      <c r="J105" s="23">
        <f>0.13*G102*953.37</f>
        <v>545.82336013165173</v>
      </c>
      <c r="K105" s="27"/>
    </row>
    <row r="106" spans="1:11" s="11" customFormat="1" x14ac:dyDescent="0.3">
      <c r="A106" s="25"/>
      <c r="B106" s="26" t="s">
        <v>36</v>
      </c>
      <c r="C106" s="27"/>
      <c r="D106" s="28"/>
      <c r="E106" s="28"/>
      <c r="F106" s="28"/>
      <c r="G106" s="28"/>
      <c r="H106" s="27"/>
      <c r="I106" s="27"/>
      <c r="J106" s="23">
        <f>0.13*G102*28</f>
        <v>16.030559052294755</v>
      </c>
      <c r="K106" s="27"/>
    </row>
    <row r="107" spans="1:11" x14ac:dyDescent="0.3">
      <c r="A107" s="16"/>
      <c r="B107" s="16"/>
      <c r="C107" s="16"/>
      <c r="D107" s="16"/>
      <c r="E107" s="16"/>
      <c r="F107" s="16"/>
      <c r="G107" s="16"/>
      <c r="H107" s="16"/>
      <c r="I107" s="16"/>
      <c r="J107" s="16"/>
      <c r="K107" s="16"/>
    </row>
    <row r="108" spans="1:11" ht="30" x14ac:dyDescent="0.3">
      <c r="A108" s="12">
        <v>10</v>
      </c>
      <c r="B108" s="29" t="s">
        <v>53</v>
      </c>
      <c r="C108" s="16"/>
      <c r="D108" s="16"/>
      <c r="E108" s="16"/>
      <c r="F108" s="16"/>
      <c r="G108" s="16"/>
      <c r="H108" s="16"/>
      <c r="I108" s="16"/>
      <c r="J108" s="16"/>
      <c r="K108" s="16"/>
    </row>
    <row r="109" spans="1:11" x14ac:dyDescent="0.3">
      <c r="A109" s="16"/>
      <c r="B109" s="17" t="str">
        <f>B99</f>
        <v>-at GF wall</v>
      </c>
      <c r="C109" s="16">
        <f>2*2</f>
        <v>4</v>
      </c>
      <c r="D109" s="3">
        <f>D99</f>
        <v>1.7272173117951843</v>
      </c>
      <c r="E109" s="3"/>
      <c r="F109" s="3">
        <f>F99</f>
        <v>2.4900944833892105</v>
      </c>
      <c r="G109" s="3">
        <f>PRODUCT(C109:F109)</f>
        <v>17.203737198862122</v>
      </c>
      <c r="H109" s="16"/>
      <c r="I109" s="16"/>
      <c r="J109" s="16"/>
      <c r="K109" s="16"/>
    </row>
    <row r="110" spans="1:11" x14ac:dyDescent="0.3">
      <c r="A110" s="16"/>
      <c r="B110" s="17"/>
      <c r="C110" s="16">
        <f>2*C100</f>
        <v>2</v>
      </c>
      <c r="D110" s="3">
        <f>D100</f>
        <v>1.7272173117951843</v>
      </c>
      <c r="E110" s="3"/>
      <c r="F110" s="3">
        <f>F100</f>
        <v>2.4900944833892105</v>
      </c>
      <c r="G110" s="3">
        <f>PRODUCT(C110:F110)</f>
        <v>8.6018685994310609</v>
      </c>
      <c r="H110" s="16"/>
      <c r="I110" s="16"/>
      <c r="J110" s="16"/>
      <c r="K110" s="16"/>
    </row>
    <row r="111" spans="1:11" x14ac:dyDescent="0.3">
      <c r="A111" s="16"/>
      <c r="B111" s="17" t="str">
        <f>B101</f>
        <v>-deduction for window</v>
      </c>
      <c r="C111" s="16">
        <f>2*C101</f>
        <v>-4</v>
      </c>
      <c r="D111" s="3">
        <f>D101</f>
        <v>0.75</v>
      </c>
      <c r="E111" s="3"/>
      <c r="F111" s="3">
        <f>F101</f>
        <v>0.75</v>
      </c>
      <c r="G111" s="3">
        <f t="shared" ref="G111:G112" si="22">PRODUCT(C111:F111)</f>
        <v>-2.25</v>
      </c>
      <c r="H111" s="16"/>
      <c r="I111" s="16"/>
      <c r="J111" s="16"/>
      <c r="K111" s="16"/>
    </row>
    <row r="112" spans="1:11" x14ac:dyDescent="0.3">
      <c r="A112" s="16"/>
      <c r="B112" s="17" t="str">
        <f>B56</f>
        <v>-for inclined slab</v>
      </c>
      <c r="C112" s="16">
        <f>C39</f>
        <v>4</v>
      </c>
      <c r="D112" s="3">
        <f t="shared" ref="D112:E112" si="23">D39</f>
        <v>1.4986284669308136</v>
      </c>
      <c r="E112" s="3">
        <f t="shared" si="23"/>
        <v>1.2191405059433098</v>
      </c>
      <c r="F112" s="3"/>
      <c r="G112" s="3">
        <f t="shared" si="22"/>
        <v>7.3081546695803157</v>
      </c>
      <c r="H112" s="16"/>
      <c r="I112" s="16"/>
      <c r="J112" s="16"/>
      <c r="K112" s="16"/>
    </row>
    <row r="113" spans="1:11" s="11" customFormat="1" ht="15" customHeight="1" x14ac:dyDescent="0.3">
      <c r="A113" s="18"/>
      <c r="B113" s="19" t="s">
        <v>16</v>
      </c>
      <c r="C113" s="20"/>
      <c r="D113" s="1"/>
      <c r="E113" s="21"/>
      <c r="F113" s="21"/>
      <c r="G113" s="2">
        <f>SUM(G109:G112)</f>
        <v>30.863760467873497</v>
      </c>
      <c r="H113" s="22" t="s">
        <v>34</v>
      </c>
      <c r="I113" s="2">
        <v>415.5</v>
      </c>
      <c r="J113" s="23">
        <f>G113*I113</f>
        <v>12823.892474401438</v>
      </c>
      <c r="K113" s="21"/>
    </row>
    <row r="114" spans="1:11" s="11" customFormat="1" x14ac:dyDescent="0.3">
      <c r="A114" s="25"/>
      <c r="B114" s="26" t="s">
        <v>32</v>
      </c>
      <c r="C114" s="27"/>
      <c r="D114" s="28"/>
      <c r="E114" s="28"/>
      <c r="F114" s="28"/>
      <c r="G114" s="28"/>
      <c r="H114" s="27"/>
      <c r="I114" s="27"/>
      <c r="J114" s="23">
        <f>0.13*G113*7010.67/100</f>
        <v>281.2883314790987</v>
      </c>
      <c r="K114" s="27"/>
    </row>
    <row r="115" spans="1:11" x14ac:dyDescent="0.3">
      <c r="A115" s="16"/>
      <c r="B115" s="26" t="s">
        <v>31</v>
      </c>
      <c r="C115" s="27"/>
      <c r="D115" s="28"/>
      <c r="E115" s="28"/>
      <c r="F115" s="28"/>
      <c r="G115" s="28"/>
      <c r="H115" s="27"/>
      <c r="I115" s="27"/>
      <c r="J115" s="23">
        <f>0.13*G113*4639.73/100</f>
        <v>186.15936996228868</v>
      </c>
      <c r="K115" s="16"/>
    </row>
    <row r="116" spans="1:11" x14ac:dyDescent="0.3">
      <c r="A116" s="16"/>
      <c r="B116" s="16"/>
      <c r="C116" s="16"/>
      <c r="D116" s="16"/>
      <c r="E116" s="16"/>
      <c r="F116" s="16"/>
      <c r="G116" s="16"/>
      <c r="H116" s="16"/>
      <c r="I116" s="16"/>
      <c r="J116" s="16"/>
      <c r="K116" s="16"/>
    </row>
    <row r="117" spans="1:11" s="11" customFormat="1" ht="30" x14ac:dyDescent="0.3">
      <c r="A117" s="25">
        <v>11</v>
      </c>
      <c r="B117" s="29" t="s">
        <v>84</v>
      </c>
      <c r="C117" s="27"/>
      <c r="D117" s="28"/>
      <c r="E117" s="28"/>
      <c r="F117" s="28"/>
      <c r="G117" s="28"/>
      <c r="H117" s="27"/>
      <c r="I117" s="27"/>
      <c r="J117" s="23"/>
      <c r="K117" s="27"/>
    </row>
    <row r="118" spans="1:11" x14ac:dyDescent="0.3">
      <c r="A118" s="16"/>
      <c r="B118" s="17" t="str">
        <f>B40</f>
        <v>-for cantilever slab</v>
      </c>
      <c r="C118" s="16">
        <v>4</v>
      </c>
      <c r="D118" s="3">
        <f>12/3.281</f>
        <v>3.6574215178299299</v>
      </c>
      <c r="E118" s="3"/>
      <c r="F118" s="3"/>
      <c r="G118" s="3">
        <f>PRODUCT(C118:F118)</f>
        <v>14.629686071319719</v>
      </c>
      <c r="H118" s="16"/>
      <c r="I118" s="16"/>
      <c r="J118" s="16"/>
      <c r="K118" s="16"/>
    </row>
    <row r="119" spans="1:11" s="11" customFormat="1" ht="15" customHeight="1" x14ac:dyDescent="0.3">
      <c r="A119" s="18"/>
      <c r="B119" s="19" t="s">
        <v>16</v>
      </c>
      <c r="C119" s="20"/>
      <c r="D119" s="1"/>
      <c r="E119" s="21"/>
      <c r="F119" s="21"/>
      <c r="G119" s="2">
        <f>SUM(G117:G118)</f>
        <v>14.629686071319719</v>
      </c>
      <c r="H119" s="22" t="s">
        <v>85</v>
      </c>
      <c r="I119" s="2">
        <v>144.41</v>
      </c>
      <c r="J119" s="23">
        <f>G119*I119</f>
        <v>2112.6729655592808</v>
      </c>
      <c r="K119" s="21"/>
    </row>
    <row r="120" spans="1:11" s="11" customFormat="1" x14ac:dyDescent="0.3">
      <c r="A120" s="25"/>
      <c r="B120" s="26" t="s">
        <v>32</v>
      </c>
      <c r="C120" s="27"/>
      <c r="D120" s="28"/>
      <c r="E120" s="28"/>
      <c r="F120" s="28"/>
      <c r="G120" s="28"/>
      <c r="H120" s="27"/>
      <c r="I120" s="27"/>
      <c r="J120" s="23">
        <f>0.13*G119*91.21</f>
        <v>173.46857665345931</v>
      </c>
      <c r="K120" s="27"/>
    </row>
    <row r="121" spans="1:11" s="11" customFormat="1" x14ac:dyDescent="0.3">
      <c r="A121" s="25"/>
      <c r="B121" s="26" t="s">
        <v>31</v>
      </c>
      <c r="C121" s="27"/>
      <c r="D121" s="28"/>
      <c r="E121" s="28"/>
      <c r="F121" s="28"/>
      <c r="G121" s="28"/>
      <c r="H121" s="27"/>
      <c r="I121" s="27"/>
      <c r="J121" s="23">
        <f>0.13*G119*12.71</f>
        <v>24.172630295641575</v>
      </c>
      <c r="K121" s="27"/>
    </row>
    <row r="122" spans="1:11" s="11" customFormat="1" x14ac:dyDescent="0.3">
      <c r="A122" s="25"/>
      <c r="B122" s="26" t="s">
        <v>86</v>
      </c>
      <c r="C122" s="27"/>
      <c r="D122" s="28"/>
      <c r="E122" s="28"/>
      <c r="F122" s="28"/>
      <c r="G122" s="28"/>
      <c r="H122" s="27"/>
      <c r="I122" s="27"/>
      <c r="J122" s="23">
        <f>0.13*G119*0.02</f>
        <v>3.8037183785431271E-2</v>
      </c>
      <c r="K122" s="27"/>
    </row>
    <row r="123" spans="1:11" s="11" customFormat="1" x14ac:dyDescent="0.3">
      <c r="A123" s="25"/>
      <c r="B123" s="26"/>
      <c r="C123" s="27"/>
      <c r="D123" s="28"/>
      <c r="E123" s="28"/>
      <c r="F123" s="28"/>
      <c r="G123" s="28"/>
      <c r="H123" s="27"/>
      <c r="I123" s="27"/>
      <c r="J123" s="23"/>
      <c r="K123" s="27"/>
    </row>
    <row r="124" spans="1:11" ht="30" x14ac:dyDescent="0.3">
      <c r="A124" s="12">
        <v>12</v>
      </c>
      <c r="B124" s="29" t="s">
        <v>69</v>
      </c>
      <c r="C124" s="16"/>
      <c r="D124" s="16"/>
      <c r="E124" s="16"/>
      <c r="F124" s="16"/>
      <c r="G124" s="16"/>
      <c r="H124" s="16"/>
      <c r="I124" s="16"/>
      <c r="J124" s="16"/>
      <c r="K124" s="16"/>
    </row>
    <row r="125" spans="1:11" x14ac:dyDescent="0.3">
      <c r="A125" s="16"/>
      <c r="B125" s="17" t="str">
        <f>B99</f>
        <v>-at GF wall</v>
      </c>
      <c r="C125" s="16">
        <f>C109</f>
        <v>4</v>
      </c>
      <c r="D125" s="3">
        <f>D109</f>
        <v>1.7272173117951843</v>
      </c>
      <c r="E125" s="3"/>
      <c r="F125" s="3">
        <f>F109</f>
        <v>2.4900944833892105</v>
      </c>
      <c r="G125" s="3">
        <f>PRODUCT(C125:F125)</f>
        <v>17.203737198862122</v>
      </c>
      <c r="H125" s="16"/>
      <c r="I125" s="16"/>
      <c r="J125" s="16"/>
      <c r="K125" s="16"/>
    </row>
    <row r="126" spans="1:11" x14ac:dyDescent="0.3">
      <c r="A126" s="16"/>
      <c r="B126" s="17"/>
      <c r="C126" s="16">
        <f>C110</f>
        <v>2</v>
      </c>
      <c r="D126" s="3">
        <f>D110</f>
        <v>1.7272173117951843</v>
      </c>
      <c r="E126" s="3"/>
      <c r="F126" s="3">
        <f>F110</f>
        <v>2.4900944833892105</v>
      </c>
      <c r="G126" s="3">
        <f>PRODUCT(C126:F126)</f>
        <v>8.6018685994310609</v>
      </c>
      <c r="H126" s="16"/>
      <c r="I126" s="16"/>
      <c r="J126" s="16"/>
      <c r="K126" s="16"/>
    </row>
    <row r="127" spans="1:11" x14ac:dyDescent="0.3">
      <c r="A127" s="16"/>
      <c r="B127" s="17" t="s">
        <v>65</v>
      </c>
      <c r="C127" s="16">
        <f>-2*2</f>
        <v>-4</v>
      </c>
      <c r="D127" s="3">
        <f>D111</f>
        <v>0.75</v>
      </c>
      <c r="E127" s="3"/>
      <c r="F127" s="3">
        <f>F111</f>
        <v>0.75</v>
      </c>
      <c r="G127" s="3">
        <f>PRODUCT(C127:F127)</f>
        <v>-2.25</v>
      </c>
      <c r="H127" s="16"/>
      <c r="I127" s="16"/>
      <c r="J127" s="16"/>
      <c r="K127" s="16"/>
    </row>
    <row r="128" spans="1:11" s="11" customFormat="1" ht="15" customHeight="1" x14ac:dyDescent="0.3">
      <c r="A128" s="18"/>
      <c r="B128" s="19" t="s">
        <v>16</v>
      </c>
      <c r="C128" s="20"/>
      <c r="D128" s="1"/>
      <c r="E128" s="21"/>
      <c r="F128" s="21"/>
      <c r="G128" s="2">
        <f>SUM(G125:G127)</f>
        <v>23.555605798293183</v>
      </c>
      <c r="H128" s="22" t="s">
        <v>28</v>
      </c>
      <c r="I128" s="2">
        <v>253.8</v>
      </c>
      <c r="J128" s="23">
        <f>G128*I128</f>
        <v>5978.4127516068102</v>
      </c>
      <c r="K128" s="21"/>
    </row>
    <row r="129" spans="1:16" s="11" customFormat="1" x14ac:dyDescent="0.3">
      <c r="A129" s="25"/>
      <c r="B129" s="26" t="s">
        <v>70</v>
      </c>
      <c r="C129" s="27"/>
      <c r="D129" s="28"/>
      <c r="E129" s="28"/>
      <c r="F129" s="28"/>
      <c r="G129" s="28"/>
      <c r="H129" s="27"/>
      <c r="I129" s="27"/>
      <c r="J129" s="23">
        <f>0.13*G128*2304/100</f>
        <v>70.553750487047751</v>
      </c>
      <c r="K129" s="27"/>
    </row>
    <row r="130" spans="1:16" s="11" customFormat="1" x14ac:dyDescent="0.3">
      <c r="A130" s="25"/>
      <c r="B130" s="26" t="s">
        <v>71</v>
      </c>
      <c r="C130" s="27"/>
      <c r="D130" s="28"/>
      <c r="E130" s="28"/>
      <c r="F130" s="28"/>
      <c r="G130" s="28"/>
      <c r="H130" s="27"/>
      <c r="I130" s="27"/>
      <c r="J130" s="23">
        <f>0.13*G128*10432/100</f>
        <v>319.45170359413282</v>
      </c>
      <c r="K130" s="27"/>
    </row>
    <row r="131" spans="1:16" s="11" customFormat="1" x14ac:dyDescent="0.3">
      <c r="A131" s="25"/>
      <c r="B131" s="26"/>
      <c r="C131" s="27"/>
      <c r="D131" s="28"/>
      <c r="E131" s="28"/>
      <c r="F131" s="28"/>
      <c r="G131" s="28"/>
      <c r="H131" s="27"/>
      <c r="I131" s="27"/>
      <c r="J131" s="23"/>
      <c r="K131" s="27"/>
    </row>
    <row r="132" spans="1:16" ht="30" x14ac:dyDescent="0.3">
      <c r="A132" s="12">
        <v>13</v>
      </c>
      <c r="B132" s="29" t="s">
        <v>72</v>
      </c>
      <c r="C132" s="16"/>
      <c r="D132" s="16"/>
      <c r="E132" s="16"/>
      <c r="F132" s="16"/>
      <c r="G132" s="16"/>
      <c r="H132" s="16"/>
      <c r="I132" s="16"/>
      <c r="J132" s="16"/>
      <c r="K132" s="16"/>
    </row>
    <row r="133" spans="1:16" x14ac:dyDescent="0.3">
      <c r="A133" s="16"/>
      <c r="B133" s="17" t="s">
        <v>73</v>
      </c>
      <c r="C133" s="16">
        <v>1</v>
      </c>
      <c r="D133" s="3">
        <f>(8-1.17*2)/3.281</f>
        <v>1.7250838159097837</v>
      </c>
      <c r="E133" s="3"/>
      <c r="F133" s="3">
        <f>F126</f>
        <v>2.4900944833892105</v>
      </c>
      <c r="G133" s="3">
        <f>PRODUCT(C133:F133)</f>
        <v>4.2956216933809603</v>
      </c>
      <c r="H133" s="16"/>
      <c r="I133" s="16"/>
      <c r="J133" s="16"/>
      <c r="K133" s="16"/>
    </row>
    <row r="134" spans="1:16" s="11" customFormat="1" ht="15" customHeight="1" x14ac:dyDescent="0.3">
      <c r="A134" s="18"/>
      <c r="B134" s="19" t="s">
        <v>16</v>
      </c>
      <c r="C134" s="20"/>
      <c r="D134" s="1"/>
      <c r="E134" s="21"/>
      <c r="F134" s="21"/>
      <c r="G134" s="2">
        <f>SUM(G133:G133)</f>
        <v>4.2956216933809603</v>
      </c>
      <c r="H134" s="22" t="s">
        <v>28</v>
      </c>
      <c r="I134" s="2">
        <v>6391.43</v>
      </c>
      <c r="J134" s="23">
        <f>G134*I134</f>
        <v>27455.165359725874</v>
      </c>
      <c r="K134" s="21"/>
    </row>
    <row r="135" spans="1:16" s="11" customFormat="1" x14ac:dyDescent="0.3">
      <c r="A135" s="25"/>
      <c r="B135" s="26" t="s">
        <v>70</v>
      </c>
      <c r="C135" s="27"/>
      <c r="D135" s="28"/>
      <c r="E135" s="28"/>
      <c r="F135" s="28"/>
      <c r="G135" s="28"/>
      <c r="H135" s="27"/>
      <c r="I135" s="27"/>
      <c r="J135" s="23">
        <f>0.13*G134*2304/100</f>
        <v>12.866246096014653</v>
      </c>
      <c r="K135" s="27"/>
    </row>
    <row r="136" spans="1:16" s="11" customFormat="1" x14ac:dyDescent="0.3">
      <c r="A136" s="25"/>
      <c r="B136" s="26"/>
      <c r="C136" s="27"/>
      <c r="D136" s="28"/>
      <c r="E136" s="28"/>
      <c r="F136" s="28"/>
      <c r="G136" s="28"/>
      <c r="H136" s="27"/>
      <c r="I136" s="27"/>
      <c r="J136" s="23"/>
      <c r="K136" s="27"/>
    </row>
    <row r="137" spans="1:16" s="11" customFormat="1" ht="30" x14ac:dyDescent="0.3">
      <c r="A137" s="25">
        <v>14</v>
      </c>
      <c r="B137" s="29" t="s">
        <v>83</v>
      </c>
      <c r="C137" s="27"/>
      <c r="D137" s="28"/>
      <c r="E137" s="28"/>
      <c r="F137" s="28"/>
      <c r="G137" s="28"/>
      <c r="H137" s="27"/>
      <c r="I137" s="27"/>
      <c r="J137" s="23"/>
      <c r="K137" s="27"/>
    </row>
    <row r="138" spans="1:16" x14ac:dyDescent="0.3">
      <c r="A138" s="16"/>
      <c r="B138" s="17" t="s">
        <v>74</v>
      </c>
      <c r="C138" s="16">
        <v>2</v>
      </c>
      <c r="D138" s="3">
        <f>D127</f>
        <v>0.75</v>
      </c>
      <c r="E138" s="3"/>
      <c r="F138" s="3">
        <f>F127</f>
        <v>0.75</v>
      </c>
      <c r="G138" s="3">
        <f>PRODUCT(C138:F138)</f>
        <v>1.125</v>
      </c>
      <c r="H138" s="16"/>
      <c r="I138" s="16"/>
      <c r="J138" s="16"/>
      <c r="K138" s="16"/>
    </row>
    <row r="139" spans="1:16" s="11" customFormat="1" ht="15" customHeight="1" x14ac:dyDescent="0.3">
      <c r="A139" s="18"/>
      <c r="B139" s="19" t="s">
        <v>16</v>
      </c>
      <c r="C139" s="20"/>
      <c r="D139" s="1"/>
      <c r="E139" s="21"/>
      <c r="F139" s="21"/>
      <c r="G139" s="2">
        <f>SUM(G137:G138)</f>
        <v>1.125</v>
      </c>
      <c r="H139" s="22" t="s">
        <v>34</v>
      </c>
      <c r="I139" s="2">
        <v>15960.82</v>
      </c>
      <c r="J139" s="23">
        <f>G139*I139</f>
        <v>17955.922500000001</v>
      </c>
      <c r="K139" s="21"/>
      <c r="M139" s="59"/>
      <c r="N139" s="59"/>
      <c r="O139" s="59"/>
      <c r="P139" s="59"/>
    </row>
    <row r="140" spans="1:16" s="11" customFormat="1" ht="16.8" x14ac:dyDescent="0.3">
      <c r="A140" s="25"/>
      <c r="B140" s="26" t="s">
        <v>88</v>
      </c>
      <c r="C140" s="27"/>
      <c r="D140" s="28"/>
      <c r="E140" s="28"/>
      <c r="F140" s="28"/>
      <c r="G140" s="28"/>
      <c r="H140" s="27"/>
      <c r="I140" s="27"/>
      <c r="J140" s="23">
        <f>0.13*G139*18063.18/2.114</f>
        <v>1249.64052743614</v>
      </c>
      <c r="K140" s="27"/>
      <c r="M140" s="60"/>
      <c r="N140" s="59"/>
      <c r="O140" s="59"/>
      <c r="P140" s="59"/>
    </row>
    <row r="141" spans="1:16" s="11" customFormat="1" ht="16.8" x14ac:dyDescent="0.3">
      <c r="A141" s="25"/>
      <c r="B141" s="26" t="s">
        <v>89</v>
      </c>
      <c r="C141" s="27"/>
      <c r="D141" s="28"/>
      <c r="E141" s="28"/>
      <c r="F141" s="28"/>
      <c r="G141" s="28"/>
      <c r="H141" s="27"/>
      <c r="I141" s="27"/>
      <c r="J141" s="23">
        <f>0.13*G139*174/2.114</f>
        <v>12.037606433301796</v>
      </c>
      <c r="K141" s="27"/>
      <c r="M141" s="60"/>
      <c r="N141" s="59"/>
      <c r="O141" s="59"/>
      <c r="P141" s="59"/>
    </row>
    <row r="142" spans="1:16" s="11" customFormat="1" ht="16.8" x14ac:dyDescent="0.3">
      <c r="A142" s="25"/>
      <c r="B142" s="26" t="s">
        <v>90</v>
      </c>
      <c r="C142" s="27"/>
      <c r="D142" s="28"/>
      <c r="E142" s="28"/>
      <c r="F142" s="28"/>
      <c r="G142" s="28"/>
      <c r="H142" s="27"/>
      <c r="I142" s="27"/>
      <c r="J142" s="23">
        <f>0.13*G139*71/2.114</f>
        <v>4.9118968779564804</v>
      </c>
      <c r="K142" s="27"/>
      <c r="M142" s="60"/>
      <c r="N142" s="59"/>
      <c r="O142" s="59"/>
      <c r="P142" s="59"/>
    </row>
    <row r="143" spans="1:16" s="11" customFormat="1" ht="16.8" x14ac:dyDescent="0.3">
      <c r="A143" s="25"/>
      <c r="B143" s="26" t="s">
        <v>91</v>
      </c>
      <c r="C143" s="27"/>
      <c r="D143" s="28"/>
      <c r="E143" s="28"/>
      <c r="F143" s="28"/>
      <c r="G143" s="28"/>
      <c r="H143" s="27"/>
      <c r="I143" s="27"/>
      <c r="J143" s="23">
        <f>0.13*G139*114/2.114</f>
        <v>7.88670766319773</v>
      </c>
      <c r="K143" s="27"/>
      <c r="M143" s="60"/>
      <c r="N143" s="59"/>
      <c r="O143" s="59"/>
      <c r="P143" s="59"/>
    </row>
    <row r="144" spans="1:16" s="11" customFormat="1" ht="15.6" x14ac:dyDescent="0.3">
      <c r="A144" s="25"/>
      <c r="B144" s="26" t="s">
        <v>94</v>
      </c>
      <c r="C144" s="27"/>
      <c r="D144" s="28"/>
      <c r="E144" s="28"/>
      <c r="F144" s="28"/>
      <c r="G144" s="28"/>
      <c r="H144" s="27"/>
      <c r="I144" s="27"/>
      <c r="J144" s="23">
        <f>0.13*G139*1821/2.114</f>
        <v>125.97977767265846</v>
      </c>
      <c r="K144" s="27"/>
      <c r="M144" s="61"/>
      <c r="N144" s="59"/>
      <c r="O144" s="59"/>
      <c r="P144" s="59"/>
    </row>
    <row r="145" spans="1:16" s="11" customFormat="1" ht="16.8" x14ac:dyDescent="0.3">
      <c r="A145" s="25"/>
      <c r="B145" s="26" t="s">
        <v>92</v>
      </c>
      <c r="C145" s="27"/>
      <c r="D145" s="28"/>
      <c r="E145" s="28"/>
      <c r="F145" s="28"/>
      <c r="G145" s="28"/>
      <c r="H145" s="27"/>
      <c r="I145" s="27"/>
      <c r="J145" s="23">
        <f>0.13*G139*68/2.114</f>
        <v>4.7043519394512776</v>
      </c>
      <c r="K145" s="27"/>
      <c r="M145" s="62"/>
      <c r="N145" s="59"/>
      <c r="O145" s="59"/>
      <c r="P145" s="59"/>
    </row>
    <row r="146" spans="1:16" s="11" customFormat="1" ht="16.8" x14ac:dyDescent="0.3">
      <c r="A146" s="25"/>
      <c r="B146" s="26" t="s">
        <v>93</v>
      </c>
      <c r="C146" s="27"/>
      <c r="D146" s="28"/>
      <c r="E146" s="28"/>
      <c r="F146" s="28"/>
      <c r="G146" s="28"/>
      <c r="H146" s="27"/>
      <c r="I146" s="27"/>
      <c r="J146" s="23">
        <f>0.13*G139*45/2.114</f>
        <v>3.113174077578051</v>
      </c>
      <c r="K146" s="27"/>
      <c r="M146" s="60"/>
      <c r="N146" s="59"/>
      <c r="O146" s="59"/>
      <c r="P146" s="59"/>
    </row>
    <row r="147" spans="1:16" s="11" customFormat="1" ht="16.8" x14ac:dyDescent="0.3">
      <c r="A147" s="25"/>
      <c r="B147" s="26"/>
      <c r="C147" s="27"/>
      <c r="D147" s="28"/>
      <c r="E147" s="28"/>
      <c r="F147" s="28"/>
      <c r="G147" s="28"/>
      <c r="H147" s="27"/>
      <c r="I147" s="27"/>
      <c r="J147" s="23"/>
      <c r="K147" s="27"/>
      <c r="M147" s="60"/>
      <c r="N147" s="59"/>
      <c r="O147" s="59"/>
      <c r="P147" s="59"/>
    </row>
    <row r="148" spans="1:16" s="11" customFormat="1" ht="27.6" x14ac:dyDescent="0.3">
      <c r="A148" s="18">
        <v>15</v>
      </c>
      <c r="B148" s="31" t="s">
        <v>87</v>
      </c>
      <c r="C148" s="20">
        <v>1</v>
      </c>
      <c r="D148" s="1"/>
      <c r="E148" s="21"/>
      <c r="F148" s="21"/>
      <c r="G148" s="22">
        <f t="shared" ref="G148" si="24">PRODUCT(C148:F148)</f>
        <v>1</v>
      </c>
      <c r="H148" s="22" t="s">
        <v>30</v>
      </c>
      <c r="I148" s="2">
        <v>15000</v>
      </c>
      <c r="J148" s="22">
        <f>G148*I148</f>
        <v>15000</v>
      </c>
      <c r="K148" s="21"/>
      <c r="M148" s="59"/>
      <c r="N148" s="59"/>
      <c r="O148" s="59"/>
      <c r="P148" s="59"/>
    </row>
    <row r="149" spans="1:16" s="11" customFormat="1" x14ac:dyDescent="0.3">
      <c r="A149" s="18"/>
      <c r="B149" s="32"/>
      <c r="C149" s="20"/>
      <c r="D149" s="1"/>
      <c r="E149" s="21"/>
      <c r="F149" s="21"/>
      <c r="G149" s="2"/>
      <c r="H149" s="22"/>
      <c r="I149" s="2"/>
      <c r="J149" s="23"/>
      <c r="K149" s="21"/>
    </row>
    <row r="150" spans="1:16" s="11" customFormat="1" ht="15" customHeight="1" x14ac:dyDescent="0.3">
      <c r="A150" s="18">
        <v>16</v>
      </c>
      <c r="B150" s="31" t="s">
        <v>17</v>
      </c>
      <c r="C150" s="20">
        <v>1</v>
      </c>
      <c r="D150" s="1"/>
      <c r="E150" s="21"/>
      <c r="F150" s="21"/>
      <c r="G150" s="22">
        <f t="shared" ref="G150" si="25">PRODUCT(C150:F150)</f>
        <v>1</v>
      </c>
      <c r="H150" s="22" t="s">
        <v>18</v>
      </c>
      <c r="I150" s="2">
        <v>500</v>
      </c>
      <c r="J150" s="22">
        <f>G150*I150</f>
        <v>500</v>
      </c>
      <c r="K150" s="21"/>
    </row>
    <row r="151" spans="1:16" s="11" customFormat="1" x14ac:dyDescent="0.3">
      <c r="A151" s="18"/>
      <c r="B151" s="32"/>
      <c r="C151" s="20"/>
      <c r="D151" s="1"/>
      <c r="E151" s="21"/>
      <c r="F151" s="21"/>
      <c r="G151" s="2"/>
      <c r="H151" s="22"/>
      <c r="I151" s="2"/>
      <c r="J151" s="23"/>
      <c r="K151" s="21"/>
    </row>
    <row r="152" spans="1:16" s="11" customFormat="1" x14ac:dyDescent="0.3">
      <c r="A152" s="33"/>
      <c r="B152" s="34" t="s">
        <v>20</v>
      </c>
      <c r="C152" s="35"/>
      <c r="D152" s="36"/>
      <c r="E152" s="36"/>
      <c r="F152" s="36"/>
      <c r="G152" s="23"/>
      <c r="H152" s="23"/>
      <c r="I152" s="23"/>
      <c r="J152" s="23">
        <f>SUM(J10:J150)</f>
        <v>447466.69993037864</v>
      </c>
      <c r="K152" s="37"/>
    </row>
    <row r="153" spans="1:16" s="11" customFormat="1" x14ac:dyDescent="0.3"/>
    <row r="154" spans="1:16" s="45" customFormat="1" x14ac:dyDescent="0.3">
      <c r="A154" s="38"/>
      <c r="B154" s="39" t="s">
        <v>19</v>
      </c>
      <c r="C154" s="54">
        <f>J152</f>
        <v>447466.69993037864</v>
      </c>
      <c r="D154" s="55"/>
      <c r="E154" s="40">
        <v>100</v>
      </c>
      <c r="F154" s="38"/>
      <c r="G154" s="41"/>
      <c r="H154" s="38"/>
      <c r="I154" s="42"/>
      <c r="J154" s="43"/>
      <c r="K154" s="44"/>
    </row>
    <row r="155" spans="1:16" s="11" customFormat="1" x14ac:dyDescent="0.3">
      <c r="B155" s="39" t="s">
        <v>21</v>
      </c>
      <c r="C155" s="56">
        <v>400000</v>
      </c>
      <c r="D155" s="57"/>
      <c r="E155" s="40"/>
    </row>
    <row r="156" spans="1:16" s="11" customFormat="1" x14ac:dyDescent="0.3">
      <c r="B156" s="39" t="s">
        <v>22</v>
      </c>
      <c r="C156" s="56">
        <f>C155-C158-C159</f>
        <v>380000</v>
      </c>
      <c r="D156" s="57"/>
      <c r="E156" s="40">
        <f>C156/C154*100</f>
        <v>84.922520504682069</v>
      </c>
    </row>
    <row r="157" spans="1:16" s="11" customFormat="1" x14ac:dyDescent="0.3">
      <c r="B157" s="39" t="s">
        <v>26</v>
      </c>
      <c r="C157" s="58">
        <f>C154-C156</f>
        <v>67466.699930378643</v>
      </c>
      <c r="D157" s="58"/>
      <c r="E157" s="40">
        <f>100-E156</f>
        <v>15.077479495317931</v>
      </c>
    </row>
    <row r="158" spans="1:16" s="11" customFormat="1" x14ac:dyDescent="0.3">
      <c r="B158" s="39" t="s">
        <v>23</v>
      </c>
      <c r="C158" s="54">
        <f>C155*0.03</f>
        <v>12000</v>
      </c>
      <c r="D158" s="55"/>
      <c r="E158" s="40">
        <v>3</v>
      </c>
    </row>
    <row r="159" spans="1:16" s="11" customFormat="1" x14ac:dyDescent="0.3">
      <c r="B159" s="39" t="s">
        <v>24</v>
      </c>
      <c r="C159" s="54">
        <f>C155*0.02</f>
        <v>8000</v>
      </c>
      <c r="D159" s="55"/>
      <c r="E159" s="40">
        <v>2</v>
      </c>
    </row>
  </sheetData>
  <mergeCells count="15">
    <mergeCell ref="C159:D159"/>
    <mergeCell ref="C154:D154"/>
    <mergeCell ref="C155:D155"/>
    <mergeCell ref="C156:D156"/>
    <mergeCell ref="C157:D157"/>
    <mergeCell ref="C158:D158"/>
    <mergeCell ref="A7:F7"/>
    <mergeCell ref="H7:K7"/>
    <mergeCell ref="A1:K1"/>
    <mergeCell ref="A2:K2"/>
    <mergeCell ref="A3:K3"/>
    <mergeCell ref="A4:K4"/>
    <mergeCell ref="A5:K5"/>
    <mergeCell ref="A6:F6"/>
    <mergeCell ref="H6:K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2026-01-12T05:55:30Z</dcterms:modified>
</cp:coreProperties>
</file>