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0E14E43C-B050-48E4-8D99-A5C5DAC343C3}" xr6:coauthVersionLast="47" xr6:coauthVersionMax="47" xr10:uidLastSave="{00000000-0000-0000-0000-000000000000}"/>
  <bookViews>
    <workbookView xWindow="-120" yWindow="-120" windowWidth="20730" windowHeight="11040" activeTab="1" xr2:uid="{00000000-000D-0000-FFFF-FFFF00000000}"/>
  </bookViews>
  <sheets>
    <sheet name="chihaan" sheetId="15" r:id="rId1"/>
    <sheet name="Sheet1" sheetId="16"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chihaan!$A$1:$K$154</definedName>
    <definedName name="_xlnm.Print_Titles" localSheetId="0">chihaan!$1:$8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6" i="15" l="1"/>
  <c r="G134" i="15"/>
  <c r="F133" i="15"/>
  <c r="B36" i="15"/>
  <c r="C36" i="15"/>
  <c r="E18" i="15"/>
  <c r="E36" i="15" s="1"/>
  <c r="C125" i="15"/>
  <c r="C124" i="15"/>
  <c r="B124" i="15"/>
  <c r="D116" i="15"/>
  <c r="D133" i="15" s="1"/>
  <c r="F115" i="15"/>
  <c r="F132" i="15" s="1"/>
  <c r="D115" i="15"/>
  <c r="G115" i="15" s="1"/>
  <c r="G133" i="15" l="1"/>
  <c r="D132" i="15"/>
  <c r="G132" i="15" s="1"/>
  <c r="G116" i="15"/>
  <c r="J134" i="15" l="1"/>
  <c r="J135" i="15"/>
  <c r="J141" i="15"/>
  <c r="J140" i="15"/>
  <c r="J139" i="15"/>
  <c r="J138" i="15"/>
  <c r="J136" i="15"/>
  <c r="J137" i="15"/>
  <c r="C89" i="15" l="1"/>
  <c r="E89" i="15"/>
  <c r="D82" i="15"/>
  <c r="D81" i="15"/>
  <c r="D85" i="15"/>
  <c r="C68" i="15"/>
  <c r="B68" i="15"/>
  <c r="B89" i="15" s="1"/>
  <c r="D54" i="15"/>
  <c r="E54" i="15"/>
  <c r="E51" i="15"/>
  <c r="E68" i="15" s="1"/>
  <c r="D51" i="15"/>
  <c r="Q4" i="16"/>
  <c r="F113" i="15" s="1"/>
  <c r="F114" i="15" s="1"/>
  <c r="M6" i="16"/>
  <c r="I4" i="16"/>
  <c r="H4" i="16"/>
  <c r="D89" i="15" l="1"/>
  <c r="D87" i="15"/>
  <c r="D124" i="15"/>
  <c r="D97" i="15"/>
  <c r="G51" i="15"/>
  <c r="D68" i="15"/>
  <c r="C35" i="15" l="1"/>
  <c r="B35" i="15"/>
  <c r="D105" i="15" l="1"/>
  <c r="D125" i="15"/>
  <c r="G125" i="15" l="1"/>
  <c r="G124" i="15"/>
  <c r="F97" i="15"/>
  <c r="C87" i="15"/>
  <c r="E87" i="15"/>
  <c r="D88" i="15"/>
  <c r="E88" i="15"/>
  <c r="C85" i="15"/>
  <c r="D84" i="15"/>
  <c r="D83" i="15"/>
  <c r="C83" i="15"/>
  <c r="C81" i="15"/>
  <c r="B70" i="15"/>
  <c r="C70" i="15"/>
  <c r="E70" i="15"/>
  <c r="C71" i="15"/>
  <c r="E71" i="15"/>
  <c r="F66" i="15"/>
  <c r="F65" i="15"/>
  <c r="D65" i="15"/>
  <c r="F64" i="15"/>
  <c r="E69" i="15"/>
  <c r="D91" i="15" s="1"/>
  <c r="C90" i="15" s="1"/>
  <c r="D53" i="15"/>
  <c r="D71" i="15" s="1"/>
  <c r="D52" i="15"/>
  <c r="F49" i="15"/>
  <c r="E49" i="15"/>
  <c r="D49" i="15"/>
  <c r="F48" i="15"/>
  <c r="E48" i="15"/>
  <c r="E47" i="15"/>
  <c r="D47" i="15"/>
  <c r="P4" i="16"/>
  <c r="F47" i="15" s="1"/>
  <c r="F46" i="15"/>
  <c r="E46" i="15"/>
  <c r="C79" i="15" s="1"/>
  <c r="D46" i="15"/>
  <c r="C80" i="15" s="1"/>
  <c r="E24" i="15"/>
  <c r="D24" i="15"/>
  <c r="E15" i="15"/>
  <c r="D15" i="15"/>
  <c r="F10" i="15"/>
  <c r="E10" i="15"/>
  <c r="D10" i="15"/>
  <c r="R4" i="16"/>
  <c r="L4" i="16"/>
  <c r="N4" i="16"/>
  <c r="F4" i="16"/>
  <c r="E4" i="16"/>
  <c r="F105" i="15"/>
  <c r="D48" i="15" l="1"/>
  <c r="D114" i="15"/>
  <c r="G114" i="15" s="1"/>
  <c r="D113" i="15"/>
  <c r="G113" i="15" s="1"/>
  <c r="U4" i="16"/>
  <c r="D50" i="15" s="1"/>
  <c r="K4" i="16"/>
  <c r="M4" i="16"/>
  <c r="D104" i="15" s="1"/>
  <c r="J126" i="15"/>
  <c r="D70" i="15"/>
  <c r="G70" i="15" s="1"/>
  <c r="D11" i="15"/>
  <c r="G11" i="15" s="1"/>
  <c r="D17" i="15"/>
  <c r="F87" i="15"/>
  <c r="G87" i="15" s="1"/>
  <c r="F89" i="15"/>
  <c r="G89" i="15" s="1"/>
  <c r="G68" i="15"/>
  <c r="C84" i="15"/>
  <c r="G71" i="15"/>
  <c r="G105" i="15"/>
  <c r="C154" i="15"/>
  <c r="C153" i="15"/>
  <c r="G145" i="15"/>
  <c r="J145" i="15" s="1"/>
  <c r="G143" i="15"/>
  <c r="J143" i="15" s="1"/>
  <c r="I106" i="15"/>
  <c r="B104" i="15"/>
  <c r="C97" i="15"/>
  <c r="E91" i="15"/>
  <c r="E90" i="15"/>
  <c r="E86" i="15"/>
  <c r="D86" i="15"/>
  <c r="E85" i="15"/>
  <c r="F85" i="15" s="1"/>
  <c r="G85" i="15" s="1"/>
  <c r="E84" i="15"/>
  <c r="E83" i="15"/>
  <c r="F83" i="15" s="1"/>
  <c r="G83" i="15" s="1"/>
  <c r="E82" i="15"/>
  <c r="C82" i="15"/>
  <c r="E81" i="15"/>
  <c r="F81" i="15" s="1"/>
  <c r="G81" i="15" s="1"/>
  <c r="E80" i="15"/>
  <c r="F80" i="15" s="1"/>
  <c r="G80" i="15" s="1"/>
  <c r="E79" i="15"/>
  <c r="D79" i="15"/>
  <c r="C69" i="15"/>
  <c r="B69" i="15"/>
  <c r="B90" i="15" s="1"/>
  <c r="F67" i="15"/>
  <c r="C67" i="15"/>
  <c r="B67" i="15"/>
  <c r="D66" i="15"/>
  <c r="C66" i="15"/>
  <c r="B66" i="15"/>
  <c r="B65" i="15"/>
  <c r="B85" i="15" s="1"/>
  <c r="C64" i="15"/>
  <c r="B64" i="15"/>
  <c r="D64" i="15"/>
  <c r="G46" i="15"/>
  <c r="E16" i="15"/>
  <c r="E25" i="15" s="1"/>
  <c r="E50" i="15" s="1"/>
  <c r="C16" i="15"/>
  <c r="C25" i="15" s="1"/>
  <c r="C48" i="15" s="1"/>
  <c r="B16" i="15"/>
  <c r="B25" i="15" s="1"/>
  <c r="C15" i="15"/>
  <c r="C24" i="15" s="1"/>
  <c r="B15" i="15"/>
  <c r="B24" i="15" s="1"/>
  <c r="B46" i="15" s="1"/>
  <c r="B79" i="15" s="1"/>
  <c r="G10" i="15"/>
  <c r="G117" i="15" l="1"/>
  <c r="J121" i="15"/>
  <c r="J118" i="15"/>
  <c r="J120" i="15"/>
  <c r="D16" i="15"/>
  <c r="D25" i="15"/>
  <c r="D35" i="15"/>
  <c r="D18" i="15"/>
  <c r="J129" i="15"/>
  <c r="J128" i="15"/>
  <c r="J127" i="15"/>
  <c r="B87" i="15"/>
  <c r="G12" i="15"/>
  <c r="J12" i="15" s="1"/>
  <c r="F84" i="15"/>
  <c r="G84" i="15" s="1"/>
  <c r="F82" i="15"/>
  <c r="G82" i="15" s="1"/>
  <c r="F79" i="15"/>
  <c r="G79" i="15" s="1"/>
  <c r="G54" i="15"/>
  <c r="G49" i="15"/>
  <c r="G53" i="15"/>
  <c r="G52" i="15"/>
  <c r="E17" i="15"/>
  <c r="D69" i="15"/>
  <c r="G24" i="15"/>
  <c r="C151" i="15"/>
  <c r="G66" i="15"/>
  <c r="C104" i="15"/>
  <c r="C65" i="15"/>
  <c r="G64" i="15"/>
  <c r="G97" i="15"/>
  <c r="G47" i="15"/>
  <c r="G15" i="15"/>
  <c r="G48" i="15"/>
  <c r="J119" i="15" l="1"/>
  <c r="J117" i="15"/>
  <c r="D90" i="15"/>
  <c r="D98" i="15"/>
  <c r="G18" i="15"/>
  <c r="D36" i="15"/>
  <c r="G36" i="15" s="1"/>
  <c r="E35" i="15"/>
  <c r="G35" i="15" s="1"/>
  <c r="G17" i="15"/>
  <c r="G69" i="15"/>
  <c r="G25" i="15"/>
  <c r="G26" i="15" s="1"/>
  <c r="G16" i="15"/>
  <c r="G104" i="15"/>
  <c r="G106" i="15" s="1"/>
  <c r="G65" i="15"/>
  <c r="F90" i="15" l="1"/>
  <c r="G90" i="15" s="1"/>
  <c r="C91" i="15"/>
  <c r="F91" i="15" s="1"/>
  <c r="G91" i="15" s="1"/>
  <c r="E98" i="15"/>
  <c r="G98" i="15" s="1"/>
  <c r="G99" i="15" s="1"/>
  <c r="G37" i="15"/>
  <c r="G19" i="15"/>
  <c r="J21" i="15" s="1"/>
  <c r="J106" i="15"/>
  <c r="D67" i="15"/>
  <c r="G50" i="15"/>
  <c r="G55" i="15" s="1"/>
  <c r="J109" i="15"/>
  <c r="J108" i="15"/>
  <c r="C86" i="15"/>
  <c r="F86" i="15" s="1"/>
  <c r="G86" i="15" s="1"/>
  <c r="J99" i="15" l="1"/>
  <c r="J100" i="15"/>
  <c r="J101" i="15"/>
  <c r="J107" i="15"/>
  <c r="J110" i="15"/>
  <c r="J43" i="15"/>
  <c r="J41" i="15"/>
  <c r="J42" i="15"/>
  <c r="J40" i="15"/>
  <c r="J39" i="15"/>
  <c r="J38" i="15"/>
  <c r="J37" i="15"/>
  <c r="C88" i="15"/>
  <c r="J19" i="15"/>
  <c r="J20" i="15"/>
  <c r="G67" i="15"/>
  <c r="G72" i="15" s="1"/>
  <c r="F88" i="15" l="1"/>
  <c r="G88" i="15" s="1"/>
  <c r="G92" i="15" s="1"/>
  <c r="J55" i="15"/>
  <c r="J61" i="15"/>
  <c r="J60" i="15"/>
  <c r="J59" i="15"/>
  <c r="J58" i="15"/>
  <c r="J57" i="15"/>
  <c r="J56" i="15"/>
  <c r="J93" i="15" l="1"/>
  <c r="J76" i="15"/>
  <c r="J75" i="15"/>
  <c r="J73" i="15"/>
  <c r="J74" i="15"/>
  <c r="J72" i="15"/>
  <c r="J94" i="15" l="1"/>
  <c r="J92" i="15"/>
  <c r="J26" i="15" l="1"/>
  <c r="J29" i="15"/>
  <c r="J30" i="15"/>
  <c r="J27" i="15"/>
  <c r="J32" i="15"/>
  <c r="J31" i="15"/>
  <c r="J28" i="15"/>
  <c r="J147" i="15" l="1"/>
  <c r="C149" i="15" s="1"/>
  <c r="C152" i="15" s="1"/>
  <c r="E151" i="15" l="1"/>
  <c r="E15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1" authorId="0" shapeId="0" xr:uid="{00000000-0006-0000-0000-000001000000}">
      <text>
        <r>
          <rPr>
            <b/>
            <sz val="9"/>
            <color indexed="81"/>
            <rFont val="Tahoma"/>
            <family val="2"/>
          </rPr>
          <t>Author:</t>
        </r>
        <r>
          <rPr>
            <sz val="9"/>
            <color indexed="81"/>
            <rFont val="Tahoma"/>
            <family val="2"/>
          </rPr>
          <t xml:space="preserve">
between footing size only</t>
        </r>
      </text>
    </comment>
  </commentList>
</comments>
</file>

<file path=xl/sharedStrings.xml><?xml version="1.0" encoding="utf-8"?>
<sst xmlns="http://schemas.openxmlformats.org/spreadsheetml/2006/main" count="168" uniqueCount="113">
  <si>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</si>
  <si>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</si>
  <si>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</si>
  <si>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</si>
  <si>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</si>
  <si>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</si>
  <si>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</si>
  <si>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</si>
  <si>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</si>
  <si>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</si>
  <si>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</si>
  <si>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</si>
  <si>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</si>
  <si>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</si>
  <si>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</si>
  <si>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</si>
  <si>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</si>
  <si>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</si>
  <si>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</si>
  <si>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</si>
  <si>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</si>
  <si>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</si>
  <si>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</si>
  <si>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</si>
  <si>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</si>
  <si>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</si>
  <si>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</si>
  <si>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</si>
  <si>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</si>
  <si>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</si>
  <si>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</si>
  <si>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</si>
  <si>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</si>
  <si>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</si>
  <si>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</si>
  <si>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hu leQf kvf{ndf l;d]G6 s+lqm6 ug]{ sfd-lk=;L=;L= +!M#M^_</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</si>
  <si>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</si>
  <si>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</si>
  <si>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</si>
  <si>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</si>
  <si>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</si>
  <si>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</si>
  <si>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</si>
  <si>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</si>
  <si>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</si>
  <si>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</si>
  <si>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</si>
  <si>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</si>
  <si>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</si>
  <si>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</si>
  <si>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</si>
  <si>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-for flooring</t>
  </si>
  <si>
    <t>!@=% dL=dL= l;d]G6 afn'jf -!M$_ Knfi6/</t>
  </si>
  <si>
    <t>-13% VAT for brick</t>
  </si>
  <si>
    <t>g/d k|sf/sf] Sn] / l;N6L df6f]df ;j} lsl;dsf] vGg] sfd</t>
  </si>
  <si>
    <t>-for foundation</t>
  </si>
  <si>
    <t>;'Vvf O{6f RofK6f] 5fKg] sfd</t>
  </si>
  <si>
    <t>-for tie beam</t>
  </si>
  <si>
    <t>-for neck column</t>
  </si>
  <si>
    <t>-GF column</t>
  </si>
  <si>
    <t>-for beam</t>
  </si>
  <si>
    <t>e'O{+tNnfdf lrDgL e§fsf] O{+6fsf] uf/f] l;d]G6 d;nf -!M^_ df</t>
  </si>
  <si>
    <t>-13% VAT for sanda</t>
  </si>
  <si>
    <t>-deduction for window</t>
  </si>
  <si>
    <t>-for neck column to 1st floor</t>
  </si>
  <si>
    <t>-for binding stirrups</t>
  </si>
  <si>
    <t>.-for stirrups</t>
  </si>
  <si>
    <t>-for inclined slab</t>
  </si>
  <si>
    <t>-for cantilever</t>
  </si>
  <si>
    <r>
      <t>Project:-</t>
    </r>
    <r>
      <rPr>
        <sz val="12"/>
        <rFont val="Preeti"/>
      </rPr>
      <t xml:space="preserve"> ef]tfª\u] lrxfgkfl6</t>
    </r>
  </si>
  <si>
    <t xml:space="preserve">Date:                  </t>
  </si>
  <si>
    <t>-for toe wall</t>
  </si>
  <si>
    <t>Foundation size</t>
  </si>
  <si>
    <t>Plinth size</t>
  </si>
  <si>
    <t>Depth</t>
  </si>
  <si>
    <t>Depth from GL</t>
  </si>
  <si>
    <t>Footing size</t>
  </si>
  <si>
    <t>Length in PL area</t>
  </si>
  <si>
    <t>Breadth in PL area</t>
  </si>
  <si>
    <t>Toe wall</t>
  </si>
  <si>
    <t>Length L1</t>
  </si>
  <si>
    <t>Length L2</t>
  </si>
  <si>
    <t>Ht. H1</t>
  </si>
  <si>
    <t>Ht. H2</t>
  </si>
  <si>
    <t>Tie beam size</t>
  </si>
  <si>
    <t>Width</t>
  </si>
  <si>
    <t>Column size</t>
  </si>
  <si>
    <t>Length/B</t>
  </si>
  <si>
    <t>Ht. above PL upto ceiling</t>
  </si>
  <si>
    <t>Ht. upto plinth</t>
  </si>
  <si>
    <t>Knfi6/ dfly @) dL=dL= afSnf] emNn/ jf kfgL k§L agfpg] sfd</t>
  </si>
  <si>
    <t>-13% VAT for water-proofing</t>
  </si>
  <si>
    <t>rm</t>
  </si>
  <si>
    <t>d]lzgsf] k|of]u u/L hu leQf kvf{ndf l;d]G6 s+lqm6 ug]{ sfd -!M@M$_</t>
  </si>
  <si>
    <t>Main beam size</t>
  </si>
  <si>
    <t>-for slab</t>
  </si>
  <si>
    <t>e'O{+tNnfdf d]l;g d]8 O{+6fsf] uf/f] nufpg] sfd l;d]G6 d;nf -!M^_ df</t>
  </si>
  <si>
    <t>-outer wall</t>
  </si>
  <si>
    <t>-deduction for door</t>
  </si>
  <si>
    <t>-at wall</t>
  </si>
  <si>
    <t>-deduction for placement of God</t>
  </si>
  <si>
    <t>#* dL=dL= afSnf] lr/fg cu|fv sf7sf] k|m]d xfnL l8nfvfkf agfO{ h8fg ug]{ .</t>
  </si>
  <si>
    <t>Provisional sum for lab tests and gajur</t>
  </si>
  <si>
    <t>-door</t>
  </si>
  <si>
    <r>
      <rPr>
        <sz val="11"/>
        <rFont val="Calibri"/>
        <family val="2"/>
        <scheme val="minor"/>
      </rPr>
      <t>-13% VAT for</t>
    </r>
    <r>
      <rPr>
        <sz val="13"/>
        <rFont val="Preeti"/>
      </rPr>
      <t xml:space="preserve"> cu|fv sf7</t>
    </r>
  </si>
  <si>
    <r>
      <rPr>
        <sz val="11"/>
        <rFont val="Calibri"/>
        <family val="2"/>
        <scheme val="minor"/>
      </rPr>
      <t>-13% VAT for</t>
    </r>
    <r>
      <rPr>
        <sz val="12"/>
        <rFont val="Preeti"/>
      </rPr>
      <t xml:space="preserve"> #)) dL=dL=nlsË ;]6</t>
    </r>
  </si>
  <si>
    <r>
      <rPr>
        <sz val="11"/>
        <rFont val="Calibri"/>
        <family val="2"/>
        <scheme val="minor"/>
      </rPr>
      <t>-13% VAT for</t>
    </r>
    <r>
      <rPr>
        <sz val="13"/>
        <rFont val="Preeti"/>
      </rPr>
      <t xml:space="preserve"> XoflG8n</t>
    </r>
  </si>
  <si>
    <r>
      <rPr>
        <sz val="11"/>
        <rFont val="Calibri"/>
        <family val="2"/>
        <scheme val="minor"/>
      </rPr>
      <t>-13% VAT for</t>
    </r>
    <r>
      <rPr>
        <sz val="13"/>
        <rFont val="Preeti"/>
      </rPr>
      <t xml:space="preserve"> k]r lsnf</t>
    </r>
  </si>
  <si>
    <r>
      <rPr>
        <sz val="11"/>
        <rFont val="Calibri"/>
        <family val="2"/>
        <scheme val="minor"/>
      </rPr>
      <t xml:space="preserve">-13% VAT for </t>
    </r>
    <r>
      <rPr>
        <sz val="13"/>
        <rFont val="Preeti"/>
      </rPr>
      <t>#))dL=dL= 5]:sLgL</t>
    </r>
  </si>
  <si>
    <r>
      <rPr>
        <sz val="11"/>
        <rFont val="Calibri"/>
        <family val="2"/>
        <scheme val="minor"/>
      </rPr>
      <t>-13% VAT for</t>
    </r>
    <r>
      <rPr>
        <sz val="13"/>
        <rFont val="Preeti"/>
      </rPr>
      <t>!%) dL=dL=5]:sLgL</t>
    </r>
  </si>
  <si>
    <r>
      <rPr>
        <sz val="11"/>
        <rFont val="Calibri"/>
        <family val="2"/>
        <scheme val="minor"/>
      </rPr>
      <t>-13% VAT for</t>
    </r>
    <r>
      <rPr>
        <sz val="13"/>
        <rFont val="Preeti"/>
      </rPr>
      <t xml:space="preserve"> !)) dL=dL= sAhf</t>
    </r>
  </si>
  <si>
    <t>-windows</t>
  </si>
  <si>
    <t>-roof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</si>
</sst>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2"/>
      <name val="Preeti"/>
    </font>
    <font>
      <sz val="9"/>
      <color indexed="81"/>
      <name val="Tahoma"/>
      <family val="2"/>
    </font>
    <font>
      <b/>
      <sz val="9"/>
      <color indexed="81"/>
      <name val="Tahoma"/>
      <family val="2"/>
    </font>
    <font>
      <sz val="8"/>
      <name val="Calibri"/>
      <family val="2"/>
      <scheme val="minor"/>
    </font>
    <font>
      <sz val="13"/>
      <name val="Preeti"/>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wrapText="1"/>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3" fillId="0" borderId="2" xfId="0" applyFon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3" fillId="0" borderId="2" xfId="1" applyNumberFormat="1" applyFont="1" applyFill="1" applyBorder="1" applyAlignment="1">
      <alignment vertical="center"/>
    </xf>
    <xf numFmtId="0" fontId="0" fillId="0" borderId="2" xfId="0" applyBorder="1" applyAlignment="1">
      <alignment vertical="center" wrapText="1"/>
    </xf>
    <xf numFmtId="0" fontId="0" fillId="0" borderId="0" xfId="0" applyAlignment="1">
      <alignment wrapText="1"/>
    </xf>
    <xf numFmtId="2" fontId="4" fillId="0" borderId="2" xfId="0" applyNumberFormat="1" applyFont="1" applyBorder="1" applyAlignment="1">
      <alignment vertical="center" wrapText="1"/>
    </xf>
    <xf numFmtId="164" fontId="3" fillId="0" borderId="2" xfId="0" applyNumberFormat="1" applyFont="1" applyBorder="1"/>
    <xf numFmtId="164" fontId="4" fillId="0" borderId="2" xfId="0" applyNumberFormat="1" applyFont="1" applyBorder="1"/>
    <xf numFmtId="164" fontId="4" fillId="0" borderId="2" xfId="0" quotePrefix="1" applyNumberFormat="1" applyFont="1" applyBorder="1" applyAlignment="1">
      <alignment horizontal="right"/>
    </xf>
    <xf numFmtId="2" fontId="4" fillId="0" borderId="2" xfId="0" quotePrefix="1" applyNumberFormat="1" applyFont="1" applyBorder="1" applyAlignment="1">
      <alignment horizontal="right"/>
    </xf>
    <xf numFmtId="2" fontId="0" fillId="0" borderId="0" xfId="0" applyNumberFormat="1"/>
    <xf numFmtId="0" fontId="17" fillId="0" borderId="2" xfId="0" quotePrefix="1" applyFont="1" applyBorder="1" applyAlignment="1">
      <alignment horizontal="right"/>
    </xf>
    <xf numFmtId="0" fontId="12" fillId="0" borderId="2" xfId="0" quotePrefix="1" applyFont="1" applyBorder="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0" borderId="2" xfId="0"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horizontal="center" vertical="center" wrapText="1"/>
    </xf>
    <xf numFmtId="0" fontId="0" fillId="0" borderId="2" xfId="0"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4"/>
  <sheetViews>
    <sheetView topLeftCell="A25" zoomScaleNormal="100" workbookViewId="0">
      <selection activeCell="G34" sqref="G34"/>
    </sheetView>
  </sheetViews>
  <sheetFormatPr defaultColWidth="9.140625" defaultRowHeight="15" x14ac:dyDescent="0.25"/>
  <cols>
    <col min="1" max="1" width="4.7109375" style="10" customWidth="1"/>
    <col min="2" max="2" width="30.85546875" style="10" customWidth="1"/>
    <col min="3" max="3" width="4.5703125" style="10" bestFit="1" customWidth="1"/>
    <col min="4" max="4" width="8.42578125" style="10" customWidth="1"/>
    <col min="5" max="5" width="8.5703125" style="10" customWidth="1"/>
    <col min="6" max="6" width="7.28515625" style="10" customWidth="1"/>
    <col min="7" max="7" width="9.140625" style="10"/>
    <col min="8" max="8" width="5" style="10" bestFit="1" customWidth="1"/>
    <col min="9" max="9" width="9.5703125" style="10" customWidth="1"/>
    <col min="10" max="10" width="10.7109375" style="10" bestFit="1" customWidth="1"/>
    <col min="11" max="16384" width="9.140625" style="10"/>
  </cols>
  <sheetData>
    <row r="1" spans="1:11" x14ac:dyDescent="0.25">
      <c r="A1" s="59" t="s">
        <v>0</v>
      </c>
      <c r="B1" s="59"/>
      <c r="C1" s="59"/>
      <c r="D1" s="59"/>
      <c r="E1" s="59"/>
      <c r="F1" s="59"/>
      <c r="G1" s="59"/>
      <c r="H1" s="59"/>
      <c r="I1" s="59"/>
      <c r="J1" s="59"/>
      <c r="K1" s="59"/>
    </row>
    <row r="2" spans="1:11" ht="22.5" x14ac:dyDescent="0.25">
      <c r="A2" s="60" t="s">
        <v>1</v>
      </c>
      <c r="B2" s="60"/>
      <c r="C2" s="60"/>
      <c r="D2" s="60"/>
      <c r="E2" s="60"/>
      <c r="F2" s="60"/>
      <c r="G2" s="60"/>
      <c r="H2" s="60"/>
      <c r="I2" s="60"/>
      <c r="J2" s="60"/>
      <c r="K2" s="60"/>
    </row>
    <row r="3" spans="1:11" x14ac:dyDescent="0.25">
      <c r="A3" s="61" t="s">
        <v>2</v>
      </c>
      <c r="B3" s="61"/>
      <c r="C3" s="61"/>
      <c r="D3" s="61"/>
      <c r="E3" s="61"/>
      <c r="F3" s="61"/>
      <c r="G3" s="61"/>
      <c r="H3" s="61"/>
      <c r="I3" s="61"/>
      <c r="J3" s="61"/>
      <c r="K3" s="61"/>
    </row>
    <row r="4" spans="1:11" x14ac:dyDescent="0.25">
      <c r="A4" s="61" t="s">
        <v>3</v>
      </c>
      <c r="B4" s="61"/>
      <c r="C4" s="61"/>
      <c r="D4" s="61"/>
      <c r="E4" s="61"/>
      <c r="F4" s="61"/>
      <c r="G4" s="61"/>
      <c r="H4" s="61"/>
      <c r="I4" s="61"/>
      <c r="J4" s="61"/>
      <c r="K4" s="61"/>
    </row>
    <row r="5" spans="1:11" ht="18.75" x14ac:dyDescent="0.3">
      <c r="A5" s="62" t="s">
        <v>4</v>
      </c>
      <c r="B5" s="62"/>
      <c r="C5" s="62"/>
      <c r="D5" s="62"/>
      <c r="E5" s="62"/>
      <c r="F5" s="62"/>
      <c r="G5" s="62"/>
      <c r="H5" s="62"/>
      <c r="I5" s="62"/>
      <c r="J5" s="62"/>
      <c r="K5" s="62"/>
    </row>
    <row r="6" spans="1:11" ht="15.75" x14ac:dyDescent="0.25">
      <c r="A6" s="57" t="s">
        <v>69</v>
      </c>
      <c r="B6" s="57"/>
      <c r="C6" s="57"/>
      <c r="D6" s="57"/>
      <c r="E6" s="57"/>
      <c r="F6" s="57"/>
      <c r="G6" s="4"/>
      <c r="H6" s="58" t="s">
        <v>25</v>
      </c>
      <c r="I6" s="58"/>
      <c r="J6" s="58"/>
      <c r="K6" s="58"/>
    </row>
    <row r="7" spans="1:11" ht="15.75" x14ac:dyDescent="0.25">
      <c r="A7" s="52" t="s">
        <v>29</v>
      </c>
      <c r="B7" s="52"/>
      <c r="C7" s="52"/>
      <c r="D7" s="52"/>
      <c r="E7" s="52"/>
      <c r="F7" s="52"/>
      <c r="G7" s="5"/>
      <c r="H7" s="53" t="s">
        <v>70</v>
      </c>
      <c r="I7" s="53"/>
      <c r="J7" s="53"/>
      <c r="K7" s="53"/>
    </row>
    <row r="8" spans="1:11" ht="15.75" x14ac:dyDescent="0.25">
      <c r="A8" s="6" t="s">
        <v>5</v>
      </c>
      <c r="B8" s="7" t="s">
        <v>6</v>
      </c>
      <c r="C8" s="6" t="s">
        <v>7</v>
      </c>
      <c r="D8" s="8" t="s">
        <v>8</v>
      </c>
      <c r="E8" s="8" t="s">
        <v>9</v>
      </c>
      <c r="F8" s="8" t="s">
        <v>10</v>
      </c>
      <c r="G8" s="8" t="s">
        <v>11</v>
      </c>
      <c r="H8" s="6" t="s">
        <v>12</v>
      </c>
      <c r="I8" s="8" t="s">
        <v>13</v>
      </c>
      <c r="J8" s="8" t="s">
        <v>14</v>
      </c>
      <c r="K8" s="9" t="s">
        <v>15</v>
      </c>
    </row>
    <row r="9" spans="1:11" s="38" customFormat="1" ht="30" x14ac:dyDescent="0.2">
      <c r="A9" s="19">
        <v>1</v>
      </c>
      <c r="B9" s="11" t="s">
        <v>54</v>
      </c>
      <c r="C9" s="32"/>
      <c r="D9" s="32"/>
      <c r="E9" s="32"/>
      <c r="F9" s="32"/>
      <c r="G9" s="32"/>
      <c r="H9" s="32"/>
      <c r="I9" s="32"/>
      <c r="J9" s="32"/>
      <c r="K9" s="32"/>
    </row>
    <row r="10" spans="1:11" x14ac:dyDescent="0.25">
      <c r="A10" s="21"/>
      <c r="B10" s="20" t="s">
        <v>55</v>
      </c>
      <c r="C10" s="21">
        <v>4</v>
      </c>
      <c r="D10" s="22">
        <f>Sheet1!B4</f>
        <v>1.5</v>
      </c>
      <c r="E10" s="22">
        <f>Sheet1!C4</f>
        <v>1.5</v>
      </c>
      <c r="F10" s="22">
        <f>Sheet1!D4</f>
        <v>1.5</v>
      </c>
      <c r="G10" s="22">
        <f>PRODUCT(C10:F10)</f>
        <v>13.5</v>
      </c>
      <c r="H10" s="21"/>
      <c r="I10" s="21"/>
      <c r="J10" s="21"/>
      <c r="K10" s="21"/>
    </row>
    <row r="11" spans="1:11" x14ac:dyDescent="0.25">
      <c r="A11" s="21"/>
      <c r="B11" s="20" t="s">
        <v>71</v>
      </c>
      <c r="C11" s="21">
        <v>4</v>
      </c>
      <c r="D11" s="22">
        <f>Sheet1!K4</f>
        <v>1.7781164279183175</v>
      </c>
      <c r="E11" s="22">
        <v>0.23</v>
      </c>
      <c r="F11" s="22">
        <v>0.5</v>
      </c>
      <c r="G11" s="22">
        <f>PRODUCT(C11:F11)</f>
        <v>0.81793355684242608</v>
      </c>
      <c r="H11" s="21"/>
      <c r="I11" s="21"/>
      <c r="J11" s="21"/>
      <c r="K11" s="21"/>
    </row>
    <row r="12" spans="1:11" ht="15" customHeight="1" x14ac:dyDescent="0.25">
      <c r="A12" s="12"/>
      <c r="B12" s="13" t="s">
        <v>16</v>
      </c>
      <c r="C12" s="14"/>
      <c r="D12" s="1"/>
      <c r="E12" s="15"/>
      <c r="F12" s="15"/>
      <c r="G12" s="2">
        <f>SUM(G10:G11)</f>
        <v>14.317933556842426</v>
      </c>
      <c r="H12" s="16" t="s">
        <v>28</v>
      </c>
      <c r="I12" s="2">
        <v>674.12</v>
      </c>
      <c r="J12" s="17">
        <f>G12*I12</f>
        <v>9652.0053693386162</v>
      </c>
      <c r="K12" s="15"/>
    </row>
    <row r="13" spans="1:11" x14ac:dyDescent="0.25">
      <c r="A13" s="21"/>
      <c r="B13" s="21"/>
      <c r="C13" s="21"/>
      <c r="D13" s="22"/>
      <c r="E13" s="22"/>
      <c r="F13" s="22"/>
      <c r="G13" s="22"/>
      <c r="H13" s="21"/>
      <c r="I13" s="21"/>
      <c r="J13" s="21"/>
      <c r="K13" s="21"/>
    </row>
    <row r="14" spans="1:11" s="38" customFormat="1" x14ac:dyDescent="0.2">
      <c r="A14" s="19">
        <v>2</v>
      </c>
      <c r="B14" s="11" t="s">
        <v>56</v>
      </c>
      <c r="C14" s="32"/>
      <c r="D14" s="33"/>
      <c r="E14" s="33"/>
      <c r="F14" s="33"/>
      <c r="G14" s="33"/>
      <c r="H14" s="32"/>
      <c r="I14" s="32"/>
      <c r="J14" s="32"/>
      <c r="K14" s="32"/>
    </row>
    <row r="15" spans="1:11" x14ac:dyDescent="0.25">
      <c r="A15" s="21"/>
      <c r="B15" s="20" t="str">
        <f t="shared" ref="B15:E16" si="0">B10</f>
        <v>-for foundation</v>
      </c>
      <c r="C15" s="21">
        <f t="shared" si="0"/>
        <v>4</v>
      </c>
      <c r="D15" s="22">
        <f>Sheet1!B4</f>
        <v>1.5</v>
      </c>
      <c r="E15" s="22">
        <f>Sheet1!C4</f>
        <v>1.5</v>
      </c>
      <c r="F15" s="22"/>
      <c r="G15" s="22">
        <f>PRODUCT(C15:F15)</f>
        <v>9</v>
      </c>
      <c r="H15" s="21"/>
      <c r="I15" s="21"/>
      <c r="J15" s="21"/>
      <c r="K15" s="21"/>
    </row>
    <row r="16" spans="1:11" x14ac:dyDescent="0.25">
      <c r="A16" s="21"/>
      <c r="B16" s="20" t="str">
        <f t="shared" si="0"/>
        <v>-for toe wall</v>
      </c>
      <c r="C16" s="21">
        <f t="shared" si="0"/>
        <v>4</v>
      </c>
      <c r="D16" s="22">
        <f>Sheet1!K4</f>
        <v>1.7781164279183175</v>
      </c>
      <c r="E16" s="22">
        <f t="shared" si="0"/>
        <v>0.23</v>
      </c>
      <c r="F16" s="22"/>
      <c r="G16" s="22">
        <f>PRODUCT(C16:F16)</f>
        <v>1.6358671136848522</v>
      </c>
      <c r="H16" s="21"/>
      <c r="I16" s="21"/>
      <c r="J16" s="21"/>
      <c r="K16" s="21"/>
    </row>
    <row r="17" spans="1:11" x14ac:dyDescent="0.25">
      <c r="A17" s="21"/>
      <c r="B17" s="20" t="s">
        <v>51</v>
      </c>
      <c r="C17" s="21">
        <v>1</v>
      </c>
      <c r="D17" s="22">
        <f>Sheet1!R4</f>
        <v>2.9574215178299301</v>
      </c>
      <c r="E17" s="22">
        <f>D17</f>
        <v>2.9574215178299301</v>
      </c>
      <c r="F17" s="22"/>
      <c r="G17" s="22">
        <f>PRODUCT(C17:F17)</f>
        <v>8.7463420341234883</v>
      </c>
      <c r="H17" s="21"/>
      <c r="I17" s="21"/>
      <c r="J17" s="21"/>
      <c r="K17" s="21"/>
    </row>
    <row r="18" spans="1:11" x14ac:dyDescent="0.25">
      <c r="A18" s="21"/>
      <c r="B18" s="20" t="s">
        <v>100</v>
      </c>
      <c r="C18" s="21">
        <v>-1</v>
      </c>
      <c r="D18" s="22">
        <f>D17</f>
        <v>2.9574215178299301</v>
      </c>
      <c r="E18" s="22">
        <f>6/3.281</f>
        <v>1.8287107589149649</v>
      </c>
      <c r="F18" s="22"/>
      <c r="G18" s="22">
        <f>PRODUCT(C18:F18)</f>
        <v>-5.4082685483022193</v>
      </c>
      <c r="H18" s="21"/>
      <c r="I18" s="21"/>
      <c r="J18" s="21"/>
      <c r="K18" s="21"/>
    </row>
    <row r="19" spans="1:11" ht="15" customHeight="1" x14ac:dyDescent="0.25">
      <c r="A19" s="12"/>
      <c r="B19" s="13" t="s">
        <v>16</v>
      </c>
      <c r="C19" s="14"/>
      <c r="D19" s="1"/>
      <c r="E19" s="15"/>
      <c r="F19" s="15"/>
      <c r="G19" s="2">
        <f>SUM(G15:G18)</f>
        <v>13.97394059950612</v>
      </c>
      <c r="H19" s="16" t="s">
        <v>34</v>
      </c>
      <c r="I19" s="2">
        <v>1017.47</v>
      </c>
      <c r="J19" s="17">
        <f>G19*I19</f>
        <v>14218.065341779493</v>
      </c>
      <c r="K19" s="15"/>
    </row>
    <row r="20" spans="1:11" x14ac:dyDescent="0.25">
      <c r="A20" s="19"/>
      <c r="B20" s="20" t="s">
        <v>53</v>
      </c>
      <c r="C20" s="21"/>
      <c r="D20" s="22"/>
      <c r="E20" s="22"/>
      <c r="F20" s="22"/>
      <c r="G20" s="22"/>
      <c r="H20" s="21"/>
      <c r="I20" s="21"/>
      <c r="J20" s="17">
        <f>0.13*G19*6360.9/10</f>
        <v>1155.5289038721801</v>
      </c>
      <c r="K20" s="21"/>
    </row>
    <row r="21" spans="1:11" x14ac:dyDescent="0.25">
      <c r="A21" s="21"/>
      <c r="B21" s="20" t="s">
        <v>31</v>
      </c>
      <c r="C21" s="21"/>
      <c r="D21" s="22"/>
      <c r="E21" s="22"/>
      <c r="F21" s="22"/>
      <c r="G21" s="22"/>
      <c r="H21" s="21"/>
      <c r="I21" s="21"/>
      <c r="J21" s="17">
        <f>0.13*G19*2256.3/10</f>
        <v>409.88222827065357</v>
      </c>
      <c r="K21" s="21"/>
    </row>
    <row r="22" spans="1:11" x14ac:dyDescent="0.25">
      <c r="A22" s="21"/>
      <c r="B22" s="21"/>
      <c r="C22" s="21"/>
      <c r="D22" s="22"/>
      <c r="E22" s="22"/>
      <c r="F22" s="22"/>
      <c r="G22" s="22"/>
      <c r="H22" s="21"/>
      <c r="I22" s="21"/>
      <c r="J22" s="21"/>
      <c r="K22" s="21"/>
    </row>
    <row r="23" spans="1:11" s="38" customFormat="1" ht="30" x14ac:dyDescent="0.2">
      <c r="A23" s="19">
        <v>3</v>
      </c>
      <c r="B23" s="11" t="s">
        <v>35</v>
      </c>
      <c r="C23" s="32"/>
      <c r="D23" s="33"/>
      <c r="E23" s="33"/>
      <c r="F23" s="33"/>
      <c r="G23" s="33"/>
      <c r="H23" s="32"/>
      <c r="I23" s="32"/>
      <c r="J23" s="32"/>
      <c r="K23" s="32"/>
    </row>
    <row r="24" spans="1:11" x14ac:dyDescent="0.25">
      <c r="A24" s="21"/>
      <c r="B24" s="20" t="str">
        <f>B15</f>
        <v>-for foundation</v>
      </c>
      <c r="C24" s="21">
        <f>C15</f>
        <v>4</v>
      </c>
      <c r="D24" s="22">
        <f>Sheet1!B4</f>
        <v>1.5</v>
      </c>
      <c r="E24" s="22">
        <f>Sheet1!C4</f>
        <v>1.5</v>
      </c>
      <c r="F24" s="22">
        <v>7.4999999999999997E-2</v>
      </c>
      <c r="G24" s="22">
        <f>PRODUCT(C24:F24)</f>
        <v>0.67499999999999993</v>
      </c>
      <c r="H24" s="21"/>
      <c r="I24" s="21"/>
      <c r="J24" s="21"/>
      <c r="K24" s="21"/>
    </row>
    <row r="25" spans="1:11" x14ac:dyDescent="0.25">
      <c r="A25" s="21"/>
      <c r="B25" s="20" t="str">
        <f>B16</f>
        <v>-for toe wall</v>
      </c>
      <c r="C25" s="21">
        <f>C16</f>
        <v>4</v>
      </c>
      <c r="D25" s="22">
        <f>Sheet1!K4</f>
        <v>1.7781164279183175</v>
      </c>
      <c r="E25" s="22">
        <f>E16</f>
        <v>0.23</v>
      </c>
      <c r="F25" s="22">
        <v>7.4999999999999997E-2</v>
      </c>
      <c r="G25" s="22">
        <f>PRODUCT(C25:F25)</f>
        <v>0.1226900335263639</v>
      </c>
      <c r="H25" s="21"/>
      <c r="I25" s="21"/>
      <c r="J25" s="21"/>
      <c r="K25" s="21"/>
    </row>
    <row r="26" spans="1:11" ht="15" customHeight="1" x14ac:dyDescent="0.25">
      <c r="A26" s="12"/>
      <c r="B26" s="13" t="s">
        <v>16</v>
      </c>
      <c r="C26" s="14"/>
      <c r="D26" s="1"/>
      <c r="E26" s="15"/>
      <c r="F26" s="15"/>
      <c r="G26" s="2">
        <f>SUM(G24:G25)</f>
        <v>0.79769003352636381</v>
      </c>
      <c r="H26" s="16" t="s">
        <v>28</v>
      </c>
      <c r="I26" s="2">
        <v>11620.77</v>
      </c>
      <c r="J26" s="17">
        <f>G26*I26</f>
        <v>9269.7724109021638</v>
      </c>
      <c r="K26" s="15"/>
    </row>
    <row r="27" spans="1:11" x14ac:dyDescent="0.25">
      <c r="A27" s="19"/>
      <c r="B27" s="20" t="s">
        <v>32</v>
      </c>
      <c r="C27" s="21"/>
      <c r="D27" s="22"/>
      <c r="E27" s="22"/>
      <c r="F27" s="22"/>
      <c r="G27" s="22"/>
      <c r="H27" s="21"/>
      <c r="I27" s="21"/>
      <c r="J27" s="17">
        <f>0.13*G26*2866.82</f>
        <v>297.28838644882654</v>
      </c>
      <c r="K27" s="21"/>
    </row>
    <row r="28" spans="1:11" x14ac:dyDescent="0.25">
      <c r="A28" s="19"/>
      <c r="B28" s="20" t="s">
        <v>33</v>
      </c>
      <c r="C28" s="21"/>
      <c r="D28" s="22"/>
      <c r="E28" s="22"/>
      <c r="F28" s="22"/>
      <c r="G28" s="22"/>
      <c r="H28" s="21"/>
      <c r="I28" s="21"/>
      <c r="J28" s="17">
        <f>0.13*G26*(2065.63+805.06)</f>
        <v>297.68970430469363</v>
      </c>
      <c r="K28" s="21"/>
    </row>
    <row r="29" spans="1:11" x14ac:dyDescent="0.25">
      <c r="A29" s="19"/>
      <c r="B29" s="20" t="s">
        <v>31</v>
      </c>
      <c r="C29" s="21"/>
      <c r="D29" s="22"/>
      <c r="E29" s="22"/>
      <c r="F29" s="22"/>
      <c r="G29" s="22"/>
      <c r="H29" s="21"/>
      <c r="I29" s="21"/>
      <c r="J29" s="17">
        <f>0.13*G26*1350.6</f>
        <v>140.05682070649189</v>
      </c>
      <c r="K29" s="21"/>
    </row>
    <row r="30" spans="1:11" x14ac:dyDescent="0.25">
      <c r="A30" s="21"/>
      <c r="B30" s="20" t="s">
        <v>36</v>
      </c>
      <c r="C30" s="21"/>
      <c r="D30" s="22"/>
      <c r="E30" s="22"/>
      <c r="F30" s="22"/>
      <c r="G30" s="22"/>
      <c r="H30" s="21"/>
      <c r="I30" s="21"/>
      <c r="J30" s="17">
        <f>0.13*G26*28</f>
        <v>2.9035917220359639</v>
      </c>
      <c r="K30" s="21"/>
    </row>
    <row r="31" spans="1:11" x14ac:dyDescent="0.25">
      <c r="A31" s="21"/>
      <c r="B31" s="20" t="s">
        <v>44</v>
      </c>
      <c r="C31" s="21"/>
      <c r="D31" s="22"/>
      <c r="E31" s="22"/>
      <c r="F31" s="22"/>
      <c r="G31" s="22"/>
      <c r="H31" s="21"/>
      <c r="I31" s="21"/>
      <c r="J31" s="17">
        <f>0.13*G26*392.92</f>
        <v>40.745687836513255</v>
      </c>
      <c r="K31" s="21"/>
    </row>
    <row r="32" spans="1:11" x14ac:dyDescent="0.25">
      <c r="A32" s="21"/>
      <c r="B32" s="20" t="s">
        <v>45</v>
      </c>
      <c r="C32" s="21"/>
      <c r="D32" s="22"/>
      <c r="E32" s="22"/>
      <c r="F32" s="22"/>
      <c r="G32" s="22"/>
      <c r="H32" s="21"/>
      <c r="I32" s="21"/>
      <c r="J32" s="17">
        <f>0.13*G26*14.15</f>
        <v>1.4673508166717462</v>
      </c>
      <c r="K32" s="21"/>
    </row>
    <row r="33" spans="1:11" x14ac:dyDescent="0.25">
      <c r="A33" s="21"/>
      <c r="B33" s="21"/>
      <c r="C33" s="21"/>
      <c r="D33" s="22"/>
      <c r="E33" s="22"/>
      <c r="F33" s="22"/>
      <c r="G33" s="22"/>
      <c r="H33" s="21"/>
      <c r="I33" s="21"/>
      <c r="J33" s="21"/>
      <c r="K33" s="21"/>
    </row>
    <row r="34" spans="1:11" s="38" customFormat="1" ht="45" x14ac:dyDescent="0.2">
      <c r="A34" s="19">
        <v>4</v>
      </c>
      <c r="B34" s="11" t="s">
        <v>93</v>
      </c>
      <c r="C34" s="32"/>
      <c r="D34" s="33"/>
      <c r="E34" s="33"/>
      <c r="F34" s="33"/>
      <c r="G34" s="33"/>
      <c r="H34" s="32"/>
      <c r="I34" s="32"/>
      <c r="J34" s="32"/>
      <c r="K34" s="32"/>
    </row>
    <row r="35" spans="1:11" x14ac:dyDescent="0.25">
      <c r="A35" s="21"/>
      <c r="B35" s="20" t="str">
        <f>B17</f>
        <v>-for flooring</v>
      </c>
      <c r="C35" s="21">
        <f>C17</f>
        <v>1</v>
      </c>
      <c r="D35" s="22">
        <f>D17</f>
        <v>2.9574215178299301</v>
      </c>
      <c r="E35" s="22">
        <f>E17</f>
        <v>2.9574215178299301</v>
      </c>
      <c r="F35" s="22">
        <v>7.4999999999999997E-2</v>
      </c>
      <c r="G35" s="22">
        <f>PRODUCT(C35:F35)</f>
        <v>0.6559756525592616</v>
      </c>
      <c r="H35" s="21"/>
      <c r="I35" s="21"/>
      <c r="J35" s="21"/>
      <c r="K35" s="21"/>
    </row>
    <row r="36" spans="1:11" x14ac:dyDescent="0.25">
      <c r="A36" s="21"/>
      <c r="B36" s="20" t="str">
        <f>B18</f>
        <v>-deduction for placement of God</v>
      </c>
      <c r="C36" s="21">
        <f>C18</f>
        <v>-1</v>
      </c>
      <c r="D36" s="22">
        <f>D18</f>
        <v>2.9574215178299301</v>
      </c>
      <c r="E36" s="22">
        <f>E18</f>
        <v>1.8287107589149649</v>
      </c>
      <c r="F36" s="22">
        <v>7.4999999999999997E-2</v>
      </c>
      <c r="G36" s="22">
        <f>PRODUCT(C36:F36)</f>
        <v>-0.40562014112266642</v>
      </c>
      <c r="H36" s="21"/>
      <c r="I36" s="21"/>
      <c r="J36" s="21"/>
      <c r="K36" s="21"/>
    </row>
    <row r="37" spans="1:11" ht="15" customHeight="1" x14ac:dyDescent="0.25">
      <c r="A37" s="12"/>
      <c r="B37" s="13" t="s">
        <v>16</v>
      </c>
      <c r="C37" s="14"/>
      <c r="D37" s="1"/>
      <c r="E37" s="15"/>
      <c r="F37" s="15"/>
      <c r="G37" s="2">
        <f>SUM(G35:G36)</f>
        <v>0.25035551143659518</v>
      </c>
      <c r="H37" s="16" t="s">
        <v>28</v>
      </c>
      <c r="I37" s="2">
        <v>12884.61</v>
      </c>
      <c r="J37" s="17">
        <f>G37*I37</f>
        <v>3225.7331262110688</v>
      </c>
      <c r="K37" s="15"/>
    </row>
    <row r="38" spans="1:11" x14ac:dyDescent="0.25">
      <c r="A38" s="19"/>
      <c r="B38" s="20" t="s">
        <v>32</v>
      </c>
      <c r="C38" s="21"/>
      <c r="D38" s="22"/>
      <c r="E38" s="22"/>
      <c r="F38" s="22"/>
      <c r="G38" s="22"/>
      <c r="H38" s="21"/>
      <c r="I38" s="21"/>
      <c r="J38" s="17">
        <f>0.13*G37*4169.92</f>
        <v>135.7151190524593</v>
      </c>
      <c r="K38" s="21"/>
    </row>
    <row r="39" spans="1:11" x14ac:dyDescent="0.25">
      <c r="A39" s="19"/>
      <c r="B39" s="20" t="s">
        <v>33</v>
      </c>
      <c r="C39" s="21"/>
      <c r="D39" s="22"/>
      <c r="E39" s="22"/>
      <c r="F39" s="22"/>
      <c r="G39" s="22"/>
      <c r="H39" s="21"/>
      <c r="I39" s="21"/>
      <c r="J39" s="17">
        <f>0.13*G37*(1652.5+1106.96)</f>
        <v>89.809982546547502</v>
      </c>
      <c r="K39" s="21"/>
    </row>
    <row r="40" spans="1:11" x14ac:dyDescent="0.25">
      <c r="A40" s="19"/>
      <c r="B40" s="20" t="s">
        <v>31</v>
      </c>
      <c r="C40" s="21"/>
      <c r="D40" s="22"/>
      <c r="E40" s="22"/>
      <c r="F40" s="22"/>
      <c r="G40" s="22"/>
      <c r="H40" s="21"/>
      <c r="I40" s="21"/>
      <c r="J40" s="17">
        <f>0.13*G37*1414.16</f>
        <v>46.025557506912811</v>
      </c>
      <c r="K40" s="21"/>
    </row>
    <row r="41" spans="1:11" x14ac:dyDescent="0.25">
      <c r="A41" s="21"/>
      <c r="B41" s="20" t="s">
        <v>36</v>
      </c>
      <c r="C41" s="21"/>
      <c r="D41" s="22"/>
      <c r="E41" s="22"/>
      <c r="F41" s="22"/>
      <c r="G41" s="22"/>
      <c r="H41" s="21"/>
      <c r="I41" s="21"/>
      <c r="J41" s="17">
        <f>0.13*G37*36.4</f>
        <v>1.1846822801179684</v>
      </c>
      <c r="K41" s="21"/>
    </row>
    <row r="42" spans="1:11" x14ac:dyDescent="0.25">
      <c r="A42" s="21"/>
      <c r="B42" s="20" t="s">
        <v>36</v>
      </c>
      <c r="C42" s="21"/>
      <c r="D42" s="22"/>
      <c r="E42" s="22"/>
      <c r="F42" s="22"/>
      <c r="G42" s="22"/>
      <c r="H42" s="21"/>
      <c r="I42" s="21"/>
      <c r="J42" s="17">
        <f>0.13*G37*392.92</f>
        <v>12.788059381976707</v>
      </c>
      <c r="K42" s="21"/>
    </row>
    <row r="43" spans="1:11" x14ac:dyDescent="0.25">
      <c r="A43" s="21"/>
      <c r="B43" s="20" t="s">
        <v>36</v>
      </c>
      <c r="C43" s="21"/>
      <c r="D43" s="22"/>
      <c r="E43" s="22"/>
      <c r="F43" s="22"/>
      <c r="G43" s="22"/>
      <c r="H43" s="21"/>
      <c r="I43" s="21"/>
      <c r="J43" s="17">
        <f>0.13*G37*14.15</f>
        <v>0.46052896328761683</v>
      </c>
      <c r="K43" s="21"/>
    </row>
    <row r="44" spans="1:11" x14ac:dyDescent="0.25">
      <c r="A44" s="21"/>
      <c r="B44" s="21"/>
      <c r="C44" s="21"/>
      <c r="D44" s="22"/>
      <c r="E44" s="22"/>
      <c r="F44" s="22"/>
      <c r="G44" s="22"/>
      <c r="H44" s="21"/>
      <c r="I44" s="21"/>
      <c r="J44" s="21"/>
      <c r="K44" s="21"/>
    </row>
    <row r="45" spans="1:11" s="38" customFormat="1" ht="30" x14ac:dyDescent="0.2">
      <c r="A45" s="19">
        <v>5</v>
      </c>
      <c r="B45" s="11" t="s">
        <v>43</v>
      </c>
      <c r="C45" s="32"/>
      <c r="D45" s="33"/>
      <c r="E45" s="33"/>
      <c r="F45" s="33"/>
      <c r="G45" s="33"/>
      <c r="H45" s="32"/>
      <c r="I45" s="32"/>
      <c r="J45" s="32"/>
      <c r="K45" s="32"/>
    </row>
    <row r="46" spans="1:11" x14ac:dyDescent="0.25">
      <c r="A46" s="21"/>
      <c r="B46" s="20" t="str">
        <f>B24</f>
        <v>-for foundation</v>
      </c>
      <c r="C46" s="21">
        <v>4</v>
      </c>
      <c r="D46" s="22">
        <f>Sheet1!B4</f>
        <v>1.5</v>
      </c>
      <c r="E46" s="22">
        <f>Sheet1!C4</f>
        <v>1.5</v>
      </c>
      <c r="F46" s="22">
        <f>Sheet1!G4</f>
        <v>0.35</v>
      </c>
      <c r="G46" s="22">
        <f>PRODUCT(C46:F46)</f>
        <v>3.15</v>
      </c>
      <c r="H46" s="21"/>
      <c r="I46" s="21"/>
      <c r="J46" s="21"/>
      <c r="K46" s="21"/>
    </row>
    <row r="47" spans="1:11" x14ac:dyDescent="0.25">
      <c r="A47" s="21"/>
      <c r="B47" s="20" t="s">
        <v>58</v>
      </c>
      <c r="C47" s="21">
        <v>4</v>
      </c>
      <c r="D47" s="22">
        <f>Sheet1!O4</f>
        <v>0.35</v>
      </c>
      <c r="E47" s="22">
        <f>Sheet1!O4</f>
        <v>0.35</v>
      </c>
      <c r="F47" s="22">
        <f>Sheet1!P4</f>
        <v>1.3699999999999999</v>
      </c>
      <c r="G47" s="22">
        <f>PRODUCT(C47:F47)</f>
        <v>0.6712999999999999</v>
      </c>
      <c r="H47" s="21"/>
      <c r="I47" s="21"/>
      <c r="J47" s="21"/>
      <c r="K47" s="21"/>
    </row>
    <row r="48" spans="1:11" x14ac:dyDescent="0.25">
      <c r="A48" s="21"/>
      <c r="B48" s="20" t="s">
        <v>57</v>
      </c>
      <c r="C48" s="21">
        <f>C25</f>
        <v>4</v>
      </c>
      <c r="D48" s="22">
        <f>Sheet1!R4</f>
        <v>2.9574215178299301</v>
      </c>
      <c r="E48" s="22">
        <f>Sheet1!S4</f>
        <v>0.23</v>
      </c>
      <c r="F48" s="22">
        <f>Sheet1!T4</f>
        <v>0.23</v>
      </c>
      <c r="G48" s="22">
        <f>PRODUCT(C48:F48)</f>
        <v>0.62579039317281326</v>
      </c>
      <c r="H48" s="21"/>
      <c r="I48" s="21"/>
      <c r="J48" s="21"/>
      <c r="K48" s="21"/>
    </row>
    <row r="49" spans="1:11" x14ac:dyDescent="0.25">
      <c r="A49" s="21"/>
      <c r="B49" s="20" t="s">
        <v>59</v>
      </c>
      <c r="C49" s="21">
        <v>4</v>
      </c>
      <c r="D49" s="22">
        <f>Sheet1!O4</f>
        <v>0.35</v>
      </c>
      <c r="E49" s="22">
        <f>Sheet1!O4</f>
        <v>0.35</v>
      </c>
      <c r="F49" s="22">
        <f>Sheet1!Q4</f>
        <v>2.715635476988723</v>
      </c>
      <c r="G49" s="22">
        <f t="shared" ref="G49:G53" si="1">PRODUCT(C49:F49)</f>
        <v>1.3306613837244741</v>
      </c>
      <c r="H49" s="21"/>
      <c r="I49" s="21"/>
      <c r="J49" s="21"/>
      <c r="K49" s="21"/>
    </row>
    <row r="50" spans="1:11" x14ac:dyDescent="0.25">
      <c r="A50" s="21"/>
      <c r="B50" s="20" t="s">
        <v>60</v>
      </c>
      <c r="C50" s="21">
        <v>4</v>
      </c>
      <c r="D50" s="22">
        <f>Sheet1!U4</f>
        <v>4.1574215178299303</v>
      </c>
      <c r="E50" s="22">
        <f>E48</f>
        <v>0.23</v>
      </c>
      <c r="F50" s="22">
        <v>0.23</v>
      </c>
      <c r="G50" s="22">
        <f t="shared" si="1"/>
        <v>0.8797103931728133</v>
      </c>
      <c r="H50" s="21"/>
      <c r="I50" s="21"/>
      <c r="J50" s="21"/>
      <c r="K50" s="21"/>
    </row>
    <row r="51" spans="1:11" x14ac:dyDescent="0.25">
      <c r="A51" s="21"/>
      <c r="B51" s="20" t="s">
        <v>95</v>
      </c>
      <c r="C51" s="21">
        <v>1</v>
      </c>
      <c r="D51" s="22">
        <f>Sheet1!H4</f>
        <v>3.6574215178299299</v>
      </c>
      <c r="E51" s="22">
        <f>Sheet1!I4</f>
        <v>3.6574215178299299</v>
      </c>
      <c r="F51" s="22">
        <v>0.125</v>
      </c>
      <c r="G51" s="22">
        <f t="shared" si="1"/>
        <v>1.6720915198856734</v>
      </c>
      <c r="H51" s="21"/>
      <c r="I51" s="21"/>
      <c r="J51" s="21"/>
      <c r="K51" s="21"/>
    </row>
    <row r="52" spans="1:11" x14ac:dyDescent="0.25">
      <c r="A52" s="21"/>
      <c r="B52" s="20" t="s">
        <v>68</v>
      </c>
      <c r="C52" s="21">
        <v>2</v>
      </c>
      <c r="D52" s="22">
        <f>Sheet1!H4</f>
        <v>3.6574215178299299</v>
      </c>
      <c r="E52" s="22">
        <v>0.6</v>
      </c>
      <c r="F52" s="22">
        <v>0.125</v>
      </c>
      <c r="G52" s="22">
        <f t="shared" si="1"/>
        <v>0.5486132276744895</v>
      </c>
      <c r="H52" s="21"/>
      <c r="I52" s="21"/>
      <c r="J52" s="21"/>
      <c r="K52" s="21"/>
    </row>
    <row r="53" spans="1:11" x14ac:dyDescent="0.25">
      <c r="A53" s="21"/>
      <c r="B53" s="20"/>
      <c r="C53" s="21">
        <v>2</v>
      </c>
      <c r="D53" s="22">
        <f>(Sheet1!H4+E52*2)</f>
        <v>4.8574215178299296</v>
      </c>
      <c r="E53" s="22">
        <v>0.6</v>
      </c>
      <c r="F53" s="22">
        <v>0.125</v>
      </c>
      <c r="G53" s="22">
        <f t="shared" si="1"/>
        <v>0.72861322767448944</v>
      </c>
      <c r="H53" s="21"/>
      <c r="I53" s="21"/>
      <c r="J53" s="21"/>
      <c r="K53" s="21"/>
    </row>
    <row r="54" spans="1:11" x14ac:dyDescent="0.25">
      <c r="A54" s="21"/>
      <c r="B54" s="20" t="s">
        <v>67</v>
      </c>
      <c r="C54" s="21">
        <v>4</v>
      </c>
      <c r="D54" s="22">
        <f>7.75/3.281</f>
        <v>2.3620847302651629</v>
      </c>
      <c r="E54" s="22">
        <f>7.333/3.281</f>
        <v>2.234989332520573</v>
      </c>
      <c r="F54" s="22">
        <v>7.4999999999999997E-2</v>
      </c>
      <c r="G54" s="22">
        <f>PRODUCT(C54:F54)</f>
        <v>1.5837702523957122</v>
      </c>
      <c r="H54" s="21"/>
      <c r="I54" s="21"/>
      <c r="J54" s="21"/>
      <c r="K54" s="21"/>
    </row>
    <row r="55" spans="1:11" ht="15" customHeight="1" x14ac:dyDescent="0.25">
      <c r="A55" s="12"/>
      <c r="B55" s="13" t="s">
        <v>16</v>
      </c>
      <c r="C55" s="14"/>
      <c r="D55" s="1"/>
      <c r="E55" s="15"/>
      <c r="F55" s="15"/>
      <c r="G55" s="2">
        <f>SUM(G46:G54)</f>
        <v>11.190550397700466</v>
      </c>
      <c r="H55" s="16" t="s">
        <v>28</v>
      </c>
      <c r="I55" s="2">
        <v>13957.29</v>
      </c>
      <c r="J55" s="17">
        <f>G55*I55</f>
        <v>156189.75716032076</v>
      </c>
      <c r="K55" s="15"/>
    </row>
    <row r="56" spans="1:11" x14ac:dyDescent="0.25">
      <c r="A56" s="19"/>
      <c r="B56" s="20" t="s">
        <v>32</v>
      </c>
      <c r="C56" s="21"/>
      <c r="D56" s="22"/>
      <c r="E56" s="22"/>
      <c r="F56" s="22"/>
      <c r="G56" s="22"/>
      <c r="H56" s="21"/>
      <c r="I56" s="21"/>
      <c r="J56" s="17">
        <f>0.13*G55*5212.4</f>
        <v>7582.851236086608</v>
      </c>
      <c r="K56" s="21"/>
    </row>
    <row r="57" spans="1:11" x14ac:dyDescent="0.25">
      <c r="A57" s="19"/>
      <c r="B57" s="20" t="s">
        <v>33</v>
      </c>
      <c r="C57" s="21"/>
      <c r="D57" s="22"/>
      <c r="E57" s="22"/>
      <c r="F57" s="22"/>
      <c r="G57" s="22"/>
      <c r="H57" s="21"/>
      <c r="I57" s="21"/>
      <c r="J57" s="17">
        <f>0.13*G55*(1912.03+921.59)</f>
        <v>4122.2697643311594</v>
      </c>
      <c r="K57" s="21"/>
    </row>
    <row r="58" spans="1:11" x14ac:dyDescent="0.25">
      <c r="A58" s="19"/>
      <c r="B58" s="20" t="s">
        <v>31</v>
      </c>
      <c r="C58" s="21"/>
      <c r="D58" s="22"/>
      <c r="E58" s="22"/>
      <c r="F58" s="22"/>
      <c r="G58" s="22"/>
      <c r="H58" s="21"/>
      <c r="I58" s="21"/>
      <c r="J58" s="17">
        <f>0.13*G55*1350.6</f>
        <v>1964.8144577274525</v>
      </c>
      <c r="K58" s="21"/>
    </row>
    <row r="59" spans="1:11" x14ac:dyDescent="0.25">
      <c r="A59" s="21"/>
      <c r="B59" s="20" t="s">
        <v>36</v>
      </c>
      <c r="C59" s="21"/>
      <c r="D59" s="22"/>
      <c r="E59" s="22"/>
      <c r="F59" s="22"/>
      <c r="G59" s="22"/>
      <c r="H59" s="21"/>
      <c r="I59" s="21"/>
      <c r="J59" s="17">
        <f>0.13*G55*56</f>
        <v>81.467206895259395</v>
      </c>
      <c r="K59" s="21"/>
    </row>
    <row r="60" spans="1:11" x14ac:dyDescent="0.25">
      <c r="A60" s="19"/>
      <c r="B60" s="20" t="s">
        <v>44</v>
      </c>
      <c r="C60" s="21"/>
      <c r="D60" s="22"/>
      <c r="E60" s="22"/>
      <c r="F60" s="22"/>
      <c r="G60" s="22"/>
      <c r="H60" s="21"/>
      <c r="I60" s="21"/>
      <c r="J60" s="17">
        <f>0.13*G55*392.92</f>
        <v>571.60883809438076</v>
      </c>
      <c r="K60" s="21"/>
    </row>
    <row r="61" spans="1:11" x14ac:dyDescent="0.25">
      <c r="A61" s="21"/>
      <c r="B61" s="20" t="s">
        <v>45</v>
      </c>
      <c r="C61" s="21"/>
      <c r="D61" s="22"/>
      <c r="E61" s="22"/>
      <c r="F61" s="22"/>
      <c r="G61" s="22"/>
      <c r="H61" s="21"/>
      <c r="I61" s="21"/>
      <c r="J61" s="17">
        <f>0.13*G55*14.15</f>
        <v>20.585017456570007</v>
      </c>
      <c r="K61" s="21"/>
    </row>
    <row r="62" spans="1:11" x14ac:dyDescent="0.25">
      <c r="A62" s="21"/>
      <c r="B62" s="21"/>
      <c r="C62" s="21"/>
      <c r="D62" s="22"/>
      <c r="E62" s="22"/>
      <c r="F62" s="22"/>
      <c r="G62" s="22"/>
      <c r="H62" s="21"/>
      <c r="I62" s="21"/>
      <c r="J62" s="21"/>
      <c r="K62" s="21"/>
    </row>
    <row r="63" spans="1:11" s="38" customFormat="1" ht="30" x14ac:dyDescent="0.2">
      <c r="A63" s="19">
        <v>6</v>
      </c>
      <c r="B63" s="11" t="s">
        <v>46</v>
      </c>
      <c r="C63" s="32"/>
      <c r="D63" s="33"/>
      <c r="E63" s="33"/>
      <c r="F63" s="33"/>
      <c r="G63" s="33"/>
      <c r="H63" s="32"/>
      <c r="I63" s="32"/>
      <c r="J63" s="32"/>
      <c r="K63" s="32"/>
    </row>
    <row r="64" spans="1:11" x14ac:dyDescent="0.25">
      <c r="A64" s="21"/>
      <c r="B64" s="20" t="str">
        <f>B47</f>
        <v>-for neck column</v>
      </c>
      <c r="C64" s="21">
        <f>C47</f>
        <v>4</v>
      </c>
      <c r="D64" s="22">
        <f>D47</f>
        <v>0.35</v>
      </c>
      <c r="E64" s="22"/>
      <c r="F64" s="22">
        <f>Sheet1!P4</f>
        <v>1.3699999999999999</v>
      </c>
      <c r="G64" s="22">
        <f>PRODUCT(C64:F64)</f>
        <v>1.9179999999999997</v>
      </c>
      <c r="H64" s="21"/>
      <c r="I64" s="21"/>
      <c r="J64" s="21"/>
      <c r="K64" s="21"/>
    </row>
    <row r="65" spans="1:11" x14ac:dyDescent="0.25">
      <c r="A65" s="21"/>
      <c r="B65" s="20" t="str">
        <f t="shared" ref="B65:C68" si="2">B48</f>
        <v>-for tie beam</v>
      </c>
      <c r="C65" s="21">
        <f t="shared" si="2"/>
        <v>4</v>
      </c>
      <c r="D65" s="22">
        <f>Sheet1!R4</f>
        <v>2.9574215178299301</v>
      </c>
      <c r="E65" s="22"/>
      <c r="F65" s="22">
        <f>Sheet1!T4*2</f>
        <v>0.46</v>
      </c>
      <c r="G65" s="22">
        <f>PRODUCT(C65:F65)</f>
        <v>5.4416555928070718</v>
      </c>
      <c r="H65" s="21"/>
      <c r="I65" s="21"/>
      <c r="J65" s="21"/>
      <c r="K65" s="21"/>
    </row>
    <row r="66" spans="1:11" x14ac:dyDescent="0.25">
      <c r="A66" s="21"/>
      <c r="B66" s="20" t="str">
        <f t="shared" si="2"/>
        <v>-GF column</v>
      </c>
      <c r="C66" s="21">
        <f t="shared" si="2"/>
        <v>4</v>
      </c>
      <c r="D66" s="22">
        <f>0.35*4</f>
        <v>1.4</v>
      </c>
      <c r="E66" s="22"/>
      <c r="F66" s="22">
        <f>Sheet1!Q4</f>
        <v>2.715635476988723</v>
      </c>
      <c r="G66" s="22">
        <f t="shared" ref="G66:G69" si="3">PRODUCT(C66:F66)</f>
        <v>15.207558671136848</v>
      </c>
      <c r="H66" s="21"/>
      <c r="I66" s="21"/>
      <c r="J66" s="21"/>
      <c r="K66" s="21"/>
    </row>
    <row r="67" spans="1:11" x14ac:dyDescent="0.25">
      <c r="A67" s="21"/>
      <c r="B67" s="20" t="str">
        <f t="shared" si="2"/>
        <v>-for beam</v>
      </c>
      <c r="C67" s="21">
        <f t="shared" si="2"/>
        <v>4</v>
      </c>
      <c r="D67" s="22">
        <f>D50</f>
        <v>4.1574215178299303</v>
      </c>
      <c r="E67" s="22"/>
      <c r="F67" s="22">
        <f>0.23*2</f>
        <v>0.46</v>
      </c>
      <c r="G67" s="22">
        <f t="shared" si="3"/>
        <v>7.649655592807072</v>
      </c>
      <c r="H67" s="21"/>
      <c r="I67" s="21"/>
      <c r="J67" s="21"/>
      <c r="K67" s="21"/>
    </row>
    <row r="68" spans="1:11" x14ac:dyDescent="0.25">
      <c r="A68" s="21"/>
      <c r="B68" s="20" t="str">
        <f t="shared" si="2"/>
        <v>-for slab</v>
      </c>
      <c r="C68" s="21">
        <f t="shared" si="2"/>
        <v>1</v>
      </c>
      <c r="D68" s="22">
        <f>D51</f>
        <v>3.6574215178299299</v>
      </c>
      <c r="E68" s="22">
        <f>E51</f>
        <v>3.6574215178299299</v>
      </c>
      <c r="F68" s="22"/>
      <c r="G68" s="22">
        <f t="shared" si="3"/>
        <v>13.376732159085387</v>
      </c>
      <c r="H68" s="21"/>
      <c r="I68" s="21"/>
      <c r="J68" s="21"/>
      <c r="K68" s="21"/>
    </row>
    <row r="69" spans="1:11" x14ac:dyDescent="0.25">
      <c r="A69" s="21"/>
      <c r="B69" s="20" t="str">
        <f>B54</f>
        <v>-for inclined slab</v>
      </c>
      <c r="C69" s="21">
        <f>C54</f>
        <v>4</v>
      </c>
      <c r="D69" s="22">
        <f>D54</f>
        <v>2.3620847302651629</v>
      </c>
      <c r="E69" s="22">
        <f>E54</f>
        <v>2.234989332520573</v>
      </c>
      <c r="F69" s="22"/>
      <c r="G69" s="22">
        <f t="shared" si="3"/>
        <v>21.116936698609496</v>
      </c>
      <c r="H69" s="21"/>
      <c r="I69" s="21"/>
      <c r="J69" s="21"/>
      <c r="K69" s="21"/>
    </row>
    <row r="70" spans="1:11" x14ac:dyDescent="0.25">
      <c r="A70" s="21"/>
      <c r="B70" s="20" t="str">
        <f>B52</f>
        <v>-for cantilever</v>
      </c>
      <c r="C70" s="21">
        <f>C52</f>
        <v>2</v>
      </c>
      <c r="D70" s="22">
        <f>D52</f>
        <v>3.6574215178299299</v>
      </c>
      <c r="E70" s="22">
        <f>E52</f>
        <v>0.6</v>
      </c>
      <c r="F70" s="22"/>
      <c r="G70" s="22">
        <f t="shared" ref="G70:G71" si="4">PRODUCT(C70:F70)</f>
        <v>4.388905821395916</v>
      </c>
      <c r="H70" s="21"/>
      <c r="I70" s="21"/>
      <c r="J70" s="21"/>
      <c r="K70" s="21"/>
    </row>
    <row r="71" spans="1:11" x14ac:dyDescent="0.25">
      <c r="A71" s="21"/>
      <c r="B71" s="20"/>
      <c r="C71" s="21">
        <f>C53</f>
        <v>2</v>
      </c>
      <c r="D71" s="22">
        <f>D53</f>
        <v>4.8574215178299296</v>
      </c>
      <c r="E71" s="22">
        <f>E53</f>
        <v>0.6</v>
      </c>
      <c r="F71" s="22"/>
      <c r="G71" s="22">
        <f t="shared" si="4"/>
        <v>5.8289058213959155</v>
      </c>
      <c r="H71" s="21"/>
      <c r="I71" s="21"/>
      <c r="J71" s="21"/>
      <c r="K71" s="21"/>
    </row>
    <row r="72" spans="1:11" ht="15" customHeight="1" x14ac:dyDescent="0.25">
      <c r="A72" s="12"/>
      <c r="B72" s="13" t="s">
        <v>16</v>
      </c>
      <c r="C72" s="14"/>
      <c r="D72" s="1"/>
      <c r="E72" s="15"/>
      <c r="F72" s="15"/>
      <c r="G72" s="2">
        <f>SUM(G64:G71)</f>
        <v>74.928350357237719</v>
      </c>
      <c r="H72" s="16" t="s">
        <v>34</v>
      </c>
      <c r="I72" s="2">
        <v>922.71</v>
      </c>
      <c r="J72" s="17">
        <f>G72*I72</f>
        <v>69137.138158126822</v>
      </c>
      <c r="K72" s="15"/>
    </row>
    <row r="73" spans="1:11" x14ac:dyDescent="0.25">
      <c r="A73" s="19"/>
      <c r="B73" s="20" t="s">
        <v>47</v>
      </c>
      <c r="C73" s="21"/>
      <c r="D73" s="22"/>
      <c r="E73" s="22"/>
      <c r="F73" s="22"/>
      <c r="G73" s="22"/>
      <c r="H73" s="21"/>
      <c r="I73" s="21"/>
      <c r="J73" s="17">
        <f>0.13*G72*20062.02/100</f>
        <v>1954.1782824640834</v>
      </c>
      <c r="K73" s="21"/>
    </row>
    <row r="74" spans="1:11" x14ac:dyDescent="0.25">
      <c r="A74" s="19"/>
      <c r="B74" s="20" t="s">
        <v>48</v>
      </c>
      <c r="C74" s="21"/>
      <c r="D74" s="22"/>
      <c r="E74" s="22"/>
      <c r="F74" s="22"/>
      <c r="G74" s="22"/>
      <c r="H74" s="21"/>
      <c r="I74" s="21"/>
      <c r="J74" s="17">
        <f>0.13*G72*13328.25/100</f>
        <v>1298.2629213435098</v>
      </c>
      <c r="K74" s="21"/>
    </row>
    <row r="75" spans="1:11" x14ac:dyDescent="0.25">
      <c r="A75" s="19"/>
      <c r="B75" s="20" t="s">
        <v>49</v>
      </c>
      <c r="C75" s="21"/>
      <c r="D75" s="22"/>
      <c r="E75" s="22"/>
      <c r="F75" s="22"/>
      <c r="G75" s="22"/>
      <c r="H75" s="21"/>
      <c r="I75" s="21"/>
      <c r="J75" s="17">
        <f>0.13*G72*10137.6/100</f>
        <v>987.47173795599315</v>
      </c>
      <c r="K75" s="21"/>
    </row>
    <row r="76" spans="1:11" x14ac:dyDescent="0.25">
      <c r="A76" s="21"/>
      <c r="B76" s="20" t="s">
        <v>50</v>
      </c>
      <c r="C76" s="21"/>
      <c r="D76" s="22"/>
      <c r="E76" s="22"/>
      <c r="F76" s="22"/>
      <c r="G76" s="22"/>
      <c r="H76" s="21"/>
      <c r="I76" s="21"/>
      <c r="J76" s="17">
        <f>0.13*G72*3300/100</f>
        <v>321.44262303254982</v>
      </c>
      <c r="K76" s="21"/>
    </row>
    <row r="77" spans="1:11" x14ac:dyDescent="0.25">
      <c r="A77" s="21"/>
      <c r="B77" s="21"/>
      <c r="C77" s="21"/>
      <c r="D77" s="22"/>
      <c r="E77" s="22"/>
      <c r="F77" s="22"/>
      <c r="G77" s="22"/>
      <c r="H77" s="21"/>
      <c r="I77" s="21"/>
      <c r="J77" s="21"/>
      <c r="K77" s="21"/>
    </row>
    <row r="78" spans="1:11" s="38" customFormat="1" ht="45" x14ac:dyDescent="0.25">
      <c r="A78" s="19">
        <v>7</v>
      </c>
      <c r="B78" s="23" t="s">
        <v>37</v>
      </c>
      <c r="C78" s="32" t="s">
        <v>7</v>
      </c>
      <c r="D78" s="42" t="s">
        <v>27</v>
      </c>
      <c r="E78" s="42" t="s">
        <v>40</v>
      </c>
      <c r="F78" s="42" t="s">
        <v>41</v>
      </c>
      <c r="G78" s="33"/>
      <c r="H78" s="32"/>
      <c r="I78" s="32"/>
      <c r="J78" s="32"/>
      <c r="K78" s="32"/>
    </row>
    <row r="79" spans="1:11" x14ac:dyDescent="0.25">
      <c r="A79" s="21"/>
      <c r="B79" s="20" t="str">
        <f>B46</f>
        <v>-for foundation</v>
      </c>
      <c r="C79" s="21">
        <f>TRUNC((E46-0.1)/0.15,0)+1</f>
        <v>10</v>
      </c>
      <c r="D79" s="22">
        <f>1.5</f>
        <v>1.5</v>
      </c>
      <c r="E79" s="22">
        <f>12*12/162</f>
        <v>0.88888888888888884</v>
      </c>
      <c r="F79" s="22">
        <f>PRODUCT(C79:E79)</f>
        <v>13.333333333333332</v>
      </c>
      <c r="G79" s="22">
        <f>F79/1000</f>
        <v>1.3333333333333332E-2</v>
      </c>
      <c r="H79" s="21"/>
      <c r="I79" s="21"/>
      <c r="J79" s="21"/>
      <c r="K79" s="21"/>
    </row>
    <row r="80" spans="1:11" x14ac:dyDescent="0.25">
      <c r="A80" s="21"/>
      <c r="B80" s="20"/>
      <c r="C80" s="21">
        <f>TRUNC((D46-0.1)/0.15,0)+1</f>
        <v>10</v>
      </c>
      <c r="D80" s="22">
        <v>1.5</v>
      </c>
      <c r="E80" s="22">
        <f>12*12/162</f>
        <v>0.88888888888888884</v>
      </c>
      <c r="F80" s="22">
        <f t="shared" ref="F80:F91" si="5">PRODUCT(C80:E80)</f>
        <v>13.333333333333332</v>
      </c>
      <c r="G80" s="22">
        <f t="shared" ref="G80:G91" si="6">F80/1000</f>
        <v>1.3333333333333332E-2</v>
      </c>
      <c r="H80" s="21"/>
      <c r="I80" s="21"/>
      <c r="J80" s="21"/>
      <c r="K80" s="21"/>
    </row>
    <row r="81" spans="1:11" x14ac:dyDescent="0.25">
      <c r="A81" s="21"/>
      <c r="B81" s="20" t="s">
        <v>64</v>
      </c>
      <c r="C81" s="21">
        <f>4*4</f>
        <v>16</v>
      </c>
      <c r="D81" s="22">
        <f>(9.33+1.5+5-0.17*2)/3.281+0.3+0.45</f>
        <v>5.4711216092654675</v>
      </c>
      <c r="E81" s="22">
        <f t="shared" ref="E81" si="7">12*12/162</f>
        <v>0.88888888888888884</v>
      </c>
      <c r="F81" s="22">
        <f t="shared" si="5"/>
        <v>77.81150733177553</v>
      </c>
      <c r="G81" s="22">
        <f t="shared" si="6"/>
        <v>7.7811507331775526E-2</v>
      </c>
      <c r="H81" s="21"/>
      <c r="I81" s="21"/>
      <c r="J81" s="21"/>
      <c r="K81" s="21"/>
    </row>
    <row r="82" spans="1:11" x14ac:dyDescent="0.25">
      <c r="A82" s="21"/>
      <c r="B82" s="20"/>
      <c r="C82" s="21">
        <f>4*4</f>
        <v>16</v>
      </c>
      <c r="D82" s="22">
        <f>(9.333+1.5+5-0.17*2)/3.281+0.3+0.45</f>
        <v>5.4720359646449248</v>
      </c>
      <c r="E82" s="22">
        <f>16*16/162</f>
        <v>1.5802469135802468</v>
      </c>
      <c r="F82" s="22">
        <f t="shared" si="5"/>
        <v>138.35468710608401</v>
      </c>
      <c r="G82" s="22">
        <f t="shared" si="6"/>
        <v>0.13835468710608401</v>
      </c>
      <c r="H82" s="21"/>
      <c r="I82" s="21"/>
      <c r="J82" s="21"/>
      <c r="K82" s="21"/>
    </row>
    <row r="83" spans="1:11" x14ac:dyDescent="0.25">
      <c r="A83" s="21"/>
      <c r="B83" s="20" t="s">
        <v>65</v>
      </c>
      <c r="C83" s="21">
        <f>4*(TRUNC((D82-0.45-0.45-0.35-0.23)/0.15,0)+1)</f>
        <v>108</v>
      </c>
      <c r="D83" s="22">
        <f>0.917*4/3.281</f>
        <v>1.1179518439500153</v>
      </c>
      <c r="E83" s="22">
        <f>8*8/162</f>
        <v>0.39506172839506171</v>
      </c>
      <c r="F83" s="22">
        <f t="shared" si="5"/>
        <v>47.699278675200652</v>
      </c>
      <c r="G83" s="22">
        <f t="shared" si="6"/>
        <v>4.769927867520065E-2</v>
      </c>
      <c r="H83" s="21"/>
      <c r="I83" s="21"/>
      <c r="J83" s="21"/>
      <c r="K83" s="21"/>
    </row>
    <row r="84" spans="1:11" x14ac:dyDescent="0.25">
      <c r="A84" s="21"/>
      <c r="B84" s="20"/>
      <c r="C84" s="21">
        <f>4*(TRUNC((D82-0.45-0.45-0.35-0.23)/0.15,0)+1)</f>
        <v>108</v>
      </c>
      <c r="D84" s="22">
        <f>0.213*4+0.05*2</f>
        <v>0.95199999999999996</v>
      </c>
      <c r="E84" s="22">
        <f>8*8/162</f>
        <v>0.39506172839506171</v>
      </c>
      <c r="F84" s="22">
        <f t="shared" si="5"/>
        <v>40.618666666666662</v>
      </c>
      <c r="G84" s="22">
        <f t="shared" si="6"/>
        <v>4.0618666666666664E-2</v>
      </c>
      <c r="H84" s="21"/>
      <c r="I84" s="21"/>
      <c r="J84" s="21"/>
      <c r="K84" s="21"/>
    </row>
    <row r="85" spans="1:11" x14ac:dyDescent="0.25">
      <c r="A85" s="21"/>
      <c r="B85" s="20" t="str">
        <f>B65</f>
        <v>-for tie beam</v>
      </c>
      <c r="C85" s="21">
        <f>4*6</f>
        <v>24</v>
      </c>
      <c r="D85" s="22">
        <f>(12+0.75*2-0.17*2)/3.281</f>
        <v>4.01097226455349</v>
      </c>
      <c r="E85" s="22">
        <f>12*12/162</f>
        <v>0.88888888888888884</v>
      </c>
      <c r="F85" s="22">
        <f t="shared" si="5"/>
        <v>85.567408310474448</v>
      </c>
      <c r="G85" s="22">
        <f t="shared" si="6"/>
        <v>8.5567408310474449E-2</v>
      </c>
      <c r="H85" s="21"/>
      <c r="I85" s="21"/>
      <c r="J85" s="21"/>
      <c r="K85" s="21"/>
    </row>
    <row r="86" spans="1:11" x14ac:dyDescent="0.25">
      <c r="A86" s="21"/>
      <c r="B86" s="20" t="s">
        <v>66</v>
      </c>
      <c r="C86" s="21">
        <f>4*(TRUNC((D65-0.1)/0.15,0)+1)</f>
        <v>80</v>
      </c>
      <c r="D86" s="22">
        <f>(0.583*4+0.17*2)/3.281</f>
        <v>0.81438585797013097</v>
      </c>
      <c r="E86" s="22">
        <f>8*8/162</f>
        <v>0.39506172839506171</v>
      </c>
      <c r="F86" s="22">
        <f t="shared" si="5"/>
        <v>25.738614770414014</v>
      </c>
      <c r="G86" s="22">
        <f t="shared" si="6"/>
        <v>2.5738614770414014E-2</v>
      </c>
      <c r="H86" s="21"/>
      <c r="I86" s="21"/>
      <c r="J86" s="21"/>
      <c r="K86" s="21"/>
    </row>
    <row r="87" spans="1:11" x14ac:dyDescent="0.25">
      <c r="A87" s="21"/>
      <c r="B87" s="20" t="str">
        <f>B67</f>
        <v>-for beam</v>
      </c>
      <c r="C87" s="21">
        <f>4*6</f>
        <v>24</v>
      </c>
      <c r="D87" s="22">
        <f>Sheet1!H4+((0.75*2-0.17*2)/3.281)</f>
        <v>4.01097226455349</v>
      </c>
      <c r="E87" s="22">
        <f>12*12/162</f>
        <v>0.88888888888888884</v>
      </c>
      <c r="F87" s="22">
        <f t="shared" si="5"/>
        <v>85.567408310474448</v>
      </c>
      <c r="G87" s="22">
        <f t="shared" si="6"/>
        <v>8.5567408310474449E-2</v>
      </c>
      <c r="H87" s="21"/>
      <c r="I87" s="21"/>
      <c r="J87" s="21"/>
      <c r="K87" s="21"/>
    </row>
    <row r="88" spans="1:11" x14ac:dyDescent="0.25">
      <c r="A88" s="21"/>
      <c r="B88" s="20" t="s">
        <v>66</v>
      </c>
      <c r="C88" s="21">
        <f>4*(TRUNC((D67-0.1)/0.15,0)+1)</f>
        <v>112</v>
      </c>
      <c r="D88" s="22">
        <f>(0.583*4+0.17*2)/3.281</f>
        <v>0.81438585797013097</v>
      </c>
      <c r="E88" s="22">
        <f>8*8/162</f>
        <v>0.39506172839506171</v>
      </c>
      <c r="F88" s="22">
        <f t="shared" si="5"/>
        <v>36.034060678579621</v>
      </c>
      <c r="G88" s="22">
        <f t="shared" si="6"/>
        <v>3.6034060678579623E-2</v>
      </c>
      <c r="H88" s="21"/>
      <c r="I88" s="21"/>
      <c r="J88" s="21"/>
      <c r="K88" s="21"/>
    </row>
    <row r="89" spans="1:11" x14ac:dyDescent="0.25">
      <c r="A89" s="21"/>
      <c r="B89" s="20" t="str">
        <f>B68</f>
        <v>-for slab</v>
      </c>
      <c r="C89" s="21">
        <f>2*2*(TRUNC((Sheet1!H4+0.6*2-0.23*2-0.1)/0.15,0)+1)</f>
        <v>116</v>
      </c>
      <c r="D89" s="22">
        <f>Sheet1!H4+0.6*2</f>
        <v>4.8574215178299296</v>
      </c>
      <c r="E89" s="22">
        <f>8*8/162</f>
        <v>0.39506172839506171</v>
      </c>
      <c r="F89" s="22">
        <f t="shared" si="5"/>
        <v>222.6018354837617</v>
      </c>
      <c r="G89" s="22">
        <f t="shared" si="6"/>
        <v>0.2226018354837617</v>
      </c>
      <c r="H89" s="21"/>
      <c r="I89" s="21"/>
      <c r="J89" s="21"/>
      <c r="K89" s="21"/>
    </row>
    <row r="90" spans="1:11" x14ac:dyDescent="0.25">
      <c r="A90" s="21"/>
      <c r="B90" s="20" t="str">
        <f>B69</f>
        <v>-for inclined slab</v>
      </c>
      <c r="C90" s="21">
        <f>4*(TRUNC(((D91-0.1)/0.15),0)+1)</f>
        <v>60</v>
      </c>
      <c r="D90" s="22">
        <f>D69</f>
        <v>2.3620847302651629</v>
      </c>
      <c r="E90" s="22">
        <f>10*10/162</f>
        <v>0.61728395061728392</v>
      </c>
      <c r="F90" s="22">
        <f t="shared" si="5"/>
        <v>87.484619639450486</v>
      </c>
      <c r="G90" s="22">
        <f t="shared" si="6"/>
        <v>8.7484619639450492E-2</v>
      </c>
      <c r="H90" s="21"/>
      <c r="I90" s="21"/>
      <c r="J90" s="21"/>
      <c r="K90" s="21"/>
    </row>
    <row r="91" spans="1:11" x14ac:dyDescent="0.25">
      <c r="A91" s="21"/>
      <c r="B91" s="20"/>
      <c r="C91" s="21">
        <f>4*(TRUNC(((D90-0.1)/0.15),0)+1)</f>
        <v>64</v>
      </c>
      <c r="D91" s="22">
        <f>E69</f>
        <v>2.234989332520573</v>
      </c>
      <c r="E91" s="22">
        <f>10*10/162</f>
        <v>0.61728395061728392</v>
      </c>
      <c r="F91" s="22">
        <f t="shared" si="5"/>
        <v>88.29587486501029</v>
      </c>
      <c r="G91" s="22">
        <f t="shared" si="6"/>
        <v>8.8295874865010296E-2</v>
      </c>
      <c r="H91" s="21"/>
      <c r="I91" s="21"/>
      <c r="J91" s="21"/>
      <c r="K91" s="21"/>
    </row>
    <row r="92" spans="1:11" ht="15" customHeight="1" x14ac:dyDescent="0.25">
      <c r="A92" s="12"/>
      <c r="B92" s="13" t="s">
        <v>16</v>
      </c>
      <c r="C92" s="14"/>
      <c r="D92" s="1"/>
      <c r="E92" s="15"/>
      <c r="F92" s="15"/>
      <c r="G92" s="2">
        <f>SUM(G79:G91)</f>
        <v>0.96244062850455858</v>
      </c>
      <c r="H92" s="16" t="s">
        <v>42</v>
      </c>
      <c r="I92" s="39">
        <v>132360</v>
      </c>
      <c r="J92" s="43">
        <f>G92*I92</f>
        <v>127388.64158886338</v>
      </c>
      <c r="K92" s="15"/>
    </row>
    <row r="93" spans="1:11" x14ac:dyDescent="0.25">
      <c r="A93" s="19"/>
      <c r="B93" s="20" t="s">
        <v>39</v>
      </c>
      <c r="C93" s="21"/>
      <c r="D93" s="21"/>
      <c r="E93" s="21"/>
      <c r="F93" s="21"/>
      <c r="G93" s="21"/>
      <c r="H93" s="21"/>
      <c r="I93" s="21"/>
      <c r="J93" s="17">
        <f>0.13*G92*105000</f>
        <v>13137.314579087224</v>
      </c>
      <c r="K93" s="21"/>
    </row>
    <row r="94" spans="1:11" x14ac:dyDescent="0.25">
      <c r="A94" s="19"/>
      <c r="B94" s="20" t="s">
        <v>38</v>
      </c>
      <c r="C94" s="21"/>
      <c r="D94" s="21"/>
      <c r="E94" s="21"/>
      <c r="F94" s="21"/>
      <c r="G94" s="21"/>
      <c r="H94" s="21"/>
      <c r="I94" s="21"/>
      <c r="J94" s="17">
        <f>0.13*G92*1200</f>
        <v>150.14073804671114</v>
      </c>
      <c r="K94" s="21"/>
    </row>
    <row r="95" spans="1:11" x14ac:dyDescent="0.25">
      <c r="A95" s="21"/>
      <c r="B95" s="21"/>
      <c r="C95" s="21"/>
      <c r="D95" s="21"/>
      <c r="E95" s="21"/>
      <c r="F95" s="21"/>
      <c r="G95" s="21"/>
      <c r="H95" s="21"/>
      <c r="I95" s="21"/>
      <c r="J95" s="21"/>
      <c r="K95" s="21"/>
    </row>
    <row r="96" spans="1:11" ht="30" x14ac:dyDescent="0.25">
      <c r="A96" s="19">
        <v>8</v>
      </c>
      <c r="B96" s="23" t="s">
        <v>52</v>
      </c>
      <c r="C96" s="21"/>
      <c r="D96" s="21"/>
      <c r="E96" s="21"/>
      <c r="F96" s="21"/>
      <c r="G96" s="21"/>
      <c r="H96" s="21"/>
      <c r="I96" s="21"/>
      <c r="J96" s="21"/>
      <c r="K96" s="21"/>
    </row>
    <row r="97" spans="1:11" x14ac:dyDescent="0.25">
      <c r="A97" s="21"/>
      <c r="B97" s="20" t="s">
        <v>99</v>
      </c>
      <c r="C97" s="44">
        <f>2*2</f>
        <v>4</v>
      </c>
      <c r="D97" s="22">
        <f>Sheet1!H4-0.23</f>
        <v>3.4274215178299299</v>
      </c>
      <c r="E97" s="22"/>
      <c r="F97" s="22">
        <f>Sheet1!Q4-Sheet1!W4</f>
        <v>2.3656354769887229</v>
      </c>
      <c r="G97" s="22">
        <f>PRODUCT(C97:F97)</f>
        <v>32.432119748692074</v>
      </c>
      <c r="H97" s="21"/>
      <c r="I97" s="21"/>
      <c r="J97" s="21"/>
      <c r="K97" s="21"/>
    </row>
    <row r="98" spans="1:11" x14ac:dyDescent="0.25">
      <c r="A98" s="21"/>
      <c r="B98" s="20" t="s">
        <v>112</v>
      </c>
      <c r="C98" s="44">
        <v>4</v>
      </c>
      <c r="D98" s="22">
        <f>D69</f>
        <v>2.3620847302651629</v>
      </c>
      <c r="E98" s="22">
        <f>D98</f>
        <v>2.3620847302651629</v>
      </c>
      <c r="F98" s="22"/>
      <c r="G98" s="22">
        <f>PRODUCT(C98:F98)</f>
        <v>22.31777709180739</v>
      </c>
      <c r="H98" s="21"/>
      <c r="I98" s="21"/>
      <c r="J98" s="21"/>
      <c r="K98" s="21"/>
    </row>
    <row r="99" spans="1:11" ht="15" customHeight="1" x14ac:dyDescent="0.25">
      <c r="A99" s="12"/>
      <c r="B99" s="13" t="s">
        <v>16</v>
      </c>
      <c r="C99" s="14"/>
      <c r="D99" s="1"/>
      <c r="E99" s="15"/>
      <c r="F99" s="15"/>
      <c r="G99" s="2">
        <f>SUM(G97:G98)</f>
        <v>54.74989684049946</v>
      </c>
      <c r="H99" s="16" t="s">
        <v>34</v>
      </c>
      <c r="I99" s="2">
        <v>415.5</v>
      </c>
      <c r="J99" s="17">
        <f>G99*I99</f>
        <v>22748.582137227524</v>
      </c>
      <c r="K99" s="15"/>
    </row>
    <row r="100" spans="1:11" x14ac:dyDescent="0.25">
      <c r="A100" s="19"/>
      <c r="B100" s="20" t="s">
        <v>32</v>
      </c>
      <c r="C100" s="21"/>
      <c r="D100" s="22"/>
      <c r="E100" s="22"/>
      <c r="F100" s="22"/>
      <c r="G100" s="22"/>
      <c r="H100" s="21"/>
      <c r="I100" s="21"/>
      <c r="J100" s="17">
        <f>0.13*G99*7010.67/100</f>
        <v>498.98349706761968</v>
      </c>
      <c r="K100" s="21"/>
    </row>
    <row r="101" spans="1:11" x14ac:dyDescent="0.25">
      <c r="A101" s="21"/>
      <c r="B101" s="20" t="s">
        <v>31</v>
      </c>
      <c r="C101" s="21"/>
      <c r="D101" s="22"/>
      <c r="E101" s="22"/>
      <c r="F101" s="22"/>
      <c r="G101" s="22"/>
      <c r="H101" s="21"/>
      <c r="I101" s="21"/>
      <c r="J101" s="17">
        <f>0.13*G99*4639.73/100</f>
        <v>330.23216052810164</v>
      </c>
      <c r="K101" s="21"/>
    </row>
    <row r="102" spans="1:11" x14ac:dyDescent="0.25">
      <c r="A102" s="21"/>
      <c r="B102" s="21"/>
      <c r="C102" s="21"/>
      <c r="D102" s="21"/>
      <c r="E102" s="21"/>
      <c r="F102" s="21"/>
      <c r="G102" s="21"/>
      <c r="H102" s="21"/>
      <c r="I102" s="21"/>
      <c r="J102" s="21"/>
      <c r="K102" s="21"/>
    </row>
    <row r="103" spans="1:11" ht="30" x14ac:dyDescent="0.25">
      <c r="A103" s="19">
        <v>9</v>
      </c>
      <c r="B103" s="23" t="s">
        <v>61</v>
      </c>
      <c r="C103" s="21"/>
      <c r="D103" s="21"/>
      <c r="E103" s="21"/>
      <c r="F103" s="21"/>
      <c r="G103" s="21"/>
      <c r="H103" s="21"/>
      <c r="I103" s="21"/>
      <c r="J103" s="21"/>
      <c r="K103" s="21"/>
    </row>
    <row r="104" spans="1:11" x14ac:dyDescent="0.25">
      <c r="A104" s="21"/>
      <c r="B104" s="20" t="str">
        <f>B48</f>
        <v>-for tie beam</v>
      </c>
      <c r="C104" s="44">
        <f>C48</f>
        <v>4</v>
      </c>
      <c r="D104" s="22">
        <f>Sheet1!M4*2</f>
        <v>1.1661078939347762</v>
      </c>
      <c r="E104" s="22">
        <v>0.23</v>
      </c>
      <c r="F104" s="22">
        <v>1.2</v>
      </c>
      <c r="G104" s="22">
        <f t="shared" ref="G104" si="8">PRODUCT(C104:F104)</f>
        <v>1.2873831149039929</v>
      </c>
      <c r="H104" s="21"/>
      <c r="I104" s="21"/>
      <c r="J104" s="21"/>
      <c r="K104" s="21"/>
    </row>
    <row r="105" spans="1:11" x14ac:dyDescent="0.25">
      <c r="A105" s="21"/>
      <c r="B105" s="20"/>
      <c r="C105" s="44">
        <v>4</v>
      </c>
      <c r="D105" s="22">
        <f>7.833/3.281</f>
        <v>2.3873818957634869</v>
      </c>
      <c r="E105" s="22">
        <v>0.23</v>
      </c>
      <c r="F105" s="22">
        <f>0.6-0.075-0.055</f>
        <v>0.47000000000000003</v>
      </c>
      <c r="G105" s="22">
        <f>PRODUCT(C105:F105)</f>
        <v>1.032303931728132</v>
      </c>
      <c r="H105" s="21"/>
      <c r="I105" s="21"/>
      <c r="J105" s="21"/>
      <c r="K105" s="21"/>
    </row>
    <row r="106" spans="1:11" ht="15" customHeight="1" x14ac:dyDescent="0.25">
      <c r="A106" s="12"/>
      <c r="B106" s="13" t="s">
        <v>16</v>
      </c>
      <c r="C106" s="14"/>
      <c r="D106" s="1"/>
      <c r="E106" s="15"/>
      <c r="F106" s="15"/>
      <c r="G106" s="2">
        <f>SUM(G104:G105)</f>
        <v>2.3196870466321249</v>
      </c>
      <c r="H106" s="16" t="s">
        <v>28</v>
      </c>
      <c r="I106" s="2">
        <f>14491.84</f>
        <v>14491.84</v>
      </c>
      <c r="J106" s="17">
        <f>G106*I106</f>
        <v>33616.533529865294</v>
      </c>
      <c r="K106" s="15"/>
    </row>
    <row r="107" spans="1:11" x14ac:dyDescent="0.25">
      <c r="A107" s="19"/>
      <c r="B107" s="20" t="s">
        <v>53</v>
      </c>
      <c r="C107" s="21"/>
      <c r="D107" s="22"/>
      <c r="E107" s="22"/>
      <c r="F107" s="22"/>
      <c r="G107" s="22"/>
      <c r="H107" s="21"/>
      <c r="I107" s="21"/>
      <c r="J107" s="17">
        <f>0.13*G106*8481.2</f>
        <v>2557.5848713865294</v>
      </c>
      <c r="K107" s="21"/>
    </row>
    <row r="108" spans="1:11" x14ac:dyDescent="0.25">
      <c r="A108" s="19"/>
      <c r="B108" s="20" t="s">
        <v>32</v>
      </c>
      <c r="C108" s="21"/>
      <c r="D108" s="22"/>
      <c r="E108" s="22"/>
      <c r="F108" s="22"/>
      <c r="G108" s="22"/>
      <c r="H108" s="21"/>
      <c r="I108" s="21"/>
      <c r="J108" s="17">
        <f>0.13*G106*912.17</f>
        <v>275.0733613324353</v>
      </c>
      <c r="K108" s="21"/>
    </row>
    <row r="109" spans="1:11" x14ac:dyDescent="0.25">
      <c r="A109" s="19"/>
      <c r="B109" s="20" t="s">
        <v>62</v>
      </c>
      <c r="C109" s="21"/>
      <c r="D109" s="22"/>
      <c r="E109" s="22"/>
      <c r="F109" s="22"/>
      <c r="G109" s="22"/>
      <c r="H109" s="21"/>
      <c r="I109" s="21"/>
      <c r="J109" s="17">
        <f>0.13*G106*953.37</f>
        <v>287.49760515419695</v>
      </c>
      <c r="K109" s="21"/>
    </row>
    <row r="110" spans="1:11" x14ac:dyDescent="0.25">
      <c r="A110" s="19"/>
      <c r="B110" s="20" t="s">
        <v>36</v>
      </c>
      <c r="C110" s="21"/>
      <c r="D110" s="22"/>
      <c r="E110" s="22"/>
      <c r="F110" s="22"/>
      <c r="G110" s="22"/>
      <c r="H110" s="21"/>
      <c r="I110" s="21"/>
      <c r="J110" s="17">
        <f>0.13*G106*28</f>
        <v>8.4436608497409349</v>
      </c>
      <c r="K110" s="21"/>
    </row>
    <row r="111" spans="1:11" x14ac:dyDescent="0.25">
      <c r="A111" s="19"/>
      <c r="B111" s="20"/>
      <c r="C111" s="21"/>
      <c r="D111" s="22"/>
      <c r="E111" s="22"/>
      <c r="F111" s="22"/>
      <c r="G111" s="22"/>
      <c r="H111" s="21"/>
      <c r="I111" s="21"/>
      <c r="J111" s="17"/>
      <c r="K111" s="21"/>
    </row>
    <row r="112" spans="1:11" ht="30" x14ac:dyDescent="0.25">
      <c r="A112" s="19">
        <v>10</v>
      </c>
      <c r="B112" s="23" t="s">
        <v>96</v>
      </c>
      <c r="C112" s="21"/>
      <c r="D112" s="22"/>
      <c r="E112" s="22"/>
      <c r="F112" s="22"/>
      <c r="G112" s="22"/>
      <c r="H112" s="21"/>
      <c r="I112" s="21"/>
      <c r="J112" s="17"/>
      <c r="K112" s="21"/>
    </row>
    <row r="113" spans="1:11" x14ac:dyDescent="0.25">
      <c r="A113" s="21"/>
      <c r="B113" s="20" t="s">
        <v>97</v>
      </c>
      <c r="C113" s="44">
        <v>2</v>
      </c>
      <c r="D113" s="22">
        <f>Sheet1!R4</f>
        <v>2.9574215178299301</v>
      </c>
      <c r="E113" s="22">
        <v>0.1</v>
      </c>
      <c r="F113" s="22">
        <f>Sheet1!Q4-Sheet1!W4</f>
        <v>2.3656354769887229</v>
      </c>
      <c r="G113" s="22">
        <f t="shared" ref="G113" si="9">PRODUCT(C113:F113)</f>
        <v>1.3992362525976638</v>
      </c>
      <c r="H113" s="21"/>
      <c r="I113" s="21"/>
      <c r="J113" s="21"/>
      <c r="K113" s="21"/>
    </row>
    <row r="114" spans="1:11" x14ac:dyDescent="0.25">
      <c r="A114" s="21"/>
      <c r="B114" s="20"/>
      <c r="C114" s="44">
        <v>2</v>
      </c>
      <c r="D114" s="22">
        <f>Sheet1!R4</f>
        <v>2.9574215178299301</v>
      </c>
      <c r="E114" s="22">
        <v>0.1</v>
      </c>
      <c r="F114" s="22">
        <f>F113</f>
        <v>2.3656354769887229</v>
      </c>
      <c r="G114" s="22">
        <f>PRODUCT(C114:F114)</f>
        <v>1.3992362525976638</v>
      </c>
      <c r="H114" s="21"/>
      <c r="I114" s="21"/>
      <c r="J114" s="21"/>
      <c r="K114" s="21"/>
    </row>
    <row r="115" spans="1:11" x14ac:dyDescent="0.25">
      <c r="A115" s="21"/>
      <c r="B115" s="20" t="s">
        <v>98</v>
      </c>
      <c r="C115" s="44">
        <v>-1</v>
      </c>
      <c r="D115" s="22">
        <f>1.2</f>
        <v>1.2</v>
      </c>
      <c r="E115" s="22">
        <v>0.1</v>
      </c>
      <c r="F115" s="22">
        <f>8/3.281</f>
        <v>2.4382810118866196</v>
      </c>
      <c r="G115" s="22">
        <f t="shared" ref="G115" si="10">PRODUCT(C115:F115)</f>
        <v>-0.29259372142639434</v>
      </c>
      <c r="H115" s="21"/>
      <c r="I115" s="21"/>
      <c r="J115" s="21"/>
      <c r="K115" s="21"/>
    </row>
    <row r="116" spans="1:11" x14ac:dyDescent="0.25">
      <c r="A116" s="21"/>
      <c r="B116" s="20" t="s">
        <v>63</v>
      </c>
      <c r="C116" s="44">
        <v>-1</v>
      </c>
      <c r="D116" s="22">
        <f>1.2</f>
        <v>1.2</v>
      </c>
      <c r="E116" s="22">
        <v>0.1</v>
      </c>
      <c r="F116" s="22">
        <v>1.2</v>
      </c>
      <c r="G116" s="22">
        <f t="shared" ref="G116" si="11">PRODUCT(C116:F116)</f>
        <v>-0.14399999999999999</v>
      </c>
      <c r="H116" s="21"/>
      <c r="I116" s="21"/>
      <c r="J116" s="21"/>
      <c r="K116" s="21"/>
    </row>
    <row r="117" spans="1:11" ht="15" customHeight="1" x14ac:dyDescent="0.25">
      <c r="A117" s="12"/>
      <c r="B117" s="13" t="s">
        <v>16</v>
      </c>
      <c r="C117" s="14"/>
      <c r="D117" s="1"/>
      <c r="E117" s="15"/>
      <c r="F117" s="15"/>
      <c r="G117" s="2">
        <f>SUM(G113:G116)</f>
        <v>2.3618787837689332</v>
      </c>
      <c r="H117" s="16" t="s">
        <v>28</v>
      </c>
      <c r="I117" s="2">
        <v>14759.89</v>
      </c>
      <c r="J117" s="17">
        <f>G117*I117</f>
        <v>34861.071041763236</v>
      </c>
      <c r="K117" s="15"/>
    </row>
    <row r="118" spans="1:11" x14ac:dyDescent="0.25">
      <c r="A118" s="19"/>
      <c r="B118" s="20" t="s">
        <v>53</v>
      </c>
      <c r="C118" s="21"/>
      <c r="D118" s="22"/>
      <c r="E118" s="22"/>
      <c r="F118" s="22"/>
      <c r="G118" s="22"/>
      <c r="H118" s="21"/>
      <c r="I118" s="21"/>
      <c r="J118" s="17">
        <f>0.13*G117*8749.24</f>
        <v>2686.403762913325</v>
      </c>
      <c r="K118" s="21"/>
    </row>
    <row r="119" spans="1:11" x14ac:dyDescent="0.25">
      <c r="A119" s="19"/>
      <c r="B119" s="20" t="s">
        <v>32</v>
      </c>
      <c r="C119" s="21"/>
      <c r="D119" s="22"/>
      <c r="E119" s="22"/>
      <c r="F119" s="22"/>
      <c r="G119" s="22"/>
      <c r="H119" s="21"/>
      <c r="I119" s="21"/>
      <c r="J119" s="17">
        <f>0.13*G117*912.17</f>
        <v>280.07654612476603</v>
      </c>
      <c r="K119" s="21"/>
    </row>
    <row r="120" spans="1:11" x14ac:dyDescent="0.25">
      <c r="A120" s="19"/>
      <c r="B120" s="20" t="s">
        <v>31</v>
      </c>
      <c r="C120" s="21"/>
      <c r="D120" s="22"/>
      <c r="E120" s="22"/>
      <c r="F120" s="22"/>
      <c r="G120" s="22"/>
      <c r="H120" s="21"/>
      <c r="I120" s="21"/>
      <c r="J120" s="17">
        <f>0.13*G117*953.37</f>
        <v>292.7267688906324</v>
      </c>
      <c r="K120" s="21"/>
    </row>
    <row r="121" spans="1:11" x14ac:dyDescent="0.25">
      <c r="A121" s="19"/>
      <c r="B121" s="20" t="s">
        <v>36</v>
      </c>
      <c r="C121" s="21"/>
      <c r="D121" s="22"/>
      <c r="E121" s="22"/>
      <c r="F121" s="22"/>
      <c r="G121" s="22"/>
      <c r="H121" s="21"/>
      <c r="I121" s="21"/>
      <c r="J121" s="17">
        <f>0.13*G117*28</f>
        <v>8.5972387729189172</v>
      </c>
      <c r="K121" s="21"/>
    </row>
    <row r="122" spans="1:11" x14ac:dyDescent="0.25">
      <c r="A122" s="19"/>
      <c r="B122" s="20"/>
      <c r="C122" s="21"/>
      <c r="D122" s="22"/>
      <c r="E122" s="22"/>
      <c r="F122" s="22"/>
      <c r="G122" s="22"/>
      <c r="H122" s="21"/>
      <c r="I122" s="21"/>
      <c r="J122" s="17"/>
      <c r="K122" s="21"/>
    </row>
    <row r="123" spans="1:11" ht="30" x14ac:dyDescent="0.25">
      <c r="A123" s="19">
        <v>11</v>
      </c>
      <c r="B123" s="23" t="s">
        <v>90</v>
      </c>
      <c r="C123" s="21"/>
      <c r="D123" s="21"/>
      <c r="E123" s="21"/>
      <c r="F123" s="21"/>
      <c r="G123" s="21"/>
      <c r="H123" s="21"/>
      <c r="I123" s="21"/>
      <c r="J123" s="21"/>
      <c r="K123" s="21"/>
    </row>
    <row r="124" spans="1:11" x14ac:dyDescent="0.25">
      <c r="A124" s="21"/>
      <c r="B124" s="20" t="str">
        <f>B52</f>
        <v>-for cantilever</v>
      </c>
      <c r="C124" s="45">
        <f>C52</f>
        <v>2</v>
      </c>
      <c r="D124" s="46">
        <f>Sheet1!H4+0.6*2</f>
        <v>4.8574215178299296</v>
      </c>
      <c r="E124" s="46"/>
      <c r="F124" s="46"/>
      <c r="G124" s="22">
        <f>PRODUCT(C124:F124)</f>
        <v>9.7148430356598592</v>
      </c>
      <c r="H124" s="21"/>
      <c r="I124" s="21"/>
      <c r="J124" s="21"/>
      <c r="K124" s="21"/>
    </row>
    <row r="125" spans="1:11" x14ac:dyDescent="0.25">
      <c r="A125" s="21"/>
      <c r="B125" s="20"/>
      <c r="C125" s="45">
        <f>C53</f>
        <v>2</v>
      </c>
      <c r="D125" s="46">
        <f>Sheet1!H4+0.6*2</f>
        <v>4.8574215178299296</v>
      </c>
      <c r="E125" s="46"/>
      <c r="F125" s="46"/>
      <c r="G125" s="22">
        <f t="shared" ref="G125" si="12">PRODUCT(C125:F125)</f>
        <v>9.7148430356598592</v>
      </c>
      <c r="H125" s="21"/>
      <c r="I125" s="21"/>
      <c r="J125" s="21"/>
      <c r="K125" s="21"/>
    </row>
    <row r="126" spans="1:11" ht="15" customHeight="1" x14ac:dyDescent="0.25">
      <c r="A126" s="12"/>
      <c r="B126" s="13" t="s">
        <v>16</v>
      </c>
      <c r="C126" s="14"/>
      <c r="D126" s="1"/>
      <c r="E126" s="15"/>
      <c r="F126" s="15"/>
      <c r="G126" s="2">
        <f>SUM(G124:G125)</f>
        <v>19.429686071319718</v>
      </c>
      <c r="H126" s="16" t="s">
        <v>92</v>
      </c>
      <c r="I126" s="2">
        <v>144.41</v>
      </c>
      <c r="J126" s="17">
        <f>G126*I126</f>
        <v>2805.8409655592804</v>
      </c>
      <c r="K126" s="15"/>
    </row>
    <row r="127" spans="1:11" x14ac:dyDescent="0.25">
      <c r="A127" s="19"/>
      <c r="B127" s="20" t="s">
        <v>32</v>
      </c>
      <c r="C127" s="21"/>
      <c r="D127" s="22"/>
      <c r="E127" s="22"/>
      <c r="F127" s="22"/>
      <c r="G127" s="22"/>
      <c r="H127" s="21"/>
      <c r="I127" s="21"/>
      <c r="J127" s="17">
        <f>0.13*G126*91.21</f>
        <v>230.38361665345928</v>
      </c>
      <c r="K127" s="21"/>
    </row>
    <row r="128" spans="1:11" x14ac:dyDescent="0.25">
      <c r="A128" s="19"/>
      <c r="B128" s="20" t="s">
        <v>31</v>
      </c>
      <c r="C128" s="21"/>
      <c r="D128" s="22"/>
      <c r="E128" s="22"/>
      <c r="F128" s="22"/>
      <c r="G128" s="22"/>
      <c r="H128" s="21"/>
      <c r="I128" s="21"/>
      <c r="J128" s="17">
        <f>0.13*G126*12.71</f>
        <v>32.103670295641571</v>
      </c>
      <c r="K128" s="21"/>
    </row>
    <row r="129" spans="1:11" x14ac:dyDescent="0.25">
      <c r="A129" s="19"/>
      <c r="B129" s="20" t="s">
        <v>91</v>
      </c>
      <c r="C129" s="21"/>
      <c r="D129" s="22"/>
      <c r="E129" s="22"/>
      <c r="F129" s="22"/>
      <c r="G129" s="22"/>
      <c r="H129" s="21"/>
      <c r="I129" s="21"/>
      <c r="J129" s="17">
        <f>0.13*G126*0.02</f>
        <v>5.0517183785431269E-2</v>
      </c>
      <c r="K129" s="21"/>
    </row>
    <row r="130" spans="1:11" x14ac:dyDescent="0.25">
      <c r="A130" s="19"/>
      <c r="B130" s="20"/>
      <c r="C130" s="21"/>
      <c r="D130" s="22"/>
      <c r="E130" s="22"/>
      <c r="F130" s="22"/>
      <c r="G130" s="22"/>
      <c r="H130" s="21"/>
      <c r="I130" s="21"/>
      <c r="J130" s="17"/>
      <c r="K130" s="21"/>
    </row>
    <row r="131" spans="1:11" ht="45" x14ac:dyDescent="0.25">
      <c r="A131" s="19">
        <v>12</v>
      </c>
      <c r="B131" s="23" t="s">
        <v>101</v>
      </c>
      <c r="C131" s="21"/>
      <c r="D131" s="22"/>
      <c r="E131" s="22"/>
      <c r="F131" s="22"/>
      <c r="G131" s="22"/>
      <c r="H131" s="21"/>
      <c r="I131" s="21"/>
      <c r="J131" s="17"/>
      <c r="K131" s="21"/>
    </row>
    <row r="132" spans="1:11" x14ac:dyDescent="0.25">
      <c r="A132" s="21"/>
      <c r="B132" s="20" t="s">
        <v>103</v>
      </c>
      <c r="C132" s="45">
        <v>1</v>
      </c>
      <c r="D132" s="46">
        <f>D115</f>
        <v>1.2</v>
      </c>
      <c r="E132" s="46"/>
      <c r="F132" s="46">
        <f>F115</f>
        <v>2.4382810118866196</v>
      </c>
      <c r="G132" s="22">
        <f>PRODUCT(C132:F132)</f>
        <v>2.9259372142639433</v>
      </c>
      <c r="H132" s="21"/>
      <c r="I132" s="21"/>
      <c r="J132" s="21"/>
      <c r="K132" s="21"/>
    </row>
    <row r="133" spans="1:11" x14ac:dyDescent="0.25">
      <c r="A133" s="21"/>
      <c r="B133" s="20" t="s">
        <v>111</v>
      </c>
      <c r="C133" s="45">
        <v>1</v>
      </c>
      <c r="D133" s="46">
        <f>D116</f>
        <v>1.2</v>
      </c>
      <c r="E133" s="46"/>
      <c r="F133" s="46">
        <f>F116</f>
        <v>1.2</v>
      </c>
      <c r="G133" s="22">
        <f t="shared" ref="G133" si="13">PRODUCT(C133:F133)</f>
        <v>1.44</v>
      </c>
      <c r="H133" s="21"/>
      <c r="I133" s="21"/>
      <c r="J133" s="21"/>
      <c r="K133" s="21"/>
    </row>
    <row r="134" spans="1:11" ht="15" customHeight="1" x14ac:dyDescent="0.25">
      <c r="A134" s="12"/>
      <c r="B134" s="13" t="s">
        <v>16</v>
      </c>
      <c r="C134" s="14"/>
      <c r="D134" s="1"/>
      <c r="E134" s="15"/>
      <c r="F134" s="15"/>
      <c r="G134" s="2">
        <f>SUM(G132:G133)</f>
        <v>4.3659372142639432</v>
      </c>
      <c r="H134" s="16" t="s">
        <v>34</v>
      </c>
      <c r="I134" s="2">
        <v>15960.82</v>
      </c>
      <c r="J134" s="17">
        <f>G134*I134</f>
        <v>69683.938008168232</v>
      </c>
      <c r="K134" s="15"/>
    </row>
    <row r="135" spans="1:11" ht="16.5" x14ac:dyDescent="0.25">
      <c r="A135" s="19"/>
      <c r="B135" s="48" t="s">
        <v>104</v>
      </c>
      <c r="C135" s="21"/>
      <c r="D135" s="22"/>
      <c r="E135" s="22"/>
      <c r="F135" s="22"/>
      <c r="G135" s="22"/>
      <c r="H135" s="21"/>
      <c r="I135" s="21"/>
      <c r="J135" s="17">
        <f>0.13*G134*18063.18/2.114</f>
        <v>4849.6462961652151</v>
      </c>
      <c r="K135" s="21"/>
    </row>
    <row r="136" spans="1:11" ht="16.5" x14ac:dyDescent="0.25">
      <c r="A136" s="19"/>
      <c r="B136" s="48" t="s">
        <v>110</v>
      </c>
      <c r="C136" s="21"/>
      <c r="D136" s="22"/>
      <c r="E136" s="22"/>
      <c r="F136" s="22"/>
      <c r="G136" s="22"/>
      <c r="H136" s="21"/>
      <c r="I136" s="21"/>
      <c r="J136" s="17">
        <f>0.13*G134*174/2.114</f>
        <v>46.715941242502559</v>
      </c>
      <c r="K136" s="21"/>
    </row>
    <row r="137" spans="1:11" ht="16.5" x14ac:dyDescent="0.25">
      <c r="A137" s="19"/>
      <c r="B137" s="48" t="s">
        <v>109</v>
      </c>
      <c r="C137" s="21"/>
      <c r="D137" s="22"/>
      <c r="E137" s="22"/>
      <c r="F137" s="22"/>
      <c r="G137" s="22"/>
      <c r="H137" s="21"/>
      <c r="I137" s="21"/>
      <c r="J137" s="17">
        <f>0.13*G134*71/2.114</f>
        <v>19.062251886308516</v>
      </c>
      <c r="K137" s="21"/>
    </row>
    <row r="138" spans="1:11" ht="16.5" x14ac:dyDescent="0.25">
      <c r="A138" s="19"/>
      <c r="B138" s="48" t="s">
        <v>108</v>
      </c>
      <c r="C138" s="21"/>
      <c r="D138" s="22"/>
      <c r="E138" s="22"/>
      <c r="F138" s="22"/>
      <c r="G138" s="22"/>
      <c r="H138" s="21"/>
      <c r="I138" s="21"/>
      <c r="J138" s="17">
        <f>0.13*G134*114/2.114</f>
        <v>30.606995986467194</v>
      </c>
      <c r="K138" s="21"/>
    </row>
    <row r="139" spans="1:11" ht="15.75" x14ac:dyDescent="0.25">
      <c r="A139" s="19"/>
      <c r="B139" s="49" t="s">
        <v>105</v>
      </c>
      <c r="C139" s="21"/>
      <c r="D139" s="22"/>
      <c r="E139" s="22"/>
      <c r="F139" s="22"/>
      <c r="G139" s="22"/>
      <c r="H139" s="21"/>
      <c r="I139" s="21"/>
      <c r="J139" s="17">
        <f>0.13*G134*1821/2.114</f>
        <v>488.90648852067335</v>
      </c>
      <c r="K139" s="21"/>
    </row>
    <row r="140" spans="1:11" ht="16.5" x14ac:dyDescent="0.25">
      <c r="A140" s="19"/>
      <c r="B140" s="48" t="s">
        <v>106</v>
      </c>
      <c r="C140" s="21"/>
      <c r="D140" s="22"/>
      <c r="E140" s="22"/>
      <c r="F140" s="22"/>
      <c r="G140" s="22"/>
      <c r="H140" s="21"/>
      <c r="I140" s="21"/>
      <c r="J140" s="17">
        <f>0.13*G134*68/2.114</f>
        <v>18.256804623506746</v>
      </c>
      <c r="K140" s="21"/>
    </row>
    <row r="141" spans="1:11" ht="16.5" x14ac:dyDescent="0.25">
      <c r="A141" s="19"/>
      <c r="B141" s="48" t="s">
        <v>107</v>
      </c>
      <c r="C141" s="21"/>
      <c r="D141" s="22"/>
      <c r="E141" s="22"/>
      <c r="F141" s="22"/>
      <c r="G141" s="22"/>
      <c r="H141" s="21"/>
      <c r="I141" s="21"/>
      <c r="J141" s="17">
        <f>0.13*G134*45/2.114</f>
        <v>12.081708942026523</v>
      </c>
      <c r="K141" s="21"/>
    </row>
    <row r="142" spans="1:11" x14ac:dyDescent="0.25">
      <c r="A142" s="19"/>
      <c r="B142" s="21"/>
      <c r="C142" s="21"/>
      <c r="D142" s="22"/>
      <c r="E142" s="22"/>
      <c r="F142" s="22"/>
      <c r="G142" s="22"/>
      <c r="H142" s="21"/>
      <c r="I142" s="21"/>
      <c r="J142" s="17"/>
      <c r="K142" s="21"/>
    </row>
    <row r="143" spans="1:11" ht="30" x14ac:dyDescent="0.25">
      <c r="A143" s="12">
        <v>13</v>
      </c>
      <c r="B143" s="24" t="s">
        <v>102</v>
      </c>
      <c r="C143" s="14">
        <v>1</v>
      </c>
      <c r="D143" s="1"/>
      <c r="E143" s="15"/>
      <c r="F143" s="15"/>
      <c r="G143" s="16">
        <f t="shared" ref="G143" si="14">PRODUCT(C143:F143)</f>
        <v>1</v>
      </c>
      <c r="H143" s="16" t="s">
        <v>30</v>
      </c>
      <c r="I143" s="2">
        <v>5000</v>
      </c>
      <c r="J143" s="16">
        <f>G143*I143</f>
        <v>5000</v>
      </c>
      <c r="K143" s="15"/>
    </row>
    <row r="144" spans="1:11" x14ac:dyDescent="0.25">
      <c r="A144" s="12"/>
      <c r="B144" s="25"/>
      <c r="C144" s="14"/>
      <c r="D144" s="1"/>
      <c r="E144" s="15"/>
      <c r="F144" s="15"/>
      <c r="G144" s="2"/>
      <c r="H144" s="16"/>
      <c r="I144" s="2"/>
      <c r="J144" s="17"/>
      <c r="K144" s="15"/>
    </row>
    <row r="145" spans="1:11" ht="15" customHeight="1" x14ac:dyDescent="0.25">
      <c r="A145" s="12">
        <v>14</v>
      </c>
      <c r="B145" s="24" t="s">
        <v>17</v>
      </c>
      <c r="C145" s="14">
        <v>1</v>
      </c>
      <c r="D145" s="1"/>
      <c r="E145" s="15"/>
      <c r="F145" s="15"/>
      <c r="G145" s="16">
        <f t="shared" ref="G145" si="15">PRODUCT(C145:F145)</f>
        <v>1</v>
      </c>
      <c r="H145" s="16" t="s">
        <v>18</v>
      </c>
      <c r="I145" s="2">
        <v>500</v>
      </c>
      <c r="J145" s="16">
        <f>G145*I145</f>
        <v>500</v>
      </c>
      <c r="K145" s="15"/>
    </row>
    <row r="146" spans="1:11" x14ac:dyDescent="0.25">
      <c r="A146" s="12"/>
      <c r="B146" s="25"/>
      <c r="C146" s="14"/>
      <c r="D146" s="1"/>
      <c r="E146" s="15"/>
      <c r="F146" s="15"/>
      <c r="G146" s="2"/>
      <c r="H146" s="16"/>
      <c r="I146" s="2"/>
      <c r="J146" s="17"/>
      <c r="K146" s="15"/>
    </row>
    <row r="147" spans="1:11" x14ac:dyDescent="0.25">
      <c r="A147" s="26"/>
      <c r="B147" s="27" t="s">
        <v>20</v>
      </c>
      <c r="C147" s="28"/>
      <c r="D147" s="29"/>
      <c r="E147" s="29"/>
      <c r="F147" s="29"/>
      <c r="G147" s="17"/>
      <c r="H147" s="17"/>
      <c r="I147" s="17"/>
      <c r="J147" s="17">
        <f>SUM(J11:J145)</f>
        <v>606074.4666088766</v>
      </c>
      <c r="K147" s="30"/>
    </row>
    <row r="149" spans="1:11" s="38" customFormat="1" x14ac:dyDescent="0.25">
      <c r="A149" s="31"/>
      <c r="B149" s="32" t="s">
        <v>19</v>
      </c>
      <c r="C149" s="50">
        <f>J147</f>
        <v>606074.4666088766</v>
      </c>
      <c r="D149" s="51"/>
      <c r="E149" s="33">
        <v>100</v>
      </c>
      <c r="F149" s="31"/>
      <c r="G149" s="34"/>
      <c r="H149" s="31"/>
      <c r="I149" s="35"/>
      <c r="J149" s="36"/>
      <c r="K149" s="37"/>
    </row>
    <row r="150" spans="1:11" x14ac:dyDescent="0.25">
      <c r="B150" s="32" t="s">
        <v>21</v>
      </c>
      <c r="C150" s="54">
        <v>500000</v>
      </c>
      <c r="D150" s="55"/>
      <c r="E150" s="33"/>
    </row>
    <row r="151" spans="1:11" x14ac:dyDescent="0.25">
      <c r="B151" s="32" t="s">
        <v>22</v>
      </c>
      <c r="C151" s="54">
        <f>C150-C153-C154</f>
        <v>475000</v>
      </c>
      <c r="D151" s="55"/>
      <c r="E151" s="33">
        <f>C151/C149*100</f>
        <v>78.373207612215083</v>
      </c>
    </row>
    <row r="152" spans="1:11" x14ac:dyDescent="0.25">
      <c r="B152" s="32" t="s">
        <v>26</v>
      </c>
      <c r="C152" s="56">
        <f>C149-C151</f>
        <v>131074.4666088766</v>
      </c>
      <c r="D152" s="56"/>
      <c r="E152" s="33">
        <f>100-E151</f>
        <v>21.626792387784917</v>
      </c>
    </row>
    <row r="153" spans="1:11" x14ac:dyDescent="0.25">
      <c r="B153" s="32" t="s">
        <v>23</v>
      </c>
      <c r="C153" s="50">
        <f>C150*0.03</f>
        <v>15000</v>
      </c>
      <c r="D153" s="51"/>
      <c r="E153" s="33">
        <v>3</v>
      </c>
    </row>
    <row r="154" spans="1:11" x14ac:dyDescent="0.25">
      <c r="B154" s="32" t="s">
        <v>24</v>
      </c>
      <c r="C154" s="50">
        <f>C150*0.02</f>
        <v>10000</v>
      </c>
      <c r="D154" s="51"/>
      <c r="E154" s="33">
        <v>2</v>
      </c>
    </row>
  </sheetData>
  <mergeCells count="15">
    <mergeCell ref="A6:F6"/>
    <mergeCell ref="H6:K6"/>
    <mergeCell ref="A1:K1"/>
    <mergeCell ref="A2:K2"/>
    <mergeCell ref="A3:K3"/>
    <mergeCell ref="A4:K4"/>
    <mergeCell ref="A5:K5"/>
    <mergeCell ref="C153:D153"/>
    <mergeCell ref="C154:D154"/>
    <mergeCell ref="A7:F7"/>
    <mergeCell ref="H7:K7"/>
    <mergeCell ref="C149:D149"/>
    <mergeCell ref="C150:D150"/>
    <mergeCell ref="C151:D151"/>
    <mergeCell ref="C152:D152"/>
  </mergeCells>
  <pageMargins left="0.7" right="0.7" top="0.75" bottom="0.75" header="0.3" footer="0.3"/>
  <pageSetup scale="80" orientation="portrait" r:id="rId1"/>
  <headerFooter>
    <oddFooter>&amp;LPrepared By:&amp;CChecked By:&amp;RApproved By:</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6"/>
  <sheetViews>
    <sheetView tabSelected="1" workbookViewId="0">
      <selection activeCell="M9" sqref="M9"/>
    </sheetView>
  </sheetViews>
  <sheetFormatPr defaultRowHeight="15" x14ac:dyDescent="0.25"/>
  <cols>
    <col min="2" max="2" width="7" bestFit="1" customWidth="1"/>
    <col min="3" max="3" width="8" bestFit="1" customWidth="1"/>
    <col min="4" max="4" width="8.28515625" customWidth="1"/>
    <col min="5" max="5" width="9.7109375" customWidth="1"/>
    <col min="6" max="6" width="10" customWidth="1"/>
    <col min="7" max="7" width="6.42578125" bestFit="1" customWidth="1"/>
    <col min="8" max="8" width="7" bestFit="1" customWidth="1"/>
    <col min="9" max="9" width="8" bestFit="1" customWidth="1"/>
    <col min="10" max="10" width="8.140625" customWidth="1"/>
    <col min="12" max="12" width="6.28515625" bestFit="1" customWidth="1"/>
    <col min="14" max="14" width="6.28515625" bestFit="1" customWidth="1"/>
    <col min="16" max="16" width="8.85546875" customWidth="1"/>
    <col min="17" max="17" width="11.85546875" customWidth="1"/>
    <col min="18" max="18" width="7" bestFit="1" customWidth="1"/>
    <col min="19" max="19" width="6.42578125" bestFit="1" customWidth="1"/>
    <col min="20" max="20" width="6.85546875" bestFit="1" customWidth="1"/>
    <col min="21" max="21" width="7" bestFit="1" customWidth="1"/>
    <col min="22" max="22" width="6.42578125" bestFit="1" customWidth="1"/>
    <col min="23" max="23" width="6.85546875" bestFit="1" customWidth="1"/>
  </cols>
  <sheetData>
    <row r="2" spans="2:23" x14ac:dyDescent="0.25">
      <c r="B2" s="67" t="s">
        <v>72</v>
      </c>
      <c r="C2" s="67"/>
      <c r="D2" s="67"/>
      <c r="E2" s="67" t="s">
        <v>76</v>
      </c>
      <c r="F2" s="67"/>
      <c r="G2" s="67"/>
      <c r="H2" s="68" t="s">
        <v>73</v>
      </c>
      <c r="I2" s="68"/>
      <c r="J2" s="68"/>
      <c r="K2" s="64" t="s">
        <v>79</v>
      </c>
      <c r="L2" s="65"/>
      <c r="M2" s="65"/>
      <c r="N2" s="66"/>
      <c r="O2" s="64" t="s">
        <v>86</v>
      </c>
      <c r="P2" s="65"/>
      <c r="Q2" s="66"/>
      <c r="R2" s="63" t="s">
        <v>84</v>
      </c>
      <c r="S2" s="63"/>
      <c r="T2" s="63"/>
      <c r="U2" s="63" t="s">
        <v>94</v>
      </c>
      <c r="V2" s="63"/>
      <c r="W2" s="63"/>
    </row>
    <row r="3" spans="2:23" s="41" customFormat="1" ht="30" x14ac:dyDescent="0.25">
      <c r="B3" s="40" t="s">
        <v>8</v>
      </c>
      <c r="C3" s="40" t="s">
        <v>9</v>
      </c>
      <c r="D3" s="40" t="s">
        <v>75</v>
      </c>
      <c r="E3" s="40" t="s">
        <v>77</v>
      </c>
      <c r="F3" s="40" t="s">
        <v>78</v>
      </c>
      <c r="G3" s="40" t="s">
        <v>74</v>
      </c>
      <c r="H3" s="40" t="s">
        <v>8</v>
      </c>
      <c r="I3" s="40" t="s">
        <v>9</v>
      </c>
      <c r="J3" s="40" t="s">
        <v>75</v>
      </c>
      <c r="K3" s="40" t="s">
        <v>80</v>
      </c>
      <c r="L3" s="40" t="s">
        <v>82</v>
      </c>
      <c r="M3" s="40" t="s">
        <v>81</v>
      </c>
      <c r="N3" s="40" t="s">
        <v>83</v>
      </c>
      <c r="O3" s="40" t="s">
        <v>87</v>
      </c>
      <c r="P3" s="40" t="s">
        <v>89</v>
      </c>
      <c r="Q3" s="40" t="s">
        <v>88</v>
      </c>
      <c r="R3" s="40" t="s">
        <v>8</v>
      </c>
      <c r="S3" s="40" t="s">
        <v>85</v>
      </c>
      <c r="T3" s="40" t="s">
        <v>10</v>
      </c>
      <c r="U3" s="40" t="s">
        <v>8</v>
      </c>
      <c r="V3" s="40" t="s">
        <v>85</v>
      </c>
      <c r="W3" s="40" t="s">
        <v>10</v>
      </c>
    </row>
    <row r="4" spans="2:23" x14ac:dyDescent="0.25">
      <c r="B4" s="18">
        <v>1.5</v>
      </c>
      <c r="C4" s="18">
        <v>1.5</v>
      </c>
      <c r="D4" s="18">
        <v>1.5</v>
      </c>
      <c r="E4" s="18">
        <f>3.083/3.281</f>
        <v>0.93965254495580619</v>
      </c>
      <c r="F4" s="18">
        <f>3.083/3.281</f>
        <v>0.93965254495580619</v>
      </c>
      <c r="G4" s="18">
        <v>0.35</v>
      </c>
      <c r="H4" s="18">
        <f>12/3.281</f>
        <v>3.6574215178299299</v>
      </c>
      <c r="I4" s="18">
        <f>12/3.281</f>
        <v>3.6574215178299299</v>
      </c>
      <c r="J4" s="18">
        <v>0.45</v>
      </c>
      <c r="K4" s="18">
        <f>H4-E4*2</f>
        <v>1.7781164279183175</v>
      </c>
      <c r="L4" s="18">
        <f>0.5-0.055-0.075+J4</f>
        <v>0.82000000000000006</v>
      </c>
      <c r="M4" s="18">
        <f>E4-1.17/3.281</f>
        <v>0.5830539469673881</v>
      </c>
      <c r="N4" s="18">
        <f>D4-G4+J4</f>
        <v>1.5999999999999999</v>
      </c>
      <c r="O4" s="18">
        <v>0.35</v>
      </c>
      <c r="P4" s="18">
        <f>D4-G4+J4-T4</f>
        <v>1.3699999999999999</v>
      </c>
      <c r="Q4" s="18">
        <f>(9.33-0.42)/3.281</f>
        <v>2.715635476988723</v>
      </c>
      <c r="R4" s="3">
        <f>H4-O4*2</f>
        <v>2.9574215178299301</v>
      </c>
      <c r="S4" s="3">
        <v>0.23</v>
      </c>
      <c r="T4" s="3">
        <v>0.23</v>
      </c>
      <c r="U4" s="3">
        <f>R4+0.6*2</f>
        <v>4.1574215178299303</v>
      </c>
      <c r="V4" s="3">
        <v>0.23</v>
      </c>
      <c r="W4" s="3">
        <v>0.35</v>
      </c>
    </row>
    <row r="6" spans="2:23" x14ac:dyDescent="0.25">
      <c r="M6" s="47">
        <f>1.917/3.281</f>
        <v>0.58427308747333129</v>
      </c>
    </row>
  </sheetData>
  <mergeCells count="7">
    <mergeCell ref="R2:T2"/>
    <mergeCell ref="K2:N2"/>
    <mergeCell ref="O2:Q2"/>
    <mergeCell ref="U2:W2"/>
    <mergeCell ref="B2:D2"/>
    <mergeCell ref="H2:J2"/>
    <mergeCell ref="E2:G2"/>
  </mergeCells>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chihaan</vt:lpstr>
      <vt:lpstr>Sheet1</vt:lpstr>
      <vt:lpstr>chihaan!Print_Area</vt:lpstr>
      <vt:lpstr>chihaan!Print_Titles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2026-03-15T06:58:13Z</dcterms:modified>
</cp:coreProperties>
</file>