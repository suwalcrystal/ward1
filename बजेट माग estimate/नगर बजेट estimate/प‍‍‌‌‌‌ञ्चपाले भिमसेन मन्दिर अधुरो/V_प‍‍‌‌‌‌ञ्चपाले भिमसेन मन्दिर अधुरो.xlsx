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defaultThemeVersion="124226"/>
  <xr:revisionPtr revIDLastSave="0" documentId="13_ncr:1_{52DC3002-09C2-434F-AF7A-DF5B08056198}" xr6:coauthVersionLast="47" xr6:coauthVersionMax="47" xr10:uidLastSave="{00000000-0000-0000-0000-000000000000}"/>
  <bookViews>
    <workbookView xWindow="-120" yWindow="-120" windowWidth="20730" windowHeight="11040" firstSheet="3" activeTab="4" xr2:uid="{00000000-000D-0000-FFFF-FFFF00000000}"/>
  </bookViews>
  <sheets>
    <sheet name="initial 2 storey" sheetId="14" state="hidden" r:id="rId1"/>
    <sheet name="Sheet1" sheetId="16" state="hidden" r:id="rId2"/>
    <sheet name="2.5' ht" sheetId="17" state="hidden" r:id="rId3"/>
    <sheet name="total slope" sheetId="18" r:id="rId4"/>
    <sheet name="V" sheetId="20" r:id="rId5"/>
    <sheet name="2.667'column height" sheetId="19" state="hidden" r:id="rId6"/>
  </sheets>
  <externalReferences>
    <externalReference r:id="rId7"/>
    <externalReference r:id="rId8"/>
    <externalReference r:id="rId9"/>
  </externalReferences>
  <definedNames>
    <definedName name="description_103">[1]Abstract!$B$16</definedName>
    <definedName name="description_124" localSheetId="2">#REF!</definedName>
    <definedName name="description_124" localSheetId="5">#REF!</definedName>
    <definedName name="description_124" localSheetId="3">#REF!</definedName>
    <definedName name="description_124" localSheetId="4">#REF!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5">#REF!</definedName>
    <definedName name="description_310" localSheetId="3">#REF!</definedName>
    <definedName name="description_310" localSheetId="4">#REF!</definedName>
    <definedName name="description_310">#REF!</definedName>
    <definedName name="description_312" localSheetId="2">#REF!</definedName>
    <definedName name="description_312" localSheetId="5">#REF!</definedName>
    <definedName name="description_312" localSheetId="3">#REF!</definedName>
    <definedName name="description_312" localSheetId="4">#REF!</definedName>
    <definedName name="description_312">#REF!</definedName>
    <definedName name="description_5">[1]Abstract!$B$171</definedName>
    <definedName name="description_6" localSheetId="2">#REF!</definedName>
    <definedName name="description_6" localSheetId="5">#REF!</definedName>
    <definedName name="description_6" localSheetId="3">#REF!</definedName>
    <definedName name="description_6" localSheetId="4">#REF!</definedName>
    <definedName name="description_6">#REF!</definedName>
    <definedName name="description_759">[1]Abstract!$B$278</definedName>
    <definedName name="description_781" localSheetId="2">#REF!</definedName>
    <definedName name="description_781" localSheetId="5">#REF!</definedName>
    <definedName name="description_781" localSheetId="3">#REF!</definedName>
    <definedName name="description_781" localSheetId="4">#REF!</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5">'2.667''column height'!$A$1:$K$193</definedName>
    <definedName name="_xlnm.Print_Area" localSheetId="0">'initial 2 storey'!$A$1:$K$152</definedName>
    <definedName name="_xlnm.Print_Area" localSheetId="3">'total slope'!$A$1:$K$193</definedName>
    <definedName name="_xlnm.Print_Area" localSheetId="4">V!$A$1:$K$193</definedName>
    <definedName name="_xlnm.Print_Titles" localSheetId="2">'2.5'' ht'!$1:$8</definedName>
    <definedName name="_xlnm.Print_Titles" localSheetId="5">'2.667''column height'!$1:$8</definedName>
    <definedName name="_xlnm.Print_Titles" localSheetId="0">'initial 2 storey'!$1:$8</definedName>
    <definedName name="_xlnm.Print_Titles" localSheetId="3">'total slope'!$1:$8</definedName>
    <definedName name="_xlnm.Print_Titles" localSheetId="4">V!$1:$8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15" i="20" l="1"/>
  <c r="F117" i="20"/>
  <c r="D117" i="20"/>
  <c r="D114" i="20"/>
  <c r="M114" i="20"/>
  <c r="C193" i="20"/>
  <c r="C192" i="20"/>
  <c r="C190" i="20" s="1"/>
  <c r="G184" i="20"/>
  <c r="J184" i="20" s="1"/>
  <c r="G182" i="20"/>
  <c r="J182" i="20" s="1"/>
  <c r="F177" i="20"/>
  <c r="G177" i="20" s="1"/>
  <c r="D177" i="20"/>
  <c r="F176" i="20"/>
  <c r="G176" i="20" s="1"/>
  <c r="G178" i="20" s="1"/>
  <c r="D176" i="20"/>
  <c r="C176" i="20"/>
  <c r="F166" i="20"/>
  <c r="D166" i="20"/>
  <c r="G166" i="20" s="1"/>
  <c r="F165" i="20"/>
  <c r="D165" i="20"/>
  <c r="G165" i="20" s="1"/>
  <c r="D158" i="20"/>
  <c r="C152" i="20"/>
  <c r="C144" i="20"/>
  <c r="F143" i="20"/>
  <c r="F144" i="20" s="1"/>
  <c r="D143" i="20"/>
  <c r="G143" i="20" s="1"/>
  <c r="D137" i="20"/>
  <c r="D106" i="20" s="1"/>
  <c r="B135" i="20"/>
  <c r="B104" i="20" s="1"/>
  <c r="B134" i="20"/>
  <c r="B103" i="20" s="1"/>
  <c r="F131" i="20"/>
  <c r="D131" i="20"/>
  <c r="C131" i="20"/>
  <c r="G131" i="20" s="1"/>
  <c r="B131" i="20"/>
  <c r="F130" i="20"/>
  <c r="D130" i="20"/>
  <c r="B130" i="20"/>
  <c r="B144" i="20" s="1"/>
  <c r="F129" i="20"/>
  <c r="D129" i="20"/>
  <c r="G129" i="20" s="1"/>
  <c r="F128" i="20"/>
  <c r="D128" i="20"/>
  <c r="G128" i="20" s="1"/>
  <c r="B128" i="20"/>
  <c r="I121" i="20"/>
  <c r="E120" i="20"/>
  <c r="E119" i="20"/>
  <c r="E118" i="20"/>
  <c r="G117" i="20"/>
  <c r="F116" i="20"/>
  <c r="G116" i="20"/>
  <c r="D115" i="20"/>
  <c r="G115" i="20" s="1"/>
  <c r="G114" i="20"/>
  <c r="E109" i="20"/>
  <c r="C109" i="20"/>
  <c r="E108" i="20"/>
  <c r="D108" i="20"/>
  <c r="C108" i="20"/>
  <c r="G108" i="20" s="1"/>
  <c r="B108" i="20"/>
  <c r="B105" i="20"/>
  <c r="E92" i="20"/>
  <c r="D92" i="20"/>
  <c r="G92" i="20" s="1"/>
  <c r="G93" i="20" s="1"/>
  <c r="D85" i="20"/>
  <c r="G84" i="20"/>
  <c r="D84" i="20"/>
  <c r="E78" i="20"/>
  <c r="D78" i="20"/>
  <c r="E77" i="20"/>
  <c r="D77" i="20"/>
  <c r="C77" i="20"/>
  <c r="E76" i="20"/>
  <c r="D76" i="20"/>
  <c r="F76" i="20" s="1"/>
  <c r="G76" i="20" s="1"/>
  <c r="E75" i="20"/>
  <c r="M74" i="20"/>
  <c r="E74" i="20"/>
  <c r="M73" i="20"/>
  <c r="N73" i="20" s="1"/>
  <c r="E73" i="20"/>
  <c r="E72" i="20"/>
  <c r="E71" i="20"/>
  <c r="D71" i="20"/>
  <c r="E70" i="20"/>
  <c r="B70" i="20"/>
  <c r="E69" i="20"/>
  <c r="D69" i="20"/>
  <c r="E68" i="20"/>
  <c r="E67" i="20"/>
  <c r="D67" i="20"/>
  <c r="E66" i="20"/>
  <c r="E65" i="20"/>
  <c r="B65" i="20"/>
  <c r="E64" i="20"/>
  <c r="D64" i="20"/>
  <c r="E63" i="20"/>
  <c r="C63" i="20"/>
  <c r="E62" i="20"/>
  <c r="C62" i="20"/>
  <c r="B62" i="20"/>
  <c r="D54" i="20"/>
  <c r="C54" i="20"/>
  <c r="B54" i="20"/>
  <c r="G53" i="20"/>
  <c r="E53" i="20"/>
  <c r="D53" i="20"/>
  <c r="C53" i="20"/>
  <c r="E52" i="20"/>
  <c r="C52" i="20"/>
  <c r="B52" i="20"/>
  <c r="B72" i="20" s="1"/>
  <c r="F51" i="20"/>
  <c r="C51" i="20"/>
  <c r="F50" i="20"/>
  <c r="C50" i="20"/>
  <c r="B50" i="20"/>
  <c r="B68" i="20" s="1"/>
  <c r="F49" i="20"/>
  <c r="F48" i="20"/>
  <c r="C48" i="20"/>
  <c r="B48" i="20"/>
  <c r="F38" i="20"/>
  <c r="E37" i="20"/>
  <c r="D37" i="20"/>
  <c r="G37" i="20" s="1"/>
  <c r="E36" i="20"/>
  <c r="D36" i="20"/>
  <c r="D35" i="20"/>
  <c r="D34" i="20"/>
  <c r="D33" i="20"/>
  <c r="C33" i="20"/>
  <c r="G32" i="20"/>
  <c r="D32" i="20"/>
  <c r="D21" i="20"/>
  <c r="C21" i="20"/>
  <c r="G21" i="20" s="1"/>
  <c r="G20" i="20"/>
  <c r="D20" i="20"/>
  <c r="C20" i="20"/>
  <c r="C14" i="20"/>
  <c r="B14" i="20"/>
  <c r="B22" i="20" s="1"/>
  <c r="R10" i="20"/>
  <c r="Q10" i="20"/>
  <c r="P10" i="20"/>
  <c r="N10" i="20"/>
  <c r="M10" i="20"/>
  <c r="G10" i="20"/>
  <c r="G11" i="20" s="1"/>
  <c r="J11" i="20" s="1"/>
  <c r="E10" i="20"/>
  <c r="E14" i="20" s="1"/>
  <c r="E22" i="20" s="1"/>
  <c r="D10" i="20"/>
  <c r="D14" i="20" s="1"/>
  <c r="D22" i="20" s="1"/>
  <c r="F165" i="18"/>
  <c r="D76" i="19"/>
  <c r="E107" i="19"/>
  <c r="D107" i="19"/>
  <c r="G152" i="19"/>
  <c r="F165" i="19"/>
  <c r="E37" i="19"/>
  <c r="E53" i="19" s="1"/>
  <c r="D37" i="19"/>
  <c r="E36" i="19"/>
  <c r="E52" i="19" s="1"/>
  <c r="D36" i="19"/>
  <c r="C193" i="19"/>
  <c r="C192" i="19"/>
  <c r="C190" i="19"/>
  <c r="G184" i="19"/>
  <c r="J184" i="19" s="1"/>
  <c r="G182" i="19"/>
  <c r="J182" i="19" s="1"/>
  <c r="D177" i="19"/>
  <c r="F177" i="19" s="1"/>
  <c r="G177" i="19" s="1"/>
  <c r="D176" i="19"/>
  <c r="C176" i="19"/>
  <c r="F176" i="19" s="1"/>
  <c r="G176" i="19" s="1"/>
  <c r="G178" i="19" s="1"/>
  <c r="D171" i="19"/>
  <c r="G171" i="19" s="1"/>
  <c r="G172" i="19" s="1"/>
  <c r="J172" i="19" s="1"/>
  <c r="J173" i="19" s="1"/>
  <c r="D158" i="19"/>
  <c r="C152" i="19"/>
  <c r="C144" i="19"/>
  <c r="F143" i="19"/>
  <c r="F144" i="19" s="1"/>
  <c r="D143" i="19"/>
  <c r="G143" i="19" s="1"/>
  <c r="F137" i="19"/>
  <c r="D137" i="19"/>
  <c r="F136" i="19"/>
  <c r="D136" i="19"/>
  <c r="F135" i="19"/>
  <c r="D135" i="19"/>
  <c r="B135" i="19"/>
  <c r="F134" i="19"/>
  <c r="D134" i="19"/>
  <c r="B134" i="19"/>
  <c r="C131" i="19"/>
  <c r="B131" i="19"/>
  <c r="F130" i="19"/>
  <c r="B130" i="19"/>
  <c r="B144" i="19" s="1"/>
  <c r="F129" i="19"/>
  <c r="D129" i="19"/>
  <c r="G129" i="19" s="1"/>
  <c r="F128" i="19"/>
  <c r="D128" i="19"/>
  <c r="G128" i="19" s="1"/>
  <c r="B128" i="19"/>
  <c r="I121" i="19"/>
  <c r="F120" i="19"/>
  <c r="E120" i="19"/>
  <c r="D120" i="19"/>
  <c r="F119" i="19"/>
  <c r="E119" i="19"/>
  <c r="D119" i="19"/>
  <c r="F118" i="19"/>
  <c r="E118" i="19"/>
  <c r="D118" i="19"/>
  <c r="G117" i="19"/>
  <c r="F117" i="19"/>
  <c r="D117" i="19"/>
  <c r="F116" i="19"/>
  <c r="D116" i="19"/>
  <c r="F115" i="19"/>
  <c r="D115" i="19"/>
  <c r="G115" i="19" s="1"/>
  <c r="F114" i="19"/>
  <c r="D114" i="19"/>
  <c r="G114" i="19" s="1"/>
  <c r="E109" i="19"/>
  <c r="D109" i="19"/>
  <c r="C109" i="19"/>
  <c r="G109" i="19" s="1"/>
  <c r="E108" i="19"/>
  <c r="D108" i="19"/>
  <c r="C108" i="19"/>
  <c r="G108" i="19" s="1"/>
  <c r="B108" i="19"/>
  <c r="F106" i="19"/>
  <c r="D106" i="19"/>
  <c r="F105" i="19"/>
  <c r="D105" i="19"/>
  <c r="B105" i="19"/>
  <c r="F104" i="19"/>
  <c r="D104" i="19"/>
  <c r="B104" i="19"/>
  <c r="F103" i="19"/>
  <c r="D103" i="19"/>
  <c r="B103" i="19"/>
  <c r="E92" i="19"/>
  <c r="D92" i="19"/>
  <c r="G92" i="19" s="1"/>
  <c r="G93" i="19" s="1"/>
  <c r="D85" i="19"/>
  <c r="G85" i="19" s="1"/>
  <c r="D84" i="19"/>
  <c r="G84" i="19" s="1"/>
  <c r="G86" i="19" s="1"/>
  <c r="E78" i="19"/>
  <c r="D78" i="19"/>
  <c r="E77" i="19"/>
  <c r="D77" i="19"/>
  <c r="C77" i="19"/>
  <c r="E76" i="19"/>
  <c r="F76" i="19"/>
  <c r="G76" i="19" s="1"/>
  <c r="E75" i="19"/>
  <c r="M74" i="19"/>
  <c r="E74" i="19"/>
  <c r="M73" i="19"/>
  <c r="N73" i="19" s="1"/>
  <c r="E73" i="19"/>
  <c r="E72" i="19"/>
  <c r="E71" i="19"/>
  <c r="D71" i="19"/>
  <c r="E70" i="19"/>
  <c r="B70" i="19"/>
  <c r="E69" i="19"/>
  <c r="D69" i="19"/>
  <c r="E68" i="19"/>
  <c r="E67" i="19"/>
  <c r="D67" i="19"/>
  <c r="E66" i="19"/>
  <c r="E65" i="19"/>
  <c r="E64" i="19"/>
  <c r="D64" i="19"/>
  <c r="E63" i="19"/>
  <c r="D63" i="19"/>
  <c r="E62" i="19"/>
  <c r="B62" i="19"/>
  <c r="F54" i="19"/>
  <c r="D54" i="19"/>
  <c r="C54" i="19"/>
  <c r="G54" i="19" s="1"/>
  <c r="B54" i="19"/>
  <c r="C53" i="19"/>
  <c r="C52" i="19"/>
  <c r="B52" i="19"/>
  <c r="B72" i="19" s="1"/>
  <c r="F51" i="19"/>
  <c r="D51" i="19"/>
  <c r="C71" i="19" s="1"/>
  <c r="F71" i="19" s="1"/>
  <c r="G71" i="19" s="1"/>
  <c r="C51" i="19"/>
  <c r="F50" i="19"/>
  <c r="D50" i="19"/>
  <c r="C69" i="19" s="1"/>
  <c r="F69" i="19" s="1"/>
  <c r="G69" i="19" s="1"/>
  <c r="C50" i="19"/>
  <c r="B50" i="19"/>
  <c r="B68" i="19" s="1"/>
  <c r="F49" i="19"/>
  <c r="D49" i="19"/>
  <c r="C67" i="19" s="1"/>
  <c r="F67" i="19" s="1"/>
  <c r="G67" i="19" s="1"/>
  <c r="C49" i="19"/>
  <c r="F48" i="19"/>
  <c r="D48" i="19"/>
  <c r="C64" i="19" s="1"/>
  <c r="F64" i="19" s="1"/>
  <c r="G64" i="19" s="1"/>
  <c r="C48" i="19"/>
  <c r="B48" i="19"/>
  <c r="B65" i="19" s="1"/>
  <c r="F38" i="19"/>
  <c r="G38" i="19" s="1"/>
  <c r="D35" i="19"/>
  <c r="D34" i="19"/>
  <c r="D33" i="19"/>
  <c r="D65" i="19" s="1"/>
  <c r="C33" i="19"/>
  <c r="G33" i="19" s="1"/>
  <c r="D32" i="19"/>
  <c r="D21" i="19"/>
  <c r="C21" i="19"/>
  <c r="G21" i="19" s="1"/>
  <c r="D20" i="19"/>
  <c r="C20" i="19"/>
  <c r="G20" i="19" s="1"/>
  <c r="E14" i="19"/>
  <c r="E22" i="19" s="1"/>
  <c r="D14" i="19"/>
  <c r="D22" i="19" s="1"/>
  <c r="C14" i="19"/>
  <c r="B14" i="19"/>
  <c r="B22" i="19" s="1"/>
  <c r="R10" i="19"/>
  <c r="Q10" i="19"/>
  <c r="P10" i="19"/>
  <c r="N10" i="19"/>
  <c r="M10" i="19"/>
  <c r="E10" i="19"/>
  <c r="D10" i="19"/>
  <c r="G10" i="19" s="1"/>
  <c r="G11" i="19" s="1"/>
  <c r="J11" i="19" s="1"/>
  <c r="E75" i="17"/>
  <c r="C77" i="18"/>
  <c r="D76" i="18"/>
  <c r="D75" i="18"/>
  <c r="E75" i="18"/>
  <c r="M73" i="18"/>
  <c r="N73" i="18" s="1"/>
  <c r="M74" i="18"/>
  <c r="D72" i="18"/>
  <c r="E37" i="18"/>
  <c r="E53" i="18" s="1"/>
  <c r="C75" i="18" s="1"/>
  <c r="F75" i="18" s="1"/>
  <c r="G75" i="18" s="1"/>
  <c r="D37" i="18"/>
  <c r="D53" i="18" s="1"/>
  <c r="E36" i="18"/>
  <c r="E52" i="18" s="1"/>
  <c r="D73" i="18" s="1"/>
  <c r="D36" i="18"/>
  <c r="D34" i="18"/>
  <c r="F38" i="18"/>
  <c r="F54" i="18" s="1"/>
  <c r="G54" i="18" s="1"/>
  <c r="C193" i="18"/>
  <c r="C192" i="18"/>
  <c r="C190" i="18"/>
  <c r="G184" i="18"/>
  <c r="J184" i="18" s="1"/>
  <c r="G182" i="18"/>
  <c r="J182" i="18" s="1"/>
  <c r="F177" i="18"/>
  <c r="G177" i="18" s="1"/>
  <c r="D177" i="18"/>
  <c r="D176" i="18"/>
  <c r="C176" i="18"/>
  <c r="F176" i="18" s="1"/>
  <c r="G176" i="18" s="1"/>
  <c r="G178" i="18" s="1"/>
  <c r="D165" i="18"/>
  <c r="D158" i="18"/>
  <c r="C152" i="18"/>
  <c r="C144" i="18"/>
  <c r="F143" i="18"/>
  <c r="F144" i="18" s="1"/>
  <c r="D143" i="18"/>
  <c r="G143" i="18" s="1"/>
  <c r="D137" i="18"/>
  <c r="B135" i="18"/>
  <c r="B104" i="18" s="1"/>
  <c r="B134" i="18"/>
  <c r="B103" i="18" s="1"/>
  <c r="F131" i="18"/>
  <c r="C131" i="18"/>
  <c r="B131" i="18"/>
  <c r="F130" i="18"/>
  <c r="D130" i="18"/>
  <c r="D144" i="18" s="1"/>
  <c r="B130" i="18"/>
  <c r="B144" i="18" s="1"/>
  <c r="F129" i="18"/>
  <c r="D129" i="18"/>
  <c r="G129" i="18" s="1"/>
  <c r="G128" i="18"/>
  <c r="F128" i="18"/>
  <c r="D128" i="18"/>
  <c r="B128" i="18"/>
  <c r="I121" i="18"/>
  <c r="E120" i="18"/>
  <c r="E119" i="18"/>
  <c r="E118" i="18"/>
  <c r="F117" i="18"/>
  <c r="F166" i="18" s="1"/>
  <c r="D117" i="18"/>
  <c r="D166" i="18" s="1"/>
  <c r="G166" i="18" s="1"/>
  <c r="F116" i="18"/>
  <c r="D116" i="18"/>
  <c r="F115" i="18"/>
  <c r="D115" i="18"/>
  <c r="G115" i="18" s="1"/>
  <c r="F114" i="18"/>
  <c r="D114" i="18"/>
  <c r="G114" i="18" s="1"/>
  <c r="E109" i="18"/>
  <c r="C109" i="18"/>
  <c r="E108" i="18"/>
  <c r="C108" i="18"/>
  <c r="B108" i="18"/>
  <c r="D107" i="18"/>
  <c r="C107" i="18"/>
  <c r="D106" i="18"/>
  <c r="B105" i="18"/>
  <c r="E92" i="18"/>
  <c r="D92" i="18"/>
  <c r="G92" i="18" s="1"/>
  <c r="G93" i="18" s="1"/>
  <c r="D85" i="18"/>
  <c r="G85" i="18" s="1"/>
  <c r="D84" i="18"/>
  <c r="D108" i="18" s="1"/>
  <c r="E78" i="18"/>
  <c r="D78" i="18"/>
  <c r="E77" i="18"/>
  <c r="D77" i="18"/>
  <c r="F77" i="18"/>
  <c r="G77" i="18" s="1"/>
  <c r="E76" i="18"/>
  <c r="F76" i="18" s="1"/>
  <c r="G76" i="18" s="1"/>
  <c r="E74" i="18"/>
  <c r="E73" i="18"/>
  <c r="E72" i="18"/>
  <c r="E71" i="18"/>
  <c r="D71" i="18"/>
  <c r="E70" i="18"/>
  <c r="B70" i="18"/>
  <c r="E69" i="18"/>
  <c r="D69" i="18"/>
  <c r="E68" i="18"/>
  <c r="E67" i="18"/>
  <c r="D67" i="18"/>
  <c r="E66" i="18"/>
  <c r="E65" i="18"/>
  <c r="E64" i="18"/>
  <c r="D64" i="18"/>
  <c r="E63" i="18"/>
  <c r="E62" i="18"/>
  <c r="B62" i="18"/>
  <c r="D54" i="18"/>
  <c r="C54" i="18"/>
  <c r="B54" i="18"/>
  <c r="C53" i="18"/>
  <c r="C52" i="18"/>
  <c r="B52" i="18"/>
  <c r="B72" i="18" s="1"/>
  <c r="F51" i="18"/>
  <c r="C51" i="18"/>
  <c r="C70" i="18" s="1"/>
  <c r="F50" i="18"/>
  <c r="C50" i="18"/>
  <c r="C68" i="18" s="1"/>
  <c r="B50" i="18"/>
  <c r="B68" i="18" s="1"/>
  <c r="F49" i="18"/>
  <c r="F48" i="18"/>
  <c r="C48" i="18"/>
  <c r="C63" i="18" s="1"/>
  <c r="B48" i="18"/>
  <c r="B65" i="18" s="1"/>
  <c r="D52" i="18"/>
  <c r="D35" i="18"/>
  <c r="D70" i="18" s="1"/>
  <c r="D33" i="18"/>
  <c r="C33" i="18"/>
  <c r="G32" i="18"/>
  <c r="D32" i="18"/>
  <c r="D21" i="18"/>
  <c r="C21" i="18"/>
  <c r="D20" i="18"/>
  <c r="C20" i="18"/>
  <c r="E14" i="18"/>
  <c r="E22" i="18" s="1"/>
  <c r="D14" i="18"/>
  <c r="D22" i="18" s="1"/>
  <c r="C14" i="18"/>
  <c r="B14" i="18"/>
  <c r="B22" i="18" s="1"/>
  <c r="R10" i="18"/>
  <c r="D136" i="18" s="1"/>
  <c r="D105" i="18" s="1"/>
  <c r="Q10" i="18"/>
  <c r="F136" i="18" s="1"/>
  <c r="F105" i="18" s="1"/>
  <c r="P10" i="18"/>
  <c r="F119" i="18" s="1"/>
  <c r="N10" i="18"/>
  <c r="D118" i="18" s="1"/>
  <c r="M10" i="18"/>
  <c r="D134" i="18" s="1"/>
  <c r="E10" i="18"/>
  <c r="D10" i="18"/>
  <c r="G10" i="18" s="1"/>
  <c r="G11" i="18" s="1"/>
  <c r="J11" i="18" s="1"/>
  <c r="G167" i="20" l="1"/>
  <c r="J178" i="20"/>
  <c r="J179" i="20"/>
  <c r="J180" i="20"/>
  <c r="G130" i="20"/>
  <c r="D144" i="20"/>
  <c r="G144" i="20" s="1"/>
  <c r="G145" i="20" s="1"/>
  <c r="J93" i="20"/>
  <c r="J94" i="20"/>
  <c r="J95" i="20"/>
  <c r="J96" i="20"/>
  <c r="J97" i="20"/>
  <c r="J98" i="20"/>
  <c r="J99" i="20"/>
  <c r="J100" i="20"/>
  <c r="D109" i="20"/>
  <c r="G109" i="20" s="1"/>
  <c r="G85" i="20"/>
  <c r="G86" i="20" s="1"/>
  <c r="J86" i="20"/>
  <c r="J87" i="20"/>
  <c r="J88" i="20"/>
  <c r="J89" i="20"/>
  <c r="C78" i="20"/>
  <c r="F78" i="20" s="1"/>
  <c r="G78" i="20" s="1"/>
  <c r="F77" i="20"/>
  <c r="G77" i="20" s="1"/>
  <c r="C75" i="20"/>
  <c r="E133" i="20"/>
  <c r="D74" i="20"/>
  <c r="D75" i="20"/>
  <c r="D133" i="20"/>
  <c r="G133" i="20" s="1"/>
  <c r="C74" i="20"/>
  <c r="F74" i="20" s="1"/>
  <c r="G74" i="20" s="1"/>
  <c r="C72" i="20"/>
  <c r="E132" i="20"/>
  <c r="D73" i="20"/>
  <c r="G51" i="20"/>
  <c r="C70" i="20"/>
  <c r="F70" i="20" s="1"/>
  <c r="G70" i="20" s="1"/>
  <c r="C68" i="20"/>
  <c r="F68" i="20" s="1"/>
  <c r="G68" i="20" s="1"/>
  <c r="G50" i="20"/>
  <c r="F54" i="20"/>
  <c r="G54" i="20" s="1"/>
  <c r="G38" i="20"/>
  <c r="G36" i="20"/>
  <c r="D52" i="20"/>
  <c r="G35" i="20"/>
  <c r="D70" i="20"/>
  <c r="D51" i="20"/>
  <c r="C71" i="20" s="1"/>
  <c r="F71" i="20" s="1"/>
  <c r="G71" i="20" s="1"/>
  <c r="G34" i="20"/>
  <c r="D68" i="20"/>
  <c r="D50" i="20"/>
  <c r="C69" i="20" s="1"/>
  <c r="F69" i="20" s="1"/>
  <c r="G69" i="20" s="1"/>
  <c r="D66" i="20"/>
  <c r="D65" i="20"/>
  <c r="D49" i="20"/>
  <c r="C67" i="20" s="1"/>
  <c r="F67" i="20" s="1"/>
  <c r="G67" i="20" s="1"/>
  <c r="D63" i="20"/>
  <c r="F63" i="20" s="1"/>
  <c r="G63" i="20" s="1"/>
  <c r="G33" i="20"/>
  <c r="C49" i="20"/>
  <c r="D48" i="20"/>
  <c r="D62" i="20"/>
  <c r="F62" i="20" s="1"/>
  <c r="G62" i="20" s="1"/>
  <c r="C136" i="20"/>
  <c r="C135" i="20"/>
  <c r="C134" i="20"/>
  <c r="C107" i="20"/>
  <c r="C119" i="20"/>
  <c r="C120" i="20"/>
  <c r="C118" i="20"/>
  <c r="C22" i="20"/>
  <c r="G22" i="20" s="1"/>
  <c r="G23" i="20" s="1"/>
  <c r="G14" i="20"/>
  <c r="G15" i="20" s="1"/>
  <c r="D120" i="20"/>
  <c r="D136" i="20"/>
  <c r="D105" i="20" s="1"/>
  <c r="F120" i="20"/>
  <c r="D171" i="20"/>
  <c r="G171" i="20" s="1"/>
  <c r="G172" i="20" s="1"/>
  <c r="J172" i="20" s="1"/>
  <c r="J173" i="20" s="1"/>
  <c r="F137" i="20"/>
  <c r="F106" i="20" s="1"/>
  <c r="F136" i="20"/>
  <c r="F105" i="20" s="1"/>
  <c r="F135" i="20"/>
  <c r="F104" i="20" s="1"/>
  <c r="F134" i="20"/>
  <c r="F103" i="20" s="1"/>
  <c r="F118" i="20"/>
  <c r="F119" i="20"/>
  <c r="D118" i="20"/>
  <c r="E107" i="20"/>
  <c r="D135" i="20"/>
  <c r="D104" i="20" s="1"/>
  <c r="D107" i="20"/>
  <c r="D119" i="20"/>
  <c r="D134" i="20"/>
  <c r="D103" i="20" s="1"/>
  <c r="D53" i="19"/>
  <c r="G53" i="19" s="1"/>
  <c r="G37" i="19"/>
  <c r="D52" i="19"/>
  <c r="G52" i="19" s="1"/>
  <c r="G36" i="19"/>
  <c r="J178" i="19"/>
  <c r="J179" i="19"/>
  <c r="J180" i="19"/>
  <c r="F166" i="19"/>
  <c r="F131" i="19"/>
  <c r="D166" i="19"/>
  <c r="G166" i="19" s="1"/>
  <c r="D131" i="19"/>
  <c r="G131" i="19" s="1"/>
  <c r="D130" i="19"/>
  <c r="D165" i="19"/>
  <c r="G165" i="19" s="1"/>
  <c r="G167" i="19" s="1"/>
  <c r="G116" i="19"/>
  <c r="G121" i="19" s="1"/>
  <c r="J98" i="19"/>
  <c r="J95" i="19"/>
  <c r="J96" i="19"/>
  <c r="J97" i="19"/>
  <c r="J100" i="19"/>
  <c r="J93" i="19"/>
  <c r="J94" i="19"/>
  <c r="J99" i="19"/>
  <c r="J86" i="19"/>
  <c r="J87" i="19"/>
  <c r="J89" i="19"/>
  <c r="J88" i="19"/>
  <c r="F77" i="19"/>
  <c r="G77" i="19" s="1"/>
  <c r="C78" i="19"/>
  <c r="F78" i="19" s="1"/>
  <c r="G78" i="19" s="1"/>
  <c r="D74" i="19"/>
  <c r="E133" i="19"/>
  <c r="C75" i="19"/>
  <c r="D75" i="19"/>
  <c r="D133" i="19"/>
  <c r="G133" i="19" s="1"/>
  <c r="C74" i="19"/>
  <c r="F74" i="19" s="1"/>
  <c r="G74" i="19" s="1"/>
  <c r="E132" i="19"/>
  <c r="D73" i="19"/>
  <c r="C72" i="19"/>
  <c r="D72" i="19"/>
  <c r="D132" i="19"/>
  <c r="G132" i="19" s="1"/>
  <c r="C73" i="19"/>
  <c r="F73" i="19" s="1"/>
  <c r="G73" i="19" s="1"/>
  <c r="G51" i="19"/>
  <c r="C70" i="19"/>
  <c r="F70" i="19" s="1"/>
  <c r="G70" i="19" s="1"/>
  <c r="C68" i="19"/>
  <c r="G50" i="19"/>
  <c r="G49" i="19"/>
  <c r="C65" i="19"/>
  <c r="F65" i="19" s="1"/>
  <c r="G65" i="19" s="1"/>
  <c r="C66" i="19"/>
  <c r="C63" i="19"/>
  <c r="F63" i="19" s="1"/>
  <c r="G63" i="19" s="1"/>
  <c r="C62" i="19"/>
  <c r="G48" i="19"/>
  <c r="G35" i="19"/>
  <c r="D70" i="19"/>
  <c r="D68" i="19"/>
  <c r="G34" i="19"/>
  <c r="D66" i="19"/>
  <c r="D62" i="19"/>
  <c r="G32" i="19"/>
  <c r="G14" i="19"/>
  <c r="G15" i="19" s="1"/>
  <c r="C22" i="19"/>
  <c r="G22" i="19" s="1"/>
  <c r="G23" i="19" s="1"/>
  <c r="C134" i="19"/>
  <c r="C135" i="19"/>
  <c r="C120" i="19"/>
  <c r="G120" i="19" s="1"/>
  <c r="C136" i="19"/>
  <c r="C118" i="19"/>
  <c r="G118" i="19" s="1"/>
  <c r="C107" i="19"/>
  <c r="G107" i="19" s="1"/>
  <c r="C119" i="19"/>
  <c r="G119" i="19" s="1"/>
  <c r="G130" i="18"/>
  <c r="G108" i="18"/>
  <c r="G21" i="18"/>
  <c r="G20" i="18"/>
  <c r="G34" i="18"/>
  <c r="D68" i="18"/>
  <c r="G165" i="18"/>
  <c r="G116" i="18"/>
  <c r="D65" i="18"/>
  <c r="D63" i="18"/>
  <c r="F63" i="18" s="1"/>
  <c r="G63" i="18" s="1"/>
  <c r="D49" i="18"/>
  <c r="C67" i="18" s="1"/>
  <c r="F67" i="18" s="1"/>
  <c r="G67" i="18" s="1"/>
  <c r="G33" i="18"/>
  <c r="C49" i="18"/>
  <c r="D48" i="18"/>
  <c r="C64" i="18" s="1"/>
  <c r="F64" i="18" s="1"/>
  <c r="G64" i="18" s="1"/>
  <c r="D62" i="18"/>
  <c r="C135" i="18"/>
  <c r="C134" i="18"/>
  <c r="C103" i="18" s="1"/>
  <c r="C119" i="18"/>
  <c r="C118" i="18"/>
  <c r="C22" i="18"/>
  <c r="G22" i="18" s="1"/>
  <c r="E133" i="18"/>
  <c r="D74" i="18"/>
  <c r="G37" i="18"/>
  <c r="D66" i="18"/>
  <c r="F66" i="18" s="1"/>
  <c r="G66" i="18" s="1"/>
  <c r="D50" i="18"/>
  <c r="F68" i="18"/>
  <c r="G68" i="18" s="1"/>
  <c r="D133" i="18"/>
  <c r="C74" i="18"/>
  <c r="J180" i="18"/>
  <c r="J179" i="18"/>
  <c r="J178" i="18"/>
  <c r="G53" i="18"/>
  <c r="C104" i="18"/>
  <c r="C158" i="18"/>
  <c r="G158" i="18" s="1"/>
  <c r="G159" i="18" s="1"/>
  <c r="J94" i="18"/>
  <c r="J93" i="18"/>
  <c r="J100" i="18"/>
  <c r="J96" i="18"/>
  <c r="J99" i="18"/>
  <c r="J98" i="18"/>
  <c r="J97" i="18"/>
  <c r="J95" i="18"/>
  <c r="G144" i="18"/>
  <c r="G145" i="18" s="1"/>
  <c r="C73" i="18"/>
  <c r="F73" i="18" s="1"/>
  <c r="G73" i="18" s="1"/>
  <c r="G52" i="18"/>
  <c r="D132" i="18"/>
  <c r="D103" i="18"/>
  <c r="F70" i="18"/>
  <c r="G70" i="18" s="1"/>
  <c r="G109" i="18"/>
  <c r="G167" i="18"/>
  <c r="C72" i="18"/>
  <c r="C78" i="18"/>
  <c r="F78" i="18" s="1"/>
  <c r="G78" i="18" s="1"/>
  <c r="F118" i="18"/>
  <c r="D120" i="18"/>
  <c r="D131" i="18"/>
  <c r="G131" i="18" s="1"/>
  <c r="D135" i="18"/>
  <c r="F135" i="18"/>
  <c r="F104" i="18" s="1"/>
  <c r="F137" i="18"/>
  <c r="F106" i="18" s="1"/>
  <c r="G14" i="18"/>
  <c r="G15" i="18" s="1"/>
  <c r="G35" i="18"/>
  <c r="G38" i="18"/>
  <c r="D51" i="18"/>
  <c r="C71" i="18" s="1"/>
  <c r="F71" i="18" s="1"/>
  <c r="G71" i="18" s="1"/>
  <c r="C62" i="18"/>
  <c r="G84" i="18"/>
  <c r="G86" i="18" s="1"/>
  <c r="F120" i="18"/>
  <c r="E107" i="18"/>
  <c r="G107" i="18" s="1"/>
  <c r="D109" i="18"/>
  <c r="D119" i="18"/>
  <c r="G119" i="18" s="1"/>
  <c r="C136" i="18"/>
  <c r="G117" i="18"/>
  <c r="E132" i="18"/>
  <c r="F134" i="18"/>
  <c r="F103" i="18" s="1"/>
  <c r="G103" i="18" s="1"/>
  <c r="D171" i="18"/>
  <c r="G171" i="18" s="1"/>
  <c r="G172" i="18" s="1"/>
  <c r="J172" i="18" s="1"/>
  <c r="J173" i="18" s="1"/>
  <c r="G49" i="18"/>
  <c r="G36" i="18"/>
  <c r="G48" i="18"/>
  <c r="C120" i="18"/>
  <c r="E65" i="17"/>
  <c r="E66" i="17"/>
  <c r="E62" i="17"/>
  <c r="E63" i="17"/>
  <c r="F144" i="17"/>
  <c r="C144" i="17"/>
  <c r="F143" i="17"/>
  <c r="D143" i="17"/>
  <c r="G143" i="17" s="1"/>
  <c r="F129" i="17"/>
  <c r="F115" i="17"/>
  <c r="F114" i="17"/>
  <c r="F49" i="17"/>
  <c r="F48" i="17"/>
  <c r="D177" i="17"/>
  <c r="D176" i="17"/>
  <c r="C176" i="17"/>
  <c r="F176" i="17" s="1"/>
  <c r="G176" i="17" s="1"/>
  <c r="F177" i="17"/>
  <c r="G177" i="17" s="1"/>
  <c r="J167" i="20" l="1"/>
  <c r="J168" i="20"/>
  <c r="G52" i="20"/>
  <c r="C73" i="20"/>
  <c r="F73" i="20" s="1"/>
  <c r="G73" i="20" s="1"/>
  <c r="D132" i="20"/>
  <c r="G132" i="20" s="1"/>
  <c r="D72" i="20"/>
  <c r="F72" i="20" s="1"/>
  <c r="G72" i="20" s="1"/>
  <c r="G49" i="20"/>
  <c r="C65" i="20"/>
  <c r="F65" i="20" s="1"/>
  <c r="G65" i="20" s="1"/>
  <c r="C66" i="20"/>
  <c r="F66" i="20" s="1"/>
  <c r="G66" i="20" s="1"/>
  <c r="C64" i="20"/>
  <c r="F64" i="20" s="1"/>
  <c r="G64" i="20" s="1"/>
  <c r="G48" i="20"/>
  <c r="G55" i="20" s="1"/>
  <c r="G136" i="20"/>
  <c r="C137" i="20"/>
  <c r="C105" i="20"/>
  <c r="G105" i="20" s="1"/>
  <c r="G135" i="20"/>
  <c r="C158" i="20"/>
  <c r="G158" i="20" s="1"/>
  <c r="G159" i="20" s="1"/>
  <c r="C104" i="20"/>
  <c r="G104" i="20" s="1"/>
  <c r="G134" i="20"/>
  <c r="C103" i="20"/>
  <c r="G103" i="20" s="1"/>
  <c r="J24" i="20"/>
  <c r="J28" i="20"/>
  <c r="J23" i="20"/>
  <c r="J27" i="20"/>
  <c r="J29" i="20"/>
  <c r="J25" i="20"/>
  <c r="J26" i="20"/>
  <c r="J16" i="20"/>
  <c r="J15" i="20"/>
  <c r="J17" i="20"/>
  <c r="J149" i="20"/>
  <c r="J148" i="20"/>
  <c r="J147" i="20"/>
  <c r="J146" i="20"/>
  <c r="J145" i="20"/>
  <c r="G39" i="20"/>
  <c r="G107" i="20"/>
  <c r="G119" i="20"/>
  <c r="G120" i="20"/>
  <c r="G118" i="20"/>
  <c r="G121" i="20" s="1"/>
  <c r="F75" i="20"/>
  <c r="G75" i="20" s="1"/>
  <c r="F75" i="19"/>
  <c r="G75" i="19" s="1"/>
  <c r="F72" i="19"/>
  <c r="G72" i="19" s="1"/>
  <c r="G39" i="19"/>
  <c r="D144" i="19"/>
  <c r="G144" i="19" s="1"/>
  <c r="G145" i="19" s="1"/>
  <c r="G130" i="19"/>
  <c r="J167" i="19"/>
  <c r="J168" i="19"/>
  <c r="J17" i="19"/>
  <c r="J15" i="19"/>
  <c r="J16" i="19"/>
  <c r="J29" i="19"/>
  <c r="J28" i="19"/>
  <c r="J27" i="19"/>
  <c r="J26" i="19"/>
  <c r="J25" i="19"/>
  <c r="J24" i="19"/>
  <c r="J23" i="19"/>
  <c r="G134" i="19"/>
  <c r="C103" i="19"/>
  <c r="G103" i="19" s="1"/>
  <c r="C158" i="19"/>
  <c r="G158" i="19" s="1"/>
  <c r="G159" i="19" s="1"/>
  <c r="G135" i="19"/>
  <c r="C104" i="19"/>
  <c r="G104" i="19" s="1"/>
  <c r="C137" i="19"/>
  <c r="C105" i="19"/>
  <c r="G105" i="19" s="1"/>
  <c r="G136" i="19"/>
  <c r="J121" i="19"/>
  <c r="J124" i="19"/>
  <c r="J122" i="19"/>
  <c r="J123" i="19"/>
  <c r="J125" i="19"/>
  <c r="F68" i="19"/>
  <c r="G68" i="19" s="1"/>
  <c r="F66" i="19"/>
  <c r="G66" i="19" s="1"/>
  <c r="F62" i="19"/>
  <c r="G62" i="19" s="1"/>
  <c r="G55" i="19"/>
  <c r="G23" i="18"/>
  <c r="G133" i="18"/>
  <c r="G152" i="18" s="1"/>
  <c r="G153" i="18" s="1"/>
  <c r="G118" i="18"/>
  <c r="G121" i="18" s="1"/>
  <c r="F62" i="18"/>
  <c r="G62" i="18" s="1"/>
  <c r="C66" i="18"/>
  <c r="C65" i="18"/>
  <c r="F65" i="18" s="1"/>
  <c r="G65" i="18" s="1"/>
  <c r="D104" i="18"/>
  <c r="G135" i="18"/>
  <c r="F74" i="18"/>
  <c r="G74" i="18" s="1"/>
  <c r="F72" i="18"/>
  <c r="G72" i="18" s="1"/>
  <c r="G132" i="18"/>
  <c r="C69" i="18"/>
  <c r="F69" i="18" s="1"/>
  <c r="G69" i="18" s="1"/>
  <c r="G50" i="18"/>
  <c r="G39" i="18"/>
  <c r="J44" i="18" s="1"/>
  <c r="J17" i="18"/>
  <c r="J16" i="18"/>
  <c r="J15" i="18"/>
  <c r="J168" i="18"/>
  <c r="J167" i="18"/>
  <c r="G120" i="18"/>
  <c r="J149" i="18"/>
  <c r="J148" i="18"/>
  <c r="J147" i="18"/>
  <c r="J146" i="18"/>
  <c r="J145" i="18"/>
  <c r="G104" i="18"/>
  <c r="C137" i="18"/>
  <c r="G136" i="18"/>
  <c r="C105" i="18"/>
  <c r="G105" i="18" s="1"/>
  <c r="G51" i="18"/>
  <c r="J159" i="18"/>
  <c r="J162" i="18"/>
  <c r="J161" i="18"/>
  <c r="J160" i="18"/>
  <c r="J87" i="18"/>
  <c r="J86" i="18"/>
  <c r="J89" i="18"/>
  <c r="J88" i="18"/>
  <c r="G134" i="18"/>
  <c r="G178" i="17"/>
  <c r="G152" i="20" l="1"/>
  <c r="G153" i="20" s="1"/>
  <c r="J55" i="20"/>
  <c r="J56" i="20"/>
  <c r="J57" i="20"/>
  <c r="J58" i="20"/>
  <c r="J59" i="20"/>
  <c r="G137" i="20"/>
  <c r="G138" i="20" s="1"/>
  <c r="C106" i="20"/>
  <c r="G106" i="20" s="1"/>
  <c r="G110" i="20" s="1"/>
  <c r="J159" i="20"/>
  <c r="J160" i="20"/>
  <c r="J161" i="20"/>
  <c r="J162" i="20"/>
  <c r="J110" i="20"/>
  <c r="J111" i="20"/>
  <c r="J45" i="20"/>
  <c r="J44" i="20"/>
  <c r="J43" i="20"/>
  <c r="J42" i="20"/>
  <c r="J41" i="20"/>
  <c r="J40" i="20"/>
  <c r="J39" i="20"/>
  <c r="J121" i="20"/>
  <c r="J122" i="20"/>
  <c r="J123" i="20"/>
  <c r="J124" i="20"/>
  <c r="J125" i="20"/>
  <c r="G79" i="20"/>
  <c r="G79" i="19"/>
  <c r="J79" i="19" s="1"/>
  <c r="J39" i="19"/>
  <c r="J43" i="19"/>
  <c r="J42" i="19"/>
  <c r="J40" i="19"/>
  <c r="J41" i="19"/>
  <c r="J44" i="19"/>
  <c r="J45" i="19"/>
  <c r="J149" i="19"/>
  <c r="J147" i="19"/>
  <c r="J145" i="19"/>
  <c r="J148" i="19"/>
  <c r="J146" i="19"/>
  <c r="G153" i="19"/>
  <c r="J159" i="19"/>
  <c r="J160" i="19"/>
  <c r="J161" i="19"/>
  <c r="J162" i="19"/>
  <c r="G137" i="19"/>
  <c r="G138" i="19" s="1"/>
  <c r="C106" i="19"/>
  <c r="G106" i="19" s="1"/>
  <c r="G110" i="19" s="1"/>
  <c r="J59" i="19"/>
  <c r="J58" i="19"/>
  <c r="J57" i="19"/>
  <c r="J56" i="19"/>
  <c r="J55" i="19"/>
  <c r="J28" i="18"/>
  <c r="J23" i="18"/>
  <c r="J24" i="18"/>
  <c r="J25" i="18"/>
  <c r="J26" i="18"/>
  <c r="J27" i="18"/>
  <c r="J29" i="18"/>
  <c r="J155" i="18"/>
  <c r="J153" i="18"/>
  <c r="G55" i="18"/>
  <c r="G79" i="18"/>
  <c r="J79" i="18" s="1"/>
  <c r="J154" i="18"/>
  <c r="J41" i="18"/>
  <c r="J39" i="18"/>
  <c r="J42" i="18"/>
  <c r="J43" i="18"/>
  <c r="J40" i="18"/>
  <c r="J45" i="18"/>
  <c r="G138" i="18"/>
  <c r="G110" i="18"/>
  <c r="J58" i="18"/>
  <c r="C106" i="18"/>
  <c r="G106" i="18" s="1"/>
  <c r="G137" i="18"/>
  <c r="J122" i="18"/>
  <c r="J121" i="18"/>
  <c r="J124" i="18"/>
  <c r="J125" i="18"/>
  <c r="J123" i="18"/>
  <c r="J180" i="17"/>
  <c r="J179" i="17"/>
  <c r="J178" i="17"/>
  <c r="J155" i="20" l="1"/>
  <c r="J154" i="20"/>
  <c r="J153" i="20"/>
  <c r="J140" i="20"/>
  <c r="J139" i="20"/>
  <c r="J138" i="20"/>
  <c r="J79" i="20"/>
  <c r="J80" i="20"/>
  <c r="J81" i="20"/>
  <c r="J81" i="19"/>
  <c r="J80" i="19"/>
  <c r="J153" i="19"/>
  <c r="J155" i="19"/>
  <c r="J154" i="19"/>
  <c r="J140" i="19"/>
  <c r="J138" i="19"/>
  <c r="J139" i="19"/>
  <c r="J110" i="19"/>
  <c r="J111" i="19"/>
  <c r="J186" i="19"/>
  <c r="C188" i="19" s="1"/>
  <c r="J57" i="18"/>
  <c r="J56" i="18"/>
  <c r="J55" i="18"/>
  <c r="J59" i="18"/>
  <c r="J81" i="18"/>
  <c r="J80" i="18"/>
  <c r="J110" i="18"/>
  <c r="J111" i="18"/>
  <c r="J140" i="18"/>
  <c r="J139" i="18"/>
  <c r="J138" i="18"/>
  <c r="D158" i="17"/>
  <c r="C109" i="17"/>
  <c r="E109" i="17"/>
  <c r="E108" i="17"/>
  <c r="C108" i="17"/>
  <c r="B108" i="17"/>
  <c r="D85" i="17"/>
  <c r="G85" i="17" s="1"/>
  <c r="D84" i="17"/>
  <c r="D108" i="17" s="1"/>
  <c r="D76" i="17"/>
  <c r="D37" i="17"/>
  <c r="D53" i="17" s="1"/>
  <c r="E36" i="17"/>
  <c r="D36" i="17"/>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C68" i="17"/>
  <c r="E67" i="17"/>
  <c r="D67" i="17"/>
  <c r="E64" i="17"/>
  <c r="D64" i="17"/>
  <c r="B62" i="17"/>
  <c r="D54" i="17"/>
  <c r="C54" i="17"/>
  <c r="B54" i="17"/>
  <c r="C53" i="17"/>
  <c r="D52" i="17"/>
  <c r="C52" i="17"/>
  <c r="B52" i="17"/>
  <c r="B72" i="17" s="1"/>
  <c r="F51" i="17"/>
  <c r="C51" i="17"/>
  <c r="F50" i="17"/>
  <c r="C50" i="17"/>
  <c r="B50" i="17"/>
  <c r="B68" i="17" s="1"/>
  <c r="C48" i="17"/>
  <c r="B48" i="17"/>
  <c r="B65" i="17" s="1"/>
  <c r="E37" i="17"/>
  <c r="E53" i="17" s="1"/>
  <c r="D35" i="17"/>
  <c r="D70" i="17" s="1"/>
  <c r="D34" i="17"/>
  <c r="D66" i="17" s="1"/>
  <c r="D33" i="17"/>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J186" i="20" l="1"/>
  <c r="C188" i="20" s="1"/>
  <c r="E190" i="19"/>
  <c r="E191" i="19" s="1"/>
  <c r="C191" i="19"/>
  <c r="D133" i="17"/>
  <c r="D75" i="17"/>
  <c r="D132" i="17"/>
  <c r="D72" i="17"/>
  <c r="C62" i="17"/>
  <c r="C63" i="17"/>
  <c r="D74" i="17"/>
  <c r="C75" i="17"/>
  <c r="F75" i="17" s="1"/>
  <c r="G75" i="17" s="1"/>
  <c r="D65" i="17"/>
  <c r="D63" i="17"/>
  <c r="C66" i="17"/>
  <c r="F66" i="17" s="1"/>
  <c r="G66" i="17" s="1"/>
  <c r="C65" i="17"/>
  <c r="J186" i="18"/>
  <c r="C188" i="18" s="1"/>
  <c r="E190" i="18" s="1"/>
  <c r="E191" i="18" s="1"/>
  <c r="G84" i="17"/>
  <c r="G86" i="17" s="1"/>
  <c r="J88" i="17" s="1"/>
  <c r="D50" i="17"/>
  <c r="C69" i="17" s="1"/>
  <c r="F69" i="17" s="1"/>
  <c r="G69" i="17" s="1"/>
  <c r="D68" i="17"/>
  <c r="F68" i="17" s="1"/>
  <c r="G68" i="17" s="1"/>
  <c r="G116" i="17"/>
  <c r="G21" i="17"/>
  <c r="G117" i="17"/>
  <c r="B103" i="17"/>
  <c r="G108" i="17"/>
  <c r="D109" i="17"/>
  <c r="G109" i="17" s="1"/>
  <c r="E133" i="17"/>
  <c r="G133" i="17" s="1"/>
  <c r="G36" i="17"/>
  <c r="J89" i="17"/>
  <c r="J87" i="17"/>
  <c r="J8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F65" i="17"/>
  <c r="G65" i="17" s="1"/>
  <c r="D107" i="17"/>
  <c r="C119" i="17"/>
  <c r="F120" i="17"/>
  <c r="F131" i="17"/>
  <c r="C135" i="17"/>
  <c r="C158" i="17" s="1"/>
  <c r="G158" i="17" s="1"/>
  <c r="G159" i="17" s="1"/>
  <c r="G14" i="17"/>
  <c r="G15" i="17" s="1"/>
  <c r="G35" i="17"/>
  <c r="G38" i="17"/>
  <c r="D51" i="17"/>
  <c r="C71" i="17" s="1"/>
  <c r="F71" i="17" s="1"/>
  <c r="G71" i="17" s="1"/>
  <c r="D130" i="17"/>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116" i="14"/>
  <c r="C14" i="14"/>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C191" i="20" l="1"/>
  <c r="E190" i="20"/>
  <c r="E191" i="20" s="1"/>
  <c r="F63" i="17"/>
  <c r="G63" i="17" s="1"/>
  <c r="G130" i="17"/>
  <c r="D144" i="17"/>
  <c r="G144" i="17" s="1"/>
  <c r="G145" i="17" s="1"/>
  <c r="C22" i="14"/>
  <c r="C93" i="14"/>
  <c r="C103" i="14"/>
  <c r="C117" i="14"/>
  <c r="C90" i="14" s="1"/>
  <c r="C191" i="18"/>
  <c r="G50" i="17"/>
  <c r="G48" i="17"/>
  <c r="G23" i="17"/>
  <c r="J29" i="17" s="1"/>
  <c r="J100" i="17"/>
  <c r="J99" i="17"/>
  <c r="J98" i="17"/>
  <c r="J95" i="17"/>
  <c r="J97" i="17"/>
  <c r="J96" i="17"/>
  <c r="J160" i="17"/>
  <c r="J162" i="17"/>
  <c r="J161" i="17"/>
  <c r="J159" i="17"/>
  <c r="C72" i="17"/>
  <c r="F72" i="17" s="1"/>
  <c r="G72" i="17" s="1"/>
  <c r="E132" i="17"/>
  <c r="G132" i="17" s="1"/>
  <c r="G52" i="17"/>
  <c r="G107" i="17"/>
  <c r="G49" i="17"/>
  <c r="G131" i="17"/>
  <c r="G167" i="17"/>
  <c r="J168" i="17" s="1"/>
  <c r="D73" i="17"/>
  <c r="C118" i="14"/>
  <c r="C119" i="14" s="1"/>
  <c r="C102" i="14"/>
  <c r="G10" i="14"/>
  <c r="G11" i="14" s="1"/>
  <c r="J11" i="14" s="1"/>
  <c r="C104" i="14"/>
  <c r="G51" i="17"/>
  <c r="G120" i="17"/>
  <c r="G39" i="17"/>
  <c r="J41" i="17" s="1"/>
  <c r="J24" i="17"/>
  <c r="F73" i="17"/>
  <c r="G73" i="17" s="1"/>
  <c r="G119" i="17"/>
  <c r="G121" i="17" s="1"/>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91"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23" i="14" s="1"/>
  <c r="G100" i="14"/>
  <c r="J145" i="17" l="1"/>
  <c r="J147" i="17"/>
  <c r="J146" i="17"/>
  <c r="J148" i="17"/>
  <c r="J149" i="17"/>
  <c r="G79" i="17"/>
  <c r="J27" i="17"/>
  <c r="J28" i="17"/>
  <c r="J25" i="17"/>
  <c r="J26" i="17"/>
  <c r="J23" i="17"/>
  <c r="G152" i="17"/>
  <c r="G153" i="17" s="1"/>
  <c r="J122" i="17"/>
  <c r="J167" i="17"/>
  <c r="J80" i="17"/>
  <c r="G55" i="17"/>
  <c r="J55" i="17" s="1"/>
  <c r="G133" i="14"/>
  <c r="G138" i="14"/>
  <c r="J138" i="14" s="1"/>
  <c r="J139" i="14" s="1"/>
  <c r="J45" i="17"/>
  <c r="J44" i="17"/>
  <c r="J39" i="17"/>
  <c r="J43" i="17"/>
  <c r="J42" i="17"/>
  <c r="J40" i="17"/>
  <c r="G137" i="17"/>
  <c r="G138" i="17" s="1"/>
  <c r="C106" i="17"/>
  <c r="G106" i="17" s="1"/>
  <c r="G110"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C149" i="14"/>
  <c r="F62" i="14"/>
  <c r="G62" i="14" s="1"/>
  <c r="F63" i="14"/>
  <c r="G63" i="14" s="1"/>
  <c r="G101" i="14"/>
  <c r="G99" i="14"/>
  <c r="G48" i="14"/>
  <c r="G55" i="14" s="1"/>
  <c r="G88" i="14"/>
  <c r="G94" i="14" s="1"/>
  <c r="J95" i="14" s="1"/>
  <c r="G115" i="14"/>
  <c r="G81" i="14"/>
  <c r="G82" i="14" s="1"/>
  <c r="G32" i="14"/>
  <c r="G39" i="14" s="1"/>
  <c r="G105" i="14" l="1"/>
  <c r="G76" i="14"/>
  <c r="G120" i="14"/>
  <c r="J122" i="14" s="1"/>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<sst xmlns="http://schemas.openxmlformats.org/spreadsheetml/2006/main" count="881" uniqueCount="139">
  <si>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</si>
  <si>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</si>
  <si>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</si>
  <si>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</si>
  <si>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</si>
  <si>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</si>
  <si>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</si>
  <si>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</si>
  <si>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</si>
  <si>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</si>
  <si>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</si>
  <si>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</si>
  <si>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</si>
  <si>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</si>
  <si>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</si>
  <si>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</si>
  <si>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</si>
  <si>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</si>
  <si>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</si>
  <si>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</si>
  <si>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</si>
  <si>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</si>
  <si>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</si>
  <si>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</si>
  <si>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</si>
  <si>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</si>
  <si>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</si>
  <si>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</si>
  <si>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</si>
  <si>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</si>
  <si>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</si>
  <si>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</si>
  <si>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</si>
  <si>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</si>
  <si>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</si>
  <si>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</si>
  <si>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</si>
  <si>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</si>
  <si>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</si>
  <si>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</si>
  <si>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</si>
  <si>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</si>
  <si>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</si>
  <si>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</si>
  <si>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</si>
  <si>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</si>
  <si>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</si>
  <si>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</si>
  <si>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</si>
  <si>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</si>
  <si>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</si>
  <si>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</si>
  <si>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</si>
  <si>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</si>
  <si>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</si>
  <si>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</si>
  <si>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</si>
  <si>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</si>
  <si>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</si>
  <si>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</si>
  <si>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</si>
  <si>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</si>
  <si>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</si>
  <si>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</si>
  <si>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</si>
  <si>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</si>
  <si>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</si>
  <si>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</si>
  <si>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</si>
  <si>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</si>
  <si>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</si>
  <si>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</si>
  <si>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</si>
  <si>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</si>
  <si>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</si>
  <si>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</si>
  <si>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</si>
  <si>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</si>
  <si>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</si>
  <si>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</si>
  <si>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</si>
  <si>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</si>
  <si>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</si>
  <si>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</si>
  <si>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</si>
  <si>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</si>
  <si>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</si>
  <si>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</si>
  <si>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</si>
  <si>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</si>
  <si>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</si>
  <si>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</si>
  <si>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</si>
  <si>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</si>
  <si>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</si>
  <si>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</si>
  <si>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</si>
  <si>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</si>
  <si>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</si>
  <si>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</si>
  <si>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</si>
  <si>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</si>
  <si>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</si>
  <si>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</si>
  <si>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</si>
  <si>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</si>
  <si>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</si>
  <si>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</si>
  <si>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</si>
  <si>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</si>
  <si>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</si>
  <si>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</si>
  <si>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</si>
  <si>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</si>
  <si>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</si>
  <si>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</si>
  <si>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</si>
  <si>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</si>
  <si>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</si>
  <si>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</si>
  <si>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</si>
  <si>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</si>
  <si>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</si>
  <si>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</si>
  <si>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</si>
  <si>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</si>
  <si>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</si>
  <si>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</si>
  <si>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</si>
  <si>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</si>
  <si>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</si>
  <si>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</si>
  <si>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</si>
  <si>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</si>
  <si>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</si>
  <si>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</si>
  <si>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</si>
  <si>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</si>
  <si>
    <t>Highly Carved salwood lattice (jali) shutter of carved door/window including wood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</si>
</sst>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
      <sz val="11"/>
      <color theme="6" tint="-0.499984740745262"/>
      <name val="Calibri"/>
      <family val="2"/>
      <scheme val="minor"/>
    </font>
  </fonts>
  <fills count="2">
    <fill>
      <patternFill patternType="none"/>
    </fill>
    <fill>
      <patternFill patternType="gray125"/>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5">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4"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5"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4" fontId="0" fillId="0" borderId="2" xfId="0" quotePrefix="1" applyNumberFormat="1" applyBorder="1" applyAlignment="1">
      <alignment horizontal="right"/>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19" fillId="0" borderId="2" xfId="0" quotePrefix="1" applyFont="1" applyBorder="1" applyAlignment="1">
      <alignment horizontal="right"/>
    </xf>
    <xf numFmtId="164" fontId="19" fillId="0" borderId="2" xfId="0" applyNumberFormat="1" applyFont="1" applyBorder="1"/>
    <xf numFmtId="2" fontId="19" fillId="0" borderId="2" xfId="0" applyNumberFormat="1" applyFon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2"/>
  <sheetViews>
    <sheetView topLeftCell="A79" zoomScaleNormal="100" workbookViewId="0">
      <selection activeCell="J96" sqref="J96"/>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90</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35</v>
      </c>
      <c r="C43" s="15"/>
      <c r="D43" s="3"/>
      <c r="E43" s="3"/>
      <c r="F43" s="3"/>
      <c r="G43" s="3"/>
      <c r="H43" s="15"/>
      <c r="I43" s="15"/>
      <c r="J43" s="22">
        <f>0.13*G39*56</f>
        <v>26.669962520856323</v>
      </c>
      <c r="K43" s="15"/>
    </row>
    <row r="44" spans="1:11" s="10" customFormat="1" x14ac:dyDescent="0.25">
      <c r="A44" s="24"/>
      <c r="B44" s="25" t="s">
        <v>43</v>
      </c>
      <c r="C44" s="26"/>
      <c r="D44" s="27"/>
      <c r="E44" s="27"/>
      <c r="F44" s="27"/>
      <c r="G44" s="27"/>
      <c r="H44" s="26"/>
      <c r="I44" s="26"/>
      <c r="J44" s="22">
        <f>0.13*G39*392.92</f>
        <v>187.12788703026547</v>
      </c>
      <c r="K44" s="26"/>
    </row>
    <row r="45" spans="1:11" x14ac:dyDescent="0.25">
      <c r="A45" s="15"/>
      <c r="B45" s="25" t="s">
        <v>44</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46</v>
      </c>
      <c r="C56" s="26"/>
      <c r="D56" s="27"/>
      <c r="E56" s="27"/>
      <c r="F56" s="27"/>
      <c r="G56" s="27"/>
      <c r="H56" s="26"/>
      <c r="I56" s="26"/>
      <c r="J56" s="22">
        <f>0.13*G55*20062.02/100</f>
        <v>1108.2418616773753</v>
      </c>
      <c r="K56" s="26"/>
    </row>
    <row r="57" spans="1:11" s="10" customFormat="1" x14ac:dyDescent="0.25">
      <c r="A57" s="24"/>
      <c r="B57" s="25" t="s">
        <v>47</v>
      </c>
      <c r="C57" s="26"/>
      <c r="D57" s="27"/>
      <c r="E57" s="27"/>
      <c r="F57" s="27"/>
      <c r="G57" s="27"/>
      <c r="H57" s="26"/>
      <c r="I57" s="26"/>
      <c r="J57" s="22">
        <f>0.13*G55*13328.25/100</f>
        <v>736.26307784068979</v>
      </c>
      <c r="K57" s="26"/>
    </row>
    <row r="58" spans="1:11" s="10" customFormat="1" x14ac:dyDescent="0.25">
      <c r="A58" s="24"/>
      <c r="B58" s="25" t="s">
        <v>48</v>
      </c>
      <c r="C58" s="26"/>
      <c r="D58" s="27"/>
      <c r="E58" s="27"/>
      <c r="F58" s="27"/>
      <c r="G58" s="27"/>
      <c r="H58" s="26"/>
      <c r="I58" s="26"/>
      <c r="J58" s="22">
        <f>0.13*G55*10137.6/100</f>
        <v>560.00904679292307</v>
      </c>
      <c r="K58" s="26"/>
    </row>
    <row r="59" spans="1:11" x14ac:dyDescent="0.25">
      <c r="A59" s="15"/>
      <c r="B59" s="25" t="s">
        <v>49</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41</v>
      </c>
      <c r="I76" s="46">
        <v>132360</v>
      </c>
      <c r="J76" s="22">
        <f>G76*I76</f>
        <v>48519.124472457581</v>
      </c>
      <c r="K76" s="20"/>
    </row>
    <row r="77" spans="1:11" s="10" customFormat="1" x14ac:dyDescent="0.25">
      <c r="A77" s="24"/>
      <c r="B77" s="25" t="s">
        <v>38</v>
      </c>
      <c r="C77" s="26"/>
      <c r="D77" s="26"/>
      <c r="E77" s="26"/>
      <c r="F77" s="26"/>
      <c r="G77" s="26"/>
      <c r="H77" s="26"/>
      <c r="I77" s="26"/>
      <c r="J77" s="22">
        <f>0.13*G76*105000</f>
        <v>5003.6721747434722</v>
      </c>
      <c r="K77" s="26"/>
    </row>
    <row r="78" spans="1:11" s="10" customFormat="1" x14ac:dyDescent="0.25">
      <c r="A78" s="24"/>
      <c r="B78" s="25" t="s">
        <v>37</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50</v>
      </c>
      <c r="C80" s="15"/>
      <c r="D80" s="15"/>
      <c r="E80" s="15"/>
      <c r="F80" s="15"/>
      <c r="G80" s="15"/>
      <c r="H80" s="15"/>
      <c r="I80" s="15"/>
      <c r="J80" s="15"/>
      <c r="K80" s="15"/>
    </row>
    <row r="81" spans="1:11" x14ac:dyDescent="0.25">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52</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25">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25">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25">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25">
      <c r="A92" s="24"/>
      <c r="B92" s="25"/>
      <c r="C92" s="26">
        <f>C119</f>
        <v>1</v>
      </c>
      <c r="D92" s="27">
        <f>D119</f>
        <v>0.46</v>
      </c>
      <c r="E92" s="27"/>
      <c r="F92" s="27">
        <f>F119</f>
        <v>0.6</v>
      </c>
      <c r="G92" s="27">
        <f t="shared" si="22"/>
        <v>0.27600000000000002</v>
      </c>
      <c r="H92" s="26"/>
      <c r="I92" s="26"/>
      <c r="J92" s="26"/>
      <c r="K92" s="26"/>
    </row>
    <row r="93" spans="1:11" s="10" customFormat="1" x14ac:dyDescent="0.25">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287.32</v>
      </c>
      <c r="J94" s="22">
        <f>G94*I94</f>
        <v>5372.2128349166733</v>
      </c>
      <c r="K94" s="20"/>
    </row>
    <row r="95" spans="1:11" s="10" customFormat="1" x14ac:dyDescent="0.25">
      <c r="A95" s="24"/>
      <c r="B95" s="25" t="s">
        <v>32</v>
      </c>
      <c r="C95" s="26"/>
      <c r="D95" s="27"/>
      <c r="E95" s="27"/>
      <c r="F95" s="27"/>
      <c r="G95" s="27"/>
      <c r="H95" s="26"/>
      <c r="I95" s="26"/>
      <c r="J95" s="22">
        <f>0.13*G94*693.24/10</f>
        <v>168.50559214050276</v>
      </c>
      <c r="K95" s="26"/>
    </row>
    <row r="96" spans="1:11" x14ac:dyDescent="0.25">
      <c r="A96" s="15"/>
      <c r="B96" s="15"/>
      <c r="C96" s="15"/>
      <c r="D96" s="15"/>
      <c r="E96" s="15"/>
      <c r="F96" s="15"/>
      <c r="G96" s="15"/>
      <c r="H96" s="15"/>
      <c r="I96" s="15"/>
      <c r="J96" s="15"/>
      <c r="K96" s="15"/>
    </row>
    <row r="97" spans="1:11" ht="30" x14ac:dyDescent="0.25">
      <c r="A97" s="11">
        <v>9</v>
      </c>
      <c r="B97" s="28" t="s">
        <v>56</v>
      </c>
      <c r="C97" s="15"/>
      <c r="D97" s="15"/>
      <c r="E97" s="15"/>
      <c r="F97" s="15"/>
      <c r="G97" s="15"/>
      <c r="H97" s="15"/>
      <c r="I97" s="15"/>
      <c r="J97" s="15"/>
      <c r="K97" s="15"/>
    </row>
    <row r="98" spans="1:11" x14ac:dyDescent="0.25">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25">
      <c r="A99" s="15"/>
      <c r="B99" s="16"/>
      <c r="C99" s="45">
        <v>2</v>
      </c>
      <c r="D99" s="3">
        <f>15/3.281</f>
        <v>4.5717768972874122</v>
      </c>
      <c r="E99" s="3">
        <v>0.35</v>
      </c>
      <c r="F99" s="3">
        <f>(10-3.5-0.33)/3.281</f>
        <v>1.8805242304175556</v>
      </c>
      <c r="G99" s="3">
        <f t="shared" si="24"/>
        <v>6.0181360619885194</v>
      </c>
      <c r="H99" s="15"/>
      <c r="I99" s="15"/>
      <c r="J99" s="15"/>
      <c r="K99" s="15"/>
    </row>
    <row r="100" spans="1:11" x14ac:dyDescent="0.25">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25">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25">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25">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25">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25">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25">
      <c r="A106" s="24"/>
      <c r="B106" s="25" t="s">
        <v>53</v>
      </c>
      <c r="C106" s="26"/>
      <c r="D106" s="27"/>
      <c r="E106" s="27"/>
      <c r="F106" s="27"/>
      <c r="G106" s="27"/>
      <c r="H106" s="26"/>
      <c r="I106" s="26"/>
      <c r="J106" s="22">
        <f>0.13*G105*8481.2</f>
        <v>10132.007107044796</v>
      </c>
      <c r="K106" s="26"/>
    </row>
    <row r="107" spans="1:11" s="10" customFormat="1" x14ac:dyDescent="0.25">
      <c r="A107" s="24"/>
      <c r="B107" s="25" t="s">
        <v>32</v>
      </c>
      <c r="C107" s="26"/>
      <c r="D107" s="27"/>
      <c r="E107" s="27"/>
      <c r="F107" s="27"/>
      <c r="G107" s="27"/>
      <c r="H107" s="26"/>
      <c r="I107" s="26"/>
      <c r="J107" s="22">
        <f>0.13*G105*912.17</f>
        <v>1089.7176016168762</v>
      </c>
      <c r="K107" s="26"/>
    </row>
    <row r="108" spans="1:11" s="10" customFormat="1" x14ac:dyDescent="0.25">
      <c r="A108" s="24"/>
      <c r="B108" s="25" t="s">
        <v>57</v>
      </c>
      <c r="C108" s="26"/>
      <c r="D108" s="27"/>
      <c r="E108" s="27"/>
      <c r="F108" s="27"/>
      <c r="G108" s="27"/>
      <c r="H108" s="26"/>
      <c r="I108" s="26"/>
      <c r="J108" s="22">
        <f>0.13*G105*953.37</f>
        <v>1138.9368975667708</v>
      </c>
      <c r="K108" s="26"/>
    </row>
    <row r="109" spans="1:11" s="10" customFormat="1" x14ac:dyDescent="0.25">
      <c r="A109" s="24"/>
      <c r="B109" s="25" t="s">
        <v>35</v>
      </c>
      <c r="C109" s="26"/>
      <c r="D109" s="27"/>
      <c r="E109" s="27"/>
      <c r="F109" s="27"/>
      <c r="G109" s="27"/>
      <c r="H109" s="26"/>
      <c r="I109" s="26"/>
      <c r="J109" s="22">
        <f>0.13*G105*28</f>
        <v>33.450006956239008</v>
      </c>
      <c r="K109" s="26"/>
    </row>
    <row r="110" spans="1:11" x14ac:dyDescent="0.25">
      <c r="A110" s="15"/>
      <c r="B110" s="15"/>
      <c r="C110" s="15"/>
      <c r="D110" s="15"/>
      <c r="E110" s="15"/>
      <c r="F110" s="15"/>
      <c r="G110" s="15"/>
      <c r="H110" s="15"/>
      <c r="I110" s="15"/>
      <c r="J110" s="15"/>
      <c r="K110" s="15"/>
    </row>
    <row r="111" spans="1:11" ht="30" x14ac:dyDescent="0.25">
      <c r="A111" s="11">
        <v>10</v>
      </c>
      <c r="B111" s="28" t="s">
        <v>51</v>
      </c>
      <c r="C111" s="15"/>
      <c r="D111" s="15"/>
      <c r="E111" s="15"/>
      <c r="F111" s="15"/>
      <c r="G111" s="15"/>
      <c r="H111" s="15"/>
      <c r="I111" s="15"/>
      <c r="J111" s="15"/>
      <c r="K111" s="15"/>
    </row>
    <row r="112" spans="1:11" x14ac:dyDescent="0.25">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25">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25">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25">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25">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25">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25">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25">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25">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25">
      <c r="A121" s="24"/>
      <c r="B121" s="25" t="s">
        <v>32</v>
      </c>
      <c r="C121" s="26"/>
      <c r="D121" s="27"/>
      <c r="E121" s="27"/>
      <c r="F121" s="27"/>
      <c r="G121" s="27"/>
      <c r="H121" s="26"/>
      <c r="I121" s="26"/>
      <c r="J121" s="22">
        <f>0.13*G120*7010.67/100</f>
        <v>778.57662741407114</v>
      </c>
      <c r="K121" s="26"/>
    </row>
    <row r="122" spans="1:11" x14ac:dyDescent="0.25">
      <c r="A122" s="15"/>
      <c r="B122" s="25" t="s">
        <v>31</v>
      </c>
      <c r="C122" s="26"/>
      <c r="D122" s="27"/>
      <c r="E122" s="27"/>
      <c r="F122" s="27"/>
      <c r="G122" s="27"/>
      <c r="H122" s="26"/>
      <c r="I122" s="26"/>
      <c r="J122" s="22">
        <f>0.13*G120*4639.73/100</f>
        <v>515.26962979456857</v>
      </c>
      <c r="K122" s="15"/>
    </row>
    <row r="123" spans="1:11" x14ac:dyDescent="0.25">
      <c r="A123" s="15"/>
      <c r="B123" s="15"/>
      <c r="C123" s="15"/>
      <c r="D123" s="15"/>
      <c r="E123" s="15"/>
      <c r="F123" s="15"/>
      <c r="G123" s="15"/>
      <c r="H123" s="15"/>
      <c r="I123" s="15"/>
      <c r="J123" s="15"/>
      <c r="K123" s="15"/>
    </row>
    <row r="124" spans="1:11" ht="30" x14ac:dyDescent="0.25">
      <c r="A124" s="11">
        <v>11</v>
      </c>
      <c r="B124" s="28" t="s">
        <v>59</v>
      </c>
      <c r="C124" s="15"/>
      <c r="D124" s="15"/>
      <c r="E124" s="15"/>
      <c r="F124" s="15"/>
      <c r="G124" s="15"/>
      <c r="H124" s="15"/>
      <c r="I124" s="15"/>
      <c r="J124" s="15"/>
      <c r="K124" s="15"/>
    </row>
    <row r="125" spans="1:11" x14ac:dyDescent="0.25">
      <c r="A125" s="15"/>
      <c r="B125" s="16" t="s">
        <v>85</v>
      </c>
      <c r="C125" s="3">
        <f>C112</f>
        <v>1</v>
      </c>
      <c r="D125" s="3"/>
      <c r="E125" s="3"/>
      <c r="F125" s="3"/>
      <c r="G125" s="3">
        <f>SUM(G112:G115)</f>
        <v>81.012741244487557</v>
      </c>
      <c r="H125" s="15"/>
      <c r="I125" s="15"/>
      <c r="J125" s="15"/>
      <c r="K125" s="15"/>
    </row>
    <row r="126" spans="1:11" s="10" customFormat="1" ht="15" customHeight="1" x14ac:dyDescent="0.25">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25">
      <c r="A127" s="24"/>
      <c r="B127" s="25" t="s">
        <v>60</v>
      </c>
      <c r="C127" s="26"/>
      <c r="D127" s="27"/>
      <c r="E127" s="27"/>
      <c r="F127" s="27"/>
      <c r="G127" s="27"/>
      <c r="H127" s="26"/>
      <c r="I127" s="26"/>
      <c r="J127" s="22">
        <f>0.13*G126*2304/100</f>
        <v>242.64936257548914</v>
      </c>
      <c r="K127" s="26"/>
    </row>
    <row r="128" spans="1:11" s="10" customFormat="1" x14ac:dyDescent="0.25">
      <c r="A128" s="24"/>
      <c r="B128" s="25" t="s">
        <v>61</v>
      </c>
      <c r="C128" s="26"/>
      <c r="D128" s="27"/>
      <c r="E128" s="27"/>
      <c r="F128" s="27"/>
      <c r="G128" s="27"/>
      <c r="H128" s="26"/>
      <c r="I128" s="26"/>
      <c r="J128" s="22">
        <f>0.13*G126*10432/100</f>
        <v>1098.6623916612425</v>
      </c>
      <c r="K128" s="26"/>
    </row>
    <row r="129" spans="1:11" s="10" customFormat="1" x14ac:dyDescent="0.25">
      <c r="A129" s="24"/>
      <c r="B129" s="25"/>
      <c r="C129" s="26"/>
      <c r="D129" s="27"/>
      <c r="E129" s="27"/>
      <c r="F129" s="27"/>
      <c r="G129" s="27"/>
      <c r="H129" s="26"/>
      <c r="I129" s="26"/>
      <c r="J129" s="22"/>
      <c r="K129" s="26"/>
    </row>
    <row r="130" spans="1:11" s="10" customFormat="1" ht="45" x14ac:dyDescent="0.25">
      <c r="A130" s="24">
        <v>12</v>
      </c>
      <c r="B130" s="30" t="s">
        <v>96</v>
      </c>
      <c r="C130" s="26"/>
      <c r="D130" s="27"/>
      <c r="E130" s="27"/>
      <c r="F130" s="27"/>
      <c r="G130" s="27"/>
      <c r="H130" s="26"/>
      <c r="I130" s="26"/>
      <c r="J130" s="22"/>
      <c r="K130" s="26"/>
    </row>
    <row r="131" spans="1:11" x14ac:dyDescent="0.25">
      <c r="A131" s="15"/>
      <c r="B131" s="16" t="s">
        <v>97</v>
      </c>
      <c r="C131" s="3">
        <v>1</v>
      </c>
      <c r="D131" s="3">
        <f>D100</f>
        <v>1.5</v>
      </c>
      <c r="E131" s="3"/>
      <c r="F131" s="3">
        <f>F100</f>
        <v>1.0667479427003961</v>
      </c>
      <c r="G131" s="3">
        <f>PRODUCT(C131:F131)</f>
        <v>1.600121914050594</v>
      </c>
      <c r="H131" s="15"/>
      <c r="I131" s="15"/>
      <c r="J131" s="15"/>
      <c r="K131" s="15"/>
    </row>
    <row r="132" spans="1:11" x14ac:dyDescent="0.25">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25">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25">
      <c r="A134" s="24"/>
      <c r="B134" s="25" t="s">
        <v>99</v>
      </c>
      <c r="C134" s="26"/>
      <c r="D134" s="27"/>
      <c r="E134" s="27"/>
      <c r="F134" s="27"/>
      <c r="G134" s="27"/>
      <c r="H134" s="26"/>
      <c r="I134" s="26"/>
      <c r="J134" s="22">
        <f>0.13*G133*7910.91/0.92</f>
        <v>4332.7981313104001</v>
      </c>
      <c r="K134" s="26"/>
    </row>
    <row r="135" spans="1:11" s="10" customFormat="1" x14ac:dyDescent="0.25">
      <c r="A135" s="24"/>
      <c r="B135" s="25"/>
      <c r="C135" s="26"/>
      <c r="D135" s="27"/>
      <c r="E135" s="27"/>
      <c r="F135" s="27"/>
      <c r="G135" s="27"/>
      <c r="H135" s="26"/>
      <c r="I135" s="26"/>
      <c r="J135" s="22"/>
      <c r="K135" s="26"/>
    </row>
    <row r="136" spans="1:11" s="10" customFormat="1" ht="30" x14ac:dyDescent="0.25">
      <c r="A136" s="24">
        <v>13</v>
      </c>
      <c r="B136" s="50" t="s">
        <v>110</v>
      </c>
      <c r="C136" s="26"/>
      <c r="D136" s="26"/>
      <c r="E136" s="26"/>
      <c r="F136" s="26"/>
      <c r="G136" s="26"/>
      <c r="H136" s="26"/>
      <c r="I136" s="26"/>
      <c r="J136" s="26"/>
      <c r="K136" s="26"/>
    </row>
    <row r="137" spans="1:11" s="10" customFormat="1" x14ac:dyDescent="0.25">
      <c r="A137" s="24"/>
      <c r="B137" s="25" t="s">
        <v>111</v>
      </c>
      <c r="C137" s="26">
        <v>1</v>
      </c>
      <c r="D137" s="27">
        <f>Q10</f>
        <v>1.2</v>
      </c>
      <c r="E137" s="26"/>
      <c r="F137" s="26"/>
      <c r="G137" s="27">
        <f t="shared" ref="G137" si="28">PRODUCT(C137:F137)</f>
        <v>1.2</v>
      </c>
      <c r="H137" s="26"/>
      <c r="I137" s="26"/>
      <c r="J137" s="22"/>
      <c r="K137" s="26"/>
    </row>
    <row r="138" spans="1:11" s="44" customFormat="1" x14ac:dyDescent="0.25">
      <c r="A138" s="17"/>
      <c r="B138" s="55" t="s">
        <v>112</v>
      </c>
      <c r="C138" s="19"/>
      <c r="D138" s="1"/>
      <c r="E138" s="20"/>
      <c r="F138" s="20"/>
      <c r="G138" s="56">
        <f>SUM(G137:G137)</f>
        <v>1.2</v>
      </c>
      <c r="H138" s="21" t="s">
        <v>82</v>
      </c>
      <c r="I138" s="2">
        <v>248</v>
      </c>
      <c r="J138" s="56">
        <f>G138*I138</f>
        <v>297.59999999999997</v>
      </c>
      <c r="K138" s="20"/>
    </row>
    <row r="139" spans="1:11" s="10" customFormat="1" x14ac:dyDescent="0.25">
      <c r="A139" s="24"/>
      <c r="B139" s="25" t="s">
        <v>113</v>
      </c>
      <c r="C139" s="26"/>
      <c r="D139" s="26"/>
      <c r="E139" s="26"/>
      <c r="F139" s="26"/>
      <c r="G139" s="26"/>
      <c r="H139" s="26"/>
      <c r="I139" s="26"/>
      <c r="J139" s="22">
        <f>0.13*J138</f>
        <v>38.687999999999995</v>
      </c>
      <c r="K139" s="26"/>
    </row>
    <row r="140" spans="1:11" s="10" customFormat="1" x14ac:dyDescent="0.25">
      <c r="A140" s="24"/>
      <c r="B140" s="50"/>
      <c r="C140" s="26"/>
      <c r="D140" s="26"/>
      <c r="E140" s="26"/>
      <c r="F140" s="26"/>
      <c r="G140" s="26"/>
      <c r="H140" s="26"/>
      <c r="I140" s="26"/>
      <c r="J140" s="26"/>
      <c r="K140" s="26"/>
    </row>
    <row r="141" spans="1:11" s="10" customFormat="1" ht="30" x14ac:dyDescent="0.25">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25">
      <c r="A142" s="17"/>
      <c r="B142" s="31"/>
      <c r="C142" s="19"/>
      <c r="D142" s="1"/>
      <c r="E142" s="20"/>
      <c r="F142" s="20"/>
      <c r="G142" s="2"/>
      <c r="H142" s="21"/>
      <c r="I142" s="2"/>
      <c r="J142" s="22"/>
      <c r="K142" s="20"/>
    </row>
    <row r="143" spans="1:11" s="10" customFormat="1" ht="15" customHeight="1" x14ac:dyDescent="0.25">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25">
      <c r="A144" s="17"/>
      <c r="B144" s="31"/>
      <c r="C144" s="19"/>
      <c r="D144" s="1"/>
      <c r="E144" s="20"/>
      <c r="F144" s="20"/>
      <c r="G144" s="2"/>
      <c r="H144" s="21"/>
      <c r="I144" s="2"/>
      <c r="J144" s="22"/>
      <c r="K144" s="20"/>
    </row>
    <row r="145" spans="1:11" s="10" customFormat="1" x14ac:dyDescent="0.25">
      <c r="A145" s="32"/>
      <c r="B145" s="33" t="s">
        <v>20</v>
      </c>
      <c r="C145" s="34"/>
      <c r="D145" s="35"/>
      <c r="E145" s="35"/>
      <c r="F145" s="35"/>
      <c r="G145" s="22"/>
      <c r="H145" s="22"/>
      <c r="I145" s="22"/>
      <c r="J145" s="22">
        <f>SUM(J19:J143)</f>
        <v>535761.86997382692</v>
      </c>
      <c r="K145" s="36"/>
    </row>
    <row r="146" spans="1:11" s="10" customFormat="1" x14ac:dyDescent="0.25"/>
    <row r="147" spans="1:11" s="44" customFormat="1" x14ac:dyDescent="0.25">
      <c r="A147" s="37"/>
      <c r="B147" s="38" t="s">
        <v>19</v>
      </c>
      <c r="C147" s="69">
        <f>J145</f>
        <v>535761.86997382692</v>
      </c>
      <c r="D147" s="70"/>
      <c r="E147" s="39">
        <v>100</v>
      </c>
      <c r="F147" s="37"/>
      <c r="G147" s="40"/>
      <c r="H147" s="37"/>
      <c r="I147" s="41"/>
      <c r="J147" s="42"/>
      <c r="K147" s="43"/>
    </row>
    <row r="148" spans="1:11" s="10" customFormat="1" x14ac:dyDescent="0.25">
      <c r="B148" s="38" t="s">
        <v>21</v>
      </c>
      <c r="C148" s="73">
        <v>700000</v>
      </c>
      <c r="D148" s="74"/>
      <c r="E148" s="39"/>
    </row>
    <row r="149" spans="1:11" s="10" customFormat="1" x14ac:dyDescent="0.25">
      <c r="B149" s="38" t="s">
        <v>22</v>
      </c>
      <c r="C149" s="73">
        <f>C148-C151-C152</f>
        <v>665000</v>
      </c>
      <c r="D149" s="74"/>
      <c r="E149" s="39">
        <f>C149/C147*100</f>
        <v>124.12230829948511</v>
      </c>
    </row>
    <row r="150" spans="1:11" s="10" customFormat="1" x14ac:dyDescent="0.25">
      <c r="B150" s="38" t="s">
        <v>26</v>
      </c>
      <c r="C150" s="75">
        <f>C147-C149</f>
        <v>-129238.13002617308</v>
      </c>
      <c r="D150" s="75"/>
      <c r="E150" s="39">
        <f>100-E149</f>
        <v>-24.122308299485113</v>
      </c>
    </row>
    <row r="151" spans="1:11" s="10" customFormat="1" x14ac:dyDescent="0.25">
      <c r="B151" s="38" t="s">
        <v>23</v>
      </c>
      <c r="C151" s="69">
        <f>C148*0.03</f>
        <v>21000</v>
      </c>
      <c r="D151" s="70"/>
      <c r="E151" s="39">
        <v>3</v>
      </c>
    </row>
    <row r="152" spans="1:11" s="10" customFormat="1" x14ac:dyDescent="0.25">
      <c r="B152" s="38" t="s">
        <v>24</v>
      </c>
      <c r="C152" s="69">
        <f>C148*0.02</f>
        <v>14000</v>
      </c>
      <c r="D152" s="70"/>
      <c r="E152" s="39">
        <v>2</v>
      </c>
    </row>
  </sheetData>
  <mergeCells count="15">
    <mergeCell ref="C151:D151"/>
    <mergeCell ref="C152:D152"/>
    <mergeCell ref="A7:F7"/>
    <mergeCell ref="H7:K7"/>
    <mergeCell ref="C147:D147"/>
    <mergeCell ref="C148:D148"/>
    <mergeCell ref="C149:D149"/>
    <mergeCell ref="C150:D15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80" t="s">
        <v>63</v>
      </c>
      <c r="C2" s="80"/>
      <c r="D2" s="80"/>
      <c r="E2" s="80" t="s">
        <v>67</v>
      </c>
      <c r="F2" s="80"/>
      <c r="G2" s="80"/>
      <c r="H2" s="81" t="s">
        <v>64</v>
      </c>
      <c r="I2" s="81"/>
      <c r="J2" s="81"/>
      <c r="K2" s="77" t="s">
        <v>70</v>
      </c>
      <c r="L2" s="78"/>
      <c r="M2" s="78"/>
      <c r="N2" s="79"/>
      <c r="O2" s="77" t="s">
        <v>77</v>
      </c>
      <c r="P2" s="78"/>
      <c r="Q2" s="79"/>
      <c r="R2" s="76" t="s">
        <v>75</v>
      </c>
      <c r="S2" s="76"/>
      <c r="T2" s="76"/>
      <c r="U2" s="76" t="s">
        <v>75</v>
      </c>
      <c r="V2" s="76"/>
      <c r="W2" s="76"/>
    </row>
    <row r="3" spans="2:23" s="48" customFormat="1" ht="45" x14ac:dyDescent="0.25">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93"/>
  <sheetViews>
    <sheetView topLeftCell="A173" zoomScaleNormal="100" workbookViewId="0">
      <selection activeCell="I194" sqref="I194"/>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8.17/3.281</f>
        <v>2.4900944833892105</v>
      </c>
      <c r="E34" s="3">
        <v>0.23</v>
      </c>
      <c r="F34" s="3">
        <v>0.23</v>
      </c>
      <c r="G34" s="3">
        <f t="shared" si="1"/>
        <v>0.26345199634257849</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25">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25">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25">
      <c r="A39" s="17"/>
      <c r="B39" s="18" t="s">
        <v>16</v>
      </c>
      <c r="C39" s="19"/>
      <c r="D39" s="1"/>
      <c r="E39" s="20"/>
      <c r="F39" s="20"/>
      <c r="G39" s="2">
        <f>SUM(G32:G38)</f>
        <v>4.2299536446067938</v>
      </c>
      <c r="H39" s="21" t="s">
        <v>28</v>
      </c>
      <c r="I39" s="2">
        <v>13957.29</v>
      </c>
      <c r="J39" s="22">
        <f>G39*I39</f>
        <v>59038.689704333963</v>
      </c>
      <c r="K39" s="20"/>
    </row>
    <row r="40" spans="1:11" s="10" customFormat="1" x14ac:dyDescent="0.25">
      <c r="A40" s="24"/>
      <c r="B40" s="25" t="s">
        <v>32</v>
      </c>
      <c r="C40" s="26"/>
      <c r="D40" s="27"/>
      <c r="E40" s="27"/>
      <c r="F40" s="27"/>
      <c r="G40" s="27"/>
      <c r="H40" s="26"/>
      <c r="I40" s="26"/>
      <c r="J40" s="22">
        <f>0.13*G39*5212.4</f>
        <v>2866.2673490292982</v>
      </c>
      <c r="K40" s="26"/>
    </row>
    <row r="41" spans="1:11" s="10" customFormat="1" x14ac:dyDescent="0.25">
      <c r="A41" s="24"/>
      <c r="B41" s="25" t="s">
        <v>33</v>
      </c>
      <c r="C41" s="26"/>
      <c r="D41" s="27"/>
      <c r="E41" s="27"/>
      <c r="F41" s="27"/>
      <c r="G41" s="27"/>
      <c r="H41" s="26"/>
      <c r="I41" s="26"/>
      <c r="J41" s="22">
        <f>0.13*G39*(1912.03+921.59)</f>
        <v>1558.1905620359912</v>
      </c>
      <c r="K41" s="26"/>
    </row>
    <row r="42" spans="1:11" s="10" customFormat="1" x14ac:dyDescent="0.25">
      <c r="A42" s="24"/>
      <c r="B42" s="25" t="s">
        <v>31</v>
      </c>
      <c r="C42" s="26"/>
      <c r="D42" s="27"/>
      <c r="E42" s="27"/>
      <c r="F42" s="27"/>
      <c r="G42" s="27"/>
      <c r="H42" s="26"/>
      <c r="I42" s="26"/>
      <c r="J42" s="22">
        <f>0.13*G39*1350.6</f>
        <v>742.68680101277153</v>
      </c>
      <c r="K42" s="26"/>
    </row>
    <row r="43" spans="1:11" x14ac:dyDescent="0.25">
      <c r="A43" s="15"/>
      <c r="B43" s="25" t="s">
        <v>35</v>
      </c>
      <c r="C43" s="15"/>
      <c r="D43" s="3"/>
      <c r="E43" s="3"/>
      <c r="F43" s="3"/>
      <c r="G43" s="3"/>
      <c r="H43" s="15"/>
      <c r="I43" s="15"/>
      <c r="J43" s="22">
        <f>0.13*G39*56</f>
        <v>30.794062532737456</v>
      </c>
      <c r="K43" s="15"/>
    </row>
    <row r="44" spans="1:11" s="10" customFormat="1" x14ac:dyDescent="0.25">
      <c r="A44" s="24"/>
      <c r="B44" s="25" t="s">
        <v>43</v>
      </c>
      <c r="C44" s="26"/>
      <c r="D44" s="27"/>
      <c r="E44" s="27"/>
      <c r="F44" s="27"/>
      <c r="G44" s="27"/>
      <c r="H44" s="26"/>
      <c r="I44" s="26"/>
      <c r="J44" s="22">
        <f>0.13*G39*392.92</f>
        <v>216.06434018505718</v>
      </c>
      <c r="K44" s="26"/>
    </row>
    <row r="45" spans="1:11" x14ac:dyDescent="0.25">
      <c r="A45" s="15"/>
      <c r="B45" s="25" t="s">
        <v>44</v>
      </c>
      <c r="C45" s="15"/>
      <c r="D45" s="3"/>
      <c r="E45" s="3"/>
      <c r="F45" s="3"/>
      <c r="G45" s="3"/>
      <c r="H45" s="15"/>
      <c r="I45" s="15"/>
      <c r="J45" s="22">
        <f>0.13*G39*14.15</f>
        <v>7.780999729254197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25">
      <c r="A53" s="15"/>
      <c r="B53" s="16"/>
      <c r="C53" s="45">
        <f>C37</f>
        <v>2</v>
      </c>
      <c r="D53" s="3">
        <f>D37</f>
        <v>3.1240475464797317</v>
      </c>
      <c r="E53" s="3">
        <f>E37</f>
        <v>1.929289850655288</v>
      </c>
      <c r="F53" s="3"/>
      <c r="G53" s="3">
        <f t="shared" si="2"/>
        <v>12.054386448775801</v>
      </c>
      <c r="H53" s="15"/>
      <c r="I53" s="15"/>
      <c r="J53" s="15"/>
      <c r="K53" s="15"/>
    </row>
    <row r="54" spans="1:11" x14ac:dyDescent="0.25">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25">
      <c r="A55" s="17"/>
      <c r="B55" s="18" t="s">
        <v>16</v>
      </c>
      <c r="C55" s="19"/>
      <c r="D55" s="1"/>
      <c r="E55" s="20"/>
      <c r="F55" s="20"/>
      <c r="G55" s="2">
        <f>SUM(G48:G54)</f>
        <v>47.223496527298146</v>
      </c>
      <c r="H55" s="21" t="s">
        <v>34</v>
      </c>
      <c r="I55" s="2">
        <v>922.71</v>
      </c>
      <c r="J55" s="22">
        <f>G55*I55</f>
        <v>43573.592480703272</v>
      </c>
      <c r="K55" s="20"/>
    </row>
    <row r="56" spans="1:11" s="10" customFormat="1" x14ac:dyDescent="0.25">
      <c r="A56" s="24"/>
      <c r="B56" s="25" t="s">
        <v>46</v>
      </c>
      <c r="C56" s="26"/>
      <c r="D56" s="27"/>
      <c r="E56" s="27"/>
      <c r="F56" s="27"/>
      <c r="G56" s="27"/>
      <c r="H56" s="26"/>
      <c r="I56" s="26"/>
      <c r="J56" s="22">
        <f>0.13*G55*20062.02/100</f>
        <v>1231.6183513407618</v>
      </c>
      <c r="K56" s="26"/>
    </row>
    <row r="57" spans="1:11" s="10" customFormat="1" x14ac:dyDescent="0.25">
      <c r="A57" s="24"/>
      <c r="B57" s="25" t="s">
        <v>47</v>
      </c>
      <c r="C57" s="26"/>
      <c r="D57" s="27"/>
      <c r="E57" s="27"/>
      <c r="F57" s="27"/>
      <c r="G57" s="27"/>
      <c r="H57" s="26"/>
      <c r="I57" s="26"/>
      <c r="J57" s="22">
        <f>0.13*G55*13328.25/100</f>
        <v>818.22853786694986</v>
      </c>
      <c r="K57" s="26"/>
    </row>
    <row r="58" spans="1:11" s="10" customFormat="1" x14ac:dyDescent="0.25">
      <c r="A58" s="24"/>
      <c r="B58" s="25" t="s">
        <v>48</v>
      </c>
      <c r="C58" s="26"/>
      <c r="D58" s="27"/>
      <c r="E58" s="27"/>
      <c r="F58" s="27"/>
      <c r="G58" s="27"/>
      <c r="H58" s="26"/>
      <c r="I58" s="26"/>
      <c r="J58" s="22">
        <f>0.13*G55*10137.6/100</f>
        <v>622.35279391367908</v>
      </c>
      <c r="K58" s="26"/>
    </row>
    <row r="59" spans="1:11" x14ac:dyDescent="0.25">
      <c r="A59" s="15"/>
      <c r="B59" s="25" t="s">
        <v>49</v>
      </c>
      <c r="C59" s="15"/>
      <c r="D59" s="3"/>
      <c r="E59" s="3"/>
      <c r="F59" s="3"/>
      <c r="G59" s="3"/>
      <c r="H59" s="15"/>
      <c r="I59" s="15"/>
      <c r="J59" s="22">
        <f>0.13*G55*3300/100</f>
        <v>202.58880010210905</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25">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25">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25">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25">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25">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25">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25">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25">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25">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25">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25">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25">
      <c r="A79" s="17"/>
      <c r="B79" s="18" t="s">
        <v>16</v>
      </c>
      <c r="C79" s="19"/>
      <c r="D79" s="1"/>
      <c r="E79" s="20"/>
      <c r="F79" s="20"/>
      <c r="G79" s="2">
        <f>SUM(G62:G78)</f>
        <v>0.45880571972561801</v>
      </c>
      <c r="H79" s="21" t="s">
        <v>41</v>
      </c>
      <c r="I79" s="46">
        <v>132360</v>
      </c>
      <c r="J79" s="22">
        <f>G79*I79</f>
        <v>60727.5250628828</v>
      </c>
      <c r="K79" s="20"/>
    </row>
    <row r="80" spans="1:11" s="10" customFormat="1" x14ac:dyDescent="0.25">
      <c r="A80" s="24"/>
      <c r="B80" s="25" t="s">
        <v>38</v>
      </c>
      <c r="C80" s="26"/>
      <c r="D80" s="26"/>
      <c r="E80" s="26"/>
      <c r="F80" s="26"/>
      <c r="G80" s="26"/>
      <c r="H80" s="26"/>
      <c r="I80" s="26"/>
      <c r="J80" s="22">
        <f>0.13*G79*105000</f>
        <v>6262.6980742546866</v>
      </c>
      <c r="K80" s="26"/>
    </row>
    <row r="81" spans="1:11" s="10" customFormat="1" x14ac:dyDescent="0.25">
      <c r="A81" s="24"/>
      <c r="B81" s="25" t="s">
        <v>37</v>
      </c>
      <c r="C81" s="26"/>
      <c r="D81" s="26"/>
      <c r="E81" s="26"/>
      <c r="F81" s="26"/>
      <c r="G81" s="26"/>
      <c r="H81" s="26"/>
      <c r="I81" s="26"/>
      <c r="J81" s="22">
        <f>0.13*G79*1200</f>
        <v>71.573692277196415</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25">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25">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25">
      <c r="A106" s="24"/>
      <c r="B106" s="25"/>
      <c r="C106" s="49">
        <f>C137</f>
        <v>1</v>
      </c>
      <c r="D106" s="27">
        <f>D137</f>
        <v>0.46</v>
      </c>
      <c r="E106" s="27"/>
      <c r="F106" s="27">
        <f>F137</f>
        <v>0.6</v>
      </c>
      <c r="G106" s="27">
        <f t="shared" si="16"/>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25">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25">
      <c r="A116" s="15"/>
      <c r="B116" s="16" t="s">
        <v>87</v>
      </c>
      <c r="C116" s="45">
        <v>-1</v>
      </c>
      <c r="D116" s="3">
        <f>1.5</f>
        <v>1.5</v>
      </c>
      <c r="E116" s="3">
        <v>0.35</v>
      </c>
      <c r="F116" s="3">
        <f>(7-3.5)/3.281</f>
        <v>1.0667479427003961</v>
      </c>
      <c r="G116" s="3">
        <f t="shared" si="17"/>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25">
      <c r="A132" s="15"/>
      <c r="B132" s="16" t="s">
        <v>124</v>
      </c>
      <c r="C132" s="45">
        <v>2</v>
      </c>
      <c r="D132" s="3">
        <f>D52</f>
        <v>4.0262115208777809</v>
      </c>
      <c r="E132" s="3">
        <f>E52</f>
        <v>1.8805242304175556</v>
      </c>
      <c r="F132" s="3"/>
      <c r="G132" s="3">
        <f t="shared" si="18"/>
        <v>15.142776643593971</v>
      </c>
      <c r="H132" s="15"/>
      <c r="I132" s="15"/>
      <c r="J132" s="15"/>
      <c r="K132" s="15"/>
    </row>
    <row r="133" spans="1:11" x14ac:dyDescent="0.25">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25">
      <c r="A139" s="24"/>
      <c r="B139" s="25" t="s">
        <v>32</v>
      </c>
      <c r="C139" s="26"/>
      <c r="D139" s="27"/>
      <c r="E139" s="27"/>
      <c r="F139" s="27"/>
      <c r="G139" s="27"/>
      <c r="H139" s="26"/>
      <c r="I139" s="26"/>
      <c r="J139" s="22">
        <f>0.13*G138*7010.67/100</f>
        <v>893.63820521954597</v>
      </c>
      <c r="K139" s="26"/>
    </row>
    <row r="140" spans="1:11" x14ac:dyDescent="0.25">
      <c r="A140" s="15"/>
      <c r="B140" s="25" t="s">
        <v>31</v>
      </c>
      <c r="C140" s="26"/>
      <c r="D140" s="27"/>
      <c r="E140" s="27"/>
      <c r="F140" s="27"/>
      <c r="G140" s="27"/>
      <c r="H140" s="26"/>
      <c r="I140" s="26"/>
      <c r="J140" s="22">
        <f>0.13*G138*4639.73/100</f>
        <v>591.41850777504624</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93.637626741053708</v>
      </c>
      <c r="H152" s="15"/>
      <c r="I152" s="15"/>
      <c r="J152" s="15"/>
      <c r="K152" s="15"/>
    </row>
    <row r="153" spans="1:11" s="10" customFormat="1" ht="15" customHeight="1" x14ac:dyDescent="0.25">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25">
      <c r="A154" s="24"/>
      <c r="B154" s="25" t="s">
        <v>60</v>
      </c>
      <c r="C154" s="26"/>
      <c r="D154" s="27"/>
      <c r="E154" s="27"/>
      <c r="F154" s="27"/>
      <c r="G154" s="27"/>
      <c r="H154" s="26"/>
      <c r="I154" s="26"/>
      <c r="J154" s="22">
        <f>0.13*G153*2304/100</f>
        <v>280.46341961480408</v>
      </c>
      <c r="K154" s="26"/>
    </row>
    <row r="155" spans="1:11" s="10" customFormat="1" x14ac:dyDescent="0.25">
      <c r="A155" s="24"/>
      <c r="B155" s="25" t="s">
        <v>61</v>
      </c>
      <c r="C155" s="26"/>
      <c r="D155" s="27"/>
      <c r="E155" s="27"/>
      <c r="F155" s="27"/>
      <c r="G155" s="27"/>
      <c r="H155" s="26"/>
      <c r="I155" s="26"/>
      <c r="J155" s="22">
        <f>0.13*G153*10432/100</f>
        <v>1269.876038811474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9">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783062.29195295041</v>
      </c>
      <c r="K186" s="36"/>
    </row>
    <row r="187" spans="1:11" s="10" customFormat="1" x14ac:dyDescent="0.25"/>
    <row r="188" spans="1:11" s="44" customFormat="1" x14ac:dyDescent="0.25">
      <c r="A188" s="37"/>
      <c r="B188" s="38" t="s">
        <v>19</v>
      </c>
      <c r="C188" s="69">
        <f>J186</f>
        <v>783062.29195295041</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84.923001252109316</v>
      </c>
    </row>
    <row r="191" spans="1:11" s="10" customFormat="1" x14ac:dyDescent="0.25">
      <c r="B191" s="38" t="s">
        <v>26</v>
      </c>
      <c r="C191" s="75">
        <f>C188-C190</f>
        <v>118062.29195295041</v>
      </c>
      <c r="D191" s="75"/>
      <c r="E191" s="39">
        <f>100-E190</f>
        <v>15.076998747890684</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93"/>
  <sheetViews>
    <sheetView topLeftCell="A110" zoomScaleNormal="100" workbookViewId="0">
      <selection activeCell="K113" sqref="K113"/>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8</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9</v>
      </c>
      <c r="B102" s="28" t="s">
        <v>52</v>
      </c>
      <c r="C102" s="15"/>
      <c r="D102" s="15"/>
      <c r="E102" s="15"/>
      <c r="F102" s="15"/>
      <c r="G102" s="15"/>
      <c r="H102" s="15"/>
      <c r="I102" s="15"/>
      <c r="J102" s="15"/>
      <c r="K102" s="15"/>
    </row>
    <row r="103" spans="1:11" s="10" customFormat="1" x14ac:dyDescent="0.25">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25">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25">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25">
      <c r="A106" s="24"/>
      <c r="B106" s="25"/>
      <c r="C106" s="49">
        <f>C137</f>
        <v>1</v>
      </c>
      <c r="D106" s="27">
        <f>D137</f>
        <v>0.46</v>
      </c>
      <c r="E106" s="27"/>
      <c r="F106" s="27">
        <f>F137</f>
        <v>0.6</v>
      </c>
      <c r="G106" s="27">
        <f t="shared" si="12"/>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25">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10</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25">
      <c r="A116" s="15"/>
      <c r="B116" s="16" t="s">
        <v>87</v>
      </c>
      <c r="C116" s="45">
        <v>-1</v>
      </c>
      <c r="D116" s="3">
        <f>1.5</f>
        <v>1.5</v>
      </c>
      <c r="E116" s="3">
        <v>0.35</v>
      </c>
      <c r="F116" s="3">
        <f>(7-3.5)/3.281</f>
        <v>1.0667479427003961</v>
      </c>
      <c r="G116" s="3">
        <f t="shared" si="13"/>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11</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25">
      <c r="A132" s="15"/>
      <c r="B132" s="16" t="s">
        <v>124</v>
      </c>
      <c r="C132" s="45">
        <v>2</v>
      </c>
      <c r="D132" s="3">
        <f>D52</f>
        <v>2.7811642791831757</v>
      </c>
      <c r="E132" s="3">
        <f>E52</f>
        <v>3.2002438281011885</v>
      </c>
      <c r="F132" s="3"/>
      <c r="G132" s="3">
        <f t="shared" si="14"/>
        <v>17.800807638782896</v>
      </c>
      <c r="H132" s="15"/>
      <c r="I132" s="15"/>
      <c r="J132" s="15"/>
      <c r="K132" s="15"/>
    </row>
    <row r="133" spans="1:11" x14ac:dyDescent="0.25">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25">
      <c r="A139" s="24"/>
      <c r="B139" s="25" t="s">
        <v>32</v>
      </c>
      <c r="C139" s="26"/>
      <c r="D139" s="27"/>
      <c r="E139" s="27"/>
      <c r="F139" s="27"/>
      <c r="G139" s="27"/>
      <c r="H139" s="26"/>
      <c r="I139" s="26"/>
      <c r="J139" s="22">
        <f>0.13*G138*7010.67/100</f>
        <v>930.65564077324643</v>
      </c>
      <c r="K139" s="26"/>
    </row>
    <row r="140" spans="1:11" x14ac:dyDescent="0.25">
      <c r="A140" s="15"/>
      <c r="B140" s="25" t="s">
        <v>31</v>
      </c>
      <c r="C140" s="26"/>
      <c r="D140" s="27"/>
      <c r="E140" s="27"/>
      <c r="F140" s="27"/>
      <c r="G140" s="27"/>
      <c r="H140" s="26"/>
      <c r="I140" s="26"/>
      <c r="J140" s="22">
        <f>0.13*G138*4639.73/100</f>
        <v>615.91700881154782</v>
      </c>
      <c r="K140" s="15"/>
    </row>
    <row r="141" spans="1:11" x14ac:dyDescent="0.25">
      <c r="A141" s="15"/>
      <c r="B141" s="15"/>
      <c r="C141" s="15"/>
      <c r="D141" s="15"/>
      <c r="E141" s="15"/>
      <c r="F141" s="15"/>
      <c r="G141" s="15"/>
      <c r="H141" s="15"/>
      <c r="I141" s="15"/>
      <c r="J141" s="15"/>
      <c r="K141" s="15"/>
    </row>
    <row r="142" spans="1:11" ht="76.5" x14ac:dyDescent="0.25">
      <c r="A142" s="11">
        <v>12</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13</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97.699285673213325</v>
      </c>
      <c r="H152" s="15"/>
      <c r="I152" s="15"/>
      <c r="J152" s="15"/>
      <c r="K152" s="15"/>
    </row>
    <row r="153" spans="1:11" s="10" customFormat="1" ht="15" customHeight="1" x14ac:dyDescent="0.25">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25">
      <c r="A154" s="24"/>
      <c r="B154" s="25" t="s">
        <v>60</v>
      </c>
      <c r="C154" s="26"/>
      <c r="D154" s="27"/>
      <c r="E154" s="27"/>
      <c r="F154" s="27"/>
      <c r="G154" s="27"/>
      <c r="H154" s="26"/>
      <c r="I154" s="26"/>
      <c r="J154" s="22">
        <f>0.13*G153*2304/100</f>
        <v>292.62890044840856</v>
      </c>
      <c r="K154" s="26"/>
    </row>
    <row r="155" spans="1:11" s="10" customFormat="1" x14ac:dyDescent="0.25">
      <c r="A155" s="24"/>
      <c r="B155" s="25" t="s">
        <v>61</v>
      </c>
      <c r="C155" s="26"/>
      <c r="D155" s="27"/>
      <c r="E155" s="27"/>
      <c r="F155" s="27"/>
      <c r="G155" s="27"/>
      <c r="H155" s="26"/>
      <c r="I155" s="26"/>
      <c r="J155" s="22">
        <f>0.13*G153*10432/100</f>
        <v>1324.95863258585</v>
      </c>
      <c r="K155" s="26"/>
    </row>
    <row r="156" spans="1:11" s="10" customFormat="1" x14ac:dyDescent="0.25">
      <c r="A156" s="24"/>
      <c r="B156" s="25"/>
      <c r="C156" s="26"/>
      <c r="D156" s="27"/>
      <c r="E156" s="27"/>
      <c r="F156" s="27"/>
      <c r="G156" s="27"/>
      <c r="H156" s="26"/>
      <c r="I156" s="26"/>
      <c r="J156" s="22"/>
      <c r="K156" s="26"/>
    </row>
    <row r="157" spans="1:11" ht="30" x14ac:dyDescent="0.25">
      <c r="A157" s="11">
        <v>14</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15</v>
      </c>
      <c r="B164" s="30" t="s">
        <v>96</v>
      </c>
      <c r="C164" s="26"/>
      <c r="D164" s="27"/>
      <c r="E164" s="27"/>
      <c r="F164" s="27"/>
      <c r="G164" s="27"/>
      <c r="H164" s="26"/>
      <c r="I164" s="26"/>
      <c r="J164" s="22"/>
      <c r="K164" s="26"/>
    </row>
    <row r="165" spans="1:11" x14ac:dyDescent="0.25">
      <c r="A165" s="15"/>
      <c r="B165" s="16" t="s">
        <v>97</v>
      </c>
      <c r="C165" s="45">
        <v>1</v>
      </c>
      <c r="D165" s="3">
        <f>D116</f>
        <v>1.5</v>
      </c>
      <c r="E165" s="3"/>
      <c r="F165" s="3">
        <f>7/3.281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16</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5">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1">
        <v>17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18</v>
      </c>
      <c r="B182" s="30" t="s">
        <v>83</v>
      </c>
      <c r="C182" s="19">
        <v>1</v>
      </c>
      <c r="D182" s="1"/>
      <c r="E182" s="20"/>
      <c r="F182" s="20"/>
      <c r="G182" s="21">
        <f t="shared" ref="G182" si="16">PRODUCT(C182:F182)</f>
        <v>1</v>
      </c>
      <c r="H182" s="21" t="s">
        <v>30</v>
      </c>
      <c r="I182" s="2">
        <v>15000</v>
      </c>
      <c r="J182" s="21">
        <f>G182*I182</f>
        <v>15000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19</v>
      </c>
      <c r="B184" s="30" t="s">
        <v>17</v>
      </c>
      <c r="C184" s="19">
        <v>1</v>
      </c>
      <c r="D184" s="1"/>
      <c r="E184" s="20"/>
      <c r="F184" s="20"/>
      <c r="G184" s="21">
        <f t="shared" ref="G184" si="17">PRODUCT(C184:F184)</f>
        <v>1</v>
      </c>
      <c r="H184" s="21" t="s">
        <v>18</v>
      </c>
      <c r="I184" s="2">
        <v>1000</v>
      </c>
      <c r="J184" s="21">
        <f>G184*I184</f>
        <v>1000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809604.15128198045</v>
      </c>
      <c r="K186" s="36"/>
    </row>
    <row r="187" spans="1:11" s="10" customFormat="1" x14ac:dyDescent="0.25"/>
    <row r="188" spans="1:11" s="44" customFormat="1" x14ac:dyDescent="0.25">
      <c r="A188" s="37"/>
      <c r="B188" s="38" t="s">
        <v>19</v>
      </c>
      <c r="C188" s="69">
        <f>J186</f>
        <v>809604.15128198045</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82.138906890113546</v>
      </c>
    </row>
    <row r="191" spans="1:11" s="10" customFormat="1" x14ac:dyDescent="0.25">
      <c r="B191" s="38" t="s">
        <v>26</v>
      </c>
      <c r="C191" s="75">
        <f>C188-C190</f>
        <v>144604.15128198045</v>
      </c>
      <c r="D191" s="75"/>
      <c r="E191" s="39">
        <f>100-E190</f>
        <v>17.861093109886454</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C701C-1625-417C-982D-2BA9BD129D57}">
  <dimension ref="A1:Y193"/>
  <sheetViews>
    <sheetView tabSelected="1" topLeftCell="A110" zoomScaleNormal="100" workbookViewId="0">
      <selection activeCell="M116" sqref="M116"/>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si="6"/>
        <v>33.052253716685293</v>
      </c>
      <c r="G75" s="3">
        <f t="shared" si="7"/>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8</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9</v>
      </c>
      <c r="B102" s="28" t="s">
        <v>52</v>
      </c>
      <c r="C102" s="15"/>
      <c r="D102" s="15"/>
      <c r="E102" s="15"/>
      <c r="F102" s="15"/>
      <c r="G102" s="15"/>
      <c r="H102" s="15"/>
      <c r="I102" s="15"/>
      <c r="J102" s="15"/>
      <c r="K102" s="15"/>
    </row>
    <row r="103" spans="1:11" s="10" customFormat="1" x14ac:dyDescent="0.25">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25">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25">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25">
      <c r="A106" s="24"/>
      <c r="B106" s="25"/>
      <c r="C106" s="49">
        <f>C137</f>
        <v>1</v>
      </c>
      <c r="D106" s="27">
        <f>D137</f>
        <v>0.46</v>
      </c>
      <c r="E106" s="27"/>
      <c r="F106" s="27">
        <f>F137</f>
        <v>0.6</v>
      </c>
      <c r="G106" s="27">
        <f t="shared" si="10"/>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0"/>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25">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3" ht="30" x14ac:dyDescent="0.25">
      <c r="A113" s="11">
        <v>10</v>
      </c>
      <c r="B113" s="28" t="s">
        <v>56</v>
      </c>
      <c r="C113" s="15"/>
      <c r="D113" s="15"/>
      <c r="E113" s="15"/>
      <c r="F113" s="15"/>
      <c r="G113" s="15"/>
      <c r="H113" s="15"/>
      <c r="I113" s="15"/>
      <c r="J113" s="15"/>
      <c r="K113" s="15"/>
    </row>
    <row r="114" spans="1:13" x14ac:dyDescent="0.25">
      <c r="A114" s="15"/>
      <c r="B114" s="82" t="s">
        <v>86</v>
      </c>
      <c r="C114" s="83">
        <v>2</v>
      </c>
      <c r="D114" s="84">
        <f>9.667/3.281</f>
        <v>2.9463578177384941</v>
      </c>
      <c r="E114" s="84">
        <v>0.35</v>
      </c>
      <c r="F114" s="84">
        <v>1.2</v>
      </c>
      <c r="G114" s="84">
        <f t="shared" ref="G114:G117" si="11">PRODUCT(C114:F114)</f>
        <v>2.4749405669003348</v>
      </c>
      <c r="H114" s="15"/>
      <c r="I114" s="15"/>
      <c r="J114" s="15"/>
      <c r="K114" s="15"/>
      <c r="M114">
        <f>12-1.17*2</f>
        <v>9.66</v>
      </c>
    </row>
    <row r="115" spans="1:13" x14ac:dyDescent="0.25">
      <c r="A115" s="15"/>
      <c r="B115" s="82"/>
      <c r="C115" s="83">
        <v>2</v>
      </c>
      <c r="D115" s="84">
        <f>15/3.281</f>
        <v>4.5717768972874122</v>
      </c>
      <c r="E115" s="84">
        <v>0.35</v>
      </c>
      <c r="F115" s="84">
        <v>1.2</v>
      </c>
      <c r="G115" s="84">
        <f t="shared" si="11"/>
        <v>3.8402925937214261</v>
      </c>
      <c r="H115" s="15"/>
      <c r="I115" s="15"/>
      <c r="J115" s="15"/>
      <c r="K115" s="15"/>
      <c r="M115">
        <f>D115-0.35*2</f>
        <v>3.871776897287412</v>
      </c>
    </row>
    <row r="116" spans="1:13" x14ac:dyDescent="0.25">
      <c r="A116" s="15"/>
      <c r="B116" s="16" t="s">
        <v>87</v>
      </c>
      <c r="C116" s="83">
        <v>-1</v>
      </c>
      <c r="D116" s="84">
        <v>1.2</v>
      </c>
      <c r="E116" s="84">
        <v>0.35</v>
      </c>
      <c r="F116" s="84">
        <f>(7-3.5)/3.281</f>
        <v>1.0667479427003961</v>
      </c>
      <c r="G116" s="84">
        <f t="shared" si="11"/>
        <v>-0.44803413593416636</v>
      </c>
      <c r="H116" s="15"/>
      <c r="I116" s="15"/>
      <c r="J116" s="15"/>
      <c r="K116" s="15"/>
    </row>
    <row r="117" spans="1:13" x14ac:dyDescent="0.25">
      <c r="A117" s="15"/>
      <c r="B117" s="16" t="s">
        <v>58</v>
      </c>
      <c r="C117" s="83">
        <v>-2</v>
      </c>
      <c r="D117" s="84">
        <f>0.6</f>
        <v>0.6</v>
      </c>
      <c r="E117" s="84">
        <v>0.35</v>
      </c>
      <c r="F117" s="84">
        <f>2.33/3.281</f>
        <v>0.71014934471197799</v>
      </c>
      <c r="G117" s="84">
        <f t="shared" si="11"/>
        <v>-0.29826272477903076</v>
      </c>
      <c r="H117" s="15"/>
      <c r="I117" s="15"/>
      <c r="J117" s="15"/>
      <c r="K117" s="15"/>
    </row>
    <row r="118" spans="1:13"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3"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3"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3" s="10" customFormat="1" ht="15" customHeight="1" x14ac:dyDescent="0.25">
      <c r="A121" s="17"/>
      <c r="B121" s="18" t="s">
        <v>16</v>
      </c>
      <c r="C121" s="19"/>
      <c r="D121" s="1"/>
      <c r="E121" s="20"/>
      <c r="F121" s="20"/>
      <c r="G121" s="2">
        <f>SUM(G114:G120)</f>
        <v>6.1851826394391942</v>
      </c>
      <c r="H121" s="21" t="s">
        <v>28</v>
      </c>
      <c r="I121" s="2">
        <f>14491.84</f>
        <v>14491.84</v>
      </c>
      <c r="J121" s="22">
        <f>G121*I121</f>
        <v>89634.677181530496</v>
      </c>
      <c r="K121" s="20"/>
    </row>
    <row r="122" spans="1:13" s="10" customFormat="1" x14ac:dyDescent="0.25">
      <c r="A122" s="24"/>
      <c r="B122" s="25" t="s">
        <v>53</v>
      </c>
      <c r="C122" s="26"/>
      <c r="D122" s="27"/>
      <c r="E122" s="27"/>
      <c r="F122" s="27"/>
      <c r="G122" s="27"/>
      <c r="H122" s="26"/>
      <c r="I122" s="26"/>
      <c r="J122" s="22">
        <f>0.13*G121*8481.2</f>
        <v>6819.5102302095211</v>
      </c>
      <c r="K122" s="26"/>
    </row>
    <row r="123" spans="1:13" s="10" customFormat="1" x14ac:dyDescent="0.25">
      <c r="A123" s="24"/>
      <c r="B123" s="25" t="s">
        <v>32</v>
      </c>
      <c r="C123" s="26"/>
      <c r="D123" s="27"/>
      <c r="E123" s="27"/>
      <c r="F123" s="27"/>
      <c r="G123" s="27"/>
      <c r="H123" s="26"/>
      <c r="I123" s="26"/>
      <c r="J123" s="22">
        <f>0.13*G121*912.17</f>
        <v>733.45194626824241</v>
      </c>
      <c r="K123" s="26"/>
    </row>
    <row r="124" spans="1:13" s="10" customFormat="1" x14ac:dyDescent="0.25">
      <c r="A124" s="24"/>
      <c r="B124" s="25" t="s">
        <v>57</v>
      </c>
      <c r="C124" s="26"/>
      <c r="D124" s="27"/>
      <c r="E124" s="27"/>
      <c r="F124" s="27"/>
      <c r="G124" s="27"/>
      <c r="H124" s="26"/>
      <c r="I124" s="26"/>
      <c r="J124" s="22">
        <f>0.13*G121*953.37</f>
        <v>766.57978448507879</v>
      </c>
      <c r="K124" s="26"/>
    </row>
    <row r="125" spans="1:13" s="10" customFormat="1" x14ac:dyDescent="0.25">
      <c r="A125" s="24"/>
      <c r="B125" s="25" t="s">
        <v>35</v>
      </c>
      <c r="C125" s="26"/>
      <c r="D125" s="27"/>
      <c r="E125" s="27"/>
      <c r="F125" s="27"/>
      <c r="G125" s="27"/>
      <c r="H125" s="26"/>
      <c r="I125" s="26"/>
      <c r="J125" s="22">
        <f>0.13*G121*28</f>
        <v>22.514064807558668</v>
      </c>
      <c r="K125" s="26"/>
    </row>
    <row r="126" spans="1:13" x14ac:dyDescent="0.25">
      <c r="A126" s="15"/>
      <c r="B126" s="15"/>
      <c r="C126" s="15"/>
      <c r="D126" s="15"/>
      <c r="E126" s="15"/>
      <c r="F126" s="15"/>
      <c r="G126" s="15"/>
      <c r="H126" s="15"/>
      <c r="I126" s="15"/>
      <c r="J126" s="15"/>
      <c r="K126" s="15"/>
    </row>
    <row r="127" spans="1:13" ht="30" x14ac:dyDescent="0.25">
      <c r="A127" s="11">
        <v>11</v>
      </c>
      <c r="B127" s="28" t="s">
        <v>51</v>
      </c>
      <c r="C127" s="15"/>
      <c r="D127" s="15"/>
      <c r="E127" s="15"/>
      <c r="F127" s="15"/>
      <c r="G127" s="15"/>
      <c r="H127" s="15"/>
      <c r="I127" s="15"/>
      <c r="J127" s="15"/>
      <c r="K127" s="15"/>
    </row>
    <row r="128" spans="1:13"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1.2</v>
      </c>
      <c r="E130" s="3"/>
      <c r="F130" s="3">
        <f>7/3.281</f>
        <v>2.1334958854007922</v>
      </c>
      <c r="G130" s="3">
        <f t="shared" ref="G130:G133" si="12">PRODUCT(C130:F130)</f>
        <v>-5.1203901249619008</v>
      </c>
      <c r="H130" s="15"/>
      <c r="I130" s="15"/>
      <c r="J130" s="15"/>
      <c r="K130" s="15"/>
    </row>
    <row r="131" spans="1:11" x14ac:dyDescent="0.25">
      <c r="A131" s="15"/>
      <c r="B131" s="16" t="str">
        <f>B117</f>
        <v>-deduction for window</v>
      </c>
      <c r="C131" s="45">
        <f>2*C117</f>
        <v>-4</v>
      </c>
      <c r="D131" s="3">
        <f>D117</f>
        <v>0.6</v>
      </c>
      <c r="E131" s="3"/>
      <c r="F131" s="3">
        <f>F117</f>
        <v>0.71014934471197799</v>
      </c>
      <c r="G131" s="3">
        <f t="shared" si="12"/>
        <v>-1.7043584273087471</v>
      </c>
      <c r="H131" s="15"/>
      <c r="I131" s="15"/>
      <c r="J131" s="15"/>
      <c r="K131" s="15"/>
    </row>
    <row r="132" spans="1:11" x14ac:dyDescent="0.25">
      <c r="A132" s="15"/>
      <c r="B132" s="16" t="s">
        <v>124</v>
      </c>
      <c r="C132" s="45">
        <v>2</v>
      </c>
      <c r="D132" s="3">
        <f>D52</f>
        <v>2.7811642791831757</v>
      </c>
      <c r="E132" s="3">
        <f>E52</f>
        <v>3.2002438281011885</v>
      </c>
      <c r="F132" s="3"/>
      <c r="G132" s="3">
        <f t="shared" si="12"/>
        <v>17.800807638782896</v>
      </c>
      <c r="H132" s="15"/>
      <c r="I132" s="15"/>
      <c r="J132" s="15"/>
      <c r="K132" s="15"/>
    </row>
    <row r="133" spans="1:11" x14ac:dyDescent="0.25">
      <c r="A133" s="15"/>
      <c r="B133" s="16"/>
      <c r="C133" s="45">
        <v>2</v>
      </c>
      <c r="D133" s="3">
        <f>D53</f>
        <v>2.3239865894544347</v>
      </c>
      <c r="E133" s="3">
        <f>E53</f>
        <v>2.895458701615361</v>
      </c>
      <c r="F133" s="3"/>
      <c r="G133" s="3">
        <f t="shared" si="12"/>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106.24174321597637</v>
      </c>
      <c r="H138" s="21" t="s">
        <v>34</v>
      </c>
      <c r="I138" s="2">
        <v>415.5</v>
      </c>
      <c r="J138" s="22">
        <f>G138*I138</f>
        <v>44143.444306238183</v>
      </c>
      <c r="K138" s="20"/>
    </row>
    <row r="139" spans="1:11" s="10" customFormat="1" x14ac:dyDescent="0.25">
      <c r="A139" s="24"/>
      <c r="B139" s="25" t="s">
        <v>32</v>
      </c>
      <c r="C139" s="26"/>
      <c r="D139" s="27"/>
      <c r="E139" s="27"/>
      <c r="F139" s="27"/>
      <c r="G139" s="27"/>
      <c r="H139" s="26"/>
      <c r="I139" s="26"/>
      <c r="J139" s="22">
        <f>0.13*G138*7010.67/100</f>
        <v>968.27354248553388</v>
      </c>
      <c r="K139" s="26"/>
    </row>
    <row r="140" spans="1:11" x14ac:dyDescent="0.25">
      <c r="A140" s="15"/>
      <c r="B140" s="25" t="s">
        <v>31</v>
      </c>
      <c r="C140" s="26"/>
      <c r="D140" s="27"/>
      <c r="E140" s="27"/>
      <c r="F140" s="27"/>
      <c r="G140" s="27"/>
      <c r="H140" s="26"/>
      <c r="I140" s="26"/>
      <c r="J140" s="22">
        <f>0.13*G138*4639.73/100</f>
        <v>640.81290422690063</v>
      </c>
      <c r="K140" s="15"/>
    </row>
    <row r="141" spans="1:11" x14ac:dyDescent="0.25">
      <c r="A141" s="15"/>
      <c r="B141" s="15"/>
      <c r="C141" s="15"/>
      <c r="D141" s="15"/>
      <c r="E141" s="15"/>
      <c r="F141" s="15"/>
      <c r="G141" s="15"/>
      <c r="H141" s="15"/>
      <c r="I141" s="15"/>
      <c r="J141" s="15"/>
      <c r="K141" s="15"/>
    </row>
    <row r="142" spans="1:11" ht="76.5" x14ac:dyDescent="0.25">
      <c r="A142" s="11">
        <v>12</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1.2</v>
      </c>
      <c r="E144" s="27"/>
      <c r="F144" s="27">
        <f>F143</f>
        <v>1.0667479427003961</v>
      </c>
      <c r="G144" s="27">
        <f>PRODUCT(C144:F144)</f>
        <v>-1.2800975312404752</v>
      </c>
      <c r="H144" s="26"/>
      <c r="I144" s="26"/>
      <c r="J144" s="26"/>
      <c r="K144" s="26"/>
    </row>
    <row r="145" spans="1:11" s="10" customFormat="1" ht="15" customHeight="1" x14ac:dyDescent="0.25">
      <c r="A145" s="17"/>
      <c r="B145" s="18" t="s">
        <v>16</v>
      </c>
      <c r="C145" s="19"/>
      <c r="D145" s="1"/>
      <c r="E145" s="20"/>
      <c r="F145" s="20"/>
      <c r="G145" s="2">
        <f>SUM(G143:G144)</f>
        <v>13.292180064563167</v>
      </c>
      <c r="H145" s="21" t="s">
        <v>34</v>
      </c>
      <c r="I145" s="2">
        <v>2845.18</v>
      </c>
      <c r="J145" s="22">
        <f>G145*I145</f>
        <v>37818.644876093829</v>
      </c>
      <c r="K145" s="20"/>
    </row>
    <row r="146" spans="1:11" s="10" customFormat="1" x14ac:dyDescent="0.25">
      <c r="A146" s="24"/>
      <c r="B146" s="25" t="s">
        <v>32</v>
      </c>
      <c r="C146" s="26"/>
      <c r="D146" s="27"/>
      <c r="E146" s="27"/>
      <c r="F146" s="27"/>
      <c r="G146" s="27"/>
      <c r="H146" s="26"/>
      <c r="I146" s="26"/>
      <c r="J146" s="22">
        <f>0.13*G145*729.73/10</f>
        <v>126.09613326067783</v>
      </c>
      <c r="K146" s="26"/>
    </row>
    <row r="147" spans="1:11" x14ac:dyDescent="0.25">
      <c r="A147" s="15"/>
      <c r="B147" s="25" t="s">
        <v>31</v>
      </c>
      <c r="C147" s="26"/>
      <c r="D147" s="27"/>
      <c r="E147" s="27"/>
      <c r="F147" s="27"/>
      <c r="G147" s="27"/>
      <c r="H147" s="26"/>
      <c r="I147" s="26"/>
      <c r="J147" s="22">
        <f>0.13*G145*483.04/10</f>
        <v>83.468510559025702</v>
      </c>
      <c r="K147" s="15"/>
    </row>
    <row r="148" spans="1:11" s="10" customFormat="1" x14ac:dyDescent="0.25">
      <c r="A148" s="24"/>
      <c r="B148" s="25" t="s">
        <v>136</v>
      </c>
      <c r="C148" s="26"/>
      <c r="D148" s="27"/>
      <c r="E148" s="27"/>
      <c r="F148" s="27"/>
      <c r="G148" s="27"/>
      <c r="H148" s="26"/>
      <c r="I148" s="26"/>
      <c r="J148" s="22">
        <f>0.13*G145*100.06/10</f>
        <v>17.290201984382477</v>
      </c>
      <c r="K148" s="26"/>
    </row>
    <row r="149" spans="1:11" x14ac:dyDescent="0.25">
      <c r="A149" s="15"/>
      <c r="B149" s="25" t="s">
        <v>137</v>
      </c>
      <c r="C149" s="26"/>
      <c r="D149" s="27"/>
      <c r="E149" s="27"/>
      <c r="F149" s="27"/>
      <c r="G149" s="27"/>
      <c r="H149" s="26"/>
      <c r="I149" s="26"/>
      <c r="J149" s="22">
        <f>0.13*G145*6746.52/10</f>
        <v>1165.7874624392971</v>
      </c>
      <c r="K149" s="15"/>
    </row>
    <row r="150" spans="1:11" x14ac:dyDescent="0.25">
      <c r="A150" s="15"/>
      <c r="B150" s="15"/>
      <c r="C150" s="15"/>
      <c r="D150" s="15"/>
      <c r="E150" s="15"/>
      <c r="F150" s="15"/>
      <c r="G150" s="15"/>
      <c r="H150" s="15"/>
      <c r="I150" s="15"/>
      <c r="J150" s="15"/>
      <c r="K150" s="15"/>
    </row>
    <row r="151" spans="1:11" ht="30" x14ac:dyDescent="0.25">
      <c r="A151" s="11">
        <v>13</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101.82682947016716</v>
      </c>
      <c r="H152" s="15"/>
      <c r="I152" s="15"/>
      <c r="J152" s="15"/>
      <c r="K152" s="15"/>
    </row>
    <row r="153" spans="1:11" s="10" customFormat="1" ht="15" customHeight="1" x14ac:dyDescent="0.25">
      <c r="A153" s="17"/>
      <c r="B153" s="18" t="s">
        <v>16</v>
      </c>
      <c r="C153" s="19"/>
      <c r="D153" s="1"/>
      <c r="E153" s="20"/>
      <c r="F153" s="20"/>
      <c r="G153" s="2">
        <f>SUM(G152:G152)</f>
        <v>101.82682947016716</v>
      </c>
      <c r="H153" s="21" t="s">
        <v>34</v>
      </c>
      <c r="I153" s="2">
        <v>253.8</v>
      </c>
      <c r="J153" s="22">
        <f>G153*I153</f>
        <v>25843.649319528424</v>
      </c>
      <c r="K153" s="20"/>
    </row>
    <row r="154" spans="1:11" s="10" customFormat="1" x14ac:dyDescent="0.25">
      <c r="A154" s="24"/>
      <c r="B154" s="25" t="s">
        <v>60</v>
      </c>
      <c r="C154" s="26"/>
      <c r="D154" s="27"/>
      <c r="E154" s="27"/>
      <c r="F154" s="27"/>
      <c r="G154" s="27"/>
      <c r="H154" s="26"/>
      <c r="I154" s="26"/>
      <c r="J154" s="22">
        <f>0.13*G153*2304/100</f>
        <v>304.99171962904467</v>
      </c>
      <c r="K154" s="26"/>
    </row>
    <row r="155" spans="1:11" s="10" customFormat="1" x14ac:dyDescent="0.25">
      <c r="A155" s="24"/>
      <c r="B155" s="25" t="s">
        <v>61</v>
      </c>
      <c r="C155" s="26"/>
      <c r="D155" s="27"/>
      <c r="E155" s="27"/>
      <c r="F155" s="27"/>
      <c r="G155" s="27"/>
      <c r="H155" s="26"/>
      <c r="I155" s="26"/>
      <c r="J155" s="22">
        <f>0.13*G153*10432/100</f>
        <v>1380.934730542619</v>
      </c>
      <c r="K155" s="26"/>
    </row>
    <row r="156" spans="1:11" s="10" customFormat="1" x14ac:dyDescent="0.25">
      <c r="A156" s="24"/>
      <c r="B156" s="25"/>
      <c r="C156" s="26"/>
      <c r="D156" s="27"/>
      <c r="E156" s="27"/>
      <c r="F156" s="27"/>
      <c r="G156" s="27"/>
      <c r="H156" s="26"/>
      <c r="I156" s="26"/>
      <c r="J156" s="22"/>
      <c r="K156" s="26"/>
    </row>
    <row r="157" spans="1:11" ht="30" x14ac:dyDescent="0.25">
      <c r="A157" s="11">
        <v>14</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15</v>
      </c>
      <c r="B164" s="30" t="s">
        <v>96</v>
      </c>
      <c r="C164" s="26"/>
      <c r="D164" s="27"/>
      <c r="E164" s="27"/>
      <c r="F164" s="27"/>
      <c r="G164" s="27"/>
      <c r="H164" s="26"/>
      <c r="I164" s="26"/>
      <c r="J164" s="22"/>
      <c r="K164" s="26"/>
    </row>
    <row r="165" spans="1:11" x14ac:dyDescent="0.25">
      <c r="A165" s="15"/>
      <c r="B165" s="16" t="s">
        <v>97</v>
      </c>
      <c r="C165" s="45">
        <v>1</v>
      </c>
      <c r="D165" s="3">
        <f>D116</f>
        <v>1.2</v>
      </c>
      <c r="E165" s="3"/>
      <c r="F165" s="3">
        <f>7/3.281</f>
        <v>2.1334958854007922</v>
      </c>
      <c r="G165" s="3">
        <f>PRODUCT(C165:F165)</f>
        <v>2.5601950624809504</v>
      </c>
      <c r="H165" s="15"/>
      <c r="I165" s="15"/>
      <c r="J165" s="15"/>
      <c r="K165" s="15"/>
    </row>
    <row r="166" spans="1:11" x14ac:dyDescent="0.25">
      <c r="A166" s="15"/>
      <c r="B166" s="16" t="s">
        <v>98</v>
      </c>
      <c r="C166" s="45">
        <v>2</v>
      </c>
      <c r="D166" s="3">
        <f>D117</f>
        <v>0.6</v>
      </c>
      <c r="E166" s="3"/>
      <c r="F166" s="3">
        <f>F117</f>
        <v>0.71014934471197799</v>
      </c>
      <c r="G166" s="3">
        <f>PRODUCT(C166:F166)</f>
        <v>0.85217921365437355</v>
      </c>
      <c r="H166" s="15"/>
      <c r="I166" s="15"/>
      <c r="J166" s="15"/>
      <c r="K166" s="15"/>
    </row>
    <row r="167" spans="1:11" s="10" customFormat="1" ht="15" customHeight="1" x14ac:dyDescent="0.25">
      <c r="A167" s="17"/>
      <c r="B167" s="18" t="s">
        <v>16</v>
      </c>
      <c r="C167" s="19"/>
      <c r="D167" s="1"/>
      <c r="E167" s="20"/>
      <c r="F167" s="20"/>
      <c r="G167" s="2">
        <f>SUM(G165:G166)</f>
        <v>3.4123742761353242</v>
      </c>
      <c r="H167" s="21" t="s">
        <v>34</v>
      </c>
      <c r="I167" s="2">
        <v>37363.64</v>
      </c>
      <c r="J167" s="22">
        <f>G167*I167</f>
        <v>127498.72399878084</v>
      </c>
      <c r="K167" s="20"/>
    </row>
    <row r="168" spans="1:11" s="10" customFormat="1" x14ac:dyDescent="0.25">
      <c r="A168" s="24"/>
      <c r="B168" s="25" t="s">
        <v>99</v>
      </c>
      <c r="C168" s="26"/>
      <c r="D168" s="27"/>
      <c r="E168" s="27"/>
      <c r="F168" s="27"/>
      <c r="G168" s="27"/>
      <c r="H168" s="26"/>
      <c r="I168" s="26"/>
      <c r="J168" s="22">
        <f>0.13*G167*7910.91/0.92</f>
        <v>3814.5088608987185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16</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3">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1">
        <v>17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18</v>
      </c>
      <c r="B182" s="30" t="s">
        <v>83</v>
      </c>
      <c r="C182" s="19">
        <v>1</v>
      </c>
      <c r="D182" s="1"/>
      <c r="E182" s="20"/>
      <c r="F182" s="20"/>
      <c r="G182" s="21">
        <f t="shared" ref="G182" si="14">PRODUCT(C182:F182)</f>
        <v>1</v>
      </c>
      <c r="H182" s="21" t="s">
        <v>30</v>
      </c>
      <c r="I182" s="2">
        <v>15000</v>
      </c>
      <c r="J182" s="21">
        <f>G182*I182</f>
        <v>15000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19</v>
      </c>
      <c r="B184" s="30" t="s">
        <v>17</v>
      </c>
      <c r="C184" s="19">
        <v>1</v>
      </c>
      <c r="D184" s="1"/>
      <c r="E184" s="20"/>
      <c r="F184" s="20"/>
      <c r="G184" s="21">
        <f t="shared" ref="G184" si="15">PRODUCT(C184:F184)</f>
        <v>1</v>
      </c>
      <c r="H184" s="21" t="s">
        <v>18</v>
      </c>
      <c r="I184" s="2">
        <v>1000</v>
      </c>
      <c r="J184" s="21">
        <f>G184*I184</f>
        <v>1000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694846.45925882948</v>
      </c>
      <c r="K186" s="36"/>
    </row>
    <row r="187" spans="1:11" s="10" customFormat="1" x14ac:dyDescent="0.25"/>
    <row r="188" spans="1:11" s="44" customFormat="1" x14ac:dyDescent="0.25">
      <c r="A188" s="37"/>
      <c r="B188" s="38" t="s">
        <v>19</v>
      </c>
      <c r="C188" s="69">
        <f>J186</f>
        <v>694846.45925882948</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95.704596481549927</v>
      </c>
    </row>
    <row r="191" spans="1:11" s="10" customFormat="1" x14ac:dyDescent="0.25">
      <c r="B191" s="38" t="s">
        <v>26</v>
      </c>
      <c r="C191" s="75">
        <f>C188-C190</f>
        <v>29846.459258829476</v>
      </c>
      <c r="D191" s="75"/>
      <c r="E191" s="39">
        <f>100-E190</f>
        <v>4.2954035184500725</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C192:D192"/>
    <mergeCell ref="C193:D193"/>
    <mergeCell ref="A7:F7"/>
    <mergeCell ref="H7:K7"/>
    <mergeCell ref="C188:D188"/>
    <mergeCell ref="C189:D189"/>
    <mergeCell ref="C190:D190"/>
    <mergeCell ref="C191:D191"/>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611D8-A0C5-4567-9F40-3446FA06F1FA}">
  <dimension ref="A1:Y193"/>
  <sheetViews>
    <sheetView topLeftCell="A173" zoomScaleNormal="100" workbookViewId="0">
      <selection activeCell="J175" sqref="J175"/>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65" t="s">
        <v>0</v>
      </c>
      <c r="B1" s="65"/>
      <c r="C1" s="65"/>
      <c r="D1" s="65"/>
      <c r="E1" s="65"/>
      <c r="F1" s="65"/>
      <c r="G1" s="65"/>
      <c r="H1" s="65"/>
      <c r="I1" s="65"/>
      <c r="J1" s="65"/>
      <c r="K1" s="65"/>
    </row>
    <row r="2" spans="1:25" ht="22.5" x14ac:dyDescent="0.25">
      <c r="A2" s="66" t="s">
        <v>1</v>
      </c>
      <c r="B2" s="66"/>
      <c r="C2" s="66"/>
      <c r="D2" s="66"/>
      <c r="E2" s="66"/>
      <c r="F2" s="66"/>
      <c r="G2" s="66"/>
      <c r="H2" s="66"/>
      <c r="I2" s="66"/>
      <c r="J2" s="66"/>
      <c r="K2" s="66"/>
    </row>
    <row r="3" spans="1:25" x14ac:dyDescent="0.25">
      <c r="A3" s="67" t="s">
        <v>2</v>
      </c>
      <c r="B3" s="67"/>
      <c r="C3" s="67"/>
      <c r="D3" s="67"/>
      <c r="E3" s="67"/>
      <c r="F3" s="67"/>
      <c r="G3" s="67"/>
      <c r="H3" s="67"/>
      <c r="I3" s="67"/>
      <c r="J3" s="67"/>
      <c r="K3" s="67"/>
    </row>
    <row r="4" spans="1:25" x14ac:dyDescent="0.25">
      <c r="A4" s="67" t="s">
        <v>3</v>
      </c>
      <c r="B4" s="67"/>
      <c r="C4" s="67"/>
      <c r="D4" s="67"/>
      <c r="E4" s="67"/>
      <c r="F4" s="67"/>
      <c r="G4" s="67"/>
      <c r="H4" s="67"/>
      <c r="I4" s="67"/>
      <c r="J4" s="67"/>
      <c r="K4" s="67"/>
    </row>
    <row r="5" spans="1:25" ht="18.75" x14ac:dyDescent="0.3">
      <c r="A5" s="68" t="s">
        <v>4</v>
      </c>
      <c r="B5" s="68"/>
      <c r="C5" s="68"/>
      <c r="D5" s="68"/>
      <c r="E5" s="68"/>
      <c r="F5" s="68"/>
      <c r="G5" s="68"/>
      <c r="H5" s="68"/>
      <c r="I5" s="68"/>
      <c r="J5" s="68"/>
      <c r="K5" s="68"/>
    </row>
    <row r="6" spans="1:25" ht="15.75" x14ac:dyDescent="0.25">
      <c r="A6" s="63" t="s">
        <v>94</v>
      </c>
      <c r="B6" s="63"/>
      <c r="C6" s="63"/>
      <c r="D6" s="63"/>
      <c r="E6" s="63"/>
      <c r="F6" s="63"/>
      <c r="G6" s="4"/>
      <c r="H6" s="64" t="s">
        <v>25</v>
      </c>
      <c r="I6" s="64"/>
      <c r="J6" s="64"/>
      <c r="K6" s="64"/>
    </row>
    <row r="7" spans="1:25" ht="15.75" x14ac:dyDescent="0.25">
      <c r="A7" s="71" t="s">
        <v>29</v>
      </c>
      <c r="B7" s="71"/>
      <c r="C7" s="71"/>
      <c r="D7" s="71"/>
      <c r="E7" s="71"/>
      <c r="F7" s="71"/>
      <c r="G7" s="5"/>
      <c r="H7" s="72" t="s">
        <v>62</v>
      </c>
      <c r="I7" s="72"/>
      <c r="J7" s="72"/>
      <c r="K7" s="72"/>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((18.25+6.5)/2)/3.281</f>
        <v>3.7717159402621152</v>
      </c>
      <c r="E36" s="3">
        <f>6.917/3.281</f>
        <v>2.1081987199024685</v>
      </c>
      <c r="F36" s="3">
        <v>7.4999999999999997E-2</v>
      </c>
      <c r="G36" s="3">
        <f t="shared" si="1"/>
        <v>1.192729007564449</v>
      </c>
      <c r="H36" s="15"/>
      <c r="I36" s="15"/>
      <c r="J36" s="15"/>
      <c r="K36" s="15"/>
    </row>
    <row r="37" spans="1:11" x14ac:dyDescent="0.25">
      <c r="A37" s="15"/>
      <c r="B37" s="16"/>
      <c r="C37" s="45">
        <v>2</v>
      </c>
      <c r="D37" s="3">
        <f>((15.25+5.25)/2)/3.281</f>
        <v>3.1240475464797317</v>
      </c>
      <c r="E37" s="3">
        <f>6.25/3.281</f>
        <v>1.9049070405364217</v>
      </c>
      <c r="F37" s="3">
        <v>7.4999999999999997E-2</v>
      </c>
      <c r="G37" s="3">
        <f t="shared" si="1"/>
        <v>0.89265302493896614</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4.2324674332958558</v>
      </c>
      <c r="H39" s="21" t="s">
        <v>28</v>
      </c>
      <c r="I39" s="2">
        <v>13957.29</v>
      </c>
      <c r="J39" s="22">
        <f>G39*I39</f>
        <v>59073.77538206592</v>
      </c>
      <c r="K39" s="20"/>
    </row>
    <row r="40" spans="1:11" s="10" customFormat="1" x14ac:dyDescent="0.25">
      <c r="A40" s="24"/>
      <c r="B40" s="25" t="s">
        <v>32</v>
      </c>
      <c r="C40" s="26"/>
      <c r="D40" s="27"/>
      <c r="E40" s="27"/>
      <c r="F40" s="27"/>
      <c r="G40" s="27"/>
      <c r="H40" s="26"/>
      <c r="I40" s="26"/>
      <c r="J40" s="22">
        <f>0.13*G39*5212.4</f>
        <v>2867.9707224104714</v>
      </c>
      <c r="K40" s="26"/>
    </row>
    <row r="41" spans="1:11" s="10" customFormat="1" x14ac:dyDescent="0.25">
      <c r="A41" s="24"/>
      <c r="B41" s="25" t="s">
        <v>33</v>
      </c>
      <c r="C41" s="26"/>
      <c r="D41" s="27"/>
      <c r="E41" s="27"/>
      <c r="F41" s="27"/>
      <c r="G41" s="27"/>
      <c r="H41" s="26"/>
      <c r="I41" s="26"/>
      <c r="J41" s="22">
        <f>0.13*G39*(1912.03+921.59)</f>
        <v>1559.1165678836544</v>
      </c>
      <c r="K41" s="26"/>
    </row>
    <row r="42" spans="1:11" s="10" customFormat="1" x14ac:dyDescent="0.25">
      <c r="A42" s="24"/>
      <c r="B42" s="25" t="s">
        <v>31</v>
      </c>
      <c r="C42" s="26"/>
      <c r="D42" s="27"/>
      <c r="E42" s="27"/>
      <c r="F42" s="27"/>
      <c r="G42" s="27"/>
      <c r="H42" s="26"/>
      <c r="I42" s="26"/>
      <c r="J42" s="22">
        <f>0.13*G39*1350.6</f>
        <v>743.1281670032198</v>
      </c>
      <c r="K42" s="26"/>
    </row>
    <row r="43" spans="1:11" x14ac:dyDescent="0.25">
      <c r="A43" s="15"/>
      <c r="B43" s="25" t="s">
        <v>35</v>
      </c>
      <c r="C43" s="15"/>
      <c r="D43" s="3"/>
      <c r="E43" s="3"/>
      <c r="F43" s="3"/>
      <c r="G43" s="3"/>
      <c r="H43" s="15"/>
      <c r="I43" s="15"/>
      <c r="J43" s="22">
        <f>0.13*G39*56</f>
        <v>30.81236291439383</v>
      </c>
      <c r="K43" s="15"/>
    </row>
    <row r="44" spans="1:11" s="10" customFormat="1" x14ac:dyDescent="0.25">
      <c r="A44" s="24"/>
      <c r="B44" s="25" t="s">
        <v>43</v>
      </c>
      <c r="C44" s="26"/>
      <c r="D44" s="27"/>
      <c r="E44" s="27"/>
      <c r="F44" s="27"/>
      <c r="G44" s="27"/>
      <c r="H44" s="26"/>
      <c r="I44" s="26"/>
      <c r="J44" s="22">
        <f>0.13*G39*392.92</f>
        <v>216.19274350577902</v>
      </c>
      <c r="K44" s="26"/>
    </row>
    <row r="45" spans="1:11" x14ac:dyDescent="0.25">
      <c r="A45" s="15"/>
      <c r="B45" s="25" t="s">
        <v>44</v>
      </c>
      <c r="C45" s="15"/>
      <c r="D45" s="3"/>
      <c r="E45" s="3"/>
      <c r="F45" s="3"/>
      <c r="G45" s="3"/>
      <c r="H45" s="15"/>
      <c r="I45" s="15"/>
      <c r="J45" s="22">
        <f>0.13*G39*14.15</f>
        <v>7.785623843547727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3.7717159402621152</v>
      </c>
      <c r="E52" s="3">
        <f>E36</f>
        <v>2.1081987199024685</v>
      </c>
      <c r="F52" s="3"/>
      <c r="G52" s="3">
        <f t="shared" si="2"/>
        <v>15.903053434192653</v>
      </c>
      <c r="H52" s="15"/>
      <c r="I52" s="15"/>
      <c r="J52" s="15"/>
      <c r="K52" s="15"/>
    </row>
    <row r="53" spans="1:11" x14ac:dyDescent="0.25">
      <c r="A53" s="15"/>
      <c r="B53" s="16"/>
      <c r="C53" s="45">
        <f>C37</f>
        <v>2</v>
      </c>
      <c r="D53" s="3">
        <f>D37</f>
        <v>3.1240475464797317</v>
      </c>
      <c r="E53" s="3">
        <f>E37</f>
        <v>1.9049070405364217</v>
      </c>
      <c r="F53" s="3"/>
      <c r="G53" s="3">
        <f t="shared" si="2"/>
        <v>11.902040332519549</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47.124667555191323</v>
      </c>
      <c r="H55" s="21" t="s">
        <v>34</v>
      </c>
      <c r="I55" s="2">
        <v>922.71</v>
      </c>
      <c r="J55" s="22">
        <f>G55*I55</f>
        <v>43482.40199985059</v>
      </c>
      <c r="K55" s="20"/>
    </row>
    <row r="56" spans="1:11" s="10" customFormat="1" x14ac:dyDescent="0.25">
      <c r="A56" s="24"/>
      <c r="B56" s="25" t="s">
        <v>46</v>
      </c>
      <c r="C56" s="26"/>
      <c r="D56" s="27"/>
      <c r="E56" s="27"/>
      <c r="F56" s="27"/>
      <c r="G56" s="27"/>
      <c r="H56" s="26"/>
      <c r="I56" s="26"/>
      <c r="J56" s="22">
        <f>0.13*G55*20062.02/100</f>
        <v>1229.0408298812793</v>
      </c>
      <c r="K56" s="26"/>
    </row>
    <row r="57" spans="1:11" s="10" customFormat="1" x14ac:dyDescent="0.25">
      <c r="A57" s="24"/>
      <c r="B57" s="25" t="s">
        <v>47</v>
      </c>
      <c r="C57" s="26"/>
      <c r="D57" s="27"/>
      <c r="E57" s="27"/>
      <c r="F57" s="27"/>
      <c r="G57" s="27"/>
      <c r="H57" s="26"/>
      <c r="I57" s="26"/>
      <c r="J57" s="22">
        <f>0.13*G55*13328.25/100</f>
        <v>816.51615544522235</v>
      </c>
      <c r="K57" s="26"/>
    </row>
    <row r="58" spans="1:11" s="10" customFormat="1" x14ac:dyDescent="0.25">
      <c r="A58" s="24"/>
      <c r="B58" s="25" t="s">
        <v>48</v>
      </c>
      <c r="C58" s="26"/>
      <c r="D58" s="27"/>
      <c r="E58" s="27"/>
      <c r="F58" s="27"/>
      <c r="G58" s="27"/>
      <c r="H58" s="26"/>
      <c r="I58" s="26"/>
      <c r="J58" s="22">
        <f>0.13*G55*10137.6/100</f>
        <v>621.05033874975993</v>
      </c>
      <c r="K58" s="26"/>
    </row>
    <row r="59" spans="1:11" x14ac:dyDescent="0.25">
      <c r="A59" s="15"/>
      <c r="B59" s="25" t="s">
        <v>49</v>
      </c>
      <c r="C59" s="15"/>
      <c r="D59" s="3"/>
      <c r="E59" s="3"/>
      <c r="F59" s="3"/>
      <c r="G59" s="3"/>
      <c r="H59" s="15"/>
      <c r="I59" s="15"/>
      <c r="J59" s="22">
        <f>0.13*G55*3300/100</f>
        <v>202.16482381177076</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13</v>
      </c>
      <c r="D72" s="3">
        <f>D52*C52</f>
        <v>7.5434318805242304</v>
      </c>
      <c r="E72" s="3">
        <f t="shared" ref="E72:E75" si="8">8*8/162</f>
        <v>0.39506172839506171</v>
      </c>
      <c r="F72" s="3">
        <f t="shared" si="6"/>
        <v>38.741576077754075</v>
      </c>
      <c r="G72" s="3">
        <f t="shared" si="7"/>
        <v>3.8741576077754074E-2</v>
      </c>
      <c r="H72" s="15"/>
      <c r="I72" s="15"/>
      <c r="J72" s="15"/>
      <c r="K72" s="15"/>
    </row>
    <row r="73" spans="1:14" x14ac:dyDescent="0.25">
      <c r="A73" s="15"/>
      <c r="B73" s="16"/>
      <c r="C73" s="45">
        <f>2*(TRUNC(((D52-0.1)/0.15),0))</f>
        <v>48</v>
      </c>
      <c r="D73" s="3">
        <f>E52</f>
        <v>2.1081987199024685</v>
      </c>
      <c r="E73" s="3">
        <f t="shared" si="8"/>
        <v>0.39506172839506171</v>
      </c>
      <c r="F73" s="3">
        <f t="shared" si="6"/>
        <v>39.977694244076439</v>
      </c>
      <c r="G73" s="3">
        <f t="shared" si="7"/>
        <v>3.9977694244076441E-2</v>
      </c>
      <c r="H73" s="15"/>
      <c r="I73" s="15"/>
      <c r="J73" s="15"/>
      <c r="K73" s="15"/>
      <c r="M73">
        <f>10.5/3.281</f>
        <v>3.2002438281011885</v>
      </c>
      <c r="N73">
        <f>M73/2</f>
        <v>1.6001219140505942</v>
      </c>
    </row>
    <row r="74" spans="1:14" x14ac:dyDescent="0.25">
      <c r="A74" s="15"/>
      <c r="B74" s="16"/>
      <c r="C74" s="45">
        <f>2*(TRUNC(((D53-0.1)/0.15),0))</f>
        <v>40</v>
      </c>
      <c r="D74" s="3">
        <f>E53</f>
        <v>1.9049070405364217</v>
      </c>
      <c r="E74" s="3">
        <f t="shared" si="8"/>
        <v>0.39506172839506171</v>
      </c>
      <c r="F74" s="3">
        <f t="shared" si="6"/>
        <v>30.102234714649622</v>
      </c>
      <c r="G74" s="3">
        <f t="shared" si="7"/>
        <v>3.0102234714649623E-2</v>
      </c>
      <c r="H74" s="15"/>
      <c r="I74" s="15"/>
      <c r="J74" s="15"/>
      <c r="K74" s="15"/>
      <c r="M74">
        <f>9.5/3.281</f>
        <v>2.895458701615361</v>
      </c>
    </row>
    <row r="75" spans="1:14" x14ac:dyDescent="0.25">
      <c r="A75" s="15"/>
      <c r="B75" s="16"/>
      <c r="C75" s="45">
        <f>2*(TRUNC(((E53-0.1)/0.15),0))</f>
        <v>24</v>
      </c>
      <c r="D75" s="3">
        <f>D53</f>
        <v>3.1240475464797317</v>
      </c>
      <c r="E75" s="3">
        <f t="shared" si="8"/>
        <v>0.39506172839506171</v>
      </c>
      <c r="F75" s="3">
        <f t="shared" si="6"/>
        <v>29.620598959215233</v>
      </c>
      <c r="G75" s="3">
        <f t="shared" si="7"/>
        <v>2.9620598959215233E-2</v>
      </c>
      <c r="H75" s="15"/>
      <c r="I75" s="15"/>
      <c r="J75" s="15"/>
      <c r="K75" s="15"/>
    </row>
    <row r="76" spans="1:14" x14ac:dyDescent="0.25">
      <c r="A76" s="15"/>
      <c r="B76" s="16" t="s">
        <v>93</v>
      </c>
      <c r="C76" s="45">
        <v>8</v>
      </c>
      <c r="D76" s="3">
        <f>((3.33-0.33)/3.281)+(0.45*2)</f>
        <v>1.8143553794574825</v>
      </c>
      <c r="E76" s="3">
        <f>12*12/162</f>
        <v>0.88888888888888884</v>
      </c>
      <c r="F76" s="3">
        <f t="shared" si="6"/>
        <v>12.902082698364319</v>
      </c>
      <c r="G76" s="3">
        <f t="shared" si="7"/>
        <v>1.290208269836432E-2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0.44211239301477639</v>
      </c>
      <c r="H79" s="21" t="s">
        <v>41</v>
      </c>
      <c r="I79" s="46">
        <v>132360</v>
      </c>
      <c r="J79" s="22">
        <f>G79*I79</f>
        <v>58517.996339435806</v>
      </c>
      <c r="K79" s="20"/>
    </row>
    <row r="80" spans="1:14" s="10" customFormat="1" x14ac:dyDescent="0.25">
      <c r="A80" s="24"/>
      <c r="B80" s="25" t="s">
        <v>38</v>
      </c>
      <c r="C80" s="26"/>
      <c r="D80" s="26"/>
      <c r="E80" s="26"/>
      <c r="F80" s="26"/>
      <c r="G80" s="26"/>
      <c r="H80" s="26"/>
      <c r="I80" s="26"/>
      <c r="J80" s="22">
        <f>0.13*G79*105000</f>
        <v>6034.8341646516974</v>
      </c>
      <c r="K80" s="26"/>
    </row>
    <row r="81" spans="1:11" s="10" customFormat="1" x14ac:dyDescent="0.25">
      <c r="A81" s="24"/>
      <c r="B81" s="25" t="s">
        <v>37</v>
      </c>
      <c r="C81" s="26"/>
      <c r="D81" s="26"/>
      <c r="E81" s="26"/>
      <c r="F81" s="26"/>
      <c r="G81" s="26"/>
      <c r="H81" s="26"/>
      <c r="I81" s="26"/>
      <c r="J81" s="22">
        <f>0.13*G79*1200</f>
        <v>68.969533310305124</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25">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25">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25">
      <c r="A106" s="24"/>
      <c r="B106" s="25"/>
      <c r="C106" s="49">
        <f>C137</f>
        <v>1</v>
      </c>
      <c r="D106" s="27">
        <f>D137</f>
        <v>0.46</v>
      </c>
      <c r="E106" s="27"/>
      <c r="F106" s="27">
        <f>F137</f>
        <v>0.6</v>
      </c>
      <c r="G106" s="27">
        <f t="shared" si="10"/>
        <v>0.27600000000000002</v>
      </c>
      <c r="H106" s="26"/>
      <c r="I106" s="26"/>
      <c r="J106" s="26"/>
      <c r="K106" s="26"/>
    </row>
    <row r="107" spans="1:11" s="10" customFormat="1" x14ac:dyDescent="0.25">
      <c r="A107" s="24"/>
      <c r="B107" s="25" t="s">
        <v>109</v>
      </c>
      <c r="C107" s="49">
        <f>C14</f>
        <v>1</v>
      </c>
      <c r="D107" s="27">
        <f>M10-0.23*2</f>
        <v>1.2163181956720512</v>
      </c>
      <c r="E107" s="27">
        <f>N10-0.23</f>
        <v>1.4463181956720512</v>
      </c>
      <c r="F107" s="27"/>
      <c r="G107" s="27">
        <f t="shared" si="10"/>
        <v>1.7591831381274861</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25">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25">
      <c r="A110" s="17"/>
      <c r="B110" s="18" t="s">
        <v>16</v>
      </c>
      <c r="C110" s="19"/>
      <c r="D110" s="1"/>
      <c r="E110" s="20"/>
      <c r="F110" s="20"/>
      <c r="G110" s="2">
        <f>SUM(G103:G109)</f>
        <v>24.278333397194842</v>
      </c>
      <c r="H110" s="21" t="s">
        <v>34</v>
      </c>
      <c r="I110" s="2">
        <v>287.32</v>
      </c>
      <c r="J110" s="22">
        <f>G110*I110</f>
        <v>6975.650751682022</v>
      </c>
      <c r="K110" s="20"/>
    </row>
    <row r="111" spans="1:11" s="10" customFormat="1" x14ac:dyDescent="0.25">
      <c r="A111" s="24"/>
      <c r="B111" s="25" t="s">
        <v>32</v>
      </c>
      <c r="C111" s="26"/>
      <c r="D111" s="27"/>
      <c r="E111" s="27"/>
      <c r="F111" s="27"/>
      <c r="G111" s="27"/>
      <c r="H111" s="26"/>
      <c r="I111" s="26"/>
      <c r="J111" s="22">
        <f>0.13*G110*693.24/10</f>
        <v>218.79925397552762</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1">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1"/>
        <v>5.6962584444105273</v>
      </c>
      <c r="H115" s="15"/>
      <c r="I115" s="15"/>
      <c r="J115" s="15"/>
      <c r="K115" s="15"/>
    </row>
    <row r="116" spans="1:11" x14ac:dyDescent="0.25">
      <c r="A116" s="15"/>
      <c r="B116" s="16" t="s">
        <v>87</v>
      </c>
      <c r="C116" s="45">
        <v>-1</v>
      </c>
      <c r="D116" s="3">
        <f>1.5</f>
        <v>1.5</v>
      </c>
      <c r="E116" s="3">
        <v>0.35</v>
      </c>
      <c r="F116" s="3">
        <f>(7-3.5)/3.281</f>
        <v>1.0667479427003961</v>
      </c>
      <c r="G116" s="3">
        <f t="shared" si="11"/>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1"/>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2">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2"/>
        <v>-4.5518046930221097</v>
      </c>
      <c r="H131" s="15"/>
      <c r="I131" s="15"/>
      <c r="J131" s="15"/>
      <c r="K131" s="15"/>
    </row>
    <row r="132" spans="1:11" x14ac:dyDescent="0.25">
      <c r="A132" s="15"/>
      <c r="B132" s="16" t="s">
        <v>124</v>
      </c>
      <c r="C132" s="45">
        <v>2</v>
      </c>
      <c r="D132" s="3">
        <f>D52</f>
        <v>3.7717159402621152</v>
      </c>
      <c r="E132" s="3">
        <f>E52</f>
        <v>2.1081987199024685</v>
      </c>
      <c r="F132" s="3"/>
      <c r="G132" s="3">
        <f t="shared" si="12"/>
        <v>15.903053434192653</v>
      </c>
      <c r="H132" s="15"/>
      <c r="I132" s="15"/>
      <c r="J132" s="15"/>
      <c r="K132" s="15"/>
    </row>
    <row r="133" spans="1:11" x14ac:dyDescent="0.25">
      <c r="A133" s="15"/>
      <c r="B133" s="16"/>
      <c r="C133" s="45">
        <v>2</v>
      </c>
      <c r="D133" s="3">
        <f>D53</f>
        <v>3.1240475464797317</v>
      </c>
      <c r="E133" s="3">
        <f>E53</f>
        <v>1.9049070405364217</v>
      </c>
      <c r="F133" s="3"/>
      <c r="G133" s="3">
        <f t="shared" si="12"/>
        <v>11.902040332519549</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98.660471161205351</v>
      </c>
      <c r="H138" s="21" t="s">
        <v>34</v>
      </c>
      <c r="I138" s="2">
        <v>415.5</v>
      </c>
      <c r="J138" s="22">
        <f>G138*I138</f>
        <v>40993.425767480825</v>
      </c>
      <c r="K138" s="20"/>
    </row>
    <row r="139" spans="1:11" s="10" customFormat="1" x14ac:dyDescent="0.25">
      <c r="A139" s="24"/>
      <c r="B139" s="25" t="s">
        <v>32</v>
      </c>
      <c r="C139" s="26"/>
      <c r="D139" s="27"/>
      <c r="E139" s="27"/>
      <c r="F139" s="27"/>
      <c r="G139" s="27"/>
      <c r="H139" s="26"/>
      <c r="I139" s="26"/>
      <c r="J139" s="22">
        <f>0.13*G138*7010.67/100</f>
        <v>899.17880696244583</v>
      </c>
      <c r="K139" s="26"/>
    </row>
    <row r="140" spans="1:11" x14ac:dyDescent="0.25">
      <c r="A140" s="15"/>
      <c r="B140" s="25" t="s">
        <v>31</v>
      </c>
      <c r="C140" s="26"/>
      <c r="D140" s="27"/>
      <c r="E140" s="27"/>
      <c r="F140" s="27"/>
      <c r="G140" s="27"/>
      <c r="H140" s="26"/>
      <c r="I140" s="26"/>
      <c r="J140" s="22">
        <f>0.13*G138*4639.73/100</f>
        <v>595.08533221901303</v>
      </c>
      <c r="K140" s="15"/>
    </row>
    <row r="141" spans="1:11" x14ac:dyDescent="0.25">
      <c r="A141" s="15"/>
      <c r="B141" s="15"/>
      <c r="C141" s="15"/>
      <c r="D141" s="15"/>
      <c r="E141" s="15"/>
      <c r="F141" s="15"/>
      <c r="G141" s="15"/>
      <c r="H141" s="15"/>
      <c r="I141" s="15"/>
      <c r="J141" s="15"/>
      <c r="K141" s="15"/>
    </row>
    <row r="142" spans="1:11" ht="76.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SUM(G128:G131)</f>
        <v>66.440463648683931</v>
      </c>
      <c r="H152" s="15"/>
      <c r="I152" s="15"/>
      <c r="J152" s="15"/>
      <c r="K152" s="15"/>
    </row>
    <row r="153" spans="1:11" s="10" customFormat="1" ht="15" customHeight="1" x14ac:dyDescent="0.25">
      <c r="A153" s="17"/>
      <c r="B153" s="18" t="s">
        <v>16</v>
      </c>
      <c r="C153" s="19"/>
      <c r="D153" s="1"/>
      <c r="E153" s="20"/>
      <c r="F153" s="20"/>
      <c r="G153" s="2">
        <f>SUM(G152:G152)</f>
        <v>66.440463648683931</v>
      </c>
      <c r="H153" s="21" t="s">
        <v>34</v>
      </c>
      <c r="I153" s="2">
        <v>253.8</v>
      </c>
      <c r="J153" s="22">
        <f>G153*I153</f>
        <v>16862.589674035982</v>
      </c>
      <c r="K153" s="20"/>
    </row>
    <row r="154" spans="1:11" s="10" customFormat="1" x14ac:dyDescent="0.25">
      <c r="A154" s="24"/>
      <c r="B154" s="25" t="s">
        <v>60</v>
      </c>
      <c r="C154" s="26"/>
      <c r="D154" s="27"/>
      <c r="E154" s="27"/>
      <c r="F154" s="27"/>
      <c r="G154" s="27"/>
      <c r="H154" s="26"/>
      <c r="I154" s="26"/>
      <c r="J154" s="22">
        <f>0.13*G153*2304/100</f>
        <v>199.00247672053811</v>
      </c>
      <c r="K154" s="26"/>
    </row>
    <row r="155" spans="1:11" s="10" customFormat="1" x14ac:dyDescent="0.25">
      <c r="A155" s="24"/>
      <c r="B155" s="25" t="s">
        <v>61</v>
      </c>
      <c r="C155" s="26"/>
      <c r="D155" s="27"/>
      <c r="E155" s="27"/>
      <c r="F155" s="27"/>
      <c r="G155" s="27"/>
      <c r="H155" s="26"/>
      <c r="I155" s="26"/>
      <c r="J155" s="22">
        <f>0.13*G153*10432/100</f>
        <v>901.03899181799204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138</v>
      </c>
      <c r="C164" s="26"/>
      <c r="D164" s="27"/>
      <c r="E164" s="27"/>
      <c r="F164" s="27"/>
      <c r="G164" s="27"/>
      <c r="H164" s="26"/>
      <c r="I164" s="26"/>
      <c r="J164" s="22"/>
      <c r="K164" s="26"/>
    </row>
    <row r="165" spans="1:11" x14ac:dyDescent="0.25">
      <c r="A165" s="15"/>
      <c r="B165" s="16" t="s">
        <v>97</v>
      </c>
      <c r="C165" s="45">
        <v>1</v>
      </c>
      <c r="D165" s="3">
        <f>D116</f>
        <v>1.5</v>
      </c>
      <c r="E165" s="3"/>
      <c r="F165" s="3">
        <f>F116+3.5/3.281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3">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14">PRODUCT(C182:F182)</f>
        <v>1</v>
      </c>
      <c r="H182" s="21" t="s">
        <v>30</v>
      </c>
      <c r="I182" s="2">
        <v>25000</v>
      </c>
      <c r="J182" s="21">
        <f>G182*I182</f>
        <v>25000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15">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799735.92629344447</v>
      </c>
      <c r="K186" s="36"/>
    </row>
    <row r="187" spans="1:11" s="10" customFormat="1" x14ac:dyDescent="0.25"/>
    <row r="188" spans="1:11" s="44" customFormat="1" x14ac:dyDescent="0.25">
      <c r="A188" s="37"/>
      <c r="B188" s="38" t="s">
        <v>19</v>
      </c>
      <c r="C188" s="69">
        <f>J186</f>
        <v>799735.92629344447</v>
      </c>
      <c r="D188" s="70"/>
      <c r="E188" s="39">
        <v>100</v>
      </c>
      <c r="F188" s="37"/>
      <c r="G188" s="40"/>
      <c r="H188" s="37"/>
      <c r="I188" s="41"/>
      <c r="J188" s="42"/>
      <c r="K188" s="43"/>
    </row>
    <row r="189" spans="1:11" s="10" customFormat="1" x14ac:dyDescent="0.25">
      <c r="B189" s="38" t="s">
        <v>21</v>
      </c>
      <c r="C189" s="73">
        <v>700000</v>
      </c>
      <c r="D189" s="74"/>
      <c r="E189" s="39"/>
    </row>
    <row r="190" spans="1:11" s="10" customFormat="1" x14ac:dyDescent="0.25">
      <c r="B190" s="38" t="s">
        <v>22</v>
      </c>
      <c r="C190" s="73">
        <f>C189-C192-C193</f>
        <v>665000</v>
      </c>
      <c r="D190" s="74"/>
      <c r="E190" s="39">
        <f>C190/C188*100</f>
        <v>83.152447968930403</v>
      </c>
    </row>
    <row r="191" spans="1:11" s="10" customFormat="1" x14ac:dyDescent="0.25">
      <c r="B191" s="38" t="s">
        <v>26</v>
      </c>
      <c r="C191" s="75">
        <f>C188-C190</f>
        <v>134735.92629344447</v>
      </c>
      <c r="D191" s="75"/>
      <c r="E191" s="39">
        <f>100-E190</f>
        <v>16.847552031069597</v>
      </c>
    </row>
    <row r="192" spans="1:11" s="10" customFormat="1" x14ac:dyDescent="0.25">
      <c r="B192" s="38" t="s">
        <v>23</v>
      </c>
      <c r="C192" s="69">
        <f>C189*0.03</f>
        <v>21000</v>
      </c>
      <c r="D192" s="70"/>
      <c r="E192" s="39">
        <v>3</v>
      </c>
    </row>
    <row r="193" spans="2:5" s="10" customFormat="1" x14ac:dyDescent="0.25">
      <c r="B193" s="38" t="s">
        <v>24</v>
      </c>
      <c r="C193" s="69">
        <f>C189*0.02</f>
        <v>14000</v>
      </c>
      <c r="D193" s="70"/>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10</vt:i4>
      </vt:variant>
    </vt:vector>
  </HeadingPairs>
  <TitlesOfParts>
    <vt:vector size="16" baseType="lpstr">
      <vt:lpstr>initial 2 storey</vt:lpstr>
      <vt:lpstr>Sheet1</vt:lpstr>
      <vt:lpstr>2.5' ht</vt:lpstr>
      <vt:lpstr>total slope</vt:lpstr>
      <vt:lpstr>V</vt:lpstr>
      <vt:lpstr>2.667'column height</vt:lpstr>
      <vt:lpstr>'2.5'' ht'!Print_Area</vt:lpstr>
      <vt:lpstr>'2.667''column height'!Print_Area</vt:lpstr>
      <vt:lpstr>'initial 2 storey'!Print_Area</vt:lpstr>
      <vt:lpstr>'total slope'!Print_Area</vt:lpstr>
      <vt:lpstr>V!Print_Area</vt:lpstr>
      <vt:lpstr>'2.5'' ht'!Print_Titles</vt:lpstr>
      <vt:lpstr>'2.667''column height'!Print_Titles</vt:lpstr>
      <vt:lpstr>'initial 2 storey'!Print_Titles</vt:lpstr>
      <vt:lpstr>'total slope'!Print_Titles</vt:lpstr>
      <vt:lpstr>V!Print_Titles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2026-07-06T04:46:13Z</dcterms:modified>
</cp:coreProperties>
</file>