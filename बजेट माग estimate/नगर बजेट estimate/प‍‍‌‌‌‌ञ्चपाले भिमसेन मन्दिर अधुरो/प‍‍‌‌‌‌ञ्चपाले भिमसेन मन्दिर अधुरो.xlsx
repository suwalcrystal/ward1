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0" windowHeight="11040" activeTab="3"/>
  </bookViews>
  <sheets>
    <sheet name="initial 2 storey" sheetId="14" r:id="rId1"/>
    <sheet name="Sheet1" sheetId="16" r:id="rId2"/>
    <sheet name="2.5' ht" sheetId="17" r:id="rId3"/>
    <sheet name="total slope" sheetId="18" r:id="rId4"/>
  </sheets>
  <externalReferences>
    <externalReference r:id="rId5"/>
    <externalReference r:id="rId6"/>
    <externalReference r:id="rId7"/>
  </externalReferences>
  <definedNames>
    <definedName name="description_103">[1]Abstract!$B$16</definedName>
    <definedName name="description_124" localSheetId="2">#REF!</definedName>
    <definedName name="description_124" localSheetId="3">#REF!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2">#REF!</definedName>
    <definedName name="description_310" localSheetId="3">#REF!</definedName>
    <definedName name="description_310">#REF!</definedName>
    <definedName name="description_312" localSheetId="2">#REF!</definedName>
    <definedName name="description_312" localSheetId="3">#REF!</definedName>
    <definedName name="description_312">#REF!</definedName>
    <definedName name="description_5">[1]Abstract!$B$171</definedName>
    <definedName name="description_6" localSheetId="2">#REF!</definedName>
    <definedName name="description_6" localSheetId="3">#REF!</definedName>
    <definedName name="description_6">#REF!</definedName>
    <definedName name="description_759">[1]Abstract!$B$278</definedName>
    <definedName name="description_781" localSheetId="2">#REF!</definedName>
    <definedName name="description_781" localSheetId="3">#REF!</definedName>
    <definedName name="description_781">#REF!</definedName>
    <definedName name="description_783">[1]Abstract!$B$301</definedName>
    <definedName name="description_784">[3]Abstract!$B$300</definedName>
    <definedName name="_xlnm.Print_Area" localSheetId="2">'2.5'' ht'!$A$1:$K$193</definedName>
    <definedName name="_xlnm.Print_Area" localSheetId="0">'initial 2 storey'!$A$1:$K$152</definedName>
    <definedName name="_xlnm.Print_Area" localSheetId="3">'total slope'!$A$1:$K$193</definedName>
    <definedName name="_xlnm.Print_Titles" localSheetId="2">'2.5'' ht'!$1:$8</definedName>
    <definedName name="_xlnm.Print_Titles" localSheetId="0">'initial 2 storey'!$1:$8</definedName>
    <definedName name="_xlnm.Print_Titles" localSheetId="3">'total slope'!$1:$8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5" i="17" l="1"/>
  <c r="F75" i="17" s="1"/>
  <c r="G75" i="17" s="1"/>
  <c r="D75" i="17"/>
  <c r="D72" i="17"/>
  <c r="E75" i="17"/>
  <c r="C77" i="18"/>
  <c r="D76" i="18"/>
  <c r="C75" i="18"/>
  <c r="F75" i="18" s="1"/>
  <c r="G75" i="18" s="1"/>
  <c r="D75" i="18"/>
  <c r="E75" i="18"/>
  <c r="N73" i="18"/>
  <c r="M73" i="18"/>
  <c r="M74" i="18"/>
  <c r="D72" i="18"/>
  <c r="E37" i="18"/>
  <c r="E53" i="18" s="1"/>
  <c r="D37" i="18"/>
  <c r="D53" i="18" s="1"/>
  <c r="E36" i="18"/>
  <c r="E52" i="18" s="1"/>
  <c r="D73" i="18" s="1"/>
  <c r="D36" i="18"/>
  <c r="D68" i="18"/>
  <c r="D70" i="18"/>
  <c r="F54" i="18"/>
  <c r="D34" i="18"/>
  <c r="G34" i="18" s="1"/>
  <c r="F38" i="18"/>
  <c r="C193" i="18"/>
  <c r="C192" i="18"/>
  <c r="C190" i="18"/>
  <c r="G184" i="18"/>
  <c r="J184" i="18" s="1"/>
  <c r="G182" i="18"/>
  <c r="J182" i="18" s="1"/>
  <c r="F177" i="18"/>
  <c r="G177" i="18" s="1"/>
  <c r="D177" i="18"/>
  <c r="D176" i="18"/>
  <c r="C176" i="18"/>
  <c r="F176" i="18" s="1"/>
  <c r="G176" i="18" s="1"/>
  <c r="G178" i="18" s="1"/>
  <c r="D165" i="18"/>
  <c r="D158" i="18"/>
  <c r="C152" i="18"/>
  <c r="D144" i="18"/>
  <c r="C144" i="18"/>
  <c r="G143" i="18"/>
  <c r="F143" i="18"/>
  <c r="F144" i="18" s="1"/>
  <c r="D143" i="18"/>
  <c r="D137" i="18"/>
  <c r="B135" i="18"/>
  <c r="B104" i="18" s="1"/>
  <c r="C134" i="18"/>
  <c r="C103" i="18" s="1"/>
  <c r="B134" i="18"/>
  <c r="B103" i="18" s="1"/>
  <c r="F131" i="18"/>
  <c r="C131" i="18"/>
  <c r="B131" i="18"/>
  <c r="F130" i="18"/>
  <c r="G130" i="18" s="1"/>
  <c r="D130" i="18"/>
  <c r="B130" i="18"/>
  <c r="B144" i="18" s="1"/>
  <c r="G129" i="18"/>
  <c r="F129" i="18"/>
  <c r="D129" i="18"/>
  <c r="G128" i="18"/>
  <c r="F128" i="18"/>
  <c r="D128" i="18"/>
  <c r="B128" i="18"/>
  <c r="I121" i="18"/>
  <c r="E120" i="18"/>
  <c r="E119" i="18"/>
  <c r="C119" i="18"/>
  <c r="E118" i="18"/>
  <c r="C118" i="18"/>
  <c r="F117" i="18"/>
  <c r="F166" i="18" s="1"/>
  <c r="D117" i="18"/>
  <c r="D166" i="18" s="1"/>
  <c r="G166" i="18" s="1"/>
  <c r="G116" i="18"/>
  <c r="F116" i="18"/>
  <c r="F165" i="18" s="1"/>
  <c r="G165" i="18" s="1"/>
  <c r="D116" i="18"/>
  <c r="G115" i="18"/>
  <c r="F115" i="18"/>
  <c r="D115" i="18"/>
  <c r="F114" i="18"/>
  <c r="D114" i="18"/>
  <c r="G114" i="18" s="1"/>
  <c r="E109" i="18"/>
  <c r="C109" i="18"/>
  <c r="E108" i="18"/>
  <c r="C108" i="18"/>
  <c r="B108" i="18"/>
  <c r="D107" i="18"/>
  <c r="C107" i="18"/>
  <c r="D106" i="18"/>
  <c r="B105" i="18"/>
  <c r="E92" i="18"/>
  <c r="D92" i="18"/>
  <c r="G92" i="18" s="1"/>
  <c r="G93" i="18" s="1"/>
  <c r="D85" i="18"/>
  <c r="G85" i="18" s="1"/>
  <c r="D84" i="18"/>
  <c r="D108" i="18" s="1"/>
  <c r="G108" i="18" s="1"/>
  <c r="E78" i="18"/>
  <c r="D78" i="18"/>
  <c r="E77" i="18"/>
  <c r="D77" i="18"/>
  <c r="F77" i="18"/>
  <c r="G77" i="18" s="1"/>
  <c r="F76" i="18"/>
  <c r="G76" i="18" s="1"/>
  <c r="E76" i="18"/>
  <c r="E74" i="18"/>
  <c r="E73" i="18"/>
  <c r="E72" i="18"/>
  <c r="E71" i="18"/>
  <c r="D71" i="18"/>
  <c r="E70" i="18"/>
  <c r="B70" i="18"/>
  <c r="E69" i="18"/>
  <c r="D69" i="18"/>
  <c r="E68" i="18"/>
  <c r="B68" i="18"/>
  <c r="E67" i="18"/>
  <c r="D67" i="18"/>
  <c r="E66" i="18"/>
  <c r="E65" i="18"/>
  <c r="D65" i="18"/>
  <c r="B65" i="18"/>
  <c r="E64" i="18"/>
  <c r="D64" i="18"/>
  <c r="E63" i="18"/>
  <c r="D63" i="18"/>
  <c r="E62" i="18"/>
  <c r="D62" i="18"/>
  <c r="B62" i="18"/>
  <c r="D54" i="18"/>
  <c r="G54" i="18" s="1"/>
  <c r="C54" i="18"/>
  <c r="B54" i="18"/>
  <c r="C53" i="18"/>
  <c r="C52" i="18"/>
  <c r="B52" i="18"/>
  <c r="B72" i="18" s="1"/>
  <c r="F51" i="18"/>
  <c r="C51" i="18"/>
  <c r="C70" i="18" s="1"/>
  <c r="F50" i="18"/>
  <c r="C50" i="18"/>
  <c r="C68" i="18" s="1"/>
  <c r="B50" i="18"/>
  <c r="F49" i="18"/>
  <c r="D49" i="18"/>
  <c r="C67" i="18" s="1"/>
  <c r="F67" i="18" s="1"/>
  <c r="G67" i="18" s="1"/>
  <c r="C49" i="18"/>
  <c r="C66" i="18" s="1"/>
  <c r="F48" i="18"/>
  <c r="C48" i="18"/>
  <c r="C63" i="18" s="1"/>
  <c r="F63" i="18" s="1"/>
  <c r="G63" i="18" s="1"/>
  <c r="B48" i="18"/>
  <c r="D52" i="18"/>
  <c r="D35" i="18"/>
  <c r="G33" i="18"/>
  <c r="D33" i="18"/>
  <c r="C33" i="18"/>
  <c r="G32" i="18"/>
  <c r="D32" i="18"/>
  <c r="D48" i="18" s="1"/>
  <c r="C64" i="18" s="1"/>
  <c r="F64" i="18" s="1"/>
  <c r="G64" i="18" s="1"/>
  <c r="E22" i="18"/>
  <c r="C22" i="18"/>
  <c r="D21" i="18"/>
  <c r="G21" i="18" s="1"/>
  <c r="C21" i="18"/>
  <c r="D20" i="18"/>
  <c r="G20" i="18" s="1"/>
  <c r="G23" i="18" s="1"/>
  <c r="C20" i="18"/>
  <c r="E14" i="18"/>
  <c r="D14" i="18"/>
  <c r="D22" i="18" s="1"/>
  <c r="G22" i="18" s="1"/>
  <c r="C14" i="18"/>
  <c r="C135" i="18" s="1"/>
  <c r="B14" i="18"/>
  <c r="B22" i="18" s="1"/>
  <c r="R10" i="18"/>
  <c r="D136" i="18" s="1"/>
  <c r="D105" i="18" s="1"/>
  <c r="Q10" i="18"/>
  <c r="F136" i="18" s="1"/>
  <c r="F105" i="18" s="1"/>
  <c r="P10" i="18"/>
  <c r="F119" i="18" s="1"/>
  <c r="N10" i="18"/>
  <c r="D118" i="18" s="1"/>
  <c r="M10" i="18"/>
  <c r="D134" i="18" s="1"/>
  <c r="G10" i="18"/>
  <c r="G11" i="18" s="1"/>
  <c r="J11" i="18" s="1"/>
  <c r="E10" i="18"/>
  <c r="D10" i="18"/>
  <c r="E133" i="18" l="1"/>
  <c r="D74" i="18"/>
  <c r="G37" i="18"/>
  <c r="D66" i="18"/>
  <c r="F66" i="18" s="1"/>
  <c r="G66" i="18" s="1"/>
  <c r="D50" i="18"/>
  <c r="F68" i="18"/>
  <c r="G68" i="18" s="1"/>
  <c r="D133" i="18"/>
  <c r="G133" i="18" s="1"/>
  <c r="C74" i="18"/>
  <c r="J27" i="18"/>
  <c r="J26" i="18"/>
  <c r="J25" i="18"/>
  <c r="J24" i="18"/>
  <c r="J23" i="18"/>
  <c r="J28" i="18"/>
  <c r="J29" i="18"/>
  <c r="J180" i="18"/>
  <c r="J179" i="18"/>
  <c r="J178" i="18"/>
  <c r="G53" i="18"/>
  <c r="G145" i="18"/>
  <c r="C104" i="18"/>
  <c r="C158" i="18"/>
  <c r="G158" i="18" s="1"/>
  <c r="G159" i="18" s="1"/>
  <c r="G135" i="18"/>
  <c r="J94" i="18"/>
  <c r="J93" i="18"/>
  <c r="J100" i="18"/>
  <c r="J96" i="18"/>
  <c r="J99" i="18"/>
  <c r="J98" i="18"/>
  <c r="J97" i="18"/>
  <c r="J95" i="18"/>
  <c r="G144" i="18"/>
  <c r="C73" i="18"/>
  <c r="F73" i="18" s="1"/>
  <c r="G73" i="18" s="1"/>
  <c r="G52" i="18"/>
  <c r="D132" i="18"/>
  <c r="D103" i="18"/>
  <c r="F70" i="18"/>
  <c r="G70" i="18" s="1"/>
  <c r="G109" i="18"/>
  <c r="G167" i="18"/>
  <c r="C72" i="18"/>
  <c r="C78" i="18"/>
  <c r="F78" i="18" s="1"/>
  <c r="G78" i="18" s="1"/>
  <c r="F118" i="18"/>
  <c r="G118" i="18" s="1"/>
  <c r="D120" i="18"/>
  <c r="D131" i="18"/>
  <c r="G131" i="18" s="1"/>
  <c r="D135" i="18"/>
  <c r="D104" i="18" s="1"/>
  <c r="F135" i="18"/>
  <c r="F104" i="18" s="1"/>
  <c r="F137" i="18"/>
  <c r="F106" i="18" s="1"/>
  <c r="G14" i="18"/>
  <c r="G15" i="18" s="1"/>
  <c r="G35" i="18"/>
  <c r="G38" i="18"/>
  <c r="D51" i="18"/>
  <c r="C71" i="18" s="1"/>
  <c r="F71" i="18" s="1"/>
  <c r="G71" i="18" s="1"/>
  <c r="C62" i="18"/>
  <c r="F62" i="18" s="1"/>
  <c r="G62" i="18" s="1"/>
  <c r="C65" i="18"/>
  <c r="F65" i="18" s="1"/>
  <c r="G65" i="18" s="1"/>
  <c r="G84" i="18"/>
  <c r="G86" i="18" s="1"/>
  <c r="F120" i="18"/>
  <c r="E107" i="18"/>
  <c r="G107" i="18" s="1"/>
  <c r="D109" i="18"/>
  <c r="D119" i="18"/>
  <c r="G119" i="18" s="1"/>
  <c r="C136" i="18"/>
  <c r="G117" i="18"/>
  <c r="E132" i="18"/>
  <c r="F134" i="18"/>
  <c r="F103" i="18" s="1"/>
  <c r="G103" i="18" s="1"/>
  <c r="D171" i="18"/>
  <c r="G171" i="18" s="1"/>
  <c r="G172" i="18" s="1"/>
  <c r="J172" i="18" s="1"/>
  <c r="J173" i="18" s="1"/>
  <c r="G49" i="18"/>
  <c r="G36" i="18"/>
  <c r="G48" i="18"/>
  <c r="C120" i="18"/>
  <c r="C65" i="17"/>
  <c r="C66" i="17"/>
  <c r="E65" i="17"/>
  <c r="F66" i="17"/>
  <c r="G66" i="17" s="1"/>
  <c r="D66" i="17"/>
  <c r="E66" i="17"/>
  <c r="E62" i="17"/>
  <c r="C63" i="17"/>
  <c r="F63" i="17" s="1"/>
  <c r="G63" i="17" s="1"/>
  <c r="C62" i="17"/>
  <c r="E63" i="17"/>
  <c r="D63" i="17"/>
  <c r="G110" i="17"/>
  <c r="G121" i="17"/>
  <c r="G138" i="17"/>
  <c r="G145" i="17"/>
  <c r="J149" i="17" s="1"/>
  <c r="F144" i="17"/>
  <c r="D144" i="17"/>
  <c r="C144" i="17"/>
  <c r="F143" i="17"/>
  <c r="D143" i="17"/>
  <c r="G143" i="17" s="1"/>
  <c r="F129" i="17"/>
  <c r="F115" i="17"/>
  <c r="F114" i="17"/>
  <c r="F49" i="17"/>
  <c r="F48" i="17"/>
  <c r="D177" i="17"/>
  <c r="D176" i="17"/>
  <c r="C176" i="17"/>
  <c r="F176" i="17" s="1"/>
  <c r="G176" i="17" s="1"/>
  <c r="F177" i="17"/>
  <c r="G177" i="17" s="1"/>
  <c r="F74" i="18" l="1"/>
  <c r="G74" i="18" s="1"/>
  <c r="F72" i="18"/>
  <c r="G72" i="18" s="1"/>
  <c r="G132" i="18"/>
  <c r="G152" i="18"/>
  <c r="G153" i="18" s="1"/>
  <c r="J153" i="18" s="1"/>
  <c r="C69" i="18"/>
  <c r="F69" i="18" s="1"/>
  <c r="G69" i="18" s="1"/>
  <c r="G50" i="18"/>
  <c r="G39" i="18"/>
  <c r="J44" i="18" s="1"/>
  <c r="G121" i="18"/>
  <c r="J155" i="18"/>
  <c r="J17" i="18"/>
  <c r="J16" i="18"/>
  <c r="J15" i="18"/>
  <c r="J168" i="18"/>
  <c r="J167" i="18"/>
  <c r="G120" i="18"/>
  <c r="J149" i="18"/>
  <c r="J148" i="18"/>
  <c r="J147" i="18"/>
  <c r="J146" i="18"/>
  <c r="J145" i="18"/>
  <c r="G104" i="18"/>
  <c r="C137" i="18"/>
  <c r="G136" i="18"/>
  <c r="C105" i="18"/>
  <c r="G105" i="18" s="1"/>
  <c r="G51" i="18"/>
  <c r="J159" i="18"/>
  <c r="J162" i="18"/>
  <c r="J161" i="18"/>
  <c r="J160" i="18"/>
  <c r="J87" i="18"/>
  <c r="J86" i="18"/>
  <c r="J89" i="18"/>
  <c r="J88" i="18"/>
  <c r="G134" i="18"/>
  <c r="J146" i="17"/>
  <c r="J147" i="17"/>
  <c r="J148" i="17"/>
  <c r="G144" i="17"/>
  <c r="G178" i="17"/>
  <c r="G55" i="18" l="1"/>
  <c r="G79" i="18"/>
  <c r="J79" i="18" s="1"/>
  <c r="J154" i="18"/>
  <c r="J41" i="18"/>
  <c r="J39" i="18"/>
  <c r="J42" i="18"/>
  <c r="J43" i="18"/>
  <c r="J40" i="18"/>
  <c r="J45" i="18"/>
  <c r="G138" i="18"/>
  <c r="G110" i="18"/>
  <c r="J58" i="18"/>
  <c r="J57" i="18"/>
  <c r="J56" i="18"/>
  <c r="J55" i="18"/>
  <c r="J59" i="18"/>
  <c r="C106" i="18"/>
  <c r="G106" i="18" s="1"/>
  <c r="G137" i="18"/>
  <c r="J122" i="18"/>
  <c r="J121" i="18"/>
  <c r="J124" i="18"/>
  <c r="J125" i="18"/>
  <c r="J123" i="18"/>
  <c r="J145" i="17"/>
  <c r="J180" i="17"/>
  <c r="J179" i="17"/>
  <c r="J178" i="17"/>
  <c r="J81" i="18" l="1"/>
  <c r="J80" i="18"/>
  <c r="J110" i="18"/>
  <c r="J111" i="18"/>
  <c r="J140" i="18"/>
  <c r="J139" i="18"/>
  <c r="J138" i="18"/>
  <c r="D158" i="17"/>
  <c r="C109" i="17"/>
  <c r="E109" i="17"/>
  <c r="E108" i="17"/>
  <c r="C108" i="17"/>
  <c r="B108" i="17"/>
  <c r="D85" i="17"/>
  <c r="G85" i="17" s="1"/>
  <c r="D84" i="17"/>
  <c r="D108" i="17" s="1"/>
  <c r="D76" i="17"/>
  <c r="J95" i="14"/>
  <c r="D37" i="17"/>
  <c r="D53" i="17" s="1"/>
  <c r="D133" i="17" s="1"/>
  <c r="E36" i="17"/>
  <c r="D36" i="17"/>
  <c r="F38" i="17"/>
  <c r="F54" i="17" s="1"/>
  <c r="C193" i="17"/>
  <c r="C192" i="17"/>
  <c r="G184" i="17"/>
  <c r="J184" i="17" s="1"/>
  <c r="G182" i="17"/>
  <c r="J182" i="17" s="1"/>
  <c r="C152" i="17"/>
  <c r="D137" i="17"/>
  <c r="D106" i="17" s="1"/>
  <c r="B135" i="17"/>
  <c r="B104" i="17" s="1"/>
  <c r="B134" i="17"/>
  <c r="C131" i="17"/>
  <c r="B131" i="17"/>
  <c r="F130" i="17"/>
  <c r="B130" i="17"/>
  <c r="B144" i="17" s="1"/>
  <c r="D129" i="17"/>
  <c r="F128" i="17"/>
  <c r="D128" i="17"/>
  <c r="B128" i="17"/>
  <c r="I121" i="17"/>
  <c r="E120" i="17"/>
  <c r="E119" i="17"/>
  <c r="E118" i="17"/>
  <c r="F117" i="17"/>
  <c r="F166" i="17" s="1"/>
  <c r="D117" i="17"/>
  <c r="F116" i="17"/>
  <c r="F165" i="17" s="1"/>
  <c r="D116" i="17"/>
  <c r="D165" i="17" s="1"/>
  <c r="D115" i="17"/>
  <c r="G115" i="17" s="1"/>
  <c r="D114" i="17"/>
  <c r="B105" i="17"/>
  <c r="E92" i="17"/>
  <c r="D92" i="17"/>
  <c r="E78" i="17"/>
  <c r="D78" i="17"/>
  <c r="E77" i="17"/>
  <c r="D77" i="17"/>
  <c r="C77" i="17"/>
  <c r="C78" i="17" s="1"/>
  <c r="E76" i="17"/>
  <c r="E74" i="17"/>
  <c r="E73" i="17"/>
  <c r="E72" i="17"/>
  <c r="E71" i="17"/>
  <c r="D71" i="17"/>
  <c r="E70" i="17"/>
  <c r="B70" i="17"/>
  <c r="E69" i="17"/>
  <c r="D69" i="17"/>
  <c r="E68" i="17"/>
  <c r="C68" i="17"/>
  <c r="E67" i="17"/>
  <c r="D67" i="17"/>
  <c r="E64" i="17"/>
  <c r="D64" i="17"/>
  <c r="B62" i="17"/>
  <c r="D54" i="17"/>
  <c r="C54" i="17"/>
  <c r="B54" i="17"/>
  <c r="C53" i="17"/>
  <c r="D52" i="17"/>
  <c r="D132" i="17" s="1"/>
  <c r="C52" i="17"/>
  <c r="B52" i="17"/>
  <c r="B72" i="17" s="1"/>
  <c r="F51" i="17"/>
  <c r="C51" i="17"/>
  <c r="F50" i="17"/>
  <c r="C50" i="17"/>
  <c r="B50" i="17"/>
  <c r="B68" i="17" s="1"/>
  <c r="C48" i="17"/>
  <c r="B48" i="17"/>
  <c r="B65" i="17" s="1"/>
  <c r="E37" i="17"/>
  <c r="E53" i="17" s="1"/>
  <c r="D74" i="17" s="1"/>
  <c r="D35" i="17"/>
  <c r="D70" i="17" s="1"/>
  <c r="D34" i="17"/>
  <c r="D33" i="17"/>
  <c r="D65" i="17" s="1"/>
  <c r="C33" i="17"/>
  <c r="C49" i="17" s="1"/>
  <c r="D32" i="17"/>
  <c r="D62" i="17" s="1"/>
  <c r="D21" i="17"/>
  <c r="C21" i="17"/>
  <c r="D20" i="17"/>
  <c r="C20" i="17"/>
  <c r="C14" i="17"/>
  <c r="C107" i="17" s="1"/>
  <c r="B14" i="17"/>
  <c r="B22" i="17" s="1"/>
  <c r="R10" i="17"/>
  <c r="D120" i="17" s="1"/>
  <c r="Q10" i="17"/>
  <c r="D171" i="17" s="1"/>
  <c r="G171" i="17" s="1"/>
  <c r="G172" i="17" s="1"/>
  <c r="J172" i="17" s="1"/>
  <c r="J173" i="17" s="1"/>
  <c r="P10" i="17"/>
  <c r="F118" i="17" s="1"/>
  <c r="N10" i="17"/>
  <c r="D118" i="17" s="1"/>
  <c r="M10" i="17"/>
  <c r="D134" i="17" s="1"/>
  <c r="D103" i="17" s="1"/>
  <c r="E10" i="17"/>
  <c r="E14" i="17" s="1"/>
  <c r="E22" i="17" s="1"/>
  <c r="D10" i="17"/>
  <c r="D14" i="17" s="1"/>
  <c r="D22" i="17" s="1"/>
  <c r="J186" i="18" l="1"/>
  <c r="C188" i="18" s="1"/>
  <c r="E190" i="18" s="1"/>
  <c r="E191" i="18" s="1"/>
  <c r="G84" i="17"/>
  <c r="G86" i="17" s="1"/>
  <c r="J88" i="17" s="1"/>
  <c r="D50" i="17"/>
  <c r="C69" i="17" s="1"/>
  <c r="F69" i="17" s="1"/>
  <c r="G69" i="17" s="1"/>
  <c r="D68" i="17"/>
  <c r="F68" i="17" s="1"/>
  <c r="G68" i="17" s="1"/>
  <c r="G116" i="17"/>
  <c r="G21" i="17"/>
  <c r="G117" i="17"/>
  <c r="B103" i="17"/>
  <c r="G108" i="17"/>
  <c r="D109" i="17"/>
  <c r="G109" i="17" s="1"/>
  <c r="E133" i="17"/>
  <c r="G133" i="17" s="1"/>
  <c r="G36" i="17"/>
  <c r="J89" i="17"/>
  <c r="J87" i="17"/>
  <c r="J86" i="17"/>
  <c r="D49" i="17"/>
  <c r="C67" i="17" s="1"/>
  <c r="F67" i="17" s="1"/>
  <c r="G67" i="17" s="1"/>
  <c r="G20" i="17"/>
  <c r="F76" i="17"/>
  <c r="G76" i="17" s="1"/>
  <c r="C190" i="17"/>
  <c r="G128" i="17"/>
  <c r="G114" i="17"/>
  <c r="G129" i="17"/>
  <c r="D131" i="17"/>
  <c r="G32" i="17"/>
  <c r="E52" i="17"/>
  <c r="G33" i="17"/>
  <c r="D48" i="17"/>
  <c r="C64" i="17" s="1"/>
  <c r="F64" i="17" s="1"/>
  <c r="G64" i="17" s="1"/>
  <c r="G165" i="17"/>
  <c r="G10" i="17"/>
  <c r="G11" i="17" s="1"/>
  <c r="J11" i="17" s="1"/>
  <c r="F78" i="17"/>
  <c r="G78" i="17" s="1"/>
  <c r="D166" i="17"/>
  <c r="G166" i="17" s="1"/>
  <c r="G54" i="17"/>
  <c r="G53" i="17"/>
  <c r="C74" i="17"/>
  <c r="F74" i="17" s="1"/>
  <c r="G74" i="17" s="1"/>
  <c r="F62" i="17"/>
  <c r="G62" i="17" s="1"/>
  <c r="F65" i="17"/>
  <c r="G65" i="17" s="1"/>
  <c r="D107" i="17"/>
  <c r="C119" i="17"/>
  <c r="F120" i="17"/>
  <c r="F131" i="17"/>
  <c r="C135" i="17"/>
  <c r="C158" i="17" s="1"/>
  <c r="G158" i="17" s="1"/>
  <c r="G159" i="17" s="1"/>
  <c r="G14" i="17"/>
  <c r="G15" i="17" s="1"/>
  <c r="G35" i="17"/>
  <c r="G38" i="17"/>
  <c r="D51" i="17"/>
  <c r="C71" i="17" s="1"/>
  <c r="F71" i="17" s="1"/>
  <c r="G71" i="17" s="1"/>
  <c r="D130" i="17"/>
  <c r="G130" i="17" s="1"/>
  <c r="F135" i="17"/>
  <c r="F104" i="17" s="1"/>
  <c r="F137" i="17"/>
  <c r="F106" i="17" s="1"/>
  <c r="G92" i="17"/>
  <c r="G93" i="17" s="1"/>
  <c r="E107" i="17"/>
  <c r="D119" i="17"/>
  <c r="D135" i="17"/>
  <c r="D104" i="17" s="1"/>
  <c r="C70" i="17"/>
  <c r="F70" i="17" s="1"/>
  <c r="G70" i="17" s="1"/>
  <c r="C73" i="17"/>
  <c r="C118" i="17"/>
  <c r="G118" i="17" s="1"/>
  <c r="F119" i="17"/>
  <c r="C134" i="17"/>
  <c r="G34" i="17"/>
  <c r="G37" i="17"/>
  <c r="F77" i="17"/>
  <c r="G77" i="17" s="1"/>
  <c r="C136" i="17"/>
  <c r="F134" i="17"/>
  <c r="F103" i="17" s="1"/>
  <c r="D136" i="17"/>
  <c r="D105" i="17" s="1"/>
  <c r="C120" i="17"/>
  <c r="C22" i="17"/>
  <c r="G22" i="17" s="1"/>
  <c r="F136" i="17"/>
  <c r="F105" i="17" s="1"/>
  <c r="C93" i="14"/>
  <c r="C117" i="14"/>
  <c r="C90" i="14" s="1"/>
  <c r="C116" i="14"/>
  <c r="C103" i="14"/>
  <c r="C14" i="14"/>
  <c r="C22" i="14" s="1"/>
  <c r="B14" i="14"/>
  <c r="B22" i="14" s="1"/>
  <c r="E10" i="14"/>
  <c r="E14" i="14" s="1"/>
  <c r="E22" i="14" s="1"/>
  <c r="D10" i="14"/>
  <c r="D14" i="14" s="1"/>
  <c r="D119" i="14"/>
  <c r="D92" i="14" s="1"/>
  <c r="B117" i="14"/>
  <c r="B90" i="14" s="1"/>
  <c r="B116" i="14"/>
  <c r="B89" i="14" s="1"/>
  <c r="E104" i="14"/>
  <c r="E103" i="14"/>
  <c r="E102"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99" i="14"/>
  <c r="F98" i="14"/>
  <c r="C33" i="14"/>
  <c r="C49" i="14" s="1"/>
  <c r="D33" i="14"/>
  <c r="D32" i="14"/>
  <c r="D62" i="14" s="1"/>
  <c r="D21" i="14"/>
  <c r="D20" i="14"/>
  <c r="C88" i="14"/>
  <c r="E81" i="14"/>
  <c r="E88" i="14" s="1"/>
  <c r="D81" i="14"/>
  <c r="D88" i="14" s="1"/>
  <c r="F114" i="14"/>
  <c r="F113" i="14"/>
  <c r="F112" i="14"/>
  <c r="D113" i="14"/>
  <c r="D112" i="14"/>
  <c r="B114" i="14"/>
  <c r="C114" i="14"/>
  <c r="D101" i="14"/>
  <c r="D132" i="14" s="1"/>
  <c r="F101" i="14"/>
  <c r="F132" i="14" s="1"/>
  <c r="F100" i="14"/>
  <c r="F131" i="14" s="1"/>
  <c r="D100" i="14"/>
  <c r="D99" i="14"/>
  <c r="D98" i="14"/>
  <c r="C191" i="18" l="1"/>
  <c r="G50" i="17"/>
  <c r="G48" i="17"/>
  <c r="G23" i="17"/>
  <c r="J29" i="17" s="1"/>
  <c r="J100" i="17"/>
  <c r="J99" i="17"/>
  <c r="J98" i="17"/>
  <c r="J95" i="17"/>
  <c r="J97" i="17"/>
  <c r="J96" i="17"/>
  <c r="J160" i="17"/>
  <c r="J162" i="17"/>
  <c r="J161" i="17"/>
  <c r="J159" i="17"/>
  <c r="C72" i="17"/>
  <c r="F72" i="17" s="1"/>
  <c r="G72" i="17" s="1"/>
  <c r="G79" i="17" s="1"/>
  <c r="E132" i="17"/>
  <c r="G132" i="17" s="1"/>
  <c r="G52" i="17"/>
  <c r="G107" i="17"/>
  <c r="G49" i="17"/>
  <c r="G131" i="17"/>
  <c r="G167" i="17"/>
  <c r="J168" i="17" s="1"/>
  <c r="D73" i="17"/>
  <c r="C118" i="14"/>
  <c r="C119" i="14" s="1"/>
  <c r="C102" i="14"/>
  <c r="G10" i="14"/>
  <c r="G11" i="14" s="1"/>
  <c r="J11" i="14" s="1"/>
  <c r="C104" i="14"/>
  <c r="G51" i="17"/>
  <c r="G120" i="17"/>
  <c r="G39" i="17"/>
  <c r="J41" i="17" s="1"/>
  <c r="J24" i="17"/>
  <c r="F73" i="17"/>
  <c r="G73" i="17" s="1"/>
  <c r="G119" i="17"/>
  <c r="J17" i="17"/>
  <c r="J16" i="17"/>
  <c r="J15" i="17"/>
  <c r="G134" i="17"/>
  <c r="C103" i="17"/>
  <c r="G103" i="17" s="1"/>
  <c r="J94" i="17"/>
  <c r="J93" i="17"/>
  <c r="G135" i="17"/>
  <c r="C104" i="17"/>
  <c r="G104" i="17" s="1"/>
  <c r="G136" i="17"/>
  <c r="C105" i="17"/>
  <c r="G105" i="17" s="1"/>
  <c r="C137" i="17"/>
  <c r="B91" i="14"/>
  <c r="G14" i="14"/>
  <c r="G15" i="14" s="1"/>
  <c r="D22" i="14"/>
  <c r="G22" i="14" s="1"/>
  <c r="F73" i="14"/>
  <c r="G73" i="14" s="1"/>
  <c r="D118" i="14"/>
  <c r="D104" i="14"/>
  <c r="G132" i="14"/>
  <c r="F119" i="14"/>
  <c r="F92" i="14" s="1"/>
  <c r="F118" i="14"/>
  <c r="F91" i="14" s="1"/>
  <c r="D137" i="14"/>
  <c r="G137" i="14" s="1"/>
  <c r="F104" i="14"/>
  <c r="F117" i="14"/>
  <c r="F90" i="14" s="1"/>
  <c r="F103" i="14"/>
  <c r="F116" i="14"/>
  <c r="F89" i="14" s="1"/>
  <c r="F102" i="14"/>
  <c r="E93" i="14"/>
  <c r="D102" i="14"/>
  <c r="D116" i="14"/>
  <c r="D93" i="14"/>
  <c r="D117" i="14"/>
  <c r="D103" i="14"/>
  <c r="C91" i="14"/>
  <c r="C89" i="14"/>
  <c r="D114" i="14"/>
  <c r="G114" i="14" s="1"/>
  <c r="D131" i="14"/>
  <c r="G131"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23" i="14" s="1"/>
  <c r="G100" i="14"/>
  <c r="J27" i="17" l="1"/>
  <c r="J28" i="17"/>
  <c r="J25" i="17"/>
  <c r="J26" i="17"/>
  <c r="J23" i="17"/>
  <c r="G152" i="17"/>
  <c r="G153" i="17" s="1"/>
  <c r="J122" i="17"/>
  <c r="J167" i="17"/>
  <c r="J80" i="17"/>
  <c r="G55" i="17"/>
  <c r="J55" i="17" s="1"/>
  <c r="G133" i="14"/>
  <c r="G138" i="14"/>
  <c r="J138" i="14" s="1"/>
  <c r="J139" i="14" s="1"/>
  <c r="J45" i="17"/>
  <c r="J44" i="17"/>
  <c r="J39" i="17"/>
  <c r="J43" i="17"/>
  <c r="J42" i="17"/>
  <c r="J40" i="17"/>
  <c r="G137" i="17"/>
  <c r="C106" i="17"/>
  <c r="G106" i="17" s="1"/>
  <c r="J16" i="14"/>
  <c r="J17" i="14"/>
  <c r="J15" i="14"/>
  <c r="G93" i="14"/>
  <c r="G104" i="14"/>
  <c r="G102" i="14"/>
  <c r="J134" i="14"/>
  <c r="D91" i="14"/>
  <c r="G91" i="14" s="1"/>
  <c r="G118" i="14"/>
  <c r="G103" i="14"/>
  <c r="D89" i="14"/>
  <c r="G89" i="14" s="1"/>
  <c r="G116" i="14"/>
  <c r="D90" i="14"/>
  <c r="G90" i="14" s="1"/>
  <c r="G117" i="14"/>
  <c r="G119"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J125" i="17" l="1"/>
  <c r="J155" i="17"/>
  <c r="J153" i="17"/>
  <c r="J154" i="17"/>
  <c r="J123" i="17"/>
  <c r="J124" i="17"/>
  <c r="J121" i="17"/>
  <c r="J81" i="17"/>
  <c r="J79" i="17"/>
  <c r="J111" i="17"/>
  <c r="J57" i="17"/>
  <c r="J58" i="17"/>
  <c r="J59" i="17"/>
  <c r="J56" i="17"/>
  <c r="J140" i="17"/>
  <c r="J139" i="17"/>
  <c r="J138" i="17"/>
  <c r="J110" i="17"/>
  <c r="B62" i="14"/>
  <c r="B112" i="14"/>
  <c r="J186" i="17" l="1"/>
  <c r="C188" i="17" s="1"/>
  <c r="Q4" i="16"/>
  <c r="P4" i="16"/>
  <c r="L4" i="16"/>
  <c r="N4" i="16"/>
  <c r="F4" i="16"/>
  <c r="E4" i="16"/>
  <c r="M4" i="16" s="1"/>
  <c r="I4" i="16"/>
  <c r="H4" i="16"/>
  <c r="C191" i="17" l="1"/>
  <c r="E190" i="17"/>
  <c r="E191" i="17" s="1"/>
  <c r="K4" i="16"/>
  <c r="R4" i="16"/>
  <c r="C152" i="14"/>
  <c r="C151" i="14"/>
  <c r="G143" i="14"/>
  <c r="J143" i="14" s="1"/>
  <c r="G141" i="14"/>
  <c r="J141" i="14" s="1"/>
  <c r="I105" i="14"/>
  <c r="F115" i="14"/>
  <c r="D115" i="14"/>
  <c r="B88" i="14"/>
  <c r="C115" i="14"/>
  <c r="B115" i="14"/>
  <c r="C125" i="14"/>
  <c r="C48" i="14"/>
  <c r="C62" i="14" s="1"/>
  <c r="B48" i="14"/>
  <c r="B64" i="14" s="1"/>
  <c r="D48" i="14"/>
  <c r="C63" i="14" s="1"/>
  <c r="U4" i="16" l="1"/>
  <c r="G112" i="14"/>
  <c r="G113" i="14"/>
  <c r="G98" i="14"/>
  <c r="G105" i="14" s="1"/>
  <c r="C149" i="14"/>
  <c r="F62" i="14"/>
  <c r="G62" i="14" s="1"/>
  <c r="G76" i="14" s="1"/>
  <c r="F63" i="14"/>
  <c r="G63" i="14" s="1"/>
  <c r="G101" i="14"/>
  <c r="G99" i="14"/>
  <c r="G48" i="14"/>
  <c r="G55" i="14" s="1"/>
  <c r="G88" i="14"/>
  <c r="G94" i="14" s="1"/>
  <c r="G115" i="14"/>
  <c r="G81" i="14"/>
  <c r="G82" i="14" s="1"/>
  <c r="G32" i="14"/>
  <c r="G39" i="14" s="1"/>
  <c r="G120" i="14" l="1"/>
  <c r="J122" i="14"/>
  <c r="G125" i="14"/>
  <c r="G126" i="14" s="1"/>
  <c r="J85" i="14"/>
  <c r="J84" i="14"/>
  <c r="J83" i="14"/>
  <c r="J82" i="14"/>
  <c r="J94" i="14"/>
  <c r="J127" i="14" l="1"/>
  <c r="J28" i="14"/>
  <c r="J29" i="14"/>
  <c r="J27" i="14"/>
  <c r="J26" i="14"/>
  <c r="J25" i="14"/>
  <c r="J24" i="14"/>
  <c r="J120" i="14"/>
  <c r="J121" i="14"/>
  <c r="J23" i="14"/>
  <c r="J109" i="14"/>
  <c r="J108" i="14"/>
  <c r="J107" i="14"/>
  <c r="J106" i="14"/>
  <c r="J105" i="14"/>
  <c r="J128" i="14" l="1"/>
  <c r="J126" i="14"/>
  <c r="J133" i="14"/>
  <c r="J58" i="14" l="1"/>
  <c r="J59" i="14"/>
  <c r="J57" i="14"/>
  <c r="J56" i="14"/>
  <c r="J55" i="14"/>
  <c r="J76" i="14"/>
  <c r="J78" i="14"/>
  <c r="J77" i="14"/>
  <c r="J45" i="14"/>
  <c r="J41" i="14"/>
  <c r="J44" i="14"/>
  <c r="J43" i="14"/>
  <c r="J42" i="14"/>
  <c r="J40" i="14"/>
  <c r="J39" i="14"/>
  <c r="J145" i="14" l="1"/>
  <c r="C147" i="14" s="1"/>
  <c r="C150" i="14" l="1"/>
  <c r="E149" i="14"/>
  <c r="E150" i="14" s="1"/>
</calcChain>
</file>

<file path=xl/sharedStrings.xml><?xml version="1.0" encoding="utf-8"?>
<sst xmlns="http://schemas.openxmlformats.org/spreadsheetml/2006/main" count="525" uniqueCount="138">
  <si>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</si>
  <si>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</si>
  <si>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</si>
  <si>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</si>
  <si>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</si>
  <si>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</si>
  <si>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</si>
  <si>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</si>
  <si>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</si>
  <si>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</si>
  <si>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</si>
  <si>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</si>
  <si>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</si>
  <si>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</si>
  <si>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</si>
  <si>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</si>
  <si>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</si>
  <si>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</si>
  <si>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</si>
  <si>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</si>
  <si>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</si>
  <si>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</si>
  <si>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</si>
  <si>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</si>
  <si>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</si>
  <si>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</si>
  <si>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</si>
  <si>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</si>
  <si>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</si>
  <si>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</si>
  <si>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</si>
  <si>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</si>
  <si>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</si>
  <si>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</si>
  <si>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</si>
  <si>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</si>
  <si>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</si>
  <si>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</si>
  <si>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</si>
  <si>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</si>
  <si>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</si>
  <si>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</si>
  <si>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</si>
  <si>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</si>
  <si>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</si>
  <si>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</si>
  <si>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</si>
  <si>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</si>
  <si>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</si>
  <si>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</si>
  <si>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</si>
  <si>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 dL=dL= l;d]G6 afn'jf -!M$_ Knfi6/</t>
  </si>
  <si>
    <t># dL=dL= df]6fO{ d;Lgf] l;d]G6 3f]6\g] sfd</t>
  </si>
  <si>
    <t>-13% VAT for brick</t>
  </si>
  <si>
    <t>g/d k|sf/sf] Sn] / l;N6L df6f]df ;j} lsl;dsf] vGg] sfd</t>
  </si>
  <si>
    <t>;'Vvf O{6f RofK6f] 5fKg] sfd</t>
  </si>
  <si>
    <t>e'O{+tNnfdf lrDgL e§fsf] O{+6fsf] uf/f] l;d]G6 d;nf -!M^_ df</t>
  </si>
  <si>
    <t>-13% VAT for sanda</t>
  </si>
  <si>
    <t>-deduction for window</t>
  </si>
  <si>
    <t xml:space="preserve"> Ps sf]6 k|fO{d/ ;lxt b'O{ sf]6 j]b/sf]6 k]G6 ug]{ sfd</t>
  </si>
  <si>
    <t>-13% VAT for aster</t>
  </si>
  <si>
    <t>-13% VAT for weather coat</t>
  </si>
  <si>
    <t xml:space="preserve">Date:                  </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</si>
  <si>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</si>
  <si>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</si>
  <si>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</si>
  <si>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</si>
  <si>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</si>
  <si>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</si>
  <si>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</si>
  <si>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</si>
  <si>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</si>
  <si>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</si>
  <si>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</si>
  <si>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</si>
  <si>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</si>
  <si>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</si>
  <si>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</si>
  <si>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</si>
  <si>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</si>
  <si>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</si>
  <si>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</si>
  <si>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rm</t>
  </si>
  <si>
    <t>Provisional sum for unforseen works</t>
  </si>
  <si>
    <t>d]lzgsf] k|of]u u/L hu leQf kvf{ndf l;d]G6 s+lqm6 ug]{ sfd -!M@M$_</t>
  </si>
  <si>
    <t>-as plaster</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</si>
  <si>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</si>
  <si>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</si>
  <si>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</si>
  <si>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</si>
  <si>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</si>
  <si>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</si>
  <si>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</si>
  <si>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</si>
  <si>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</si>
  <si>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</si>
  <si>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</si>
  <si>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</si>
  <si>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</si>
  <si>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</si>
  <si>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</si>
  <si>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</si>
  <si>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</si>
  <si>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</si>
  <si>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</si>
  <si>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</si>
  <si>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</si>
  <si>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</si>
  <si>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</si>
  <si>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</si>
  <si>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</si>
  <si>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</si>
  <si>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</si>
  <si>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</si>
  <si>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</si>
  <si>
    <t>!^ dL=dL=u|]gfO{6, @) dL dL afSnf] !M@ efusf] l;d]G6 d;nfdf 5fkL 3f]6\g] / kflnz ;d]t ug]{</t>
  </si>
  <si>
    <t>-13% VAT for 16mm granite</t>
  </si>
  <si>
    <r>
      <t xml:space="preserve">-13% VAT for </t>
    </r>
    <r>
      <rPr>
        <sz val="11"/>
        <rFont val="Preeti"/>
      </rPr>
      <t>cShflns Pl;8</t>
    </r>
  </si>
  <si>
    <r>
      <t xml:space="preserve">-13% VAT for </t>
    </r>
    <r>
      <rPr>
        <sz val="11"/>
        <rFont val="Preeti"/>
      </rPr>
      <t>d}g kflnz</t>
    </r>
  </si>
  <si>
    <r>
      <t xml:space="preserve">-13% VAT for </t>
    </r>
    <r>
      <rPr>
        <sz val="11"/>
        <rFont val="Preeti"/>
      </rPr>
      <t>tf/k]G6fOg</t>
    </r>
  </si>
  <si>
    <r>
      <t xml:space="preserve">-13% VAT for </t>
    </r>
    <r>
      <rPr>
        <sz val="11"/>
        <rFont val="Preeti"/>
      </rPr>
      <t>sfaf]{/08d 9'ª\uf</t>
    </r>
  </si>
  <si>
    <t>-peti area</t>
  </si>
  <si>
    <t>-at top</t>
  </si>
  <si>
    <t>-13% VAT for water proofing</t>
  </si>
  <si>
    <t>-roof</t>
  </si>
  <si>
    <t>ljleGg ;fO{hsf] kmnfd] PËn km]lj|s]zg u/L k|fOd/ k]G6 ;lxt ug]{ sfd</t>
  </si>
  <si>
    <t>Unit weight (Kg/m)</t>
  </si>
  <si>
    <t>Weight (Kg)</t>
  </si>
  <si>
    <t>Kg</t>
  </si>
  <si>
    <t>-13% VAT for any kind of angles and MS black pipes</t>
  </si>
  <si>
    <t>-13% VAT for primer</t>
  </si>
  <si>
    <t>-MS square pipe for post of 3"*3"*1.6mm thickness</t>
  </si>
  <si>
    <t>-MS square pipe for binding of 80mm*40mm*1.6mm thickness</t>
  </si>
  <si>
    <t>-flooring inside</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</si>
  <si>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</si>
  <si>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-inside face of wall</t>
  </si>
  <si>
    <t>-13% VAT for white cement</t>
  </si>
  <si>
    <t>-13% VAT for porcelain glazed tile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</si>
</sst>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_(* #,##0.00_);_(* \(#,##0.00\);_(* &quot;-&quot;??_);_(@_)"/>
    <numFmt numFmtId="165" formatCode="0.0"/>
    <numFmt numFmtId="166" formatCode="0.0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8"/>
      <name val="Calibri"/>
      <family val="2"/>
      <scheme val="minor"/>
    </font>
    <font>
      <sz val="11"/>
      <name val="Preeti"/>
    </font>
    <font>
      <sz val="14"/>
      <name val="Preeti"/>
    </font>
    <font>
      <sz val="14"/>
      <name val="Arial"/>
      <family val="2"/>
    </font>
  </fonts>
  <fills count="2">
    <fill>
      <patternFill patternType="none"/>
    </fill>
    <fill>
      <patternFill patternType="gray125"/>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8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5" fontId="0" fillId="0" borderId="2" xfId="0" applyNumberFormat="1" applyBorder="1"/>
    <xf numFmtId="165"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5" fontId="4" fillId="0" borderId="2" xfId="0" applyNumberFormat="1" applyFont="1" applyBorder="1"/>
    <xf numFmtId="0" fontId="4" fillId="0" borderId="2" xfId="0" quotePrefix="1" applyFont="1" applyBorder="1" applyAlignment="1">
      <alignment wrapText="1"/>
    </xf>
    <xf numFmtId="0" fontId="9" fillId="0" borderId="2" xfId="0" applyFont="1" applyBorder="1" applyAlignment="1">
      <alignment vertical="center"/>
    </xf>
    <xf numFmtId="164"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6" fontId="0" fillId="0" borderId="2" xfId="0" applyNumberFormat="1" applyBorder="1"/>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vertical="center" wrapText="1"/>
    </xf>
    <xf numFmtId="165" fontId="0" fillId="0" borderId="2" xfId="0" quotePrefix="1" applyNumberFormat="1" applyBorder="1" applyAlignment="1">
      <alignment horizontal="right"/>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52"/>
  <sheetViews>
    <sheetView topLeftCell="A79" zoomScaleNormal="100" workbookViewId="0">
      <selection activeCell="J96" sqref="J96"/>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26">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15">
        <f>2</f>
        <v>2</v>
      </c>
      <c r="D20" s="3">
        <f>15/3.281</f>
        <v>4.5717768972874122</v>
      </c>
      <c r="E20" s="3">
        <v>0.35</v>
      </c>
      <c r="F20" s="3">
        <v>0.1</v>
      </c>
      <c r="G20" s="3">
        <f>PRODUCT(C20:F20)</f>
        <v>0.32002438281011886</v>
      </c>
      <c r="H20" s="15"/>
      <c r="I20" s="15"/>
      <c r="J20" s="15"/>
      <c r="K20" s="15"/>
    </row>
    <row r="21" spans="1:11" x14ac:dyDescent="0.25">
      <c r="A21" s="15"/>
      <c r="B21" s="16"/>
      <c r="C21" s="1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16">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15">
        <v>2</v>
      </c>
      <c r="D32" s="3">
        <f>15/3.281</f>
        <v>4.5717768972874122</v>
      </c>
      <c r="E32" s="3">
        <v>0.23</v>
      </c>
      <c r="F32" s="3">
        <v>0.23</v>
      </c>
      <c r="G32" s="3">
        <f t="shared" ref="G32:G33" si="1">PRODUCT(C32:F32)</f>
        <v>0.48369399573300831</v>
      </c>
      <c r="H32" s="15"/>
      <c r="I32" s="15"/>
      <c r="J32" s="15"/>
      <c r="K32" s="15"/>
    </row>
    <row r="33" spans="1:11" x14ac:dyDescent="0.25">
      <c r="A33" s="15"/>
      <c r="B33" s="16"/>
      <c r="C33" s="15">
        <f>2*2</f>
        <v>4</v>
      </c>
      <c r="D33" s="3">
        <f>9.75/3.281</f>
        <v>2.9716549832368178</v>
      </c>
      <c r="E33" s="3">
        <v>0.23</v>
      </c>
      <c r="F33" s="3">
        <v>0.23</v>
      </c>
      <c r="G33" s="3">
        <f t="shared" si="1"/>
        <v>0.62880219445291075</v>
      </c>
      <c r="H33" s="15"/>
      <c r="I33" s="15"/>
      <c r="J33" s="15"/>
      <c r="K33" s="15"/>
    </row>
    <row r="34" spans="1:11" x14ac:dyDescent="0.25">
      <c r="A34" s="15"/>
      <c r="B34" s="16" t="s">
        <v>90</v>
      </c>
      <c r="C34" s="15">
        <v>2</v>
      </c>
      <c r="D34" s="3">
        <f>8.17/3.281</f>
        <v>2.4900944833892105</v>
      </c>
      <c r="E34" s="3">
        <v>0.23</v>
      </c>
      <c r="F34" s="3">
        <v>0.23</v>
      </c>
      <c r="G34" s="3">
        <f t="shared" ref="G34:G36" si="2">PRODUCT(C34:F34)</f>
        <v>0.26345199634257849</v>
      </c>
      <c r="H34" s="15"/>
      <c r="I34" s="15"/>
      <c r="J34" s="15"/>
      <c r="K34" s="15"/>
    </row>
    <row r="35" spans="1:11" x14ac:dyDescent="0.25">
      <c r="A35" s="15"/>
      <c r="B35" s="16"/>
      <c r="C35" s="15">
        <v>2</v>
      </c>
      <c r="D35" s="3">
        <f>3.75/3.281</f>
        <v>1.1429442243218531</v>
      </c>
      <c r="E35" s="3">
        <v>0.23</v>
      </c>
      <c r="F35" s="3">
        <v>0.23</v>
      </c>
      <c r="G35" s="3">
        <f t="shared" si="2"/>
        <v>0.12092349893325208</v>
      </c>
      <c r="H35" s="15"/>
      <c r="I35" s="15"/>
      <c r="J35" s="15"/>
      <c r="K35" s="15"/>
    </row>
    <row r="36" spans="1:11" x14ac:dyDescent="0.25">
      <c r="A36" s="15"/>
      <c r="B36" s="16" t="s">
        <v>91</v>
      </c>
      <c r="C36" s="15">
        <v>2</v>
      </c>
      <c r="D36" s="3">
        <f>((17.667+8.17)/2)/3.281</f>
        <v>3.9373666565071628</v>
      </c>
      <c r="E36" s="3">
        <f>6.33/3.281</f>
        <v>1.929289850655288</v>
      </c>
      <c r="F36" s="3">
        <v>7.4999999999999997E-2</v>
      </c>
      <c r="G36" s="3">
        <f t="shared" si="2"/>
        <v>1.1394482293061723</v>
      </c>
      <c r="H36" s="15"/>
      <c r="I36" s="15"/>
      <c r="J36" s="15"/>
      <c r="K36" s="15"/>
    </row>
    <row r="37" spans="1:11" x14ac:dyDescent="0.25">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25">
      <c r="A38" s="15"/>
      <c r="B38" s="16" t="s">
        <v>93</v>
      </c>
      <c r="C38" s="15">
        <v>4</v>
      </c>
      <c r="D38" s="3">
        <v>0.23</v>
      </c>
      <c r="E38" s="3">
        <v>0.23</v>
      </c>
      <c r="F38" s="3">
        <f>2.25/3.281</f>
        <v>0.68576653459311188</v>
      </c>
      <c r="G38" s="3">
        <f t="shared" si="3"/>
        <v>0.14510819871990249</v>
      </c>
      <c r="H38" s="15"/>
      <c r="I38" s="15"/>
      <c r="J38" s="15"/>
      <c r="K38" s="15"/>
    </row>
    <row r="39" spans="1:11" s="10" customFormat="1" ht="15" customHeight="1" x14ac:dyDescent="0.25">
      <c r="A39" s="17"/>
      <c r="B39" s="18" t="s">
        <v>16</v>
      </c>
      <c r="C39" s="19"/>
      <c r="D39" s="1"/>
      <c r="E39" s="20"/>
      <c r="F39" s="20"/>
      <c r="G39" s="2">
        <f>SUM(G32:G38)</f>
        <v>3.663456390227517</v>
      </c>
      <c r="H39" s="21" t="s">
        <v>28</v>
      </c>
      <c r="I39" s="2">
        <v>13957.29</v>
      </c>
      <c r="J39" s="22">
        <f>G39*I39</f>
        <v>51131.923240758624</v>
      </c>
      <c r="K39" s="20"/>
    </row>
    <row r="40" spans="1:11" s="10" customFormat="1" x14ac:dyDescent="0.25">
      <c r="A40" s="24"/>
      <c r="B40" s="25" t="s">
        <v>32</v>
      </c>
      <c r="C40" s="26"/>
      <c r="D40" s="27"/>
      <c r="E40" s="27"/>
      <c r="F40" s="27"/>
      <c r="G40" s="27"/>
      <c r="H40" s="26"/>
      <c r="I40" s="26"/>
      <c r="J40" s="22">
        <f>0.13*G39*5212.4</f>
        <v>2482.402011494848</v>
      </c>
      <c r="K40" s="26"/>
    </row>
    <row r="41" spans="1:11" s="10" customFormat="1" x14ac:dyDescent="0.25">
      <c r="A41" s="24"/>
      <c r="B41" s="25" t="s">
        <v>33</v>
      </c>
      <c r="C41" s="26"/>
      <c r="D41" s="27"/>
      <c r="E41" s="27"/>
      <c r="F41" s="27"/>
      <c r="G41" s="27"/>
      <c r="H41" s="26"/>
      <c r="I41" s="26"/>
      <c r="J41" s="22">
        <f>0.13*G39*(1912.03+921.59)</f>
        <v>1349.5096285419445</v>
      </c>
      <c r="K41" s="26"/>
    </row>
    <row r="42" spans="1:11" s="10" customFormat="1" x14ac:dyDescent="0.25">
      <c r="A42" s="24"/>
      <c r="B42" s="25" t="s">
        <v>31</v>
      </c>
      <c r="C42" s="26"/>
      <c r="D42" s="27"/>
      <c r="E42" s="27"/>
      <c r="F42" s="27"/>
      <c r="G42" s="27"/>
      <c r="H42" s="26"/>
      <c r="I42" s="26"/>
      <c r="J42" s="22">
        <f>0.13*G39*1350.6</f>
        <v>643.22234608336692</v>
      </c>
      <c r="K42" s="26"/>
    </row>
    <row r="43" spans="1:11" x14ac:dyDescent="0.25">
      <c r="A43" s="15"/>
      <c r="B43" s="25" t="s">
        <v>35</v>
      </c>
      <c r="C43" s="15"/>
      <c r="D43" s="3"/>
      <c r="E43" s="3"/>
      <c r="F43" s="3"/>
      <c r="G43" s="3"/>
      <c r="H43" s="15"/>
      <c r="I43" s="15"/>
      <c r="J43" s="22">
        <f>0.13*G39*56</f>
        <v>26.669962520856323</v>
      </c>
      <c r="K43" s="15"/>
    </row>
    <row r="44" spans="1:11" s="10" customFormat="1" x14ac:dyDescent="0.25">
      <c r="A44" s="24"/>
      <c r="B44" s="25" t="s">
        <v>43</v>
      </c>
      <c r="C44" s="26"/>
      <c r="D44" s="27"/>
      <c r="E44" s="27"/>
      <c r="F44" s="27"/>
      <c r="G44" s="27"/>
      <c r="H44" s="26"/>
      <c r="I44" s="26"/>
      <c r="J44" s="22">
        <f>0.13*G39*392.92</f>
        <v>187.12788703026547</v>
      </c>
      <c r="K44" s="26"/>
    </row>
    <row r="45" spans="1:11" x14ac:dyDescent="0.25">
      <c r="A45" s="15"/>
      <c r="B45" s="25" t="s">
        <v>44</v>
      </c>
      <c r="C45" s="15"/>
      <c r="D45" s="3"/>
      <c r="E45" s="3"/>
      <c r="F45" s="3"/>
      <c r="G45" s="3"/>
      <c r="H45" s="15"/>
      <c r="I45" s="15"/>
      <c r="J45" s="22">
        <f>0.13*G39*14.15</f>
        <v>6.7389280298235175</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25">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25">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25">
      <c r="A51" s="15"/>
      <c r="B51" s="16"/>
      <c r="C51" s="15">
        <f>C35</f>
        <v>2</v>
      </c>
      <c r="D51" s="3">
        <f>D35</f>
        <v>1.1429442243218531</v>
      </c>
      <c r="E51" s="3"/>
      <c r="F51" s="3">
        <f t="shared" si="5"/>
        <v>0.46</v>
      </c>
      <c r="G51" s="3">
        <f t="shared" si="6"/>
        <v>1.051508686376105</v>
      </c>
      <c r="H51" s="15"/>
      <c r="I51" s="15"/>
      <c r="J51" s="15"/>
      <c r="K51" s="15"/>
    </row>
    <row r="52" spans="1:11" x14ac:dyDescent="0.25">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25">
      <c r="A53" s="15"/>
      <c r="B53" s="16"/>
      <c r="C53" s="15">
        <f>C37</f>
        <v>2</v>
      </c>
      <c r="D53" s="3">
        <f>D37</f>
        <v>3.047851264858275</v>
      </c>
      <c r="E53" s="3">
        <f>E37</f>
        <v>1.929289850655288</v>
      </c>
      <c r="F53" s="3"/>
      <c r="G53" s="3">
        <f t="shared" si="6"/>
        <v>11.760377023195904</v>
      </c>
      <c r="H53" s="15"/>
      <c r="I53" s="15"/>
      <c r="J53" s="15"/>
      <c r="K53" s="15"/>
    </row>
    <row r="54" spans="1:11" x14ac:dyDescent="0.25">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25">
      <c r="A55" s="17"/>
      <c r="B55" s="18" t="s">
        <v>16</v>
      </c>
      <c r="C55" s="19"/>
      <c r="D55" s="1"/>
      <c r="E55" s="20"/>
      <c r="F55" s="20"/>
      <c r="G55" s="2">
        <f>SUM(G48:G54)</f>
        <v>42.492916453668528</v>
      </c>
      <c r="H55" s="21" t="s">
        <v>34</v>
      </c>
      <c r="I55" s="2">
        <v>922.71</v>
      </c>
      <c r="J55" s="22">
        <f>G55*I55</f>
        <v>39208.638940964491</v>
      </c>
      <c r="K55" s="20"/>
    </row>
    <row r="56" spans="1:11" s="10" customFormat="1" x14ac:dyDescent="0.25">
      <c r="A56" s="24"/>
      <c r="B56" s="25" t="s">
        <v>46</v>
      </c>
      <c r="C56" s="26"/>
      <c r="D56" s="27"/>
      <c r="E56" s="27"/>
      <c r="F56" s="27"/>
      <c r="G56" s="27"/>
      <c r="H56" s="26"/>
      <c r="I56" s="26"/>
      <c r="J56" s="22">
        <f>0.13*G55*20062.02/100</f>
        <v>1108.2418616773753</v>
      </c>
      <c r="K56" s="26"/>
    </row>
    <row r="57" spans="1:11" s="10" customFormat="1" x14ac:dyDescent="0.25">
      <c r="A57" s="24"/>
      <c r="B57" s="25" t="s">
        <v>47</v>
      </c>
      <c r="C57" s="26"/>
      <c r="D57" s="27"/>
      <c r="E57" s="27"/>
      <c r="F57" s="27"/>
      <c r="G57" s="27"/>
      <c r="H57" s="26"/>
      <c r="I57" s="26"/>
      <c r="J57" s="22">
        <f>0.13*G55*13328.25/100</f>
        <v>736.26307784068979</v>
      </c>
      <c r="K57" s="26"/>
    </row>
    <row r="58" spans="1:11" s="10" customFormat="1" x14ac:dyDescent="0.25">
      <c r="A58" s="24"/>
      <c r="B58" s="25" t="s">
        <v>48</v>
      </c>
      <c r="C58" s="26"/>
      <c r="D58" s="27"/>
      <c r="E58" s="27"/>
      <c r="F58" s="27"/>
      <c r="G58" s="27"/>
      <c r="H58" s="26"/>
      <c r="I58" s="26"/>
      <c r="J58" s="22">
        <f>0.13*G55*10137.6/100</f>
        <v>560.00904679292307</v>
      </c>
      <c r="K58" s="26"/>
    </row>
    <row r="59" spans="1:11" x14ac:dyDescent="0.25">
      <c r="A59" s="15"/>
      <c r="B59" s="25" t="s">
        <v>49</v>
      </c>
      <c r="C59" s="15"/>
      <c r="D59" s="3"/>
      <c r="E59" s="3"/>
      <c r="F59" s="3"/>
      <c r="G59" s="3"/>
      <c r="H59" s="15"/>
      <c r="I59" s="15"/>
      <c r="J59" s="22">
        <f>0.13*G55*3300/100</f>
        <v>182.29461158623798</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25">
      <c r="A63" s="15"/>
      <c r="B63" s="16" t="s">
        <v>92</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25">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25">
      <c r="A65" s="15"/>
      <c r="B65" s="16" t="s">
        <v>92</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25">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25">
      <c r="A67" s="15"/>
      <c r="B67" s="16" t="s">
        <v>92</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25">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25">
      <c r="A69" s="15"/>
      <c r="B69" s="16" t="s">
        <v>92</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25">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25">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25">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25">
      <c r="A73" s="15"/>
      <c r="B73" s="16" t="s">
        <v>93</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25">
      <c r="A74" s="15"/>
      <c r="B74" s="16" t="s">
        <v>92</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25">
      <c r="A75" s="15"/>
      <c r="B75" s="16"/>
      <c r="C75" s="15">
        <f>C74</f>
        <v>24</v>
      </c>
      <c r="D75" s="3">
        <f>(4*4+2*2)/12/3.281</f>
        <v>0.50797521080971253</v>
      </c>
      <c r="E75" s="3">
        <f>8*8/162</f>
        <v>0.39506172839506171</v>
      </c>
      <c r="F75" s="3">
        <f t="shared" ref="F75" si="20">PRODUCT(C75:E75)</f>
        <v>4.8163575543439414</v>
      </c>
      <c r="G75" s="58">
        <f t="shared" ref="G75" si="21">F75/1000</f>
        <v>4.8163575543439417E-3</v>
      </c>
      <c r="H75" s="15"/>
      <c r="I75" s="15"/>
      <c r="J75" s="15"/>
      <c r="K75" s="15"/>
    </row>
    <row r="76" spans="1:11" s="10" customFormat="1" ht="15" customHeight="1" x14ac:dyDescent="0.25">
      <c r="A76" s="17"/>
      <c r="B76" s="18" t="s">
        <v>16</v>
      </c>
      <c r="C76" s="19"/>
      <c r="D76" s="1"/>
      <c r="E76" s="20"/>
      <c r="F76" s="20"/>
      <c r="G76" s="2">
        <f>SUM(G62:G75)</f>
        <v>0.36656939009109685</v>
      </c>
      <c r="H76" s="21" t="s">
        <v>41</v>
      </c>
      <c r="I76" s="46">
        <v>132360</v>
      </c>
      <c r="J76" s="22">
        <f>G76*I76</f>
        <v>48519.124472457581</v>
      </c>
      <c r="K76" s="20"/>
    </row>
    <row r="77" spans="1:11" s="10" customFormat="1" x14ac:dyDescent="0.25">
      <c r="A77" s="24"/>
      <c r="B77" s="25" t="s">
        <v>38</v>
      </c>
      <c r="C77" s="26"/>
      <c r="D77" s="26"/>
      <c r="E77" s="26"/>
      <c r="F77" s="26"/>
      <c r="G77" s="26"/>
      <c r="H77" s="26"/>
      <c r="I77" s="26"/>
      <c r="J77" s="22">
        <f>0.13*G76*105000</f>
        <v>5003.6721747434722</v>
      </c>
      <c r="K77" s="26"/>
    </row>
    <row r="78" spans="1:11" s="10" customFormat="1" x14ac:dyDescent="0.25">
      <c r="A78" s="24"/>
      <c r="B78" s="25" t="s">
        <v>37</v>
      </c>
      <c r="C78" s="26"/>
      <c r="D78" s="26"/>
      <c r="E78" s="26"/>
      <c r="F78" s="26"/>
      <c r="G78" s="26"/>
      <c r="H78" s="26"/>
      <c r="I78" s="26"/>
      <c r="J78" s="22">
        <f>0.13*G76*1200</f>
        <v>57.184824854211108</v>
      </c>
      <c r="K78" s="26"/>
    </row>
    <row r="79" spans="1:11" x14ac:dyDescent="0.25">
      <c r="A79" s="15"/>
      <c r="B79" s="15"/>
      <c r="C79" s="15"/>
      <c r="D79" s="15"/>
      <c r="E79" s="15"/>
      <c r="F79" s="15"/>
      <c r="G79" s="15"/>
      <c r="H79" s="15"/>
      <c r="I79" s="15"/>
      <c r="J79" s="15"/>
      <c r="K79" s="15"/>
    </row>
    <row r="80" spans="1:11" ht="30" x14ac:dyDescent="0.25">
      <c r="A80" s="11">
        <v>7</v>
      </c>
      <c r="B80" s="28" t="s">
        <v>50</v>
      </c>
      <c r="C80" s="15"/>
      <c r="D80" s="15"/>
      <c r="E80" s="15"/>
      <c r="F80" s="15"/>
      <c r="G80" s="15"/>
      <c r="H80" s="15"/>
      <c r="I80" s="15"/>
      <c r="J80" s="15"/>
      <c r="K80" s="15"/>
    </row>
    <row r="81" spans="1:11" x14ac:dyDescent="0.25">
      <c r="A81" s="15"/>
      <c r="B81" s="16" t="s">
        <v>95</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25">
      <c r="A82" s="17"/>
      <c r="B82" s="18" t="s">
        <v>16</v>
      </c>
      <c r="C82" s="19"/>
      <c r="D82" s="1"/>
      <c r="E82" s="20"/>
      <c r="F82" s="20"/>
      <c r="G82" s="2">
        <f>SUM(G81)</f>
        <v>11.47270761129557</v>
      </c>
      <c r="H82" s="21" t="s">
        <v>34</v>
      </c>
      <c r="I82" s="2">
        <v>689.98</v>
      </c>
      <c r="J82" s="22">
        <f>G82*I82</f>
        <v>7915.9387976417174</v>
      </c>
      <c r="K82" s="20"/>
    </row>
    <row r="83" spans="1:11" s="10" customFormat="1" x14ac:dyDescent="0.25">
      <c r="A83" s="24"/>
      <c r="B83" s="25" t="s">
        <v>32</v>
      </c>
      <c r="C83" s="26"/>
      <c r="D83" s="27"/>
      <c r="E83" s="27"/>
      <c r="F83" s="27"/>
      <c r="G83" s="27"/>
      <c r="H83" s="26"/>
      <c r="I83" s="26"/>
      <c r="J83" s="22">
        <f>0.13*G82*1694.03/10</f>
        <v>252.65644137191944</v>
      </c>
      <c r="K83" s="26"/>
    </row>
    <row r="84" spans="1:11" x14ac:dyDescent="0.25">
      <c r="A84" s="15"/>
      <c r="B84" s="25" t="s">
        <v>31</v>
      </c>
      <c r="C84" s="26"/>
      <c r="D84" s="27"/>
      <c r="E84" s="27"/>
      <c r="F84" s="27"/>
      <c r="G84" s="27"/>
      <c r="H84" s="26"/>
      <c r="I84" s="26"/>
      <c r="J84" s="22">
        <f>0.13*G82*472.02/10</f>
        <v>70.399516806888556</v>
      </c>
      <c r="K84" s="15"/>
    </row>
    <row r="85" spans="1:11" x14ac:dyDescent="0.25">
      <c r="A85" s="15"/>
      <c r="B85" s="25" t="s">
        <v>33</v>
      </c>
      <c r="C85" s="26"/>
      <c r="D85" s="27"/>
      <c r="E85" s="27"/>
      <c r="F85" s="27"/>
      <c r="G85" s="27"/>
      <c r="H85" s="26"/>
      <c r="I85" s="26"/>
      <c r="J85" s="22">
        <f>0.13*G82*1207.6/10</f>
        <v>180.10774224820688</v>
      </c>
      <c r="K85" s="15"/>
    </row>
    <row r="86" spans="1:11" x14ac:dyDescent="0.25">
      <c r="A86" s="15"/>
      <c r="B86" s="15"/>
      <c r="C86" s="15"/>
      <c r="D86" s="15"/>
      <c r="E86" s="15"/>
      <c r="F86" s="15"/>
      <c r="G86" s="15"/>
      <c r="H86" s="15"/>
      <c r="I86" s="15"/>
      <c r="J86" s="15"/>
      <c r="K86" s="15"/>
    </row>
    <row r="87" spans="1:11" ht="30" x14ac:dyDescent="0.25">
      <c r="A87" s="11">
        <v>8</v>
      </c>
      <c r="B87" s="28" t="s">
        <v>52</v>
      </c>
      <c r="C87" s="15"/>
      <c r="D87" s="15"/>
      <c r="E87" s="15"/>
      <c r="F87" s="15"/>
      <c r="G87" s="15"/>
      <c r="H87" s="15"/>
      <c r="I87" s="15"/>
      <c r="J87" s="15"/>
      <c r="K87" s="15"/>
    </row>
    <row r="88" spans="1:11" x14ac:dyDescent="0.25">
      <c r="A88" s="15"/>
      <c r="B88" s="16" t="str">
        <f>B81</f>
        <v>-flooring</v>
      </c>
      <c r="C88" s="15">
        <f>C81</f>
        <v>1</v>
      </c>
      <c r="D88" s="3">
        <f>D81</f>
        <v>3.8607131971959765</v>
      </c>
      <c r="E88" s="3">
        <f>E81</f>
        <v>2.9716549832368178</v>
      </c>
      <c r="F88" s="15"/>
      <c r="G88" s="3">
        <f t="shared" ref="G88:G93" si="22">PRODUCT(C88:F88)</f>
        <v>11.47270761129557</v>
      </c>
      <c r="H88" s="15"/>
      <c r="I88" s="15"/>
      <c r="J88" s="15"/>
      <c r="K88" s="15"/>
    </row>
    <row r="89" spans="1:11" s="10" customFormat="1" x14ac:dyDescent="0.25">
      <c r="A89" s="24"/>
      <c r="B89" s="25" t="str">
        <f t="shared" ref="B89:D91" si="23">B116</f>
        <v>-for wing walls of stand tap</v>
      </c>
      <c r="C89" s="26">
        <f t="shared" si="23"/>
        <v>4</v>
      </c>
      <c r="D89" s="27">
        <f t="shared" si="23"/>
        <v>1.2163181956720512</v>
      </c>
      <c r="E89" s="27"/>
      <c r="F89" s="27">
        <f>F116</f>
        <v>0.6</v>
      </c>
      <c r="G89" s="27">
        <f t="shared" si="22"/>
        <v>2.9191636696129231</v>
      </c>
      <c r="H89" s="26"/>
      <c r="I89" s="26"/>
      <c r="J89" s="26"/>
      <c r="K89" s="26"/>
    </row>
    <row r="90" spans="1:11" s="10" customFormat="1" x14ac:dyDescent="0.25">
      <c r="A90" s="24"/>
      <c r="B90" s="25" t="str">
        <f t="shared" si="23"/>
        <v>-for side wall of stand tap</v>
      </c>
      <c r="C90" s="26">
        <f t="shared" si="23"/>
        <v>1</v>
      </c>
      <c r="D90" s="27">
        <f t="shared" si="23"/>
        <v>1.3197195976836331</v>
      </c>
      <c r="E90" s="27"/>
      <c r="F90" s="27">
        <f>F117</f>
        <v>0.6</v>
      </c>
      <c r="G90" s="27">
        <f t="shared" si="22"/>
        <v>0.79183175861017985</v>
      </c>
      <c r="H90" s="26"/>
      <c r="I90" s="26"/>
      <c r="J90" s="26"/>
      <c r="K90" s="26"/>
    </row>
    <row r="91" spans="1:11" s="10" customFormat="1" x14ac:dyDescent="0.25">
      <c r="A91" s="24"/>
      <c r="B91" s="25" t="str">
        <f t="shared" si="23"/>
        <v>-stand</v>
      </c>
      <c r="C91" s="26">
        <f t="shared" si="23"/>
        <v>1</v>
      </c>
      <c r="D91" s="27">
        <f t="shared" si="23"/>
        <v>0.35659859798841814</v>
      </c>
      <c r="E91" s="27"/>
      <c r="F91" s="27">
        <f>F118</f>
        <v>1.2</v>
      </c>
      <c r="G91" s="27">
        <f t="shared" si="22"/>
        <v>0.42791831758610177</v>
      </c>
      <c r="H91" s="26"/>
      <c r="I91" s="26"/>
      <c r="J91" s="26"/>
      <c r="K91" s="26"/>
    </row>
    <row r="92" spans="1:11" s="10" customFormat="1" x14ac:dyDescent="0.25">
      <c r="A92" s="24"/>
      <c r="B92" s="25"/>
      <c r="C92" s="26">
        <f>C119</f>
        <v>1</v>
      </c>
      <c r="D92" s="27">
        <f>D119</f>
        <v>0.46</v>
      </c>
      <c r="E92" s="27"/>
      <c r="F92" s="27">
        <f>F119</f>
        <v>0.6</v>
      </c>
      <c r="G92" s="27">
        <f t="shared" si="22"/>
        <v>0.27600000000000002</v>
      </c>
      <c r="H92" s="26"/>
      <c r="I92" s="26"/>
      <c r="J92" s="26"/>
      <c r="K92" s="26"/>
    </row>
    <row r="93" spans="1:11" s="10" customFormat="1" x14ac:dyDescent="0.25">
      <c r="A93" s="24"/>
      <c r="B93" s="25" t="s">
        <v>109</v>
      </c>
      <c r="C93" s="26">
        <f>C14</f>
        <v>1</v>
      </c>
      <c r="D93" s="27">
        <f>M10</f>
        <v>1.6763181956720512</v>
      </c>
      <c r="E93" s="27">
        <f>N10</f>
        <v>1.6763181956720512</v>
      </c>
      <c r="F93" s="27"/>
      <c r="G93" s="27">
        <f t="shared" si="22"/>
        <v>2.8100426931412015</v>
      </c>
      <c r="H93" s="26"/>
      <c r="I93" s="26"/>
      <c r="J93" s="26"/>
      <c r="K93" s="26"/>
    </row>
    <row r="94" spans="1:11" s="10" customFormat="1" ht="15" customHeight="1" x14ac:dyDescent="0.25">
      <c r="A94" s="17"/>
      <c r="B94" s="18" t="s">
        <v>16</v>
      </c>
      <c r="C94" s="19"/>
      <c r="D94" s="1"/>
      <c r="E94" s="20"/>
      <c r="F94" s="20"/>
      <c r="G94" s="2">
        <f>SUM(G88:G93)</f>
        <v>18.697664050245976</v>
      </c>
      <c r="H94" s="21" t="s">
        <v>34</v>
      </c>
      <c r="I94" s="2">
        <v>287.32</v>
      </c>
      <c r="J94" s="22">
        <f>G94*I94</f>
        <v>5372.2128349166733</v>
      </c>
      <c r="K94" s="20"/>
    </row>
    <row r="95" spans="1:11" s="10" customFormat="1" x14ac:dyDescent="0.25">
      <c r="A95" s="24"/>
      <c r="B95" s="25" t="s">
        <v>32</v>
      </c>
      <c r="C95" s="26"/>
      <c r="D95" s="27"/>
      <c r="E95" s="27"/>
      <c r="F95" s="27"/>
      <c r="G95" s="27"/>
      <c r="H95" s="26"/>
      <c r="I95" s="26"/>
      <c r="J95" s="22">
        <f>0.13*G94*693.24/10</f>
        <v>168.50559214050276</v>
      </c>
      <c r="K95" s="26"/>
    </row>
    <row r="96" spans="1:11" x14ac:dyDescent="0.25">
      <c r="A96" s="15"/>
      <c r="B96" s="15"/>
      <c r="C96" s="15"/>
      <c r="D96" s="15"/>
      <c r="E96" s="15"/>
      <c r="F96" s="15"/>
      <c r="G96" s="15"/>
      <c r="H96" s="15"/>
      <c r="I96" s="15"/>
      <c r="J96" s="15"/>
      <c r="K96" s="15"/>
    </row>
    <row r="97" spans="1:11" ht="30" x14ac:dyDescent="0.25">
      <c r="A97" s="11">
        <v>9</v>
      </c>
      <c r="B97" s="28" t="s">
        <v>56</v>
      </c>
      <c r="C97" s="15"/>
      <c r="D97" s="15"/>
      <c r="E97" s="15"/>
      <c r="F97" s="15"/>
      <c r="G97" s="15"/>
      <c r="H97" s="15"/>
      <c r="I97" s="15"/>
      <c r="J97" s="15"/>
      <c r="K97" s="15"/>
    </row>
    <row r="98" spans="1:11" x14ac:dyDescent="0.25">
      <c r="A98" s="15"/>
      <c r="B98" s="16" t="s">
        <v>86</v>
      </c>
      <c r="C98" s="45">
        <v>2</v>
      </c>
      <c r="D98" s="3">
        <f>9.75/3.281</f>
        <v>2.9716549832368178</v>
      </c>
      <c r="E98" s="3">
        <v>0.35</v>
      </c>
      <c r="F98" s="3">
        <f>(10-3.5-0.33)/3.281</f>
        <v>1.8805242304175556</v>
      </c>
      <c r="G98" s="3">
        <f t="shared" ref="G98:G101" si="24">PRODUCT(C98:F98)</f>
        <v>3.9117884402925371</v>
      </c>
      <c r="H98" s="15"/>
      <c r="I98" s="15"/>
      <c r="J98" s="15"/>
      <c r="K98" s="15"/>
    </row>
    <row r="99" spans="1:11" x14ac:dyDescent="0.25">
      <c r="A99" s="15"/>
      <c r="B99" s="16"/>
      <c r="C99" s="45">
        <v>2</v>
      </c>
      <c r="D99" s="3">
        <f>15/3.281</f>
        <v>4.5717768972874122</v>
      </c>
      <c r="E99" s="3">
        <v>0.35</v>
      </c>
      <c r="F99" s="3">
        <f>(10-3.5-0.33)/3.281</f>
        <v>1.8805242304175556</v>
      </c>
      <c r="G99" s="3">
        <f t="shared" si="24"/>
        <v>6.0181360619885194</v>
      </c>
      <c r="H99" s="15"/>
      <c r="I99" s="15"/>
      <c r="J99" s="15"/>
      <c r="K99" s="15"/>
    </row>
    <row r="100" spans="1:11" x14ac:dyDescent="0.25">
      <c r="A100" s="15"/>
      <c r="B100" s="16" t="s">
        <v>87</v>
      </c>
      <c r="C100" s="45">
        <v>-1</v>
      </c>
      <c r="D100" s="3">
        <f>1.5</f>
        <v>1.5</v>
      </c>
      <c r="E100" s="3">
        <v>0.35</v>
      </c>
      <c r="F100" s="3">
        <f>(7-3.5)/3.281</f>
        <v>1.0667479427003961</v>
      </c>
      <c r="G100" s="3">
        <f t="shared" ref="G100" si="25">PRODUCT(C100:F100)</f>
        <v>-0.56004266991770779</v>
      </c>
      <c r="H100" s="15"/>
      <c r="I100" s="15"/>
      <c r="J100" s="15"/>
      <c r="K100" s="15"/>
    </row>
    <row r="101" spans="1:11" x14ac:dyDescent="0.25">
      <c r="A101" s="15"/>
      <c r="B101" s="16" t="s">
        <v>58</v>
      </c>
      <c r="C101" s="45">
        <v>-2</v>
      </c>
      <c r="D101" s="3">
        <f>3.5/3.281</f>
        <v>1.0667479427003961</v>
      </c>
      <c r="E101" s="3">
        <v>0.35</v>
      </c>
      <c r="F101" s="3">
        <f>(7-3.5)/3.281</f>
        <v>1.0667479427003961</v>
      </c>
      <c r="G101" s="3">
        <f t="shared" si="24"/>
        <v>-0.79656582127886921</v>
      </c>
      <c r="H101" s="15"/>
      <c r="I101" s="15"/>
      <c r="J101" s="15"/>
      <c r="K101" s="15"/>
    </row>
    <row r="102" spans="1:11" s="10" customFormat="1" x14ac:dyDescent="0.25">
      <c r="A102" s="24"/>
      <c r="B102" s="25" t="s">
        <v>107</v>
      </c>
      <c r="C102" s="49">
        <f>C14*2</f>
        <v>2</v>
      </c>
      <c r="D102" s="27">
        <f>N10-O10*2</f>
        <v>1.2163181956720512</v>
      </c>
      <c r="E102" s="27">
        <f>O10</f>
        <v>0.23</v>
      </c>
      <c r="F102" s="27">
        <f>P10</f>
        <v>0.6</v>
      </c>
      <c r="G102" s="27">
        <f>PRODUCT(C102:F102)</f>
        <v>0.33570382200548615</v>
      </c>
      <c r="H102" s="26"/>
      <c r="I102" s="26"/>
      <c r="J102" s="26"/>
      <c r="K102" s="26"/>
    </row>
    <row r="103" spans="1:11" s="10" customFormat="1" x14ac:dyDescent="0.25">
      <c r="A103" s="24"/>
      <c r="B103" s="25" t="s">
        <v>108</v>
      </c>
      <c r="C103" s="49">
        <f>C14</f>
        <v>1</v>
      </c>
      <c r="D103" s="27">
        <f>M10-R10</f>
        <v>1.3197195976836331</v>
      </c>
      <c r="E103" s="27">
        <f>O10</f>
        <v>0.23</v>
      </c>
      <c r="F103" s="27">
        <f>P10</f>
        <v>0.6</v>
      </c>
      <c r="G103" s="27">
        <f>PRODUCT(C103:F103)</f>
        <v>0.18212130448034136</v>
      </c>
      <c r="H103" s="26"/>
      <c r="I103" s="26"/>
      <c r="J103" s="26"/>
      <c r="K103" s="26"/>
    </row>
    <row r="104" spans="1:11" s="10" customFormat="1" x14ac:dyDescent="0.25">
      <c r="A104" s="24"/>
      <c r="B104" s="25" t="s">
        <v>106</v>
      </c>
      <c r="C104" s="49">
        <f>C14</f>
        <v>1</v>
      </c>
      <c r="D104" s="27">
        <f>R10</f>
        <v>0.35659859798841814</v>
      </c>
      <c r="E104" s="27">
        <f>O10</f>
        <v>0.23</v>
      </c>
      <c r="F104" s="27">
        <f>Q10</f>
        <v>1.2</v>
      </c>
      <c r="G104" s="27">
        <f>PRODUCT(C104:F104)</f>
        <v>9.8421213044803404E-2</v>
      </c>
      <c r="H104" s="26"/>
      <c r="I104" s="26"/>
      <c r="J104" s="26"/>
      <c r="K104" s="26"/>
    </row>
    <row r="105" spans="1:11" s="10" customFormat="1" ht="15" customHeight="1" x14ac:dyDescent="0.25">
      <c r="A105" s="17"/>
      <c r="B105" s="18" t="s">
        <v>16</v>
      </c>
      <c r="C105" s="19"/>
      <c r="D105" s="1"/>
      <c r="E105" s="20"/>
      <c r="F105" s="20"/>
      <c r="G105" s="2">
        <f>SUM(G98:G104)</f>
        <v>9.1895623506151107</v>
      </c>
      <c r="H105" s="21" t="s">
        <v>28</v>
      </c>
      <c r="I105" s="2">
        <f>14491.84</f>
        <v>14491.84</v>
      </c>
      <c r="J105" s="22">
        <f>G105*I105</f>
        <v>133173.66725513808</v>
      </c>
      <c r="K105" s="20"/>
    </row>
    <row r="106" spans="1:11" s="10" customFormat="1" x14ac:dyDescent="0.25">
      <c r="A106" s="24"/>
      <c r="B106" s="25" t="s">
        <v>53</v>
      </c>
      <c r="C106" s="26"/>
      <c r="D106" s="27"/>
      <c r="E106" s="27"/>
      <c r="F106" s="27"/>
      <c r="G106" s="27"/>
      <c r="H106" s="26"/>
      <c r="I106" s="26"/>
      <c r="J106" s="22">
        <f>0.13*G105*8481.2</f>
        <v>10132.007107044796</v>
      </c>
      <c r="K106" s="26"/>
    </row>
    <row r="107" spans="1:11" s="10" customFormat="1" x14ac:dyDescent="0.25">
      <c r="A107" s="24"/>
      <c r="B107" s="25" t="s">
        <v>32</v>
      </c>
      <c r="C107" s="26"/>
      <c r="D107" s="27"/>
      <c r="E107" s="27"/>
      <c r="F107" s="27"/>
      <c r="G107" s="27"/>
      <c r="H107" s="26"/>
      <c r="I107" s="26"/>
      <c r="J107" s="22">
        <f>0.13*G105*912.17</f>
        <v>1089.7176016168762</v>
      </c>
      <c r="K107" s="26"/>
    </row>
    <row r="108" spans="1:11" s="10" customFormat="1" x14ac:dyDescent="0.25">
      <c r="A108" s="24"/>
      <c r="B108" s="25" t="s">
        <v>57</v>
      </c>
      <c r="C108" s="26"/>
      <c r="D108" s="27"/>
      <c r="E108" s="27"/>
      <c r="F108" s="27"/>
      <c r="G108" s="27"/>
      <c r="H108" s="26"/>
      <c r="I108" s="26"/>
      <c r="J108" s="22">
        <f>0.13*G105*953.37</f>
        <v>1138.9368975667708</v>
      </c>
      <c r="K108" s="26"/>
    </row>
    <row r="109" spans="1:11" s="10" customFormat="1" x14ac:dyDescent="0.25">
      <c r="A109" s="24"/>
      <c r="B109" s="25" t="s">
        <v>35</v>
      </c>
      <c r="C109" s="26"/>
      <c r="D109" s="27"/>
      <c r="E109" s="27"/>
      <c r="F109" s="27"/>
      <c r="G109" s="27"/>
      <c r="H109" s="26"/>
      <c r="I109" s="26"/>
      <c r="J109" s="22">
        <f>0.13*G105*28</f>
        <v>33.450006956239008</v>
      </c>
      <c r="K109" s="26"/>
    </row>
    <row r="110" spans="1:11" x14ac:dyDescent="0.25">
      <c r="A110" s="15"/>
      <c r="B110" s="15"/>
      <c r="C110" s="15"/>
      <c r="D110" s="15"/>
      <c r="E110" s="15"/>
      <c r="F110" s="15"/>
      <c r="G110" s="15"/>
      <c r="H110" s="15"/>
      <c r="I110" s="15"/>
      <c r="J110" s="15"/>
      <c r="K110" s="15"/>
    </row>
    <row r="111" spans="1:11" ht="30" x14ac:dyDescent="0.25">
      <c r="A111" s="11">
        <v>10</v>
      </c>
      <c r="B111" s="28" t="s">
        <v>51</v>
      </c>
      <c r="C111" s="15"/>
      <c r="D111" s="15"/>
      <c r="E111" s="15"/>
      <c r="F111" s="15"/>
      <c r="G111" s="15"/>
      <c r="H111" s="15"/>
      <c r="I111" s="15"/>
      <c r="J111" s="15"/>
      <c r="K111" s="15"/>
    </row>
    <row r="112" spans="1:11" x14ac:dyDescent="0.25">
      <c r="A112" s="15"/>
      <c r="B112" s="16" t="str">
        <f>B98</f>
        <v>-for wall continue</v>
      </c>
      <c r="C112" s="45">
        <v>1</v>
      </c>
      <c r="D112" s="3">
        <f>(15*2+(9.75+1.17*2)*2)/3.281</f>
        <v>16.513258153002134</v>
      </c>
      <c r="E112" s="3"/>
      <c r="F112" s="3">
        <f>10/3.281</f>
        <v>3.047851264858275</v>
      </c>
      <c r="G112" s="3">
        <f>PRODUCT(C112:F112)</f>
        <v>50.329954748558777</v>
      </c>
      <c r="H112" s="15"/>
      <c r="I112" s="15"/>
      <c r="J112" s="15"/>
      <c r="K112" s="15"/>
    </row>
    <row r="113" spans="1:11" x14ac:dyDescent="0.25">
      <c r="A113" s="15"/>
      <c r="B113" s="16"/>
      <c r="C113" s="45">
        <v>1</v>
      </c>
      <c r="D113" s="3">
        <f>((15-1.17*2)*2+(9.75*2))/3.281</f>
        <v>13.660469369094788</v>
      </c>
      <c r="E113" s="3"/>
      <c r="F113" s="3">
        <f>10/3.281</f>
        <v>3.047851264858275</v>
      </c>
      <c r="G113" s="3">
        <f>PRODUCT(C113:F113)</f>
        <v>41.635078845153267</v>
      </c>
      <c r="H113" s="15"/>
      <c r="I113" s="15"/>
      <c r="J113" s="15"/>
      <c r="K113" s="15"/>
    </row>
    <row r="114" spans="1:11" x14ac:dyDescent="0.25">
      <c r="A114" s="15"/>
      <c r="B114" s="16" t="str">
        <f>B100</f>
        <v>-deduction for door</v>
      </c>
      <c r="C114" s="45">
        <f>2*C100</f>
        <v>-2</v>
      </c>
      <c r="D114" s="3">
        <f>D100</f>
        <v>1.5</v>
      </c>
      <c r="E114" s="3"/>
      <c r="F114" s="3">
        <f>7/3.281</f>
        <v>2.1334958854007922</v>
      </c>
      <c r="G114" s="3">
        <f t="shared" ref="G114" si="26">PRODUCT(C114:F114)</f>
        <v>-6.400487656202376</v>
      </c>
      <c r="H114" s="15"/>
      <c r="I114" s="15"/>
      <c r="J114" s="15"/>
      <c r="K114" s="15"/>
    </row>
    <row r="115" spans="1:11" x14ac:dyDescent="0.25">
      <c r="A115" s="15"/>
      <c r="B115" s="16" t="str">
        <f>B101</f>
        <v>-deduction for window</v>
      </c>
      <c r="C115" s="45">
        <f>2*C101</f>
        <v>-4</v>
      </c>
      <c r="D115" s="3">
        <f>D101</f>
        <v>1.0667479427003961</v>
      </c>
      <c r="E115" s="3"/>
      <c r="F115" s="3">
        <f>F101</f>
        <v>1.0667479427003961</v>
      </c>
      <c r="G115" s="3">
        <f t="shared" ref="G115" si="27">PRODUCT(C115:F115)</f>
        <v>-4.5518046930221097</v>
      </c>
      <c r="H115" s="15"/>
      <c r="I115" s="15"/>
      <c r="J115" s="15"/>
      <c r="K115" s="15"/>
    </row>
    <row r="116" spans="1:11" s="10" customFormat="1" x14ac:dyDescent="0.25">
      <c r="A116" s="24"/>
      <c r="B116" s="25" t="str">
        <f>B102</f>
        <v>-for wing walls of stand tap</v>
      </c>
      <c r="C116" s="26">
        <f>C14*4</f>
        <v>4</v>
      </c>
      <c r="D116" s="27">
        <f>M10-O10*2</f>
        <v>1.2163181956720512</v>
      </c>
      <c r="E116" s="27"/>
      <c r="F116" s="27">
        <f>P10</f>
        <v>0.6</v>
      </c>
      <c r="G116" s="27">
        <f>PRODUCT(C116:F116)</f>
        <v>2.9191636696129231</v>
      </c>
      <c r="H116" s="26"/>
      <c r="I116" s="26"/>
      <c r="J116" s="26"/>
      <c r="K116" s="26"/>
    </row>
    <row r="117" spans="1:11" s="10" customFormat="1" x14ac:dyDescent="0.25">
      <c r="A117" s="24"/>
      <c r="B117" s="25" t="str">
        <f>B103</f>
        <v>-for side wall of stand tap</v>
      </c>
      <c r="C117" s="26">
        <f>C14</f>
        <v>1</v>
      </c>
      <c r="D117" s="27">
        <f>M10-R10</f>
        <v>1.3197195976836331</v>
      </c>
      <c r="E117" s="27"/>
      <c r="F117" s="27">
        <f>P10</f>
        <v>0.6</v>
      </c>
      <c r="G117" s="27">
        <f>PRODUCT(C117:F117)</f>
        <v>0.79183175861017985</v>
      </c>
      <c r="H117" s="26"/>
      <c r="I117" s="26"/>
      <c r="J117" s="26"/>
      <c r="K117" s="26"/>
    </row>
    <row r="118" spans="1:11" s="10" customFormat="1" x14ac:dyDescent="0.25">
      <c r="A118" s="24"/>
      <c r="B118" s="25" t="s">
        <v>114</v>
      </c>
      <c r="C118" s="26">
        <f>C14</f>
        <v>1</v>
      </c>
      <c r="D118" s="27">
        <f>R10</f>
        <v>0.35659859798841814</v>
      </c>
      <c r="E118" s="27"/>
      <c r="F118" s="27">
        <f>Q10</f>
        <v>1.2</v>
      </c>
      <c r="G118" s="27">
        <f>PRODUCT(C118:F118)</f>
        <v>0.42791831758610177</v>
      </c>
      <c r="H118" s="26"/>
      <c r="I118" s="26"/>
      <c r="J118" s="26"/>
      <c r="K118" s="26"/>
    </row>
    <row r="119" spans="1:11" s="10" customFormat="1" x14ac:dyDescent="0.25">
      <c r="A119" s="24"/>
      <c r="B119" s="25"/>
      <c r="C119" s="26">
        <f>C118</f>
        <v>1</v>
      </c>
      <c r="D119" s="27">
        <f>O10*2</f>
        <v>0.46</v>
      </c>
      <c r="E119" s="27"/>
      <c r="F119" s="27">
        <f>Q10-P10</f>
        <v>0.6</v>
      </c>
      <c r="G119" s="27">
        <f>PRODUCT(C119:F119)</f>
        <v>0.27600000000000002</v>
      </c>
      <c r="H119" s="26"/>
      <c r="I119" s="26"/>
      <c r="J119" s="26"/>
      <c r="K119" s="26"/>
    </row>
    <row r="120" spans="1:11" s="10" customFormat="1" ht="15" customHeight="1" x14ac:dyDescent="0.25">
      <c r="A120" s="17"/>
      <c r="B120" s="18" t="s">
        <v>16</v>
      </c>
      <c r="C120" s="19"/>
      <c r="D120" s="1"/>
      <c r="E120" s="20"/>
      <c r="F120" s="20"/>
      <c r="G120" s="2">
        <f>SUM(G112:G119)</f>
        <v>85.427654990296773</v>
      </c>
      <c r="H120" s="21" t="s">
        <v>34</v>
      </c>
      <c r="I120" s="2">
        <v>415.5</v>
      </c>
      <c r="J120" s="22">
        <f>G120*I120</f>
        <v>35495.190648468306</v>
      </c>
      <c r="K120" s="20"/>
    </row>
    <row r="121" spans="1:11" s="10" customFormat="1" x14ac:dyDescent="0.25">
      <c r="A121" s="24"/>
      <c r="B121" s="25" t="s">
        <v>32</v>
      </c>
      <c r="C121" s="26"/>
      <c r="D121" s="27"/>
      <c r="E121" s="27"/>
      <c r="F121" s="27"/>
      <c r="G121" s="27"/>
      <c r="H121" s="26"/>
      <c r="I121" s="26"/>
      <c r="J121" s="22">
        <f>0.13*G120*7010.67/100</f>
        <v>778.57662741407114</v>
      </c>
      <c r="K121" s="26"/>
    </row>
    <row r="122" spans="1:11" x14ac:dyDescent="0.25">
      <c r="A122" s="15"/>
      <c r="B122" s="25" t="s">
        <v>31</v>
      </c>
      <c r="C122" s="26"/>
      <c r="D122" s="27"/>
      <c r="E122" s="27"/>
      <c r="F122" s="27"/>
      <c r="G122" s="27"/>
      <c r="H122" s="26"/>
      <c r="I122" s="26"/>
      <c r="J122" s="22">
        <f>0.13*G120*4639.73/100</f>
        <v>515.26962979456857</v>
      </c>
      <c r="K122" s="15"/>
    </row>
    <row r="123" spans="1:11" x14ac:dyDescent="0.25">
      <c r="A123" s="15"/>
      <c r="B123" s="15"/>
      <c r="C123" s="15"/>
      <c r="D123" s="15"/>
      <c r="E123" s="15"/>
      <c r="F123" s="15"/>
      <c r="G123" s="15"/>
      <c r="H123" s="15"/>
      <c r="I123" s="15"/>
      <c r="J123" s="15"/>
      <c r="K123" s="15"/>
    </row>
    <row r="124" spans="1:11" ht="30" x14ac:dyDescent="0.25">
      <c r="A124" s="11">
        <v>11</v>
      </c>
      <c r="B124" s="28" t="s">
        <v>59</v>
      </c>
      <c r="C124" s="15"/>
      <c r="D124" s="15"/>
      <c r="E124" s="15"/>
      <c r="F124" s="15"/>
      <c r="G124" s="15"/>
      <c r="H124" s="15"/>
      <c r="I124" s="15"/>
      <c r="J124" s="15"/>
      <c r="K124" s="15"/>
    </row>
    <row r="125" spans="1:11" x14ac:dyDescent="0.25">
      <c r="A125" s="15"/>
      <c r="B125" s="16" t="s">
        <v>85</v>
      </c>
      <c r="C125" s="3">
        <f>C112</f>
        <v>1</v>
      </c>
      <c r="D125" s="3"/>
      <c r="E125" s="3"/>
      <c r="F125" s="3"/>
      <c r="G125" s="3">
        <f>SUM(G112:G115)</f>
        <v>81.012741244487557</v>
      </c>
      <c r="H125" s="15"/>
      <c r="I125" s="15"/>
      <c r="J125" s="15"/>
      <c r="K125" s="15"/>
    </row>
    <row r="126" spans="1:11" s="10" customFormat="1" ht="15" customHeight="1" x14ac:dyDescent="0.25">
      <c r="A126" s="17"/>
      <c r="B126" s="18" t="s">
        <v>16</v>
      </c>
      <c r="C126" s="19"/>
      <c r="D126" s="1"/>
      <c r="E126" s="20"/>
      <c r="F126" s="20"/>
      <c r="G126" s="2">
        <f>SUM(G125:G125)</f>
        <v>81.012741244487557</v>
      </c>
      <c r="H126" s="21" t="s">
        <v>34</v>
      </c>
      <c r="I126" s="2">
        <v>253.8</v>
      </c>
      <c r="J126" s="22">
        <f>G126*I126</f>
        <v>20561.033727850943</v>
      </c>
      <c r="K126" s="20"/>
    </row>
    <row r="127" spans="1:11" s="10" customFormat="1" x14ac:dyDescent="0.25">
      <c r="A127" s="24"/>
      <c r="B127" s="25" t="s">
        <v>60</v>
      </c>
      <c r="C127" s="26"/>
      <c r="D127" s="27"/>
      <c r="E127" s="27"/>
      <c r="F127" s="27"/>
      <c r="G127" s="27"/>
      <c r="H127" s="26"/>
      <c r="I127" s="26"/>
      <c r="J127" s="22">
        <f>0.13*G126*2304/100</f>
        <v>242.64936257548914</v>
      </c>
      <c r="K127" s="26"/>
    </row>
    <row r="128" spans="1:11" s="10" customFormat="1" x14ac:dyDescent="0.25">
      <c r="A128" s="24"/>
      <c r="B128" s="25" t="s">
        <v>61</v>
      </c>
      <c r="C128" s="26"/>
      <c r="D128" s="27"/>
      <c r="E128" s="27"/>
      <c r="F128" s="27"/>
      <c r="G128" s="27"/>
      <c r="H128" s="26"/>
      <c r="I128" s="26"/>
      <c r="J128" s="22">
        <f>0.13*G126*10432/100</f>
        <v>1098.6623916612425</v>
      </c>
      <c r="K128" s="26"/>
    </row>
    <row r="129" spans="1:11" s="10" customFormat="1" x14ac:dyDescent="0.25">
      <c r="A129" s="24"/>
      <c r="B129" s="25"/>
      <c r="C129" s="26"/>
      <c r="D129" s="27"/>
      <c r="E129" s="27"/>
      <c r="F129" s="27"/>
      <c r="G129" s="27"/>
      <c r="H129" s="26"/>
      <c r="I129" s="26"/>
      <c r="J129" s="22"/>
      <c r="K129" s="26"/>
    </row>
    <row r="130" spans="1:11" s="10" customFormat="1" ht="45" x14ac:dyDescent="0.25">
      <c r="A130" s="24">
        <v>12</v>
      </c>
      <c r="B130" s="30" t="s">
        <v>96</v>
      </c>
      <c r="C130" s="26"/>
      <c r="D130" s="27"/>
      <c r="E130" s="27"/>
      <c r="F130" s="27"/>
      <c r="G130" s="27"/>
      <c r="H130" s="26"/>
      <c r="I130" s="26"/>
      <c r="J130" s="22"/>
      <c r="K130" s="26"/>
    </row>
    <row r="131" spans="1:11" x14ac:dyDescent="0.25">
      <c r="A131" s="15"/>
      <c r="B131" s="16" t="s">
        <v>97</v>
      </c>
      <c r="C131" s="3">
        <v>1</v>
      </c>
      <c r="D131" s="3">
        <f>D100</f>
        <v>1.5</v>
      </c>
      <c r="E131" s="3"/>
      <c r="F131" s="3">
        <f>F100</f>
        <v>1.0667479427003961</v>
      </c>
      <c r="G131" s="3">
        <f>PRODUCT(C131:F131)</f>
        <v>1.600121914050594</v>
      </c>
      <c r="H131" s="15"/>
      <c r="I131" s="15"/>
      <c r="J131" s="15"/>
      <c r="K131" s="15"/>
    </row>
    <row r="132" spans="1:11" x14ac:dyDescent="0.25">
      <c r="A132" s="15"/>
      <c r="B132" s="16" t="s">
        <v>98</v>
      </c>
      <c r="C132" s="3">
        <v>2</v>
      </c>
      <c r="D132" s="3">
        <f>D101</f>
        <v>1.0667479427003961</v>
      </c>
      <c r="E132" s="3"/>
      <c r="F132" s="3">
        <f>F101</f>
        <v>1.0667479427003961</v>
      </c>
      <c r="G132" s="3">
        <f>PRODUCT(C132:F132)</f>
        <v>2.2759023465110548</v>
      </c>
      <c r="H132" s="15"/>
      <c r="I132" s="15"/>
      <c r="J132" s="15"/>
      <c r="K132" s="15"/>
    </row>
    <row r="133" spans="1:11" s="10" customFormat="1" ht="15" customHeight="1" x14ac:dyDescent="0.25">
      <c r="A133" s="17"/>
      <c r="B133" s="18" t="s">
        <v>16</v>
      </c>
      <c r="C133" s="19"/>
      <c r="D133" s="1"/>
      <c r="E133" s="20"/>
      <c r="F133" s="20"/>
      <c r="G133" s="2">
        <f>SUM(G131:G132)</f>
        <v>3.8760242605616488</v>
      </c>
      <c r="H133" s="21" t="s">
        <v>34</v>
      </c>
      <c r="I133" s="2">
        <v>37363.64</v>
      </c>
      <c r="J133" s="22">
        <f>G133*I133</f>
        <v>144822.37510289164</v>
      </c>
      <c r="K133" s="20"/>
    </row>
    <row r="134" spans="1:11" s="10" customFormat="1" x14ac:dyDescent="0.25">
      <c r="A134" s="24"/>
      <c r="B134" s="25" t="s">
        <v>99</v>
      </c>
      <c r="C134" s="26"/>
      <c r="D134" s="27"/>
      <c r="E134" s="27"/>
      <c r="F134" s="27"/>
      <c r="G134" s="27"/>
      <c r="H134" s="26"/>
      <c r="I134" s="26"/>
      <c r="J134" s="22">
        <f>0.13*G133*7910.91/0.92</f>
        <v>4332.7981313104001</v>
      </c>
      <c r="K134" s="26"/>
    </row>
    <row r="135" spans="1:11" s="10" customFormat="1" x14ac:dyDescent="0.25">
      <c r="A135" s="24"/>
      <c r="B135" s="25"/>
      <c r="C135" s="26"/>
      <c r="D135" s="27"/>
      <c r="E135" s="27"/>
      <c r="F135" s="27"/>
      <c r="G135" s="27"/>
      <c r="H135" s="26"/>
      <c r="I135" s="26"/>
      <c r="J135" s="22"/>
      <c r="K135" s="26"/>
    </row>
    <row r="136" spans="1:11" s="10" customFormat="1" ht="30" x14ac:dyDescent="0.25">
      <c r="A136" s="24">
        <v>13</v>
      </c>
      <c r="B136" s="50" t="s">
        <v>110</v>
      </c>
      <c r="C136" s="26"/>
      <c r="D136" s="26"/>
      <c r="E136" s="26"/>
      <c r="F136" s="26"/>
      <c r="G136" s="26"/>
      <c r="H136" s="26"/>
      <c r="I136" s="26"/>
      <c r="J136" s="26"/>
      <c r="K136" s="26"/>
    </row>
    <row r="137" spans="1:11" s="10" customFormat="1" x14ac:dyDescent="0.25">
      <c r="A137" s="24"/>
      <c r="B137" s="25" t="s">
        <v>111</v>
      </c>
      <c r="C137" s="26">
        <v>1</v>
      </c>
      <c r="D137" s="27">
        <f>Q10</f>
        <v>1.2</v>
      </c>
      <c r="E137" s="26"/>
      <c r="F137" s="26"/>
      <c r="G137" s="27">
        <f t="shared" ref="G137" si="28">PRODUCT(C137:F137)</f>
        <v>1.2</v>
      </c>
      <c r="H137" s="26"/>
      <c r="I137" s="26"/>
      <c r="J137" s="22"/>
      <c r="K137" s="26"/>
    </row>
    <row r="138" spans="1:11" s="44" customFormat="1" x14ac:dyDescent="0.25">
      <c r="A138" s="17"/>
      <c r="B138" s="55" t="s">
        <v>112</v>
      </c>
      <c r="C138" s="19"/>
      <c r="D138" s="1"/>
      <c r="E138" s="20"/>
      <c r="F138" s="20"/>
      <c r="G138" s="56">
        <f>SUM(G137:G137)</f>
        <v>1.2</v>
      </c>
      <c r="H138" s="21" t="s">
        <v>82</v>
      </c>
      <c r="I138" s="2">
        <v>248</v>
      </c>
      <c r="J138" s="56">
        <f>G138*I138</f>
        <v>297.59999999999997</v>
      </c>
      <c r="K138" s="20"/>
    </row>
    <row r="139" spans="1:11" s="10" customFormat="1" x14ac:dyDescent="0.25">
      <c r="A139" s="24"/>
      <c r="B139" s="25" t="s">
        <v>113</v>
      </c>
      <c r="C139" s="26"/>
      <c r="D139" s="26"/>
      <c r="E139" s="26"/>
      <c r="F139" s="26"/>
      <c r="G139" s="26"/>
      <c r="H139" s="26"/>
      <c r="I139" s="26"/>
      <c r="J139" s="22">
        <f>0.13*J138</f>
        <v>38.687999999999995</v>
      </c>
      <c r="K139" s="26"/>
    </row>
    <row r="140" spans="1:11" s="10" customFormat="1" x14ac:dyDescent="0.25">
      <c r="A140" s="24"/>
      <c r="B140" s="50"/>
      <c r="C140" s="26"/>
      <c r="D140" s="26"/>
      <c r="E140" s="26"/>
      <c r="F140" s="26"/>
      <c r="G140" s="26"/>
      <c r="H140" s="26"/>
      <c r="I140" s="26"/>
      <c r="J140" s="26"/>
      <c r="K140" s="26"/>
    </row>
    <row r="141" spans="1:11" s="10" customFormat="1" ht="30" x14ac:dyDescent="0.25">
      <c r="A141" s="17">
        <v>14</v>
      </c>
      <c r="B141" s="30" t="s">
        <v>83</v>
      </c>
      <c r="C141" s="19">
        <v>1</v>
      </c>
      <c r="D141" s="1"/>
      <c r="E141" s="20"/>
      <c r="F141" s="20"/>
      <c r="G141" s="21">
        <f t="shared" ref="G141" si="29">PRODUCT(C141:F141)</f>
        <v>1</v>
      </c>
      <c r="H141" s="21" t="s">
        <v>30</v>
      </c>
      <c r="I141" s="2">
        <v>5000</v>
      </c>
      <c r="J141" s="21">
        <f>G141*I141</f>
        <v>5000</v>
      </c>
      <c r="K141" s="20"/>
    </row>
    <row r="142" spans="1:11" s="10" customFormat="1" x14ac:dyDescent="0.25">
      <c r="A142" s="17"/>
      <c r="B142" s="31"/>
      <c r="C142" s="19"/>
      <c r="D142" s="1"/>
      <c r="E142" s="20"/>
      <c r="F142" s="20"/>
      <c r="G142" s="2"/>
      <c r="H142" s="21"/>
      <c r="I142" s="2"/>
      <c r="J142" s="22"/>
      <c r="K142" s="20"/>
    </row>
    <row r="143" spans="1:11" s="10" customFormat="1" ht="15" customHeight="1" x14ac:dyDescent="0.25">
      <c r="A143" s="17">
        <v>15</v>
      </c>
      <c r="B143" s="30" t="s">
        <v>17</v>
      </c>
      <c r="C143" s="19">
        <v>1</v>
      </c>
      <c r="D143" s="1"/>
      <c r="E143" s="20"/>
      <c r="F143" s="20"/>
      <c r="G143" s="21">
        <f t="shared" ref="G143" si="30">PRODUCT(C143:F143)</f>
        <v>1</v>
      </c>
      <c r="H143" s="21" t="s">
        <v>18</v>
      </c>
      <c r="I143" s="2">
        <v>500</v>
      </c>
      <c r="J143" s="21">
        <f>G143*I143</f>
        <v>500</v>
      </c>
      <c r="K143" s="20"/>
    </row>
    <row r="144" spans="1:11" s="10" customFormat="1" x14ac:dyDescent="0.25">
      <c r="A144" s="17"/>
      <c r="B144" s="31"/>
      <c r="C144" s="19"/>
      <c r="D144" s="1"/>
      <c r="E144" s="20"/>
      <c r="F144" s="20"/>
      <c r="G144" s="2"/>
      <c r="H144" s="21"/>
      <c r="I144" s="2"/>
      <c r="J144" s="22"/>
      <c r="K144" s="20"/>
    </row>
    <row r="145" spans="1:11" s="10" customFormat="1" x14ac:dyDescent="0.25">
      <c r="A145" s="32"/>
      <c r="B145" s="33" t="s">
        <v>20</v>
      </c>
      <c r="C145" s="34"/>
      <c r="D145" s="35"/>
      <c r="E145" s="35"/>
      <c r="F145" s="35"/>
      <c r="G145" s="22"/>
      <c r="H145" s="22"/>
      <c r="I145" s="22"/>
      <c r="J145" s="22">
        <f>SUM(J19:J143)</f>
        <v>535761.86997382692</v>
      </c>
      <c r="K145" s="36"/>
    </row>
    <row r="146" spans="1:11" s="10" customFormat="1" x14ac:dyDescent="0.25"/>
    <row r="147" spans="1:11" s="44" customFormat="1" x14ac:dyDescent="0.25">
      <c r="A147" s="37"/>
      <c r="B147" s="38" t="s">
        <v>19</v>
      </c>
      <c r="C147" s="69">
        <f>J145</f>
        <v>535761.86997382692</v>
      </c>
      <c r="D147" s="70"/>
      <c r="E147" s="39">
        <v>100</v>
      </c>
      <c r="F147" s="37"/>
      <c r="G147" s="40"/>
      <c r="H147" s="37"/>
      <c r="I147" s="41"/>
      <c r="J147" s="42"/>
      <c r="K147" s="43"/>
    </row>
    <row r="148" spans="1:11" s="10" customFormat="1" x14ac:dyDescent="0.25">
      <c r="B148" s="38" t="s">
        <v>21</v>
      </c>
      <c r="C148" s="73">
        <v>700000</v>
      </c>
      <c r="D148" s="74"/>
      <c r="E148" s="39"/>
    </row>
    <row r="149" spans="1:11" s="10" customFormat="1" x14ac:dyDescent="0.25">
      <c r="B149" s="38" t="s">
        <v>22</v>
      </c>
      <c r="C149" s="73">
        <f>C148-C151-C152</f>
        <v>665000</v>
      </c>
      <c r="D149" s="74"/>
      <c r="E149" s="39">
        <f>C149/C147*100</f>
        <v>124.12230829948511</v>
      </c>
    </row>
    <row r="150" spans="1:11" s="10" customFormat="1" x14ac:dyDescent="0.25">
      <c r="B150" s="38" t="s">
        <v>26</v>
      </c>
      <c r="C150" s="75">
        <f>C147-C149</f>
        <v>-129238.13002617308</v>
      </c>
      <c r="D150" s="75"/>
      <c r="E150" s="39">
        <f>100-E149</f>
        <v>-24.122308299485113</v>
      </c>
    </row>
    <row r="151" spans="1:11" s="10" customFormat="1" x14ac:dyDescent="0.25">
      <c r="B151" s="38" t="s">
        <v>23</v>
      </c>
      <c r="C151" s="69">
        <f>C148*0.03</f>
        <v>21000</v>
      </c>
      <c r="D151" s="70"/>
      <c r="E151" s="39">
        <v>3</v>
      </c>
    </row>
    <row r="152" spans="1:11" s="10" customFormat="1" x14ac:dyDescent="0.25">
      <c r="B152" s="38" t="s">
        <v>24</v>
      </c>
      <c r="C152" s="69">
        <f>C148*0.02</f>
        <v>14000</v>
      </c>
      <c r="D152" s="70"/>
      <c r="E152" s="39">
        <v>2</v>
      </c>
    </row>
  </sheetData>
  <mergeCells count="15">
    <mergeCell ref="C151:D151"/>
    <mergeCell ref="C152:D152"/>
    <mergeCell ref="A7:F7"/>
    <mergeCell ref="H7:K7"/>
    <mergeCell ref="C147:D147"/>
    <mergeCell ref="C148:D148"/>
    <mergeCell ref="C149:D149"/>
    <mergeCell ref="C150:D150"/>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80" t="s">
        <v>63</v>
      </c>
      <c r="C2" s="80"/>
      <c r="D2" s="80"/>
      <c r="E2" s="80" t="s">
        <v>67</v>
      </c>
      <c r="F2" s="80"/>
      <c r="G2" s="80"/>
      <c r="H2" s="81" t="s">
        <v>64</v>
      </c>
      <c r="I2" s="81"/>
      <c r="J2" s="81"/>
      <c r="K2" s="77" t="s">
        <v>70</v>
      </c>
      <c r="L2" s="78"/>
      <c r="M2" s="78"/>
      <c r="N2" s="79"/>
      <c r="O2" s="77" t="s">
        <v>77</v>
      </c>
      <c r="P2" s="78"/>
      <c r="Q2" s="79"/>
      <c r="R2" s="76" t="s">
        <v>75</v>
      </c>
      <c r="S2" s="76"/>
      <c r="T2" s="76"/>
      <c r="U2" s="76" t="s">
        <v>75</v>
      </c>
      <c r="V2" s="76"/>
      <c r="W2" s="76"/>
    </row>
    <row r="3" spans="2:23" s="48" customFormat="1" ht="45" x14ac:dyDescent="0.25">
      <c r="B3" s="47" t="s">
        <v>8</v>
      </c>
      <c r="C3" s="47" t="s">
        <v>9</v>
      </c>
      <c r="D3" s="47" t="s">
        <v>66</v>
      </c>
      <c r="E3" s="47" t="s">
        <v>68</v>
      </c>
      <c r="F3" s="47" t="s">
        <v>69</v>
      </c>
      <c r="G3" s="47" t="s">
        <v>65</v>
      </c>
      <c r="H3" s="47" t="s">
        <v>8</v>
      </c>
      <c r="I3" s="47" t="s">
        <v>9</v>
      </c>
      <c r="J3" s="47" t="s">
        <v>66</v>
      </c>
      <c r="K3" s="47" t="s">
        <v>71</v>
      </c>
      <c r="L3" s="47" t="s">
        <v>73</v>
      </c>
      <c r="M3" s="47" t="s">
        <v>72</v>
      </c>
      <c r="N3" s="47" t="s">
        <v>74</v>
      </c>
      <c r="O3" s="47" t="s">
        <v>78</v>
      </c>
      <c r="P3" s="47" t="s">
        <v>80</v>
      </c>
      <c r="Q3" s="47" t="s">
        <v>79</v>
      </c>
      <c r="R3" s="47" t="s">
        <v>8</v>
      </c>
      <c r="S3" s="47" t="s">
        <v>76</v>
      </c>
      <c r="T3" s="47" t="s">
        <v>10</v>
      </c>
      <c r="U3" s="47" t="s">
        <v>8</v>
      </c>
      <c r="V3" s="47" t="s">
        <v>76</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93"/>
  <sheetViews>
    <sheetView topLeftCell="A173" zoomScaleNormal="100" workbookViewId="0">
      <selection activeCell="I194" sqref="I194"/>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8.17/3.281</f>
        <v>2.4900944833892105</v>
      </c>
      <c r="E34" s="3">
        <v>0.23</v>
      </c>
      <c r="F34" s="3">
        <v>0.23</v>
      </c>
      <c r="G34" s="3">
        <f t="shared" si="1"/>
        <v>0.26345199634257849</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((18.25+8.17)/2)/3.281</f>
        <v>4.0262115208777809</v>
      </c>
      <c r="E36" s="3">
        <f>6.17/3.281</f>
        <v>1.8805242304175556</v>
      </c>
      <c r="F36" s="3">
        <v>7.4999999999999997E-2</v>
      </c>
      <c r="G36" s="3">
        <f t="shared" si="1"/>
        <v>1.1357082482695477</v>
      </c>
      <c r="H36" s="15"/>
      <c r="I36" s="15"/>
      <c r="J36" s="15"/>
      <c r="K36" s="15"/>
    </row>
    <row r="37" spans="1:11" x14ac:dyDescent="0.25">
      <c r="A37" s="15"/>
      <c r="B37" s="16"/>
      <c r="C37" s="45">
        <v>2</v>
      </c>
      <c r="D37" s="3">
        <f>((15.25+5.25)/2)/3.281</f>
        <v>3.1240475464797317</v>
      </c>
      <c r="E37" s="3">
        <f>6.33/3.281</f>
        <v>1.929289850655288</v>
      </c>
      <c r="F37" s="3">
        <v>7.4999999999999997E-2</v>
      </c>
      <c r="G37" s="3">
        <f t="shared" si="1"/>
        <v>0.90407898365818506</v>
      </c>
      <c r="H37" s="15"/>
      <c r="I37" s="15"/>
      <c r="J37" s="15"/>
      <c r="K37" s="15"/>
    </row>
    <row r="38" spans="1:11" x14ac:dyDescent="0.25">
      <c r="A38" s="15"/>
      <c r="B38" s="16" t="s">
        <v>93</v>
      </c>
      <c r="C38" s="45">
        <v>4</v>
      </c>
      <c r="D38" s="3">
        <v>0.23</v>
      </c>
      <c r="E38" s="3">
        <v>0.23</v>
      </c>
      <c r="F38" s="3">
        <f>(2.25-0.5)/3.281</f>
        <v>0.53337397135019804</v>
      </c>
      <c r="G38" s="3">
        <f t="shared" si="1"/>
        <v>0.11286193233770191</v>
      </c>
      <c r="H38" s="15"/>
      <c r="I38" s="15"/>
      <c r="J38" s="15"/>
      <c r="K38" s="15"/>
    </row>
    <row r="39" spans="1:11" s="10" customFormat="1" ht="15" customHeight="1" x14ac:dyDescent="0.25">
      <c r="A39" s="17"/>
      <c r="B39" s="18" t="s">
        <v>16</v>
      </c>
      <c r="C39" s="19"/>
      <c r="D39" s="1"/>
      <c r="E39" s="20"/>
      <c r="F39" s="20"/>
      <c r="G39" s="2">
        <f>SUM(G32:G38)</f>
        <v>4.2299536446067938</v>
      </c>
      <c r="H39" s="21" t="s">
        <v>28</v>
      </c>
      <c r="I39" s="2">
        <v>13957.29</v>
      </c>
      <c r="J39" s="22">
        <f>G39*I39</f>
        <v>59038.689704333963</v>
      </c>
      <c r="K39" s="20"/>
    </row>
    <row r="40" spans="1:11" s="10" customFormat="1" x14ac:dyDescent="0.25">
      <c r="A40" s="24"/>
      <c r="B40" s="25" t="s">
        <v>32</v>
      </c>
      <c r="C40" s="26"/>
      <c r="D40" s="27"/>
      <c r="E40" s="27"/>
      <c r="F40" s="27"/>
      <c r="G40" s="27"/>
      <c r="H40" s="26"/>
      <c r="I40" s="26"/>
      <c r="J40" s="22">
        <f>0.13*G39*5212.4</f>
        <v>2866.2673490292982</v>
      </c>
      <c r="K40" s="26"/>
    </row>
    <row r="41" spans="1:11" s="10" customFormat="1" x14ac:dyDescent="0.25">
      <c r="A41" s="24"/>
      <c r="B41" s="25" t="s">
        <v>33</v>
      </c>
      <c r="C41" s="26"/>
      <c r="D41" s="27"/>
      <c r="E41" s="27"/>
      <c r="F41" s="27"/>
      <c r="G41" s="27"/>
      <c r="H41" s="26"/>
      <c r="I41" s="26"/>
      <c r="J41" s="22">
        <f>0.13*G39*(1912.03+921.59)</f>
        <v>1558.1905620359912</v>
      </c>
      <c r="K41" s="26"/>
    </row>
    <row r="42" spans="1:11" s="10" customFormat="1" x14ac:dyDescent="0.25">
      <c r="A42" s="24"/>
      <c r="B42" s="25" t="s">
        <v>31</v>
      </c>
      <c r="C42" s="26"/>
      <c r="D42" s="27"/>
      <c r="E42" s="27"/>
      <c r="F42" s="27"/>
      <c r="G42" s="27"/>
      <c r="H42" s="26"/>
      <c r="I42" s="26"/>
      <c r="J42" s="22">
        <f>0.13*G39*1350.6</f>
        <v>742.68680101277153</v>
      </c>
      <c r="K42" s="26"/>
    </row>
    <row r="43" spans="1:11" x14ac:dyDescent="0.25">
      <c r="A43" s="15"/>
      <c r="B43" s="25" t="s">
        <v>35</v>
      </c>
      <c r="C43" s="15"/>
      <c r="D43" s="3"/>
      <c r="E43" s="3"/>
      <c r="F43" s="3"/>
      <c r="G43" s="3"/>
      <c r="H43" s="15"/>
      <c r="I43" s="15"/>
      <c r="J43" s="22">
        <f>0.13*G39*56</f>
        <v>30.794062532737456</v>
      </c>
      <c r="K43" s="15"/>
    </row>
    <row r="44" spans="1:11" s="10" customFormat="1" x14ac:dyDescent="0.25">
      <c r="A44" s="24"/>
      <c r="B44" s="25" t="s">
        <v>43</v>
      </c>
      <c r="C44" s="26"/>
      <c r="D44" s="27"/>
      <c r="E44" s="27"/>
      <c r="F44" s="27"/>
      <c r="G44" s="27"/>
      <c r="H44" s="26"/>
      <c r="I44" s="26"/>
      <c r="J44" s="22">
        <f>0.13*G39*392.92</f>
        <v>216.06434018505718</v>
      </c>
      <c r="K44" s="26"/>
    </row>
    <row r="45" spans="1:11" x14ac:dyDescent="0.25">
      <c r="A45" s="15"/>
      <c r="B45" s="25" t="s">
        <v>44</v>
      </c>
      <c r="C45" s="15"/>
      <c r="D45" s="3"/>
      <c r="E45" s="3"/>
      <c r="F45" s="3"/>
      <c r="G45" s="3"/>
      <c r="H45" s="15"/>
      <c r="I45" s="15"/>
      <c r="J45" s="22">
        <f>0.13*G39*14.15</f>
        <v>7.780999729254197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2.4900944833892105</v>
      </c>
      <c r="E50" s="3"/>
      <c r="F50" s="3">
        <f t="shared" ref="F50:F51" si="4">0.23*2</f>
        <v>0.46</v>
      </c>
      <c r="G50" s="3">
        <f t="shared" si="2"/>
        <v>2.2908869247180736</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4.0262115208777809</v>
      </c>
      <c r="E52" s="3">
        <f>E36</f>
        <v>1.8805242304175556</v>
      </c>
      <c r="F52" s="3"/>
      <c r="G52" s="3">
        <f t="shared" si="2"/>
        <v>15.142776643593971</v>
      </c>
      <c r="H52" s="15"/>
      <c r="I52" s="15"/>
      <c r="J52" s="15"/>
      <c r="K52" s="15"/>
    </row>
    <row r="53" spans="1:11" x14ac:dyDescent="0.25">
      <c r="A53" s="15"/>
      <c r="B53" s="16"/>
      <c r="C53" s="45">
        <f>C37</f>
        <v>2</v>
      </c>
      <c r="D53" s="3">
        <f>D37</f>
        <v>3.1240475464797317</v>
      </c>
      <c r="E53" s="3">
        <f>E37</f>
        <v>1.929289850655288</v>
      </c>
      <c r="F53" s="3"/>
      <c r="G53" s="3">
        <f t="shared" si="2"/>
        <v>12.054386448775801</v>
      </c>
      <c r="H53" s="15"/>
      <c r="I53" s="15"/>
      <c r="J53" s="15"/>
      <c r="K53" s="15"/>
    </row>
    <row r="54" spans="1:11" x14ac:dyDescent="0.25">
      <c r="A54" s="15"/>
      <c r="B54" s="16" t="str">
        <f>B38</f>
        <v>-column</v>
      </c>
      <c r="C54" s="45">
        <f>C38</f>
        <v>4</v>
      </c>
      <c r="D54" s="3">
        <f>0.23*4</f>
        <v>0.92</v>
      </c>
      <c r="E54" s="3"/>
      <c r="F54" s="3">
        <f>F38</f>
        <v>0.53337397135019804</v>
      </c>
      <c r="G54" s="3">
        <f t="shared" si="2"/>
        <v>1.9628162145687289</v>
      </c>
      <c r="H54" s="15"/>
      <c r="I54" s="15"/>
      <c r="J54" s="15"/>
      <c r="K54" s="15"/>
    </row>
    <row r="55" spans="1:11" s="10" customFormat="1" ht="15" customHeight="1" x14ac:dyDescent="0.25">
      <c r="A55" s="17"/>
      <c r="B55" s="18" t="s">
        <v>16</v>
      </c>
      <c r="C55" s="19"/>
      <c r="D55" s="1"/>
      <c r="E55" s="20"/>
      <c r="F55" s="20"/>
      <c r="G55" s="2">
        <f>SUM(G48:G54)</f>
        <v>47.223496527298146</v>
      </c>
      <c r="H55" s="21" t="s">
        <v>34</v>
      </c>
      <c r="I55" s="2">
        <v>922.71</v>
      </c>
      <c r="J55" s="22">
        <f>G55*I55</f>
        <v>43573.592480703272</v>
      </c>
      <c r="K55" s="20"/>
    </row>
    <row r="56" spans="1:11" s="10" customFormat="1" x14ac:dyDescent="0.25">
      <c r="A56" s="24"/>
      <c r="B56" s="25" t="s">
        <v>46</v>
      </c>
      <c r="C56" s="26"/>
      <c r="D56" s="27"/>
      <c r="E56" s="27"/>
      <c r="F56" s="27"/>
      <c r="G56" s="27"/>
      <c r="H56" s="26"/>
      <c r="I56" s="26"/>
      <c r="J56" s="22">
        <f>0.13*G55*20062.02/100</f>
        <v>1231.6183513407618</v>
      </c>
      <c r="K56" s="26"/>
    </row>
    <row r="57" spans="1:11" s="10" customFormat="1" x14ac:dyDescent="0.25">
      <c r="A57" s="24"/>
      <c r="B57" s="25" t="s">
        <v>47</v>
      </c>
      <c r="C57" s="26"/>
      <c r="D57" s="27"/>
      <c r="E57" s="27"/>
      <c r="F57" s="27"/>
      <c r="G57" s="27"/>
      <c r="H57" s="26"/>
      <c r="I57" s="26"/>
      <c r="J57" s="22">
        <f>0.13*G55*13328.25/100</f>
        <v>818.22853786694986</v>
      </c>
      <c r="K57" s="26"/>
    </row>
    <row r="58" spans="1:11" s="10" customFormat="1" x14ac:dyDescent="0.25">
      <c r="A58" s="24"/>
      <c r="B58" s="25" t="s">
        <v>48</v>
      </c>
      <c r="C58" s="26"/>
      <c r="D58" s="27"/>
      <c r="E58" s="27"/>
      <c r="F58" s="27"/>
      <c r="G58" s="27"/>
      <c r="H58" s="26"/>
      <c r="I58" s="26"/>
      <c r="J58" s="22">
        <f>0.13*G55*10137.6/100</f>
        <v>622.35279391367908</v>
      </c>
      <c r="K58" s="26"/>
    </row>
    <row r="59" spans="1:11" x14ac:dyDescent="0.25">
      <c r="A59" s="15"/>
      <c r="B59" s="25" t="s">
        <v>49</v>
      </c>
      <c r="C59" s="15"/>
      <c r="D59" s="3"/>
      <c r="E59" s="3"/>
      <c r="F59" s="3"/>
      <c r="G59" s="3"/>
      <c r="H59" s="15"/>
      <c r="I59" s="15"/>
      <c r="J59" s="22">
        <f>0.13*G55*3300/100</f>
        <v>202.58880010210905</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ref="F63" si="8">PRODUCT(C63:E63)</f>
        <v>11.473900233668594</v>
      </c>
      <c r="G63" s="3">
        <f t="shared" ref="G63" si="9">F63/1000</f>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1"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1" x14ac:dyDescent="0.25">
      <c r="A66" s="15"/>
      <c r="B66" s="16"/>
      <c r="C66" s="45">
        <f>C49*(2)</f>
        <v>8</v>
      </c>
      <c r="D66" s="3">
        <f>D34-0.1+0.23*2+(0.583/3.281)*2</f>
        <v>3.205473940871685</v>
      </c>
      <c r="E66" s="3">
        <f>12*12/162</f>
        <v>0.88888888888888884</v>
      </c>
      <c r="F66" s="3">
        <f t="shared" ref="F66" si="10">PRODUCT(C66:E66)</f>
        <v>22.79448135730976</v>
      </c>
      <c r="G66" s="3">
        <f t="shared" ref="G66" si="11">F66/1000</f>
        <v>2.279448135730976E-2</v>
      </c>
      <c r="H66" s="15"/>
      <c r="I66" s="15"/>
      <c r="J66" s="15"/>
      <c r="K66" s="15"/>
    </row>
    <row r="67" spans="1:11"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1" x14ac:dyDescent="0.25">
      <c r="A68" s="15"/>
      <c r="B68" s="16" t="str">
        <f>B50</f>
        <v>-upper beam</v>
      </c>
      <c r="C68" s="45">
        <f>C50*(3*2)</f>
        <v>12</v>
      </c>
      <c r="D68" s="3">
        <f>D34-0.1+(0.583/3.281)*2</f>
        <v>2.7454739408716851</v>
      </c>
      <c r="E68" s="3">
        <f>12*12/162</f>
        <v>0.88888888888888884</v>
      </c>
      <c r="F68" s="3">
        <f t="shared" si="6"/>
        <v>29.285055369297972</v>
      </c>
      <c r="G68" s="3">
        <f t="shared" si="7"/>
        <v>2.9285055369297971E-2</v>
      </c>
      <c r="H68" s="15"/>
      <c r="I68" s="15"/>
      <c r="J68" s="15"/>
      <c r="K68" s="15"/>
    </row>
    <row r="69" spans="1:11" x14ac:dyDescent="0.25">
      <c r="A69" s="15"/>
      <c r="B69" s="16" t="s">
        <v>92</v>
      </c>
      <c r="C69" s="45">
        <f>2*(TRUNC((D50-0.1-0.23*2)/0.125,0))</f>
        <v>30</v>
      </c>
      <c r="D69" s="3">
        <f>((0.583*4)+0.17*2)/3.281</f>
        <v>0.81438585797013097</v>
      </c>
      <c r="E69" s="3">
        <f>8*8/162</f>
        <v>0.39506172839506171</v>
      </c>
      <c r="F69" s="3">
        <f t="shared" si="6"/>
        <v>9.6519805389052564</v>
      </c>
      <c r="G69" s="3">
        <f t="shared" si="7"/>
        <v>9.6519805389052565E-3</v>
      </c>
      <c r="H69" s="15"/>
      <c r="I69" s="15"/>
      <c r="J69" s="15"/>
      <c r="K69" s="15"/>
    </row>
    <row r="70" spans="1:11" x14ac:dyDescent="0.25">
      <c r="A70" s="15"/>
      <c r="B70" s="16" t="str">
        <f>B34</f>
        <v>-upper beam</v>
      </c>
      <c r="C70" s="45">
        <f>C51*(3*2)</f>
        <v>12</v>
      </c>
      <c r="D70" s="3">
        <f>D35-0.1+0.23*2+(0.583/3.281)*2</f>
        <v>1.8583236818043276</v>
      </c>
      <c r="E70" s="3">
        <f>12*12/162</f>
        <v>0.88888888888888884</v>
      </c>
      <c r="F70" s="3">
        <f t="shared" si="6"/>
        <v>19.822119272579496</v>
      </c>
      <c r="G70" s="3">
        <f t="shared" si="7"/>
        <v>1.9822119272579496E-2</v>
      </c>
      <c r="H70" s="15"/>
      <c r="I70" s="15"/>
      <c r="J70" s="15"/>
      <c r="K70" s="15"/>
    </row>
    <row r="71" spans="1:11"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1" x14ac:dyDescent="0.25">
      <c r="A72" s="15"/>
      <c r="B72" s="16" t="str">
        <f>B52</f>
        <v>-slab</v>
      </c>
      <c r="C72" s="45">
        <f>TRUNC(((E52-0.1)/0.15),0)</f>
        <v>11</v>
      </c>
      <c r="D72" s="3">
        <f>D52*C52</f>
        <v>8.0524230417555618</v>
      </c>
      <c r="E72" s="3">
        <f t="shared" ref="E72:E75" si="12">8*8/162</f>
        <v>0.39506172839506171</v>
      </c>
      <c r="F72" s="3">
        <f t="shared" si="6"/>
        <v>34.993245811085892</v>
      </c>
      <c r="G72" s="3">
        <f t="shared" si="7"/>
        <v>3.4993245811085892E-2</v>
      </c>
      <c r="H72" s="15"/>
      <c r="I72" s="15"/>
      <c r="J72" s="15"/>
      <c r="K72" s="15"/>
    </row>
    <row r="73" spans="1:11" x14ac:dyDescent="0.25">
      <c r="A73" s="15"/>
      <c r="B73" s="16"/>
      <c r="C73" s="45">
        <f>2*(TRUNC(((D52-0.1)/0.15),0))</f>
        <v>52</v>
      </c>
      <c r="D73" s="3">
        <f>E52</f>
        <v>1.8805242304175556</v>
      </c>
      <c r="E73" s="3">
        <f t="shared" si="12"/>
        <v>0.39506172839506171</v>
      </c>
      <c r="F73" s="3">
        <f t="shared" si="6"/>
        <v>38.632003943392746</v>
      </c>
      <c r="G73" s="3">
        <f t="shared" si="7"/>
        <v>3.8632003943392744E-2</v>
      </c>
      <c r="H73" s="15"/>
      <c r="I73" s="15"/>
      <c r="J73" s="15"/>
      <c r="K73" s="15"/>
    </row>
    <row r="74" spans="1:11" x14ac:dyDescent="0.25">
      <c r="A74" s="15"/>
      <c r="B74" s="16"/>
      <c r="C74" s="45">
        <f>2*(TRUNC(((D53-0.1)/0.15),0))</f>
        <v>40</v>
      </c>
      <c r="D74" s="3">
        <f>E53</f>
        <v>1.929289850655288</v>
      </c>
      <c r="E74" s="3">
        <f t="shared" si="12"/>
        <v>0.39506172839506171</v>
      </c>
      <c r="F74" s="3">
        <f t="shared" si="6"/>
        <v>30.487543318997144</v>
      </c>
      <c r="G74" s="3">
        <f t="shared" si="7"/>
        <v>3.0487543318997144E-2</v>
      </c>
      <c r="H74" s="15"/>
      <c r="I74" s="15"/>
      <c r="J74" s="15"/>
      <c r="K74" s="15"/>
    </row>
    <row r="75" spans="1:11" x14ac:dyDescent="0.25">
      <c r="A75" s="15"/>
      <c r="B75" s="16"/>
      <c r="C75" s="45">
        <f>2*(TRUNC(((E53-0.1)/0.15),0))</f>
        <v>24</v>
      </c>
      <c r="D75" s="3">
        <f>D53</f>
        <v>3.1240475464797317</v>
      </c>
      <c r="E75" s="3">
        <f t="shared" si="12"/>
        <v>0.39506172839506171</v>
      </c>
      <c r="F75" s="3">
        <f t="shared" ref="F75" si="13">PRODUCT(C75:E75)</f>
        <v>29.620598959215233</v>
      </c>
      <c r="G75" s="3">
        <f t="shared" ref="G75" si="14">F75/1000</f>
        <v>2.9620598959215233E-2</v>
      </c>
      <c r="H75" s="15"/>
      <c r="I75" s="15"/>
      <c r="J75" s="15"/>
      <c r="K75" s="15"/>
    </row>
    <row r="76" spans="1:11" x14ac:dyDescent="0.25">
      <c r="A76" s="15"/>
      <c r="B76" s="16" t="s">
        <v>93</v>
      </c>
      <c r="C76" s="45">
        <v>8</v>
      </c>
      <c r="D76" s="3">
        <f>((3-0.33)/3.281)+(0.45*2)</f>
        <v>1.7137762877171594</v>
      </c>
      <c r="E76" s="3">
        <f>12*12/162</f>
        <v>0.88888888888888884</v>
      </c>
      <c r="F76" s="3">
        <f t="shared" si="6"/>
        <v>12.186853601544245</v>
      </c>
      <c r="G76" s="3">
        <f t="shared" si="7"/>
        <v>1.2186853601544244E-2</v>
      </c>
      <c r="H76" s="15"/>
      <c r="I76" s="15"/>
      <c r="J76" s="15"/>
      <c r="K76" s="15"/>
    </row>
    <row r="77" spans="1:11" x14ac:dyDescent="0.25">
      <c r="A77" s="15"/>
      <c r="B77" s="16" t="s">
        <v>92</v>
      </c>
      <c r="C77" s="45">
        <f>4*(TRUNC((2.25-0.17*2)/0.33,0)+1)</f>
        <v>24</v>
      </c>
      <c r="D77" s="3">
        <f>(6*4+2*2)/12/3.281</f>
        <v>0.7111652951335975</v>
      </c>
      <c r="E77" s="3">
        <f>8*8/162</f>
        <v>0.39506172839506171</v>
      </c>
      <c r="F77" s="3">
        <f t="shared" si="6"/>
        <v>6.7429005760815173</v>
      </c>
      <c r="G77" s="3">
        <f t="shared" si="7"/>
        <v>6.7429005760815171E-3</v>
      </c>
      <c r="H77" s="15"/>
      <c r="I77" s="15"/>
      <c r="J77" s="15"/>
      <c r="K77" s="15"/>
    </row>
    <row r="78" spans="1:11" x14ac:dyDescent="0.25">
      <c r="A78" s="15"/>
      <c r="B78" s="16"/>
      <c r="C78" s="45">
        <f>C77</f>
        <v>24</v>
      </c>
      <c r="D78" s="3">
        <f>(4*4+2*2)/12/3.281</f>
        <v>0.50797521080971253</v>
      </c>
      <c r="E78" s="3">
        <f>8*8/162</f>
        <v>0.39506172839506171</v>
      </c>
      <c r="F78" s="3">
        <f t="shared" si="6"/>
        <v>4.8163575543439414</v>
      </c>
      <c r="G78" s="58">
        <f t="shared" si="7"/>
        <v>4.8163575543439417E-3</v>
      </c>
      <c r="H78" s="15"/>
      <c r="I78" s="15"/>
      <c r="J78" s="15"/>
      <c r="K78" s="15"/>
    </row>
    <row r="79" spans="1:11" s="10" customFormat="1" ht="15" customHeight="1" x14ac:dyDescent="0.25">
      <c r="A79" s="17"/>
      <c r="B79" s="18" t="s">
        <v>16</v>
      </c>
      <c r="C79" s="19"/>
      <c r="D79" s="1"/>
      <c r="E79" s="20"/>
      <c r="F79" s="20"/>
      <c r="G79" s="2">
        <f>SUM(G62:G78)</f>
        <v>0.45880571972561801</v>
      </c>
      <c r="H79" s="21" t="s">
        <v>41</v>
      </c>
      <c r="I79" s="46">
        <v>132360</v>
      </c>
      <c r="J79" s="22">
        <f>G79*I79</f>
        <v>60727.5250628828</v>
      </c>
      <c r="K79" s="20"/>
    </row>
    <row r="80" spans="1:11" s="10" customFormat="1" x14ac:dyDescent="0.25">
      <c r="A80" s="24"/>
      <c r="B80" s="25" t="s">
        <v>38</v>
      </c>
      <c r="C80" s="26"/>
      <c r="D80" s="26"/>
      <c r="E80" s="26"/>
      <c r="F80" s="26"/>
      <c r="G80" s="26"/>
      <c r="H80" s="26"/>
      <c r="I80" s="26"/>
      <c r="J80" s="22">
        <f>0.13*G79*105000</f>
        <v>6262.6980742546866</v>
      </c>
      <c r="K80" s="26"/>
    </row>
    <row r="81" spans="1:11" s="10" customFormat="1" x14ac:dyDescent="0.25">
      <c r="A81" s="24"/>
      <c r="B81" s="25" t="s">
        <v>37</v>
      </c>
      <c r="C81" s="26"/>
      <c r="D81" s="26"/>
      <c r="E81" s="26"/>
      <c r="F81" s="26"/>
      <c r="G81" s="26"/>
      <c r="H81" s="26"/>
      <c r="I81" s="26"/>
      <c r="J81" s="22">
        <f>0.13*G79*1200</f>
        <v>71.573692277196415</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15">B134</f>
        <v>-for wing walls of stand tap</v>
      </c>
      <c r="C103" s="49">
        <f t="shared" si="15"/>
        <v>4</v>
      </c>
      <c r="D103" s="27">
        <f t="shared" si="15"/>
        <v>1.2163181956720512</v>
      </c>
      <c r="E103" s="27"/>
      <c r="F103" s="27">
        <f>F134</f>
        <v>0.6</v>
      </c>
      <c r="G103" s="27">
        <f t="shared" ref="G103:G109" si="16">PRODUCT(C103:F103)</f>
        <v>2.9191636696129231</v>
      </c>
      <c r="H103" s="26"/>
      <c r="I103" s="26"/>
      <c r="J103" s="26"/>
      <c r="K103" s="26"/>
    </row>
    <row r="104" spans="1:11" s="10" customFormat="1" x14ac:dyDescent="0.25">
      <c r="A104" s="24"/>
      <c r="B104" s="25" t="str">
        <f t="shared" si="15"/>
        <v>-for side wall of stand tap</v>
      </c>
      <c r="C104" s="49">
        <f t="shared" si="15"/>
        <v>1</v>
      </c>
      <c r="D104" s="27">
        <f t="shared" si="15"/>
        <v>1.3197195976836331</v>
      </c>
      <c r="E104" s="27"/>
      <c r="F104" s="27">
        <f>F135</f>
        <v>0.6</v>
      </c>
      <c r="G104" s="27">
        <f t="shared" si="16"/>
        <v>0.79183175861017985</v>
      </c>
      <c r="H104" s="26"/>
      <c r="I104" s="26"/>
      <c r="J104" s="26"/>
      <c r="K104" s="26"/>
    </row>
    <row r="105" spans="1:11" s="10" customFormat="1" x14ac:dyDescent="0.25">
      <c r="A105" s="24"/>
      <c r="B105" s="25" t="str">
        <f t="shared" si="15"/>
        <v>-stand</v>
      </c>
      <c r="C105" s="49">
        <f t="shared" si="15"/>
        <v>1</v>
      </c>
      <c r="D105" s="27">
        <f t="shared" si="15"/>
        <v>0.35659859798841814</v>
      </c>
      <c r="E105" s="27"/>
      <c r="F105" s="27">
        <f>F136</f>
        <v>1.2</v>
      </c>
      <c r="G105" s="27">
        <f t="shared" si="16"/>
        <v>0.42791831758610177</v>
      </c>
      <c r="H105" s="26"/>
      <c r="I105" s="26"/>
      <c r="J105" s="26"/>
      <c r="K105" s="26"/>
    </row>
    <row r="106" spans="1:11" s="10" customFormat="1" x14ac:dyDescent="0.25">
      <c r="A106" s="24"/>
      <c r="B106" s="25"/>
      <c r="C106" s="49">
        <f>C137</f>
        <v>1</v>
      </c>
      <c r="D106" s="27">
        <f>D137</f>
        <v>0.46</v>
      </c>
      <c r="E106" s="27"/>
      <c r="F106" s="27">
        <f>F137</f>
        <v>0.6</v>
      </c>
      <c r="G106" s="27">
        <f t="shared" si="16"/>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6"/>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6"/>
        <v>6.583358732093874</v>
      </c>
      <c r="H108" s="26"/>
      <c r="I108" s="26"/>
      <c r="J108" s="26"/>
      <c r="K108" s="26"/>
    </row>
    <row r="109" spans="1:11" s="10" customFormat="1" x14ac:dyDescent="0.25">
      <c r="A109" s="24"/>
      <c r="B109" s="25"/>
      <c r="C109" s="49">
        <f>C85</f>
        <v>2</v>
      </c>
      <c r="D109" s="27">
        <f>D85</f>
        <v>6.4004876562023769</v>
      </c>
      <c r="E109" s="27">
        <f>E85</f>
        <v>0.9</v>
      </c>
      <c r="F109" s="27"/>
      <c r="G109" s="27">
        <f t="shared" si="16"/>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7">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7"/>
        <v>5.6962584444105273</v>
      </c>
      <c r="H115" s="15"/>
      <c r="I115" s="15"/>
      <c r="J115" s="15"/>
      <c r="K115" s="15"/>
    </row>
    <row r="116" spans="1:11" x14ac:dyDescent="0.25">
      <c r="A116" s="15"/>
      <c r="B116" s="16" t="s">
        <v>87</v>
      </c>
      <c r="C116" s="45">
        <v>-1</v>
      </c>
      <c r="D116" s="3">
        <f>1.5</f>
        <v>1.5</v>
      </c>
      <c r="E116" s="3">
        <v>0.35</v>
      </c>
      <c r="F116" s="3">
        <f>(7-3.5)/3.281</f>
        <v>1.0667479427003961</v>
      </c>
      <c r="G116" s="3">
        <f t="shared" si="17"/>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7"/>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8">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8"/>
        <v>-4.5518046930221097</v>
      </c>
      <c r="H131" s="15"/>
      <c r="I131" s="15"/>
      <c r="J131" s="15"/>
      <c r="K131" s="15"/>
    </row>
    <row r="132" spans="1:11" x14ac:dyDescent="0.25">
      <c r="A132" s="15"/>
      <c r="B132" s="16" t="s">
        <v>124</v>
      </c>
      <c r="C132" s="45">
        <v>2</v>
      </c>
      <c r="D132" s="3">
        <f>D52</f>
        <v>4.0262115208777809</v>
      </c>
      <c r="E132" s="3">
        <f>E52</f>
        <v>1.8805242304175556</v>
      </c>
      <c r="F132" s="3"/>
      <c r="G132" s="3">
        <f t="shared" si="18"/>
        <v>15.142776643593971</v>
      </c>
      <c r="H132" s="15"/>
      <c r="I132" s="15"/>
      <c r="J132" s="15"/>
      <c r="K132" s="15"/>
    </row>
    <row r="133" spans="1:11" x14ac:dyDescent="0.25">
      <c r="A133" s="15"/>
      <c r="B133" s="16"/>
      <c r="C133" s="45">
        <v>2</v>
      </c>
      <c r="D133" s="3">
        <f>D53</f>
        <v>3.1240475464797317</v>
      </c>
      <c r="E133" s="3">
        <f>E53</f>
        <v>1.929289850655288</v>
      </c>
      <c r="F133" s="3"/>
      <c r="G133" s="3">
        <f t="shared" si="18"/>
        <v>12.054386448775801</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98.052540486862924</v>
      </c>
      <c r="H138" s="21" t="s">
        <v>34</v>
      </c>
      <c r="I138" s="2">
        <v>415.5</v>
      </c>
      <c r="J138" s="22">
        <f>G138*I138</f>
        <v>40740.830572291547</v>
      </c>
      <c r="K138" s="20"/>
    </row>
    <row r="139" spans="1:11" s="10" customFormat="1" x14ac:dyDescent="0.25">
      <c r="A139" s="24"/>
      <c r="B139" s="25" t="s">
        <v>32</v>
      </c>
      <c r="C139" s="26"/>
      <c r="D139" s="27"/>
      <c r="E139" s="27"/>
      <c r="F139" s="27"/>
      <c r="G139" s="27"/>
      <c r="H139" s="26"/>
      <c r="I139" s="26"/>
      <c r="J139" s="22">
        <f>0.13*G138*7010.67/100</f>
        <v>893.63820521954597</v>
      </c>
      <c r="K139" s="26"/>
    </row>
    <row r="140" spans="1:11" x14ac:dyDescent="0.25">
      <c r="A140" s="15"/>
      <c r="B140" s="25" t="s">
        <v>31</v>
      </c>
      <c r="C140" s="26"/>
      <c r="D140" s="27"/>
      <c r="E140" s="27"/>
      <c r="F140" s="27"/>
      <c r="G140" s="27"/>
      <c r="H140" s="26"/>
      <c r="I140" s="26"/>
      <c r="J140" s="22">
        <f>0.13*G138*4639.73/100</f>
        <v>591.41850777504624</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93.637626741053708</v>
      </c>
      <c r="H152" s="15"/>
      <c r="I152" s="15"/>
      <c r="J152" s="15"/>
      <c r="K152" s="15"/>
    </row>
    <row r="153" spans="1:11" s="10" customFormat="1" ht="15" customHeight="1" x14ac:dyDescent="0.25">
      <c r="A153" s="17"/>
      <c r="B153" s="18" t="s">
        <v>16</v>
      </c>
      <c r="C153" s="19"/>
      <c r="D153" s="1"/>
      <c r="E153" s="20"/>
      <c r="F153" s="20"/>
      <c r="G153" s="2">
        <f>SUM(G152:G152)</f>
        <v>93.637626741053708</v>
      </c>
      <c r="H153" s="21" t="s">
        <v>34</v>
      </c>
      <c r="I153" s="2">
        <v>253.8</v>
      </c>
      <c r="J153" s="22">
        <f>G153*I153</f>
        <v>23765.229666879433</v>
      </c>
      <c r="K153" s="20"/>
    </row>
    <row r="154" spans="1:11" s="10" customFormat="1" x14ac:dyDescent="0.25">
      <c r="A154" s="24"/>
      <c r="B154" s="25" t="s">
        <v>60</v>
      </c>
      <c r="C154" s="26"/>
      <c r="D154" s="27"/>
      <c r="E154" s="27"/>
      <c r="F154" s="27"/>
      <c r="G154" s="27"/>
      <c r="H154" s="26"/>
      <c r="I154" s="26"/>
      <c r="J154" s="22">
        <f>0.13*G153*2304/100</f>
        <v>280.46341961480408</v>
      </c>
      <c r="K154" s="26"/>
    </row>
    <row r="155" spans="1:11" s="10" customFormat="1" x14ac:dyDescent="0.25">
      <c r="A155" s="24"/>
      <c r="B155" s="25" t="s">
        <v>61</v>
      </c>
      <c r="C155" s="26"/>
      <c r="D155" s="27"/>
      <c r="E155" s="27"/>
      <c r="F155" s="27"/>
      <c r="G155" s="27"/>
      <c r="H155" s="26"/>
      <c r="I155" s="26"/>
      <c r="J155" s="22">
        <f>0.13*G153*10432/100</f>
        <v>1269.876038811474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96</v>
      </c>
      <c r="C164" s="26"/>
      <c r="D164" s="27"/>
      <c r="E164" s="27"/>
      <c r="F164" s="27"/>
      <c r="G164" s="27"/>
      <c r="H164" s="26"/>
      <c r="I164" s="26"/>
      <c r="J164" s="22"/>
      <c r="K164" s="26"/>
    </row>
    <row r="165" spans="1:11" x14ac:dyDescent="0.25">
      <c r="A165" s="15"/>
      <c r="B165" s="16" t="s">
        <v>97</v>
      </c>
      <c r="C165" s="45">
        <v>1</v>
      </c>
      <c r="D165" s="3">
        <f>D116</f>
        <v>1.5</v>
      </c>
      <c r="E165" s="3"/>
      <c r="F165" s="3">
        <f>F116</f>
        <v>1.0667479427003961</v>
      </c>
      <c r="G165" s="3">
        <f>PRODUCT(C165:F165)</f>
        <v>1.600121914050594</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25">
      <c r="A168" s="24"/>
      <c r="B168" s="25" t="s">
        <v>99</v>
      </c>
      <c r="C168" s="26"/>
      <c r="D168" s="27"/>
      <c r="E168" s="27"/>
      <c r="F168" s="27"/>
      <c r="G168" s="27"/>
      <c r="H168" s="26"/>
      <c r="I168" s="26"/>
      <c r="J168" s="22">
        <f>0.13*G167*7910.91/0.92</f>
        <v>4332.7981313104001</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9">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20">PRODUCT(C182:F182)</f>
        <v>1</v>
      </c>
      <c r="H182" s="21" t="s">
        <v>30</v>
      </c>
      <c r="I182" s="2">
        <v>60000</v>
      </c>
      <c r="J182" s="21">
        <f>G182*I182</f>
        <v>60000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21">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783062.29195295041</v>
      </c>
      <c r="K186" s="36"/>
    </row>
    <row r="187" spans="1:11" s="10" customFormat="1" x14ac:dyDescent="0.25"/>
    <row r="188" spans="1:11" s="44" customFormat="1" x14ac:dyDescent="0.25">
      <c r="A188" s="37"/>
      <c r="B188" s="38" t="s">
        <v>19</v>
      </c>
      <c r="C188" s="69">
        <f>J186</f>
        <v>783062.29195295041</v>
      </c>
      <c r="D188" s="70"/>
      <c r="E188" s="39">
        <v>100</v>
      </c>
      <c r="F188" s="37"/>
      <c r="G188" s="40"/>
      <c r="H188" s="37"/>
      <c r="I188" s="41"/>
      <c r="J188" s="42"/>
      <c r="K188" s="43"/>
    </row>
    <row r="189" spans="1:11" s="10" customFormat="1" x14ac:dyDescent="0.25">
      <c r="B189" s="38" t="s">
        <v>21</v>
      </c>
      <c r="C189" s="73">
        <v>700000</v>
      </c>
      <c r="D189" s="74"/>
      <c r="E189" s="39"/>
    </row>
    <row r="190" spans="1:11" s="10" customFormat="1" x14ac:dyDescent="0.25">
      <c r="B190" s="38" t="s">
        <v>22</v>
      </c>
      <c r="C190" s="73">
        <f>C189-C192-C193</f>
        <v>665000</v>
      </c>
      <c r="D190" s="74"/>
      <c r="E190" s="39">
        <f>C190/C188*100</f>
        <v>84.923001252109316</v>
      </c>
    </row>
    <row r="191" spans="1:11" s="10" customFormat="1" x14ac:dyDescent="0.25">
      <c r="B191" s="38" t="s">
        <v>26</v>
      </c>
      <c r="C191" s="75">
        <f>C188-C190</f>
        <v>118062.29195295041</v>
      </c>
      <c r="D191" s="75"/>
      <c r="E191" s="39">
        <f>100-E190</f>
        <v>15.076998747890684</v>
      </c>
    </row>
    <row r="192" spans="1:11" s="10" customFormat="1" x14ac:dyDescent="0.25">
      <c r="B192" s="38" t="s">
        <v>23</v>
      </c>
      <c r="C192" s="69">
        <f>C189*0.03</f>
        <v>21000</v>
      </c>
      <c r="D192" s="70"/>
      <c r="E192" s="39">
        <v>3</v>
      </c>
    </row>
    <row r="193" spans="2:5" s="10" customFormat="1" x14ac:dyDescent="0.25">
      <c r="B193" s="38" t="s">
        <v>24</v>
      </c>
      <c r="C193" s="69">
        <f>C189*0.02</f>
        <v>14000</v>
      </c>
      <c r="D193" s="70"/>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93"/>
  <sheetViews>
    <sheetView tabSelected="1" topLeftCell="A165" zoomScaleNormal="100" workbookViewId="0">
      <selection activeCell="L175" sqref="L175"/>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25">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4.4914970526321456</v>
      </c>
      <c r="H39" s="21" t="s">
        <v>28</v>
      </c>
      <c r="I39" s="2">
        <v>13957.29</v>
      </c>
      <c r="J39" s="22">
        <f>G39*I39</f>
        <v>62689.126897732123</v>
      </c>
      <c r="K39" s="20"/>
    </row>
    <row r="40" spans="1:11" s="10" customFormat="1" x14ac:dyDescent="0.25">
      <c r="A40" s="24"/>
      <c r="B40" s="25" t="s">
        <v>32</v>
      </c>
      <c r="C40" s="26"/>
      <c r="D40" s="27"/>
      <c r="E40" s="27"/>
      <c r="F40" s="27"/>
      <c r="G40" s="27"/>
      <c r="H40" s="26"/>
      <c r="I40" s="26"/>
      <c r="J40" s="22">
        <f>0.13*G39*5212.4</f>
        <v>3043.492300828173</v>
      </c>
      <c r="K40" s="26"/>
    </row>
    <row r="41" spans="1:11" s="10" customFormat="1" x14ac:dyDescent="0.25">
      <c r="A41" s="24"/>
      <c r="B41" s="25" t="s">
        <v>33</v>
      </c>
      <c r="C41" s="26"/>
      <c r="D41" s="27"/>
      <c r="E41" s="27"/>
      <c r="F41" s="27"/>
      <c r="G41" s="27"/>
      <c r="H41" s="26"/>
      <c r="I41" s="26"/>
      <c r="J41" s="22">
        <f>0.13*G39*(1912.03+921.59)</f>
        <v>1654.5354641763349</v>
      </c>
      <c r="K41" s="26"/>
    </row>
    <row r="42" spans="1:11" s="10" customFormat="1" x14ac:dyDescent="0.25">
      <c r="A42" s="24"/>
      <c r="B42" s="25" t="s">
        <v>31</v>
      </c>
      <c r="C42" s="26"/>
      <c r="D42" s="27"/>
      <c r="E42" s="27"/>
      <c r="F42" s="27"/>
      <c r="G42" s="27"/>
      <c r="H42" s="26"/>
      <c r="I42" s="26"/>
      <c r="J42" s="22">
        <f>0.13*G39*1350.6</f>
        <v>788.60806950704682</v>
      </c>
      <c r="K42" s="26"/>
    </row>
    <row r="43" spans="1:11" x14ac:dyDescent="0.25">
      <c r="A43" s="15"/>
      <c r="B43" s="25" t="s">
        <v>35</v>
      </c>
      <c r="C43" s="15"/>
      <c r="D43" s="3"/>
      <c r="E43" s="3"/>
      <c r="F43" s="3"/>
      <c r="G43" s="3"/>
      <c r="H43" s="15"/>
      <c r="I43" s="15"/>
      <c r="J43" s="22">
        <f>0.13*G39*56</f>
        <v>32.698098543162018</v>
      </c>
      <c r="K43" s="15"/>
    </row>
    <row r="44" spans="1:11" s="10" customFormat="1" x14ac:dyDescent="0.25">
      <c r="A44" s="24"/>
      <c r="B44" s="25" t="s">
        <v>43</v>
      </c>
      <c r="C44" s="26"/>
      <c r="D44" s="27"/>
      <c r="E44" s="27"/>
      <c r="F44" s="27"/>
      <c r="G44" s="27"/>
      <c r="H44" s="26"/>
      <c r="I44" s="26"/>
      <c r="J44" s="22">
        <f>0.13*G39*392.92</f>
        <v>229.42387284962894</v>
      </c>
      <c r="K44" s="26"/>
    </row>
    <row r="45" spans="1:11" x14ac:dyDescent="0.25">
      <c r="A45" s="15"/>
      <c r="B45" s="25" t="s">
        <v>44</v>
      </c>
      <c r="C45" s="15"/>
      <c r="D45" s="3"/>
      <c r="E45" s="3"/>
      <c r="F45" s="3"/>
      <c r="G45" s="3"/>
      <c r="H45" s="15"/>
      <c r="I45" s="15"/>
      <c r="J45" s="22">
        <f>0.13*G39*14.15</f>
        <v>8.2621088283168316</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25">
      <c r="A53" s="15"/>
      <c r="B53" s="16"/>
      <c r="C53" s="45">
        <f>C37</f>
        <v>2</v>
      </c>
      <c r="D53" s="3">
        <f>D37</f>
        <v>2.3239865894544347</v>
      </c>
      <c r="E53" s="3">
        <f>E37</f>
        <v>2.895458701615361</v>
      </c>
      <c r="F53" s="3"/>
      <c r="G53" s="3">
        <f t="shared" si="2"/>
        <v>13.458014385746496</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50.578395813008513</v>
      </c>
      <c r="H55" s="21" t="s">
        <v>34</v>
      </c>
      <c r="I55" s="2">
        <v>922.71</v>
      </c>
      <c r="J55" s="22">
        <f>G55*I55</f>
        <v>46669.191600621089</v>
      </c>
      <c r="K55" s="20"/>
    </row>
    <row r="56" spans="1:11" s="10" customFormat="1" x14ac:dyDescent="0.25">
      <c r="A56" s="24"/>
      <c r="B56" s="25" t="s">
        <v>46</v>
      </c>
      <c r="C56" s="26"/>
      <c r="D56" s="27"/>
      <c r="E56" s="27"/>
      <c r="F56" s="27"/>
      <c r="G56" s="27"/>
      <c r="H56" s="26"/>
      <c r="I56" s="26"/>
      <c r="J56" s="22">
        <f>0.13*G55*20062.02/100</f>
        <v>1319.1162248790411</v>
      </c>
      <c r="K56" s="26"/>
    </row>
    <row r="57" spans="1:11" s="10" customFormat="1" x14ac:dyDescent="0.25">
      <c r="A57" s="24"/>
      <c r="B57" s="25" t="s">
        <v>47</v>
      </c>
      <c r="C57" s="26"/>
      <c r="D57" s="27"/>
      <c r="E57" s="27"/>
      <c r="F57" s="27"/>
      <c r="G57" s="27"/>
      <c r="H57" s="26"/>
      <c r="I57" s="26"/>
      <c r="J57" s="22">
        <f>0.13*G55*13328.25/100</f>
        <v>876.35795519314979</v>
      </c>
      <c r="K57" s="26"/>
    </row>
    <row r="58" spans="1:11" s="10" customFormat="1" x14ac:dyDescent="0.25">
      <c r="A58" s="24"/>
      <c r="B58" s="25" t="s">
        <v>48</v>
      </c>
      <c r="C58" s="26"/>
      <c r="D58" s="27"/>
      <c r="E58" s="27"/>
      <c r="F58" s="27"/>
      <c r="G58" s="27"/>
      <c r="H58" s="26"/>
      <c r="I58" s="26"/>
      <c r="J58" s="22">
        <f>0.13*G55*10137.6/100</f>
        <v>666.56660901214161</v>
      </c>
      <c r="K58" s="26"/>
    </row>
    <row r="59" spans="1:11" x14ac:dyDescent="0.25">
      <c r="A59" s="15"/>
      <c r="B59" s="25" t="s">
        <v>49</v>
      </c>
      <c r="C59" s="15"/>
      <c r="D59" s="3"/>
      <c r="E59" s="3"/>
      <c r="F59" s="3"/>
      <c r="G59" s="3"/>
      <c r="H59" s="15"/>
      <c r="I59" s="15"/>
      <c r="J59" s="22">
        <f>0.13*G55*3300/100</f>
        <v>216.98131803780652</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25">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25">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25">
      <c r="A75" s="15"/>
      <c r="B75" s="16"/>
      <c r="C75" s="45">
        <f>2*(TRUNC(((E53-0.1)/0.15),0))</f>
        <v>36</v>
      </c>
      <c r="D75" s="3">
        <f>D53</f>
        <v>2.3239865894544347</v>
      </c>
      <c r="E75" s="3">
        <f t="shared" si="8"/>
        <v>0.39506172839506171</v>
      </c>
      <c r="F75" s="3">
        <f t="shared" ref="F75" si="9">PRODUCT(C75:E75)</f>
        <v>33.052253716685293</v>
      </c>
      <c r="G75" s="3">
        <f t="shared" ref="G75" si="10">F75/1000</f>
        <v>3.3052253716685291E-2</v>
      </c>
      <c r="H75" s="15"/>
      <c r="I75" s="15"/>
      <c r="J75" s="15"/>
      <c r="K75" s="15"/>
    </row>
    <row r="76" spans="1:14" x14ac:dyDescent="0.25">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0.45424961405172304</v>
      </c>
      <c r="H79" s="21" t="s">
        <v>41</v>
      </c>
      <c r="I79" s="46">
        <v>132360</v>
      </c>
      <c r="J79" s="22">
        <f>G79*I79</f>
        <v>60124.478915886059</v>
      </c>
      <c r="K79" s="20"/>
    </row>
    <row r="80" spans="1:14" s="10" customFormat="1" x14ac:dyDescent="0.25">
      <c r="A80" s="24"/>
      <c r="B80" s="25" t="s">
        <v>38</v>
      </c>
      <c r="C80" s="26"/>
      <c r="D80" s="26"/>
      <c r="E80" s="26"/>
      <c r="F80" s="26"/>
      <c r="G80" s="26"/>
      <c r="H80" s="26"/>
      <c r="I80" s="26"/>
      <c r="J80" s="22">
        <f>0.13*G79*105000</f>
        <v>6200.5072318060193</v>
      </c>
      <c r="K80" s="26"/>
    </row>
    <row r="81" spans="1:11" s="10" customFormat="1" x14ac:dyDescent="0.25">
      <c r="A81" s="24"/>
      <c r="B81" s="25" t="s">
        <v>37</v>
      </c>
      <c r="C81" s="26"/>
      <c r="D81" s="26"/>
      <c r="E81" s="26"/>
      <c r="F81" s="26"/>
      <c r="G81" s="26"/>
      <c r="H81" s="26"/>
      <c r="I81" s="26"/>
      <c r="J81" s="22">
        <f>0.13*G79*1200</f>
        <v>70.862939792068801</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11">B134</f>
        <v>-for wing walls of stand tap</v>
      </c>
      <c r="C103" s="49">
        <f t="shared" si="11"/>
        <v>4</v>
      </c>
      <c r="D103" s="27">
        <f t="shared" si="11"/>
        <v>1.2163181956720512</v>
      </c>
      <c r="E103" s="27"/>
      <c r="F103" s="27">
        <f>F134</f>
        <v>0.6</v>
      </c>
      <c r="G103" s="27">
        <f t="shared" ref="G103:G109" si="12">PRODUCT(C103:F103)</f>
        <v>2.9191636696129231</v>
      </c>
      <c r="H103" s="26"/>
      <c r="I103" s="26"/>
      <c r="J103" s="26"/>
      <c r="K103" s="26"/>
    </row>
    <row r="104" spans="1:11" s="10" customFormat="1" x14ac:dyDescent="0.25">
      <c r="A104" s="24"/>
      <c r="B104" s="25" t="str">
        <f t="shared" si="11"/>
        <v>-for side wall of stand tap</v>
      </c>
      <c r="C104" s="49">
        <f t="shared" si="11"/>
        <v>1</v>
      </c>
      <c r="D104" s="27">
        <f t="shared" si="11"/>
        <v>1.3197195976836331</v>
      </c>
      <c r="E104" s="27"/>
      <c r="F104" s="27">
        <f>F135</f>
        <v>0.6</v>
      </c>
      <c r="G104" s="27">
        <f t="shared" si="12"/>
        <v>0.79183175861017985</v>
      </c>
      <c r="H104" s="26"/>
      <c r="I104" s="26"/>
      <c r="J104" s="26"/>
      <c r="K104" s="26"/>
    </row>
    <row r="105" spans="1:11" s="10" customFormat="1" x14ac:dyDescent="0.25">
      <c r="A105" s="24"/>
      <c r="B105" s="25" t="str">
        <f t="shared" si="11"/>
        <v>-stand</v>
      </c>
      <c r="C105" s="49">
        <f t="shared" si="11"/>
        <v>1</v>
      </c>
      <c r="D105" s="27">
        <f t="shared" si="11"/>
        <v>0.35659859798841814</v>
      </c>
      <c r="E105" s="27"/>
      <c r="F105" s="27">
        <f>F136</f>
        <v>1.2</v>
      </c>
      <c r="G105" s="27">
        <f t="shared" si="12"/>
        <v>0.42791831758610177</v>
      </c>
      <c r="H105" s="26"/>
      <c r="I105" s="26"/>
      <c r="J105" s="26"/>
      <c r="K105" s="26"/>
    </row>
    <row r="106" spans="1:11" s="10" customFormat="1" x14ac:dyDescent="0.25">
      <c r="A106" s="24"/>
      <c r="B106" s="25"/>
      <c r="C106" s="49">
        <f>C137</f>
        <v>1</v>
      </c>
      <c r="D106" s="27">
        <f>D137</f>
        <v>0.46</v>
      </c>
      <c r="E106" s="27"/>
      <c r="F106" s="27">
        <f>F137</f>
        <v>0.6</v>
      </c>
      <c r="G106" s="27">
        <f t="shared" si="12"/>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2"/>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2"/>
        <v>6.583358732093874</v>
      </c>
      <c r="H108" s="26"/>
      <c r="I108" s="26"/>
      <c r="J108" s="26"/>
      <c r="K108" s="26"/>
    </row>
    <row r="109" spans="1:11" s="10" customFormat="1" x14ac:dyDescent="0.25">
      <c r="A109" s="24"/>
      <c r="B109" s="25"/>
      <c r="C109" s="49">
        <f>C85</f>
        <v>2</v>
      </c>
      <c r="D109" s="27">
        <f>D85</f>
        <v>6.4004876562023769</v>
      </c>
      <c r="E109" s="27">
        <f>E85</f>
        <v>0.9</v>
      </c>
      <c r="F109" s="27"/>
      <c r="G109" s="27">
        <f t="shared" si="12"/>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3">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3"/>
        <v>5.6962584444105273</v>
      </c>
      <c r="H115" s="15"/>
      <c r="I115" s="15"/>
      <c r="J115" s="15"/>
      <c r="K115" s="15"/>
    </row>
    <row r="116" spans="1:11" x14ac:dyDescent="0.25">
      <c r="A116" s="15"/>
      <c r="B116" s="16" t="s">
        <v>87</v>
      </c>
      <c r="C116" s="45">
        <v>-1</v>
      </c>
      <c r="D116" s="3">
        <f>1.5</f>
        <v>1.5</v>
      </c>
      <c r="E116" s="3">
        <v>0.35</v>
      </c>
      <c r="F116" s="3">
        <f>(7-3.5)/3.281</f>
        <v>1.0667479427003961</v>
      </c>
      <c r="G116" s="3">
        <f t="shared" si="13"/>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3"/>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4">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4"/>
        <v>-4.5518046930221097</v>
      </c>
      <c r="H131" s="15"/>
      <c r="I131" s="15"/>
      <c r="J131" s="15"/>
      <c r="K131" s="15"/>
    </row>
    <row r="132" spans="1:11" x14ac:dyDescent="0.25">
      <c r="A132" s="15"/>
      <c r="B132" s="16" t="s">
        <v>124</v>
      </c>
      <c r="C132" s="45">
        <v>2</v>
      </c>
      <c r="D132" s="3">
        <f>D52</f>
        <v>2.7811642791831757</v>
      </c>
      <c r="E132" s="3">
        <f>E52</f>
        <v>3.2002438281011885</v>
      </c>
      <c r="F132" s="3"/>
      <c r="G132" s="3">
        <f t="shared" si="14"/>
        <v>17.800807638782896</v>
      </c>
      <c r="H132" s="15"/>
      <c r="I132" s="15"/>
      <c r="J132" s="15"/>
      <c r="K132" s="15"/>
    </row>
    <row r="133" spans="1:11" x14ac:dyDescent="0.25">
      <c r="A133" s="15"/>
      <c r="B133" s="16"/>
      <c r="C133" s="45">
        <v>2</v>
      </c>
      <c r="D133" s="3">
        <f>D53</f>
        <v>2.3239865894544347</v>
      </c>
      <c r="E133" s="3">
        <f>E53</f>
        <v>2.895458701615361</v>
      </c>
      <c r="F133" s="3"/>
      <c r="G133" s="3">
        <f t="shared" si="14"/>
        <v>13.458014385746496</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102.11419941902254</v>
      </c>
      <c r="H138" s="21" t="s">
        <v>34</v>
      </c>
      <c r="I138" s="2">
        <v>415.5</v>
      </c>
      <c r="J138" s="22">
        <f>G138*I138</f>
        <v>42428.449858603868</v>
      </c>
      <c r="K138" s="20"/>
    </row>
    <row r="139" spans="1:11" s="10" customFormat="1" x14ac:dyDescent="0.25">
      <c r="A139" s="24"/>
      <c r="B139" s="25" t="s">
        <v>32</v>
      </c>
      <c r="C139" s="26"/>
      <c r="D139" s="27"/>
      <c r="E139" s="27"/>
      <c r="F139" s="27"/>
      <c r="G139" s="27"/>
      <c r="H139" s="26"/>
      <c r="I139" s="26"/>
      <c r="J139" s="22">
        <f>0.13*G138*7010.67/100</f>
        <v>930.65564077324643</v>
      </c>
      <c r="K139" s="26"/>
    </row>
    <row r="140" spans="1:11" x14ac:dyDescent="0.25">
      <c r="A140" s="15"/>
      <c r="B140" s="25" t="s">
        <v>31</v>
      </c>
      <c r="C140" s="26"/>
      <c r="D140" s="27"/>
      <c r="E140" s="27"/>
      <c r="F140" s="27"/>
      <c r="G140" s="27"/>
      <c r="H140" s="26"/>
      <c r="I140" s="26"/>
      <c r="J140" s="22">
        <f>0.13*G138*4639.73/100</f>
        <v>615.91700881154782</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97.699285673213325</v>
      </c>
      <c r="H152" s="15"/>
      <c r="I152" s="15"/>
      <c r="J152" s="15"/>
      <c r="K152" s="15"/>
    </row>
    <row r="153" spans="1:11" s="10" customFormat="1" ht="15" customHeight="1" x14ac:dyDescent="0.25">
      <c r="A153" s="17"/>
      <c r="B153" s="18" t="s">
        <v>16</v>
      </c>
      <c r="C153" s="19"/>
      <c r="D153" s="1"/>
      <c r="E153" s="20"/>
      <c r="F153" s="20"/>
      <c r="G153" s="2">
        <f>SUM(G152:G152)</f>
        <v>97.699285673213325</v>
      </c>
      <c r="H153" s="21" t="s">
        <v>34</v>
      </c>
      <c r="I153" s="2">
        <v>253.8</v>
      </c>
      <c r="J153" s="22">
        <f>G153*I153</f>
        <v>24796.078703861542</v>
      </c>
      <c r="K153" s="20"/>
    </row>
    <row r="154" spans="1:11" s="10" customFormat="1" x14ac:dyDescent="0.25">
      <c r="A154" s="24"/>
      <c r="B154" s="25" t="s">
        <v>60</v>
      </c>
      <c r="C154" s="26"/>
      <c r="D154" s="27"/>
      <c r="E154" s="27"/>
      <c r="F154" s="27"/>
      <c r="G154" s="27"/>
      <c r="H154" s="26"/>
      <c r="I154" s="26"/>
      <c r="J154" s="22">
        <f>0.13*G153*2304/100</f>
        <v>292.62890044840856</v>
      </c>
      <c r="K154" s="26"/>
    </row>
    <row r="155" spans="1:11" s="10" customFormat="1" x14ac:dyDescent="0.25">
      <c r="A155" s="24"/>
      <c r="B155" s="25" t="s">
        <v>61</v>
      </c>
      <c r="C155" s="26"/>
      <c r="D155" s="27"/>
      <c r="E155" s="27"/>
      <c r="F155" s="27"/>
      <c r="G155" s="27"/>
      <c r="H155" s="26"/>
      <c r="I155" s="26"/>
      <c r="J155" s="22">
        <f>0.13*G153*10432/100</f>
        <v>1324.95863258585</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96</v>
      </c>
      <c r="C164" s="26"/>
      <c r="D164" s="27"/>
      <c r="E164" s="27"/>
      <c r="F164" s="27"/>
      <c r="G164" s="27"/>
      <c r="H164" s="26"/>
      <c r="I164" s="26"/>
      <c r="J164" s="22"/>
      <c r="K164" s="26"/>
    </row>
    <row r="165" spans="1:11" x14ac:dyDescent="0.25">
      <c r="A165" s="15"/>
      <c r="B165" s="16" t="s">
        <v>97</v>
      </c>
      <c r="C165" s="45">
        <v>1</v>
      </c>
      <c r="D165" s="3">
        <f>D116</f>
        <v>1.5</v>
      </c>
      <c r="E165" s="3"/>
      <c r="F165" s="3">
        <f>F116</f>
        <v>1.0667479427003961</v>
      </c>
      <c r="G165" s="3">
        <f>PRODUCT(C165:F165)</f>
        <v>1.600121914050594</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25">
      <c r="A168" s="24"/>
      <c r="B168" s="25" t="s">
        <v>99</v>
      </c>
      <c r="C168" s="26"/>
      <c r="D168" s="27"/>
      <c r="E168" s="27"/>
      <c r="F168" s="27"/>
      <c r="G168" s="27"/>
      <c r="H168" s="26"/>
      <c r="I168" s="26"/>
      <c r="J168" s="22">
        <f>0.13*G167*7910.91/0.92</f>
        <v>4332.7981313104001</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5">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16">PRODUCT(C182:F182)</f>
        <v>1</v>
      </c>
      <c r="H182" s="21" t="s">
        <v>30</v>
      </c>
      <c r="I182" s="2">
        <v>50000</v>
      </c>
      <c r="J182" s="21">
        <f>G182*I182</f>
        <v>50000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17">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782529.08228293457</v>
      </c>
      <c r="K186" s="36"/>
    </row>
    <row r="187" spans="1:11" s="10" customFormat="1" x14ac:dyDescent="0.25"/>
    <row r="188" spans="1:11" s="44" customFormat="1" x14ac:dyDescent="0.25">
      <c r="A188" s="37"/>
      <c r="B188" s="38" t="s">
        <v>19</v>
      </c>
      <c r="C188" s="69">
        <f>J186</f>
        <v>782529.08228293457</v>
      </c>
      <c r="D188" s="70"/>
      <c r="E188" s="39">
        <v>100</v>
      </c>
      <c r="F188" s="37"/>
      <c r="G188" s="40"/>
      <c r="H188" s="37"/>
      <c r="I188" s="41"/>
      <c r="J188" s="42"/>
      <c r="K188" s="43"/>
    </row>
    <row r="189" spans="1:11" s="10" customFormat="1" x14ac:dyDescent="0.25">
      <c r="B189" s="38" t="s">
        <v>21</v>
      </c>
      <c r="C189" s="73">
        <v>700000</v>
      </c>
      <c r="D189" s="74"/>
      <c r="E189" s="39"/>
    </row>
    <row r="190" spans="1:11" s="10" customFormat="1" x14ac:dyDescent="0.25">
      <c r="B190" s="38" t="s">
        <v>22</v>
      </c>
      <c r="C190" s="73">
        <f>C189-C192-C193</f>
        <v>665000</v>
      </c>
      <c r="D190" s="74"/>
      <c r="E190" s="39">
        <f>C190/C188*100</f>
        <v>84.980867172366601</v>
      </c>
    </row>
    <row r="191" spans="1:11" s="10" customFormat="1" x14ac:dyDescent="0.25">
      <c r="B191" s="38" t="s">
        <v>26</v>
      </c>
      <c r="C191" s="75">
        <f>C188-C190</f>
        <v>117529.08228293457</v>
      </c>
      <c r="D191" s="75"/>
      <c r="E191" s="39">
        <f>100-E190</f>
        <v>15.019132827633399</v>
      </c>
    </row>
    <row r="192" spans="1:11" s="10" customFormat="1" x14ac:dyDescent="0.25">
      <c r="B192" s="38" t="s">
        <v>23</v>
      </c>
      <c r="C192" s="69">
        <f>C189*0.03</f>
        <v>21000</v>
      </c>
      <c r="D192" s="70"/>
      <c r="E192" s="39">
        <v>3</v>
      </c>
    </row>
    <row r="193" spans="2:5" s="10" customFormat="1" x14ac:dyDescent="0.25">
      <c r="B193" s="38" t="s">
        <v>24</v>
      </c>
      <c r="C193" s="69">
        <f>C189*0.02</f>
        <v>14000</v>
      </c>
      <c r="D193" s="70"/>
      <c r="E193" s="39">
        <v>2</v>
      </c>
    </row>
  </sheetData>
  <mergeCells count="15">
    <mergeCell ref="C192:D192"/>
    <mergeCell ref="C193:D193"/>
    <mergeCell ref="A7:F7"/>
    <mergeCell ref="H7:K7"/>
    <mergeCell ref="C188:D188"/>
    <mergeCell ref="C189:D189"/>
    <mergeCell ref="C190:D190"/>
    <mergeCell ref="C191:D191"/>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initial 2 storey</vt:lpstr>
      <vt:lpstr>Sheet1</vt:lpstr>
      <vt:lpstr>2.5' ht</vt:lpstr>
      <vt:lpstr>total slope</vt:lpstr>
      <vt:lpstr>'2.5'' ht'!Print_Area</vt:lpstr>
      <vt:lpstr>'initial 2 storey'!Print_Area</vt:lpstr>
      <vt:lpstr>'total slope'!Print_Area</vt:lpstr>
      <vt:lpstr>'2.5'' ht'!Print_Titles</vt:lpstr>
      <vt:lpstr>'initial 2 storey'!Print_Titles</vt:lpstr>
      <vt:lpstr>'total slope'!Print_Titles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2026-03-11T02:15:56Z</dcterms:modified>
</cp:coreProperties>
</file>