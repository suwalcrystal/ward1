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24226"/>
  <xr:revisionPtr revIDLastSave="0" documentId="13_ncr:1_{D8883805-A7E4-4379-A8A4-D6AD1AA9F4DD}" xr6:coauthVersionLast="47" xr6:coauthVersionMax="47" xr10:uidLastSave="{00000000-0000-0000-0000-000000000000}"/>
  <bookViews>
    <workbookView xWindow="-120" yWindow="-120" windowWidth="20730" windowHeight="11040" xr2:uid="{00000000-000D-0000-FFFF-FFFF00000000}"/>
  </bookViews>
  <sheets>
    <sheet name="bhotange chihaanpaati" sheetId="14" r:id="rId1"/>
    <sheet name="chihaan" sheetId="15" r:id="rId2"/>
    <sheet name="Sheet1" sheetId="16" r:id="rId3"/>
  </sheets>
  <externalReferences>
    <externalReference r:id="rId4"/>
    <externalReference r:id="rId5"/>
    <externalReference r:id="rId6"/>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'bhotange chihaanpaati'!$A$1:$K$124</definedName>
    <definedName name="_xlnm.Print_Area" localSheetId="1">chihaan!$A$1:$K$202</definedName>
    <definedName name="_xlnm.Print_Titles" localSheetId="0">'bhotange chihaanpaati'!$1:$8</definedName>
    <definedName name="_xlnm.Print_Titles" localSheetId="1">chihaan!$1:$8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3" i="14" l="1"/>
  <c r="C43" i="14"/>
  <c r="B43" i="14"/>
  <c r="G27" i="14"/>
  <c r="F27" i="14"/>
  <c r="F43" i="14" s="1"/>
  <c r="G43" i="14" s="1"/>
  <c r="C63" i="14"/>
  <c r="D64" i="14"/>
  <c r="D63" i="14"/>
  <c r="E64" i="14"/>
  <c r="E63" i="14"/>
  <c r="E62" i="14"/>
  <c r="D62" i="14"/>
  <c r="F62" i="14" s="1"/>
  <c r="G62" i="14" s="1"/>
  <c r="E59" i="14"/>
  <c r="E60" i="14"/>
  <c r="E61" i="14"/>
  <c r="B57" i="14"/>
  <c r="E58" i="14"/>
  <c r="D58" i="14"/>
  <c r="E57" i="14"/>
  <c r="E56" i="14"/>
  <c r="D56" i="14"/>
  <c r="E55" i="14"/>
  <c r="D54" i="14"/>
  <c r="D52" i="14"/>
  <c r="E54" i="14"/>
  <c r="E53" i="14"/>
  <c r="E51" i="14"/>
  <c r="E52" i="14"/>
  <c r="F38" i="14"/>
  <c r="F39" i="14"/>
  <c r="F40" i="14"/>
  <c r="F37" i="14"/>
  <c r="B39" i="14"/>
  <c r="B55" i="14" s="1"/>
  <c r="C39" i="14"/>
  <c r="C40" i="14"/>
  <c r="C57" i="14" s="1"/>
  <c r="B41" i="14"/>
  <c r="B59" i="14" s="1"/>
  <c r="C41" i="14"/>
  <c r="C42" i="14"/>
  <c r="D26" i="14"/>
  <c r="E26" i="14"/>
  <c r="E42" i="14" s="1"/>
  <c r="D61" i="14" s="1"/>
  <c r="E25" i="14"/>
  <c r="E41" i="14" s="1"/>
  <c r="D25" i="14"/>
  <c r="D24" i="14"/>
  <c r="D23" i="14"/>
  <c r="C11" i="14"/>
  <c r="C10" i="14"/>
  <c r="F84" i="14"/>
  <c r="F83" i="14"/>
  <c r="C22" i="14"/>
  <c r="C38" i="14" s="1"/>
  <c r="D22" i="14"/>
  <c r="D21" i="14"/>
  <c r="D51" i="14" s="1"/>
  <c r="D11" i="14"/>
  <c r="D10" i="14"/>
  <c r="C77" i="14"/>
  <c r="E70" i="14"/>
  <c r="E77" i="14" s="1"/>
  <c r="D70" i="14"/>
  <c r="D77" i="14" s="1"/>
  <c r="F96" i="14"/>
  <c r="F95" i="14"/>
  <c r="F94" i="14"/>
  <c r="D95" i="14"/>
  <c r="D94" i="14"/>
  <c r="B96" i="14"/>
  <c r="C96" i="14"/>
  <c r="D86" i="14"/>
  <c r="F86" i="14"/>
  <c r="F85" i="14"/>
  <c r="D85" i="14"/>
  <c r="D96" i="14" s="1"/>
  <c r="D84" i="14"/>
  <c r="D83" i="14"/>
  <c r="C64" i="14" l="1"/>
  <c r="F64" i="14" s="1"/>
  <c r="G64" i="14" s="1"/>
  <c r="F63" i="14"/>
  <c r="G63" i="14" s="1"/>
  <c r="D60" i="14"/>
  <c r="C59" i="14"/>
  <c r="C55" i="14"/>
  <c r="C53" i="14"/>
  <c r="D57" i="14"/>
  <c r="F57" i="14" s="1"/>
  <c r="G57" i="14" s="1"/>
  <c r="D40" i="14"/>
  <c r="D55" i="14"/>
  <c r="D39" i="14"/>
  <c r="G22" i="14"/>
  <c r="D53" i="14"/>
  <c r="D38" i="14"/>
  <c r="D42" i="14"/>
  <c r="G26" i="14"/>
  <c r="G25" i="14"/>
  <c r="D41" i="14"/>
  <c r="C60" i="14" s="1"/>
  <c r="G24" i="14"/>
  <c r="G23" i="14"/>
  <c r="G11" i="14"/>
  <c r="G10" i="14"/>
  <c r="G96" i="14"/>
  <c r="G85" i="14"/>
  <c r="D15" i="15"/>
  <c r="D20" i="15"/>
  <c r="E66" i="15"/>
  <c r="E65" i="15"/>
  <c r="C66" i="15"/>
  <c r="C65" i="15"/>
  <c r="B46" i="15"/>
  <c r="B65" i="15" s="1"/>
  <c r="E20" i="15"/>
  <c r="E15" i="15" s="1"/>
  <c r="E29" i="15"/>
  <c r="F55" i="14" l="1"/>
  <c r="G55" i="14" s="1"/>
  <c r="F60" i="14"/>
  <c r="G60" i="14" s="1"/>
  <c r="F53" i="14"/>
  <c r="G53" i="14" s="1"/>
  <c r="G42" i="14"/>
  <c r="C61" i="14"/>
  <c r="F61" i="14" s="1"/>
  <c r="G61" i="14" s="1"/>
  <c r="G41" i="14"/>
  <c r="D59" i="14"/>
  <c r="F59" i="14" s="1"/>
  <c r="G59" i="14" s="1"/>
  <c r="C58" i="14"/>
  <c r="F58" i="14" s="1"/>
  <c r="G58" i="14" s="1"/>
  <c r="G40" i="14"/>
  <c r="G39" i="14"/>
  <c r="C56" i="14"/>
  <c r="F56" i="14" s="1"/>
  <c r="G56" i="14" s="1"/>
  <c r="C54" i="14"/>
  <c r="F54" i="14" s="1"/>
  <c r="G54" i="14" s="1"/>
  <c r="G38" i="14"/>
  <c r="G12" i="14"/>
  <c r="G29" i="15" l="1"/>
  <c r="G30" i="15" s="1"/>
  <c r="J35" i="15" s="1"/>
  <c r="G15" i="15"/>
  <c r="G16" i="15" s="1"/>
  <c r="B15" i="15"/>
  <c r="B20" i="15" s="1"/>
  <c r="B29" i="15" s="1"/>
  <c r="J33" i="15" l="1"/>
  <c r="J31" i="15"/>
  <c r="J34" i="15"/>
  <c r="J32" i="15"/>
  <c r="G20" i="15"/>
  <c r="G21" i="15" s="1"/>
  <c r="J30" i="15"/>
  <c r="J17" i="15"/>
  <c r="J16" i="15"/>
  <c r="J23" i="15" l="1"/>
  <c r="J22" i="15"/>
  <c r="J21" i="15"/>
  <c r="J24" i="15"/>
  <c r="J25" i="15"/>
  <c r="J26" i="15"/>
  <c r="G10" i="15" l="1"/>
  <c r="G11" i="15" s="1"/>
  <c r="J12" i="15" l="1"/>
  <c r="J11" i="15"/>
  <c r="B51" i="14" l="1"/>
  <c r="B94" i="14"/>
  <c r="B70" i="14"/>
  <c r="C64" i="15"/>
  <c r="B64" i="15"/>
  <c r="D171" i="15" l="1"/>
  <c r="D172" i="15"/>
  <c r="D185" i="15"/>
  <c r="D184" i="15"/>
  <c r="B164" i="15" l="1"/>
  <c r="B184" i="15" s="1"/>
  <c r="C164" i="15"/>
  <c r="C184" i="15" s="1"/>
  <c r="G184" i="15" s="1"/>
  <c r="C165" i="15"/>
  <c r="C185" i="15" s="1"/>
  <c r="G185" i="15" s="1"/>
  <c r="C163" i="15"/>
  <c r="B163" i="15"/>
  <c r="C162" i="15"/>
  <c r="C183" i="15" s="1"/>
  <c r="E162" i="15"/>
  <c r="C161" i="15"/>
  <c r="C182" i="15" s="1"/>
  <c r="E161" i="15"/>
  <c r="B161" i="15"/>
  <c r="B182" i="15" s="1"/>
  <c r="C160" i="15"/>
  <c r="B160" i="15"/>
  <c r="F159" i="15"/>
  <c r="D159" i="15"/>
  <c r="D158" i="15"/>
  <c r="F158" i="15"/>
  <c r="F157" i="15"/>
  <c r="D157" i="15"/>
  <c r="D155" i="15"/>
  <c r="D156" i="15"/>
  <c r="F156" i="15"/>
  <c r="D148" i="15"/>
  <c r="C149" i="15" s="1"/>
  <c r="D149" i="15"/>
  <c r="C148" i="15" s="1"/>
  <c r="D147" i="15"/>
  <c r="C146" i="15" s="1"/>
  <c r="D146" i="15"/>
  <c r="C147" i="15" s="1"/>
  <c r="E149" i="15"/>
  <c r="E148" i="15"/>
  <c r="E147" i="15"/>
  <c r="E146" i="15"/>
  <c r="E145" i="15"/>
  <c r="E144" i="15"/>
  <c r="D142" i="15"/>
  <c r="C143" i="15" s="1"/>
  <c r="C142" i="15"/>
  <c r="C140" i="15"/>
  <c r="D140" i="15"/>
  <c r="C141" i="15" s="1"/>
  <c r="C137" i="15"/>
  <c r="E137" i="15"/>
  <c r="D137" i="15"/>
  <c r="D131" i="15"/>
  <c r="E136" i="15"/>
  <c r="D136" i="15"/>
  <c r="C136" i="15"/>
  <c r="D135" i="15"/>
  <c r="D134" i="15"/>
  <c r="E135" i="15"/>
  <c r="D133" i="15"/>
  <c r="C134" i="15" s="1"/>
  <c r="C135" i="15" s="1"/>
  <c r="C131" i="15"/>
  <c r="C129" i="15"/>
  <c r="E129" i="15"/>
  <c r="D129" i="15"/>
  <c r="D130" i="15"/>
  <c r="E130" i="15"/>
  <c r="C127" i="15"/>
  <c r="D127" i="15"/>
  <c r="D126" i="15"/>
  <c r="D125" i="15"/>
  <c r="D124" i="15"/>
  <c r="C125" i="15" s="1"/>
  <c r="D123" i="15"/>
  <c r="C123" i="15"/>
  <c r="F106" i="15"/>
  <c r="D106" i="15"/>
  <c r="C106" i="15"/>
  <c r="D84" i="15"/>
  <c r="D160" i="15" s="1"/>
  <c r="D88" i="15"/>
  <c r="D163" i="15" s="1"/>
  <c r="F110" i="15"/>
  <c r="B108" i="15"/>
  <c r="C108" i="15"/>
  <c r="E108" i="15"/>
  <c r="C109" i="15"/>
  <c r="E109" i="15"/>
  <c r="B110" i="15"/>
  <c r="B159" i="15" s="1"/>
  <c r="B111" i="15"/>
  <c r="B144" i="15" s="1"/>
  <c r="C111" i="15"/>
  <c r="B112" i="15"/>
  <c r="C112" i="15"/>
  <c r="C113" i="15"/>
  <c r="D90" i="15"/>
  <c r="D113" i="15" s="1"/>
  <c r="D89" i="15"/>
  <c r="D112" i="15" s="1"/>
  <c r="E90" i="15"/>
  <c r="E113" i="15" s="1"/>
  <c r="E89" i="15"/>
  <c r="E112" i="15" s="1"/>
  <c r="F101" i="15"/>
  <c r="E88" i="15"/>
  <c r="E111" i="15" s="1"/>
  <c r="D145" i="15" s="1"/>
  <c r="C144" i="15" s="1"/>
  <c r="E84" i="15"/>
  <c r="E107" i="15" s="1"/>
  <c r="D139" i="15" s="1"/>
  <c r="C138" i="15" s="1"/>
  <c r="D87" i="15"/>
  <c r="D110" i="15" s="1"/>
  <c r="C87" i="15"/>
  <c r="D83" i="15"/>
  <c r="C83" i="15"/>
  <c r="F81" i="15"/>
  <c r="Q4" i="16"/>
  <c r="E79" i="15"/>
  <c r="D79" i="15"/>
  <c r="F78" i="15"/>
  <c r="E78" i="15"/>
  <c r="E77" i="15"/>
  <c r="D77" i="15"/>
  <c r="P4" i="16"/>
  <c r="F76" i="15"/>
  <c r="E76" i="15"/>
  <c r="C121" i="15" s="1"/>
  <c r="D76" i="15"/>
  <c r="C122" i="15" s="1"/>
  <c r="E53" i="15"/>
  <c r="D53" i="15"/>
  <c r="E43" i="15"/>
  <c r="D43" i="15"/>
  <c r="F38" i="15"/>
  <c r="E38" i="15"/>
  <c r="D38" i="15"/>
  <c r="L4" i="16"/>
  <c r="N4" i="16"/>
  <c r="F4" i="16"/>
  <c r="E4" i="16"/>
  <c r="M4" i="16" s="1"/>
  <c r="I4" i="16"/>
  <c r="D174" i="15" s="1"/>
  <c r="G174" i="15" s="1"/>
  <c r="H4" i="16"/>
  <c r="F172" i="15"/>
  <c r="F155" i="15" l="1"/>
  <c r="F79" i="15"/>
  <c r="F102" i="15"/>
  <c r="F77" i="15"/>
  <c r="F100" i="15"/>
  <c r="D85" i="15"/>
  <c r="D108" i="15" s="1"/>
  <c r="G108" i="15" s="1"/>
  <c r="D86" i="15"/>
  <c r="D109" i="15" s="1"/>
  <c r="G109" i="15" s="1"/>
  <c r="K4" i="16"/>
  <c r="R4" i="16"/>
  <c r="D46" i="15"/>
  <c r="D47" i="15"/>
  <c r="D173" i="15"/>
  <c r="G173" i="15" s="1"/>
  <c r="D183" i="15"/>
  <c r="G183" i="15" s="1"/>
  <c r="D182" i="15"/>
  <c r="G182" i="15" s="1"/>
  <c r="G186" i="15" s="1"/>
  <c r="E164" i="15"/>
  <c r="D164" i="15"/>
  <c r="E165" i="15"/>
  <c r="D165" i="15"/>
  <c r="D162" i="15"/>
  <c r="E163" i="15"/>
  <c r="G163" i="15" s="1"/>
  <c r="G159" i="15"/>
  <c r="D161" i="15"/>
  <c r="E160" i="15"/>
  <c r="G160" i="15" s="1"/>
  <c r="G157" i="15"/>
  <c r="G158" i="15"/>
  <c r="F135" i="15"/>
  <c r="G135" i="15" s="1"/>
  <c r="F146" i="15"/>
  <c r="G146" i="15" s="1"/>
  <c r="F137" i="15"/>
  <c r="G137" i="15" s="1"/>
  <c r="F148" i="15"/>
  <c r="G148" i="15" s="1"/>
  <c r="F129" i="15"/>
  <c r="G129" i="15" s="1"/>
  <c r="F136" i="15"/>
  <c r="G136" i="15" s="1"/>
  <c r="F147" i="15"/>
  <c r="G147" i="15" s="1"/>
  <c r="F149" i="15"/>
  <c r="G149" i="15" s="1"/>
  <c r="G106" i="15"/>
  <c r="G87" i="15"/>
  <c r="C126" i="15"/>
  <c r="G88" i="15"/>
  <c r="G113" i="15"/>
  <c r="C110" i="15"/>
  <c r="G110" i="15" s="1"/>
  <c r="G112" i="15"/>
  <c r="G90" i="15"/>
  <c r="D111" i="15"/>
  <c r="G83" i="15"/>
  <c r="G172" i="15"/>
  <c r="G89" i="15"/>
  <c r="C202" i="15"/>
  <c r="C201" i="15"/>
  <c r="G193" i="15"/>
  <c r="J193" i="15" s="1"/>
  <c r="G191" i="15"/>
  <c r="J191" i="15" s="1"/>
  <c r="I175" i="15"/>
  <c r="B171" i="15"/>
  <c r="C155" i="15"/>
  <c r="E143" i="15"/>
  <c r="F143" i="15" s="1"/>
  <c r="G143" i="15" s="1"/>
  <c r="E142" i="15"/>
  <c r="F142" i="15" s="1"/>
  <c r="G142" i="15" s="1"/>
  <c r="E141" i="15"/>
  <c r="F141" i="15" s="1"/>
  <c r="G141" i="15" s="1"/>
  <c r="E140" i="15"/>
  <c r="F140" i="15" s="1"/>
  <c r="G140" i="15" s="1"/>
  <c r="E139" i="15"/>
  <c r="E138" i="15"/>
  <c r="E134" i="15"/>
  <c r="F134" i="15" s="1"/>
  <c r="G134" i="15" s="1"/>
  <c r="E133" i="15"/>
  <c r="E132" i="15"/>
  <c r="D132" i="15"/>
  <c r="E131" i="15"/>
  <c r="F131" i="15" s="1"/>
  <c r="G131" i="15" s="1"/>
  <c r="E128" i="15"/>
  <c r="D128" i="15"/>
  <c r="E127" i="15"/>
  <c r="F127" i="15" s="1"/>
  <c r="G127" i="15" s="1"/>
  <c r="E126" i="15"/>
  <c r="E125" i="15"/>
  <c r="F125" i="15" s="1"/>
  <c r="G125" i="15" s="1"/>
  <c r="E124" i="15"/>
  <c r="C124" i="15"/>
  <c r="E123" i="15"/>
  <c r="F123" i="15" s="1"/>
  <c r="G123" i="15" s="1"/>
  <c r="E122" i="15"/>
  <c r="F122" i="15" s="1"/>
  <c r="G122" i="15" s="1"/>
  <c r="E121" i="15"/>
  <c r="D121" i="15"/>
  <c r="C107" i="15"/>
  <c r="B107" i="15"/>
  <c r="B138" i="15" s="1"/>
  <c r="F105" i="15"/>
  <c r="C105" i="15"/>
  <c r="C133" i="15" s="1"/>
  <c r="B105" i="15"/>
  <c r="F104" i="15"/>
  <c r="C104" i="15"/>
  <c r="B104" i="15"/>
  <c r="B131" i="15" s="1"/>
  <c r="F103" i="15"/>
  <c r="C103" i="15"/>
  <c r="B103" i="15"/>
  <c r="D102" i="15"/>
  <c r="C102" i="15"/>
  <c r="B102" i="15"/>
  <c r="B101" i="15"/>
  <c r="B127" i="15" s="1"/>
  <c r="C100" i="15"/>
  <c r="B100" i="15"/>
  <c r="D82" i="15"/>
  <c r="D105" i="15" s="1"/>
  <c r="D100" i="15"/>
  <c r="G76" i="15"/>
  <c r="E44" i="15"/>
  <c r="E54" i="15" s="1"/>
  <c r="E80" i="15" s="1"/>
  <c r="C44" i="15"/>
  <c r="C54" i="15" s="1"/>
  <c r="C78" i="15" s="1"/>
  <c r="B44" i="15"/>
  <c r="B54" i="15" s="1"/>
  <c r="C43" i="15"/>
  <c r="C53" i="15" s="1"/>
  <c r="B43" i="15"/>
  <c r="B53" i="15" s="1"/>
  <c r="B76" i="15" s="1"/>
  <c r="B121" i="15" s="1"/>
  <c r="G38" i="15"/>
  <c r="C124" i="14"/>
  <c r="C123" i="14"/>
  <c r="G115" i="14"/>
  <c r="J115" i="14" s="1"/>
  <c r="G113" i="14"/>
  <c r="J113" i="14" s="1"/>
  <c r="I87" i="14"/>
  <c r="F97" i="14"/>
  <c r="D97" i="14"/>
  <c r="B77" i="14"/>
  <c r="C97" i="14"/>
  <c r="B97" i="14"/>
  <c r="C103" i="14"/>
  <c r="C37" i="14"/>
  <c r="C51" i="14" s="1"/>
  <c r="B37" i="14"/>
  <c r="B53" i="14" s="1"/>
  <c r="D37" i="14"/>
  <c r="C52" i="14" s="1"/>
  <c r="D44" i="15" l="1"/>
  <c r="U4" i="16"/>
  <c r="D39" i="15"/>
  <c r="G39" i="15" s="1"/>
  <c r="G40" i="15" s="1"/>
  <c r="J40" i="15" s="1"/>
  <c r="D54" i="15"/>
  <c r="D80" i="15"/>
  <c r="D101" i="15"/>
  <c r="D81" i="15"/>
  <c r="D78" i="15"/>
  <c r="G78" i="15" s="1"/>
  <c r="D45" i="15"/>
  <c r="G46" i="15"/>
  <c r="D65" i="15"/>
  <c r="G65" i="15" s="1"/>
  <c r="D66" i="15"/>
  <c r="G66" i="15" s="1"/>
  <c r="G47" i="15"/>
  <c r="J189" i="15"/>
  <c r="J186" i="15"/>
  <c r="G94" i="14"/>
  <c r="G95" i="14"/>
  <c r="J188" i="15"/>
  <c r="J187" i="15"/>
  <c r="B129" i="15"/>
  <c r="G83" i="14"/>
  <c r="C121" i="14"/>
  <c r="F51" i="14"/>
  <c r="G51" i="14" s="1"/>
  <c r="F52" i="14"/>
  <c r="G52" i="14" s="1"/>
  <c r="G86" i="14"/>
  <c r="G84" i="14"/>
  <c r="G37" i="14"/>
  <c r="G44" i="14" s="1"/>
  <c r="G161" i="15"/>
  <c r="G162" i="15"/>
  <c r="G165" i="15"/>
  <c r="G164" i="15"/>
  <c r="F126" i="15"/>
  <c r="G126" i="15" s="1"/>
  <c r="F124" i="15"/>
  <c r="G124" i="15" s="1"/>
  <c r="F133" i="15"/>
  <c r="G133" i="15" s="1"/>
  <c r="F121" i="15"/>
  <c r="G121" i="15" s="1"/>
  <c r="B133" i="15"/>
  <c r="B156" i="15"/>
  <c r="G111" i="15"/>
  <c r="D144" i="15"/>
  <c r="G84" i="15"/>
  <c r="G79" i="15"/>
  <c r="G86" i="15"/>
  <c r="G85" i="15"/>
  <c r="G156" i="15"/>
  <c r="G105" i="15"/>
  <c r="D107" i="15"/>
  <c r="D138" i="15" s="1"/>
  <c r="F138" i="15" s="1"/>
  <c r="G138" i="15" s="1"/>
  <c r="G53" i="15"/>
  <c r="C199" i="15"/>
  <c r="G102" i="15"/>
  <c r="C171" i="15"/>
  <c r="C101" i="15"/>
  <c r="G100" i="15"/>
  <c r="G155" i="15"/>
  <c r="G166" i="15" s="1"/>
  <c r="G77" i="15"/>
  <c r="G82" i="15"/>
  <c r="G43" i="15"/>
  <c r="G77" i="14"/>
  <c r="G78" i="14" s="1"/>
  <c r="G97" i="14"/>
  <c r="G70" i="14"/>
  <c r="G71" i="14" s="1"/>
  <c r="G21" i="14"/>
  <c r="G28" i="14" s="1"/>
  <c r="G98" i="14" l="1"/>
  <c r="J100" i="14" s="1"/>
  <c r="G65" i="14"/>
  <c r="G87" i="14"/>
  <c r="D64" i="15"/>
  <c r="E45" i="15"/>
  <c r="G103" i="14"/>
  <c r="G104" i="14" s="1"/>
  <c r="E64" i="15"/>
  <c r="G64" i="15" s="1"/>
  <c r="G67" i="15" s="1"/>
  <c r="J166" i="15"/>
  <c r="C145" i="15"/>
  <c r="F145" i="15" s="1"/>
  <c r="G145" i="15" s="1"/>
  <c r="F144" i="15"/>
  <c r="G144" i="15" s="1"/>
  <c r="C139" i="15"/>
  <c r="F139" i="15" s="1"/>
  <c r="G139" i="15" s="1"/>
  <c r="G45" i="15"/>
  <c r="G107" i="15"/>
  <c r="G54" i="15"/>
  <c r="G55" i="15" s="1"/>
  <c r="G44" i="15"/>
  <c r="G48" i="15" s="1"/>
  <c r="G171" i="15"/>
  <c r="G175" i="15" s="1"/>
  <c r="G101" i="15"/>
  <c r="J74" i="14"/>
  <c r="J73" i="14"/>
  <c r="J72" i="14"/>
  <c r="J71" i="14"/>
  <c r="J78" i="14"/>
  <c r="J80" i="14"/>
  <c r="J79" i="14"/>
  <c r="J175" i="15" l="1"/>
  <c r="J168" i="15"/>
  <c r="J17" i="14"/>
  <c r="J18" i="14"/>
  <c r="J16" i="14"/>
  <c r="J15" i="14"/>
  <c r="J14" i="14"/>
  <c r="J13" i="14"/>
  <c r="J50" i="15"/>
  <c r="J98" i="14"/>
  <c r="J99" i="14"/>
  <c r="J12" i="14"/>
  <c r="J106" i="14"/>
  <c r="J104" i="14"/>
  <c r="J105" i="14"/>
  <c r="J167" i="15"/>
  <c r="D103" i="15"/>
  <c r="G80" i="15"/>
  <c r="J178" i="15"/>
  <c r="J177" i="15"/>
  <c r="C128" i="15"/>
  <c r="F128" i="15" s="1"/>
  <c r="G128" i="15" s="1"/>
  <c r="J91" i="14"/>
  <c r="J90" i="14"/>
  <c r="J89" i="14"/>
  <c r="J88" i="14"/>
  <c r="J87" i="14"/>
  <c r="J176" i="15" l="1"/>
  <c r="J179" i="15"/>
  <c r="J73" i="15"/>
  <c r="J71" i="15"/>
  <c r="J72" i="15"/>
  <c r="J70" i="15"/>
  <c r="J69" i="15"/>
  <c r="J68" i="15"/>
  <c r="J67" i="15"/>
  <c r="C132" i="15"/>
  <c r="F132" i="15" s="1"/>
  <c r="G132" i="15" s="1"/>
  <c r="C130" i="15"/>
  <c r="J48" i="15"/>
  <c r="J49" i="15"/>
  <c r="G103" i="15"/>
  <c r="D104" i="15"/>
  <c r="G104" i="15" s="1"/>
  <c r="G81" i="15"/>
  <c r="G91" i="15" s="1"/>
  <c r="G114" i="15" l="1"/>
  <c r="F130" i="15"/>
  <c r="G130" i="15" s="1"/>
  <c r="J91" i="15"/>
  <c r="J97" i="15"/>
  <c r="J96" i="15"/>
  <c r="J95" i="15"/>
  <c r="J94" i="15"/>
  <c r="J93" i="15"/>
  <c r="J92" i="15"/>
  <c r="J47" i="14"/>
  <c r="J48" i="14"/>
  <c r="J46" i="14"/>
  <c r="J45" i="14"/>
  <c r="J44" i="14"/>
  <c r="J65" i="14"/>
  <c r="J67" i="14"/>
  <c r="J66" i="14"/>
  <c r="J34" i="14"/>
  <c r="J30" i="14"/>
  <c r="J33" i="14"/>
  <c r="J32" i="14"/>
  <c r="J31" i="14"/>
  <c r="J29" i="14"/>
  <c r="J28" i="14"/>
  <c r="J117" i="14" s="1"/>
  <c r="C119" i="14" l="1"/>
  <c r="G150" i="15"/>
  <c r="J151" i="15" s="1"/>
  <c r="J118" i="15"/>
  <c r="J117" i="15"/>
  <c r="J115" i="15"/>
  <c r="J116" i="15"/>
  <c r="J114" i="15"/>
  <c r="J152" i="15" l="1"/>
  <c r="J150" i="15"/>
  <c r="C122" i="14"/>
  <c r="E121" i="14"/>
  <c r="E122" i="14" s="1"/>
  <c r="J55" i="15" l="1"/>
  <c r="J58" i="15"/>
  <c r="J59" i="15"/>
  <c r="J56" i="15"/>
  <c r="J61" i="15"/>
  <c r="J60" i="15"/>
  <c r="J57" i="15"/>
  <c r="J195" i="15" l="1"/>
  <c r="C197" i="15" s="1"/>
  <c r="C200" i="15" s="1"/>
  <c r="E199" i="15" l="1"/>
  <c r="E200"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39" authorId="0" shapeId="0" xr:uid="{00000000-0006-0000-0200-000001000000}">
      <text>
        <r>
          <rPr>
            <b/>
            <sz val="9"/>
            <color indexed="81"/>
            <rFont val="Tahoma"/>
            <family val="2"/>
          </rPr>
          <t>Author:</t>
        </r>
        <r>
          <rPr>
            <sz val="9"/>
            <color indexed="81"/>
            <rFont val="Tahoma"/>
            <family val="2"/>
          </rPr>
          <t xml:space="preserve">
between footing size only</t>
        </r>
      </text>
    </comment>
  </commentList>
</comments>
</file>

<file path=xl/sharedStrings.xml><?xml version="1.0" encoding="utf-8"?>
<sst xmlns="http://schemas.openxmlformats.org/spreadsheetml/2006/main" count="290" uniqueCount="128">
  <si>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</si>
  <si>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</si>
  <si>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</si>
  <si>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</si>
  <si>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</si>
  <si>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</si>
  <si>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</si>
  <si>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</si>
  <si>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</si>
  <si>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</si>
  <si>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</si>
  <si>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</si>
  <si>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</si>
  <si>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</si>
  <si>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</si>
  <si>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</si>
  <si>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</si>
  <si>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</si>
  <si>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</si>
  <si>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</si>
  <si>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</si>
  <si>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</si>
  <si>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</si>
  <si>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</si>
  <si>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</si>
  <si>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</si>
  <si>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</si>
  <si>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</si>
  <si>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</si>
  <si>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</si>
  <si>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PS</t>
  </si>
  <si>
    <t>-13% VAT for sand</t>
  </si>
  <si>
    <t>-13% VAT for cement</t>
  </si>
  <si>
    <t>-13% VAT for aggregate</t>
  </si>
  <si>
    <t>sqm</t>
  </si>
  <si>
    <t>hu leQf kvf{ndf l;d]G6 s+lqm6 ug]{ sfd-lk=;L=;L= +!M#M^_</t>
  </si>
  <si>
    <t>-13% VAT for water</t>
  </si>
  <si>
    <t>cf/=;L=;L= nflu kmnfd] 808L sf6\g], df]8\g] #) dL6/ ;Dd</t>
  </si>
  <si>
    <t>-13% VAT for binding wire</t>
  </si>
  <si>
    <t>-13% VAT for TMT rod</t>
  </si>
  <si>
    <t>Unit Weight (Kg/m)</t>
  </si>
  <si>
    <t>Total Weight (Kg)</t>
  </si>
  <si>
    <t>MT</t>
  </si>
  <si>
    <t>d]lzgsf] k|of]u u/L ;'k/ :6«Sr/df l;d]G6 s+lqm6 ug]{ sfd -!M!=%M#_</t>
  </si>
  <si>
    <t>-13% VAT for diesel</t>
  </si>
  <si>
    <t>-13% VAT for petrol</t>
  </si>
  <si>
    <t>kmnfd]sf] kfOk / KnfOaf]8{af6 kmdf{ agfpg] sfd</t>
  </si>
  <si>
    <t>-13% VAT for plyboard</t>
  </si>
  <si>
    <t>-13% VAT for wood</t>
  </si>
  <si>
    <t>-13% VAT for iron props</t>
  </si>
  <si>
    <t>-13% VAT for nails</t>
  </si>
  <si>
    <t>l;d]G6 s+qmL6 ˆnf]l/Ë -!M@M$_ -#* dL=dL=_</t>
  </si>
  <si>
    <t>-for flooring</t>
  </si>
  <si>
    <t>!@=% dL=dL= l;d]G6 afn'jf -!M$_ Knfi6/</t>
  </si>
  <si>
    <t># dL=dL= df]6fO{ d;Lgf] l;d]G6 3f]6\g] sfd</t>
  </si>
  <si>
    <t>-13% VAT for brick</t>
  </si>
  <si>
    <t>g/d k|sf/sf] Sn] / l;N6L df6f]df ;j} lsl;dsf] vGg] sfd</t>
  </si>
  <si>
    <t>-for foundation</t>
  </si>
  <si>
    <t>;'Vvf O{6f RofK6f] 5fKg] sfd</t>
  </si>
  <si>
    <t>-for tie beam</t>
  </si>
  <si>
    <t>-for neck column</t>
  </si>
  <si>
    <t>-GF column</t>
  </si>
  <si>
    <t>-for beam</t>
  </si>
  <si>
    <t>e'O{+tNnfdf lrDgL e§fsf] O{+6fsf] uf/f] l;d]G6 d;nf -!M^_ df</t>
  </si>
  <si>
    <t>-13% VAT for sanda</t>
  </si>
  <si>
    <t>-deduction for window</t>
  </si>
  <si>
    <t>-for neck column to 1st floor</t>
  </si>
  <si>
    <t>-for binding stirrups</t>
  </si>
  <si>
    <t>.-for stirrups</t>
  </si>
  <si>
    <t xml:space="preserve"> Ps sf]6 k|fO{d/ ;lxt b'O{ sf]6 j]b/sf]6 k]G6 ug]{ sfd</t>
  </si>
  <si>
    <t>-13% VAT for aster</t>
  </si>
  <si>
    <t>-13% VAT for weather coat</t>
  </si>
  <si>
    <t>-for support beam</t>
  </si>
  <si>
    <t>-for column over support beam</t>
  </si>
  <si>
    <t>-for inclined slab</t>
  </si>
  <si>
    <t>-for cantilever</t>
  </si>
  <si>
    <t>Provisional sum for lab tests</t>
  </si>
  <si>
    <r>
      <t>Project:-</t>
    </r>
    <r>
      <rPr>
        <sz val="12"/>
        <rFont val="Preeti"/>
      </rPr>
      <t xml:space="preserve"> ef]tfª\u] lrxfgkfl6</t>
    </r>
  </si>
  <si>
    <t xml:space="preserve">Date:                  </t>
  </si>
  <si>
    <t>-for toe wall</t>
  </si>
  <si>
    <t>Foundation size</t>
  </si>
  <si>
    <t>Plinth size</t>
  </si>
  <si>
    <t>Depth</t>
  </si>
  <si>
    <t>Depth from GL</t>
  </si>
  <si>
    <t>Footing size</t>
  </si>
  <si>
    <t>Length in PL area</t>
  </si>
  <si>
    <t>Breadth in PL area</t>
  </si>
  <si>
    <t>Toe wall</t>
  </si>
  <si>
    <t>Length L1</t>
  </si>
  <si>
    <t>Length L2</t>
  </si>
  <si>
    <t>Ht. H1</t>
  </si>
  <si>
    <t>Ht. H2</t>
  </si>
  <si>
    <t>Tie beam size</t>
  </si>
  <si>
    <t>Width</t>
  </si>
  <si>
    <t>Column size</t>
  </si>
  <si>
    <t>Length/B</t>
  </si>
  <si>
    <t>Ht. above PL upto ceiling</t>
  </si>
  <si>
    <t>Ht. upto plinth</t>
  </si>
  <si>
    <t>-beam for inclined support</t>
  </si>
  <si>
    <t>-beam for top roof inclined support</t>
  </si>
  <si>
    <t>-top roof</t>
  </si>
  <si>
    <t>-at column</t>
  </si>
  <si>
    <t>Knfi6/ dfly @) dL=dL= afSnf] emNn/ jf kfgL k§L agfpg] sfd</t>
  </si>
  <si>
    <t>-13% VAT for water-proofing</t>
  </si>
  <si>
    <t>rm</t>
  </si>
  <si>
    <t>Provisional sum for unforseen works</t>
  </si>
  <si>
    <t>d]lzgsf] k|of]u u/L hu leQf kvf{ndf l;d]G6 s+lqm6 ug]{ sfd -!M@M$_</t>
  </si>
  <si>
    <t>-as plaster</t>
  </si>
  <si>
    <t>Earthwork Excavation in Cutting., Roadway Excavation in all types of Soil by Mechanical  Means ., Road way Excavation in  all types of soil as per Drawing and technical specifications  including  removal of stumps and other deleterious matter and backfilling, all lifts and lead as per Drawing and instruction of the Engineer.</t>
  </si>
  <si>
    <t>m3</t>
  </si>
  <si>
    <t>-13% VAT for materials</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</si>
  <si>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</si>
  <si>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</si>
  <si>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formworks</t>
  </si>
  <si>
    <t>Providing and laying Plum concrete ( Boulder mixed concrete) including form work and 110mm dia PN6 HDPE pipe for Weep hole as per Drawing and Specifications, 60% M 15  concrete and 40% boulders/stones, using Mechanical Aids</t>
  </si>
  <si>
    <t>-for wall</t>
  </si>
  <si>
    <t>-13% VAT for boulder</t>
  </si>
  <si>
    <t>-13% VAT for formwork and 110mm PN6 HDPEpipe</t>
  </si>
  <si>
    <t>-for peti works</t>
  </si>
  <si>
    <t>-for wall continue</t>
  </si>
  <si>
    <t>-deduction for door</t>
  </si>
  <si>
    <t>-for lintel</t>
  </si>
  <si>
    <t>-beam</t>
  </si>
  <si>
    <t>-upper beam</t>
  </si>
  <si>
    <t>-slab</t>
  </si>
  <si>
    <t>-stirrups</t>
  </si>
  <si>
    <t>-column</t>
  </si>
  <si>
    <r>
      <t>Project:-</t>
    </r>
    <r>
      <rPr>
        <sz val="12"/>
        <rFont val="Preeti"/>
      </rPr>
      <t xml:space="preserve"> k~rkfn] led;]g dlGb/ cw'/f]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</si>
</sst>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9"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b/>
      <sz val="11"/>
      <color theme="1"/>
      <name val="Calibri"/>
      <family val="2"/>
      <scheme val="minor"/>
    </font>
    <font>
      <b/>
      <sz val="12"/>
      <name val="Preeti"/>
    </font>
    <font>
      <sz val="9"/>
      <color indexed="81"/>
      <name val="Tahoma"/>
      <family val="2"/>
    </font>
    <font>
      <b/>
      <sz val="9"/>
      <color indexed="81"/>
      <name val="Tahoma"/>
      <family val="2"/>
    </font>
    <font>
      <sz val="8"/>
      <name val="Calibri"/>
      <family val="2"/>
      <scheme val="minor"/>
    </font>
    <font>
      <sz val="12"/>
      <color theme="1"/>
      <name val="Times New Roman"/>
      <family val="2"/>
    </font>
  </fonts>
  <fills count="3">
    <fill>
      <patternFill patternType="none"/>
    </fill>
    <fill>
      <patternFill patternType="gray125"/>
    </fill>
    <fill>
      <patternFill patternType="solid">
        <fgColor theme="0"/>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75">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0" fillId="0" borderId="2" xfId="0" applyNumberFormat="1" applyBorder="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13" fillId="0" borderId="2" xfId="0" applyFont="1" applyBorder="1" applyAlignment="1">
      <alignment vertical="center"/>
    </xf>
    <xf numFmtId="0" fontId="14" fillId="0" borderId="2" xfId="0" applyFont="1" applyBorder="1" applyAlignment="1">
      <alignment wrapText="1"/>
    </xf>
    <xf numFmtId="0" fontId="0" fillId="0" borderId="2" xfId="0" applyBorder="1" applyAlignment="1">
      <alignment vertical="center"/>
    </xf>
    <xf numFmtId="0" fontId="0" fillId="0" borderId="0" xfId="0" applyAlignment="1">
      <alignment vertical="center"/>
    </xf>
    <xf numFmtId="0" fontId="0" fillId="0" borderId="2" xfId="0" applyBorder="1"/>
    <xf numFmtId="0" fontId="0" fillId="0" borderId="2" xfId="0" quotePrefix="1" applyBorder="1" applyAlignment="1">
      <alignment horizontal="right"/>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2" fontId="0" fillId="0" borderId="2" xfId="0" applyNumberFormat="1" applyBorder="1" applyAlignment="1">
      <alignment vertical="center"/>
    </xf>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vertical="center" wrapText="1"/>
    </xf>
    <xf numFmtId="2" fontId="0" fillId="0" borderId="2" xfId="0" applyNumberFormat="1" applyBorder="1" applyAlignment="1">
      <alignment vertical="center"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0" xfId="0" applyFont="1" applyAlignment="1">
      <alignment vertical="center"/>
    </xf>
    <xf numFmtId="164" fontId="0" fillId="0" borderId="2" xfId="0" applyNumberFormat="1" applyBorder="1"/>
    <xf numFmtId="164" fontId="3" fillId="0" borderId="2" xfId="1" applyNumberFormat="1" applyFont="1" applyFill="1" applyBorder="1" applyAlignment="1">
      <alignment vertical="center"/>
    </xf>
    <xf numFmtId="0" fontId="0" fillId="0" borderId="2" xfId="0" applyBorder="1" applyAlignment="1">
      <alignment vertical="center" wrapText="1"/>
    </xf>
    <xf numFmtId="0" fontId="0" fillId="0" borderId="0" xfId="0" applyAlignment="1">
      <alignment wrapText="1"/>
    </xf>
    <xf numFmtId="2" fontId="4" fillId="0" borderId="2" xfId="0" applyNumberFormat="1" applyFont="1" applyBorder="1" applyAlignment="1">
      <alignment vertical="center" wrapText="1"/>
    </xf>
    <xf numFmtId="164" fontId="3" fillId="0" borderId="2" xfId="0" applyNumberFormat="1" applyFont="1" applyBorder="1"/>
    <xf numFmtId="164" fontId="4" fillId="0" borderId="2" xfId="0" applyNumberFormat="1" applyFont="1" applyBorder="1"/>
    <xf numFmtId="164" fontId="4" fillId="0" borderId="2" xfId="0" quotePrefix="1" applyNumberFormat="1" applyFont="1" applyBorder="1" applyAlignment="1">
      <alignment horizontal="right"/>
    </xf>
    <xf numFmtId="2" fontId="4" fillId="0" borderId="2" xfId="0" quotePrefix="1" applyNumberFormat="1" applyFont="1" applyBorder="1" applyAlignment="1">
      <alignment horizontal="right"/>
    </xf>
    <xf numFmtId="0" fontId="18" fillId="2" borderId="2" xfId="0" applyFont="1" applyFill="1" applyBorder="1" applyAlignment="1">
      <alignment vertical="center" wrapText="1"/>
    </xf>
    <xf numFmtId="0" fontId="4" fillId="0" borderId="2" xfId="0" quotePrefix="1" applyFont="1" applyBorder="1" applyAlignment="1">
      <alignment horizontal="right"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0" fillId="0" borderId="2" xfId="0" applyBorder="1" applyAlignment="1">
      <alignment horizont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4" fillId="0" borderId="2" xfId="0" applyFont="1" applyBorder="1" applyAlignment="1">
      <alignment horizontal="center" vertical="center" wrapText="1"/>
    </xf>
    <xf numFmtId="0" fontId="0" fillId="0" borderId="2" xfId="0"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4"/>
  <sheetViews>
    <sheetView tabSelected="1" topLeftCell="A101" zoomScaleNormal="100" workbookViewId="0">
      <selection activeCell="J112" sqref="J112"/>
    </sheetView>
  </sheetViews>
  <sheetFormatPr defaultColWidth="9.140625" defaultRowHeight="15" x14ac:dyDescent="0.25"/>
  <cols>
    <col min="1" max="1" width="4.7109375" customWidth="1"/>
    <col min="2" max="2" width="30.85546875" customWidth="1"/>
    <col min="3" max="3" width="5.28515625" bestFit="1" customWidth="1"/>
    <col min="4" max="4" width="8.42578125" customWidth="1"/>
    <col min="5" max="5" width="8.5703125" customWidth="1"/>
    <col min="6" max="6" width="7.28515625" customWidth="1"/>
    <col min="8" max="8" width="5" bestFit="1" customWidth="1"/>
    <col min="9" max="9" width="9.5703125" customWidth="1"/>
    <col min="10" max="10" width="10.7109375" bestFit="1" customWidth="1"/>
  </cols>
  <sheetData>
    <row r="1" spans="1:11" x14ac:dyDescent="0.25">
      <c r="A1" s="65" t="s">
        <v>0</v>
      </c>
      <c r="B1" s="65"/>
      <c r="C1" s="65"/>
      <c r="D1" s="65"/>
      <c r="E1" s="65"/>
      <c r="F1" s="65"/>
      <c r="G1" s="65"/>
      <c r="H1" s="65"/>
      <c r="I1" s="65"/>
      <c r="J1" s="65"/>
      <c r="K1" s="65"/>
    </row>
    <row r="2" spans="1:11" ht="22.5" x14ac:dyDescent="0.25">
      <c r="A2" s="66" t="s">
        <v>1</v>
      </c>
      <c r="B2" s="66"/>
      <c r="C2" s="66"/>
      <c r="D2" s="66"/>
      <c r="E2" s="66"/>
      <c r="F2" s="66"/>
      <c r="G2" s="66"/>
      <c r="H2" s="66"/>
      <c r="I2" s="66"/>
      <c r="J2" s="66"/>
      <c r="K2" s="66"/>
    </row>
    <row r="3" spans="1:11" x14ac:dyDescent="0.25">
      <c r="A3" s="67" t="s">
        <v>2</v>
      </c>
      <c r="B3" s="67"/>
      <c r="C3" s="67"/>
      <c r="D3" s="67"/>
      <c r="E3" s="67"/>
      <c r="F3" s="67"/>
      <c r="G3" s="67"/>
      <c r="H3" s="67"/>
      <c r="I3" s="67"/>
      <c r="J3" s="67"/>
      <c r="K3" s="67"/>
    </row>
    <row r="4" spans="1:11" x14ac:dyDescent="0.25">
      <c r="A4" s="67" t="s">
        <v>3</v>
      </c>
      <c r="B4" s="67"/>
      <c r="C4" s="67"/>
      <c r="D4" s="67"/>
      <c r="E4" s="67"/>
      <c r="F4" s="67"/>
      <c r="G4" s="67"/>
      <c r="H4" s="67"/>
      <c r="I4" s="67"/>
      <c r="J4" s="67"/>
      <c r="K4" s="67"/>
    </row>
    <row r="5" spans="1:11" ht="18.75" x14ac:dyDescent="0.3">
      <c r="A5" s="68" t="s">
        <v>4</v>
      </c>
      <c r="B5" s="68"/>
      <c r="C5" s="68"/>
      <c r="D5" s="68"/>
      <c r="E5" s="68"/>
      <c r="F5" s="68"/>
      <c r="G5" s="68"/>
      <c r="H5" s="68"/>
      <c r="I5" s="68"/>
      <c r="J5" s="68"/>
      <c r="K5" s="68"/>
    </row>
    <row r="6" spans="1:11" ht="15.75" x14ac:dyDescent="0.25">
      <c r="A6" s="63" t="s">
        <v>127</v>
      </c>
      <c r="B6" s="63"/>
      <c r="C6" s="63"/>
      <c r="D6" s="63"/>
      <c r="E6" s="63"/>
      <c r="F6" s="63"/>
      <c r="G6" s="4"/>
      <c r="H6" s="64" t="s">
        <v>25</v>
      </c>
      <c r="I6" s="64"/>
      <c r="J6" s="64"/>
      <c r="K6" s="64"/>
    </row>
    <row r="7" spans="1:11" ht="15.75" x14ac:dyDescent="0.25">
      <c r="A7" s="58" t="s">
        <v>29</v>
      </c>
      <c r="B7" s="58"/>
      <c r="C7" s="58"/>
      <c r="D7" s="58"/>
      <c r="E7" s="58"/>
      <c r="F7" s="58"/>
      <c r="G7" s="5"/>
      <c r="H7" s="59" t="s">
        <v>78</v>
      </c>
      <c r="I7" s="59"/>
      <c r="J7" s="59"/>
      <c r="K7" s="59"/>
    </row>
    <row r="8" spans="1:11" s="10" customFormat="1" ht="15.75" x14ac:dyDescent="0.25">
      <c r="A8" s="6" t="s">
        <v>5</v>
      </c>
      <c r="B8" s="7" t="s">
        <v>6</v>
      </c>
      <c r="C8" s="6" t="s">
        <v>7</v>
      </c>
      <c r="D8" s="8" t="s">
        <v>8</v>
      </c>
      <c r="E8" s="8" t="s">
        <v>9</v>
      </c>
      <c r="F8" s="8" t="s">
        <v>10</v>
      </c>
      <c r="G8" s="8" t="s">
        <v>11</v>
      </c>
      <c r="H8" s="6" t="s">
        <v>12</v>
      </c>
      <c r="I8" s="8" t="s">
        <v>13</v>
      </c>
      <c r="J8" s="8" t="s">
        <v>14</v>
      </c>
      <c r="K8" s="9" t="s">
        <v>15</v>
      </c>
    </row>
    <row r="9" spans="1:11" s="14" customFormat="1" ht="45" x14ac:dyDescent="0.2">
      <c r="A9" s="11">
        <v>3</v>
      </c>
      <c r="B9" s="12" t="s">
        <v>106</v>
      </c>
      <c r="C9" s="13"/>
      <c r="D9" s="23"/>
      <c r="E9" s="23"/>
      <c r="F9" s="23"/>
      <c r="G9" s="23"/>
      <c r="H9" s="13"/>
      <c r="I9" s="13"/>
      <c r="J9" s="13"/>
      <c r="K9" s="13"/>
    </row>
    <row r="10" spans="1:11" x14ac:dyDescent="0.25">
      <c r="A10" s="15"/>
      <c r="B10" s="16" t="s">
        <v>121</v>
      </c>
      <c r="C10" s="15">
        <f>2</f>
        <v>2</v>
      </c>
      <c r="D10" s="3">
        <f>15/3.281</f>
        <v>4.5717768972874122</v>
      </c>
      <c r="E10" s="3">
        <v>0.35</v>
      </c>
      <c r="F10" s="3">
        <v>0.1</v>
      </c>
      <c r="G10" s="3">
        <f>PRODUCT(C10:F10)</f>
        <v>0.32002438281011886</v>
      </c>
      <c r="H10" s="15"/>
      <c r="I10" s="15"/>
      <c r="J10" s="15"/>
      <c r="K10" s="15"/>
    </row>
    <row r="11" spans="1:11" x14ac:dyDescent="0.25">
      <c r="A11" s="15"/>
      <c r="B11" s="16"/>
      <c r="C11" s="15">
        <f>2</f>
        <v>2</v>
      </c>
      <c r="D11" s="3">
        <f>9.75/3.281</f>
        <v>2.9716549832368178</v>
      </c>
      <c r="E11" s="3">
        <v>0.35</v>
      </c>
      <c r="F11" s="3">
        <v>0.1</v>
      </c>
      <c r="G11" s="3">
        <f>PRODUCT(C11:F11)</f>
        <v>0.20801584882657723</v>
      </c>
      <c r="H11" s="15"/>
      <c r="I11" s="15"/>
      <c r="J11" s="15"/>
      <c r="K11" s="15"/>
    </row>
    <row r="12" spans="1:11" s="10" customFormat="1" ht="15" customHeight="1" x14ac:dyDescent="0.25">
      <c r="A12" s="17"/>
      <c r="B12" s="18" t="s">
        <v>16</v>
      </c>
      <c r="C12" s="19"/>
      <c r="D12" s="1"/>
      <c r="E12" s="20"/>
      <c r="F12" s="20"/>
      <c r="G12" s="2">
        <f>SUM(G10:G11)</f>
        <v>0.52804023163669611</v>
      </c>
      <c r="H12" s="21" t="s">
        <v>28</v>
      </c>
      <c r="I12" s="2">
        <v>12884.61</v>
      </c>
      <c r="J12" s="22">
        <f>G12*I12</f>
        <v>6803.5924489484914</v>
      </c>
      <c r="K12" s="20"/>
    </row>
    <row r="13" spans="1:11" s="10" customFormat="1" x14ac:dyDescent="0.25">
      <c r="A13" s="24"/>
      <c r="B13" s="25" t="s">
        <v>32</v>
      </c>
      <c r="C13" s="26"/>
      <c r="D13" s="27"/>
      <c r="E13" s="27"/>
      <c r="F13" s="27"/>
      <c r="G13" s="27"/>
      <c r="H13" s="26"/>
      <c r="I13" s="26"/>
      <c r="J13" s="22">
        <f>0.13*G12*4169.92</f>
        <v>286.24511795184395</v>
      </c>
      <c r="K13" s="26"/>
    </row>
    <row r="14" spans="1:11" s="10" customFormat="1" x14ac:dyDescent="0.25">
      <c r="A14" s="24"/>
      <c r="B14" s="25" t="s">
        <v>33</v>
      </c>
      <c r="C14" s="26"/>
      <c r="D14" s="27"/>
      <c r="E14" s="27"/>
      <c r="F14" s="27"/>
      <c r="G14" s="27"/>
      <c r="H14" s="26"/>
      <c r="I14" s="26"/>
      <c r="J14" s="22">
        <f>0.13*G12*(1652.5+1106.96)</f>
        <v>189.42376668698569</v>
      </c>
      <c r="K14" s="26"/>
    </row>
    <row r="15" spans="1:11" s="10" customFormat="1" x14ac:dyDescent="0.25">
      <c r="A15" s="24"/>
      <c r="B15" s="25" t="s">
        <v>31</v>
      </c>
      <c r="C15" s="26"/>
      <c r="D15" s="27"/>
      <c r="E15" s="27"/>
      <c r="F15" s="27"/>
      <c r="G15" s="27"/>
      <c r="H15" s="26"/>
      <c r="I15" s="26"/>
      <c r="J15" s="22">
        <f>0.13*G12*1414.16</f>
        <v>97.075338616275545</v>
      </c>
      <c r="K15" s="26"/>
    </row>
    <row r="16" spans="1:11" x14ac:dyDescent="0.25">
      <c r="A16" s="15"/>
      <c r="B16" s="25" t="s">
        <v>36</v>
      </c>
      <c r="C16" s="15"/>
      <c r="D16" s="3"/>
      <c r="E16" s="3"/>
      <c r="F16" s="3"/>
      <c r="G16" s="3"/>
      <c r="H16" s="15"/>
      <c r="I16" s="15"/>
      <c r="J16" s="22">
        <f>0.13*G12*36.4</f>
        <v>2.4986863761048461</v>
      </c>
      <c r="K16" s="15"/>
    </row>
    <row r="17" spans="1:11" x14ac:dyDescent="0.25">
      <c r="A17" s="15"/>
      <c r="B17" s="25" t="s">
        <v>36</v>
      </c>
      <c r="C17" s="15"/>
      <c r="D17" s="3"/>
      <c r="E17" s="3"/>
      <c r="F17" s="3"/>
      <c r="G17" s="3"/>
      <c r="H17" s="15"/>
      <c r="I17" s="15"/>
      <c r="J17" s="22">
        <f>0.13*G12*392.92</f>
        <v>26.972083815909787</v>
      </c>
      <c r="K17" s="15"/>
    </row>
    <row r="18" spans="1:11" x14ac:dyDescent="0.25">
      <c r="A18" s="15"/>
      <c r="B18" s="25" t="s">
        <v>36</v>
      </c>
      <c r="C18" s="15"/>
      <c r="D18" s="3"/>
      <c r="E18" s="3"/>
      <c r="F18" s="3"/>
      <c r="G18" s="3"/>
      <c r="H18" s="15"/>
      <c r="I18" s="15"/>
      <c r="J18" s="22">
        <f>0.13*G12*14.15</f>
        <v>0.97133000609570264</v>
      </c>
      <c r="K18" s="15"/>
    </row>
    <row r="19" spans="1:11" x14ac:dyDescent="0.25">
      <c r="A19" s="15"/>
      <c r="B19" s="15"/>
      <c r="C19" s="15"/>
      <c r="D19" s="3"/>
      <c r="E19" s="3"/>
      <c r="F19" s="3"/>
      <c r="G19" s="3"/>
      <c r="H19" s="15"/>
      <c r="I19" s="15"/>
      <c r="J19" s="15"/>
      <c r="K19" s="15"/>
    </row>
    <row r="20" spans="1:11" s="14" customFormat="1" ht="30" x14ac:dyDescent="0.2">
      <c r="A20" s="11">
        <v>4</v>
      </c>
      <c r="B20" s="12" t="s">
        <v>43</v>
      </c>
      <c r="C20" s="13"/>
      <c r="D20" s="23"/>
      <c r="E20" s="23"/>
      <c r="F20" s="23"/>
      <c r="G20" s="23"/>
      <c r="H20" s="13"/>
      <c r="I20" s="13"/>
      <c r="J20" s="13"/>
      <c r="K20" s="13"/>
    </row>
    <row r="21" spans="1:11" x14ac:dyDescent="0.25">
      <c r="A21" s="15"/>
      <c r="B21" s="16" t="s">
        <v>122</v>
      </c>
      <c r="C21" s="15">
        <v>2</v>
      </c>
      <c r="D21" s="3">
        <f>15/3.281</f>
        <v>4.5717768972874122</v>
      </c>
      <c r="E21" s="3">
        <v>0.23</v>
      </c>
      <c r="F21" s="3">
        <v>0.23</v>
      </c>
      <c r="G21" s="3">
        <f t="shared" ref="G21:G22" si="0">PRODUCT(C21:F21)</f>
        <v>0.48369399573300831</v>
      </c>
      <c r="H21" s="15"/>
      <c r="I21" s="15"/>
      <c r="J21" s="15"/>
      <c r="K21" s="15"/>
    </row>
    <row r="22" spans="1:11" x14ac:dyDescent="0.25">
      <c r="A22" s="15"/>
      <c r="B22" s="16"/>
      <c r="C22" s="15">
        <f>2*2</f>
        <v>4</v>
      </c>
      <c r="D22" s="3">
        <f>9.75/3.281</f>
        <v>2.9716549832368178</v>
      </c>
      <c r="E22" s="3">
        <v>0.23</v>
      </c>
      <c r="F22" s="3">
        <v>0.23</v>
      </c>
      <c r="G22" s="3">
        <f t="shared" si="0"/>
        <v>0.62880219445291075</v>
      </c>
      <c r="H22" s="15"/>
      <c r="I22" s="15"/>
      <c r="J22" s="15"/>
      <c r="K22" s="15"/>
    </row>
    <row r="23" spans="1:11" x14ac:dyDescent="0.25">
      <c r="A23" s="15"/>
      <c r="B23" s="16" t="s">
        <v>123</v>
      </c>
      <c r="C23" s="15">
        <v>2</v>
      </c>
      <c r="D23" s="3">
        <f>8.17/3.281</f>
        <v>2.4900944833892105</v>
      </c>
      <c r="E23" s="3">
        <v>0.23</v>
      </c>
      <c r="F23" s="3">
        <v>0.23</v>
      </c>
      <c r="G23" s="3">
        <f t="shared" ref="G23:G25" si="1">PRODUCT(C23:F23)</f>
        <v>0.26345199634257849</v>
      </c>
      <c r="H23" s="15"/>
      <c r="I23" s="15"/>
      <c r="J23" s="15"/>
      <c r="K23" s="15"/>
    </row>
    <row r="24" spans="1:11" x14ac:dyDescent="0.25">
      <c r="A24" s="15"/>
      <c r="B24" s="16"/>
      <c r="C24" s="15">
        <v>2</v>
      </c>
      <c r="D24" s="3">
        <f>3.75/3.281</f>
        <v>1.1429442243218531</v>
      </c>
      <c r="E24" s="3">
        <v>0.23</v>
      </c>
      <c r="F24" s="3">
        <v>0.23</v>
      </c>
      <c r="G24" s="3">
        <f t="shared" si="1"/>
        <v>0.12092349893325208</v>
      </c>
      <c r="H24" s="15"/>
      <c r="I24" s="15"/>
      <c r="J24" s="15"/>
      <c r="K24" s="15"/>
    </row>
    <row r="25" spans="1:11" x14ac:dyDescent="0.25">
      <c r="A25" s="15"/>
      <c r="B25" s="16" t="s">
        <v>124</v>
      </c>
      <c r="C25" s="15">
        <v>2</v>
      </c>
      <c r="D25" s="3">
        <f>((17.667+8.17)/2)/3.281</f>
        <v>3.9373666565071628</v>
      </c>
      <c r="E25" s="3">
        <f>6.33/3.281</f>
        <v>1.929289850655288</v>
      </c>
      <c r="F25" s="3">
        <v>7.4999999999999997E-2</v>
      </c>
      <c r="G25" s="3">
        <f t="shared" si="1"/>
        <v>1.1394482293061723</v>
      </c>
      <c r="H25" s="15"/>
      <c r="I25" s="15"/>
      <c r="J25" s="15"/>
      <c r="K25" s="15"/>
    </row>
    <row r="26" spans="1:11" x14ac:dyDescent="0.25">
      <c r="A26" s="15"/>
      <c r="B26" s="16"/>
      <c r="C26" s="15">
        <v>2</v>
      </c>
      <c r="D26" s="3">
        <f>((14.75+5.25)/2)/3.281</f>
        <v>3.047851264858275</v>
      </c>
      <c r="E26" s="3">
        <f>6.33/3.281</f>
        <v>1.929289850655288</v>
      </c>
      <c r="F26" s="3">
        <v>7.4999999999999997E-2</v>
      </c>
      <c r="G26" s="3">
        <f t="shared" ref="G26:G27" si="2">PRODUCT(C26:F26)</f>
        <v>0.88202827673969275</v>
      </c>
      <c r="H26" s="15"/>
      <c r="I26" s="15"/>
      <c r="J26" s="15"/>
      <c r="K26" s="15"/>
    </row>
    <row r="27" spans="1:11" x14ac:dyDescent="0.25">
      <c r="A27" s="15"/>
      <c r="B27" s="16" t="s">
        <v>126</v>
      </c>
      <c r="C27" s="15">
        <v>4</v>
      </c>
      <c r="D27" s="3">
        <v>0.23</v>
      </c>
      <c r="E27" s="3">
        <v>0.23</v>
      </c>
      <c r="F27" s="3">
        <f>2.25/3.281</f>
        <v>0.68576653459311188</v>
      </c>
      <c r="G27" s="3">
        <f t="shared" si="2"/>
        <v>0.14510819871990249</v>
      </c>
      <c r="H27" s="15"/>
      <c r="I27" s="15"/>
      <c r="J27" s="15"/>
      <c r="K27" s="15"/>
    </row>
    <row r="28" spans="1:11" s="10" customFormat="1" ht="15" customHeight="1" x14ac:dyDescent="0.25">
      <c r="A28" s="17"/>
      <c r="B28" s="18" t="s">
        <v>16</v>
      </c>
      <c r="C28" s="19"/>
      <c r="D28" s="1"/>
      <c r="E28" s="20"/>
      <c r="F28" s="20"/>
      <c r="G28" s="2">
        <f>SUM(G21:G27)</f>
        <v>3.663456390227517</v>
      </c>
      <c r="H28" s="21" t="s">
        <v>28</v>
      </c>
      <c r="I28" s="2">
        <v>13957.29</v>
      </c>
      <c r="J28" s="22">
        <f>G28*I28</f>
        <v>51131.923240758624</v>
      </c>
      <c r="K28" s="20"/>
    </row>
    <row r="29" spans="1:11" s="10" customFormat="1" x14ac:dyDescent="0.25">
      <c r="A29" s="24"/>
      <c r="B29" s="25" t="s">
        <v>32</v>
      </c>
      <c r="C29" s="26"/>
      <c r="D29" s="27"/>
      <c r="E29" s="27"/>
      <c r="F29" s="27"/>
      <c r="G29" s="27"/>
      <c r="H29" s="26"/>
      <c r="I29" s="26"/>
      <c r="J29" s="22">
        <f>0.13*G28*5212.4</f>
        <v>2482.402011494848</v>
      </c>
      <c r="K29" s="26"/>
    </row>
    <row r="30" spans="1:11" s="10" customFormat="1" x14ac:dyDescent="0.25">
      <c r="A30" s="24"/>
      <c r="B30" s="25" t="s">
        <v>33</v>
      </c>
      <c r="C30" s="26"/>
      <c r="D30" s="27"/>
      <c r="E30" s="27"/>
      <c r="F30" s="27"/>
      <c r="G30" s="27"/>
      <c r="H30" s="26"/>
      <c r="I30" s="26"/>
      <c r="J30" s="22">
        <f>0.13*G28*(1912.03+921.59)</f>
        <v>1349.5096285419445</v>
      </c>
      <c r="K30" s="26"/>
    </row>
    <row r="31" spans="1:11" s="10" customFormat="1" x14ac:dyDescent="0.25">
      <c r="A31" s="24"/>
      <c r="B31" s="25" t="s">
        <v>31</v>
      </c>
      <c r="C31" s="26"/>
      <c r="D31" s="27"/>
      <c r="E31" s="27"/>
      <c r="F31" s="27"/>
      <c r="G31" s="27"/>
      <c r="H31" s="26"/>
      <c r="I31" s="26"/>
      <c r="J31" s="22">
        <f>0.13*G28*1350.6</f>
        <v>643.22234608336692</v>
      </c>
      <c r="K31" s="26"/>
    </row>
    <row r="32" spans="1:11" x14ac:dyDescent="0.25">
      <c r="A32" s="15"/>
      <c r="B32" s="25" t="s">
        <v>36</v>
      </c>
      <c r="C32" s="15"/>
      <c r="D32" s="3"/>
      <c r="E32" s="3"/>
      <c r="F32" s="3"/>
      <c r="G32" s="3"/>
      <c r="H32" s="15"/>
      <c r="I32" s="15"/>
      <c r="J32" s="22">
        <f>0.13*G28*56</f>
        <v>26.669962520856323</v>
      </c>
      <c r="K32" s="15"/>
    </row>
    <row r="33" spans="1:11" s="10" customFormat="1" x14ac:dyDescent="0.25">
      <c r="A33" s="24"/>
      <c r="B33" s="25" t="s">
        <v>44</v>
      </c>
      <c r="C33" s="26"/>
      <c r="D33" s="27"/>
      <c r="E33" s="27"/>
      <c r="F33" s="27"/>
      <c r="G33" s="27"/>
      <c r="H33" s="26"/>
      <c r="I33" s="26"/>
      <c r="J33" s="22">
        <f>0.13*G28*392.92</f>
        <v>187.12788703026547</v>
      </c>
      <c r="K33" s="26"/>
    </row>
    <row r="34" spans="1:11" x14ac:dyDescent="0.25">
      <c r="A34" s="15"/>
      <c r="B34" s="25" t="s">
        <v>45</v>
      </c>
      <c r="C34" s="15"/>
      <c r="D34" s="3"/>
      <c r="E34" s="3"/>
      <c r="F34" s="3"/>
      <c r="G34" s="3"/>
      <c r="H34" s="15"/>
      <c r="I34" s="15"/>
      <c r="J34" s="22">
        <f>0.13*G28*14.15</f>
        <v>6.7389280298235175</v>
      </c>
      <c r="K34" s="15"/>
    </row>
    <row r="35" spans="1:11" x14ac:dyDescent="0.25">
      <c r="A35" s="15"/>
      <c r="B35" s="15"/>
      <c r="C35" s="15"/>
      <c r="D35" s="3"/>
      <c r="E35" s="3"/>
      <c r="F35" s="3"/>
      <c r="G35" s="3"/>
      <c r="H35" s="15"/>
      <c r="I35" s="15"/>
      <c r="J35" s="15"/>
      <c r="K35" s="15"/>
    </row>
    <row r="36" spans="1:11" s="14" customFormat="1" ht="30" x14ac:dyDescent="0.2">
      <c r="A36" s="11">
        <v>5</v>
      </c>
      <c r="B36" s="12" t="s">
        <v>46</v>
      </c>
      <c r="C36" s="13"/>
      <c r="D36" s="23"/>
      <c r="E36" s="23"/>
      <c r="F36" s="23"/>
      <c r="G36" s="23"/>
      <c r="H36" s="13"/>
      <c r="I36" s="13"/>
      <c r="J36" s="13"/>
      <c r="K36" s="13"/>
    </row>
    <row r="37" spans="1:11" x14ac:dyDescent="0.25">
      <c r="A37" s="15"/>
      <c r="B37" s="16" t="str">
        <f>B21</f>
        <v>-beam</v>
      </c>
      <c r="C37" s="15">
        <f>C21</f>
        <v>2</v>
      </c>
      <c r="D37" s="3">
        <f>D21</f>
        <v>4.5717768972874122</v>
      </c>
      <c r="E37" s="3"/>
      <c r="F37" s="3">
        <f>0.23*2</f>
        <v>0.46</v>
      </c>
      <c r="G37" s="3">
        <f t="shared" ref="G37" si="3">PRODUCT(C37:F37)</f>
        <v>4.2060347455044198</v>
      </c>
      <c r="H37" s="15"/>
      <c r="I37" s="15"/>
      <c r="J37" s="15"/>
      <c r="K37" s="15"/>
    </row>
    <row r="38" spans="1:11" x14ac:dyDescent="0.25">
      <c r="A38" s="15"/>
      <c r="B38" s="16"/>
      <c r="C38" s="15">
        <f>C22</f>
        <v>4</v>
      </c>
      <c r="D38" s="3">
        <f>D22</f>
        <v>2.9716549832368178</v>
      </c>
      <c r="E38" s="3"/>
      <c r="F38" s="3">
        <f t="shared" ref="F38:F40" si="4">0.23*2</f>
        <v>0.46</v>
      </c>
      <c r="G38" s="3">
        <f t="shared" ref="G38:G43" si="5">PRODUCT(C38:F38)</f>
        <v>5.467845169155745</v>
      </c>
      <c r="H38" s="15"/>
      <c r="I38" s="15"/>
      <c r="J38" s="15"/>
      <c r="K38" s="15"/>
    </row>
    <row r="39" spans="1:11" x14ac:dyDescent="0.25">
      <c r="A39" s="15"/>
      <c r="B39" s="16" t="str">
        <f t="shared" ref="B39:D39" si="6">B23</f>
        <v>-upper beam</v>
      </c>
      <c r="C39" s="15">
        <f t="shared" si="6"/>
        <v>2</v>
      </c>
      <c r="D39" s="3">
        <f t="shared" si="6"/>
        <v>2.4900944833892105</v>
      </c>
      <c r="E39" s="3"/>
      <c r="F39" s="3">
        <f t="shared" si="4"/>
        <v>0.46</v>
      </c>
      <c r="G39" s="3">
        <f t="shared" si="5"/>
        <v>2.2908869247180736</v>
      </c>
      <c r="H39" s="15"/>
      <c r="I39" s="15"/>
      <c r="J39" s="15"/>
      <c r="K39" s="15"/>
    </row>
    <row r="40" spans="1:11" x14ac:dyDescent="0.25">
      <c r="A40" s="15"/>
      <c r="B40" s="16"/>
      <c r="C40" s="15">
        <f>C24</f>
        <v>2</v>
      </c>
      <c r="D40" s="3">
        <f>D24</f>
        <v>1.1429442243218531</v>
      </c>
      <c r="E40" s="3"/>
      <c r="F40" s="3">
        <f t="shared" si="4"/>
        <v>0.46</v>
      </c>
      <c r="G40" s="3">
        <f t="shared" si="5"/>
        <v>1.051508686376105</v>
      </c>
      <c r="H40" s="15"/>
      <c r="I40" s="15"/>
      <c r="J40" s="15"/>
      <c r="K40" s="15"/>
    </row>
    <row r="41" spans="1:11" x14ac:dyDescent="0.25">
      <c r="A41" s="15"/>
      <c r="B41" s="16" t="str">
        <f t="shared" ref="B41:D41" si="7">B25</f>
        <v>-slab</v>
      </c>
      <c r="C41" s="15">
        <f t="shared" si="7"/>
        <v>2</v>
      </c>
      <c r="D41" s="3">
        <f t="shared" si="7"/>
        <v>3.9373666565071628</v>
      </c>
      <c r="E41" s="3">
        <f>E25</f>
        <v>1.929289850655288</v>
      </c>
      <c r="F41" s="3"/>
      <c r="G41" s="3">
        <f t="shared" si="5"/>
        <v>15.19264305741563</v>
      </c>
      <c r="H41" s="15"/>
      <c r="I41" s="15"/>
      <c r="J41" s="15"/>
      <c r="K41" s="15"/>
    </row>
    <row r="42" spans="1:11" x14ac:dyDescent="0.25">
      <c r="A42" s="15"/>
      <c r="B42" s="16"/>
      <c r="C42" s="15">
        <f>C26</f>
        <v>2</v>
      </c>
      <c r="D42" s="3">
        <f>D26</f>
        <v>3.047851264858275</v>
      </c>
      <c r="E42" s="3">
        <f>E26</f>
        <v>1.929289850655288</v>
      </c>
      <c r="F42" s="3"/>
      <c r="G42" s="3">
        <f t="shared" si="5"/>
        <v>11.760377023195904</v>
      </c>
      <c r="H42" s="15"/>
      <c r="I42" s="15"/>
      <c r="J42" s="15"/>
      <c r="K42" s="15"/>
    </row>
    <row r="43" spans="1:11" x14ac:dyDescent="0.25">
      <c r="A43" s="15"/>
      <c r="B43" s="16" t="str">
        <f>B27</f>
        <v>-column</v>
      </c>
      <c r="C43" s="15">
        <f>C27</f>
        <v>4</v>
      </c>
      <c r="D43" s="3">
        <f>0.23*4</f>
        <v>0.92</v>
      </c>
      <c r="E43" s="3"/>
      <c r="F43" s="3">
        <f>F27</f>
        <v>0.68576653459311188</v>
      </c>
      <c r="G43" s="3">
        <f t="shared" si="5"/>
        <v>2.5236208473026518</v>
      </c>
      <c r="H43" s="15"/>
      <c r="I43" s="15"/>
      <c r="J43" s="15"/>
      <c r="K43" s="15"/>
    </row>
    <row r="44" spans="1:11" s="10" customFormat="1" ht="15" customHeight="1" x14ac:dyDescent="0.25">
      <c r="A44" s="17"/>
      <c r="B44" s="18" t="s">
        <v>16</v>
      </c>
      <c r="C44" s="19"/>
      <c r="D44" s="1"/>
      <c r="E44" s="20"/>
      <c r="F44" s="20"/>
      <c r="G44" s="2">
        <f>SUM(G37:G43)</f>
        <v>42.492916453668528</v>
      </c>
      <c r="H44" s="21" t="s">
        <v>34</v>
      </c>
      <c r="I44" s="2">
        <v>922.71</v>
      </c>
      <c r="J44" s="22">
        <f>G44*I44</f>
        <v>39208.638940964491</v>
      </c>
      <c r="K44" s="20"/>
    </row>
    <row r="45" spans="1:11" s="10" customFormat="1" x14ac:dyDescent="0.25">
      <c r="A45" s="24"/>
      <c r="B45" s="25" t="s">
        <v>47</v>
      </c>
      <c r="C45" s="26"/>
      <c r="D45" s="27"/>
      <c r="E45" s="27"/>
      <c r="F45" s="27"/>
      <c r="G45" s="27"/>
      <c r="H45" s="26"/>
      <c r="I45" s="26"/>
      <c r="J45" s="22">
        <f>0.13*G44*20062.02/100</f>
        <v>1108.2418616773753</v>
      </c>
      <c r="K45" s="26"/>
    </row>
    <row r="46" spans="1:11" s="10" customFormat="1" x14ac:dyDescent="0.25">
      <c r="A46" s="24"/>
      <c r="B46" s="25" t="s">
        <v>48</v>
      </c>
      <c r="C46" s="26"/>
      <c r="D46" s="27"/>
      <c r="E46" s="27"/>
      <c r="F46" s="27"/>
      <c r="G46" s="27"/>
      <c r="H46" s="26"/>
      <c r="I46" s="26"/>
      <c r="J46" s="22">
        <f>0.13*G44*13328.25/100</f>
        <v>736.26307784068979</v>
      </c>
      <c r="K46" s="26"/>
    </row>
    <row r="47" spans="1:11" s="10" customFormat="1" x14ac:dyDescent="0.25">
      <c r="A47" s="24"/>
      <c r="B47" s="25" t="s">
        <v>49</v>
      </c>
      <c r="C47" s="26"/>
      <c r="D47" s="27"/>
      <c r="E47" s="27"/>
      <c r="F47" s="27"/>
      <c r="G47" s="27"/>
      <c r="H47" s="26"/>
      <c r="I47" s="26"/>
      <c r="J47" s="22">
        <f>0.13*G44*10137.6/100</f>
        <v>560.00904679292307</v>
      </c>
      <c r="K47" s="26"/>
    </row>
    <row r="48" spans="1:11" x14ac:dyDescent="0.25">
      <c r="A48" s="15"/>
      <c r="B48" s="25" t="s">
        <v>50</v>
      </c>
      <c r="C48" s="15"/>
      <c r="D48" s="3"/>
      <c r="E48" s="3"/>
      <c r="F48" s="3"/>
      <c r="G48" s="3"/>
      <c r="H48" s="15"/>
      <c r="I48" s="15"/>
      <c r="J48" s="22">
        <f>0.13*G44*3300/100</f>
        <v>182.29461158623798</v>
      </c>
      <c r="K48" s="15"/>
    </row>
    <row r="49" spans="1:11" x14ac:dyDescent="0.25">
      <c r="A49" s="15"/>
      <c r="B49" s="15"/>
      <c r="C49" s="15"/>
      <c r="D49" s="3"/>
      <c r="E49" s="3"/>
      <c r="F49" s="3"/>
      <c r="G49" s="3"/>
      <c r="H49" s="15"/>
      <c r="I49" s="15"/>
      <c r="J49" s="15"/>
      <c r="K49" s="15"/>
    </row>
    <row r="50" spans="1:11" s="14" customFormat="1" ht="45" x14ac:dyDescent="0.25">
      <c r="A50" s="11">
        <v>6</v>
      </c>
      <c r="B50" s="28" t="s">
        <v>37</v>
      </c>
      <c r="C50" s="13" t="s">
        <v>7</v>
      </c>
      <c r="D50" s="29" t="s">
        <v>27</v>
      </c>
      <c r="E50" s="29" t="s">
        <v>40</v>
      </c>
      <c r="F50" s="29" t="s">
        <v>41</v>
      </c>
      <c r="G50" s="23"/>
      <c r="H50" s="13"/>
      <c r="I50" s="13"/>
      <c r="J50" s="13"/>
      <c r="K50" s="13"/>
    </row>
    <row r="51" spans="1:11" x14ac:dyDescent="0.25">
      <c r="A51" s="15"/>
      <c r="B51" s="16" t="str">
        <f>B21</f>
        <v>-beam</v>
      </c>
      <c r="C51" s="15">
        <f>C37*(3*2)</f>
        <v>12</v>
      </c>
      <c r="D51" s="3">
        <f>D21+(0.583/3.281)*2</f>
        <v>4.9271563547698873</v>
      </c>
      <c r="E51" s="3">
        <f>12*12/162</f>
        <v>0.88888888888888884</v>
      </c>
      <c r="F51" s="3">
        <f t="shared" ref="F51:F52" si="8">PRODUCT(C51:E51)</f>
        <v>52.556334450878794</v>
      </c>
      <c r="G51" s="3">
        <f t="shared" ref="G51:G52" si="9">F51/1000</f>
        <v>5.2556334450878796E-2</v>
      </c>
      <c r="H51" s="15"/>
      <c r="I51" s="15"/>
      <c r="J51" s="15"/>
      <c r="K51" s="15"/>
    </row>
    <row r="52" spans="1:11" x14ac:dyDescent="0.25">
      <c r="A52" s="15"/>
      <c r="B52" s="16" t="s">
        <v>125</v>
      </c>
      <c r="C52" s="15">
        <f>2*(TRUNC((D37-0.1-0.23*2)/0.125,0))</f>
        <v>64</v>
      </c>
      <c r="D52" s="3">
        <f>((0.583*4)+0.17*2)/3.281</f>
        <v>0.81438585797013097</v>
      </c>
      <c r="E52" s="3">
        <f>8*8/162</f>
        <v>0.39506172839506171</v>
      </c>
      <c r="F52" s="3">
        <f t="shared" si="8"/>
        <v>20.590891816331212</v>
      </c>
      <c r="G52" s="3">
        <f t="shared" si="9"/>
        <v>2.0590891816331211E-2</v>
      </c>
      <c r="H52" s="15"/>
      <c r="I52" s="15"/>
      <c r="J52" s="15"/>
      <c r="K52" s="15"/>
    </row>
    <row r="53" spans="1:11" x14ac:dyDescent="0.25">
      <c r="A53" s="15"/>
      <c r="B53" s="16" t="str">
        <f>B37</f>
        <v>-beam</v>
      </c>
      <c r="C53" s="15">
        <f>C39*(3*2)</f>
        <v>12</v>
      </c>
      <c r="D53" s="3">
        <f>D22+0.23*2+(0.583/3.281)*2</f>
        <v>3.7870344407192924</v>
      </c>
      <c r="E53" s="3">
        <f>12*12/162</f>
        <v>0.88888888888888884</v>
      </c>
      <c r="F53" s="3">
        <f t="shared" ref="F53:F56" si="10">PRODUCT(C53:E53)</f>
        <v>40.395034034339119</v>
      </c>
      <c r="G53" s="3">
        <f t="shared" ref="G53:G56" si="11">F53/1000</f>
        <v>4.0395034034339118E-2</v>
      </c>
      <c r="H53" s="15"/>
      <c r="I53" s="15"/>
      <c r="J53" s="15"/>
      <c r="K53" s="15"/>
    </row>
    <row r="54" spans="1:11" x14ac:dyDescent="0.25">
      <c r="A54" s="15"/>
      <c r="B54" s="16" t="s">
        <v>125</v>
      </c>
      <c r="C54" s="15">
        <f>4*(TRUNC((D38-0.1)/0.125,0))</f>
        <v>88</v>
      </c>
      <c r="D54" s="3">
        <f>((0.583*4)+0.17*2)/3.281</f>
        <v>0.81438585797013097</v>
      </c>
      <c r="E54" s="3">
        <f>8*8/162</f>
        <v>0.39506172839506171</v>
      </c>
      <c r="F54" s="3">
        <f t="shared" si="10"/>
        <v>28.312476247455418</v>
      </c>
      <c r="G54" s="3">
        <f t="shared" si="11"/>
        <v>2.8312476247455417E-2</v>
      </c>
      <c r="H54" s="15"/>
      <c r="I54" s="15"/>
      <c r="J54" s="15"/>
      <c r="K54" s="15"/>
    </row>
    <row r="55" spans="1:11" x14ac:dyDescent="0.25">
      <c r="A55" s="15"/>
      <c r="B55" s="16" t="str">
        <f>B39</f>
        <v>-upper beam</v>
      </c>
      <c r="C55" s="15">
        <f>C39*(3*2)</f>
        <v>12</v>
      </c>
      <c r="D55" s="3">
        <f>D23+(0.583/3.281)*2</f>
        <v>2.8454739408716851</v>
      </c>
      <c r="E55" s="3">
        <f>12*12/162</f>
        <v>0.88888888888888884</v>
      </c>
      <c r="F55" s="3">
        <f t="shared" si="10"/>
        <v>30.351722035964642</v>
      </c>
      <c r="G55" s="3">
        <f t="shared" si="11"/>
        <v>3.0351722035964642E-2</v>
      </c>
      <c r="H55" s="15"/>
      <c r="I55" s="15"/>
      <c r="J55" s="15"/>
      <c r="K55" s="15"/>
    </row>
    <row r="56" spans="1:11" x14ac:dyDescent="0.25">
      <c r="A56" s="15"/>
      <c r="B56" s="16" t="s">
        <v>125</v>
      </c>
      <c r="C56" s="15">
        <f>2*(TRUNC((D39-0.1-0.23*2)/0.125,0))</f>
        <v>30</v>
      </c>
      <c r="D56" s="3">
        <f>((0.583*4)+0.17*2)/3.281</f>
        <v>0.81438585797013097</v>
      </c>
      <c r="E56" s="3">
        <f>8*8/162</f>
        <v>0.39506172839506171</v>
      </c>
      <c r="F56" s="3">
        <f t="shared" si="10"/>
        <v>9.6519805389052564</v>
      </c>
      <c r="G56" s="3">
        <f t="shared" si="11"/>
        <v>9.6519805389052565E-3</v>
      </c>
      <c r="H56" s="15"/>
      <c r="I56" s="15"/>
      <c r="J56" s="15"/>
      <c r="K56" s="15"/>
    </row>
    <row r="57" spans="1:11" x14ac:dyDescent="0.25">
      <c r="A57" s="15"/>
      <c r="B57" s="16" t="str">
        <f>B23</f>
        <v>-upper beam</v>
      </c>
      <c r="C57" s="15">
        <f>C40*(3*2)</f>
        <v>12</v>
      </c>
      <c r="D57" s="3">
        <f>D24+0.23*2+(0.583/3.281)*2</f>
        <v>1.9583236818043277</v>
      </c>
      <c r="E57" s="3">
        <f>12*12/162</f>
        <v>0.88888888888888884</v>
      </c>
      <c r="F57" s="3">
        <f t="shared" ref="F57:F58" si="12">PRODUCT(C57:E57)</f>
        <v>20.888785939246162</v>
      </c>
      <c r="G57" s="3">
        <f t="shared" ref="G57:G58" si="13">F57/1000</f>
        <v>2.0888785939246163E-2</v>
      </c>
      <c r="H57" s="15"/>
      <c r="I57" s="15"/>
      <c r="J57" s="15"/>
      <c r="K57" s="15"/>
    </row>
    <row r="58" spans="1:11" x14ac:dyDescent="0.25">
      <c r="A58" s="15"/>
      <c r="B58" s="16" t="s">
        <v>125</v>
      </c>
      <c r="C58" s="15">
        <f>2*(TRUNC((D40-0.1)/0.125,0))</f>
        <v>16</v>
      </c>
      <c r="D58" s="3">
        <f>((0.583*4)+0.17*2)/3.281</f>
        <v>0.81438585797013097</v>
      </c>
      <c r="E58" s="3">
        <f>8*8/162</f>
        <v>0.39506172839506171</v>
      </c>
      <c r="F58" s="3">
        <f t="shared" si="12"/>
        <v>5.1477229540828029</v>
      </c>
      <c r="G58" s="3">
        <f t="shared" si="13"/>
        <v>5.1477229540828028E-3</v>
      </c>
      <c r="H58" s="15"/>
      <c r="I58" s="15"/>
      <c r="J58" s="15"/>
      <c r="K58" s="15"/>
    </row>
    <row r="59" spans="1:11" x14ac:dyDescent="0.25">
      <c r="A59" s="15"/>
      <c r="B59" s="16" t="str">
        <f>B41</f>
        <v>-slab</v>
      </c>
      <c r="C59" s="15">
        <f>TRUNC(((E41-0.1)/0.15),0)</f>
        <v>12</v>
      </c>
      <c r="D59" s="3">
        <f>D41*C41+D42*C42</f>
        <v>13.970435842730875</v>
      </c>
      <c r="E59" s="3">
        <f t="shared" ref="E59:E61" si="14">8*8/162</f>
        <v>0.39506172839506171</v>
      </c>
      <c r="F59" s="3">
        <f t="shared" ref="F59:F61" si="15">PRODUCT(C59:E59)</f>
        <v>66.230214365538956</v>
      </c>
      <c r="G59" s="3">
        <f t="shared" ref="G59:G61" si="16">F59/1000</f>
        <v>6.6230214365538956E-2</v>
      </c>
      <c r="H59" s="15"/>
      <c r="I59" s="15"/>
      <c r="J59" s="15"/>
      <c r="K59" s="15"/>
    </row>
    <row r="60" spans="1:11" x14ac:dyDescent="0.25">
      <c r="A60" s="15"/>
      <c r="B60" s="16"/>
      <c r="C60" s="15">
        <f>2*(TRUNC(((D41-0.1)/0.15),0))</f>
        <v>50</v>
      </c>
      <c r="D60" s="3">
        <f>E41</f>
        <v>1.929289850655288</v>
      </c>
      <c r="E60" s="3">
        <f t="shared" si="14"/>
        <v>0.39506172839506171</v>
      </c>
      <c r="F60" s="3">
        <f t="shared" si="15"/>
        <v>38.109429148746429</v>
      </c>
      <c r="G60" s="3">
        <f t="shared" si="16"/>
        <v>3.8109429148746432E-2</v>
      </c>
      <c r="H60" s="15"/>
      <c r="I60" s="15"/>
      <c r="J60" s="15"/>
      <c r="K60" s="15"/>
    </row>
    <row r="61" spans="1:11" x14ac:dyDescent="0.25">
      <c r="A61" s="15"/>
      <c r="B61" s="16"/>
      <c r="C61" s="15">
        <f>2*(TRUNC(((D42-0.1)/0.15),0))</f>
        <v>38</v>
      </c>
      <c r="D61" s="3">
        <f>E42</f>
        <v>1.929289850655288</v>
      </c>
      <c r="E61" s="3">
        <f t="shared" si="14"/>
        <v>0.39506172839506171</v>
      </c>
      <c r="F61" s="3">
        <f t="shared" si="15"/>
        <v>28.963166153047286</v>
      </c>
      <c r="G61" s="3">
        <f t="shared" si="16"/>
        <v>2.8963166153047285E-2</v>
      </c>
      <c r="H61" s="15"/>
      <c r="I61" s="15"/>
      <c r="J61" s="15"/>
      <c r="K61" s="15"/>
    </row>
    <row r="62" spans="1:11" x14ac:dyDescent="0.25">
      <c r="A62" s="15"/>
      <c r="B62" s="16" t="s">
        <v>126</v>
      </c>
      <c r="C62" s="15">
        <v>8</v>
      </c>
      <c r="D62" s="3">
        <f>((3.75-0.33)/3.281)+(0.45*2)</f>
        <v>1.9423651325815299</v>
      </c>
      <c r="E62" s="3">
        <f>12*12/162</f>
        <v>0.88888888888888884</v>
      </c>
      <c r="F62" s="3">
        <f t="shared" ref="F62:F63" si="17">PRODUCT(C62:E62)</f>
        <v>13.812374276135323</v>
      </c>
      <c r="G62" s="3">
        <f t="shared" ref="G62:G63" si="18">F62/1000</f>
        <v>1.3812374276135323E-2</v>
      </c>
      <c r="H62" s="15"/>
      <c r="I62" s="15"/>
      <c r="J62" s="15"/>
      <c r="K62" s="15"/>
    </row>
    <row r="63" spans="1:11" x14ac:dyDescent="0.25">
      <c r="A63" s="15"/>
      <c r="B63" s="16"/>
      <c r="C63" s="15">
        <f>4*(TRUNC((2.25-0.17*2)/0.33,0)+1)</f>
        <v>24</v>
      </c>
      <c r="D63" s="3">
        <f>(6*4+2*2)/12/3.281</f>
        <v>0.7111652951335975</v>
      </c>
      <c r="E63" s="3">
        <f>8*8/162</f>
        <v>0.39506172839506171</v>
      </c>
      <c r="F63" s="3">
        <f t="shared" si="17"/>
        <v>6.7429005760815173</v>
      </c>
      <c r="G63" s="3">
        <f t="shared" si="18"/>
        <v>6.7429005760815171E-3</v>
      </c>
      <c r="H63" s="15"/>
      <c r="I63" s="15"/>
      <c r="J63" s="15"/>
      <c r="K63" s="15"/>
    </row>
    <row r="64" spans="1:11" x14ac:dyDescent="0.25">
      <c r="A64" s="15"/>
      <c r="B64" s="16"/>
      <c r="C64" s="15">
        <f>C63</f>
        <v>24</v>
      </c>
      <c r="D64" s="3">
        <f>(4*4+2*2)/12/3.281</f>
        <v>0.50797521080971253</v>
      </c>
      <c r="E64" s="3">
        <f>8*8/162</f>
        <v>0.39506172839506171</v>
      </c>
      <c r="F64" s="3">
        <f t="shared" ref="F64" si="19">PRODUCT(C64:E64)</f>
        <v>4.8163575543439414</v>
      </c>
      <c r="G64" s="3">
        <f t="shared" ref="G64" si="20">F64/1000</f>
        <v>4.8163575543439417E-3</v>
      </c>
      <c r="H64" s="15"/>
      <c r="I64" s="15"/>
      <c r="J64" s="15"/>
      <c r="K64" s="15"/>
    </row>
    <row r="65" spans="1:11" s="10" customFormat="1" ht="15" customHeight="1" x14ac:dyDescent="0.25">
      <c r="A65" s="17"/>
      <c r="B65" s="18" t="s">
        <v>16</v>
      </c>
      <c r="C65" s="19"/>
      <c r="D65" s="1"/>
      <c r="E65" s="20"/>
      <c r="F65" s="20"/>
      <c r="G65" s="2">
        <f>SUM(G51:G64)</f>
        <v>0.36656939009109685</v>
      </c>
      <c r="H65" s="21" t="s">
        <v>42</v>
      </c>
      <c r="I65" s="46">
        <v>132360</v>
      </c>
      <c r="J65" s="22">
        <f>G65*I65</f>
        <v>48519.124472457581</v>
      </c>
      <c r="K65" s="20"/>
    </row>
    <row r="66" spans="1:11" s="10" customFormat="1" x14ac:dyDescent="0.25">
      <c r="A66" s="24"/>
      <c r="B66" s="25" t="s">
        <v>39</v>
      </c>
      <c r="C66" s="26"/>
      <c r="D66" s="26"/>
      <c r="E66" s="26"/>
      <c r="F66" s="26"/>
      <c r="G66" s="26"/>
      <c r="H66" s="26"/>
      <c r="I66" s="26"/>
      <c r="J66" s="22">
        <f>0.13*G65*105000</f>
        <v>5003.6721747434722</v>
      </c>
      <c r="K66" s="26"/>
    </row>
    <row r="67" spans="1:11" s="10" customFormat="1" x14ac:dyDescent="0.25">
      <c r="A67" s="24"/>
      <c r="B67" s="25" t="s">
        <v>38</v>
      </c>
      <c r="C67" s="26"/>
      <c r="D67" s="26"/>
      <c r="E67" s="26"/>
      <c r="F67" s="26"/>
      <c r="G67" s="26"/>
      <c r="H67" s="26"/>
      <c r="I67" s="26"/>
      <c r="J67" s="22">
        <f>0.13*G65*1200</f>
        <v>57.184824854211108</v>
      </c>
      <c r="K67" s="26"/>
    </row>
    <row r="68" spans="1:11" x14ac:dyDescent="0.25">
      <c r="A68" s="15"/>
      <c r="B68" s="15"/>
      <c r="C68" s="15"/>
      <c r="D68" s="15"/>
      <c r="E68" s="15"/>
      <c r="F68" s="15"/>
      <c r="G68" s="15"/>
      <c r="H68" s="15"/>
      <c r="I68" s="15"/>
      <c r="J68" s="15"/>
      <c r="K68" s="15"/>
    </row>
    <row r="69" spans="1:11" ht="30" x14ac:dyDescent="0.25">
      <c r="A69" s="11">
        <v>7</v>
      </c>
      <c r="B69" s="28" t="s">
        <v>51</v>
      </c>
      <c r="C69" s="15"/>
      <c r="D69" s="15"/>
      <c r="E69" s="15"/>
      <c r="F69" s="15"/>
      <c r="G69" s="15"/>
      <c r="H69" s="15"/>
      <c r="I69" s="15"/>
      <c r="J69" s="15"/>
      <c r="K69" s="15"/>
    </row>
    <row r="70" spans="1:11" x14ac:dyDescent="0.25">
      <c r="A70" s="15"/>
      <c r="B70" s="16" t="e">
        <f>#REF!</f>
        <v>#REF!</v>
      </c>
      <c r="C70" s="15">
        <v>1</v>
      </c>
      <c r="D70" s="3">
        <f>12.667/3.281</f>
        <v>3.8607131971959765</v>
      </c>
      <c r="E70" s="3">
        <f>9.75/3.281</f>
        <v>2.9716549832368178</v>
      </c>
      <c r="F70" s="15"/>
      <c r="G70" s="3">
        <f>PRODUCT(C70:F70)</f>
        <v>11.47270761129557</v>
      </c>
      <c r="H70" s="15"/>
      <c r="I70" s="15"/>
      <c r="J70" s="15"/>
      <c r="K70" s="15"/>
    </row>
    <row r="71" spans="1:11" s="10" customFormat="1" ht="15" customHeight="1" x14ac:dyDescent="0.25">
      <c r="A71" s="17"/>
      <c r="B71" s="18" t="s">
        <v>16</v>
      </c>
      <c r="C71" s="19"/>
      <c r="D71" s="1"/>
      <c r="E71" s="20"/>
      <c r="F71" s="20"/>
      <c r="G71" s="2">
        <f>SUM(G70)</f>
        <v>11.47270761129557</v>
      </c>
      <c r="H71" s="21" t="s">
        <v>34</v>
      </c>
      <c r="I71" s="2">
        <v>689.98</v>
      </c>
      <c r="J71" s="22">
        <f>G71*I71</f>
        <v>7915.9387976417174</v>
      </c>
      <c r="K71" s="20"/>
    </row>
    <row r="72" spans="1:11" s="10" customFormat="1" x14ac:dyDescent="0.25">
      <c r="A72" s="24"/>
      <c r="B72" s="25" t="s">
        <v>32</v>
      </c>
      <c r="C72" s="26"/>
      <c r="D72" s="27"/>
      <c r="E72" s="27"/>
      <c r="F72" s="27"/>
      <c r="G72" s="27"/>
      <c r="H72" s="26"/>
      <c r="I72" s="26"/>
      <c r="J72" s="22">
        <f>0.13*G71*1694.03/10</f>
        <v>252.65644137191944</v>
      </c>
      <c r="K72" s="26"/>
    </row>
    <row r="73" spans="1:11" x14ac:dyDescent="0.25">
      <c r="A73" s="15"/>
      <c r="B73" s="25" t="s">
        <v>31</v>
      </c>
      <c r="C73" s="26"/>
      <c r="D73" s="27"/>
      <c r="E73" s="27"/>
      <c r="F73" s="27"/>
      <c r="G73" s="27"/>
      <c r="H73" s="26"/>
      <c r="I73" s="26"/>
      <c r="J73" s="22">
        <f>0.13*G71*472.02/10</f>
        <v>70.399516806888556</v>
      </c>
      <c r="K73" s="15"/>
    </row>
    <row r="74" spans="1:11" x14ac:dyDescent="0.25">
      <c r="A74" s="15"/>
      <c r="B74" s="25" t="s">
        <v>33</v>
      </c>
      <c r="C74" s="26"/>
      <c r="D74" s="27"/>
      <c r="E74" s="27"/>
      <c r="F74" s="27"/>
      <c r="G74" s="27"/>
      <c r="H74" s="26"/>
      <c r="I74" s="26"/>
      <c r="J74" s="22">
        <f>0.13*G71*1207.6/10</f>
        <v>180.10774224820688</v>
      </c>
      <c r="K74" s="15"/>
    </row>
    <row r="75" spans="1:11" x14ac:dyDescent="0.25">
      <c r="A75" s="15"/>
      <c r="B75" s="15"/>
      <c r="C75" s="15"/>
      <c r="D75" s="15"/>
      <c r="E75" s="15"/>
      <c r="F75" s="15"/>
      <c r="G75" s="15"/>
      <c r="H75" s="15"/>
      <c r="I75" s="15"/>
      <c r="J75" s="15"/>
      <c r="K75" s="15"/>
    </row>
    <row r="76" spans="1:11" ht="30" x14ac:dyDescent="0.25">
      <c r="A76" s="11">
        <v>8</v>
      </c>
      <c r="B76" s="28" t="s">
        <v>54</v>
      </c>
      <c r="C76" s="15"/>
      <c r="D76" s="15"/>
      <c r="E76" s="15"/>
      <c r="F76" s="15"/>
      <c r="G76" s="15"/>
      <c r="H76" s="15"/>
      <c r="I76" s="15"/>
      <c r="J76" s="15"/>
      <c r="K76" s="15"/>
    </row>
    <row r="77" spans="1:11" x14ac:dyDescent="0.25">
      <c r="A77" s="15"/>
      <c r="B77" s="16" t="e">
        <f>B70</f>
        <v>#REF!</v>
      </c>
      <c r="C77" s="15">
        <f>C70</f>
        <v>1</v>
      </c>
      <c r="D77" s="3">
        <f>D70</f>
        <v>3.8607131971959765</v>
      </c>
      <c r="E77" s="3">
        <f>E70</f>
        <v>2.9716549832368178</v>
      </c>
      <c r="F77" s="15"/>
      <c r="G77" s="3">
        <f>PRODUCT(C77:F77)</f>
        <v>11.47270761129557</v>
      </c>
      <c r="H77" s="15"/>
      <c r="I77" s="15"/>
      <c r="J77" s="15"/>
      <c r="K77" s="15"/>
    </row>
    <row r="78" spans="1:11" s="10" customFormat="1" ht="15" customHeight="1" x14ac:dyDescent="0.25">
      <c r="A78" s="17"/>
      <c r="B78" s="18" t="s">
        <v>16</v>
      </c>
      <c r="C78" s="19"/>
      <c r="D78" s="1"/>
      <c r="E78" s="20"/>
      <c r="F78" s="20"/>
      <c r="G78" s="2">
        <f>SUM(G77:G77)</f>
        <v>11.47270761129557</v>
      </c>
      <c r="H78" s="21" t="s">
        <v>34</v>
      </c>
      <c r="I78" s="2">
        <v>415.5</v>
      </c>
      <c r="J78" s="22">
        <f>G78*I78</f>
        <v>4766.9100124933093</v>
      </c>
      <c r="K78" s="20"/>
    </row>
    <row r="79" spans="1:11" s="10" customFormat="1" x14ac:dyDescent="0.25">
      <c r="A79" s="24"/>
      <c r="B79" s="25" t="s">
        <v>32</v>
      </c>
      <c r="C79" s="26"/>
      <c r="D79" s="27"/>
      <c r="E79" s="27"/>
      <c r="F79" s="27"/>
      <c r="G79" s="27"/>
      <c r="H79" s="26"/>
      <c r="I79" s="26"/>
      <c r="J79" s="22">
        <f>0.13*G78*7010.67/100</f>
        <v>104.56077719006596</v>
      </c>
      <c r="K79" s="26"/>
    </row>
    <row r="80" spans="1:11" x14ac:dyDescent="0.25">
      <c r="A80" s="15"/>
      <c r="B80" s="25" t="s">
        <v>31</v>
      </c>
      <c r="C80" s="26"/>
      <c r="D80" s="27"/>
      <c r="E80" s="27"/>
      <c r="F80" s="27"/>
      <c r="G80" s="27"/>
      <c r="H80" s="26"/>
      <c r="I80" s="26"/>
      <c r="J80" s="22">
        <f>0.13*G78*4639.73/100</f>
        <v>69.199345390963302</v>
      </c>
      <c r="K80" s="15"/>
    </row>
    <row r="81" spans="1:11" x14ac:dyDescent="0.25">
      <c r="A81" s="15"/>
      <c r="B81" s="15"/>
      <c r="C81" s="15"/>
      <c r="D81" s="15"/>
      <c r="E81" s="15"/>
      <c r="F81" s="15"/>
      <c r="G81" s="15"/>
      <c r="H81" s="15"/>
      <c r="I81" s="15"/>
      <c r="J81" s="15"/>
      <c r="K81" s="15"/>
    </row>
    <row r="82" spans="1:11" ht="30" x14ac:dyDescent="0.25">
      <c r="A82" s="11">
        <v>9</v>
      </c>
      <c r="B82" s="28" t="s">
        <v>63</v>
      </c>
      <c r="C82" s="15"/>
      <c r="D82" s="15"/>
      <c r="E82" s="15"/>
      <c r="F82" s="15"/>
      <c r="G82" s="15"/>
      <c r="H82" s="15"/>
      <c r="I82" s="15"/>
      <c r="J82" s="15"/>
      <c r="K82" s="15"/>
    </row>
    <row r="83" spans="1:11" x14ac:dyDescent="0.25">
      <c r="A83" s="15"/>
      <c r="B83" s="16" t="s">
        <v>119</v>
      </c>
      <c r="C83" s="3">
        <v>2</v>
      </c>
      <c r="D83" s="3">
        <f>9.75/3.281</f>
        <v>2.9716549832368178</v>
      </c>
      <c r="E83" s="3">
        <v>0.35</v>
      </c>
      <c r="F83" s="3">
        <f>(10-3.5-0.33)/3.281</f>
        <v>1.8805242304175556</v>
      </c>
      <c r="G83" s="3">
        <f t="shared" ref="G83:G86" si="21">PRODUCT(C83:F83)</f>
        <v>3.9117884402925371</v>
      </c>
      <c r="H83" s="15"/>
      <c r="I83" s="15"/>
      <c r="J83" s="15"/>
      <c r="K83" s="15"/>
    </row>
    <row r="84" spans="1:11" x14ac:dyDescent="0.25">
      <c r="A84" s="15"/>
      <c r="B84" s="16"/>
      <c r="C84" s="3">
        <v>2</v>
      </c>
      <c r="D84" s="3">
        <f>15/3.281</f>
        <v>4.5717768972874122</v>
      </c>
      <c r="E84" s="3">
        <v>0.35</v>
      </c>
      <c r="F84" s="3">
        <f>(10-3.5-0.33)/3.281</f>
        <v>1.8805242304175556</v>
      </c>
      <c r="G84" s="3">
        <f t="shared" si="21"/>
        <v>6.0181360619885194</v>
      </c>
      <c r="H84" s="15"/>
      <c r="I84" s="15"/>
      <c r="J84" s="15"/>
      <c r="K84" s="15"/>
    </row>
    <row r="85" spans="1:11" x14ac:dyDescent="0.25">
      <c r="A85" s="15"/>
      <c r="B85" s="16" t="s">
        <v>120</v>
      </c>
      <c r="C85" s="3">
        <v>-1</v>
      </c>
      <c r="D85" s="3">
        <f>1.5</f>
        <v>1.5</v>
      </c>
      <c r="E85" s="3">
        <v>0.35</v>
      </c>
      <c r="F85" s="3">
        <f>(7-3.5)/3.281</f>
        <v>1.0667479427003961</v>
      </c>
      <c r="G85" s="3">
        <f t="shared" ref="G85" si="22">PRODUCT(C85:F85)</f>
        <v>-0.56004266991770779</v>
      </c>
      <c r="H85" s="15"/>
      <c r="I85" s="15"/>
      <c r="J85" s="15"/>
      <c r="K85" s="15"/>
    </row>
    <row r="86" spans="1:11" x14ac:dyDescent="0.25">
      <c r="A86" s="15"/>
      <c r="B86" s="16" t="s">
        <v>65</v>
      </c>
      <c r="C86" s="3">
        <v>-2</v>
      </c>
      <c r="D86" s="3">
        <f>3.5/3.281</f>
        <v>1.0667479427003961</v>
      </c>
      <c r="E86" s="3">
        <v>0.35</v>
      </c>
      <c r="F86" s="3">
        <f>(7-3.5)/3.281</f>
        <v>1.0667479427003961</v>
      </c>
      <c r="G86" s="3">
        <f t="shared" si="21"/>
        <v>-0.79656582127886921</v>
      </c>
      <c r="H86" s="15"/>
      <c r="I86" s="15"/>
      <c r="J86" s="15"/>
      <c r="K86" s="15"/>
    </row>
    <row r="87" spans="1:11" s="10" customFormat="1" ht="15" customHeight="1" x14ac:dyDescent="0.25">
      <c r="A87" s="17"/>
      <c r="B87" s="18" t="s">
        <v>16</v>
      </c>
      <c r="C87" s="19"/>
      <c r="D87" s="1"/>
      <c r="E87" s="20"/>
      <c r="F87" s="20"/>
      <c r="G87" s="2">
        <f>SUM(G83:G86)</f>
        <v>8.5733160110844793</v>
      </c>
      <c r="H87" s="21" t="s">
        <v>28</v>
      </c>
      <c r="I87" s="2">
        <f>14491.84</f>
        <v>14491.84</v>
      </c>
      <c r="J87" s="22">
        <f>G87*I87</f>
        <v>124243.1239020745</v>
      </c>
      <c r="K87" s="20"/>
    </row>
    <row r="88" spans="1:11" s="10" customFormat="1" x14ac:dyDescent="0.25">
      <c r="A88" s="24"/>
      <c r="B88" s="25" t="s">
        <v>55</v>
      </c>
      <c r="C88" s="26"/>
      <c r="D88" s="27"/>
      <c r="E88" s="27"/>
      <c r="F88" s="27"/>
      <c r="G88" s="27"/>
      <c r="H88" s="26"/>
      <c r="I88" s="26"/>
      <c r="J88" s="22">
        <f>0.13*G87*8481.2</f>
        <v>9452.5610079172602</v>
      </c>
      <c r="K88" s="26"/>
    </row>
    <row r="89" spans="1:11" s="10" customFormat="1" x14ac:dyDescent="0.25">
      <c r="A89" s="24"/>
      <c r="B89" s="25" t="s">
        <v>32</v>
      </c>
      <c r="C89" s="26"/>
      <c r="D89" s="27"/>
      <c r="E89" s="27"/>
      <c r="F89" s="27"/>
      <c r="G89" s="27"/>
      <c r="H89" s="26"/>
      <c r="I89" s="26"/>
      <c r="J89" s="22">
        <f>0.13*G87*912.17</f>
        <v>1016.6418165580208</v>
      </c>
      <c r="K89" s="26"/>
    </row>
    <row r="90" spans="1:11" s="10" customFormat="1" x14ac:dyDescent="0.25">
      <c r="A90" s="24"/>
      <c r="B90" s="25" t="s">
        <v>64</v>
      </c>
      <c r="C90" s="26"/>
      <c r="D90" s="27"/>
      <c r="E90" s="27"/>
      <c r="F90" s="27"/>
      <c r="G90" s="27"/>
      <c r="H90" s="26"/>
      <c r="I90" s="26"/>
      <c r="J90" s="22">
        <f>0.13*G87*953.37</f>
        <v>1062.5604971133894</v>
      </c>
      <c r="K90" s="26"/>
    </row>
    <row r="91" spans="1:11" s="10" customFormat="1" x14ac:dyDescent="0.25">
      <c r="A91" s="24"/>
      <c r="B91" s="25" t="s">
        <v>36</v>
      </c>
      <c r="C91" s="26"/>
      <c r="D91" s="27"/>
      <c r="E91" s="27"/>
      <c r="F91" s="27"/>
      <c r="G91" s="27"/>
      <c r="H91" s="26"/>
      <c r="I91" s="26"/>
      <c r="J91" s="22">
        <f>0.13*G87*28</f>
        <v>31.206870280347506</v>
      </c>
      <c r="K91" s="26"/>
    </row>
    <row r="92" spans="1:11" x14ac:dyDescent="0.25">
      <c r="A92" s="15"/>
      <c r="B92" s="15"/>
      <c r="C92" s="15"/>
      <c r="D92" s="15"/>
      <c r="E92" s="15"/>
      <c r="F92" s="15"/>
      <c r="G92" s="15"/>
      <c r="H92" s="15"/>
      <c r="I92" s="15"/>
      <c r="J92" s="15"/>
      <c r="K92" s="15"/>
    </row>
    <row r="93" spans="1:11" ht="30" x14ac:dyDescent="0.25">
      <c r="A93" s="11">
        <v>10</v>
      </c>
      <c r="B93" s="28" t="s">
        <v>53</v>
      </c>
      <c r="C93" s="15"/>
      <c r="D93" s="15"/>
      <c r="E93" s="15"/>
      <c r="F93" s="15"/>
      <c r="G93" s="15"/>
      <c r="H93" s="15"/>
      <c r="I93" s="15"/>
      <c r="J93" s="15"/>
      <c r="K93" s="15"/>
    </row>
    <row r="94" spans="1:11" x14ac:dyDescent="0.25">
      <c r="A94" s="15"/>
      <c r="B94" s="16" t="str">
        <f>B83</f>
        <v>-for wall continue</v>
      </c>
      <c r="C94" s="45">
        <v>1</v>
      </c>
      <c r="D94" s="3">
        <f>(15*2+(9.75+1.17*2)*2)/3.281</f>
        <v>16.513258153002134</v>
      </c>
      <c r="E94" s="3"/>
      <c r="F94" s="3">
        <f>10/3.281</f>
        <v>3.047851264858275</v>
      </c>
      <c r="G94" s="3">
        <f>PRODUCT(C94:F94)</f>
        <v>50.329954748558777</v>
      </c>
      <c r="H94" s="15"/>
      <c r="I94" s="15"/>
      <c r="J94" s="15"/>
      <c r="K94" s="15"/>
    </row>
    <row r="95" spans="1:11" x14ac:dyDescent="0.25">
      <c r="A95" s="15"/>
      <c r="B95" s="16"/>
      <c r="C95" s="45">
        <v>1</v>
      </c>
      <c r="D95" s="3">
        <f>((15-1.17*2)*2+(9.75*2))/3.281</f>
        <v>13.660469369094788</v>
      </c>
      <c r="E95" s="3"/>
      <c r="F95" s="3">
        <f>10/3.281</f>
        <v>3.047851264858275</v>
      </c>
      <c r="G95" s="3">
        <f>PRODUCT(C95:F95)</f>
        <v>41.635078845153267</v>
      </c>
      <c r="H95" s="15"/>
      <c r="I95" s="15"/>
      <c r="J95" s="15"/>
      <c r="K95" s="15"/>
    </row>
    <row r="96" spans="1:11" x14ac:dyDescent="0.25">
      <c r="A96" s="15"/>
      <c r="B96" s="16" t="str">
        <f>B85</f>
        <v>-deduction for door</v>
      </c>
      <c r="C96" s="45">
        <f>2*C85</f>
        <v>-2</v>
      </c>
      <c r="D96" s="3">
        <f>D85</f>
        <v>1.5</v>
      </c>
      <c r="E96" s="3"/>
      <c r="F96" s="3">
        <f>7/3.281</f>
        <v>2.1334958854007922</v>
      </c>
      <c r="G96" s="3">
        <f t="shared" ref="G96" si="23">PRODUCT(C96:F96)</f>
        <v>-6.400487656202376</v>
      </c>
      <c r="H96" s="15"/>
      <c r="I96" s="15"/>
      <c r="J96" s="15"/>
      <c r="K96" s="15"/>
    </row>
    <row r="97" spans="1:11" x14ac:dyDescent="0.25">
      <c r="A97" s="15"/>
      <c r="B97" s="16" t="str">
        <f>B86</f>
        <v>-deduction for window</v>
      </c>
      <c r="C97" s="45">
        <f>2*C86</f>
        <v>-4</v>
      </c>
      <c r="D97" s="3">
        <f>D86</f>
        <v>1.0667479427003961</v>
      </c>
      <c r="E97" s="3"/>
      <c r="F97" s="3">
        <f>F86</f>
        <v>1.0667479427003961</v>
      </c>
      <c r="G97" s="3">
        <f t="shared" ref="G97" si="24">PRODUCT(C97:F97)</f>
        <v>-4.5518046930221097</v>
      </c>
      <c r="H97" s="15"/>
      <c r="I97" s="15"/>
      <c r="J97" s="15"/>
      <c r="K97" s="15"/>
    </row>
    <row r="98" spans="1:11" s="10" customFormat="1" ht="15" customHeight="1" x14ac:dyDescent="0.25">
      <c r="A98" s="17"/>
      <c r="B98" s="18" t="s">
        <v>16</v>
      </c>
      <c r="C98" s="19"/>
      <c r="D98" s="1"/>
      <c r="E98" s="20"/>
      <c r="F98" s="20"/>
      <c r="G98" s="2">
        <f>SUM(G94:G97)</f>
        <v>81.012741244487557</v>
      </c>
      <c r="H98" s="21" t="s">
        <v>34</v>
      </c>
      <c r="I98" s="2">
        <v>415.5</v>
      </c>
      <c r="J98" s="22">
        <f>G98*I98</f>
        <v>33660.79398708458</v>
      </c>
      <c r="K98" s="20"/>
    </row>
    <row r="99" spans="1:11" s="10" customFormat="1" x14ac:dyDescent="0.25">
      <c r="A99" s="24"/>
      <c r="B99" s="25" t="s">
        <v>32</v>
      </c>
      <c r="C99" s="26"/>
      <c r="D99" s="27"/>
      <c r="E99" s="27"/>
      <c r="F99" s="27"/>
      <c r="G99" s="27"/>
      <c r="H99" s="26"/>
      <c r="I99" s="26"/>
      <c r="J99" s="22">
        <f>0.13*G98*7010.67/100</f>
        <v>738.33967305863916</v>
      </c>
      <c r="K99" s="26"/>
    </row>
    <row r="100" spans="1:11" x14ac:dyDescent="0.25">
      <c r="A100" s="15"/>
      <c r="B100" s="25" t="s">
        <v>31</v>
      </c>
      <c r="C100" s="26"/>
      <c r="D100" s="27"/>
      <c r="E100" s="27"/>
      <c r="F100" s="27"/>
      <c r="G100" s="27"/>
      <c r="H100" s="26"/>
      <c r="I100" s="26"/>
      <c r="J100" s="22">
        <f>0.13*G98*4639.73/100</f>
        <v>488.64041971457215</v>
      </c>
      <c r="K100" s="15"/>
    </row>
    <row r="101" spans="1:11" x14ac:dyDescent="0.25">
      <c r="A101" s="15"/>
      <c r="B101" s="15"/>
      <c r="C101" s="15"/>
      <c r="D101" s="15"/>
      <c r="E101" s="15"/>
      <c r="F101" s="15"/>
      <c r="G101" s="15"/>
      <c r="H101" s="15"/>
      <c r="I101" s="15"/>
      <c r="J101" s="15"/>
      <c r="K101" s="15"/>
    </row>
    <row r="102" spans="1:11" ht="30" x14ac:dyDescent="0.25">
      <c r="A102" s="11">
        <v>11</v>
      </c>
      <c r="B102" s="28" t="s">
        <v>69</v>
      </c>
      <c r="C102" s="15"/>
      <c r="D102" s="15"/>
      <c r="E102" s="15"/>
      <c r="F102" s="15"/>
      <c r="G102" s="15"/>
      <c r="H102" s="15"/>
      <c r="I102" s="15"/>
      <c r="J102" s="15"/>
      <c r="K102" s="15"/>
    </row>
    <row r="103" spans="1:11" x14ac:dyDescent="0.25">
      <c r="A103" s="15"/>
      <c r="B103" s="16" t="s">
        <v>107</v>
      </c>
      <c r="C103" s="3">
        <f>C94</f>
        <v>1</v>
      </c>
      <c r="D103" s="3"/>
      <c r="E103" s="3"/>
      <c r="F103" s="3"/>
      <c r="G103" s="3">
        <f>SUM(G94:G97)</f>
        <v>81.012741244487557</v>
      </c>
      <c r="H103" s="15"/>
      <c r="I103" s="15"/>
      <c r="J103" s="15"/>
      <c r="K103" s="15"/>
    </row>
    <row r="104" spans="1:11" s="10" customFormat="1" ht="15" customHeight="1" x14ac:dyDescent="0.25">
      <c r="A104" s="17"/>
      <c r="B104" s="18" t="s">
        <v>16</v>
      </c>
      <c r="C104" s="19"/>
      <c r="D104" s="1"/>
      <c r="E104" s="20"/>
      <c r="F104" s="20"/>
      <c r="G104" s="2">
        <f>SUM(G103:G103)</f>
        <v>81.012741244487557</v>
      </c>
      <c r="H104" s="21" t="s">
        <v>34</v>
      </c>
      <c r="I104" s="2">
        <v>253.8</v>
      </c>
      <c r="J104" s="22">
        <f>G104*I104</f>
        <v>20561.033727850943</v>
      </c>
      <c r="K104" s="20"/>
    </row>
    <row r="105" spans="1:11" s="10" customFormat="1" x14ac:dyDescent="0.25">
      <c r="A105" s="24"/>
      <c r="B105" s="25" t="s">
        <v>70</v>
      </c>
      <c r="C105" s="26"/>
      <c r="D105" s="27"/>
      <c r="E105" s="27"/>
      <c r="F105" s="27"/>
      <c r="G105" s="27"/>
      <c r="H105" s="26"/>
      <c r="I105" s="26"/>
      <c r="J105" s="22">
        <f>0.13*G104*2304/100</f>
        <v>242.64936257548914</v>
      </c>
      <c r="K105" s="26"/>
    </row>
    <row r="106" spans="1:11" s="10" customFormat="1" x14ac:dyDescent="0.25">
      <c r="A106" s="24"/>
      <c r="B106" s="25" t="s">
        <v>71</v>
      </c>
      <c r="C106" s="26"/>
      <c r="D106" s="27"/>
      <c r="E106" s="27"/>
      <c r="F106" s="27"/>
      <c r="G106" s="27"/>
      <c r="H106" s="26"/>
      <c r="I106" s="26"/>
      <c r="J106" s="22">
        <f>0.13*G104*10432/100</f>
        <v>1098.6623916612425</v>
      </c>
      <c r="K106" s="26"/>
    </row>
    <row r="107" spans="1:11" s="10" customFormat="1" x14ac:dyDescent="0.25">
      <c r="A107" s="24"/>
      <c r="B107" s="25"/>
      <c r="C107" s="26"/>
      <c r="D107" s="27"/>
      <c r="E107" s="27"/>
      <c r="F107" s="27"/>
      <c r="G107" s="27"/>
      <c r="H107" s="26"/>
      <c r="I107" s="26"/>
      <c r="J107" s="22"/>
      <c r="K107" s="26"/>
    </row>
    <row r="108" spans="1:11" s="10" customFormat="1" x14ac:dyDescent="0.25">
      <c r="A108" s="24"/>
      <c r="B108" s="25"/>
      <c r="C108" s="26"/>
      <c r="D108" s="27"/>
      <c r="E108" s="27"/>
      <c r="F108" s="27"/>
      <c r="G108" s="27"/>
      <c r="H108" s="26"/>
      <c r="I108" s="26"/>
      <c r="J108" s="22"/>
      <c r="K108" s="26"/>
    </row>
    <row r="109" spans="1:11" s="10" customFormat="1" x14ac:dyDescent="0.25">
      <c r="A109" s="24"/>
      <c r="B109" s="25"/>
      <c r="C109" s="26"/>
      <c r="D109" s="27"/>
      <c r="E109" s="27"/>
      <c r="F109" s="27"/>
      <c r="G109" s="27"/>
      <c r="H109" s="26"/>
      <c r="I109" s="26"/>
      <c r="J109" s="22"/>
      <c r="K109" s="26"/>
    </row>
    <row r="110" spans="1:11" s="10" customFormat="1" x14ac:dyDescent="0.25">
      <c r="A110" s="24"/>
      <c r="B110" s="25"/>
      <c r="C110" s="26"/>
      <c r="D110" s="27"/>
      <c r="E110" s="27"/>
      <c r="F110" s="27"/>
      <c r="G110" s="27"/>
      <c r="H110" s="26"/>
      <c r="I110" s="26"/>
      <c r="J110" s="22"/>
      <c r="K110" s="26"/>
    </row>
    <row r="111" spans="1:11" s="10" customFormat="1" x14ac:dyDescent="0.25">
      <c r="A111" s="24"/>
      <c r="B111" s="25"/>
      <c r="C111" s="26"/>
      <c r="D111" s="27"/>
      <c r="E111" s="27"/>
      <c r="F111" s="27"/>
      <c r="G111" s="27"/>
      <c r="H111" s="26"/>
      <c r="I111" s="26"/>
      <c r="J111" s="22"/>
      <c r="K111" s="26"/>
    </row>
    <row r="112" spans="1:11" s="10" customFormat="1" x14ac:dyDescent="0.25">
      <c r="A112" s="24"/>
      <c r="B112" s="25"/>
      <c r="C112" s="26"/>
      <c r="D112" s="27"/>
      <c r="E112" s="27"/>
      <c r="F112" s="27"/>
      <c r="G112" s="27"/>
      <c r="H112" s="26"/>
      <c r="I112" s="26"/>
      <c r="J112" s="22"/>
      <c r="K112" s="26"/>
    </row>
    <row r="113" spans="1:11" s="10" customFormat="1" ht="30" x14ac:dyDescent="0.25">
      <c r="A113" s="17">
        <v>17</v>
      </c>
      <c r="B113" s="30" t="s">
        <v>105</v>
      </c>
      <c r="C113" s="19">
        <v>1</v>
      </c>
      <c r="D113" s="1"/>
      <c r="E113" s="20"/>
      <c r="F113" s="20"/>
      <c r="G113" s="21">
        <f t="shared" ref="G113" si="25">PRODUCT(C113:F113)</f>
        <v>1</v>
      </c>
      <c r="H113" s="21" t="s">
        <v>30</v>
      </c>
      <c r="I113" s="2">
        <v>5000</v>
      </c>
      <c r="J113" s="21">
        <f>G113*I113</f>
        <v>5000</v>
      </c>
      <c r="K113" s="20"/>
    </row>
    <row r="114" spans="1:11" s="10" customFormat="1" x14ac:dyDescent="0.25">
      <c r="A114" s="17"/>
      <c r="B114" s="31"/>
      <c r="C114" s="19"/>
      <c r="D114" s="1"/>
      <c r="E114" s="20"/>
      <c r="F114" s="20"/>
      <c r="G114" s="2"/>
      <c r="H114" s="21"/>
      <c r="I114" s="2"/>
      <c r="J114" s="22"/>
      <c r="K114" s="20"/>
    </row>
    <row r="115" spans="1:11" s="10" customFormat="1" ht="15" customHeight="1" x14ac:dyDescent="0.25">
      <c r="A115" s="17">
        <v>18</v>
      </c>
      <c r="B115" s="30" t="s">
        <v>17</v>
      </c>
      <c r="C115" s="19">
        <v>1</v>
      </c>
      <c r="D115" s="1"/>
      <c r="E115" s="20"/>
      <c r="F115" s="20"/>
      <c r="G115" s="21">
        <f t="shared" ref="G115" si="26">PRODUCT(C115:F115)</f>
        <v>1</v>
      </c>
      <c r="H115" s="21" t="s">
        <v>18</v>
      </c>
      <c r="I115" s="2">
        <v>500</v>
      </c>
      <c r="J115" s="21">
        <f>G115*I115</f>
        <v>500</v>
      </c>
      <c r="K115" s="20"/>
    </row>
    <row r="116" spans="1:11" s="10" customFormat="1" x14ac:dyDescent="0.25">
      <c r="A116" s="17"/>
      <c r="B116" s="31"/>
      <c r="C116" s="19"/>
      <c r="D116" s="1"/>
      <c r="E116" s="20"/>
      <c r="F116" s="20"/>
      <c r="G116" s="2"/>
      <c r="H116" s="21"/>
      <c r="I116" s="2"/>
      <c r="J116" s="22"/>
      <c r="K116" s="20"/>
    </row>
    <row r="117" spans="1:11" s="10" customFormat="1" x14ac:dyDescent="0.25">
      <c r="A117" s="32"/>
      <c r="B117" s="33" t="s">
        <v>20</v>
      </c>
      <c r="C117" s="34"/>
      <c r="D117" s="35"/>
      <c r="E117" s="35"/>
      <c r="F117" s="35"/>
      <c r="G117" s="22"/>
      <c r="H117" s="22"/>
      <c r="I117" s="22"/>
      <c r="J117" s="22">
        <f>SUM(J9:J115)</f>
        <v>370065.78807681054</v>
      </c>
      <c r="K117" s="36"/>
    </row>
    <row r="118" spans="1:11" s="10" customFormat="1" x14ac:dyDescent="0.25"/>
    <row r="119" spans="1:11" s="44" customFormat="1" x14ac:dyDescent="0.25">
      <c r="A119" s="37"/>
      <c r="B119" s="38" t="s">
        <v>19</v>
      </c>
      <c r="C119" s="56">
        <f>J117</f>
        <v>370065.78807681054</v>
      </c>
      <c r="D119" s="57"/>
      <c r="E119" s="39">
        <v>100</v>
      </c>
      <c r="F119" s="37"/>
      <c r="G119" s="40"/>
      <c r="H119" s="37"/>
      <c r="I119" s="41"/>
      <c r="J119" s="42"/>
      <c r="K119" s="43"/>
    </row>
    <row r="120" spans="1:11" s="10" customFormat="1" x14ac:dyDescent="0.25">
      <c r="B120" s="38" t="s">
        <v>21</v>
      </c>
      <c r="C120" s="60">
        <v>700000</v>
      </c>
      <c r="D120" s="61"/>
      <c r="E120" s="39"/>
    </row>
    <row r="121" spans="1:11" s="10" customFormat="1" x14ac:dyDescent="0.25">
      <c r="B121" s="38" t="s">
        <v>22</v>
      </c>
      <c r="C121" s="60">
        <f>C120-C123-C124</f>
        <v>665000</v>
      </c>
      <c r="D121" s="61"/>
      <c r="E121" s="39">
        <f>C121/C119*100</f>
        <v>179.69777845607635</v>
      </c>
    </row>
    <row r="122" spans="1:11" s="10" customFormat="1" x14ac:dyDescent="0.25">
      <c r="B122" s="38" t="s">
        <v>26</v>
      </c>
      <c r="C122" s="62">
        <f>C119-C121</f>
        <v>-294934.21192318946</v>
      </c>
      <c r="D122" s="62"/>
      <c r="E122" s="39">
        <f>100-E121</f>
        <v>-79.69777845607635</v>
      </c>
    </row>
    <row r="123" spans="1:11" s="10" customFormat="1" x14ac:dyDescent="0.25">
      <c r="B123" s="38" t="s">
        <v>23</v>
      </c>
      <c r="C123" s="56">
        <f>C120*0.03</f>
        <v>21000</v>
      </c>
      <c r="D123" s="57"/>
      <c r="E123" s="39">
        <v>3</v>
      </c>
    </row>
    <row r="124" spans="1:11" s="10" customFormat="1" x14ac:dyDescent="0.25">
      <c r="B124" s="38" t="s">
        <v>24</v>
      </c>
      <c r="C124" s="56">
        <f>C120*0.02</f>
        <v>14000</v>
      </c>
      <c r="D124" s="57"/>
      <c r="E124" s="39">
        <v>2</v>
      </c>
    </row>
  </sheetData>
  <mergeCells count="15">
    <mergeCell ref="A6:F6"/>
    <mergeCell ref="H6:K6"/>
    <mergeCell ref="A1:K1"/>
    <mergeCell ref="A2:K2"/>
    <mergeCell ref="A3:K3"/>
    <mergeCell ref="A4:K4"/>
    <mergeCell ref="A5:K5"/>
    <mergeCell ref="C123:D123"/>
    <mergeCell ref="C124:D124"/>
    <mergeCell ref="A7:F7"/>
    <mergeCell ref="H7:K7"/>
    <mergeCell ref="C119:D119"/>
    <mergeCell ref="C120:D120"/>
    <mergeCell ref="C121:D121"/>
    <mergeCell ref="C122:D122"/>
  </mergeCells>
  <pageMargins left="0.7" right="0.7" top="0.75" bottom="0.75" header="0.3" footer="0.3"/>
  <pageSetup scale="80" orientation="portrait" r:id="rId1"/>
  <headerFooter>
    <oddFooter>&amp;LPrepared By:&amp;CChecked By:&amp;RApproved By:</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02"/>
  <sheetViews>
    <sheetView topLeftCell="A95" zoomScaleNormal="100" workbookViewId="0">
      <selection activeCell="E189" sqref="E189"/>
    </sheetView>
  </sheetViews>
  <sheetFormatPr defaultColWidth="9.140625" defaultRowHeight="15" x14ac:dyDescent="0.25"/>
  <cols>
    <col min="1" max="1" width="4.7109375" style="10" customWidth="1"/>
    <col min="2" max="2" width="30.85546875" style="10" customWidth="1"/>
    <col min="3" max="3" width="4.5703125" style="10" bestFit="1" customWidth="1"/>
    <col min="4" max="4" width="8.42578125" style="10" customWidth="1"/>
    <col min="5" max="5" width="8.5703125" style="10" customWidth="1"/>
    <col min="6" max="6" width="7.28515625" style="10" customWidth="1"/>
    <col min="7" max="7" width="9.140625" style="10"/>
    <col min="8" max="8" width="5" style="10" bestFit="1" customWidth="1"/>
    <col min="9" max="9" width="9.5703125" style="10" customWidth="1"/>
    <col min="10" max="10" width="10.7109375" style="10" bestFit="1" customWidth="1"/>
    <col min="11" max="16384" width="9.140625" style="10"/>
  </cols>
  <sheetData>
    <row r="1" spans="1:11" x14ac:dyDescent="0.25">
      <c r="A1" s="65" t="s">
        <v>0</v>
      </c>
      <c r="B1" s="65"/>
      <c r="C1" s="65"/>
      <c r="D1" s="65"/>
      <c r="E1" s="65"/>
      <c r="F1" s="65"/>
      <c r="G1" s="65"/>
      <c r="H1" s="65"/>
      <c r="I1" s="65"/>
      <c r="J1" s="65"/>
      <c r="K1" s="65"/>
    </row>
    <row r="2" spans="1:11" ht="22.5" x14ac:dyDescent="0.25">
      <c r="A2" s="66" t="s">
        <v>1</v>
      </c>
      <c r="B2" s="66"/>
      <c r="C2" s="66"/>
      <c r="D2" s="66"/>
      <c r="E2" s="66"/>
      <c r="F2" s="66"/>
      <c r="G2" s="66"/>
      <c r="H2" s="66"/>
      <c r="I2" s="66"/>
      <c r="J2" s="66"/>
      <c r="K2" s="66"/>
    </row>
    <row r="3" spans="1:11" x14ac:dyDescent="0.25">
      <c r="A3" s="67" t="s">
        <v>2</v>
      </c>
      <c r="B3" s="67"/>
      <c r="C3" s="67"/>
      <c r="D3" s="67"/>
      <c r="E3" s="67"/>
      <c r="F3" s="67"/>
      <c r="G3" s="67"/>
      <c r="H3" s="67"/>
      <c r="I3" s="67"/>
      <c r="J3" s="67"/>
      <c r="K3" s="67"/>
    </row>
    <row r="4" spans="1:11" x14ac:dyDescent="0.25">
      <c r="A4" s="67" t="s">
        <v>3</v>
      </c>
      <c r="B4" s="67"/>
      <c r="C4" s="67"/>
      <c r="D4" s="67"/>
      <c r="E4" s="67"/>
      <c r="F4" s="67"/>
      <c r="G4" s="67"/>
      <c r="H4" s="67"/>
      <c r="I4" s="67"/>
      <c r="J4" s="67"/>
      <c r="K4" s="67"/>
    </row>
    <row r="5" spans="1:11" ht="18.75" x14ac:dyDescent="0.3">
      <c r="A5" s="68" t="s">
        <v>4</v>
      </c>
      <c r="B5" s="68"/>
      <c r="C5" s="68"/>
      <c r="D5" s="68"/>
      <c r="E5" s="68"/>
      <c r="F5" s="68"/>
      <c r="G5" s="68"/>
      <c r="H5" s="68"/>
      <c r="I5" s="68"/>
      <c r="J5" s="68"/>
      <c r="K5" s="68"/>
    </row>
    <row r="6" spans="1:11" ht="15.75" x14ac:dyDescent="0.25">
      <c r="A6" s="63" t="s">
        <v>77</v>
      </c>
      <c r="B6" s="63"/>
      <c r="C6" s="63"/>
      <c r="D6" s="63"/>
      <c r="E6" s="63"/>
      <c r="F6" s="63"/>
      <c r="G6" s="4"/>
      <c r="H6" s="64" t="s">
        <v>25</v>
      </c>
      <c r="I6" s="64"/>
      <c r="J6" s="64"/>
      <c r="K6" s="64"/>
    </row>
    <row r="7" spans="1:11" ht="15.75" x14ac:dyDescent="0.25">
      <c r="A7" s="58" t="s">
        <v>29</v>
      </c>
      <c r="B7" s="58"/>
      <c r="C7" s="58"/>
      <c r="D7" s="58"/>
      <c r="E7" s="58"/>
      <c r="F7" s="58"/>
      <c r="G7" s="5"/>
      <c r="H7" s="59" t="s">
        <v>78</v>
      </c>
      <c r="I7" s="59"/>
      <c r="J7" s="59"/>
      <c r="K7" s="59"/>
    </row>
    <row r="8" spans="1:11" ht="15.75" x14ac:dyDescent="0.25">
      <c r="A8" s="6" t="s">
        <v>5</v>
      </c>
      <c r="B8" s="7" t="s">
        <v>6</v>
      </c>
      <c r="C8" s="6" t="s">
        <v>7</v>
      </c>
      <c r="D8" s="8" t="s">
        <v>8</v>
      </c>
      <c r="E8" s="8" t="s">
        <v>9</v>
      </c>
      <c r="F8" s="8" t="s">
        <v>10</v>
      </c>
      <c r="G8" s="8" t="s">
        <v>11</v>
      </c>
      <c r="H8" s="6" t="s">
        <v>12</v>
      </c>
      <c r="I8" s="8" t="s">
        <v>13</v>
      </c>
      <c r="J8" s="8" t="s">
        <v>14</v>
      </c>
      <c r="K8" s="9" t="s">
        <v>15</v>
      </c>
    </row>
    <row r="9" spans="1:11" ht="173.25" x14ac:dyDescent="0.25">
      <c r="A9" s="24">
        <v>1</v>
      </c>
      <c r="B9" s="54" t="s">
        <v>108</v>
      </c>
      <c r="C9" s="26"/>
      <c r="D9" s="26"/>
      <c r="E9" s="26"/>
      <c r="F9" s="26"/>
      <c r="G9" s="26"/>
      <c r="H9" s="26"/>
      <c r="I9" s="26"/>
      <c r="J9" s="26"/>
      <c r="K9" s="26"/>
    </row>
    <row r="10" spans="1:11" x14ac:dyDescent="0.25">
      <c r="A10" s="24"/>
      <c r="B10" s="25" t="s">
        <v>115</v>
      </c>
      <c r="C10" s="26">
        <v>0.5</v>
      </c>
      <c r="D10" s="27">
        <v>7.5</v>
      </c>
      <c r="E10" s="27">
        <v>3</v>
      </c>
      <c r="F10" s="27">
        <v>1.5</v>
      </c>
      <c r="G10" s="27">
        <f>PRODUCT(C10:F10)</f>
        <v>16.875</v>
      </c>
      <c r="H10" s="26"/>
      <c r="I10" s="26"/>
      <c r="J10" s="26"/>
      <c r="K10" s="26"/>
    </row>
    <row r="11" spans="1:11" ht="15" customHeight="1" x14ac:dyDescent="0.25">
      <c r="A11" s="17"/>
      <c r="B11" s="18" t="s">
        <v>16</v>
      </c>
      <c r="C11" s="19"/>
      <c r="D11" s="1"/>
      <c r="E11" s="20"/>
      <c r="F11" s="20"/>
      <c r="G11" s="2">
        <f>SUM(G10:G10)</f>
        <v>16.875</v>
      </c>
      <c r="H11" s="21" t="s">
        <v>109</v>
      </c>
      <c r="I11" s="2">
        <v>62.95</v>
      </c>
      <c r="J11" s="22">
        <f>G11*I11</f>
        <v>1062.28125</v>
      </c>
      <c r="K11" s="20"/>
    </row>
    <row r="12" spans="1:11" x14ac:dyDescent="0.25">
      <c r="A12" s="24"/>
      <c r="B12" s="25" t="s">
        <v>110</v>
      </c>
      <c r="C12" s="26"/>
      <c r="D12" s="26"/>
      <c r="E12" s="26"/>
      <c r="F12" s="26"/>
      <c r="G12" s="26"/>
      <c r="H12" s="26"/>
      <c r="I12" s="26"/>
      <c r="J12" s="22">
        <f>0.13*G11*(18612)/360</f>
        <v>113.41687500000002</v>
      </c>
      <c r="K12" s="26"/>
    </row>
    <row r="13" spans="1:11" x14ac:dyDescent="0.25">
      <c r="A13" s="24"/>
      <c r="B13" s="26"/>
      <c r="C13" s="26"/>
      <c r="D13" s="26"/>
      <c r="E13" s="26"/>
      <c r="F13" s="26"/>
      <c r="G13" s="26"/>
      <c r="H13" s="26"/>
      <c r="I13" s="26"/>
      <c r="J13" s="26"/>
      <c r="K13" s="26"/>
    </row>
    <row r="14" spans="1:11" ht="110.25" x14ac:dyDescent="0.25">
      <c r="A14" s="24">
        <v>2</v>
      </c>
      <c r="B14" s="54" t="s">
        <v>111</v>
      </c>
      <c r="C14" s="26"/>
      <c r="D14" s="26"/>
      <c r="E14" s="26"/>
      <c r="F14" s="26"/>
      <c r="G14" s="26"/>
      <c r="H14" s="26"/>
      <c r="I14" s="26"/>
      <c r="J14" s="26"/>
      <c r="K14" s="26"/>
    </row>
    <row r="15" spans="1:11" x14ac:dyDescent="0.25">
      <c r="A15" s="24"/>
      <c r="B15" s="25" t="str">
        <f>B10</f>
        <v>-for wall</v>
      </c>
      <c r="C15" s="26">
        <v>1</v>
      </c>
      <c r="D15" s="27">
        <f>D29</f>
        <v>7.6</v>
      </c>
      <c r="E15" s="27">
        <f>E20</f>
        <v>1.25</v>
      </c>
      <c r="F15" s="27">
        <v>0.15</v>
      </c>
      <c r="G15" s="27">
        <f>PRODUCT(C15:F15)</f>
        <v>1.425</v>
      </c>
      <c r="H15" s="26"/>
      <c r="I15" s="26"/>
      <c r="J15" s="26"/>
      <c r="K15" s="26"/>
    </row>
    <row r="16" spans="1:11" ht="15" customHeight="1" x14ac:dyDescent="0.25">
      <c r="A16" s="17"/>
      <c r="B16" s="18" t="s">
        <v>16</v>
      </c>
      <c r="C16" s="19"/>
      <c r="D16" s="1"/>
      <c r="E16" s="20"/>
      <c r="F16" s="20"/>
      <c r="G16" s="2">
        <f>SUM(G15:G15)</f>
        <v>1.425</v>
      </c>
      <c r="H16" s="21" t="s">
        <v>109</v>
      </c>
      <c r="I16" s="2">
        <v>4458.5200000000004</v>
      </c>
      <c r="J16" s="22">
        <f>G16*I16</f>
        <v>6353.3910000000005</v>
      </c>
      <c r="K16" s="20"/>
    </row>
    <row r="17" spans="1:11" x14ac:dyDescent="0.25">
      <c r="A17" s="24"/>
      <c r="B17" s="25" t="s">
        <v>110</v>
      </c>
      <c r="C17" s="26"/>
      <c r="D17" s="26"/>
      <c r="E17" s="26"/>
      <c r="F17" s="26"/>
      <c r="G17" s="26"/>
      <c r="H17" s="26"/>
      <c r="I17" s="26"/>
      <c r="J17" s="22">
        <f>0.13*G16*(14817.6)/5</f>
        <v>548.9920800000001</v>
      </c>
      <c r="K17" s="26"/>
    </row>
    <row r="18" spans="1:11" x14ac:dyDescent="0.25">
      <c r="A18" s="24"/>
      <c r="B18" s="26"/>
      <c r="C18" s="26"/>
      <c r="D18" s="26"/>
      <c r="E18" s="26"/>
      <c r="F18" s="26"/>
      <c r="G18" s="26"/>
      <c r="H18" s="26"/>
      <c r="I18" s="26"/>
      <c r="J18" s="26"/>
      <c r="K18" s="26"/>
    </row>
    <row r="19" spans="1:11" ht="94.5" x14ac:dyDescent="0.25">
      <c r="A19" s="24">
        <v>3</v>
      </c>
      <c r="B19" s="54" t="s">
        <v>112</v>
      </c>
      <c r="C19" s="26"/>
      <c r="D19" s="26"/>
      <c r="E19" s="26"/>
      <c r="F19" s="26"/>
      <c r="G19" s="26"/>
      <c r="H19" s="26"/>
      <c r="I19" s="26"/>
      <c r="J19" s="26"/>
      <c r="K19" s="26"/>
    </row>
    <row r="20" spans="1:11" x14ac:dyDescent="0.25">
      <c r="A20" s="24"/>
      <c r="B20" s="25" t="str">
        <f>B15</f>
        <v>-for wall</v>
      </c>
      <c r="C20" s="26">
        <v>1</v>
      </c>
      <c r="D20" s="27">
        <f>D29</f>
        <v>7.6</v>
      </c>
      <c r="E20" s="27">
        <f>F29/2</f>
        <v>1.25</v>
      </c>
      <c r="F20" s="27">
        <v>0.05</v>
      </c>
      <c r="G20" s="27">
        <f>PRODUCT(C20:F20)</f>
        <v>0.47500000000000003</v>
      </c>
      <c r="H20" s="26"/>
      <c r="I20" s="26"/>
      <c r="J20" s="26"/>
      <c r="K20" s="26"/>
    </row>
    <row r="21" spans="1:11" ht="15" customHeight="1" x14ac:dyDescent="0.25">
      <c r="A21" s="17"/>
      <c r="B21" s="18" t="s">
        <v>16</v>
      </c>
      <c r="C21" s="19"/>
      <c r="D21" s="1"/>
      <c r="E21" s="20"/>
      <c r="F21" s="20"/>
      <c r="G21" s="2">
        <f>SUM(G20:G20)</f>
        <v>0.47500000000000003</v>
      </c>
      <c r="H21" s="21" t="s">
        <v>109</v>
      </c>
      <c r="I21" s="2">
        <v>10964.46</v>
      </c>
      <c r="J21" s="22">
        <f>G21*I21</f>
        <v>5208.1184999999996</v>
      </c>
      <c r="K21" s="20"/>
    </row>
    <row r="22" spans="1:11" x14ac:dyDescent="0.25">
      <c r="A22" s="24"/>
      <c r="B22" s="25" t="s">
        <v>32</v>
      </c>
      <c r="C22" s="26"/>
      <c r="D22" s="26"/>
      <c r="E22" s="26"/>
      <c r="F22" s="26"/>
      <c r="G22" s="26"/>
      <c r="H22" s="26"/>
      <c r="I22" s="26"/>
      <c r="J22" s="22">
        <f>0.13*G21*(53818.03)/15</f>
        <v>221.55089016666668</v>
      </c>
      <c r="K22" s="26"/>
    </row>
    <row r="23" spans="1:11" x14ac:dyDescent="0.25">
      <c r="A23" s="24"/>
      <c r="B23" s="25" t="s">
        <v>31</v>
      </c>
      <c r="C23" s="26"/>
      <c r="D23" s="26"/>
      <c r="E23" s="26"/>
      <c r="F23" s="26"/>
      <c r="G23" s="26"/>
      <c r="H23" s="26"/>
      <c r="I23" s="26"/>
      <c r="J23" s="22">
        <f>0.13*G21*(21432.6)/15</f>
        <v>88.23087000000001</v>
      </c>
      <c r="K23" s="26"/>
    </row>
    <row r="24" spans="1:11" x14ac:dyDescent="0.25">
      <c r="A24" s="24"/>
      <c r="B24" s="25" t="s">
        <v>33</v>
      </c>
      <c r="C24" s="26"/>
      <c r="D24" s="26"/>
      <c r="E24" s="26"/>
      <c r="F24" s="26"/>
      <c r="G24" s="26"/>
      <c r="H24" s="26"/>
      <c r="I24" s="26"/>
      <c r="J24" s="22">
        <f>0.13*G21*(25719.12+13573.98+4286.52)/15</f>
        <v>179.40276899999998</v>
      </c>
      <c r="K24" s="26"/>
    </row>
    <row r="25" spans="1:11" x14ac:dyDescent="0.25">
      <c r="A25" s="24"/>
      <c r="B25" s="25" t="s">
        <v>113</v>
      </c>
      <c r="C25" s="26"/>
      <c r="D25" s="26"/>
      <c r="E25" s="26"/>
      <c r="F25" s="26"/>
      <c r="G25" s="26"/>
      <c r="H25" s="26"/>
      <c r="I25" s="26"/>
      <c r="J25" s="22">
        <f>0.13*G21*(6325.7)/15</f>
        <v>26.040798333333335</v>
      </c>
      <c r="K25" s="26"/>
    </row>
    <row r="26" spans="1:11" x14ac:dyDescent="0.25">
      <c r="A26" s="24"/>
      <c r="B26" s="25" t="s">
        <v>36</v>
      </c>
      <c r="C26" s="26"/>
      <c r="D26" s="26"/>
      <c r="E26" s="26"/>
      <c r="F26" s="26"/>
      <c r="G26" s="26"/>
      <c r="H26" s="26"/>
      <c r="I26" s="26"/>
      <c r="J26" s="22">
        <f>0.13*G21*(310)/5</f>
        <v>3.8285000000000005</v>
      </c>
      <c r="K26" s="26"/>
    </row>
    <row r="27" spans="1:11" x14ac:dyDescent="0.25">
      <c r="A27" s="24"/>
      <c r="B27" s="26"/>
      <c r="C27" s="26"/>
      <c r="D27" s="26"/>
      <c r="E27" s="26"/>
      <c r="F27" s="26"/>
      <c r="G27" s="26"/>
      <c r="H27" s="26"/>
      <c r="I27" s="26"/>
      <c r="J27" s="26"/>
      <c r="K27" s="26"/>
    </row>
    <row r="28" spans="1:11" ht="141.75" x14ac:dyDescent="0.25">
      <c r="A28" s="24">
        <v>4</v>
      </c>
      <c r="B28" s="54" t="s">
        <v>114</v>
      </c>
      <c r="C28" s="26"/>
      <c r="D28" s="26"/>
      <c r="E28" s="26"/>
      <c r="F28" s="26"/>
      <c r="G28" s="26"/>
      <c r="H28" s="26"/>
      <c r="I28" s="26"/>
      <c r="J28" s="26"/>
      <c r="K28" s="26"/>
    </row>
    <row r="29" spans="1:11" x14ac:dyDescent="0.25">
      <c r="A29" s="24"/>
      <c r="B29" s="25" t="str">
        <f>B20</f>
        <v>-for wall</v>
      </c>
      <c r="C29" s="26">
        <v>1</v>
      </c>
      <c r="D29" s="27">
        <v>7.6</v>
      </c>
      <c r="E29" s="27">
        <f>((F29/2)+0.45)/2</f>
        <v>0.85</v>
      </c>
      <c r="F29" s="27">
        <v>2.5</v>
      </c>
      <c r="G29" s="27">
        <f>PRODUCT(C29:F29)</f>
        <v>16.149999999999999</v>
      </c>
      <c r="H29" s="26"/>
      <c r="I29" s="26"/>
      <c r="J29" s="26"/>
      <c r="K29" s="26"/>
    </row>
    <row r="30" spans="1:11" ht="15" customHeight="1" x14ac:dyDescent="0.25">
      <c r="A30" s="17"/>
      <c r="B30" s="18" t="s">
        <v>16</v>
      </c>
      <c r="C30" s="19"/>
      <c r="D30" s="1"/>
      <c r="E30" s="20"/>
      <c r="F30" s="20"/>
      <c r="G30" s="2">
        <f>SUM(G29:G29)</f>
        <v>16.149999999999999</v>
      </c>
      <c r="H30" s="21" t="s">
        <v>109</v>
      </c>
      <c r="I30" s="2">
        <v>9860.43</v>
      </c>
      <c r="J30" s="22">
        <f>G30*I30</f>
        <v>159245.94449999998</v>
      </c>
      <c r="K30" s="20"/>
    </row>
    <row r="31" spans="1:11" x14ac:dyDescent="0.25">
      <c r="A31" s="24"/>
      <c r="B31" s="25" t="s">
        <v>32</v>
      </c>
      <c r="C31" s="26"/>
      <c r="D31" s="26"/>
      <c r="E31" s="26"/>
      <c r="F31" s="26"/>
      <c r="G31" s="26"/>
      <c r="H31" s="26"/>
      <c r="I31" s="26"/>
      <c r="J31" s="22">
        <f>0.13*G30*(22152.7)/10</f>
        <v>4650.9593650000006</v>
      </c>
      <c r="K31" s="26"/>
    </row>
    <row r="32" spans="1:11" x14ac:dyDescent="0.25">
      <c r="A32" s="24"/>
      <c r="B32" s="25" t="s">
        <v>31</v>
      </c>
      <c r="C32" s="26"/>
      <c r="D32" s="26"/>
      <c r="E32" s="26"/>
      <c r="F32" s="26"/>
      <c r="G32" s="26"/>
      <c r="H32" s="26"/>
      <c r="I32" s="26"/>
      <c r="J32" s="22">
        <f>0.13*G30*(9525.6)/10</f>
        <v>1999.8997200000001</v>
      </c>
      <c r="K32" s="26"/>
    </row>
    <row r="33" spans="1:11" x14ac:dyDescent="0.25">
      <c r="A33" s="24"/>
      <c r="B33" s="25" t="s">
        <v>116</v>
      </c>
      <c r="C33" s="26"/>
      <c r="D33" s="26"/>
      <c r="E33" s="26"/>
      <c r="F33" s="26"/>
      <c r="G33" s="26"/>
      <c r="H33" s="26"/>
      <c r="I33" s="26"/>
      <c r="J33" s="22">
        <f>0.13*G30*(11331.936)/10</f>
        <v>2379.1399631999998</v>
      </c>
      <c r="K33" s="26"/>
    </row>
    <row r="34" spans="1:11" x14ac:dyDescent="0.25">
      <c r="A34" s="24"/>
      <c r="B34" s="25" t="s">
        <v>33</v>
      </c>
      <c r="C34" s="26"/>
      <c r="D34" s="26"/>
      <c r="E34" s="26"/>
      <c r="F34" s="26"/>
      <c r="G34" s="26"/>
      <c r="H34" s="26"/>
      <c r="I34" s="26"/>
      <c r="J34" s="22">
        <f>0.13*G30*(10954.44+5228.496+2286.144)/10</f>
        <v>3877.5833460000003</v>
      </c>
      <c r="K34" s="26"/>
    </row>
    <row r="35" spans="1:11" ht="30" x14ac:dyDescent="0.25">
      <c r="A35" s="24"/>
      <c r="B35" s="55" t="s">
        <v>117</v>
      </c>
      <c r="C35" s="26"/>
      <c r="D35" s="26"/>
      <c r="E35" s="26"/>
      <c r="F35" s="26"/>
      <c r="G35" s="26"/>
      <c r="H35" s="26"/>
      <c r="I35" s="26"/>
      <c r="J35" s="22">
        <f>0.13*G30*(3564.01)/10</f>
        <v>748.26389949999998</v>
      </c>
      <c r="K35" s="26"/>
    </row>
    <row r="36" spans="1:11" x14ac:dyDescent="0.25">
      <c r="A36" s="24"/>
      <c r="B36" s="26"/>
      <c r="C36" s="26"/>
      <c r="D36" s="26"/>
      <c r="E36" s="26"/>
      <c r="F36" s="26"/>
      <c r="G36" s="26"/>
      <c r="H36" s="26"/>
      <c r="I36" s="26"/>
      <c r="J36" s="26"/>
      <c r="K36" s="26"/>
    </row>
    <row r="37" spans="1:11" s="44" customFormat="1" ht="30" x14ac:dyDescent="0.2">
      <c r="A37" s="24">
        <v>5</v>
      </c>
      <c r="B37" s="12" t="s">
        <v>56</v>
      </c>
      <c r="C37" s="38"/>
      <c r="D37" s="38"/>
      <c r="E37" s="38"/>
      <c r="F37" s="38"/>
      <c r="G37" s="38"/>
      <c r="H37" s="38"/>
      <c r="I37" s="38"/>
      <c r="J37" s="38"/>
      <c r="K37" s="38"/>
    </row>
    <row r="38" spans="1:11" x14ac:dyDescent="0.25">
      <c r="A38" s="26"/>
      <c r="B38" s="25" t="s">
        <v>57</v>
      </c>
      <c r="C38" s="26">
        <v>4</v>
      </c>
      <c r="D38" s="27">
        <f>Sheet1!B4</f>
        <v>1.5</v>
      </c>
      <c r="E38" s="27">
        <f>Sheet1!C4</f>
        <v>1.5</v>
      </c>
      <c r="F38" s="27">
        <f>Sheet1!D4</f>
        <v>1.5</v>
      </c>
      <c r="G38" s="27">
        <f>PRODUCT(C38:F38)</f>
        <v>13.5</v>
      </c>
      <c r="H38" s="26"/>
      <c r="I38" s="26"/>
      <c r="J38" s="26"/>
      <c r="K38" s="26"/>
    </row>
    <row r="39" spans="1:11" x14ac:dyDescent="0.25">
      <c r="A39" s="26"/>
      <c r="B39" s="25" t="s">
        <v>79</v>
      </c>
      <c r="C39" s="26">
        <v>4</v>
      </c>
      <c r="D39" s="27">
        <f>Sheet1!K4</f>
        <v>2.3876866808899719</v>
      </c>
      <c r="E39" s="27">
        <v>0.23</v>
      </c>
      <c r="F39" s="27">
        <v>0.5</v>
      </c>
      <c r="G39" s="27">
        <f>PRODUCT(C39:F39)</f>
        <v>1.0983358732093871</v>
      </c>
      <c r="H39" s="26"/>
      <c r="I39" s="26"/>
      <c r="J39" s="26"/>
      <c r="K39" s="26"/>
    </row>
    <row r="40" spans="1:11" ht="15" customHeight="1" x14ac:dyDescent="0.25">
      <c r="A40" s="17"/>
      <c r="B40" s="18" t="s">
        <v>16</v>
      </c>
      <c r="C40" s="19"/>
      <c r="D40" s="1"/>
      <c r="E40" s="20"/>
      <c r="F40" s="20"/>
      <c r="G40" s="2">
        <f>SUM(G38:G39)</f>
        <v>14.598335873209386</v>
      </c>
      <c r="H40" s="21" t="s">
        <v>28</v>
      </c>
      <c r="I40" s="2">
        <v>674.12</v>
      </c>
      <c r="J40" s="22">
        <f>G40*I40</f>
        <v>9841.0301788479119</v>
      </c>
      <c r="K40" s="20"/>
    </row>
    <row r="41" spans="1:11" x14ac:dyDescent="0.25">
      <c r="A41" s="26"/>
      <c r="B41" s="26"/>
      <c r="C41" s="26"/>
      <c r="D41" s="27"/>
      <c r="E41" s="27"/>
      <c r="F41" s="27"/>
      <c r="G41" s="27"/>
      <c r="H41" s="26"/>
      <c r="I41" s="26"/>
      <c r="J41" s="26"/>
      <c r="K41" s="26"/>
    </row>
    <row r="42" spans="1:11" s="44" customFormat="1" x14ac:dyDescent="0.2">
      <c r="A42" s="24">
        <v>6</v>
      </c>
      <c r="B42" s="12" t="s">
        <v>58</v>
      </c>
      <c r="C42" s="38"/>
      <c r="D42" s="39"/>
      <c r="E42" s="39"/>
      <c r="F42" s="39"/>
      <c r="G42" s="39"/>
      <c r="H42" s="38"/>
      <c r="I42" s="38"/>
      <c r="J42" s="38"/>
      <c r="K42" s="38"/>
    </row>
    <row r="43" spans="1:11" x14ac:dyDescent="0.25">
      <c r="A43" s="26"/>
      <c r="B43" s="25" t="str">
        <f t="shared" ref="B43:E44" si="0">B38</f>
        <v>-for foundation</v>
      </c>
      <c r="C43" s="26">
        <f t="shared" si="0"/>
        <v>4</v>
      </c>
      <c r="D43" s="27">
        <f>Sheet1!B4</f>
        <v>1.5</v>
      </c>
      <c r="E43" s="27">
        <f>Sheet1!C4</f>
        <v>1.5</v>
      </c>
      <c r="F43" s="27"/>
      <c r="G43" s="27">
        <f>PRODUCT(C43:F43)</f>
        <v>9</v>
      </c>
      <c r="H43" s="26"/>
      <c r="I43" s="26"/>
      <c r="J43" s="26"/>
      <c r="K43" s="26"/>
    </row>
    <row r="44" spans="1:11" x14ac:dyDescent="0.25">
      <c r="A44" s="26"/>
      <c r="B44" s="25" t="str">
        <f t="shared" si="0"/>
        <v>-for toe wall</v>
      </c>
      <c r="C44" s="26">
        <f t="shared" si="0"/>
        <v>4</v>
      </c>
      <c r="D44" s="27">
        <f>Sheet1!K4</f>
        <v>2.3876866808899719</v>
      </c>
      <c r="E44" s="27">
        <f t="shared" si="0"/>
        <v>0.23</v>
      </c>
      <c r="F44" s="27"/>
      <c r="G44" s="27">
        <f>PRODUCT(C44:F44)</f>
        <v>2.1966717464187742</v>
      </c>
      <c r="H44" s="26"/>
      <c r="I44" s="26"/>
      <c r="J44" s="26"/>
      <c r="K44" s="26"/>
    </row>
    <row r="45" spans="1:11" x14ac:dyDescent="0.25">
      <c r="A45" s="26"/>
      <c r="B45" s="25" t="s">
        <v>52</v>
      </c>
      <c r="C45" s="26">
        <v>1</v>
      </c>
      <c r="D45" s="27">
        <f>Sheet1!R4</f>
        <v>3.5669917708015841</v>
      </c>
      <c r="E45" s="27">
        <f>D45</f>
        <v>3.5669917708015841</v>
      </c>
      <c r="F45" s="27"/>
      <c r="G45" s="27">
        <f>PRODUCT(C45:F45)</f>
        <v>12.723430292966221</v>
      </c>
      <c r="H45" s="26"/>
      <c r="I45" s="26"/>
      <c r="J45" s="26"/>
      <c r="K45" s="26"/>
    </row>
    <row r="46" spans="1:11" x14ac:dyDescent="0.25">
      <c r="A46" s="26"/>
      <c r="B46" s="25" t="str">
        <f>B173</f>
        <v>-for peti works</v>
      </c>
      <c r="C46" s="26">
        <v>2</v>
      </c>
      <c r="D46" s="27">
        <f>Sheet1!H4</f>
        <v>4.2669917708015843</v>
      </c>
      <c r="E46" s="27">
        <v>0.45</v>
      </c>
      <c r="F46" s="27"/>
      <c r="G46" s="27">
        <f t="shared" ref="G46:G47" si="1">PRODUCT(C46:F46)</f>
        <v>3.8402925937214261</v>
      </c>
      <c r="H46" s="26"/>
      <c r="I46" s="26"/>
      <c r="J46" s="26"/>
      <c r="K46" s="26"/>
    </row>
    <row r="47" spans="1:11" x14ac:dyDescent="0.25">
      <c r="A47" s="26"/>
      <c r="B47" s="25"/>
      <c r="C47" s="26">
        <v>2</v>
      </c>
      <c r="D47" s="27">
        <f>Sheet1!H4+0.45</f>
        <v>4.7169917708015845</v>
      </c>
      <c r="E47" s="27">
        <v>0.45</v>
      </c>
      <c r="F47" s="27"/>
      <c r="G47" s="27">
        <f t="shared" si="1"/>
        <v>4.2452925937214259</v>
      </c>
      <c r="H47" s="26"/>
      <c r="I47" s="26"/>
      <c r="J47" s="26"/>
      <c r="K47" s="26"/>
    </row>
    <row r="48" spans="1:11" ht="15" customHeight="1" x14ac:dyDescent="0.25">
      <c r="A48" s="17"/>
      <c r="B48" s="18" t="s">
        <v>16</v>
      </c>
      <c r="C48" s="19"/>
      <c r="D48" s="1"/>
      <c r="E48" s="20"/>
      <c r="F48" s="20"/>
      <c r="G48" s="2">
        <f>SUM(G43:G47)</f>
        <v>32.005687226827845</v>
      </c>
      <c r="H48" s="21" t="s">
        <v>34</v>
      </c>
      <c r="I48" s="2">
        <v>1017.47</v>
      </c>
      <c r="J48" s="22">
        <f>G48*I48</f>
        <v>32564.826582680529</v>
      </c>
      <c r="K48" s="20"/>
    </row>
    <row r="49" spans="1:11" x14ac:dyDescent="0.25">
      <c r="A49" s="24"/>
      <c r="B49" s="25" t="s">
        <v>55</v>
      </c>
      <c r="C49" s="26"/>
      <c r="D49" s="27"/>
      <c r="E49" s="27"/>
      <c r="F49" s="27"/>
      <c r="G49" s="27"/>
      <c r="H49" s="26"/>
      <c r="I49" s="26"/>
      <c r="J49" s="22">
        <f>0.13*G48*6360.9/10</f>
        <v>2646.6046864546797</v>
      </c>
      <c r="K49" s="26"/>
    </row>
    <row r="50" spans="1:11" x14ac:dyDescent="0.25">
      <c r="A50" s="26"/>
      <c r="B50" s="25" t="s">
        <v>31</v>
      </c>
      <c r="C50" s="26"/>
      <c r="D50" s="27"/>
      <c r="E50" s="27"/>
      <c r="F50" s="27"/>
      <c r="G50" s="27"/>
      <c r="H50" s="26"/>
      <c r="I50" s="26"/>
      <c r="J50" s="22">
        <f>0.13*G48*2256.3/10</f>
        <v>938.78761716859174</v>
      </c>
      <c r="K50" s="26"/>
    </row>
    <row r="51" spans="1:11" x14ac:dyDescent="0.25">
      <c r="A51" s="26"/>
      <c r="B51" s="26"/>
      <c r="C51" s="26"/>
      <c r="D51" s="27"/>
      <c r="E51" s="27"/>
      <c r="F51" s="27"/>
      <c r="G51" s="27"/>
      <c r="H51" s="26"/>
      <c r="I51" s="26"/>
      <c r="J51" s="26"/>
      <c r="K51" s="26"/>
    </row>
    <row r="52" spans="1:11" s="44" customFormat="1" ht="30" x14ac:dyDescent="0.2">
      <c r="A52" s="24">
        <v>7</v>
      </c>
      <c r="B52" s="12" t="s">
        <v>35</v>
      </c>
      <c r="C52" s="38"/>
      <c r="D52" s="39"/>
      <c r="E52" s="39"/>
      <c r="F52" s="39"/>
      <c r="G52" s="39"/>
      <c r="H52" s="38"/>
      <c r="I52" s="38"/>
      <c r="J52" s="38"/>
      <c r="K52" s="38"/>
    </row>
    <row r="53" spans="1:11" x14ac:dyDescent="0.25">
      <c r="A53" s="26"/>
      <c r="B53" s="25" t="str">
        <f>B43</f>
        <v>-for foundation</v>
      </c>
      <c r="C53" s="26">
        <f>C43</f>
        <v>4</v>
      </c>
      <c r="D53" s="27">
        <f>Sheet1!B4</f>
        <v>1.5</v>
      </c>
      <c r="E53" s="27">
        <f>Sheet1!C4</f>
        <v>1.5</v>
      </c>
      <c r="F53" s="27">
        <v>7.4999999999999997E-2</v>
      </c>
      <c r="G53" s="27">
        <f>PRODUCT(C53:F53)</f>
        <v>0.67499999999999993</v>
      </c>
      <c r="H53" s="26"/>
      <c r="I53" s="26"/>
      <c r="J53" s="26"/>
      <c r="K53" s="26"/>
    </row>
    <row r="54" spans="1:11" x14ac:dyDescent="0.25">
      <c r="A54" s="26"/>
      <c r="B54" s="25" t="str">
        <f>B44</f>
        <v>-for toe wall</v>
      </c>
      <c r="C54" s="26">
        <f>C44</f>
        <v>4</v>
      </c>
      <c r="D54" s="27">
        <f>Sheet1!K4</f>
        <v>2.3876866808899719</v>
      </c>
      <c r="E54" s="27">
        <f>E44</f>
        <v>0.23</v>
      </c>
      <c r="F54" s="27">
        <v>7.4999999999999997E-2</v>
      </c>
      <c r="G54" s="27">
        <f>PRODUCT(C54:F54)</f>
        <v>0.16475038098140807</v>
      </c>
      <c r="H54" s="26"/>
      <c r="I54" s="26"/>
      <c r="J54" s="26"/>
      <c r="K54" s="26"/>
    </row>
    <row r="55" spans="1:11" ht="15" customHeight="1" x14ac:dyDescent="0.25">
      <c r="A55" s="17"/>
      <c r="B55" s="18" t="s">
        <v>16</v>
      </c>
      <c r="C55" s="19"/>
      <c r="D55" s="1"/>
      <c r="E55" s="20"/>
      <c r="F55" s="20"/>
      <c r="G55" s="2">
        <f>SUM(G53:G54)</f>
        <v>0.83975038098140797</v>
      </c>
      <c r="H55" s="21" t="s">
        <v>28</v>
      </c>
      <c r="I55" s="2">
        <v>11620.77</v>
      </c>
      <c r="J55" s="22">
        <f>G55*I55</f>
        <v>9758.5460347973167</v>
      </c>
      <c r="K55" s="20"/>
    </row>
    <row r="56" spans="1:11" x14ac:dyDescent="0.25">
      <c r="A56" s="24"/>
      <c r="B56" s="25" t="s">
        <v>32</v>
      </c>
      <c r="C56" s="26"/>
      <c r="D56" s="27"/>
      <c r="E56" s="27"/>
      <c r="F56" s="27"/>
      <c r="G56" s="27"/>
      <c r="H56" s="26"/>
      <c r="I56" s="26"/>
      <c r="J56" s="22">
        <f>0.13*G55*2866.82</f>
        <v>312.96371433666559</v>
      </c>
      <c r="K56" s="26"/>
    </row>
    <row r="57" spans="1:11" x14ac:dyDescent="0.25">
      <c r="A57" s="24"/>
      <c r="B57" s="25" t="s">
        <v>33</v>
      </c>
      <c r="C57" s="26"/>
      <c r="D57" s="27"/>
      <c r="E57" s="27"/>
      <c r="F57" s="27"/>
      <c r="G57" s="27"/>
      <c r="H57" s="26"/>
      <c r="I57" s="26"/>
      <c r="J57" s="22">
        <f>0.13*G55*(2065.63+805.06)</f>
        <v>313.38619275333735</v>
      </c>
      <c r="K57" s="26"/>
    </row>
    <row r="58" spans="1:11" x14ac:dyDescent="0.25">
      <c r="A58" s="24"/>
      <c r="B58" s="25" t="s">
        <v>31</v>
      </c>
      <c r="C58" s="26"/>
      <c r="D58" s="27"/>
      <c r="E58" s="27"/>
      <c r="F58" s="27"/>
      <c r="G58" s="27"/>
      <c r="H58" s="26"/>
      <c r="I58" s="26"/>
      <c r="J58" s="22">
        <f>0.13*G55*1350.6</f>
        <v>147.44169239195364</v>
      </c>
      <c r="K58" s="26"/>
    </row>
    <row r="59" spans="1:11" x14ac:dyDescent="0.25">
      <c r="A59" s="26"/>
      <c r="B59" s="25" t="s">
        <v>36</v>
      </c>
      <c r="C59" s="26"/>
      <c r="D59" s="27"/>
      <c r="E59" s="27"/>
      <c r="F59" s="27"/>
      <c r="G59" s="27"/>
      <c r="H59" s="26"/>
      <c r="I59" s="26"/>
      <c r="J59" s="22">
        <f>0.13*G55*28</f>
        <v>3.0566913867723251</v>
      </c>
      <c r="K59" s="26"/>
    </row>
    <row r="60" spans="1:11" x14ac:dyDescent="0.25">
      <c r="A60" s="26"/>
      <c r="B60" s="25" t="s">
        <v>44</v>
      </c>
      <c r="C60" s="26"/>
      <c r="D60" s="27"/>
      <c r="E60" s="27"/>
      <c r="F60" s="27"/>
      <c r="G60" s="27"/>
      <c r="H60" s="26"/>
      <c r="I60" s="26"/>
      <c r="J60" s="22">
        <f>0.13*G55*392.92</f>
        <v>42.894113560377932</v>
      </c>
      <c r="K60" s="26"/>
    </row>
    <row r="61" spans="1:11" x14ac:dyDescent="0.25">
      <c r="A61" s="26"/>
      <c r="B61" s="25" t="s">
        <v>45</v>
      </c>
      <c r="C61" s="26"/>
      <c r="D61" s="27"/>
      <c r="E61" s="27"/>
      <c r="F61" s="27"/>
      <c r="G61" s="27"/>
      <c r="H61" s="26"/>
      <c r="I61" s="26"/>
      <c r="J61" s="22">
        <f>0.13*G55*14.15</f>
        <v>1.5447208258153</v>
      </c>
      <c r="K61" s="26"/>
    </row>
    <row r="62" spans="1:11" x14ac:dyDescent="0.25">
      <c r="A62" s="26"/>
      <c r="B62" s="26"/>
      <c r="C62" s="26"/>
      <c r="D62" s="27"/>
      <c r="E62" s="27"/>
      <c r="F62" s="27"/>
      <c r="G62" s="27"/>
      <c r="H62" s="26"/>
      <c r="I62" s="26"/>
      <c r="J62" s="26"/>
      <c r="K62" s="26"/>
    </row>
    <row r="63" spans="1:11" s="44" customFormat="1" ht="45" x14ac:dyDescent="0.2">
      <c r="A63" s="24">
        <v>8</v>
      </c>
      <c r="B63" s="12" t="s">
        <v>106</v>
      </c>
      <c r="C63" s="38"/>
      <c r="D63" s="39"/>
      <c r="E63" s="39"/>
      <c r="F63" s="39"/>
      <c r="G63" s="39"/>
      <c r="H63" s="38"/>
      <c r="I63" s="38"/>
      <c r="J63" s="38"/>
      <c r="K63" s="38"/>
    </row>
    <row r="64" spans="1:11" x14ac:dyDescent="0.25">
      <c r="A64" s="26"/>
      <c r="B64" s="25" t="str">
        <f t="shared" ref="B64:E65" si="2">B45</f>
        <v>-for flooring</v>
      </c>
      <c r="C64" s="26">
        <f t="shared" si="2"/>
        <v>1</v>
      </c>
      <c r="D64" s="27">
        <f t="shared" si="2"/>
        <v>3.5669917708015841</v>
      </c>
      <c r="E64" s="27">
        <f t="shared" si="2"/>
        <v>3.5669917708015841</v>
      </c>
      <c r="F64" s="27">
        <v>0.1</v>
      </c>
      <c r="G64" s="27">
        <f>PRODUCT(C64:F64)</f>
        <v>1.2723430292966222</v>
      </c>
      <c r="H64" s="26"/>
      <c r="I64" s="26"/>
      <c r="J64" s="26"/>
      <c r="K64" s="26"/>
    </row>
    <row r="65" spans="1:11" x14ac:dyDescent="0.25">
      <c r="A65" s="26"/>
      <c r="B65" s="25" t="str">
        <f t="shared" si="2"/>
        <v>-for peti works</v>
      </c>
      <c r="C65" s="26">
        <f t="shared" si="2"/>
        <v>2</v>
      </c>
      <c r="D65" s="27">
        <f t="shared" si="2"/>
        <v>4.2669917708015843</v>
      </c>
      <c r="E65" s="27">
        <f t="shared" si="2"/>
        <v>0.45</v>
      </c>
      <c r="F65" s="27">
        <v>7.4999999999999997E-2</v>
      </c>
      <c r="G65" s="27">
        <f t="shared" ref="G65:G66" si="3">PRODUCT(C65:F65)</f>
        <v>0.28802194452910695</v>
      </c>
      <c r="H65" s="26"/>
      <c r="I65" s="26"/>
      <c r="J65" s="26"/>
      <c r="K65" s="26"/>
    </row>
    <row r="66" spans="1:11" x14ac:dyDescent="0.25">
      <c r="A66" s="26"/>
      <c r="B66" s="25"/>
      <c r="C66" s="26">
        <f>C47</f>
        <v>2</v>
      </c>
      <c r="D66" s="27">
        <f>D47</f>
        <v>4.7169917708015845</v>
      </c>
      <c r="E66" s="27">
        <f>E47</f>
        <v>0.45</v>
      </c>
      <c r="F66" s="27">
        <v>7.4999999999999997E-2</v>
      </c>
      <c r="G66" s="27">
        <f t="shared" si="3"/>
        <v>0.31839694452910694</v>
      </c>
      <c r="H66" s="26"/>
      <c r="I66" s="26"/>
      <c r="J66" s="26"/>
      <c r="K66" s="26"/>
    </row>
    <row r="67" spans="1:11" ht="15" customHeight="1" x14ac:dyDescent="0.25">
      <c r="A67" s="17"/>
      <c r="B67" s="18" t="s">
        <v>16</v>
      </c>
      <c r="C67" s="19"/>
      <c r="D67" s="1"/>
      <c r="E67" s="20"/>
      <c r="F67" s="20"/>
      <c r="G67" s="2">
        <f>SUM(G64:G66)</f>
        <v>1.8787619183548361</v>
      </c>
      <c r="H67" s="21" t="s">
        <v>28</v>
      </c>
      <c r="I67" s="2">
        <v>12884.61</v>
      </c>
      <c r="J67" s="22">
        <f>G67*I67</f>
        <v>24207.114600853907</v>
      </c>
      <c r="K67" s="20"/>
    </row>
    <row r="68" spans="1:11" x14ac:dyDescent="0.25">
      <c r="A68" s="24"/>
      <c r="B68" s="25" t="s">
        <v>32</v>
      </c>
      <c r="C68" s="26"/>
      <c r="D68" s="27"/>
      <c r="E68" s="27"/>
      <c r="F68" s="27"/>
      <c r="G68" s="27"/>
      <c r="H68" s="26"/>
      <c r="I68" s="26"/>
      <c r="J68" s="22">
        <f>0.13*G67*4169.92</f>
        <v>1018.4572968162058</v>
      </c>
      <c r="K68" s="26"/>
    </row>
    <row r="69" spans="1:11" x14ac:dyDescent="0.25">
      <c r="A69" s="24"/>
      <c r="B69" s="25" t="s">
        <v>33</v>
      </c>
      <c r="C69" s="26"/>
      <c r="D69" s="27"/>
      <c r="E69" s="27"/>
      <c r="F69" s="27"/>
      <c r="G69" s="27"/>
      <c r="H69" s="26"/>
      <c r="I69" s="26"/>
      <c r="J69" s="22">
        <f>0.13*G67*(1652.5+1106.96)</f>
        <v>673.9678872190467</v>
      </c>
      <c r="K69" s="26"/>
    </row>
    <row r="70" spans="1:11" x14ac:dyDescent="0.25">
      <c r="A70" s="24"/>
      <c r="B70" s="25" t="s">
        <v>31</v>
      </c>
      <c r="C70" s="26"/>
      <c r="D70" s="27"/>
      <c r="E70" s="27"/>
      <c r="F70" s="27"/>
      <c r="G70" s="27"/>
      <c r="H70" s="26"/>
      <c r="I70" s="26"/>
      <c r="J70" s="22">
        <f>0.13*G67*1414.16</f>
        <v>345.39309407988776</v>
      </c>
      <c r="K70" s="26"/>
    </row>
    <row r="71" spans="1:11" x14ac:dyDescent="0.25">
      <c r="A71" s="26"/>
      <c r="B71" s="25" t="s">
        <v>36</v>
      </c>
      <c r="C71" s="26"/>
      <c r="D71" s="27"/>
      <c r="E71" s="27"/>
      <c r="F71" s="27"/>
      <c r="G71" s="27"/>
      <c r="H71" s="26"/>
      <c r="I71" s="26"/>
      <c r="J71" s="22">
        <f>0.13*G67*36.4</f>
        <v>8.8903013976550849</v>
      </c>
      <c r="K71" s="26"/>
    </row>
    <row r="72" spans="1:11" x14ac:dyDescent="0.25">
      <c r="A72" s="26"/>
      <c r="B72" s="25" t="s">
        <v>36</v>
      </c>
      <c r="C72" s="26"/>
      <c r="D72" s="27"/>
      <c r="E72" s="27"/>
      <c r="F72" s="27"/>
      <c r="G72" s="27"/>
      <c r="H72" s="26"/>
      <c r="I72" s="26"/>
      <c r="J72" s="22">
        <f>0.13*G67*392.92</f>
        <v>95.966407284797697</v>
      </c>
      <c r="K72" s="26"/>
    </row>
    <row r="73" spans="1:11" x14ac:dyDescent="0.25">
      <c r="A73" s="26"/>
      <c r="B73" s="25" t="s">
        <v>36</v>
      </c>
      <c r="C73" s="26"/>
      <c r="D73" s="27"/>
      <c r="E73" s="27"/>
      <c r="F73" s="27"/>
      <c r="G73" s="27"/>
      <c r="H73" s="26"/>
      <c r="I73" s="26"/>
      <c r="J73" s="22">
        <f>0.13*G67*14.15</f>
        <v>3.4559825488137212</v>
      </c>
      <c r="K73" s="26"/>
    </row>
    <row r="74" spans="1:11" x14ac:dyDescent="0.25">
      <c r="A74" s="26"/>
      <c r="B74" s="26"/>
      <c r="C74" s="26"/>
      <c r="D74" s="27"/>
      <c r="E74" s="27"/>
      <c r="F74" s="27"/>
      <c r="G74" s="27"/>
      <c r="H74" s="26"/>
      <c r="I74" s="26"/>
      <c r="J74" s="26"/>
      <c r="K74" s="26"/>
    </row>
    <row r="75" spans="1:11" s="44" customFormat="1" ht="30" x14ac:dyDescent="0.2">
      <c r="A75" s="24">
        <v>9</v>
      </c>
      <c r="B75" s="12" t="s">
        <v>43</v>
      </c>
      <c r="C75" s="38"/>
      <c r="D75" s="39"/>
      <c r="E75" s="39"/>
      <c r="F75" s="39"/>
      <c r="G75" s="39"/>
      <c r="H75" s="38"/>
      <c r="I75" s="38"/>
      <c r="J75" s="38"/>
      <c r="K75" s="38"/>
    </row>
    <row r="76" spans="1:11" x14ac:dyDescent="0.25">
      <c r="A76" s="26"/>
      <c r="B76" s="25" t="str">
        <f>B53</f>
        <v>-for foundation</v>
      </c>
      <c r="C76" s="26">
        <v>4</v>
      </c>
      <c r="D76" s="27">
        <f>Sheet1!B4</f>
        <v>1.5</v>
      </c>
      <c r="E76" s="27">
        <f>Sheet1!C4</f>
        <v>1.5</v>
      </c>
      <c r="F76" s="27">
        <f>Sheet1!G4</f>
        <v>0.35</v>
      </c>
      <c r="G76" s="27">
        <f>PRODUCT(C76:F76)</f>
        <v>3.15</v>
      </c>
      <c r="H76" s="26"/>
      <c r="I76" s="26"/>
      <c r="J76" s="26"/>
      <c r="K76" s="26"/>
    </row>
    <row r="77" spans="1:11" x14ac:dyDescent="0.25">
      <c r="A77" s="26"/>
      <c r="B77" s="25" t="s">
        <v>60</v>
      </c>
      <c r="C77" s="26">
        <v>4</v>
      </c>
      <c r="D77" s="27">
        <f>Sheet1!O4</f>
        <v>0.35</v>
      </c>
      <c r="E77" s="27">
        <f>Sheet1!O4</f>
        <v>0.35</v>
      </c>
      <c r="F77" s="27">
        <f>Sheet1!P4</f>
        <v>1.3699999999999999</v>
      </c>
      <c r="G77" s="27">
        <f>PRODUCT(C77:F77)</f>
        <v>0.6712999999999999</v>
      </c>
      <c r="H77" s="26"/>
      <c r="I77" s="26"/>
      <c r="J77" s="26"/>
      <c r="K77" s="26"/>
    </row>
    <row r="78" spans="1:11" x14ac:dyDescent="0.25">
      <c r="A78" s="26"/>
      <c r="B78" s="25" t="s">
        <v>59</v>
      </c>
      <c r="C78" s="26">
        <f>C54</f>
        <v>4</v>
      </c>
      <c r="D78" s="27">
        <f>Sheet1!R4</f>
        <v>3.5669917708015841</v>
      </c>
      <c r="E78" s="27">
        <f>Sheet1!S4</f>
        <v>0.23</v>
      </c>
      <c r="F78" s="27">
        <f>Sheet1!T4</f>
        <v>0.23</v>
      </c>
      <c r="G78" s="27">
        <f>PRODUCT(C78:F78)</f>
        <v>0.75477545870161533</v>
      </c>
      <c r="H78" s="26"/>
      <c r="I78" s="26"/>
      <c r="J78" s="26"/>
      <c r="K78" s="26"/>
    </row>
    <row r="79" spans="1:11" x14ac:dyDescent="0.25">
      <c r="A79" s="26"/>
      <c r="B79" s="25" t="s">
        <v>61</v>
      </c>
      <c r="C79" s="26">
        <v>4</v>
      </c>
      <c r="D79" s="27">
        <f>Sheet1!O4</f>
        <v>0.35</v>
      </c>
      <c r="E79" s="27">
        <f>Sheet1!O4</f>
        <v>0.35</v>
      </c>
      <c r="F79" s="27">
        <f>Sheet1!Q4</f>
        <v>3.0722340749771408</v>
      </c>
      <c r="G79" s="27">
        <f t="shared" ref="G79:G86" si="4">PRODUCT(C79:F79)</f>
        <v>1.5053946967387988</v>
      </c>
      <c r="H79" s="26"/>
      <c r="I79" s="26"/>
      <c r="J79" s="26"/>
      <c r="K79" s="26"/>
    </row>
    <row r="80" spans="1:11" x14ac:dyDescent="0.25">
      <c r="A80" s="26"/>
      <c r="B80" s="25" t="s">
        <v>62</v>
      </c>
      <c r="C80" s="26">
        <v>4</v>
      </c>
      <c r="D80" s="27">
        <f>Sheet1!R4</f>
        <v>3.5669917708015841</v>
      </c>
      <c r="E80" s="27">
        <f>E78</f>
        <v>0.23</v>
      </c>
      <c r="F80" s="27">
        <v>0.23</v>
      </c>
      <c r="G80" s="27">
        <f t="shared" si="4"/>
        <v>0.75477545870161533</v>
      </c>
      <c r="H80" s="26"/>
      <c r="I80" s="26"/>
      <c r="J80" s="26"/>
      <c r="K80" s="26"/>
    </row>
    <row r="81" spans="1:11" x14ac:dyDescent="0.25">
      <c r="A81" s="26"/>
      <c r="B81" s="25" t="s">
        <v>72</v>
      </c>
      <c r="C81" s="26">
        <v>2</v>
      </c>
      <c r="D81" s="27">
        <f>Sheet1!R4</f>
        <v>3.5669917708015841</v>
      </c>
      <c r="E81" s="27">
        <v>0.23</v>
      </c>
      <c r="F81" s="27">
        <f>Sheet1!W4</f>
        <v>0.35</v>
      </c>
      <c r="G81" s="27">
        <f t="shared" si="4"/>
        <v>0.57428567509905504</v>
      </c>
      <c r="H81" s="26"/>
      <c r="I81" s="26"/>
      <c r="J81" s="26"/>
      <c r="K81" s="26"/>
    </row>
    <row r="82" spans="1:11" x14ac:dyDescent="0.25">
      <c r="A82" s="26"/>
      <c r="B82" s="25" t="s">
        <v>73</v>
      </c>
      <c r="C82" s="26">
        <v>4</v>
      </c>
      <c r="D82" s="27">
        <f>0.23</f>
        <v>0.23</v>
      </c>
      <c r="E82" s="27">
        <v>0.23</v>
      </c>
      <c r="F82" s="27">
        <v>1.8</v>
      </c>
      <c r="G82" s="27">
        <f t="shared" si="4"/>
        <v>0.38088000000000005</v>
      </c>
      <c r="H82" s="26"/>
      <c r="I82" s="26"/>
      <c r="J82" s="26"/>
      <c r="K82" s="26"/>
    </row>
    <row r="83" spans="1:11" x14ac:dyDescent="0.25">
      <c r="A83" s="26"/>
      <c r="B83" s="25" t="s">
        <v>98</v>
      </c>
      <c r="C83" s="26">
        <f>4</f>
        <v>4</v>
      </c>
      <c r="D83" s="27">
        <f>6.5/3.281</f>
        <v>1.9811033221578787</v>
      </c>
      <c r="E83" s="27">
        <v>0.23</v>
      </c>
      <c r="F83" s="27">
        <v>0.23</v>
      </c>
      <c r="G83" s="27">
        <f t="shared" si="4"/>
        <v>0.41920146296860716</v>
      </c>
      <c r="H83" s="26"/>
      <c r="I83" s="26"/>
      <c r="J83" s="26"/>
      <c r="K83" s="26"/>
    </row>
    <row r="84" spans="1:11" x14ac:dyDescent="0.25">
      <c r="A84" s="26"/>
      <c r="B84" s="25" t="s">
        <v>74</v>
      </c>
      <c r="C84" s="26">
        <v>4</v>
      </c>
      <c r="D84" s="27">
        <f>((12.75+7.5)/2)/3.281</f>
        <v>3.0859494056690031</v>
      </c>
      <c r="E84" s="27">
        <f>3/3.281</f>
        <v>0.91435537945748246</v>
      </c>
      <c r="F84" s="27">
        <v>0.1</v>
      </c>
      <c r="G84" s="27">
        <f t="shared" si="4"/>
        <v>1.1286617759228297</v>
      </c>
      <c r="H84" s="26"/>
      <c r="I84" s="26"/>
      <c r="J84" s="26"/>
      <c r="K84" s="26"/>
    </row>
    <row r="85" spans="1:11" x14ac:dyDescent="0.25">
      <c r="A85" s="26"/>
      <c r="B85" s="25" t="s">
        <v>75</v>
      </c>
      <c r="C85" s="26">
        <v>2</v>
      </c>
      <c r="D85" s="27">
        <f>Sheet1!H4</f>
        <v>4.2669917708015843</v>
      </c>
      <c r="E85" s="27">
        <v>0.6</v>
      </c>
      <c r="F85" s="27">
        <v>0.1</v>
      </c>
      <c r="G85" s="27">
        <f t="shared" si="4"/>
        <v>0.5120390124961901</v>
      </c>
      <c r="H85" s="26"/>
      <c r="I85" s="26"/>
      <c r="J85" s="26"/>
      <c r="K85" s="26"/>
    </row>
    <row r="86" spans="1:11" x14ac:dyDescent="0.25">
      <c r="A86" s="26"/>
      <c r="B86" s="25"/>
      <c r="C86" s="26">
        <v>2</v>
      </c>
      <c r="D86" s="27">
        <f>(Sheet1!H4+E85*2)</f>
        <v>5.4669917708015845</v>
      </c>
      <c r="E86" s="27">
        <v>0.6</v>
      </c>
      <c r="F86" s="27">
        <v>0.1</v>
      </c>
      <c r="G86" s="27">
        <f t="shared" si="4"/>
        <v>0.65603901249619012</v>
      </c>
      <c r="H86" s="26"/>
      <c r="I86" s="26"/>
      <c r="J86" s="26"/>
      <c r="K86" s="26"/>
    </row>
    <row r="87" spans="1:11" x14ac:dyDescent="0.25">
      <c r="A87" s="26"/>
      <c r="B87" s="25" t="s">
        <v>99</v>
      </c>
      <c r="C87" s="26">
        <f>4</f>
        <v>4</v>
      </c>
      <c r="D87" s="27">
        <f>6.5/3.281</f>
        <v>1.9811033221578787</v>
      </c>
      <c r="E87" s="27">
        <v>0.23</v>
      </c>
      <c r="F87" s="27">
        <v>0.23</v>
      </c>
      <c r="G87" s="27">
        <f t="shared" ref="G87:G90" si="5">PRODUCT(C87:F87)</f>
        <v>0.41920146296860716</v>
      </c>
      <c r="H87" s="26"/>
      <c r="I87" s="26"/>
      <c r="J87" s="26"/>
      <c r="K87" s="26"/>
    </row>
    <row r="88" spans="1:11" x14ac:dyDescent="0.25">
      <c r="A88" s="26"/>
      <c r="B88" s="25" t="s">
        <v>100</v>
      </c>
      <c r="C88" s="26">
        <v>4</v>
      </c>
      <c r="D88" s="27">
        <f>3.33/3.281</f>
        <v>1.0149344711978054</v>
      </c>
      <c r="E88" s="27">
        <f>4/3.281</f>
        <v>1.2191405059433098</v>
      </c>
      <c r="F88" s="27">
        <v>7.4999999999999997E-2</v>
      </c>
      <c r="G88" s="27">
        <f t="shared" si="5"/>
        <v>0.3712043174146194</v>
      </c>
      <c r="H88" s="26"/>
      <c r="I88" s="26"/>
      <c r="J88" s="26"/>
      <c r="K88" s="26"/>
    </row>
    <row r="89" spans="1:11" x14ac:dyDescent="0.25">
      <c r="A89" s="26"/>
      <c r="B89" s="25" t="s">
        <v>75</v>
      </c>
      <c r="C89" s="26">
        <v>2</v>
      </c>
      <c r="D89" s="27">
        <f>(8+1.75*2)/3.281</f>
        <v>3.5050289545870159</v>
      </c>
      <c r="E89" s="27">
        <f>1.75/3.281</f>
        <v>0.53337397135019804</v>
      </c>
      <c r="F89" s="27">
        <v>0.1</v>
      </c>
      <c r="G89" s="27">
        <f t="shared" si="5"/>
        <v>0.37389824264110194</v>
      </c>
      <c r="H89" s="26"/>
      <c r="I89" s="26"/>
      <c r="J89" s="26"/>
      <c r="K89" s="26"/>
    </row>
    <row r="90" spans="1:11" x14ac:dyDescent="0.25">
      <c r="A90" s="26"/>
      <c r="B90" s="25"/>
      <c r="C90" s="26">
        <v>2</v>
      </c>
      <c r="D90" s="27">
        <f>(8)/3.281</f>
        <v>2.4382810118866196</v>
      </c>
      <c r="E90" s="27">
        <f>1.75/3.281</f>
        <v>0.53337397135019804</v>
      </c>
      <c r="F90" s="27">
        <v>0.1</v>
      </c>
      <c r="G90" s="27">
        <f t="shared" si="5"/>
        <v>0.26010312531554919</v>
      </c>
      <c r="H90" s="26"/>
      <c r="I90" s="26"/>
      <c r="J90" s="26"/>
      <c r="K90" s="26"/>
    </row>
    <row r="91" spans="1:11" ht="15" customHeight="1" x14ac:dyDescent="0.25">
      <c r="A91" s="17"/>
      <c r="B91" s="18" t="s">
        <v>16</v>
      </c>
      <c r="C91" s="19"/>
      <c r="D91" s="1"/>
      <c r="E91" s="20"/>
      <c r="F91" s="20"/>
      <c r="G91" s="2">
        <f>SUM(G76:G90)</f>
        <v>11.931759701464781</v>
      </c>
      <c r="H91" s="21" t="s">
        <v>28</v>
      </c>
      <c r="I91" s="2">
        <v>13957.29</v>
      </c>
      <c r="J91" s="22">
        <f>G91*I91</f>
        <v>166535.0303636574</v>
      </c>
      <c r="K91" s="20"/>
    </row>
    <row r="92" spans="1:11" x14ac:dyDescent="0.25">
      <c r="A92" s="24"/>
      <c r="B92" s="25" t="s">
        <v>32</v>
      </c>
      <c r="C92" s="26"/>
      <c r="D92" s="27"/>
      <c r="E92" s="27"/>
      <c r="F92" s="27"/>
      <c r="G92" s="27"/>
      <c r="H92" s="26"/>
      <c r="I92" s="26"/>
      <c r="J92" s="22">
        <f>0.13*G91*5212.4</f>
        <v>8085.1035548289528</v>
      </c>
      <c r="K92" s="26"/>
    </row>
    <row r="93" spans="1:11" x14ac:dyDescent="0.25">
      <c r="A93" s="24"/>
      <c r="B93" s="25" t="s">
        <v>33</v>
      </c>
      <c r="C93" s="26"/>
      <c r="D93" s="27"/>
      <c r="E93" s="27"/>
      <c r="F93" s="27"/>
      <c r="G93" s="27"/>
      <c r="H93" s="26"/>
      <c r="I93" s="26"/>
      <c r="J93" s="22">
        <f>0.13*G91*(1912.03+921.59)</f>
        <v>4395.3094802844025</v>
      </c>
      <c r="K93" s="26"/>
    </row>
    <row r="94" spans="1:11" x14ac:dyDescent="0.25">
      <c r="A94" s="24"/>
      <c r="B94" s="25" t="s">
        <v>31</v>
      </c>
      <c r="C94" s="26"/>
      <c r="D94" s="27"/>
      <c r="E94" s="27"/>
      <c r="F94" s="27"/>
      <c r="G94" s="27"/>
      <c r="H94" s="26"/>
      <c r="I94" s="26"/>
      <c r="J94" s="22">
        <f>0.13*G91*1350.6</f>
        <v>2094.9545048637833</v>
      </c>
      <c r="K94" s="26"/>
    </row>
    <row r="95" spans="1:11" x14ac:dyDescent="0.25">
      <c r="A95" s="26"/>
      <c r="B95" s="25" t="s">
        <v>36</v>
      </c>
      <c r="C95" s="26"/>
      <c r="D95" s="27"/>
      <c r="E95" s="27"/>
      <c r="F95" s="27"/>
      <c r="G95" s="27"/>
      <c r="H95" s="26"/>
      <c r="I95" s="26"/>
      <c r="J95" s="22">
        <f>0.13*G91*56</f>
        <v>86.863210626663616</v>
      </c>
      <c r="K95" s="26"/>
    </row>
    <row r="96" spans="1:11" x14ac:dyDescent="0.25">
      <c r="A96" s="24"/>
      <c r="B96" s="25" t="s">
        <v>44</v>
      </c>
      <c r="C96" s="26"/>
      <c r="D96" s="27"/>
      <c r="E96" s="27"/>
      <c r="F96" s="27"/>
      <c r="G96" s="27"/>
      <c r="H96" s="26"/>
      <c r="I96" s="26"/>
      <c r="J96" s="22">
        <f>0.13*G91*392.92</f>
        <v>609.46951284694046</v>
      </c>
      <c r="K96" s="26"/>
    </row>
    <row r="97" spans="1:11" x14ac:dyDescent="0.25">
      <c r="A97" s="26"/>
      <c r="B97" s="25" t="s">
        <v>45</v>
      </c>
      <c r="C97" s="26"/>
      <c r="D97" s="27"/>
      <c r="E97" s="27"/>
      <c r="F97" s="27"/>
      <c r="G97" s="27"/>
      <c r="H97" s="26"/>
      <c r="I97" s="26"/>
      <c r="J97" s="22">
        <f>0.13*G91*14.15</f>
        <v>21.948471970844466</v>
      </c>
      <c r="K97" s="26"/>
    </row>
    <row r="98" spans="1:11" x14ac:dyDescent="0.25">
      <c r="A98" s="26"/>
      <c r="B98" s="26"/>
      <c r="C98" s="26"/>
      <c r="D98" s="27"/>
      <c r="E98" s="27"/>
      <c r="F98" s="27"/>
      <c r="G98" s="27"/>
      <c r="H98" s="26"/>
      <c r="I98" s="26"/>
      <c r="J98" s="26"/>
      <c r="K98" s="26"/>
    </row>
    <row r="99" spans="1:11" s="44" customFormat="1" ht="30" x14ac:dyDescent="0.2">
      <c r="A99" s="24">
        <v>10</v>
      </c>
      <c r="B99" s="12" t="s">
        <v>46</v>
      </c>
      <c r="C99" s="38"/>
      <c r="D99" s="39"/>
      <c r="E99" s="39"/>
      <c r="F99" s="39"/>
      <c r="G99" s="39"/>
      <c r="H99" s="38"/>
      <c r="I99" s="38"/>
      <c r="J99" s="38"/>
      <c r="K99" s="38"/>
    </row>
    <row r="100" spans="1:11" x14ac:dyDescent="0.25">
      <c r="A100" s="26"/>
      <c r="B100" s="25" t="str">
        <f>B77</f>
        <v>-for neck column</v>
      </c>
      <c r="C100" s="26">
        <f>C77</f>
        <v>4</v>
      </c>
      <c r="D100" s="27">
        <f>D77</f>
        <v>0.35</v>
      </c>
      <c r="E100" s="27"/>
      <c r="F100" s="27">
        <f>Sheet1!P4</f>
        <v>1.3699999999999999</v>
      </c>
      <c r="G100" s="27">
        <f>PRODUCT(C100:F100)</f>
        <v>1.9179999999999997</v>
      </c>
      <c r="H100" s="26"/>
      <c r="I100" s="26"/>
      <c r="J100" s="26"/>
      <c r="K100" s="26"/>
    </row>
    <row r="101" spans="1:11" x14ac:dyDescent="0.25">
      <c r="A101" s="26"/>
      <c r="B101" s="25" t="str">
        <f t="shared" ref="B101:C105" si="6">B78</f>
        <v>-for tie beam</v>
      </c>
      <c r="C101" s="26">
        <f t="shared" si="6"/>
        <v>4</v>
      </c>
      <c r="D101" s="27">
        <f>Sheet1!R4</f>
        <v>3.5669917708015841</v>
      </c>
      <c r="E101" s="27"/>
      <c r="F101" s="27">
        <f>Sheet1!T4*2</f>
        <v>0.46</v>
      </c>
      <c r="G101" s="27">
        <f>PRODUCT(C101:F101)</f>
        <v>6.5632648582749153</v>
      </c>
      <c r="H101" s="26"/>
      <c r="I101" s="26"/>
      <c r="J101" s="26"/>
      <c r="K101" s="26"/>
    </row>
    <row r="102" spans="1:11" x14ac:dyDescent="0.25">
      <c r="A102" s="26"/>
      <c r="B102" s="25" t="str">
        <f t="shared" si="6"/>
        <v>-GF column</v>
      </c>
      <c r="C102" s="26">
        <f t="shared" si="6"/>
        <v>4</v>
      </c>
      <c r="D102" s="27">
        <f>0.35*4</f>
        <v>1.4</v>
      </c>
      <c r="E102" s="27"/>
      <c r="F102" s="27">
        <f>Sheet1!Q4</f>
        <v>3.0722340749771408</v>
      </c>
      <c r="G102" s="27">
        <f t="shared" ref="G102:G107" si="7">PRODUCT(C102:F102)</f>
        <v>17.204510819871988</v>
      </c>
      <c r="H102" s="26"/>
      <c r="I102" s="26"/>
      <c r="J102" s="26"/>
      <c r="K102" s="26"/>
    </row>
    <row r="103" spans="1:11" x14ac:dyDescent="0.25">
      <c r="A103" s="26"/>
      <c r="B103" s="25" t="str">
        <f t="shared" si="6"/>
        <v>-for beam</v>
      </c>
      <c r="C103" s="26">
        <f t="shared" si="6"/>
        <v>4</v>
      </c>
      <c r="D103" s="27">
        <f>D80</f>
        <v>3.5669917708015841</v>
      </c>
      <c r="E103" s="27"/>
      <c r="F103" s="27">
        <f>0.23*2</f>
        <v>0.46</v>
      </c>
      <c r="G103" s="27">
        <f t="shared" si="7"/>
        <v>6.5632648582749153</v>
      </c>
      <c r="H103" s="26"/>
      <c r="I103" s="26"/>
      <c r="J103" s="26"/>
      <c r="K103" s="26"/>
    </row>
    <row r="104" spans="1:11" x14ac:dyDescent="0.25">
      <c r="A104" s="26"/>
      <c r="B104" s="25" t="str">
        <f t="shared" si="6"/>
        <v>-for support beam</v>
      </c>
      <c r="C104" s="26">
        <f t="shared" si="6"/>
        <v>2</v>
      </c>
      <c r="D104" s="27">
        <f>D81</f>
        <v>3.5669917708015841</v>
      </c>
      <c r="E104" s="27"/>
      <c r="F104" s="27">
        <f>0.23*2</f>
        <v>0.46</v>
      </c>
      <c r="G104" s="27">
        <f t="shared" si="7"/>
        <v>3.2816324291374577</v>
      </c>
      <c r="H104" s="26"/>
      <c r="I104" s="26"/>
      <c r="J104" s="26"/>
      <c r="K104" s="26"/>
    </row>
    <row r="105" spans="1:11" x14ac:dyDescent="0.25">
      <c r="A105" s="26"/>
      <c r="B105" s="25" t="str">
        <f t="shared" si="6"/>
        <v>-for column over support beam</v>
      </c>
      <c r="C105" s="26">
        <f t="shared" si="6"/>
        <v>4</v>
      </c>
      <c r="D105" s="27">
        <f>D82</f>
        <v>0.23</v>
      </c>
      <c r="E105" s="27"/>
      <c r="F105" s="27">
        <f>F82</f>
        <v>1.8</v>
      </c>
      <c r="G105" s="27">
        <f t="shared" si="7"/>
        <v>1.6560000000000001</v>
      </c>
      <c r="H105" s="26"/>
      <c r="I105" s="26"/>
      <c r="J105" s="26"/>
      <c r="K105" s="26"/>
    </row>
    <row r="106" spans="1:11" x14ac:dyDescent="0.25">
      <c r="A106" s="26"/>
      <c r="B106" s="25" t="s">
        <v>98</v>
      </c>
      <c r="C106" s="26">
        <f>4</f>
        <v>4</v>
      </c>
      <c r="D106" s="27">
        <f>6.5/3.281</f>
        <v>1.9811033221578787</v>
      </c>
      <c r="E106" s="27"/>
      <c r="F106" s="27">
        <f>2*0.23</f>
        <v>0.46</v>
      </c>
      <c r="G106" s="27">
        <f t="shared" si="7"/>
        <v>3.6452301127704967</v>
      </c>
      <c r="H106" s="26"/>
      <c r="I106" s="26"/>
      <c r="J106" s="26"/>
      <c r="K106" s="26"/>
    </row>
    <row r="107" spans="1:11" x14ac:dyDescent="0.25">
      <c r="A107" s="26"/>
      <c r="B107" s="25" t="str">
        <f>B84</f>
        <v>-for inclined slab</v>
      </c>
      <c r="C107" s="26">
        <f>C84</f>
        <v>4</v>
      </c>
      <c r="D107" s="27">
        <f>D84</f>
        <v>3.0859494056690031</v>
      </c>
      <c r="E107" s="27">
        <f>E84</f>
        <v>0.91435537945748246</v>
      </c>
      <c r="F107" s="27"/>
      <c r="G107" s="27">
        <f t="shared" si="7"/>
        <v>11.286617759228296</v>
      </c>
      <c r="H107" s="26"/>
      <c r="I107" s="26"/>
      <c r="J107" s="26"/>
      <c r="K107" s="26"/>
    </row>
    <row r="108" spans="1:11" x14ac:dyDescent="0.25">
      <c r="A108" s="26"/>
      <c r="B108" s="25" t="str">
        <f t="shared" ref="B108:E108" si="8">B85</f>
        <v>-for cantilever</v>
      </c>
      <c r="C108" s="26">
        <f t="shared" si="8"/>
        <v>2</v>
      </c>
      <c r="D108" s="27">
        <f t="shared" si="8"/>
        <v>4.2669917708015843</v>
      </c>
      <c r="E108" s="27">
        <f t="shared" si="8"/>
        <v>0.6</v>
      </c>
      <c r="F108" s="27"/>
      <c r="G108" s="27">
        <f t="shared" ref="G108:G113" si="9">PRODUCT(C108:F108)</f>
        <v>5.1203901249619008</v>
      </c>
      <c r="H108" s="26"/>
      <c r="I108" s="26"/>
      <c r="J108" s="26"/>
      <c r="K108" s="26"/>
    </row>
    <row r="109" spans="1:11" x14ac:dyDescent="0.25">
      <c r="A109" s="26"/>
      <c r="B109" s="25"/>
      <c r="C109" s="26">
        <f t="shared" ref="C109:E109" si="10">C86</f>
        <v>2</v>
      </c>
      <c r="D109" s="27">
        <f t="shared" si="10"/>
        <v>5.4669917708015845</v>
      </c>
      <c r="E109" s="27">
        <f t="shared" si="10"/>
        <v>0.6</v>
      </c>
      <c r="F109" s="27"/>
      <c r="G109" s="27">
        <f t="shared" si="9"/>
        <v>6.5603901249619012</v>
      </c>
      <c r="H109" s="26"/>
      <c r="I109" s="26"/>
      <c r="J109" s="26"/>
      <c r="K109" s="26"/>
    </row>
    <row r="110" spans="1:11" x14ac:dyDescent="0.25">
      <c r="A110" s="26"/>
      <c r="B110" s="25" t="str">
        <f t="shared" ref="B110:D110" si="11">B87</f>
        <v>-beam for top roof inclined support</v>
      </c>
      <c r="C110" s="26">
        <f t="shared" si="11"/>
        <v>4</v>
      </c>
      <c r="D110" s="27">
        <f t="shared" si="11"/>
        <v>1.9811033221578787</v>
      </c>
      <c r="E110" s="27"/>
      <c r="F110" s="27">
        <f>F87*2</f>
        <v>0.46</v>
      </c>
      <c r="G110" s="27">
        <f t="shared" si="9"/>
        <v>3.6452301127704967</v>
      </c>
      <c r="H110" s="26"/>
      <c r="I110" s="26"/>
      <c r="J110" s="26"/>
      <c r="K110" s="26"/>
    </row>
    <row r="111" spans="1:11" x14ac:dyDescent="0.25">
      <c r="A111" s="26"/>
      <c r="B111" s="25" t="str">
        <f t="shared" ref="B111:E111" si="12">B88</f>
        <v>-top roof</v>
      </c>
      <c r="C111" s="26">
        <f t="shared" si="12"/>
        <v>4</v>
      </c>
      <c r="D111" s="27">
        <f t="shared" si="12"/>
        <v>1.0149344711978054</v>
      </c>
      <c r="E111" s="27">
        <f t="shared" si="12"/>
        <v>1.2191405059433098</v>
      </c>
      <c r="F111" s="27"/>
      <c r="G111" s="27">
        <f t="shared" si="9"/>
        <v>4.9493908988615924</v>
      </c>
      <c r="H111" s="26"/>
      <c r="I111" s="26"/>
      <c r="J111" s="26"/>
      <c r="K111" s="26"/>
    </row>
    <row r="112" spans="1:11" x14ac:dyDescent="0.25">
      <c r="A112" s="26"/>
      <c r="B112" s="25" t="str">
        <f t="shared" ref="B112:E112" si="13">B89</f>
        <v>-for cantilever</v>
      </c>
      <c r="C112" s="26">
        <f t="shared" si="13"/>
        <v>2</v>
      </c>
      <c r="D112" s="27">
        <f t="shared" si="13"/>
        <v>3.5050289545870159</v>
      </c>
      <c r="E112" s="27">
        <f t="shared" si="13"/>
        <v>0.53337397135019804</v>
      </c>
      <c r="F112" s="27"/>
      <c r="G112" s="27">
        <f t="shared" si="9"/>
        <v>3.7389824264110194</v>
      </c>
      <c r="H112" s="26"/>
      <c r="I112" s="26"/>
      <c r="J112" s="26"/>
      <c r="K112" s="26"/>
    </row>
    <row r="113" spans="1:11" x14ac:dyDescent="0.25">
      <c r="A113" s="26"/>
      <c r="B113" s="25"/>
      <c r="C113" s="26">
        <f t="shared" ref="C113:E113" si="14">C90</f>
        <v>2</v>
      </c>
      <c r="D113" s="27">
        <f t="shared" si="14"/>
        <v>2.4382810118866196</v>
      </c>
      <c r="E113" s="27">
        <f t="shared" si="14"/>
        <v>0.53337397135019804</v>
      </c>
      <c r="F113" s="27"/>
      <c r="G113" s="27">
        <f t="shared" si="9"/>
        <v>2.6010312531554916</v>
      </c>
      <c r="H113" s="26"/>
      <c r="I113" s="26"/>
      <c r="J113" s="26"/>
      <c r="K113" s="26"/>
    </row>
    <row r="114" spans="1:11" ht="15" customHeight="1" x14ac:dyDescent="0.25">
      <c r="A114" s="17"/>
      <c r="B114" s="18" t="s">
        <v>16</v>
      </c>
      <c r="C114" s="19"/>
      <c r="D114" s="1"/>
      <c r="E114" s="20"/>
      <c r="F114" s="20"/>
      <c r="G114" s="2">
        <f>SUM(G100:G113)</f>
        <v>78.733935778680461</v>
      </c>
      <c r="H114" s="21" t="s">
        <v>34</v>
      </c>
      <c r="I114" s="2">
        <v>922.71</v>
      </c>
      <c r="J114" s="22">
        <f>G114*I114</f>
        <v>72648.589882346248</v>
      </c>
      <c r="K114" s="20"/>
    </row>
    <row r="115" spans="1:11" x14ac:dyDescent="0.25">
      <c r="A115" s="24"/>
      <c r="B115" s="25" t="s">
        <v>47</v>
      </c>
      <c r="C115" s="26"/>
      <c r="D115" s="27"/>
      <c r="E115" s="27"/>
      <c r="F115" s="27"/>
      <c r="G115" s="27"/>
      <c r="H115" s="26"/>
      <c r="I115" s="26"/>
      <c r="J115" s="22">
        <f>0.13*G114*20062.02/100</f>
        <v>2053.430332551784</v>
      </c>
      <c r="K115" s="26"/>
    </row>
    <row r="116" spans="1:11" x14ac:dyDescent="0.25">
      <c r="A116" s="24"/>
      <c r="B116" s="25" t="s">
        <v>48</v>
      </c>
      <c r="C116" s="26"/>
      <c r="D116" s="27"/>
      <c r="E116" s="27"/>
      <c r="F116" s="27"/>
      <c r="G116" s="27"/>
      <c r="H116" s="26"/>
      <c r="I116" s="26"/>
      <c r="J116" s="22">
        <f>0.13*G114*13328.25/100</f>
        <v>1364.2012534048574</v>
      </c>
      <c r="K116" s="26"/>
    </row>
    <row r="117" spans="1:11" x14ac:dyDescent="0.25">
      <c r="A117" s="24"/>
      <c r="B117" s="25" t="s">
        <v>49</v>
      </c>
      <c r="C117" s="26"/>
      <c r="D117" s="27"/>
      <c r="E117" s="27"/>
      <c r="F117" s="27"/>
      <c r="G117" s="27"/>
      <c r="H117" s="26"/>
      <c r="I117" s="26"/>
      <c r="J117" s="22">
        <f>0.13*G114*10137.6/100</f>
        <v>1037.6250915549365</v>
      </c>
      <c r="K117" s="26"/>
    </row>
    <row r="118" spans="1:11" x14ac:dyDescent="0.25">
      <c r="A118" s="26"/>
      <c r="B118" s="25" t="s">
        <v>50</v>
      </c>
      <c r="C118" s="26"/>
      <c r="D118" s="27"/>
      <c r="E118" s="27"/>
      <c r="F118" s="27"/>
      <c r="G118" s="27"/>
      <c r="H118" s="26"/>
      <c r="I118" s="26"/>
      <c r="J118" s="22">
        <f>0.13*G114*3300/100</f>
        <v>337.76858449053924</v>
      </c>
      <c r="K118" s="26"/>
    </row>
    <row r="119" spans="1:11" x14ac:dyDescent="0.25">
      <c r="A119" s="26"/>
      <c r="B119" s="26"/>
      <c r="C119" s="26"/>
      <c r="D119" s="27"/>
      <c r="E119" s="27"/>
      <c r="F119" s="27"/>
      <c r="G119" s="27"/>
      <c r="H119" s="26"/>
      <c r="I119" s="26"/>
      <c r="J119" s="26"/>
      <c r="K119" s="26"/>
    </row>
    <row r="120" spans="1:11" s="44" customFormat="1" ht="45" x14ac:dyDescent="0.25">
      <c r="A120" s="24">
        <v>11</v>
      </c>
      <c r="B120" s="28" t="s">
        <v>37</v>
      </c>
      <c r="C120" s="38" t="s">
        <v>7</v>
      </c>
      <c r="D120" s="49" t="s">
        <v>27</v>
      </c>
      <c r="E120" s="49" t="s">
        <v>40</v>
      </c>
      <c r="F120" s="49" t="s">
        <v>41</v>
      </c>
      <c r="G120" s="39"/>
      <c r="H120" s="38"/>
      <c r="I120" s="38"/>
      <c r="J120" s="38"/>
      <c r="K120" s="38"/>
    </row>
    <row r="121" spans="1:11" x14ac:dyDescent="0.25">
      <c r="A121" s="26"/>
      <c r="B121" s="25" t="str">
        <f>B76</f>
        <v>-for foundation</v>
      </c>
      <c r="C121" s="26">
        <f>TRUNC((E76-0.1)/0.15,0)+1</f>
        <v>10</v>
      </c>
      <c r="D121" s="27">
        <f>1.5</f>
        <v>1.5</v>
      </c>
      <c r="E121" s="27">
        <f>12*12/162</f>
        <v>0.88888888888888884</v>
      </c>
      <c r="F121" s="27">
        <f>PRODUCT(C121:E121)</f>
        <v>13.333333333333332</v>
      </c>
      <c r="G121" s="27">
        <f>F121/1000</f>
        <v>1.3333333333333332E-2</v>
      </c>
      <c r="H121" s="26"/>
      <c r="I121" s="26"/>
      <c r="J121" s="26"/>
      <c r="K121" s="26"/>
    </row>
    <row r="122" spans="1:11" x14ac:dyDescent="0.25">
      <c r="A122" s="26"/>
      <c r="B122" s="25"/>
      <c r="C122" s="26">
        <f>TRUNC((D76-0.1)/0.15,0)+1</f>
        <v>10</v>
      </c>
      <c r="D122" s="27">
        <v>1.5</v>
      </c>
      <c r="E122" s="27">
        <f>12*12/162</f>
        <v>0.88888888888888884</v>
      </c>
      <c r="F122" s="27">
        <f t="shared" ref="F122:F149" si="15">PRODUCT(C122:E122)</f>
        <v>13.333333333333332</v>
      </c>
      <c r="G122" s="27">
        <f t="shared" ref="G122:G149" si="16">F122/1000</f>
        <v>1.3333333333333332E-2</v>
      </c>
      <c r="H122" s="26"/>
      <c r="I122" s="26"/>
      <c r="J122" s="26"/>
      <c r="K122" s="26"/>
    </row>
    <row r="123" spans="1:11" x14ac:dyDescent="0.25">
      <c r="A123" s="26"/>
      <c r="B123" s="25" t="s">
        <v>66</v>
      </c>
      <c r="C123" s="26">
        <f>4*4</f>
        <v>16</v>
      </c>
      <c r="D123" s="27">
        <f>(10.5+1.5+5-0.17*2)/3.281+0.3+0.45</f>
        <v>5.8277202072538854</v>
      </c>
      <c r="E123" s="27">
        <f t="shared" ref="E123" si="17">12*12/162</f>
        <v>0.88888888888888884</v>
      </c>
      <c r="F123" s="27">
        <f t="shared" si="15"/>
        <v>82.8831318364997</v>
      </c>
      <c r="G123" s="27">
        <f t="shared" si="16"/>
        <v>8.2883131836499702E-2</v>
      </c>
      <c r="H123" s="26"/>
      <c r="I123" s="26"/>
      <c r="J123" s="26"/>
      <c r="K123" s="26"/>
    </row>
    <row r="124" spans="1:11" x14ac:dyDescent="0.25">
      <c r="A124" s="26"/>
      <c r="B124" s="25"/>
      <c r="C124" s="26">
        <f>4*4</f>
        <v>16</v>
      </c>
      <c r="D124" s="27">
        <f>(10.5+1.5+5-0.17*2)/3.281+0.3+0.45</f>
        <v>5.8277202072538854</v>
      </c>
      <c r="E124" s="27">
        <f>16*16/162</f>
        <v>1.5802469135802468</v>
      </c>
      <c r="F124" s="27">
        <f t="shared" si="15"/>
        <v>147.34778993155501</v>
      </c>
      <c r="G124" s="27">
        <f t="shared" si="16"/>
        <v>0.14734778993155501</v>
      </c>
      <c r="H124" s="26"/>
      <c r="I124" s="26"/>
      <c r="J124" s="26"/>
      <c r="K124" s="26"/>
    </row>
    <row r="125" spans="1:11" x14ac:dyDescent="0.25">
      <c r="A125" s="26"/>
      <c r="B125" s="25" t="s">
        <v>67</v>
      </c>
      <c r="C125" s="26">
        <f>4*(TRUNC((D124-0.45-0.45-0.35-0.23)/0.15,0)+1)</f>
        <v>116</v>
      </c>
      <c r="D125" s="27">
        <f>0.917*4/3.281</f>
        <v>1.1179518439500153</v>
      </c>
      <c r="E125" s="27">
        <f>8*8/162</f>
        <v>0.39506172839506171</v>
      </c>
      <c r="F125" s="27">
        <f t="shared" si="15"/>
        <v>51.232558577067373</v>
      </c>
      <c r="G125" s="27">
        <f t="shared" si="16"/>
        <v>5.1232558577067371E-2</v>
      </c>
      <c r="H125" s="26"/>
      <c r="I125" s="26"/>
      <c r="J125" s="26"/>
      <c r="K125" s="26"/>
    </row>
    <row r="126" spans="1:11" x14ac:dyDescent="0.25">
      <c r="A126" s="26"/>
      <c r="B126" s="25"/>
      <c r="C126" s="26">
        <f>4*(TRUNC((D124-0.45-0.45-0.35-0.23)/0.15,0)+1)</f>
        <v>116</v>
      </c>
      <c r="D126" s="27">
        <f>0.213*4+0.05*2</f>
        <v>0.95199999999999996</v>
      </c>
      <c r="E126" s="27">
        <f>8*8/162</f>
        <v>0.39506172839506171</v>
      </c>
      <c r="F126" s="27">
        <f t="shared" si="15"/>
        <v>43.627456790123446</v>
      </c>
      <c r="G126" s="27">
        <f t="shared" si="16"/>
        <v>4.3627456790123448E-2</v>
      </c>
      <c r="H126" s="26"/>
      <c r="I126" s="26"/>
      <c r="J126" s="26"/>
      <c r="K126" s="26"/>
    </row>
    <row r="127" spans="1:11" x14ac:dyDescent="0.25">
      <c r="A127" s="26"/>
      <c r="B127" s="25" t="str">
        <f>B101</f>
        <v>-for tie beam</v>
      </c>
      <c r="C127" s="26">
        <f>4*6</f>
        <v>24</v>
      </c>
      <c r="D127" s="27">
        <f>(14+0.75*2-0.17*2)/3.281</f>
        <v>4.6205425175251449</v>
      </c>
      <c r="E127" s="27">
        <f>12*12/162</f>
        <v>0.88888888888888884</v>
      </c>
      <c r="F127" s="27">
        <f t="shared" si="15"/>
        <v>98.571573707203086</v>
      </c>
      <c r="G127" s="27">
        <f t="shared" si="16"/>
        <v>9.8571573707203083E-2</v>
      </c>
      <c r="H127" s="26"/>
      <c r="I127" s="26"/>
      <c r="J127" s="26"/>
      <c r="K127" s="26"/>
    </row>
    <row r="128" spans="1:11" x14ac:dyDescent="0.25">
      <c r="A128" s="26"/>
      <c r="B128" s="25" t="s">
        <v>68</v>
      </c>
      <c r="C128" s="26">
        <f>4*(TRUNC((D101-0.1)/0.15,0)+1)</f>
        <v>96</v>
      </c>
      <c r="D128" s="27">
        <f>(0.583*4+0.17*2)/3.281</f>
        <v>0.81438585797013097</v>
      </c>
      <c r="E128" s="27">
        <f>8*8/162</f>
        <v>0.39506172839506171</v>
      </c>
      <c r="F128" s="27">
        <f t="shared" si="15"/>
        <v>30.886337724496816</v>
      </c>
      <c r="G128" s="27">
        <f t="shared" si="16"/>
        <v>3.0886337724496817E-2</v>
      </c>
      <c r="H128" s="26"/>
      <c r="I128" s="26"/>
      <c r="J128" s="26"/>
      <c r="K128" s="26"/>
    </row>
    <row r="129" spans="1:11" x14ac:dyDescent="0.25">
      <c r="A129" s="26"/>
      <c r="B129" s="25" t="str">
        <f>B103</f>
        <v>-for beam</v>
      </c>
      <c r="C129" s="26">
        <f>4*6</f>
        <v>24</v>
      </c>
      <c r="D129" s="27">
        <f>(14+0.75*2-0.17*2)/3.281</f>
        <v>4.6205425175251449</v>
      </c>
      <c r="E129" s="27">
        <f>12*12/162</f>
        <v>0.88888888888888884</v>
      </c>
      <c r="F129" s="27">
        <f t="shared" si="15"/>
        <v>98.571573707203086</v>
      </c>
      <c r="G129" s="27">
        <f t="shared" si="16"/>
        <v>9.8571573707203083E-2</v>
      </c>
      <c r="H129" s="26"/>
      <c r="I129" s="26"/>
      <c r="J129" s="26"/>
      <c r="K129" s="26"/>
    </row>
    <row r="130" spans="1:11" x14ac:dyDescent="0.25">
      <c r="A130" s="26"/>
      <c r="B130" s="25" t="s">
        <v>68</v>
      </c>
      <c r="C130" s="26">
        <f>4*(TRUNC((D103-0.1)/0.15,0)+1)</f>
        <v>96</v>
      </c>
      <c r="D130" s="27">
        <f>(0.583*4+0.17*2)/3.281</f>
        <v>0.81438585797013097</v>
      </c>
      <c r="E130" s="27">
        <f>8*8/162</f>
        <v>0.39506172839506171</v>
      </c>
      <c r="F130" s="27">
        <f t="shared" si="15"/>
        <v>30.886337724496816</v>
      </c>
      <c r="G130" s="27">
        <f t="shared" si="16"/>
        <v>3.0886337724496817E-2</v>
      </c>
      <c r="H130" s="26"/>
      <c r="I130" s="26"/>
      <c r="J130" s="26"/>
      <c r="K130" s="26"/>
    </row>
    <row r="131" spans="1:11" x14ac:dyDescent="0.25">
      <c r="A131" s="26"/>
      <c r="B131" s="25" t="str">
        <f>B104</f>
        <v>-for support beam</v>
      </c>
      <c r="C131" s="26">
        <f>2*6</f>
        <v>12</v>
      </c>
      <c r="D131" s="27">
        <f>(14+0.75*2)/3.281</f>
        <v>4.7241694605303257</v>
      </c>
      <c r="E131" s="27">
        <f>12*12/162</f>
        <v>0.88888888888888884</v>
      </c>
      <c r="F131" s="27">
        <f t="shared" si="15"/>
        <v>50.391140912323465</v>
      </c>
      <c r="G131" s="27">
        <f t="shared" si="16"/>
        <v>5.0391140912323468E-2</v>
      </c>
      <c r="H131" s="26"/>
      <c r="I131" s="26"/>
      <c r="J131" s="26"/>
      <c r="K131" s="26"/>
    </row>
    <row r="132" spans="1:11" x14ac:dyDescent="0.25">
      <c r="A132" s="26"/>
      <c r="B132" s="25" t="s">
        <v>68</v>
      </c>
      <c r="C132" s="26">
        <f>2*(TRUNC((D103-0.1)/0.15,0)+1)</f>
        <v>48</v>
      </c>
      <c r="D132" s="27">
        <f>(0.583*4+0.17*2)/3.281</f>
        <v>0.81438585797013097</v>
      </c>
      <c r="E132" s="27">
        <f>8*8/162</f>
        <v>0.39506172839506171</v>
      </c>
      <c r="F132" s="27">
        <f t="shared" si="15"/>
        <v>15.443168862248408</v>
      </c>
      <c r="G132" s="27">
        <f t="shared" si="16"/>
        <v>1.5443168862248408E-2</v>
      </c>
      <c r="H132" s="26"/>
      <c r="I132" s="26"/>
      <c r="J132" s="26"/>
      <c r="K132" s="26"/>
    </row>
    <row r="133" spans="1:11" x14ac:dyDescent="0.25">
      <c r="A133" s="26"/>
      <c r="B133" s="25" t="str">
        <f>B105</f>
        <v>-for column over support beam</v>
      </c>
      <c r="C133" s="26">
        <f>C105*8</f>
        <v>32</v>
      </c>
      <c r="D133" s="27">
        <f>1.8+0.3+0.3</f>
        <v>2.4</v>
      </c>
      <c r="E133" s="27">
        <f>12*12/162</f>
        <v>0.88888888888888884</v>
      </c>
      <c r="F133" s="27">
        <f t="shared" si="15"/>
        <v>68.266666666666666</v>
      </c>
      <c r="G133" s="27">
        <f t="shared" si="16"/>
        <v>6.826666666666667E-2</v>
      </c>
      <c r="H133" s="26"/>
      <c r="I133" s="26"/>
      <c r="J133" s="26"/>
      <c r="K133" s="26"/>
    </row>
    <row r="134" spans="1:11" x14ac:dyDescent="0.25">
      <c r="A134" s="26"/>
      <c r="B134" s="25" t="s">
        <v>67</v>
      </c>
      <c r="C134" s="26">
        <f>4*(TRUNC((D133-0.1-0.3-0.3-0.23-0.23)/0.15,0)+1)</f>
        <v>36</v>
      </c>
      <c r="D134" s="27">
        <f>0.5*4/3.281</f>
        <v>0.6095702529716549</v>
      </c>
      <c r="E134" s="27">
        <f>8*8/162</f>
        <v>0.39506172839506171</v>
      </c>
      <c r="F134" s="27">
        <f t="shared" si="15"/>
        <v>8.6694435978190914</v>
      </c>
      <c r="G134" s="27">
        <f t="shared" si="16"/>
        <v>8.6694435978190917E-3</v>
      </c>
      <c r="H134" s="26"/>
      <c r="I134" s="26"/>
      <c r="J134" s="26"/>
      <c r="K134" s="26"/>
    </row>
    <row r="135" spans="1:11" x14ac:dyDescent="0.25">
      <c r="A135" s="26"/>
      <c r="B135" s="25"/>
      <c r="C135" s="26">
        <f>C134</f>
        <v>36</v>
      </c>
      <c r="D135" s="27">
        <f>0.333*4/3.281</f>
        <v>0.40597378847912224</v>
      </c>
      <c r="E135" s="27">
        <f>8*8/162</f>
        <v>0.39506172839506171</v>
      </c>
      <c r="F135" s="27">
        <f t="shared" si="15"/>
        <v>5.7738494361475166</v>
      </c>
      <c r="G135" s="27">
        <f t="shared" si="16"/>
        <v>5.7738494361475167E-3</v>
      </c>
      <c r="H135" s="26"/>
      <c r="I135" s="26"/>
      <c r="J135" s="26"/>
      <c r="K135" s="26"/>
    </row>
    <row r="136" spans="1:11" x14ac:dyDescent="0.25">
      <c r="A136" s="26"/>
      <c r="B136" s="25" t="s">
        <v>98</v>
      </c>
      <c r="C136" s="26">
        <f>2*(4*5)</f>
        <v>40</v>
      </c>
      <c r="D136" s="27">
        <f>(8+0.5*2)/3.281</f>
        <v>2.7430661383724475</v>
      </c>
      <c r="E136" s="27">
        <f>12*12/162</f>
        <v>0.88888888888888884</v>
      </c>
      <c r="F136" s="27">
        <f t="shared" si="15"/>
        <v>97.531240475464799</v>
      </c>
      <c r="G136" s="27">
        <f t="shared" si="16"/>
        <v>9.7531240475464798E-2</v>
      </c>
      <c r="H136" s="26"/>
      <c r="I136" s="26"/>
      <c r="J136" s="26"/>
      <c r="K136" s="26"/>
    </row>
    <row r="137" spans="1:11" x14ac:dyDescent="0.25">
      <c r="A137" s="26"/>
      <c r="B137" s="25" t="s">
        <v>68</v>
      </c>
      <c r="C137" s="26">
        <f>4*(TRUNC((8-0.33-0.75-0.75)/0.5,0)+1)</f>
        <v>52</v>
      </c>
      <c r="D137" s="27">
        <f>(0.583*4+0.17*2)/3.281</f>
        <v>0.81438585797013097</v>
      </c>
      <c r="E137" s="27">
        <f>8*8/162</f>
        <v>0.39506172839506171</v>
      </c>
      <c r="F137" s="27">
        <f t="shared" si="15"/>
        <v>16.730099600769112</v>
      </c>
      <c r="G137" s="27">
        <f t="shared" si="16"/>
        <v>1.6730099600769113E-2</v>
      </c>
      <c r="H137" s="26"/>
      <c r="I137" s="26"/>
      <c r="J137" s="26"/>
      <c r="K137" s="26"/>
    </row>
    <row r="138" spans="1:11" x14ac:dyDescent="0.25">
      <c r="A138" s="26"/>
      <c r="B138" s="25" t="str">
        <f>B107</f>
        <v>-for inclined slab</v>
      </c>
      <c r="C138" s="26">
        <f>4*(TRUNC(((D139-0.1)/0.15),0)+1)</f>
        <v>24</v>
      </c>
      <c r="D138" s="27">
        <f>D107</f>
        <v>3.0859494056690031</v>
      </c>
      <c r="E138" s="27">
        <f>10*10/162</f>
        <v>0.61728395061728392</v>
      </c>
      <c r="F138" s="27">
        <f t="shared" si="15"/>
        <v>45.717768972874119</v>
      </c>
      <c r="G138" s="27">
        <f t="shared" si="16"/>
        <v>4.571776897287412E-2</v>
      </c>
      <c r="H138" s="26"/>
      <c r="I138" s="26"/>
      <c r="J138" s="26"/>
      <c r="K138" s="26"/>
    </row>
    <row r="139" spans="1:11" x14ac:dyDescent="0.25">
      <c r="A139" s="26"/>
      <c r="B139" s="25"/>
      <c r="C139" s="26">
        <f>4*(TRUNC(((D138-0.1)/0.15),0)+1)</f>
        <v>80</v>
      </c>
      <c r="D139" s="27">
        <f>E107</f>
        <v>0.91435537945748246</v>
      </c>
      <c r="E139" s="27">
        <f>10*10/162</f>
        <v>0.61728395061728392</v>
      </c>
      <c r="F139" s="27">
        <f t="shared" si="15"/>
        <v>45.153352071974439</v>
      </c>
      <c r="G139" s="27">
        <f t="shared" si="16"/>
        <v>4.5153352071974441E-2</v>
      </c>
      <c r="H139" s="26"/>
      <c r="I139" s="26"/>
      <c r="J139" s="26"/>
      <c r="K139" s="26"/>
    </row>
    <row r="140" spans="1:11" x14ac:dyDescent="0.25">
      <c r="A140" s="26"/>
      <c r="B140" s="25" t="s">
        <v>75</v>
      </c>
      <c r="C140" s="26">
        <f>2*(TRUNC((D141-0.1)/0.15,0)+1)</f>
        <v>8</v>
      </c>
      <c r="D140" s="27">
        <f>(14+2+2-0.333)/3.281</f>
        <v>5.3846388296251142</v>
      </c>
      <c r="E140" s="27">
        <f>10*10/162</f>
        <v>0.61728395061728392</v>
      </c>
      <c r="F140" s="27">
        <f t="shared" si="15"/>
        <v>26.590809035185746</v>
      </c>
      <c r="G140" s="27">
        <f t="shared" si="16"/>
        <v>2.6590809035185747E-2</v>
      </c>
      <c r="H140" s="26"/>
      <c r="I140" s="26"/>
      <c r="J140" s="26"/>
      <c r="K140" s="26"/>
    </row>
    <row r="141" spans="1:11" x14ac:dyDescent="0.25">
      <c r="A141" s="26"/>
      <c r="B141" s="25"/>
      <c r="C141" s="26">
        <f>2*(TRUNC((D140-0.1-0.23*2)/0.15,0)+1)</f>
        <v>66</v>
      </c>
      <c r="D141" s="27">
        <v>0.6</v>
      </c>
      <c r="E141" s="27">
        <f t="shared" ref="E141:E143" si="18">10*10/162</f>
        <v>0.61728395061728392</v>
      </c>
      <c r="F141" s="27">
        <f t="shared" si="15"/>
        <v>24.444444444444443</v>
      </c>
      <c r="G141" s="27">
        <f t="shared" si="16"/>
        <v>2.4444444444444442E-2</v>
      </c>
      <c r="H141" s="26"/>
      <c r="I141" s="26"/>
      <c r="J141" s="26"/>
      <c r="K141" s="26"/>
    </row>
    <row r="142" spans="1:11" x14ac:dyDescent="0.25">
      <c r="A142" s="26"/>
      <c r="B142" s="25"/>
      <c r="C142" s="26">
        <f>2*(TRUNC((D143-0.1)/0.15,0)+1)</f>
        <v>8</v>
      </c>
      <c r="D142" s="27">
        <f>(14-0.33)/3.281</f>
        <v>4.1664126790612617</v>
      </c>
      <c r="E142" s="27">
        <f t="shared" si="18"/>
        <v>0.61728395061728392</v>
      </c>
      <c r="F142" s="27">
        <f t="shared" si="15"/>
        <v>20.574877427463019</v>
      </c>
      <c r="G142" s="27">
        <f t="shared" si="16"/>
        <v>2.0574877427463018E-2</v>
      </c>
      <c r="H142" s="26"/>
      <c r="I142" s="26"/>
      <c r="J142" s="26"/>
      <c r="K142" s="26"/>
    </row>
    <row r="143" spans="1:11" x14ac:dyDescent="0.25">
      <c r="A143" s="26"/>
      <c r="B143" s="25"/>
      <c r="C143" s="26">
        <f>2*(TRUNC((D142-0.1-0.23*2)/0.15,0)+1)</f>
        <v>50</v>
      </c>
      <c r="D143" s="27">
        <v>0.6</v>
      </c>
      <c r="E143" s="27">
        <f t="shared" si="18"/>
        <v>0.61728395061728392</v>
      </c>
      <c r="F143" s="27">
        <f t="shared" si="15"/>
        <v>18.518518518518519</v>
      </c>
      <c r="G143" s="27">
        <f t="shared" si="16"/>
        <v>1.8518518518518517E-2</v>
      </c>
      <c r="H143" s="26"/>
      <c r="I143" s="26"/>
      <c r="J143" s="26"/>
      <c r="K143" s="26"/>
    </row>
    <row r="144" spans="1:11" x14ac:dyDescent="0.25">
      <c r="A144" s="26"/>
      <c r="B144" s="25" t="str">
        <f>B111</f>
        <v>-top roof</v>
      </c>
      <c r="C144" s="26">
        <f>4*(TRUNC(((D145-0.1)/0.15),0)+1)</f>
        <v>32</v>
      </c>
      <c r="D144" s="27">
        <f>D111</f>
        <v>1.0149344711978054</v>
      </c>
      <c r="E144" s="27">
        <f>10*10/162</f>
        <v>0.61728395061728392</v>
      </c>
      <c r="F144" s="27">
        <f t="shared" si="15"/>
        <v>20.048088319956651</v>
      </c>
      <c r="G144" s="27">
        <f t="shared" si="16"/>
        <v>2.004808831995665E-2</v>
      </c>
      <c r="H144" s="26"/>
      <c r="I144" s="26"/>
      <c r="J144" s="26"/>
      <c r="K144" s="26"/>
    </row>
    <row r="145" spans="1:11" x14ac:dyDescent="0.25">
      <c r="A145" s="26"/>
      <c r="B145" s="25"/>
      <c r="C145" s="26">
        <f>4*(TRUNC(((D144-0.1)/0.15),0)+1)</f>
        <v>28</v>
      </c>
      <c r="D145" s="27">
        <f>E111</f>
        <v>1.2191405059433098</v>
      </c>
      <c r="E145" s="27">
        <f>10*10/162</f>
        <v>0.61728395061728392</v>
      </c>
      <c r="F145" s="27">
        <f t="shared" si="15"/>
        <v>21.071564300254735</v>
      </c>
      <c r="G145" s="27">
        <f t="shared" si="16"/>
        <v>2.1071564300254735E-2</v>
      </c>
      <c r="H145" s="26"/>
      <c r="I145" s="26"/>
      <c r="J145" s="26"/>
      <c r="K145" s="26"/>
    </row>
    <row r="146" spans="1:11" x14ac:dyDescent="0.25">
      <c r="A146" s="26"/>
      <c r="B146" s="25" t="s">
        <v>75</v>
      </c>
      <c r="C146" s="26">
        <f>2*(TRUNC((D147-0.1)/0.15,0)+1)</f>
        <v>6</v>
      </c>
      <c r="D146" s="27">
        <f>(8+1.75+1.75-0.333)/3.281</f>
        <v>3.4035355074672355</v>
      </c>
      <c r="E146" s="27">
        <f>10*10/162</f>
        <v>0.61728395061728392</v>
      </c>
      <c r="F146" s="27">
        <f t="shared" si="15"/>
        <v>12.605687064693464</v>
      </c>
      <c r="G146" s="27">
        <f t="shared" si="16"/>
        <v>1.2605687064693465E-2</v>
      </c>
      <c r="H146" s="26"/>
      <c r="I146" s="26"/>
      <c r="J146" s="26"/>
      <c r="K146" s="26"/>
    </row>
    <row r="147" spans="1:11" x14ac:dyDescent="0.25">
      <c r="A147" s="26"/>
      <c r="B147" s="25"/>
      <c r="C147" s="26">
        <f>2*(TRUNC((D146-0.1-0.23*2)/0.15,0)+1)</f>
        <v>38</v>
      </c>
      <c r="D147" s="27">
        <f>1.75/3.281</f>
        <v>0.53337397135019804</v>
      </c>
      <c r="E147" s="27">
        <f t="shared" ref="E147:E149" si="19">10*10/162</f>
        <v>0.61728395061728392</v>
      </c>
      <c r="F147" s="27">
        <f t="shared" si="15"/>
        <v>12.51124130327625</v>
      </c>
      <c r="G147" s="27">
        <f t="shared" si="16"/>
        <v>1.2511241303276251E-2</v>
      </c>
      <c r="H147" s="26"/>
      <c r="I147" s="26"/>
      <c r="J147" s="26"/>
      <c r="K147" s="26"/>
    </row>
    <row r="148" spans="1:11" x14ac:dyDescent="0.25">
      <c r="A148" s="26"/>
      <c r="B148" s="25"/>
      <c r="C148" s="26">
        <f>2*(TRUNC((D149-0.1)/0.15,0)+1)</f>
        <v>6</v>
      </c>
      <c r="D148" s="27">
        <f>(8-0.33)/3.281</f>
        <v>2.3377019201462965</v>
      </c>
      <c r="E148" s="27">
        <f t="shared" si="19"/>
        <v>0.61728395061728392</v>
      </c>
      <c r="F148" s="27">
        <f t="shared" si="15"/>
        <v>8.6581552598010987</v>
      </c>
      <c r="G148" s="27">
        <f t="shared" si="16"/>
        <v>8.658155259801098E-3</v>
      </c>
      <c r="H148" s="26"/>
      <c r="I148" s="26"/>
      <c r="J148" s="26"/>
      <c r="K148" s="26"/>
    </row>
    <row r="149" spans="1:11" x14ac:dyDescent="0.25">
      <c r="A149" s="26"/>
      <c r="B149" s="25"/>
      <c r="C149" s="26">
        <f>2*(TRUNC((D148-0.1-0.23*2)/0.15,0)+1)</f>
        <v>24</v>
      </c>
      <c r="D149" s="27">
        <f>1.75/3.281</f>
        <v>0.53337397135019804</v>
      </c>
      <c r="E149" s="27">
        <f t="shared" si="19"/>
        <v>0.61728395061728392</v>
      </c>
      <c r="F149" s="27">
        <f t="shared" si="15"/>
        <v>7.9018366125955257</v>
      </c>
      <c r="G149" s="27">
        <f t="shared" si="16"/>
        <v>7.9018366125955253E-3</v>
      </c>
      <c r="H149" s="26"/>
      <c r="I149" s="26"/>
      <c r="J149" s="26"/>
      <c r="K149" s="26"/>
    </row>
    <row r="150" spans="1:11" ht="15" customHeight="1" x14ac:dyDescent="0.25">
      <c r="A150" s="17"/>
      <c r="B150" s="18" t="s">
        <v>16</v>
      </c>
      <c r="C150" s="19"/>
      <c r="D150" s="1"/>
      <c r="E150" s="20"/>
      <c r="F150" s="20"/>
      <c r="G150" s="2">
        <f>SUM(G121:G149)</f>
        <v>1.1372753795477895</v>
      </c>
      <c r="H150" s="21" t="s">
        <v>42</v>
      </c>
      <c r="I150" s="46">
        <v>132360</v>
      </c>
      <c r="J150" s="50">
        <f>G150*I150</f>
        <v>150529.7692369454</v>
      </c>
      <c r="K150" s="20"/>
    </row>
    <row r="151" spans="1:11" x14ac:dyDescent="0.25">
      <c r="A151" s="24"/>
      <c r="B151" s="25" t="s">
        <v>39</v>
      </c>
      <c r="C151" s="26"/>
      <c r="D151" s="26"/>
      <c r="E151" s="26"/>
      <c r="F151" s="26"/>
      <c r="G151" s="26"/>
      <c r="H151" s="26"/>
      <c r="I151" s="26"/>
      <c r="J151" s="22">
        <f>0.13*G150*105000</f>
        <v>15523.808930827327</v>
      </c>
      <c r="K151" s="26"/>
    </row>
    <row r="152" spans="1:11" x14ac:dyDescent="0.25">
      <c r="A152" s="24"/>
      <c r="B152" s="25" t="s">
        <v>38</v>
      </c>
      <c r="C152" s="26"/>
      <c r="D152" s="26"/>
      <c r="E152" s="26"/>
      <c r="F152" s="26"/>
      <c r="G152" s="26"/>
      <c r="H152" s="26"/>
      <c r="I152" s="26"/>
      <c r="J152" s="22">
        <f>0.13*G150*1200</f>
        <v>177.41495920945516</v>
      </c>
      <c r="K152" s="26"/>
    </row>
    <row r="153" spans="1:11" x14ac:dyDescent="0.25">
      <c r="A153" s="26"/>
      <c r="B153" s="26"/>
      <c r="C153" s="26"/>
      <c r="D153" s="26"/>
      <c r="E153" s="26"/>
      <c r="F153" s="26"/>
      <c r="G153" s="26"/>
      <c r="H153" s="26"/>
      <c r="I153" s="26"/>
      <c r="J153" s="26"/>
      <c r="K153" s="26"/>
    </row>
    <row r="154" spans="1:11" ht="30" x14ac:dyDescent="0.25">
      <c r="A154" s="24">
        <v>12</v>
      </c>
      <c r="B154" s="28" t="s">
        <v>53</v>
      </c>
      <c r="C154" s="26"/>
      <c r="D154" s="26"/>
      <c r="E154" s="26"/>
      <c r="F154" s="26"/>
      <c r="G154" s="26"/>
      <c r="H154" s="26"/>
      <c r="I154" s="26"/>
      <c r="J154" s="26"/>
      <c r="K154" s="26"/>
    </row>
    <row r="155" spans="1:11" x14ac:dyDescent="0.25">
      <c r="A155" s="26"/>
      <c r="B155" s="25" t="s">
        <v>101</v>
      </c>
      <c r="C155" s="51">
        <f>2*2</f>
        <v>4</v>
      </c>
      <c r="D155" s="27">
        <f>0.35*4</f>
        <v>1.4</v>
      </c>
      <c r="E155" s="27"/>
      <c r="F155" s="27">
        <f>Sheet1!Q4-Sheet1!W4</f>
        <v>2.7222340749771408</v>
      </c>
      <c r="G155" s="27">
        <f>PRODUCT(C155:F155)</f>
        <v>15.244510819871987</v>
      </c>
      <c r="H155" s="26"/>
      <c r="I155" s="26"/>
      <c r="J155" s="26"/>
      <c r="K155" s="26"/>
    </row>
    <row r="156" spans="1:11" x14ac:dyDescent="0.25">
      <c r="A156" s="26"/>
      <c r="B156" s="25" t="str">
        <f>B105</f>
        <v>-for column over support beam</v>
      </c>
      <c r="C156" s="51">
        <v>4</v>
      </c>
      <c r="D156" s="27">
        <f>0.23*4</f>
        <v>0.92</v>
      </c>
      <c r="E156" s="27"/>
      <c r="F156" s="27">
        <f>3/3.281</f>
        <v>0.91435537945748246</v>
      </c>
      <c r="G156" s="27">
        <f>PRODUCT(C156:F156)</f>
        <v>3.3648277964035356</v>
      </c>
      <c r="H156" s="26"/>
      <c r="I156" s="26"/>
      <c r="J156" s="26"/>
      <c r="K156" s="26"/>
    </row>
    <row r="157" spans="1:11" x14ac:dyDescent="0.25">
      <c r="A157" s="26"/>
      <c r="B157" s="25" t="s">
        <v>62</v>
      </c>
      <c r="C157" s="51">
        <v>4</v>
      </c>
      <c r="D157" s="27">
        <f>(14-1.17*2)/3.281</f>
        <v>3.5537945748247486</v>
      </c>
      <c r="E157" s="27"/>
      <c r="F157" s="27">
        <f>0.23*3</f>
        <v>0.69000000000000006</v>
      </c>
      <c r="G157" s="27">
        <f>PRODUCT(C157:F157)</f>
        <v>9.8084730265163067</v>
      </c>
      <c r="H157" s="26"/>
      <c r="I157" s="26"/>
      <c r="J157" s="26"/>
      <c r="K157" s="26"/>
    </row>
    <row r="158" spans="1:11" x14ac:dyDescent="0.25">
      <c r="A158" s="26"/>
      <c r="B158" s="25"/>
      <c r="C158" s="51">
        <v>2</v>
      </c>
      <c r="D158" s="27">
        <f>(14-1.17*2)/3.281</f>
        <v>3.5537945748247486</v>
      </c>
      <c r="E158" s="27"/>
      <c r="F158" s="27">
        <f>0.23*3</f>
        <v>0.69000000000000006</v>
      </c>
      <c r="G158" s="27">
        <f>PRODUCT(C158:F158)</f>
        <v>4.9042365132581534</v>
      </c>
      <c r="H158" s="26"/>
      <c r="I158" s="26"/>
      <c r="J158" s="26"/>
      <c r="K158" s="26"/>
    </row>
    <row r="159" spans="1:11" x14ac:dyDescent="0.25">
      <c r="A159" s="26"/>
      <c r="B159" s="25" t="str">
        <f>B110</f>
        <v>-beam for top roof inclined support</v>
      </c>
      <c r="C159" s="51">
        <v>4</v>
      </c>
      <c r="D159" s="27">
        <f>6.5/3.281</f>
        <v>1.9811033221578787</v>
      </c>
      <c r="E159" s="27"/>
      <c r="F159" s="27">
        <f>0.23*3</f>
        <v>0.69000000000000006</v>
      </c>
      <c r="G159" s="27">
        <f>PRODUCT(C159:F159)</f>
        <v>5.4678451691557459</v>
      </c>
      <c r="H159" s="26"/>
      <c r="I159" s="26"/>
      <c r="J159" s="26"/>
      <c r="K159" s="26"/>
    </row>
    <row r="160" spans="1:11" x14ac:dyDescent="0.25">
      <c r="A160" s="26"/>
      <c r="B160" s="25" t="str">
        <f>B84</f>
        <v>-for inclined slab</v>
      </c>
      <c r="C160" s="51">
        <f>C84</f>
        <v>4</v>
      </c>
      <c r="D160" s="27">
        <f t="shared" ref="D160:E160" si="20">D84</f>
        <v>3.0859494056690031</v>
      </c>
      <c r="E160" s="27">
        <f t="shared" si="20"/>
        <v>0.91435537945748246</v>
      </c>
      <c r="F160" s="51"/>
      <c r="G160" s="27">
        <f t="shared" ref="G160:G165" si="21">PRODUCT(C160:F160)</f>
        <v>11.286617759228296</v>
      </c>
      <c r="H160" s="26"/>
      <c r="I160" s="26"/>
      <c r="J160" s="26"/>
      <c r="K160" s="26"/>
    </row>
    <row r="161" spans="1:11" x14ac:dyDescent="0.25">
      <c r="A161" s="26"/>
      <c r="B161" s="25" t="str">
        <f>B85</f>
        <v>-for cantilever</v>
      </c>
      <c r="C161" s="52">
        <f t="shared" ref="C161:E162" si="22">C85</f>
        <v>2</v>
      </c>
      <c r="D161" s="53">
        <f t="shared" si="22"/>
        <v>4.2669917708015843</v>
      </c>
      <c r="E161" s="53">
        <f t="shared" si="22"/>
        <v>0.6</v>
      </c>
      <c r="F161" s="53"/>
      <c r="G161" s="27">
        <f t="shared" si="21"/>
        <v>5.1203901249619008</v>
      </c>
      <c r="H161" s="26"/>
      <c r="I161" s="26"/>
      <c r="J161" s="26"/>
      <c r="K161" s="26"/>
    </row>
    <row r="162" spans="1:11" x14ac:dyDescent="0.25">
      <c r="A162" s="26"/>
      <c r="B162" s="25"/>
      <c r="C162" s="52">
        <f t="shared" si="22"/>
        <v>2</v>
      </c>
      <c r="D162" s="53">
        <f t="shared" si="22"/>
        <v>5.4669917708015845</v>
      </c>
      <c r="E162" s="53">
        <f t="shared" si="22"/>
        <v>0.6</v>
      </c>
      <c r="F162" s="53"/>
      <c r="G162" s="27">
        <f t="shared" si="21"/>
        <v>6.5603901249619012</v>
      </c>
      <c r="H162" s="26"/>
      <c r="I162" s="26"/>
      <c r="J162" s="26"/>
      <c r="K162" s="26"/>
    </row>
    <row r="163" spans="1:11" x14ac:dyDescent="0.25">
      <c r="A163" s="26"/>
      <c r="B163" s="25" t="str">
        <f>B88</f>
        <v>-top roof</v>
      </c>
      <c r="C163" s="52">
        <f t="shared" ref="C163:E163" si="23">C88</f>
        <v>4</v>
      </c>
      <c r="D163" s="53">
        <f t="shared" si="23"/>
        <v>1.0149344711978054</v>
      </c>
      <c r="E163" s="53">
        <f t="shared" si="23"/>
        <v>1.2191405059433098</v>
      </c>
      <c r="F163" s="53"/>
      <c r="G163" s="27">
        <f t="shared" si="21"/>
        <v>4.9493908988615924</v>
      </c>
      <c r="H163" s="26"/>
      <c r="I163" s="26"/>
      <c r="J163" s="26"/>
      <c r="K163" s="26"/>
    </row>
    <row r="164" spans="1:11" x14ac:dyDescent="0.25">
      <c r="A164" s="26"/>
      <c r="B164" s="25" t="str">
        <f t="shared" ref="B164:E164" si="24">B89</f>
        <v>-for cantilever</v>
      </c>
      <c r="C164" s="52">
        <f t="shared" si="24"/>
        <v>2</v>
      </c>
      <c r="D164" s="53">
        <f t="shared" si="24"/>
        <v>3.5050289545870159</v>
      </c>
      <c r="E164" s="53">
        <f t="shared" si="24"/>
        <v>0.53337397135019804</v>
      </c>
      <c r="F164" s="53"/>
      <c r="G164" s="27">
        <f t="shared" si="21"/>
        <v>3.7389824264110194</v>
      </c>
      <c r="H164" s="26"/>
      <c r="I164" s="26"/>
      <c r="J164" s="26"/>
      <c r="K164" s="26"/>
    </row>
    <row r="165" spans="1:11" x14ac:dyDescent="0.25">
      <c r="A165" s="26"/>
      <c r="B165" s="25"/>
      <c r="C165" s="52">
        <f t="shared" ref="C165:E165" si="25">C90</f>
        <v>2</v>
      </c>
      <c r="D165" s="53">
        <f t="shared" si="25"/>
        <v>2.4382810118866196</v>
      </c>
      <c r="E165" s="53">
        <f t="shared" si="25"/>
        <v>0.53337397135019804</v>
      </c>
      <c r="F165" s="53"/>
      <c r="G165" s="27">
        <f t="shared" si="21"/>
        <v>2.6010312531554916</v>
      </c>
      <c r="H165" s="26"/>
      <c r="I165" s="26"/>
      <c r="J165" s="26"/>
      <c r="K165" s="26"/>
    </row>
    <row r="166" spans="1:11" ht="15" customHeight="1" x14ac:dyDescent="0.25">
      <c r="A166" s="17"/>
      <c r="B166" s="18" t="s">
        <v>16</v>
      </c>
      <c r="C166" s="19"/>
      <c r="D166" s="1"/>
      <c r="E166" s="20"/>
      <c r="F166" s="20"/>
      <c r="G166" s="2">
        <f>SUM(G155:G165)</f>
        <v>73.046695912785921</v>
      </c>
      <c r="H166" s="21" t="s">
        <v>34</v>
      </c>
      <c r="I166" s="2">
        <v>415.5</v>
      </c>
      <c r="J166" s="22">
        <f>G166*I166</f>
        <v>30350.902151762552</v>
      </c>
      <c r="K166" s="20"/>
    </row>
    <row r="167" spans="1:11" x14ac:dyDescent="0.25">
      <c r="A167" s="24"/>
      <c r="B167" s="25" t="s">
        <v>32</v>
      </c>
      <c r="C167" s="26"/>
      <c r="D167" s="27"/>
      <c r="E167" s="27"/>
      <c r="F167" s="27"/>
      <c r="G167" s="27"/>
      <c r="H167" s="26"/>
      <c r="I167" s="26"/>
      <c r="J167" s="22">
        <f>0.13*G166*7010.67/100</f>
        <v>665.73816352535812</v>
      </c>
      <c r="K167" s="26"/>
    </row>
    <row r="168" spans="1:11" x14ac:dyDescent="0.25">
      <c r="A168" s="26"/>
      <c r="B168" s="25" t="s">
        <v>31</v>
      </c>
      <c r="C168" s="26"/>
      <c r="D168" s="27"/>
      <c r="E168" s="27"/>
      <c r="F168" s="27"/>
      <c r="G168" s="27"/>
      <c r="H168" s="26"/>
      <c r="I168" s="26"/>
      <c r="J168" s="22">
        <f>0.13*G166*4639.73/100</f>
        <v>440.59203035565923</v>
      </c>
      <c r="K168" s="26"/>
    </row>
    <row r="169" spans="1:11" x14ac:dyDescent="0.25">
      <c r="A169" s="26"/>
      <c r="B169" s="26"/>
      <c r="C169" s="26"/>
      <c r="D169" s="26"/>
      <c r="E169" s="26"/>
      <c r="F169" s="26"/>
      <c r="G169" s="26"/>
      <c r="H169" s="26"/>
      <c r="I169" s="26"/>
      <c r="J169" s="26"/>
      <c r="K169" s="26"/>
    </row>
    <row r="170" spans="1:11" ht="30" x14ac:dyDescent="0.25">
      <c r="A170" s="24">
        <v>13</v>
      </c>
      <c r="B170" s="28" t="s">
        <v>63</v>
      </c>
      <c r="C170" s="26"/>
      <c r="D170" s="26"/>
      <c r="E170" s="26"/>
      <c r="F170" s="26"/>
      <c r="G170" s="26"/>
      <c r="H170" s="26"/>
      <c r="I170" s="26"/>
      <c r="J170" s="26"/>
      <c r="K170" s="26"/>
    </row>
    <row r="171" spans="1:11" x14ac:dyDescent="0.25">
      <c r="A171" s="26"/>
      <c r="B171" s="25" t="str">
        <f>B78</f>
        <v>-for tie beam</v>
      </c>
      <c r="C171" s="51">
        <f>C78</f>
        <v>4</v>
      </c>
      <c r="D171" s="27">
        <f>(1.917/3.281)*2</f>
        <v>1.1685461749466626</v>
      </c>
      <c r="E171" s="27">
        <v>0.23</v>
      </c>
      <c r="F171" s="27">
        <v>1.2</v>
      </c>
      <c r="G171" s="27">
        <f t="shared" ref="G171" si="26">PRODUCT(C171:F171)</f>
        <v>1.2900749771411155</v>
      </c>
      <c r="H171" s="26"/>
      <c r="I171" s="26"/>
      <c r="J171" s="26"/>
      <c r="K171" s="26"/>
    </row>
    <row r="172" spans="1:11" x14ac:dyDescent="0.25">
      <c r="A172" s="26"/>
      <c r="B172" s="25"/>
      <c r="C172" s="51">
        <v>4</v>
      </c>
      <c r="D172" s="27">
        <f>7.833/3.281</f>
        <v>2.3873818957634869</v>
      </c>
      <c r="E172" s="27">
        <v>0.23</v>
      </c>
      <c r="F172" s="27">
        <f>0.6-0.075-0.055</f>
        <v>0.47000000000000003</v>
      </c>
      <c r="G172" s="27">
        <f>PRODUCT(C172:F172)</f>
        <v>1.032303931728132</v>
      </c>
      <c r="H172" s="26"/>
      <c r="I172" s="26"/>
      <c r="J172" s="26"/>
      <c r="K172" s="26"/>
    </row>
    <row r="173" spans="1:11" x14ac:dyDescent="0.25">
      <c r="A173" s="26"/>
      <c r="B173" s="25" t="s">
        <v>118</v>
      </c>
      <c r="C173" s="51">
        <v>2</v>
      </c>
      <c r="D173" s="27">
        <f>Sheet1!H4+0.45</f>
        <v>4.7169917708015845</v>
      </c>
      <c r="E173" s="27">
        <v>0.1</v>
      </c>
      <c r="F173" s="27">
        <v>0.3</v>
      </c>
      <c r="G173" s="27">
        <f t="shared" ref="G173:G174" si="27">PRODUCT(C173:F173)</f>
        <v>0.28301950624809508</v>
      </c>
      <c r="H173" s="26"/>
      <c r="I173" s="26"/>
      <c r="J173" s="26"/>
      <c r="K173" s="26"/>
    </row>
    <row r="174" spans="1:11" x14ac:dyDescent="0.25">
      <c r="A174" s="26"/>
      <c r="B174" s="25"/>
      <c r="C174" s="51">
        <v>2</v>
      </c>
      <c r="D174" s="27">
        <f>Sheet1!I4+0.45</f>
        <v>4.7169917708015845</v>
      </c>
      <c r="E174" s="27">
        <v>0.1</v>
      </c>
      <c r="F174" s="27">
        <v>0.3</v>
      </c>
      <c r="G174" s="27">
        <f t="shared" si="27"/>
        <v>0.28301950624809508</v>
      </c>
      <c r="H174" s="26"/>
      <c r="I174" s="26"/>
      <c r="J174" s="26"/>
      <c r="K174" s="26"/>
    </row>
    <row r="175" spans="1:11" ht="15" customHeight="1" x14ac:dyDescent="0.25">
      <c r="A175" s="17"/>
      <c r="B175" s="18" t="s">
        <v>16</v>
      </c>
      <c r="C175" s="19"/>
      <c r="D175" s="1"/>
      <c r="E175" s="20"/>
      <c r="F175" s="20"/>
      <c r="G175" s="2">
        <f>SUM(G171:G174)</f>
        <v>2.8884179213654373</v>
      </c>
      <c r="H175" s="21" t="s">
        <v>28</v>
      </c>
      <c r="I175" s="2">
        <f>14491.84</f>
        <v>14491.84</v>
      </c>
      <c r="J175" s="22">
        <f>G175*I175</f>
        <v>41858.490369560503</v>
      </c>
      <c r="K175" s="20"/>
    </row>
    <row r="176" spans="1:11" x14ac:dyDescent="0.25">
      <c r="A176" s="24"/>
      <c r="B176" s="25" t="s">
        <v>55</v>
      </c>
      <c r="C176" s="26"/>
      <c r="D176" s="27"/>
      <c r="E176" s="27"/>
      <c r="F176" s="27"/>
      <c r="G176" s="27"/>
      <c r="H176" s="26"/>
      <c r="I176" s="26"/>
      <c r="J176" s="22">
        <f>0.13*G175*8481.2</f>
        <v>3184.6425097089914</v>
      </c>
      <c r="K176" s="26"/>
    </row>
    <row r="177" spans="1:11" x14ac:dyDescent="0.25">
      <c r="A177" s="24"/>
      <c r="B177" s="25" t="s">
        <v>32</v>
      </c>
      <c r="C177" s="26"/>
      <c r="D177" s="27"/>
      <c r="E177" s="27"/>
      <c r="F177" s="27"/>
      <c r="G177" s="27"/>
      <c r="H177" s="26"/>
      <c r="I177" s="26"/>
      <c r="J177" s="22">
        <f>0.13*G175*912.17</f>
        <v>342.51466279314843</v>
      </c>
      <c r="K177" s="26"/>
    </row>
    <row r="178" spans="1:11" x14ac:dyDescent="0.25">
      <c r="A178" s="24"/>
      <c r="B178" s="25" t="s">
        <v>64</v>
      </c>
      <c r="C178" s="26"/>
      <c r="D178" s="27"/>
      <c r="E178" s="27"/>
      <c r="F178" s="27"/>
      <c r="G178" s="27"/>
      <c r="H178" s="26"/>
      <c r="I178" s="26"/>
      <c r="J178" s="22">
        <f>0.13*G175*953.37</f>
        <v>357.98502917998172</v>
      </c>
      <c r="K178" s="26"/>
    </row>
    <row r="179" spans="1:11" x14ac:dyDescent="0.25">
      <c r="A179" s="24"/>
      <c r="B179" s="25" t="s">
        <v>36</v>
      </c>
      <c r="C179" s="26"/>
      <c r="D179" s="27"/>
      <c r="E179" s="27"/>
      <c r="F179" s="27"/>
      <c r="G179" s="27"/>
      <c r="H179" s="26"/>
      <c r="I179" s="26"/>
      <c r="J179" s="22">
        <f>0.13*G175*28</f>
        <v>10.513841233770192</v>
      </c>
      <c r="K179" s="26"/>
    </row>
    <row r="180" spans="1:11" x14ac:dyDescent="0.25">
      <c r="A180" s="24"/>
      <c r="B180" s="25"/>
      <c r="C180" s="26"/>
      <c r="D180" s="27"/>
      <c r="E180" s="27"/>
      <c r="F180" s="27"/>
      <c r="G180" s="27"/>
      <c r="H180" s="26"/>
      <c r="I180" s="26"/>
      <c r="J180" s="22"/>
      <c r="K180" s="26"/>
    </row>
    <row r="181" spans="1:11" ht="30" x14ac:dyDescent="0.25">
      <c r="A181" s="24">
        <v>14</v>
      </c>
      <c r="B181" s="28" t="s">
        <v>102</v>
      </c>
      <c r="C181" s="26"/>
      <c r="D181" s="26"/>
      <c r="E181" s="26"/>
      <c r="F181" s="26"/>
      <c r="G181" s="26"/>
      <c r="H181" s="26"/>
      <c r="I181" s="26"/>
      <c r="J181" s="26"/>
      <c r="K181" s="26"/>
    </row>
    <row r="182" spans="1:11" x14ac:dyDescent="0.25">
      <c r="A182" s="26"/>
      <c r="B182" s="25" t="str">
        <f>B161</f>
        <v>-for cantilever</v>
      </c>
      <c r="C182" s="52">
        <f t="shared" ref="C182" si="28">C161</f>
        <v>2</v>
      </c>
      <c r="D182" s="53">
        <f>Sheet1!H4+0.6*2</f>
        <v>5.4669917708015845</v>
      </c>
      <c r="E182" s="53"/>
      <c r="F182" s="53"/>
      <c r="G182" s="27">
        <f>PRODUCT(C182:F182)</f>
        <v>10.933983541603169</v>
      </c>
      <c r="H182" s="26"/>
      <c r="I182" s="26"/>
      <c r="J182" s="26"/>
      <c r="K182" s="26"/>
    </row>
    <row r="183" spans="1:11" x14ac:dyDescent="0.25">
      <c r="A183" s="26"/>
      <c r="B183" s="25"/>
      <c r="C183" s="52">
        <f t="shared" ref="C183" si="29">C162</f>
        <v>2</v>
      </c>
      <c r="D183" s="53">
        <f>Sheet1!H4+0.6*2</f>
        <v>5.4669917708015845</v>
      </c>
      <c r="E183" s="53"/>
      <c r="F183" s="53"/>
      <c r="G183" s="27">
        <f t="shared" ref="G183:G185" si="30">PRODUCT(C183:F183)</f>
        <v>10.933983541603169</v>
      </c>
      <c r="H183" s="26"/>
      <c r="I183" s="26"/>
      <c r="J183" s="26"/>
      <c r="K183" s="26"/>
    </row>
    <row r="184" spans="1:11" x14ac:dyDescent="0.25">
      <c r="A184" s="26"/>
      <c r="B184" s="25" t="str">
        <f t="shared" ref="B184:C184" si="31">B164</f>
        <v>-for cantilever</v>
      </c>
      <c r="C184" s="52">
        <f t="shared" si="31"/>
        <v>2</v>
      </c>
      <c r="D184" s="53">
        <f>(8+1.75*2)/3.281</f>
        <v>3.5050289545870159</v>
      </c>
      <c r="E184" s="53"/>
      <c r="F184" s="53"/>
      <c r="G184" s="27">
        <f t="shared" si="30"/>
        <v>7.0100579091740318</v>
      </c>
      <c r="H184" s="26"/>
      <c r="I184" s="26"/>
      <c r="J184" s="26"/>
      <c r="K184" s="26"/>
    </row>
    <row r="185" spans="1:11" x14ac:dyDescent="0.25">
      <c r="A185" s="26"/>
      <c r="B185" s="25"/>
      <c r="C185" s="52">
        <f t="shared" ref="C185" si="32">C165</f>
        <v>2</v>
      </c>
      <c r="D185" s="53">
        <f>(8+1.75*2)/3.281</f>
        <v>3.5050289545870159</v>
      </c>
      <c r="E185" s="53"/>
      <c r="F185" s="53"/>
      <c r="G185" s="27">
        <f t="shared" si="30"/>
        <v>7.0100579091740318</v>
      </c>
      <c r="H185" s="26"/>
      <c r="I185" s="26"/>
      <c r="J185" s="26"/>
      <c r="K185" s="26"/>
    </row>
    <row r="186" spans="1:11" ht="15" customHeight="1" x14ac:dyDescent="0.25">
      <c r="A186" s="17"/>
      <c r="B186" s="18" t="s">
        <v>16</v>
      </c>
      <c r="C186" s="19"/>
      <c r="D186" s="1"/>
      <c r="E186" s="20"/>
      <c r="F186" s="20"/>
      <c r="G186" s="2">
        <f>SUM(G182:G185)</f>
        <v>35.888082901554398</v>
      </c>
      <c r="H186" s="21" t="s">
        <v>104</v>
      </c>
      <c r="I186" s="2">
        <v>144.41</v>
      </c>
      <c r="J186" s="22">
        <f>G186*I186</f>
        <v>5182.5980518134702</v>
      </c>
      <c r="K186" s="20"/>
    </row>
    <row r="187" spans="1:11" x14ac:dyDescent="0.25">
      <c r="A187" s="24"/>
      <c r="B187" s="25" t="s">
        <v>32</v>
      </c>
      <c r="C187" s="26"/>
      <c r="D187" s="27"/>
      <c r="E187" s="27"/>
      <c r="F187" s="27"/>
      <c r="G187" s="27"/>
      <c r="H187" s="26"/>
      <c r="I187" s="26"/>
      <c r="J187" s="22">
        <f>0.13*G186*91.21</f>
        <v>425.53576538860091</v>
      </c>
      <c r="K187" s="26"/>
    </row>
    <row r="188" spans="1:11" x14ac:dyDescent="0.25">
      <c r="A188" s="24"/>
      <c r="B188" s="25" t="s">
        <v>31</v>
      </c>
      <c r="C188" s="26"/>
      <c r="D188" s="27"/>
      <c r="E188" s="27"/>
      <c r="F188" s="27"/>
      <c r="G188" s="27"/>
      <c r="H188" s="26"/>
      <c r="I188" s="26"/>
      <c r="J188" s="22">
        <f>0.13*G186*12.71</f>
        <v>59.297879378238335</v>
      </c>
      <c r="K188" s="26"/>
    </row>
    <row r="189" spans="1:11" x14ac:dyDescent="0.25">
      <c r="A189" s="24"/>
      <c r="B189" s="25" t="s">
        <v>103</v>
      </c>
      <c r="C189" s="26"/>
      <c r="D189" s="27"/>
      <c r="E189" s="27"/>
      <c r="F189" s="27"/>
      <c r="G189" s="27"/>
      <c r="H189" s="26"/>
      <c r="I189" s="26"/>
      <c r="J189" s="22">
        <f>0.13*G186*0.02</f>
        <v>9.3309015544041432E-2</v>
      </c>
      <c r="K189" s="26"/>
    </row>
    <row r="190" spans="1:11" x14ac:dyDescent="0.25">
      <c r="A190" s="24"/>
      <c r="B190" s="25"/>
      <c r="C190" s="26"/>
      <c r="D190" s="27"/>
      <c r="E190" s="27"/>
      <c r="F190" s="27"/>
      <c r="G190" s="27"/>
      <c r="H190" s="26"/>
      <c r="I190" s="26"/>
      <c r="J190" s="22"/>
      <c r="K190" s="26"/>
    </row>
    <row r="191" spans="1:11" ht="15" customHeight="1" x14ac:dyDescent="0.25">
      <c r="A191" s="17">
        <v>15</v>
      </c>
      <c r="B191" s="30" t="s">
        <v>76</v>
      </c>
      <c r="C191" s="19">
        <v>1</v>
      </c>
      <c r="D191" s="1"/>
      <c r="E191" s="20"/>
      <c r="F191" s="20"/>
      <c r="G191" s="21">
        <f t="shared" ref="G191" si="33">PRODUCT(C191:F191)</f>
        <v>1</v>
      </c>
      <c r="H191" s="21" t="s">
        <v>30</v>
      </c>
      <c r="I191" s="2">
        <v>5000</v>
      </c>
      <c r="J191" s="21">
        <f>G191*I191</f>
        <v>5000</v>
      </c>
      <c r="K191" s="20"/>
    </row>
    <row r="192" spans="1:11" x14ac:dyDescent="0.25">
      <c r="A192" s="17"/>
      <c r="B192" s="31"/>
      <c r="C192" s="19"/>
      <c r="D192" s="1"/>
      <c r="E192" s="20"/>
      <c r="F192" s="20"/>
      <c r="G192" s="2"/>
      <c r="H192" s="21"/>
      <c r="I192" s="2"/>
      <c r="J192" s="22"/>
      <c r="K192" s="20"/>
    </row>
    <row r="193" spans="1:11" ht="15" customHeight="1" x14ac:dyDescent="0.25">
      <c r="A193" s="17">
        <v>16</v>
      </c>
      <c r="B193" s="30" t="s">
        <v>17</v>
      </c>
      <c r="C193" s="19">
        <v>1</v>
      </c>
      <c r="D193" s="1"/>
      <c r="E193" s="20"/>
      <c r="F193" s="20"/>
      <c r="G193" s="21">
        <f t="shared" ref="G193" si="34">PRODUCT(C193:F193)</f>
        <v>1</v>
      </c>
      <c r="H193" s="21" t="s">
        <v>18</v>
      </c>
      <c r="I193" s="2">
        <v>500</v>
      </c>
      <c r="J193" s="21">
        <f>G193*I193</f>
        <v>500</v>
      </c>
      <c r="K193" s="20"/>
    </row>
    <row r="194" spans="1:11" x14ac:dyDescent="0.25">
      <c r="A194" s="17"/>
      <c r="B194" s="31"/>
      <c r="C194" s="19"/>
      <c r="D194" s="1"/>
      <c r="E194" s="20"/>
      <c r="F194" s="20"/>
      <c r="G194" s="2"/>
      <c r="H194" s="21"/>
      <c r="I194" s="2"/>
      <c r="J194" s="22"/>
      <c r="K194" s="20"/>
    </row>
    <row r="195" spans="1:11" x14ac:dyDescent="0.25">
      <c r="A195" s="32"/>
      <c r="B195" s="33" t="s">
        <v>20</v>
      </c>
      <c r="C195" s="34"/>
      <c r="D195" s="35"/>
      <c r="E195" s="35"/>
      <c r="F195" s="35"/>
      <c r="G195" s="22"/>
      <c r="H195" s="22"/>
      <c r="I195" s="22"/>
      <c r="J195" s="22">
        <f>SUM(J9:J193)</f>
        <v>783511.5632557295</v>
      </c>
      <c r="K195" s="36"/>
    </row>
    <row r="197" spans="1:11" s="44" customFormat="1" x14ac:dyDescent="0.25">
      <c r="A197" s="37"/>
      <c r="B197" s="38" t="s">
        <v>19</v>
      </c>
      <c r="C197" s="56">
        <f>J195</f>
        <v>783511.5632557295</v>
      </c>
      <c r="D197" s="57"/>
      <c r="E197" s="39">
        <v>100</v>
      </c>
      <c r="F197" s="37"/>
      <c r="G197" s="40"/>
      <c r="H197" s="37"/>
      <c r="I197" s="41"/>
      <c r="J197" s="42"/>
      <c r="K197" s="43"/>
    </row>
    <row r="198" spans="1:11" x14ac:dyDescent="0.25">
      <c r="B198" s="38" t="s">
        <v>21</v>
      </c>
      <c r="C198" s="60">
        <v>700000</v>
      </c>
      <c r="D198" s="61"/>
      <c r="E198" s="39"/>
    </row>
    <row r="199" spans="1:11" x14ac:dyDescent="0.25">
      <c r="B199" s="38" t="s">
        <v>22</v>
      </c>
      <c r="C199" s="60">
        <f>C198-C201-C202</f>
        <v>665000</v>
      </c>
      <c r="D199" s="61"/>
      <c r="E199" s="39">
        <f>C199/C197*100</f>
        <v>84.874305777533408</v>
      </c>
    </row>
    <row r="200" spans="1:11" x14ac:dyDescent="0.25">
      <c r="B200" s="38" t="s">
        <v>26</v>
      </c>
      <c r="C200" s="62">
        <f>C197-C199</f>
        <v>118511.5632557295</v>
      </c>
      <c r="D200" s="62"/>
      <c r="E200" s="39">
        <f>100-E199</f>
        <v>15.125694222466592</v>
      </c>
    </row>
    <row r="201" spans="1:11" x14ac:dyDescent="0.25">
      <c r="B201" s="38" t="s">
        <v>23</v>
      </c>
      <c r="C201" s="56">
        <f>C198*0.03</f>
        <v>21000</v>
      </c>
      <c r="D201" s="57"/>
      <c r="E201" s="39">
        <v>3</v>
      </c>
    </row>
    <row r="202" spans="1:11" x14ac:dyDescent="0.25">
      <c r="B202" s="38" t="s">
        <v>24</v>
      </c>
      <c r="C202" s="56">
        <f>C198*0.02</f>
        <v>14000</v>
      </c>
      <c r="D202" s="57"/>
      <c r="E202" s="39">
        <v>2</v>
      </c>
    </row>
  </sheetData>
  <mergeCells count="15">
    <mergeCell ref="A6:F6"/>
    <mergeCell ref="H6:K6"/>
    <mergeCell ref="A1:K1"/>
    <mergeCell ref="A2:K2"/>
    <mergeCell ref="A3:K3"/>
    <mergeCell ref="A4:K4"/>
    <mergeCell ref="A5:K5"/>
    <mergeCell ref="C201:D201"/>
    <mergeCell ref="C202:D202"/>
    <mergeCell ref="A7:F7"/>
    <mergeCell ref="H7:K7"/>
    <mergeCell ref="C197:D197"/>
    <mergeCell ref="C198:D198"/>
    <mergeCell ref="C199:D199"/>
    <mergeCell ref="C200:D200"/>
  </mergeCells>
  <pageMargins left="0.7" right="0.7" top="0.75" bottom="0.75" header="0.3" footer="0.3"/>
  <pageSetup scale="80" orientation="portrait" r:id="rId1"/>
  <headerFooter>
    <oddFooter>&amp;LPrepared By:&amp;CChecked By:&amp;RApproved By:</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W4"/>
  <sheetViews>
    <sheetView workbookViewId="0">
      <selection activeCell="R4" sqref="R4"/>
    </sheetView>
  </sheetViews>
  <sheetFormatPr defaultRowHeight="15" x14ac:dyDescent="0.25"/>
  <cols>
    <col min="2" max="2" width="7" bestFit="1" customWidth="1"/>
    <col min="3" max="3" width="8" bestFit="1" customWidth="1"/>
    <col min="4" max="4" width="8.28515625" customWidth="1"/>
    <col min="5" max="5" width="9.7109375" customWidth="1"/>
    <col min="6" max="6" width="10" customWidth="1"/>
    <col min="7" max="7" width="6.42578125" bestFit="1" customWidth="1"/>
    <col min="8" max="8" width="7" bestFit="1" customWidth="1"/>
    <col min="9" max="9" width="8" bestFit="1" customWidth="1"/>
    <col min="10" max="10" width="8.140625" customWidth="1"/>
    <col min="12" max="12" width="6.28515625" bestFit="1" customWidth="1"/>
    <col min="14" max="14" width="6.28515625" bestFit="1" customWidth="1"/>
    <col min="16" max="16" width="8.85546875" customWidth="1"/>
    <col min="17" max="17" width="11.85546875" customWidth="1"/>
    <col min="18" max="18" width="7" bestFit="1" customWidth="1"/>
    <col min="19" max="19" width="6.42578125" bestFit="1" customWidth="1"/>
    <col min="20" max="20" width="6.85546875" bestFit="1" customWidth="1"/>
    <col min="21" max="21" width="7" bestFit="1" customWidth="1"/>
    <col min="22" max="22" width="6.42578125" bestFit="1" customWidth="1"/>
    <col min="23" max="23" width="6.85546875" bestFit="1" customWidth="1"/>
  </cols>
  <sheetData>
    <row r="2" spans="2:23" x14ac:dyDescent="0.25">
      <c r="B2" s="73" t="s">
        <v>80</v>
      </c>
      <c r="C2" s="73"/>
      <c r="D2" s="73"/>
      <c r="E2" s="73" t="s">
        <v>84</v>
      </c>
      <c r="F2" s="73"/>
      <c r="G2" s="73"/>
      <c r="H2" s="74" t="s">
        <v>81</v>
      </c>
      <c r="I2" s="74"/>
      <c r="J2" s="74"/>
      <c r="K2" s="70" t="s">
        <v>87</v>
      </c>
      <c r="L2" s="71"/>
      <c r="M2" s="71"/>
      <c r="N2" s="72"/>
      <c r="O2" s="70" t="s">
        <v>94</v>
      </c>
      <c r="P2" s="71"/>
      <c r="Q2" s="72"/>
      <c r="R2" s="69" t="s">
        <v>92</v>
      </c>
      <c r="S2" s="69"/>
      <c r="T2" s="69"/>
      <c r="U2" s="69" t="s">
        <v>92</v>
      </c>
      <c r="V2" s="69"/>
      <c r="W2" s="69"/>
    </row>
    <row r="3" spans="2:23" s="48" customFormat="1" ht="45" x14ac:dyDescent="0.25">
      <c r="B3" s="47" t="s">
        <v>8</v>
      </c>
      <c r="C3" s="47" t="s">
        <v>9</v>
      </c>
      <c r="D3" s="47" t="s">
        <v>83</v>
      </c>
      <c r="E3" s="47" t="s">
        <v>85</v>
      </c>
      <c r="F3" s="47" t="s">
        <v>86</v>
      </c>
      <c r="G3" s="47" t="s">
        <v>82</v>
      </c>
      <c r="H3" s="47" t="s">
        <v>8</v>
      </c>
      <c r="I3" s="47" t="s">
        <v>9</v>
      </c>
      <c r="J3" s="47" t="s">
        <v>83</v>
      </c>
      <c r="K3" s="47" t="s">
        <v>88</v>
      </c>
      <c r="L3" s="47" t="s">
        <v>90</v>
      </c>
      <c r="M3" s="47" t="s">
        <v>89</v>
      </c>
      <c r="N3" s="47" t="s">
        <v>91</v>
      </c>
      <c r="O3" s="47" t="s">
        <v>95</v>
      </c>
      <c r="P3" s="47" t="s">
        <v>97</v>
      </c>
      <c r="Q3" s="47" t="s">
        <v>96</v>
      </c>
      <c r="R3" s="47" t="s">
        <v>8</v>
      </c>
      <c r="S3" s="47" t="s">
        <v>93</v>
      </c>
      <c r="T3" s="47" t="s">
        <v>10</v>
      </c>
      <c r="U3" s="47" t="s">
        <v>8</v>
      </c>
      <c r="V3" s="47" t="s">
        <v>93</v>
      </c>
      <c r="W3" s="47" t="s">
        <v>10</v>
      </c>
    </row>
    <row r="4" spans="2:23" x14ac:dyDescent="0.25">
      <c r="B4" s="23">
        <v>1.5</v>
      </c>
      <c r="C4" s="23">
        <v>1.5</v>
      </c>
      <c r="D4" s="23">
        <v>1.5</v>
      </c>
      <c r="E4" s="23">
        <f>3.083/3.281</f>
        <v>0.93965254495580619</v>
      </c>
      <c r="F4" s="23">
        <f>3.083/3.281</f>
        <v>0.93965254495580619</v>
      </c>
      <c r="G4" s="23">
        <v>0.35</v>
      </c>
      <c r="H4" s="23">
        <f>14/3.281</f>
        <v>4.2669917708015843</v>
      </c>
      <c r="I4" s="23">
        <f>14/3.281</f>
        <v>4.2669917708015843</v>
      </c>
      <c r="J4" s="23">
        <v>0.45</v>
      </c>
      <c r="K4" s="23">
        <f>H4-E4*2</f>
        <v>2.3876866808899719</v>
      </c>
      <c r="L4" s="23">
        <f>0.5-0.055-0.075+J4</f>
        <v>0.82000000000000006</v>
      </c>
      <c r="M4" s="23">
        <f>E4-1.17/3.281</f>
        <v>0.5830539469673881</v>
      </c>
      <c r="N4" s="23">
        <f>D4-G4+J4</f>
        <v>1.5999999999999999</v>
      </c>
      <c r="O4" s="23">
        <v>0.35</v>
      </c>
      <c r="P4" s="23">
        <f>D4-G4+J4-T4</f>
        <v>1.3699999999999999</v>
      </c>
      <c r="Q4" s="23">
        <f>(10.5-0.42)/3.281</f>
        <v>3.0722340749771408</v>
      </c>
      <c r="R4" s="3">
        <f>H4-O4*2</f>
        <v>3.5669917708015841</v>
      </c>
      <c r="S4" s="3">
        <v>0.23</v>
      </c>
      <c r="T4" s="3">
        <v>0.23</v>
      </c>
      <c r="U4" s="3">
        <f>K4-R4*2</f>
        <v>-4.7462968607131959</v>
      </c>
      <c r="V4" s="3">
        <v>0.23</v>
      </c>
      <c r="W4" s="3">
        <v>0.35</v>
      </c>
    </row>
  </sheetData>
  <mergeCells count="7">
    <mergeCell ref="R2:T2"/>
    <mergeCell ref="K2:N2"/>
    <mergeCell ref="O2:Q2"/>
    <mergeCell ref="U2:W2"/>
    <mergeCell ref="B2:D2"/>
    <mergeCell ref="H2:J2"/>
    <mergeCell ref="E2:G2"/>
  </mergeCells>
  <phoneticPr fontId="1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bhotange chihaanpaati</vt:lpstr>
      <vt:lpstr>chihaan</vt:lpstr>
      <vt:lpstr>Sheet1</vt:lpstr>
      <vt:lpstr>'bhotange chihaanpaati'!Print_Area</vt:lpstr>
      <vt:lpstr>chihaan!Print_Area</vt:lpstr>
      <vt:lpstr>'bhotange chihaanpaati'!Print_Titles</vt:lpstr>
      <vt:lpstr>chihaan!Print_Titles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2026-02-17T09:26:24Z</dcterms:modified>
</cp:coreProperties>
</file>