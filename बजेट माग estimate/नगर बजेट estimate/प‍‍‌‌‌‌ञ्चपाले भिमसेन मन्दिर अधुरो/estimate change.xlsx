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defaultThemeVersion="124226"/>
  <xr:revisionPtr revIDLastSave="0" documentId="13_ncr:1_{5217E88E-76E1-416F-9BF2-9C5B0D975D05}" xr6:coauthVersionLast="47" xr6:coauthVersionMax="47" xr10:uidLastSave="{00000000-0000-0000-0000-000000000000}"/>
  <bookViews>
    <workbookView xWindow="0" yWindow="0" windowWidth="11955" windowHeight="10905" firstSheet="3" activeTab="6" xr2:uid="{00000000-000D-0000-FFFF-FFFF00000000}"/>
  </bookViews>
  <sheets>
    <sheet name="initial 2 storey" sheetId="14" state="hidden" r:id="rId1"/>
    <sheet name="Sheet1" sheetId="16" state="hidden" r:id="rId2"/>
    <sheet name="2.5' ht" sheetId="17" state="hidden" r:id="rId3"/>
    <sheet name="total slope" sheetId="18" r:id="rId4"/>
    <sheet name="WCR" sheetId="21" r:id="rId5"/>
    <sheet name="V" sheetId="20" r:id="rId6"/>
    <sheet name="M" sheetId="23" r:id="rId7"/>
    <sheet name="2.667'column height" sheetId="19" state="hidden" r:id="rId8"/>
  </sheets>
  <externalReferences>
    <externalReference r:id="rId9"/>
    <externalReference r:id="rId10"/>
    <externalReference r:id="rId11"/>
    <externalReference r:id="rId12"/>
    <externalReference r:id="rId13"/>
    <externalReference r:id="rId14"/>
    <externalReference r:id="rId15"/>
  </externalReferences>
  <definedNames>
    <definedName name="description_103">[1]Abstract!$B$16</definedName>
    <definedName name="description_124" localSheetId="2">#REF!</definedName>
    <definedName name="description_124" localSheetId="7">#REF!</definedName>
    <definedName name="description_124" localSheetId="6">#REF!</definedName>
    <definedName name="description_124" localSheetId="3">#REF!</definedName>
    <definedName name="description_124" localSheetId="5">#REF!</definedName>
    <definedName name="description_124" localSheetId="4">#REF!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2">#REF!</definedName>
    <definedName name="description_310" localSheetId="7">#REF!</definedName>
    <definedName name="description_310" localSheetId="6">#REF!</definedName>
    <definedName name="description_310" localSheetId="3">#REF!</definedName>
    <definedName name="description_310" localSheetId="5">#REF!</definedName>
    <definedName name="description_310" localSheetId="4">[4]Abstract!$B$60</definedName>
    <definedName name="description_310">#REF!</definedName>
    <definedName name="description_312" localSheetId="2">#REF!</definedName>
    <definedName name="description_312" localSheetId="7">#REF!</definedName>
    <definedName name="description_312" localSheetId="6">#REF!</definedName>
    <definedName name="description_312" localSheetId="3">#REF!</definedName>
    <definedName name="description_312" localSheetId="5">#REF!</definedName>
    <definedName name="description_312" localSheetId="4">[5]Abstract!$B$61</definedName>
    <definedName name="description_312">#REF!</definedName>
    <definedName name="description_5">[1]Abstract!$B$171</definedName>
    <definedName name="description_6" localSheetId="2">#REF!</definedName>
    <definedName name="description_6" localSheetId="7">#REF!</definedName>
    <definedName name="description_6" localSheetId="6">#REF!</definedName>
    <definedName name="description_6" localSheetId="3">#REF!</definedName>
    <definedName name="description_6" localSheetId="5">#REF!</definedName>
    <definedName name="description_6" localSheetId="4">[4]Abstract!$B$172</definedName>
    <definedName name="description_6">#REF!</definedName>
    <definedName name="description_759">[1]Abstract!$B$278</definedName>
    <definedName name="description_781" localSheetId="2">#REF!</definedName>
    <definedName name="description_781" localSheetId="7">#REF!</definedName>
    <definedName name="description_781" localSheetId="6">#REF!</definedName>
    <definedName name="description_781" localSheetId="3">#REF!</definedName>
    <definedName name="description_781" localSheetId="5">#REF!</definedName>
    <definedName name="description_781" localSheetId="4">[6]Abstract!$B$299</definedName>
    <definedName name="description_781">#REF!</definedName>
    <definedName name="description_783">[1]Abstract!$B$301</definedName>
    <definedName name="description_784">[3]Abstract!$B$300</definedName>
    <definedName name="_xlnm.Print_Area" localSheetId="2">'2.5'' ht'!$A$1:$K$193</definedName>
    <definedName name="_xlnm.Print_Area" localSheetId="7">'2.667''column height'!$A$1:$K$193</definedName>
    <definedName name="_xlnm.Print_Area" localSheetId="0">'initial 2 storey'!$A$1:$K$152</definedName>
    <definedName name="_xlnm.Print_Area" localSheetId="6">M!$A$1:$K$213</definedName>
    <definedName name="_xlnm.Print_Area" localSheetId="3">'total slope'!$A$1:$K$199</definedName>
    <definedName name="_xlnm.Print_Area" localSheetId="5">V!$A$1:$K$213</definedName>
    <definedName name="_xlnm.Print_Area" localSheetId="4">WCR!$A$1:$K$101</definedName>
    <definedName name="_xlnm.Print_Titles" localSheetId="2">'2.5'' ht'!$1:$8</definedName>
    <definedName name="_xlnm.Print_Titles" localSheetId="7">'2.667''column height'!$1:$8</definedName>
    <definedName name="_xlnm.Print_Titles" localSheetId="0">'initial 2 storey'!$1:$8</definedName>
    <definedName name="_xlnm.Print_Titles" localSheetId="6">M!$1:$8</definedName>
    <definedName name="_xlnm.Print_Titles" localSheetId="3">'total slope'!$1:$8</definedName>
    <definedName name="_xlnm.Print_Titles" localSheetId="5">V!$1:$8</definedName>
    <definedName name="_xlnm.Print_Titles" localSheetId="4">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3" i="23" l="1"/>
  <c r="C212" i="23"/>
  <c r="G204" i="23"/>
  <c r="J204" i="23" s="1"/>
  <c r="C204" i="23"/>
  <c r="C202" i="23"/>
  <c r="G202" i="23" s="1"/>
  <c r="J202" i="23" s="1"/>
  <c r="D197" i="23"/>
  <c r="C197" i="23"/>
  <c r="F197" i="23" s="1"/>
  <c r="G197" i="23" s="1"/>
  <c r="F196" i="23"/>
  <c r="G196" i="23" s="1"/>
  <c r="G198" i="23" s="1"/>
  <c r="D196" i="23"/>
  <c r="C196" i="23"/>
  <c r="C191" i="23"/>
  <c r="C186" i="23"/>
  <c r="G185" i="23"/>
  <c r="F185" i="23"/>
  <c r="D185" i="23"/>
  <c r="C185" i="23"/>
  <c r="D180" i="23"/>
  <c r="G180" i="23" s="1"/>
  <c r="D179" i="23"/>
  <c r="G179" i="23" s="1"/>
  <c r="G181" i="23" s="1"/>
  <c r="D172" i="23"/>
  <c r="C166" i="23"/>
  <c r="F158" i="23"/>
  <c r="C158" i="23"/>
  <c r="B158" i="23"/>
  <c r="G157" i="23"/>
  <c r="F157" i="23"/>
  <c r="D157" i="23"/>
  <c r="C157" i="23"/>
  <c r="D151" i="23"/>
  <c r="D120" i="23" s="1"/>
  <c r="B149" i="23"/>
  <c r="B118" i="23" s="1"/>
  <c r="D148" i="23"/>
  <c r="D117" i="23" s="1"/>
  <c r="C148" i="23"/>
  <c r="B148" i="23"/>
  <c r="B117" i="23" s="1"/>
  <c r="C147" i="23"/>
  <c r="C146" i="23"/>
  <c r="F145" i="23"/>
  <c r="D145" i="23"/>
  <c r="C145" i="23"/>
  <c r="G145" i="23" s="1"/>
  <c r="B145" i="23"/>
  <c r="F144" i="23"/>
  <c r="D144" i="23"/>
  <c r="D158" i="23" s="1"/>
  <c r="C144" i="23"/>
  <c r="G144" i="23" s="1"/>
  <c r="B144" i="23"/>
  <c r="G143" i="23"/>
  <c r="F143" i="23"/>
  <c r="D143" i="23"/>
  <c r="C143" i="23"/>
  <c r="G142" i="23"/>
  <c r="F142" i="23"/>
  <c r="D142" i="23"/>
  <c r="C142" i="23"/>
  <c r="B142" i="23"/>
  <c r="I135" i="23"/>
  <c r="E134" i="23"/>
  <c r="E133" i="23"/>
  <c r="D133" i="23"/>
  <c r="F132" i="23"/>
  <c r="E132" i="23"/>
  <c r="D132" i="23"/>
  <c r="F131" i="23"/>
  <c r="F186" i="23" s="1"/>
  <c r="D131" i="23"/>
  <c r="D186" i="23" s="1"/>
  <c r="G186" i="23" s="1"/>
  <c r="G130" i="23"/>
  <c r="F130" i="23"/>
  <c r="M129" i="23"/>
  <c r="F129" i="23"/>
  <c r="D129" i="23"/>
  <c r="G129" i="23" s="1"/>
  <c r="Q128" i="23"/>
  <c r="P128" i="23"/>
  <c r="O128" i="23"/>
  <c r="N128" i="23"/>
  <c r="M128" i="23"/>
  <c r="F128" i="23"/>
  <c r="G128" i="23" s="1"/>
  <c r="D128" i="23"/>
  <c r="E123" i="23"/>
  <c r="D123" i="23"/>
  <c r="E122" i="23"/>
  <c r="B122" i="23"/>
  <c r="C121" i="23"/>
  <c r="B119" i="23"/>
  <c r="E106" i="23"/>
  <c r="D106" i="23"/>
  <c r="G106" i="23" s="1"/>
  <c r="G107" i="23" s="1"/>
  <c r="C106" i="23"/>
  <c r="G99" i="23"/>
  <c r="D99" i="23"/>
  <c r="C99" i="23"/>
  <c r="C123" i="23" s="1"/>
  <c r="G123" i="23" s="1"/>
  <c r="D98" i="23"/>
  <c r="D122" i="23" s="1"/>
  <c r="C98" i="23"/>
  <c r="G98" i="23" s="1"/>
  <c r="G100" i="23" s="1"/>
  <c r="G92" i="23"/>
  <c r="F92" i="23"/>
  <c r="E92" i="23"/>
  <c r="D92" i="23"/>
  <c r="C92" i="23"/>
  <c r="E91" i="23"/>
  <c r="D91" i="23"/>
  <c r="C91" i="23"/>
  <c r="F91" i="23" s="1"/>
  <c r="G91" i="23" s="1"/>
  <c r="E90" i="23"/>
  <c r="D90" i="23"/>
  <c r="C90" i="23"/>
  <c r="F90" i="23" s="1"/>
  <c r="G90" i="23" s="1"/>
  <c r="E89" i="23"/>
  <c r="C89" i="23"/>
  <c r="F89" i="23" s="1"/>
  <c r="G89" i="23" s="1"/>
  <c r="F88" i="23"/>
  <c r="G88" i="23" s="1"/>
  <c r="E88" i="23"/>
  <c r="D88" i="23"/>
  <c r="C88" i="23"/>
  <c r="G87" i="23"/>
  <c r="F87" i="23"/>
  <c r="E87" i="23"/>
  <c r="D87" i="23"/>
  <c r="C87" i="23"/>
  <c r="E86" i="23"/>
  <c r="D86" i="23"/>
  <c r="F86" i="23" s="1"/>
  <c r="G86" i="23" s="1"/>
  <c r="C86" i="23"/>
  <c r="F85" i="23"/>
  <c r="G85" i="23" s="1"/>
  <c r="E85" i="23"/>
  <c r="D85" i="23"/>
  <c r="C85" i="23"/>
  <c r="E84" i="23"/>
  <c r="D84" i="23"/>
  <c r="C84" i="23"/>
  <c r="F84" i="23" s="1"/>
  <c r="G84" i="23" s="1"/>
  <c r="E83" i="23"/>
  <c r="D83" i="23"/>
  <c r="C83" i="23"/>
  <c r="F83" i="23" s="1"/>
  <c r="G83" i="23" s="1"/>
  <c r="E82" i="23"/>
  <c r="D82" i="23"/>
  <c r="C82" i="23"/>
  <c r="F82" i="23" s="1"/>
  <c r="G82" i="23" s="1"/>
  <c r="E81" i="23"/>
  <c r="D81" i="23"/>
  <c r="C81" i="23"/>
  <c r="F81" i="23" s="1"/>
  <c r="G81" i="23" s="1"/>
  <c r="B81" i="23"/>
  <c r="G80" i="23"/>
  <c r="F80" i="23"/>
  <c r="E80" i="23"/>
  <c r="D80" i="23"/>
  <c r="C80" i="23"/>
  <c r="E79" i="23"/>
  <c r="D79" i="23"/>
  <c r="F79" i="23" s="1"/>
  <c r="G79" i="23" s="1"/>
  <c r="C79" i="23"/>
  <c r="F78" i="23"/>
  <c r="G78" i="23" s="1"/>
  <c r="E78" i="23"/>
  <c r="D78" i="23"/>
  <c r="C78" i="23"/>
  <c r="E77" i="23"/>
  <c r="D77" i="23"/>
  <c r="F77" i="23" s="1"/>
  <c r="G77" i="23" s="1"/>
  <c r="C77" i="23"/>
  <c r="B77" i="23"/>
  <c r="E76" i="23"/>
  <c r="D76" i="23"/>
  <c r="C76" i="23"/>
  <c r="F76" i="23" s="1"/>
  <c r="G76" i="23" s="1"/>
  <c r="E75" i="23"/>
  <c r="D75" i="23"/>
  <c r="C75" i="23"/>
  <c r="F75" i="23" s="1"/>
  <c r="G75" i="23" s="1"/>
  <c r="E74" i="23"/>
  <c r="D74" i="23"/>
  <c r="C74" i="23"/>
  <c r="F74" i="23" s="1"/>
  <c r="G74" i="23" s="1"/>
  <c r="E73" i="23"/>
  <c r="D73" i="23"/>
  <c r="C73" i="23"/>
  <c r="F73" i="23" s="1"/>
  <c r="G73" i="23" s="1"/>
  <c r="E72" i="23"/>
  <c r="D72" i="23"/>
  <c r="C72" i="23"/>
  <c r="F72" i="23" s="1"/>
  <c r="G72" i="23" s="1"/>
  <c r="B72" i="23"/>
  <c r="G71" i="23"/>
  <c r="F71" i="23"/>
  <c r="E71" i="23"/>
  <c r="D71" i="23"/>
  <c r="C71" i="23"/>
  <c r="E70" i="23"/>
  <c r="D70" i="23"/>
  <c r="F70" i="23" s="1"/>
  <c r="G70" i="23" s="1"/>
  <c r="C70" i="23"/>
  <c r="M69" i="23"/>
  <c r="G69" i="23"/>
  <c r="F69" i="23"/>
  <c r="E69" i="23"/>
  <c r="D69" i="23"/>
  <c r="C69" i="23"/>
  <c r="B69" i="23"/>
  <c r="E61" i="23"/>
  <c r="C61" i="23"/>
  <c r="D60" i="23"/>
  <c r="C60" i="23"/>
  <c r="B60" i="23"/>
  <c r="D59" i="23"/>
  <c r="C59" i="23"/>
  <c r="B59" i="23"/>
  <c r="E58" i="23"/>
  <c r="E147" i="23" s="1"/>
  <c r="C58" i="23"/>
  <c r="E57" i="23"/>
  <c r="D89" i="23" s="1"/>
  <c r="C57" i="23"/>
  <c r="B57" i="23"/>
  <c r="D56" i="23"/>
  <c r="G56" i="23" s="1"/>
  <c r="F55" i="23"/>
  <c r="C55" i="23"/>
  <c r="F54" i="23"/>
  <c r="D54" i="23"/>
  <c r="C54" i="23"/>
  <c r="G54" i="23" s="1"/>
  <c r="B54" i="23"/>
  <c r="B75" i="23" s="1"/>
  <c r="F53" i="23"/>
  <c r="D53" i="23"/>
  <c r="C53" i="23"/>
  <c r="G53" i="23" s="1"/>
  <c r="F52" i="23"/>
  <c r="C52" i="23"/>
  <c r="F51" i="23"/>
  <c r="C51" i="23"/>
  <c r="G51" i="23" s="1"/>
  <c r="B51" i="23"/>
  <c r="E41" i="23"/>
  <c r="D41" i="23"/>
  <c r="D61" i="23" s="1"/>
  <c r="G61" i="23" s="1"/>
  <c r="E40" i="23"/>
  <c r="G40" i="23" s="1"/>
  <c r="G39" i="23"/>
  <c r="F39" i="23"/>
  <c r="F59" i="23" s="1"/>
  <c r="G59" i="23" s="1"/>
  <c r="N38" i="23"/>
  <c r="M38" i="23"/>
  <c r="E38" i="23"/>
  <c r="D38" i="23"/>
  <c r="D58" i="23" s="1"/>
  <c r="O37" i="23"/>
  <c r="M37" i="23"/>
  <c r="N37" i="23" s="1"/>
  <c r="E37" i="23"/>
  <c r="D37" i="23"/>
  <c r="G37" i="23" s="1"/>
  <c r="G36" i="23"/>
  <c r="D36" i="23"/>
  <c r="D55" i="23" s="1"/>
  <c r="G55" i="23" s="1"/>
  <c r="D35" i="23"/>
  <c r="G35" i="23" s="1"/>
  <c r="D34" i="23"/>
  <c r="G34" i="23" s="1"/>
  <c r="D33" i="23"/>
  <c r="D52" i="23" s="1"/>
  <c r="G52" i="23" s="1"/>
  <c r="G32" i="23"/>
  <c r="D32" i="23"/>
  <c r="D51" i="23" s="1"/>
  <c r="G21" i="23"/>
  <c r="D21" i="23"/>
  <c r="G20" i="23"/>
  <c r="D20" i="23"/>
  <c r="C14" i="23"/>
  <c r="C133" i="23" s="1"/>
  <c r="B14" i="23"/>
  <c r="B22" i="23" s="1"/>
  <c r="R10" i="23"/>
  <c r="D150" i="23" s="1"/>
  <c r="D119" i="23" s="1"/>
  <c r="Q10" i="23"/>
  <c r="F151" i="23" s="1"/>
  <c r="F120" i="23" s="1"/>
  <c r="P10" i="23"/>
  <c r="F148" i="23" s="1"/>
  <c r="F117" i="23" s="1"/>
  <c r="N10" i="23"/>
  <c r="E121" i="23" s="1"/>
  <c r="M10" i="23"/>
  <c r="D121" i="23" s="1"/>
  <c r="G121" i="23" s="1"/>
  <c r="E10" i="23"/>
  <c r="E14" i="23" s="1"/>
  <c r="E22" i="23" s="1"/>
  <c r="D10" i="23"/>
  <c r="D14" i="23" s="1"/>
  <c r="C210" i="20"/>
  <c r="D180" i="20"/>
  <c r="G180" i="20"/>
  <c r="D179" i="20"/>
  <c r="G179" i="20" s="1"/>
  <c r="G181" i="20" s="1"/>
  <c r="D171" i="18"/>
  <c r="F171" i="18"/>
  <c r="G171" i="18" s="1"/>
  <c r="F172" i="18"/>
  <c r="D172" i="18"/>
  <c r="G172" i="18"/>
  <c r="G133" i="23" l="1"/>
  <c r="G158" i="23"/>
  <c r="G159" i="23" s="1"/>
  <c r="G147" i="23"/>
  <c r="D22" i="23"/>
  <c r="G14" i="23"/>
  <c r="G15" i="23" s="1"/>
  <c r="G58" i="23"/>
  <c r="D147" i="23"/>
  <c r="J112" i="23"/>
  <c r="J111" i="23"/>
  <c r="J110" i="23"/>
  <c r="J109" i="23"/>
  <c r="J108" i="23"/>
  <c r="J107" i="23"/>
  <c r="J113" i="23"/>
  <c r="J114" i="23"/>
  <c r="J200" i="23"/>
  <c r="J199" i="23"/>
  <c r="J198" i="23"/>
  <c r="G42" i="23"/>
  <c r="J182" i="23"/>
  <c r="J181" i="23"/>
  <c r="G148" i="23"/>
  <c r="G93" i="23"/>
  <c r="J102" i="23"/>
  <c r="J101" i="23"/>
  <c r="J100" i="23"/>
  <c r="J103" i="23"/>
  <c r="G187" i="23"/>
  <c r="G10" i="23"/>
  <c r="G11" i="23" s="1"/>
  <c r="J11" i="23" s="1"/>
  <c r="D57" i="23"/>
  <c r="D146" i="23" s="1"/>
  <c r="E146" i="23"/>
  <c r="C149" i="23"/>
  <c r="G33" i="23"/>
  <c r="G41" i="23"/>
  <c r="C122" i="23"/>
  <c r="G122" i="23" s="1"/>
  <c r="F133" i="23"/>
  <c r="D149" i="23"/>
  <c r="D118" i="23" s="1"/>
  <c r="C117" i="23"/>
  <c r="G117" i="23" s="1"/>
  <c r="F149" i="23"/>
  <c r="F118" i="23" s="1"/>
  <c r="E60" i="23"/>
  <c r="G60" i="23" s="1"/>
  <c r="C134" i="23"/>
  <c r="G38" i="23"/>
  <c r="G131" i="23"/>
  <c r="D134" i="23"/>
  <c r="C150" i="23"/>
  <c r="D191" i="23"/>
  <c r="G191" i="23" s="1"/>
  <c r="G192" i="23" s="1"/>
  <c r="J192" i="23" s="1"/>
  <c r="J193" i="23" s="1"/>
  <c r="C132" i="23"/>
  <c r="G132" i="23" s="1"/>
  <c r="F134" i="23"/>
  <c r="F150" i="23"/>
  <c r="F119" i="23" s="1"/>
  <c r="C22" i="23"/>
  <c r="G22" i="23" s="1"/>
  <c r="G23" i="23" s="1"/>
  <c r="J182" i="20"/>
  <c r="J181" i="20"/>
  <c r="J29" i="23" l="1"/>
  <c r="J28" i="23"/>
  <c r="J27" i="23"/>
  <c r="J26" i="23"/>
  <c r="J25" i="23"/>
  <c r="J24" i="23"/>
  <c r="J23" i="23"/>
  <c r="J163" i="23"/>
  <c r="J162" i="23"/>
  <c r="J161" i="23"/>
  <c r="J160" i="23"/>
  <c r="J159" i="23"/>
  <c r="J188" i="23"/>
  <c r="J187" i="23"/>
  <c r="J93" i="23"/>
  <c r="J94" i="23"/>
  <c r="J95" i="23"/>
  <c r="J17" i="23"/>
  <c r="J16" i="23"/>
  <c r="J15" i="23"/>
  <c r="C151" i="23"/>
  <c r="G150" i="23"/>
  <c r="C119" i="23"/>
  <c r="G119" i="23" s="1"/>
  <c r="C118" i="23"/>
  <c r="G118" i="23" s="1"/>
  <c r="G149" i="23"/>
  <c r="C172" i="23"/>
  <c r="G172" i="23" s="1"/>
  <c r="G173" i="23" s="1"/>
  <c r="J48" i="23"/>
  <c r="J47" i="23"/>
  <c r="J46" i="23"/>
  <c r="J45" i="23"/>
  <c r="J44" i="23"/>
  <c r="J43" i="23"/>
  <c r="J42" i="23"/>
  <c r="G146" i="23"/>
  <c r="G134" i="23"/>
  <c r="G135" i="23" s="1"/>
  <c r="G57" i="23"/>
  <c r="G62" i="23" s="1"/>
  <c r="J135" i="23" l="1"/>
  <c r="J136" i="23"/>
  <c r="J139" i="23"/>
  <c r="J138" i="23"/>
  <c r="J137" i="23"/>
  <c r="G166" i="23"/>
  <c r="G167" i="23" s="1"/>
  <c r="G151" i="23"/>
  <c r="G152" i="23" s="1"/>
  <c r="C120" i="23"/>
  <c r="G120" i="23" s="1"/>
  <c r="G124" i="23" s="1"/>
  <c r="J176" i="23"/>
  <c r="J175" i="23"/>
  <c r="J174" i="23"/>
  <c r="J173" i="23"/>
  <c r="J62" i="23"/>
  <c r="J66" i="23"/>
  <c r="J63" i="23"/>
  <c r="J65" i="23"/>
  <c r="J64" i="23"/>
  <c r="J154" i="23" l="1"/>
  <c r="J153" i="23"/>
  <c r="J152" i="23"/>
  <c r="J167" i="23"/>
  <c r="J168" i="23"/>
  <c r="J169" i="23"/>
  <c r="J124" i="23"/>
  <c r="J125" i="23"/>
  <c r="J206" i="23" l="1"/>
  <c r="C208" i="23" s="1"/>
  <c r="C210" i="23" l="1"/>
  <c r="E210" i="23" s="1"/>
  <c r="E211" i="23" s="1"/>
  <c r="C211" i="23" l="1"/>
  <c r="G173" i="18" l="1"/>
  <c r="J174" i="18" l="1"/>
  <c r="J173" i="18"/>
  <c r="D166" i="18" l="1"/>
  <c r="D165" i="18"/>
  <c r="G165" i="18"/>
  <c r="C145" i="20" l="1"/>
  <c r="C144" i="20"/>
  <c r="F144" i="20"/>
  <c r="C143" i="20"/>
  <c r="C142" i="20"/>
  <c r="C166" i="20" s="1"/>
  <c r="F53" i="20"/>
  <c r="C89" i="20"/>
  <c r="C90" i="20"/>
  <c r="C92" i="20"/>
  <c r="C91" i="20"/>
  <c r="C83" i="20"/>
  <c r="F83" i="20" s="1"/>
  <c r="G83" i="20" s="1"/>
  <c r="C84" i="20"/>
  <c r="C87" i="20"/>
  <c r="C88" i="20"/>
  <c r="C77" i="20"/>
  <c r="C75" i="20"/>
  <c r="C73" i="20"/>
  <c r="C72" i="20"/>
  <c r="C70" i="20"/>
  <c r="C69" i="20"/>
  <c r="D92" i="20"/>
  <c r="E92" i="20"/>
  <c r="F92" i="20" s="1"/>
  <c r="G92" i="20" s="1"/>
  <c r="E91" i="20"/>
  <c r="D91" i="20"/>
  <c r="E89" i="20"/>
  <c r="E90" i="20"/>
  <c r="E87" i="20"/>
  <c r="E88" i="20"/>
  <c r="D88" i="20"/>
  <c r="D87" i="20"/>
  <c r="F87" i="20" s="1"/>
  <c r="G87" i="20" s="1"/>
  <c r="D81" i="20"/>
  <c r="D86" i="20"/>
  <c r="E86" i="20"/>
  <c r="D85" i="20"/>
  <c r="E85" i="20"/>
  <c r="C86" i="20"/>
  <c r="C85" i="20"/>
  <c r="E83" i="20"/>
  <c r="E84" i="20"/>
  <c r="D84" i="20"/>
  <c r="F84" i="20" s="1"/>
  <c r="G84" i="20" s="1"/>
  <c r="D83" i="20"/>
  <c r="D82" i="20"/>
  <c r="C81" i="20"/>
  <c r="E82" i="20"/>
  <c r="E81" i="20"/>
  <c r="C82" i="20"/>
  <c r="C79" i="20"/>
  <c r="C80" i="20"/>
  <c r="D79" i="20"/>
  <c r="E72" i="20"/>
  <c r="C78" i="20"/>
  <c r="C76" i="20"/>
  <c r="D77" i="20"/>
  <c r="D75" i="20"/>
  <c r="C74" i="20"/>
  <c r="D73" i="20"/>
  <c r="D72" i="20"/>
  <c r="C71" i="20"/>
  <c r="M69" i="20"/>
  <c r="E70" i="20"/>
  <c r="E69" i="20"/>
  <c r="D70" i="20"/>
  <c r="D69" i="20"/>
  <c r="C204" i="20"/>
  <c r="C61" i="20"/>
  <c r="D60" i="20"/>
  <c r="C60" i="20"/>
  <c r="B60" i="20"/>
  <c r="E58" i="20"/>
  <c r="D90" i="20" s="1"/>
  <c r="F90" i="20" s="1"/>
  <c r="G90" i="20" s="1"/>
  <c r="E57" i="20"/>
  <c r="D89" i="20" s="1"/>
  <c r="F89" i="20" s="1"/>
  <c r="G89" i="20" s="1"/>
  <c r="D56" i="20"/>
  <c r="G56" i="20" s="1"/>
  <c r="F54" i="20"/>
  <c r="F55" i="20"/>
  <c r="F52" i="20"/>
  <c r="C53" i="20"/>
  <c r="F51" i="20"/>
  <c r="O37" i="20"/>
  <c r="D37" i="20"/>
  <c r="E37" i="20"/>
  <c r="O128" i="20"/>
  <c r="N128" i="20"/>
  <c r="C202" i="20"/>
  <c r="C197" i="20"/>
  <c r="C196" i="20"/>
  <c r="C191" i="20"/>
  <c r="C186" i="20"/>
  <c r="C185" i="20"/>
  <c r="C158" i="20"/>
  <c r="C157" i="20"/>
  <c r="C147" i="20"/>
  <c r="C146" i="20"/>
  <c r="C106" i="20"/>
  <c r="C99" i="20"/>
  <c r="C98" i="20"/>
  <c r="M37" i="20"/>
  <c r="N37" i="20" s="1"/>
  <c r="D38" i="20"/>
  <c r="M38" i="20"/>
  <c r="N38" i="20" s="1"/>
  <c r="E38" i="20"/>
  <c r="E41" i="20"/>
  <c r="E61" i="20" s="1"/>
  <c r="E40" i="20"/>
  <c r="D41" i="20"/>
  <c r="D35" i="20"/>
  <c r="D36" i="20"/>
  <c r="F39" i="20"/>
  <c r="F59" i="20" s="1"/>
  <c r="D34" i="20"/>
  <c r="D33" i="20"/>
  <c r="D32" i="20"/>
  <c r="H99" i="21"/>
  <c r="E99" i="21"/>
  <c r="C99" i="21"/>
  <c r="B99" i="21"/>
  <c r="A99" i="21"/>
  <c r="H97" i="21"/>
  <c r="E97" i="21"/>
  <c r="C97" i="21"/>
  <c r="B97" i="21"/>
  <c r="A97" i="21"/>
  <c r="B95" i="21"/>
  <c r="H93" i="21"/>
  <c r="E93" i="21"/>
  <c r="C93" i="21"/>
  <c r="B94" i="21"/>
  <c r="B93" i="21"/>
  <c r="A93" i="21"/>
  <c r="H90" i="21"/>
  <c r="E90" i="21"/>
  <c r="C90" i="21"/>
  <c r="B91" i="21"/>
  <c r="B90" i="21"/>
  <c r="A90" i="21"/>
  <c r="H87" i="21"/>
  <c r="E87" i="21"/>
  <c r="C87" i="21"/>
  <c r="B88" i="21"/>
  <c r="B87" i="21"/>
  <c r="A87" i="21"/>
  <c r="B84" i="21"/>
  <c r="B85" i="21"/>
  <c r="H82" i="21"/>
  <c r="E82" i="21"/>
  <c r="C82" i="21"/>
  <c r="B83" i="21"/>
  <c r="B82" i="21"/>
  <c r="A82" i="21"/>
  <c r="B80" i="21"/>
  <c r="H78" i="21"/>
  <c r="E78" i="21"/>
  <c r="C78" i="21"/>
  <c r="B79" i="21"/>
  <c r="B78" i="21"/>
  <c r="A78" i="21"/>
  <c r="B74" i="21"/>
  <c r="B75" i="21"/>
  <c r="B76" i="21"/>
  <c r="H72" i="21"/>
  <c r="B73" i="21"/>
  <c r="E72" i="21"/>
  <c r="C72" i="21"/>
  <c r="A72" i="21"/>
  <c r="B70" i="21"/>
  <c r="H68" i="21"/>
  <c r="E68" i="21"/>
  <c r="C68" i="21"/>
  <c r="B69" i="21"/>
  <c r="B68" i="21"/>
  <c r="A68" i="21"/>
  <c r="B64" i="21"/>
  <c r="B65" i="21"/>
  <c r="B66" i="21"/>
  <c r="C62" i="21"/>
  <c r="B63" i="21"/>
  <c r="B62" i="21"/>
  <c r="A62" i="21"/>
  <c r="H59" i="21"/>
  <c r="E59" i="21"/>
  <c r="C59" i="21"/>
  <c r="B60" i="21"/>
  <c r="B59" i="21"/>
  <c r="A59" i="21"/>
  <c r="B52" i="21"/>
  <c r="B53" i="21"/>
  <c r="H50" i="21"/>
  <c r="E50" i="21"/>
  <c r="C50" i="21"/>
  <c r="B51" i="21"/>
  <c r="B50" i="21"/>
  <c r="A50" i="21"/>
  <c r="B47" i="21"/>
  <c r="B48" i="21"/>
  <c r="H45" i="21"/>
  <c r="E45" i="21"/>
  <c r="C45" i="21"/>
  <c r="B46" i="21"/>
  <c r="B45" i="21"/>
  <c r="A45" i="21"/>
  <c r="H41" i="21"/>
  <c r="B43" i="21"/>
  <c r="E41" i="21"/>
  <c r="C41" i="21"/>
  <c r="B42" i="21"/>
  <c r="B41" i="21"/>
  <c r="A41" i="21"/>
  <c r="B37" i="21"/>
  <c r="B38" i="21"/>
  <c r="B39" i="21"/>
  <c r="H35" i="21"/>
  <c r="E35" i="21"/>
  <c r="C35" i="21"/>
  <c r="B36" i="21"/>
  <c r="B35" i="21"/>
  <c r="A35" i="21"/>
  <c r="B33" i="21"/>
  <c r="B29" i="21"/>
  <c r="B30" i="21"/>
  <c r="B31" i="21"/>
  <c r="B32" i="21"/>
  <c r="H27" i="21"/>
  <c r="E27" i="21"/>
  <c r="C27" i="21"/>
  <c r="B28" i="21"/>
  <c r="B27" i="21"/>
  <c r="A27" i="21"/>
  <c r="B21" i="21"/>
  <c r="B22" i="21"/>
  <c r="B23" i="21"/>
  <c r="B24" i="21"/>
  <c r="B25" i="21"/>
  <c r="H19" i="21"/>
  <c r="F70" i="20" l="1"/>
  <c r="G70" i="20" s="1"/>
  <c r="F91" i="20"/>
  <c r="G91" i="20" s="1"/>
  <c r="F88" i="20"/>
  <c r="G88" i="20" s="1"/>
  <c r="F85" i="20"/>
  <c r="G85" i="20" s="1"/>
  <c r="F86" i="20"/>
  <c r="G86" i="20" s="1"/>
  <c r="P128" i="20"/>
  <c r="Q128" i="20" s="1"/>
  <c r="G40" i="20"/>
  <c r="E60" i="20"/>
  <c r="G60" i="20" s="1"/>
  <c r="G41" i="20"/>
  <c r="D61" i="20"/>
  <c r="G61" i="20" s="1"/>
  <c r="G34" i="20"/>
  <c r="D53" i="20"/>
  <c r="G53" i="20" s="1"/>
  <c r="E19" i="21" l="1"/>
  <c r="C19" i="21"/>
  <c r="B20" i="21"/>
  <c r="B19" i="21"/>
  <c r="A19" i="21"/>
  <c r="B17" i="21"/>
  <c r="H15" i="21"/>
  <c r="B16" i="21"/>
  <c r="E15" i="21"/>
  <c r="C15" i="21"/>
  <c r="B15" i="21"/>
  <c r="A15" i="21"/>
  <c r="H13" i="21"/>
  <c r="E13" i="21"/>
  <c r="C13" i="21"/>
  <c r="B13" i="21"/>
  <c r="A13" i="21"/>
  <c r="A9" i="21"/>
  <c r="F129" i="20" l="1"/>
  <c r="F128" i="20"/>
  <c r="F131" i="20" l="1"/>
  <c r="F145" i="20" s="1"/>
  <c r="D131" i="20"/>
  <c r="D145" i="20" s="1"/>
  <c r="D128" i="20"/>
  <c r="G128" i="20" s="1"/>
  <c r="M128" i="20"/>
  <c r="C213" i="20"/>
  <c r="C212" i="20"/>
  <c r="G204" i="20"/>
  <c r="G202" i="20"/>
  <c r="D197" i="20"/>
  <c r="F197" i="20" s="1"/>
  <c r="G197" i="20" s="1"/>
  <c r="D196" i="20"/>
  <c r="F196" i="20" s="1"/>
  <c r="G196" i="20" s="1"/>
  <c r="F185" i="20"/>
  <c r="D185" i="20"/>
  <c r="G185" i="20" s="1"/>
  <c r="D172" i="20"/>
  <c r="F157" i="20"/>
  <c r="F158" i="20" s="1"/>
  <c r="D157" i="20"/>
  <c r="G157" i="20" s="1"/>
  <c r="D151" i="20"/>
  <c r="D120" i="20" s="1"/>
  <c r="B149" i="20"/>
  <c r="B118" i="20" s="1"/>
  <c r="B148" i="20"/>
  <c r="B117" i="20" s="1"/>
  <c r="B145" i="20"/>
  <c r="D144" i="20"/>
  <c r="B144" i="20"/>
  <c r="B158" i="20" s="1"/>
  <c r="F143" i="20"/>
  <c r="D143" i="20"/>
  <c r="G143" i="20" s="1"/>
  <c r="F142" i="20"/>
  <c r="D142" i="20"/>
  <c r="B142" i="20"/>
  <c r="I135" i="20"/>
  <c r="H62" i="21" s="1"/>
  <c r="E134" i="20"/>
  <c r="E133" i="20"/>
  <c r="E132" i="20"/>
  <c r="F130" i="20"/>
  <c r="G130" i="20" s="1"/>
  <c r="D129" i="20"/>
  <c r="E123" i="20"/>
  <c r="C123" i="20"/>
  <c r="E122" i="20"/>
  <c r="C122" i="20"/>
  <c r="B122" i="20"/>
  <c r="B119" i="20"/>
  <c r="E106" i="20"/>
  <c r="D106" i="20"/>
  <c r="D99" i="20"/>
  <c r="D98" i="20"/>
  <c r="E80" i="20"/>
  <c r="D80" i="20"/>
  <c r="E79" i="20"/>
  <c r="E78" i="20"/>
  <c r="D78" i="20"/>
  <c r="E77" i="20"/>
  <c r="B77" i="20"/>
  <c r="E76" i="20"/>
  <c r="D76" i="20"/>
  <c r="E75" i="20"/>
  <c r="E74" i="20"/>
  <c r="D74" i="20"/>
  <c r="E73" i="20"/>
  <c r="E71" i="20"/>
  <c r="D71" i="20"/>
  <c r="B69" i="20"/>
  <c r="D59" i="20"/>
  <c r="C59" i="20"/>
  <c r="B59" i="20"/>
  <c r="D58" i="20"/>
  <c r="C58" i="20"/>
  <c r="C57" i="20"/>
  <c r="B57" i="20"/>
  <c r="B81" i="20" s="1"/>
  <c r="C55" i="20"/>
  <c r="C54" i="20"/>
  <c r="B54" i="20"/>
  <c r="B75" i="20" s="1"/>
  <c r="C51" i="20"/>
  <c r="B51" i="20"/>
  <c r="B72" i="20" s="1"/>
  <c r="G38" i="20"/>
  <c r="G32" i="20"/>
  <c r="D21" i="20"/>
  <c r="G21" i="20" s="1"/>
  <c r="D20" i="20"/>
  <c r="G20" i="20" s="1"/>
  <c r="C14" i="20"/>
  <c r="B14" i="20"/>
  <c r="B22" i="20" s="1"/>
  <c r="R10" i="20"/>
  <c r="Q10" i="20"/>
  <c r="P10" i="20"/>
  <c r="N10" i="20"/>
  <c r="M10" i="20"/>
  <c r="E10" i="20"/>
  <c r="E14" i="20" s="1"/>
  <c r="E22" i="20" s="1"/>
  <c r="D10" i="20"/>
  <c r="D76" i="19"/>
  <c r="F165" i="19"/>
  <c r="E37" i="19"/>
  <c r="E53" i="19" s="1"/>
  <c r="D37" i="19"/>
  <c r="E36" i="19"/>
  <c r="E52" i="19" s="1"/>
  <c r="D36" i="19"/>
  <c r="C193" i="19"/>
  <c r="C192" i="19"/>
  <c r="C190" i="19"/>
  <c r="G184" i="19"/>
  <c r="J184" i="19" s="1"/>
  <c r="G182" i="19"/>
  <c r="J182" i="19" s="1"/>
  <c r="D177" i="19"/>
  <c r="F177" i="19" s="1"/>
  <c r="G177" i="19" s="1"/>
  <c r="D176" i="19"/>
  <c r="C176" i="19"/>
  <c r="F176" i="19" s="1"/>
  <c r="G176" i="19" s="1"/>
  <c r="G178" i="19" s="1"/>
  <c r="D158" i="19"/>
  <c r="C152" i="19"/>
  <c r="C144" i="19"/>
  <c r="F143" i="19"/>
  <c r="F144" i="19" s="1"/>
  <c r="D143" i="19"/>
  <c r="G143" i="19" s="1"/>
  <c r="D137" i="19"/>
  <c r="B135" i="19"/>
  <c r="B134" i="19"/>
  <c r="C131" i="19"/>
  <c r="B131" i="19"/>
  <c r="F130" i="19"/>
  <c r="B130" i="19"/>
  <c r="B144" i="19" s="1"/>
  <c r="F129" i="19"/>
  <c r="D129" i="19"/>
  <c r="G129" i="19" s="1"/>
  <c r="F128" i="19"/>
  <c r="D128" i="19"/>
  <c r="G128" i="19" s="1"/>
  <c r="B128" i="19"/>
  <c r="I121" i="19"/>
  <c r="E120" i="19"/>
  <c r="E119" i="19"/>
  <c r="E118" i="19"/>
  <c r="F117" i="19"/>
  <c r="G117" i="19" s="1"/>
  <c r="D117" i="19"/>
  <c r="F116" i="19"/>
  <c r="D116" i="19"/>
  <c r="F115" i="19"/>
  <c r="D115" i="19"/>
  <c r="G115" i="19" s="1"/>
  <c r="F114" i="19"/>
  <c r="D114" i="19"/>
  <c r="G114" i="19" s="1"/>
  <c r="E109" i="19"/>
  <c r="C109" i="19"/>
  <c r="E108" i="19"/>
  <c r="C108" i="19"/>
  <c r="B108" i="19"/>
  <c r="D106" i="19"/>
  <c r="B105" i="19"/>
  <c r="B104" i="19"/>
  <c r="B103" i="19"/>
  <c r="E92" i="19"/>
  <c r="D92" i="19"/>
  <c r="G92" i="19" s="1"/>
  <c r="G93" i="19" s="1"/>
  <c r="D85" i="19"/>
  <c r="D84" i="19"/>
  <c r="E78" i="19"/>
  <c r="D78" i="19"/>
  <c r="E77" i="19"/>
  <c r="D77" i="19"/>
  <c r="C77" i="19"/>
  <c r="E76" i="19"/>
  <c r="F76" i="19"/>
  <c r="G76" i="19" s="1"/>
  <c r="E75" i="19"/>
  <c r="M74" i="19"/>
  <c r="E74" i="19"/>
  <c r="M73" i="19"/>
  <c r="N73" i="19" s="1"/>
  <c r="E73" i="19"/>
  <c r="E72" i="19"/>
  <c r="E71" i="19"/>
  <c r="D71" i="19"/>
  <c r="E70" i="19"/>
  <c r="B70" i="19"/>
  <c r="E69" i="19"/>
  <c r="D69" i="19"/>
  <c r="E68" i="19"/>
  <c r="E67" i="19"/>
  <c r="D67" i="19"/>
  <c r="E66" i="19"/>
  <c r="E65" i="19"/>
  <c r="E64" i="19"/>
  <c r="D64" i="19"/>
  <c r="E63" i="19"/>
  <c r="E62" i="19"/>
  <c r="B62" i="19"/>
  <c r="D54" i="19"/>
  <c r="C54" i="19"/>
  <c r="B54" i="19"/>
  <c r="C53" i="19"/>
  <c r="C52" i="19"/>
  <c r="B52" i="19"/>
  <c r="B72" i="19" s="1"/>
  <c r="F51" i="19"/>
  <c r="C51" i="19"/>
  <c r="F50" i="19"/>
  <c r="C50" i="19"/>
  <c r="B50" i="19"/>
  <c r="B68" i="19" s="1"/>
  <c r="F49" i="19"/>
  <c r="F48" i="19"/>
  <c r="C48" i="19"/>
  <c r="B48" i="19"/>
  <c r="B65" i="19" s="1"/>
  <c r="F38" i="19"/>
  <c r="D35" i="19"/>
  <c r="D51" i="19" s="1"/>
  <c r="C71" i="19" s="1"/>
  <c r="F71" i="19" s="1"/>
  <c r="G71" i="19" s="1"/>
  <c r="D34" i="19"/>
  <c r="D50" i="19" s="1"/>
  <c r="C69" i="19" s="1"/>
  <c r="F69" i="19" s="1"/>
  <c r="G69" i="19" s="1"/>
  <c r="D33" i="19"/>
  <c r="C33" i="19"/>
  <c r="D32" i="19"/>
  <c r="D48" i="19" s="1"/>
  <c r="C64" i="19" s="1"/>
  <c r="F64" i="19" s="1"/>
  <c r="G64" i="19" s="1"/>
  <c r="D21" i="19"/>
  <c r="C21" i="19"/>
  <c r="G21" i="19" s="1"/>
  <c r="D20" i="19"/>
  <c r="C20" i="19"/>
  <c r="G20" i="19" s="1"/>
  <c r="C14" i="19"/>
  <c r="B14" i="19"/>
  <c r="B22" i="19" s="1"/>
  <c r="R10" i="19"/>
  <c r="Q10" i="19"/>
  <c r="P10" i="19"/>
  <c r="N10" i="19"/>
  <c r="M10" i="19"/>
  <c r="E10" i="19"/>
  <c r="E14" i="19" s="1"/>
  <c r="E22" i="19" s="1"/>
  <c r="D10" i="19"/>
  <c r="E75" i="17"/>
  <c r="C77" i="18"/>
  <c r="D76" i="18"/>
  <c r="E75" i="18"/>
  <c r="M73" i="18"/>
  <c r="N73" i="18" s="1"/>
  <c r="M74" i="18"/>
  <c r="E37" i="18"/>
  <c r="E53" i="18" s="1"/>
  <c r="C75" i="18" s="1"/>
  <c r="D37" i="18"/>
  <c r="D53" i="18" s="1"/>
  <c r="D75" i="18" s="1"/>
  <c r="E36" i="18"/>
  <c r="E52" i="18" s="1"/>
  <c r="D73" i="18" s="1"/>
  <c r="D36" i="18"/>
  <c r="D52" i="18" s="1"/>
  <c r="D34" i="18"/>
  <c r="F38" i="18"/>
  <c r="F54" i="18" s="1"/>
  <c r="C199" i="18"/>
  <c r="C198" i="18"/>
  <c r="C196" i="18" s="1"/>
  <c r="G190" i="18"/>
  <c r="G188" i="18"/>
  <c r="D183" i="18"/>
  <c r="F183" i="18" s="1"/>
  <c r="G183" i="18" s="1"/>
  <c r="D182" i="18"/>
  <c r="C182" i="18"/>
  <c r="F182" i="18" s="1"/>
  <c r="G182" i="18" s="1"/>
  <c r="D158" i="18"/>
  <c r="C152" i="18"/>
  <c r="C144" i="18"/>
  <c r="F143" i="18"/>
  <c r="F144" i="18" s="1"/>
  <c r="D143" i="18"/>
  <c r="G143" i="18" s="1"/>
  <c r="D137" i="18"/>
  <c r="D106" i="18" s="1"/>
  <c r="B135" i="18"/>
  <c r="B104" i="18" s="1"/>
  <c r="B134" i="18"/>
  <c r="B103" i="18" s="1"/>
  <c r="C131" i="18"/>
  <c r="B131" i="18"/>
  <c r="F130" i="18"/>
  <c r="B130" i="18"/>
  <c r="B144" i="18" s="1"/>
  <c r="F129" i="18"/>
  <c r="D129" i="18"/>
  <c r="G129" i="18" s="1"/>
  <c r="F128" i="18"/>
  <c r="D128" i="18"/>
  <c r="G128" i="18" s="1"/>
  <c r="B128" i="18"/>
  <c r="I121" i="18"/>
  <c r="E62" i="21" s="1"/>
  <c r="E120" i="18"/>
  <c r="E119" i="18"/>
  <c r="E118" i="18"/>
  <c r="F117" i="18"/>
  <c r="D117" i="18"/>
  <c r="G166" i="18" s="1"/>
  <c r="G167" i="18" s="1"/>
  <c r="F116" i="18"/>
  <c r="D116" i="18"/>
  <c r="F115" i="18"/>
  <c r="D115" i="18"/>
  <c r="F114" i="18"/>
  <c r="D114" i="18"/>
  <c r="G114" i="18" s="1"/>
  <c r="E109" i="18"/>
  <c r="C109" i="18"/>
  <c r="E108" i="18"/>
  <c r="C108" i="18"/>
  <c r="B108" i="18"/>
  <c r="C107" i="18"/>
  <c r="B105" i="18"/>
  <c r="E92" i="18"/>
  <c r="D92" i="18"/>
  <c r="G92" i="18" s="1"/>
  <c r="G93" i="18" s="1"/>
  <c r="D50" i="21" s="1"/>
  <c r="F50" i="21" s="1"/>
  <c r="M50" i="21" s="1"/>
  <c r="D85" i="18"/>
  <c r="G85" i="18" s="1"/>
  <c r="D84" i="18"/>
  <c r="D108" i="18" s="1"/>
  <c r="E78" i="18"/>
  <c r="D78" i="18"/>
  <c r="E77" i="18"/>
  <c r="D77" i="18"/>
  <c r="E76" i="18"/>
  <c r="F76" i="18" s="1"/>
  <c r="G76" i="18" s="1"/>
  <c r="E74" i="18"/>
  <c r="E73" i="18"/>
  <c r="E72" i="18"/>
  <c r="E71" i="18"/>
  <c r="D71" i="18"/>
  <c r="E70" i="18"/>
  <c r="B70" i="18"/>
  <c r="E69" i="18"/>
  <c r="D69" i="18"/>
  <c r="E68" i="18"/>
  <c r="E67" i="18"/>
  <c r="D67" i="18"/>
  <c r="E66" i="18"/>
  <c r="E65" i="18"/>
  <c r="E64" i="18"/>
  <c r="D64" i="18"/>
  <c r="E63" i="18"/>
  <c r="E62" i="18"/>
  <c r="B62" i="18"/>
  <c r="D54" i="18"/>
  <c r="C54" i="18"/>
  <c r="B54" i="18"/>
  <c r="C53" i="18"/>
  <c r="C52" i="18"/>
  <c r="B52" i="18"/>
  <c r="B72" i="18" s="1"/>
  <c r="F51" i="18"/>
  <c r="C51" i="18"/>
  <c r="C70" i="18" s="1"/>
  <c r="F50" i="18"/>
  <c r="C50" i="18"/>
  <c r="C68" i="18" s="1"/>
  <c r="B50" i="18"/>
  <c r="B68" i="18" s="1"/>
  <c r="F49" i="18"/>
  <c r="F48" i="18"/>
  <c r="C48" i="18"/>
  <c r="C63" i="18" s="1"/>
  <c r="B48" i="18"/>
  <c r="B65" i="18" s="1"/>
  <c r="D35" i="18"/>
  <c r="D70" i="18" s="1"/>
  <c r="D33" i="18"/>
  <c r="C33" i="18"/>
  <c r="D32" i="18"/>
  <c r="G32" i="18" s="1"/>
  <c r="D21" i="18"/>
  <c r="C21" i="18"/>
  <c r="D20" i="18"/>
  <c r="C20" i="18"/>
  <c r="C14" i="18"/>
  <c r="B14" i="18"/>
  <c r="B22" i="18" s="1"/>
  <c r="R10" i="18"/>
  <c r="D136" i="18" s="1"/>
  <c r="D105" i="18" s="1"/>
  <c r="Q10" i="18"/>
  <c r="F136" i="18" s="1"/>
  <c r="F105" i="18" s="1"/>
  <c r="P10" i="18"/>
  <c r="F119" i="18" s="1"/>
  <c r="N10" i="18"/>
  <c r="D118" i="18" s="1"/>
  <c r="M10" i="18"/>
  <c r="D134" i="18" s="1"/>
  <c r="E10" i="18"/>
  <c r="E14" i="18" s="1"/>
  <c r="E22" i="18" s="1"/>
  <c r="D10" i="18"/>
  <c r="G106" i="20" l="1"/>
  <c r="G107" i="20" s="1"/>
  <c r="G50" i="21" s="1"/>
  <c r="I50" i="21" s="1"/>
  <c r="D186" i="20"/>
  <c r="G131" i="20"/>
  <c r="F186" i="20"/>
  <c r="G115" i="18"/>
  <c r="D72" i="18"/>
  <c r="F75" i="18"/>
  <c r="G75" i="18" s="1"/>
  <c r="J50" i="21"/>
  <c r="F77" i="18"/>
  <c r="G77" i="18" s="1"/>
  <c r="G184" i="18"/>
  <c r="D93" i="21" s="1"/>
  <c r="F93" i="21" s="1"/>
  <c r="M93" i="21" s="1"/>
  <c r="D107" i="18"/>
  <c r="G145" i="20"/>
  <c r="G142" i="20"/>
  <c r="F79" i="20"/>
  <c r="G79" i="20" s="1"/>
  <c r="G198" i="20"/>
  <c r="G54" i="18"/>
  <c r="J204" i="20"/>
  <c r="G99" i="21"/>
  <c r="I99" i="21" s="1"/>
  <c r="J202" i="20"/>
  <c r="G97" i="21"/>
  <c r="I97" i="21" s="1"/>
  <c r="G129" i="20"/>
  <c r="M129" i="20"/>
  <c r="D122" i="20"/>
  <c r="G122" i="20" s="1"/>
  <c r="G98" i="20"/>
  <c r="D14" i="20"/>
  <c r="G10" i="20"/>
  <c r="G11" i="20" s="1"/>
  <c r="G85" i="19"/>
  <c r="D109" i="19"/>
  <c r="G109" i="19" s="1"/>
  <c r="G84" i="19"/>
  <c r="G86" i="19" s="1"/>
  <c r="D108" i="19"/>
  <c r="G108" i="19" s="1"/>
  <c r="G38" i="19"/>
  <c r="F54" i="19"/>
  <c r="G54" i="19" s="1"/>
  <c r="D65" i="19"/>
  <c r="D63" i="19"/>
  <c r="D49" i="19"/>
  <c r="G33" i="19"/>
  <c r="C49" i="19"/>
  <c r="D136" i="19"/>
  <c r="D105" i="19" s="1"/>
  <c r="D120" i="19"/>
  <c r="D171" i="19"/>
  <c r="G171" i="19" s="1"/>
  <c r="G172" i="19" s="1"/>
  <c r="J172" i="19" s="1"/>
  <c r="J173" i="19" s="1"/>
  <c r="F137" i="19"/>
  <c r="F106" i="19" s="1"/>
  <c r="F136" i="19"/>
  <c r="F105" i="19" s="1"/>
  <c r="F120" i="19"/>
  <c r="F135" i="19"/>
  <c r="F104" i="19" s="1"/>
  <c r="F118" i="19"/>
  <c r="F134" i="19"/>
  <c r="F103" i="19" s="1"/>
  <c r="F119" i="19"/>
  <c r="E107" i="19"/>
  <c r="D118" i="19"/>
  <c r="D107" i="19"/>
  <c r="D134" i="19"/>
  <c r="D103" i="19" s="1"/>
  <c r="D119" i="19"/>
  <c r="D135" i="19"/>
  <c r="D104" i="19" s="1"/>
  <c r="G10" i="19"/>
  <c r="G11" i="19" s="1"/>
  <c r="J11" i="19" s="1"/>
  <c r="D14" i="19"/>
  <c r="D22" i="19" s="1"/>
  <c r="J190" i="18"/>
  <c r="D99" i="21"/>
  <c r="F99" i="21" s="1"/>
  <c r="J188" i="18"/>
  <c r="D97" i="21"/>
  <c r="F97" i="21" s="1"/>
  <c r="M97" i="21" s="1"/>
  <c r="F131" i="18"/>
  <c r="D130" i="18"/>
  <c r="D144" i="18" s="1"/>
  <c r="G144" i="18" s="1"/>
  <c r="G145" i="18" s="1"/>
  <c r="D72" i="21" s="1"/>
  <c r="F72" i="21" s="1"/>
  <c r="M72" i="21" s="1"/>
  <c r="G10" i="18"/>
  <c r="G11" i="18" s="1"/>
  <c r="D14" i="18"/>
  <c r="D22" i="18" s="1"/>
  <c r="G58" i="20"/>
  <c r="G144" i="20"/>
  <c r="D158" i="20"/>
  <c r="G158" i="20" s="1"/>
  <c r="G159" i="20" s="1"/>
  <c r="G72" i="21" s="1"/>
  <c r="I72" i="21" s="1"/>
  <c r="J107" i="20"/>
  <c r="J108" i="20"/>
  <c r="I51" i="21" s="1"/>
  <c r="J109" i="20"/>
  <c r="I52" i="21" s="1"/>
  <c r="J110" i="20"/>
  <c r="I53" i="21" s="1"/>
  <c r="J111" i="20"/>
  <c r="I54" i="21" s="1"/>
  <c r="J112" i="20"/>
  <c r="I55" i="21" s="1"/>
  <c r="J113" i="20"/>
  <c r="I56" i="21" s="1"/>
  <c r="J114" i="20"/>
  <c r="I57" i="21" s="1"/>
  <c r="D123" i="20"/>
  <c r="G123" i="20" s="1"/>
  <c r="G99" i="20"/>
  <c r="F80" i="20"/>
  <c r="G80" i="20" s="1"/>
  <c r="E147" i="20"/>
  <c r="D147" i="20"/>
  <c r="E146" i="20"/>
  <c r="G59" i="20"/>
  <c r="G39" i="20"/>
  <c r="G37" i="20"/>
  <c r="D57" i="20"/>
  <c r="G36" i="20"/>
  <c r="D55" i="20"/>
  <c r="F78" i="20" s="1"/>
  <c r="G78" i="20" s="1"/>
  <c r="G35" i="20"/>
  <c r="D54" i="20"/>
  <c r="D52" i="20"/>
  <c r="F74" i="20" s="1"/>
  <c r="G74" i="20" s="1"/>
  <c r="G33" i="20"/>
  <c r="C52" i="20"/>
  <c r="D51" i="20"/>
  <c r="C150" i="20"/>
  <c r="C149" i="20"/>
  <c r="C148" i="20"/>
  <c r="C121" i="20"/>
  <c r="C133" i="20"/>
  <c r="C134" i="20"/>
  <c r="C132" i="20"/>
  <c r="C22" i="20"/>
  <c r="D134" i="20"/>
  <c r="D150" i="20"/>
  <c r="D119" i="20" s="1"/>
  <c r="F134" i="20"/>
  <c r="D191" i="20"/>
  <c r="G191" i="20" s="1"/>
  <c r="G192" i="20" s="1"/>
  <c r="F151" i="20"/>
  <c r="F120" i="20" s="1"/>
  <c r="F150" i="20"/>
  <c r="F119" i="20" s="1"/>
  <c r="F149" i="20"/>
  <c r="F118" i="20" s="1"/>
  <c r="F148" i="20"/>
  <c r="F117" i="20" s="1"/>
  <c r="F132" i="20"/>
  <c r="F133" i="20"/>
  <c r="D132" i="20"/>
  <c r="E121" i="20"/>
  <c r="D149" i="20"/>
  <c r="D118" i="20" s="1"/>
  <c r="D121" i="20"/>
  <c r="D133" i="20"/>
  <c r="D148" i="20"/>
  <c r="D117" i="20" s="1"/>
  <c r="D53" i="19"/>
  <c r="G53" i="19" s="1"/>
  <c r="G37" i="19"/>
  <c r="D52" i="19"/>
  <c r="G52" i="19" s="1"/>
  <c r="G36" i="19"/>
  <c r="J178" i="19"/>
  <c r="J179" i="19"/>
  <c r="J180" i="19"/>
  <c r="F166" i="19"/>
  <c r="F131" i="19"/>
  <c r="D166" i="19"/>
  <c r="G166" i="19" s="1"/>
  <c r="D131" i="19"/>
  <c r="G131" i="19" s="1"/>
  <c r="D130" i="19"/>
  <c r="D165" i="19"/>
  <c r="G165" i="19" s="1"/>
  <c r="G167" i="19" s="1"/>
  <c r="G116" i="19"/>
  <c r="J98" i="19"/>
  <c r="J95" i="19"/>
  <c r="J96" i="19"/>
  <c r="J97" i="19"/>
  <c r="J100" i="19"/>
  <c r="J93" i="19"/>
  <c r="J94" i="19"/>
  <c r="J99" i="19"/>
  <c r="J86" i="19"/>
  <c r="J87" i="19"/>
  <c r="J89" i="19"/>
  <c r="J88" i="19"/>
  <c r="F77" i="19"/>
  <c r="G77" i="19" s="1"/>
  <c r="C78" i="19"/>
  <c r="F78" i="19" s="1"/>
  <c r="G78" i="19" s="1"/>
  <c r="D74" i="19"/>
  <c r="E133" i="19"/>
  <c r="C75" i="19"/>
  <c r="D75" i="19"/>
  <c r="D133" i="19"/>
  <c r="G133" i="19" s="1"/>
  <c r="C74" i="19"/>
  <c r="F74" i="19" s="1"/>
  <c r="G74" i="19" s="1"/>
  <c r="E132" i="19"/>
  <c r="D73" i="19"/>
  <c r="C72" i="19"/>
  <c r="D72" i="19"/>
  <c r="D132" i="19"/>
  <c r="G132" i="19" s="1"/>
  <c r="C73" i="19"/>
  <c r="F73" i="19" s="1"/>
  <c r="G73" i="19" s="1"/>
  <c r="G51" i="19"/>
  <c r="C70" i="19"/>
  <c r="C68" i="19"/>
  <c r="G50" i="19"/>
  <c r="C65" i="19"/>
  <c r="F65" i="19" s="1"/>
  <c r="G65" i="19" s="1"/>
  <c r="C66" i="19"/>
  <c r="C63" i="19"/>
  <c r="C62" i="19"/>
  <c r="G48" i="19"/>
  <c r="G35" i="19"/>
  <c r="D70" i="19"/>
  <c r="D68" i="19"/>
  <c r="G34" i="19"/>
  <c r="D66" i="19"/>
  <c r="D62" i="19"/>
  <c r="G32" i="19"/>
  <c r="G14" i="19"/>
  <c r="G15" i="19" s="1"/>
  <c r="C22" i="19"/>
  <c r="G22" i="19" s="1"/>
  <c r="G23" i="19" s="1"/>
  <c r="C134" i="19"/>
  <c r="C135" i="19"/>
  <c r="C120" i="19"/>
  <c r="G120" i="19" s="1"/>
  <c r="C136" i="19"/>
  <c r="C118" i="19"/>
  <c r="G118" i="19" s="1"/>
  <c r="C107" i="19"/>
  <c r="G107" i="19" s="1"/>
  <c r="C119" i="19"/>
  <c r="G119" i="19" s="1"/>
  <c r="G130" i="18"/>
  <c r="G108" i="18"/>
  <c r="G21" i="18"/>
  <c r="G20" i="18"/>
  <c r="G34" i="18"/>
  <c r="D68" i="18"/>
  <c r="F68" i="18" s="1"/>
  <c r="G68" i="18" s="1"/>
  <c r="G116" i="18"/>
  <c r="D65" i="18"/>
  <c r="D63" i="18"/>
  <c r="F63" i="18" s="1"/>
  <c r="G63" i="18" s="1"/>
  <c r="D49" i="18"/>
  <c r="C67" i="18" s="1"/>
  <c r="F67" i="18" s="1"/>
  <c r="G67" i="18" s="1"/>
  <c r="G33" i="18"/>
  <c r="C49" i="18"/>
  <c r="G49" i="18" s="1"/>
  <c r="D48" i="18"/>
  <c r="D62" i="18"/>
  <c r="C135" i="18"/>
  <c r="C134" i="18"/>
  <c r="C103" i="18" s="1"/>
  <c r="C119" i="18"/>
  <c r="C118" i="18"/>
  <c r="C22" i="18"/>
  <c r="E133" i="18"/>
  <c r="D74" i="18"/>
  <c r="G37" i="18"/>
  <c r="D66" i="18"/>
  <c r="D50" i="18"/>
  <c r="D133" i="18"/>
  <c r="C74" i="18"/>
  <c r="J184" i="18"/>
  <c r="G53" i="18"/>
  <c r="J94" i="18"/>
  <c r="F51" i="21" s="1"/>
  <c r="M51" i="21" s="1"/>
  <c r="J93" i="18"/>
  <c r="J100" i="18"/>
  <c r="F57" i="21" s="1"/>
  <c r="J96" i="18"/>
  <c r="F53" i="21" s="1"/>
  <c r="J99" i="18"/>
  <c r="F56" i="21" s="1"/>
  <c r="J98" i="18"/>
  <c r="F55" i="21" s="1"/>
  <c r="J97" i="18"/>
  <c r="F54" i="21" s="1"/>
  <c r="J95" i="18"/>
  <c r="F52" i="21" s="1"/>
  <c r="C73" i="18"/>
  <c r="F73" i="18" s="1"/>
  <c r="G73" i="18" s="1"/>
  <c r="G52" i="18"/>
  <c r="D132" i="18"/>
  <c r="D103" i="18"/>
  <c r="F70" i="18"/>
  <c r="G70" i="18" s="1"/>
  <c r="C72" i="18"/>
  <c r="C78" i="18"/>
  <c r="F78" i="18" s="1"/>
  <c r="G78" i="18" s="1"/>
  <c r="F118" i="18"/>
  <c r="D120" i="18"/>
  <c r="D131" i="18"/>
  <c r="G131" i="18" s="1"/>
  <c r="D135" i="18"/>
  <c r="F135" i="18"/>
  <c r="F104" i="18" s="1"/>
  <c r="F137" i="18"/>
  <c r="F106" i="18" s="1"/>
  <c r="G35" i="18"/>
  <c r="G38" i="18"/>
  <c r="D51" i="18"/>
  <c r="C71" i="18" s="1"/>
  <c r="F71" i="18" s="1"/>
  <c r="G71" i="18" s="1"/>
  <c r="C62" i="18"/>
  <c r="G84" i="18"/>
  <c r="G86" i="18" s="1"/>
  <c r="D45" i="21" s="1"/>
  <c r="F45" i="21" s="1"/>
  <c r="M45" i="21" s="1"/>
  <c r="F120" i="18"/>
  <c r="E107" i="18"/>
  <c r="G107" i="18" s="1"/>
  <c r="D109" i="18"/>
  <c r="G109" i="18" s="1"/>
  <c r="D119" i="18"/>
  <c r="C136" i="18"/>
  <c r="G117" i="18"/>
  <c r="E132" i="18"/>
  <c r="F134" i="18"/>
  <c r="F103" i="18" s="1"/>
  <c r="D177" i="18"/>
  <c r="G177" i="18" s="1"/>
  <c r="G178" i="18" s="1"/>
  <c r="G36" i="18"/>
  <c r="C120" i="18"/>
  <c r="E65" i="17"/>
  <c r="E66" i="17"/>
  <c r="E62" i="17"/>
  <c r="E63" i="17"/>
  <c r="C144" i="17"/>
  <c r="F143" i="17"/>
  <c r="F144" i="17" s="1"/>
  <c r="D143" i="17"/>
  <c r="G143" i="17" s="1"/>
  <c r="F129" i="17"/>
  <c r="F115" i="17"/>
  <c r="F114" i="17"/>
  <c r="F49" i="17"/>
  <c r="F48" i="17"/>
  <c r="D177" i="17"/>
  <c r="D176" i="17"/>
  <c r="C176" i="17"/>
  <c r="F176" i="17" s="1"/>
  <c r="G176" i="17" s="1"/>
  <c r="F177" i="17"/>
  <c r="G177" i="17" s="1"/>
  <c r="G42" i="20" l="1"/>
  <c r="G186" i="20"/>
  <c r="G187" i="20" s="1"/>
  <c r="G87" i="21" s="1"/>
  <c r="I87" i="21" s="1"/>
  <c r="J97" i="21"/>
  <c r="J99" i="21"/>
  <c r="G14" i="18"/>
  <c r="G15" i="18" s="1"/>
  <c r="D15" i="21" s="1"/>
  <c r="F15" i="21" s="1"/>
  <c r="J185" i="18"/>
  <c r="F94" i="21" s="1"/>
  <c r="M94" i="21" s="1"/>
  <c r="J186" i="18"/>
  <c r="F95" i="21" s="1"/>
  <c r="G119" i="18"/>
  <c r="D87" i="21"/>
  <c r="F87" i="21" s="1"/>
  <c r="M87" i="21" s="1"/>
  <c r="J168" i="18"/>
  <c r="G147" i="20"/>
  <c r="D22" i="20"/>
  <c r="G22" i="20" s="1"/>
  <c r="G23" i="20" s="1"/>
  <c r="G14" i="20"/>
  <c r="G15" i="20" s="1"/>
  <c r="G27" i="21"/>
  <c r="I27" i="21" s="1"/>
  <c r="F76" i="20"/>
  <c r="G76" i="20" s="1"/>
  <c r="G54" i="20"/>
  <c r="F75" i="20"/>
  <c r="G75" i="20" s="1"/>
  <c r="G93" i="21"/>
  <c r="I93" i="21" s="1"/>
  <c r="J93" i="21" s="1"/>
  <c r="J198" i="20"/>
  <c r="J199" i="20"/>
  <c r="I94" i="21" s="1"/>
  <c r="J94" i="21" s="1"/>
  <c r="J200" i="20"/>
  <c r="I95" i="21" s="1"/>
  <c r="J95" i="21" s="1"/>
  <c r="D13" i="21"/>
  <c r="F13" i="21" s="1"/>
  <c r="J11" i="18"/>
  <c r="G100" i="20"/>
  <c r="F70" i="19"/>
  <c r="G70" i="19" s="1"/>
  <c r="F69" i="20"/>
  <c r="G69" i="20" s="1"/>
  <c r="F63" i="19"/>
  <c r="G63" i="19" s="1"/>
  <c r="G121" i="19"/>
  <c r="G22" i="18"/>
  <c r="G23" i="18" s="1"/>
  <c r="D19" i="21" s="1"/>
  <c r="F19" i="21" s="1"/>
  <c r="G103" i="18"/>
  <c r="J11" i="20"/>
  <c r="G13" i="21"/>
  <c r="I13" i="21" s="1"/>
  <c r="J13" i="21" s="1"/>
  <c r="C67" i="19"/>
  <c r="F67" i="19" s="1"/>
  <c r="G67" i="19" s="1"/>
  <c r="G49" i="19"/>
  <c r="J192" i="20"/>
  <c r="J193" i="20" s="1"/>
  <c r="I91" i="21" s="1"/>
  <c r="G90" i="21"/>
  <c r="I90" i="21" s="1"/>
  <c r="C64" i="18"/>
  <c r="F64" i="18" s="1"/>
  <c r="G64" i="18" s="1"/>
  <c r="G48" i="18"/>
  <c r="C104" i="18"/>
  <c r="C158" i="18"/>
  <c r="G158" i="18" s="1"/>
  <c r="G159" i="18" s="1"/>
  <c r="D82" i="21" s="1"/>
  <c r="F82" i="21" s="1"/>
  <c r="M82" i="21" s="1"/>
  <c r="M15" i="21"/>
  <c r="J178" i="18"/>
  <c r="J179" i="18" s="1"/>
  <c r="F91" i="21" s="1"/>
  <c r="M91" i="21" s="1"/>
  <c r="D90" i="21"/>
  <c r="F90" i="21" s="1"/>
  <c r="M90" i="21" s="1"/>
  <c r="J51" i="21"/>
  <c r="J53" i="21"/>
  <c r="J54" i="21"/>
  <c r="J55" i="21"/>
  <c r="J56" i="21"/>
  <c r="J57" i="21"/>
  <c r="J72" i="21"/>
  <c r="J52" i="21"/>
  <c r="G55" i="20"/>
  <c r="F77" i="20"/>
  <c r="G77" i="20" s="1"/>
  <c r="J187" i="20"/>
  <c r="J188" i="20"/>
  <c r="I88" i="21" s="1"/>
  <c r="G57" i="20"/>
  <c r="F82" i="20"/>
  <c r="G82" i="20" s="1"/>
  <c r="D146" i="20"/>
  <c r="G146" i="20" s="1"/>
  <c r="F81" i="20"/>
  <c r="G81" i="20" s="1"/>
  <c r="G52" i="20"/>
  <c r="F72" i="20"/>
  <c r="G72" i="20" s="1"/>
  <c r="F73" i="20"/>
  <c r="G73" i="20" s="1"/>
  <c r="F71" i="20"/>
  <c r="G71" i="20" s="1"/>
  <c r="G51" i="20"/>
  <c r="G150" i="20"/>
  <c r="C151" i="20"/>
  <c r="C119" i="20"/>
  <c r="G119" i="20" s="1"/>
  <c r="G149" i="20"/>
  <c r="C172" i="20"/>
  <c r="G172" i="20" s="1"/>
  <c r="G173" i="20" s="1"/>
  <c r="G82" i="21" s="1"/>
  <c r="I82" i="21" s="1"/>
  <c r="J82" i="21" s="1"/>
  <c r="C118" i="20"/>
  <c r="G118" i="20" s="1"/>
  <c r="G148" i="20"/>
  <c r="C117" i="20"/>
  <c r="G117" i="20" s="1"/>
  <c r="J163" i="20"/>
  <c r="I76" i="21" s="1"/>
  <c r="J162" i="20"/>
  <c r="I75" i="21" s="1"/>
  <c r="J161" i="20"/>
  <c r="I74" i="21" s="1"/>
  <c r="J160" i="20"/>
  <c r="I73" i="21" s="1"/>
  <c r="J159" i="20"/>
  <c r="G121" i="20"/>
  <c r="G133" i="20"/>
  <c r="G134" i="20"/>
  <c r="G132" i="20"/>
  <c r="G135" i="20" s="1"/>
  <c r="G62" i="21" s="1"/>
  <c r="I62" i="21" s="1"/>
  <c r="F75" i="19"/>
  <c r="G75" i="19" s="1"/>
  <c r="F72" i="19"/>
  <c r="G72" i="19" s="1"/>
  <c r="G39" i="19"/>
  <c r="D144" i="19"/>
  <c r="G144" i="19" s="1"/>
  <c r="G145" i="19" s="1"/>
  <c r="G130" i="19"/>
  <c r="G152" i="19" s="1"/>
  <c r="J167" i="19"/>
  <c r="J168" i="19"/>
  <c r="J17" i="19"/>
  <c r="J15" i="19"/>
  <c r="J16" i="19"/>
  <c r="J29" i="19"/>
  <c r="J28" i="19"/>
  <c r="J27" i="19"/>
  <c r="J26" i="19"/>
  <c r="J25" i="19"/>
  <c r="J24" i="19"/>
  <c r="J23" i="19"/>
  <c r="G134" i="19"/>
  <c r="C103" i="19"/>
  <c r="G103" i="19" s="1"/>
  <c r="C158" i="19"/>
  <c r="G158" i="19" s="1"/>
  <c r="G159" i="19" s="1"/>
  <c r="G135" i="19"/>
  <c r="C104" i="19"/>
  <c r="G104" i="19" s="1"/>
  <c r="C137" i="19"/>
  <c r="C105" i="19"/>
  <c r="G105" i="19" s="1"/>
  <c r="G136" i="19"/>
  <c r="J121" i="19"/>
  <c r="J124" i="19"/>
  <c r="F68" i="19"/>
  <c r="G68" i="19" s="1"/>
  <c r="F66" i="19"/>
  <c r="G66" i="19" s="1"/>
  <c r="F62" i="19"/>
  <c r="G62" i="19" s="1"/>
  <c r="G55" i="19"/>
  <c r="G133" i="18"/>
  <c r="G152" i="18" s="1"/>
  <c r="G153" i="18" s="1"/>
  <c r="D78" i="21" s="1"/>
  <c r="F78" i="21" s="1"/>
  <c r="M78" i="21" s="1"/>
  <c r="G118" i="18"/>
  <c r="F62" i="18"/>
  <c r="G62" i="18" s="1"/>
  <c r="C66" i="18"/>
  <c r="F66" i="18" s="1"/>
  <c r="G66" i="18" s="1"/>
  <c r="C65" i="18"/>
  <c r="F65" i="18" s="1"/>
  <c r="G65" i="18" s="1"/>
  <c r="D104" i="18"/>
  <c r="G104" i="18" s="1"/>
  <c r="G135" i="18"/>
  <c r="F74" i="18"/>
  <c r="G74" i="18" s="1"/>
  <c r="F72" i="18"/>
  <c r="G72" i="18" s="1"/>
  <c r="G132" i="18"/>
  <c r="C69" i="18"/>
  <c r="F69" i="18" s="1"/>
  <c r="G69" i="18" s="1"/>
  <c r="G50" i="18"/>
  <c r="G39" i="18"/>
  <c r="J17" i="18"/>
  <c r="F17" i="21" s="1"/>
  <c r="J16" i="18"/>
  <c r="F16" i="21" s="1"/>
  <c r="J15" i="18"/>
  <c r="F88" i="21"/>
  <c r="M88" i="21" s="1"/>
  <c r="J167" i="18"/>
  <c r="G120" i="18"/>
  <c r="J149" i="18"/>
  <c r="F76" i="21" s="1"/>
  <c r="J148" i="18"/>
  <c r="F75" i="21" s="1"/>
  <c r="J147" i="18"/>
  <c r="F74" i="21" s="1"/>
  <c r="J146" i="18"/>
  <c r="F73" i="21" s="1"/>
  <c r="M73" i="21" s="1"/>
  <c r="J145" i="18"/>
  <c r="C137" i="18"/>
  <c r="G136" i="18"/>
  <c r="C105" i="18"/>
  <c r="G105" i="18" s="1"/>
  <c r="G51" i="18"/>
  <c r="J159" i="18"/>
  <c r="J162" i="18"/>
  <c r="F85" i="21" s="1"/>
  <c r="J161" i="18"/>
  <c r="F84" i="21" s="1"/>
  <c r="J87" i="18"/>
  <c r="F46" i="21" s="1"/>
  <c r="M46" i="21" s="1"/>
  <c r="J86" i="18"/>
  <c r="J89" i="18"/>
  <c r="F48" i="21" s="1"/>
  <c r="J88" i="18"/>
  <c r="F47" i="21" s="1"/>
  <c r="G134" i="18"/>
  <c r="G178" i="17"/>
  <c r="G62" i="20" l="1"/>
  <c r="G93" i="20"/>
  <c r="G121" i="18"/>
  <c r="D62" i="21" s="1"/>
  <c r="F62" i="21" s="1"/>
  <c r="J160" i="18"/>
  <c r="F83" i="21" s="1"/>
  <c r="M83" i="21" s="1"/>
  <c r="J87" i="21"/>
  <c r="G41" i="21"/>
  <c r="I41" i="21" s="1"/>
  <c r="G35" i="21"/>
  <c r="I35" i="21" s="1"/>
  <c r="G19" i="21"/>
  <c r="I19" i="21" s="1"/>
  <c r="J19" i="21" s="1"/>
  <c r="J24" i="20"/>
  <c r="I20" i="21" s="1"/>
  <c r="J28" i="20"/>
  <c r="I24" i="21" s="1"/>
  <c r="J23" i="20"/>
  <c r="J27" i="20"/>
  <c r="I23" i="21" s="1"/>
  <c r="J29" i="20"/>
  <c r="I25" i="21" s="1"/>
  <c r="J25" i="20"/>
  <c r="I21" i="21" s="1"/>
  <c r="J26" i="20"/>
  <c r="I22" i="21" s="1"/>
  <c r="G15" i="21"/>
  <c r="I15" i="21" s="1"/>
  <c r="J15" i="21" s="1"/>
  <c r="J16" i="20"/>
  <c r="I16" i="21" s="1"/>
  <c r="J16" i="21" s="1"/>
  <c r="J15" i="20"/>
  <c r="J17" i="20"/>
  <c r="I17" i="21" s="1"/>
  <c r="J17" i="21" s="1"/>
  <c r="M13" i="21"/>
  <c r="G45" i="21"/>
  <c r="I45" i="21" s="1"/>
  <c r="J45" i="21" s="1"/>
  <c r="J103" i="20"/>
  <c r="I48" i="21" s="1"/>
  <c r="J48" i="21" s="1"/>
  <c r="J102" i="20"/>
  <c r="I47" i="21" s="1"/>
  <c r="J47" i="21" s="1"/>
  <c r="J101" i="20"/>
  <c r="I46" i="21" s="1"/>
  <c r="J46" i="21" s="1"/>
  <c r="J100" i="20"/>
  <c r="J91" i="21"/>
  <c r="J90" i="21"/>
  <c r="J122" i="19"/>
  <c r="J123" i="19"/>
  <c r="J125" i="19"/>
  <c r="M19" i="21"/>
  <c r="J62" i="21"/>
  <c r="M62" i="21"/>
  <c r="J44" i="18"/>
  <c r="F32" i="21" s="1"/>
  <c r="D27" i="21"/>
  <c r="F27" i="21" s="1"/>
  <c r="J88" i="21"/>
  <c r="J76" i="21"/>
  <c r="J75" i="21"/>
  <c r="J74" i="21"/>
  <c r="J73" i="21"/>
  <c r="G166" i="20"/>
  <c r="G167" i="20" s="1"/>
  <c r="G78" i="21" s="1"/>
  <c r="I78" i="21" s="1"/>
  <c r="J78" i="21" s="1"/>
  <c r="G151" i="20"/>
  <c r="G152" i="20" s="1"/>
  <c r="G68" i="21" s="1"/>
  <c r="I68" i="21" s="1"/>
  <c r="C120" i="20"/>
  <c r="G120" i="20" s="1"/>
  <c r="G124" i="20" s="1"/>
  <c r="G59" i="21" s="1"/>
  <c r="I59" i="21" s="1"/>
  <c r="J173" i="20"/>
  <c r="J174" i="20"/>
  <c r="I83" i="21" s="1"/>
  <c r="J83" i="21" s="1"/>
  <c r="J175" i="20"/>
  <c r="I84" i="21" s="1"/>
  <c r="J84" i="21" s="1"/>
  <c r="J176" i="20"/>
  <c r="I85" i="21" s="1"/>
  <c r="J85" i="21" s="1"/>
  <c r="J48" i="20"/>
  <c r="I33" i="21" s="1"/>
  <c r="J47" i="20"/>
  <c r="I32" i="21" s="1"/>
  <c r="J46" i="20"/>
  <c r="I31" i="21" s="1"/>
  <c r="J45" i="20"/>
  <c r="I30" i="21" s="1"/>
  <c r="J44" i="20"/>
  <c r="I29" i="21" s="1"/>
  <c r="J43" i="20"/>
  <c r="I28" i="21" s="1"/>
  <c r="J42" i="20"/>
  <c r="J135" i="20"/>
  <c r="J136" i="20"/>
  <c r="I63" i="21" s="1"/>
  <c r="J137" i="20"/>
  <c r="I64" i="21" s="1"/>
  <c r="J138" i="20"/>
  <c r="I65" i="21" s="1"/>
  <c r="J139" i="20"/>
  <c r="I66" i="21" s="1"/>
  <c r="G79" i="19"/>
  <c r="J79" i="19" s="1"/>
  <c r="J39" i="19"/>
  <c r="J43" i="19"/>
  <c r="J42" i="19"/>
  <c r="J40" i="19"/>
  <c r="J41" i="19"/>
  <c r="J44" i="19"/>
  <c r="J45" i="19"/>
  <c r="J149" i="19"/>
  <c r="J147" i="19"/>
  <c r="J145" i="19"/>
  <c r="J148" i="19"/>
  <c r="J146" i="19"/>
  <c r="G153" i="19"/>
  <c r="J159" i="19"/>
  <c r="J160" i="19"/>
  <c r="J161" i="19"/>
  <c r="J162" i="19"/>
  <c r="G137" i="19"/>
  <c r="G138" i="19" s="1"/>
  <c r="C106" i="19"/>
  <c r="G106" i="19" s="1"/>
  <c r="G110" i="19" s="1"/>
  <c r="J59" i="19"/>
  <c r="J58" i="19"/>
  <c r="J57" i="19"/>
  <c r="J56" i="19"/>
  <c r="J55" i="19"/>
  <c r="J28" i="18"/>
  <c r="F24" i="21" s="1"/>
  <c r="J23" i="18"/>
  <c r="J24" i="18"/>
  <c r="F20" i="21" s="1"/>
  <c r="J25" i="18"/>
  <c r="F21" i="21" s="1"/>
  <c r="J26" i="18"/>
  <c r="F22" i="21" s="1"/>
  <c r="J27" i="18"/>
  <c r="F23" i="21" s="1"/>
  <c r="J29" i="18"/>
  <c r="F25" i="21" s="1"/>
  <c r="J155" i="18"/>
  <c r="F80" i="21" s="1"/>
  <c r="J153" i="18"/>
  <c r="G55" i="18"/>
  <c r="G79" i="18"/>
  <c r="J154" i="18"/>
  <c r="F79" i="21" s="1"/>
  <c r="M79" i="21" s="1"/>
  <c r="J41" i="18"/>
  <c r="F29" i="21" s="1"/>
  <c r="J39" i="18"/>
  <c r="J42" i="18"/>
  <c r="F30" i="21" s="1"/>
  <c r="J43" i="18"/>
  <c r="F31" i="21" s="1"/>
  <c r="J40" i="18"/>
  <c r="F28" i="21" s="1"/>
  <c r="J45" i="18"/>
  <c r="F33" i="21" s="1"/>
  <c r="C106" i="18"/>
  <c r="G106" i="18" s="1"/>
  <c r="G110" i="18" s="1"/>
  <c r="D59" i="21" s="1"/>
  <c r="F59" i="21" s="1"/>
  <c r="G137" i="18"/>
  <c r="G138" i="18" s="1"/>
  <c r="D68" i="21" s="1"/>
  <c r="F68" i="21" s="1"/>
  <c r="J122" i="18"/>
  <c r="F63" i="21" s="1"/>
  <c r="J121" i="18"/>
  <c r="J124" i="18"/>
  <c r="F65" i="21" s="1"/>
  <c r="J125" i="18"/>
  <c r="F66" i="21" s="1"/>
  <c r="J123" i="18"/>
  <c r="F64" i="21" s="1"/>
  <c r="J180" i="17"/>
  <c r="J179" i="17"/>
  <c r="J178" i="17"/>
  <c r="J24" i="21" l="1"/>
  <c r="J21" i="21"/>
  <c r="J22" i="21"/>
  <c r="J23" i="21"/>
  <c r="J25" i="21"/>
  <c r="J65" i="21"/>
  <c r="J66" i="21"/>
  <c r="J64" i="21"/>
  <c r="J31" i="21"/>
  <c r="J29" i="21"/>
  <c r="J33" i="21"/>
  <c r="J30" i="21"/>
  <c r="J27" i="21"/>
  <c r="M27" i="21"/>
  <c r="J32" i="21"/>
  <c r="J20" i="21"/>
  <c r="M20" i="21"/>
  <c r="J58" i="18"/>
  <c r="F38" i="21" s="1"/>
  <c r="D35" i="21"/>
  <c r="F35" i="21" s="1"/>
  <c r="J79" i="18"/>
  <c r="D41" i="21"/>
  <c r="F41" i="21" s="1"/>
  <c r="J28" i="21"/>
  <c r="M28" i="21"/>
  <c r="J59" i="21"/>
  <c r="M59" i="21"/>
  <c r="J68" i="21"/>
  <c r="M68" i="21"/>
  <c r="J63" i="21"/>
  <c r="M63" i="21"/>
  <c r="J66" i="20"/>
  <c r="I39" i="21" s="1"/>
  <c r="J65" i="20"/>
  <c r="I38" i="21" s="1"/>
  <c r="J64" i="20"/>
  <c r="I37" i="21" s="1"/>
  <c r="J63" i="20"/>
  <c r="I36" i="21" s="1"/>
  <c r="J62" i="20"/>
  <c r="J125" i="20"/>
  <c r="I60" i="21" s="1"/>
  <c r="J124" i="20"/>
  <c r="J169" i="20"/>
  <c r="I80" i="21" s="1"/>
  <c r="J80" i="21" s="1"/>
  <c r="J168" i="20"/>
  <c r="I79" i="21" s="1"/>
  <c r="J79" i="21" s="1"/>
  <c r="J167" i="20"/>
  <c r="J154" i="20"/>
  <c r="I70" i="21" s="1"/>
  <c r="J153" i="20"/>
  <c r="I69" i="21" s="1"/>
  <c r="J152" i="20"/>
  <c r="J93" i="20"/>
  <c r="J94" i="20"/>
  <c r="I42" i="21" s="1"/>
  <c r="J95" i="20"/>
  <c r="I43" i="21" s="1"/>
  <c r="J81" i="19"/>
  <c r="J80" i="19"/>
  <c r="J153" i="19"/>
  <c r="J155" i="19"/>
  <c r="J154" i="19"/>
  <c r="J140" i="19"/>
  <c r="J138" i="19"/>
  <c r="J139" i="19"/>
  <c r="J110" i="19"/>
  <c r="J111" i="19"/>
  <c r="J186" i="19"/>
  <c r="C188" i="19" s="1"/>
  <c r="J57" i="18"/>
  <c r="F37" i="21" s="1"/>
  <c r="J56" i="18"/>
  <c r="F36" i="21" s="1"/>
  <c r="J55" i="18"/>
  <c r="J59" i="18"/>
  <c r="F39" i="21" s="1"/>
  <c r="J81" i="18"/>
  <c r="F43" i="21" s="1"/>
  <c r="J80" i="18"/>
  <c r="F42" i="21" s="1"/>
  <c r="J110" i="18"/>
  <c r="J111" i="18"/>
  <c r="F60" i="21" s="1"/>
  <c r="M60" i="21" s="1"/>
  <c r="J140" i="18"/>
  <c r="F70" i="21" s="1"/>
  <c r="J139" i="18"/>
  <c r="F69" i="21" s="1"/>
  <c r="J138" i="18"/>
  <c r="D158" i="17"/>
  <c r="C109" i="17"/>
  <c r="E109" i="17"/>
  <c r="E108" i="17"/>
  <c r="C108" i="17"/>
  <c r="B108" i="17"/>
  <c r="D85" i="17"/>
  <c r="G85" i="17" s="1"/>
  <c r="D84" i="17"/>
  <c r="D108" i="17" s="1"/>
  <c r="D76" i="17"/>
  <c r="D37" i="17"/>
  <c r="D53" i="17" s="1"/>
  <c r="E36" i="17"/>
  <c r="D36" i="17"/>
  <c r="D52" i="17" s="1"/>
  <c r="F38" i="17"/>
  <c r="F54" i="17" s="1"/>
  <c r="C193" i="17"/>
  <c r="C192" i="17"/>
  <c r="G184" i="17"/>
  <c r="J184" i="17" s="1"/>
  <c r="G182" i="17"/>
  <c r="J182" i="17" s="1"/>
  <c r="C152" i="17"/>
  <c r="D137" i="17"/>
  <c r="D106" i="17" s="1"/>
  <c r="B135" i="17"/>
  <c r="B104" i="17" s="1"/>
  <c r="B134" i="17"/>
  <c r="C131" i="17"/>
  <c r="B131" i="17"/>
  <c r="F130" i="17"/>
  <c r="B130" i="17"/>
  <c r="B144" i="17" s="1"/>
  <c r="D129" i="17"/>
  <c r="F128" i="17"/>
  <c r="D128" i="17"/>
  <c r="B128" i="17"/>
  <c r="I121" i="17"/>
  <c r="E120" i="17"/>
  <c r="E119" i="17"/>
  <c r="E118" i="17"/>
  <c r="F117" i="17"/>
  <c r="F166" i="17" s="1"/>
  <c r="D117" i="17"/>
  <c r="F116" i="17"/>
  <c r="F165" i="17" s="1"/>
  <c r="D116" i="17"/>
  <c r="D165" i="17" s="1"/>
  <c r="D115" i="17"/>
  <c r="G115" i="17" s="1"/>
  <c r="D114" i="17"/>
  <c r="B105" i="17"/>
  <c r="E92" i="17"/>
  <c r="D92" i="17"/>
  <c r="E78" i="17"/>
  <c r="D78" i="17"/>
  <c r="E77" i="17"/>
  <c r="D77" i="17"/>
  <c r="C77" i="17"/>
  <c r="C78" i="17" s="1"/>
  <c r="E76" i="17"/>
  <c r="E74" i="17"/>
  <c r="E73" i="17"/>
  <c r="E72" i="17"/>
  <c r="E71" i="17"/>
  <c r="D71" i="17"/>
  <c r="E70" i="17"/>
  <c r="B70" i="17"/>
  <c r="E69" i="17"/>
  <c r="D69" i="17"/>
  <c r="E68" i="17"/>
  <c r="E67" i="17"/>
  <c r="D67" i="17"/>
  <c r="E64" i="17"/>
  <c r="D64" i="17"/>
  <c r="B62" i="17"/>
  <c r="D54" i="17"/>
  <c r="C54" i="17"/>
  <c r="B54" i="17"/>
  <c r="C53" i="17"/>
  <c r="C52" i="17"/>
  <c r="B52" i="17"/>
  <c r="B72" i="17" s="1"/>
  <c r="F51" i="17"/>
  <c r="C51" i="17"/>
  <c r="F50" i="17"/>
  <c r="C50" i="17"/>
  <c r="C68" i="17" s="1"/>
  <c r="B50" i="17"/>
  <c r="B68" i="17" s="1"/>
  <c r="C48" i="17"/>
  <c r="B48" i="17"/>
  <c r="B65" i="17" s="1"/>
  <c r="E37" i="17"/>
  <c r="E53" i="17" s="1"/>
  <c r="D35" i="17"/>
  <c r="D70" i="17" s="1"/>
  <c r="D34" i="17"/>
  <c r="D66" i="17" s="1"/>
  <c r="D33" i="17"/>
  <c r="C33" i="17"/>
  <c r="C49" i="17" s="1"/>
  <c r="D32" i="17"/>
  <c r="D62" i="17" s="1"/>
  <c r="D21" i="17"/>
  <c r="C21" i="17"/>
  <c r="D20" i="17"/>
  <c r="C20" i="17"/>
  <c r="C14" i="17"/>
  <c r="C107" i="17" s="1"/>
  <c r="B14" i="17"/>
  <c r="B22" i="17" s="1"/>
  <c r="R10" i="17"/>
  <c r="D120" i="17" s="1"/>
  <c r="Q10" i="17"/>
  <c r="D171" i="17" s="1"/>
  <c r="G171" i="17" s="1"/>
  <c r="G172" i="17" s="1"/>
  <c r="J172" i="17" s="1"/>
  <c r="J173" i="17" s="1"/>
  <c r="P10" i="17"/>
  <c r="F118" i="17" s="1"/>
  <c r="N10" i="17"/>
  <c r="D118" i="17" s="1"/>
  <c r="M10" i="17"/>
  <c r="D134" i="17" s="1"/>
  <c r="D103" i="17" s="1"/>
  <c r="E10" i="17"/>
  <c r="E14" i="17" s="1"/>
  <c r="E22" i="17" s="1"/>
  <c r="D10" i="17"/>
  <c r="D14" i="17" s="1"/>
  <c r="D22" i="17" s="1"/>
  <c r="J39" i="21" l="1"/>
  <c r="J37" i="21"/>
  <c r="J43" i="21"/>
  <c r="J70" i="21"/>
  <c r="J35" i="21"/>
  <c r="M35" i="21"/>
  <c r="J41" i="21"/>
  <c r="M41" i="21"/>
  <c r="J38" i="21"/>
  <c r="J36" i="21"/>
  <c r="M36" i="21"/>
  <c r="J42" i="21"/>
  <c r="M42" i="21"/>
  <c r="J69" i="21"/>
  <c r="M69" i="21"/>
  <c r="F101" i="21"/>
  <c r="J60" i="21"/>
  <c r="I101" i="21"/>
  <c r="J206" i="20"/>
  <c r="C208" i="20" s="1"/>
  <c r="C211" i="20" s="1"/>
  <c r="E190" i="19"/>
  <c r="E191" i="19" s="1"/>
  <c r="C191" i="19"/>
  <c r="D133" i="17"/>
  <c r="D75" i="17"/>
  <c r="D132" i="17"/>
  <c r="D72" i="17"/>
  <c r="C62" i="17"/>
  <c r="C63" i="17"/>
  <c r="D74" i="17"/>
  <c r="C75" i="17"/>
  <c r="F75" i="17" s="1"/>
  <c r="G75" i="17" s="1"/>
  <c r="D65" i="17"/>
  <c r="D63" i="17"/>
  <c r="C66" i="17"/>
  <c r="F66" i="17" s="1"/>
  <c r="G66" i="17" s="1"/>
  <c r="C65" i="17"/>
  <c r="F65" i="17" s="1"/>
  <c r="G65" i="17" s="1"/>
  <c r="J192" i="18"/>
  <c r="C194" i="18" s="1"/>
  <c r="E196" i="18" s="1"/>
  <c r="E197" i="18" s="1"/>
  <c r="G84" i="17"/>
  <c r="G86" i="17" s="1"/>
  <c r="D50" i="17"/>
  <c r="C69" i="17" s="1"/>
  <c r="F69" i="17" s="1"/>
  <c r="G69" i="17" s="1"/>
  <c r="D68" i="17"/>
  <c r="F68" i="17" s="1"/>
  <c r="G68" i="17" s="1"/>
  <c r="G116" i="17"/>
  <c r="G21" i="17"/>
  <c r="G117" i="17"/>
  <c r="B103" i="17"/>
  <c r="G108" i="17"/>
  <c r="D109" i="17"/>
  <c r="G109" i="17" s="1"/>
  <c r="E133" i="17"/>
  <c r="G36" i="17"/>
  <c r="D49" i="17"/>
  <c r="C67" i="17" s="1"/>
  <c r="F67" i="17" s="1"/>
  <c r="G67" i="17" s="1"/>
  <c r="G20" i="17"/>
  <c r="F76" i="17"/>
  <c r="G76" i="17" s="1"/>
  <c r="C190" i="17"/>
  <c r="G128" i="17"/>
  <c r="G114" i="17"/>
  <c r="G129" i="17"/>
  <c r="D131" i="17"/>
  <c r="G32" i="17"/>
  <c r="E52" i="17"/>
  <c r="G33" i="17"/>
  <c r="D48" i="17"/>
  <c r="C64" i="17" s="1"/>
  <c r="F64" i="17" s="1"/>
  <c r="G64" i="17" s="1"/>
  <c r="G165" i="17"/>
  <c r="G10" i="17"/>
  <c r="G11" i="17" s="1"/>
  <c r="J11" i="17" s="1"/>
  <c r="F78" i="17"/>
  <c r="G78" i="17" s="1"/>
  <c r="D166" i="17"/>
  <c r="G166" i="17" s="1"/>
  <c r="G54" i="17"/>
  <c r="G53" i="17"/>
  <c r="C74" i="17"/>
  <c r="F74" i="17" s="1"/>
  <c r="G74" i="17" s="1"/>
  <c r="F62" i="17"/>
  <c r="G62" i="17" s="1"/>
  <c r="D107" i="17"/>
  <c r="C119" i="17"/>
  <c r="F120" i="17"/>
  <c r="F131" i="17"/>
  <c r="C135" i="17"/>
  <c r="C158" i="17" s="1"/>
  <c r="G158" i="17" s="1"/>
  <c r="G159" i="17" s="1"/>
  <c r="G14" i="17"/>
  <c r="G15" i="17" s="1"/>
  <c r="G35" i="17"/>
  <c r="G38" i="17"/>
  <c r="D51" i="17"/>
  <c r="C71" i="17" s="1"/>
  <c r="F71" i="17" s="1"/>
  <c r="G71" i="17" s="1"/>
  <c r="D130" i="17"/>
  <c r="F135" i="17"/>
  <c r="F104" i="17" s="1"/>
  <c r="F137" i="17"/>
  <c r="F106" i="17" s="1"/>
  <c r="G92" i="17"/>
  <c r="G93" i="17" s="1"/>
  <c r="E107" i="17"/>
  <c r="D119" i="17"/>
  <c r="D135" i="17"/>
  <c r="D104" i="17" s="1"/>
  <c r="C70" i="17"/>
  <c r="F70" i="17" s="1"/>
  <c r="G70" i="17" s="1"/>
  <c r="C73" i="17"/>
  <c r="C118" i="17"/>
  <c r="G118" i="17" s="1"/>
  <c r="F119" i="17"/>
  <c r="C134" i="17"/>
  <c r="G34" i="17"/>
  <c r="G37" i="17"/>
  <c r="F77" i="17"/>
  <c r="G77" i="17" s="1"/>
  <c r="C136" i="17"/>
  <c r="F134" i="17"/>
  <c r="F103" i="17" s="1"/>
  <c r="D136" i="17"/>
  <c r="D105" i="17" s="1"/>
  <c r="C120" i="17"/>
  <c r="C22" i="17"/>
  <c r="G22" i="17" s="1"/>
  <c r="F136" i="17"/>
  <c r="F105" i="17" s="1"/>
  <c r="C14" i="14"/>
  <c r="C116" i="14" s="1"/>
  <c r="B14" i="14"/>
  <c r="B22" i="14" s="1"/>
  <c r="E10" i="14"/>
  <c r="E14" i="14" s="1"/>
  <c r="E22" i="14" s="1"/>
  <c r="D10" i="14"/>
  <c r="D14" i="14" s="1"/>
  <c r="D119" i="14"/>
  <c r="D92" i="14" s="1"/>
  <c r="B117" i="14"/>
  <c r="B90" i="14" s="1"/>
  <c r="B116" i="14"/>
  <c r="B89" i="14" s="1"/>
  <c r="E104" i="14"/>
  <c r="E103" i="14"/>
  <c r="E102" i="14"/>
  <c r="R10" i="14"/>
  <c r="Q10" i="14"/>
  <c r="P10" i="14"/>
  <c r="N10" i="14"/>
  <c r="M10" i="14"/>
  <c r="D54" i="14"/>
  <c r="C54" i="14"/>
  <c r="B54" i="14"/>
  <c r="F38" i="14"/>
  <c r="C74" i="14"/>
  <c r="D75" i="14"/>
  <c r="D74" i="14"/>
  <c r="E75" i="14"/>
  <c r="E74" i="14"/>
  <c r="E73" i="14"/>
  <c r="D73" i="14"/>
  <c r="E70" i="14"/>
  <c r="E71" i="14"/>
  <c r="E72" i="14"/>
  <c r="B68" i="14"/>
  <c r="E69" i="14"/>
  <c r="D69" i="14"/>
  <c r="E68" i="14"/>
  <c r="E67" i="14"/>
  <c r="D67" i="14"/>
  <c r="E66" i="14"/>
  <c r="D65" i="14"/>
  <c r="D63" i="14"/>
  <c r="E65" i="14"/>
  <c r="E64" i="14"/>
  <c r="E62" i="14"/>
  <c r="E63" i="14"/>
  <c r="F49" i="14"/>
  <c r="F50" i="14"/>
  <c r="F51" i="14"/>
  <c r="F48" i="14"/>
  <c r="B50" i="14"/>
  <c r="B66" i="14" s="1"/>
  <c r="C50" i="14"/>
  <c r="C51" i="14"/>
  <c r="C68" i="14" s="1"/>
  <c r="B52" i="14"/>
  <c r="B70" i="14" s="1"/>
  <c r="C52" i="14"/>
  <c r="C53" i="14"/>
  <c r="D37" i="14"/>
  <c r="E37" i="14"/>
  <c r="E53" i="14" s="1"/>
  <c r="D72" i="14" s="1"/>
  <c r="E36" i="14"/>
  <c r="E52" i="14" s="1"/>
  <c r="D36" i="14"/>
  <c r="D35" i="14"/>
  <c r="D34" i="14"/>
  <c r="C21" i="14"/>
  <c r="C20" i="14"/>
  <c r="F99" i="14"/>
  <c r="F98" i="14"/>
  <c r="C33" i="14"/>
  <c r="C49" i="14" s="1"/>
  <c r="D33" i="14"/>
  <c r="D32" i="14"/>
  <c r="D62" i="14" s="1"/>
  <c r="D21" i="14"/>
  <c r="D20" i="14"/>
  <c r="C88" i="14"/>
  <c r="E81" i="14"/>
  <c r="E88" i="14" s="1"/>
  <c r="D81" i="14"/>
  <c r="D88" i="14" s="1"/>
  <c r="F114" i="14"/>
  <c r="F113" i="14"/>
  <c r="F112" i="14"/>
  <c r="D113" i="14"/>
  <c r="D112" i="14"/>
  <c r="B114" i="14"/>
  <c r="C114" i="14"/>
  <c r="D101" i="14"/>
  <c r="D132" i="14" s="1"/>
  <c r="F101" i="14"/>
  <c r="F132" i="14" s="1"/>
  <c r="F100" i="14"/>
  <c r="F131" i="14" s="1"/>
  <c r="D100" i="14"/>
  <c r="D99" i="14"/>
  <c r="D98" i="14"/>
  <c r="C6" i="21" l="1"/>
  <c r="O101" i="21"/>
  <c r="G133" i="17"/>
  <c r="J88" i="17"/>
  <c r="J89" i="17"/>
  <c r="J87" i="17"/>
  <c r="J86" i="17"/>
  <c r="J6" i="21"/>
  <c r="J101" i="21"/>
  <c r="E210" i="20"/>
  <c r="E211" i="20" s="1"/>
  <c r="F63" i="17"/>
  <c r="G63" i="17" s="1"/>
  <c r="G130" i="17"/>
  <c r="D144" i="17"/>
  <c r="G144" i="17" s="1"/>
  <c r="G145" i="17" s="1"/>
  <c r="C22" i="14"/>
  <c r="C93" i="14"/>
  <c r="C103" i="14"/>
  <c r="C117" i="14"/>
  <c r="C90" i="14" s="1"/>
  <c r="C197" i="18"/>
  <c r="G50" i="17"/>
  <c r="G48" i="17"/>
  <c r="G23" i="17"/>
  <c r="J29" i="17" s="1"/>
  <c r="J100" i="17"/>
  <c r="J99" i="17"/>
  <c r="J98" i="17"/>
  <c r="J95" i="17"/>
  <c r="J97" i="17"/>
  <c r="J96" i="17"/>
  <c r="J160" i="17"/>
  <c r="J162" i="17"/>
  <c r="J161" i="17"/>
  <c r="J159" i="17"/>
  <c r="C72" i="17"/>
  <c r="F72" i="17" s="1"/>
  <c r="G72" i="17" s="1"/>
  <c r="E132" i="17"/>
  <c r="G132" i="17" s="1"/>
  <c r="G52" i="17"/>
  <c r="G107" i="17"/>
  <c r="G49" i="17"/>
  <c r="G131" i="17"/>
  <c r="G167" i="17"/>
  <c r="J168" i="17" s="1"/>
  <c r="D73" i="17"/>
  <c r="F73" i="17" s="1"/>
  <c r="G73" i="17" s="1"/>
  <c r="C118" i="14"/>
  <c r="C102" i="14"/>
  <c r="G10" i="14"/>
  <c r="G11" i="14" s="1"/>
  <c r="J11" i="14" s="1"/>
  <c r="C104" i="14"/>
  <c r="G51" i="17"/>
  <c r="G120" i="17"/>
  <c r="G39" i="17"/>
  <c r="J41" i="17" s="1"/>
  <c r="J24" i="17"/>
  <c r="G119" i="17"/>
  <c r="J17" i="17"/>
  <c r="J16" i="17"/>
  <c r="J15" i="17"/>
  <c r="G134" i="17"/>
  <c r="C103" i="17"/>
  <c r="G103" i="17" s="1"/>
  <c r="J94" i="17"/>
  <c r="J93" i="17"/>
  <c r="G135" i="17"/>
  <c r="C104" i="17"/>
  <c r="G104" i="17" s="1"/>
  <c r="G136" i="17"/>
  <c r="C105" i="17"/>
  <c r="G105" i="17" s="1"/>
  <c r="C137" i="17"/>
  <c r="B91" i="14"/>
  <c r="G14" i="14"/>
  <c r="G15" i="14" s="1"/>
  <c r="D22" i="14"/>
  <c r="G22" i="14" s="1"/>
  <c r="F73" i="14"/>
  <c r="G73" i="14" s="1"/>
  <c r="D118" i="14"/>
  <c r="D104" i="14"/>
  <c r="G132" i="14"/>
  <c r="F119" i="14"/>
  <c r="F92" i="14" s="1"/>
  <c r="F118" i="14"/>
  <c r="F91" i="14" s="1"/>
  <c r="D137" i="14"/>
  <c r="G137" i="14" s="1"/>
  <c r="F104" i="14"/>
  <c r="F117" i="14"/>
  <c r="F90" i="14" s="1"/>
  <c r="F103" i="14"/>
  <c r="F116" i="14"/>
  <c r="F89" i="14" s="1"/>
  <c r="F102" i="14"/>
  <c r="E93" i="14"/>
  <c r="D102" i="14"/>
  <c r="D116" i="14"/>
  <c r="D93" i="14"/>
  <c r="D117" i="14"/>
  <c r="D103" i="14"/>
  <c r="C89" i="14"/>
  <c r="D114" i="14"/>
  <c r="G114" i="14" s="1"/>
  <c r="D131" i="14"/>
  <c r="G131" i="14" s="1"/>
  <c r="F54" i="14"/>
  <c r="G54" i="14" s="1"/>
  <c r="G38" i="14"/>
  <c r="C75" i="14"/>
  <c r="F75" i="14" s="1"/>
  <c r="G75" i="14" s="1"/>
  <c r="F74" i="14"/>
  <c r="G74" i="14" s="1"/>
  <c r="D71" i="14"/>
  <c r="C70" i="14"/>
  <c r="C66" i="14"/>
  <c r="C64" i="14"/>
  <c r="D68" i="14"/>
  <c r="F68" i="14" s="1"/>
  <c r="G68" i="14" s="1"/>
  <c r="D51" i="14"/>
  <c r="D66" i="14"/>
  <c r="D50" i="14"/>
  <c r="G33" i="14"/>
  <c r="D64" i="14"/>
  <c r="D49" i="14"/>
  <c r="D53" i="14"/>
  <c r="G37" i="14"/>
  <c r="G36" i="14"/>
  <c r="D52" i="14"/>
  <c r="C71" i="14" s="1"/>
  <c r="G35" i="14"/>
  <c r="G34" i="14"/>
  <c r="G21" i="14"/>
  <c r="G20" i="14"/>
  <c r="G100" i="14"/>
  <c r="G121" i="17" l="1"/>
  <c r="J122" i="17" s="1"/>
  <c r="G23" i="14"/>
  <c r="C119" i="14"/>
  <c r="C91" i="14"/>
  <c r="J145" i="17"/>
  <c r="J147" i="17"/>
  <c r="J146" i="17"/>
  <c r="J148" i="17"/>
  <c r="J149" i="17"/>
  <c r="G79" i="17"/>
  <c r="J80" i="17" s="1"/>
  <c r="J27" i="17"/>
  <c r="J28" i="17"/>
  <c r="J25" i="17"/>
  <c r="J26" i="17"/>
  <c r="J23" i="17"/>
  <c r="G152" i="17"/>
  <c r="G153" i="17" s="1"/>
  <c r="J167" i="17"/>
  <c r="G55" i="17"/>
  <c r="J55" i="17" s="1"/>
  <c r="G133" i="14"/>
  <c r="G138" i="14"/>
  <c r="J138" i="14" s="1"/>
  <c r="J139" i="14" s="1"/>
  <c r="J45" i="17"/>
  <c r="J44" i="17"/>
  <c r="J39" i="17"/>
  <c r="J43" i="17"/>
  <c r="J42" i="17"/>
  <c r="J40" i="17"/>
  <c r="G137" i="17"/>
  <c r="G138" i="17" s="1"/>
  <c r="C106" i="17"/>
  <c r="G106" i="17" s="1"/>
  <c r="G110" i="17" s="1"/>
  <c r="J16" i="14"/>
  <c r="J17" i="14"/>
  <c r="J15" i="14"/>
  <c r="G93" i="14"/>
  <c r="G104" i="14"/>
  <c r="G102" i="14"/>
  <c r="J134" i="14"/>
  <c r="D91" i="14"/>
  <c r="G91" i="14" s="1"/>
  <c r="G118" i="14"/>
  <c r="G103" i="14"/>
  <c r="D89" i="14"/>
  <c r="G89" i="14" s="1"/>
  <c r="G116" i="14"/>
  <c r="D90" i="14"/>
  <c r="G90" i="14" s="1"/>
  <c r="G117" i="14"/>
  <c r="G119" i="14"/>
  <c r="C92" i="14"/>
  <c r="G92" i="14" s="1"/>
  <c r="F66" i="14"/>
  <c r="G66" i="14" s="1"/>
  <c r="F71" i="14"/>
  <c r="G71" i="14" s="1"/>
  <c r="F64" i="14"/>
  <c r="G64" i="14" s="1"/>
  <c r="G53" i="14"/>
  <c r="C72" i="14"/>
  <c r="F72" i="14" s="1"/>
  <c r="G72" i="14" s="1"/>
  <c r="G52" i="14"/>
  <c r="D70" i="14"/>
  <c r="F70" i="14" s="1"/>
  <c r="G70" i="14" s="1"/>
  <c r="C69" i="14"/>
  <c r="F69" i="14" s="1"/>
  <c r="G69" i="14" s="1"/>
  <c r="G51" i="14"/>
  <c r="G50" i="14"/>
  <c r="C67" i="14"/>
  <c r="F67" i="14" s="1"/>
  <c r="G67" i="14" s="1"/>
  <c r="C65" i="14"/>
  <c r="F65" i="14" s="1"/>
  <c r="G65" i="14" s="1"/>
  <c r="G49" i="14"/>
  <c r="J125" i="17" l="1"/>
  <c r="J155" i="17"/>
  <c r="J153" i="17"/>
  <c r="J154" i="17"/>
  <c r="J123" i="17"/>
  <c r="J124" i="17"/>
  <c r="J121" i="17"/>
  <c r="J81" i="17"/>
  <c r="J79" i="17"/>
  <c r="J111" i="17"/>
  <c r="J57" i="17"/>
  <c r="J58" i="17"/>
  <c r="J59" i="17"/>
  <c r="J56" i="17"/>
  <c r="J140" i="17"/>
  <c r="J139" i="17"/>
  <c r="J138" i="17"/>
  <c r="J110" i="17"/>
  <c r="B62" i="14"/>
  <c r="B112" i="14"/>
  <c r="J186" i="17" l="1"/>
  <c r="C188" i="17" s="1"/>
  <c r="Q4" i="16"/>
  <c r="P4" i="16"/>
  <c r="L4" i="16"/>
  <c r="N4" i="16"/>
  <c r="F4" i="16"/>
  <c r="E4" i="16"/>
  <c r="M4" i="16" s="1"/>
  <c r="I4" i="16"/>
  <c r="H4" i="16"/>
  <c r="C191" i="17" l="1"/>
  <c r="E190" i="17"/>
  <c r="E191" i="17" s="1"/>
  <c r="K4" i="16"/>
  <c r="R4" i="16"/>
  <c r="C152" i="14"/>
  <c r="C151" i="14"/>
  <c r="G143" i="14"/>
  <c r="J143" i="14" s="1"/>
  <c r="G141" i="14"/>
  <c r="J141" i="14" s="1"/>
  <c r="I105" i="14"/>
  <c r="F115" i="14"/>
  <c r="D115" i="14"/>
  <c r="B88" i="14"/>
  <c r="C115" i="14"/>
  <c r="B115" i="14"/>
  <c r="C125" i="14"/>
  <c r="C48" i="14"/>
  <c r="C62" i="14" s="1"/>
  <c r="B48" i="14"/>
  <c r="B64" i="14" s="1"/>
  <c r="D48" i="14"/>
  <c r="C63" i="14" s="1"/>
  <c r="U4" i="16" l="1"/>
  <c r="G112" i="14"/>
  <c r="G113" i="14"/>
  <c r="G98" i="14"/>
  <c r="C149" i="14"/>
  <c r="F62" i="14"/>
  <c r="G62" i="14" s="1"/>
  <c r="F63" i="14"/>
  <c r="G63" i="14" s="1"/>
  <c r="G101" i="14"/>
  <c r="G99" i="14"/>
  <c r="G48" i="14"/>
  <c r="G55" i="14" s="1"/>
  <c r="G88" i="14"/>
  <c r="G94" i="14" s="1"/>
  <c r="J95" i="14" s="1"/>
  <c r="G115" i="14"/>
  <c r="G81" i="14"/>
  <c r="G82" i="14" s="1"/>
  <c r="G32" i="14"/>
  <c r="G39" i="14" s="1"/>
  <c r="G105" i="14" l="1"/>
  <c r="G76" i="14"/>
  <c r="G120" i="14"/>
  <c r="J122" i="14" s="1"/>
  <c r="G125" i="14"/>
  <c r="G126" i="14" s="1"/>
  <c r="J85" i="14"/>
  <c r="J84" i="14"/>
  <c r="J83" i="14"/>
  <c r="J82" i="14"/>
  <c r="J94" i="14"/>
  <c r="J127" i="14" l="1"/>
  <c r="J28" i="14"/>
  <c r="J29" i="14"/>
  <c r="J27" i="14"/>
  <c r="J26" i="14"/>
  <c r="J25" i="14"/>
  <c r="J24" i="14"/>
  <c r="J120" i="14"/>
  <c r="J121" i="14"/>
  <c r="J23" i="14"/>
  <c r="J109" i="14"/>
  <c r="J108" i="14"/>
  <c r="J107" i="14"/>
  <c r="J106" i="14"/>
  <c r="J105" i="14"/>
  <c r="J128" i="14" l="1"/>
  <c r="J126" i="14"/>
  <c r="J133" i="14"/>
  <c r="J58" i="14" l="1"/>
  <c r="J59" i="14"/>
  <c r="J57" i="14"/>
  <c r="J56" i="14"/>
  <c r="J55" i="14"/>
  <c r="J76" i="14"/>
  <c r="J78" i="14"/>
  <c r="J77" i="14"/>
  <c r="J45" i="14"/>
  <c r="J41" i="14"/>
  <c r="J44" i="14"/>
  <c r="J43" i="14"/>
  <c r="J42" i="14"/>
  <c r="J40" i="14"/>
  <c r="J39" i="14"/>
  <c r="J145" i="14" l="1"/>
  <c r="C147" i="14" s="1"/>
  <c r="C150" i="14" l="1"/>
  <c r="E149" i="14"/>
  <c r="E150" i="14" s="1"/>
</calcChain>
</file>

<file path=xl/sharedStrings.xml><?xml version="1.0" encoding="utf-8"?>
<sst xmlns="http://schemas.openxmlformats.org/spreadsheetml/2006/main" count="1112" uniqueCount="161">
  <si>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</si>
  <si>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</si>
  <si>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</si>
  <si>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</si>
  <si>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</si>
  <si>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</si>
  <si>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</si>
  <si>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</si>
  <si>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</si>
  <si>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</si>
  <si>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</si>
  <si>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</si>
  <si>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</si>
  <si>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</si>
  <si>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</si>
  <si>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</si>
  <si>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</si>
  <si>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</si>
  <si>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</si>
  <si>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</si>
  <si>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</si>
  <si>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</si>
  <si>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</si>
  <si>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</si>
  <si>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</si>
  <si>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</si>
  <si>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</si>
  <si>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</si>
  <si>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</si>
  <si>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</si>
  <si>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</si>
  <si>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</si>
  <si>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-13% VAT for cement</t>
  </si>
  <si>
    <t>-13% VAT for aggregate</t>
  </si>
  <si>
    <t>sqm</t>
  </si>
  <si>
    <t>-13% VAT for water</t>
  </si>
  <si>
    <t>cf/=;L=;L= nflu kmnfd] 808L sf6\g], df]8\g] #) dL6/ ;Dd</t>
  </si>
  <si>
    <t>-13% VAT for binding wire</t>
  </si>
  <si>
    <t>-13% VAT for TMT rod</t>
  </si>
  <si>
    <t>Unit Weight (Kg/m)</t>
  </si>
  <si>
    <t>Total Weight (Kg)</t>
  </si>
  <si>
    <t>MT</t>
  </si>
  <si>
    <t>d]lzgsf] k|of]u u/L ;'k/ :6«Sr/df l;d]G6 s+lqm6 ug]{ sfd -!M!=%M#_</t>
  </si>
  <si>
    <t>-13% VAT for diesel</t>
  </si>
  <si>
    <t>-13% VAT for petrol</t>
  </si>
  <si>
    <t>kmnfd]sf] kfOk / KnfOaf]8{af6 kmdf{ agfpg] sfd</t>
  </si>
  <si>
    <t>-13% VAT for plyboard</t>
  </si>
  <si>
    <t>-13% VAT for wood</t>
  </si>
  <si>
    <t>-13% VAT for iron props</t>
  </si>
  <si>
    <t>-13% VAT for nails</t>
  </si>
  <si>
    <t>l;d]G6 s+qmL6 ˆnf]l/Ë -!M@M$_ -#* dL=dL=_</t>
  </si>
  <si>
    <t>!@=% dL=dL= l;d]G6 afn'jf -!M$_ Knfi6/</t>
  </si>
  <si>
    <t># dL=dL= df]6fO{ d;Lgf] l;d]G6 3f]6\g] sfd</t>
  </si>
  <si>
    <t>-13% VAT for brick</t>
  </si>
  <si>
    <t>g/d k|sf/sf] Sn] / l;N6L df6f]df ;j} lsl;dsf] vGg] sfd</t>
  </si>
  <si>
    <t>;'Vvf O{6f RofK6f] 5fKg] sfd</t>
  </si>
  <si>
    <t>e'O{+tNnfdf lrDgL e§fsf] O{+6fsf] uf/f] l;d]G6 d;nf -!M^_ df</t>
  </si>
  <si>
    <t>-13% VAT for sanda</t>
  </si>
  <si>
    <t>-deduction for window</t>
  </si>
  <si>
    <t xml:space="preserve"> Ps sf]6 k|fO{d/ ;lxt b'O{ sf]6 j]b/sf]6 k]G6 ug]{ sfd</t>
  </si>
  <si>
    <t>-13% VAT for aster</t>
  </si>
  <si>
    <t>-13% VAT for weather coat</t>
  </si>
  <si>
    <t xml:space="preserve">Date:                  </t>
  </si>
  <si>
    <t>Foundation size</t>
  </si>
  <si>
    <t>Plinth size</t>
  </si>
  <si>
    <t>Depth</t>
  </si>
  <si>
    <t>Depth from GL</t>
  </si>
  <si>
    <t>Footing size</t>
  </si>
  <si>
    <t>Length in PL area</t>
  </si>
  <si>
    <t>Breadth in PL area</t>
  </si>
  <si>
    <t>Toe wall</t>
  </si>
  <si>
    <t>Length L1</t>
  </si>
  <si>
    <t>Length L2</t>
  </si>
  <si>
    <t>Ht. H1</t>
  </si>
  <si>
    <t>Ht. H2</t>
  </si>
  <si>
    <t>Tie beam size</t>
  </si>
  <si>
    <t>Width</t>
  </si>
  <si>
    <t>Column size</t>
  </si>
  <si>
    <t>Length/B</t>
  </si>
  <si>
    <t>Ht. above PL upto ceiling</t>
  </si>
  <si>
    <t>Ht. upto plinth</t>
  </si>
  <si>
    <t>Knfi6/ dfly @) dL=dL= afSnf] emNn/ jf kfgL k§L agfpg] sfd</t>
  </si>
  <si>
    <t>rm</t>
  </si>
  <si>
    <t>Provisional sum for unforseen works</t>
  </si>
  <si>
    <t>d]lzgsf] k|of]u u/L hu leQf kvf{ndf l;d]G6 s+lqm6 ug]{ sfd -!M@M$_</t>
  </si>
  <si>
    <t>-as plaster</t>
  </si>
  <si>
    <t>-for wall continue</t>
  </si>
  <si>
    <t>-deduction for door</t>
  </si>
  <si>
    <t>-for lintel</t>
  </si>
  <si>
    <t>-beam</t>
  </si>
  <si>
    <t>-upper beam</t>
  </si>
  <si>
    <t>-slab</t>
  </si>
  <si>
    <t>-stirrups</t>
  </si>
  <si>
    <t>-column</t>
  </si>
  <si>
    <r>
      <t>Project:-</t>
    </r>
    <r>
      <rPr>
        <sz val="12"/>
        <rFont val="Preeti"/>
      </rPr>
      <t xml:space="preserve"> k~rkfn] led;]g dlGb/ cw'/f]</t>
    </r>
  </si>
  <si>
    <t>-flooring</t>
  </si>
  <si>
    <t>Carved salwood lattice (jali) shutter of carved door/window including wood</t>
  </si>
  <si>
    <t>-door</t>
  </si>
  <si>
    <t>-window</t>
  </si>
  <si>
    <t>-13% VAT for salwood</t>
  </si>
  <si>
    <t>Water tap size</t>
  </si>
  <si>
    <t>length</t>
  </si>
  <si>
    <t>thickness</t>
  </si>
  <si>
    <t>Height 1</t>
  </si>
  <si>
    <t>Height 2</t>
  </si>
  <si>
    <t>Width of stand tap</t>
  </si>
  <si>
    <t>-for stand tap</t>
  </si>
  <si>
    <t>-for wing walls of stand tap</t>
  </si>
  <si>
    <t>-for side wall of stand tap</t>
  </si>
  <si>
    <t>-for floor area</t>
  </si>
  <si>
    <t>20mm GI pipe threaded-Medium class</t>
  </si>
  <si>
    <t>-for pipe laying</t>
  </si>
  <si>
    <t>sub-total</t>
  </si>
  <si>
    <t>-13% VAT</t>
  </si>
  <si>
    <t>-stand</t>
  </si>
  <si>
    <t>!^ dL=dL=u|]gfO{6, @) dL dL afSnf] !M@ efusf] l;d]G6 d;nfdf 5fkL 3f]6\g] / kflnz ;d]t ug]{</t>
  </si>
  <si>
    <t>-13% VAT for 16mm granite</t>
  </si>
  <si>
    <r>
      <t xml:space="preserve">-13% VAT for </t>
    </r>
    <r>
      <rPr>
        <sz val="11"/>
        <rFont val="Preeti"/>
      </rPr>
      <t>cShflns Pl;8</t>
    </r>
  </si>
  <si>
    <r>
      <t xml:space="preserve">-13% VAT for </t>
    </r>
    <r>
      <rPr>
        <sz val="11"/>
        <rFont val="Preeti"/>
      </rPr>
      <t>d}g kflnz</t>
    </r>
  </si>
  <si>
    <r>
      <t xml:space="preserve">-13% VAT for </t>
    </r>
    <r>
      <rPr>
        <sz val="11"/>
        <rFont val="Preeti"/>
      </rPr>
      <t>tf/k]G6fOg</t>
    </r>
  </si>
  <si>
    <r>
      <t xml:space="preserve">-13% VAT for </t>
    </r>
    <r>
      <rPr>
        <sz val="11"/>
        <rFont val="Preeti"/>
      </rPr>
      <t>sfaf]{/08d 9'ª\uf</t>
    </r>
  </si>
  <si>
    <t>-peti area</t>
  </si>
  <si>
    <t>-at top</t>
  </si>
  <si>
    <t>-13% VAT for water proofing</t>
  </si>
  <si>
    <t>-roof</t>
  </si>
  <si>
    <t>ljleGg ;fO{hsf] kmnfd] PËn km]lj|s]zg u/L k|fOd/ k]G6 ;lxt ug]{ sfd</t>
  </si>
  <si>
    <t>Unit weight (Kg/m)</t>
  </si>
  <si>
    <t>Weight (Kg)</t>
  </si>
  <si>
    <t>Kg</t>
  </si>
  <si>
    <t>-13% VAT for any kind of angles and MS black pipes</t>
  </si>
  <si>
    <t>-13% VAT for primer</t>
  </si>
  <si>
    <t>-MS square pipe for post of 3"*3"*1.6mm thickness</t>
  </si>
  <si>
    <t>-MS square pipe for binding of 80mm*40mm*1.6mm thickness</t>
  </si>
  <si>
    <t>-flooring inside</t>
  </si>
  <si>
    <r>
      <t>kf]/l;lng Un]H8 6fO{n</t>
    </r>
    <r>
      <rPr>
        <sz val="10"/>
        <rFont val="Arial"/>
        <family val="2"/>
      </rPr>
      <t>(Ordinary floor and Wall Tile-as per approved standard of manufactured country</t>
    </r>
    <r>
      <rPr>
        <sz val="14"/>
        <rFont val="Arial"/>
        <family val="2"/>
      </rPr>
      <t>)</t>
    </r>
    <r>
      <rPr>
        <sz val="14"/>
        <rFont val="Preeti"/>
      </rPr>
      <t xml:space="preserve"> !M$ l;d]G6 afn'jfdf 5fKg] sfd .</t>
    </r>
  </si>
  <si>
    <t>-inside face of wall</t>
  </si>
  <si>
    <t>-13% VAT for white cement</t>
  </si>
  <si>
    <t>-13% VAT for porcelain glazed tile</t>
  </si>
  <si>
    <t>Highly Carved salwood lattice (jali) shutter of carved door/window including wood</t>
  </si>
  <si>
    <t>Work Completion Report</t>
  </si>
  <si>
    <t>Total Estimated Amount:</t>
  </si>
  <si>
    <t>Total Valuated Amount :</t>
  </si>
  <si>
    <t xml:space="preserve">Work Started : </t>
  </si>
  <si>
    <t xml:space="preserve">Work Finished:           </t>
  </si>
  <si>
    <t xml:space="preserve">F.Y:2082/2083            </t>
  </si>
  <si>
    <t>S.No.</t>
  </si>
  <si>
    <t>Description</t>
  </si>
  <si>
    <t>Estimated</t>
  </si>
  <si>
    <t>Valuated</t>
  </si>
  <si>
    <t>Difference</t>
  </si>
  <si>
    <t>Remarks</t>
  </si>
  <si>
    <t xml:space="preserve">Quantity </t>
  </si>
  <si>
    <r>
      <t>kf]/l;lng Un]H8 6fO{n</t>
    </r>
    <r>
      <rPr>
        <sz val="10"/>
        <rFont val="Arial"/>
        <family val="2"/>
      </rPr>
      <t>(Ordinary floor and Wall Tile-as per approved standard of  manufactured country</t>
    </r>
    <r>
      <rPr>
        <sz val="14"/>
        <rFont val="Arial"/>
        <family val="2"/>
      </rPr>
      <t>)</t>
    </r>
    <r>
      <rPr>
        <sz val="14"/>
        <rFont val="Preeti"/>
      </rPr>
      <t xml:space="preserve"> !M$ l;d]G6 afn'jfdf 5fKg] sfd .</t>
    </r>
  </si>
  <si>
    <t>-cantilever</t>
  </si>
  <si>
    <t>-at upper floor</t>
  </si>
  <si>
    <t>Detail Quantity Measurement Sheet</t>
  </si>
  <si>
    <t>Detail Valuated Sheet</t>
  </si>
  <si>
    <t>Total Valuated</t>
  </si>
  <si>
    <t xml:space="preserve">Date:2083/06/20       </t>
  </si>
  <si>
    <t>Date: 2083/06/20</t>
  </si>
  <si>
    <t>cu|fv sf7sf] rf}s; agfO hf]8\g] sfd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</si>
</sst>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27"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
      <sz val="8"/>
      <name val="Calibri"/>
      <family val="2"/>
      <scheme val="minor"/>
    </font>
    <font>
      <sz val="11"/>
      <name val="Preeti"/>
    </font>
    <font>
      <sz val="14"/>
      <name val="Preeti"/>
    </font>
    <font>
      <sz val="14"/>
      <name val="Arial"/>
      <family val="2"/>
    </font>
    <font>
      <sz val="11"/>
      <color theme="6" tint="-0.499984740745262"/>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1"/>
      <color theme="1"/>
      <name val="Times New Roman"/>
      <family val="1"/>
    </font>
    <font>
      <sz val="12"/>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118">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14" fillId="0" borderId="2" xfId="0" applyFont="1" applyBorder="1" applyAlignment="1">
      <alignment wrapText="1"/>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2" fontId="0" fillId="0" borderId="2" xfId="0" applyNumberForma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164" fontId="0" fillId="0" borderId="2" xfId="0" applyNumberFormat="1" applyBorder="1"/>
    <xf numFmtId="164" fontId="3" fillId="0" borderId="2" xfId="1" applyNumberFormat="1" applyFont="1" applyFill="1" applyBorder="1" applyAlignment="1">
      <alignment vertical="center"/>
    </xf>
    <xf numFmtId="0" fontId="0" fillId="0" borderId="2" xfId="0" applyBorder="1" applyAlignment="1">
      <alignment vertical="center" wrapText="1"/>
    </xf>
    <xf numFmtId="0" fontId="0" fillId="0" borderId="0" xfId="0" applyAlignment="1">
      <alignment wrapText="1"/>
    </xf>
    <xf numFmtId="164" fontId="4" fillId="0" borderId="2" xfId="0" applyNumberFormat="1" applyFont="1" applyBorder="1"/>
    <xf numFmtId="0" fontId="4" fillId="0" borderId="2" xfId="0" quotePrefix="1" applyFont="1" applyBorder="1" applyAlignment="1">
      <alignment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2" fontId="4" fillId="0" borderId="0" xfId="0" applyNumberFormat="1" applyFont="1"/>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2" fontId="0" fillId="0" borderId="2" xfId="0" quotePrefix="1" applyNumberFormat="1" applyBorder="1" applyAlignment="1">
      <alignment horizontal="right"/>
    </xf>
    <xf numFmtId="165" fontId="0" fillId="0" borderId="2" xfId="0" applyNumberFormat="1" applyBorder="1"/>
    <xf numFmtId="0" fontId="0" fillId="0" borderId="2" xfId="0" applyBorder="1" applyAlignment="1">
      <alignment wrapText="1"/>
    </xf>
    <xf numFmtId="0" fontId="0" fillId="0" borderId="2" xfId="0" quotePrefix="1" applyBorder="1" applyAlignment="1">
      <alignment horizontal="right" wrapText="1"/>
    </xf>
    <xf numFmtId="0" fontId="4" fillId="0" borderId="2" xfId="0" quotePrefix="1" applyFont="1" applyBorder="1" applyAlignment="1">
      <alignment horizontal="right" vertical="center" wrapText="1"/>
    </xf>
    <xf numFmtId="164" fontId="0" fillId="0" borderId="2" xfId="0" quotePrefix="1" applyNumberFormat="1" applyBorder="1" applyAlignment="1">
      <alignment horizontal="right"/>
    </xf>
    <xf numFmtId="0" fontId="19" fillId="0" borderId="2" xfId="0" quotePrefix="1" applyFont="1" applyBorder="1" applyAlignment="1">
      <alignment horizontal="right"/>
    </xf>
    <xf numFmtId="164" fontId="19" fillId="0" borderId="2" xfId="0" applyNumberFormat="1" applyFont="1" applyBorder="1"/>
    <xf numFmtId="2" fontId="19" fillId="0" borderId="2" xfId="0" applyNumberFormat="1" applyFont="1" applyBorder="1"/>
    <xf numFmtId="0" fontId="23" fillId="0" borderId="0" xfId="0" applyFont="1"/>
    <xf numFmtId="0" fontId="24" fillId="0" borderId="0" xfId="0" applyFont="1" applyAlignment="1">
      <alignment horizontal="center"/>
    </xf>
    <xf numFmtId="0" fontId="0" fillId="0" borderId="0" xfId="0" applyAlignment="1">
      <alignment horizontal="left"/>
    </xf>
    <xf numFmtId="0" fontId="0" fillId="2" borderId="2" xfId="0" applyFill="1" applyBorder="1"/>
    <xf numFmtId="1" fontId="20" fillId="0" borderId="2" xfId="0" applyNumberFormat="1" applyFont="1" applyBorder="1" applyAlignment="1">
      <alignment vertical="center"/>
    </xf>
    <xf numFmtId="43" fontId="13" fillId="0" borderId="2" xfId="1" applyFont="1" applyBorder="1" applyAlignment="1">
      <alignment vertical="center"/>
    </xf>
    <xf numFmtId="0" fontId="20" fillId="0" borderId="2" xfId="0" applyFont="1" applyBorder="1" applyAlignment="1">
      <alignment vertical="center"/>
    </xf>
    <xf numFmtId="0" fontId="25" fillId="0" borderId="2" xfId="0" applyFont="1" applyBorder="1" applyAlignment="1">
      <alignment vertical="center"/>
    </xf>
    <xf numFmtId="0" fontId="4" fillId="0" borderId="2" xfId="0" quotePrefix="1" applyFont="1" applyBorder="1" applyAlignment="1">
      <alignment horizontal="right" wrapText="1"/>
    </xf>
    <xf numFmtId="0" fontId="8" fillId="3" borderId="2" xfId="0" applyFont="1" applyFill="1" applyBorder="1" applyAlignment="1">
      <alignment vertical="center" wrapText="1"/>
    </xf>
    <xf numFmtId="1" fontId="26" fillId="0" borderId="2" xfId="0" applyNumberFormat="1" applyFont="1" applyBorder="1" applyAlignment="1">
      <alignment horizontal="right" vertical="center" wrapText="1"/>
    </xf>
    <xf numFmtId="0" fontId="14" fillId="3" borderId="2" xfId="0" applyFont="1" applyFill="1" applyBorder="1" applyAlignment="1">
      <alignment vertical="center" wrapText="1"/>
    </xf>
    <xf numFmtId="1" fontId="25" fillId="0" borderId="2" xfId="0" applyNumberFormat="1" applyFont="1" applyBorder="1" applyAlignment="1">
      <alignment vertical="center" wrapText="1"/>
    </xf>
    <xf numFmtId="0" fontId="13" fillId="0" borderId="2" xfId="0" applyFont="1" applyBorder="1" applyAlignment="1">
      <alignment horizontal="right"/>
    </xf>
    <xf numFmtId="2" fontId="13" fillId="0" borderId="2" xfId="0" applyNumberFormat="1" applyFont="1" applyBorder="1"/>
    <xf numFmtId="43" fontId="13" fillId="0" borderId="2" xfId="1" applyFont="1" applyBorder="1"/>
    <xf numFmtId="0" fontId="8" fillId="0" borderId="1" xfId="0" applyFont="1" applyBorder="1" applyAlignment="1">
      <alignment horizontal="right"/>
    </xf>
    <xf numFmtId="0" fontId="8" fillId="0" borderId="0" xfId="0" applyFont="1" applyAlignment="1">
      <alignment horizontal="right"/>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4" fillId="0" borderId="2" xfId="0" applyFont="1" applyBorder="1" applyAlignment="1">
      <alignment horizontal="center" vertical="center" wrapText="1"/>
    </xf>
    <xf numFmtId="0" fontId="0" fillId="0" borderId="2" xfId="0" applyBorder="1" applyAlignment="1">
      <alignment horizontal="center" vertical="center"/>
    </xf>
    <xf numFmtId="0" fontId="0" fillId="2" borderId="2" xfId="0" applyFill="1" applyBorder="1" applyAlignment="1">
      <alignment horizontal="center" vertical="center" wrapText="1"/>
    </xf>
    <xf numFmtId="0" fontId="0" fillId="2" borderId="2" xfId="0" applyFill="1" applyBorder="1" applyAlignment="1">
      <alignment horizontal="center" vertical="center"/>
    </xf>
    <xf numFmtId="0" fontId="0" fillId="2" borderId="2" xfId="0" applyFill="1" applyBorder="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left"/>
    </xf>
    <xf numFmtId="43" fontId="23" fillId="0" borderId="0" xfId="0" applyNumberFormat="1" applyFont="1" applyAlignment="1">
      <alignment horizontal="center"/>
    </xf>
    <xf numFmtId="0" fontId="23" fillId="0" borderId="0" xfId="0" applyFont="1" applyAlignment="1">
      <alignment horizontal="center"/>
    </xf>
    <xf numFmtId="0" fontId="20" fillId="0" borderId="0" xfId="0" applyFont="1" applyAlignment="1">
      <alignment horizontal="center"/>
    </xf>
    <xf numFmtId="0" fontId="21" fillId="0" borderId="0" xfId="0" applyFont="1" applyAlignment="1">
      <alignment horizontal="center"/>
    </xf>
    <xf numFmtId="0" fontId="13" fillId="0" borderId="0" xfId="0" applyFont="1" applyAlignment="1">
      <alignment horizontal="center" vertical="center"/>
    </xf>
    <xf numFmtId="0" fontId="22" fillId="0" borderId="0" xfId="0" applyFont="1" applyAlignment="1">
      <alignment horizontal="center"/>
    </xf>
    <xf numFmtId="0" fontId="8" fillId="0" borderId="1" xfId="0" applyFont="1" applyBorder="1" applyAlignment="1"/>
    <xf numFmtId="0" fontId="8" fillId="0" borderId="0" xfId="0" applyFont="1" applyAlignment="1"/>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079-080/Rate%20Analysis/Road-rate-analysis-079-80-shankharapur-as-per-dor-norms-nnnn.xlsx" TargetMode="External"/><Relationship Id="rId1" Type="http://schemas.openxmlformats.org/officeDocument/2006/relationships/externalLinkPath" Target="/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081_082/ofc/ofc/For-all-Road-rate-analysis-81-82-shankharapur-as-per-dor-norms.xlsx" TargetMode="External"/><Relationship Id="rId1" Type="http://schemas.openxmlformats.org/officeDocument/2006/relationships/externalLinkPath" Target="/081_082/ofc/ofc/For-all-Road-rate-analysis-81-82-shankharapur-as-per-dor-norm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082_083/ward1/&#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 Id="rId1" Type="http://schemas.openxmlformats.org/officeDocument/2006/relationships/externalLinkPath" Target="/082_083/ward1/&#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timate"/>
      <sheetName val="valuation"/>
      <sheetName val="WCR"/>
      <sheetName val="m"/>
    </sheetNames>
    <sheetDataSet>
      <sheetData sheetId="0">
        <row r="6">
          <cell r="A6" t="str">
            <v>Project:-तिनघरे बाटो स्तरोन्नति</v>
          </cell>
        </row>
        <row r="7">
          <cell r="A7" t="str">
            <v>Location:- Shankharapur Municipality 1</v>
          </cell>
        </row>
      </sheetData>
      <sheetData sheetId="1">
        <row r="12">
          <cell r="G12">
            <v>63.93</v>
          </cell>
        </row>
      </sheetData>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2"/>
  <sheetViews>
    <sheetView topLeftCell="A79" zoomScaleNormal="100" workbookViewId="0">
      <selection activeCell="J96" sqref="J96"/>
    </sheetView>
  </sheetViews>
  <sheetFormatPr defaultColWidth="9.140625" defaultRowHeight="15" x14ac:dyDescent="0.25"/>
  <cols>
    <col min="1" max="1" width="4.7109375" customWidth="1"/>
    <col min="2" max="2" width="30.85546875" customWidth="1"/>
    <col min="3" max="3" width="4.5703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25" x14ac:dyDescent="0.25">
      <c r="A1" s="86" t="s">
        <v>0</v>
      </c>
      <c r="B1" s="86"/>
      <c r="C1" s="86"/>
      <c r="D1" s="86"/>
      <c r="E1" s="86"/>
      <c r="F1" s="86"/>
      <c r="G1" s="86"/>
      <c r="H1" s="86"/>
      <c r="I1" s="86"/>
      <c r="J1" s="86"/>
      <c r="K1" s="86"/>
    </row>
    <row r="2" spans="1:25" ht="22.5" x14ac:dyDescent="0.25">
      <c r="A2" s="87" t="s">
        <v>1</v>
      </c>
      <c r="B2" s="87"/>
      <c r="C2" s="87"/>
      <c r="D2" s="87"/>
      <c r="E2" s="87"/>
      <c r="F2" s="87"/>
      <c r="G2" s="87"/>
      <c r="H2" s="87"/>
      <c r="I2" s="87"/>
      <c r="J2" s="87"/>
      <c r="K2" s="87"/>
    </row>
    <row r="3" spans="1:25" x14ac:dyDescent="0.25">
      <c r="A3" s="88" t="s">
        <v>2</v>
      </c>
      <c r="B3" s="88"/>
      <c r="C3" s="88"/>
      <c r="D3" s="88"/>
      <c r="E3" s="88"/>
      <c r="F3" s="88"/>
      <c r="G3" s="88"/>
      <c r="H3" s="88"/>
      <c r="I3" s="88"/>
      <c r="J3" s="88"/>
      <c r="K3" s="88"/>
    </row>
    <row r="4" spans="1:25" x14ac:dyDescent="0.25">
      <c r="A4" s="88" t="s">
        <v>3</v>
      </c>
      <c r="B4" s="88"/>
      <c r="C4" s="88"/>
      <c r="D4" s="88"/>
      <c r="E4" s="88"/>
      <c r="F4" s="88"/>
      <c r="G4" s="88"/>
      <c r="H4" s="88"/>
      <c r="I4" s="88"/>
      <c r="J4" s="88"/>
      <c r="K4" s="88"/>
    </row>
    <row r="5" spans="1:25" ht="18.75" x14ac:dyDescent="0.3">
      <c r="A5" s="89" t="s">
        <v>4</v>
      </c>
      <c r="B5" s="89"/>
      <c r="C5" s="89"/>
      <c r="D5" s="89"/>
      <c r="E5" s="89"/>
      <c r="F5" s="89"/>
      <c r="G5" s="89"/>
      <c r="H5" s="89"/>
      <c r="I5" s="89"/>
      <c r="J5" s="89"/>
      <c r="K5" s="89"/>
    </row>
    <row r="6" spans="1:25" ht="15.75" x14ac:dyDescent="0.25">
      <c r="A6" s="84" t="s">
        <v>94</v>
      </c>
      <c r="B6" s="84"/>
      <c r="C6" s="84"/>
      <c r="D6" s="84"/>
      <c r="E6" s="84"/>
      <c r="F6" s="84"/>
      <c r="G6" s="4"/>
      <c r="H6" s="85" t="s">
        <v>25</v>
      </c>
      <c r="I6" s="85"/>
      <c r="J6" s="85"/>
      <c r="K6" s="85"/>
    </row>
    <row r="7" spans="1:25" ht="15.75" x14ac:dyDescent="0.25">
      <c r="A7" s="92" t="s">
        <v>29</v>
      </c>
      <c r="B7" s="92"/>
      <c r="C7" s="92"/>
      <c r="D7" s="92"/>
      <c r="E7" s="92"/>
      <c r="F7" s="92"/>
      <c r="G7" s="5"/>
      <c r="H7" s="93" t="s">
        <v>62</v>
      </c>
      <c r="I7" s="93"/>
      <c r="J7" s="93"/>
      <c r="K7" s="93"/>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26">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0.42150640397118022</v>
      </c>
      <c r="H11" s="21" t="s">
        <v>28</v>
      </c>
      <c r="I11" s="2">
        <v>674.12</v>
      </c>
      <c r="J11" s="22">
        <f>G11*I11</f>
        <v>284.14589704505204</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26">
        <f>C10</f>
        <v>1</v>
      </c>
      <c r="D14" s="27">
        <f>D10</f>
        <v>1.6763181956720512</v>
      </c>
      <c r="E14" s="27">
        <f>E10</f>
        <v>1.6763181956720512</v>
      </c>
      <c r="F14" s="26"/>
      <c r="G14" s="27">
        <f>PRODUCT(C14:F14)</f>
        <v>2.8100426931412015</v>
      </c>
      <c r="H14" s="26"/>
      <c r="I14" s="26"/>
      <c r="J14" s="26"/>
      <c r="K14" s="26"/>
    </row>
    <row r="15" spans="1:25" s="10" customFormat="1" ht="13.9" customHeight="1" x14ac:dyDescent="0.25">
      <c r="A15" s="17"/>
      <c r="B15" s="18" t="s">
        <v>16</v>
      </c>
      <c r="C15" s="19"/>
      <c r="D15" s="1"/>
      <c r="E15" s="20"/>
      <c r="F15" s="20"/>
      <c r="G15" s="2">
        <f>SUM(G14)</f>
        <v>2.8100426931412015</v>
      </c>
      <c r="H15" s="21" t="s">
        <v>34</v>
      </c>
      <c r="I15" s="2">
        <v>1017.47</v>
      </c>
      <c r="J15" s="22">
        <f>G15*I15</f>
        <v>2859.1341389903782</v>
      </c>
      <c r="K15" s="20"/>
    </row>
    <row r="16" spans="1:25" s="10" customFormat="1" x14ac:dyDescent="0.25">
      <c r="A16" s="24"/>
      <c r="B16" s="25" t="s">
        <v>53</v>
      </c>
      <c r="C16" s="26"/>
      <c r="D16" s="26"/>
      <c r="E16" s="26"/>
      <c r="F16" s="26"/>
      <c r="G16" s="26"/>
      <c r="H16" s="26"/>
      <c r="I16" s="26"/>
      <c r="J16" s="22">
        <f>0.13*G15*6360.9/10</f>
        <v>232.36720736842426</v>
      </c>
      <c r="K16" s="26"/>
    </row>
    <row r="17" spans="1:11" s="10" customFormat="1" x14ac:dyDescent="0.25">
      <c r="A17" s="24"/>
      <c r="B17" s="25" t="s">
        <v>31</v>
      </c>
      <c r="C17" s="26"/>
      <c r="D17" s="26"/>
      <c r="E17" s="26"/>
      <c r="F17" s="26"/>
      <c r="G17" s="26"/>
      <c r="H17" s="26"/>
      <c r="I17" s="26"/>
      <c r="J17" s="22">
        <f>0.13*G15*2256.3/10</f>
        <v>82.423891270948417</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15">
        <f>2</f>
        <v>2</v>
      </c>
      <c r="D20" s="3">
        <f>15/3.281</f>
        <v>4.5717768972874122</v>
      </c>
      <c r="E20" s="3">
        <v>0.35</v>
      </c>
      <c r="F20" s="3">
        <v>0.1</v>
      </c>
      <c r="G20" s="3">
        <f>PRODUCT(C20:F20)</f>
        <v>0.32002438281011886</v>
      </c>
      <c r="H20" s="15"/>
      <c r="I20" s="15"/>
      <c r="J20" s="15"/>
      <c r="K20" s="15"/>
    </row>
    <row r="21" spans="1:11" x14ac:dyDescent="0.25">
      <c r="A21" s="15"/>
      <c r="B21" s="16"/>
      <c r="C21" s="15">
        <f>2</f>
        <v>2</v>
      </c>
      <c r="D21" s="3">
        <f>9.75/3.281</f>
        <v>2.9716549832368178</v>
      </c>
      <c r="E21" s="3">
        <v>0.35</v>
      </c>
      <c r="F21" s="3">
        <v>0.1</v>
      </c>
      <c r="G21" s="3">
        <f>PRODUCT(C21:F21)</f>
        <v>0.20801584882657723</v>
      </c>
      <c r="H21" s="15"/>
      <c r="I21" s="15"/>
      <c r="J21" s="15"/>
      <c r="K21" s="15"/>
    </row>
    <row r="22" spans="1:11" x14ac:dyDescent="0.25">
      <c r="A22" s="15"/>
      <c r="B22" s="16" t="str">
        <f>B14</f>
        <v>-for stand tap</v>
      </c>
      <c r="C22" s="16">
        <f t="shared" ref="C22:E22" si="0">C14</f>
        <v>1</v>
      </c>
      <c r="D22" s="57">
        <f t="shared" si="0"/>
        <v>1.6763181956720512</v>
      </c>
      <c r="E22" s="57">
        <f t="shared" si="0"/>
        <v>1.6763181956720512</v>
      </c>
      <c r="F22" s="57">
        <v>0.1</v>
      </c>
      <c r="G22" s="3">
        <f>PRODUCT(C22:F22)</f>
        <v>0.28100426931412015</v>
      </c>
      <c r="H22" s="15"/>
      <c r="I22" s="15"/>
      <c r="J22" s="15"/>
      <c r="K22" s="15"/>
    </row>
    <row r="23" spans="1:11" s="10" customFormat="1" ht="15" customHeight="1" x14ac:dyDescent="0.25">
      <c r="A23" s="17"/>
      <c r="B23" s="18" t="s">
        <v>16</v>
      </c>
      <c r="C23" s="19"/>
      <c r="D23" s="1"/>
      <c r="E23" s="20"/>
      <c r="F23" s="20"/>
      <c r="G23" s="2">
        <f>SUM(G20:G22)</f>
        <v>0.80904450095081626</v>
      </c>
      <c r="H23" s="21" t="s">
        <v>28</v>
      </c>
      <c r="I23" s="2">
        <v>12884.61</v>
      </c>
      <c r="J23" s="22">
        <f>G23*I23</f>
        <v>10424.222867395898</v>
      </c>
      <c r="K23" s="20"/>
    </row>
    <row r="24" spans="1:11" s="10" customFormat="1" x14ac:dyDescent="0.25">
      <c r="A24" s="24"/>
      <c r="B24" s="25" t="s">
        <v>32</v>
      </c>
      <c r="C24" s="26"/>
      <c r="D24" s="27"/>
      <c r="E24" s="27"/>
      <c r="F24" s="27"/>
      <c r="G24" s="27"/>
      <c r="H24" s="26"/>
      <c r="I24" s="26"/>
      <c r="J24" s="22">
        <f>0.13*G23*4169.92</f>
        <v>438.57460990262763</v>
      </c>
      <c r="K24" s="26"/>
    </row>
    <row r="25" spans="1:11" s="10" customFormat="1" x14ac:dyDescent="0.25">
      <c r="A25" s="24"/>
      <c r="B25" s="25" t="s">
        <v>33</v>
      </c>
      <c r="C25" s="26"/>
      <c r="D25" s="27"/>
      <c r="E25" s="27"/>
      <c r="F25" s="27"/>
      <c r="G25" s="27"/>
      <c r="H25" s="26"/>
      <c r="I25" s="26"/>
      <c r="J25" s="22">
        <f>0.13*G23*(1652.5+1106.96)</f>
        <v>290.22837201718613</v>
      </c>
      <c r="K25" s="26"/>
    </row>
    <row r="26" spans="1:11" s="10" customFormat="1" x14ac:dyDescent="0.25">
      <c r="A26" s="24"/>
      <c r="B26" s="25" t="s">
        <v>31</v>
      </c>
      <c r="C26" s="26"/>
      <c r="D26" s="27"/>
      <c r="E26" s="27"/>
      <c r="F26" s="27"/>
      <c r="G26" s="27"/>
      <c r="H26" s="26"/>
      <c r="I26" s="26"/>
      <c r="J26" s="22">
        <f>0.13*G23*1414.16</f>
        <v>148.73538829039884</v>
      </c>
      <c r="K26" s="26"/>
    </row>
    <row r="27" spans="1:11" x14ac:dyDescent="0.25">
      <c r="A27" s="15"/>
      <c r="B27" s="25" t="s">
        <v>35</v>
      </c>
      <c r="C27" s="15"/>
      <c r="D27" s="3"/>
      <c r="E27" s="3"/>
      <c r="F27" s="3"/>
      <c r="G27" s="3"/>
      <c r="H27" s="15"/>
      <c r="I27" s="15"/>
      <c r="J27" s="22">
        <f>0.13*G23*36.4</f>
        <v>3.8283985784992627</v>
      </c>
      <c r="K27" s="15"/>
    </row>
    <row r="28" spans="1:11" x14ac:dyDescent="0.25">
      <c r="A28" s="15"/>
      <c r="B28" s="25" t="s">
        <v>35</v>
      </c>
      <c r="C28" s="15"/>
      <c r="D28" s="3"/>
      <c r="E28" s="3"/>
      <c r="F28" s="3"/>
      <c r="G28" s="3"/>
      <c r="H28" s="15"/>
      <c r="I28" s="15"/>
      <c r="J28" s="22">
        <f>0.13*G23*392.92</f>
        <v>41.325669490767318</v>
      </c>
      <c r="K28" s="15"/>
    </row>
    <row r="29" spans="1:11" x14ac:dyDescent="0.25">
      <c r="A29" s="15"/>
      <c r="B29" s="25" t="s">
        <v>35</v>
      </c>
      <c r="C29" s="15"/>
      <c r="D29" s="3"/>
      <c r="E29" s="3"/>
      <c r="F29" s="3"/>
      <c r="G29" s="3"/>
      <c r="H29" s="15"/>
      <c r="I29" s="15"/>
      <c r="J29" s="22">
        <f>0.13*G23*14.15</f>
        <v>1.4882373594990266</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15">
        <v>2</v>
      </c>
      <c r="D32" s="3">
        <f>15/3.281</f>
        <v>4.5717768972874122</v>
      </c>
      <c r="E32" s="3">
        <v>0.23</v>
      </c>
      <c r="F32" s="3">
        <v>0.23</v>
      </c>
      <c r="G32" s="3">
        <f t="shared" ref="G32:G33" si="1">PRODUCT(C32:F32)</f>
        <v>0.48369399573300831</v>
      </c>
      <c r="H32" s="15"/>
      <c r="I32" s="15"/>
      <c r="J32" s="15"/>
      <c r="K32" s="15"/>
    </row>
    <row r="33" spans="1:11" x14ac:dyDescent="0.25">
      <c r="A33" s="15"/>
      <c r="B33" s="16"/>
      <c r="C33" s="15">
        <f>2*2</f>
        <v>4</v>
      </c>
      <c r="D33" s="3">
        <f>9.75/3.281</f>
        <v>2.9716549832368178</v>
      </c>
      <c r="E33" s="3">
        <v>0.23</v>
      </c>
      <c r="F33" s="3">
        <v>0.23</v>
      </c>
      <c r="G33" s="3">
        <f t="shared" si="1"/>
        <v>0.62880219445291075</v>
      </c>
      <c r="H33" s="15"/>
      <c r="I33" s="15"/>
      <c r="J33" s="15"/>
      <c r="K33" s="15"/>
    </row>
    <row r="34" spans="1:11" x14ac:dyDescent="0.25">
      <c r="A34" s="15"/>
      <c r="B34" s="16" t="s">
        <v>90</v>
      </c>
      <c r="C34" s="15">
        <v>2</v>
      </c>
      <c r="D34" s="3">
        <f>8.17/3.281</f>
        <v>2.4900944833892105</v>
      </c>
      <c r="E34" s="3">
        <v>0.23</v>
      </c>
      <c r="F34" s="3">
        <v>0.23</v>
      </c>
      <c r="G34" s="3">
        <f t="shared" ref="G34:G36" si="2">PRODUCT(C34:F34)</f>
        <v>0.26345199634257849</v>
      </c>
      <c r="H34" s="15"/>
      <c r="I34" s="15"/>
      <c r="J34" s="15"/>
      <c r="K34" s="15"/>
    </row>
    <row r="35" spans="1:11" x14ac:dyDescent="0.25">
      <c r="A35" s="15"/>
      <c r="B35" s="16"/>
      <c r="C35" s="15">
        <v>2</v>
      </c>
      <c r="D35" s="3">
        <f>3.75/3.281</f>
        <v>1.1429442243218531</v>
      </c>
      <c r="E35" s="3">
        <v>0.23</v>
      </c>
      <c r="F35" s="3">
        <v>0.23</v>
      </c>
      <c r="G35" s="3">
        <f t="shared" si="2"/>
        <v>0.12092349893325208</v>
      </c>
      <c r="H35" s="15"/>
      <c r="I35" s="15"/>
      <c r="J35" s="15"/>
      <c r="K35" s="15"/>
    </row>
    <row r="36" spans="1:11" x14ac:dyDescent="0.25">
      <c r="A36" s="15"/>
      <c r="B36" s="16" t="s">
        <v>91</v>
      </c>
      <c r="C36" s="15">
        <v>2</v>
      </c>
      <c r="D36" s="3">
        <f>((17.667+8.17)/2)/3.281</f>
        <v>3.9373666565071628</v>
      </c>
      <c r="E36" s="3">
        <f>6.33/3.281</f>
        <v>1.929289850655288</v>
      </c>
      <c r="F36" s="3">
        <v>7.4999999999999997E-2</v>
      </c>
      <c r="G36" s="3">
        <f t="shared" si="2"/>
        <v>1.1394482293061723</v>
      </c>
      <c r="H36" s="15"/>
      <c r="I36" s="15"/>
      <c r="J36" s="15"/>
      <c r="K36" s="15"/>
    </row>
    <row r="37" spans="1:11" x14ac:dyDescent="0.25">
      <c r="A37" s="15"/>
      <c r="B37" s="16"/>
      <c r="C37" s="15">
        <v>2</v>
      </c>
      <c r="D37" s="3">
        <f>((14.75+5.25)/2)/3.281</f>
        <v>3.047851264858275</v>
      </c>
      <c r="E37" s="3">
        <f>6.33/3.281</f>
        <v>1.929289850655288</v>
      </c>
      <c r="F37" s="3">
        <v>7.4999999999999997E-2</v>
      </c>
      <c r="G37" s="3">
        <f t="shared" ref="G37:G38" si="3">PRODUCT(C37:F37)</f>
        <v>0.88202827673969275</v>
      </c>
      <c r="H37" s="15"/>
      <c r="I37" s="15"/>
      <c r="J37" s="15"/>
      <c r="K37" s="15"/>
    </row>
    <row r="38" spans="1:11" x14ac:dyDescent="0.25">
      <c r="A38" s="15"/>
      <c r="B38" s="16" t="s">
        <v>93</v>
      </c>
      <c r="C38" s="15">
        <v>4</v>
      </c>
      <c r="D38" s="3">
        <v>0.23</v>
      </c>
      <c r="E38" s="3">
        <v>0.23</v>
      </c>
      <c r="F38" s="3">
        <f>2.25/3.281</f>
        <v>0.68576653459311188</v>
      </c>
      <c r="G38" s="3">
        <f t="shared" si="3"/>
        <v>0.14510819871990249</v>
      </c>
      <c r="H38" s="15"/>
      <c r="I38" s="15"/>
      <c r="J38" s="15"/>
      <c r="K38" s="15"/>
    </row>
    <row r="39" spans="1:11" s="10" customFormat="1" ht="15" customHeight="1" x14ac:dyDescent="0.25">
      <c r="A39" s="17"/>
      <c r="B39" s="18" t="s">
        <v>16</v>
      </c>
      <c r="C39" s="19"/>
      <c r="D39" s="1"/>
      <c r="E39" s="20"/>
      <c r="F39" s="20"/>
      <c r="G39" s="2">
        <f>SUM(G32:G38)</f>
        <v>3.663456390227517</v>
      </c>
      <c r="H39" s="21" t="s">
        <v>28</v>
      </c>
      <c r="I39" s="2">
        <v>13957.29</v>
      </c>
      <c r="J39" s="22">
        <f>G39*I39</f>
        <v>51131.923240758624</v>
      </c>
      <c r="K39" s="20"/>
    </row>
    <row r="40" spans="1:11" s="10" customFormat="1" x14ac:dyDescent="0.25">
      <c r="A40" s="24"/>
      <c r="B40" s="25" t="s">
        <v>32</v>
      </c>
      <c r="C40" s="26"/>
      <c r="D40" s="27"/>
      <c r="E40" s="27"/>
      <c r="F40" s="27"/>
      <c r="G40" s="27"/>
      <c r="H40" s="26"/>
      <c r="I40" s="26"/>
      <c r="J40" s="22">
        <f>0.13*G39*5212.4</f>
        <v>2482.402011494848</v>
      </c>
      <c r="K40" s="26"/>
    </row>
    <row r="41" spans="1:11" s="10" customFormat="1" x14ac:dyDescent="0.25">
      <c r="A41" s="24"/>
      <c r="B41" s="25" t="s">
        <v>33</v>
      </c>
      <c r="C41" s="26"/>
      <c r="D41" s="27"/>
      <c r="E41" s="27"/>
      <c r="F41" s="27"/>
      <c r="G41" s="27"/>
      <c r="H41" s="26"/>
      <c r="I41" s="26"/>
      <c r="J41" s="22">
        <f>0.13*G39*(1912.03+921.59)</f>
        <v>1349.5096285419445</v>
      </c>
      <c r="K41" s="26"/>
    </row>
    <row r="42" spans="1:11" s="10" customFormat="1" x14ac:dyDescent="0.25">
      <c r="A42" s="24"/>
      <c r="B42" s="25" t="s">
        <v>31</v>
      </c>
      <c r="C42" s="26"/>
      <c r="D42" s="27"/>
      <c r="E42" s="27"/>
      <c r="F42" s="27"/>
      <c r="G42" s="27"/>
      <c r="H42" s="26"/>
      <c r="I42" s="26"/>
      <c r="J42" s="22">
        <f>0.13*G39*1350.6</f>
        <v>643.22234608336692</v>
      </c>
      <c r="K42" s="26"/>
    </row>
    <row r="43" spans="1:11" x14ac:dyDescent="0.25">
      <c r="A43" s="15"/>
      <c r="B43" s="25" t="s">
        <v>35</v>
      </c>
      <c r="C43" s="15"/>
      <c r="D43" s="3"/>
      <c r="E43" s="3"/>
      <c r="F43" s="3"/>
      <c r="G43" s="3"/>
      <c r="H43" s="15"/>
      <c r="I43" s="15"/>
      <c r="J43" s="22">
        <f>0.13*G39*56</f>
        <v>26.669962520856323</v>
      </c>
      <c r="K43" s="15"/>
    </row>
    <row r="44" spans="1:11" s="10" customFormat="1" x14ac:dyDescent="0.25">
      <c r="A44" s="24"/>
      <c r="B44" s="25" t="s">
        <v>43</v>
      </c>
      <c r="C44" s="26"/>
      <c r="D44" s="27"/>
      <c r="E44" s="27"/>
      <c r="F44" s="27"/>
      <c r="G44" s="27"/>
      <c r="H44" s="26"/>
      <c r="I44" s="26"/>
      <c r="J44" s="22">
        <f>0.13*G39*392.92</f>
        <v>187.12788703026547</v>
      </c>
      <c r="K44" s="26"/>
    </row>
    <row r="45" spans="1:11" x14ac:dyDescent="0.25">
      <c r="A45" s="15"/>
      <c r="B45" s="25" t="s">
        <v>44</v>
      </c>
      <c r="C45" s="15"/>
      <c r="D45" s="3"/>
      <c r="E45" s="3"/>
      <c r="F45" s="3"/>
      <c r="G45" s="3"/>
      <c r="H45" s="15"/>
      <c r="I45" s="15"/>
      <c r="J45" s="22">
        <f>0.13*G39*14.15</f>
        <v>6.7389280298235175</v>
      </c>
      <c r="K45" s="15"/>
    </row>
    <row r="46" spans="1:11" x14ac:dyDescent="0.25">
      <c r="A46" s="15"/>
      <c r="B46" s="15"/>
      <c r="C46" s="15"/>
      <c r="D46" s="3"/>
      <c r="E46" s="3"/>
      <c r="F46" s="3"/>
      <c r="G46" s="3"/>
      <c r="H46" s="15"/>
      <c r="I46" s="15"/>
      <c r="J46" s="15"/>
      <c r="K46" s="15"/>
    </row>
    <row r="47" spans="1:11" s="14" customFormat="1" ht="30" x14ac:dyDescent="0.2">
      <c r="A47" s="11">
        <v>5</v>
      </c>
      <c r="B47" s="12" t="s">
        <v>45</v>
      </c>
      <c r="C47" s="13"/>
      <c r="D47" s="23"/>
      <c r="E47" s="23"/>
      <c r="F47" s="23"/>
      <c r="G47" s="23"/>
      <c r="H47" s="13"/>
      <c r="I47" s="13"/>
      <c r="J47" s="13"/>
      <c r="K47" s="13"/>
    </row>
    <row r="48" spans="1:11" x14ac:dyDescent="0.25">
      <c r="A48" s="15"/>
      <c r="B48" s="16" t="str">
        <f>B32</f>
        <v>-beam</v>
      </c>
      <c r="C48" s="15">
        <f>C32</f>
        <v>2</v>
      </c>
      <c r="D48" s="3">
        <f>D32</f>
        <v>4.5717768972874122</v>
      </c>
      <c r="E48" s="3"/>
      <c r="F48" s="3">
        <f>0.23*2</f>
        <v>0.46</v>
      </c>
      <c r="G48" s="3">
        <f t="shared" ref="G48" si="4">PRODUCT(C48:F48)</f>
        <v>4.2060347455044198</v>
      </c>
      <c r="H48" s="15"/>
      <c r="I48" s="15"/>
      <c r="J48" s="15"/>
      <c r="K48" s="15"/>
    </row>
    <row r="49" spans="1:11" x14ac:dyDescent="0.25">
      <c r="A49" s="15"/>
      <c r="B49" s="16"/>
      <c r="C49" s="15">
        <f>C33</f>
        <v>4</v>
      </c>
      <c r="D49" s="3">
        <f>D33</f>
        <v>2.9716549832368178</v>
      </c>
      <c r="E49" s="3"/>
      <c r="F49" s="3">
        <f t="shared" ref="F49:F51" si="5">0.23*2</f>
        <v>0.46</v>
      </c>
      <c r="G49" s="3">
        <f t="shared" ref="G49:G54" si="6">PRODUCT(C49:F49)</f>
        <v>5.467845169155745</v>
      </c>
      <c r="H49" s="15"/>
      <c r="I49" s="15"/>
      <c r="J49" s="15"/>
      <c r="K49" s="15"/>
    </row>
    <row r="50" spans="1:11" x14ac:dyDescent="0.25">
      <c r="A50" s="15"/>
      <c r="B50" s="16" t="str">
        <f t="shared" ref="B50:D50" si="7">B34</f>
        <v>-upper beam</v>
      </c>
      <c r="C50" s="15">
        <f t="shared" si="7"/>
        <v>2</v>
      </c>
      <c r="D50" s="3">
        <f t="shared" si="7"/>
        <v>2.4900944833892105</v>
      </c>
      <c r="E50" s="3"/>
      <c r="F50" s="3">
        <f t="shared" si="5"/>
        <v>0.46</v>
      </c>
      <c r="G50" s="3">
        <f t="shared" si="6"/>
        <v>2.2908869247180736</v>
      </c>
      <c r="H50" s="15"/>
      <c r="I50" s="15"/>
      <c r="J50" s="15"/>
      <c r="K50" s="15"/>
    </row>
    <row r="51" spans="1:11" x14ac:dyDescent="0.25">
      <c r="A51" s="15"/>
      <c r="B51" s="16"/>
      <c r="C51" s="15">
        <f>C35</f>
        <v>2</v>
      </c>
      <c r="D51" s="3">
        <f>D35</f>
        <v>1.1429442243218531</v>
      </c>
      <c r="E51" s="3"/>
      <c r="F51" s="3">
        <f t="shared" si="5"/>
        <v>0.46</v>
      </c>
      <c r="G51" s="3">
        <f t="shared" si="6"/>
        <v>1.051508686376105</v>
      </c>
      <c r="H51" s="15"/>
      <c r="I51" s="15"/>
      <c r="J51" s="15"/>
      <c r="K51" s="15"/>
    </row>
    <row r="52" spans="1:11" x14ac:dyDescent="0.25">
      <c r="A52" s="15"/>
      <c r="B52" s="16" t="str">
        <f t="shared" ref="B52:D52" si="8">B36</f>
        <v>-slab</v>
      </c>
      <c r="C52" s="15">
        <f t="shared" si="8"/>
        <v>2</v>
      </c>
      <c r="D52" s="3">
        <f t="shared" si="8"/>
        <v>3.9373666565071628</v>
      </c>
      <c r="E52" s="3">
        <f>E36</f>
        <v>1.929289850655288</v>
      </c>
      <c r="F52" s="3"/>
      <c r="G52" s="3">
        <f t="shared" si="6"/>
        <v>15.19264305741563</v>
      </c>
      <c r="H52" s="15"/>
      <c r="I52" s="15"/>
      <c r="J52" s="15"/>
      <c r="K52" s="15"/>
    </row>
    <row r="53" spans="1:11" x14ac:dyDescent="0.25">
      <c r="A53" s="15"/>
      <c r="B53" s="16"/>
      <c r="C53" s="15">
        <f>C37</f>
        <v>2</v>
      </c>
      <c r="D53" s="3">
        <f>D37</f>
        <v>3.047851264858275</v>
      </c>
      <c r="E53" s="3">
        <f>E37</f>
        <v>1.929289850655288</v>
      </c>
      <c r="F53" s="3"/>
      <c r="G53" s="3">
        <f t="shared" si="6"/>
        <v>11.760377023195904</v>
      </c>
      <c r="H53" s="15"/>
      <c r="I53" s="15"/>
      <c r="J53" s="15"/>
      <c r="K53" s="15"/>
    </row>
    <row r="54" spans="1:11" x14ac:dyDescent="0.25">
      <c r="A54" s="15"/>
      <c r="B54" s="16" t="str">
        <f>B38</f>
        <v>-column</v>
      </c>
      <c r="C54" s="15">
        <f>C38</f>
        <v>4</v>
      </c>
      <c r="D54" s="3">
        <f>0.23*4</f>
        <v>0.92</v>
      </c>
      <c r="E54" s="3"/>
      <c r="F54" s="3">
        <f>F38</f>
        <v>0.68576653459311188</v>
      </c>
      <c r="G54" s="3">
        <f t="shared" si="6"/>
        <v>2.5236208473026518</v>
      </c>
      <c r="H54" s="15"/>
      <c r="I54" s="15"/>
      <c r="J54" s="15"/>
      <c r="K54" s="15"/>
    </row>
    <row r="55" spans="1:11" s="10" customFormat="1" ht="15" customHeight="1" x14ac:dyDescent="0.25">
      <c r="A55" s="17"/>
      <c r="B55" s="18" t="s">
        <v>16</v>
      </c>
      <c r="C55" s="19"/>
      <c r="D55" s="1"/>
      <c r="E55" s="20"/>
      <c r="F55" s="20"/>
      <c r="G55" s="2">
        <f>SUM(G48:G54)</f>
        <v>42.492916453668528</v>
      </c>
      <c r="H55" s="21" t="s">
        <v>34</v>
      </c>
      <c r="I55" s="2">
        <v>922.71</v>
      </c>
      <c r="J55" s="22">
        <f>G55*I55</f>
        <v>39208.638940964491</v>
      </c>
      <c r="K55" s="20"/>
    </row>
    <row r="56" spans="1:11" s="10" customFormat="1" x14ac:dyDescent="0.25">
      <c r="A56" s="24"/>
      <c r="B56" s="25" t="s">
        <v>46</v>
      </c>
      <c r="C56" s="26"/>
      <c r="D56" s="27"/>
      <c r="E56" s="27"/>
      <c r="F56" s="27"/>
      <c r="G56" s="27"/>
      <c r="H56" s="26"/>
      <c r="I56" s="26"/>
      <c r="J56" s="22">
        <f>0.13*G55*20062.02/100</f>
        <v>1108.2418616773753</v>
      </c>
      <c r="K56" s="26"/>
    </row>
    <row r="57" spans="1:11" s="10" customFormat="1" x14ac:dyDescent="0.25">
      <c r="A57" s="24"/>
      <c r="B57" s="25" t="s">
        <v>47</v>
      </c>
      <c r="C57" s="26"/>
      <c r="D57" s="27"/>
      <c r="E57" s="27"/>
      <c r="F57" s="27"/>
      <c r="G57" s="27"/>
      <c r="H57" s="26"/>
      <c r="I57" s="26"/>
      <c r="J57" s="22">
        <f>0.13*G55*13328.25/100</f>
        <v>736.26307784068979</v>
      </c>
      <c r="K57" s="26"/>
    </row>
    <row r="58" spans="1:11" s="10" customFormat="1" x14ac:dyDescent="0.25">
      <c r="A58" s="24"/>
      <c r="B58" s="25" t="s">
        <v>48</v>
      </c>
      <c r="C58" s="26"/>
      <c r="D58" s="27"/>
      <c r="E58" s="27"/>
      <c r="F58" s="27"/>
      <c r="G58" s="27"/>
      <c r="H58" s="26"/>
      <c r="I58" s="26"/>
      <c r="J58" s="22">
        <f>0.13*G55*10137.6/100</f>
        <v>560.00904679292307</v>
      </c>
      <c r="K58" s="26"/>
    </row>
    <row r="59" spans="1:11" x14ac:dyDescent="0.25">
      <c r="A59" s="15"/>
      <c r="B59" s="25" t="s">
        <v>49</v>
      </c>
      <c r="C59" s="15"/>
      <c r="D59" s="3"/>
      <c r="E59" s="3"/>
      <c r="F59" s="3"/>
      <c r="G59" s="3"/>
      <c r="H59" s="15"/>
      <c r="I59" s="15"/>
      <c r="J59" s="22">
        <f>0.13*G55*3300/100</f>
        <v>182.29461158623798</v>
      </c>
      <c r="K59" s="15"/>
    </row>
    <row r="60" spans="1:11" x14ac:dyDescent="0.25">
      <c r="A60" s="15"/>
      <c r="B60" s="15"/>
      <c r="C60" s="15"/>
      <c r="D60" s="3"/>
      <c r="E60" s="3"/>
      <c r="F60" s="3"/>
      <c r="G60" s="3"/>
      <c r="H60" s="15"/>
      <c r="I60" s="15"/>
      <c r="J60" s="15"/>
      <c r="K60" s="15"/>
    </row>
    <row r="61" spans="1:11" s="14" customFormat="1" ht="45" x14ac:dyDescent="0.25">
      <c r="A61" s="11">
        <v>6</v>
      </c>
      <c r="B61" s="28" t="s">
        <v>36</v>
      </c>
      <c r="C61" s="13" t="s">
        <v>7</v>
      </c>
      <c r="D61" s="29" t="s">
        <v>27</v>
      </c>
      <c r="E61" s="29" t="s">
        <v>39</v>
      </c>
      <c r="F61" s="29" t="s">
        <v>40</v>
      </c>
      <c r="G61" s="23"/>
      <c r="H61" s="13"/>
      <c r="I61" s="13"/>
      <c r="J61" s="13"/>
      <c r="K61" s="13"/>
    </row>
    <row r="62" spans="1:11" x14ac:dyDescent="0.25">
      <c r="A62" s="15"/>
      <c r="B62" s="16" t="str">
        <f>B32</f>
        <v>-beam</v>
      </c>
      <c r="C62" s="15">
        <f>C48*(3*2)</f>
        <v>12</v>
      </c>
      <c r="D62" s="3">
        <f>D32+(0.583/3.281)*2</f>
        <v>4.9271563547698873</v>
      </c>
      <c r="E62" s="3">
        <f>12*12/162</f>
        <v>0.88888888888888884</v>
      </c>
      <c r="F62" s="3">
        <f t="shared" ref="F62:F63" si="9">PRODUCT(C62:E62)</f>
        <v>52.556334450878794</v>
      </c>
      <c r="G62" s="3">
        <f t="shared" ref="G62:G63" si="10">F62/1000</f>
        <v>5.2556334450878796E-2</v>
      </c>
      <c r="H62" s="15"/>
      <c r="I62" s="15"/>
      <c r="J62" s="15"/>
      <c r="K62" s="15"/>
    </row>
    <row r="63" spans="1:11" x14ac:dyDescent="0.25">
      <c r="A63" s="15"/>
      <c r="B63" s="16" t="s">
        <v>92</v>
      </c>
      <c r="C63" s="15">
        <f>2*(TRUNC((D48-0.1-0.23*2)/0.125,0))</f>
        <v>64</v>
      </c>
      <c r="D63" s="3">
        <f>((0.583*4)+0.17*2)/3.281</f>
        <v>0.81438585797013097</v>
      </c>
      <c r="E63" s="3">
        <f>8*8/162</f>
        <v>0.39506172839506171</v>
      </c>
      <c r="F63" s="3">
        <f t="shared" si="9"/>
        <v>20.590891816331212</v>
      </c>
      <c r="G63" s="3">
        <f t="shared" si="10"/>
        <v>2.0590891816331211E-2</v>
      </c>
      <c r="H63" s="15"/>
      <c r="I63" s="15"/>
      <c r="J63" s="15"/>
      <c r="K63" s="15"/>
    </row>
    <row r="64" spans="1:11" x14ac:dyDescent="0.25">
      <c r="A64" s="15"/>
      <c r="B64" s="16" t="str">
        <f>B48</f>
        <v>-beam</v>
      </c>
      <c r="C64" s="15">
        <f>C50*(3*2)</f>
        <v>12</v>
      </c>
      <c r="D64" s="3">
        <f>D33+0.23*2+(0.583/3.281)*2</f>
        <v>3.7870344407192924</v>
      </c>
      <c r="E64" s="3">
        <f>12*12/162</f>
        <v>0.88888888888888884</v>
      </c>
      <c r="F64" s="3">
        <f t="shared" ref="F64:F67" si="11">PRODUCT(C64:E64)</f>
        <v>40.395034034339119</v>
      </c>
      <c r="G64" s="3">
        <f t="shared" ref="G64:G67" si="12">F64/1000</f>
        <v>4.0395034034339118E-2</v>
      </c>
      <c r="H64" s="15"/>
      <c r="I64" s="15"/>
      <c r="J64" s="15"/>
      <c r="K64" s="15"/>
    </row>
    <row r="65" spans="1:11" x14ac:dyDescent="0.25">
      <c r="A65" s="15"/>
      <c r="B65" s="16" t="s">
        <v>92</v>
      </c>
      <c r="C65" s="15">
        <f>4*(TRUNC((D49-0.1)/0.125,0))</f>
        <v>88</v>
      </c>
      <c r="D65" s="3">
        <f>((0.583*4)+0.17*2)/3.281</f>
        <v>0.81438585797013097</v>
      </c>
      <c r="E65" s="3">
        <f>8*8/162</f>
        <v>0.39506172839506171</v>
      </c>
      <c r="F65" s="3">
        <f t="shared" si="11"/>
        <v>28.312476247455418</v>
      </c>
      <c r="G65" s="3">
        <f t="shared" si="12"/>
        <v>2.8312476247455417E-2</v>
      </c>
      <c r="H65" s="15"/>
      <c r="I65" s="15"/>
      <c r="J65" s="15"/>
      <c r="K65" s="15"/>
    </row>
    <row r="66" spans="1:11" x14ac:dyDescent="0.25">
      <c r="A66" s="15"/>
      <c r="B66" s="16" t="str">
        <f>B50</f>
        <v>-upper beam</v>
      </c>
      <c r="C66" s="15">
        <f>C50*(3*2)</f>
        <v>12</v>
      </c>
      <c r="D66" s="3">
        <f>D34+(0.583/3.281)*2</f>
        <v>2.8454739408716851</v>
      </c>
      <c r="E66" s="3">
        <f>12*12/162</f>
        <v>0.88888888888888884</v>
      </c>
      <c r="F66" s="3">
        <f t="shared" si="11"/>
        <v>30.351722035964642</v>
      </c>
      <c r="G66" s="3">
        <f t="shared" si="12"/>
        <v>3.0351722035964642E-2</v>
      </c>
      <c r="H66" s="15"/>
      <c r="I66" s="15"/>
      <c r="J66" s="15"/>
      <c r="K66" s="15"/>
    </row>
    <row r="67" spans="1:11" x14ac:dyDescent="0.25">
      <c r="A67" s="15"/>
      <c r="B67" s="16" t="s">
        <v>92</v>
      </c>
      <c r="C67" s="15">
        <f>2*(TRUNC((D50-0.1-0.23*2)/0.125,0))</f>
        <v>30</v>
      </c>
      <c r="D67" s="3">
        <f>((0.583*4)+0.17*2)/3.281</f>
        <v>0.81438585797013097</v>
      </c>
      <c r="E67" s="3">
        <f>8*8/162</f>
        <v>0.39506172839506171</v>
      </c>
      <c r="F67" s="3">
        <f t="shared" si="11"/>
        <v>9.6519805389052564</v>
      </c>
      <c r="G67" s="3">
        <f t="shared" si="12"/>
        <v>9.6519805389052565E-3</v>
      </c>
      <c r="H67" s="15"/>
      <c r="I67" s="15"/>
      <c r="J67" s="15"/>
      <c r="K67" s="15"/>
    </row>
    <row r="68" spans="1:11" x14ac:dyDescent="0.25">
      <c r="A68" s="15"/>
      <c r="B68" s="16" t="str">
        <f>B34</f>
        <v>-upper beam</v>
      </c>
      <c r="C68" s="15">
        <f>C51*(3*2)</f>
        <v>12</v>
      </c>
      <c r="D68" s="3">
        <f>D35+0.23*2+(0.583/3.281)*2</f>
        <v>1.9583236818043277</v>
      </c>
      <c r="E68" s="3">
        <f>12*12/162</f>
        <v>0.88888888888888884</v>
      </c>
      <c r="F68" s="3">
        <f t="shared" ref="F68:F69" si="13">PRODUCT(C68:E68)</f>
        <v>20.888785939246162</v>
      </c>
      <c r="G68" s="3">
        <f t="shared" ref="G68:G69" si="14">F68/1000</f>
        <v>2.0888785939246163E-2</v>
      </c>
      <c r="H68" s="15"/>
      <c r="I68" s="15"/>
      <c r="J68" s="15"/>
      <c r="K68" s="15"/>
    </row>
    <row r="69" spans="1:11" x14ac:dyDescent="0.25">
      <c r="A69" s="15"/>
      <c r="B69" s="16" t="s">
        <v>92</v>
      </c>
      <c r="C69" s="15">
        <f>2*(TRUNC((D51-0.1)/0.125,0))</f>
        <v>16</v>
      </c>
      <c r="D69" s="3">
        <f>((0.583*4)+0.17*2)/3.281</f>
        <v>0.81438585797013097</v>
      </c>
      <c r="E69" s="3">
        <f>8*8/162</f>
        <v>0.39506172839506171</v>
      </c>
      <c r="F69" s="3">
        <f t="shared" si="13"/>
        <v>5.1477229540828029</v>
      </c>
      <c r="G69" s="3">
        <f t="shared" si="14"/>
        <v>5.1477229540828028E-3</v>
      </c>
      <c r="H69" s="15"/>
      <c r="I69" s="15"/>
      <c r="J69" s="15"/>
      <c r="K69" s="15"/>
    </row>
    <row r="70" spans="1:11" x14ac:dyDescent="0.25">
      <c r="A70" s="15"/>
      <c r="B70" s="16" t="str">
        <f>B52</f>
        <v>-slab</v>
      </c>
      <c r="C70" s="15">
        <f>TRUNC(((E52-0.1)/0.15),0)</f>
        <v>12</v>
      </c>
      <c r="D70" s="3">
        <f>D52*C52+D53*C53</f>
        <v>13.970435842730875</v>
      </c>
      <c r="E70" s="3">
        <f t="shared" ref="E70:E72" si="15">8*8/162</f>
        <v>0.39506172839506171</v>
      </c>
      <c r="F70" s="3">
        <f t="shared" ref="F70:F72" si="16">PRODUCT(C70:E70)</f>
        <v>66.230214365538956</v>
      </c>
      <c r="G70" s="3">
        <f t="shared" ref="G70:G72" si="17">F70/1000</f>
        <v>6.6230214365538956E-2</v>
      </c>
      <c r="H70" s="15"/>
      <c r="I70" s="15"/>
      <c r="J70" s="15"/>
      <c r="K70" s="15"/>
    </row>
    <row r="71" spans="1:11" x14ac:dyDescent="0.25">
      <c r="A71" s="15"/>
      <c r="B71" s="16"/>
      <c r="C71" s="15">
        <f>2*(TRUNC(((D52-0.1)/0.15),0))</f>
        <v>50</v>
      </c>
      <c r="D71" s="3">
        <f>E52</f>
        <v>1.929289850655288</v>
      </c>
      <c r="E71" s="3">
        <f t="shared" si="15"/>
        <v>0.39506172839506171</v>
      </c>
      <c r="F71" s="3">
        <f t="shared" si="16"/>
        <v>38.109429148746429</v>
      </c>
      <c r="G71" s="3">
        <f t="shared" si="17"/>
        <v>3.8109429148746432E-2</v>
      </c>
      <c r="H71" s="15"/>
      <c r="I71" s="15"/>
      <c r="J71" s="15"/>
      <c r="K71" s="15"/>
    </row>
    <row r="72" spans="1:11" x14ac:dyDescent="0.25">
      <c r="A72" s="15"/>
      <c r="B72" s="16"/>
      <c r="C72" s="15">
        <f>2*(TRUNC(((D53-0.1)/0.15),0))</f>
        <v>38</v>
      </c>
      <c r="D72" s="3">
        <f>E53</f>
        <v>1.929289850655288</v>
      </c>
      <c r="E72" s="3">
        <f t="shared" si="15"/>
        <v>0.39506172839506171</v>
      </c>
      <c r="F72" s="3">
        <f t="shared" si="16"/>
        <v>28.963166153047286</v>
      </c>
      <c r="G72" s="3">
        <f t="shared" si="17"/>
        <v>2.8963166153047285E-2</v>
      </c>
      <c r="H72" s="15"/>
      <c r="I72" s="15"/>
      <c r="J72" s="15"/>
      <c r="K72" s="15"/>
    </row>
    <row r="73" spans="1:11" x14ac:dyDescent="0.25">
      <c r="A73" s="15"/>
      <c r="B73" s="16" t="s">
        <v>93</v>
      </c>
      <c r="C73" s="15">
        <v>8</v>
      </c>
      <c r="D73" s="3">
        <f>((3.75-0.33)/3.281)+(0.45*2)</f>
        <v>1.9423651325815299</v>
      </c>
      <c r="E73" s="3">
        <f>12*12/162</f>
        <v>0.88888888888888884</v>
      </c>
      <c r="F73" s="3">
        <f t="shared" ref="F73:F74" si="18">PRODUCT(C73:E73)</f>
        <v>13.812374276135323</v>
      </c>
      <c r="G73" s="3">
        <f t="shared" ref="G73:G74" si="19">F73/1000</f>
        <v>1.3812374276135323E-2</v>
      </c>
      <c r="H73" s="15"/>
      <c r="I73" s="15"/>
      <c r="J73" s="15"/>
      <c r="K73" s="15"/>
    </row>
    <row r="74" spans="1:11" x14ac:dyDescent="0.25">
      <c r="A74" s="15"/>
      <c r="B74" s="16" t="s">
        <v>92</v>
      </c>
      <c r="C74" s="15">
        <f>4*(TRUNC((2.25-0.17*2)/0.33,0)+1)</f>
        <v>24</v>
      </c>
      <c r="D74" s="3">
        <f>(6*4+2*2)/12/3.281</f>
        <v>0.7111652951335975</v>
      </c>
      <c r="E74" s="3">
        <f>8*8/162</f>
        <v>0.39506172839506171</v>
      </c>
      <c r="F74" s="3">
        <f t="shared" si="18"/>
        <v>6.7429005760815173</v>
      </c>
      <c r="G74" s="3">
        <f t="shared" si="19"/>
        <v>6.7429005760815171E-3</v>
      </c>
      <c r="H74" s="15"/>
      <c r="I74" s="15"/>
      <c r="J74" s="15"/>
      <c r="K74" s="15"/>
    </row>
    <row r="75" spans="1:11" x14ac:dyDescent="0.25">
      <c r="A75" s="15"/>
      <c r="B75" s="16"/>
      <c r="C75" s="15">
        <f>C74</f>
        <v>24</v>
      </c>
      <c r="D75" s="3">
        <f>(4*4+2*2)/12/3.281</f>
        <v>0.50797521080971253</v>
      </c>
      <c r="E75" s="3">
        <f>8*8/162</f>
        <v>0.39506172839506171</v>
      </c>
      <c r="F75" s="3">
        <f t="shared" ref="F75" si="20">PRODUCT(C75:E75)</f>
        <v>4.8163575543439414</v>
      </c>
      <c r="G75" s="58">
        <f t="shared" ref="G75" si="21">F75/1000</f>
        <v>4.8163575543439417E-3</v>
      </c>
      <c r="H75" s="15"/>
      <c r="I75" s="15"/>
      <c r="J75" s="15"/>
      <c r="K75" s="15"/>
    </row>
    <row r="76" spans="1:11" s="10" customFormat="1" ht="15" customHeight="1" x14ac:dyDescent="0.25">
      <c r="A76" s="17"/>
      <c r="B76" s="18" t="s">
        <v>16</v>
      </c>
      <c r="C76" s="19"/>
      <c r="D76" s="1"/>
      <c r="E76" s="20"/>
      <c r="F76" s="20"/>
      <c r="G76" s="2">
        <f>SUM(G62:G75)</f>
        <v>0.36656939009109685</v>
      </c>
      <c r="H76" s="21" t="s">
        <v>41</v>
      </c>
      <c r="I76" s="46">
        <v>132360</v>
      </c>
      <c r="J76" s="22">
        <f>G76*I76</f>
        <v>48519.124472457581</v>
      </c>
      <c r="K76" s="20"/>
    </row>
    <row r="77" spans="1:11" s="10" customFormat="1" x14ac:dyDescent="0.25">
      <c r="A77" s="24"/>
      <c r="B77" s="25" t="s">
        <v>38</v>
      </c>
      <c r="C77" s="26"/>
      <c r="D77" s="26"/>
      <c r="E77" s="26"/>
      <c r="F77" s="26"/>
      <c r="G77" s="26"/>
      <c r="H77" s="26"/>
      <c r="I77" s="26"/>
      <c r="J77" s="22">
        <f>0.13*G76*105000</f>
        <v>5003.6721747434722</v>
      </c>
      <c r="K77" s="26"/>
    </row>
    <row r="78" spans="1:11" s="10" customFormat="1" x14ac:dyDescent="0.25">
      <c r="A78" s="24"/>
      <c r="B78" s="25" t="s">
        <v>37</v>
      </c>
      <c r="C78" s="26"/>
      <c r="D78" s="26"/>
      <c r="E78" s="26"/>
      <c r="F78" s="26"/>
      <c r="G78" s="26"/>
      <c r="H78" s="26"/>
      <c r="I78" s="26"/>
      <c r="J78" s="22">
        <f>0.13*G76*1200</f>
        <v>57.184824854211108</v>
      </c>
      <c r="K78" s="26"/>
    </row>
    <row r="79" spans="1:11" x14ac:dyDescent="0.25">
      <c r="A79" s="15"/>
      <c r="B79" s="15"/>
      <c r="C79" s="15"/>
      <c r="D79" s="15"/>
      <c r="E79" s="15"/>
      <c r="F79" s="15"/>
      <c r="G79" s="15"/>
      <c r="H79" s="15"/>
      <c r="I79" s="15"/>
      <c r="J79" s="15"/>
      <c r="K79" s="15"/>
    </row>
    <row r="80" spans="1:11" ht="30" x14ac:dyDescent="0.25">
      <c r="A80" s="11">
        <v>7</v>
      </c>
      <c r="B80" s="28" t="s">
        <v>50</v>
      </c>
      <c r="C80" s="15"/>
      <c r="D80" s="15"/>
      <c r="E80" s="15"/>
      <c r="F80" s="15"/>
      <c r="G80" s="15"/>
      <c r="H80" s="15"/>
      <c r="I80" s="15"/>
      <c r="J80" s="15"/>
      <c r="K80" s="15"/>
    </row>
    <row r="81" spans="1:11" x14ac:dyDescent="0.25">
      <c r="A81" s="15"/>
      <c r="B81" s="16" t="s">
        <v>95</v>
      </c>
      <c r="C81" s="15">
        <v>1</v>
      </c>
      <c r="D81" s="3">
        <f>12.667/3.281</f>
        <v>3.8607131971959765</v>
      </c>
      <c r="E81" s="3">
        <f>9.75/3.281</f>
        <v>2.9716549832368178</v>
      </c>
      <c r="F81" s="15"/>
      <c r="G81" s="3">
        <f>PRODUCT(C81:F81)</f>
        <v>11.47270761129557</v>
      </c>
      <c r="H81" s="15"/>
      <c r="I81" s="15"/>
      <c r="J81" s="15"/>
      <c r="K81" s="15"/>
    </row>
    <row r="82" spans="1:11" s="10" customFormat="1" ht="15" customHeight="1" x14ac:dyDescent="0.25">
      <c r="A82" s="17"/>
      <c r="B82" s="18" t="s">
        <v>16</v>
      </c>
      <c r="C82" s="19"/>
      <c r="D82" s="1"/>
      <c r="E82" s="20"/>
      <c r="F82" s="20"/>
      <c r="G82" s="2">
        <f>SUM(G81)</f>
        <v>11.47270761129557</v>
      </c>
      <c r="H82" s="21" t="s">
        <v>34</v>
      </c>
      <c r="I82" s="2">
        <v>689.98</v>
      </c>
      <c r="J82" s="22">
        <f>G82*I82</f>
        <v>7915.9387976417174</v>
      </c>
      <c r="K82" s="20"/>
    </row>
    <row r="83" spans="1:11" s="10" customFormat="1" x14ac:dyDescent="0.25">
      <c r="A83" s="24"/>
      <c r="B83" s="25" t="s">
        <v>32</v>
      </c>
      <c r="C83" s="26"/>
      <c r="D83" s="27"/>
      <c r="E83" s="27"/>
      <c r="F83" s="27"/>
      <c r="G83" s="27"/>
      <c r="H83" s="26"/>
      <c r="I83" s="26"/>
      <c r="J83" s="22">
        <f>0.13*G82*1694.03/10</f>
        <v>252.65644137191944</v>
      </c>
      <c r="K83" s="26"/>
    </row>
    <row r="84" spans="1:11" x14ac:dyDescent="0.25">
      <c r="A84" s="15"/>
      <c r="B84" s="25" t="s">
        <v>31</v>
      </c>
      <c r="C84" s="26"/>
      <c r="D84" s="27"/>
      <c r="E84" s="27"/>
      <c r="F84" s="27"/>
      <c r="G84" s="27"/>
      <c r="H84" s="26"/>
      <c r="I84" s="26"/>
      <c r="J84" s="22">
        <f>0.13*G82*472.02/10</f>
        <v>70.399516806888556</v>
      </c>
      <c r="K84" s="15"/>
    </row>
    <row r="85" spans="1:11" x14ac:dyDescent="0.25">
      <c r="A85" s="15"/>
      <c r="B85" s="25" t="s">
        <v>33</v>
      </c>
      <c r="C85" s="26"/>
      <c r="D85" s="27"/>
      <c r="E85" s="27"/>
      <c r="F85" s="27"/>
      <c r="G85" s="27"/>
      <c r="H85" s="26"/>
      <c r="I85" s="26"/>
      <c r="J85" s="22">
        <f>0.13*G82*1207.6/10</f>
        <v>180.10774224820688</v>
      </c>
      <c r="K85" s="15"/>
    </row>
    <row r="86" spans="1:11" x14ac:dyDescent="0.25">
      <c r="A86" s="15"/>
      <c r="B86" s="15"/>
      <c r="C86" s="15"/>
      <c r="D86" s="15"/>
      <c r="E86" s="15"/>
      <c r="F86" s="15"/>
      <c r="G86" s="15"/>
      <c r="H86" s="15"/>
      <c r="I86" s="15"/>
      <c r="J86" s="15"/>
      <c r="K86" s="15"/>
    </row>
    <row r="87" spans="1:11" ht="30" x14ac:dyDescent="0.25">
      <c r="A87" s="11">
        <v>8</v>
      </c>
      <c r="B87" s="28" t="s">
        <v>52</v>
      </c>
      <c r="C87" s="15"/>
      <c r="D87" s="15"/>
      <c r="E87" s="15"/>
      <c r="F87" s="15"/>
      <c r="G87" s="15"/>
      <c r="H87" s="15"/>
      <c r="I87" s="15"/>
      <c r="J87" s="15"/>
      <c r="K87" s="15"/>
    </row>
    <row r="88" spans="1:11" x14ac:dyDescent="0.25">
      <c r="A88" s="15"/>
      <c r="B88" s="16" t="str">
        <f>B81</f>
        <v>-flooring</v>
      </c>
      <c r="C88" s="15">
        <f>C81</f>
        <v>1</v>
      </c>
      <c r="D88" s="3">
        <f>D81</f>
        <v>3.8607131971959765</v>
      </c>
      <c r="E88" s="3">
        <f>E81</f>
        <v>2.9716549832368178</v>
      </c>
      <c r="F88" s="15"/>
      <c r="G88" s="3">
        <f t="shared" ref="G88:G93" si="22">PRODUCT(C88:F88)</f>
        <v>11.47270761129557</v>
      </c>
      <c r="H88" s="15"/>
      <c r="I88" s="15"/>
      <c r="J88" s="15"/>
      <c r="K88" s="15"/>
    </row>
    <row r="89" spans="1:11" s="10" customFormat="1" x14ac:dyDescent="0.25">
      <c r="A89" s="24"/>
      <c r="B89" s="25" t="str">
        <f t="shared" ref="B89:D91" si="23">B116</f>
        <v>-for wing walls of stand tap</v>
      </c>
      <c r="C89" s="26">
        <f t="shared" si="23"/>
        <v>4</v>
      </c>
      <c r="D89" s="27">
        <f t="shared" si="23"/>
        <v>1.2163181956720512</v>
      </c>
      <c r="E89" s="27"/>
      <c r="F89" s="27">
        <f>F116</f>
        <v>0.6</v>
      </c>
      <c r="G89" s="27">
        <f t="shared" si="22"/>
        <v>2.9191636696129231</v>
      </c>
      <c r="H89" s="26"/>
      <c r="I89" s="26"/>
      <c r="J89" s="26"/>
      <c r="K89" s="26"/>
    </row>
    <row r="90" spans="1:11" s="10" customFormat="1" x14ac:dyDescent="0.25">
      <c r="A90" s="24"/>
      <c r="B90" s="25" t="str">
        <f t="shared" si="23"/>
        <v>-for side wall of stand tap</v>
      </c>
      <c r="C90" s="26">
        <f t="shared" si="23"/>
        <v>1</v>
      </c>
      <c r="D90" s="27">
        <f t="shared" si="23"/>
        <v>1.3197195976836331</v>
      </c>
      <c r="E90" s="27"/>
      <c r="F90" s="27">
        <f>F117</f>
        <v>0.6</v>
      </c>
      <c r="G90" s="27">
        <f t="shared" si="22"/>
        <v>0.79183175861017985</v>
      </c>
      <c r="H90" s="26"/>
      <c r="I90" s="26"/>
      <c r="J90" s="26"/>
      <c r="K90" s="26"/>
    </row>
    <row r="91" spans="1:11" s="10" customFormat="1" x14ac:dyDescent="0.25">
      <c r="A91" s="24"/>
      <c r="B91" s="25" t="str">
        <f t="shared" si="23"/>
        <v>-stand</v>
      </c>
      <c r="C91" s="26">
        <f t="shared" si="23"/>
        <v>1</v>
      </c>
      <c r="D91" s="27">
        <f t="shared" si="23"/>
        <v>0.35659859798841814</v>
      </c>
      <c r="E91" s="27"/>
      <c r="F91" s="27">
        <f>F118</f>
        <v>1.2</v>
      </c>
      <c r="G91" s="27">
        <f t="shared" si="22"/>
        <v>0.42791831758610177</v>
      </c>
      <c r="H91" s="26"/>
      <c r="I91" s="26"/>
      <c r="J91" s="26"/>
      <c r="K91" s="26"/>
    </row>
    <row r="92" spans="1:11" s="10" customFormat="1" x14ac:dyDescent="0.25">
      <c r="A92" s="24"/>
      <c r="B92" s="25"/>
      <c r="C92" s="26">
        <f>C119</f>
        <v>1</v>
      </c>
      <c r="D92" s="27">
        <f>D119</f>
        <v>0.46</v>
      </c>
      <c r="E92" s="27"/>
      <c r="F92" s="27">
        <f>F119</f>
        <v>0.6</v>
      </c>
      <c r="G92" s="27">
        <f t="shared" si="22"/>
        <v>0.27600000000000002</v>
      </c>
      <c r="H92" s="26"/>
      <c r="I92" s="26"/>
      <c r="J92" s="26"/>
      <c r="K92" s="26"/>
    </row>
    <row r="93" spans="1:11" s="10" customFormat="1" x14ac:dyDescent="0.25">
      <c r="A93" s="24"/>
      <c r="B93" s="25" t="s">
        <v>109</v>
      </c>
      <c r="C93" s="26">
        <f>C14</f>
        <v>1</v>
      </c>
      <c r="D93" s="27">
        <f>M10</f>
        <v>1.6763181956720512</v>
      </c>
      <c r="E93" s="27">
        <f>N10</f>
        <v>1.6763181956720512</v>
      </c>
      <c r="F93" s="27"/>
      <c r="G93" s="27">
        <f t="shared" si="22"/>
        <v>2.8100426931412015</v>
      </c>
      <c r="H93" s="26"/>
      <c r="I93" s="26"/>
      <c r="J93" s="26"/>
      <c r="K93" s="26"/>
    </row>
    <row r="94" spans="1:11" s="10" customFormat="1" ht="15" customHeight="1" x14ac:dyDescent="0.25">
      <c r="A94" s="17"/>
      <c r="B94" s="18" t="s">
        <v>16</v>
      </c>
      <c r="C94" s="19"/>
      <c r="D94" s="1"/>
      <c r="E94" s="20"/>
      <c r="F94" s="20"/>
      <c r="G94" s="2">
        <f>SUM(G88:G93)</f>
        <v>18.697664050245976</v>
      </c>
      <c r="H94" s="21" t="s">
        <v>34</v>
      </c>
      <c r="I94" s="2">
        <v>287.32</v>
      </c>
      <c r="J94" s="22">
        <f>G94*I94</f>
        <v>5372.2128349166733</v>
      </c>
      <c r="K94" s="20"/>
    </row>
    <row r="95" spans="1:11" s="10" customFormat="1" x14ac:dyDescent="0.25">
      <c r="A95" s="24"/>
      <c r="B95" s="25" t="s">
        <v>32</v>
      </c>
      <c r="C95" s="26"/>
      <c r="D95" s="27"/>
      <c r="E95" s="27"/>
      <c r="F95" s="27"/>
      <c r="G95" s="27"/>
      <c r="H95" s="26"/>
      <c r="I95" s="26"/>
      <c r="J95" s="22">
        <f>0.13*G94*693.24/10</f>
        <v>168.50559214050276</v>
      </c>
      <c r="K95" s="26"/>
    </row>
    <row r="96" spans="1:11" x14ac:dyDescent="0.25">
      <c r="A96" s="15"/>
      <c r="B96" s="15"/>
      <c r="C96" s="15"/>
      <c r="D96" s="15"/>
      <c r="E96" s="15"/>
      <c r="F96" s="15"/>
      <c r="G96" s="15"/>
      <c r="H96" s="15"/>
      <c r="I96" s="15"/>
      <c r="J96" s="15"/>
      <c r="K96" s="15"/>
    </row>
    <row r="97" spans="1:11" ht="30" x14ac:dyDescent="0.25">
      <c r="A97" s="11">
        <v>9</v>
      </c>
      <c r="B97" s="28" t="s">
        <v>56</v>
      </c>
      <c r="C97" s="15"/>
      <c r="D97" s="15"/>
      <c r="E97" s="15"/>
      <c r="F97" s="15"/>
      <c r="G97" s="15"/>
      <c r="H97" s="15"/>
      <c r="I97" s="15"/>
      <c r="J97" s="15"/>
      <c r="K97" s="15"/>
    </row>
    <row r="98" spans="1:11" x14ac:dyDescent="0.25">
      <c r="A98" s="15"/>
      <c r="B98" s="16" t="s">
        <v>86</v>
      </c>
      <c r="C98" s="45">
        <v>2</v>
      </c>
      <c r="D98" s="3">
        <f>9.75/3.281</f>
        <v>2.9716549832368178</v>
      </c>
      <c r="E98" s="3">
        <v>0.35</v>
      </c>
      <c r="F98" s="3">
        <f>(10-3.5-0.33)/3.281</f>
        <v>1.8805242304175556</v>
      </c>
      <c r="G98" s="3">
        <f t="shared" ref="G98:G101" si="24">PRODUCT(C98:F98)</f>
        <v>3.9117884402925371</v>
      </c>
      <c r="H98" s="15"/>
      <c r="I98" s="15"/>
      <c r="J98" s="15"/>
      <c r="K98" s="15"/>
    </row>
    <row r="99" spans="1:11" x14ac:dyDescent="0.25">
      <c r="A99" s="15"/>
      <c r="B99" s="16"/>
      <c r="C99" s="45">
        <v>2</v>
      </c>
      <c r="D99" s="3">
        <f>15/3.281</f>
        <v>4.5717768972874122</v>
      </c>
      <c r="E99" s="3">
        <v>0.35</v>
      </c>
      <c r="F99" s="3">
        <f>(10-3.5-0.33)/3.281</f>
        <v>1.8805242304175556</v>
      </c>
      <c r="G99" s="3">
        <f t="shared" si="24"/>
        <v>6.0181360619885194</v>
      </c>
      <c r="H99" s="15"/>
      <c r="I99" s="15"/>
      <c r="J99" s="15"/>
      <c r="K99" s="15"/>
    </row>
    <row r="100" spans="1:11" x14ac:dyDescent="0.25">
      <c r="A100" s="15"/>
      <c r="B100" s="16" t="s">
        <v>87</v>
      </c>
      <c r="C100" s="45">
        <v>-1</v>
      </c>
      <c r="D100" s="3">
        <f>1.5</f>
        <v>1.5</v>
      </c>
      <c r="E100" s="3">
        <v>0.35</v>
      </c>
      <c r="F100" s="3">
        <f>(7-3.5)/3.281</f>
        <v>1.0667479427003961</v>
      </c>
      <c r="G100" s="3">
        <f t="shared" ref="G100" si="25">PRODUCT(C100:F100)</f>
        <v>-0.56004266991770779</v>
      </c>
      <c r="H100" s="15"/>
      <c r="I100" s="15"/>
      <c r="J100" s="15"/>
      <c r="K100" s="15"/>
    </row>
    <row r="101" spans="1:11" x14ac:dyDescent="0.25">
      <c r="A101" s="15"/>
      <c r="B101" s="16" t="s">
        <v>58</v>
      </c>
      <c r="C101" s="45">
        <v>-2</v>
      </c>
      <c r="D101" s="3">
        <f>3.5/3.281</f>
        <v>1.0667479427003961</v>
      </c>
      <c r="E101" s="3">
        <v>0.35</v>
      </c>
      <c r="F101" s="3">
        <f>(7-3.5)/3.281</f>
        <v>1.0667479427003961</v>
      </c>
      <c r="G101" s="3">
        <f t="shared" si="24"/>
        <v>-0.79656582127886921</v>
      </c>
      <c r="H101" s="15"/>
      <c r="I101" s="15"/>
      <c r="J101" s="15"/>
      <c r="K101" s="15"/>
    </row>
    <row r="102" spans="1:11" s="10" customFormat="1" x14ac:dyDescent="0.25">
      <c r="A102" s="24"/>
      <c r="B102" s="25" t="s">
        <v>107</v>
      </c>
      <c r="C102" s="49">
        <f>C14*2</f>
        <v>2</v>
      </c>
      <c r="D102" s="27">
        <f>N10-O10*2</f>
        <v>1.2163181956720512</v>
      </c>
      <c r="E102" s="27">
        <f>O10</f>
        <v>0.23</v>
      </c>
      <c r="F102" s="27">
        <f>P10</f>
        <v>0.6</v>
      </c>
      <c r="G102" s="27">
        <f>PRODUCT(C102:F102)</f>
        <v>0.33570382200548615</v>
      </c>
      <c r="H102" s="26"/>
      <c r="I102" s="26"/>
      <c r="J102" s="26"/>
      <c r="K102" s="26"/>
    </row>
    <row r="103" spans="1:11" s="10" customFormat="1" x14ac:dyDescent="0.25">
      <c r="A103" s="24"/>
      <c r="B103" s="25" t="s">
        <v>108</v>
      </c>
      <c r="C103" s="49">
        <f>C14</f>
        <v>1</v>
      </c>
      <c r="D103" s="27">
        <f>M10-R10</f>
        <v>1.3197195976836331</v>
      </c>
      <c r="E103" s="27">
        <f>O10</f>
        <v>0.23</v>
      </c>
      <c r="F103" s="27">
        <f>P10</f>
        <v>0.6</v>
      </c>
      <c r="G103" s="27">
        <f>PRODUCT(C103:F103)</f>
        <v>0.18212130448034136</v>
      </c>
      <c r="H103" s="26"/>
      <c r="I103" s="26"/>
      <c r="J103" s="26"/>
      <c r="K103" s="26"/>
    </row>
    <row r="104" spans="1:11" s="10" customFormat="1" x14ac:dyDescent="0.25">
      <c r="A104" s="24"/>
      <c r="B104" s="25" t="s">
        <v>106</v>
      </c>
      <c r="C104" s="49">
        <f>C14</f>
        <v>1</v>
      </c>
      <c r="D104" s="27">
        <f>R10</f>
        <v>0.35659859798841814</v>
      </c>
      <c r="E104" s="27">
        <f>O10</f>
        <v>0.23</v>
      </c>
      <c r="F104" s="27">
        <f>Q10</f>
        <v>1.2</v>
      </c>
      <c r="G104" s="27">
        <f>PRODUCT(C104:F104)</f>
        <v>9.8421213044803404E-2</v>
      </c>
      <c r="H104" s="26"/>
      <c r="I104" s="26"/>
      <c r="J104" s="26"/>
      <c r="K104" s="26"/>
    </row>
    <row r="105" spans="1:11" s="10" customFormat="1" ht="15" customHeight="1" x14ac:dyDescent="0.25">
      <c r="A105" s="17"/>
      <c r="B105" s="18" t="s">
        <v>16</v>
      </c>
      <c r="C105" s="19"/>
      <c r="D105" s="1"/>
      <c r="E105" s="20"/>
      <c r="F105" s="20"/>
      <c r="G105" s="2">
        <f>SUM(G98:G104)</f>
        <v>9.1895623506151107</v>
      </c>
      <c r="H105" s="21" t="s">
        <v>28</v>
      </c>
      <c r="I105" s="2">
        <f>14491.84</f>
        <v>14491.84</v>
      </c>
      <c r="J105" s="22">
        <f>G105*I105</f>
        <v>133173.66725513808</v>
      </c>
      <c r="K105" s="20"/>
    </row>
    <row r="106" spans="1:11" s="10" customFormat="1" x14ac:dyDescent="0.25">
      <c r="A106" s="24"/>
      <c r="B106" s="25" t="s">
        <v>53</v>
      </c>
      <c r="C106" s="26"/>
      <c r="D106" s="27"/>
      <c r="E106" s="27"/>
      <c r="F106" s="27"/>
      <c r="G106" s="27"/>
      <c r="H106" s="26"/>
      <c r="I106" s="26"/>
      <c r="J106" s="22">
        <f>0.13*G105*8481.2</f>
        <v>10132.007107044796</v>
      </c>
      <c r="K106" s="26"/>
    </row>
    <row r="107" spans="1:11" s="10" customFormat="1" x14ac:dyDescent="0.25">
      <c r="A107" s="24"/>
      <c r="B107" s="25" t="s">
        <v>32</v>
      </c>
      <c r="C107" s="26"/>
      <c r="D107" s="27"/>
      <c r="E107" s="27"/>
      <c r="F107" s="27"/>
      <c r="G107" s="27"/>
      <c r="H107" s="26"/>
      <c r="I107" s="26"/>
      <c r="J107" s="22">
        <f>0.13*G105*912.17</f>
        <v>1089.7176016168762</v>
      </c>
      <c r="K107" s="26"/>
    </row>
    <row r="108" spans="1:11" s="10" customFormat="1" x14ac:dyDescent="0.25">
      <c r="A108" s="24"/>
      <c r="B108" s="25" t="s">
        <v>57</v>
      </c>
      <c r="C108" s="26"/>
      <c r="D108" s="27"/>
      <c r="E108" s="27"/>
      <c r="F108" s="27"/>
      <c r="G108" s="27"/>
      <c r="H108" s="26"/>
      <c r="I108" s="26"/>
      <c r="J108" s="22">
        <f>0.13*G105*953.37</f>
        <v>1138.9368975667708</v>
      </c>
      <c r="K108" s="26"/>
    </row>
    <row r="109" spans="1:11" s="10" customFormat="1" x14ac:dyDescent="0.25">
      <c r="A109" s="24"/>
      <c r="B109" s="25" t="s">
        <v>35</v>
      </c>
      <c r="C109" s="26"/>
      <c r="D109" s="27"/>
      <c r="E109" s="27"/>
      <c r="F109" s="27"/>
      <c r="G109" s="27"/>
      <c r="H109" s="26"/>
      <c r="I109" s="26"/>
      <c r="J109" s="22">
        <f>0.13*G105*28</f>
        <v>33.450006956239008</v>
      </c>
      <c r="K109" s="26"/>
    </row>
    <row r="110" spans="1:11" x14ac:dyDescent="0.25">
      <c r="A110" s="15"/>
      <c r="B110" s="15"/>
      <c r="C110" s="15"/>
      <c r="D110" s="15"/>
      <c r="E110" s="15"/>
      <c r="F110" s="15"/>
      <c r="G110" s="15"/>
      <c r="H110" s="15"/>
      <c r="I110" s="15"/>
      <c r="J110" s="15"/>
      <c r="K110" s="15"/>
    </row>
    <row r="111" spans="1:11" ht="30" x14ac:dyDescent="0.25">
      <c r="A111" s="11">
        <v>10</v>
      </c>
      <c r="B111" s="28" t="s">
        <v>51</v>
      </c>
      <c r="C111" s="15"/>
      <c r="D111" s="15"/>
      <c r="E111" s="15"/>
      <c r="F111" s="15"/>
      <c r="G111" s="15"/>
      <c r="H111" s="15"/>
      <c r="I111" s="15"/>
      <c r="J111" s="15"/>
      <c r="K111" s="15"/>
    </row>
    <row r="112" spans="1:11" x14ac:dyDescent="0.25">
      <c r="A112" s="15"/>
      <c r="B112" s="16" t="str">
        <f>B98</f>
        <v>-for wall continue</v>
      </c>
      <c r="C112" s="45">
        <v>1</v>
      </c>
      <c r="D112" s="3">
        <f>(15*2+(9.75+1.17*2)*2)/3.281</f>
        <v>16.513258153002134</v>
      </c>
      <c r="E112" s="3"/>
      <c r="F112" s="3">
        <f>10/3.281</f>
        <v>3.047851264858275</v>
      </c>
      <c r="G112" s="3">
        <f>PRODUCT(C112:F112)</f>
        <v>50.329954748558777</v>
      </c>
      <c r="H112" s="15"/>
      <c r="I112" s="15"/>
      <c r="J112" s="15"/>
      <c r="K112" s="15"/>
    </row>
    <row r="113" spans="1:11" x14ac:dyDescent="0.25">
      <c r="A113" s="15"/>
      <c r="B113" s="16"/>
      <c r="C113" s="45">
        <v>1</v>
      </c>
      <c r="D113" s="3">
        <f>((15-1.17*2)*2+(9.75*2))/3.281</f>
        <v>13.660469369094788</v>
      </c>
      <c r="E113" s="3"/>
      <c r="F113" s="3">
        <f>10/3.281</f>
        <v>3.047851264858275</v>
      </c>
      <c r="G113" s="3">
        <f>PRODUCT(C113:F113)</f>
        <v>41.635078845153267</v>
      </c>
      <c r="H113" s="15"/>
      <c r="I113" s="15"/>
      <c r="J113" s="15"/>
      <c r="K113" s="15"/>
    </row>
    <row r="114" spans="1:11" x14ac:dyDescent="0.25">
      <c r="A114" s="15"/>
      <c r="B114" s="16" t="str">
        <f>B100</f>
        <v>-deduction for door</v>
      </c>
      <c r="C114" s="45">
        <f>2*C100</f>
        <v>-2</v>
      </c>
      <c r="D114" s="3">
        <f>D100</f>
        <v>1.5</v>
      </c>
      <c r="E114" s="3"/>
      <c r="F114" s="3">
        <f>7/3.281</f>
        <v>2.1334958854007922</v>
      </c>
      <c r="G114" s="3">
        <f t="shared" ref="G114" si="26">PRODUCT(C114:F114)</f>
        <v>-6.400487656202376</v>
      </c>
      <c r="H114" s="15"/>
      <c r="I114" s="15"/>
      <c r="J114" s="15"/>
      <c r="K114" s="15"/>
    </row>
    <row r="115" spans="1:11" x14ac:dyDescent="0.25">
      <c r="A115" s="15"/>
      <c r="B115" s="16" t="str">
        <f>B101</f>
        <v>-deduction for window</v>
      </c>
      <c r="C115" s="45">
        <f>2*C101</f>
        <v>-4</v>
      </c>
      <c r="D115" s="3">
        <f>D101</f>
        <v>1.0667479427003961</v>
      </c>
      <c r="E115" s="3"/>
      <c r="F115" s="3">
        <f>F101</f>
        <v>1.0667479427003961</v>
      </c>
      <c r="G115" s="3">
        <f t="shared" ref="G115" si="27">PRODUCT(C115:F115)</f>
        <v>-4.5518046930221097</v>
      </c>
      <c r="H115" s="15"/>
      <c r="I115" s="15"/>
      <c r="J115" s="15"/>
      <c r="K115" s="15"/>
    </row>
    <row r="116" spans="1:11" s="10" customFormat="1" x14ac:dyDescent="0.25">
      <c r="A116" s="24"/>
      <c r="B116" s="25" t="str">
        <f>B102</f>
        <v>-for wing walls of stand tap</v>
      </c>
      <c r="C116" s="26">
        <f>C14*4</f>
        <v>4</v>
      </c>
      <c r="D116" s="27">
        <f>M10-O10*2</f>
        <v>1.2163181956720512</v>
      </c>
      <c r="E116" s="27"/>
      <c r="F116" s="27">
        <f>P10</f>
        <v>0.6</v>
      </c>
      <c r="G116" s="27">
        <f>PRODUCT(C116:F116)</f>
        <v>2.9191636696129231</v>
      </c>
      <c r="H116" s="26"/>
      <c r="I116" s="26"/>
      <c r="J116" s="26"/>
      <c r="K116" s="26"/>
    </row>
    <row r="117" spans="1:11" s="10" customFormat="1" x14ac:dyDescent="0.25">
      <c r="A117" s="24"/>
      <c r="B117" s="25" t="str">
        <f>B103</f>
        <v>-for side wall of stand tap</v>
      </c>
      <c r="C117" s="26">
        <f>C14</f>
        <v>1</v>
      </c>
      <c r="D117" s="27">
        <f>M10-R10</f>
        <v>1.3197195976836331</v>
      </c>
      <c r="E117" s="27"/>
      <c r="F117" s="27">
        <f>P10</f>
        <v>0.6</v>
      </c>
      <c r="G117" s="27">
        <f>PRODUCT(C117:F117)</f>
        <v>0.79183175861017985</v>
      </c>
      <c r="H117" s="26"/>
      <c r="I117" s="26"/>
      <c r="J117" s="26"/>
      <c r="K117" s="26"/>
    </row>
    <row r="118" spans="1:11" s="10" customFormat="1" x14ac:dyDescent="0.25">
      <c r="A118" s="24"/>
      <c r="B118" s="25" t="s">
        <v>114</v>
      </c>
      <c r="C118" s="26">
        <f>C14</f>
        <v>1</v>
      </c>
      <c r="D118" s="27">
        <f>R10</f>
        <v>0.35659859798841814</v>
      </c>
      <c r="E118" s="27"/>
      <c r="F118" s="27">
        <f>Q10</f>
        <v>1.2</v>
      </c>
      <c r="G118" s="27">
        <f>PRODUCT(C118:F118)</f>
        <v>0.42791831758610177</v>
      </c>
      <c r="H118" s="26"/>
      <c r="I118" s="26"/>
      <c r="J118" s="26"/>
      <c r="K118" s="26"/>
    </row>
    <row r="119" spans="1:11" s="10" customFormat="1" x14ac:dyDescent="0.25">
      <c r="A119" s="24"/>
      <c r="B119" s="25"/>
      <c r="C119" s="26">
        <f>C118</f>
        <v>1</v>
      </c>
      <c r="D119" s="27">
        <f>O10*2</f>
        <v>0.46</v>
      </c>
      <c r="E119" s="27"/>
      <c r="F119" s="27">
        <f>Q10-P10</f>
        <v>0.6</v>
      </c>
      <c r="G119" s="27">
        <f>PRODUCT(C119:F119)</f>
        <v>0.27600000000000002</v>
      </c>
      <c r="H119" s="26"/>
      <c r="I119" s="26"/>
      <c r="J119" s="26"/>
      <c r="K119" s="26"/>
    </row>
    <row r="120" spans="1:11" s="10" customFormat="1" ht="15" customHeight="1" x14ac:dyDescent="0.25">
      <c r="A120" s="17"/>
      <c r="B120" s="18" t="s">
        <v>16</v>
      </c>
      <c r="C120" s="19"/>
      <c r="D120" s="1"/>
      <c r="E120" s="20"/>
      <c r="F120" s="20"/>
      <c r="G120" s="2">
        <f>SUM(G112:G119)</f>
        <v>85.427654990296773</v>
      </c>
      <c r="H120" s="21" t="s">
        <v>34</v>
      </c>
      <c r="I120" s="2">
        <v>415.5</v>
      </c>
      <c r="J120" s="22">
        <f>G120*I120</f>
        <v>35495.190648468306</v>
      </c>
      <c r="K120" s="20"/>
    </row>
    <row r="121" spans="1:11" s="10" customFormat="1" x14ac:dyDescent="0.25">
      <c r="A121" s="24"/>
      <c r="B121" s="25" t="s">
        <v>32</v>
      </c>
      <c r="C121" s="26"/>
      <c r="D121" s="27"/>
      <c r="E121" s="27"/>
      <c r="F121" s="27"/>
      <c r="G121" s="27"/>
      <c r="H121" s="26"/>
      <c r="I121" s="26"/>
      <c r="J121" s="22">
        <f>0.13*G120*7010.67/100</f>
        <v>778.57662741407114</v>
      </c>
      <c r="K121" s="26"/>
    </row>
    <row r="122" spans="1:11" x14ac:dyDescent="0.25">
      <c r="A122" s="15"/>
      <c r="B122" s="25" t="s">
        <v>31</v>
      </c>
      <c r="C122" s="26"/>
      <c r="D122" s="27"/>
      <c r="E122" s="27"/>
      <c r="F122" s="27"/>
      <c r="G122" s="27"/>
      <c r="H122" s="26"/>
      <c r="I122" s="26"/>
      <c r="J122" s="22">
        <f>0.13*G120*4639.73/100</f>
        <v>515.26962979456857</v>
      </c>
      <c r="K122" s="15"/>
    </row>
    <row r="123" spans="1:11" x14ac:dyDescent="0.25">
      <c r="A123" s="15"/>
      <c r="B123" s="15"/>
      <c r="C123" s="15"/>
      <c r="D123" s="15"/>
      <c r="E123" s="15"/>
      <c r="F123" s="15"/>
      <c r="G123" s="15"/>
      <c r="H123" s="15"/>
      <c r="I123" s="15"/>
      <c r="J123" s="15"/>
      <c r="K123" s="15"/>
    </row>
    <row r="124" spans="1:11" ht="30" x14ac:dyDescent="0.25">
      <c r="A124" s="11">
        <v>11</v>
      </c>
      <c r="B124" s="28" t="s">
        <v>59</v>
      </c>
      <c r="C124" s="15"/>
      <c r="D124" s="15"/>
      <c r="E124" s="15"/>
      <c r="F124" s="15"/>
      <c r="G124" s="15"/>
      <c r="H124" s="15"/>
      <c r="I124" s="15"/>
      <c r="J124" s="15"/>
      <c r="K124" s="15"/>
    </row>
    <row r="125" spans="1:11" x14ac:dyDescent="0.25">
      <c r="A125" s="15"/>
      <c r="B125" s="16" t="s">
        <v>85</v>
      </c>
      <c r="C125" s="3">
        <f>C112</f>
        <v>1</v>
      </c>
      <c r="D125" s="3"/>
      <c r="E125" s="3"/>
      <c r="F125" s="3"/>
      <c r="G125" s="3">
        <f>SUM(G112:G115)</f>
        <v>81.012741244487557</v>
      </c>
      <c r="H125" s="15"/>
      <c r="I125" s="15"/>
      <c r="J125" s="15"/>
      <c r="K125" s="15"/>
    </row>
    <row r="126" spans="1:11" s="10" customFormat="1" ht="15" customHeight="1" x14ac:dyDescent="0.25">
      <c r="A126" s="17"/>
      <c r="B126" s="18" t="s">
        <v>16</v>
      </c>
      <c r="C126" s="19"/>
      <c r="D126" s="1"/>
      <c r="E126" s="20"/>
      <c r="F126" s="20"/>
      <c r="G126" s="2">
        <f>SUM(G125:G125)</f>
        <v>81.012741244487557</v>
      </c>
      <c r="H126" s="21" t="s">
        <v>34</v>
      </c>
      <c r="I126" s="2">
        <v>253.8</v>
      </c>
      <c r="J126" s="22">
        <f>G126*I126</f>
        <v>20561.033727850943</v>
      </c>
      <c r="K126" s="20"/>
    </row>
    <row r="127" spans="1:11" s="10" customFormat="1" x14ac:dyDescent="0.25">
      <c r="A127" s="24"/>
      <c r="B127" s="25" t="s">
        <v>60</v>
      </c>
      <c r="C127" s="26"/>
      <c r="D127" s="27"/>
      <c r="E127" s="27"/>
      <c r="F127" s="27"/>
      <c r="G127" s="27"/>
      <c r="H127" s="26"/>
      <c r="I127" s="26"/>
      <c r="J127" s="22">
        <f>0.13*G126*2304/100</f>
        <v>242.64936257548914</v>
      </c>
      <c r="K127" s="26"/>
    </row>
    <row r="128" spans="1:11" s="10" customFormat="1" x14ac:dyDescent="0.25">
      <c r="A128" s="24"/>
      <c r="B128" s="25" t="s">
        <v>61</v>
      </c>
      <c r="C128" s="26"/>
      <c r="D128" s="27"/>
      <c r="E128" s="27"/>
      <c r="F128" s="27"/>
      <c r="G128" s="27"/>
      <c r="H128" s="26"/>
      <c r="I128" s="26"/>
      <c r="J128" s="22">
        <f>0.13*G126*10432/100</f>
        <v>1098.6623916612425</v>
      </c>
      <c r="K128" s="26"/>
    </row>
    <row r="129" spans="1:11" s="10" customFormat="1" x14ac:dyDescent="0.25">
      <c r="A129" s="24"/>
      <c r="B129" s="25"/>
      <c r="C129" s="26"/>
      <c r="D129" s="27"/>
      <c r="E129" s="27"/>
      <c r="F129" s="27"/>
      <c r="G129" s="27"/>
      <c r="H129" s="26"/>
      <c r="I129" s="26"/>
      <c r="J129" s="22"/>
      <c r="K129" s="26"/>
    </row>
    <row r="130" spans="1:11" s="10" customFormat="1" ht="45" x14ac:dyDescent="0.25">
      <c r="A130" s="24">
        <v>12</v>
      </c>
      <c r="B130" s="30" t="s">
        <v>96</v>
      </c>
      <c r="C130" s="26"/>
      <c r="D130" s="27"/>
      <c r="E130" s="27"/>
      <c r="F130" s="27"/>
      <c r="G130" s="27"/>
      <c r="H130" s="26"/>
      <c r="I130" s="26"/>
      <c r="J130" s="22"/>
      <c r="K130" s="26"/>
    </row>
    <row r="131" spans="1:11" x14ac:dyDescent="0.25">
      <c r="A131" s="15"/>
      <c r="B131" s="16" t="s">
        <v>97</v>
      </c>
      <c r="C131" s="3">
        <v>1</v>
      </c>
      <c r="D131" s="3">
        <f>D100</f>
        <v>1.5</v>
      </c>
      <c r="E131" s="3"/>
      <c r="F131" s="3">
        <f>F100</f>
        <v>1.0667479427003961</v>
      </c>
      <c r="G131" s="3">
        <f>PRODUCT(C131:F131)</f>
        <v>1.600121914050594</v>
      </c>
      <c r="H131" s="15"/>
      <c r="I131" s="15"/>
      <c r="J131" s="15"/>
      <c r="K131" s="15"/>
    </row>
    <row r="132" spans="1:11" x14ac:dyDescent="0.25">
      <c r="A132" s="15"/>
      <c r="B132" s="16" t="s">
        <v>98</v>
      </c>
      <c r="C132" s="3">
        <v>2</v>
      </c>
      <c r="D132" s="3">
        <f>D101</f>
        <v>1.0667479427003961</v>
      </c>
      <c r="E132" s="3"/>
      <c r="F132" s="3">
        <f>F101</f>
        <v>1.0667479427003961</v>
      </c>
      <c r="G132" s="3">
        <f>PRODUCT(C132:F132)</f>
        <v>2.2759023465110548</v>
      </c>
      <c r="H132" s="15"/>
      <c r="I132" s="15"/>
      <c r="J132" s="15"/>
      <c r="K132" s="15"/>
    </row>
    <row r="133" spans="1:11" s="10" customFormat="1" ht="15" customHeight="1" x14ac:dyDescent="0.25">
      <c r="A133" s="17"/>
      <c r="B133" s="18" t="s">
        <v>16</v>
      </c>
      <c r="C133" s="19"/>
      <c r="D133" s="1"/>
      <c r="E133" s="20"/>
      <c r="F133" s="20"/>
      <c r="G133" s="2">
        <f>SUM(G131:G132)</f>
        <v>3.8760242605616488</v>
      </c>
      <c r="H133" s="21" t="s">
        <v>34</v>
      </c>
      <c r="I133" s="2">
        <v>37363.64</v>
      </c>
      <c r="J133" s="22">
        <f>G133*I133</f>
        <v>144822.37510289164</v>
      </c>
      <c r="K133" s="20"/>
    </row>
    <row r="134" spans="1:11" s="10" customFormat="1" x14ac:dyDescent="0.25">
      <c r="A134" s="24"/>
      <c r="B134" s="25" t="s">
        <v>99</v>
      </c>
      <c r="C134" s="26"/>
      <c r="D134" s="27"/>
      <c r="E134" s="27"/>
      <c r="F134" s="27"/>
      <c r="G134" s="27"/>
      <c r="H134" s="26"/>
      <c r="I134" s="26"/>
      <c r="J134" s="22">
        <f>0.13*G133*7910.91/0.92</f>
        <v>4332.7981313104001</v>
      </c>
      <c r="K134" s="26"/>
    </row>
    <row r="135" spans="1:11" s="10" customFormat="1" x14ac:dyDescent="0.25">
      <c r="A135" s="24"/>
      <c r="B135" s="25"/>
      <c r="C135" s="26"/>
      <c r="D135" s="27"/>
      <c r="E135" s="27"/>
      <c r="F135" s="27"/>
      <c r="G135" s="27"/>
      <c r="H135" s="26"/>
      <c r="I135" s="26"/>
      <c r="J135" s="22"/>
      <c r="K135" s="26"/>
    </row>
    <row r="136" spans="1:11" s="10" customFormat="1" ht="30" x14ac:dyDescent="0.25">
      <c r="A136" s="24">
        <v>13</v>
      </c>
      <c r="B136" s="50" t="s">
        <v>110</v>
      </c>
      <c r="C136" s="26"/>
      <c r="D136" s="26"/>
      <c r="E136" s="26"/>
      <c r="F136" s="26"/>
      <c r="G136" s="26"/>
      <c r="H136" s="26"/>
      <c r="I136" s="26"/>
      <c r="J136" s="26"/>
      <c r="K136" s="26"/>
    </row>
    <row r="137" spans="1:11" s="10" customFormat="1" x14ac:dyDescent="0.25">
      <c r="A137" s="24"/>
      <c r="B137" s="25" t="s">
        <v>111</v>
      </c>
      <c r="C137" s="26">
        <v>1</v>
      </c>
      <c r="D137" s="27">
        <f>Q10</f>
        <v>1.2</v>
      </c>
      <c r="E137" s="26"/>
      <c r="F137" s="26"/>
      <c r="G137" s="27">
        <f t="shared" ref="G137" si="28">PRODUCT(C137:F137)</f>
        <v>1.2</v>
      </c>
      <c r="H137" s="26"/>
      <c r="I137" s="26"/>
      <c r="J137" s="22"/>
      <c r="K137" s="26"/>
    </row>
    <row r="138" spans="1:11" s="44" customFormat="1" x14ac:dyDescent="0.25">
      <c r="A138" s="17"/>
      <c r="B138" s="55" t="s">
        <v>112</v>
      </c>
      <c r="C138" s="19"/>
      <c r="D138" s="1"/>
      <c r="E138" s="20"/>
      <c r="F138" s="20"/>
      <c r="G138" s="56">
        <f>SUM(G137:G137)</f>
        <v>1.2</v>
      </c>
      <c r="H138" s="21" t="s">
        <v>82</v>
      </c>
      <c r="I138" s="2">
        <v>248</v>
      </c>
      <c r="J138" s="56">
        <f>G138*I138</f>
        <v>297.59999999999997</v>
      </c>
      <c r="K138" s="20"/>
    </row>
    <row r="139" spans="1:11" s="10" customFormat="1" x14ac:dyDescent="0.25">
      <c r="A139" s="24"/>
      <c r="B139" s="25" t="s">
        <v>113</v>
      </c>
      <c r="C139" s="26"/>
      <c r="D139" s="26"/>
      <c r="E139" s="26"/>
      <c r="F139" s="26"/>
      <c r="G139" s="26"/>
      <c r="H139" s="26"/>
      <c r="I139" s="26"/>
      <c r="J139" s="22">
        <f>0.13*J138</f>
        <v>38.687999999999995</v>
      </c>
      <c r="K139" s="26"/>
    </row>
    <row r="140" spans="1:11" s="10" customFormat="1" x14ac:dyDescent="0.25">
      <c r="A140" s="24"/>
      <c r="B140" s="50"/>
      <c r="C140" s="26"/>
      <c r="D140" s="26"/>
      <c r="E140" s="26"/>
      <c r="F140" s="26"/>
      <c r="G140" s="26"/>
      <c r="H140" s="26"/>
      <c r="I140" s="26"/>
      <c r="J140" s="26"/>
      <c r="K140" s="26"/>
    </row>
    <row r="141" spans="1:11" s="10" customFormat="1" ht="30" x14ac:dyDescent="0.25">
      <c r="A141" s="17">
        <v>14</v>
      </c>
      <c r="B141" s="30" t="s">
        <v>83</v>
      </c>
      <c r="C141" s="19">
        <v>1</v>
      </c>
      <c r="D141" s="1"/>
      <c r="E141" s="20"/>
      <c r="F141" s="20"/>
      <c r="G141" s="21">
        <f t="shared" ref="G141" si="29">PRODUCT(C141:F141)</f>
        <v>1</v>
      </c>
      <c r="H141" s="21" t="s">
        <v>30</v>
      </c>
      <c r="I141" s="2">
        <v>5000</v>
      </c>
      <c r="J141" s="21">
        <f>G141*I141</f>
        <v>5000</v>
      </c>
      <c r="K141" s="20"/>
    </row>
    <row r="142" spans="1:11" s="10" customFormat="1" x14ac:dyDescent="0.25">
      <c r="A142" s="17"/>
      <c r="B142" s="31"/>
      <c r="C142" s="19"/>
      <c r="D142" s="1"/>
      <c r="E142" s="20"/>
      <c r="F142" s="20"/>
      <c r="G142" s="2"/>
      <c r="H142" s="21"/>
      <c r="I142" s="2"/>
      <c r="J142" s="22"/>
      <c r="K142" s="20"/>
    </row>
    <row r="143" spans="1:11" s="10" customFormat="1" ht="15" customHeight="1" x14ac:dyDescent="0.25">
      <c r="A143" s="17">
        <v>15</v>
      </c>
      <c r="B143" s="30" t="s">
        <v>17</v>
      </c>
      <c r="C143" s="19">
        <v>1</v>
      </c>
      <c r="D143" s="1"/>
      <c r="E143" s="20"/>
      <c r="F143" s="20"/>
      <c r="G143" s="21">
        <f t="shared" ref="G143" si="30">PRODUCT(C143:F143)</f>
        <v>1</v>
      </c>
      <c r="H143" s="21" t="s">
        <v>18</v>
      </c>
      <c r="I143" s="2">
        <v>500</v>
      </c>
      <c r="J143" s="21">
        <f>G143*I143</f>
        <v>500</v>
      </c>
      <c r="K143" s="20"/>
    </row>
    <row r="144" spans="1:11" s="10" customFormat="1" x14ac:dyDescent="0.25">
      <c r="A144" s="17"/>
      <c r="B144" s="31"/>
      <c r="C144" s="19"/>
      <c r="D144" s="1"/>
      <c r="E144" s="20"/>
      <c r="F144" s="20"/>
      <c r="G144" s="2"/>
      <c r="H144" s="21"/>
      <c r="I144" s="2"/>
      <c r="J144" s="22"/>
      <c r="K144" s="20"/>
    </row>
    <row r="145" spans="1:11" s="10" customFormat="1" x14ac:dyDescent="0.25">
      <c r="A145" s="32"/>
      <c r="B145" s="33" t="s">
        <v>20</v>
      </c>
      <c r="C145" s="34"/>
      <c r="D145" s="35"/>
      <c r="E145" s="35"/>
      <c r="F145" s="35"/>
      <c r="G145" s="22"/>
      <c r="H145" s="22"/>
      <c r="I145" s="22"/>
      <c r="J145" s="22">
        <f>SUM(J19:J143)</f>
        <v>535761.86997382692</v>
      </c>
      <c r="K145" s="36"/>
    </row>
    <row r="146" spans="1:11" s="10" customFormat="1" x14ac:dyDescent="0.25"/>
    <row r="147" spans="1:11" s="44" customFormat="1" x14ac:dyDescent="0.25">
      <c r="A147" s="37"/>
      <c r="B147" s="38" t="s">
        <v>19</v>
      </c>
      <c r="C147" s="90">
        <f>J145</f>
        <v>535761.86997382692</v>
      </c>
      <c r="D147" s="91"/>
      <c r="E147" s="39">
        <v>100</v>
      </c>
      <c r="F147" s="37"/>
      <c r="G147" s="40"/>
      <c r="H147" s="37"/>
      <c r="I147" s="41"/>
      <c r="J147" s="42"/>
      <c r="K147" s="43"/>
    </row>
    <row r="148" spans="1:11" s="10" customFormat="1" x14ac:dyDescent="0.25">
      <c r="B148" s="38" t="s">
        <v>21</v>
      </c>
      <c r="C148" s="94">
        <v>700000</v>
      </c>
      <c r="D148" s="95"/>
      <c r="E148" s="39"/>
    </row>
    <row r="149" spans="1:11" s="10" customFormat="1" x14ac:dyDescent="0.25">
      <c r="B149" s="38" t="s">
        <v>22</v>
      </c>
      <c r="C149" s="94">
        <f>C148-C151-C152</f>
        <v>665000</v>
      </c>
      <c r="D149" s="95"/>
      <c r="E149" s="39">
        <f>C149/C147*100</f>
        <v>124.12230829948511</v>
      </c>
    </row>
    <row r="150" spans="1:11" s="10" customFormat="1" x14ac:dyDescent="0.25">
      <c r="B150" s="38" t="s">
        <v>26</v>
      </c>
      <c r="C150" s="96">
        <f>C147-C149</f>
        <v>-129238.13002617308</v>
      </c>
      <c r="D150" s="96"/>
      <c r="E150" s="39">
        <f>100-E149</f>
        <v>-24.122308299485113</v>
      </c>
    </row>
    <row r="151" spans="1:11" s="10" customFormat="1" x14ac:dyDescent="0.25">
      <c r="B151" s="38" t="s">
        <v>23</v>
      </c>
      <c r="C151" s="90">
        <f>C148*0.03</f>
        <v>21000</v>
      </c>
      <c r="D151" s="91"/>
      <c r="E151" s="39">
        <v>3</v>
      </c>
    </row>
    <row r="152" spans="1:11" s="10" customFormat="1" x14ac:dyDescent="0.25">
      <c r="B152" s="38" t="s">
        <v>24</v>
      </c>
      <c r="C152" s="90">
        <f>C148*0.02</f>
        <v>14000</v>
      </c>
      <c r="D152" s="91"/>
      <c r="E152" s="39">
        <v>2</v>
      </c>
    </row>
  </sheetData>
  <mergeCells count="15">
    <mergeCell ref="C151:D151"/>
    <mergeCell ref="C152:D152"/>
    <mergeCell ref="A7:F7"/>
    <mergeCell ref="H7:K7"/>
    <mergeCell ref="C147:D147"/>
    <mergeCell ref="C148:D148"/>
    <mergeCell ref="C149:D149"/>
    <mergeCell ref="C150:D150"/>
    <mergeCell ref="A6:F6"/>
    <mergeCell ref="H6:K6"/>
    <mergeCell ref="A1:K1"/>
    <mergeCell ref="A2:K2"/>
    <mergeCell ref="A3:K3"/>
    <mergeCell ref="A4:K4"/>
    <mergeCell ref="A5:K5"/>
  </mergeCells>
  <pageMargins left="0.7" right="0.7" top="0.75" bottom="0.75" header="0.3" footer="0.3"/>
  <pageSetup scale="80" orientation="portrait"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W4"/>
  <sheetViews>
    <sheetView workbookViewId="0">
      <selection activeCell="R4" sqref="R4"/>
    </sheetView>
  </sheetViews>
  <sheetFormatPr defaultRowHeight="15" x14ac:dyDescent="0.25"/>
  <cols>
    <col min="2" max="2" width="7" bestFit="1" customWidth="1"/>
    <col min="3" max="3" width="8" bestFit="1" customWidth="1"/>
    <col min="4" max="4" width="8.28515625" customWidth="1"/>
    <col min="5" max="5" width="9.7109375" customWidth="1"/>
    <col min="6" max="6" width="10" customWidth="1"/>
    <col min="7" max="7" width="6.42578125" bestFit="1" customWidth="1"/>
    <col min="8" max="8" width="7" bestFit="1" customWidth="1"/>
    <col min="9" max="9" width="8" bestFit="1" customWidth="1"/>
    <col min="10" max="10" width="8.140625" customWidth="1"/>
    <col min="12" max="12" width="6.28515625" bestFit="1" customWidth="1"/>
    <col min="14" max="14" width="6.28515625" bestFit="1" customWidth="1"/>
    <col min="16" max="16" width="8.85546875" customWidth="1"/>
    <col min="17" max="17" width="11.85546875" customWidth="1"/>
    <col min="18" max="18" width="7" bestFit="1" customWidth="1"/>
    <col min="19" max="19" width="6.42578125" bestFit="1" customWidth="1"/>
    <col min="20" max="20" width="6.85546875" bestFit="1" customWidth="1"/>
    <col min="21" max="21" width="7" bestFit="1" customWidth="1"/>
    <col min="22" max="22" width="6.42578125" bestFit="1" customWidth="1"/>
    <col min="23" max="23" width="6.85546875" bestFit="1" customWidth="1"/>
  </cols>
  <sheetData>
    <row r="2" spans="2:23" x14ac:dyDescent="0.25">
      <c r="B2" s="101" t="s">
        <v>63</v>
      </c>
      <c r="C2" s="101"/>
      <c r="D2" s="101"/>
      <c r="E2" s="101" t="s">
        <v>67</v>
      </c>
      <c r="F2" s="101"/>
      <c r="G2" s="101"/>
      <c r="H2" s="102" t="s">
        <v>64</v>
      </c>
      <c r="I2" s="102"/>
      <c r="J2" s="102"/>
      <c r="K2" s="98" t="s">
        <v>70</v>
      </c>
      <c r="L2" s="99"/>
      <c r="M2" s="99"/>
      <c r="N2" s="100"/>
      <c r="O2" s="98" t="s">
        <v>77</v>
      </c>
      <c r="P2" s="99"/>
      <c r="Q2" s="100"/>
      <c r="R2" s="97" t="s">
        <v>75</v>
      </c>
      <c r="S2" s="97"/>
      <c r="T2" s="97"/>
      <c r="U2" s="97" t="s">
        <v>75</v>
      </c>
      <c r="V2" s="97"/>
      <c r="W2" s="97"/>
    </row>
    <row r="3" spans="2:23" s="48" customFormat="1" ht="45" x14ac:dyDescent="0.25">
      <c r="B3" s="47" t="s">
        <v>8</v>
      </c>
      <c r="C3" s="47" t="s">
        <v>9</v>
      </c>
      <c r="D3" s="47" t="s">
        <v>66</v>
      </c>
      <c r="E3" s="47" t="s">
        <v>68</v>
      </c>
      <c r="F3" s="47" t="s">
        <v>69</v>
      </c>
      <c r="G3" s="47" t="s">
        <v>65</v>
      </c>
      <c r="H3" s="47" t="s">
        <v>8</v>
      </c>
      <c r="I3" s="47" t="s">
        <v>9</v>
      </c>
      <c r="J3" s="47" t="s">
        <v>66</v>
      </c>
      <c r="K3" s="47" t="s">
        <v>71</v>
      </c>
      <c r="L3" s="47" t="s">
        <v>73</v>
      </c>
      <c r="M3" s="47" t="s">
        <v>72</v>
      </c>
      <c r="N3" s="47" t="s">
        <v>74</v>
      </c>
      <c r="O3" s="47" t="s">
        <v>78</v>
      </c>
      <c r="P3" s="47" t="s">
        <v>80</v>
      </c>
      <c r="Q3" s="47" t="s">
        <v>79</v>
      </c>
      <c r="R3" s="47" t="s">
        <v>8</v>
      </c>
      <c r="S3" s="47" t="s">
        <v>76</v>
      </c>
      <c r="T3" s="47" t="s">
        <v>10</v>
      </c>
      <c r="U3" s="47" t="s">
        <v>8</v>
      </c>
      <c r="V3" s="47" t="s">
        <v>76</v>
      </c>
      <c r="W3" s="47" t="s">
        <v>10</v>
      </c>
    </row>
    <row r="4" spans="2:23" x14ac:dyDescent="0.25">
      <c r="B4" s="23">
        <v>1.5</v>
      </c>
      <c r="C4" s="23">
        <v>1.5</v>
      </c>
      <c r="D4" s="23">
        <v>1.5</v>
      </c>
      <c r="E4" s="23">
        <f>3.083/3.281</f>
        <v>0.93965254495580619</v>
      </c>
      <c r="F4" s="23">
        <f>3.083/3.281</f>
        <v>0.93965254495580619</v>
      </c>
      <c r="G4" s="23">
        <v>0.35</v>
      </c>
      <c r="H4" s="23">
        <f>14/3.281</f>
        <v>4.2669917708015843</v>
      </c>
      <c r="I4" s="23">
        <f>14/3.281</f>
        <v>4.2669917708015843</v>
      </c>
      <c r="J4" s="23">
        <v>0.45</v>
      </c>
      <c r="K4" s="23">
        <f>H4-E4*2</f>
        <v>2.3876866808899719</v>
      </c>
      <c r="L4" s="23">
        <f>0.5-0.055-0.075+J4</f>
        <v>0.82000000000000006</v>
      </c>
      <c r="M4" s="23">
        <f>E4-1.17/3.281</f>
        <v>0.5830539469673881</v>
      </c>
      <c r="N4" s="23">
        <f>D4-G4+J4</f>
        <v>1.5999999999999999</v>
      </c>
      <c r="O4" s="23">
        <v>0.35</v>
      </c>
      <c r="P4" s="23">
        <f>D4-G4+J4-T4</f>
        <v>1.3699999999999999</v>
      </c>
      <c r="Q4" s="23">
        <f>(10.5-0.42)/3.281</f>
        <v>3.0722340749771408</v>
      </c>
      <c r="R4" s="3">
        <f>H4-O4*2</f>
        <v>3.5669917708015841</v>
      </c>
      <c r="S4" s="3">
        <v>0.23</v>
      </c>
      <c r="T4" s="3">
        <v>0.23</v>
      </c>
      <c r="U4" s="3">
        <f>K4-R4*2</f>
        <v>-4.7462968607131959</v>
      </c>
      <c r="V4" s="3">
        <v>0.23</v>
      </c>
      <c r="W4" s="3">
        <v>0.35</v>
      </c>
    </row>
  </sheetData>
  <mergeCells count="7">
    <mergeCell ref="R2:T2"/>
    <mergeCell ref="K2:N2"/>
    <mergeCell ref="O2:Q2"/>
    <mergeCell ref="U2:W2"/>
    <mergeCell ref="B2:D2"/>
    <mergeCell ref="H2:J2"/>
    <mergeCell ref="E2:G2"/>
  </mergeCells>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3"/>
  <sheetViews>
    <sheetView topLeftCell="A173" zoomScaleNormal="100" workbookViewId="0">
      <selection activeCell="I194" sqref="I194"/>
    </sheetView>
  </sheetViews>
  <sheetFormatPr defaultColWidth="9.140625" defaultRowHeight="15" x14ac:dyDescent="0.25"/>
  <cols>
    <col min="1" max="1" width="4.7109375" customWidth="1"/>
    <col min="2" max="2" width="30.85546875" customWidth="1"/>
    <col min="3" max="3" width="5.5703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25" x14ac:dyDescent="0.25">
      <c r="A1" s="86" t="s">
        <v>0</v>
      </c>
      <c r="B1" s="86"/>
      <c r="C1" s="86"/>
      <c r="D1" s="86"/>
      <c r="E1" s="86"/>
      <c r="F1" s="86"/>
      <c r="G1" s="86"/>
      <c r="H1" s="86"/>
      <c r="I1" s="86"/>
      <c r="J1" s="86"/>
      <c r="K1" s="86"/>
    </row>
    <row r="2" spans="1:25" ht="22.5" x14ac:dyDescent="0.25">
      <c r="A2" s="87" t="s">
        <v>1</v>
      </c>
      <c r="B2" s="87"/>
      <c r="C2" s="87"/>
      <c r="D2" s="87"/>
      <c r="E2" s="87"/>
      <c r="F2" s="87"/>
      <c r="G2" s="87"/>
      <c r="H2" s="87"/>
      <c r="I2" s="87"/>
      <c r="J2" s="87"/>
      <c r="K2" s="87"/>
    </row>
    <row r="3" spans="1:25" x14ac:dyDescent="0.25">
      <c r="A3" s="88" t="s">
        <v>2</v>
      </c>
      <c r="B3" s="88"/>
      <c r="C3" s="88"/>
      <c r="D3" s="88"/>
      <c r="E3" s="88"/>
      <c r="F3" s="88"/>
      <c r="G3" s="88"/>
      <c r="H3" s="88"/>
      <c r="I3" s="88"/>
      <c r="J3" s="88"/>
      <c r="K3" s="88"/>
    </row>
    <row r="4" spans="1:25" x14ac:dyDescent="0.25">
      <c r="A4" s="88" t="s">
        <v>3</v>
      </c>
      <c r="B4" s="88"/>
      <c r="C4" s="88"/>
      <c r="D4" s="88"/>
      <c r="E4" s="88"/>
      <c r="F4" s="88"/>
      <c r="G4" s="88"/>
      <c r="H4" s="88"/>
      <c r="I4" s="88"/>
      <c r="J4" s="88"/>
      <c r="K4" s="88"/>
    </row>
    <row r="5" spans="1:25" ht="18.75" x14ac:dyDescent="0.3">
      <c r="A5" s="89" t="s">
        <v>4</v>
      </c>
      <c r="B5" s="89"/>
      <c r="C5" s="89"/>
      <c r="D5" s="89"/>
      <c r="E5" s="89"/>
      <c r="F5" s="89"/>
      <c r="G5" s="89"/>
      <c r="H5" s="89"/>
      <c r="I5" s="89"/>
      <c r="J5" s="89"/>
      <c r="K5" s="89"/>
    </row>
    <row r="6" spans="1:25" ht="15.75" x14ac:dyDescent="0.25">
      <c r="A6" s="84" t="s">
        <v>94</v>
      </c>
      <c r="B6" s="84"/>
      <c r="C6" s="84"/>
      <c r="D6" s="84"/>
      <c r="E6" s="84"/>
      <c r="F6" s="84"/>
      <c r="G6" s="4"/>
      <c r="H6" s="85" t="s">
        <v>25</v>
      </c>
      <c r="I6" s="85"/>
      <c r="J6" s="85"/>
      <c r="K6" s="85"/>
    </row>
    <row r="7" spans="1:25" ht="15.75" x14ac:dyDescent="0.25">
      <c r="A7" s="92" t="s">
        <v>29</v>
      </c>
      <c r="B7" s="92"/>
      <c r="C7" s="92"/>
      <c r="D7" s="92"/>
      <c r="E7" s="92"/>
      <c r="F7" s="92"/>
      <c r="G7" s="5"/>
      <c r="H7" s="93" t="s">
        <v>62</v>
      </c>
      <c r="I7" s="93"/>
      <c r="J7" s="93"/>
      <c r="K7" s="93"/>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49">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0.42150640397118022</v>
      </c>
      <c r="H11" s="21" t="s">
        <v>28</v>
      </c>
      <c r="I11" s="2">
        <v>674.12</v>
      </c>
      <c r="J11" s="22">
        <f>G11*I11</f>
        <v>284.14589704505204</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49">
        <f>C10</f>
        <v>1</v>
      </c>
      <c r="D14" s="27">
        <f>D10</f>
        <v>1.6763181956720512</v>
      </c>
      <c r="E14" s="27">
        <f>E10</f>
        <v>1.6763181956720512</v>
      </c>
      <c r="F14" s="26"/>
      <c r="G14" s="27">
        <f>PRODUCT(C14:F14)</f>
        <v>2.8100426931412015</v>
      </c>
      <c r="H14" s="26"/>
      <c r="I14" s="26"/>
      <c r="J14" s="26"/>
      <c r="K14" s="26"/>
    </row>
    <row r="15" spans="1:25" s="10" customFormat="1" ht="13.9" customHeight="1" x14ac:dyDescent="0.25">
      <c r="A15" s="17"/>
      <c r="B15" s="18" t="s">
        <v>16</v>
      </c>
      <c r="C15" s="19"/>
      <c r="D15" s="1"/>
      <c r="E15" s="20"/>
      <c r="F15" s="20"/>
      <c r="G15" s="2">
        <f>SUM(G14)</f>
        <v>2.8100426931412015</v>
      </c>
      <c r="H15" s="21" t="s">
        <v>34</v>
      </c>
      <c r="I15" s="2">
        <v>1017.47</v>
      </c>
      <c r="J15" s="22">
        <f>G15*I15</f>
        <v>2859.1341389903782</v>
      </c>
      <c r="K15" s="20"/>
    </row>
    <row r="16" spans="1:25" s="10" customFormat="1" x14ac:dyDescent="0.25">
      <c r="A16" s="24"/>
      <c r="B16" s="25" t="s">
        <v>53</v>
      </c>
      <c r="C16" s="26"/>
      <c r="D16" s="26"/>
      <c r="E16" s="26"/>
      <c r="F16" s="26"/>
      <c r="G16" s="26"/>
      <c r="H16" s="26"/>
      <c r="I16" s="26"/>
      <c r="J16" s="22">
        <f>0.13*G15*6360.9/10</f>
        <v>232.36720736842426</v>
      </c>
      <c r="K16" s="26"/>
    </row>
    <row r="17" spans="1:11" s="10" customFormat="1" x14ac:dyDescent="0.25">
      <c r="A17" s="24"/>
      <c r="B17" s="25" t="s">
        <v>31</v>
      </c>
      <c r="C17" s="26"/>
      <c r="D17" s="26"/>
      <c r="E17" s="26"/>
      <c r="F17" s="26"/>
      <c r="G17" s="26"/>
      <c r="H17" s="26"/>
      <c r="I17" s="26"/>
      <c r="J17" s="22">
        <f>0.13*G15*2256.3/10</f>
        <v>82.423891270948417</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45">
        <f>2</f>
        <v>2</v>
      </c>
      <c r="D20" s="3">
        <f>15/3.281</f>
        <v>4.5717768972874122</v>
      </c>
      <c r="E20" s="3">
        <v>0.35</v>
      </c>
      <c r="F20" s="3">
        <v>0.1</v>
      </c>
      <c r="G20" s="3">
        <f>PRODUCT(C20:F20)</f>
        <v>0.32002438281011886</v>
      </c>
      <c r="H20" s="15"/>
      <c r="I20" s="15"/>
      <c r="J20" s="15"/>
      <c r="K20" s="15"/>
    </row>
    <row r="21" spans="1:11" x14ac:dyDescent="0.25">
      <c r="A21" s="15"/>
      <c r="B21" s="16"/>
      <c r="C21" s="45">
        <f>2</f>
        <v>2</v>
      </c>
      <c r="D21" s="3">
        <f>9.75/3.281</f>
        <v>2.9716549832368178</v>
      </c>
      <c r="E21" s="3">
        <v>0.35</v>
      </c>
      <c r="F21" s="3">
        <v>0.1</v>
      </c>
      <c r="G21" s="3">
        <f>PRODUCT(C21:F21)</f>
        <v>0.20801584882657723</v>
      </c>
      <c r="H21" s="15"/>
      <c r="I21" s="15"/>
      <c r="J21" s="15"/>
      <c r="K21" s="15"/>
    </row>
    <row r="22" spans="1:11" x14ac:dyDescent="0.25">
      <c r="A22" s="15"/>
      <c r="B22" s="16" t="str">
        <f>B14</f>
        <v>-for stand tap</v>
      </c>
      <c r="C22" s="62">
        <f t="shared" ref="C22:E22" si="0">C14</f>
        <v>1</v>
      </c>
      <c r="D22" s="57">
        <f t="shared" si="0"/>
        <v>1.6763181956720512</v>
      </c>
      <c r="E22" s="57">
        <f t="shared" si="0"/>
        <v>1.6763181956720512</v>
      </c>
      <c r="F22" s="57">
        <v>0.1</v>
      </c>
      <c r="G22" s="3">
        <f>PRODUCT(C22:F22)</f>
        <v>0.28100426931412015</v>
      </c>
      <c r="H22" s="15"/>
      <c r="I22" s="15"/>
      <c r="J22" s="15"/>
      <c r="K22" s="15"/>
    </row>
    <row r="23" spans="1:11" s="10" customFormat="1" ht="15" customHeight="1" x14ac:dyDescent="0.25">
      <c r="A23" s="17"/>
      <c r="B23" s="18" t="s">
        <v>16</v>
      </c>
      <c r="C23" s="19"/>
      <c r="D23" s="1"/>
      <c r="E23" s="20"/>
      <c r="F23" s="20"/>
      <c r="G23" s="2">
        <f>SUM(G20:G22)</f>
        <v>0.80904450095081626</v>
      </c>
      <c r="H23" s="21" t="s">
        <v>28</v>
      </c>
      <c r="I23" s="2">
        <v>12884.61</v>
      </c>
      <c r="J23" s="22">
        <f>G23*I23</f>
        <v>10424.222867395898</v>
      </c>
      <c r="K23" s="20"/>
    </row>
    <row r="24" spans="1:11" s="10" customFormat="1" x14ac:dyDescent="0.25">
      <c r="A24" s="24"/>
      <c r="B24" s="25" t="s">
        <v>32</v>
      </c>
      <c r="C24" s="26"/>
      <c r="D24" s="27"/>
      <c r="E24" s="27"/>
      <c r="F24" s="27"/>
      <c r="G24" s="27"/>
      <c r="H24" s="26"/>
      <c r="I24" s="26"/>
      <c r="J24" s="22">
        <f>0.13*G23*4169.92</f>
        <v>438.57460990262763</v>
      </c>
      <c r="K24" s="26"/>
    </row>
    <row r="25" spans="1:11" s="10" customFormat="1" x14ac:dyDescent="0.25">
      <c r="A25" s="24"/>
      <c r="B25" s="25" t="s">
        <v>33</v>
      </c>
      <c r="C25" s="26"/>
      <c r="D25" s="27"/>
      <c r="E25" s="27"/>
      <c r="F25" s="27"/>
      <c r="G25" s="27"/>
      <c r="H25" s="26"/>
      <c r="I25" s="26"/>
      <c r="J25" s="22">
        <f>0.13*G23*(1652.5+1106.96)</f>
        <v>290.22837201718613</v>
      </c>
      <c r="K25" s="26"/>
    </row>
    <row r="26" spans="1:11" s="10" customFormat="1" x14ac:dyDescent="0.25">
      <c r="A26" s="24"/>
      <c r="B26" s="25" t="s">
        <v>31</v>
      </c>
      <c r="C26" s="26"/>
      <c r="D26" s="27"/>
      <c r="E26" s="27"/>
      <c r="F26" s="27"/>
      <c r="G26" s="27"/>
      <c r="H26" s="26"/>
      <c r="I26" s="26"/>
      <c r="J26" s="22">
        <f>0.13*G23*1414.16</f>
        <v>148.73538829039884</v>
      </c>
      <c r="K26" s="26"/>
    </row>
    <row r="27" spans="1:11" x14ac:dyDescent="0.25">
      <c r="A27" s="15"/>
      <c r="B27" s="25" t="s">
        <v>35</v>
      </c>
      <c r="C27" s="15"/>
      <c r="D27" s="3"/>
      <c r="E27" s="3"/>
      <c r="F27" s="3"/>
      <c r="G27" s="3"/>
      <c r="H27" s="15"/>
      <c r="I27" s="15"/>
      <c r="J27" s="22">
        <f>0.13*G23*36.4</f>
        <v>3.8283985784992627</v>
      </c>
      <c r="K27" s="15"/>
    </row>
    <row r="28" spans="1:11" x14ac:dyDescent="0.25">
      <c r="A28" s="15"/>
      <c r="B28" s="25" t="s">
        <v>35</v>
      </c>
      <c r="C28" s="15"/>
      <c r="D28" s="3"/>
      <c r="E28" s="3"/>
      <c r="F28" s="3"/>
      <c r="G28" s="3"/>
      <c r="H28" s="15"/>
      <c r="I28" s="15"/>
      <c r="J28" s="22">
        <f>0.13*G23*392.92</f>
        <v>41.325669490767318</v>
      </c>
      <c r="K28" s="15"/>
    </row>
    <row r="29" spans="1:11" x14ac:dyDescent="0.25">
      <c r="A29" s="15"/>
      <c r="B29" s="25" t="s">
        <v>35</v>
      </c>
      <c r="C29" s="15"/>
      <c r="D29" s="3"/>
      <c r="E29" s="3"/>
      <c r="F29" s="3"/>
      <c r="G29" s="3"/>
      <c r="H29" s="15"/>
      <c r="I29" s="15"/>
      <c r="J29" s="22">
        <f>0.13*G23*14.15</f>
        <v>1.4882373594990266</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45">
        <v>2</v>
      </c>
      <c r="D32" s="3">
        <f>15/3.281</f>
        <v>4.5717768972874122</v>
      </c>
      <c r="E32" s="3">
        <v>0.23</v>
      </c>
      <c r="F32" s="3">
        <v>0.35</v>
      </c>
      <c r="G32" s="3">
        <f t="shared" ref="G32:G38" si="1">PRODUCT(C32:F32)</f>
        <v>0.73605608046327342</v>
      </c>
      <c r="H32" s="15"/>
      <c r="I32" s="15"/>
      <c r="J32" s="15"/>
      <c r="K32" s="15"/>
    </row>
    <row r="33" spans="1:11" x14ac:dyDescent="0.25">
      <c r="A33" s="15"/>
      <c r="B33" s="16"/>
      <c r="C33" s="45">
        <f>2*2</f>
        <v>4</v>
      </c>
      <c r="D33" s="3">
        <f>9.75/3.281</f>
        <v>2.9716549832368178</v>
      </c>
      <c r="E33" s="3">
        <v>0.23</v>
      </c>
      <c r="F33" s="3">
        <v>0.35</v>
      </c>
      <c r="G33" s="3">
        <f t="shared" si="1"/>
        <v>0.95687290460225527</v>
      </c>
      <c r="H33" s="15"/>
      <c r="I33" s="15"/>
      <c r="J33" s="15"/>
      <c r="K33" s="15"/>
    </row>
    <row r="34" spans="1:11" x14ac:dyDescent="0.25">
      <c r="A34" s="15"/>
      <c r="B34" s="16" t="s">
        <v>90</v>
      </c>
      <c r="C34" s="45">
        <v>2</v>
      </c>
      <c r="D34" s="3">
        <f>8.17/3.281</f>
        <v>2.4900944833892105</v>
      </c>
      <c r="E34" s="3">
        <v>0.23</v>
      </c>
      <c r="F34" s="3">
        <v>0.23</v>
      </c>
      <c r="G34" s="3">
        <f t="shared" si="1"/>
        <v>0.26345199634257849</v>
      </c>
      <c r="H34" s="15"/>
      <c r="I34" s="15"/>
      <c r="J34" s="15"/>
      <c r="K34" s="15"/>
    </row>
    <row r="35" spans="1:11" x14ac:dyDescent="0.25">
      <c r="A35" s="15"/>
      <c r="B35" s="16"/>
      <c r="C35" s="45">
        <v>2</v>
      </c>
      <c r="D35" s="3">
        <f>3.75/3.281</f>
        <v>1.1429442243218531</v>
      </c>
      <c r="E35" s="3">
        <v>0.23</v>
      </c>
      <c r="F35" s="3">
        <v>0.23</v>
      </c>
      <c r="G35" s="3">
        <f t="shared" si="1"/>
        <v>0.12092349893325208</v>
      </c>
      <c r="H35" s="15"/>
      <c r="I35" s="15"/>
      <c r="J35" s="15"/>
      <c r="K35" s="15"/>
    </row>
    <row r="36" spans="1:11" x14ac:dyDescent="0.25">
      <c r="A36" s="15"/>
      <c r="B36" s="16" t="s">
        <v>91</v>
      </c>
      <c r="C36" s="45">
        <v>2</v>
      </c>
      <c r="D36" s="3">
        <f>((18.25+8.17)/2)/3.281</f>
        <v>4.0262115208777809</v>
      </c>
      <c r="E36" s="3">
        <f>6.17/3.281</f>
        <v>1.8805242304175556</v>
      </c>
      <c r="F36" s="3">
        <v>7.4999999999999997E-2</v>
      </c>
      <c r="G36" s="3">
        <f t="shared" si="1"/>
        <v>1.1357082482695477</v>
      </c>
      <c r="H36" s="15"/>
      <c r="I36" s="15"/>
      <c r="J36" s="15"/>
      <c r="K36" s="15"/>
    </row>
    <row r="37" spans="1:11" x14ac:dyDescent="0.25">
      <c r="A37" s="15"/>
      <c r="B37" s="16"/>
      <c r="C37" s="45">
        <v>2</v>
      </c>
      <c r="D37" s="3">
        <f>((15.25+5.25)/2)/3.281</f>
        <v>3.1240475464797317</v>
      </c>
      <c r="E37" s="3">
        <f>6.33/3.281</f>
        <v>1.929289850655288</v>
      </c>
      <c r="F37" s="3">
        <v>7.4999999999999997E-2</v>
      </c>
      <c r="G37" s="3">
        <f t="shared" si="1"/>
        <v>0.90407898365818506</v>
      </c>
      <c r="H37" s="15"/>
      <c r="I37" s="15"/>
      <c r="J37" s="15"/>
      <c r="K37" s="15"/>
    </row>
    <row r="38" spans="1:11" x14ac:dyDescent="0.25">
      <c r="A38" s="15"/>
      <c r="B38" s="16" t="s">
        <v>93</v>
      </c>
      <c r="C38" s="45">
        <v>4</v>
      </c>
      <c r="D38" s="3">
        <v>0.23</v>
      </c>
      <c r="E38" s="3">
        <v>0.23</v>
      </c>
      <c r="F38" s="3">
        <f>(2.25-0.5)/3.281</f>
        <v>0.53337397135019804</v>
      </c>
      <c r="G38" s="3">
        <f t="shared" si="1"/>
        <v>0.11286193233770191</v>
      </c>
      <c r="H38" s="15"/>
      <c r="I38" s="15"/>
      <c r="J38" s="15"/>
      <c r="K38" s="15"/>
    </row>
    <row r="39" spans="1:11" s="10" customFormat="1" ht="15" customHeight="1" x14ac:dyDescent="0.25">
      <c r="A39" s="17"/>
      <c r="B39" s="18" t="s">
        <v>16</v>
      </c>
      <c r="C39" s="19"/>
      <c r="D39" s="1"/>
      <c r="E39" s="20"/>
      <c r="F39" s="20"/>
      <c r="G39" s="2">
        <f>SUM(G32:G38)</f>
        <v>4.2299536446067938</v>
      </c>
      <c r="H39" s="21" t="s">
        <v>28</v>
      </c>
      <c r="I39" s="2">
        <v>13957.29</v>
      </c>
      <c r="J39" s="22">
        <f>G39*I39</f>
        <v>59038.689704333963</v>
      </c>
      <c r="K39" s="20"/>
    </row>
    <row r="40" spans="1:11" s="10" customFormat="1" x14ac:dyDescent="0.25">
      <c r="A40" s="24"/>
      <c r="B40" s="25" t="s">
        <v>32</v>
      </c>
      <c r="C40" s="26"/>
      <c r="D40" s="27"/>
      <c r="E40" s="27"/>
      <c r="F40" s="27"/>
      <c r="G40" s="27"/>
      <c r="H40" s="26"/>
      <c r="I40" s="26"/>
      <c r="J40" s="22">
        <f>0.13*G39*5212.4</f>
        <v>2866.2673490292982</v>
      </c>
      <c r="K40" s="26"/>
    </row>
    <row r="41" spans="1:11" s="10" customFormat="1" x14ac:dyDescent="0.25">
      <c r="A41" s="24"/>
      <c r="B41" s="25" t="s">
        <v>33</v>
      </c>
      <c r="C41" s="26"/>
      <c r="D41" s="27"/>
      <c r="E41" s="27"/>
      <c r="F41" s="27"/>
      <c r="G41" s="27"/>
      <c r="H41" s="26"/>
      <c r="I41" s="26"/>
      <c r="J41" s="22">
        <f>0.13*G39*(1912.03+921.59)</f>
        <v>1558.1905620359912</v>
      </c>
      <c r="K41" s="26"/>
    </row>
    <row r="42" spans="1:11" s="10" customFormat="1" x14ac:dyDescent="0.25">
      <c r="A42" s="24"/>
      <c r="B42" s="25" t="s">
        <v>31</v>
      </c>
      <c r="C42" s="26"/>
      <c r="D42" s="27"/>
      <c r="E42" s="27"/>
      <c r="F42" s="27"/>
      <c r="G42" s="27"/>
      <c r="H42" s="26"/>
      <c r="I42" s="26"/>
      <c r="J42" s="22">
        <f>0.13*G39*1350.6</f>
        <v>742.68680101277153</v>
      </c>
      <c r="K42" s="26"/>
    </row>
    <row r="43" spans="1:11" x14ac:dyDescent="0.25">
      <c r="A43" s="15"/>
      <c r="B43" s="25" t="s">
        <v>35</v>
      </c>
      <c r="C43" s="15"/>
      <c r="D43" s="3"/>
      <c r="E43" s="3"/>
      <c r="F43" s="3"/>
      <c r="G43" s="3"/>
      <c r="H43" s="15"/>
      <c r="I43" s="15"/>
      <c r="J43" s="22">
        <f>0.13*G39*56</f>
        <v>30.794062532737456</v>
      </c>
      <c r="K43" s="15"/>
    </row>
    <row r="44" spans="1:11" s="10" customFormat="1" x14ac:dyDescent="0.25">
      <c r="A44" s="24"/>
      <c r="B44" s="25" t="s">
        <v>43</v>
      </c>
      <c r="C44" s="26"/>
      <c r="D44" s="27"/>
      <c r="E44" s="27"/>
      <c r="F44" s="27"/>
      <c r="G44" s="27"/>
      <c r="H44" s="26"/>
      <c r="I44" s="26"/>
      <c r="J44" s="22">
        <f>0.13*G39*392.92</f>
        <v>216.06434018505718</v>
      </c>
      <c r="K44" s="26"/>
    </row>
    <row r="45" spans="1:11" x14ac:dyDescent="0.25">
      <c r="A45" s="15"/>
      <c r="B45" s="25" t="s">
        <v>44</v>
      </c>
      <c r="C45" s="15"/>
      <c r="D45" s="3"/>
      <c r="E45" s="3"/>
      <c r="F45" s="3"/>
      <c r="G45" s="3"/>
      <c r="H45" s="15"/>
      <c r="I45" s="15"/>
      <c r="J45" s="22">
        <f>0.13*G39*14.15</f>
        <v>7.780999729254197</v>
      </c>
      <c r="K45" s="15"/>
    </row>
    <row r="46" spans="1:11" x14ac:dyDescent="0.25">
      <c r="A46" s="15"/>
      <c r="B46" s="15"/>
      <c r="C46" s="15"/>
      <c r="D46" s="3"/>
      <c r="E46" s="3"/>
      <c r="F46" s="3"/>
      <c r="G46" s="3"/>
      <c r="H46" s="15"/>
      <c r="I46" s="15"/>
      <c r="J46" s="15"/>
      <c r="K46" s="15"/>
    </row>
    <row r="47" spans="1:11" s="14" customFormat="1" ht="30" x14ac:dyDescent="0.2">
      <c r="A47" s="11">
        <v>5</v>
      </c>
      <c r="B47" s="12" t="s">
        <v>45</v>
      </c>
      <c r="C47" s="13"/>
      <c r="D47" s="23"/>
      <c r="E47" s="23"/>
      <c r="F47" s="23"/>
      <c r="G47" s="23"/>
      <c r="H47" s="13"/>
      <c r="I47" s="13"/>
      <c r="J47" s="13"/>
      <c r="K47" s="13"/>
    </row>
    <row r="48" spans="1:11" x14ac:dyDescent="0.25">
      <c r="A48" s="15"/>
      <c r="B48" s="16" t="str">
        <f>B32</f>
        <v>-beam</v>
      </c>
      <c r="C48" s="45">
        <f>C32</f>
        <v>2</v>
      </c>
      <c r="D48" s="3">
        <f>D32</f>
        <v>4.5717768972874122</v>
      </c>
      <c r="E48" s="3"/>
      <c r="F48" s="3">
        <f>0.35*2</f>
        <v>0.7</v>
      </c>
      <c r="G48" s="3">
        <f t="shared" ref="G48:G54" si="2">PRODUCT(C48:F48)</f>
        <v>6.4004876562023769</v>
      </c>
      <c r="H48" s="15"/>
      <c r="I48" s="15"/>
      <c r="J48" s="15"/>
      <c r="K48" s="15"/>
    </row>
    <row r="49" spans="1:11" x14ac:dyDescent="0.25">
      <c r="A49" s="15"/>
      <c r="B49" s="16"/>
      <c r="C49" s="45">
        <f>C33</f>
        <v>4</v>
      </c>
      <c r="D49" s="3">
        <f>D33</f>
        <v>2.9716549832368178</v>
      </c>
      <c r="E49" s="3"/>
      <c r="F49" s="3">
        <f>0.35*2</f>
        <v>0.7</v>
      </c>
      <c r="G49" s="3">
        <f t="shared" si="2"/>
        <v>8.3206339530630888</v>
      </c>
      <c r="H49" s="15"/>
      <c r="I49" s="15"/>
      <c r="J49" s="15"/>
      <c r="K49" s="15"/>
    </row>
    <row r="50" spans="1:11" x14ac:dyDescent="0.25">
      <c r="A50" s="15"/>
      <c r="B50" s="16" t="str">
        <f t="shared" ref="B50:D50" si="3">B34</f>
        <v>-upper beam</v>
      </c>
      <c r="C50" s="45">
        <f t="shared" si="3"/>
        <v>2</v>
      </c>
      <c r="D50" s="3">
        <f t="shared" si="3"/>
        <v>2.4900944833892105</v>
      </c>
      <c r="E50" s="3"/>
      <c r="F50" s="3">
        <f t="shared" ref="F50:F51" si="4">0.23*2</f>
        <v>0.46</v>
      </c>
      <c r="G50" s="3">
        <f t="shared" si="2"/>
        <v>2.2908869247180736</v>
      </c>
      <c r="H50" s="15"/>
      <c r="I50" s="15"/>
      <c r="J50" s="15"/>
      <c r="K50" s="15"/>
    </row>
    <row r="51" spans="1:11" x14ac:dyDescent="0.25">
      <c r="A51" s="15"/>
      <c r="B51" s="16"/>
      <c r="C51" s="45">
        <f>C35</f>
        <v>2</v>
      </c>
      <c r="D51" s="3">
        <f>D35</f>
        <v>1.1429442243218531</v>
      </c>
      <c r="E51" s="3"/>
      <c r="F51" s="3">
        <f t="shared" si="4"/>
        <v>0.46</v>
      </c>
      <c r="G51" s="3">
        <f t="shared" si="2"/>
        <v>1.051508686376105</v>
      </c>
      <c r="H51" s="15"/>
      <c r="I51" s="15"/>
      <c r="J51" s="15"/>
      <c r="K51" s="15"/>
    </row>
    <row r="52" spans="1:11" x14ac:dyDescent="0.25">
      <c r="A52" s="15"/>
      <c r="B52" s="16" t="str">
        <f t="shared" ref="B52:D52" si="5">B36</f>
        <v>-slab</v>
      </c>
      <c r="C52" s="45">
        <f t="shared" si="5"/>
        <v>2</v>
      </c>
      <c r="D52" s="3">
        <f t="shared" si="5"/>
        <v>4.0262115208777809</v>
      </c>
      <c r="E52" s="3">
        <f>E36</f>
        <v>1.8805242304175556</v>
      </c>
      <c r="F52" s="3"/>
      <c r="G52" s="3">
        <f t="shared" si="2"/>
        <v>15.142776643593971</v>
      </c>
      <c r="H52" s="15"/>
      <c r="I52" s="15"/>
      <c r="J52" s="15"/>
      <c r="K52" s="15"/>
    </row>
    <row r="53" spans="1:11" x14ac:dyDescent="0.25">
      <c r="A53" s="15"/>
      <c r="B53" s="16"/>
      <c r="C53" s="45">
        <f>C37</f>
        <v>2</v>
      </c>
      <c r="D53" s="3">
        <f>D37</f>
        <v>3.1240475464797317</v>
      </c>
      <c r="E53" s="3">
        <f>E37</f>
        <v>1.929289850655288</v>
      </c>
      <c r="F53" s="3"/>
      <c r="G53" s="3">
        <f t="shared" si="2"/>
        <v>12.054386448775801</v>
      </c>
      <c r="H53" s="15"/>
      <c r="I53" s="15"/>
      <c r="J53" s="15"/>
      <c r="K53" s="15"/>
    </row>
    <row r="54" spans="1:11" x14ac:dyDescent="0.25">
      <c r="A54" s="15"/>
      <c r="B54" s="16" t="str">
        <f>B38</f>
        <v>-column</v>
      </c>
      <c r="C54" s="45">
        <f>C38</f>
        <v>4</v>
      </c>
      <c r="D54" s="3">
        <f>0.23*4</f>
        <v>0.92</v>
      </c>
      <c r="E54" s="3"/>
      <c r="F54" s="3">
        <f>F38</f>
        <v>0.53337397135019804</v>
      </c>
      <c r="G54" s="3">
        <f t="shared" si="2"/>
        <v>1.9628162145687289</v>
      </c>
      <c r="H54" s="15"/>
      <c r="I54" s="15"/>
      <c r="J54" s="15"/>
      <c r="K54" s="15"/>
    </row>
    <row r="55" spans="1:11" s="10" customFormat="1" ht="15" customHeight="1" x14ac:dyDescent="0.25">
      <c r="A55" s="17"/>
      <c r="B55" s="18" t="s">
        <v>16</v>
      </c>
      <c r="C55" s="19"/>
      <c r="D55" s="1"/>
      <c r="E55" s="20"/>
      <c r="F55" s="20"/>
      <c r="G55" s="2">
        <f>SUM(G48:G54)</f>
        <v>47.223496527298146</v>
      </c>
      <c r="H55" s="21" t="s">
        <v>34</v>
      </c>
      <c r="I55" s="2">
        <v>922.71</v>
      </c>
      <c r="J55" s="22">
        <f>G55*I55</f>
        <v>43573.592480703272</v>
      </c>
      <c r="K55" s="20"/>
    </row>
    <row r="56" spans="1:11" s="10" customFormat="1" x14ac:dyDescent="0.25">
      <c r="A56" s="24"/>
      <c r="B56" s="25" t="s">
        <v>46</v>
      </c>
      <c r="C56" s="26"/>
      <c r="D56" s="27"/>
      <c r="E56" s="27"/>
      <c r="F56" s="27"/>
      <c r="G56" s="27"/>
      <c r="H56" s="26"/>
      <c r="I56" s="26"/>
      <c r="J56" s="22">
        <f>0.13*G55*20062.02/100</f>
        <v>1231.6183513407618</v>
      </c>
      <c r="K56" s="26"/>
    </row>
    <row r="57" spans="1:11" s="10" customFormat="1" x14ac:dyDescent="0.25">
      <c r="A57" s="24"/>
      <c r="B57" s="25" t="s">
        <v>47</v>
      </c>
      <c r="C57" s="26"/>
      <c r="D57" s="27"/>
      <c r="E57" s="27"/>
      <c r="F57" s="27"/>
      <c r="G57" s="27"/>
      <c r="H57" s="26"/>
      <c r="I57" s="26"/>
      <c r="J57" s="22">
        <f>0.13*G55*13328.25/100</f>
        <v>818.22853786694986</v>
      </c>
      <c r="K57" s="26"/>
    </row>
    <row r="58" spans="1:11" s="10" customFormat="1" x14ac:dyDescent="0.25">
      <c r="A58" s="24"/>
      <c r="B58" s="25" t="s">
        <v>48</v>
      </c>
      <c r="C58" s="26"/>
      <c r="D58" s="27"/>
      <c r="E58" s="27"/>
      <c r="F58" s="27"/>
      <c r="G58" s="27"/>
      <c r="H58" s="26"/>
      <c r="I58" s="26"/>
      <c r="J58" s="22">
        <f>0.13*G55*10137.6/100</f>
        <v>622.35279391367908</v>
      </c>
      <c r="K58" s="26"/>
    </row>
    <row r="59" spans="1:11" x14ac:dyDescent="0.25">
      <c r="A59" s="15"/>
      <c r="B59" s="25" t="s">
        <v>49</v>
      </c>
      <c r="C59" s="15"/>
      <c r="D59" s="3"/>
      <c r="E59" s="3"/>
      <c r="F59" s="3"/>
      <c r="G59" s="3"/>
      <c r="H59" s="15"/>
      <c r="I59" s="15"/>
      <c r="J59" s="22">
        <f>0.13*G55*3300/100</f>
        <v>202.58880010210905</v>
      </c>
      <c r="K59" s="15"/>
    </row>
    <row r="60" spans="1:11" x14ac:dyDescent="0.25">
      <c r="A60" s="15"/>
      <c r="B60" s="15"/>
      <c r="C60" s="15"/>
      <c r="D60" s="3"/>
      <c r="E60" s="3"/>
      <c r="F60" s="3"/>
      <c r="G60" s="3"/>
      <c r="H60" s="15"/>
      <c r="I60" s="15"/>
      <c r="J60" s="15"/>
      <c r="K60" s="15"/>
    </row>
    <row r="61" spans="1:11" s="14" customFormat="1" ht="45" x14ac:dyDescent="0.25">
      <c r="A61" s="11">
        <v>6</v>
      </c>
      <c r="B61" s="28" t="s">
        <v>36</v>
      </c>
      <c r="C61" s="13" t="s">
        <v>7</v>
      </c>
      <c r="D61" s="29" t="s">
        <v>27</v>
      </c>
      <c r="E61" s="29" t="s">
        <v>39</v>
      </c>
      <c r="F61" s="29" t="s">
        <v>40</v>
      </c>
      <c r="G61" s="23"/>
      <c r="H61" s="13"/>
      <c r="I61" s="13"/>
      <c r="J61" s="13"/>
      <c r="K61" s="13"/>
    </row>
    <row r="62" spans="1:11" x14ac:dyDescent="0.25">
      <c r="A62" s="15"/>
      <c r="B62" s="16" t="str">
        <f>B32</f>
        <v>-beam</v>
      </c>
      <c r="C62" s="45">
        <f>C48*(4)</f>
        <v>8</v>
      </c>
      <c r="D62" s="3">
        <f>D32-0.1+(0.583/3.281)*2</f>
        <v>4.8271563547698877</v>
      </c>
      <c r="E62" s="3">
        <f>16*16/162</f>
        <v>1.5802469135802468</v>
      </c>
      <c r="F62" s="3">
        <f t="shared" ref="F62:F78" si="6">PRODUCT(C62:E62)</f>
        <v>61.024791447955117</v>
      </c>
      <c r="G62" s="3">
        <f t="shared" ref="G62:G78" si="7">F62/1000</f>
        <v>6.1024791447955119E-2</v>
      </c>
      <c r="H62" s="15"/>
      <c r="I62" s="15"/>
      <c r="J62" s="15"/>
      <c r="K62" s="15"/>
    </row>
    <row r="63" spans="1:11" x14ac:dyDescent="0.25">
      <c r="A63" s="15"/>
      <c r="B63" s="16"/>
      <c r="C63" s="45">
        <f>C48*(2)</f>
        <v>4</v>
      </c>
      <c r="D63" s="3">
        <f>D33-0.1+(0.583/3.281)*2</f>
        <v>3.2270344407192924</v>
      </c>
      <c r="E63" s="3">
        <f>12*12/162</f>
        <v>0.88888888888888884</v>
      </c>
      <c r="F63" s="3">
        <f t="shared" ref="F63" si="8">PRODUCT(C63:E63)</f>
        <v>11.473900233668594</v>
      </c>
      <c r="G63" s="3">
        <f t="shared" ref="G63" si="9">F63/1000</f>
        <v>1.1473900233668594E-2</v>
      </c>
      <c r="H63" s="15"/>
      <c r="I63" s="15"/>
      <c r="J63" s="15"/>
      <c r="K63" s="15"/>
    </row>
    <row r="64" spans="1:11" x14ac:dyDescent="0.25">
      <c r="A64" s="15"/>
      <c r="B64" s="16" t="s">
        <v>92</v>
      </c>
      <c r="C64" s="45">
        <f>2*(TRUNC((D48-0.1-0.23*2)/0.125,0))</f>
        <v>64</v>
      </c>
      <c r="D64" s="3">
        <f>((0.583*4)+0.17*2)/3.281</f>
        <v>0.81438585797013097</v>
      </c>
      <c r="E64" s="3">
        <f>8*8/162</f>
        <v>0.39506172839506171</v>
      </c>
      <c r="F64" s="3">
        <f t="shared" si="6"/>
        <v>20.590891816331212</v>
      </c>
      <c r="G64" s="3">
        <f t="shared" si="7"/>
        <v>2.0590891816331211E-2</v>
      </c>
      <c r="H64" s="15"/>
      <c r="I64" s="15"/>
      <c r="J64" s="15"/>
      <c r="K64" s="15"/>
    </row>
    <row r="65" spans="1:11" x14ac:dyDescent="0.25">
      <c r="A65" s="15"/>
      <c r="B65" s="16" t="str">
        <f>B48</f>
        <v>-beam</v>
      </c>
      <c r="C65" s="45">
        <f>C49*(4)</f>
        <v>16</v>
      </c>
      <c r="D65" s="3">
        <f>D33-0.1+0.23*2+(0.583/3.281)*2</f>
        <v>3.6870344407192923</v>
      </c>
      <c r="E65" s="3">
        <f>16*16/162</f>
        <v>1.5802469135802468</v>
      </c>
      <c r="F65" s="3">
        <f t="shared" si="6"/>
        <v>93.222796723371729</v>
      </c>
      <c r="G65" s="3">
        <f t="shared" si="7"/>
        <v>9.3222796723371734E-2</v>
      </c>
      <c r="H65" s="15"/>
      <c r="I65" s="15"/>
      <c r="J65" s="15"/>
      <c r="K65" s="15"/>
    </row>
    <row r="66" spans="1:11" x14ac:dyDescent="0.25">
      <c r="A66" s="15"/>
      <c r="B66" s="16"/>
      <c r="C66" s="45">
        <f>C49*(2)</f>
        <v>8</v>
      </c>
      <c r="D66" s="3">
        <f>D34-0.1+0.23*2+(0.583/3.281)*2</f>
        <v>3.205473940871685</v>
      </c>
      <c r="E66" s="3">
        <f>12*12/162</f>
        <v>0.88888888888888884</v>
      </c>
      <c r="F66" s="3">
        <f t="shared" ref="F66" si="10">PRODUCT(C66:E66)</f>
        <v>22.79448135730976</v>
      </c>
      <c r="G66" s="3">
        <f t="shared" ref="G66" si="11">F66/1000</f>
        <v>2.279448135730976E-2</v>
      </c>
      <c r="H66" s="15"/>
      <c r="I66" s="15"/>
      <c r="J66" s="15"/>
      <c r="K66" s="15"/>
    </row>
    <row r="67" spans="1:11" x14ac:dyDescent="0.25">
      <c r="A67" s="15"/>
      <c r="B67" s="16" t="s">
        <v>92</v>
      </c>
      <c r="C67" s="45">
        <f>4*(TRUNC((D49-0.1)/0.125,0))</f>
        <v>88</v>
      </c>
      <c r="D67" s="3">
        <f>((0.583*4)+0.17*2)/3.281</f>
        <v>0.81438585797013097</v>
      </c>
      <c r="E67" s="3">
        <f>8*8/162</f>
        <v>0.39506172839506171</v>
      </c>
      <c r="F67" s="3">
        <f t="shared" si="6"/>
        <v>28.312476247455418</v>
      </c>
      <c r="G67" s="3">
        <f t="shared" si="7"/>
        <v>2.8312476247455417E-2</v>
      </c>
      <c r="H67" s="15"/>
      <c r="I67" s="15"/>
      <c r="J67" s="15"/>
      <c r="K67" s="15"/>
    </row>
    <row r="68" spans="1:11" x14ac:dyDescent="0.25">
      <c r="A68" s="15"/>
      <c r="B68" s="16" t="str">
        <f>B50</f>
        <v>-upper beam</v>
      </c>
      <c r="C68" s="45">
        <f>C50*(3*2)</f>
        <v>12</v>
      </c>
      <c r="D68" s="3">
        <f>D34-0.1+(0.583/3.281)*2</f>
        <v>2.7454739408716851</v>
      </c>
      <c r="E68" s="3">
        <f>12*12/162</f>
        <v>0.88888888888888884</v>
      </c>
      <c r="F68" s="3">
        <f t="shared" si="6"/>
        <v>29.285055369297972</v>
      </c>
      <c r="G68" s="3">
        <f t="shared" si="7"/>
        <v>2.9285055369297971E-2</v>
      </c>
      <c r="H68" s="15"/>
      <c r="I68" s="15"/>
      <c r="J68" s="15"/>
      <c r="K68" s="15"/>
    </row>
    <row r="69" spans="1:11" x14ac:dyDescent="0.25">
      <c r="A69" s="15"/>
      <c r="B69" s="16" t="s">
        <v>92</v>
      </c>
      <c r="C69" s="45">
        <f>2*(TRUNC((D50-0.1-0.23*2)/0.125,0))</f>
        <v>30</v>
      </c>
      <c r="D69" s="3">
        <f>((0.583*4)+0.17*2)/3.281</f>
        <v>0.81438585797013097</v>
      </c>
      <c r="E69" s="3">
        <f>8*8/162</f>
        <v>0.39506172839506171</v>
      </c>
      <c r="F69" s="3">
        <f t="shared" si="6"/>
        <v>9.6519805389052564</v>
      </c>
      <c r="G69" s="3">
        <f t="shared" si="7"/>
        <v>9.6519805389052565E-3</v>
      </c>
      <c r="H69" s="15"/>
      <c r="I69" s="15"/>
      <c r="J69" s="15"/>
      <c r="K69" s="15"/>
    </row>
    <row r="70" spans="1:11" x14ac:dyDescent="0.25">
      <c r="A70" s="15"/>
      <c r="B70" s="16" t="str">
        <f>B34</f>
        <v>-upper beam</v>
      </c>
      <c r="C70" s="45">
        <f>C51*(3*2)</f>
        <v>12</v>
      </c>
      <c r="D70" s="3">
        <f>D35-0.1+0.23*2+(0.583/3.281)*2</f>
        <v>1.8583236818043276</v>
      </c>
      <c r="E70" s="3">
        <f>12*12/162</f>
        <v>0.88888888888888884</v>
      </c>
      <c r="F70" s="3">
        <f t="shared" si="6"/>
        <v>19.822119272579496</v>
      </c>
      <c r="G70" s="3">
        <f t="shared" si="7"/>
        <v>1.9822119272579496E-2</v>
      </c>
      <c r="H70" s="15"/>
      <c r="I70" s="15"/>
      <c r="J70" s="15"/>
      <c r="K70" s="15"/>
    </row>
    <row r="71" spans="1:11" x14ac:dyDescent="0.25">
      <c r="A71" s="15"/>
      <c r="B71" s="16" t="s">
        <v>92</v>
      </c>
      <c r="C71" s="45">
        <f>2*(TRUNC((D51-0.1)/0.125,0))</f>
        <v>16</v>
      </c>
      <c r="D71" s="3">
        <f>((0.583*4)+0.17*2)/3.281</f>
        <v>0.81438585797013097</v>
      </c>
      <c r="E71" s="3">
        <f>8*8/162</f>
        <v>0.39506172839506171</v>
      </c>
      <c r="F71" s="3">
        <f t="shared" si="6"/>
        <v>5.1477229540828029</v>
      </c>
      <c r="G71" s="3">
        <f t="shared" si="7"/>
        <v>5.1477229540828028E-3</v>
      </c>
      <c r="H71" s="15"/>
      <c r="I71" s="15"/>
      <c r="J71" s="15"/>
      <c r="K71" s="15"/>
    </row>
    <row r="72" spans="1:11" x14ac:dyDescent="0.25">
      <c r="A72" s="15"/>
      <c r="B72" s="16" t="str">
        <f>B52</f>
        <v>-slab</v>
      </c>
      <c r="C72" s="45">
        <f>TRUNC(((E52-0.1)/0.15),0)</f>
        <v>11</v>
      </c>
      <c r="D72" s="3">
        <f>D52*C52</f>
        <v>8.0524230417555618</v>
      </c>
      <c r="E72" s="3">
        <f t="shared" ref="E72:E75" si="12">8*8/162</f>
        <v>0.39506172839506171</v>
      </c>
      <c r="F72" s="3">
        <f t="shared" si="6"/>
        <v>34.993245811085892</v>
      </c>
      <c r="G72" s="3">
        <f t="shared" si="7"/>
        <v>3.4993245811085892E-2</v>
      </c>
      <c r="H72" s="15"/>
      <c r="I72" s="15"/>
      <c r="J72" s="15"/>
      <c r="K72" s="15"/>
    </row>
    <row r="73" spans="1:11" x14ac:dyDescent="0.25">
      <c r="A73" s="15"/>
      <c r="B73" s="16"/>
      <c r="C73" s="45">
        <f>2*(TRUNC(((D52-0.1)/0.15),0))</f>
        <v>52</v>
      </c>
      <c r="D73" s="3">
        <f>E52</f>
        <v>1.8805242304175556</v>
      </c>
      <c r="E73" s="3">
        <f t="shared" si="12"/>
        <v>0.39506172839506171</v>
      </c>
      <c r="F73" s="3">
        <f t="shared" si="6"/>
        <v>38.632003943392746</v>
      </c>
      <c r="G73" s="3">
        <f t="shared" si="7"/>
        <v>3.8632003943392744E-2</v>
      </c>
      <c r="H73" s="15"/>
      <c r="I73" s="15"/>
      <c r="J73" s="15"/>
      <c r="K73" s="15"/>
    </row>
    <row r="74" spans="1:11" x14ac:dyDescent="0.25">
      <c r="A74" s="15"/>
      <c r="B74" s="16"/>
      <c r="C74" s="45">
        <f>2*(TRUNC(((D53-0.1)/0.15),0))</f>
        <v>40</v>
      </c>
      <c r="D74" s="3">
        <f>E53</f>
        <v>1.929289850655288</v>
      </c>
      <c r="E74" s="3">
        <f t="shared" si="12"/>
        <v>0.39506172839506171</v>
      </c>
      <c r="F74" s="3">
        <f t="shared" si="6"/>
        <v>30.487543318997144</v>
      </c>
      <c r="G74" s="3">
        <f t="shared" si="7"/>
        <v>3.0487543318997144E-2</v>
      </c>
      <c r="H74" s="15"/>
      <c r="I74" s="15"/>
      <c r="J74" s="15"/>
      <c r="K74" s="15"/>
    </row>
    <row r="75" spans="1:11" x14ac:dyDescent="0.25">
      <c r="A75" s="15"/>
      <c r="B75" s="16"/>
      <c r="C75" s="45">
        <f>2*(TRUNC(((E53-0.1)/0.15),0))</f>
        <v>24</v>
      </c>
      <c r="D75" s="3">
        <f>D53</f>
        <v>3.1240475464797317</v>
      </c>
      <c r="E75" s="3">
        <f t="shared" si="12"/>
        <v>0.39506172839506171</v>
      </c>
      <c r="F75" s="3">
        <f t="shared" ref="F75" si="13">PRODUCT(C75:E75)</f>
        <v>29.620598959215233</v>
      </c>
      <c r="G75" s="3">
        <f t="shared" ref="G75" si="14">F75/1000</f>
        <v>2.9620598959215233E-2</v>
      </c>
      <c r="H75" s="15"/>
      <c r="I75" s="15"/>
      <c r="J75" s="15"/>
      <c r="K75" s="15"/>
    </row>
    <row r="76" spans="1:11" x14ac:dyDescent="0.25">
      <c r="A76" s="15"/>
      <c r="B76" s="16" t="s">
        <v>93</v>
      </c>
      <c r="C76" s="45">
        <v>8</v>
      </c>
      <c r="D76" s="3">
        <f>((3-0.33)/3.281)+(0.45*2)</f>
        <v>1.7137762877171594</v>
      </c>
      <c r="E76" s="3">
        <f>12*12/162</f>
        <v>0.88888888888888884</v>
      </c>
      <c r="F76" s="3">
        <f t="shared" si="6"/>
        <v>12.186853601544245</v>
      </c>
      <c r="G76" s="3">
        <f t="shared" si="7"/>
        <v>1.2186853601544244E-2</v>
      </c>
      <c r="H76" s="15"/>
      <c r="I76" s="15"/>
      <c r="J76" s="15"/>
      <c r="K76" s="15"/>
    </row>
    <row r="77" spans="1:11" x14ac:dyDescent="0.25">
      <c r="A77" s="15"/>
      <c r="B77" s="16" t="s">
        <v>92</v>
      </c>
      <c r="C77" s="45">
        <f>4*(TRUNC((2.25-0.17*2)/0.33,0)+1)</f>
        <v>24</v>
      </c>
      <c r="D77" s="3">
        <f>(6*4+2*2)/12/3.281</f>
        <v>0.7111652951335975</v>
      </c>
      <c r="E77" s="3">
        <f>8*8/162</f>
        <v>0.39506172839506171</v>
      </c>
      <c r="F77" s="3">
        <f t="shared" si="6"/>
        <v>6.7429005760815173</v>
      </c>
      <c r="G77" s="3">
        <f t="shared" si="7"/>
        <v>6.7429005760815171E-3</v>
      </c>
      <c r="H77" s="15"/>
      <c r="I77" s="15"/>
      <c r="J77" s="15"/>
      <c r="K77" s="15"/>
    </row>
    <row r="78" spans="1:11" x14ac:dyDescent="0.25">
      <c r="A78" s="15"/>
      <c r="B78" s="16"/>
      <c r="C78" s="45">
        <f>C77</f>
        <v>24</v>
      </c>
      <c r="D78" s="3">
        <f>(4*4+2*2)/12/3.281</f>
        <v>0.50797521080971253</v>
      </c>
      <c r="E78" s="3">
        <f>8*8/162</f>
        <v>0.39506172839506171</v>
      </c>
      <c r="F78" s="3">
        <f t="shared" si="6"/>
        <v>4.8163575543439414</v>
      </c>
      <c r="G78" s="58">
        <f t="shared" si="7"/>
        <v>4.8163575543439417E-3</v>
      </c>
      <c r="H78" s="15"/>
      <c r="I78" s="15"/>
      <c r="J78" s="15"/>
      <c r="K78" s="15"/>
    </row>
    <row r="79" spans="1:11" s="10" customFormat="1" ht="15" customHeight="1" x14ac:dyDescent="0.25">
      <c r="A79" s="17"/>
      <c r="B79" s="18" t="s">
        <v>16</v>
      </c>
      <c r="C79" s="19"/>
      <c r="D79" s="1"/>
      <c r="E79" s="20"/>
      <c r="F79" s="20"/>
      <c r="G79" s="2">
        <f>SUM(G62:G78)</f>
        <v>0.45880571972561801</v>
      </c>
      <c r="H79" s="21" t="s">
        <v>41</v>
      </c>
      <c r="I79" s="46">
        <v>132360</v>
      </c>
      <c r="J79" s="22">
        <f>G79*I79</f>
        <v>60727.5250628828</v>
      </c>
      <c r="K79" s="20"/>
    </row>
    <row r="80" spans="1:11" s="10" customFormat="1" x14ac:dyDescent="0.25">
      <c r="A80" s="24"/>
      <c r="B80" s="25" t="s">
        <v>38</v>
      </c>
      <c r="C80" s="26"/>
      <c r="D80" s="26"/>
      <c r="E80" s="26"/>
      <c r="F80" s="26"/>
      <c r="G80" s="26"/>
      <c r="H80" s="26"/>
      <c r="I80" s="26"/>
      <c r="J80" s="22">
        <f>0.13*G79*105000</f>
        <v>6262.6980742546866</v>
      </c>
      <c r="K80" s="26"/>
    </row>
    <row r="81" spans="1:11" s="10" customFormat="1" x14ac:dyDescent="0.25">
      <c r="A81" s="24"/>
      <c r="B81" s="25" t="s">
        <v>37</v>
      </c>
      <c r="C81" s="26"/>
      <c r="D81" s="26"/>
      <c r="E81" s="26"/>
      <c r="F81" s="26"/>
      <c r="G81" s="26"/>
      <c r="H81" s="26"/>
      <c r="I81" s="26"/>
      <c r="J81" s="22">
        <f>0.13*G79*1200</f>
        <v>71.573692277196415</v>
      </c>
      <c r="K81" s="26"/>
    </row>
    <row r="82" spans="1:11" x14ac:dyDescent="0.25">
      <c r="A82" s="15"/>
      <c r="B82" s="15"/>
      <c r="C82" s="15"/>
      <c r="D82" s="15"/>
      <c r="E82" s="15"/>
      <c r="F82" s="15"/>
      <c r="G82" s="15"/>
      <c r="H82" s="15"/>
      <c r="I82" s="15"/>
      <c r="J82" s="15"/>
      <c r="K82" s="15"/>
    </row>
    <row r="83" spans="1:11" ht="30" x14ac:dyDescent="0.25">
      <c r="A83" s="11">
        <v>7</v>
      </c>
      <c r="B83" s="28" t="s">
        <v>50</v>
      </c>
      <c r="C83" s="15"/>
      <c r="D83" s="15"/>
      <c r="E83" s="15"/>
      <c r="F83" s="15"/>
      <c r="G83" s="15"/>
      <c r="H83" s="15"/>
      <c r="I83" s="15"/>
      <c r="J83" s="15"/>
      <c r="K83" s="15"/>
    </row>
    <row r="84" spans="1:11" x14ac:dyDescent="0.25">
      <c r="A84" s="15"/>
      <c r="B84" s="25" t="s">
        <v>121</v>
      </c>
      <c r="C84" s="45">
        <v>2</v>
      </c>
      <c r="D84" s="3">
        <f>12/3.281</f>
        <v>3.6574215178299299</v>
      </c>
      <c r="E84" s="3">
        <v>0.9</v>
      </c>
      <c r="F84" s="15"/>
      <c r="G84" s="3">
        <f>PRODUCT(C84:F84)</f>
        <v>6.583358732093874</v>
      </c>
      <c r="H84" s="15"/>
      <c r="I84" s="15"/>
      <c r="J84" s="15"/>
      <c r="K84" s="15"/>
    </row>
    <row r="85" spans="1:11" x14ac:dyDescent="0.25">
      <c r="A85" s="15"/>
      <c r="B85" s="16"/>
      <c r="C85" s="45">
        <v>2</v>
      </c>
      <c r="D85" s="3">
        <f>21/3.281</f>
        <v>6.4004876562023769</v>
      </c>
      <c r="E85" s="3">
        <v>0.9</v>
      </c>
      <c r="F85" s="15"/>
      <c r="G85" s="3">
        <f>PRODUCT(C85:F85)</f>
        <v>11.520877781164279</v>
      </c>
      <c r="H85" s="15"/>
      <c r="I85" s="15"/>
      <c r="J85" s="15"/>
      <c r="K85" s="15"/>
    </row>
    <row r="86" spans="1:11" s="10" customFormat="1" ht="15" customHeight="1" x14ac:dyDescent="0.25">
      <c r="A86" s="17"/>
      <c r="B86" s="18" t="s">
        <v>16</v>
      </c>
      <c r="C86" s="19"/>
      <c r="D86" s="1"/>
      <c r="E86" s="20"/>
      <c r="F86" s="20"/>
      <c r="G86" s="2">
        <f>SUM(G84:G85)</f>
        <v>18.104236513258151</v>
      </c>
      <c r="H86" s="21" t="s">
        <v>34</v>
      </c>
      <c r="I86" s="2">
        <v>689.98</v>
      </c>
      <c r="J86" s="22">
        <f>G86*I86</f>
        <v>12491.561109417858</v>
      </c>
      <c r="K86" s="20"/>
    </row>
    <row r="87" spans="1:11" s="10" customFormat="1" x14ac:dyDescent="0.25">
      <c r="A87" s="24"/>
      <c r="B87" s="25" t="s">
        <v>32</v>
      </c>
      <c r="C87" s="26"/>
      <c r="D87" s="27"/>
      <c r="E87" s="27"/>
      <c r="F87" s="27"/>
      <c r="G87" s="27"/>
      <c r="H87" s="26"/>
      <c r="I87" s="26"/>
      <c r="J87" s="22">
        <f>0.13*G86*1694.03/10</f>
        <v>398.69855714721115</v>
      </c>
      <c r="K87" s="26"/>
    </row>
    <row r="88" spans="1:11" x14ac:dyDescent="0.25">
      <c r="A88" s="15"/>
      <c r="B88" s="25" t="s">
        <v>31</v>
      </c>
      <c r="C88" s="26"/>
      <c r="D88" s="27"/>
      <c r="E88" s="27"/>
      <c r="F88" s="27"/>
      <c r="G88" s="27"/>
      <c r="H88" s="26"/>
      <c r="I88" s="26"/>
      <c r="J88" s="22">
        <f>0.13*G86*472.02/10</f>
        <v>111.09230234684546</v>
      </c>
      <c r="K88" s="15"/>
    </row>
    <row r="89" spans="1:11" x14ac:dyDescent="0.25">
      <c r="A89" s="15"/>
      <c r="B89" s="25" t="s">
        <v>33</v>
      </c>
      <c r="C89" s="26"/>
      <c r="D89" s="27"/>
      <c r="E89" s="27"/>
      <c r="F89" s="27"/>
      <c r="G89" s="27"/>
      <c r="H89" s="26"/>
      <c r="I89" s="26"/>
      <c r="J89" s="22">
        <f>0.13*G86*1207.6/10</f>
        <v>284.21478817433706</v>
      </c>
      <c r="K89" s="15"/>
    </row>
    <row r="90" spans="1:11" x14ac:dyDescent="0.25">
      <c r="A90" s="15"/>
      <c r="B90" s="15"/>
      <c r="C90" s="15"/>
      <c r="D90" s="15"/>
      <c r="E90" s="15"/>
      <c r="F90" s="15"/>
      <c r="G90" s="15"/>
      <c r="H90" s="15"/>
      <c r="I90" s="15"/>
      <c r="J90" s="15"/>
      <c r="K90" s="15"/>
    </row>
    <row r="91" spans="1:11" ht="45" x14ac:dyDescent="0.25">
      <c r="A91" s="11">
        <v>7</v>
      </c>
      <c r="B91" s="28" t="s">
        <v>115</v>
      </c>
      <c r="C91" s="15"/>
      <c r="D91" s="15"/>
      <c r="E91" s="15"/>
      <c r="F91" s="15"/>
      <c r="G91" s="15"/>
      <c r="H91" s="15"/>
      <c r="I91" s="15"/>
      <c r="J91" s="15"/>
      <c r="K91" s="15"/>
    </row>
    <row r="92" spans="1:11" x14ac:dyDescent="0.25">
      <c r="A92" s="15"/>
      <c r="B92" s="16" t="s">
        <v>133</v>
      </c>
      <c r="C92" s="45">
        <v>1</v>
      </c>
      <c r="D92" s="3">
        <f>12.667/3.281</f>
        <v>3.8607131971959765</v>
      </c>
      <c r="E92" s="3">
        <f>9.75/3.281</f>
        <v>2.9716549832368178</v>
      </c>
      <c r="F92" s="15"/>
      <c r="G92" s="3">
        <f>PRODUCT(C92:F92)</f>
        <v>11.47270761129557</v>
      </c>
      <c r="H92" s="15"/>
      <c r="I92" s="15"/>
      <c r="J92" s="15"/>
      <c r="K92" s="15"/>
    </row>
    <row r="93" spans="1:11" s="10" customFormat="1" ht="15" customHeight="1" x14ac:dyDescent="0.25">
      <c r="A93" s="17"/>
      <c r="B93" s="18" t="s">
        <v>16</v>
      </c>
      <c r="C93" s="19"/>
      <c r="D93" s="1"/>
      <c r="E93" s="20"/>
      <c r="F93" s="20"/>
      <c r="G93" s="2">
        <f>SUM(G92)</f>
        <v>11.47270761129557</v>
      </c>
      <c r="H93" s="21" t="s">
        <v>34</v>
      </c>
      <c r="I93" s="2">
        <v>6851.63</v>
      </c>
      <c r="J93" s="22">
        <f>G93*I93</f>
        <v>78606.747650781064</v>
      </c>
      <c r="K93" s="20"/>
    </row>
    <row r="94" spans="1:11" s="10" customFormat="1" x14ac:dyDescent="0.25">
      <c r="A94" s="24"/>
      <c r="B94" s="25" t="s">
        <v>32</v>
      </c>
      <c r="C94" s="26"/>
      <c r="D94" s="27"/>
      <c r="E94" s="27"/>
      <c r="F94" s="27"/>
      <c r="G94" s="27"/>
      <c r="H94" s="26"/>
      <c r="I94" s="26"/>
      <c r="J94" s="22">
        <f>0.13*G93*1694.03/10</f>
        <v>252.65644137191944</v>
      </c>
      <c r="K94" s="26"/>
    </row>
    <row r="95" spans="1:11" x14ac:dyDescent="0.25">
      <c r="A95" s="15"/>
      <c r="B95" s="25" t="s">
        <v>31</v>
      </c>
      <c r="C95" s="26"/>
      <c r="D95" s="27"/>
      <c r="E95" s="27"/>
      <c r="F95" s="27"/>
      <c r="G95" s="27"/>
      <c r="H95" s="26"/>
      <c r="I95" s="26"/>
      <c r="J95" s="22">
        <f>0.13*G93*581.55/10</f>
        <v>86.735390447536204</v>
      </c>
      <c r="K95" s="15"/>
    </row>
    <row r="96" spans="1:11" x14ac:dyDescent="0.25">
      <c r="A96" s="15"/>
      <c r="B96" s="25" t="s">
        <v>116</v>
      </c>
      <c r="C96" s="26"/>
      <c r="D96" s="27"/>
      <c r="E96" s="27"/>
      <c r="F96" s="27"/>
      <c r="G96" s="27"/>
      <c r="H96" s="26"/>
      <c r="I96" s="26"/>
      <c r="J96" s="22">
        <f>0.13*G93*43319.76/10</f>
        <v>6460.9342235294662</v>
      </c>
      <c r="K96" s="15"/>
    </row>
    <row r="97" spans="1:11" x14ac:dyDescent="0.25">
      <c r="A97" s="15"/>
      <c r="B97" s="25" t="s">
        <v>117</v>
      </c>
      <c r="C97" s="26"/>
      <c r="D97" s="27"/>
      <c r="E97" s="27"/>
      <c r="F97" s="27"/>
      <c r="G97" s="27"/>
      <c r="H97" s="26"/>
      <c r="I97" s="26"/>
      <c r="J97" s="22">
        <f>0.13*G93*46.25/10</f>
        <v>6.8979654512914621</v>
      </c>
      <c r="K97" s="15"/>
    </row>
    <row r="98" spans="1:11" x14ac:dyDescent="0.25">
      <c r="A98" s="15"/>
      <c r="B98" s="25" t="s">
        <v>118</v>
      </c>
      <c r="C98" s="26"/>
      <c r="D98" s="27"/>
      <c r="E98" s="27"/>
      <c r="F98" s="27"/>
      <c r="G98" s="27"/>
      <c r="H98" s="26"/>
      <c r="I98" s="26"/>
      <c r="J98" s="22">
        <f>0.13*G93*43.3/10</f>
        <v>6.4579871143982759</v>
      </c>
      <c r="K98" s="15"/>
    </row>
    <row r="99" spans="1:11" x14ac:dyDescent="0.25">
      <c r="A99" s="15"/>
      <c r="B99" s="25" t="s">
        <v>119</v>
      </c>
      <c r="C99" s="26"/>
      <c r="D99" s="27"/>
      <c r="E99" s="27"/>
      <c r="F99" s="27"/>
      <c r="G99" s="27"/>
      <c r="H99" s="26"/>
      <c r="I99" s="26"/>
      <c r="J99" s="22">
        <f>0.13*G93*118.89/10</f>
        <v>17.731872702790096</v>
      </c>
      <c r="K99" s="15"/>
    </row>
    <row r="100" spans="1:11" x14ac:dyDescent="0.25">
      <c r="A100" s="15"/>
      <c r="B100" s="25" t="s">
        <v>120</v>
      </c>
      <c r="C100" s="26"/>
      <c r="D100" s="27"/>
      <c r="E100" s="27"/>
      <c r="F100" s="27"/>
      <c r="G100" s="27"/>
      <c r="H100" s="26"/>
      <c r="I100" s="26"/>
      <c r="J100" s="22">
        <f>0.13*G93*120/10</f>
        <v>17.89742387362109</v>
      </c>
      <c r="K100" s="15"/>
    </row>
    <row r="101" spans="1:11" x14ac:dyDescent="0.25">
      <c r="A101" s="15"/>
      <c r="B101" s="15"/>
      <c r="C101" s="15"/>
      <c r="D101" s="15"/>
      <c r="E101" s="15"/>
      <c r="F101" s="15"/>
      <c r="G101" s="15"/>
      <c r="H101" s="15"/>
      <c r="I101" s="15"/>
      <c r="J101" s="15"/>
      <c r="K101" s="15"/>
    </row>
    <row r="102" spans="1:11" ht="30" x14ac:dyDescent="0.25">
      <c r="A102" s="11">
        <v>8</v>
      </c>
      <c r="B102" s="28" t="s">
        <v>52</v>
      </c>
      <c r="C102" s="15"/>
      <c r="D102" s="15"/>
      <c r="E102" s="15"/>
      <c r="F102" s="15"/>
      <c r="G102" s="15"/>
      <c r="H102" s="15"/>
      <c r="I102" s="15"/>
      <c r="J102" s="15"/>
      <c r="K102" s="15"/>
    </row>
    <row r="103" spans="1:11" s="10" customFormat="1" x14ac:dyDescent="0.25">
      <c r="A103" s="24"/>
      <c r="B103" s="25" t="str">
        <f t="shared" ref="B103:D105" si="15">B134</f>
        <v>-for wing walls of stand tap</v>
      </c>
      <c r="C103" s="49">
        <f t="shared" si="15"/>
        <v>4</v>
      </c>
      <c r="D103" s="27">
        <f t="shared" si="15"/>
        <v>1.2163181956720512</v>
      </c>
      <c r="E103" s="27"/>
      <c r="F103" s="27">
        <f>F134</f>
        <v>0.6</v>
      </c>
      <c r="G103" s="27">
        <f t="shared" ref="G103:G109" si="16">PRODUCT(C103:F103)</f>
        <v>2.9191636696129231</v>
      </c>
      <c r="H103" s="26"/>
      <c r="I103" s="26"/>
      <c r="J103" s="26"/>
      <c r="K103" s="26"/>
    </row>
    <row r="104" spans="1:11" s="10" customFormat="1" x14ac:dyDescent="0.25">
      <c r="A104" s="24"/>
      <c r="B104" s="25" t="str">
        <f t="shared" si="15"/>
        <v>-for side wall of stand tap</v>
      </c>
      <c r="C104" s="49">
        <f t="shared" si="15"/>
        <v>1</v>
      </c>
      <c r="D104" s="27">
        <f t="shared" si="15"/>
        <v>1.3197195976836331</v>
      </c>
      <c r="E104" s="27"/>
      <c r="F104" s="27">
        <f>F135</f>
        <v>0.6</v>
      </c>
      <c r="G104" s="27">
        <f t="shared" si="16"/>
        <v>0.79183175861017985</v>
      </c>
      <c r="H104" s="26"/>
      <c r="I104" s="26"/>
      <c r="J104" s="26"/>
      <c r="K104" s="26"/>
    </row>
    <row r="105" spans="1:11" s="10" customFormat="1" x14ac:dyDescent="0.25">
      <c r="A105" s="24"/>
      <c r="B105" s="25" t="str">
        <f t="shared" si="15"/>
        <v>-stand</v>
      </c>
      <c r="C105" s="49">
        <f t="shared" si="15"/>
        <v>1</v>
      </c>
      <c r="D105" s="27">
        <f t="shared" si="15"/>
        <v>0.35659859798841814</v>
      </c>
      <c r="E105" s="27"/>
      <c r="F105" s="27">
        <f>F136</f>
        <v>1.2</v>
      </c>
      <c r="G105" s="27">
        <f t="shared" si="16"/>
        <v>0.42791831758610177</v>
      </c>
      <c r="H105" s="26"/>
      <c r="I105" s="26"/>
      <c r="J105" s="26"/>
      <c r="K105" s="26"/>
    </row>
    <row r="106" spans="1:11" s="10" customFormat="1" x14ac:dyDescent="0.25">
      <c r="A106" s="24"/>
      <c r="B106" s="25"/>
      <c r="C106" s="49">
        <f>C137</f>
        <v>1</v>
      </c>
      <c r="D106" s="27">
        <f>D137</f>
        <v>0.46</v>
      </c>
      <c r="E106" s="27"/>
      <c r="F106" s="27">
        <f>F137</f>
        <v>0.6</v>
      </c>
      <c r="G106" s="27">
        <f t="shared" si="16"/>
        <v>0.27600000000000002</v>
      </c>
      <c r="H106" s="26"/>
      <c r="I106" s="26"/>
      <c r="J106" s="26"/>
      <c r="K106" s="26"/>
    </row>
    <row r="107" spans="1:11" s="10" customFormat="1" x14ac:dyDescent="0.25">
      <c r="A107" s="24"/>
      <c r="B107" s="25" t="s">
        <v>109</v>
      </c>
      <c r="C107" s="49">
        <f>C14</f>
        <v>1</v>
      </c>
      <c r="D107" s="27">
        <f>M10</f>
        <v>1.6763181956720512</v>
      </c>
      <c r="E107" s="27">
        <f>N10</f>
        <v>1.6763181956720512</v>
      </c>
      <c r="F107" s="27"/>
      <c r="G107" s="27">
        <f t="shared" si="16"/>
        <v>2.8100426931412015</v>
      </c>
      <c r="H107" s="26"/>
      <c r="I107" s="26"/>
      <c r="J107" s="26"/>
      <c r="K107" s="26"/>
    </row>
    <row r="108" spans="1:11" s="10" customFormat="1" x14ac:dyDescent="0.25">
      <c r="A108" s="24"/>
      <c r="B108" s="25" t="str">
        <f>B84</f>
        <v>-peti area</v>
      </c>
      <c r="C108" s="49">
        <f>C84</f>
        <v>2</v>
      </c>
      <c r="D108" s="27">
        <f>D84</f>
        <v>3.6574215178299299</v>
      </c>
      <c r="E108" s="27">
        <f>E84</f>
        <v>0.9</v>
      </c>
      <c r="F108" s="27"/>
      <c r="G108" s="27">
        <f t="shared" si="16"/>
        <v>6.583358732093874</v>
      </c>
      <c r="H108" s="26"/>
      <c r="I108" s="26"/>
      <c r="J108" s="26"/>
      <c r="K108" s="26"/>
    </row>
    <row r="109" spans="1:11" s="10" customFormat="1" x14ac:dyDescent="0.25">
      <c r="A109" s="24"/>
      <c r="B109" s="25"/>
      <c r="C109" s="49">
        <f>C85</f>
        <v>2</v>
      </c>
      <c r="D109" s="27">
        <f>D85</f>
        <v>6.4004876562023769</v>
      </c>
      <c r="E109" s="27">
        <f>E85</f>
        <v>0.9</v>
      </c>
      <c r="F109" s="27"/>
      <c r="G109" s="27">
        <f t="shared" si="16"/>
        <v>11.520877781164279</v>
      </c>
      <c r="H109" s="26"/>
      <c r="I109" s="26"/>
      <c r="J109" s="26"/>
      <c r="K109" s="26"/>
    </row>
    <row r="110" spans="1:11" s="10" customFormat="1" ht="15" customHeight="1" x14ac:dyDescent="0.25">
      <c r="A110" s="17"/>
      <c r="B110" s="18" t="s">
        <v>16</v>
      </c>
      <c r="C110" s="19"/>
      <c r="D110" s="1"/>
      <c r="E110" s="20"/>
      <c r="F110" s="20"/>
      <c r="G110" s="2">
        <f>SUM(G103:G109)</f>
        <v>25.329192952208558</v>
      </c>
      <c r="H110" s="21" t="s">
        <v>34</v>
      </c>
      <c r="I110" s="2">
        <v>287.32</v>
      </c>
      <c r="J110" s="22">
        <f>G110*I110</f>
        <v>7277.5837190285629</v>
      </c>
      <c r="K110" s="20"/>
    </row>
    <row r="111" spans="1:11" s="10" customFormat="1" x14ac:dyDescent="0.25">
      <c r="A111" s="24"/>
      <c r="B111" s="25" t="s">
        <v>32</v>
      </c>
      <c r="C111" s="26"/>
      <c r="D111" s="27"/>
      <c r="E111" s="27"/>
      <c r="F111" s="27"/>
      <c r="G111" s="27"/>
      <c r="H111" s="26"/>
      <c r="I111" s="26"/>
      <c r="J111" s="22">
        <f>0.13*G110*693.24/10</f>
        <v>228.26972638845783</v>
      </c>
      <c r="K111" s="26"/>
    </row>
    <row r="112" spans="1:11" x14ac:dyDescent="0.25">
      <c r="A112" s="15"/>
      <c r="B112" s="15"/>
      <c r="C112" s="15"/>
      <c r="D112" s="15"/>
      <c r="E112" s="15"/>
      <c r="F112" s="15"/>
      <c r="G112" s="15"/>
      <c r="H112" s="15"/>
      <c r="I112" s="15"/>
      <c r="J112" s="15"/>
      <c r="K112" s="15"/>
    </row>
    <row r="113" spans="1:11" ht="30" x14ac:dyDescent="0.25">
      <c r="A113" s="11">
        <v>9</v>
      </c>
      <c r="B113" s="28" t="s">
        <v>56</v>
      </c>
      <c r="C113" s="15"/>
      <c r="D113" s="15"/>
      <c r="E113" s="15"/>
      <c r="F113" s="15"/>
      <c r="G113" s="15"/>
      <c r="H113" s="15"/>
      <c r="I113" s="15"/>
      <c r="J113" s="15"/>
      <c r="K113" s="15"/>
    </row>
    <row r="114" spans="1:11" x14ac:dyDescent="0.25">
      <c r="A114" s="15"/>
      <c r="B114" s="16" t="s">
        <v>86</v>
      </c>
      <c r="C114" s="45">
        <v>2</v>
      </c>
      <c r="D114" s="3">
        <f>9.75/3.281</f>
        <v>2.9716549832368178</v>
      </c>
      <c r="E114" s="3">
        <v>0.35</v>
      </c>
      <c r="F114" s="3">
        <f>(10-3.5-0.33*2)/3.281</f>
        <v>1.7799451386772325</v>
      </c>
      <c r="G114" s="3">
        <f t="shared" ref="G114:G117" si="17">PRODUCT(C114:F114)</f>
        <v>3.7025679888668424</v>
      </c>
      <c r="H114" s="15"/>
      <c r="I114" s="15"/>
      <c r="J114" s="15"/>
      <c r="K114" s="15"/>
    </row>
    <row r="115" spans="1:11" x14ac:dyDescent="0.25">
      <c r="A115" s="15"/>
      <c r="B115" s="16"/>
      <c r="C115" s="45">
        <v>2</v>
      </c>
      <c r="D115" s="3">
        <f>15/3.281</f>
        <v>4.5717768972874122</v>
      </c>
      <c r="E115" s="3">
        <v>0.35</v>
      </c>
      <c r="F115" s="3">
        <f>(10-3.5-0.33*2)/3.281</f>
        <v>1.7799451386772325</v>
      </c>
      <c r="G115" s="3">
        <f t="shared" si="17"/>
        <v>5.6962584444105273</v>
      </c>
      <c r="H115" s="15"/>
      <c r="I115" s="15"/>
      <c r="J115" s="15"/>
      <c r="K115" s="15"/>
    </row>
    <row r="116" spans="1:11" x14ac:dyDescent="0.25">
      <c r="A116" s="15"/>
      <c r="B116" s="16" t="s">
        <v>87</v>
      </c>
      <c r="C116" s="45">
        <v>-1</v>
      </c>
      <c r="D116" s="3">
        <f>1.5</f>
        <v>1.5</v>
      </c>
      <c r="E116" s="3">
        <v>0.35</v>
      </c>
      <c r="F116" s="3">
        <f>(7-3.5)/3.281</f>
        <v>1.0667479427003961</v>
      </c>
      <c r="G116" s="3">
        <f t="shared" si="17"/>
        <v>-0.56004266991770779</v>
      </c>
      <c r="H116" s="15"/>
      <c r="I116" s="15"/>
      <c r="J116" s="15"/>
      <c r="K116" s="15"/>
    </row>
    <row r="117" spans="1:11" x14ac:dyDescent="0.25">
      <c r="A117" s="15"/>
      <c r="B117" s="16" t="s">
        <v>58</v>
      </c>
      <c r="C117" s="45">
        <v>-2</v>
      </c>
      <c r="D117" s="3">
        <f>3.5/3.281</f>
        <v>1.0667479427003961</v>
      </c>
      <c r="E117" s="3">
        <v>0.35</v>
      </c>
      <c r="F117" s="3">
        <f>(7-3.5)/3.281</f>
        <v>1.0667479427003961</v>
      </c>
      <c r="G117" s="3">
        <f t="shared" si="17"/>
        <v>-0.79656582127886921</v>
      </c>
      <c r="H117" s="15"/>
      <c r="I117" s="15"/>
      <c r="J117" s="15"/>
      <c r="K117" s="15"/>
    </row>
    <row r="118" spans="1:11" s="10" customFormat="1" x14ac:dyDescent="0.25">
      <c r="A118" s="24"/>
      <c r="B118" s="25" t="s">
        <v>107</v>
      </c>
      <c r="C118" s="49">
        <f>C14*2</f>
        <v>2</v>
      </c>
      <c r="D118" s="27">
        <f>N10-O10*2</f>
        <v>1.2163181956720512</v>
      </c>
      <c r="E118" s="27">
        <f>O10</f>
        <v>0.23</v>
      </c>
      <c r="F118" s="27">
        <f>P10</f>
        <v>0.6</v>
      </c>
      <c r="G118" s="27">
        <f>PRODUCT(C118:F118)</f>
        <v>0.33570382200548615</v>
      </c>
      <c r="H118" s="26"/>
      <c r="I118" s="26"/>
      <c r="J118" s="26"/>
      <c r="K118" s="26"/>
    </row>
    <row r="119" spans="1:11" s="10" customFormat="1" x14ac:dyDescent="0.25">
      <c r="A119" s="24"/>
      <c r="B119" s="25" t="s">
        <v>108</v>
      </c>
      <c r="C119" s="49">
        <f>C14</f>
        <v>1</v>
      </c>
      <c r="D119" s="27">
        <f>M10-R10</f>
        <v>1.3197195976836331</v>
      </c>
      <c r="E119" s="27">
        <f>O10</f>
        <v>0.23</v>
      </c>
      <c r="F119" s="27">
        <f>P10</f>
        <v>0.6</v>
      </c>
      <c r="G119" s="27">
        <f>PRODUCT(C119:F119)</f>
        <v>0.18212130448034136</v>
      </c>
      <c r="H119" s="26"/>
      <c r="I119" s="26"/>
      <c r="J119" s="26"/>
      <c r="K119" s="26"/>
    </row>
    <row r="120" spans="1:11" s="10" customFormat="1" x14ac:dyDescent="0.25">
      <c r="A120" s="24"/>
      <c r="B120" s="25" t="s">
        <v>106</v>
      </c>
      <c r="C120" s="49">
        <f>C14</f>
        <v>1</v>
      </c>
      <c r="D120" s="27">
        <f>R10</f>
        <v>0.35659859798841814</v>
      </c>
      <c r="E120" s="27">
        <f>O10</f>
        <v>0.23</v>
      </c>
      <c r="F120" s="27">
        <f>Q10</f>
        <v>1.2</v>
      </c>
      <c r="G120" s="27">
        <f>PRODUCT(C120:F120)</f>
        <v>9.8421213044803404E-2</v>
      </c>
      <c r="H120" s="26"/>
      <c r="I120" s="26"/>
      <c r="J120" s="26"/>
      <c r="K120" s="26"/>
    </row>
    <row r="121" spans="1:11" s="10" customFormat="1" ht="15" customHeight="1" x14ac:dyDescent="0.25">
      <c r="A121" s="17"/>
      <c r="B121" s="18" t="s">
        <v>16</v>
      </c>
      <c r="C121" s="19"/>
      <c r="D121" s="1"/>
      <c r="E121" s="20"/>
      <c r="F121" s="20"/>
      <c r="G121" s="2">
        <f>SUM(G114:G120)</f>
        <v>8.6584642816114226</v>
      </c>
      <c r="H121" s="21" t="s">
        <v>28</v>
      </c>
      <c r="I121" s="2">
        <f>14491.84</f>
        <v>14491.84</v>
      </c>
      <c r="J121" s="22">
        <f>G121*I121</f>
        <v>125477.07901482769</v>
      </c>
      <c r="K121" s="20"/>
    </row>
    <row r="122" spans="1:11" s="10" customFormat="1" x14ac:dyDescent="0.25">
      <c r="A122" s="24"/>
      <c r="B122" s="25" t="s">
        <v>53</v>
      </c>
      <c r="C122" s="26"/>
      <c r="D122" s="27"/>
      <c r="E122" s="27"/>
      <c r="F122" s="27"/>
      <c r="G122" s="27"/>
      <c r="H122" s="26"/>
      <c r="I122" s="26"/>
      <c r="J122" s="22">
        <f>0.13*G121*8481.2</f>
        <v>9546.4417444763658</v>
      </c>
      <c r="K122" s="26"/>
    </row>
    <row r="123" spans="1:11" s="10" customFormat="1" x14ac:dyDescent="0.25">
      <c r="A123" s="24"/>
      <c r="B123" s="25" t="s">
        <v>32</v>
      </c>
      <c r="C123" s="26"/>
      <c r="D123" s="27"/>
      <c r="E123" s="27"/>
      <c r="F123" s="27"/>
      <c r="G123" s="27"/>
      <c r="H123" s="26"/>
      <c r="I123" s="26"/>
      <c r="J123" s="22">
        <f>0.13*G121*912.17</f>
        <v>1026.738877288474</v>
      </c>
      <c r="K123" s="26"/>
    </row>
    <row r="124" spans="1:11" s="10" customFormat="1" x14ac:dyDescent="0.25">
      <c r="A124" s="24"/>
      <c r="B124" s="25" t="s">
        <v>57</v>
      </c>
      <c r="C124" s="26"/>
      <c r="D124" s="27"/>
      <c r="E124" s="27"/>
      <c r="F124" s="27"/>
      <c r="G124" s="27"/>
      <c r="H124" s="26"/>
      <c r="I124" s="26"/>
      <c r="J124" s="22">
        <f>0.13*G121*953.37</f>
        <v>1073.1136119807848</v>
      </c>
      <c r="K124" s="26"/>
    </row>
    <row r="125" spans="1:11" s="10" customFormat="1" x14ac:dyDescent="0.25">
      <c r="A125" s="24"/>
      <c r="B125" s="25" t="s">
        <v>35</v>
      </c>
      <c r="C125" s="26"/>
      <c r="D125" s="27"/>
      <c r="E125" s="27"/>
      <c r="F125" s="27"/>
      <c r="G125" s="27"/>
      <c r="H125" s="26"/>
      <c r="I125" s="26"/>
      <c r="J125" s="22">
        <f>0.13*G121*28</f>
        <v>31.516809985065578</v>
      </c>
      <c r="K125" s="26"/>
    </row>
    <row r="126" spans="1:11" x14ac:dyDescent="0.25">
      <c r="A126" s="15"/>
      <c r="B126" s="15"/>
      <c r="C126" s="15"/>
      <c r="D126" s="15"/>
      <c r="E126" s="15"/>
      <c r="F126" s="15"/>
      <c r="G126" s="15"/>
      <c r="H126" s="15"/>
      <c r="I126" s="15"/>
      <c r="J126" s="15"/>
      <c r="K126" s="15"/>
    </row>
    <row r="127" spans="1:11" ht="30" x14ac:dyDescent="0.25">
      <c r="A127" s="11">
        <v>10</v>
      </c>
      <c r="B127" s="28" t="s">
        <v>51</v>
      </c>
      <c r="C127" s="15"/>
      <c r="D127" s="15"/>
      <c r="E127" s="15"/>
      <c r="F127" s="15"/>
      <c r="G127" s="15"/>
      <c r="H127" s="15"/>
      <c r="I127" s="15"/>
      <c r="J127" s="15"/>
      <c r="K127" s="15"/>
    </row>
    <row r="128" spans="1:11" x14ac:dyDescent="0.25">
      <c r="A128" s="15"/>
      <c r="B128" s="16" t="str">
        <f>B114</f>
        <v>-for wall continue</v>
      </c>
      <c r="C128" s="45">
        <v>1</v>
      </c>
      <c r="D128" s="3">
        <f>(15*2+(9.75+1.17*2)*2)/3.281</f>
        <v>16.513258153002134</v>
      </c>
      <c r="E128" s="3"/>
      <c r="F128" s="3">
        <f>10/3.281</f>
        <v>3.047851264858275</v>
      </c>
      <c r="G128" s="3">
        <f>PRODUCT(C128:F128)</f>
        <v>50.329954748558777</v>
      </c>
      <c r="H128" s="15"/>
      <c r="I128" s="15"/>
      <c r="J128" s="15"/>
      <c r="K128" s="15"/>
    </row>
    <row r="129" spans="1:11" x14ac:dyDescent="0.25">
      <c r="A129" s="15"/>
      <c r="B129" s="16"/>
      <c r="C129" s="45">
        <v>1</v>
      </c>
      <c r="D129" s="3">
        <f>((15-1.17*2)*2+(9.75*2))/3.281</f>
        <v>13.660469369094788</v>
      </c>
      <c r="E129" s="3"/>
      <c r="F129" s="3">
        <f>(10-3.5)/3.281</f>
        <v>1.9811033221578787</v>
      </c>
      <c r="G129" s="3">
        <f>PRODUCT(C129:F129)</f>
        <v>27.062801249349626</v>
      </c>
      <c r="H129" s="15"/>
      <c r="I129" s="15"/>
      <c r="J129" s="15"/>
      <c r="K129" s="15"/>
    </row>
    <row r="130" spans="1:11" x14ac:dyDescent="0.25">
      <c r="A130" s="15"/>
      <c r="B130" s="16" t="str">
        <f>B116</f>
        <v>-deduction for door</v>
      </c>
      <c r="C130" s="45">
        <v>-2</v>
      </c>
      <c r="D130" s="3">
        <f>D116</f>
        <v>1.5</v>
      </c>
      <c r="E130" s="3"/>
      <c r="F130" s="3">
        <f>7/3.281</f>
        <v>2.1334958854007922</v>
      </c>
      <c r="G130" s="3">
        <f t="shared" ref="G130:G133" si="18">PRODUCT(C130:F130)</f>
        <v>-6.400487656202376</v>
      </c>
      <c r="H130" s="15"/>
      <c r="I130" s="15"/>
      <c r="J130" s="15"/>
      <c r="K130" s="15"/>
    </row>
    <row r="131" spans="1:11" x14ac:dyDescent="0.25">
      <c r="A131" s="15"/>
      <c r="B131" s="16" t="str">
        <f>B117</f>
        <v>-deduction for window</v>
      </c>
      <c r="C131" s="45">
        <f>2*C117</f>
        <v>-4</v>
      </c>
      <c r="D131" s="3">
        <f>D117</f>
        <v>1.0667479427003961</v>
      </c>
      <c r="E131" s="3"/>
      <c r="F131" s="3">
        <f>F117</f>
        <v>1.0667479427003961</v>
      </c>
      <c r="G131" s="3">
        <f t="shared" si="18"/>
        <v>-4.5518046930221097</v>
      </c>
      <c r="H131" s="15"/>
      <c r="I131" s="15"/>
      <c r="J131" s="15"/>
      <c r="K131" s="15"/>
    </row>
    <row r="132" spans="1:11" x14ac:dyDescent="0.25">
      <c r="A132" s="15"/>
      <c r="B132" s="16" t="s">
        <v>124</v>
      </c>
      <c r="C132" s="45">
        <v>2</v>
      </c>
      <c r="D132" s="3">
        <f>D52</f>
        <v>4.0262115208777809</v>
      </c>
      <c r="E132" s="3">
        <f>E52</f>
        <v>1.8805242304175556</v>
      </c>
      <c r="F132" s="3"/>
      <c r="G132" s="3">
        <f t="shared" si="18"/>
        <v>15.142776643593971</v>
      </c>
      <c r="H132" s="15"/>
      <c r="I132" s="15"/>
      <c r="J132" s="15"/>
      <c r="K132" s="15"/>
    </row>
    <row r="133" spans="1:11" x14ac:dyDescent="0.25">
      <c r="A133" s="15"/>
      <c r="B133" s="16"/>
      <c r="C133" s="45">
        <v>2</v>
      </c>
      <c r="D133" s="3">
        <f>D53</f>
        <v>3.1240475464797317</v>
      </c>
      <c r="E133" s="3">
        <f>E53</f>
        <v>1.929289850655288</v>
      </c>
      <c r="F133" s="3"/>
      <c r="G133" s="3">
        <f t="shared" si="18"/>
        <v>12.054386448775801</v>
      </c>
      <c r="H133" s="15"/>
      <c r="I133" s="15"/>
      <c r="J133" s="15"/>
      <c r="K133" s="15"/>
    </row>
    <row r="134" spans="1:11" s="10" customFormat="1" x14ac:dyDescent="0.25">
      <c r="A134" s="24"/>
      <c r="B134" s="25" t="str">
        <f>B118</f>
        <v>-for wing walls of stand tap</v>
      </c>
      <c r="C134" s="49">
        <f>C14*4</f>
        <v>4</v>
      </c>
      <c r="D134" s="27">
        <f>M10-O10*2</f>
        <v>1.2163181956720512</v>
      </c>
      <c r="E134" s="27"/>
      <c r="F134" s="27">
        <f>P10</f>
        <v>0.6</v>
      </c>
      <c r="G134" s="27">
        <f>PRODUCT(C134:F134)</f>
        <v>2.9191636696129231</v>
      </c>
      <c r="H134" s="26"/>
      <c r="I134" s="26"/>
      <c r="J134" s="26"/>
      <c r="K134" s="26"/>
    </row>
    <row r="135" spans="1:11" s="10" customFormat="1" x14ac:dyDescent="0.25">
      <c r="A135" s="24"/>
      <c r="B135" s="25" t="str">
        <f>B119</f>
        <v>-for side wall of stand tap</v>
      </c>
      <c r="C135" s="49">
        <f>C14</f>
        <v>1</v>
      </c>
      <c r="D135" s="27">
        <f>M10-R10</f>
        <v>1.3197195976836331</v>
      </c>
      <c r="E135" s="27"/>
      <c r="F135" s="27">
        <f>P10</f>
        <v>0.6</v>
      </c>
      <c r="G135" s="27">
        <f>PRODUCT(C135:F135)</f>
        <v>0.79183175861017985</v>
      </c>
      <c r="H135" s="26"/>
      <c r="I135" s="26"/>
      <c r="J135" s="26"/>
      <c r="K135" s="26"/>
    </row>
    <row r="136" spans="1:11" s="10" customFormat="1" x14ac:dyDescent="0.25">
      <c r="A136" s="24"/>
      <c r="B136" s="25" t="s">
        <v>114</v>
      </c>
      <c r="C136" s="49">
        <f>C14</f>
        <v>1</v>
      </c>
      <c r="D136" s="27">
        <f>R10</f>
        <v>0.35659859798841814</v>
      </c>
      <c r="E136" s="27"/>
      <c r="F136" s="27">
        <f>Q10</f>
        <v>1.2</v>
      </c>
      <c r="G136" s="27">
        <f>PRODUCT(C136:F136)</f>
        <v>0.42791831758610177</v>
      </c>
      <c r="H136" s="26"/>
      <c r="I136" s="26"/>
      <c r="J136" s="26"/>
      <c r="K136" s="26"/>
    </row>
    <row r="137" spans="1:11" s="10" customFormat="1" x14ac:dyDescent="0.25">
      <c r="A137" s="24"/>
      <c r="B137" s="25"/>
      <c r="C137" s="49">
        <f>C136</f>
        <v>1</v>
      </c>
      <c r="D137" s="27">
        <f>O10*2</f>
        <v>0.46</v>
      </c>
      <c r="E137" s="27"/>
      <c r="F137" s="27">
        <f>Q10-P10</f>
        <v>0.6</v>
      </c>
      <c r="G137" s="27">
        <f>PRODUCT(C137:F137)</f>
        <v>0.27600000000000002</v>
      </c>
      <c r="H137" s="26"/>
      <c r="I137" s="26"/>
      <c r="J137" s="26"/>
      <c r="K137" s="26"/>
    </row>
    <row r="138" spans="1:11" s="10" customFormat="1" ht="15" customHeight="1" x14ac:dyDescent="0.25">
      <c r="A138" s="17"/>
      <c r="B138" s="18" t="s">
        <v>16</v>
      </c>
      <c r="C138" s="19"/>
      <c r="D138" s="1"/>
      <c r="E138" s="20"/>
      <c r="F138" s="20"/>
      <c r="G138" s="2">
        <f>SUM(G128:G137)</f>
        <v>98.052540486862924</v>
      </c>
      <c r="H138" s="21" t="s">
        <v>34</v>
      </c>
      <c r="I138" s="2">
        <v>415.5</v>
      </c>
      <c r="J138" s="22">
        <f>G138*I138</f>
        <v>40740.830572291547</v>
      </c>
      <c r="K138" s="20"/>
    </row>
    <row r="139" spans="1:11" s="10" customFormat="1" x14ac:dyDescent="0.25">
      <c r="A139" s="24"/>
      <c r="B139" s="25" t="s">
        <v>32</v>
      </c>
      <c r="C139" s="26"/>
      <c r="D139" s="27"/>
      <c r="E139" s="27"/>
      <c r="F139" s="27"/>
      <c r="G139" s="27"/>
      <c r="H139" s="26"/>
      <c r="I139" s="26"/>
      <c r="J139" s="22">
        <f>0.13*G138*7010.67/100</f>
        <v>893.63820521954597</v>
      </c>
      <c r="K139" s="26"/>
    </row>
    <row r="140" spans="1:11" x14ac:dyDescent="0.25">
      <c r="A140" s="15"/>
      <c r="B140" s="25" t="s">
        <v>31</v>
      </c>
      <c r="C140" s="26"/>
      <c r="D140" s="27"/>
      <c r="E140" s="27"/>
      <c r="F140" s="27"/>
      <c r="G140" s="27"/>
      <c r="H140" s="26"/>
      <c r="I140" s="26"/>
      <c r="J140" s="22">
        <f>0.13*G138*4639.73/100</f>
        <v>591.41850777504624</v>
      </c>
      <c r="K140" s="15"/>
    </row>
    <row r="141" spans="1:11" x14ac:dyDescent="0.25">
      <c r="A141" s="15"/>
      <c r="B141" s="15"/>
      <c r="C141" s="15"/>
      <c r="D141" s="15"/>
      <c r="E141" s="15"/>
      <c r="F141" s="15"/>
      <c r="G141" s="15"/>
      <c r="H141" s="15"/>
      <c r="I141" s="15"/>
      <c r="J141" s="15"/>
      <c r="K141" s="15"/>
    </row>
    <row r="142" spans="1:11" ht="76.5" x14ac:dyDescent="0.25">
      <c r="A142" s="11">
        <v>10</v>
      </c>
      <c r="B142" s="28" t="s">
        <v>134</v>
      </c>
      <c r="C142" s="15"/>
      <c r="D142" s="15"/>
      <c r="E142" s="15"/>
      <c r="F142" s="15"/>
      <c r="G142" s="15"/>
      <c r="H142" s="15"/>
      <c r="I142" s="15"/>
      <c r="J142" s="15"/>
      <c r="K142" s="15"/>
    </row>
    <row r="143" spans="1:11" x14ac:dyDescent="0.25">
      <c r="A143" s="15"/>
      <c r="B143" s="16" t="s">
        <v>135</v>
      </c>
      <c r="C143" s="45">
        <v>1</v>
      </c>
      <c r="D143" s="3">
        <f>((15-1.17*2)*2+(9.75*2))/3.281</f>
        <v>13.660469369094788</v>
      </c>
      <c r="E143" s="3"/>
      <c r="F143" s="3">
        <f>(3.5)/3.281</f>
        <v>1.0667479427003961</v>
      </c>
      <c r="G143" s="3">
        <f>PRODUCT(C143:F143)</f>
        <v>14.572277595803643</v>
      </c>
      <c r="H143" s="15"/>
      <c r="I143" s="15"/>
      <c r="J143" s="15"/>
      <c r="K143" s="15"/>
    </row>
    <row r="144" spans="1:11" s="10" customFormat="1" x14ac:dyDescent="0.25">
      <c r="A144" s="24"/>
      <c r="B144" s="25" t="str">
        <f>B130</f>
        <v>-deduction for door</v>
      </c>
      <c r="C144" s="49">
        <f>-1</f>
        <v>-1</v>
      </c>
      <c r="D144" s="27">
        <f>D130</f>
        <v>1.5</v>
      </c>
      <c r="E144" s="27"/>
      <c r="F144" s="27">
        <f>F143</f>
        <v>1.0667479427003961</v>
      </c>
      <c r="G144" s="27">
        <f>PRODUCT(C144:F144)</f>
        <v>-1.600121914050594</v>
      </c>
      <c r="H144" s="26"/>
      <c r="I144" s="26"/>
      <c r="J144" s="26"/>
      <c r="K144" s="26"/>
    </row>
    <row r="145" spans="1:11" s="10" customFormat="1" ht="15" customHeight="1" x14ac:dyDescent="0.25">
      <c r="A145" s="17"/>
      <c r="B145" s="18" t="s">
        <v>16</v>
      </c>
      <c r="C145" s="19"/>
      <c r="D145" s="1"/>
      <c r="E145" s="20"/>
      <c r="F145" s="20"/>
      <c r="G145" s="2">
        <f>SUM(G143:G144)</f>
        <v>12.972155681753048</v>
      </c>
      <c r="H145" s="21" t="s">
        <v>34</v>
      </c>
      <c r="I145" s="2">
        <v>2845.18</v>
      </c>
      <c r="J145" s="22">
        <f>G145*I145</f>
        <v>36908.117902610131</v>
      </c>
      <c r="K145" s="20"/>
    </row>
    <row r="146" spans="1:11" s="10" customFormat="1" x14ac:dyDescent="0.25">
      <c r="A146" s="24"/>
      <c r="B146" s="25" t="s">
        <v>32</v>
      </c>
      <c r="C146" s="26"/>
      <c r="D146" s="27"/>
      <c r="E146" s="27"/>
      <c r="F146" s="27"/>
      <c r="G146" s="27"/>
      <c r="H146" s="26"/>
      <c r="I146" s="26"/>
      <c r="J146" s="22">
        <f>0.13*G145*729.73/10</f>
        <v>123.06022515339347</v>
      </c>
      <c r="K146" s="26"/>
    </row>
    <row r="147" spans="1:11" x14ac:dyDescent="0.25">
      <c r="A147" s="15"/>
      <c r="B147" s="25" t="s">
        <v>31</v>
      </c>
      <c r="C147" s="26"/>
      <c r="D147" s="27"/>
      <c r="E147" s="27"/>
      <c r="F147" s="27"/>
      <c r="G147" s="27"/>
      <c r="H147" s="26"/>
      <c r="I147" s="26"/>
      <c r="J147" s="22">
        <f>0.13*G145*483.04/10</f>
        <v>81.458911046681905</v>
      </c>
      <c r="K147" s="15"/>
    </row>
    <row r="148" spans="1:11" s="10" customFormat="1" x14ac:dyDescent="0.25">
      <c r="A148" s="24"/>
      <c r="B148" s="25" t="s">
        <v>136</v>
      </c>
      <c r="C148" s="26"/>
      <c r="D148" s="27"/>
      <c r="E148" s="27"/>
      <c r="F148" s="27"/>
      <c r="G148" s="27"/>
      <c r="H148" s="26"/>
      <c r="I148" s="26"/>
      <c r="J148" s="22">
        <f>0.13*G145*100.06/10</f>
        <v>16.873920667710731</v>
      </c>
      <c r="K148" s="26"/>
    </row>
    <row r="149" spans="1:11" x14ac:dyDescent="0.25">
      <c r="A149" s="15"/>
      <c r="B149" s="25" t="s">
        <v>137</v>
      </c>
      <c r="C149" s="26"/>
      <c r="D149" s="27"/>
      <c r="E149" s="27"/>
      <c r="F149" s="27"/>
      <c r="G149" s="27"/>
      <c r="H149" s="26"/>
      <c r="I149" s="26"/>
      <c r="J149" s="22">
        <f>0.13*G145*6746.52/10</f>
        <v>1137.7198007507875</v>
      </c>
      <c r="K149" s="15"/>
    </row>
    <row r="150" spans="1:11" x14ac:dyDescent="0.25">
      <c r="A150" s="15"/>
      <c r="B150" s="15"/>
      <c r="C150" s="15"/>
      <c r="D150" s="15"/>
      <c r="E150" s="15"/>
      <c r="F150" s="15"/>
      <c r="G150" s="15"/>
      <c r="H150" s="15"/>
      <c r="I150" s="15"/>
      <c r="J150" s="15"/>
      <c r="K150" s="15"/>
    </row>
    <row r="151" spans="1:11" ht="30" x14ac:dyDescent="0.25">
      <c r="A151" s="11">
        <v>11</v>
      </c>
      <c r="B151" s="28" t="s">
        <v>59</v>
      </c>
      <c r="C151" s="15"/>
      <c r="D151" s="15"/>
      <c r="E151" s="15"/>
      <c r="F151" s="15"/>
      <c r="G151" s="15"/>
      <c r="H151" s="15"/>
      <c r="I151" s="15"/>
      <c r="J151" s="15"/>
      <c r="K151" s="15"/>
    </row>
    <row r="152" spans="1:11" x14ac:dyDescent="0.25">
      <c r="A152" s="15"/>
      <c r="B152" s="16" t="s">
        <v>85</v>
      </c>
      <c r="C152" s="45">
        <f>C128</f>
        <v>1</v>
      </c>
      <c r="D152" s="3"/>
      <c r="E152" s="3"/>
      <c r="F152" s="3"/>
      <c r="G152" s="3">
        <f>SUM(G128:G133)</f>
        <v>93.637626741053708</v>
      </c>
      <c r="H152" s="15"/>
      <c r="I152" s="15"/>
      <c r="J152" s="15"/>
      <c r="K152" s="15"/>
    </row>
    <row r="153" spans="1:11" s="10" customFormat="1" ht="15" customHeight="1" x14ac:dyDescent="0.25">
      <c r="A153" s="17"/>
      <c r="B153" s="18" t="s">
        <v>16</v>
      </c>
      <c r="C153" s="19"/>
      <c r="D153" s="1"/>
      <c r="E153" s="20"/>
      <c r="F153" s="20"/>
      <c r="G153" s="2">
        <f>SUM(G152:G152)</f>
        <v>93.637626741053708</v>
      </c>
      <c r="H153" s="21" t="s">
        <v>34</v>
      </c>
      <c r="I153" s="2">
        <v>253.8</v>
      </c>
      <c r="J153" s="22">
        <f>G153*I153</f>
        <v>23765.229666879433</v>
      </c>
      <c r="K153" s="20"/>
    </row>
    <row r="154" spans="1:11" s="10" customFormat="1" x14ac:dyDescent="0.25">
      <c r="A154" s="24"/>
      <c r="B154" s="25" t="s">
        <v>60</v>
      </c>
      <c r="C154" s="26"/>
      <c r="D154" s="27"/>
      <c r="E154" s="27"/>
      <c r="F154" s="27"/>
      <c r="G154" s="27"/>
      <c r="H154" s="26"/>
      <c r="I154" s="26"/>
      <c r="J154" s="22">
        <f>0.13*G153*2304/100</f>
        <v>280.46341961480408</v>
      </c>
      <c r="K154" s="26"/>
    </row>
    <row r="155" spans="1:11" s="10" customFormat="1" x14ac:dyDescent="0.25">
      <c r="A155" s="24"/>
      <c r="B155" s="25" t="s">
        <v>61</v>
      </c>
      <c r="C155" s="26"/>
      <c r="D155" s="27"/>
      <c r="E155" s="27"/>
      <c r="F155" s="27"/>
      <c r="G155" s="27"/>
      <c r="H155" s="26"/>
      <c r="I155" s="26"/>
      <c r="J155" s="22">
        <f>0.13*G153*10432/100</f>
        <v>1269.876038811474</v>
      </c>
      <c r="K155" s="26"/>
    </row>
    <row r="156" spans="1:11" s="10" customFormat="1" x14ac:dyDescent="0.25">
      <c r="A156" s="24"/>
      <c r="B156" s="25"/>
      <c r="C156" s="26"/>
      <c r="D156" s="27"/>
      <c r="E156" s="27"/>
      <c r="F156" s="27"/>
      <c r="G156" s="27"/>
      <c r="H156" s="26"/>
      <c r="I156" s="26"/>
      <c r="J156" s="22"/>
      <c r="K156" s="26"/>
    </row>
    <row r="157" spans="1:11" ht="30" x14ac:dyDescent="0.25">
      <c r="A157" s="11">
        <v>12</v>
      </c>
      <c r="B157" s="28" t="s">
        <v>81</v>
      </c>
      <c r="C157" s="15"/>
      <c r="D157" s="15"/>
      <c r="E157" s="15"/>
      <c r="F157" s="15"/>
      <c r="G157" s="15"/>
      <c r="H157" s="15"/>
      <c r="I157" s="15"/>
      <c r="J157" s="15"/>
      <c r="K157" s="15"/>
    </row>
    <row r="158" spans="1:11" x14ac:dyDescent="0.25">
      <c r="A158" s="15"/>
      <c r="B158" s="16" t="s">
        <v>122</v>
      </c>
      <c r="C158" s="45">
        <f>C135</f>
        <v>1</v>
      </c>
      <c r="D158" s="3">
        <f>(18.25*2+15.25*2)/3.281</f>
        <v>20.42060347455044</v>
      </c>
      <c r="E158" s="3"/>
      <c r="F158" s="3"/>
      <c r="G158" s="3">
        <f>PRODUCT(C158:F158)</f>
        <v>20.42060347455044</v>
      </c>
      <c r="H158" s="15"/>
      <c r="I158" s="15"/>
      <c r="J158" s="15"/>
      <c r="K158" s="15"/>
    </row>
    <row r="159" spans="1:11" s="10" customFormat="1" ht="15" customHeight="1" x14ac:dyDescent="0.25">
      <c r="A159" s="17"/>
      <c r="B159" s="18" t="s">
        <v>16</v>
      </c>
      <c r="C159" s="19"/>
      <c r="D159" s="1"/>
      <c r="E159" s="20"/>
      <c r="F159" s="20"/>
      <c r="G159" s="2">
        <f>SUM(G158:G158)</f>
        <v>20.42060347455044</v>
      </c>
      <c r="H159" s="21" t="s">
        <v>82</v>
      </c>
      <c r="I159" s="2">
        <v>144.41</v>
      </c>
      <c r="J159" s="22">
        <f>G159*I159</f>
        <v>2948.9393477598287</v>
      </c>
      <c r="K159" s="20"/>
    </row>
    <row r="160" spans="1:11" s="10" customFormat="1" x14ac:dyDescent="0.25">
      <c r="A160" s="24"/>
      <c r="B160" s="25" t="s">
        <v>32</v>
      </c>
      <c r="C160" s="26"/>
      <c r="D160" s="27"/>
      <c r="E160" s="27"/>
      <c r="F160" s="27"/>
      <c r="G160" s="27"/>
      <c r="H160" s="26"/>
      <c r="I160" s="26"/>
      <c r="J160" s="22">
        <f>0.13*G159*91.21</f>
        <v>242.1332215787869</v>
      </c>
      <c r="K160" s="26"/>
    </row>
    <row r="161" spans="1:11" s="10" customFormat="1" x14ac:dyDescent="0.25">
      <c r="A161" s="24"/>
      <c r="B161" s="25" t="s">
        <v>31</v>
      </c>
      <c r="C161" s="26"/>
      <c r="D161" s="27"/>
      <c r="E161" s="27"/>
      <c r="F161" s="27"/>
      <c r="G161" s="27"/>
      <c r="H161" s="26"/>
      <c r="I161" s="26"/>
      <c r="J161" s="22">
        <f>0.13*G159*12.71</f>
        <v>33.740963120999695</v>
      </c>
      <c r="K161" s="26"/>
    </row>
    <row r="162" spans="1:11" s="10" customFormat="1" x14ac:dyDescent="0.25">
      <c r="A162" s="24"/>
      <c r="B162" s="25" t="s">
        <v>123</v>
      </c>
      <c r="C162" s="26"/>
      <c r="D162" s="27"/>
      <c r="E162" s="27"/>
      <c r="F162" s="27"/>
      <c r="G162" s="27"/>
      <c r="H162" s="26"/>
      <c r="I162" s="26"/>
      <c r="J162" s="22">
        <f>0.13*G159*0.02</f>
        <v>5.3093569033831146E-2</v>
      </c>
      <c r="K162" s="26"/>
    </row>
    <row r="163" spans="1:11" s="10" customFormat="1" x14ac:dyDescent="0.25">
      <c r="A163" s="24"/>
      <c r="B163" s="25"/>
      <c r="C163" s="26"/>
      <c r="D163" s="27"/>
      <c r="E163" s="27"/>
      <c r="F163" s="27"/>
      <c r="G163" s="27"/>
      <c r="H163" s="26"/>
      <c r="I163" s="26"/>
      <c r="J163" s="22"/>
      <c r="K163" s="26"/>
    </row>
    <row r="164" spans="1:11" s="10" customFormat="1" ht="45" x14ac:dyDescent="0.25">
      <c r="A164" s="24">
        <v>13</v>
      </c>
      <c r="B164" s="30" t="s">
        <v>96</v>
      </c>
      <c r="C164" s="26"/>
      <c r="D164" s="27"/>
      <c r="E164" s="27"/>
      <c r="F164" s="27"/>
      <c r="G164" s="27"/>
      <c r="H164" s="26"/>
      <c r="I164" s="26"/>
      <c r="J164" s="22"/>
      <c r="K164" s="26"/>
    </row>
    <row r="165" spans="1:11" x14ac:dyDescent="0.25">
      <c r="A165" s="15"/>
      <c r="B165" s="16" t="s">
        <v>97</v>
      </c>
      <c r="C165" s="45">
        <v>1</v>
      </c>
      <c r="D165" s="3">
        <f>D116</f>
        <v>1.5</v>
      </c>
      <c r="E165" s="3"/>
      <c r="F165" s="3">
        <f>F116</f>
        <v>1.0667479427003961</v>
      </c>
      <c r="G165" s="3">
        <f>PRODUCT(C165:F165)</f>
        <v>1.600121914050594</v>
      </c>
      <c r="H165" s="15"/>
      <c r="I165" s="15"/>
      <c r="J165" s="15"/>
      <c r="K165" s="15"/>
    </row>
    <row r="166" spans="1:11" x14ac:dyDescent="0.25">
      <c r="A166" s="15"/>
      <c r="B166" s="16" t="s">
        <v>98</v>
      </c>
      <c r="C166" s="45">
        <v>2</v>
      </c>
      <c r="D166" s="3">
        <f>D117</f>
        <v>1.0667479427003961</v>
      </c>
      <c r="E166" s="3"/>
      <c r="F166" s="3">
        <f>F117</f>
        <v>1.0667479427003961</v>
      </c>
      <c r="G166" s="3">
        <f>PRODUCT(C166:F166)</f>
        <v>2.2759023465110548</v>
      </c>
      <c r="H166" s="15"/>
      <c r="I166" s="15"/>
      <c r="J166" s="15"/>
      <c r="K166" s="15"/>
    </row>
    <row r="167" spans="1:11" s="10" customFormat="1" ht="15" customHeight="1" x14ac:dyDescent="0.25">
      <c r="A167" s="17"/>
      <c r="B167" s="18" t="s">
        <v>16</v>
      </c>
      <c r="C167" s="19"/>
      <c r="D167" s="1"/>
      <c r="E167" s="20"/>
      <c r="F167" s="20"/>
      <c r="G167" s="2">
        <f>SUM(G165:G166)</f>
        <v>3.8760242605616488</v>
      </c>
      <c r="H167" s="21" t="s">
        <v>34</v>
      </c>
      <c r="I167" s="2">
        <v>37363.64</v>
      </c>
      <c r="J167" s="22">
        <f>G167*I167</f>
        <v>144822.37510289164</v>
      </c>
      <c r="K167" s="20"/>
    </row>
    <row r="168" spans="1:11" s="10" customFormat="1" x14ac:dyDescent="0.25">
      <c r="A168" s="24"/>
      <c r="B168" s="25" t="s">
        <v>99</v>
      </c>
      <c r="C168" s="26"/>
      <c r="D168" s="27"/>
      <c r="E168" s="27"/>
      <c r="F168" s="27"/>
      <c r="G168" s="27"/>
      <c r="H168" s="26"/>
      <c r="I168" s="26"/>
      <c r="J168" s="22">
        <f>0.13*G167*7910.91/0.92</f>
        <v>4332.7981313104001</v>
      </c>
      <c r="K168" s="26"/>
    </row>
    <row r="169" spans="1:11" s="10" customFormat="1" x14ac:dyDescent="0.25">
      <c r="A169" s="24"/>
      <c r="B169" s="25"/>
      <c r="C169" s="26"/>
      <c r="D169" s="27"/>
      <c r="E169" s="27"/>
      <c r="F169" s="27"/>
      <c r="G169" s="27"/>
      <c r="H169" s="26"/>
      <c r="I169" s="26"/>
      <c r="J169" s="22"/>
      <c r="K169" s="26"/>
    </row>
    <row r="170" spans="1:11" s="10" customFormat="1" ht="30" x14ac:dyDescent="0.25">
      <c r="A170" s="24">
        <v>14</v>
      </c>
      <c r="B170" s="50" t="s">
        <v>110</v>
      </c>
      <c r="C170" s="26"/>
      <c r="D170" s="26"/>
      <c r="E170" s="26"/>
      <c r="F170" s="26"/>
      <c r="G170" s="26"/>
      <c r="H170" s="26"/>
      <c r="I170" s="26"/>
      <c r="J170" s="26"/>
      <c r="K170" s="26"/>
    </row>
    <row r="171" spans="1:11" s="10" customFormat="1" x14ac:dyDescent="0.25">
      <c r="A171" s="24"/>
      <c r="B171" s="25" t="s">
        <v>111</v>
      </c>
      <c r="C171" s="26">
        <v>1</v>
      </c>
      <c r="D171" s="27">
        <f>Q10</f>
        <v>1.2</v>
      </c>
      <c r="E171" s="26"/>
      <c r="F171" s="26"/>
      <c r="G171" s="27">
        <f t="shared" ref="G171" si="19">PRODUCT(C171:F171)</f>
        <v>1.2</v>
      </c>
      <c r="H171" s="26"/>
      <c r="I171" s="26"/>
      <c r="J171" s="22"/>
      <c r="K171" s="26"/>
    </row>
    <row r="172" spans="1:11" s="44" customFormat="1" x14ac:dyDescent="0.25">
      <c r="A172" s="17"/>
      <c r="B172" s="55" t="s">
        <v>112</v>
      </c>
      <c r="C172" s="19"/>
      <c r="D172" s="1"/>
      <c r="E172" s="20"/>
      <c r="F172" s="20"/>
      <c r="G172" s="56">
        <f>SUM(G171:G171)</f>
        <v>1.2</v>
      </c>
      <c r="H172" s="21" t="s">
        <v>82</v>
      </c>
      <c r="I172" s="2">
        <v>248</v>
      </c>
      <c r="J172" s="56">
        <f>G172*I172</f>
        <v>297.59999999999997</v>
      </c>
      <c r="K172" s="20"/>
    </row>
    <row r="173" spans="1:11" s="10" customFormat="1" x14ac:dyDescent="0.25">
      <c r="A173" s="24"/>
      <c r="B173" s="25" t="s">
        <v>113</v>
      </c>
      <c r="C173" s="26"/>
      <c r="D173" s="26"/>
      <c r="E173" s="26"/>
      <c r="F173" s="26"/>
      <c r="G173" s="26"/>
      <c r="H173" s="26"/>
      <c r="I173" s="26"/>
      <c r="J173" s="22">
        <f>0.13*J172</f>
        <v>38.687999999999995</v>
      </c>
      <c r="K173" s="26"/>
    </row>
    <row r="174" spans="1:11" s="10" customFormat="1" x14ac:dyDescent="0.25">
      <c r="A174" s="24"/>
      <c r="B174" s="50"/>
      <c r="C174" s="26"/>
      <c r="D174" s="26"/>
      <c r="E174" s="26"/>
      <c r="F174" s="26"/>
      <c r="G174" s="26"/>
      <c r="H174" s="26"/>
      <c r="I174" s="26"/>
      <c r="J174" s="26"/>
      <c r="K174" s="26"/>
    </row>
    <row r="175" spans="1:11" ht="45" x14ac:dyDescent="0.25">
      <c r="A175" s="13">
        <v>7</v>
      </c>
      <c r="B175" s="28" t="s">
        <v>125</v>
      </c>
      <c r="C175" s="59" t="s">
        <v>7</v>
      </c>
      <c r="D175" s="59" t="s">
        <v>27</v>
      </c>
      <c r="E175" s="59" t="s">
        <v>126</v>
      </c>
      <c r="F175" s="59" t="s">
        <v>127</v>
      </c>
      <c r="G175" s="15"/>
      <c r="H175" s="15"/>
      <c r="I175" s="15"/>
      <c r="J175" s="15"/>
      <c r="K175" s="15"/>
    </row>
    <row r="176" spans="1:11" ht="30" x14ac:dyDescent="0.25">
      <c r="A176" s="13"/>
      <c r="B176" s="60" t="s">
        <v>131</v>
      </c>
      <c r="C176" s="45">
        <f>8+6+6+4</f>
        <v>24</v>
      </c>
      <c r="D176" s="3">
        <f>0.9+0.23</f>
        <v>1.1300000000000001</v>
      </c>
      <c r="E176" s="3">
        <v>3.54</v>
      </c>
      <c r="F176" s="3">
        <f>PRODUCT(C176:E176)</f>
        <v>96.004800000000017</v>
      </c>
      <c r="G176" s="3">
        <f>F176</f>
        <v>96.004800000000017</v>
      </c>
      <c r="H176" s="15"/>
      <c r="I176" s="15"/>
      <c r="J176" s="15"/>
      <c r="K176" s="15"/>
    </row>
    <row r="177" spans="1:11" ht="30" x14ac:dyDescent="0.25">
      <c r="A177" s="13"/>
      <c r="B177" s="60" t="s">
        <v>132</v>
      </c>
      <c r="C177" s="45">
        <v>1</v>
      </c>
      <c r="D177" s="3">
        <f>(21+18+18+16-0.25*4)/3.281</f>
        <v>21.94452910697958</v>
      </c>
      <c r="E177" s="3">
        <v>2.93</v>
      </c>
      <c r="F177" s="3">
        <f>PRODUCT(C177:E177)</f>
        <v>64.297470283450167</v>
      </c>
      <c r="G177" s="3">
        <f>F177</f>
        <v>64.297470283450167</v>
      </c>
      <c r="H177" s="15"/>
      <c r="I177" s="15"/>
      <c r="J177" s="15"/>
      <c r="K177" s="15"/>
    </row>
    <row r="178" spans="1:11" s="10" customFormat="1" ht="15" customHeight="1" x14ac:dyDescent="0.25">
      <c r="A178" s="17"/>
      <c r="B178" s="18" t="s">
        <v>16</v>
      </c>
      <c r="C178" s="19"/>
      <c r="D178" s="1"/>
      <c r="E178" s="20"/>
      <c r="F178" s="20"/>
      <c r="G178" s="2">
        <f>SUM(G176:G177)</f>
        <v>160.30227028345018</v>
      </c>
      <c r="H178" s="21" t="s">
        <v>128</v>
      </c>
      <c r="I178" s="2">
        <v>182.51</v>
      </c>
      <c r="J178" s="22">
        <f>G178*I178</f>
        <v>29256.767349432492</v>
      </c>
      <c r="K178" s="20"/>
    </row>
    <row r="179" spans="1:11" s="44" customFormat="1" ht="30" x14ac:dyDescent="0.25">
      <c r="A179" s="24"/>
      <c r="B179" s="61" t="s">
        <v>129</v>
      </c>
      <c r="C179" s="38"/>
      <c r="D179" s="39"/>
      <c r="E179" s="39"/>
      <c r="F179" s="39"/>
      <c r="G179" s="39"/>
      <c r="H179" s="38"/>
      <c r="I179" s="38"/>
      <c r="J179" s="21">
        <f>0.13*G178*1761.42/18.94</f>
        <v>1938.0544477269127</v>
      </c>
      <c r="K179" s="38"/>
    </row>
    <row r="180" spans="1:11" s="10" customFormat="1" x14ac:dyDescent="0.25">
      <c r="A180" s="24"/>
      <c r="B180" s="25" t="s">
        <v>130</v>
      </c>
      <c r="C180" s="26"/>
      <c r="D180" s="27"/>
      <c r="E180" s="27"/>
      <c r="F180" s="27"/>
      <c r="G180" s="27"/>
      <c r="H180" s="26"/>
      <c r="I180" s="26"/>
      <c r="J180" s="22">
        <f>0.13*G178*110/18.94</f>
        <v>121.03075317071475</v>
      </c>
      <c r="K180" s="26"/>
    </row>
    <row r="181" spans="1:11" s="10" customFormat="1" x14ac:dyDescent="0.25">
      <c r="A181" s="24"/>
      <c r="B181" s="25"/>
      <c r="C181" s="26"/>
      <c r="D181" s="27"/>
      <c r="E181" s="27"/>
      <c r="F181" s="27"/>
      <c r="G181" s="27"/>
      <c r="H181" s="26"/>
      <c r="I181" s="26"/>
      <c r="J181" s="22"/>
      <c r="K181" s="26"/>
    </row>
    <row r="182" spans="1:11" s="10" customFormat="1" ht="30" x14ac:dyDescent="0.25">
      <c r="A182" s="17">
        <v>14</v>
      </c>
      <c r="B182" s="30" t="s">
        <v>83</v>
      </c>
      <c r="C182" s="19">
        <v>1</v>
      </c>
      <c r="D182" s="1"/>
      <c r="E182" s="20"/>
      <c r="F182" s="20"/>
      <c r="G182" s="21">
        <f t="shared" ref="G182" si="20">PRODUCT(C182:F182)</f>
        <v>1</v>
      </c>
      <c r="H182" s="21" t="s">
        <v>30</v>
      </c>
      <c r="I182" s="2">
        <v>60000</v>
      </c>
      <c r="J182" s="21">
        <f>G182*I182</f>
        <v>60000</v>
      </c>
      <c r="K182" s="20"/>
    </row>
    <row r="183" spans="1:11" s="10" customFormat="1" x14ac:dyDescent="0.25">
      <c r="A183" s="17"/>
      <c r="B183" s="31"/>
      <c r="C183" s="19"/>
      <c r="D183" s="1"/>
      <c r="E183" s="20"/>
      <c r="F183" s="20"/>
      <c r="G183" s="2"/>
      <c r="H183" s="21"/>
      <c r="I183" s="2"/>
      <c r="J183" s="22"/>
      <c r="K183" s="20"/>
    </row>
    <row r="184" spans="1:11" s="10" customFormat="1" ht="15" customHeight="1" x14ac:dyDescent="0.25">
      <c r="A184" s="17">
        <v>15</v>
      </c>
      <c r="B184" s="30" t="s">
        <v>17</v>
      </c>
      <c r="C184" s="19">
        <v>1</v>
      </c>
      <c r="D184" s="1"/>
      <c r="E184" s="20"/>
      <c r="F184" s="20"/>
      <c r="G184" s="21">
        <f t="shared" ref="G184" si="21">PRODUCT(C184:F184)</f>
        <v>1</v>
      </c>
      <c r="H184" s="21" t="s">
        <v>18</v>
      </c>
      <c r="I184" s="2">
        <v>500</v>
      </c>
      <c r="J184" s="21">
        <f>G184*I184</f>
        <v>500</v>
      </c>
      <c r="K184" s="20"/>
    </row>
    <row r="185" spans="1:11" s="10" customFormat="1" x14ac:dyDescent="0.25">
      <c r="A185" s="17"/>
      <c r="B185" s="31"/>
      <c r="C185" s="19"/>
      <c r="D185" s="1"/>
      <c r="E185" s="20"/>
      <c r="F185" s="20"/>
      <c r="G185" s="2"/>
      <c r="H185" s="21"/>
      <c r="I185" s="2"/>
      <c r="J185" s="22"/>
      <c r="K185" s="20"/>
    </row>
    <row r="186" spans="1:11" s="10" customFormat="1" x14ac:dyDescent="0.25">
      <c r="A186" s="32"/>
      <c r="B186" s="33" t="s">
        <v>20</v>
      </c>
      <c r="C186" s="34"/>
      <c r="D186" s="35"/>
      <c r="E186" s="35"/>
      <c r="F186" s="35"/>
      <c r="G186" s="22"/>
      <c r="H186" s="22"/>
      <c r="I186" s="22"/>
      <c r="J186" s="22">
        <f>SUM(J19:J184)</f>
        <v>783062.29195295041</v>
      </c>
      <c r="K186" s="36"/>
    </row>
    <row r="187" spans="1:11" s="10" customFormat="1" x14ac:dyDescent="0.25"/>
    <row r="188" spans="1:11" s="44" customFormat="1" x14ac:dyDescent="0.25">
      <c r="A188" s="37"/>
      <c r="B188" s="38" t="s">
        <v>19</v>
      </c>
      <c r="C188" s="90">
        <f>J186</f>
        <v>783062.29195295041</v>
      </c>
      <c r="D188" s="91"/>
      <c r="E188" s="39">
        <v>100</v>
      </c>
      <c r="F188" s="37"/>
      <c r="G188" s="40"/>
      <c r="H188" s="37"/>
      <c r="I188" s="41"/>
      <c r="J188" s="42"/>
      <c r="K188" s="43"/>
    </row>
    <row r="189" spans="1:11" s="10" customFormat="1" x14ac:dyDescent="0.25">
      <c r="B189" s="38" t="s">
        <v>21</v>
      </c>
      <c r="C189" s="94">
        <v>700000</v>
      </c>
      <c r="D189" s="95"/>
      <c r="E189" s="39"/>
    </row>
    <row r="190" spans="1:11" s="10" customFormat="1" x14ac:dyDescent="0.25">
      <c r="B190" s="38" t="s">
        <v>22</v>
      </c>
      <c r="C190" s="94">
        <f>C189-C192-C193</f>
        <v>665000</v>
      </c>
      <c r="D190" s="95"/>
      <c r="E190" s="39">
        <f>C190/C188*100</f>
        <v>84.923001252109316</v>
      </c>
    </row>
    <row r="191" spans="1:11" s="10" customFormat="1" x14ac:dyDescent="0.25">
      <c r="B191" s="38" t="s">
        <v>26</v>
      </c>
      <c r="C191" s="96">
        <f>C188-C190</f>
        <v>118062.29195295041</v>
      </c>
      <c r="D191" s="96"/>
      <c r="E191" s="39">
        <f>100-E190</f>
        <v>15.076998747890684</v>
      </c>
    </row>
    <row r="192" spans="1:11" s="10" customFormat="1" x14ac:dyDescent="0.25">
      <c r="B192" s="38" t="s">
        <v>23</v>
      </c>
      <c r="C192" s="90">
        <f>C189*0.03</f>
        <v>21000</v>
      </c>
      <c r="D192" s="91"/>
      <c r="E192" s="39">
        <v>3</v>
      </c>
    </row>
    <row r="193" spans="2:5" s="10" customFormat="1" x14ac:dyDescent="0.25">
      <c r="B193" s="38" t="s">
        <v>24</v>
      </c>
      <c r="C193" s="90">
        <f>C189*0.02</f>
        <v>14000</v>
      </c>
      <c r="D193" s="91"/>
      <c r="E193" s="39">
        <v>2</v>
      </c>
    </row>
  </sheetData>
  <mergeCells count="15">
    <mergeCell ref="A6:F6"/>
    <mergeCell ref="H6:K6"/>
    <mergeCell ref="A1:K1"/>
    <mergeCell ref="A2:K2"/>
    <mergeCell ref="A3:K3"/>
    <mergeCell ref="A4:K4"/>
    <mergeCell ref="A5:K5"/>
    <mergeCell ref="C192:D192"/>
    <mergeCell ref="C193:D193"/>
    <mergeCell ref="A7:F7"/>
    <mergeCell ref="H7:K7"/>
    <mergeCell ref="C188:D188"/>
    <mergeCell ref="C189:D189"/>
    <mergeCell ref="C190:D190"/>
    <mergeCell ref="C191:D191"/>
  </mergeCells>
  <pageMargins left="0.7" right="0.7" top="0.75" bottom="0.75" header="0.3" footer="0.3"/>
  <pageSetup scale="80" orientation="portrait" r:id="rId1"/>
  <headerFooter>
    <oddFooter>&amp;LPrepared By:&amp;CChecked By:&amp;RApproved By: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99"/>
  <sheetViews>
    <sheetView topLeftCell="A190" zoomScale="80" zoomScaleNormal="80" workbookViewId="0">
      <selection activeCell="G192" sqref="G192"/>
    </sheetView>
  </sheetViews>
  <sheetFormatPr defaultColWidth="9.140625" defaultRowHeight="15" x14ac:dyDescent="0.25"/>
  <cols>
    <col min="1" max="1" width="4.7109375" customWidth="1"/>
    <col min="2" max="2" width="30.85546875" customWidth="1"/>
    <col min="3" max="3" width="5.5703125" bestFit="1" customWidth="1"/>
    <col min="4" max="4" width="8.42578125" customWidth="1"/>
    <col min="5" max="5" width="8.5703125" customWidth="1"/>
    <col min="6" max="6" width="7.28515625" customWidth="1"/>
    <col min="8" max="8" width="5" bestFit="1" customWidth="1"/>
    <col min="9" max="10" width="10.7109375" bestFit="1" customWidth="1"/>
  </cols>
  <sheetData>
    <row r="1" spans="1:25" x14ac:dyDescent="0.25">
      <c r="A1" s="86" t="s">
        <v>0</v>
      </c>
      <c r="B1" s="86"/>
      <c r="C1" s="86"/>
      <c r="D1" s="86"/>
      <c r="E1" s="86"/>
      <c r="F1" s="86"/>
      <c r="G1" s="86"/>
      <c r="H1" s="86"/>
      <c r="I1" s="86"/>
      <c r="J1" s="86"/>
      <c r="K1" s="86"/>
    </row>
    <row r="2" spans="1:25" ht="22.5" x14ac:dyDescent="0.25">
      <c r="A2" s="87" t="s">
        <v>1</v>
      </c>
      <c r="B2" s="87"/>
      <c r="C2" s="87"/>
      <c r="D2" s="87"/>
      <c r="E2" s="87"/>
      <c r="F2" s="87"/>
      <c r="G2" s="87"/>
      <c r="H2" s="87"/>
      <c r="I2" s="87"/>
      <c r="J2" s="87"/>
      <c r="K2" s="87"/>
    </row>
    <row r="3" spans="1:25" x14ac:dyDescent="0.25">
      <c r="A3" s="88" t="s">
        <v>2</v>
      </c>
      <c r="B3" s="88"/>
      <c r="C3" s="88"/>
      <c r="D3" s="88"/>
      <c r="E3" s="88"/>
      <c r="F3" s="88"/>
      <c r="G3" s="88"/>
      <c r="H3" s="88"/>
      <c r="I3" s="88"/>
      <c r="J3" s="88"/>
      <c r="K3" s="88"/>
    </row>
    <row r="4" spans="1:25" x14ac:dyDescent="0.25">
      <c r="A4" s="88" t="s">
        <v>3</v>
      </c>
      <c r="B4" s="88"/>
      <c r="C4" s="88"/>
      <c r="D4" s="88"/>
      <c r="E4" s="88"/>
      <c r="F4" s="88"/>
      <c r="G4" s="88"/>
      <c r="H4" s="88"/>
      <c r="I4" s="88"/>
      <c r="J4" s="88"/>
      <c r="K4" s="88"/>
    </row>
    <row r="5" spans="1:25" ht="18.75" x14ac:dyDescent="0.3">
      <c r="A5" s="89" t="s">
        <v>4</v>
      </c>
      <c r="B5" s="89"/>
      <c r="C5" s="89"/>
      <c r="D5" s="89"/>
      <c r="E5" s="89"/>
      <c r="F5" s="89"/>
      <c r="G5" s="89"/>
      <c r="H5" s="89"/>
      <c r="I5" s="89"/>
      <c r="J5" s="89"/>
      <c r="K5" s="89"/>
    </row>
    <row r="6" spans="1:25" ht="15.75" x14ac:dyDescent="0.25">
      <c r="A6" s="84" t="s">
        <v>94</v>
      </c>
      <c r="B6" s="84"/>
      <c r="C6" s="84"/>
      <c r="D6" s="84"/>
      <c r="E6" s="84"/>
      <c r="F6" s="84"/>
      <c r="G6" s="4"/>
      <c r="H6" s="85" t="s">
        <v>25</v>
      </c>
      <c r="I6" s="85"/>
      <c r="J6" s="85"/>
      <c r="K6" s="85"/>
    </row>
    <row r="7" spans="1:25" ht="15.75" x14ac:dyDescent="0.25">
      <c r="A7" s="92" t="s">
        <v>29</v>
      </c>
      <c r="B7" s="92"/>
      <c r="C7" s="92"/>
      <c r="D7" s="92"/>
      <c r="E7" s="92"/>
      <c r="F7" s="92"/>
      <c r="G7" s="5"/>
      <c r="H7" s="93" t="s">
        <v>62</v>
      </c>
      <c r="I7" s="93"/>
      <c r="J7" s="93"/>
      <c r="K7" s="93"/>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49">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0.42150640397118022</v>
      </c>
      <c r="H11" s="21" t="s">
        <v>28</v>
      </c>
      <c r="I11" s="2">
        <v>674.12</v>
      </c>
      <c r="J11" s="22">
        <f>G11*I11</f>
        <v>284.14589704505204</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49">
        <f>C10</f>
        <v>1</v>
      </c>
      <c r="D14" s="27">
        <f>D10</f>
        <v>1.6763181956720512</v>
      </c>
      <c r="E14" s="27">
        <f>E10</f>
        <v>1.6763181956720512</v>
      </c>
      <c r="F14" s="26"/>
      <c r="G14" s="27">
        <f>PRODUCT(C14:F14)</f>
        <v>2.8100426931412015</v>
      </c>
      <c r="H14" s="26"/>
      <c r="I14" s="26"/>
      <c r="J14" s="26"/>
      <c r="K14" s="26"/>
    </row>
    <row r="15" spans="1:25" s="10" customFormat="1" ht="13.9" customHeight="1" x14ac:dyDescent="0.25">
      <c r="A15" s="17"/>
      <c r="B15" s="18" t="s">
        <v>16</v>
      </c>
      <c r="C15" s="19"/>
      <c r="D15" s="1"/>
      <c r="E15" s="20"/>
      <c r="F15" s="20"/>
      <c r="G15" s="2">
        <f>SUM(G14)</f>
        <v>2.8100426931412015</v>
      </c>
      <c r="H15" s="21" t="s">
        <v>34</v>
      </c>
      <c r="I15" s="2">
        <v>1017.47</v>
      </c>
      <c r="J15" s="22">
        <f>G15*I15</f>
        <v>2859.1341389903782</v>
      </c>
      <c r="K15" s="20"/>
    </row>
    <row r="16" spans="1:25" s="10" customFormat="1" x14ac:dyDescent="0.25">
      <c r="A16" s="24"/>
      <c r="B16" s="25" t="s">
        <v>53</v>
      </c>
      <c r="C16" s="26"/>
      <c r="D16" s="26"/>
      <c r="E16" s="26"/>
      <c r="F16" s="26"/>
      <c r="G16" s="26"/>
      <c r="H16" s="26"/>
      <c r="I16" s="26"/>
      <c r="J16" s="22">
        <f>0.13*G15*6360.9/10</f>
        <v>232.36720736842426</v>
      </c>
      <c r="K16" s="26"/>
    </row>
    <row r="17" spans="1:11" s="10" customFormat="1" x14ac:dyDescent="0.25">
      <c r="A17" s="24"/>
      <c r="B17" s="25" t="s">
        <v>31</v>
      </c>
      <c r="C17" s="26"/>
      <c r="D17" s="26"/>
      <c r="E17" s="26"/>
      <c r="F17" s="26"/>
      <c r="G17" s="26"/>
      <c r="H17" s="26"/>
      <c r="I17" s="26"/>
      <c r="J17" s="22">
        <f>0.13*G15*2256.3/10</f>
        <v>82.423891270948417</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45">
        <f>2</f>
        <v>2</v>
      </c>
      <c r="D20" s="3">
        <f>15/3.281</f>
        <v>4.5717768972874122</v>
      </c>
      <c r="E20" s="3">
        <v>0.35</v>
      </c>
      <c r="F20" s="3">
        <v>0.1</v>
      </c>
      <c r="G20" s="3">
        <f>PRODUCT(C20:F20)</f>
        <v>0.32002438281011886</v>
      </c>
      <c r="H20" s="15"/>
      <c r="I20" s="15"/>
      <c r="J20" s="15"/>
      <c r="K20" s="15"/>
    </row>
    <row r="21" spans="1:11" x14ac:dyDescent="0.25">
      <c r="A21" s="15"/>
      <c r="B21" s="16"/>
      <c r="C21" s="45">
        <f>2</f>
        <v>2</v>
      </c>
      <c r="D21" s="3">
        <f>9.75/3.281</f>
        <v>2.9716549832368178</v>
      </c>
      <c r="E21" s="3">
        <v>0.35</v>
      </c>
      <c r="F21" s="3">
        <v>0.1</v>
      </c>
      <c r="G21" s="3">
        <f>PRODUCT(C21:F21)</f>
        <v>0.20801584882657723</v>
      </c>
      <c r="H21" s="15"/>
      <c r="I21" s="15"/>
      <c r="J21" s="15"/>
      <c r="K21" s="15"/>
    </row>
    <row r="22" spans="1:11" x14ac:dyDescent="0.25">
      <c r="A22" s="15"/>
      <c r="B22" s="16" t="str">
        <f>B14</f>
        <v>-for stand tap</v>
      </c>
      <c r="C22" s="62">
        <f t="shared" ref="C22:E22" si="0">C14</f>
        <v>1</v>
      </c>
      <c r="D22" s="57">
        <f t="shared" si="0"/>
        <v>1.6763181956720512</v>
      </c>
      <c r="E22" s="57">
        <f t="shared" si="0"/>
        <v>1.6763181956720512</v>
      </c>
      <c r="F22" s="57">
        <v>0.1</v>
      </c>
      <c r="G22" s="3">
        <f>PRODUCT(C22:F22)</f>
        <v>0.28100426931412015</v>
      </c>
      <c r="H22" s="15"/>
      <c r="I22" s="15"/>
      <c r="J22" s="15"/>
      <c r="K22" s="15"/>
    </row>
    <row r="23" spans="1:11" s="10" customFormat="1" ht="15" customHeight="1" x14ac:dyDescent="0.25">
      <c r="A23" s="17"/>
      <c r="B23" s="18" t="s">
        <v>16</v>
      </c>
      <c r="C23" s="19"/>
      <c r="D23" s="1"/>
      <c r="E23" s="20"/>
      <c r="F23" s="20"/>
      <c r="G23" s="2">
        <f>SUM(G20:G22)</f>
        <v>0.80904450095081626</v>
      </c>
      <c r="H23" s="21" t="s">
        <v>28</v>
      </c>
      <c r="I23" s="2">
        <v>12884.61</v>
      </c>
      <c r="J23" s="22">
        <f>G23*I23</f>
        <v>10424.222867395898</v>
      </c>
      <c r="K23" s="20"/>
    </row>
    <row r="24" spans="1:11" s="10" customFormat="1" x14ac:dyDescent="0.25">
      <c r="A24" s="24"/>
      <c r="B24" s="25" t="s">
        <v>32</v>
      </c>
      <c r="C24" s="26"/>
      <c r="D24" s="27"/>
      <c r="E24" s="27"/>
      <c r="F24" s="27"/>
      <c r="G24" s="27"/>
      <c r="H24" s="26"/>
      <c r="I24" s="26"/>
      <c r="J24" s="22">
        <f>0.13*G23*4169.92</f>
        <v>438.57460990262763</v>
      </c>
      <c r="K24" s="26"/>
    </row>
    <row r="25" spans="1:11" s="10" customFormat="1" x14ac:dyDescent="0.25">
      <c r="A25" s="24"/>
      <c r="B25" s="25" t="s">
        <v>33</v>
      </c>
      <c r="C25" s="26"/>
      <c r="D25" s="27"/>
      <c r="E25" s="27"/>
      <c r="F25" s="27"/>
      <c r="G25" s="27"/>
      <c r="H25" s="26"/>
      <c r="I25" s="26"/>
      <c r="J25" s="22">
        <f>0.13*G23*(1652.5+1106.96)</f>
        <v>290.22837201718613</v>
      </c>
      <c r="K25" s="26"/>
    </row>
    <row r="26" spans="1:11" s="10" customFormat="1" x14ac:dyDescent="0.25">
      <c r="A26" s="24"/>
      <c r="B26" s="25" t="s">
        <v>31</v>
      </c>
      <c r="C26" s="26"/>
      <c r="D26" s="27"/>
      <c r="E26" s="27"/>
      <c r="F26" s="27"/>
      <c r="G26" s="27"/>
      <c r="H26" s="26"/>
      <c r="I26" s="26"/>
      <c r="J26" s="22">
        <f>0.13*G23*1414.16</f>
        <v>148.73538829039884</v>
      </c>
      <c r="K26" s="26"/>
    </row>
    <row r="27" spans="1:11" x14ac:dyDescent="0.25">
      <c r="A27" s="15"/>
      <c r="B27" s="25" t="s">
        <v>35</v>
      </c>
      <c r="C27" s="15"/>
      <c r="D27" s="3"/>
      <c r="E27" s="3"/>
      <c r="F27" s="3"/>
      <c r="G27" s="3"/>
      <c r="H27" s="15"/>
      <c r="I27" s="15"/>
      <c r="J27" s="22">
        <f>0.13*G23*36.4</f>
        <v>3.8283985784992627</v>
      </c>
      <c r="K27" s="15"/>
    </row>
    <row r="28" spans="1:11" x14ac:dyDescent="0.25">
      <c r="A28" s="15"/>
      <c r="B28" s="25" t="s">
        <v>43</v>
      </c>
      <c r="C28" s="15"/>
      <c r="D28" s="3"/>
      <c r="E28" s="3"/>
      <c r="F28" s="3"/>
      <c r="G28" s="3"/>
      <c r="H28" s="15"/>
      <c r="I28" s="15"/>
      <c r="J28" s="22">
        <f>0.13*G23*392.92</f>
        <v>41.325669490767318</v>
      </c>
      <c r="K28" s="15"/>
    </row>
    <row r="29" spans="1:11" x14ac:dyDescent="0.25">
      <c r="A29" s="15"/>
      <c r="B29" s="25" t="s">
        <v>44</v>
      </c>
      <c r="C29" s="15"/>
      <c r="D29" s="3"/>
      <c r="E29" s="3"/>
      <c r="F29" s="3"/>
      <c r="G29" s="3"/>
      <c r="H29" s="15"/>
      <c r="I29" s="15"/>
      <c r="J29" s="22">
        <f>0.13*G23*14.15</f>
        <v>1.4882373594990266</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45">
        <v>2</v>
      </c>
      <c r="D32" s="3">
        <f>15/3.281</f>
        <v>4.5717768972874122</v>
      </c>
      <c r="E32" s="3">
        <v>0.23</v>
      </c>
      <c r="F32" s="3">
        <v>0.35</v>
      </c>
      <c r="G32" s="3">
        <f t="shared" ref="G32:G38" si="1">PRODUCT(C32:F32)</f>
        <v>0.73605608046327342</v>
      </c>
      <c r="H32" s="15"/>
      <c r="I32" s="15"/>
      <c r="J32" s="15"/>
      <c r="K32" s="15"/>
    </row>
    <row r="33" spans="1:11" x14ac:dyDescent="0.25">
      <c r="A33" s="15"/>
      <c r="B33" s="16"/>
      <c r="C33" s="45">
        <f>2*2</f>
        <v>4</v>
      </c>
      <c r="D33" s="3">
        <f>9.75/3.281</f>
        <v>2.9716549832368178</v>
      </c>
      <c r="E33" s="3">
        <v>0.23</v>
      </c>
      <c r="F33" s="3">
        <v>0.35</v>
      </c>
      <c r="G33" s="3">
        <f t="shared" si="1"/>
        <v>0.95687290460225527</v>
      </c>
      <c r="H33" s="15"/>
      <c r="I33" s="15"/>
      <c r="J33" s="15"/>
      <c r="K33" s="15"/>
    </row>
    <row r="34" spans="1:11" x14ac:dyDescent="0.25">
      <c r="A34" s="15"/>
      <c r="B34" s="16" t="s">
        <v>90</v>
      </c>
      <c r="C34" s="45">
        <v>2</v>
      </c>
      <c r="D34" s="3">
        <f>5/3.281</f>
        <v>1.5239256324291375</v>
      </c>
      <c r="E34" s="3">
        <v>0.23</v>
      </c>
      <c r="F34" s="3">
        <v>0.23</v>
      </c>
      <c r="G34" s="3">
        <f t="shared" si="1"/>
        <v>0.16123133191100275</v>
      </c>
      <c r="H34" s="15"/>
      <c r="I34" s="15"/>
      <c r="J34" s="15"/>
      <c r="K34" s="15"/>
    </row>
    <row r="35" spans="1:11" x14ac:dyDescent="0.25">
      <c r="A35" s="15"/>
      <c r="B35" s="16"/>
      <c r="C35" s="45">
        <v>2</v>
      </c>
      <c r="D35" s="3">
        <f>3.75/3.281</f>
        <v>1.1429442243218531</v>
      </c>
      <c r="E35" s="3">
        <v>0.23</v>
      </c>
      <c r="F35" s="3">
        <v>0.23</v>
      </c>
      <c r="G35" s="3">
        <f t="shared" si="1"/>
        <v>0.12092349893325208</v>
      </c>
      <c r="H35" s="15"/>
      <c r="I35" s="15"/>
      <c r="J35" s="15"/>
      <c r="K35" s="15"/>
    </row>
    <row r="36" spans="1:11" x14ac:dyDescent="0.25">
      <c r="A36" s="15"/>
      <c r="B36" s="16" t="s">
        <v>91</v>
      </c>
      <c r="C36" s="45">
        <v>2</v>
      </c>
      <c r="D36" s="3">
        <f>((18.25)/2)/3.281</f>
        <v>2.7811642791831757</v>
      </c>
      <c r="E36" s="3">
        <f>10.5/3.281</f>
        <v>3.2002438281011885</v>
      </c>
      <c r="F36" s="3">
        <v>7.4999999999999997E-2</v>
      </c>
      <c r="G36" s="3">
        <f t="shared" si="1"/>
        <v>1.335060572908717</v>
      </c>
      <c r="H36" s="15"/>
      <c r="I36" s="15"/>
      <c r="J36" s="15"/>
      <c r="K36" s="15"/>
    </row>
    <row r="37" spans="1:11" x14ac:dyDescent="0.25">
      <c r="A37" s="15"/>
      <c r="B37" s="16"/>
      <c r="C37" s="45">
        <v>2</v>
      </c>
      <c r="D37" s="3">
        <f>((15.25)/2)/3.281</f>
        <v>2.3239865894544347</v>
      </c>
      <c r="E37" s="3">
        <f>9.5/3.281</f>
        <v>2.895458701615361</v>
      </c>
      <c r="F37" s="3">
        <v>7.4999999999999997E-2</v>
      </c>
      <c r="G37" s="3">
        <f t="shared" si="1"/>
        <v>1.0093510789309872</v>
      </c>
      <c r="H37" s="15"/>
      <c r="I37" s="15"/>
      <c r="J37" s="15"/>
      <c r="K37" s="15"/>
    </row>
    <row r="38" spans="1:11" x14ac:dyDescent="0.25">
      <c r="A38" s="15"/>
      <c r="B38" s="16" t="s">
        <v>93</v>
      </c>
      <c r="C38" s="45">
        <v>4</v>
      </c>
      <c r="D38" s="3">
        <v>0.23</v>
      </c>
      <c r="E38" s="3">
        <v>0.23</v>
      </c>
      <c r="F38" s="3">
        <f>(2.667/3.281)</f>
        <v>0.81286193233770188</v>
      </c>
      <c r="G38" s="3">
        <f t="shared" si="1"/>
        <v>0.17200158488265774</v>
      </c>
      <c r="H38" s="15"/>
      <c r="I38" s="15"/>
      <c r="J38" s="15"/>
      <c r="K38" s="15"/>
    </row>
    <row r="39" spans="1:11" s="10" customFormat="1" ht="15" customHeight="1" x14ac:dyDescent="0.25">
      <c r="A39" s="17"/>
      <c r="B39" s="18" t="s">
        <v>16</v>
      </c>
      <c r="C39" s="19"/>
      <c r="D39" s="1"/>
      <c r="E39" s="20"/>
      <c r="F39" s="20"/>
      <c r="G39" s="2">
        <f>SUM(G32:G38)</f>
        <v>4.4914970526321456</v>
      </c>
      <c r="H39" s="21" t="s">
        <v>28</v>
      </c>
      <c r="I39" s="2">
        <v>13957.29</v>
      </c>
      <c r="J39" s="22">
        <f>G39*I39</f>
        <v>62689.126897732123</v>
      </c>
      <c r="K39" s="20"/>
    </row>
    <row r="40" spans="1:11" s="10" customFormat="1" x14ac:dyDescent="0.25">
      <c r="A40" s="24"/>
      <c r="B40" s="25" t="s">
        <v>32</v>
      </c>
      <c r="C40" s="26"/>
      <c r="D40" s="27"/>
      <c r="E40" s="27"/>
      <c r="F40" s="27"/>
      <c r="G40" s="27"/>
      <c r="H40" s="26"/>
      <c r="I40" s="26"/>
      <c r="J40" s="22">
        <f>0.13*G39*5212.4</f>
        <v>3043.492300828173</v>
      </c>
      <c r="K40" s="26"/>
    </row>
    <row r="41" spans="1:11" s="10" customFormat="1" x14ac:dyDescent="0.25">
      <c r="A41" s="24"/>
      <c r="B41" s="25" t="s">
        <v>33</v>
      </c>
      <c r="C41" s="26"/>
      <c r="D41" s="27"/>
      <c r="E41" s="27"/>
      <c r="F41" s="27"/>
      <c r="G41" s="27"/>
      <c r="H41" s="26"/>
      <c r="I41" s="26"/>
      <c r="J41" s="22">
        <f>0.13*G39*(1912.03+921.59)</f>
        <v>1654.5354641763349</v>
      </c>
      <c r="K41" s="26"/>
    </row>
    <row r="42" spans="1:11" s="10" customFormat="1" x14ac:dyDescent="0.25">
      <c r="A42" s="24"/>
      <c r="B42" s="25" t="s">
        <v>31</v>
      </c>
      <c r="C42" s="26"/>
      <c r="D42" s="27"/>
      <c r="E42" s="27"/>
      <c r="F42" s="27"/>
      <c r="G42" s="27"/>
      <c r="H42" s="26"/>
      <c r="I42" s="26"/>
      <c r="J42" s="22">
        <f>0.13*G39*1350.6</f>
        <v>788.60806950704682</v>
      </c>
      <c r="K42" s="26"/>
    </row>
    <row r="43" spans="1:11" x14ac:dyDescent="0.25">
      <c r="A43" s="15"/>
      <c r="B43" s="25" t="s">
        <v>35</v>
      </c>
      <c r="C43" s="15"/>
      <c r="D43" s="3"/>
      <c r="E43" s="3"/>
      <c r="F43" s="3"/>
      <c r="G43" s="3"/>
      <c r="H43" s="15"/>
      <c r="I43" s="15"/>
      <c r="J43" s="22">
        <f>0.13*G39*56</f>
        <v>32.698098543162018</v>
      </c>
      <c r="K43" s="15"/>
    </row>
    <row r="44" spans="1:11" s="10" customFormat="1" x14ac:dyDescent="0.25">
      <c r="A44" s="24"/>
      <c r="B44" s="25" t="s">
        <v>43</v>
      </c>
      <c r="C44" s="26"/>
      <c r="D44" s="27"/>
      <c r="E44" s="27"/>
      <c r="F44" s="27"/>
      <c r="G44" s="27"/>
      <c r="H44" s="26"/>
      <c r="I44" s="26"/>
      <c r="J44" s="22">
        <f>0.13*G39*392.92</f>
        <v>229.42387284962894</v>
      </c>
      <c r="K44" s="26"/>
    </row>
    <row r="45" spans="1:11" x14ac:dyDescent="0.25">
      <c r="A45" s="15"/>
      <c r="B45" s="25" t="s">
        <v>44</v>
      </c>
      <c r="C45" s="15"/>
      <c r="D45" s="3"/>
      <c r="E45" s="3"/>
      <c r="F45" s="3"/>
      <c r="G45" s="3"/>
      <c r="H45" s="15"/>
      <c r="I45" s="15"/>
      <c r="J45" s="22">
        <f>0.13*G39*14.15</f>
        <v>8.2621088283168316</v>
      </c>
      <c r="K45" s="15"/>
    </row>
    <row r="46" spans="1:11" x14ac:dyDescent="0.25">
      <c r="A46" s="15"/>
      <c r="B46" s="15"/>
      <c r="C46" s="15"/>
      <c r="D46" s="3"/>
      <c r="E46" s="3"/>
      <c r="F46" s="3"/>
      <c r="G46" s="3"/>
      <c r="H46" s="15"/>
      <c r="I46" s="15"/>
      <c r="J46" s="15"/>
      <c r="K46" s="15"/>
    </row>
    <row r="47" spans="1:11" s="14" customFormat="1" ht="30" x14ac:dyDescent="0.2">
      <c r="A47" s="11">
        <v>5</v>
      </c>
      <c r="B47" s="12" t="s">
        <v>45</v>
      </c>
      <c r="C47" s="13"/>
      <c r="D47" s="23"/>
      <c r="E47" s="23"/>
      <c r="F47" s="23"/>
      <c r="G47" s="23"/>
      <c r="H47" s="13"/>
      <c r="I47" s="13"/>
      <c r="J47" s="13"/>
      <c r="K47" s="13"/>
    </row>
    <row r="48" spans="1:11" x14ac:dyDescent="0.25">
      <c r="A48" s="15"/>
      <c r="B48" s="16" t="str">
        <f>B32</f>
        <v>-beam</v>
      </c>
      <c r="C48" s="45">
        <f>C32</f>
        <v>2</v>
      </c>
      <c r="D48" s="3">
        <f>D32</f>
        <v>4.5717768972874122</v>
      </c>
      <c r="E48" s="3"/>
      <c r="F48" s="3">
        <f>0.35*2</f>
        <v>0.7</v>
      </c>
      <c r="G48" s="3">
        <f t="shared" ref="G48:G54" si="2">PRODUCT(C48:F48)</f>
        <v>6.4004876562023769</v>
      </c>
      <c r="H48" s="15"/>
      <c r="I48" s="15"/>
      <c r="J48" s="15"/>
      <c r="K48" s="15"/>
    </row>
    <row r="49" spans="1:11" x14ac:dyDescent="0.25">
      <c r="A49" s="15"/>
      <c r="B49" s="16"/>
      <c r="C49" s="45">
        <f>C33</f>
        <v>4</v>
      </c>
      <c r="D49" s="3">
        <f>D33</f>
        <v>2.9716549832368178</v>
      </c>
      <c r="E49" s="3"/>
      <c r="F49" s="3">
        <f>0.35*2</f>
        <v>0.7</v>
      </c>
      <c r="G49" s="3">
        <f t="shared" si="2"/>
        <v>8.3206339530630888</v>
      </c>
      <c r="H49" s="15"/>
      <c r="I49" s="15"/>
      <c r="J49" s="15"/>
      <c r="K49" s="15"/>
    </row>
    <row r="50" spans="1:11" x14ac:dyDescent="0.25">
      <c r="A50" s="15"/>
      <c r="B50" s="16" t="str">
        <f t="shared" ref="B50:D50" si="3">B34</f>
        <v>-upper beam</v>
      </c>
      <c r="C50" s="45">
        <f t="shared" si="3"/>
        <v>2</v>
      </c>
      <c r="D50" s="3">
        <f t="shared" si="3"/>
        <v>1.5239256324291375</v>
      </c>
      <c r="E50" s="3"/>
      <c r="F50" s="3">
        <f t="shared" ref="F50:F51" si="4">0.23*2</f>
        <v>0.46</v>
      </c>
      <c r="G50" s="3">
        <f t="shared" si="2"/>
        <v>1.4020115818348065</v>
      </c>
      <c r="H50" s="15"/>
      <c r="I50" s="15"/>
      <c r="J50" s="15"/>
      <c r="K50" s="15"/>
    </row>
    <row r="51" spans="1:11" x14ac:dyDescent="0.25">
      <c r="A51" s="15"/>
      <c r="B51" s="16"/>
      <c r="C51" s="45">
        <f>C35</f>
        <v>2</v>
      </c>
      <c r="D51" s="3">
        <f>D35</f>
        <v>1.1429442243218531</v>
      </c>
      <c r="E51" s="3"/>
      <c r="F51" s="3">
        <f t="shared" si="4"/>
        <v>0.46</v>
      </c>
      <c r="G51" s="3">
        <f t="shared" si="2"/>
        <v>1.051508686376105</v>
      </c>
      <c r="H51" s="15"/>
      <c r="I51" s="15"/>
      <c r="J51" s="15"/>
      <c r="K51" s="15"/>
    </row>
    <row r="52" spans="1:11" x14ac:dyDescent="0.25">
      <c r="A52" s="15"/>
      <c r="B52" s="16" t="str">
        <f t="shared" ref="B52:D52" si="5">B36</f>
        <v>-slab</v>
      </c>
      <c r="C52" s="45">
        <f t="shared" si="5"/>
        <v>2</v>
      </c>
      <c r="D52" s="3">
        <f t="shared" si="5"/>
        <v>2.7811642791831757</v>
      </c>
      <c r="E52" s="3">
        <f>E36</f>
        <v>3.2002438281011885</v>
      </c>
      <c r="F52" s="3"/>
      <c r="G52" s="3">
        <f t="shared" si="2"/>
        <v>17.800807638782896</v>
      </c>
      <c r="H52" s="15"/>
      <c r="I52" s="15"/>
      <c r="J52" s="15"/>
      <c r="K52" s="15"/>
    </row>
    <row r="53" spans="1:11" x14ac:dyDescent="0.25">
      <c r="A53" s="15"/>
      <c r="B53" s="16"/>
      <c r="C53" s="45">
        <f>C37</f>
        <v>2</v>
      </c>
      <c r="D53" s="3">
        <f>D37</f>
        <v>2.3239865894544347</v>
      </c>
      <c r="E53" s="3">
        <f>E37</f>
        <v>2.895458701615361</v>
      </c>
      <c r="F53" s="3"/>
      <c r="G53" s="3">
        <f t="shared" si="2"/>
        <v>13.458014385746496</v>
      </c>
      <c r="H53" s="15"/>
      <c r="I53" s="15"/>
      <c r="J53" s="15"/>
      <c r="K53" s="15"/>
    </row>
    <row r="54" spans="1:11" x14ac:dyDescent="0.25">
      <c r="A54" s="15"/>
      <c r="B54" s="16" t="str">
        <f>B38</f>
        <v>-column</v>
      </c>
      <c r="C54" s="45">
        <f>C38</f>
        <v>4</v>
      </c>
      <c r="D54" s="3">
        <f>0.23*4</f>
        <v>0.92</v>
      </c>
      <c r="E54" s="3"/>
      <c r="F54" s="3">
        <f>F38-0.23</f>
        <v>0.58286193233770189</v>
      </c>
      <c r="G54" s="3">
        <f t="shared" si="2"/>
        <v>2.1449319110027432</v>
      </c>
      <c r="H54" s="15"/>
      <c r="I54" s="15"/>
      <c r="J54" s="15"/>
      <c r="K54" s="15"/>
    </row>
    <row r="55" spans="1:11" s="10" customFormat="1" ht="15" customHeight="1" x14ac:dyDescent="0.25">
      <c r="A55" s="17"/>
      <c r="B55" s="18" t="s">
        <v>16</v>
      </c>
      <c r="C55" s="19"/>
      <c r="D55" s="1"/>
      <c r="E55" s="20"/>
      <c r="F55" s="20"/>
      <c r="G55" s="2">
        <f>SUM(G48:G54)</f>
        <v>50.578395813008513</v>
      </c>
      <c r="H55" s="21" t="s">
        <v>34</v>
      </c>
      <c r="I55" s="2">
        <v>922.71</v>
      </c>
      <c r="J55" s="22">
        <f>G55*I55</f>
        <v>46669.191600621089</v>
      </c>
      <c r="K55" s="20"/>
    </row>
    <row r="56" spans="1:11" s="10" customFormat="1" x14ac:dyDescent="0.25">
      <c r="A56" s="24"/>
      <c r="B56" s="25" t="s">
        <v>46</v>
      </c>
      <c r="C56" s="26"/>
      <c r="D56" s="27"/>
      <c r="E56" s="27"/>
      <c r="F56" s="27"/>
      <c r="G56" s="27"/>
      <c r="H56" s="26"/>
      <c r="I56" s="26"/>
      <c r="J56" s="22">
        <f>0.13*G55*20062.02/100</f>
        <v>1319.1162248790411</v>
      </c>
      <c r="K56" s="26"/>
    </row>
    <row r="57" spans="1:11" s="10" customFormat="1" x14ac:dyDescent="0.25">
      <c r="A57" s="24"/>
      <c r="B57" s="25" t="s">
        <v>47</v>
      </c>
      <c r="C57" s="26"/>
      <c r="D57" s="27"/>
      <c r="E57" s="27"/>
      <c r="F57" s="27"/>
      <c r="G57" s="27"/>
      <c r="H57" s="26"/>
      <c r="I57" s="26"/>
      <c r="J57" s="22">
        <f>0.13*G55*13328.25/100</f>
        <v>876.35795519314979</v>
      </c>
      <c r="K57" s="26"/>
    </row>
    <row r="58" spans="1:11" s="10" customFormat="1" x14ac:dyDescent="0.25">
      <c r="A58" s="24"/>
      <c r="B58" s="25" t="s">
        <v>48</v>
      </c>
      <c r="C58" s="26"/>
      <c r="D58" s="27"/>
      <c r="E58" s="27"/>
      <c r="F58" s="27"/>
      <c r="G58" s="27"/>
      <c r="H58" s="26"/>
      <c r="I58" s="26"/>
      <c r="J58" s="22">
        <f>0.13*G55*10137.6/100</f>
        <v>666.56660901214161</v>
      </c>
      <c r="K58" s="26"/>
    </row>
    <row r="59" spans="1:11" x14ac:dyDescent="0.25">
      <c r="A59" s="15"/>
      <c r="B59" s="25" t="s">
        <v>49</v>
      </c>
      <c r="C59" s="15"/>
      <c r="D59" s="3"/>
      <c r="E59" s="3"/>
      <c r="F59" s="3"/>
      <c r="G59" s="3"/>
      <c r="H59" s="15"/>
      <c r="I59" s="15"/>
      <c r="J59" s="22">
        <f>0.13*G55*3300/100</f>
        <v>216.98131803780652</v>
      </c>
      <c r="K59" s="15"/>
    </row>
    <row r="60" spans="1:11" x14ac:dyDescent="0.25">
      <c r="A60" s="15"/>
      <c r="B60" s="15"/>
      <c r="C60" s="15"/>
      <c r="D60" s="3"/>
      <c r="E60" s="3"/>
      <c r="F60" s="3"/>
      <c r="G60" s="3"/>
      <c r="H60" s="15"/>
      <c r="I60" s="15"/>
      <c r="J60" s="15"/>
      <c r="K60" s="15"/>
    </row>
    <row r="61" spans="1:11" s="14" customFormat="1" ht="45" x14ac:dyDescent="0.25">
      <c r="A61" s="11">
        <v>6</v>
      </c>
      <c r="B61" s="28" t="s">
        <v>36</v>
      </c>
      <c r="C61" s="13" t="s">
        <v>7</v>
      </c>
      <c r="D61" s="29" t="s">
        <v>27</v>
      </c>
      <c r="E61" s="29" t="s">
        <v>39</v>
      </c>
      <c r="F61" s="29" t="s">
        <v>40</v>
      </c>
      <c r="G61" s="23"/>
      <c r="H61" s="13"/>
      <c r="I61" s="13"/>
      <c r="J61" s="13"/>
      <c r="K61" s="13"/>
    </row>
    <row r="62" spans="1:11" x14ac:dyDescent="0.25">
      <c r="A62" s="15"/>
      <c r="B62" s="16" t="str">
        <f>B32</f>
        <v>-beam</v>
      </c>
      <c r="C62" s="45">
        <f>C48*(4)</f>
        <v>8</v>
      </c>
      <c r="D62" s="3">
        <f>D32-0.1+(0.583/3.281)*2</f>
        <v>4.8271563547698877</v>
      </c>
      <c r="E62" s="3">
        <f>16*16/162</f>
        <v>1.5802469135802468</v>
      </c>
      <c r="F62" s="3">
        <f t="shared" ref="F62:F78" si="6">PRODUCT(C62:E62)</f>
        <v>61.024791447955117</v>
      </c>
      <c r="G62" s="3">
        <f t="shared" ref="G62:G78" si="7">F62/1000</f>
        <v>6.1024791447955119E-2</v>
      </c>
      <c r="H62" s="15"/>
      <c r="I62" s="15"/>
      <c r="J62" s="15"/>
      <c r="K62" s="15"/>
    </row>
    <row r="63" spans="1:11" x14ac:dyDescent="0.25">
      <c r="A63" s="15"/>
      <c r="B63" s="16"/>
      <c r="C63" s="45">
        <f>C48*(2)</f>
        <v>4</v>
      </c>
      <c r="D63" s="3">
        <f>D33-0.1+(0.583/3.281)*2</f>
        <v>3.2270344407192924</v>
      </c>
      <c r="E63" s="3">
        <f>12*12/162</f>
        <v>0.88888888888888884</v>
      </c>
      <c r="F63" s="3">
        <f t="shared" si="6"/>
        <v>11.473900233668594</v>
      </c>
      <c r="G63" s="3">
        <f t="shared" si="7"/>
        <v>1.1473900233668594E-2</v>
      </c>
      <c r="H63" s="15"/>
      <c r="I63" s="15"/>
      <c r="J63" s="15"/>
      <c r="K63" s="15"/>
    </row>
    <row r="64" spans="1:11" x14ac:dyDescent="0.25">
      <c r="A64" s="15"/>
      <c r="B64" s="16" t="s">
        <v>92</v>
      </c>
      <c r="C64" s="45">
        <f>2*(TRUNC((D48-0.1-0.23*2)/0.125,0))</f>
        <v>64</v>
      </c>
      <c r="D64" s="3">
        <f>((0.583*4)+0.17*2)/3.281</f>
        <v>0.81438585797013097</v>
      </c>
      <c r="E64" s="3">
        <f>8*8/162</f>
        <v>0.39506172839506171</v>
      </c>
      <c r="F64" s="3">
        <f t="shared" si="6"/>
        <v>20.590891816331212</v>
      </c>
      <c r="G64" s="3">
        <f t="shared" si="7"/>
        <v>2.0590891816331211E-2</v>
      </c>
      <c r="H64" s="15"/>
      <c r="I64" s="15"/>
      <c r="J64" s="15"/>
      <c r="K64" s="15"/>
    </row>
    <row r="65" spans="1:14" x14ac:dyDescent="0.25">
      <c r="A65" s="15"/>
      <c r="B65" s="16" t="str">
        <f>B48</f>
        <v>-beam</v>
      </c>
      <c r="C65" s="45">
        <f>C49*(4)</f>
        <v>16</v>
      </c>
      <c r="D65" s="3">
        <f>D33-0.1+0.23*2+(0.583/3.281)*2</f>
        <v>3.6870344407192923</v>
      </c>
      <c r="E65" s="3">
        <f>16*16/162</f>
        <v>1.5802469135802468</v>
      </c>
      <c r="F65" s="3">
        <f t="shared" si="6"/>
        <v>93.222796723371729</v>
      </c>
      <c r="G65" s="3">
        <f t="shared" si="7"/>
        <v>9.3222796723371734E-2</v>
      </c>
      <c r="H65" s="15"/>
      <c r="I65" s="15"/>
      <c r="J65" s="15"/>
      <c r="K65" s="15"/>
    </row>
    <row r="66" spans="1:14" x14ac:dyDescent="0.25">
      <c r="A66" s="15"/>
      <c r="B66" s="16"/>
      <c r="C66" s="45">
        <f>C49*(2)</f>
        <v>8</v>
      </c>
      <c r="D66" s="3">
        <f>D34-0.1+0.23*2+(0.583/3.281)*2</f>
        <v>2.2393050899116123</v>
      </c>
      <c r="E66" s="3">
        <f>12*12/162</f>
        <v>0.88888888888888884</v>
      </c>
      <c r="F66" s="3">
        <f t="shared" si="6"/>
        <v>15.92394730603813</v>
      </c>
      <c r="G66" s="3">
        <f t="shared" si="7"/>
        <v>1.592394730603813E-2</v>
      </c>
      <c r="H66" s="15"/>
      <c r="I66" s="15"/>
      <c r="J66" s="15"/>
      <c r="K66" s="15"/>
    </row>
    <row r="67" spans="1:14" x14ac:dyDescent="0.25">
      <c r="A67" s="15"/>
      <c r="B67" s="16" t="s">
        <v>92</v>
      </c>
      <c r="C67" s="45">
        <f>4*(TRUNC((D49-0.1)/0.125,0))</f>
        <v>88</v>
      </c>
      <c r="D67" s="3">
        <f>((0.583*4)+0.17*2)/3.281</f>
        <v>0.81438585797013097</v>
      </c>
      <c r="E67" s="3">
        <f>8*8/162</f>
        <v>0.39506172839506171</v>
      </c>
      <c r="F67" s="3">
        <f t="shared" si="6"/>
        <v>28.312476247455418</v>
      </c>
      <c r="G67" s="3">
        <f t="shared" si="7"/>
        <v>2.8312476247455417E-2</v>
      </c>
      <c r="H67" s="15"/>
      <c r="I67" s="15"/>
      <c r="J67" s="15"/>
      <c r="K67" s="15"/>
    </row>
    <row r="68" spans="1:14" x14ac:dyDescent="0.25">
      <c r="A68" s="15"/>
      <c r="B68" s="16" t="str">
        <f>B50</f>
        <v>-upper beam</v>
      </c>
      <c r="C68" s="45">
        <f>C50*(3*2)</f>
        <v>12</v>
      </c>
      <c r="D68" s="3">
        <f>D34+(0.583/3.281)*2</f>
        <v>1.8793050899116124</v>
      </c>
      <c r="E68" s="3">
        <f>12*12/162</f>
        <v>0.88888888888888884</v>
      </c>
      <c r="F68" s="3">
        <f t="shared" si="6"/>
        <v>20.045920959057195</v>
      </c>
      <c r="G68" s="3">
        <f t="shared" si="7"/>
        <v>2.0045920959057197E-2</v>
      </c>
      <c r="H68" s="15"/>
      <c r="I68" s="15"/>
      <c r="J68" s="15"/>
      <c r="K68" s="15"/>
    </row>
    <row r="69" spans="1:14" x14ac:dyDescent="0.25">
      <c r="A69" s="15"/>
      <c r="B69" s="16" t="s">
        <v>92</v>
      </c>
      <c r="C69" s="45">
        <f>2*(TRUNC((D50-0.1-0.23*2)/0.125,0))</f>
        <v>14</v>
      </c>
      <c r="D69" s="3">
        <f>((0.583*4)+0.17*2)/3.281</f>
        <v>0.81438585797013097</v>
      </c>
      <c r="E69" s="3">
        <f>8*8/162</f>
        <v>0.39506172839506171</v>
      </c>
      <c r="F69" s="3">
        <f t="shared" si="6"/>
        <v>4.5042575848224526</v>
      </c>
      <c r="G69" s="3">
        <f t="shared" si="7"/>
        <v>4.5042575848224528E-3</v>
      </c>
      <c r="H69" s="15"/>
      <c r="I69" s="15"/>
      <c r="J69" s="15"/>
      <c r="K69" s="15"/>
    </row>
    <row r="70" spans="1:14" x14ac:dyDescent="0.25">
      <c r="A70" s="15"/>
      <c r="B70" s="16" t="str">
        <f>B34</f>
        <v>-upper beam</v>
      </c>
      <c r="C70" s="45">
        <f>C51*(3*2)</f>
        <v>12</v>
      </c>
      <c r="D70" s="3">
        <f>D35+0.23*2+(0.583/3.281)*2</f>
        <v>1.9583236818043277</v>
      </c>
      <c r="E70" s="3">
        <f>12*12/162</f>
        <v>0.88888888888888884</v>
      </c>
      <c r="F70" s="3">
        <f t="shared" si="6"/>
        <v>20.888785939246162</v>
      </c>
      <c r="G70" s="3">
        <f t="shared" si="7"/>
        <v>2.0888785939246163E-2</v>
      </c>
      <c r="H70" s="15"/>
      <c r="I70" s="15"/>
      <c r="J70" s="15"/>
      <c r="K70" s="15"/>
    </row>
    <row r="71" spans="1:14" x14ac:dyDescent="0.25">
      <c r="A71" s="15"/>
      <c r="B71" s="16" t="s">
        <v>92</v>
      </c>
      <c r="C71" s="45">
        <f>2*(TRUNC((D51-0.1)/0.125,0))</f>
        <v>16</v>
      </c>
      <c r="D71" s="3">
        <f>((0.583*4)+0.17*2)/3.281</f>
        <v>0.81438585797013097</v>
      </c>
      <c r="E71" s="3">
        <f>8*8/162</f>
        <v>0.39506172839506171</v>
      </c>
      <c r="F71" s="3">
        <f t="shared" si="6"/>
        <v>5.1477229540828029</v>
      </c>
      <c r="G71" s="3">
        <f t="shared" si="7"/>
        <v>5.1477229540828028E-3</v>
      </c>
      <c r="H71" s="15"/>
      <c r="I71" s="15"/>
      <c r="J71" s="15"/>
      <c r="K71" s="15"/>
    </row>
    <row r="72" spans="1:14" x14ac:dyDescent="0.25">
      <c r="A72" s="15"/>
      <c r="B72" s="16" t="str">
        <f>B52</f>
        <v>-slab</v>
      </c>
      <c r="C72" s="45">
        <f>TRUNC(((E52-0.1)/0.15),0)</f>
        <v>20</v>
      </c>
      <c r="D72" s="3">
        <f>D52*C52</f>
        <v>5.5623285583663513</v>
      </c>
      <c r="E72" s="3">
        <f t="shared" ref="E72:E75" si="8">8*8/162</f>
        <v>0.39506172839506171</v>
      </c>
      <c r="F72" s="3">
        <f t="shared" si="6"/>
        <v>43.949262683388454</v>
      </c>
      <c r="G72" s="3">
        <f t="shared" si="7"/>
        <v>4.3949262683388453E-2</v>
      </c>
      <c r="H72" s="15"/>
      <c r="I72" s="15"/>
      <c r="J72" s="15"/>
      <c r="K72" s="15"/>
    </row>
    <row r="73" spans="1:14" x14ac:dyDescent="0.25">
      <c r="A73" s="15"/>
      <c r="B73" s="16"/>
      <c r="C73" s="45">
        <f>2*(TRUNC(((D52-0.1)/0.15),0))</f>
        <v>34</v>
      </c>
      <c r="D73" s="3">
        <f>E52</f>
        <v>3.2002438281011885</v>
      </c>
      <c r="E73" s="3">
        <f t="shared" si="8"/>
        <v>0.39506172839506171</v>
      </c>
      <c r="F73" s="3">
        <f t="shared" si="6"/>
        <v>42.985991172519661</v>
      </c>
      <c r="G73" s="3">
        <f t="shared" si="7"/>
        <v>4.2985991172519659E-2</v>
      </c>
      <c r="H73" s="15"/>
      <c r="I73" s="15"/>
      <c r="J73" s="15"/>
      <c r="K73" s="15"/>
      <c r="M73">
        <f>10.5/3.281</f>
        <v>3.2002438281011885</v>
      </c>
      <c r="N73">
        <f>M73/2</f>
        <v>1.6001219140505942</v>
      </c>
    </row>
    <row r="74" spans="1:14" x14ac:dyDescent="0.25">
      <c r="A74" s="15"/>
      <c r="B74" s="16"/>
      <c r="C74" s="45">
        <f>2*(TRUNC(((D53-0.1)/0.15),0))</f>
        <v>28</v>
      </c>
      <c r="D74" s="3">
        <f>E53</f>
        <v>2.895458701615361</v>
      </c>
      <c r="E74" s="3">
        <f t="shared" si="8"/>
        <v>0.39506172839506171</v>
      </c>
      <c r="F74" s="3">
        <f t="shared" si="6"/>
        <v>32.028777736387198</v>
      </c>
      <c r="G74" s="3">
        <f t="shared" si="7"/>
        <v>3.2028777736387196E-2</v>
      </c>
      <c r="H74" s="15"/>
      <c r="I74" s="15"/>
      <c r="J74" s="15"/>
      <c r="K74" s="15"/>
      <c r="M74">
        <f>9.5/3.281</f>
        <v>2.895458701615361</v>
      </c>
    </row>
    <row r="75" spans="1:14" x14ac:dyDescent="0.25">
      <c r="A75" s="15"/>
      <c r="B75" s="16"/>
      <c r="C75" s="45">
        <f>2*(TRUNC(((E53-0.1)/0.15),0))</f>
        <v>36</v>
      </c>
      <c r="D75" s="3">
        <f>D53</f>
        <v>2.3239865894544347</v>
      </c>
      <c r="E75" s="3">
        <f t="shared" si="8"/>
        <v>0.39506172839506171</v>
      </c>
      <c r="F75" s="3">
        <f t="shared" ref="F75" si="9">PRODUCT(C75:E75)</f>
        <v>33.052253716685293</v>
      </c>
      <c r="G75" s="3">
        <f t="shared" ref="G75" si="10">F75/1000</f>
        <v>3.3052253716685291E-2</v>
      </c>
      <c r="H75" s="15"/>
      <c r="I75" s="15"/>
      <c r="J75" s="15"/>
      <c r="K75" s="15"/>
    </row>
    <row r="76" spans="1:14" x14ac:dyDescent="0.25">
      <c r="A76" s="15"/>
      <c r="B76" s="16" t="s">
        <v>93</v>
      </c>
      <c r="C76" s="45">
        <v>8</v>
      </c>
      <c r="D76" s="3">
        <f>((2.667-0.33)/3.281)+(0.45*2)</f>
        <v>1.6122828405973788</v>
      </c>
      <c r="E76" s="3">
        <f>12*12/162</f>
        <v>0.88888888888888884</v>
      </c>
      <c r="F76" s="3">
        <f t="shared" si="6"/>
        <v>11.465122422025804</v>
      </c>
      <c r="G76" s="3">
        <f t="shared" si="7"/>
        <v>1.1465122422025804E-2</v>
      </c>
      <c r="H76" s="15"/>
      <c r="I76" s="15"/>
      <c r="J76" s="15"/>
      <c r="K76" s="15"/>
    </row>
    <row r="77" spans="1:14" x14ac:dyDescent="0.25">
      <c r="A77" s="15"/>
      <c r="B77" s="16" t="s">
        <v>92</v>
      </c>
      <c r="C77" s="45">
        <f>4*(TRUNC((1.917-0.17*2)/0.33,0)+1)</f>
        <v>20</v>
      </c>
      <c r="D77" s="3">
        <f>(6*4+2*2)/12/3.281</f>
        <v>0.7111652951335975</v>
      </c>
      <c r="E77" s="3">
        <f>8*8/162</f>
        <v>0.39506172839506171</v>
      </c>
      <c r="F77" s="3">
        <f t="shared" si="6"/>
        <v>5.6190838134012635</v>
      </c>
      <c r="G77" s="3">
        <f t="shared" si="7"/>
        <v>5.6190838134012634E-3</v>
      </c>
      <c r="H77" s="15"/>
      <c r="I77" s="15"/>
      <c r="J77" s="15"/>
      <c r="K77" s="15"/>
    </row>
    <row r="78" spans="1:14" x14ac:dyDescent="0.25">
      <c r="A78" s="15"/>
      <c r="B78" s="16"/>
      <c r="C78" s="45">
        <f>C77</f>
        <v>20</v>
      </c>
      <c r="D78" s="3">
        <f>(4*4+2*2)/12/3.281</f>
        <v>0.50797521080971253</v>
      </c>
      <c r="E78" s="3">
        <f>8*8/162</f>
        <v>0.39506172839506171</v>
      </c>
      <c r="F78" s="3">
        <f t="shared" si="6"/>
        <v>4.0136312952866176</v>
      </c>
      <c r="G78" s="58">
        <f t="shared" si="7"/>
        <v>4.0136312952866173E-3</v>
      </c>
      <c r="H78" s="15"/>
      <c r="I78" s="15"/>
      <c r="J78" s="15"/>
      <c r="K78" s="15"/>
    </row>
    <row r="79" spans="1:14" s="10" customFormat="1" ht="15" customHeight="1" x14ac:dyDescent="0.25">
      <c r="A79" s="17"/>
      <c r="B79" s="18" t="s">
        <v>16</v>
      </c>
      <c r="C79" s="19"/>
      <c r="D79" s="1"/>
      <c r="E79" s="20"/>
      <c r="F79" s="20"/>
      <c r="G79" s="2">
        <f>SUM(G62:G78)</f>
        <v>0.45424961405172304</v>
      </c>
      <c r="H79" s="21" t="s">
        <v>41</v>
      </c>
      <c r="I79" s="46">
        <v>132360</v>
      </c>
      <c r="J79" s="22">
        <f>G79*I79</f>
        <v>60124.478915886059</v>
      </c>
      <c r="K79" s="20"/>
    </row>
    <row r="80" spans="1:14" s="10" customFormat="1" x14ac:dyDescent="0.25">
      <c r="A80" s="24"/>
      <c r="B80" s="25" t="s">
        <v>38</v>
      </c>
      <c r="C80" s="26"/>
      <c r="D80" s="26"/>
      <c r="E80" s="26"/>
      <c r="F80" s="26"/>
      <c r="G80" s="26"/>
      <c r="H80" s="26"/>
      <c r="I80" s="26"/>
      <c r="J80" s="22">
        <f>0.13*G79*105000</f>
        <v>6200.5072318060193</v>
      </c>
      <c r="K80" s="26"/>
    </row>
    <row r="81" spans="1:11" s="10" customFormat="1" x14ac:dyDescent="0.25">
      <c r="A81" s="24"/>
      <c r="B81" s="25" t="s">
        <v>37</v>
      </c>
      <c r="C81" s="26"/>
      <c r="D81" s="26"/>
      <c r="E81" s="26"/>
      <c r="F81" s="26"/>
      <c r="G81" s="26"/>
      <c r="H81" s="26"/>
      <c r="I81" s="26"/>
      <c r="J81" s="22">
        <f>0.13*G79*1200</f>
        <v>70.862939792068801</v>
      </c>
      <c r="K81" s="26"/>
    </row>
    <row r="82" spans="1:11" x14ac:dyDescent="0.25">
      <c r="A82" s="15"/>
      <c r="B82" s="15"/>
      <c r="C82" s="15"/>
      <c r="D82" s="15"/>
      <c r="E82" s="15"/>
      <c r="F82" s="15"/>
      <c r="G82" s="15"/>
      <c r="H82" s="15"/>
      <c r="I82" s="15"/>
      <c r="J82" s="15"/>
      <c r="K82" s="15"/>
    </row>
    <row r="83" spans="1:11" ht="30" x14ac:dyDescent="0.25">
      <c r="A83" s="11">
        <v>7</v>
      </c>
      <c r="B83" s="28" t="s">
        <v>50</v>
      </c>
      <c r="C83" s="15"/>
      <c r="D83" s="15"/>
      <c r="E83" s="15"/>
      <c r="F83" s="15"/>
      <c r="G83" s="15"/>
      <c r="H83" s="15"/>
      <c r="I83" s="15"/>
      <c r="J83" s="15"/>
      <c r="K83" s="15"/>
    </row>
    <row r="84" spans="1:11" x14ac:dyDescent="0.25">
      <c r="A84" s="15"/>
      <c r="B84" s="25" t="s">
        <v>121</v>
      </c>
      <c r="C84" s="45">
        <v>2</v>
      </c>
      <c r="D84" s="3">
        <f>12/3.281</f>
        <v>3.6574215178299299</v>
      </c>
      <c r="E84" s="3">
        <v>0.9</v>
      </c>
      <c r="F84" s="15"/>
      <c r="G84" s="3">
        <f>PRODUCT(C84:F84)</f>
        <v>6.583358732093874</v>
      </c>
      <c r="H84" s="15"/>
      <c r="I84" s="15"/>
      <c r="J84" s="15"/>
      <c r="K84" s="15"/>
    </row>
    <row r="85" spans="1:11" x14ac:dyDescent="0.25">
      <c r="A85" s="15"/>
      <c r="B85" s="16"/>
      <c r="C85" s="45">
        <v>2</v>
      </c>
      <c r="D85" s="3">
        <f>21/3.281</f>
        <v>6.4004876562023769</v>
      </c>
      <c r="E85" s="3">
        <v>0.9</v>
      </c>
      <c r="F85" s="15"/>
      <c r="G85" s="3">
        <f>PRODUCT(C85:F85)</f>
        <v>11.520877781164279</v>
      </c>
      <c r="H85" s="15"/>
      <c r="I85" s="15"/>
      <c r="J85" s="15"/>
      <c r="K85" s="15"/>
    </row>
    <row r="86" spans="1:11" s="10" customFormat="1" ht="15" customHeight="1" x14ac:dyDescent="0.25">
      <c r="A86" s="17"/>
      <c r="B86" s="18" t="s">
        <v>16</v>
      </c>
      <c r="C86" s="19"/>
      <c r="D86" s="1"/>
      <c r="E86" s="20"/>
      <c r="F86" s="20"/>
      <c r="G86" s="2">
        <f>SUM(G84:G85)</f>
        <v>18.104236513258151</v>
      </c>
      <c r="H86" s="21" t="s">
        <v>34</v>
      </c>
      <c r="I86" s="2">
        <v>689.98</v>
      </c>
      <c r="J86" s="22">
        <f>G86*I86</f>
        <v>12491.561109417858</v>
      </c>
      <c r="K86" s="20"/>
    </row>
    <row r="87" spans="1:11" s="10" customFormat="1" x14ac:dyDescent="0.25">
      <c r="A87" s="24"/>
      <c r="B87" s="25" t="s">
        <v>32</v>
      </c>
      <c r="C87" s="26"/>
      <c r="D87" s="27"/>
      <c r="E87" s="27"/>
      <c r="F87" s="27"/>
      <c r="G87" s="27"/>
      <c r="H87" s="26"/>
      <c r="I87" s="26"/>
      <c r="J87" s="22">
        <f>0.13*G86*1694.03/10</f>
        <v>398.69855714721115</v>
      </c>
      <c r="K87" s="26"/>
    </row>
    <row r="88" spans="1:11" x14ac:dyDescent="0.25">
      <c r="A88" s="15"/>
      <c r="B88" s="25" t="s">
        <v>31</v>
      </c>
      <c r="C88" s="26"/>
      <c r="D88" s="27"/>
      <c r="E88" s="27"/>
      <c r="F88" s="27"/>
      <c r="G88" s="27"/>
      <c r="H88" s="26"/>
      <c r="I88" s="26"/>
      <c r="J88" s="22">
        <f>0.13*G86*472.02/10</f>
        <v>111.09230234684546</v>
      </c>
      <c r="K88" s="15"/>
    </row>
    <row r="89" spans="1:11" x14ac:dyDescent="0.25">
      <c r="A89" s="15"/>
      <c r="B89" s="25" t="s">
        <v>33</v>
      </c>
      <c r="C89" s="26"/>
      <c r="D89" s="27"/>
      <c r="E89" s="27"/>
      <c r="F89" s="27"/>
      <c r="G89" s="27"/>
      <c r="H89" s="26"/>
      <c r="I89" s="26"/>
      <c r="J89" s="22">
        <f>0.13*G86*1207.6/10</f>
        <v>284.21478817433706</v>
      </c>
      <c r="K89" s="15"/>
    </row>
    <row r="90" spans="1:11" x14ac:dyDescent="0.25">
      <c r="A90" s="15"/>
      <c r="B90" s="15"/>
      <c r="C90" s="15"/>
      <c r="D90" s="15"/>
      <c r="E90" s="15"/>
      <c r="F90" s="15"/>
      <c r="G90" s="15"/>
      <c r="H90" s="15"/>
      <c r="I90" s="15"/>
      <c r="J90" s="15"/>
      <c r="K90" s="15"/>
    </row>
    <row r="91" spans="1:11" ht="45" x14ac:dyDescent="0.25">
      <c r="A91" s="11">
        <v>8</v>
      </c>
      <c r="B91" s="28" t="s">
        <v>115</v>
      </c>
      <c r="C91" s="15"/>
      <c r="D91" s="15"/>
      <c r="E91" s="15"/>
      <c r="F91" s="15"/>
      <c r="G91" s="15"/>
      <c r="H91" s="15"/>
      <c r="I91" s="15"/>
      <c r="J91" s="15"/>
      <c r="K91" s="15"/>
    </row>
    <row r="92" spans="1:11" x14ac:dyDescent="0.25">
      <c r="A92" s="15"/>
      <c r="B92" s="16" t="s">
        <v>133</v>
      </c>
      <c r="C92" s="45">
        <v>1</v>
      </c>
      <c r="D92" s="3">
        <f>12.667/3.281</f>
        <v>3.8607131971959765</v>
      </c>
      <c r="E92" s="3">
        <f>9.75/3.281</f>
        <v>2.9716549832368178</v>
      </c>
      <c r="F92" s="15"/>
      <c r="G92" s="3">
        <f>PRODUCT(C92:F92)</f>
        <v>11.47270761129557</v>
      </c>
      <c r="H92" s="15"/>
      <c r="I92" s="15"/>
      <c r="J92" s="15"/>
      <c r="K92" s="15"/>
    </row>
    <row r="93" spans="1:11" s="10" customFormat="1" ht="15" customHeight="1" x14ac:dyDescent="0.25">
      <c r="A93" s="17"/>
      <c r="B93" s="18" t="s">
        <v>16</v>
      </c>
      <c r="C93" s="19"/>
      <c r="D93" s="1"/>
      <c r="E93" s="20"/>
      <c r="F93" s="20"/>
      <c r="G93" s="2">
        <f>SUM(G92)</f>
        <v>11.47270761129557</v>
      </c>
      <c r="H93" s="21" t="s">
        <v>34</v>
      </c>
      <c r="I93" s="2">
        <v>6851.63</v>
      </c>
      <c r="J93" s="22">
        <f>G93*I93</f>
        <v>78606.747650781064</v>
      </c>
      <c r="K93" s="20"/>
    </row>
    <row r="94" spans="1:11" s="10" customFormat="1" x14ac:dyDescent="0.25">
      <c r="A94" s="24"/>
      <c r="B94" s="25" t="s">
        <v>32</v>
      </c>
      <c r="C94" s="26"/>
      <c r="D94" s="27"/>
      <c r="E94" s="27"/>
      <c r="F94" s="27"/>
      <c r="G94" s="27"/>
      <c r="H94" s="26"/>
      <c r="I94" s="26"/>
      <c r="J94" s="22">
        <f>0.13*G93*1694.03/10</f>
        <v>252.65644137191944</v>
      </c>
      <c r="K94" s="26"/>
    </row>
    <row r="95" spans="1:11" x14ac:dyDescent="0.25">
      <c r="A95" s="15"/>
      <c r="B95" s="25" t="s">
        <v>31</v>
      </c>
      <c r="C95" s="26"/>
      <c r="D95" s="27"/>
      <c r="E95" s="27"/>
      <c r="F95" s="27"/>
      <c r="G95" s="27"/>
      <c r="H95" s="26"/>
      <c r="I95" s="26"/>
      <c r="J95" s="22">
        <f>0.13*G93*581.55/10</f>
        <v>86.735390447536204</v>
      </c>
      <c r="K95" s="15"/>
    </row>
    <row r="96" spans="1:11" x14ac:dyDescent="0.25">
      <c r="A96" s="15"/>
      <c r="B96" s="25" t="s">
        <v>116</v>
      </c>
      <c r="C96" s="26"/>
      <c r="D96" s="27"/>
      <c r="E96" s="27"/>
      <c r="F96" s="27"/>
      <c r="G96" s="27"/>
      <c r="H96" s="26"/>
      <c r="I96" s="26"/>
      <c r="J96" s="22">
        <f>0.13*G93*43319.76/10</f>
        <v>6460.9342235294662</v>
      </c>
      <c r="K96" s="15"/>
    </row>
    <row r="97" spans="1:11" x14ac:dyDescent="0.25">
      <c r="A97" s="15"/>
      <c r="B97" s="25" t="s">
        <v>117</v>
      </c>
      <c r="C97" s="26"/>
      <c r="D97" s="27"/>
      <c r="E97" s="27"/>
      <c r="F97" s="27"/>
      <c r="G97" s="27"/>
      <c r="H97" s="26"/>
      <c r="I97" s="26"/>
      <c r="J97" s="22">
        <f>0.13*G93*46.25/10</f>
        <v>6.8979654512914621</v>
      </c>
      <c r="K97" s="15"/>
    </row>
    <row r="98" spans="1:11" x14ac:dyDescent="0.25">
      <c r="A98" s="15"/>
      <c r="B98" s="25" t="s">
        <v>118</v>
      </c>
      <c r="C98" s="26"/>
      <c r="D98" s="27"/>
      <c r="E98" s="27"/>
      <c r="F98" s="27"/>
      <c r="G98" s="27"/>
      <c r="H98" s="26"/>
      <c r="I98" s="26"/>
      <c r="J98" s="22">
        <f>0.13*G93*43.3/10</f>
        <v>6.4579871143982759</v>
      </c>
      <c r="K98" s="15"/>
    </row>
    <row r="99" spans="1:11" x14ac:dyDescent="0.25">
      <c r="A99" s="15"/>
      <c r="B99" s="25" t="s">
        <v>119</v>
      </c>
      <c r="C99" s="26"/>
      <c r="D99" s="27"/>
      <c r="E99" s="27"/>
      <c r="F99" s="27"/>
      <c r="G99" s="27"/>
      <c r="H99" s="26"/>
      <c r="I99" s="26"/>
      <c r="J99" s="22">
        <f>0.13*G93*118.89/10</f>
        <v>17.731872702790096</v>
      </c>
      <c r="K99" s="15"/>
    </row>
    <row r="100" spans="1:11" x14ac:dyDescent="0.25">
      <c r="A100" s="15"/>
      <c r="B100" s="25" t="s">
        <v>120</v>
      </c>
      <c r="C100" s="26"/>
      <c r="D100" s="27"/>
      <c r="E100" s="27"/>
      <c r="F100" s="27"/>
      <c r="G100" s="27"/>
      <c r="H100" s="26"/>
      <c r="I100" s="26"/>
      <c r="J100" s="22">
        <f>0.13*G93*120/10</f>
        <v>17.89742387362109</v>
      </c>
      <c r="K100" s="15"/>
    </row>
    <row r="101" spans="1:11" x14ac:dyDescent="0.25">
      <c r="A101" s="15"/>
      <c r="B101" s="15"/>
      <c r="C101" s="15"/>
      <c r="D101" s="15"/>
      <c r="E101" s="15"/>
      <c r="F101" s="15"/>
      <c r="G101" s="15"/>
      <c r="H101" s="15"/>
      <c r="I101" s="15"/>
      <c r="J101" s="15"/>
      <c r="K101" s="15"/>
    </row>
    <row r="102" spans="1:11" ht="30" x14ac:dyDescent="0.25">
      <c r="A102" s="11">
        <v>9</v>
      </c>
      <c r="B102" s="28" t="s">
        <v>52</v>
      </c>
      <c r="C102" s="15"/>
      <c r="D102" s="15"/>
      <c r="E102" s="15"/>
      <c r="F102" s="15"/>
      <c r="G102" s="15"/>
      <c r="H102" s="15"/>
      <c r="I102" s="15"/>
      <c r="J102" s="15"/>
      <c r="K102" s="15"/>
    </row>
    <row r="103" spans="1:11" s="10" customFormat="1" x14ac:dyDescent="0.25">
      <c r="A103" s="24"/>
      <c r="B103" s="25" t="str">
        <f t="shared" ref="B103:D105" si="11">B134</f>
        <v>-for wing walls of stand tap</v>
      </c>
      <c r="C103" s="49">
        <f t="shared" si="11"/>
        <v>4</v>
      </c>
      <c r="D103" s="27">
        <f t="shared" si="11"/>
        <v>1.2163181956720512</v>
      </c>
      <c r="E103" s="27"/>
      <c r="F103" s="27">
        <f>F134</f>
        <v>0.6</v>
      </c>
      <c r="G103" s="27">
        <f t="shared" ref="G103:G109" si="12">PRODUCT(C103:F103)</f>
        <v>2.9191636696129231</v>
      </c>
      <c r="H103" s="26"/>
      <c r="I103" s="26"/>
      <c r="J103" s="26"/>
      <c r="K103" s="26"/>
    </row>
    <row r="104" spans="1:11" s="10" customFormat="1" x14ac:dyDescent="0.25">
      <c r="A104" s="24"/>
      <c r="B104" s="25" t="str">
        <f t="shared" si="11"/>
        <v>-for side wall of stand tap</v>
      </c>
      <c r="C104" s="49">
        <f t="shared" si="11"/>
        <v>1</v>
      </c>
      <c r="D104" s="27">
        <f t="shared" si="11"/>
        <v>1.3197195976836331</v>
      </c>
      <c r="E104" s="27"/>
      <c r="F104" s="27">
        <f>F135</f>
        <v>0.6</v>
      </c>
      <c r="G104" s="27">
        <f t="shared" si="12"/>
        <v>0.79183175861017985</v>
      </c>
      <c r="H104" s="26"/>
      <c r="I104" s="26"/>
      <c r="J104" s="26"/>
      <c r="K104" s="26"/>
    </row>
    <row r="105" spans="1:11" s="10" customFormat="1" x14ac:dyDescent="0.25">
      <c r="A105" s="24"/>
      <c r="B105" s="25" t="str">
        <f t="shared" si="11"/>
        <v>-stand</v>
      </c>
      <c r="C105" s="49">
        <f t="shared" si="11"/>
        <v>1</v>
      </c>
      <c r="D105" s="27">
        <f t="shared" si="11"/>
        <v>0.35659859798841814</v>
      </c>
      <c r="E105" s="27"/>
      <c r="F105" s="27">
        <f>F136</f>
        <v>1.2</v>
      </c>
      <c r="G105" s="27">
        <f t="shared" si="12"/>
        <v>0.42791831758610177</v>
      </c>
      <c r="H105" s="26"/>
      <c r="I105" s="26"/>
      <c r="J105" s="26"/>
      <c r="K105" s="26"/>
    </row>
    <row r="106" spans="1:11" s="10" customFormat="1" x14ac:dyDescent="0.25">
      <c r="A106" s="24"/>
      <c r="B106" s="25"/>
      <c r="C106" s="49">
        <f>C137</f>
        <v>1</v>
      </c>
      <c r="D106" s="27">
        <f>D137</f>
        <v>0.46</v>
      </c>
      <c r="E106" s="27"/>
      <c r="F106" s="27">
        <f>F137</f>
        <v>0.6</v>
      </c>
      <c r="G106" s="27">
        <f t="shared" si="12"/>
        <v>0.27600000000000002</v>
      </c>
      <c r="H106" s="26"/>
      <c r="I106" s="26"/>
      <c r="J106" s="26"/>
      <c r="K106" s="26"/>
    </row>
    <row r="107" spans="1:11" s="10" customFormat="1" x14ac:dyDescent="0.25">
      <c r="A107" s="24"/>
      <c r="B107" s="25" t="s">
        <v>109</v>
      </c>
      <c r="C107" s="49">
        <f>C14</f>
        <v>1</v>
      </c>
      <c r="D107" s="27">
        <f>M10</f>
        <v>1.6763181956720512</v>
      </c>
      <c r="E107" s="27">
        <f>N10</f>
        <v>1.6763181956720512</v>
      </c>
      <c r="F107" s="27"/>
      <c r="G107" s="27">
        <f t="shared" si="12"/>
        <v>2.8100426931412015</v>
      </c>
      <c r="H107" s="26"/>
      <c r="I107" s="26"/>
      <c r="J107" s="26"/>
      <c r="K107" s="26"/>
    </row>
    <row r="108" spans="1:11" s="10" customFormat="1" x14ac:dyDescent="0.25">
      <c r="A108" s="24"/>
      <c r="B108" s="25" t="str">
        <f>B84</f>
        <v>-peti area</v>
      </c>
      <c r="C108" s="49">
        <f>C84</f>
        <v>2</v>
      </c>
      <c r="D108" s="27">
        <f>D84</f>
        <v>3.6574215178299299</v>
      </c>
      <c r="E108" s="27">
        <f>E84</f>
        <v>0.9</v>
      </c>
      <c r="F108" s="27"/>
      <c r="G108" s="27">
        <f t="shared" si="12"/>
        <v>6.583358732093874</v>
      </c>
      <c r="H108" s="26"/>
      <c r="I108" s="26"/>
      <c r="J108" s="26"/>
      <c r="K108" s="26"/>
    </row>
    <row r="109" spans="1:11" s="10" customFormat="1" x14ac:dyDescent="0.25">
      <c r="A109" s="24"/>
      <c r="B109" s="25"/>
      <c r="C109" s="49">
        <f>C85</f>
        <v>2</v>
      </c>
      <c r="D109" s="27">
        <f>D85</f>
        <v>6.4004876562023769</v>
      </c>
      <c r="E109" s="27">
        <f>E85</f>
        <v>0.9</v>
      </c>
      <c r="F109" s="27"/>
      <c r="G109" s="27">
        <f t="shared" si="12"/>
        <v>11.520877781164279</v>
      </c>
      <c r="H109" s="26"/>
      <c r="I109" s="26"/>
      <c r="J109" s="26"/>
      <c r="K109" s="26"/>
    </row>
    <row r="110" spans="1:11" s="10" customFormat="1" ht="15" customHeight="1" x14ac:dyDescent="0.25">
      <c r="A110" s="17"/>
      <c r="B110" s="18" t="s">
        <v>16</v>
      </c>
      <c r="C110" s="19"/>
      <c r="D110" s="1"/>
      <c r="E110" s="20"/>
      <c r="F110" s="20"/>
      <c r="G110" s="2">
        <f>SUM(G103:G109)</f>
        <v>25.329192952208558</v>
      </c>
      <c r="H110" s="21" t="s">
        <v>34</v>
      </c>
      <c r="I110" s="2">
        <v>287.32</v>
      </c>
      <c r="J110" s="22">
        <f>G110*I110</f>
        <v>7277.5837190285629</v>
      </c>
      <c r="K110" s="20"/>
    </row>
    <row r="111" spans="1:11" s="10" customFormat="1" x14ac:dyDescent="0.25">
      <c r="A111" s="24"/>
      <c r="B111" s="25" t="s">
        <v>32</v>
      </c>
      <c r="C111" s="26"/>
      <c r="D111" s="27"/>
      <c r="E111" s="27"/>
      <c r="F111" s="27"/>
      <c r="G111" s="27"/>
      <c r="H111" s="26"/>
      <c r="I111" s="26"/>
      <c r="J111" s="22">
        <f>0.13*G110*693.24/10</f>
        <v>228.26972638845783</v>
      </c>
      <c r="K111" s="26"/>
    </row>
    <row r="112" spans="1:11" x14ac:dyDescent="0.25">
      <c r="A112" s="15"/>
      <c r="B112" s="15"/>
      <c r="C112" s="15"/>
      <c r="D112" s="15"/>
      <c r="E112" s="15"/>
      <c r="F112" s="15"/>
      <c r="G112" s="15"/>
      <c r="H112" s="15"/>
      <c r="I112" s="15"/>
      <c r="J112" s="15"/>
      <c r="K112" s="15"/>
    </row>
    <row r="113" spans="1:11" ht="30" x14ac:dyDescent="0.25">
      <c r="A113" s="11">
        <v>10</v>
      </c>
      <c r="B113" s="28" t="s">
        <v>56</v>
      </c>
      <c r="C113" s="15"/>
      <c r="D113" s="15"/>
      <c r="E113" s="15"/>
      <c r="F113" s="15"/>
      <c r="G113" s="15"/>
      <c r="H113" s="15"/>
      <c r="I113" s="15"/>
      <c r="J113" s="15"/>
      <c r="K113" s="15"/>
    </row>
    <row r="114" spans="1:11" x14ac:dyDescent="0.25">
      <c r="A114" s="15"/>
      <c r="B114" s="16" t="s">
        <v>86</v>
      </c>
      <c r="C114" s="45">
        <v>2</v>
      </c>
      <c r="D114" s="3">
        <f>9.75/3.281</f>
        <v>2.9716549832368178</v>
      </c>
      <c r="E114" s="3">
        <v>0.35</v>
      </c>
      <c r="F114" s="3">
        <f>(10-3.5-0.33*2)/3.281</f>
        <v>1.7799451386772325</v>
      </c>
      <c r="G114" s="3">
        <f t="shared" ref="G114:G117" si="13">PRODUCT(C114:F114)</f>
        <v>3.7025679888668424</v>
      </c>
      <c r="H114" s="15"/>
      <c r="I114" s="15"/>
      <c r="J114" s="15"/>
      <c r="K114" s="15"/>
    </row>
    <row r="115" spans="1:11" x14ac:dyDescent="0.25">
      <c r="A115" s="15"/>
      <c r="B115" s="16"/>
      <c r="C115" s="45">
        <v>2</v>
      </c>
      <c r="D115" s="3">
        <f>15/3.281</f>
        <v>4.5717768972874122</v>
      </c>
      <c r="E115" s="3">
        <v>0.35</v>
      </c>
      <c r="F115" s="3">
        <f>(10-3.5-0.33*2)/3.281</f>
        <v>1.7799451386772325</v>
      </c>
      <c r="G115" s="3">
        <f t="shared" si="13"/>
        <v>5.6962584444105273</v>
      </c>
      <c r="H115" s="15"/>
      <c r="I115" s="15"/>
      <c r="J115" s="15"/>
      <c r="K115" s="15"/>
    </row>
    <row r="116" spans="1:11" x14ac:dyDescent="0.25">
      <c r="A116" s="15"/>
      <c r="B116" s="16" t="s">
        <v>87</v>
      </c>
      <c r="C116" s="45">
        <v>-1</v>
      </c>
      <c r="D116" s="3">
        <f>1.5</f>
        <v>1.5</v>
      </c>
      <c r="E116" s="3">
        <v>0.35</v>
      </c>
      <c r="F116" s="3">
        <f>(7-3.5)/3.281</f>
        <v>1.0667479427003961</v>
      </c>
      <c r="G116" s="3">
        <f t="shared" si="13"/>
        <v>-0.56004266991770779</v>
      </c>
      <c r="H116" s="15"/>
      <c r="I116" s="15"/>
      <c r="J116" s="15"/>
      <c r="K116" s="15"/>
    </row>
    <row r="117" spans="1:11" x14ac:dyDescent="0.25">
      <c r="A117" s="15"/>
      <c r="B117" s="16" t="s">
        <v>58</v>
      </c>
      <c r="C117" s="45">
        <v>-2</v>
      </c>
      <c r="D117" s="3">
        <f>3.5/3.281</f>
        <v>1.0667479427003961</v>
      </c>
      <c r="E117" s="3">
        <v>0.35</v>
      </c>
      <c r="F117" s="3">
        <f>(7-3.5)/3.281</f>
        <v>1.0667479427003961</v>
      </c>
      <c r="G117" s="3">
        <f t="shared" si="13"/>
        <v>-0.79656582127886921</v>
      </c>
      <c r="H117" s="15"/>
      <c r="I117" s="15"/>
      <c r="J117" s="15"/>
      <c r="K117" s="15"/>
    </row>
    <row r="118" spans="1:11" s="10" customFormat="1" x14ac:dyDescent="0.25">
      <c r="A118" s="24"/>
      <c r="B118" s="25" t="s">
        <v>107</v>
      </c>
      <c r="C118" s="49">
        <f>C14*2</f>
        <v>2</v>
      </c>
      <c r="D118" s="27">
        <f>N10-O10*2</f>
        <v>1.2163181956720512</v>
      </c>
      <c r="E118" s="27">
        <f>O10</f>
        <v>0.23</v>
      </c>
      <c r="F118" s="27">
        <f>P10</f>
        <v>0.6</v>
      </c>
      <c r="G118" s="27">
        <f>PRODUCT(C118:F118)</f>
        <v>0.33570382200548615</v>
      </c>
      <c r="H118" s="26"/>
      <c r="I118" s="26"/>
      <c r="J118" s="26"/>
      <c r="K118" s="26"/>
    </row>
    <row r="119" spans="1:11" s="10" customFormat="1" x14ac:dyDescent="0.25">
      <c r="A119" s="24"/>
      <c r="B119" s="25" t="s">
        <v>108</v>
      </c>
      <c r="C119" s="49">
        <f>C14</f>
        <v>1</v>
      </c>
      <c r="D119" s="27">
        <f>M10-R10</f>
        <v>1.3197195976836331</v>
      </c>
      <c r="E119" s="27">
        <f>O10</f>
        <v>0.23</v>
      </c>
      <c r="F119" s="27">
        <f>P10</f>
        <v>0.6</v>
      </c>
      <c r="G119" s="27">
        <f>PRODUCT(C119:F119)</f>
        <v>0.18212130448034136</v>
      </c>
      <c r="H119" s="26"/>
      <c r="I119" s="26"/>
      <c r="J119" s="26"/>
      <c r="K119" s="26"/>
    </row>
    <row r="120" spans="1:11" s="10" customFormat="1" x14ac:dyDescent="0.25">
      <c r="A120" s="24"/>
      <c r="B120" s="25" t="s">
        <v>106</v>
      </c>
      <c r="C120" s="49">
        <f>C14</f>
        <v>1</v>
      </c>
      <c r="D120" s="27">
        <f>R10</f>
        <v>0.35659859798841814</v>
      </c>
      <c r="E120" s="27">
        <f>O10</f>
        <v>0.23</v>
      </c>
      <c r="F120" s="27">
        <f>Q10</f>
        <v>1.2</v>
      </c>
      <c r="G120" s="27">
        <f>PRODUCT(C120:F120)</f>
        <v>9.8421213044803404E-2</v>
      </c>
      <c r="H120" s="26"/>
      <c r="I120" s="26"/>
      <c r="J120" s="26"/>
      <c r="K120" s="26"/>
    </row>
    <row r="121" spans="1:11" s="10" customFormat="1" ht="15" customHeight="1" x14ac:dyDescent="0.25">
      <c r="A121" s="17"/>
      <c r="B121" s="18" t="s">
        <v>16</v>
      </c>
      <c r="C121" s="19"/>
      <c r="D121" s="1"/>
      <c r="E121" s="20"/>
      <c r="F121" s="20"/>
      <c r="G121" s="2">
        <f>SUM(G114:G120)</f>
        <v>8.6584642816114226</v>
      </c>
      <c r="H121" s="21" t="s">
        <v>28</v>
      </c>
      <c r="I121" s="2">
        <f>14491.84</f>
        <v>14491.84</v>
      </c>
      <c r="J121" s="22">
        <f>G121*I121</f>
        <v>125477.07901482769</v>
      </c>
      <c r="K121" s="20"/>
    </row>
    <row r="122" spans="1:11" s="10" customFormat="1" x14ac:dyDescent="0.25">
      <c r="A122" s="24"/>
      <c r="B122" s="25" t="s">
        <v>53</v>
      </c>
      <c r="C122" s="26"/>
      <c r="D122" s="27"/>
      <c r="E122" s="27"/>
      <c r="F122" s="27"/>
      <c r="G122" s="27"/>
      <c r="H122" s="26"/>
      <c r="I122" s="26"/>
      <c r="J122" s="22">
        <f>0.13*G121*8481.2</f>
        <v>9546.4417444763658</v>
      </c>
      <c r="K122" s="26"/>
    </row>
    <row r="123" spans="1:11" s="10" customFormat="1" x14ac:dyDescent="0.25">
      <c r="A123" s="24"/>
      <c r="B123" s="25" t="s">
        <v>32</v>
      </c>
      <c r="C123" s="26"/>
      <c r="D123" s="27"/>
      <c r="E123" s="27"/>
      <c r="F123" s="27"/>
      <c r="G123" s="27"/>
      <c r="H123" s="26"/>
      <c r="I123" s="26"/>
      <c r="J123" s="22">
        <f>0.13*G121*912.17</f>
        <v>1026.738877288474</v>
      </c>
      <c r="K123" s="26"/>
    </row>
    <row r="124" spans="1:11" s="10" customFormat="1" x14ac:dyDescent="0.25">
      <c r="A124" s="24"/>
      <c r="B124" s="25" t="s">
        <v>57</v>
      </c>
      <c r="C124" s="26"/>
      <c r="D124" s="27"/>
      <c r="E124" s="27"/>
      <c r="F124" s="27"/>
      <c r="G124" s="27"/>
      <c r="H124" s="26"/>
      <c r="I124" s="26"/>
      <c r="J124" s="22">
        <f>0.13*G121*953.37</f>
        <v>1073.1136119807848</v>
      </c>
      <c r="K124" s="26"/>
    </row>
    <row r="125" spans="1:11" s="10" customFormat="1" x14ac:dyDescent="0.25">
      <c r="A125" s="24"/>
      <c r="B125" s="25" t="s">
        <v>35</v>
      </c>
      <c r="C125" s="26"/>
      <c r="D125" s="27"/>
      <c r="E125" s="27"/>
      <c r="F125" s="27"/>
      <c r="G125" s="27"/>
      <c r="H125" s="26"/>
      <c r="I125" s="26"/>
      <c r="J125" s="22">
        <f>0.13*G121*28</f>
        <v>31.516809985065578</v>
      </c>
      <c r="K125" s="26"/>
    </row>
    <row r="126" spans="1:11" x14ac:dyDescent="0.25">
      <c r="A126" s="15"/>
      <c r="B126" s="15"/>
      <c r="C126" s="15"/>
      <c r="D126" s="15"/>
      <c r="E126" s="15"/>
      <c r="F126" s="15"/>
      <c r="G126" s="15"/>
      <c r="H126" s="15"/>
      <c r="I126" s="15"/>
      <c r="J126" s="15"/>
      <c r="K126" s="15"/>
    </row>
    <row r="127" spans="1:11" ht="30" x14ac:dyDescent="0.25">
      <c r="A127" s="11">
        <v>11</v>
      </c>
      <c r="B127" s="28" t="s">
        <v>51</v>
      </c>
      <c r="C127" s="15"/>
      <c r="D127" s="15"/>
      <c r="E127" s="15"/>
      <c r="F127" s="15"/>
      <c r="G127" s="15"/>
      <c r="H127" s="15"/>
      <c r="I127" s="15"/>
      <c r="J127" s="15"/>
      <c r="K127" s="15"/>
    </row>
    <row r="128" spans="1:11" x14ac:dyDescent="0.25">
      <c r="A128" s="15"/>
      <c r="B128" s="16" t="str">
        <f>B114</f>
        <v>-for wall continue</v>
      </c>
      <c r="C128" s="45">
        <v>1</v>
      </c>
      <c r="D128" s="3">
        <f>(15*2+(9.75+1.17*2)*2)/3.281</f>
        <v>16.513258153002134</v>
      </c>
      <c r="E128" s="3"/>
      <c r="F128" s="3">
        <f>10/3.281</f>
        <v>3.047851264858275</v>
      </c>
      <c r="G128" s="3">
        <f>PRODUCT(C128:F128)</f>
        <v>50.329954748558777</v>
      </c>
      <c r="H128" s="15"/>
      <c r="I128" s="15"/>
      <c r="J128" s="15"/>
      <c r="K128" s="15"/>
    </row>
    <row r="129" spans="1:11" x14ac:dyDescent="0.25">
      <c r="A129" s="15"/>
      <c r="B129" s="16"/>
      <c r="C129" s="45">
        <v>1</v>
      </c>
      <c r="D129" s="3">
        <f>((15-1.17*2)*2+(9.75*2))/3.281</f>
        <v>13.660469369094788</v>
      </c>
      <c r="E129" s="3"/>
      <c r="F129" s="3">
        <f>(10-3.5)/3.281</f>
        <v>1.9811033221578787</v>
      </c>
      <c r="G129" s="3">
        <f>PRODUCT(C129:F129)</f>
        <v>27.062801249349626</v>
      </c>
      <c r="H129" s="15"/>
      <c r="I129" s="15"/>
      <c r="J129" s="15"/>
      <c r="K129" s="15"/>
    </row>
    <row r="130" spans="1:11" x14ac:dyDescent="0.25">
      <c r="A130" s="15"/>
      <c r="B130" s="16" t="str">
        <f>B116</f>
        <v>-deduction for door</v>
      </c>
      <c r="C130" s="45">
        <v>-2</v>
      </c>
      <c r="D130" s="3">
        <f>D116</f>
        <v>1.5</v>
      </c>
      <c r="E130" s="3"/>
      <c r="F130" s="3">
        <f>7/3.281</f>
        <v>2.1334958854007922</v>
      </c>
      <c r="G130" s="3">
        <f t="shared" ref="G130:G133" si="14">PRODUCT(C130:F130)</f>
        <v>-6.400487656202376</v>
      </c>
      <c r="H130" s="15"/>
      <c r="I130" s="15"/>
      <c r="J130" s="15"/>
      <c r="K130" s="15"/>
    </row>
    <row r="131" spans="1:11" x14ac:dyDescent="0.25">
      <c r="A131" s="15"/>
      <c r="B131" s="16" t="str">
        <f>B117</f>
        <v>-deduction for window</v>
      </c>
      <c r="C131" s="45">
        <f>2*C117</f>
        <v>-4</v>
      </c>
      <c r="D131" s="3">
        <f>D117</f>
        <v>1.0667479427003961</v>
      </c>
      <c r="E131" s="3"/>
      <c r="F131" s="3">
        <f>F117</f>
        <v>1.0667479427003961</v>
      </c>
      <c r="G131" s="3">
        <f t="shared" si="14"/>
        <v>-4.5518046930221097</v>
      </c>
      <c r="H131" s="15"/>
      <c r="I131" s="15"/>
      <c r="J131" s="15"/>
      <c r="K131" s="15"/>
    </row>
    <row r="132" spans="1:11" x14ac:dyDescent="0.25">
      <c r="A132" s="15"/>
      <c r="B132" s="16" t="s">
        <v>124</v>
      </c>
      <c r="C132" s="45">
        <v>2</v>
      </c>
      <c r="D132" s="3">
        <f>D52</f>
        <v>2.7811642791831757</v>
      </c>
      <c r="E132" s="3">
        <f>E52</f>
        <v>3.2002438281011885</v>
      </c>
      <c r="F132" s="3"/>
      <c r="G132" s="3">
        <f t="shared" si="14"/>
        <v>17.800807638782896</v>
      </c>
      <c r="H132" s="15"/>
      <c r="I132" s="15"/>
      <c r="J132" s="15"/>
      <c r="K132" s="15"/>
    </row>
    <row r="133" spans="1:11" x14ac:dyDescent="0.25">
      <c r="A133" s="15"/>
      <c r="B133" s="16"/>
      <c r="C133" s="45">
        <v>2</v>
      </c>
      <c r="D133" s="3">
        <f>D53</f>
        <v>2.3239865894544347</v>
      </c>
      <c r="E133" s="3">
        <f>E53</f>
        <v>2.895458701615361</v>
      </c>
      <c r="F133" s="3"/>
      <c r="G133" s="3">
        <f t="shared" si="14"/>
        <v>13.458014385746496</v>
      </c>
      <c r="H133" s="15"/>
      <c r="I133" s="15"/>
      <c r="J133" s="15"/>
      <c r="K133" s="15"/>
    </row>
    <row r="134" spans="1:11" s="10" customFormat="1" x14ac:dyDescent="0.25">
      <c r="A134" s="24"/>
      <c r="B134" s="25" t="str">
        <f>B118</f>
        <v>-for wing walls of stand tap</v>
      </c>
      <c r="C134" s="49">
        <f>C14*4</f>
        <v>4</v>
      </c>
      <c r="D134" s="27">
        <f>M10-O10*2</f>
        <v>1.2163181956720512</v>
      </c>
      <c r="E134" s="27"/>
      <c r="F134" s="27">
        <f>P10</f>
        <v>0.6</v>
      </c>
      <c r="G134" s="27">
        <f>PRODUCT(C134:F134)</f>
        <v>2.9191636696129231</v>
      </c>
      <c r="H134" s="26"/>
      <c r="I134" s="26"/>
      <c r="J134" s="26"/>
      <c r="K134" s="26"/>
    </row>
    <row r="135" spans="1:11" s="10" customFormat="1" x14ac:dyDescent="0.25">
      <c r="A135" s="24"/>
      <c r="B135" s="25" t="str">
        <f>B119</f>
        <v>-for side wall of stand tap</v>
      </c>
      <c r="C135" s="49">
        <f>C14</f>
        <v>1</v>
      </c>
      <c r="D135" s="27">
        <f>M10-R10</f>
        <v>1.3197195976836331</v>
      </c>
      <c r="E135" s="27"/>
      <c r="F135" s="27">
        <f>P10</f>
        <v>0.6</v>
      </c>
      <c r="G135" s="27">
        <f>PRODUCT(C135:F135)</f>
        <v>0.79183175861017985</v>
      </c>
      <c r="H135" s="26"/>
      <c r="I135" s="26"/>
      <c r="J135" s="26"/>
      <c r="K135" s="26"/>
    </row>
    <row r="136" spans="1:11" s="10" customFormat="1" x14ac:dyDescent="0.25">
      <c r="A136" s="24"/>
      <c r="B136" s="25" t="s">
        <v>114</v>
      </c>
      <c r="C136" s="49">
        <f>C14</f>
        <v>1</v>
      </c>
      <c r="D136" s="27">
        <f>R10</f>
        <v>0.35659859798841814</v>
      </c>
      <c r="E136" s="27"/>
      <c r="F136" s="27">
        <f>Q10</f>
        <v>1.2</v>
      </c>
      <c r="G136" s="27">
        <f>PRODUCT(C136:F136)</f>
        <v>0.42791831758610177</v>
      </c>
      <c r="H136" s="26"/>
      <c r="I136" s="26"/>
      <c r="J136" s="26"/>
      <c r="K136" s="26"/>
    </row>
    <row r="137" spans="1:11" s="10" customFormat="1" x14ac:dyDescent="0.25">
      <c r="A137" s="24"/>
      <c r="B137" s="25"/>
      <c r="C137" s="49">
        <f>C136</f>
        <v>1</v>
      </c>
      <c r="D137" s="27">
        <f>O10*2</f>
        <v>0.46</v>
      </c>
      <c r="E137" s="27"/>
      <c r="F137" s="27">
        <f>Q10-P10</f>
        <v>0.6</v>
      </c>
      <c r="G137" s="27">
        <f>PRODUCT(C137:F137)</f>
        <v>0.27600000000000002</v>
      </c>
      <c r="H137" s="26"/>
      <c r="I137" s="26"/>
      <c r="J137" s="26"/>
      <c r="K137" s="26"/>
    </row>
    <row r="138" spans="1:11" s="10" customFormat="1" ht="15" customHeight="1" x14ac:dyDescent="0.25">
      <c r="A138" s="17"/>
      <c r="B138" s="18" t="s">
        <v>16</v>
      </c>
      <c r="C138" s="19"/>
      <c r="D138" s="1"/>
      <c r="E138" s="20"/>
      <c r="F138" s="20"/>
      <c r="G138" s="2">
        <f>SUM(G128:G137)</f>
        <v>102.11419941902254</v>
      </c>
      <c r="H138" s="21" t="s">
        <v>34</v>
      </c>
      <c r="I138" s="2">
        <v>415.5</v>
      </c>
      <c r="J138" s="22">
        <f>G138*I138</f>
        <v>42428.449858603868</v>
      </c>
      <c r="K138" s="20"/>
    </row>
    <row r="139" spans="1:11" s="10" customFormat="1" x14ac:dyDescent="0.25">
      <c r="A139" s="24"/>
      <c r="B139" s="25" t="s">
        <v>32</v>
      </c>
      <c r="C139" s="26"/>
      <c r="D139" s="27"/>
      <c r="E139" s="27"/>
      <c r="F139" s="27"/>
      <c r="G139" s="27"/>
      <c r="H139" s="26"/>
      <c r="I139" s="26"/>
      <c r="J139" s="22">
        <f>0.13*G138*7010.67/100</f>
        <v>930.65564077324643</v>
      </c>
      <c r="K139" s="26"/>
    </row>
    <row r="140" spans="1:11" x14ac:dyDescent="0.25">
      <c r="A140" s="15"/>
      <c r="B140" s="25" t="s">
        <v>31</v>
      </c>
      <c r="C140" s="26"/>
      <c r="D140" s="27"/>
      <c r="E140" s="27"/>
      <c r="F140" s="27"/>
      <c r="G140" s="27"/>
      <c r="H140" s="26"/>
      <c r="I140" s="26"/>
      <c r="J140" s="22">
        <f>0.13*G138*4639.73/100</f>
        <v>615.91700881154782</v>
      </c>
      <c r="K140" s="15"/>
    </row>
    <row r="141" spans="1:11" x14ac:dyDescent="0.25">
      <c r="A141" s="15"/>
      <c r="B141" s="15"/>
      <c r="C141" s="15"/>
      <c r="D141" s="15"/>
      <c r="E141" s="15"/>
      <c r="F141" s="15"/>
      <c r="G141" s="15"/>
      <c r="H141" s="15"/>
      <c r="I141" s="15"/>
      <c r="J141" s="15"/>
      <c r="K141" s="15"/>
    </row>
    <row r="142" spans="1:11" ht="76.5" x14ac:dyDescent="0.25">
      <c r="A142" s="11">
        <v>12</v>
      </c>
      <c r="B142" s="28" t="s">
        <v>134</v>
      </c>
      <c r="C142" s="15"/>
      <c r="D142" s="15"/>
      <c r="E142" s="15"/>
      <c r="F142" s="15"/>
      <c r="G142" s="15"/>
      <c r="H142" s="15"/>
      <c r="I142" s="15"/>
      <c r="J142" s="15"/>
      <c r="K142" s="15"/>
    </row>
    <row r="143" spans="1:11" x14ac:dyDescent="0.25">
      <c r="A143" s="15"/>
      <c r="B143" s="16" t="s">
        <v>135</v>
      </c>
      <c r="C143" s="45">
        <v>1</v>
      </c>
      <c r="D143" s="3">
        <f>((15-1.17*2)*2+(9.75*2))/3.281</f>
        <v>13.660469369094788</v>
      </c>
      <c r="E143" s="3"/>
      <c r="F143" s="3">
        <f>(3.5)/3.281</f>
        <v>1.0667479427003961</v>
      </c>
      <c r="G143" s="3">
        <f>PRODUCT(C143:F143)</f>
        <v>14.572277595803643</v>
      </c>
      <c r="H143" s="15"/>
      <c r="I143" s="15"/>
      <c r="J143" s="15"/>
      <c r="K143" s="15"/>
    </row>
    <row r="144" spans="1:11" s="10" customFormat="1" x14ac:dyDescent="0.25">
      <c r="A144" s="24"/>
      <c r="B144" s="25" t="str">
        <f>B130</f>
        <v>-deduction for door</v>
      </c>
      <c r="C144" s="49">
        <f>-1</f>
        <v>-1</v>
      </c>
      <c r="D144" s="27">
        <f>D130</f>
        <v>1.5</v>
      </c>
      <c r="E144" s="27"/>
      <c r="F144" s="27">
        <f>F143</f>
        <v>1.0667479427003961</v>
      </c>
      <c r="G144" s="27">
        <f>PRODUCT(C144:F144)</f>
        <v>-1.600121914050594</v>
      </c>
      <c r="H144" s="26"/>
      <c r="I144" s="26"/>
      <c r="J144" s="26"/>
      <c r="K144" s="26"/>
    </row>
    <row r="145" spans="1:11" s="10" customFormat="1" ht="15" customHeight="1" x14ac:dyDescent="0.25">
      <c r="A145" s="17"/>
      <c r="B145" s="18" t="s">
        <v>16</v>
      </c>
      <c r="C145" s="19"/>
      <c r="D145" s="1"/>
      <c r="E145" s="20"/>
      <c r="F145" s="20"/>
      <c r="G145" s="2">
        <f>SUM(G143:G144)</f>
        <v>12.972155681753048</v>
      </c>
      <c r="H145" s="21" t="s">
        <v>34</v>
      </c>
      <c r="I145" s="2">
        <v>2845.18</v>
      </c>
      <c r="J145" s="22">
        <f>G145*I145</f>
        <v>36908.117902610131</v>
      </c>
      <c r="K145" s="20"/>
    </row>
    <row r="146" spans="1:11" s="10" customFormat="1" x14ac:dyDescent="0.25">
      <c r="A146" s="24"/>
      <c r="B146" s="25" t="s">
        <v>32</v>
      </c>
      <c r="C146" s="26"/>
      <c r="D146" s="27"/>
      <c r="E146" s="27"/>
      <c r="F146" s="27"/>
      <c r="G146" s="27"/>
      <c r="H146" s="26"/>
      <c r="I146" s="26"/>
      <c r="J146" s="22">
        <f>0.13*G145*729.73/10</f>
        <v>123.06022515339347</v>
      </c>
      <c r="K146" s="26"/>
    </row>
    <row r="147" spans="1:11" x14ac:dyDescent="0.25">
      <c r="A147" s="15"/>
      <c r="B147" s="25" t="s">
        <v>31</v>
      </c>
      <c r="C147" s="26"/>
      <c r="D147" s="27"/>
      <c r="E147" s="27"/>
      <c r="F147" s="27"/>
      <c r="G147" s="27"/>
      <c r="H147" s="26"/>
      <c r="I147" s="26"/>
      <c r="J147" s="22">
        <f>0.13*G145*483.04/10</f>
        <v>81.458911046681905</v>
      </c>
      <c r="K147" s="15"/>
    </row>
    <row r="148" spans="1:11" s="10" customFormat="1" x14ac:dyDescent="0.25">
      <c r="A148" s="24"/>
      <c r="B148" s="25" t="s">
        <v>136</v>
      </c>
      <c r="C148" s="26"/>
      <c r="D148" s="27"/>
      <c r="E148" s="27"/>
      <c r="F148" s="27"/>
      <c r="G148" s="27"/>
      <c r="H148" s="26"/>
      <c r="I148" s="26"/>
      <c r="J148" s="22">
        <f>0.13*G145*100.06/10</f>
        <v>16.873920667710731</v>
      </c>
      <c r="K148" s="26"/>
    </row>
    <row r="149" spans="1:11" x14ac:dyDescent="0.25">
      <c r="A149" s="15"/>
      <c r="B149" s="25" t="s">
        <v>137</v>
      </c>
      <c r="C149" s="26"/>
      <c r="D149" s="27"/>
      <c r="E149" s="27"/>
      <c r="F149" s="27"/>
      <c r="G149" s="27"/>
      <c r="H149" s="26"/>
      <c r="I149" s="26"/>
      <c r="J149" s="22">
        <f>0.13*G145*6746.52/10</f>
        <v>1137.7198007507875</v>
      </c>
      <c r="K149" s="15"/>
    </row>
    <row r="150" spans="1:11" x14ac:dyDescent="0.25">
      <c r="A150" s="15"/>
      <c r="B150" s="15"/>
      <c r="C150" s="15"/>
      <c r="D150" s="15"/>
      <c r="E150" s="15"/>
      <c r="F150" s="15"/>
      <c r="G150" s="15"/>
      <c r="H150" s="15"/>
      <c r="I150" s="15"/>
      <c r="J150" s="15"/>
      <c r="K150" s="15"/>
    </row>
    <row r="151" spans="1:11" ht="30" x14ac:dyDescent="0.25">
      <c r="A151" s="11">
        <v>13</v>
      </c>
      <c r="B151" s="28" t="s">
        <v>59</v>
      </c>
      <c r="C151" s="15"/>
      <c r="D151" s="15"/>
      <c r="E151" s="15"/>
      <c r="F151" s="15"/>
      <c r="G151" s="15"/>
      <c r="H151" s="15"/>
      <c r="I151" s="15"/>
      <c r="J151" s="15"/>
      <c r="K151" s="15"/>
    </row>
    <row r="152" spans="1:11" x14ac:dyDescent="0.25">
      <c r="A152" s="15"/>
      <c r="B152" s="16" t="s">
        <v>85</v>
      </c>
      <c r="C152" s="45">
        <f>C128</f>
        <v>1</v>
      </c>
      <c r="D152" s="3"/>
      <c r="E152" s="3"/>
      <c r="F152" s="3"/>
      <c r="G152" s="3">
        <f>SUM(G128:G133)</f>
        <v>97.699285673213325</v>
      </c>
      <c r="H152" s="15"/>
      <c r="I152" s="15"/>
      <c r="J152" s="15"/>
      <c r="K152" s="15"/>
    </row>
    <row r="153" spans="1:11" s="10" customFormat="1" ht="15" customHeight="1" x14ac:dyDescent="0.25">
      <c r="A153" s="17"/>
      <c r="B153" s="18" t="s">
        <v>16</v>
      </c>
      <c r="C153" s="19"/>
      <c r="D153" s="1"/>
      <c r="E153" s="20"/>
      <c r="F153" s="20"/>
      <c r="G153" s="2">
        <f>SUM(G152:G152)</f>
        <v>97.699285673213325</v>
      </c>
      <c r="H153" s="21" t="s">
        <v>34</v>
      </c>
      <c r="I153" s="2">
        <v>253.8</v>
      </c>
      <c r="J153" s="22">
        <f>G153*I153</f>
        <v>24796.078703861542</v>
      </c>
      <c r="K153" s="20"/>
    </row>
    <row r="154" spans="1:11" s="10" customFormat="1" x14ac:dyDescent="0.25">
      <c r="A154" s="24"/>
      <c r="B154" s="25" t="s">
        <v>60</v>
      </c>
      <c r="C154" s="26"/>
      <c r="D154" s="27"/>
      <c r="E154" s="27"/>
      <c r="F154" s="27"/>
      <c r="G154" s="27"/>
      <c r="H154" s="26"/>
      <c r="I154" s="26"/>
      <c r="J154" s="22">
        <f>0.13*G153*2304/100</f>
        <v>292.62890044840856</v>
      </c>
      <c r="K154" s="26"/>
    </row>
    <row r="155" spans="1:11" s="10" customFormat="1" x14ac:dyDescent="0.25">
      <c r="A155" s="24"/>
      <c r="B155" s="25" t="s">
        <v>61</v>
      </c>
      <c r="C155" s="26"/>
      <c r="D155" s="27"/>
      <c r="E155" s="27"/>
      <c r="F155" s="27"/>
      <c r="G155" s="27"/>
      <c r="H155" s="26"/>
      <c r="I155" s="26"/>
      <c r="J155" s="22">
        <f>0.13*G153*10432/100</f>
        <v>1324.95863258585</v>
      </c>
      <c r="K155" s="26"/>
    </row>
    <row r="156" spans="1:11" s="10" customFormat="1" x14ac:dyDescent="0.25">
      <c r="A156" s="24"/>
      <c r="B156" s="25"/>
      <c r="C156" s="26"/>
      <c r="D156" s="27"/>
      <c r="E156" s="27"/>
      <c r="F156" s="27"/>
      <c r="G156" s="27"/>
      <c r="H156" s="26"/>
      <c r="I156" s="26"/>
      <c r="J156" s="22"/>
      <c r="K156" s="26"/>
    </row>
    <row r="157" spans="1:11" ht="30" x14ac:dyDescent="0.25">
      <c r="A157" s="11">
        <v>14</v>
      </c>
      <c r="B157" s="28" t="s">
        <v>81</v>
      </c>
      <c r="C157" s="15"/>
      <c r="D157" s="15"/>
      <c r="E157" s="15"/>
      <c r="F157" s="15"/>
      <c r="G157" s="15"/>
      <c r="H157" s="15"/>
      <c r="I157" s="15"/>
      <c r="J157" s="15"/>
      <c r="K157" s="15"/>
    </row>
    <row r="158" spans="1:11" x14ac:dyDescent="0.25">
      <c r="A158" s="15"/>
      <c r="B158" s="16" t="s">
        <v>122</v>
      </c>
      <c r="C158" s="45">
        <f>C135</f>
        <v>1</v>
      </c>
      <c r="D158" s="3">
        <f>(18.25*2+15.25*2)/3.281</f>
        <v>20.42060347455044</v>
      </c>
      <c r="E158" s="3"/>
      <c r="F158" s="3"/>
      <c r="G158" s="3">
        <f>PRODUCT(C158:F158)</f>
        <v>20.42060347455044</v>
      </c>
      <c r="H158" s="15"/>
      <c r="I158" s="15"/>
      <c r="J158" s="15"/>
      <c r="K158" s="15"/>
    </row>
    <row r="159" spans="1:11" s="10" customFormat="1" ht="15" customHeight="1" x14ac:dyDescent="0.25">
      <c r="A159" s="17"/>
      <c r="B159" s="18" t="s">
        <v>16</v>
      </c>
      <c r="C159" s="19"/>
      <c r="D159" s="1"/>
      <c r="E159" s="20"/>
      <c r="F159" s="20"/>
      <c r="G159" s="2">
        <f>SUM(G158:G158)</f>
        <v>20.42060347455044</v>
      </c>
      <c r="H159" s="21" t="s">
        <v>82</v>
      </c>
      <c r="I159" s="2">
        <v>144.41</v>
      </c>
      <c r="J159" s="22">
        <f>G159*I159</f>
        <v>2948.9393477598287</v>
      </c>
      <c r="K159" s="20"/>
    </row>
    <row r="160" spans="1:11" s="10" customFormat="1" x14ac:dyDescent="0.25">
      <c r="A160" s="24"/>
      <c r="B160" s="25" t="s">
        <v>32</v>
      </c>
      <c r="C160" s="26"/>
      <c r="D160" s="27"/>
      <c r="E160" s="27"/>
      <c r="F160" s="27"/>
      <c r="G160" s="27"/>
      <c r="H160" s="26"/>
      <c r="I160" s="26"/>
      <c r="J160" s="22">
        <f>0.13*G159*91.21</f>
        <v>242.1332215787869</v>
      </c>
      <c r="K160" s="26"/>
    </row>
    <row r="161" spans="1:11" s="10" customFormat="1" x14ac:dyDescent="0.25">
      <c r="A161" s="24"/>
      <c r="B161" s="25" t="s">
        <v>31</v>
      </c>
      <c r="C161" s="26"/>
      <c r="D161" s="27"/>
      <c r="E161" s="27"/>
      <c r="F161" s="27"/>
      <c r="G161" s="27"/>
      <c r="H161" s="26"/>
      <c r="I161" s="26"/>
      <c r="J161" s="22">
        <f>0.13*G159*12.71</f>
        <v>33.740963120999695</v>
      </c>
      <c r="K161" s="26"/>
    </row>
    <row r="162" spans="1:11" s="10" customFormat="1" x14ac:dyDescent="0.25">
      <c r="A162" s="24"/>
      <c r="B162" s="25" t="s">
        <v>123</v>
      </c>
      <c r="C162" s="26"/>
      <c r="D162" s="27"/>
      <c r="E162" s="27"/>
      <c r="F162" s="27"/>
      <c r="G162" s="27"/>
      <c r="H162" s="26"/>
      <c r="I162" s="26"/>
      <c r="J162" s="22">
        <f>0.13*G159*0.02</f>
        <v>5.3093569033831146E-2</v>
      </c>
      <c r="K162" s="26"/>
    </row>
    <row r="163" spans="1:11" s="10" customFormat="1" x14ac:dyDescent="0.25">
      <c r="A163" s="24"/>
      <c r="B163" s="25"/>
      <c r="C163" s="26"/>
      <c r="D163" s="27"/>
      <c r="E163" s="27"/>
      <c r="F163" s="27"/>
      <c r="G163" s="27"/>
      <c r="H163" s="26"/>
      <c r="I163" s="26"/>
      <c r="J163" s="22"/>
      <c r="K163" s="26"/>
    </row>
    <row r="164" spans="1:11" s="10" customFormat="1" ht="30" x14ac:dyDescent="0.25">
      <c r="A164" s="24">
        <v>15</v>
      </c>
      <c r="B164" s="28" t="s">
        <v>160</v>
      </c>
      <c r="C164" s="26"/>
      <c r="D164" s="27"/>
      <c r="E164" s="27"/>
      <c r="F164" s="27"/>
      <c r="G164" s="27"/>
      <c r="H164" s="26"/>
      <c r="I164" s="26"/>
      <c r="J164" s="22"/>
      <c r="K164" s="26"/>
    </row>
    <row r="165" spans="1:11" x14ac:dyDescent="0.25">
      <c r="A165" s="15"/>
      <c r="B165" s="16" t="s">
        <v>97</v>
      </c>
      <c r="C165" s="45">
        <v>1</v>
      </c>
      <c r="D165" s="3">
        <f>(3.917/3.281)+(8/3.281)*2</f>
        <v>6.0704053642182254</v>
      </c>
      <c r="E165" s="3">
        <v>7.4999999999999997E-2</v>
      </c>
      <c r="F165" s="3">
        <v>0.1</v>
      </c>
      <c r="G165" s="3">
        <f>PRODUCT(C165:F165)</f>
        <v>4.5528040231636695E-2</v>
      </c>
      <c r="H165" s="15"/>
      <c r="I165" s="15"/>
      <c r="J165" s="15"/>
      <c r="K165" s="15"/>
    </row>
    <row r="166" spans="1:11" x14ac:dyDescent="0.25">
      <c r="A166" s="15"/>
      <c r="B166" s="16" t="s">
        <v>98</v>
      </c>
      <c r="C166" s="45">
        <v>2</v>
      </c>
      <c r="D166" s="3">
        <f>(23+23+23+23)/12/3.281</f>
        <v>2.3366859697246776</v>
      </c>
      <c r="E166" s="3">
        <v>7.4999999999999997E-2</v>
      </c>
      <c r="F166" s="3">
        <v>7.4999999999999997E-2</v>
      </c>
      <c r="G166" s="3">
        <f>PRODUCT(C166:F166)</f>
        <v>2.6287717159402622E-2</v>
      </c>
      <c r="H166" s="15"/>
      <c r="I166" s="15"/>
      <c r="J166" s="15"/>
      <c r="K166" s="15"/>
    </row>
    <row r="167" spans="1:11" s="10" customFormat="1" ht="15" customHeight="1" x14ac:dyDescent="0.25">
      <c r="A167" s="17"/>
      <c r="B167" s="18" t="s">
        <v>16</v>
      </c>
      <c r="C167" s="19"/>
      <c r="D167" s="1"/>
      <c r="E167" s="20"/>
      <c r="F167" s="20"/>
      <c r="G167" s="2">
        <f>SUM(G165:G166)</f>
        <v>7.181575739103932E-2</v>
      </c>
      <c r="H167" s="21" t="s">
        <v>28</v>
      </c>
      <c r="I167" s="2">
        <v>284731.83</v>
      </c>
      <c r="J167" s="22">
        <f>G167*I167</f>
        <v>20448.232024786652</v>
      </c>
      <c r="K167" s="20"/>
    </row>
    <row r="168" spans="1:11" s="10" customFormat="1" x14ac:dyDescent="0.25">
      <c r="A168" s="24"/>
      <c r="B168" s="25" t="s">
        <v>99</v>
      </c>
      <c r="C168" s="26"/>
      <c r="D168" s="27"/>
      <c r="E168" s="27"/>
      <c r="F168" s="27"/>
      <c r="G168" s="27"/>
      <c r="H168" s="26"/>
      <c r="I168" s="26"/>
      <c r="J168" s="22">
        <f>0.13*G167*239222.83</f>
        <v>2233.3959338181198</v>
      </c>
      <c r="K168" s="26"/>
    </row>
    <row r="169" spans="1:11" s="10" customFormat="1" x14ac:dyDescent="0.25">
      <c r="A169" s="24"/>
      <c r="B169" s="25"/>
      <c r="C169" s="26"/>
      <c r="D169" s="27"/>
      <c r="E169" s="27"/>
      <c r="F169" s="27"/>
      <c r="G169" s="27"/>
      <c r="H169" s="26"/>
      <c r="I169" s="26"/>
      <c r="J169" s="22"/>
      <c r="K169" s="26"/>
    </row>
    <row r="170" spans="1:11" s="10" customFormat="1" ht="45" x14ac:dyDescent="0.25">
      <c r="A170" s="24">
        <v>16</v>
      </c>
      <c r="B170" s="50" t="s">
        <v>96</v>
      </c>
      <c r="C170" s="26"/>
      <c r="D170" s="27"/>
      <c r="E170" s="27"/>
      <c r="F170" s="27"/>
      <c r="G170" s="27"/>
      <c r="H170" s="26"/>
      <c r="I170" s="26"/>
      <c r="J170" s="22"/>
      <c r="K170" s="26"/>
    </row>
    <row r="171" spans="1:11" x14ac:dyDescent="0.25">
      <c r="A171" s="15"/>
      <c r="B171" s="16" t="s">
        <v>97</v>
      </c>
      <c r="C171" s="45">
        <v>1</v>
      </c>
      <c r="D171" s="3">
        <f>4.5/3.281</f>
        <v>1.3715330691862238</v>
      </c>
      <c r="E171" s="3"/>
      <c r="F171" s="3">
        <f>7/3.281</f>
        <v>2.1334958854007922</v>
      </c>
      <c r="G171" s="3">
        <f>PRODUCT(C171:F171)</f>
        <v>2.9261601597999283</v>
      </c>
      <c r="H171" s="15"/>
      <c r="I171" s="15"/>
      <c r="J171" s="15"/>
      <c r="K171" s="15"/>
    </row>
    <row r="172" spans="1:11" x14ac:dyDescent="0.25">
      <c r="A172" s="15"/>
      <c r="B172" s="16" t="s">
        <v>98</v>
      </c>
      <c r="C172" s="45">
        <v>2</v>
      </c>
      <c r="D172" s="3">
        <f>3.5/3.281</f>
        <v>1.0667479427003961</v>
      </c>
      <c r="E172" s="3"/>
      <c r="F172" s="3">
        <f>3.5/3.281</f>
        <v>1.0667479427003961</v>
      </c>
      <c r="G172" s="3">
        <f>PRODUCT(C172:F172)</f>
        <v>2.2759023465110548</v>
      </c>
      <c r="H172" s="15"/>
      <c r="I172" s="15"/>
      <c r="J172" s="15"/>
      <c r="K172" s="15"/>
    </row>
    <row r="173" spans="1:11" s="10" customFormat="1" ht="15" customHeight="1" x14ac:dyDescent="0.25">
      <c r="A173" s="17"/>
      <c r="B173" s="18" t="s">
        <v>16</v>
      </c>
      <c r="C173" s="19"/>
      <c r="D173" s="1"/>
      <c r="E173" s="20"/>
      <c r="F173" s="20"/>
      <c r="G173" s="2">
        <f>SUM(G171:G172)</f>
        <v>5.2020625063109831</v>
      </c>
      <c r="H173" s="21" t="s">
        <v>28</v>
      </c>
      <c r="I173" s="2">
        <v>37363.64</v>
      </c>
      <c r="J173" s="22">
        <f>G173*I173</f>
        <v>194367.99074330128</v>
      </c>
      <c r="K173" s="20"/>
    </row>
    <row r="174" spans="1:11" s="10" customFormat="1" x14ac:dyDescent="0.25">
      <c r="A174" s="24"/>
      <c r="B174" s="25" t="s">
        <v>99</v>
      </c>
      <c r="C174" s="26"/>
      <c r="D174" s="27"/>
      <c r="E174" s="27"/>
      <c r="F174" s="27"/>
      <c r="G174" s="27"/>
      <c r="H174" s="26"/>
      <c r="I174" s="26"/>
      <c r="J174" s="22">
        <f>0.13*G173*7910.91/0.92</f>
        <v>5815.1046513413921</v>
      </c>
      <c r="K174" s="26"/>
    </row>
    <row r="175" spans="1:11" s="10" customFormat="1" x14ac:dyDescent="0.25">
      <c r="A175" s="24"/>
      <c r="B175" s="25"/>
      <c r="C175" s="26"/>
      <c r="D175" s="27"/>
      <c r="E175" s="27"/>
      <c r="F175" s="27"/>
      <c r="G175" s="27"/>
      <c r="H175" s="26"/>
      <c r="I175" s="26"/>
      <c r="J175" s="22"/>
      <c r="K175" s="26"/>
    </row>
    <row r="176" spans="1:11" s="10" customFormat="1" ht="30" x14ac:dyDescent="0.25">
      <c r="A176" s="24">
        <v>17</v>
      </c>
      <c r="B176" s="50" t="s">
        <v>110</v>
      </c>
      <c r="C176" s="26"/>
      <c r="D176" s="26"/>
      <c r="E176" s="26"/>
      <c r="F176" s="26"/>
      <c r="G176" s="26"/>
      <c r="H176" s="26"/>
      <c r="I176" s="26"/>
      <c r="J176" s="26"/>
      <c r="K176" s="26"/>
    </row>
    <row r="177" spans="1:11" s="10" customFormat="1" x14ac:dyDescent="0.25">
      <c r="A177" s="24"/>
      <c r="B177" s="25" t="s">
        <v>111</v>
      </c>
      <c r="C177" s="26">
        <v>1</v>
      </c>
      <c r="D177" s="27">
        <f>Q10</f>
        <v>1.2</v>
      </c>
      <c r="E177" s="26"/>
      <c r="F177" s="26"/>
      <c r="G177" s="27">
        <f t="shared" ref="G177" si="15">PRODUCT(C177:F177)</f>
        <v>1.2</v>
      </c>
      <c r="H177" s="26"/>
      <c r="I177" s="26"/>
      <c r="J177" s="22"/>
      <c r="K177" s="26"/>
    </row>
    <row r="178" spans="1:11" s="44" customFormat="1" x14ac:dyDescent="0.25">
      <c r="A178" s="17"/>
      <c r="B178" s="55" t="s">
        <v>112</v>
      </c>
      <c r="C178" s="19"/>
      <c r="D178" s="1"/>
      <c r="E178" s="20"/>
      <c r="F178" s="20"/>
      <c r="G178" s="56">
        <f>SUM(G177:G177)</f>
        <v>1.2</v>
      </c>
      <c r="H178" s="21" t="s">
        <v>82</v>
      </c>
      <c r="I178" s="2">
        <v>248</v>
      </c>
      <c r="J178" s="56">
        <f>G178*I178</f>
        <v>297.59999999999997</v>
      </c>
      <c r="K178" s="20"/>
    </row>
    <row r="179" spans="1:11" s="10" customFormat="1" x14ac:dyDescent="0.25">
      <c r="A179" s="24"/>
      <c r="B179" s="25" t="s">
        <v>113</v>
      </c>
      <c r="C179" s="26"/>
      <c r="D179" s="26"/>
      <c r="E179" s="26"/>
      <c r="F179" s="26"/>
      <c r="G179" s="26"/>
      <c r="H179" s="26"/>
      <c r="I179" s="26"/>
      <c r="J179" s="22">
        <f>0.13*J178</f>
        <v>38.687999999999995</v>
      </c>
      <c r="K179" s="26"/>
    </row>
    <row r="180" spans="1:11" s="10" customFormat="1" x14ac:dyDescent="0.25">
      <c r="A180" s="24"/>
      <c r="B180" s="50"/>
      <c r="C180" s="26"/>
      <c r="D180" s="26"/>
      <c r="E180" s="26"/>
      <c r="F180" s="26"/>
      <c r="G180" s="26"/>
      <c r="H180" s="26"/>
      <c r="I180" s="26"/>
      <c r="J180" s="26"/>
      <c r="K180" s="26"/>
    </row>
    <row r="181" spans="1:11" ht="45" x14ac:dyDescent="0.25">
      <c r="A181" s="11">
        <v>18</v>
      </c>
      <c r="B181" s="28" t="s">
        <v>125</v>
      </c>
      <c r="C181" s="59" t="s">
        <v>7</v>
      </c>
      <c r="D181" s="59" t="s">
        <v>27</v>
      </c>
      <c r="E181" s="59" t="s">
        <v>126</v>
      </c>
      <c r="F181" s="59" t="s">
        <v>127</v>
      </c>
      <c r="G181" s="15"/>
      <c r="H181" s="15"/>
      <c r="I181" s="15"/>
      <c r="J181" s="15"/>
      <c r="K181" s="15"/>
    </row>
    <row r="182" spans="1:11" ht="30" x14ac:dyDescent="0.25">
      <c r="A182" s="13"/>
      <c r="B182" s="60" t="s">
        <v>131</v>
      </c>
      <c r="C182" s="45">
        <f>8+6+6+4</f>
        <v>24</v>
      </c>
      <c r="D182" s="3">
        <f>0.9+0.23</f>
        <v>1.1300000000000001</v>
      </c>
      <c r="E182" s="3">
        <v>3.54</v>
      </c>
      <c r="F182" s="3">
        <f>PRODUCT(C182:E182)</f>
        <v>96.004800000000017</v>
      </c>
      <c r="G182" s="3">
        <f>F182</f>
        <v>96.004800000000017</v>
      </c>
      <c r="H182" s="15"/>
      <c r="I182" s="15"/>
      <c r="J182" s="15"/>
      <c r="K182" s="15"/>
    </row>
    <row r="183" spans="1:11" ht="30" x14ac:dyDescent="0.25">
      <c r="A183" s="13"/>
      <c r="B183" s="60" t="s">
        <v>132</v>
      </c>
      <c r="C183" s="45">
        <v>1</v>
      </c>
      <c r="D183" s="3">
        <f>(21+18+18+16-0.25*4)/3.281</f>
        <v>21.94452910697958</v>
      </c>
      <c r="E183" s="3">
        <v>2.93</v>
      </c>
      <c r="F183" s="3">
        <f>PRODUCT(C183:E183)</f>
        <v>64.297470283450167</v>
      </c>
      <c r="G183" s="3">
        <f>F183</f>
        <v>64.297470283450167</v>
      </c>
      <c r="H183" s="15"/>
      <c r="I183" s="15"/>
      <c r="J183" s="15"/>
      <c r="K183" s="15"/>
    </row>
    <row r="184" spans="1:11" s="10" customFormat="1" ht="15" customHeight="1" x14ac:dyDescent="0.25">
      <c r="A184" s="17"/>
      <c r="B184" s="18" t="s">
        <v>16</v>
      </c>
      <c r="C184" s="19"/>
      <c r="D184" s="1"/>
      <c r="E184" s="20"/>
      <c r="F184" s="20"/>
      <c r="G184" s="2">
        <f>SUM(G182:G183)</f>
        <v>160.30227028345018</v>
      </c>
      <c r="H184" s="21" t="s">
        <v>128</v>
      </c>
      <c r="I184" s="2">
        <v>182.51</v>
      </c>
      <c r="J184" s="22">
        <f>G184*I184</f>
        <v>29256.767349432492</v>
      </c>
      <c r="K184" s="20"/>
    </row>
    <row r="185" spans="1:11" s="44" customFormat="1" ht="30" x14ac:dyDescent="0.25">
      <c r="A185" s="24"/>
      <c r="B185" s="61" t="s">
        <v>129</v>
      </c>
      <c r="C185" s="38"/>
      <c r="D185" s="39"/>
      <c r="E185" s="39"/>
      <c r="F185" s="39"/>
      <c r="G185" s="39"/>
      <c r="H185" s="38"/>
      <c r="I185" s="38"/>
      <c r="J185" s="21">
        <f>0.13*G184*1761.42/18.94</f>
        <v>1938.0544477269127</v>
      </c>
      <c r="K185" s="38"/>
    </row>
    <row r="186" spans="1:11" s="10" customFormat="1" x14ac:dyDescent="0.25">
      <c r="A186" s="24"/>
      <c r="B186" s="25" t="s">
        <v>130</v>
      </c>
      <c r="C186" s="26"/>
      <c r="D186" s="27"/>
      <c r="E186" s="27"/>
      <c r="F186" s="27"/>
      <c r="G186" s="27"/>
      <c r="H186" s="26"/>
      <c r="I186" s="26"/>
      <c r="J186" s="22">
        <f>0.13*G184*110/18.94</f>
        <v>121.03075317071475</v>
      </c>
      <c r="K186" s="26"/>
    </row>
    <row r="187" spans="1:11" s="10" customFormat="1" x14ac:dyDescent="0.25">
      <c r="A187" s="24"/>
      <c r="B187" s="25"/>
      <c r="C187" s="26"/>
      <c r="D187" s="27"/>
      <c r="E187" s="27"/>
      <c r="F187" s="27"/>
      <c r="G187" s="27"/>
      <c r="H187" s="26"/>
      <c r="I187" s="26"/>
      <c r="J187" s="22"/>
      <c r="K187" s="26"/>
    </row>
    <row r="188" spans="1:11" s="10" customFormat="1" ht="30" x14ac:dyDescent="0.25">
      <c r="A188" s="17">
        <v>19</v>
      </c>
      <c r="B188" s="30" t="s">
        <v>83</v>
      </c>
      <c r="C188" s="19">
        <v>1</v>
      </c>
      <c r="D188" s="1"/>
      <c r="E188" s="20"/>
      <c r="F188" s="20"/>
      <c r="G188" s="21">
        <f t="shared" ref="G188" si="16">PRODUCT(C188:F188)</f>
        <v>1</v>
      </c>
      <c r="H188" s="21" t="s">
        <v>30</v>
      </c>
      <c r="I188" s="2">
        <v>5000</v>
      </c>
      <c r="J188" s="21">
        <f>G188*I188</f>
        <v>5000</v>
      </c>
      <c r="K188" s="20"/>
    </row>
    <row r="189" spans="1:11" s="10" customFormat="1" x14ac:dyDescent="0.25">
      <c r="A189" s="17"/>
      <c r="B189" s="31"/>
      <c r="C189" s="19"/>
      <c r="D189" s="1"/>
      <c r="E189" s="20"/>
      <c r="F189" s="20"/>
      <c r="G189" s="2"/>
      <c r="H189" s="21"/>
      <c r="I189" s="2"/>
      <c r="J189" s="22"/>
      <c r="K189" s="20"/>
    </row>
    <row r="190" spans="1:11" s="10" customFormat="1" ht="15" customHeight="1" x14ac:dyDescent="0.25">
      <c r="A190" s="17">
        <v>20</v>
      </c>
      <c r="B190" s="30" t="s">
        <v>17</v>
      </c>
      <c r="C190" s="19">
        <v>1</v>
      </c>
      <c r="D190" s="1"/>
      <c r="E190" s="20"/>
      <c r="F190" s="20"/>
      <c r="G190" s="21">
        <f t="shared" ref="G190" si="17">PRODUCT(C190:F190)</f>
        <v>1</v>
      </c>
      <c r="H190" s="21" t="s">
        <v>18</v>
      </c>
      <c r="I190" s="2">
        <v>1000</v>
      </c>
      <c r="J190" s="21">
        <f>G190*I190</f>
        <v>1000</v>
      </c>
      <c r="K190" s="20"/>
    </row>
    <row r="191" spans="1:11" s="10" customFormat="1" x14ac:dyDescent="0.25">
      <c r="A191" s="17"/>
      <c r="B191" s="31"/>
      <c r="C191" s="19"/>
      <c r="D191" s="1"/>
      <c r="E191" s="20"/>
      <c r="F191" s="20"/>
      <c r="G191" s="2"/>
      <c r="H191" s="21"/>
      <c r="I191" s="2"/>
      <c r="J191" s="22"/>
      <c r="K191" s="20"/>
    </row>
    <row r="192" spans="1:11" s="10" customFormat="1" x14ac:dyDescent="0.25">
      <c r="A192" s="32"/>
      <c r="B192" s="33" t="s">
        <v>20</v>
      </c>
      <c r="C192" s="34"/>
      <c r="D192" s="35"/>
      <c r="E192" s="35"/>
      <c r="F192" s="35"/>
      <c r="G192" s="22"/>
      <c r="H192" s="22"/>
      <c r="I192" s="22"/>
      <c r="J192" s="22">
        <f>SUM(J19:J190)</f>
        <v>811738.63240197999</v>
      </c>
      <c r="K192" s="36"/>
    </row>
    <row r="193" spans="1:11" s="10" customFormat="1" x14ac:dyDescent="0.25"/>
    <row r="194" spans="1:11" s="44" customFormat="1" x14ac:dyDescent="0.25">
      <c r="A194" s="37"/>
      <c r="B194" s="38" t="s">
        <v>19</v>
      </c>
      <c r="C194" s="90">
        <f>J192</f>
        <v>811738.63240197999</v>
      </c>
      <c r="D194" s="91"/>
      <c r="E194" s="39">
        <v>100</v>
      </c>
      <c r="F194" s="37"/>
      <c r="G194" s="40"/>
      <c r="H194" s="37"/>
      <c r="I194" s="41"/>
      <c r="J194" s="42"/>
      <c r="K194" s="43"/>
    </row>
    <row r="195" spans="1:11" s="10" customFormat="1" x14ac:dyDescent="0.25">
      <c r="B195" s="38" t="s">
        <v>21</v>
      </c>
      <c r="C195" s="94">
        <v>700000</v>
      </c>
      <c r="D195" s="95"/>
      <c r="E195" s="39"/>
    </row>
    <row r="196" spans="1:11" s="10" customFormat="1" x14ac:dyDescent="0.25">
      <c r="B196" s="38" t="s">
        <v>22</v>
      </c>
      <c r="C196" s="94">
        <f>C195-C198-C199</f>
        <v>665000</v>
      </c>
      <c r="D196" s="95"/>
      <c r="E196" s="39">
        <f>C196/C194*100</f>
        <v>81.922921178733091</v>
      </c>
    </row>
    <row r="197" spans="1:11" s="10" customFormat="1" x14ac:dyDescent="0.25">
      <c r="B197" s="38" t="s">
        <v>26</v>
      </c>
      <c r="C197" s="96">
        <f>C194-C196</f>
        <v>146738.63240197999</v>
      </c>
      <c r="D197" s="96"/>
      <c r="E197" s="39">
        <f>100-E196</f>
        <v>18.077078821266909</v>
      </c>
    </row>
    <row r="198" spans="1:11" s="10" customFormat="1" x14ac:dyDescent="0.25">
      <c r="B198" s="38" t="s">
        <v>23</v>
      </c>
      <c r="C198" s="90">
        <f>C195*0.03</f>
        <v>21000</v>
      </c>
      <c r="D198" s="91"/>
      <c r="E198" s="39">
        <v>3</v>
      </c>
    </row>
    <row r="199" spans="1:11" s="10" customFormat="1" x14ac:dyDescent="0.25">
      <c r="B199" s="38" t="s">
        <v>24</v>
      </c>
      <c r="C199" s="90">
        <f>C195*0.02</f>
        <v>14000</v>
      </c>
      <c r="D199" s="91"/>
      <c r="E199" s="39">
        <v>2</v>
      </c>
    </row>
  </sheetData>
  <mergeCells count="15">
    <mergeCell ref="C198:D198"/>
    <mergeCell ref="C199:D199"/>
    <mergeCell ref="A7:F7"/>
    <mergeCell ref="H7:K7"/>
    <mergeCell ref="C194:D194"/>
    <mergeCell ref="C195:D195"/>
    <mergeCell ref="C196:D196"/>
    <mergeCell ref="C197:D197"/>
    <mergeCell ref="A6:F6"/>
    <mergeCell ref="H6:K6"/>
    <mergeCell ref="A1:K1"/>
    <mergeCell ref="A2:K2"/>
    <mergeCell ref="A3:K3"/>
    <mergeCell ref="A4:K4"/>
    <mergeCell ref="A5:K5"/>
  </mergeCells>
  <pageMargins left="0.7" right="0.7" top="0.75" bottom="0.75" header="0.3" footer="0.3"/>
  <pageSetup scale="80" orientation="portrait" r:id="rId1"/>
  <headerFooter>
    <oddFooter>&amp;LPrepared By:&amp;CChecked By:&amp;RApproved By: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1"/>
  <sheetViews>
    <sheetView view="pageBreakPreview" topLeftCell="A100" zoomScaleNormal="100" zoomScaleSheetLayoutView="100" workbookViewId="0">
      <selection activeCell="I10" sqref="I10"/>
    </sheetView>
  </sheetViews>
  <sheetFormatPr defaultRowHeight="15" x14ac:dyDescent="0.25"/>
  <cols>
    <col min="1" max="1" width="6.28515625" customWidth="1"/>
    <col min="2" max="2" width="39.28515625" customWidth="1"/>
    <col min="3" max="3" width="4.7109375" bestFit="1" customWidth="1"/>
    <col min="4" max="4" width="9.140625" bestFit="1" customWidth="1"/>
    <col min="5" max="7" width="9.5703125" bestFit="1" customWidth="1"/>
    <col min="8" max="8" width="11.140625" bestFit="1" customWidth="1"/>
    <col min="9" max="9" width="9.5703125" bestFit="1" customWidth="1"/>
    <col min="10" max="10" width="12.28515625" bestFit="1" customWidth="1"/>
    <col min="11" max="11" width="11" customWidth="1"/>
    <col min="13" max="13" width="9.5703125" bestFit="1" customWidth="1"/>
  </cols>
  <sheetData>
    <row r="1" spans="1:13" x14ac:dyDescent="0.25">
      <c r="A1" s="112" t="s">
        <v>0</v>
      </c>
      <c r="B1" s="112"/>
      <c r="C1" s="112"/>
      <c r="D1" s="112"/>
      <c r="E1" s="112"/>
      <c r="F1" s="112"/>
      <c r="G1" s="112"/>
      <c r="H1" s="112"/>
      <c r="I1" s="112"/>
      <c r="J1" s="112"/>
      <c r="K1" s="112"/>
    </row>
    <row r="2" spans="1:13" ht="25.5" x14ac:dyDescent="0.35">
      <c r="A2" s="113" t="s">
        <v>1</v>
      </c>
      <c r="B2" s="113"/>
      <c r="C2" s="113"/>
      <c r="D2" s="113"/>
      <c r="E2" s="113"/>
      <c r="F2" s="113"/>
      <c r="G2" s="113"/>
      <c r="H2" s="113"/>
      <c r="I2" s="113"/>
      <c r="J2" s="113"/>
      <c r="K2" s="113"/>
    </row>
    <row r="3" spans="1:13" s="14" customFormat="1" x14ac:dyDescent="0.25">
      <c r="A3" s="114" t="s">
        <v>2</v>
      </c>
      <c r="B3" s="114"/>
      <c r="C3" s="114"/>
      <c r="D3" s="114"/>
      <c r="E3" s="114"/>
      <c r="F3" s="114"/>
      <c r="G3" s="114"/>
      <c r="H3" s="114"/>
      <c r="I3" s="114"/>
      <c r="J3" s="114"/>
      <c r="K3" s="114"/>
    </row>
    <row r="4" spans="1:13" s="14" customFormat="1" x14ac:dyDescent="0.25">
      <c r="A4" s="114" t="s">
        <v>3</v>
      </c>
      <c r="B4" s="114"/>
      <c r="C4" s="114"/>
      <c r="D4" s="114"/>
      <c r="E4" s="114"/>
      <c r="F4" s="114"/>
      <c r="G4" s="114"/>
      <c r="H4" s="114"/>
      <c r="I4" s="114"/>
      <c r="J4" s="114"/>
      <c r="K4" s="114"/>
    </row>
    <row r="5" spans="1:13" ht="18.75" x14ac:dyDescent="0.3">
      <c r="A5" s="115" t="s">
        <v>139</v>
      </c>
      <c r="B5" s="115"/>
      <c r="C5" s="115"/>
      <c r="D5" s="115"/>
      <c r="E5" s="115"/>
      <c r="F5" s="115"/>
      <c r="G5" s="115"/>
      <c r="H5" s="115"/>
      <c r="I5" s="115"/>
      <c r="J5" s="115"/>
      <c r="K5" s="115"/>
    </row>
    <row r="6" spans="1:13" ht="18.75" x14ac:dyDescent="0.3">
      <c r="A6" s="66" t="s">
        <v>140</v>
      </c>
      <c r="B6" s="66"/>
      <c r="C6" s="110">
        <f>F101</f>
        <v>615013.60814201215</v>
      </c>
      <c r="D6" s="111"/>
      <c r="E6" s="67"/>
      <c r="F6" s="66"/>
      <c r="G6" s="66"/>
      <c r="H6" s="66" t="s">
        <v>141</v>
      </c>
      <c r="I6" s="66"/>
      <c r="J6" s="110">
        <f>I101</f>
        <v>383357.4856272373</v>
      </c>
      <c r="K6" s="111"/>
    </row>
    <row r="7" spans="1:13" x14ac:dyDescent="0.25">
      <c r="A7" s="68" t="s">
        <v>142</v>
      </c>
      <c r="B7" s="68"/>
      <c r="C7" s="68"/>
      <c r="D7" s="68"/>
      <c r="F7" s="106"/>
      <c r="G7" s="106"/>
      <c r="I7" s="107" t="s">
        <v>143</v>
      </c>
      <c r="J7" s="107"/>
      <c r="K7" s="107"/>
    </row>
    <row r="8" spans="1:13" ht="18" customHeight="1" x14ac:dyDescent="0.25">
      <c r="A8" s="84" t="s">
        <v>94</v>
      </c>
      <c r="B8" s="84"/>
      <c r="C8" s="84"/>
      <c r="D8" s="84"/>
      <c r="E8" s="84"/>
      <c r="F8" s="84"/>
      <c r="I8" s="108" t="s">
        <v>144</v>
      </c>
      <c r="J8" s="108"/>
      <c r="K8" s="108"/>
    </row>
    <row r="9" spans="1:13" x14ac:dyDescent="0.25">
      <c r="A9" s="109" t="str">
        <f>[7]estimate!A7</f>
        <v>Location:- Shankharapur Municipality 1</v>
      </c>
      <c r="B9" s="109"/>
      <c r="C9" s="109"/>
      <c r="D9" s="109"/>
      <c r="E9" s="109"/>
      <c r="F9" s="109"/>
      <c r="I9" s="108" t="s">
        <v>158</v>
      </c>
      <c r="J9" s="108"/>
      <c r="K9" s="108"/>
    </row>
    <row r="11" spans="1:13" x14ac:dyDescent="0.25">
      <c r="A11" s="104" t="s">
        <v>145</v>
      </c>
      <c r="B11" s="104" t="s">
        <v>146</v>
      </c>
      <c r="C11" s="104" t="s">
        <v>12</v>
      </c>
      <c r="D11" s="105" t="s">
        <v>147</v>
      </c>
      <c r="E11" s="105"/>
      <c r="F11" s="105"/>
      <c r="G11" s="105" t="s">
        <v>148</v>
      </c>
      <c r="H11" s="105"/>
      <c r="I11" s="105"/>
      <c r="J11" s="104" t="s">
        <v>149</v>
      </c>
      <c r="K11" s="103" t="s">
        <v>150</v>
      </c>
    </row>
    <row r="12" spans="1:13" x14ac:dyDescent="0.25">
      <c r="A12" s="104"/>
      <c r="B12" s="104"/>
      <c r="C12" s="104"/>
      <c r="D12" s="69" t="s">
        <v>151</v>
      </c>
      <c r="E12" s="69" t="s">
        <v>13</v>
      </c>
      <c r="F12" s="69" t="s">
        <v>14</v>
      </c>
      <c r="G12" s="69" t="s">
        <v>151</v>
      </c>
      <c r="H12" s="69" t="s">
        <v>13</v>
      </c>
      <c r="I12" s="69" t="s">
        <v>14</v>
      </c>
      <c r="J12" s="104"/>
      <c r="K12" s="103"/>
    </row>
    <row r="13" spans="1:13" s="14" customFormat="1" ht="30" x14ac:dyDescent="0.2">
      <c r="A13" s="70">
        <f>'total slope'!A9</f>
        <v>1</v>
      </c>
      <c r="B13" s="12" t="str">
        <f>'total slope'!B9</f>
        <v>g/d k|sf/sf] Sn] / l;N6L df6f]df ;j} lsl;dsf] vGg] sfd</v>
      </c>
      <c r="C13" s="23" t="str">
        <f>'total slope'!H11</f>
        <v>cum</v>
      </c>
      <c r="D13" s="23">
        <f>'total slope'!G11</f>
        <v>0.42150640397118022</v>
      </c>
      <c r="E13" s="23">
        <f>'total slope'!I11</f>
        <v>674.12</v>
      </c>
      <c r="F13" s="23">
        <f>D13*E13</f>
        <v>284.14589704505204</v>
      </c>
      <c r="G13" s="23">
        <f>V!G11</f>
        <v>0</v>
      </c>
      <c r="H13" s="23">
        <f>V!I11</f>
        <v>674.12</v>
      </c>
      <c r="I13" s="23">
        <f>G13*H13</f>
        <v>0</v>
      </c>
      <c r="J13" s="71">
        <f>I13-F13</f>
        <v>-284.14589704505204</v>
      </c>
      <c r="K13" s="47"/>
      <c r="M13" s="14">
        <f>1.25*F13</f>
        <v>355.18237130631508</v>
      </c>
    </row>
    <row r="14" spans="1:13" s="14" customFormat="1" x14ac:dyDescent="0.25">
      <c r="A14" s="72"/>
      <c r="B14" s="73"/>
      <c r="C14" s="23"/>
      <c r="D14" s="23"/>
      <c r="E14" s="23"/>
      <c r="F14" s="23"/>
      <c r="G14" s="23"/>
      <c r="H14" s="23"/>
      <c r="I14" s="23"/>
      <c r="J14" s="71"/>
      <c r="K14" s="47"/>
    </row>
    <row r="15" spans="1:13" s="14" customFormat="1" x14ac:dyDescent="0.2">
      <c r="A15" s="70">
        <f>'total slope'!A13</f>
        <v>2</v>
      </c>
      <c r="B15" s="12" t="str">
        <f>'total slope'!B13</f>
        <v>;'Vvf O{6f RofK6f] 5fKg] sfd</v>
      </c>
      <c r="C15" s="23" t="str">
        <f>'total slope'!H15</f>
        <v>sqm</v>
      </c>
      <c r="D15" s="23">
        <f>'total slope'!G15</f>
        <v>2.8100426931412015</v>
      </c>
      <c r="E15" s="23">
        <f>'total slope'!I15</f>
        <v>1017.47</v>
      </c>
      <c r="F15" s="23">
        <f>D15*E15</f>
        <v>2859.1341389903782</v>
      </c>
      <c r="G15" s="23">
        <f>V!G15</f>
        <v>0</v>
      </c>
      <c r="H15" s="23">
        <f>V!I15</f>
        <v>1017.47</v>
      </c>
      <c r="I15" s="23">
        <f>G15*H15</f>
        <v>0</v>
      </c>
      <c r="J15" s="71">
        <f>I15-F15</f>
        <v>-2859.1341389903782</v>
      </c>
      <c r="K15" s="47"/>
      <c r="M15" s="14">
        <f t="shared" ref="M15:M36" si="0">1.25*F15</f>
        <v>3573.917673737973</v>
      </c>
    </row>
    <row r="16" spans="1:13" s="14" customFormat="1" x14ac:dyDescent="0.25">
      <c r="A16" s="70"/>
      <c r="B16" s="74" t="str">
        <f>'total slope'!B16</f>
        <v>-13% VAT for brick</v>
      </c>
      <c r="C16" s="23"/>
      <c r="D16" s="23"/>
      <c r="E16" s="23"/>
      <c r="F16" s="23">
        <f>'total slope'!J16</f>
        <v>232.36720736842426</v>
      </c>
      <c r="G16" s="23"/>
      <c r="H16" s="23"/>
      <c r="I16" s="23">
        <f>V!J16</f>
        <v>0</v>
      </c>
      <c r="J16" s="71">
        <f>I16-F16</f>
        <v>-232.36720736842426</v>
      </c>
      <c r="K16" s="47"/>
    </row>
    <row r="17" spans="1:13" s="14" customFormat="1" x14ac:dyDescent="0.25">
      <c r="A17" s="70"/>
      <c r="B17" s="74" t="str">
        <f>'total slope'!B17</f>
        <v>-13% VAT for sand</v>
      </c>
      <c r="C17" s="23"/>
      <c r="D17" s="23"/>
      <c r="E17" s="23"/>
      <c r="F17" s="23">
        <f>'total slope'!J17</f>
        <v>82.423891270948417</v>
      </c>
      <c r="G17" s="23"/>
      <c r="H17" s="23"/>
      <c r="I17" s="23">
        <f>V!J17</f>
        <v>0</v>
      </c>
      <c r="J17" s="71">
        <f>I17-F17</f>
        <v>-82.423891270948417</v>
      </c>
      <c r="K17" s="47"/>
    </row>
    <row r="18" spans="1:13" s="14" customFormat="1" ht="15.75" x14ac:dyDescent="0.25">
      <c r="A18" s="70"/>
      <c r="B18" s="75"/>
      <c r="C18" s="23"/>
      <c r="D18" s="23"/>
      <c r="E18" s="23"/>
      <c r="F18" s="23"/>
      <c r="G18" s="23"/>
      <c r="H18" s="23"/>
      <c r="I18" s="23"/>
      <c r="J18" s="71"/>
      <c r="K18" s="47"/>
    </row>
    <row r="19" spans="1:13" s="14" customFormat="1" ht="30" x14ac:dyDescent="0.2">
      <c r="A19" s="70">
        <f>'total slope'!A19</f>
        <v>3</v>
      </c>
      <c r="B19" s="12" t="str">
        <f>'total slope'!B19</f>
        <v>d]lzgsf] k|of]u u/L hu leQf kvf{ndf l;d]G6 s+lqm6 ug]{ sfd -!M@M$_</v>
      </c>
      <c r="C19" s="23" t="str">
        <f>'total slope'!H23</f>
        <v>cum</v>
      </c>
      <c r="D19" s="23">
        <f>'total slope'!G23</f>
        <v>0.80904450095081626</v>
      </c>
      <c r="E19" s="23">
        <f>'total slope'!I23</f>
        <v>12884.61</v>
      </c>
      <c r="F19" s="23">
        <f>D19*E19</f>
        <v>10424.222867395898</v>
      </c>
      <c r="G19" s="23">
        <f>V!G23</f>
        <v>0</v>
      </c>
      <c r="H19" s="23">
        <f>V!I23</f>
        <v>12884.61</v>
      </c>
      <c r="I19" s="23">
        <f>G19*H19</f>
        <v>0</v>
      </c>
      <c r="J19" s="71">
        <f>I19-F19</f>
        <v>-10424.222867395898</v>
      </c>
      <c r="K19" s="47"/>
      <c r="M19" s="14">
        <f t="shared" ref="M19:M20" si="1">1.25*F19</f>
        <v>13030.278584244872</v>
      </c>
    </row>
    <row r="20" spans="1:13" s="14" customFormat="1" ht="15.75" x14ac:dyDescent="0.25">
      <c r="A20" s="70"/>
      <c r="B20" s="76" t="str">
        <f>'total slope'!B24</f>
        <v>-13% VAT for cement</v>
      </c>
      <c r="C20" s="23"/>
      <c r="D20" s="23"/>
      <c r="E20" s="23"/>
      <c r="F20" s="23">
        <f>'total slope'!J24</f>
        <v>438.57460990262763</v>
      </c>
      <c r="G20" s="23"/>
      <c r="H20" s="23"/>
      <c r="I20" s="23">
        <f>V!J24</f>
        <v>0</v>
      </c>
      <c r="J20" s="71">
        <f>I20-F20</f>
        <v>-438.57460990262763</v>
      </c>
      <c r="K20" s="47"/>
      <c r="M20" s="14">
        <f t="shared" si="1"/>
        <v>548.21826237828452</v>
      </c>
    </row>
    <row r="21" spans="1:13" s="14" customFormat="1" ht="15.75" x14ac:dyDescent="0.25">
      <c r="A21" s="70"/>
      <c r="B21" s="76" t="str">
        <f>'total slope'!B25</f>
        <v>-13% VAT for aggregate</v>
      </c>
      <c r="C21" s="23"/>
      <c r="D21" s="23"/>
      <c r="E21" s="23"/>
      <c r="F21" s="23">
        <f>'total slope'!J25</f>
        <v>290.22837201718613</v>
      </c>
      <c r="G21" s="23"/>
      <c r="H21" s="23"/>
      <c r="I21" s="23">
        <f>V!J25</f>
        <v>0</v>
      </c>
      <c r="J21" s="71">
        <f t="shared" ref="J21:J25" si="2">I21-F21</f>
        <v>-290.22837201718613</v>
      </c>
      <c r="K21" s="47"/>
    </row>
    <row r="22" spans="1:13" s="14" customFormat="1" ht="15.75" x14ac:dyDescent="0.25">
      <c r="A22" s="70"/>
      <c r="B22" s="76" t="str">
        <f>'total slope'!B26</f>
        <v>-13% VAT for sand</v>
      </c>
      <c r="C22" s="23"/>
      <c r="D22" s="23"/>
      <c r="E22" s="23"/>
      <c r="F22" s="23">
        <f>'total slope'!J26</f>
        <v>148.73538829039884</v>
      </c>
      <c r="G22" s="23"/>
      <c r="H22" s="23"/>
      <c r="I22" s="23">
        <f>V!J26</f>
        <v>0</v>
      </c>
      <c r="J22" s="71">
        <f t="shared" si="2"/>
        <v>-148.73538829039884</v>
      </c>
      <c r="K22" s="47"/>
    </row>
    <row r="23" spans="1:13" s="14" customFormat="1" ht="15.75" x14ac:dyDescent="0.25">
      <c r="A23" s="70"/>
      <c r="B23" s="76" t="str">
        <f>'total slope'!B27</f>
        <v>-13% VAT for water</v>
      </c>
      <c r="C23" s="23"/>
      <c r="D23" s="23"/>
      <c r="E23" s="23"/>
      <c r="F23" s="23">
        <f>'total slope'!J27</f>
        <v>3.8283985784992627</v>
      </c>
      <c r="G23" s="23"/>
      <c r="H23" s="23"/>
      <c r="I23" s="23">
        <f>V!J27</f>
        <v>0</v>
      </c>
      <c r="J23" s="71">
        <f t="shared" si="2"/>
        <v>-3.8283985784992627</v>
      </c>
      <c r="K23" s="47"/>
    </row>
    <row r="24" spans="1:13" s="14" customFormat="1" ht="15.75" x14ac:dyDescent="0.25">
      <c r="A24" s="70"/>
      <c r="B24" s="76" t="str">
        <f>'total slope'!B28</f>
        <v>-13% VAT for diesel</v>
      </c>
      <c r="C24" s="23"/>
      <c r="D24" s="23"/>
      <c r="E24" s="23"/>
      <c r="F24" s="23">
        <f>'total slope'!J28</f>
        <v>41.325669490767318</v>
      </c>
      <c r="G24" s="23"/>
      <c r="H24" s="23"/>
      <c r="I24" s="23">
        <f>V!J28</f>
        <v>0</v>
      </c>
      <c r="J24" s="71">
        <f t="shared" si="2"/>
        <v>-41.325669490767318</v>
      </c>
      <c r="K24" s="47"/>
    </row>
    <row r="25" spans="1:13" s="14" customFormat="1" ht="15.75" x14ac:dyDescent="0.25">
      <c r="A25" s="70"/>
      <c r="B25" s="76" t="str">
        <f>'total slope'!B29</f>
        <v>-13% VAT for petrol</v>
      </c>
      <c r="C25" s="23"/>
      <c r="D25" s="23"/>
      <c r="E25" s="23"/>
      <c r="F25" s="23">
        <f>'total slope'!J29</f>
        <v>1.4882373594990266</v>
      </c>
      <c r="G25" s="23"/>
      <c r="H25" s="23"/>
      <c r="I25" s="23">
        <f>V!J29</f>
        <v>0</v>
      </c>
      <c r="J25" s="71">
        <f t="shared" si="2"/>
        <v>-1.4882373594990266</v>
      </c>
      <c r="K25" s="47"/>
    </row>
    <row r="26" spans="1:13" s="14" customFormat="1" ht="15.75" x14ac:dyDescent="0.25">
      <c r="A26" s="70"/>
      <c r="B26" s="76"/>
      <c r="C26" s="23"/>
      <c r="D26" s="23"/>
      <c r="E26" s="23"/>
      <c r="F26" s="23"/>
      <c r="G26" s="23"/>
      <c r="H26" s="23"/>
      <c r="I26" s="23"/>
      <c r="J26" s="71"/>
      <c r="K26" s="47"/>
    </row>
    <row r="27" spans="1:13" s="14" customFormat="1" ht="30" x14ac:dyDescent="0.2">
      <c r="A27" s="70">
        <f>'total slope'!A31</f>
        <v>4</v>
      </c>
      <c r="B27" s="12" t="str">
        <f>'total slope'!B31</f>
        <v>d]lzgsf] k|of]u u/L ;'k/ :6«Sr/df l;d]G6 s+lqm6 ug]{ sfd -!M!=%M#_</v>
      </c>
      <c r="C27" s="23" t="str">
        <f>'total slope'!H39</f>
        <v>cum</v>
      </c>
      <c r="D27" s="23">
        <f>'total slope'!G39</f>
        <v>4.4914970526321456</v>
      </c>
      <c r="E27" s="23">
        <f>'total slope'!I39</f>
        <v>13957.29</v>
      </c>
      <c r="F27" s="23">
        <f>D27*E27</f>
        <v>62689.126897732123</v>
      </c>
      <c r="G27" s="23">
        <f>V!G42</f>
        <v>5.4160946040584808</v>
      </c>
      <c r="H27" s="23">
        <f>V!I42</f>
        <v>13957.29</v>
      </c>
      <c r="I27" s="23">
        <f>G27*H27</f>
        <v>75594.003056279398</v>
      </c>
      <c r="J27" s="71">
        <f>I27-F27</f>
        <v>12904.876158547275</v>
      </c>
      <c r="K27" s="47"/>
      <c r="M27" s="14">
        <f t="shared" si="0"/>
        <v>78361.408622165152</v>
      </c>
    </row>
    <row r="28" spans="1:13" s="14" customFormat="1" ht="15.75" x14ac:dyDescent="0.25">
      <c r="A28" s="70"/>
      <c r="B28" s="76" t="str">
        <f>'total slope'!B40</f>
        <v>-13% VAT for cement</v>
      </c>
      <c r="C28" s="23"/>
      <c r="D28" s="23"/>
      <c r="E28" s="23"/>
      <c r="F28" s="23">
        <f>'total slope'!J40</f>
        <v>3043.492300828173</v>
      </c>
      <c r="G28" s="23"/>
      <c r="H28" s="23"/>
      <c r="I28" s="23">
        <f>V!J43</f>
        <v>3670.0106968452747</v>
      </c>
      <c r="J28" s="71">
        <f>I28-F28</f>
        <v>626.51839601710162</v>
      </c>
      <c r="K28" s="47"/>
      <c r="M28" s="14">
        <f t="shared" si="0"/>
        <v>3804.3653760352163</v>
      </c>
    </row>
    <row r="29" spans="1:13" s="14" customFormat="1" ht="15.75" x14ac:dyDescent="0.25">
      <c r="A29" s="70"/>
      <c r="B29" s="76" t="str">
        <f>'total slope'!B41</f>
        <v>-13% VAT for aggregate</v>
      </c>
      <c r="C29" s="23"/>
      <c r="D29" s="23"/>
      <c r="E29" s="23"/>
      <c r="F29" s="23">
        <f>'total slope'!J41</f>
        <v>1654.5354641763349</v>
      </c>
      <c r="G29" s="23"/>
      <c r="H29" s="23"/>
      <c r="I29" s="23">
        <f>V!J44</f>
        <v>1995.1300189537849</v>
      </c>
      <c r="J29" s="71">
        <f t="shared" ref="J29:J32" si="3">I29-F29</f>
        <v>340.59455477744996</v>
      </c>
      <c r="K29" s="47"/>
    </row>
    <row r="30" spans="1:13" s="14" customFormat="1" ht="15.75" x14ac:dyDescent="0.25">
      <c r="A30" s="70"/>
      <c r="B30" s="76" t="str">
        <f>'total slope'!B42</f>
        <v>-13% VAT for sand</v>
      </c>
      <c r="C30" s="23"/>
      <c r="D30" s="23"/>
      <c r="E30" s="23"/>
      <c r="F30" s="23">
        <f>'total slope'!J42</f>
        <v>788.60806950704682</v>
      </c>
      <c r="G30" s="23"/>
      <c r="H30" s="23"/>
      <c r="I30" s="23">
        <f>V!J45</f>
        <v>950.94705839137987</v>
      </c>
      <c r="J30" s="71">
        <f t="shared" si="3"/>
        <v>162.33898888433305</v>
      </c>
      <c r="K30" s="47"/>
    </row>
    <row r="31" spans="1:13" s="14" customFormat="1" ht="15.75" x14ac:dyDescent="0.25">
      <c r="A31" s="70"/>
      <c r="B31" s="76" t="str">
        <f>'total slope'!B43</f>
        <v>-13% VAT for water</v>
      </c>
      <c r="C31" s="23"/>
      <c r="D31" s="23"/>
      <c r="E31" s="23"/>
      <c r="F31" s="23">
        <f>'total slope'!J43</f>
        <v>32.698098543162018</v>
      </c>
      <c r="G31" s="23"/>
      <c r="H31" s="23"/>
      <c r="I31" s="23">
        <f>V!J46</f>
        <v>39.429168717545735</v>
      </c>
      <c r="J31" s="71">
        <f t="shared" si="3"/>
        <v>6.7310701743837171</v>
      </c>
      <c r="K31" s="47"/>
    </row>
    <row r="32" spans="1:13" s="14" customFormat="1" ht="15.75" x14ac:dyDescent="0.25">
      <c r="A32" s="70"/>
      <c r="B32" s="76" t="str">
        <f>'total slope'!B44</f>
        <v>-13% VAT for diesel</v>
      </c>
      <c r="C32" s="23"/>
      <c r="D32" s="23"/>
      <c r="E32" s="23"/>
      <c r="F32" s="23">
        <f>'total slope'!J44</f>
        <v>229.42387284962894</v>
      </c>
      <c r="G32" s="23"/>
      <c r="H32" s="23"/>
      <c r="I32" s="23">
        <f>V!J47</f>
        <v>276.6519459374656</v>
      </c>
      <c r="J32" s="71">
        <f t="shared" si="3"/>
        <v>47.228073087836663</v>
      </c>
      <c r="K32" s="47"/>
    </row>
    <row r="33" spans="1:13" s="14" customFormat="1" ht="15.75" x14ac:dyDescent="0.25">
      <c r="A33" s="70"/>
      <c r="B33" s="76" t="str">
        <f>'total slope'!B45</f>
        <v>-13% VAT for petrol</v>
      </c>
      <c r="C33" s="23"/>
      <c r="D33" s="23"/>
      <c r="E33" s="23"/>
      <c r="F33" s="23">
        <f>'total slope'!J45</f>
        <v>8.2621088283168316</v>
      </c>
      <c r="G33" s="23"/>
      <c r="H33" s="23"/>
      <c r="I33" s="23">
        <f>V!J48</f>
        <v>9.9629060241655747</v>
      </c>
      <c r="J33" s="71">
        <f t="shared" ref="J33" si="4">I33-F33</f>
        <v>1.7007971958487431</v>
      </c>
      <c r="K33" s="47"/>
    </row>
    <row r="34" spans="1:13" s="14" customFormat="1" x14ac:dyDescent="0.25">
      <c r="A34" s="72"/>
      <c r="B34" s="73"/>
      <c r="C34" s="23"/>
      <c r="D34" s="23"/>
      <c r="E34" s="23"/>
      <c r="F34" s="23"/>
      <c r="G34" s="23"/>
      <c r="H34" s="23"/>
      <c r="I34" s="23"/>
      <c r="J34" s="71"/>
      <c r="K34" s="47"/>
    </row>
    <row r="35" spans="1:13" s="14" customFormat="1" ht="31.5" x14ac:dyDescent="0.25">
      <c r="A35" s="70">
        <f>'total slope'!A47</f>
        <v>5</v>
      </c>
      <c r="B35" s="75" t="str">
        <f>'total slope'!B47</f>
        <v>kmnfd]sf] kfOk / KnfOaf]8{af6 kmdf{ agfpg] sfd</v>
      </c>
      <c r="C35" s="23" t="str">
        <f>'total slope'!H55</f>
        <v>sqm</v>
      </c>
      <c r="D35" s="23">
        <f>'total slope'!G55</f>
        <v>50.578395813008513</v>
      </c>
      <c r="E35" s="23">
        <f>'total slope'!I55</f>
        <v>922.71</v>
      </c>
      <c r="F35" s="23">
        <f>D35*E35</f>
        <v>46669.191600621089</v>
      </c>
      <c r="G35" s="23">
        <f>V!G62</f>
        <v>64.794742777052321</v>
      </c>
      <c r="H35" s="23">
        <f>V!I62</f>
        <v>922.71</v>
      </c>
      <c r="I35" s="23">
        <f>G35*H35</f>
        <v>59786.757107813952</v>
      </c>
      <c r="J35" s="71">
        <f>I35-F35</f>
        <v>13117.565507192863</v>
      </c>
      <c r="K35" s="47"/>
      <c r="M35" s="14">
        <f t="shared" si="0"/>
        <v>58336.489500776363</v>
      </c>
    </row>
    <row r="36" spans="1:13" s="14" customFormat="1" ht="15.75" x14ac:dyDescent="0.25">
      <c r="A36" s="70"/>
      <c r="B36" s="76" t="str">
        <f>'total slope'!B56</f>
        <v>-13% VAT for plyboard</v>
      </c>
      <c r="C36" s="23"/>
      <c r="D36" s="23"/>
      <c r="E36" s="23"/>
      <c r="F36" s="23">
        <f>'total slope'!J56</f>
        <v>1319.1162248790411</v>
      </c>
      <c r="G36" s="23"/>
      <c r="H36" s="23"/>
      <c r="I36" s="23">
        <f>V!J63</f>
        <v>1689.8874531345032</v>
      </c>
      <c r="J36" s="71">
        <f>I36-F36</f>
        <v>370.77122825546212</v>
      </c>
      <c r="K36" s="47"/>
      <c r="M36" s="14">
        <f t="shared" si="0"/>
        <v>1648.8952810988012</v>
      </c>
    </row>
    <row r="37" spans="1:13" s="14" customFormat="1" ht="15.75" x14ac:dyDescent="0.25">
      <c r="A37" s="70"/>
      <c r="B37" s="76" t="str">
        <f>'total slope'!B57</f>
        <v>-13% VAT for wood</v>
      </c>
      <c r="C37" s="23"/>
      <c r="D37" s="23"/>
      <c r="E37" s="23"/>
      <c r="F37" s="23">
        <f>'total slope'!J57</f>
        <v>876.35795519314979</v>
      </c>
      <c r="G37" s="23"/>
      <c r="H37" s="23"/>
      <c r="I37" s="23">
        <f>V!J64</f>
        <v>1122.6806895437219</v>
      </c>
      <c r="J37" s="71">
        <f t="shared" ref="J37:J39" si="5">I37-F37</f>
        <v>246.32273435057209</v>
      </c>
      <c r="K37" s="47"/>
    </row>
    <row r="38" spans="1:13" s="14" customFormat="1" ht="15.75" x14ac:dyDescent="0.25">
      <c r="A38" s="70"/>
      <c r="B38" s="76" t="str">
        <f>'total slope'!B58</f>
        <v>-13% VAT for iron props</v>
      </c>
      <c r="C38" s="23"/>
      <c r="D38" s="23"/>
      <c r="E38" s="23"/>
      <c r="F38" s="23">
        <f>'total slope'!J58</f>
        <v>666.56660901214161</v>
      </c>
      <c r="G38" s="23"/>
      <c r="H38" s="23"/>
      <c r="I38" s="23">
        <f>V!J65</f>
        <v>853.92213968963949</v>
      </c>
      <c r="J38" s="71">
        <f t="shared" si="5"/>
        <v>187.35553067749788</v>
      </c>
      <c r="K38" s="47"/>
    </row>
    <row r="39" spans="1:13" s="14" customFormat="1" ht="15.75" x14ac:dyDescent="0.25">
      <c r="A39" s="70"/>
      <c r="B39" s="76" t="str">
        <f>'total slope'!B59</f>
        <v>-13% VAT for nails</v>
      </c>
      <c r="C39" s="23"/>
      <c r="D39" s="23"/>
      <c r="E39" s="23"/>
      <c r="F39" s="23">
        <f>'total slope'!J59</f>
        <v>216.98131803780652</v>
      </c>
      <c r="G39" s="23"/>
      <c r="H39" s="23"/>
      <c r="I39" s="23">
        <f>V!J66</f>
        <v>277.96944651355449</v>
      </c>
      <c r="J39" s="71">
        <f t="shared" si="5"/>
        <v>60.98812847574797</v>
      </c>
      <c r="K39" s="47"/>
    </row>
    <row r="40" spans="1:13" s="14" customFormat="1" x14ac:dyDescent="0.25">
      <c r="A40" s="72"/>
      <c r="B40" s="73"/>
      <c r="C40" s="23"/>
      <c r="D40" s="23"/>
      <c r="E40" s="23"/>
      <c r="F40" s="23"/>
      <c r="G40" s="23"/>
      <c r="H40" s="23"/>
      <c r="I40" s="23"/>
      <c r="J40" s="71"/>
      <c r="K40" s="47"/>
    </row>
    <row r="41" spans="1:13" s="14" customFormat="1" ht="30" x14ac:dyDescent="0.25">
      <c r="A41" s="70">
        <f>'total slope'!A61</f>
        <v>6</v>
      </c>
      <c r="B41" s="77" t="str">
        <f>'total slope'!B61</f>
        <v>cf/=;L=;L= nflu kmnfd] 808L sf6\g], df]8\g] #) dL6/ ;Dd</v>
      </c>
      <c r="C41" s="23" t="str">
        <f>'total slope'!H79</f>
        <v>MT</v>
      </c>
      <c r="D41" s="23">
        <f>'total slope'!G79</f>
        <v>0.45424961405172304</v>
      </c>
      <c r="E41" s="23">
        <f>'total slope'!I79</f>
        <v>132360</v>
      </c>
      <c r="F41" s="23">
        <f>D41*E41</f>
        <v>60124.478915886059</v>
      </c>
      <c r="G41" s="23">
        <f>V!G93</f>
        <v>0.56765163426286513</v>
      </c>
      <c r="H41" s="23">
        <f>V!I93</f>
        <v>132360</v>
      </c>
      <c r="I41" s="23">
        <f>G41*H41</f>
        <v>75134.370311032835</v>
      </c>
      <c r="J41" s="71">
        <f>I41-F41</f>
        <v>15009.891395146777</v>
      </c>
      <c r="K41" s="47"/>
      <c r="M41" s="14">
        <f t="shared" ref="M41:M42" si="6">1.25*F41</f>
        <v>75155.598644857571</v>
      </c>
    </row>
    <row r="42" spans="1:13" s="14" customFormat="1" ht="15.75" x14ac:dyDescent="0.25">
      <c r="A42" s="70"/>
      <c r="B42" s="76" t="str">
        <f>'total slope'!B80</f>
        <v>-13% VAT for TMT rod</v>
      </c>
      <c r="C42" s="23"/>
      <c r="D42" s="23"/>
      <c r="E42" s="23"/>
      <c r="F42" s="23">
        <f>'total slope'!J80</f>
        <v>6200.5072318060193</v>
      </c>
      <c r="G42" s="23"/>
      <c r="H42" s="23"/>
      <c r="I42" s="23">
        <f>V!J94</f>
        <v>7748.4448076881099</v>
      </c>
      <c r="J42" s="71">
        <f>I42-F42</f>
        <v>1547.9375758820906</v>
      </c>
      <c r="K42" s="47"/>
      <c r="M42" s="14">
        <f t="shared" si="6"/>
        <v>7750.6340397575241</v>
      </c>
    </row>
    <row r="43" spans="1:13" s="14" customFormat="1" ht="15.75" x14ac:dyDescent="0.25">
      <c r="A43" s="70"/>
      <c r="B43" s="76" t="str">
        <f>'total slope'!B81</f>
        <v>-13% VAT for binding wire</v>
      </c>
      <c r="C43" s="23"/>
      <c r="D43" s="23"/>
      <c r="E43" s="23"/>
      <c r="F43" s="23">
        <f>'total slope'!J81</f>
        <v>70.862939792068801</v>
      </c>
      <c r="G43" s="23"/>
      <c r="H43" s="23"/>
      <c r="I43" s="23">
        <f>V!J95</f>
        <v>88.553654945006969</v>
      </c>
      <c r="J43" s="71">
        <f>I43-F43</f>
        <v>17.690715152938168</v>
      </c>
      <c r="K43" s="47"/>
    </row>
    <row r="44" spans="1:13" s="14" customFormat="1" x14ac:dyDescent="0.25">
      <c r="A44" s="72"/>
      <c r="B44" s="73"/>
      <c r="C44" s="23"/>
      <c r="D44" s="23"/>
      <c r="E44" s="23"/>
      <c r="F44" s="23"/>
      <c r="G44" s="23"/>
      <c r="H44" s="23"/>
      <c r="I44" s="23"/>
      <c r="J44" s="71"/>
      <c r="K44" s="47"/>
    </row>
    <row r="45" spans="1:13" s="14" customFormat="1" x14ac:dyDescent="0.25">
      <c r="A45" s="70">
        <f>'total slope'!A83</f>
        <v>7</v>
      </c>
      <c r="B45" s="77" t="str">
        <f>'total slope'!B83</f>
        <v>l;d]G6 s+qmL6 ˆnf]l/Ë -!M@M$_ -#* dL=dL=_</v>
      </c>
      <c r="C45" s="23" t="str">
        <f>'total slope'!H86</f>
        <v>sqm</v>
      </c>
      <c r="D45" s="23">
        <f>'total slope'!G86</f>
        <v>18.104236513258151</v>
      </c>
      <c r="E45" s="23">
        <f>'total slope'!I86</f>
        <v>689.98</v>
      </c>
      <c r="F45" s="23">
        <f>D45*E45</f>
        <v>12491.561109417858</v>
      </c>
      <c r="G45" s="23">
        <f>V!G100</f>
        <v>0</v>
      </c>
      <c r="H45" s="23">
        <f>V!I100</f>
        <v>689.98</v>
      </c>
      <c r="I45" s="23">
        <f>G45*H45</f>
        <v>0</v>
      </c>
      <c r="J45" s="71">
        <f>I45-F45</f>
        <v>-12491.561109417858</v>
      </c>
      <c r="K45" s="47"/>
      <c r="M45" s="14">
        <f t="shared" ref="M45:M46" si="7">1.25*F45</f>
        <v>15614.451386772324</v>
      </c>
    </row>
    <row r="46" spans="1:13" s="14" customFormat="1" ht="15.75" x14ac:dyDescent="0.25">
      <c r="A46" s="70"/>
      <c r="B46" s="76" t="str">
        <f>'total slope'!B87</f>
        <v>-13% VAT for cement</v>
      </c>
      <c r="C46" s="23"/>
      <c r="D46" s="23"/>
      <c r="E46" s="23"/>
      <c r="F46" s="23">
        <f>'total slope'!J87</f>
        <v>398.69855714721115</v>
      </c>
      <c r="G46" s="23"/>
      <c r="H46" s="23"/>
      <c r="I46" s="23">
        <f>V!J101</f>
        <v>0</v>
      </c>
      <c r="J46" s="71">
        <f>I46-F46</f>
        <v>-398.69855714721115</v>
      </c>
      <c r="K46" s="47"/>
      <c r="M46" s="14">
        <f t="shared" si="7"/>
        <v>498.37319643401395</v>
      </c>
    </row>
    <row r="47" spans="1:13" s="14" customFormat="1" ht="15.75" x14ac:dyDescent="0.25">
      <c r="A47" s="70"/>
      <c r="B47" s="76" t="str">
        <f>'total slope'!B88</f>
        <v>-13% VAT for sand</v>
      </c>
      <c r="C47" s="23"/>
      <c r="D47" s="23"/>
      <c r="E47" s="23"/>
      <c r="F47" s="23">
        <f>'total slope'!J88</f>
        <v>111.09230234684546</v>
      </c>
      <c r="G47" s="23"/>
      <c r="H47" s="23"/>
      <c r="I47" s="23">
        <f>V!J102</f>
        <v>0</v>
      </c>
      <c r="J47" s="71">
        <f t="shared" ref="J47:J48" si="8">I47-F47</f>
        <v>-111.09230234684546</v>
      </c>
      <c r="K47" s="47"/>
    </row>
    <row r="48" spans="1:13" s="14" customFormat="1" ht="15.75" x14ac:dyDescent="0.25">
      <c r="A48" s="70"/>
      <c r="B48" s="76" t="str">
        <f>'total slope'!B89</f>
        <v>-13% VAT for aggregate</v>
      </c>
      <c r="C48" s="23"/>
      <c r="D48" s="23"/>
      <c r="E48" s="23"/>
      <c r="F48" s="23">
        <f>'total slope'!J89</f>
        <v>284.21478817433706</v>
      </c>
      <c r="G48" s="23"/>
      <c r="H48" s="23"/>
      <c r="I48" s="23">
        <f>V!J103</f>
        <v>0</v>
      </c>
      <c r="J48" s="71">
        <f t="shared" si="8"/>
        <v>-284.21478817433706</v>
      </c>
      <c r="K48" s="47"/>
    </row>
    <row r="49" spans="1:13" s="14" customFormat="1" x14ac:dyDescent="0.25">
      <c r="A49" s="72"/>
      <c r="B49" s="73"/>
      <c r="C49" s="23"/>
      <c r="D49" s="23"/>
      <c r="E49" s="23"/>
      <c r="F49" s="23"/>
      <c r="G49" s="23"/>
      <c r="H49" s="23"/>
      <c r="I49" s="23"/>
      <c r="J49" s="71"/>
      <c r="K49" s="47"/>
    </row>
    <row r="50" spans="1:13" s="14" customFormat="1" ht="45" x14ac:dyDescent="0.25">
      <c r="A50" s="70">
        <f>'total slope'!A91</f>
        <v>8</v>
      </c>
      <c r="B50" s="77" t="str">
        <f>'total slope'!B91</f>
        <v>!^ dL=dL=u|]gfO{6, @) dL dL afSnf] !M@ efusf] l;d]G6 d;nfdf 5fkL 3f]6\g] / kflnz ;d]t ug]{</v>
      </c>
      <c r="C50" s="23" t="str">
        <f>'total slope'!H93</f>
        <v>sqm</v>
      </c>
      <c r="D50" s="23">
        <f>'total slope'!G93</f>
        <v>11.47270761129557</v>
      </c>
      <c r="E50" s="23">
        <f>'total slope'!I93</f>
        <v>6851.63</v>
      </c>
      <c r="F50" s="23">
        <f>D50*E50</f>
        <v>78606.747650781064</v>
      </c>
      <c r="G50" s="23">
        <f>V!G107</f>
        <v>0</v>
      </c>
      <c r="H50" s="23">
        <f>V!I107</f>
        <v>6851.63</v>
      </c>
      <c r="I50" s="23">
        <f>G50*H50</f>
        <v>0</v>
      </c>
      <c r="J50" s="71">
        <f>I50-F50</f>
        <v>-78606.747650781064</v>
      </c>
      <c r="K50" s="47"/>
      <c r="M50" s="14">
        <f t="shared" ref="M50:M51" si="9">1.25*F50</f>
        <v>98258.43456347633</v>
      </c>
    </row>
    <row r="51" spans="1:13" s="14" customFormat="1" ht="15.75" x14ac:dyDescent="0.25">
      <c r="A51" s="70"/>
      <c r="B51" s="76" t="str">
        <f>'total slope'!B94</f>
        <v>-13% VAT for cement</v>
      </c>
      <c r="C51" s="23"/>
      <c r="D51" s="23"/>
      <c r="E51" s="23"/>
      <c r="F51" s="23">
        <f>'total slope'!J94</f>
        <v>252.65644137191944</v>
      </c>
      <c r="G51" s="23"/>
      <c r="H51" s="23"/>
      <c r="I51" s="23">
        <f>V!J108</f>
        <v>0</v>
      </c>
      <c r="J51" s="71">
        <f>I51-F51</f>
        <v>-252.65644137191944</v>
      </c>
      <c r="K51" s="47"/>
      <c r="M51" s="14">
        <f t="shared" si="9"/>
        <v>315.8205517148993</v>
      </c>
    </row>
    <row r="52" spans="1:13" s="14" customFormat="1" ht="15.75" x14ac:dyDescent="0.25">
      <c r="A52" s="70"/>
      <c r="B52" s="76" t="str">
        <f>'total slope'!B95</f>
        <v>-13% VAT for sand</v>
      </c>
      <c r="C52" s="23"/>
      <c r="D52" s="23"/>
      <c r="E52" s="23"/>
      <c r="F52" s="23">
        <f>'total slope'!J95</f>
        <v>86.735390447536204</v>
      </c>
      <c r="G52" s="23"/>
      <c r="H52" s="23"/>
      <c r="I52" s="23">
        <f>V!J109</f>
        <v>0</v>
      </c>
      <c r="J52" s="71">
        <f t="shared" ref="J52:J57" si="10">I52-F52</f>
        <v>-86.735390447536204</v>
      </c>
      <c r="K52" s="47"/>
    </row>
    <row r="53" spans="1:13" s="14" customFormat="1" ht="15.75" x14ac:dyDescent="0.25">
      <c r="A53" s="70"/>
      <c r="B53" s="76" t="str">
        <f>'total slope'!B96</f>
        <v>-13% VAT for 16mm granite</v>
      </c>
      <c r="C53" s="23"/>
      <c r="D53" s="23"/>
      <c r="E53" s="23"/>
      <c r="F53" s="23">
        <f>'total slope'!J96</f>
        <v>6460.9342235294662</v>
      </c>
      <c r="G53" s="23"/>
      <c r="H53" s="23"/>
      <c r="I53" s="23">
        <f>V!J110</f>
        <v>0</v>
      </c>
      <c r="J53" s="71">
        <f t="shared" si="10"/>
        <v>-6460.9342235294662</v>
      </c>
      <c r="K53" s="47"/>
    </row>
    <row r="54" spans="1:13" s="14" customFormat="1" x14ac:dyDescent="0.25">
      <c r="A54" s="70"/>
      <c r="B54" s="25" t="s">
        <v>117</v>
      </c>
      <c r="C54" s="23"/>
      <c r="D54" s="23"/>
      <c r="E54" s="23"/>
      <c r="F54" s="23">
        <f>'total slope'!J97</f>
        <v>6.8979654512914621</v>
      </c>
      <c r="G54" s="23"/>
      <c r="H54" s="23"/>
      <c r="I54" s="23">
        <f>V!J111</f>
        <v>0</v>
      </c>
      <c r="J54" s="71">
        <f t="shared" si="10"/>
        <v>-6.8979654512914621</v>
      </c>
      <c r="K54" s="47"/>
    </row>
    <row r="55" spans="1:13" s="14" customFormat="1" x14ac:dyDescent="0.25">
      <c r="A55" s="70"/>
      <c r="B55" s="25" t="s">
        <v>118</v>
      </c>
      <c r="C55" s="23"/>
      <c r="D55" s="23"/>
      <c r="E55" s="23"/>
      <c r="F55" s="23">
        <f>'total slope'!J98</f>
        <v>6.4579871143982759</v>
      </c>
      <c r="G55" s="23"/>
      <c r="H55" s="23"/>
      <c r="I55" s="23">
        <f>V!J112</f>
        <v>0</v>
      </c>
      <c r="J55" s="71">
        <f t="shared" si="10"/>
        <v>-6.4579871143982759</v>
      </c>
      <c r="K55" s="47"/>
    </row>
    <row r="56" spans="1:13" s="14" customFormat="1" x14ac:dyDescent="0.25">
      <c r="A56" s="70"/>
      <c r="B56" s="25" t="s">
        <v>119</v>
      </c>
      <c r="C56" s="23"/>
      <c r="D56" s="23"/>
      <c r="E56" s="23"/>
      <c r="F56" s="23">
        <f>'total slope'!J99</f>
        <v>17.731872702790096</v>
      </c>
      <c r="G56" s="23"/>
      <c r="H56" s="23"/>
      <c r="I56" s="23">
        <f>V!J113</f>
        <v>0</v>
      </c>
      <c r="J56" s="71">
        <f t="shared" si="10"/>
        <v>-17.731872702790096</v>
      </c>
      <c r="K56" s="47"/>
    </row>
    <row r="57" spans="1:13" s="14" customFormat="1" x14ac:dyDescent="0.25">
      <c r="A57" s="70"/>
      <c r="B57" s="25" t="s">
        <v>120</v>
      </c>
      <c r="C57" s="23"/>
      <c r="D57" s="23"/>
      <c r="E57" s="23"/>
      <c r="F57" s="23">
        <f>'total slope'!J100</f>
        <v>17.89742387362109</v>
      </c>
      <c r="G57" s="23"/>
      <c r="H57" s="23"/>
      <c r="I57" s="23">
        <f>V!J114</f>
        <v>0</v>
      </c>
      <c r="J57" s="71">
        <f t="shared" si="10"/>
        <v>-17.89742387362109</v>
      </c>
      <c r="K57" s="47"/>
    </row>
    <row r="58" spans="1:13" s="14" customFormat="1" x14ac:dyDescent="0.25">
      <c r="A58" s="72"/>
      <c r="B58" s="73"/>
      <c r="C58" s="23"/>
      <c r="D58" s="23"/>
      <c r="E58" s="23"/>
      <c r="F58" s="23"/>
      <c r="G58" s="23"/>
      <c r="H58" s="23"/>
      <c r="I58" s="23"/>
      <c r="J58" s="71"/>
      <c r="K58" s="47"/>
    </row>
    <row r="59" spans="1:13" s="14" customFormat="1" ht="23.25" customHeight="1" x14ac:dyDescent="0.25">
      <c r="A59" s="70">
        <f>'total slope'!A102</f>
        <v>9</v>
      </c>
      <c r="B59" s="77" t="str">
        <f>'total slope'!B102</f>
        <v># dL=dL= df]6fO{ d;Lgf] l;d]G6 3f]6\g] sfd</v>
      </c>
      <c r="C59" s="23" t="str">
        <f>'total slope'!H110</f>
        <v>sqm</v>
      </c>
      <c r="D59" s="23">
        <f>'total slope'!G110</f>
        <v>25.329192952208558</v>
      </c>
      <c r="E59" s="23">
        <f>'total slope'!I110</f>
        <v>287.32</v>
      </c>
      <c r="F59" s="23">
        <f>D59*E59</f>
        <v>7277.5837190285629</v>
      </c>
      <c r="G59" s="23">
        <f>V!G124</f>
        <v>0</v>
      </c>
      <c r="H59" s="23">
        <f>V!I124</f>
        <v>287.32</v>
      </c>
      <c r="I59" s="23">
        <f>G59*H59</f>
        <v>0</v>
      </c>
      <c r="J59" s="71">
        <f>I59-F59</f>
        <v>-7277.5837190285629</v>
      </c>
      <c r="K59" s="47"/>
      <c r="M59" s="14">
        <f t="shared" ref="M59:M60" si="11">1.25*F59</f>
        <v>9096.9796487857038</v>
      </c>
    </row>
    <row r="60" spans="1:13" s="14" customFormat="1" ht="15.75" x14ac:dyDescent="0.25">
      <c r="A60" s="70"/>
      <c r="B60" s="76" t="str">
        <f>'total slope'!B111</f>
        <v>-13% VAT for cement</v>
      </c>
      <c r="C60" s="23"/>
      <c r="D60" s="23"/>
      <c r="E60" s="23"/>
      <c r="F60" s="23">
        <f>'total slope'!J111</f>
        <v>228.26972638845783</v>
      </c>
      <c r="G60" s="23"/>
      <c r="H60" s="23"/>
      <c r="I60" s="23">
        <f>V!J125</f>
        <v>0</v>
      </c>
      <c r="J60" s="71">
        <f>I60-F60</f>
        <v>-228.26972638845783</v>
      </c>
      <c r="K60" s="47"/>
      <c r="M60" s="14">
        <f t="shared" si="11"/>
        <v>285.33715798557228</v>
      </c>
    </row>
    <row r="61" spans="1:13" s="14" customFormat="1" ht="15.75" x14ac:dyDescent="0.25">
      <c r="A61" s="70"/>
      <c r="B61" s="76"/>
      <c r="C61" s="23"/>
      <c r="D61" s="23"/>
      <c r="E61" s="23"/>
      <c r="F61" s="23"/>
      <c r="G61" s="23"/>
      <c r="H61" s="23"/>
      <c r="I61" s="23"/>
      <c r="J61" s="71"/>
      <c r="K61" s="47"/>
    </row>
    <row r="62" spans="1:13" s="14" customFormat="1" ht="30" x14ac:dyDescent="0.25">
      <c r="A62" s="70">
        <f>'total slope'!A113</f>
        <v>10</v>
      </c>
      <c r="B62" s="77" t="str">
        <f>'total slope'!B113</f>
        <v>e'O{+tNnfdf lrDgL e§fsf] O{+6fsf] uf/f] l;d]G6 d;nf -!M^_ df</v>
      </c>
      <c r="C62" s="23" t="str">
        <f>'total slope'!H121</f>
        <v>cum</v>
      </c>
      <c r="D62" s="23">
        <f>'total slope'!G121</f>
        <v>8.6584642816114226</v>
      </c>
      <c r="E62" s="23">
        <f>'total slope'!I121</f>
        <v>14491.84</v>
      </c>
      <c r="F62" s="23">
        <f>D62*E62</f>
        <v>125477.07901482769</v>
      </c>
      <c r="G62" s="23">
        <f>V!G135</f>
        <v>6.4716624054652865</v>
      </c>
      <c r="H62" s="23">
        <f>V!I135</f>
        <v>14491.84</v>
      </c>
      <c r="I62" s="23">
        <f>G62*H62</f>
        <v>93786.296114018056</v>
      </c>
      <c r="J62" s="71">
        <f>I62-F62</f>
        <v>-31690.782900809631</v>
      </c>
      <c r="K62" s="47"/>
      <c r="M62" s="14">
        <f t="shared" ref="M62:M63" si="12">1.25*F62</f>
        <v>156846.3487685346</v>
      </c>
    </row>
    <row r="63" spans="1:13" s="14" customFormat="1" ht="15.75" x14ac:dyDescent="0.25">
      <c r="A63" s="70"/>
      <c r="B63" s="76" t="str">
        <f>'total slope'!B122</f>
        <v>-13% VAT for brick</v>
      </c>
      <c r="C63" s="23"/>
      <c r="D63" s="23"/>
      <c r="E63" s="23"/>
      <c r="F63" s="23">
        <f>'total slope'!J122</f>
        <v>9546.4417444763658</v>
      </c>
      <c r="G63" s="23"/>
      <c r="H63" s="23"/>
      <c r="I63" s="23">
        <f>V!J136</f>
        <v>7135.3702151201851</v>
      </c>
      <c r="J63" s="71">
        <f>I63-F63</f>
        <v>-2411.0715293561807</v>
      </c>
      <c r="K63" s="47"/>
      <c r="M63" s="14">
        <f t="shared" si="12"/>
        <v>11933.052180595458</v>
      </c>
    </row>
    <row r="64" spans="1:13" s="14" customFormat="1" ht="15.75" x14ac:dyDescent="0.25">
      <c r="A64" s="70"/>
      <c r="B64" s="76" t="str">
        <f>'total slope'!B123</f>
        <v>-13% VAT for cement</v>
      </c>
      <c r="C64" s="23"/>
      <c r="D64" s="23"/>
      <c r="E64" s="23"/>
      <c r="F64" s="23">
        <f>'total slope'!J123</f>
        <v>1026.738877288474</v>
      </c>
      <c r="G64" s="23"/>
      <c r="H64" s="23"/>
      <c r="I64" s="23">
        <f>V!J137</f>
        <v>767.42331853112512</v>
      </c>
      <c r="J64" s="71">
        <f t="shared" ref="J64:J66" si="13">I64-F64</f>
        <v>-259.31555875734887</v>
      </c>
      <c r="K64" s="47"/>
    </row>
    <row r="65" spans="1:13" s="14" customFormat="1" ht="15.75" x14ac:dyDescent="0.25">
      <c r="A65" s="70"/>
      <c r="B65" s="76" t="str">
        <f>'total slope'!B124</f>
        <v>-13% VAT for sanda</v>
      </c>
      <c r="C65" s="23"/>
      <c r="D65" s="23"/>
      <c r="E65" s="23"/>
      <c r="F65" s="23">
        <f>'total slope'!J124</f>
        <v>1073.1136119807848</v>
      </c>
      <c r="G65" s="23"/>
      <c r="H65" s="23"/>
      <c r="I65" s="23">
        <f>V!J138</f>
        <v>802.08554237479723</v>
      </c>
      <c r="J65" s="71">
        <f t="shared" si="13"/>
        <v>-271.02806960598753</v>
      </c>
      <c r="K65" s="47"/>
    </row>
    <row r="66" spans="1:13" s="14" customFormat="1" ht="15.75" x14ac:dyDescent="0.25">
      <c r="A66" s="70"/>
      <c r="B66" s="76" t="str">
        <f>'total slope'!B125</f>
        <v>-13% VAT for water</v>
      </c>
      <c r="C66" s="23"/>
      <c r="D66" s="23"/>
      <c r="E66" s="23"/>
      <c r="F66" s="23">
        <f>'total slope'!J125</f>
        <v>31.516809985065578</v>
      </c>
      <c r="G66" s="23"/>
      <c r="H66" s="23"/>
      <c r="I66" s="23">
        <f>V!J139</f>
        <v>23.556851155893643</v>
      </c>
      <c r="J66" s="71">
        <f t="shared" si="13"/>
        <v>-7.959958829171935</v>
      </c>
      <c r="K66" s="47"/>
    </row>
    <row r="67" spans="1:13" s="14" customFormat="1" ht="15.75" x14ac:dyDescent="0.25">
      <c r="A67" s="70"/>
      <c r="B67" s="76"/>
      <c r="C67" s="23"/>
      <c r="D67" s="23"/>
      <c r="E67" s="23"/>
      <c r="F67" s="23"/>
      <c r="G67" s="23"/>
      <c r="H67" s="23"/>
      <c r="I67" s="23"/>
      <c r="J67" s="71"/>
      <c r="K67" s="47"/>
    </row>
    <row r="68" spans="1:13" s="14" customFormat="1" ht="23.25" customHeight="1" x14ac:dyDescent="0.25">
      <c r="A68" s="70">
        <f>'total slope'!A127</f>
        <v>11</v>
      </c>
      <c r="B68" s="77" t="str">
        <f>'total slope'!B127</f>
        <v>!@=% dL=dL= l;d]G6 afn'jf -!M$_ Knfi6/</v>
      </c>
      <c r="C68" s="23" t="str">
        <f>'total slope'!H138</f>
        <v>sqm</v>
      </c>
      <c r="D68" s="23">
        <f>'total slope'!G138</f>
        <v>102.11419941902254</v>
      </c>
      <c r="E68" s="23">
        <f>'total slope'!I138</f>
        <v>415.5</v>
      </c>
      <c r="F68" s="23">
        <f>D68*E68</f>
        <v>42428.449858603868</v>
      </c>
      <c r="G68" s="23">
        <f>V!G152</f>
        <v>73.614639569990103</v>
      </c>
      <c r="H68" s="23">
        <f>V!I152</f>
        <v>415.5</v>
      </c>
      <c r="I68" s="23">
        <f>G68*H68</f>
        <v>30586.882741330886</v>
      </c>
      <c r="J68" s="71">
        <f>I68-F68</f>
        <v>-11841.567117272982</v>
      </c>
      <c r="K68" s="47"/>
      <c r="M68" s="14">
        <f t="shared" ref="M68:M69" si="14">1.25*F68</f>
        <v>53035.562323254839</v>
      </c>
    </row>
    <row r="69" spans="1:13" s="14" customFormat="1" ht="15.75" x14ac:dyDescent="0.25">
      <c r="A69" s="70"/>
      <c r="B69" s="76" t="str">
        <f>'total slope'!B139</f>
        <v>-13% VAT for cement</v>
      </c>
      <c r="C69" s="23"/>
      <c r="D69" s="23"/>
      <c r="E69" s="23"/>
      <c r="F69" s="23">
        <f>'total slope'!J139</f>
        <v>930.65564077324643</v>
      </c>
      <c r="G69" s="23"/>
      <c r="H69" s="23"/>
      <c r="I69" s="23">
        <f>V!J153</f>
        <v>670.91432875238536</v>
      </c>
      <c r="J69" s="71">
        <f>I69-F69</f>
        <v>-259.74131202086107</v>
      </c>
      <c r="K69" s="47"/>
      <c r="M69" s="14">
        <f t="shared" si="14"/>
        <v>1163.3195509665579</v>
      </c>
    </row>
    <row r="70" spans="1:13" s="14" customFormat="1" ht="15.75" x14ac:dyDescent="0.25">
      <c r="A70" s="70"/>
      <c r="B70" s="76" t="str">
        <f>'total slope'!B140</f>
        <v>-13% VAT for sand</v>
      </c>
      <c r="C70" s="23"/>
      <c r="D70" s="23"/>
      <c r="E70" s="23"/>
      <c r="F70" s="23">
        <f>'total slope'!J140</f>
        <v>615.91700881154782</v>
      </c>
      <c r="G70" s="23"/>
      <c r="H70" s="23"/>
      <c r="I70" s="23">
        <f>V!J154</f>
        <v>444.01766714769116</v>
      </c>
      <c r="J70" s="71">
        <f>I70-F70</f>
        <v>-171.89934166385666</v>
      </c>
      <c r="K70" s="47"/>
    </row>
    <row r="71" spans="1:13" s="14" customFormat="1" ht="15.75" x14ac:dyDescent="0.25">
      <c r="A71" s="70"/>
      <c r="B71" s="76"/>
      <c r="C71" s="23"/>
      <c r="D71" s="23"/>
      <c r="E71" s="23"/>
      <c r="F71" s="23"/>
      <c r="G71" s="23"/>
      <c r="H71" s="23"/>
      <c r="I71" s="23"/>
      <c r="J71" s="71"/>
      <c r="K71" s="47"/>
    </row>
    <row r="72" spans="1:13" s="14" customFormat="1" ht="63.75" x14ac:dyDescent="0.25">
      <c r="A72" s="70">
        <f>'total slope'!A142</f>
        <v>12</v>
      </c>
      <c r="B72" s="28" t="s">
        <v>152</v>
      </c>
      <c r="C72" s="23" t="str">
        <f>'total slope'!H145</f>
        <v>sqm</v>
      </c>
      <c r="D72" s="23">
        <f>'total slope'!G145</f>
        <v>12.972155681753048</v>
      </c>
      <c r="E72" s="23">
        <f>'total slope'!I145</f>
        <v>2845.18</v>
      </c>
      <c r="F72" s="23">
        <f>D72*E72</f>
        <v>36908.117902610131</v>
      </c>
      <c r="G72" s="23">
        <f>V!G159</f>
        <v>0</v>
      </c>
      <c r="H72" s="23">
        <f>V!I159</f>
        <v>2845.18</v>
      </c>
      <c r="I72" s="23">
        <f>G72*H72</f>
        <v>0</v>
      </c>
      <c r="J72" s="71">
        <f>I72-F72</f>
        <v>-36908.117902610131</v>
      </c>
      <c r="K72" s="47"/>
      <c r="M72" s="14">
        <f t="shared" ref="M72:M73" si="15">1.25*F72</f>
        <v>46135.147378262664</v>
      </c>
    </row>
    <row r="73" spans="1:13" s="14" customFormat="1" ht="15.75" x14ac:dyDescent="0.25">
      <c r="A73" s="70"/>
      <c r="B73" s="76" t="str">
        <f>'total slope'!B146</f>
        <v>-13% VAT for cement</v>
      </c>
      <c r="C73" s="23"/>
      <c r="D73" s="23"/>
      <c r="E73" s="23"/>
      <c r="F73" s="23">
        <f>'total slope'!J146</f>
        <v>123.06022515339347</v>
      </c>
      <c r="G73" s="23"/>
      <c r="H73" s="23"/>
      <c r="I73" s="23">
        <f>V!J160</f>
        <v>0</v>
      </c>
      <c r="J73" s="71">
        <f>I73-F73</f>
        <v>-123.06022515339347</v>
      </c>
      <c r="K73" s="47"/>
      <c r="M73" s="14">
        <f t="shared" si="15"/>
        <v>153.82528144174185</v>
      </c>
    </row>
    <row r="74" spans="1:13" s="14" customFormat="1" ht="15.75" x14ac:dyDescent="0.25">
      <c r="A74" s="70"/>
      <c r="B74" s="76" t="str">
        <f>'total slope'!B147</f>
        <v>-13% VAT for sand</v>
      </c>
      <c r="C74" s="23"/>
      <c r="D74" s="23"/>
      <c r="E74" s="23"/>
      <c r="F74" s="23">
        <f>'total slope'!J147</f>
        <v>81.458911046681905</v>
      </c>
      <c r="G74" s="23"/>
      <c r="H74" s="23"/>
      <c r="I74" s="23">
        <f>V!J161</f>
        <v>0</v>
      </c>
      <c r="J74" s="71">
        <f t="shared" ref="J74:J76" si="16">I74-F74</f>
        <v>-81.458911046681905</v>
      </c>
      <c r="K74" s="47"/>
    </row>
    <row r="75" spans="1:13" s="14" customFormat="1" ht="15.75" x14ac:dyDescent="0.25">
      <c r="A75" s="70"/>
      <c r="B75" s="76" t="str">
        <f>'total slope'!B148</f>
        <v>-13% VAT for white cement</v>
      </c>
      <c r="C75" s="23"/>
      <c r="D75" s="23"/>
      <c r="E75" s="23"/>
      <c r="F75" s="23">
        <f>'total slope'!J148</f>
        <v>16.873920667710731</v>
      </c>
      <c r="G75" s="23"/>
      <c r="H75" s="23"/>
      <c r="I75" s="23">
        <f>V!J162</f>
        <v>0</v>
      </c>
      <c r="J75" s="71">
        <f t="shared" si="16"/>
        <v>-16.873920667710731</v>
      </c>
      <c r="K75" s="47"/>
    </row>
    <row r="76" spans="1:13" s="14" customFormat="1" ht="15.75" x14ac:dyDescent="0.25">
      <c r="A76" s="70"/>
      <c r="B76" s="76" t="str">
        <f>'total slope'!B149</f>
        <v>-13% VAT for porcelain glazed tile</v>
      </c>
      <c r="C76" s="23"/>
      <c r="D76" s="23"/>
      <c r="E76" s="23"/>
      <c r="F76" s="23">
        <f>'total slope'!J149</f>
        <v>1137.7198007507875</v>
      </c>
      <c r="G76" s="23"/>
      <c r="H76" s="23"/>
      <c r="I76" s="23">
        <f>V!J163</f>
        <v>0</v>
      </c>
      <c r="J76" s="71">
        <f t="shared" si="16"/>
        <v>-1137.7198007507875</v>
      </c>
      <c r="K76" s="47"/>
    </row>
    <row r="77" spans="1:13" s="14" customFormat="1" ht="15.75" x14ac:dyDescent="0.25">
      <c r="A77" s="70"/>
      <c r="B77" s="76"/>
      <c r="C77" s="23"/>
      <c r="D77" s="23"/>
      <c r="E77" s="23"/>
      <c r="F77" s="23"/>
      <c r="G77" s="23"/>
      <c r="H77" s="23"/>
      <c r="I77" s="23"/>
      <c r="J77" s="71"/>
      <c r="K77" s="47"/>
    </row>
    <row r="78" spans="1:13" s="14" customFormat="1" ht="30" x14ac:dyDescent="0.25">
      <c r="A78" s="70">
        <f>'total slope'!A151</f>
        <v>13</v>
      </c>
      <c r="B78" s="77" t="str">
        <f>'total slope'!B151</f>
        <v xml:space="preserve"> Ps sf]6 k|fO{d/ ;lxt b'O{ sf]6 j]b/sf]6 k]G6 ug]{ sfd</v>
      </c>
      <c r="C78" s="23" t="str">
        <f>'total slope'!H153</f>
        <v>sqm</v>
      </c>
      <c r="D78" s="23">
        <f>'total slope'!G153</f>
        <v>97.699285673213325</v>
      </c>
      <c r="E78" s="23">
        <f>'total slope'!I153</f>
        <v>253.8</v>
      </c>
      <c r="F78" s="23">
        <f>D78*E78</f>
        <v>24796.078703861542</v>
      </c>
      <c r="G78" s="23">
        <f>V!G167</f>
        <v>73.614639569990103</v>
      </c>
      <c r="H78" s="23">
        <f>V!I167</f>
        <v>253.8</v>
      </c>
      <c r="I78" s="23">
        <f>G78*H78</f>
        <v>18683.395522863488</v>
      </c>
      <c r="J78" s="71">
        <f>I78-F78</f>
        <v>-6112.683180998054</v>
      </c>
      <c r="K78" s="47"/>
      <c r="M78" s="14">
        <f t="shared" ref="M78:M79" si="17">1.25*F78</f>
        <v>30995.098379826926</v>
      </c>
    </row>
    <row r="79" spans="1:13" s="14" customFormat="1" ht="15.75" x14ac:dyDescent="0.25">
      <c r="A79" s="70"/>
      <c r="B79" s="76" t="str">
        <f>'total slope'!B154</f>
        <v>-13% VAT for aster</v>
      </c>
      <c r="C79" s="23"/>
      <c r="D79" s="23"/>
      <c r="E79" s="23"/>
      <c r="F79" s="23">
        <f>'total slope'!J154</f>
        <v>292.62890044840856</v>
      </c>
      <c r="G79" s="23"/>
      <c r="H79" s="23"/>
      <c r="I79" s="23">
        <f>V!J168</f>
        <v>220.49056844003437</v>
      </c>
      <c r="J79" s="71">
        <f>I79-F79</f>
        <v>-72.138332008374192</v>
      </c>
      <c r="K79" s="47"/>
      <c r="M79" s="14">
        <f t="shared" si="17"/>
        <v>365.7861255605107</v>
      </c>
    </row>
    <row r="80" spans="1:13" s="14" customFormat="1" ht="15.75" x14ac:dyDescent="0.25">
      <c r="A80" s="70"/>
      <c r="B80" s="76" t="str">
        <f>'total slope'!B155</f>
        <v>-13% VAT for weather coat</v>
      </c>
      <c r="C80" s="23"/>
      <c r="D80" s="23"/>
      <c r="E80" s="23"/>
      <c r="F80" s="23">
        <f>'total slope'!J155</f>
        <v>1324.95863258585</v>
      </c>
      <c r="G80" s="23"/>
      <c r="H80" s="23"/>
      <c r="I80" s="23">
        <f>V!J169</f>
        <v>998.33229599237779</v>
      </c>
      <c r="J80" s="71">
        <f>I80-F80</f>
        <v>-326.62633659347216</v>
      </c>
      <c r="K80" s="47"/>
    </row>
    <row r="81" spans="1:13" s="14" customFormat="1" ht="15.75" x14ac:dyDescent="0.25">
      <c r="A81" s="70"/>
      <c r="B81" s="76"/>
      <c r="C81" s="23"/>
      <c r="D81" s="23"/>
      <c r="E81" s="23"/>
      <c r="F81" s="23"/>
      <c r="G81" s="23"/>
      <c r="H81" s="23"/>
      <c r="I81" s="23"/>
      <c r="J81" s="71"/>
      <c r="K81" s="47"/>
    </row>
    <row r="82" spans="1:13" s="14" customFormat="1" ht="30" x14ac:dyDescent="0.25">
      <c r="A82" s="70">
        <f>'total slope'!A157</f>
        <v>14</v>
      </c>
      <c r="B82" s="77" t="str">
        <f>'total slope'!B157</f>
        <v>Knfi6/ dfly @) dL=dL= afSnf] emNn/ jf kfgL k§L agfpg] sfd</v>
      </c>
      <c r="C82" s="23" t="str">
        <f>'total slope'!H159</f>
        <v>rm</v>
      </c>
      <c r="D82" s="23">
        <f>'total slope'!G159</f>
        <v>20.42060347455044</v>
      </c>
      <c r="E82" s="23">
        <f>'total slope'!I159</f>
        <v>144.41</v>
      </c>
      <c r="F82" s="23">
        <f>D82*E82</f>
        <v>2948.9393477598287</v>
      </c>
      <c r="G82" s="23">
        <f>V!G173</f>
        <v>0</v>
      </c>
      <c r="H82" s="23">
        <f>V!I173</f>
        <v>144.41</v>
      </c>
      <c r="I82" s="23">
        <f>G82*H82</f>
        <v>0</v>
      </c>
      <c r="J82" s="71">
        <f>I82-F82</f>
        <v>-2948.9393477598287</v>
      </c>
      <c r="K82" s="47"/>
      <c r="M82" s="14">
        <f t="shared" ref="M82:M83" si="18">1.25*F82</f>
        <v>3686.1741846997857</v>
      </c>
    </row>
    <row r="83" spans="1:13" s="14" customFormat="1" ht="15.75" x14ac:dyDescent="0.25">
      <c r="A83" s="70"/>
      <c r="B83" s="76" t="str">
        <f>'total slope'!B160</f>
        <v>-13% VAT for cement</v>
      </c>
      <c r="C83" s="23"/>
      <c r="D83" s="23"/>
      <c r="E83" s="23"/>
      <c r="F83" s="23">
        <f>'total slope'!J160</f>
        <v>242.1332215787869</v>
      </c>
      <c r="G83" s="23"/>
      <c r="H83" s="23"/>
      <c r="I83" s="23">
        <f>V!J174</f>
        <v>0</v>
      </c>
      <c r="J83" s="71">
        <f>I83-F83</f>
        <v>-242.1332215787869</v>
      </c>
      <c r="K83" s="47"/>
      <c r="M83" s="14">
        <f t="shared" si="18"/>
        <v>302.66652697348366</v>
      </c>
    </row>
    <row r="84" spans="1:13" s="14" customFormat="1" ht="15.75" x14ac:dyDescent="0.25">
      <c r="A84" s="70"/>
      <c r="B84" s="76" t="str">
        <f>'total slope'!B161</f>
        <v>-13% VAT for sand</v>
      </c>
      <c r="C84" s="23"/>
      <c r="D84" s="23"/>
      <c r="E84" s="23"/>
      <c r="F84" s="23">
        <f>'total slope'!J161</f>
        <v>33.740963120999695</v>
      </c>
      <c r="G84" s="23"/>
      <c r="H84" s="23"/>
      <c r="I84" s="23">
        <f>V!J175</f>
        <v>0</v>
      </c>
      <c r="J84" s="71">
        <f t="shared" ref="J84:J85" si="19">I84-F84</f>
        <v>-33.740963120999695</v>
      </c>
      <c r="K84" s="47"/>
    </row>
    <row r="85" spans="1:13" s="14" customFormat="1" ht="15.75" x14ac:dyDescent="0.25">
      <c r="A85" s="70"/>
      <c r="B85" s="76" t="str">
        <f>'total slope'!B162</f>
        <v>-13% VAT for water proofing</v>
      </c>
      <c r="C85" s="23"/>
      <c r="D85" s="23"/>
      <c r="E85" s="23"/>
      <c r="F85" s="23">
        <f>'total slope'!J162</f>
        <v>5.3093569033831146E-2</v>
      </c>
      <c r="G85" s="23"/>
      <c r="H85" s="23"/>
      <c r="I85" s="23">
        <f>V!J176</f>
        <v>0</v>
      </c>
      <c r="J85" s="71">
        <f t="shared" si="19"/>
        <v>-5.3093569033831146E-2</v>
      </c>
      <c r="K85" s="47"/>
    </row>
    <row r="86" spans="1:13" s="14" customFormat="1" ht="15.75" x14ac:dyDescent="0.25">
      <c r="A86" s="70"/>
      <c r="B86" s="76"/>
      <c r="C86" s="23"/>
      <c r="D86" s="23"/>
      <c r="E86" s="23"/>
      <c r="F86" s="23"/>
      <c r="G86" s="23"/>
      <c r="H86" s="23"/>
      <c r="I86" s="23"/>
      <c r="J86" s="71"/>
      <c r="K86" s="47"/>
    </row>
    <row r="87" spans="1:13" s="14" customFormat="1" ht="30" x14ac:dyDescent="0.25">
      <c r="A87" s="70">
        <f>'total slope'!A164</f>
        <v>15</v>
      </c>
      <c r="B87" s="78" t="str">
        <f>'total slope'!B164</f>
        <v>cu|fv sf7sf] rf}s; agfO hf]8\g] sfd</v>
      </c>
      <c r="C87" s="23" t="str">
        <f>'total slope'!H167</f>
        <v>cum</v>
      </c>
      <c r="D87" s="23">
        <f>'total slope'!G167</f>
        <v>7.181575739103932E-2</v>
      </c>
      <c r="E87" s="23">
        <f>'total slope'!I167</f>
        <v>284731.83</v>
      </c>
      <c r="F87" s="23">
        <f>D87*E87</f>
        <v>20448.232024786652</v>
      </c>
      <c r="G87" s="23">
        <f>V!G187</f>
        <v>0</v>
      </c>
      <c r="H87" s="23">
        <f>V!I187</f>
        <v>37363.64</v>
      </c>
      <c r="I87" s="23">
        <f>G87*H87</f>
        <v>0</v>
      </c>
      <c r="J87" s="71">
        <f>I87-F87</f>
        <v>-20448.232024786652</v>
      </c>
      <c r="K87" s="47"/>
      <c r="M87" s="14">
        <f t="shared" ref="M87:M88" si="20">1.25*F87</f>
        <v>25560.290030983313</v>
      </c>
    </row>
    <row r="88" spans="1:13" s="14" customFormat="1" ht="15.75" x14ac:dyDescent="0.25">
      <c r="A88" s="70"/>
      <c r="B88" s="76" t="str">
        <f>'total slope'!B168</f>
        <v>-13% VAT for salwood</v>
      </c>
      <c r="C88" s="23"/>
      <c r="D88" s="23"/>
      <c r="E88" s="23"/>
      <c r="F88" s="23">
        <f>'total slope'!J168</f>
        <v>2233.3959338181198</v>
      </c>
      <c r="G88" s="23"/>
      <c r="H88" s="23"/>
      <c r="I88" s="23">
        <f>V!J188</f>
        <v>0</v>
      </c>
      <c r="J88" s="71">
        <f>I88-F88</f>
        <v>-2233.3959338181198</v>
      </c>
      <c r="K88" s="47"/>
      <c r="M88" s="14">
        <f t="shared" si="20"/>
        <v>2791.7449172726497</v>
      </c>
    </row>
    <row r="89" spans="1:13" s="14" customFormat="1" ht="15.75" x14ac:dyDescent="0.25">
      <c r="A89" s="70"/>
      <c r="B89" s="76"/>
      <c r="C89" s="23"/>
      <c r="D89" s="23"/>
      <c r="E89" s="23"/>
      <c r="F89" s="23"/>
      <c r="G89" s="23"/>
      <c r="H89" s="23"/>
      <c r="I89" s="23"/>
      <c r="J89" s="71"/>
      <c r="K89" s="47"/>
    </row>
    <row r="90" spans="1:13" s="14" customFormat="1" x14ac:dyDescent="0.25">
      <c r="A90" s="70">
        <f>'total slope'!A176</f>
        <v>17</v>
      </c>
      <c r="B90" s="78" t="str">
        <f>'total slope'!B176</f>
        <v>20mm GI pipe threaded-Medium class</v>
      </c>
      <c r="C90" s="23" t="str">
        <f>'total slope'!H178</f>
        <v>rm</v>
      </c>
      <c r="D90" s="23">
        <f>'total slope'!G178</f>
        <v>1.2</v>
      </c>
      <c r="E90" s="23">
        <f>'total slope'!I178</f>
        <v>248</v>
      </c>
      <c r="F90" s="23">
        <f>D90*E90</f>
        <v>297.59999999999997</v>
      </c>
      <c r="G90" s="23">
        <f>V!G192</f>
        <v>0</v>
      </c>
      <c r="H90" s="23">
        <f>V!I192</f>
        <v>248</v>
      </c>
      <c r="I90" s="23">
        <f>G90*H90</f>
        <v>0</v>
      </c>
      <c r="J90" s="71">
        <f>I90-F90</f>
        <v>-297.59999999999997</v>
      </c>
      <c r="K90" s="47"/>
      <c r="M90" s="14">
        <f t="shared" ref="M90:M91" si="21">1.25*F90</f>
        <v>371.99999999999994</v>
      </c>
    </row>
    <row r="91" spans="1:13" s="14" customFormat="1" ht="15.75" x14ac:dyDescent="0.25">
      <c r="A91" s="70"/>
      <c r="B91" s="76" t="str">
        <f>'total slope'!B179</f>
        <v>-13% VAT</v>
      </c>
      <c r="C91" s="23"/>
      <c r="D91" s="23"/>
      <c r="E91" s="23"/>
      <c r="F91" s="23">
        <f>'total slope'!J179</f>
        <v>38.687999999999995</v>
      </c>
      <c r="G91" s="23"/>
      <c r="H91" s="23"/>
      <c r="I91" s="23">
        <f>V!J193</f>
        <v>0</v>
      </c>
      <c r="J91" s="71">
        <f>I91-F91</f>
        <v>-38.687999999999995</v>
      </c>
      <c r="K91" s="47"/>
      <c r="M91" s="14">
        <f t="shared" si="21"/>
        <v>48.359999999999992</v>
      </c>
    </row>
    <row r="92" spans="1:13" s="14" customFormat="1" ht="15.75" x14ac:dyDescent="0.25">
      <c r="A92" s="70"/>
      <c r="B92" s="76"/>
      <c r="C92" s="23"/>
      <c r="D92" s="23"/>
      <c r="E92" s="23"/>
      <c r="F92" s="23"/>
      <c r="G92" s="23"/>
      <c r="H92" s="23"/>
      <c r="I92" s="23"/>
      <c r="J92" s="71"/>
      <c r="K92" s="47"/>
    </row>
    <row r="93" spans="1:13" s="14" customFormat="1" ht="30" x14ac:dyDescent="0.25">
      <c r="A93" s="70">
        <f>'total slope'!A181</f>
        <v>18</v>
      </c>
      <c r="B93" s="77" t="str">
        <f>'total slope'!B181</f>
        <v>ljleGg ;fO{hsf] kmnfd] PËn km]lj|s]zg u/L k|fOd/ k]G6 ;lxt ug]{ sfd</v>
      </c>
      <c r="C93" s="23" t="str">
        <f>'total slope'!H184</f>
        <v>Kg</v>
      </c>
      <c r="D93" s="23">
        <f>'total slope'!G184</f>
        <v>160.30227028345018</v>
      </c>
      <c r="E93" s="23">
        <f>'total slope'!I184</f>
        <v>182.51</v>
      </c>
      <c r="F93" s="23">
        <f>D93*E93</f>
        <v>29256.767349432492</v>
      </c>
      <c r="G93" s="23">
        <f>V!G198</f>
        <v>0</v>
      </c>
      <c r="H93" s="23">
        <f>V!I198</f>
        <v>182.51</v>
      </c>
      <c r="I93" s="23">
        <f>G93*H93</f>
        <v>0</v>
      </c>
      <c r="J93" s="71">
        <f>I93-F93</f>
        <v>-29256.767349432492</v>
      </c>
      <c r="K93" s="47"/>
      <c r="M93" s="14">
        <f t="shared" ref="M93:M94" si="22">1.25*F93</f>
        <v>36570.959186790613</v>
      </c>
    </row>
    <row r="94" spans="1:13" s="14" customFormat="1" ht="31.5" x14ac:dyDescent="0.25">
      <c r="A94" s="70"/>
      <c r="B94" s="76" t="str">
        <f>'total slope'!B185</f>
        <v>-13% VAT for any kind of angles and MS black pipes</v>
      </c>
      <c r="C94" s="23"/>
      <c r="D94" s="23"/>
      <c r="E94" s="23"/>
      <c r="F94" s="23">
        <f>'total slope'!J185</f>
        <v>1938.0544477269127</v>
      </c>
      <c r="G94" s="23"/>
      <c r="H94" s="23"/>
      <c r="I94" s="23">
        <f>V!J199</f>
        <v>0</v>
      </c>
      <c r="J94" s="71">
        <f>I94-F94</f>
        <v>-1938.0544477269127</v>
      </c>
      <c r="K94" s="47"/>
      <c r="M94" s="14">
        <f t="shared" si="22"/>
        <v>2422.5680596586408</v>
      </c>
    </row>
    <row r="95" spans="1:13" s="14" customFormat="1" ht="15.75" x14ac:dyDescent="0.25">
      <c r="A95" s="70"/>
      <c r="B95" s="76" t="str">
        <f>'total slope'!B186</f>
        <v>-13% VAT for primer</v>
      </c>
      <c r="C95" s="23"/>
      <c r="D95" s="23"/>
      <c r="E95" s="23"/>
      <c r="F95" s="23">
        <f>'total slope'!J186</f>
        <v>121.03075317071475</v>
      </c>
      <c r="G95" s="23"/>
      <c r="H95" s="23"/>
      <c r="I95" s="23">
        <f>V!J200</f>
        <v>0</v>
      </c>
      <c r="J95" s="71">
        <f>I95-F95</f>
        <v>-121.03075317071475</v>
      </c>
      <c r="K95" s="47"/>
    </row>
    <row r="96" spans="1:13" s="14" customFormat="1" ht="15.75" x14ac:dyDescent="0.25">
      <c r="A96" s="70"/>
      <c r="B96" s="76"/>
      <c r="C96" s="23"/>
      <c r="D96" s="23"/>
      <c r="E96" s="23"/>
      <c r="F96" s="23"/>
      <c r="G96" s="23"/>
      <c r="H96" s="23"/>
      <c r="I96" s="23"/>
      <c r="J96" s="71"/>
      <c r="K96" s="47"/>
    </row>
    <row r="97" spans="1:15" s="14" customFormat="1" x14ac:dyDescent="0.25">
      <c r="A97" s="70">
        <f>'total slope'!A188</f>
        <v>19</v>
      </c>
      <c r="B97" s="78" t="str">
        <f>'total slope'!B188</f>
        <v>Provisional sum for unforseen works</v>
      </c>
      <c r="C97" s="23" t="str">
        <f>'total slope'!H188</f>
        <v>PS</v>
      </c>
      <c r="D97" s="23">
        <f>'total slope'!G188</f>
        <v>1</v>
      </c>
      <c r="E97" s="23">
        <f>'total slope'!I188</f>
        <v>5000</v>
      </c>
      <c r="F97" s="23">
        <f>D97*E97</f>
        <v>5000</v>
      </c>
      <c r="G97" s="23">
        <f>V!G202</f>
        <v>0</v>
      </c>
      <c r="H97" s="23">
        <f>V!I202</f>
        <v>5000</v>
      </c>
      <c r="I97" s="23">
        <f>G97*H97</f>
        <v>0</v>
      </c>
      <c r="J97" s="71">
        <f>I97-F97</f>
        <v>-5000</v>
      </c>
      <c r="K97" s="47"/>
      <c r="M97" s="14">
        <f t="shared" ref="M97" si="23">1.25*F97</f>
        <v>6250</v>
      </c>
    </row>
    <row r="98" spans="1:15" s="14" customFormat="1" x14ac:dyDescent="0.25">
      <c r="A98" s="72"/>
      <c r="B98" s="73"/>
      <c r="C98" s="23"/>
      <c r="D98" s="23"/>
      <c r="E98" s="23"/>
      <c r="F98" s="23"/>
      <c r="G98" s="23"/>
      <c r="H98" s="23"/>
      <c r="I98" s="23"/>
      <c r="J98" s="71"/>
      <c r="K98" s="47"/>
    </row>
    <row r="99" spans="1:15" s="14" customFormat="1" x14ac:dyDescent="0.25">
      <c r="A99" s="70">
        <f>'total slope'!A190</f>
        <v>20</v>
      </c>
      <c r="B99" s="78" t="str">
        <f>'total slope'!B190</f>
        <v>Information board (सुचना पाटि)</v>
      </c>
      <c r="C99" s="23" t="str">
        <f>'total slope'!H190</f>
        <v>no.</v>
      </c>
      <c r="D99" s="23">
        <f>'total slope'!G190</f>
        <v>1</v>
      </c>
      <c r="E99" s="23">
        <f>'total slope'!I190</f>
        <v>1000</v>
      </c>
      <c r="F99" s="23">
        <f>D99*E99</f>
        <v>1000</v>
      </c>
      <c r="G99" s="23">
        <f>V!G204</f>
        <v>0</v>
      </c>
      <c r="H99" s="23">
        <f>V!I204</f>
        <v>1000</v>
      </c>
      <c r="I99" s="23">
        <f>G99*H99</f>
        <v>0</v>
      </c>
      <c r="J99" s="71">
        <f>I99-F99</f>
        <v>-1000</v>
      </c>
      <c r="K99" s="47"/>
    </row>
    <row r="100" spans="1:15" s="14" customFormat="1" x14ac:dyDescent="0.25">
      <c r="A100" s="73"/>
      <c r="B100" s="73"/>
      <c r="C100" s="23"/>
      <c r="D100" s="23"/>
      <c r="E100" s="23"/>
      <c r="F100" s="23"/>
      <c r="G100" s="23"/>
      <c r="H100" s="23"/>
      <c r="I100" s="23"/>
      <c r="J100" s="71"/>
      <c r="K100" s="47"/>
    </row>
    <row r="101" spans="1:15" x14ac:dyDescent="0.25">
      <c r="A101" s="15"/>
      <c r="B101" s="79" t="s">
        <v>20</v>
      </c>
      <c r="C101" s="79"/>
      <c r="D101" s="80"/>
      <c r="E101" s="80"/>
      <c r="F101" s="80">
        <f>SUM(F13:F99)</f>
        <v>615013.60814201215</v>
      </c>
      <c r="G101" s="80"/>
      <c r="H101" s="80"/>
      <c r="I101" s="80">
        <f>SUM(I13:I99)</f>
        <v>383357.4856272373</v>
      </c>
      <c r="J101" s="81">
        <f>I101-F101</f>
        <v>-231656.12251477485</v>
      </c>
      <c r="K101" s="15"/>
      <c r="O101">
        <f>I101/F101</f>
        <v>0.62333171258662068</v>
      </c>
    </row>
  </sheetData>
  <mergeCells count="20">
    <mergeCell ref="C6:D6"/>
    <mergeCell ref="J6:K6"/>
    <mergeCell ref="A1:K1"/>
    <mergeCell ref="A2:K2"/>
    <mergeCell ref="A3:K3"/>
    <mergeCell ref="A4:K4"/>
    <mergeCell ref="A5:K5"/>
    <mergeCell ref="F7:G7"/>
    <mergeCell ref="I7:K7"/>
    <mergeCell ref="A8:F8"/>
    <mergeCell ref="I8:K8"/>
    <mergeCell ref="A9:F9"/>
    <mergeCell ref="I9:K9"/>
    <mergeCell ref="K11:K12"/>
    <mergeCell ref="A11:A12"/>
    <mergeCell ref="B11:B12"/>
    <mergeCell ref="C11:C12"/>
    <mergeCell ref="D11:F11"/>
    <mergeCell ref="G11:I11"/>
    <mergeCell ref="J11:J12"/>
  </mergeCells>
  <printOptions horizontalCentered="1"/>
  <pageMargins left="0.7" right="0.7" top="0.75" bottom="0.75" header="0.3" footer="0.3"/>
  <pageSetup paperSize="9" scale="90" orientation="landscape" horizontalDpi="300" verticalDpi="300" r:id="rId1"/>
  <headerFooter>
    <oddFooter xml:space="preserve">&amp;LPrepared By:
&amp;CChecked By:
&amp;RApproved By: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13"/>
  <sheetViews>
    <sheetView topLeftCell="A202" zoomScaleNormal="100" workbookViewId="0">
      <selection activeCell="G210" sqref="G210"/>
    </sheetView>
  </sheetViews>
  <sheetFormatPr defaultColWidth="9.140625" defaultRowHeight="15" x14ac:dyDescent="0.25"/>
  <cols>
    <col min="1" max="1" width="4.7109375" customWidth="1"/>
    <col min="2" max="2" width="30.85546875" customWidth="1"/>
    <col min="3" max="3" width="5.5703125" bestFit="1" customWidth="1"/>
    <col min="4" max="4" width="8.42578125" customWidth="1"/>
    <col min="5" max="5" width="8.5703125" customWidth="1"/>
    <col min="6" max="6" width="7.28515625" customWidth="1"/>
    <col min="8" max="8" width="5" bestFit="1" customWidth="1"/>
    <col min="9" max="10" width="10.7109375" bestFit="1" customWidth="1"/>
  </cols>
  <sheetData>
    <row r="1" spans="1:25" x14ac:dyDescent="0.25">
      <c r="A1" s="86" t="s">
        <v>0</v>
      </c>
      <c r="B1" s="86"/>
      <c r="C1" s="86"/>
      <c r="D1" s="86"/>
      <c r="E1" s="86"/>
      <c r="F1" s="86"/>
      <c r="G1" s="86"/>
      <c r="H1" s="86"/>
      <c r="I1" s="86"/>
      <c r="J1" s="86"/>
      <c r="K1" s="86"/>
    </row>
    <row r="2" spans="1:25" ht="22.5" x14ac:dyDescent="0.25">
      <c r="A2" s="87" t="s">
        <v>1</v>
      </c>
      <c r="B2" s="87"/>
      <c r="C2" s="87"/>
      <c r="D2" s="87"/>
      <c r="E2" s="87"/>
      <c r="F2" s="87"/>
      <c r="G2" s="87"/>
      <c r="H2" s="87"/>
      <c r="I2" s="87"/>
      <c r="J2" s="87"/>
      <c r="K2" s="87"/>
    </row>
    <row r="3" spans="1:25" x14ac:dyDescent="0.25">
      <c r="A3" s="88" t="s">
        <v>2</v>
      </c>
      <c r="B3" s="88"/>
      <c r="C3" s="88"/>
      <c r="D3" s="88"/>
      <c r="E3" s="88"/>
      <c r="F3" s="88"/>
      <c r="G3" s="88"/>
      <c r="H3" s="88"/>
      <c r="I3" s="88"/>
      <c r="J3" s="88"/>
      <c r="K3" s="88"/>
    </row>
    <row r="4" spans="1:25" x14ac:dyDescent="0.25">
      <c r="A4" s="88" t="s">
        <v>3</v>
      </c>
      <c r="B4" s="88"/>
      <c r="C4" s="88"/>
      <c r="D4" s="88"/>
      <c r="E4" s="88"/>
      <c r="F4" s="88"/>
      <c r="G4" s="88"/>
      <c r="H4" s="88"/>
      <c r="I4" s="88"/>
      <c r="J4" s="88"/>
      <c r="K4" s="88"/>
    </row>
    <row r="5" spans="1:25" ht="18.75" x14ac:dyDescent="0.3">
      <c r="A5" s="89" t="s">
        <v>156</v>
      </c>
      <c r="B5" s="89"/>
      <c r="C5" s="89"/>
      <c r="D5" s="89"/>
      <c r="E5" s="89"/>
      <c r="F5" s="89"/>
      <c r="G5" s="89"/>
      <c r="H5" s="89"/>
      <c r="I5" s="89"/>
      <c r="J5" s="89"/>
      <c r="K5" s="89"/>
    </row>
    <row r="6" spans="1:25" ht="15.75" x14ac:dyDescent="0.25">
      <c r="A6" s="84" t="s">
        <v>94</v>
      </c>
      <c r="B6" s="84"/>
      <c r="C6" s="84"/>
      <c r="D6" s="84"/>
      <c r="E6" s="84"/>
      <c r="F6" s="84"/>
      <c r="G6" s="4"/>
      <c r="H6" s="85" t="s">
        <v>25</v>
      </c>
      <c r="I6" s="85"/>
      <c r="J6" s="85"/>
      <c r="K6" s="85"/>
    </row>
    <row r="7" spans="1:25" ht="15.75" x14ac:dyDescent="0.25">
      <c r="A7" s="92" t="s">
        <v>29</v>
      </c>
      <c r="B7" s="92"/>
      <c r="C7" s="92"/>
      <c r="D7" s="92"/>
      <c r="E7" s="92"/>
      <c r="F7" s="92"/>
      <c r="G7" s="5"/>
      <c r="H7" s="93" t="s">
        <v>159</v>
      </c>
      <c r="I7" s="93"/>
      <c r="J7" s="93"/>
      <c r="K7" s="93"/>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49">
        <v>0</v>
      </c>
      <c r="D10" s="27">
        <f>5.5/3.281</f>
        <v>1.6763181956720512</v>
      </c>
      <c r="E10" s="27">
        <f>5.5/3.281</f>
        <v>1.6763181956720512</v>
      </c>
      <c r="F10" s="26">
        <v>0.15</v>
      </c>
      <c r="G10" s="27">
        <f>PRODUCT(C10:F10)</f>
        <v>0</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v>
      </c>
      <c r="H11" s="21" t="s">
        <v>28</v>
      </c>
      <c r="I11" s="2">
        <v>674.12</v>
      </c>
      <c r="J11" s="22">
        <f>G11*I11</f>
        <v>0</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49">
        <f>C10</f>
        <v>0</v>
      </c>
      <c r="D14" s="27">
        <f>D10</f>
        <v>1.6763181956720512</v>
      </c>
      <c r="E14" s="27">
        <f>E10</f>
        <v>1.6763181956720512</v>
      </c>
      <c r="F14" s="26"/>
      <c r="G14" s="27">
        <f>PRODUCT(C14:F14)</f>
        <v>0</v>
      </c>
      <c r="H14" s="26"/>
      <c r="I14" s="26"/>
      <c r="J14" s="26"/>
      <c r="K14" s="26"/>
    </row>
    <row r="15" spans="1:25" s="10" customFormat="1" ht="13.9" customHeight="1" x14ac:dyDescent="0.25">
      <c r="A15" s="17"/>
      <c r="B15" s="18" t="s">
        <v>16</v>
      </c>
      <c r="C15" s="19"/>
      <c r="D15" s="1"/>
      <c r="E15" s="20"/>
      <c r="F15" s="20"/>
      <c r="G15" s="2">
        <f>SUM(G14)</f>
        <v>0</v>
      </c>
      <c r="H15" s="21" t="s">
        <v>34</v>
      </c>
      <c r="I15" s="2">
        <v>1017.47</v>
      </c>
      <c r="J15" s="22">
        <f>G15*I15</f>
        <v>0</v>
      </c>
      <c r="K15" s="20"/>
    </row>
    <row r="16" spans="1:25" s="10" customFormat="1" x14ac:dyDescent="0.25">
      <c r="A16" s="24"/>
      <c r="B16" s="25" t="s">
        <v>53</v>
      </c>
      <c r="C16" s="26"/>
      <c r="D16" s="26"/>
      <c r="E16" s="26"/>
      <c r="F16" s="26"/>
      <c r="G16" s="26"/>
      <c r="H16" s="26"/>
      <c r="I16" s="26"/>
      <c r="J16" s="22">
        <f>0.13*G15*6360.9/10</f>
        <v>0</v>
      </c>
      <c r="K16" s="26"/>
    </row>
    <row r="17" spans="1:11" s="10" customFormat="1" x14ac:dyDescent="0.25">
      <c r="A17" s="24"/>
      <c r="B17" s="25" t="s">
        <v>31</v>
      </c>
      <c r="C17" s="26"/>
      <c r="D17" s="26"/>
      <c r="E17" s="26"/>
      <c r="F17" s="26"/>
      <c r="G17" s="26"/>
      <c r="H17" s="26"/>
      <c r="I17" s="26"/>
      <c r="J17" s="22">
        <f>0.13*G15*2256.3/10</f>
        <v>0</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45">
        <v>0</v>
      </c>
      <c r="D20" s="3">
        <f>15/3.281</f>
        <v>4.5717768972874122</v>
      </c>
      <c r="E20" s="3">
        <v>0.35</v>
      </c>
      <c r="F20" s="3">
        <v>0.1</v>
      </c>
      <c r="G20" s="3">
        <f>PRODUCT(C20:F20)</f>
        <v>0</v>
      </c>
      <c r="H20" s="15"/>
      <c r="I20" s="15"/>
      <c r="J20" s="15"/>
      <c r="K20" s="15"/>
    </row>
    <row r="21" spans="1:11" x14ac:dyDescent="0.25">
      <c r="A21" s="15"/>
      <c r="B21" s="16"/>
      <c r="C21" s="45">
        <v>0</v>
      </c>
      <c r="D21" s="3">
        <f>9.75/3.281</f>
        <v>2.9716549832368178</v>
      </c>
      <c r="E21" s="3">
        <v>0.35</v>
      </c>
      <c r="F21" s="3">
        <v>0.1</v>
      </c>
      <c r="G21" s="3">
        <f>PRODUCT(C21:F21)</f>
        <v>0</v>
      </c>
      <c r="H21" s="15"/>
      <c r="I21" s="15"/>
      <c r="J21" s="15"/>
      <c r="K21" s="15"/>
    </row>
    <row r="22" spans="1:11" x14ac:dyDescent="0.25">
      <c r="A22" s="15"/>
      <c r="B22" s="16" t="str">
        <f>B14</f>
        <v>-for stand tap</v>
      </c>
      <c r="C22" s="62">
        <f t="shared" ref="C22:E22" si="0">C14</f>
        <v>0</v>
      </c>
      <c r="D22" s="57">
        <f t="shared" si="0"/>
        <v>1.6763181956720512</v>
      </c>
      <c r="E22" s="57">
        <f t="shared" si="0"/>
        <v>1.6763181956720512</v>
      </c>
      <c r="F22" s="57">
        <v>0.1</v>
      </c>
      <c r="G22" s="3">
        <f>PRODUCT(C22:F22)</f>
        <v>0</v>
      </c>
      <c r="H22" s="15"/>
      <c r="I22" s="15"/>
      <c r="J22" s="15"/>
      <c r="K22" s="15"/>
    </row>
    <row r="23" spans="1:11" s="10" customFormat="1" ht="15" customHeight="1" x14ac:dyDescent="0.25">
      <c r="A23" s="17"/>
      <c r="B23" s="18" t="s">
        <v>16</v>
      </c>
      <c r="C23" s="19"/>
      <c r="D23" s="1"/>
      <c r="E23" s="20"/>
      <c r="F23" s="20"/>
      <c r="G23" s="2">
        <f>SUM(G20:G22)</f>
        <v>0</v>
      </c>
      <c r="H23" s="21" t="s">
        <v>28</v>
      </c>
      <c r="I23" s="2">
        <v>12884.61</v>
      </c>
      <c r="J23" s="22">
        <f>G23*I23</f>
        <v>0</v>
      </c>
      <c r="K23" s="20"/>
    </row>
    <row r="24" spans="1:11" s="10" customFormat="1" x14ac:dyDescent="0.25">
      <c r="A24" s="24"/>
      <c r="B24" s="25" t="s">
        <v>32</v>
      </c>
      <c r="C24" s="26"/>
      <c r="D24" s="27"/>
      <c r="E24" s="27"/>
      <c r="F24" s="27"/>
      <c r="G24" s="27"/>
      <c r="H24" s="26"/>
      <c r="I24" s="26"/>
      <c r="J24" s="22">
        <f>0.13*G23*4169.92</f>
        <v>0</v>
      </c>
      <c r="K24" s="26"/>
    </row>
    <row r="25" spans="1:11" s="10" customFormat="1" x14ac:dyDescent="0.25">
      <c r="A25" s="24"/>
      <c r="B25" s="25" t="s">
        <v>33</v>
      </c>
      <c r="C25" s="26"/>
      <c r="D25" s="27"/>
      <c r="E25" s="27"/>
      <c r="F25" s="27"/>
      <c r="G25" s="27"/>
      <c r="H25" s="26"/>
      <c r="I25" s="26"/>
      <c r="J25" s="22">
        <f>0.13*G23*(1652.5+1106.96)</f>
        <v>0</v>
      </c>
      <c r="K25" s="26"/>
    </row>
    <row r="26" spans="1:11" s="10" customFormat="1" x14ac:dyDescent="0.25">
      <c r="A26" s="24"/>
      <c r="B26" s="25" t="s">
        <v>31</v>
      </c>
      <c r="C26" s="26"/>
      <c r="D26" s="27"/>
      <c r="E26" s="27"/>
      <c r="F26" s="27"/>
      <c r="G26" s="27"/>
      <c r="H26" s="26"/>
      <c r="I26" s="26"/>
      <c r="J26" s="22">
        <f>0.13*G23*1414.16</f>
        <v>0</v>
      </c>
      <c r="K26" s="26"/>
    </row>
    <row r="27" spans="1:11" x14ac:dyDescent="0.25">
      <c r="A27" s="15"/>
      <c r="B27" s="25" t="s">
        <v>35</v>
      </c>
      <c r="C27" s="15"/>
      <c r="D27" s="3"/>
      <c r="E27" s="3"/>
      <c r="F27" s="3"/>
      <c r="G27" s="3"/>
      <c r="H27" s="15"/>
      <c r="I27" s="15"/>
      <c r="J27" s="22">
        <f>0.13*G23*36.4</f>
        <v>0</v>
      </c>
      <c r="K27" s="15"/>
    </row>
    <row r="28" spans="1:11" x14ac:dyDescent="0.25">
      <c r="A28" s="15"/>
      <c r="B28" s="25" t="s">
        <v>35</v>
      </c>
      <c r="C28" s="15"/>
      <c r="D28" s="3"/>
      <c r="E28" s="3"/>
      <c r="F28" s="3"/>
      <c r="G28" s="3"/>
      <c r="H28" s="15"/>
      <c r="I28" s="15"/>
      <c r="J28" s="22">
        <f>0.13*G23*392.92</f>
        <v>0</v>
      </c>
      <c r="K28" s="15"/>
    </row>
    <row r="29" spans="1:11" x14ac:dyDescent="0.25">
      <c r="A29" s="15"/>
      <c r="B29" s="25" t="s">
        <v>35</v>
      </c>
      <c r="C29" s="15"/>
      <c r="D29" s="3"/>
      <c r="E29" s="3"/>
      <c r="F29" s="3"/>
      <c r="G29" s="3"/>
      <c r="H29" s="15"/>
      <c r="I29" s="15"/>
      <c r="J29" s="22">
        <f>0.13*G23*14.15</f>
        <v>0</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45">
        <v>2</v>
      </c>
      <c r="D32" s="3">
        <f>15/3.281</f>
        <v>4.5717768972874122</v>
      </c>
      <c r="E32" s="3">
        <v>0.23</v>
      </c>
      <c r="F32" s="3">
        <v>0.3</v>
      </c>
      <c r="G32" s="3">
        <f t="shared" ref="G32:G41" si="1">PRODUCT(C32:F32)</f>
        <v>0.63090521182566295</v>
      </c>
      <c r="H32" s="15"/>
      <c r="I32" s="15"/>
      <c r="J32" s="15"/>
      <c r="K32" s="15"/>
    </row>
    <row r="33" spans="1:15" x14ac:dyDescent="0.25">
      <c r="A33" s="15"/>
      <c r="B33" s="16"/>
      <c r="C33" s="45">
        <v>2</v>
      </c>
      <c r="D33" s="3">
        <f>(12-1.17*2)/3.281</f>
        <v>2.9442243218530937</v>
      </c>
      <c r="E33" s="3">
        <v>0.23</v>
      </c>
      <c r="F33" s="3">
        <v>0.3</v>
      </c>
      <c r="G33" s="3">
        <f t="shared" si="1"/>
        <v>0.40630295641572695</v>
      </c>
      <c r="H33" s="15"/>
      <c r="I33" s="15"/>
      <c r="J33" s="15"/>
      <c r="K33" s="15"/>
    </row>
    <row r="34" spans="1:15" x14ac:dyDescent="0.25">
      <c r="A34" s="15"/>
      <c r="B34" s="16"/>
      <c r="C34" s="45">
        <v>2</v>
      </c>
      <c r="D34" s="3">
        <f>(12-1.17*2)/3.281</f>
        <v>2.9442243218530937</v>
      </c>
      <c r="E34" s="3">
        <v>0.23</v>
      </c>
      <c r="F34" s="3">
        <v>0.3</v>
      </c>
      <c r="G34" s="3">
        <f t="shared" ref="G34" si="2">PRODUCT(C34:F34)</f>
        <v>0.40630295641572695</v>
      </c>
      <c r="H34" s="15"/>
      <c r="I34" s="15"/>
      <c r="J34" s="15"/>
      <c r="K34" s="15"/>
    </row>
    <row r="35" spans="1:15" x14ac:dyDescent="0.25">
      <c r="A35" s="15"/>
      <c r="B35" s="16" t="s">
        <v>90</v>
      </c>
      <c r="C35" s="45">
        <v>2</v>
      </c>
      <c r="D35" s="3">
        <f>(3+1.5)/3.281</f>
        <v>1.3715330691862238</v>
      </c>
      <c r="E35" s="3">
        <v>0.23</v>
      </c>
      <c r="F35" s="3">
        <v>0.23</v>
      </c>
      <c r="G35" s="3">
        <f t="shared" si="1"/>
        <v>0.14510819871990249</v>
      </c>
      <c r="H35" s="15"/>
      <c r="I35" s="15"/>
      <c r="J35" s="15"/>
      <c r="K35" s="15"/>
    </row>
    <row r="36" spans="1:15" x14ac:dyDescent="0.25">
      <c r="A36" s="15"/>
      <c r="B36" s="16"/>
      <c r="C36" s="45">
        <v>2</v>
      </c>
      <c r="D36" s="3">
        <f>39/12/3.281</f>
        <v>0.99055166107893933</v>
      </c>
      <c r="E36" s="3">
        <v>0.23</v>
      </c>
      <c r="F36" s="3">
        <v>0.23</v>
      </c>
      <c r="G36" s="3">
        <f t="shared" si="1"/>
        <v>0.10480036574215179</v>
      </c>
      <c r="H36" s="15"/>
      <c r="I36" s="15"/>
      <c r="J36" s="15"/>
      <c r="K36" s="15"/>
    </row>
    <row r="37" spans="1:15" x14ac:dyDescent="0.25">
      <c r="A37" s="15"/>
      <c r="B37" s="16" t="s">
        <v>91</v>
      </c>
      <c r="C37" s="45">
        <v>2</v>
      </c>
      <c r="D37" s="3">
        <f>((16.75+4.5)/2)/3.281</f>
        <v>3.2383419689119171</v>
      </c>
      <c r="E37" s="3">
        <f>((8.333+7.75)/2/3.281)</f>
        <v>2.4509295946357814</v>
      </c>
      <c r="F37" s="3">
        <v>7.4999999999999997E-2</v>
      </c>
      <c r="G37" s="3">
        <f t="shared" si="1"/>
        <v>1.1905422253735984</v>
      </c>
      <c r="H37" s="15"/>
      <c r="I37" s="15"/>
      <c r="J37" s="15"/>
      <c r="K37" s="15"/>
      <c r="M37">
        <f>((7*12+8.5+8*12+4.5)/2)/12/3.281</f>
        <v>2.4509803921568625</v>
      </c>
      <c r="N37">
        <f>CONVERT(M37,"m","ft")</f>
        <v>8.0412742524831451</v>
      </c>
      <c r="O37">
        <f>16.083/2/3.281</f>
        <v>2.4509295946357814</v>
      </c>
    </row>
    <row r="38" spans="1:15" x14ac:dyDescent="0.25">
      <c r="A38" s="15"/>
      <c r="B38" s="16"/>
      <c r="C38" s="45">
        <v>2</v>
      </c>
      <c r="D38" s="3">
        <f>(4.75+19.5)/2/3.281</f>
        <v>3.695519658640658</v>
      </c>
      <c r="E38" s="3">
        <f>7/3.281</f>
        <v>2.1334958854007922</v>
      </c>
      <c r="F38" s="3">
        <v>7.4999999999999997E-2</v>
      </c>
      <c r="G38" s="3">
        <f t="shared" si="1"/>
        <v>1.1826563979191376</v>
      </c>
      <c r="H38" s="15"/>
      <c r="I38" s="15"/>
      <c r="J38" s="15"/>
      <c r="K38" s="15"/>
      <c r="M38">
        <f>(4.75+19.5)/2/3.281</f>
        <v>3.695519658640658</v>
      </c>
      <c r="N38">
        <f>CONVERT(M38,"m","ft")</f>
        <v>12.12440832887355</v>
      </c>
    </row>
    <row r="39" spans="1:15" x14ac:dyDescent="0.25">
      <c r="A39" s="15"/>
      <c r="B39" s="16" t="s">
        <v>93</v>
      </c>
      <c r="C39" s="45">
        <v>4</v>
      </c>
      <c r="D39" s="3">
        <v>0.23</v>
      </c>
      <c r="E39" s="3">
        <v>0.23</v>
      </c>
      <c r="F39" s="3">
        <f>(4/3.281)</f>
        <v>1.2191405059433098</v>
      </c>
      <c r="G39" s="3">
        <f t="shared" si="1"/>
        <v>0.25797013105760436</v>
      </c>
      <c r="H39" s="15"/>
      <c r="I39" s="15"/>
      <c r="J39" s="15"/>
      <c r="K39" s="15"/>
    </row>
    <row r="40" spans="1:15" x14ac:dyDescent="0.25">
      <c r="A40" s="15"/>
      <c r="B40" s="16" t="s">
        <v>153</v>
      </c>
      <c r="C40" s="45">
        <v>2</v>
      </c>
      <c r="D40" s="3">
        <v>6</v>
      </c>
      <c r="E40" s="3">
        <f>28/12/3.281</f>
        <v>0.7111652951335975</v>
      </c>
      <c r="F40" s="3">
        <v>7.4999999999999997E-2</v>
      </c>
      <c r="G40" s="3">
        <f t="shared" si="1"/>
        <v>0.64004876562023771</v>
      </c>
      <c r="H40" s="15"/>
      <c r="I40" s="15"/>
      <c r="J40" s="15"/>
      <c r="K40" s="15"/>
    </row>
    <row r="41" spans="1:15" x14ac:dyDescent="0.25">
      <c r="A41" s="15"/>
      <c r="B41" s="16"/>
      <c r="C41" s="45">
        <v>2</v>
      </c>
      <c r="D41" s="3">
        <f>5.1-(28/12/3.281)</f>
        <v>4.3888347048664018</v>
      </c>
      <c r="E41" s="3">
        <f>27/12/3.281</f>
        <v>0.68576653459311188</v>
      </c>
      <c r="F41" s="3">
        <v>7.4999999999999997E-2</v>
      </c>
      <c r="G41" s="3">
        <f t="shared" si="1"/>
        <v>0.45145739496873227</v>
      </c>
      <c r="H41" s="15"/>
      <c r="I41" s="15"/>
      <c r="J41" s="15"/>
      <c r="K41" s="15"/>
    </row>
    <row r="42" spans="1:15" s="10" customFormat="1" ht="15" customHeight="1" x14ac:dyDescent="0.25">
      <c r="A42" s="17"/>
      <c r="B42" s="18" t="s">
        <v>16</v>
      </c>
      <c r="C42" s="19"/>
      <c r="D42" s="1"/>
      <c r="E42" s="20"/>
      <c r="F42" s="20"/>
      <c r="G42" s="2">
        <f>SUM(G32:G41)</f>
        <v>5.4160946040584808</v>
      </c>
      <c r="H42" s="21" t="s">
        <v>28</v>
      </c>
      <c r="I42" s="2">
        <v>13957.29</v>
      </c>
      <c r="J42" s="22">
        <f>G42*I42</f>
        <v>75594.003056279398</v>
      </c>
      <c r="K42" s="20"/>
    </row>
    <row r="43" spans="1:15" s="10" customFormat="1" x14ac:dyDescent="0.25">
      <c r="A43" s="24"/>
      <c r="B43" s="25" t="s">
        <v>32</v>
      </c>
      <c r="C43" s="26"/>
      <c r="D43" s="27"/>
      <c r="E43" s="27"/>
      <c r="F43" s="27"/>
      <c r="G43" s="27"/>
      <c r="H43" s="26"/>
      <c r="I43" s="26"/>
      <c r="J43" s="22">
        <f>0.13*G42*5212.4</f>
        <v>3670.0106968452747</v>
      </c>
      <c r="K43" s="26"/>
    </row>
    <row r="44" spans="1:15" s="10" customFormat="1" x14ac:dyDescent="0.25">
      <c r="A44" s="24"/>
      <c r="B44" s="25" t="s">
        <v>33</v>
      </c>
      <c r="C44" s="26"/>
      <c r="D44" s="27"/>
      <c r="E44" s="27"/>
      <c r="F44" s="27"/>
      <c r="G44" s="27"/>
      <c r="H44" s="26"/>
      <c r="I44" s="26"/>
      <c r="J44" s="22">
        <f>0.13*G42*(1912.03+921.59)</f>
        <v>1995.1300189537849</v>
      </c>
      <c r="K44" s="26"/>
    </row>
    <row r="45" spans="1:15" s="10" customFormat="1" x14ac:dyDescent="0.25">
      <c r="A45" s="24"/>
      <c r="B45" s="25" t="s">
        <v>31</v>
      </c>
      <c r="C45" s="26"/>
      <c r="D45" s="27"/>
      <c r="E45" s="27"/>
      <c r="F45" s="27"/>
      <c r="G45" s="27"/>
      <c r="H45" s="26"/>
      <c r="I45" s="26"/>
      <c r="J45" s="22">
        <f>0.13*G42*1350.6</f>
        <v>950.94705839137987</v>
      </c>
      <c r="K45" s="26"/>
    </row>
    <row r="46" spans="1:15" x14ac:dyDescent="0.25">
      <c r="A46" s="15"/>
      <c r="B46" s="25" t="s">
        <v>35</v>
      </c>
      <c r="C46" s="15"/>
      <c r="D46" s="3"/>
      <c r="E46" s="3"/>
      <c r="F46" s="3"/>
      <c r="G46" s="3"/>
      <c r="H46" s="15"/>
      <c r="I46" s="15"/>
      <c r="J46" s="22">
        <f>0.13*G42*56</f>
        <v>39.429168717545735</v>
      </c>
      <c r="K46" s="15"/>
    </row>
    <row r="47" spans="1:15" s="10" customFormat="1" x14ac:dyDescent="0.25">
      <c r="A47" s="24"/>
      <c r="B47" s="25" t="s">
        <v>43</v>
      </c>
      <c r="C47" s="26"/>
      <c r="D47" s="27"/>
      <c r="E47" s="27"/>
      <c r="F47" s="27"/>
      <c r="G47" s="27"/>
      <c r="H47" s="26"/>
      <c r="I47" s="26"/>
      <c r="J47" s="22">
        <f>0.13*G42*392.92</f>
        <v>276.6519459374656</v>
      </c>
      <c r="K47" s="26"/>
    </row>
    <row r="48" spans="1:15" x14ac:dyDescent="0.25">
      <c r="A48" s="15"/>
      <c r="B48" s="25" t="s">
        <v>44</v>
      </c>
      <c r="C48" s="15"/>
      <c r="D48" s="3"/>
      <c r="E48" s="3"/>
      <c r="F48" s="3"/>
      <c r="G48" s="3"/>
      <c r="H48" s="15"/>
      <c r="I48" s="15"/>
      <c r="J48" s="22">
        <f>0.13*G42*14.15</f>
        <v>9.9629060241655747</v>
      </c>
      <c r="K48" s="15"/>
    </row>
    <row r="49" spans="1:11" x14ac:dyDescent="0.25">
      <c r="A49" s="15"/>
      <c r="B49" s="15"/>
      <c r="C49" s="15"/>
      <c r="D49" s="3"/>
      <c r="E49" s="3"/>
      <c r="F49" s="3"/>
      <c r="G49" s="3"/>
      <c r="H49" s="15"/>
      <c r="I49" s="15"/>
      <c r="J49" s="15"/>
      <c r="K49" s="15"/>
    </row>
    <row r="50" spans="1:11" s="14" customFormat="1" ht="30" x14ac:dyDescent="0.2">
      <c r="A50" s="11">
        <v>5</v>
      </c>
      <c r="B50" s="12" t="s">
        <v>45</v>
      </c>
      <c r="C50" s="13"/>
      <c r="D50" s="23"/>
      <c r="E50" s="23"/>
      <c r="F50" s="23"/>
      <c r="G50" s="23"/>
      <c r="H50" s="13"/>
      <c r="I50" s="13"/>
      <c r="J50" s="13"/>
      <c r="K50" s="13"/>
    </row>
    <row r="51" spans="1:11" x14ac:dyDescent="0.25">
      <c r="A51" s="15"/>
      <c r="B51" s="16" t="str">
        <f>B32</f>
        <v>-beam</v>
      </c>
      <c r="C51" s="45">
        <f>C32</f>
        <v>2</v>
      </c>
      <c r="D51" s="3">
        <f>D32</f>
        <v>4.5717768972874122</v>
      </c>
      <c r="E51" s="3"/>
      <c r="F51" s="3">
        <f>F32*2</f>
        <v>0.6</v>
      </c>
      <c r="G51" s="3">
        <f t="shared" ref="G51:G61" si="3">PRODUCT(C51:F51)</f>
        <v>5.4861322767448941</v>
      </c>
      <c r="H51" s="15"/>
      <c r="I51" s="15"/>
      <c r="J51" s="15"/>
      <c r="K51" s="15"/>
    </row>
    <row r="52" spans="1:11" x14ac:dyDescent="0.25">
      <c r="A52" s="15"/>
      <c r="B52" s="16"/>
      <c r="C52" s="45">
        <f>C33</f>
        <v>2</v>
      </c>
      <c r="D52" s="3">
        <f>D33</f>
        <v>2.9442243218530937</v>
      </c>
      <c r="E52" s="3"/>
      <c r="F52" s="3">
        <f t="shared" ref="F52:F55" si="4">F33*2</f>
        <v>0.6</v>
      </c>
      <c r="G52" s="3">
        <f t="shared" si="3"/>
        <v>3.5330691862237122</v>
      </c>
      <c r="H52" s="15"/>
      <c r="I52" s="15"/>
      <c r="J52" s="15"/>
      <c r="K52" s="15"/>
    </row>
    <row r="53" spans="1:11" x14ac:dyDescent="0.25">
      <c r="A53" s="15"/>
      <c r="B53" s="16"/>
      <c r="C53" s="45">
        <f>C34</f>
        <v>2</v>
      </c>
      <c r="D53" s="3">
        <f>D34</f>
        <v>2.9442243218530937</v>
      </c>
      <c r="E53" s="3"/>
      <c r="F53" s="3">
        <f t="shared" si="4"/>
        <v>0.6</v>
      </c>
      <c r="G53" s="3">
        <f t="shared" ref="G53" si="5">PRODUCT(C53:F53)</f>
        <v>3.5330691862237122</v>
      </c>
      <c r="H53" s="15"/>
      <c r="I53" s="15"/>
      <c r="J53" s="15"/>
      <c r="K53" s="15"/>
    </row>
    <row r="54" spans="1:11" x14ac:dyDescent="0.25">
      <c r="A54" s="15"/>
      <c r="B54" s="16" t="str">
        <f t="shared" ref="B54:D54" si="6">B35</f>
        <v>-upper beam</v>
      </c>
      <c r="C54" s="45">
        <f t="shared" si="6"/>
        <v>2</v>
      </c>
      <c r="D54" s="3">
        <f t="shared" si="6"/>
        <v>1.3715330691862238</v>
      </c>
      <c r="E54" s="3"/>
      <c r="F54" s="3">
        <f t="shared" si="4"/>
        <v>0.46</v>
      </c>
      <c r="G54" s="3">
        <f t="shared" si="3"/>
        <v>1.2618104236513259</v>
      </c>
      <c r="H54" s="15"/>
      <c r="I54" s="15"/>
      <c r="J54" s="15"/>
      <c r="K54" s="15"/>
    </row>
    <row r="55" spans="1:11" x14ac:dyDescent="0.25">
      <c r="A55" s="15"/>
      <c r="B55" s="16"/>
      <c r="C55" s="45">
        <f>C36</f>
        <v>2</v>
      </c>
      <c r="D55" s="3">
        <f>D36</f>
        <v>0.99055166107893933</v>
      </c>
      <c r="E55" s="3"/>
      <c r="F55" s="3">
        <f t="shared" si="4"/>
        <v>0.46</v>
      </c>
      <c r="G55" s="3">
        <f t="shared" si="3"/>
        <v>0.91130752819262417</v>
      </c>
      <c r="H55" s="15"/>
      <c r="I55" s="15"/>
      <c r="J55" s="15"/>
      <c r="K55" s="15"/>
    </row>
    <row r="56" spans="1:11" x14ac:dyDescent="0.25">
      <c r="A56" s="15"/>
      <c r="B56" s="16"/>
      <c r="C56" s="45">
        <v>1</v>
      </c>
      <c r="D56" s="3">
        <f>(3.25*2+3*2)/3.281</f>
        <v>3.8098140810728434</v>
      </c>
      <c r="E56" s="3"/>
      <c r="F56" s="3">
        <v>0.23</v>
      </c>
      <c r="G56" s="3">
        <f t="shared" si="3"/>
        <v>0.87625723864675398</v>
      </c>
      <c r="H56" s="15"/>
      <c r="I56" s="15"/>
      <c r="J56" s="15"/>
      <c r="K56" s="15"/>
    </row>
    <row r="57" spans="1:11" x14ac:dyDescent="0.25">
      <c r="A57" s="15"/>
      <c r="B57" s="16" t="str">
        <f t="shared" ref="B57:D57" si="7">B37</f>
        <v>-slab</v>
      </c>
      <c r="C57" s="45">
        <f t="shared" si="7"/>
        <v>2</v>
      </c>
      <c r="D57" s="3">
        <f t="shared" si="7"/>
        <v>3.2383419689119171</v>
      </c>
      <c r="E57" s="3">
        <f>7.667/3.281</f>
        <v>2.3367875647668392</v>
      </c>
      <c r="F57" s="3"/>
      <c r="G57" s="3">
        <f t="shared" si="3"/>
        <v>15.13463448683186</v>
      </c>
      <c r="H57" s="15"/>
      <c r="I57" s="15"/>
      <c r="J57" s="15"/>
      <c r="K57" s="15"/>
    </row>
    <row r="58" spans="1:11" x14ac:dyDescent="0.25">
      <c r="A58" s="15"/>
      <c r="B58" s="16"/>
      <c r="C58" s="45">
        <f>C38</f>
        <v>2</v>
      </c>
      <c r="D58" s="3">
        <f>D38</f>
        <v>3.695519658640658</v>
      </c>
      <c r="E58" s="3">
        <f>6.667/3.281</f>
        <v>2.0320024382810118</v>
      </c>
      <c r="F58" s="3"/>
      <c r="G58" s="3">
        <f t="shared" si="3"/>
        <v>15.01860991414646</v>
      </c>
      <c r="H58" s="15"/>
      <c r="I58" s="15"/>
      <c r="J58" s="15"/>
      <c r="K58" s="15"/>
    </row>
    <row r="59" spans="1:11" x14ac:dyDescent="0.25">
      <c r="A59" s="15"/>
      <c r="B59" s="16" t="str">
        <f>B39</f>
        <v>-column</v>
      </c>
      <c r="C59" s="45">
        <f>C39</f>
        <v>4</v>
      </c>
      <c r="D59" s="3">
        <f>0.23*4</f>
        <v>0.92</v>
      </c>
      <c r="E59" s="3"/>
      <c r="F59" s="3">
        <f>F39</f>
        <v>1.2191405059433098</v>
      </c>
      <c r="G59" s="3">
        <f t="shared" si="3"/>
        <v>4.4864370618713805</v>
      </c>
      <c r="H59" s="15"/>
      <c r="I59" s="15"/>
      <c r="J59" s="15"/>
      <c r="K59" s="15"/>
    </row>
    <row r="60" spans="1:11" x14ac:dyDescent="0.25">
      <c r="A60" s="15"/>
      <c r="B60" s="16" t="str">
        <f>B40</f>
        <v>-cantilever</v>
      </c>
      <c r="C60" s="45">
        <f>C40</f>
        <v>2</v>
      </c>
      <c r="D60" s="3">
        <f>D40</f>
        <v>6</v>
      </c>
      <c r="E60" s="3">
        <f>E40</f>
        <v>0.7111652951335975</v>
      </c>
      <c r="F60" s="3"/>
      <c r="G60" s="3">
        <f t="shared" si="3"/>
        <v>8.5339835416031704</v>
      </c>
      <c r="H60" s="15"/>
      <c r="I60" s="15"/>
      <c r="J60" s="15"/>
      <c r="K60" s="15"/>
    </row>
    <row r="61" spans="1:11" x14ac:dyDescent="0.25">
      <c r="A61" s="15"/>
      <c r="B61" s="16"/>
      <c r="C61" s="45">
        <f>C41</f>
        <v>2</v>
      </c>
      <c r="D61" s="3">
        <f>D41</f>
        <v>4.3888347048664018</v>
      </c>
      <c r="E61" s="3">
        <f>E41</f>
        <v>0.68576653459311188</v>
      </c>
      <c r="F61" s="3"/>
      <c r="G61" s="3">
        <f t="shared" si="3"/>
        <v>6.0194319329164303</v>
      </c>
      <c r="H61" s="15"/>
      <c r="I61" s="15"/>
      <c r="J61" s="15"/>
      <c r="K61" s="15"/>
    </row>
    <row r="62" spans="1:11" s="10" customFormat="1" ht="15" customHeight="1" x14ac:dyDescent="0.25">
      <c r="A62" s="17"/>
      <c r="B62" s="18" t="s">
        <v>16</v>
      </c>
      <c r="C62" s="19"/>
      <c r="D62" s="1"/>
      <c r="E62" s="20"/>
      <c r="F62" s="20"/>
      <c r="G62" s="2">
        <f>SUM(G51:G61)</f>
        <v>64.794742777052321</v>
      </c>
      <c r="H62" s="21" t="s">
        <v>34</v>
      </c>
      <c r="I62" s="2">
        <v>922.71</v>
      </c>
      <c r="J62" s="22">
        <f>G62*I62</f>
        <v>59786.757107813952</v>
      </c>
      <c r="K62" s="20"/>
    </row>
    <row r="63" spans="1:11" s="10" customFormat="1" x14ac:dyDescent="0.25">
      <c r="A63" s="24"/>
      <c r="B63" s="25" t="s">
        <v>46</v>
      </c>
      <c r="C63" s="26"/>
      <c r="D63" s="27"/>
      <c r="E63" s="27"/>
      <c r="F63" s="27"/>
      <c r="G63" s="27"/>
      <c r="H63" s="26"/>
      <c r="I63" s="26"/>
      <c r="J63" s="22">
        <f>0.13*G62*20062.02/100</f>
        <v>1689.8874531345032</v>
      </c>
      <c r="K63" s="26"/>
    </row>
    <row r="64" spans="1:11" s="10" customFormat="1" x14ac:dyDescent="0.25">
      <c r="A64" s="24"/>
      <c r="B64" s="25" t="s">
        <v>47</v>
      </c>
      <c r="C64" s="26"/>
      <c r="D64" s="27"/>
      <c r="E64" s="27"/>
      <c r="F64" s="27"/>
      <c r="G64" s="27"/>
      <c r="H64" s="26"/>
      <c r="I64" s="26"/>
      <c r="J64" s="22">
        <f>0.13*G62*13328.25/100</f>
        <v>1122.6806895437219</v>
      </c>
      <c r="K64" s="26"/>
    </row>
    <row r="65" spans="1:13" s="10" customFormat="1" x14ac:dyDescent="0.25">
      <c r="A65" s="24"/>
      <c r="B65" s="25" t="s">
        <v>48</v>
      </c>
      <c r="C65" s="26"/>
      <c r="D65" s="27"/>
      <c r="E65" s="27"/>
      <c r="F65" s="27"/>
      <c r="G65" s="27"/>
      <c r="H65" s="26"/>
      <c r="I65" s="26"/>
      <c r="J65" s="22">
        <f>0.13*G62*10137.6/100</f>
        <v>853.92213968963949</v>
      </c>
      <c r="K65" s="26"/>
    </row>
    <row r="66" spans="1:13" x14ac:dyDescent="0.25">
      <c r="A66" s="15"/>
      <c r="B66" s="25" t="s">
        <v>49</v>
      </c>
      <c r="C66" s="15"/>
      <c r="D66" s="3"/>
      <c r="E66" s="3"/>
      <c r="F66" s="3"/>
      <c r="G66" s="3"/>
      <c r="H66" s="15"/>
      <c r="I66" s="15"/>
      <c r="J66" s="22">
        <f>0.13*G62*3300/100</f>
        <v>277.96944651355449</v>
      </c>
      <c r="K66" s="15"/>
    </row>
    <row r="67" spans="1:13" x14ac:dyDescent="0.25">
      <c r="A67" s="15"/>
      <c r="B67" s="15"/>
      <c r="C67" s="15"/>
      <c r="D67" s="3"/>
      <c r="E67" s="3"/>
      <c r="F67" s="3"/>
      <c r="G67" s="3"/>
      <c r="H67" s="15"/>
      <c r="I67" s="15"/>
      <c r="J67" s="15"/>
      <c r="K67" s="15"/>
    </row>
    <row r="68" spans="1:13" s="14" customFormat="1" ht="45" x14ac:dyDescent="0.25">
      <c r="A68" s="11">
        <v>6</v>
      </c>
      <c r="B68" s="28" t="s">
        <v>36</v>
      </c>
      <c r="C68" s="13" t="s">
        <v>7</v>
      </c>
      <c r="D68" s="29" t="s">
        <v>27</v>
      </c>
      <c r="E68" s="29" t="s">
        <v>39</v>
      </c>
      <c r="F68" s="29" t="s">
        <v>40</v>
      </c>
      <c r="G68" s="23"/>
      <c r="H68" s="13"/>
      <c r="I68" s="13"/>
      <c r="J68" s="13"/>
      <c r="K68" s="13"/>
    </row>
    <row r="69" spans="1:13" x14ac:dyDescent="0.25">
      <c r="A69" s="15"/>
      <c r="B69" s="16" t="str">
        <f>B32</f>
        <v>-beam</v>
      </c>
      <c r="C69" s="45">
        <f>2*2</f>
        <v>4</v>
      </c>
      <c r="D69" s="3">
        <f>5.9+0.23</f>
        <v>6.1300000000000008</v>
      </c>
      <c r="E69" s="3">
        <f>12*12/162</f>
        <v>0.88888888888888884</v>
      </c>
      <c r="F69" s="3">
        <f t="shared" ref="F69:F82" si="8">PRODUCT(C69:E69)</f>
        <v>21.795555555555556</v>
      </c>
      <c r="G69" s="3">
        <f t="shared" ref="G69:G82" si="9">F69/1000</f>
        <v>2.1795555555555554E-2</v>
      </c>
      <c r="H69" s="15"/>
      <c r="I69" s="15"/>
      <c r="J69" s="15"/>
      <c r="K69" s="15"/>
      <c r="M69">
        <f>5.9*3.281</f>
        <v>19.357900000000001</v>
      </c>
    </row>
    <row r="70" spans="1:13" x14ac:dyDescent="0.25">
      <c r="A70" s="15"/>
      <c r="B70" s="16"/>
      <c r="C70" s="45">
        <f>2*2</f>
        <v>4</v>
      </c>
      <c r="D70" s="3">
        <f>14.833/3.281</f>
        <v>4.5208777811642786</v>
      </c>
      <c r="E70" s="3">
        <f>12*12/162</f>
        <v>0.88888888888888884</v>
      </c>
      <c r="F70" s="3">
        <f t="shared" ref="F70" si="10">PRODUCT(C70:E70)</f>
        <v>16.074232110806324</v>
      </c>
      <c r="G70" s="3">
        <f t="shared" ref="G70" si="11">F70/1000</f>
        <v>1.6074232110806323E-2</v>
      </c>
      <c r="H70" s="15"/>
      <c r="I70" s="15"/>
      <c r="J70" s="15"/>
      <c r="K70" s="15"/>
    </row>
    <row r="71" spans="1:13" x14ac:dyDescent="0.25">
      <c r="A71" s="15"/>
      <c r="B71" s="16" t="s">
        <v>92</v>
      </c>
      <c r="C71" s="45">
        <f>35*2</f>
        <v>70</v>
      </c>
      <c r="D71" s="3">
        <f>((0.583*4)+0.17*2)/3.281</f>
        <v>0.81438585797013097</v>
      </c>
      <c r="E71" s="3">
        <f>8*8/162</f>
        <v>0.39506172839506171</v>
      </c>
      <c r="F71" s="3">
        <f t="shared" si="8"/>
        <v>22.521287924112265</v>
      </c>
      <c r="G71" s="3">
        <f t="shared" si="9"/>
        <v>2.2521287924112263E-2</v>
      </c>
      <c r="H71" s="15"/>
      <c r="I71" s="15"/>
      <c r="J71" s="15"/>
      <c r="K71" s="15"/>
    </row>
    <row r="72" spans="1:13" x14ac:dyDescent="0.25">
      <c r="A72" s="15"/>
      <c r="B72" s="16" t="str">
        <f>B51</f>
        <v>-beam</v>
      </c>
      <c r="C72" s="45">
        <f>4*2</f>
        <v>8</v>
      </c>
      <c r="D72" s="3">
        <f>5</f>
        <v>5</v>
      </c>
      <c r="E72" s="3">
        <f>12*12/162</f>
        <v>0.88888888888888884</v>
      </c>
      <c r="F72" s="3">
        <f t="shared" si="8"/>
        <v>35.555555555555557</v>
      </c>
      <c r="G72" s="3">
        <f t="shared" si="9"/>
        <v>3.5555555555555556E-2</v>
      </c>
      <c r="H72" s="15"/>
      <c r="I72" s="15"/>
      <c r="J72" s="15"/>
      <c r="K72" s="15"/>
    </row>
    <row r="73" spans="1:13" x14ac:dyDescent="0.25">
      <c r="A73" s="15"/>
      <c r="B73" s="16"/>
      <c r="C73" s="45">
        <f>4*2</f>
        <v>8</v>
      </c>
      <c r="D73" s="3">
        <f>11.667/3.281</f>
        <v>3.555928070710149</v>
      </c>
      <c r="E73" s="3">
        <f>12*12/162</f>
        <v>0.88888888888888884</v>
      </c>
      <c r="F73" s="3">
        <f t="shared" si="8"/>
        <v>25.286599613938836</v>
      </c>
      <c r="G73" s="3">
        <f t="shared" si="9"/>
        <v>2.5286599613938837E-2</v>
      </c>
      <c r="H73" s="15"/>
      <c r="I73" s="15"/>
      <c r="J73" s="15"/>
      <c r="K73" s="15"/>
    </row>
    <row r="74" spans="1:13" x14ac:dyDescent="0.25">
      <c r="A74" s="15"/>
      <c r="B74" s="16" t="s">
        <v>92</v>
      </c>
      <c r="C74" s="45">
        <f>4*14</f>
        <v>56</v>
      </c>
      <c r="D74" s="3">
        <f>((0.583*4)+0.17*2)/3.281</f>
        <v>0.81438585797013097</v>
      </c>
      <c r="E74" s="3">
        <f>8*8/162</f>
        <v>0.39506172839506171</v>
      </c>
      <c r="F74" s="3">
        <f t="shared" si="8"/>
        <v>18.017030339289811</v>
      </c>
      <c r="G74" s="3">
        <f t="shared" si="9"/>
        <v>1.8017030339289811E-2</v>
      </c>
      <c r="H74" s="15"/>
      <c r="I74" s="15"/>
      <c r="J74" s="15"/>
      <c r="K74" s="15"/>
    </row>
    <row r="75" spans="1:13" x14ac:dyDescent="0.25">
      <c r="A75" s="15"/>
      <c r="B75" s="16" t="str">
        <f>B54</f>
        <v>-upper beam</v>
      </c>
      <c r="C75" s="45">
        <f>2*4</f>
        <v>8</v>
      </c>
      <c r="D75" s="3">
        <f>((4.5-0.333)+0.75*2)/3.281</f>
        <v>1.7272173117951843</v>
      </c>
      <c r="E75" s="3">
        <f>12*12/162</f>
        <v>0.88888888888888884</v>
      </c>
      <c r="F75" s="3">
        <f t="shared" si="8"/>
        <v>12.282434217210199</v>
      </c>
      <c r="G75" s="3">
        <f t="shared" si="9"/>
        <v>1.2282434217210198E-2</v>
      </c>
      <c r="H75" s="15"/>
      <c r="I75" s="15"/>
      <c r="J75" s="15"/>
      <c r="K75" s="15"/>
    </row>
    <row r="76" spans="1:13" x14ac:dyDescent="0.25">
      <c r="A76" s="15"/>
      <c r="B76" s="16" t="s">
        <v>92</v>
      </c>
      <c r="C76" s="45">
        <f>10*2</f>
        <v>20</v>
      </c>
      <c r="D76" s="3">
        <f>((0.583*4)+0.17*2)/3.281</f>
        <v>0.81438585797013097</v>
      </c>
      <c r="E76" s="3">
        <f>8*8/162</f>
        <v>0.39506172839506171</v>
      </c>
      <c r="F76" s="3">
        <f t="shared" si="8"/>
        <v>6.4346536926035034</v>
      </c>
      <c r="G76" s="3">
        <f t="shared" si="9"/>
        <v>6.4346536926035034E-3</v>
      </c>
      <c r="H76" s="15"/>
      <c r="I76" s="15"/>
      <c r="J76" s="15"/>
      <c r="K76" s="15"/>
    </row>
    <row r="77" spans="1:13" x14ac:dyDescent="0.25">
      <c r="A77" s="15"/>
      <c r="B77" s="16" t="str">
        <f>B35</f>
        <v>-upper beam</v>
      </c>
      <c r="C77" s="45">
        <f>2*4</f>
        <v>8</v>
      </c>
      <c r="D77" s="3">
        <f>((4.75-0.333)+0.75*2)/3.281</f>
        <v>1.8034135934166411</v>
      </c>
      <c r="E77" s="3">
        <f>12*12/162</f>
        <v>0.88888888888888884</v>
      </c>
      <c r="F77" s="3">
        <f t="shared" si="8"/>
        <v>12.824274442073891</v>
      </c>
      <c r="G77" s="3">
        <f t="shared" si="9"/>
        <v>1.2824274442073891E-2</v>
      </c>
      <c r="H77" s="15"/>
      <c r="I77" s="15"/>
      <c r="J77" s="15"/>
      <c r="K77" s="15"/>
    </row>
    <row r="78" spans="1:13" x14ac:dyDescent="0.25">
      <c r="A78" s="15"/>
      <c r="B78" s="16" t="s">
        <v>92</v>
      </c>
      <c r="C78" s="45">
        <f>10*2</f>
        <v>20</v>
      </c>
      <c r="D78" s="3">
        <f>((0.583*4)+0.17*2)/3.281</f>
        <v>0.81438585797013097</v>
      </c>
      <c r="E78" s="3">
        <f>8*8/162</f>
        <v>0.39506172839506171</v>
      </c>
      <c r="F78" s="3">
        <f t="shared" si="8"/>
        <v>6.4346536926035034</v>
      </c>
      <c r="G78" s="3">
        <f t="shared" si="9"/>
        <v>6.4346536926035034E-3</v>
      </c>
      <c r="H78" s="15"/>
      <c r="I78" s="15"/>
      <c r="J78" s="15"/>
      <c r="K78" s="15"/>
    </row>
    <row r="79" spans="1:13" x14ac:dyDescent="0.25">
      <c r="A79" s="15"/>
      <c r="B79" s="16" t="s">
        <v>93</v>
      </c>
      <c r="C79" s="45">
        <f>4*4</f>
        <v>16</v>
      </c>
      <c r="D79" s="3">
        <f>7.25/3.281</f>
        <v>2.2096921670222494</v>
      </c>
      <c r="E79" s="3">
        <f>12*12/162</f>
        <v>0.88888888888888884</v>
      </c>
      <c r="F79" s="3">
        <f>PRODUCT(C79:E79)</f>
        <v>31.426733042094213</v>
      </c>
      <c r="G79" s="3">
        <f>F79/1000</f>
        <v>3.1426733042094215E-2</v>
      </c>
      <c r="H79" s="15"/>
      <c r="I79" s="15"/>
      <c r="J79" s="15"/>
      <c r="K79" s="15"/>
    </row>
    <row r="80" spans="1:13" x14ac:dyDescent="0.25">
      <c r="A80" s="15"/>
      <c r="B80" s="16" t="s">
        <v>92</v>
      </c>
      <c r="C80" s="45">
        <f>4*10</f>
        <v>40</v>
      </c>
      <c r="D80" s="3">
        <f>(6*4+2*2)/12/3.281</f>
        <v>0.7111652951335975</v>
      </c>
      <c r="E80" s="3">
        <f>8*8/162</f>
        <v>0.39506172839506171</v>
      </c>
      <c r="F80" s="3">
        <f>PRODUCT(C80:E80)</f>
        <v>11.238167626802527</v>
      </c>
      <c r="G80" s="3">
        <f>F80/1000</f>
        <v>1.1238167626802527E-2</v>
      </c>
      <c r="H80" s="15"/>
      <c r="I80" s="15"/>
      <c r="J80" s="15"/>
      <c r="K80" s="15"/>
    </row>
    <row r="81" spans="1:11" x14ac:dyDescent="0.25">
      <c r="A81" s="15"/>
      <c r="B81" s="16" t="str">
        <f>CONCATENATE("-at first floor level catilever", B57)</f>
        <v>-at first floor level catilever-slab</v>
      </c>
      <c r="C81" s="45">
        <f>2*4</f>
        <v>8</v>
      </c>
      <c r="D81" s="3">
        <f>(191+30+30)/12/3.281</f>
        <v>6.3750888956618921</v>
      </c>
      <c r="E81" s="3">
        <f>10*10/162</f>
        <v>0.61728395061728392</v>
      </c>
      <c r="F81" s="3">
        <f t="shared" si="8"/>
        <v>31.481920472404404</v>
      </c>
      <c r="G81" s="3">
        <f t="shared" si="9"/>
        <v>3.1481920472404404E-2</v>
      </c>
      <c r="H81" s="15"/>
      <c r="I81" s="15"/>
      <c r="J81" s="15"/>
      <c r="K81" s="15"/>
    </row>
    <row r="82" spans="1:11" x14ac:dyDescent="0.25">
      <c r="A82" s="15"/>
      <c r="B82" s="16"/>
      <c r="C82" s="45">
        <f>2*3</f>
        <v>6</v>
      </c>
      <c r="D82" s="3">
        <f>19.667/3.281</f>
        <v>5.9942090825967691</v>
      </c>
      <c r="E82" s="3">
        <f t="shared" ref="E82:E84" si="12">10*10/162</f>
        <v>0.61728395061728392</v>
      </c>
      <c r="F82" s="3">
        <f t="shared" si="8"/>
        <v>22.200774379988033</v>
      </c>
      <c r="G82" s="3">
        <f t="shared" si="9"/>
        <v>2.2200774379988034E-2</v>
      </c>
      <c r="H82" s="15"/>
      <c r="I82" s="15"/>
      <c r="J82" s="15"/>
      <c r="K82" s="15"/>
    </row>
    <row r="83" spans="1:11" x14ac:dyDescent="0.25">
      <c r="A83" s="15"/>
      <c r="B83" s="16"/>
      <c r="C83" s="45">
        <f>24*2</f>
        <v>48</v>
      </c>
      <c r="D83" s="3">
        <f>(2+30+35)/12/3.281</f>
        <v>1.7017169562125367</v>
      </c>
      <c r="E83" s="3">
        <f t="shared" si="12"/>
        <v>0.61728395061728392</v>
      </c>
      <c r="F83" s="3">
        <f t="shared" ref="F83:F84" si="13">PRODUCT(C83:E83)</f>
        <v>50.421243147038119</v>
      </c>
      <c r="G83" s="3">
        <f t="shared" ref="G83:G84" si="14">F83/1000</f>
        <v>5.0421243147038122E-2</v>
      </c>
      <c r="H83" s="15"/>
      <c r="I83" s="15"/>
      <c r="J83" s="15"/>
      <c r="K83" s="15"/>
    </row>
    <row r="84" spans="1:11" x14ac:dyDescent="0.25">
      <c r="A84" s="15"/>
      <c r="B84" s="16"/>
      <c r="C84" s="45">
        <f>23*2</f>
        <v>46</v>
      </c>
      <c r="D84" s="3">
        <f>(30+2)/12/3.281</f>
        <v>0.81276033729553987</v>
      </c>
      <c r="E84" s="3">
        <f t="shared" si="12"/>
        <v>0.61728395061728392</v>
      </c>
      <c r="F84" s="3">
        <f t="shared" si="13"/>
        <v>23.078379947898043</v>
      </c>
      <c r="G84" s="3">
        <f t="shared" si="14"/>
        <v>2.3078379947898044E-2</v>
      </c>
      <c r="H84" s="15"/>
      <c r="I84" s="15"/>
      <c r="J84" s="15"/>
      <c r="K84" s="15"/>
    </row>
    <row r="85" spans="1:11" x14ac:dyDescent="0.25">
      <c r="A85" s="15"/>
      <c r="B85" s="16"/>
      <c r="C85" s="45">
        <f>3*2</f>
        <v>6</v>
      </c>
      <c r="D85" s="3">
        <f>16.833/3.281</f>
        <v>5.1304480341359335</v>
      </c>
      <c r="E85" s="3">
        <f>10*10/162</f>
        <v>0.61728395061728392</v>
      </c>
      <c r="F85" s="3">
        <f t="shared" ref="F85" si="15">PRODUCT(C85:E85)</f>
        <v>19.00165938568864</v>
      </c>
      <c r="G85" s="3">
        <f t="shared" ref="G85" si="16">F85/1000</f>
        <v>1.9001659385688641E-2</v>
      </c>
      <c r="H85" s="15"/>
      <c r="I85" s="15"/>
      <c r="J85" s="15"/>
      <c r="K85" s="15"/>
    </row>
    <row r="86" spans="1:11" x14ac:dyDescent="0.25">
      <c r="A86" s="15"/>
      <c r="B86" s="16"/>
      <c r="C86" s="45">
        <f>4*2</f>
        <v>8</v>
      </c>
      <c r="D86" s="3">
        <f>(191+30+30)/12/3.281</f>
        <v>6.3750888956618921</v>
      </c>
      <c r="E86" s="3">
        <f>10*10/162</f>
        <v>0.61728395061728392</v>
      </c>
      <c r="F86" s="3">
        <f t="shared" ref="F86" si="17">PRODUCT(C86:E86)</f>
        <v>31.481920472404404</v>
      </c>
      <c r="G86" s="3">
        <f t="shared" ref="G86" si="18">F86/1000</f>
        <v>3.1481920472404404E-2</v>
      </c>
      <c r="H86" s="15"/>
      <c r="I86" s="15"/>
      <c r="J86" s="15"/>
      <c r="K86" s="15"/>
    </row>
    <row r="87" spans="1:11" x14ac:dyDescent="0.25">
      <c r="A87" s="15"/>
      <c r="B87" s="16"/>
      <c r="C87" s="45">
        <f>15*2</f>
        <v>30</v>
      </c>
      <c r="D87" s="3">
        <f>(37.5+2)/12/3.281</f>
        <v>1.003251041349182</v>
      </c>
      <c r="E87" s="3">
        <f t="shared" ref="E87:E92" si="19">10*10/162</f>
        <v>0.61728395061728392</v>
      </c>
      <c r="F87" s="3">
        <f t="shared" ref="F87:F88" si="20">PRODUCT(C87:E87)</f>
        <v>18.578722987947813</v>
      </c>
      <c r="G87" s="3">
        <f t="shared" ref="G87:G88" si="21">F87/1000</f>
        <v>1.8578722987947813E-2</v>
      </c>
      <c r="H87" s="15"/>
      <c r="I87" s="15"/>
      <c r="J87" s="15"/>
      <c r="K87" s="15"/>
    </row>
    <row r="88" spans="1:11" x14ac:dyDescent="0.25">
      <c r="A88" s="15"/>
      <c r="B88" s="16"/>
      <c r="C88" s="45">
        <f>18*2</f>
        <v>36</v>
      </c>
      <c r="D88" s="3">
        <f>(24+24+4)/12/3.281</f>
        <v>1.3207355481052523</v>
      </c>
      <c r="E88" s="3">
        <f t="shared" si="19"/>
        <v>0.61728395061728392</v>
      </c>
      <c r="F88" s="3">
        <f t="shared" si="20"/>
        <v>29.349678846783384</v>
      </c>
      <c r="G88" s="3">
        <f t="shared" si="21"/>
        <v>2.9349678846783384E-2</v>
      </c>
      <c r="H88" s="15"/>
      <c r="I88" s="15"/>
      <c r="J88" s="15"/>
      <c r="K88" s="15"/>
    </row>
    <row r="89" spans="1:11" x14ac:dyDescent="0.25">
      <c r="A89" s="15"/>
      <c r="B89" s="16" t="s">
        <v>154</v>
      </c>
      <c r="C89" s="45">
        <f>10*4</f>
        <v>40</v>
      </c>
      <c r="D89" s="3">
        <f>E57</f>
        <v>2.3367875647668392</v>
      </c>
      <c r="E89" s="3">
        <f t="shared" si="19"/>
        <v>0.61728395061728392</v>
      </c>
      <c r="F89" s="3">
        <f t="shared" ref="F89:F90" si="22">PRODUCT(C89:E89)</f>
        <v>57.698458389304669</v>
      </c>
      <c r="G89" s="3">
        <f t="shared" ref="G89:G90" si="23">F89/1000</f>
        <v>5.7698458389304666E-2</v>
      </c>
      <c r="H89" s="15"/>
      <c r="I89" s="15"/>
      <c r="J89" s="15"/>
      <c r="K89" s="15"/>
    </row>
    <row r="90" spans="1:11" x14ac:dyDescent="0.25">
      <c r="A90" s="15"/>
      <c r="B90" s="16"/>
      <c r="C90" s="45">
        <f>9*4</f>
        <v>36</v>
      </c>
      <c r="D90" s="3">
        <f>E58</f>
        <v>2.0320024382810118</v>
      </c>
      <c r="E90" s="3">
        <f t="shared" si="19"/>
        <v>0.61728395061728392</v>
      </c>
      <c r="F90" s="3">
        <f t="shared" si="22"/>
        <v>45.15560973957804</v>
      </c>
      <c r="G90" s="3">
        <f t="shared" si="23"/>
        <v>4.5155609739578037E-2</v>
      </c>
      <c r="H90" s="15"/>
      <c r="I90" s="15"/>
      <c r="J90" s="15"/>
      <c r="K90" s="15"/>
    </row>
    <row r="91" spans="1:11" x14ac:dyDescent="0.25">
      <c r="A91" s="15"/>
      <c r="B91" s="16"/>
      <c r="C91" s="45">
        <f>7*2*2</f>
        <v>28</v>
      </c>
      <c r="D91" s="3">
        <f>1.833/3.281</f>
        <v>0.55867113684852177</v>
      </c>
      <c r="E91" s="3">
        <f t="shared" si="19"/>
        <v>0.61728395061728392</v>
      </c>
      <c r="F91" s="3">
        <f t="shared" ref="F91" si="24">PRODUCT(C91:E91)</f>
        <v>9.656044340591734</v>
      </c>
      <c r="G91" s="3">
        <f t="shared" ref="G91" si="25">F91/1000</f>
        <v>9.6560443405917344E-3</v>
      </c>
      <c r="H91" s="15"/>
      <c r="I91" s="15"/>
      <c r="J91" s="15"/>
      <c r="K91" s="15"/>
    </row>
    <row r="92" spans="1:11" x14ac:dyDescent="0.25">
      <c r="A92" s="15"/>
      <c r="B92" s="16"/>
      <c r="C92" s="45">
        <f>7*2*2</f>
        <v>28</v>
      </c>
      <c r="D92" s="3">
        <f>1.833/3.281</f>
        <v>0.55867113684852177</v>
      </c>
      <c r="E92" s="3">
        <f t="shared" si="19"/>
        <v>0.61728395061728392</v>
      </c>
      <c r="F92" s="3">
        <f t="shared" ref="F92" si="26">PRODUCT(C92:E92)</f>
        <v>9.656044340591734</v>
      </c>
      <c r="G92" s="3">
        <f t="shared" ref="G92" si="27">F92/1000</f>
        <v>9.6560443405917344E-3</v>
      </c>
      <c r="H92" s="15"/>
      <c r="I92" s="15"/>
      <c r="J92" s="15"/>
      <c r="K92" s="15"/>
    </row>
    <row r="93" spans="1:11" s="10" customFormat="1" ht="15" customHeight="1" x14ac:dyDescent="0.25">
      <c r="A93" s="17"/>
      <c r="B93" s="18" t="s">
        <v>16</v>
      </c>
      <c r="C93" s="19"/>
      <c r="D93" s="1"/>
      <c r="E93" s="20"/>
      <c r="F93" s="20"/>
      <c r="G93" s="2">
        <f>SUM(G69:G92)</f>
        <v>0.56765163426286513</v>
      </c>
      <c r="H93" s="21" t="s">
        <v>41</v>
      </c>
      <c r="I93" s="46">
        <v>132360</v>
      </c>
      <c r="J93" s="22">
        <f>G93*I93</f>
        <v>75134.370311032835</v>
      </c>
      <c r="K93" s="20"/>
    </row>
    <row r="94" spans="1:11" s="10" customFormat="1" x14ac:dyDescent="0.25">
      <c r="A94" s="24"/>
      <c r="B94" s="25" t="s">
        <v>38</v>
      </c>
      <c r="C94" s="26"/>
      <c r="D94" s="26"/>
      <c r="E94" s="26"/>
      <c r="F94" s="26"/>
      <c r="G94" s="26"/>
      <c r="H94" s="26"/>
      <c r="I94" s="26"/>
      <c r="J94" s="22">
        <f>0.13*G93*105000</f>
        <v>7748.4448076881099</v>
      </c>
      <c r="K94" s="26"/>
    </row>
    <row r="95" spans="1:11" s="10" customFormat="1" x14ac:dyDescent="0.25">
      <c r="A95" s="24"/>
      <c r="B95" s="25" t="s">
        <v>37</v>
      </c>
      <c r="C95" s="26"/>
      <c r="D95" s="26"/>
      <c r="E95" s="26"/>
      <c r="F95" s="26"/>
      <c r="G95" s="26"/>
      <c r="H95" s="26"/>
      <c r="I95" s="26"/>
      <c r="J95" s="22">
        <f>0.13*G93*1200</f>
        <v>88.553654945006969</v>
      </c>
      <c r="K95" s="26"/>
    </row>
    <row r="96" spans="1:11" x14ac:dyDescent="0.25">
      <c r="A96" s="15"/>
      <c r="B96" s="15"/>
      <c r="C96" s="15"/>
      <c r="D96" s="15"/>
      <c r="E96" s="15"/>
      <c r="F96" s="15"/>
      <c r="G96" s="15"/>
      <c r="H96" s="15"/>
      <c r="I96" s="15"/>
      <c r="J96" s="15"/>
      <c r="K96" s="15"/>
    </row>
    <row r="97" spans="1:11" ht="30" x14ac:dyDescent="0.25">
      <c r="A97" s="11">
        <v>7</v>
      </c>
      <c r="B97" s="28" t="s">
        <v>50</v>
      </c>
      <c r="C97" s="15"/>
      <c r="D97" s="15"/>
      <c r="E97" s="15"/>
      <c r="F97" s="15"/>
      <c r="G97" s="15"/>
      <c r="H97" s="15"/>
      <c r="I97" s="15"/>
      <c r="J97" s="15"/>
      <c r="K97" s="15"/>
    </row>
    <row r="98" spans="1:11" x14ac:dyDescent="0.25">
      <c r="A98" s="15"/>
      <c r="B98" s="25" t="s">
        <v>121</v>
      </c>
      <c r="C98" s="45">
        <f>0*2</f>
        <v>0</v>
      </c>
      <c r="D98" s="3">
        <f>12/3.281</f>
        <v>3.6574215178299299</v>
      </c>
      <c r="E98" s="3">
        <v>0.9</v>
      </c>
      <c r="F98" s="15"/>
      <c r="G98" s="3">
        <f>PRODUCT(C98:F98)</f>
        <v>0</v>
      </c>
      <c r="H98" s="15"/>
      <c r="I98" s="15"/>
      <c r="J98" s="15"/>
      <c r="K98" s="15"/>
    </row>
    <row r="99" spans="1:11" x14ac:dyDescent="0.25">
      <c r="A99" s="15"/>
      <c r="B99" s="16"/>
      <c r="C99" s="45">
        <f>0*2</f>
        <v>0</v>
      </c>
      <c r="D99" s="3">
        <f>21/3.281</f>
        <v>6.4004876562023769</v>
      </c>
      <c r="E99" s="3">
        <v>0.9</v>
      </c>
      <c r="F99" s="15"/>
      <c r="G99" s="3">
        <f>PRODUCT(C99:F99)</f>
        <v>0</v>
      </c>
      <c r="H99" s="15"/>
      <c r="I99" s="15"/>
      <c r="J99" s="15"/>
      <c r="K99" s="15"/>
    </row>
    <row r="100" spans="1:11" s="10" customFormat="1" ht="15" customHeight="1" x14ac:dyDescent="0.25">
      <c r="A100" s="17"/>
      <c r="B100" s="18" t="s">
        <v>16</v>
      </c>
      <c r="C100" s="19"/>
      <c r="D100" s="1"/>
      <c r="E100" s="20"/>
      <c r="F100" s="20"/>
      <c r="G100" s="2">
        <f>SUM(G98:G99)</f>
        <v>0</v>
      </c>
      <c r="H100" s="21" t="s">
        <v>34</v>
      </c>
      <c r="I100" s="2">
        <v>689.98</v>
      </c>
      <c r="J100" s="22">
        <f>G100*I100</f>
        <v>0</v>
      </c>
      <c r="K100" s="20"/>
    </row>
    <row r="101" spans="1:11" s="10" customFormat="1" x14ac:dyDescent="0.25">
      <c r="A101" s="24"/>
      <c r="B101" s="25" t="s">
        <v>32</v>
      </c>
      <c r="C101" s="26"/>
      <c r="D101" s="27"/>
      <c r="E101" s="27"/>
      <c r="F101" s="27"/>
      <c r="G101" s="27"/>
      <c r="H101" s="26"/>
      <c r="I101" s="26"/>
      <c r="J101" s="22">
        <f>0.13*G100*1694.03/10</f>
        <v>0</v>
      </c>
      <c r="K101" s="26"/>
    </row>
    <row r="102" spans="1:11" x14ac:dyDescent="0.25">
      <c r="A102" s="15"/>
      <c r="B102" s="25" t="s">
        <v>31</v>
      </c>
      <c r="C102" s="26"/>
      <c r="D102" s="27"/>
      <c r="E102" s="27"/>
      <c r="F102" s="27"/>
      <c r="G102" s="27"/>
      <c r="H102" s="26"/>
      <c r="I102" s="26"/>
      <c r="J102" s="22">
        <f>0.13*G100*472.02/10</f>
        <v>0</v>
      </c>
      <c r="K102" s="15"/>
    </row>
    <row r="103" spans="1:11" x14ac:dyDescent="0.25">
      <c r="A103" s="15"/>
      <c r="B103" s="25" t="s">
        <v>33</v>
      </c>
      <c r="C103" s="26"/>
      <c r="D103" s="27"/>
      <c r="E103" s="27"/>
      <c r="F103" s="27"/>
      <c r="G103" s="27"/>
      <c r="H103" s="26"/>
      <c r="I103" s="26"/>
      <c r="J103" s="22">
        <f>0.13*G100*1207.6/10</f>
        <v>0</v>
      </c>
      <c r="K103" s="15"/>
    </row>
    <row r="104" spans="1:11" x14ac:dyDescent="0.25">
      <c r="A104" s="15"/>
      <c r="B104" s="15"/>
      <c r="C104" s="15"/>
      <c r="D104" s="15"/>
      <c r="E104" s="15"/>
      <c r="F104" s="15"/>
      <c r="G104" s="15"/>
      <c r="H104" s="15"/>
      <c r="I104" s="15"/>
      <c r="J104" s="15"/>
      <c r="K104" s="15"/>
    </row>
    <row r="105" spans="1:11" ht="45" x14ac:dyDescent="0.25">
      <c r="A105" s="11">
        <v>8</v>
      </c>
      <c r="B105" s="28" t="s">
        <v>115</v>
      </c>
      <c r="C105" s="15"/>
      <c r="D105" s="15"/>
      <c r="E105" s="15"/>
      <c r="F105" s="15"/>
      <c r="G105" s="15"/>
      <c r="H105" s="15"/>
      <c r="I105" s="15"/>
      <c r="J105" s="15"/>
      <c r="K105" s="15"/>
    </row>
    <row r="106" spans="1:11" x14ac:dyDescent="0.25">
      <c r="A106" s="15"/>
      <c r="B106" s="16" t="s">
        <v>133</v>
      </c>
      <c r="C106" s="45">
        <f>0*1</f>
        <v>0</v>
      </c>
      <c r="D106" s="3">
        <f>12.667/3.281</f>
        <v>3.8607131971959765</v>
      </c>
      <c r="E106" s="3">
        <f>9.75/3.281</f>
        <v>2.9716549832368178</v>
      </c>
      <c r="F106" s="15"/>
      <c r="G106" s="3">
        <f>PRODUCT(C106:F106)</f>
        <v>0</v>
      </c>
      <c r="H106" s="15"/>
      <c r="I106" s="15"/>
      <c r="J106" s="15"/>
      <c r="K106" s="15"/>
    </row>
    <row r="107" spans="1:11" s="10" customFormat="1" ht="15" customHeight="1" x14ac:dyDescent="0.25">
      <c r="A107" s="17"/>
      <c r="B107" s="18" t="s">
        <v>16</v>
      </c>
      <c r="C107" s="19"/>
      <c r="D107" s="1"/>
      <c r="E107" s="20"/>
      <c r="F107" s="20"/>
      <c r="G107" s="2">
        <f>SUM(G106)</f>
        <v>0</v>
      </c>
      <c r="H107" s="21" t="s">
        <v>34</v>
      </c>
      <c r="I107" s="2">
        <v>6851.63</v>
      </c>
      <c r="J107" s="22">
        <f>G107*I107</f>
        <v>0</v>
      </c>
      <c r="K107" s="20"/>
    </row>
    <row r="108" spans="1:11" s="10" customFormat="1" x14ac:dyDescent="0.25">
      <c r="A108" s="24"/>
      <c r="B108" s="25" t="s">
        <v>32</v>
      </c>
      <c r="C108" s="26"/>
      <c r="D108" s="27"/>
      <c r="E108" s="27"/>
      <c r="F108" s="27"/>
      <c r="G108" s="27"/>
      <c r="H108" s="26"/>
      <c r="I108" s="26"/>
      <c r="J108" s="22">
        <f>0.13*G107*1694.03/10</f>
        <v>0</v>
      </c>
      <c r="K108" s="26"/>
    </row>
    <row r="109" spans="1:11" x14ac:dyDescent="0.25">
      <c r="A109" s="15"/>
      <c r="B109" s="25" t="s">
        <v>31</v>
      </c>
      <c r="C109" s="26"/>
      <c r="D109" s="27"/>
      <c r="E109" s="27"/>
      <c r="F109" s="27"/>
      <c r="G109" s="27"/>
      <c r="H109" s="26"/>
      <c r="I109" s="26"/>
      <c r="J109" s="22">
        <f>0.13*G107*581.55/10</f>
        <v>0</v>
      </c>
      <c r="K109" s="15"/>
    </row>
    <row r="110" spans="1:11" x14ac:dyDescent="0.25">
      <c r="A110" s="15"/>
      <c r="B110" s="25" t="s">
        <v>116</v>
      </c>
      <c r="C110" s="26"/>
      <c r="D110" s="27"/>
      <c r="E110" s="27"/>
      <c r="F110" s="27"/>
      <c r="G110" s="27"/>
      <c r="H110" s="26"/>
      <c r="I110" s="26"/>
      <c r="J110" s="22">
        <f>0.13*G107*43319.76/10</f>
        <v>0</v>
      </c>
      <c r="K110" s="15"/>
    </row>
    <row r="111" spans="1:11" x14ac:dyDescent="0.25">
      <c r="A111" s="15"/>
      <c r="B111" s="25" t="s">
        <v>117</v>
      </c>
      <c r="C111" s="26"/>
      <c r="D111" s="27"/>
      <c r="E111" s="27"/>
      <c r="F111" s="27"/>
      <c r="G111" s="27"/>
      <c r="H111" s="26"/>
      <c r="I111" s="26"/>
      <c r="J111" s="22">
        <f>0.13*G107*46.25/10</f>
        <v>0</v>
      </c>
      <c r="K111" s="15"/>
    </row>
    <row r="112" spans="1:11" x14ac:dyDescent="0.25">
      <c r="A112" s="15"/>
      <c r="B112" s="25" t="s">
        <v>118</v>
      </c>
      <c r="C112" s="26"/>
      <c r="D112" s="27"/>
      <c r="E112" s="27"/>
      <c r="F112" s="27"/>
      <c r="G112" s="27"/>
      <c r="H112" s="26"/>
      <c r="I112" s="26"/>
      <c r="J112" s="22">
        <f>0.13*G107*43.3/10</f>
        <v>0</v>
      </c>
      <c r="K112" s="15"/>
    </row>
    <row r="113" spans="1:17" x14ac:dyDescent="0.25">
      <c r="A113" s="15"/>
      <c r="B113" s="25" t="s">
        <v>119</v>
      </c>
      <c r="C113" s="26"/>
      <c r="D113" s="27"/>
      <c r="E113" s="27"/>
      <c r="F113" s="27"/>
      <c r="G113" s="27"/>
      <c r="H113" s="26"/>
      <c r="I113" s="26"/>
      <c r="J113" s="22">
        <f>0.13*G107*118.89/10</f>
        <v>0</v>
      </c>
      <c r="K113" s="15"/>
    </row>
    <row r="114" spans="1:17" x14ac:dyDescent="0.25">
      <c r="A114" s="15"/>
      <c r="B114" s="25" t="s">
        <v>120</v>
      </c>
      <c r="C114" s="26"/>
      <c r="D114" s="27"/>
      <c r="E114" s="27"/>
      <c r="F114" s="27"/>
      <c r="G114" s="27"/>
      <c r="H114" s="26"/>
      <c r="I114" s="26"/>
      <c r="J114" s="22">
        <f>0.13*G107*120/10</f>
        <v>0</v>
      </c>
      <c r="K114" s="15"/>
    </row>
    <row r="115" spans="1:17" x14ac:dyDescent="0.25">
      <c r="A115" s="15"/>
      <c r="B115" s="15"/>
      <c r="C115" s="15"/>
      <c r="D115" s="15"/>
      <c r="E115" s="15"/>
      <c r="F115" s="15"/>
      <c r="G115" s="15"/>
      <c r="H115" s="15"/>
      <c r="I115" s="15"/>
      <c r="J115" s="15"/>
      <c r="K115" s="15"/>
    </row>
    <row r="116" spans="1:17" ht="30" x14ac:dyDescent="0.25">
      <c r="A116" s="11">
        <v>9</v>
      </c>
      <c r="B116" s="28" t="s">
        <v>52</v>
      </c>
      <c r="C116" s="15"/>
      <c r="D116" s="15"/>
      <c r="E116" s="15"/>
      <c r="F116" s="15"/>
      <c r="G116" s="15"/>
      <c r="H116" s="15"/>
      <c r="I116" s="15"/>
      <c r="J116" s="15"/>
      <c r="K116" s="15"/>
    </row>
    <row r="117" spans="1:17" s="10" customFormat="1" x14ac:dyDescent="0.25">
      <c r="A117" s="24"/>
      <c r="B117" s="25" t="str">
        <f t="shared" ref="B117:D119" si="28">B148</f>
        <v>-for wing walls of stand tap</v>
      </c>
      <c r="C117" s="49">
        <f t="shared" si="28"/>
        <v>0</v>
      </c>
      <c r="D117" s="27">
        <f t="shared" si="28"/>
        <v>1.2163181956720512</v>
      </c>
      <c r="E117" s="27"/>
      <c r="F117" s="27">
        <f>F148</f>
        <v>0.6</v>
      </c>
      <c r="G117" s="27">
        <f t="shared" ref="G117:G123" si="29">PRODUCT(C117:F117)</f>
        <v>0</v>
      </c>
      <c r="H117" s="26"/>
      <c r="I117" s="26"/>
      <c r="J117" s="26"/>
      <c r="K117" s="26"/>
    </row>
    <row r="118" spans="1:17" s="10" customFormat="1" x14ac:dyDescent="0.25">
      <c r="A118" s="24"/>
      <c r="B118" s="25" t="str">
        <f t="shared" si="28"/>
        <v>-for side wall of stand tap</v>
      </c>
      <c r="C118" s="49">
        <f t="shared" si="28"/>
        <v>0</v>
      </c>
      <c r="D118" s="27">
        <f t="shared" si="28"/>
        <v>1.3197195976836331</v>
      </c>
      <c r="E118" s="27"/>
      <c r="F118" s="27">
        <f>F149</f>
        <v>0.6</v>
      </c>
      <c r="G118" s="27">
        <f t="shared" si="29"/>
        <v>0</v>
      </c>
      <c r="H118" s="26"/>
      <c r="I118" s="26"/>
      <c r="J118" s="26"/>
      <c r="K118" s="26"/>
    </row>
    <row r="119" spans="1:17" s="10" customFormat="1" x14ac:dyDescent="0.25">
      <c r="A119" s="24"/>
      <c r="B119" s="25" t="str">
        <f t="shared" si="28"/>
        <v>-stand</v>
      </c>
      <c r="C119" s="49">
        <f t="shared" si="28"/>
        <v>0</v>
      </c>
      <c r="D119" s="27">
        <f t="shared" si="28"/>
        <v>0.35659859798841814</v>
      </c>
      <c r="E119" s="27"/>
      <c r="F119" s="27">
        <f>F150</f>
        <v>1.2</v>
      </c>
      <c r="G119" s="27">
        <f t="shared" si="29"/>
        <v>0</v>
      </c>
      <c r="H119" s="26"/>
      <c r="I119" s="26"/>
      <c r="J119" s="26"/>
      <c r="K119" s="26"/>
    </row>
    <row r="120" spans="1:17" s="10" customFormat="1" x14ac:dyDescent="0.25">
      <c r="A120" s="24"/>
      <c r="B120" s="25"/>
      <c r="C120" s="49">
        <f>C151</f>
        <v>0</v>
      </c>
      <c r="D120" s="27">
        <f>D151</f>
        <v>0.46</v>
      </c>
      <c r="E120" s="27"/>
      <c r="F120" s="27">
        <f>F151</f>
        <v>0.6</v>
      </c>
      <c r="G120" s="27">
        <f t="shared" si="29"/>
        <v>0</v>
      </c>
      <c r="H120" s="26"/>
      <c r="I120" s="26"/>
      <c r="J120" s="26"/>
      <c r="K120" s="26"/>
    </row>
    <row r="121" spans="1:17" s="10" customFormat="1" x14ac:dyDescent="0.25">
      <c r="A121" s="24"/>
      <c r="B121" s="25" t="s">
        <v>109</v>
      </c>
      <c r="C121" s="49">
        <f>C14</f>
        <v>0</v>
      </c>
      <c r="D121" s="27">
        <f>M10</f>
        <v>1.6763181956720512</v>
      </c>
      <c r="E121" s="27">
        <f>N10</f>
        <v>1.6763181956720512</v>
      </c>
      <c r="F121" s="27"/>
      <c r="G121" s="27">
        <f t="shared" si="29"/>
        <v>0</v>
      </c>
      <c r="H121" s="26"/>
      <c r="I121" s="26"/>
      <c r="J121" s="26"/>
      <c r="K121" s="26"/>
    </row>
    <row r="122" spans="1:17" s="10" customFormat="1" x14ac:dyDescent="0.25">
      <c r="A122" s="24"/>
      <c r="B122" s="25" t="str">
        <f>B98</f>
        <v>-peti area</v>
      </c>
      <c r="C122" s="49">
        <f>C98</f>
        <v>0</v>
      </c>
      <c r="D122" s="27">
        <f>D98</f>
        <v>3.6574215178299299</v>
      </c>
      <c r="E122" s="27">
        <f>E98</f>
        <v>0.9</v>
      </c>
      <c r="F122" s="27"/>
      <c r="G122" s="27">
        <f t="shared" si="29"/>
        <v>0</v>
      </c>
      <c r="H122" s="26"/>
      <c r="I122" s="26"/>
      <c r="J122" s="26"/>
      <c r="K122" s="26"/>
    </row>
    <row r="123" spans="1:17" s="10" customFormat="1" x14ac:dyDescent="0.25">
      <c r="A123" s="24"/>
      <c r="B123" s="25"/>
      <c r="C123" s="49">
        <f>C99</f>
        <v>0</v>
      </c>
      <c r="D123" s="27">
        <f>D99</f>
        <v>6.4004876562023769</v>
      </c>
      <c r="E123" s="27">
        <f>E99</f>
        <v>0.9</v>
      </c>
      <c r="F123" s="27"/>
      <c r="G123" s="27">
        <f t="shared" si="29"/>
        <v>0</v>
      </c>
      <c r="H123" s="26"/>
      <c r="I123" s="26"/>
      <c r="J123" s="26"/>
      <c r="K123" s="26"/>
    </row>
    <row r="124" spans="1:17" s="10" customFormat="1" ht="15" customHeight="1" x14ac:dyDescent="0.25">
      <c r="A124" s="17"/>
      <c r="B124" s="18" t="s">
        <v>16</v>
      </c>
      <c r="C124" s="19"/>
      <c r="D124" s="1"/>
      <c r="E124" s="20"/>
      <c r="F124" s="20"/>
      <c r="G124" s="2">
        <f>SUM(G117:G123)</f>
        <v>0</v>
      </c>
      <c r="H124" s="21" t="s">
        <v>34</v>
      </c>
      <c r="I124" s="2">
        <v>287.32</v>
      </c>
      <c r="J124" s="22">
        <f>G124*I124</f>
        <v>0</v>
      </c>
      <c r="K124" s="20"/>
    </row>
    <row r="125" spans="1:17" s="10" customFormat="1" x14ac:dyDescent="0.25">
      <c r="A125" s="24"/>
      <c r="B125" s="25" t="s">
        <v>32</v>
      </c>
      <c r="C125" s="26"/>
      <c r="D125" s="27"/>
      <c r="E125" s="27"/>
      <c r="F125" s="27"/>
      <c r="G125" s="27"/>
      <c r="H125" s="26"/>
      <c r="I125" s="26"/>
      <c r="J125" s="22">
        <f>0.13*G124*693.24/10</f>
        <v>0</v>
      </c>
      <c r="K125" s="26"/>
    </row>
    <row r="126" spans="1:17" x14ac:dyDescent="0.25">
      <c r="A126" s="15"/>
      <c r="B126" s="15"/>
      <c r="C126" s="15"/>
      <c r="D126" s="15"/>
      <c r="E126" s="15"/>
      <c r="F126" s="15"/>
      <c r="G126" s="15"/>
      <c r="H126" s="15"/>
      <c r="I126" s="15"/>
      <c r="J126" s="15"/>
      <c r="K126" s="15"/>
    </row>
    <row r="127" spans="1:17" ht="30" x14ac:dyDescent="0.25">
      <c r="A127" s="11">
        <v>10</v>
      </c>
      <c r="B127" s="28" t="s">
        <v>56</v>
      </c>
      <c r="C127" s="15"/>
      <c r="D127" s="15"/>
      <c r="E127" s="15"/>
      <c r="F127" s="15"/>
      <c r="G127" s="15"/>
      <c r="H127" s="15"/>
      <c r="I127" s="15"/>
      <c r="J127" s="15"/>
      <c r="K127" s="15"/>
    </row>
    <row r="128" spans="1:17" x14ac:dyDescent="0.25">
      <c r="A128" s="15"/>
      <c r="B128" s="63" t="s">
        <v>86</v>
      </c>
      <c r="C128" s="64">
        <v>2</v>
      </c>
      <c r="D128" s="65">
        <f>9.667/3.281</f>
        <v>2.9463578177384941</v>
      </c>
      <c r="E128" s="65">
        <v>0.35</v>
      </c>
      <c r="F128" s="65">
        <f>4.5/3.281</f>
        <v>1.3715330691862238</v>
      </c>
      <c r="G128" s="65">
        <f t="shared" ref="G128:G131" si="30">PRODUCT(C128:F128)</f>
        <v>2.8287190264785904</v>
      </c>
      <c r="H128" s="15"/>
      <c r="I128" s="15"/>
      <c r="J128" s="15"/>
      <c r="K128" s="15"/>
      <c r="M128">
        <f>12-1.17*2</f>
        <v>9.66</v>
      </c>
      <c r="N128">
        <f>(66+68+67+66)/4</f>
        <v>66.75</v>
      </c>
      <c r="O128">
        <f>4.5*12</f>
        <v>54</v>
      </c>
      <c r="P128">
        <f>N128-O128</f>
        <v>12.75</v>
      </c>
      <c r="Q128">
        <f>P128/12</f>
        <v>1.0625</v>
      </c>
    </row>
    <row r="129" spans="1:13" x14ac:dyDescent="0.25">
      <c r="A129" s="15"/>
      <c r="B129" s="63"/>
      <c r="C129" s="64">
        <v>2</v>
      </c>
      <c r="D129" s="65">
        <f>15/3.281</f>
        <v>4.5717768972874122</v>
      </c>
      <c r="E129" s="65">
        <v>0.35</v>
      </c>
      <c r="F129" s="65">
        <f>4.5/3.281</f>
        <v>1.3715330691862238</v>
      </c>
      <c r="G129" s="65">
        <f t="shared" si="30"/>
        <v>4.3892402396998929</v>
      </c>
      <c r="H129" s="15"/>
      <c r="I129" s="15"/>
      <c r="J129" s="15"/>
      <c r="K129" s="15"/>
      <c r="M129">
        <f>D129-0.35*2</f>
        <v>3.871776897287412</v>
      </c>
    </row>
    <row r="130" spans="1:13" x14ac:dyDescent="0.25">
      <c r="A130" s="15"/>
      <c r="B130" s="16" t="s">
        <v>87</v>
      </c>
      <c r="C130" s="64">
        <v>-1</v>
      </c>
      <c r="D130" s="65">
        <v>1.2</v>
      </c>
      <c r="E130" s="65">
        <v>0.35</v>
      </c>
      <c r="F130" s="65">
        <f>(7-3.5)/3.281</f>
        <v>1.0667479427003961</v>
      </c>
      <c r="G130" s="65">
        <f t="shared" si="30"/>
        <v>-0.44803413593416636</v>
      </c>
      <c r="H130" s="15"/>
      <c r="I130" s="15"/>
      <c r="J130" s="15"/>
      <c r="K130" s="15"/>
    </row>
    <row r="131" spans="1:13" x14ac:dyDescent="0.25">
      <c r="A131" s="15"/>
      <c r="B131" s="16" t="s">
        <v>58</v>
      </c>
      <c r="C131" s="64">
        <v>-2</v>
      </c>
      <c r="D131" s="65">
        <f>0.6</f>
        <v>0.6</v>
      </c>
      <c r="E131" s="65">
        <v>0.35</v>
      </c>
      <c r="F131" s="65">
        <f>2.33/3.281</f>
        <v>0.71014934471197799</v>
      </c>
      <c r="G131" s="65">
        <f t="shared" si="30"/>
        <v>-0.29826272477903076</v>
      </c>
      <c r="H131" s="15"/>
      <c r="I131" s="15"/>
      <c r="J131" s="15"/>
      <c r="K131" s="15"/>
    </row>
    <row r="132" spans="1:13" s="10" customFormat="1" x14ac:dyDescent="0.25">
      <c r="A132" s="24"/>
      <c r="B132" s="25" t="s">
        <v>107</v>
      </c>
      <c r="C132" s="49">
        <f>C14*2</f>
        <v>0</v>
      </c>
      <c r="D132" s="27">
        <f>N10-O10*2</f>
        <v>1.2163181956720512</v>
      </c>
      <c r="E132" s="27">
        <f>O10</f>
        <v>0.23</v>
      </c>
      <c r="F132" s="27">
        <f>P10</f>
        <v>0.6</v>
      </c>
      <c r="G132" s="27">
        <f>PRODUCT(C132:F132)</f>
        <v>0</v>
      </c>
      <c r="H132" s="26"/>
      <c r="I132" s="26"/>
      <c r="J132" s="26"/>
      <c r="K132" s="26"/>
    </row>
    <row r="133" spans="1:13" s="10" customFormat="1" x14ac:dyDescent="0.25">
      <c r="A133" s="24"/>
      <c r="B133" s="25" t="s">
        <v>108</v>
      </c>
      <c r="C133" s="49">
        <f>C14</f>
        <v>0</v>
      </c>
      <c r="D133" s="27">
        <f>M10-R10</f>
        <v>1.3197195976836331</v>
      </c>
      <c r="E133" s="27">
        <f>O10</f>
        <v>0.23</v>
      </c>
      <c r="F133" s="27">
        <f>P10</f>
        <v>0.6</v>
      </c>
      <c r="G133" s="27">
        <f>PRODUCT(C133:F133)</f>
        <v>0</v>
      </c>
      <c r="H133" s="26"/>
      <c r="I133" s="26"/>
      <c r="J133" s="26"/>
      <c r="K133" s="26"/>
    </row>
    <row r="134" spans="1:13" s="10" customFormat="1" x14ac:dyDescent="0.25">
      <c r="A134" s="24"/>
      <c r="B134" s="25" t="s">
        <v>106</v>
      </c>
      <c r="C134" s="49">
        <f>C14</f>
        <v>0</v>
      </c>
      <c r="D134" s="27">
        <f>R10</f>
        <v>0.35659859798841814</v>
      </c>
      <c r="E134" s="27">
        <f>O10</f>
        <v>0.23</v>
      </c>
      <c r="F134" s="27">
        <f>Q10</f>
        <v>1.2</v>
      </c>
      <c r="G134" s="27">
        <f>PRODUCT(C134:F134)</f>
        <v>0</v>
      </c>
      <c r="H134" s="26"/>
      <c r="I134" s="26"/>
      <c r="J134" s="26"/>
      <c r="K134" s="26"/>
    </row>
    <row r="135" spans="1:13" s="10" customFormat="1" ht="15" customHeight="1" x14ac:dyDescent="0.25">
      <c r="A135" s="17"/>
      <c r="B135" s="18" t="s">
        <v>16</v>
      </c>
      <c r="C135" s="19"/>
      <c r="D135" s="1"/>
      <c r="E135" s="20"/>
      <c r="F135" s="20"/>
      <c r="G135" s="2">
        <f>SUM(G128:G134)</f>
        <v>6.4716624054652865</v>
      </c>
      <c r="H135" s="21" t="s">
        <v>28</v>
      </c>
      <c r="I135" s="2">
        <f>14491.84</f>
        <v>14491.84</v>
      </c>
      <c r="J135" s="22">
        <f>G135*I135</f>
        <v>93786.296114018056</v>
      </c>
      <c r="K135" s="20"/>
    </row>
    <row r="136" spans="1:13" s="10" customFormat="1" x14ac:dyDescent="0.25">
      <c r="A136" s="24"/>
      <c r="B136" s="25" t="s">
        <v>53</v>
      </c>
      <c r="C136" s="26"/>
      <c r="D136" s="27"/>
      <c r="E136" s="27"/>
      <c r="F136" s="27"/>
      <c r="G136" s="27"/>
      <c r="H136" s="26"/>
      <c r="I136" s="26"/>
      <c r="J136" s="22">
        <f>0.13*G135*8481.2</f>
        <v>7135.3702151201851</v>
      </c>
      <c r="K136" s="26"/>
    </row>
    <row r="137" spans="1:13" s="10" customFormat="1" x14ac:dyDescent="0.25">
      <c r="A137" s="24"/>
      <c r="B137" s="25" t="s">
        <v>32</v>
      </c>
      <c r="C137" s="26"/>
      <c r="D137" s="27"/>
      <c r="E137" s="27"/>
      <c r="F137" s="27"/>
      <c r="G137" s="27"/>
      <c r="H137" s="26"/>
      <c r="I137" s="26"/>
      <c r="J137" s="22">
        <f>0.13*G135*912.17</f>
        <v>767.42331853112512</v>
      </c>
      <c r="K137" s="26"/>
    </row>
    <row r="138" spans="1:13" s="10" customFormat="1" x14ac:dyDescent="0.25">
      <c r="A138" s="24"/>
      <c r="B138" s="25" t="s">
        <v>57</v>
      </c>
      <c r="C138" s="26"/>
      <c r="D138" s="27"/>
      <c r="E138" s="27"/>
      <c r="F138" s="27"/>
      <c r="G138" s="27"/>
      <c r="H138" s="26"/>
      <c r="I138" s="26"/>
      <c r="J138" s="22">
        <f>0.13*G135*953.37</f>
        <v>802.08554237479723</v>
      </c>
      <c r="K138" s="26"/>
    </row>
    <row r="139" spans="1:13" s="10" customFormat="1" x14ac:dyDescent="0.25">
      <c r="A139" s="24"/>
      <c r="B139" s="25" t="s">
        <v>35</v>
      </c>
      <c r="C139" s="26"/>
      <c r="D139" s="27"/>
      <c r="E139" s="27"/>
      <c r="F139" s="27"/>
      <c r="G139" s="27"/>
      <c r="H139" s="26"/>
      <c r="I139" s="26"/>
      <c r="J139" s="22">
        <f>0.13*G135*28</f>
        <v>23.556851155893643</v>
      </c>
      <c r="K139" s="26"/>
    </row>
    <row r="140" spans="1:13" x14ac:dyDescent="0.25">
      <c r="A140" s="15"/>
      <c r="B140" s="15"/>
      <c r="C140" s="15"/>
      <c r="D140" s="15"/>
      <c r="E140" s="15"/>
      <c r="F140" s="15"/>
      <c r="G140" s="15"/>
      <c r="H140" s="15"/>
      <c r="I140" s="15"/>
      <c r="J140" s="15"/>
      <c r="K140" s="15"/>
    </row>
    <row r="141" spans="1:13" ht="30" x14ac:dyDescent="0.25">
      <c r="A141" s="11">
        <v>11</v>
      </c>
      <c r="B141" s="28" t="s">
        <v>51</v>
      </c>
      <c r="C141" s="15"/>
      <c r="D141" s="15"/>
      <c r="E141" s="15"/>
      <c r="F141" s="15"/>
      <c r="G141" s="15"/>
      <c r="H141" s="15"/>
      <c r="I141" s="15"/>
      <c r="J141" s="15"/>
      <c r="K141" s="15"/>
    </row>
    <row r="142" spans="1:13" x14ac:dyDescent="0.25">
      <c r="A142" s="15"/>
      <c r="B142" s="16" t="str">
        <f>B128</f>
        <v>-for wall continue</v>
      </c>
      <c r="C142" s="45">
        <f>1</f>
        <v>1</v>
      </c>
      <c r="D142" s="3">
        <f>(15*2+(9.75+1.17*2)*2)/3.281</f>
        <v>16.513258153002134</v>
      </c>
      <c r="E142" s="3"/>
      <c r="F142" s="3">
        <f>10/3.281</f>
        <v>3.047851264858275</v>
      </c>
      <c r="G142" s="3">
        <f>PRODUCT(C142:F142)</f>
        <v>50.329954748558777</v>
      </c>
      <c r="H142" s="15"/>
      <c r="I142" s="15"/>
      <c r="J142" s="15"/>
      <c r="K142" s="15"/>
    </row>
    <row r="143" spans="1:13" x14ac:dyDescent="0.25">
      <c r="A143" s="15"/>
      <c r="B143" s="16"/>
      <c r="C143" s="45">
        <f>1</f>
        <v>1</v>
      </c>
      <c r="D143" s="3">
        <f>((15-1.17*2)*2+(9.75*2))/3.281</f>
        <v>13.660469369094788</v>
      </c>
      <c r="E143" s="3"/>
      <c r="F143" s="3">
        <f>(10-3.5)/3.281</f>
        <v>1.9811033221578787</v>
      </c>
      <c r="G143" s="3">
        <f>PRODUCT(C143:F143)</f>
        <v>27.062801249349626</v>
      </c>
      <c r="H143" s="15"/>
      <c r="I143" s="15"/>
      <c r="J143" s="15"/>
      <c r="K143" s="15"/>
    </row>
    <row r="144" spans="1:13" x14ac:dyDescent="0.25">
      <c r="A144" s="15"/>
      <c r="B144" s="16" t="str">
        <f>B130</f>
        <v>-deduction for door</v>
      </c>
      <c r="C144" s="45">
        <f>-1</f>
        <v>-1</v>
      </c>
      <c r="D144" s="3">
        <f>D130</f>
        <v>1.2</v>
      </c>
      <c r="E144" s="3"/>
      <c r="F144" s="3">
        <f>8/3.281</f>
        <v>2.4382810118866196</v>
      </c>
      <c r="G144" s="3">
        <f t="shared" ref="G144:G147" si="31">PRODUCT(C144:F144)</f>
        <v>-2.9259372142639433</v>
      </c>
      <c r="H144" s="15"/>
      <c r="I144" s="15"/>
      <c r="J144" s="15"/>
      <c r="K144" s="15"/>
    </row>
    <row r="145" spans="1:11" x14ac:dyDescent="0.25">
      <c r="A145" s="15"/>
      <c r="B145" s="16" t="str">
        <f>B131</f>
        <v>-deduction for window</v>
      </c>
      <c r="C145" s="45">
        <f>-2</f>
        <v>-2</v>
      </c>
      <c r="D145" s="3">
        <f>D131</f>
        <v>0.6</v>
      </c>
      <c r="E145" s="3"/>
      <c r="F145" s="3">
        <f>F131</f>
        <v>0.71014934471197799</v>
      </c>
      <c r="G145" s="3">
        <f t="shared" si="31"/>
        <v>-0.85217921365437355</v>
      </c>
      <c r="H145" s="15"/>
      <c r="I145" s="15"/>
      <c r="J145" s="15"/>
      <c r="K145" s="15"/>
    </row>
    <row r="146" spans="1:11" x14ac:dyDescent="0.25">
      <c r="A146" s="15"/>
      <c r="B146" s="16" t="s">
        <v>124</v>
      </c>
      <c r="C146" s="45">
        <f>0*2</f>
        <v>0</v>
      </c>
      <c r="D146" s="3">
        <f>D57</f>
        <v>3.2383419689119171</v>
      </c>
      <c r="E146" s="3">
        <f>E57</f>
        <v>2.3367875647668392</v>
      </c>
      <c r="F146" s="3"/>
      <c r="G146" s="3">
        <f t="shared" si="31"/>
        <v>0</v>
      </c>
      <c r="H146" s="15"/>
      <c r="I146" s="15"/>
      <c r="J146" s="15"/>
      <c r="K146" s="15"/>
    </row>
    <row r="147" spans="1:11" x14ac:dyDescent="0.25">
      <c r="A147" s="15"/>
      <c r="B147" s="16"/>
      <c r="C147" s="45">
        <f>0*2</f>
        <v>0</v>
      </c>
      <c r="D147" s="3">
        <f>D58</f>
        <v>3.695519658640658</v>
      </c>
      <c r="E147" s="3">
        <f>E58</f>
        <v>2.0320024382810118</v>
      </c>
      <c r="F147" s="3"/>
      <c r="G147" s="3">
        <f t="shared" si="31"/>
        <v>0</v>
      </c>
      <c r="H147" s="15"/>
      <c r="I147" s="15"/>
      <c r="J147" s="15"/>
      <c r="K147" s="15"/>
    </row>
    <row r="148" spans="1:11" s="10" customFormat="1" x14ac:dyDescent="0.25">
      <c r="A148" s="24"/>
      <c r="B148" s="25" t="str">
        <f>B132</f>
        <v>-for wing walls of stand tap</v>
      </c>
      <c r="C148" s="49">
        <f>C14*4</f>
        <v>0</v>
      </c>
      <c r="D148" s="27">
        <f>M10-O10*2</f>
        <v>1.2163181956720512</v>
      </c>
      <c r="E148" s="27"/>
      <c r="F148" s="27">
        <f>P10</f>
        <v>0.6</v>
      </c>
      <c r="G148" s="27">
        <f>PRODUCT(C148:F148)</f>
        <v>0</v>
      </c>
      <c r="H148" s="26"/>
      <c r="I148" s="26"/>
      <c r="J148" s="26"/>
      <c r="K148" s="26"/>
    </row>
    <row r="149" spans="1:11" s="10" customFormat="1" x14ac:dyDescent="0.25">
      <c r="A149" s="24"/>
      <c r="B149" s="25" t="str">
        <f>B133</f>
        <v>-for side wall of stand tap</v>
      </c>
      <c r="C149" s="49">
        <f>C14</f>
        <v>0</v>
      </c>
      <c r="D149" s="27">
        <f>M10-R10</f>
        <v>1.3197195976836331</v>
      </c>
      <c r="E149" s="27"/>
      <c r="F149" s="27">
        <f>P10</f>
        <v>0.6</v>
      </c>
      <c r="G149" s="27">
        <f>PRODUCT(C149:F149)</f>
        <v>0</v>
      </c>
      <c r="H149" s="26"/>
      <c r="I149" s="26"/>
      <c r="J149" s="26"/>
      <c r="K149" s="26"/>
    </row>
    <row r="150" spans="1:11" s="10" customFormat="1" x14ac:dyDescent="0.25">
      <c r="A150" s="24"/>
      <c r="B150" s="25" t="s">
        <v>114</v>
      </c>
      <c r="C150" s="49">
        <f>C14</f>
        <v>0</v>
      </c>
      <c r="D150" s="27">
        <f>R10</f>
        <v>0.35659859798841814</v>
      </c>
      <c r="E150" s="27"/>
      <c r="F150" s="27">
        <f>Q10</f>
        <v>1.2</v>
      </c>
      <c r="G150" s="27">
        <f>PRODUCT(C150:F150)</f>
        <v>0</v>
      </c>
      <c r="H150" s="26"/>
      <c r="I150" s="26"/>
      <c r="J150" s="26"/>
      <c r="K150" s="26"/>
    </row>
    <row r="151" spans="1:11" s="10" customFormat="1" x14ac:dyDescent="0.25">
      <c r="A151" s="24"/>
      <c r="B151" s="25"/>
      <c r="C151" s="49">
        <f>C150</f>
        <v>0</v>
      </c>
      <c r="D151" s="27">
        <f>O10*2</f>
        <v>0.46</v>
      </c>
      <c r="E151" s="27"/>
      <c r="F151" s="27">
        <f>Q10-P10</f>
        <v>0.6</v>
      </c>
      <c r="G151" s="27">
        <f>PRODUCT(C151:F151)</f>
        <v>0</v>
      </c>
      <c r="H151" s="26"/>
      <c r="I151" s="26"/>
      <c r="J151" s="26"/>
      <c r="K151" s="26"/>
    </row>
    <row r="152" spans="1:11" s="10" customFormat="1" ht="15" customHeight="1" x14ac:dyDescent="0.25">
      <c r="A152" s="17"/>
      <c r="B152" s="18" t="s">
        <v>16</v>
      </c>
      <c r="C152" s="19"/>
      <c r="D152" s="1"/>
      <c r="E152" s="20"/>
      <c r="F152" s="20"/>
      <c r="G152" s="2">
        <f>SUM(G142:G151)</f>
        <v>73.614639569990103</v>
      </c>
      <c r="H152" s="21" t="s">
        <v>34</v>
      </c>
      <c r="I152" s="2">
        <v>415.5</v>
      </c>
      <c r="J152" s="22">
        <f>G152*I152</f>
        <v>30586.882741330886</v>
      </c>
      <c r="K152" s="20"/>
    </row>
    <row r="153" spans="1:11" s="10" customFormat="1" x14ac:dyDescent="0.25">
      <c r="A153" s="24"/>
      <c r="B153" s="25" t="s">
        <v>32</v>
      </c>
      <c r="C153" s="26"/>
      <c r="D153" s="27"/>
      <c r="E153" s="27"/>
      <c r="F153" s="27"/>
      <c r="G153" s="27"/>
      <c r="H153" s="26"/>
      <c r="I153" s="26"/>
      <c r="J153" s="22">
        <f>0.13*G152*7010.67/100</f>
        <v>670.91432875238536</v>
      </c>
      <c r="K153" s="26"/>
    </row>
    <row r="154" spans="1:11" x14ac:dyDescent="0.25">
      <c r="A154" s="15"/>
      <c r="B154" s="25" t="s">
        <v>31</v>
      </c>
      <c r="C154" s="26"/>
      <c r="D154" s="27"/>
      <c r="E154" s="27"/>
      <c r="F154" s="27"/>
      <c r="G154" s="27"/>
      <c r="H154" s="26"/>
      <c r="I154" s="26"/>
      <c r="J154" s="22">
        <f>0.13*G152*4639.73/100</f>
        <v>444.01766714769116</v>
      </c>
      <c r="K154" s="15"/>
    </row>
    <row r="155" spans="1:11" x14ac:dyDescent="0.25">
      <c r="A155" s="15"/>
      <c r="B155" s="15"/>
      <c r="C155" s="15"/>
      <c r="D155" s="15"/>
      <c r="E155" s="15"/>
      <c r="F155" s="15"/>
      <c r="G155" s="15"/>
      <c r="H155" s="15"/>
      <c r="I155" s="15"/>
      <c r="J155" s="15"/>
      <c r="K155" s="15"/>
    </row>
    <row r="156" spans="1:11" ht="76.5" x14ac:dyDescent="0.25">
      <c r="A156" s="11">
        <v>12</v>
      </c>
      <c r="B156" s="28" t="s">
        <v>134</v>
      </c>
      <c r="C156" s="15"/>
      <c r="D156" s="15"/>
      <c r="E156" s="15"/>
      <c r="F156" s="15"/>
      <c r="G156" s="15"/>
      <c r="H156" s="15"/>
      <c r="I156" s="15"/>
      <c r="J156" s="15"/>
      <c r="K156" s="15"/>
    </row>
    <row r="157" spans="1:11" x14ac:dyDescent="0.25">
      <c r="A157" s="15"/>
      <c r="B157" s="16" t="s">
        <v>135</v>
      </c>
      <c r="C157" s="45">
        <f>0*1</f>
        <v>0</v>
      </c>
      <c r="D157" s="3">
        <f>((15-1.17*2)*2+(9.75*2))/3.281</f>
        <v>13.660469369094788</v>
      </c>
      <c r="E157" s="3"/>
      <c r="F157" s="3">
        <f>(3.5)/3.281</f>
        <v>1.0667479427003961</v>
      </c>
      <c r="G157" s="3">
        <f>PRODUCT(C157:F157)</f>
        <v>0</v>
      </c>
      <c r="H157" s="15"/>
      <c r="I157" s="15"/>
      <c r="J157" s="15"/>
      <c r="K157" s="15"/>
    </row>
    <row r="158" spans="1:11" s="10" customFormat="1" x14ac:dyDescent="0.25">
      <c r="A158" s="24"/>
      <c r="B158" s="25" t="str">
        <f>B144</f>
        <v>-deduction for door</v>
      </c>
      <c r="C158" s="49">
        <f>0*-1</f>
        <v>0</v>
      </c>
      <c r="D158" s="27">
        <f>D144</f>
        <v>1.2</v>
      </c>
      <c r="E158" s="27"/>
      <c r="F158" s="27">
        <f>F157</f>
        <v>1.0667479427003961</v>
      </c>
      <c r="G158" s="27">
        <f>PRODUCT(C158:F158)</f>
        <v>0</v>
      </c>
      <c r="H158" s="26"/>
      <c r="I158" s="26"/>
      <c r="J158" s="26"/>
      <c r="K158" s="26"/>
    </row>
    <row r="159" spans="1:11" s="10" customFormat="1" ht="15" customHeight="1" x14ac:dyDescent="0.25">
      <c r="A159" s="17"/>
      <c r="B159" s="18" t="s">
        <v>16</v>
      </c>
      <c r="C159" s="19"/>
      <c r="D159" s="1"/>
      <c r="E159" s="20"/>
      <c r="F159" s="20"/>
      <c r="G159" s="2">
        <f>SUM(G157:G158)</f>
        <v>0</v>
      </c>
      <c r="H159" s="21" t="s">
        <v>34</v>
      </c>
      <c r="I159" s="2">
        <v>2845.18</v>
      </c>
      <c r="J159" s="22">
        <f>G159*I159</f>
        <v>0</v>
      </c>
      <c r="K159" s="20"/>
    </row>
    <row r="160" spans="1:11" s="10" customFormat="1" x14ac:dyDescent="0.25">
      <c r="A160" s="24"/>
      <c r="B160" s="25" t="s">
        <v>32</v>
      </c>
      <c r="C160" s="26"/>
      <c r="D160" s="27"/>
      <c r="E160" s="27"/>
      <c r="F160" s="27"/>
      <c r="G160" s="27"/>
      <c r="H160" s="26"/>
      <c r="I160" s="26"/>
      <c r="J160" s="22">
        <f>0.13*G159*729.73/10</f>
        <v>0</v>
      </c>
      <c r="K160" s="26"/>
    </row>
    <row r="161" spans="1:11" x14ac:dyDescent="0.25">
      <c r="A161" s="15"/>
      <c r="B161" s="25" t="s">
        <v>31</v>
      </c>
      <c r="C161" s="26"/>
      <c r="D161" s="27"/>
      <c r="E161" s="27"/>
      <c r="F161" s="27"/>
      <c r="G161" s="27"/>
      <c r="H161" s="26"/>
      <c r="I161" s="26"/>
      <c r="J161" s="22">
        <f>0.13*G159*483.04/10</f>
        <v>0</v>
      </c>
      <c r="K161" s="15"/>
    </row>
    <row r="162" spans="1:11" s="10" customFormat="1" x14ac:dyDescent="0.25">
      <c r="A162" s="24"/>
      <c r="B162" s="25" t="s">
        <v>136</v>
      </c>
      <c r="C162" s="26"/>
      <c r="D162" s="27"/>
      <c r="E162" s="27"/>
      <c r="F162" s="27"/>
      <c r="G162" s="27"/>
      <c r="H162" s="26"/>
      <c r="I162" s="26"/>
      <c r="J162" s="22">
        <f>0.13*G159*100.06/10</f>
        <v>0</v>
      </c>
      <c r="K162" s="26"/>
    </row>
    <row r="163" spans="1:11" x14ac:dyDescent="0.25">
      <c r="A163" s="15"/>
      <c r="B163" s="25" t="s">
        <v>137</v>
      </c>
      <c r="C163" s="26"/>
      <c r="D163" s="27"/>
      <c r="E163" s="27"/>
      <c r="F163" s="27"/>
      <c r="G163" s="27"/>
      <c r="H163" s="26"/>
      <c r="I163" s="26"/>
      <c r="J163" s="22">
        <f>0.13*G159*6746.52/10</f>
        <v>0</v>
      </c>
      <c r="K163" s="15"/>
    </row>
    <row r="164" spans="1:11" x14ac:dyDescent="0.25">
      <c r="A164" s="15"/>
      <c r="B164" s="15"/>
      <c r="C164" s="15"/>
      <c r="D164" s="15"/>
      <c r="E164" s="15"/>
      <c r="F164" s="15"/>
      <c r="G164" s="15"/>
      <c r="H164" s="15"/>
      <c r="I164" s="15"/>
      <c r="J164" s="15"/>
      <c r="K164" s="15"/>
    </row>
    <row r="165" spans="1:11" ht="30" x14ac:dyDescent="0.25">
      <c r="A165" s="11">
        <v>13</v>
      </c>
      <c r="B165" s="28" t="s">
        <v>59</v>
      </c>
      <c r="C165" s="15"/>
      <c r="D165" s="15"/>
      <c r="E165" s="15"/>
      <c r="F165" s="15"/>
      <c r="G165" s="15"/>
      <c r="H165" s="15"/>
      <c r="I165" s="15"/>
      <c r="J165" s="15"/>
      <c r="K165" s="15"/>
    </row>
    <row r="166" spans="1:11" x14ac:dyDescent="0.25">
      <c r="A166" s="15"/>
      <c r="B166" s="16" t="s">
        <v>85</v>
      </c>
      <c r="C166" s="45">
        <f>C142*0</f>
        <v>0</v>
      </c>
      <c r="D166" s="3"/>
      <c r="E166" s="3"/>
      <c r="F166" s="3"/>
      <c r="G166" s="3">
        <f>SUM(G142:G147)</f>
        <v>73.614639569990103</v>
      </c>
      <c r="H166" s="15"/>
      <c r="I166" s="15"/>
      <c r="J166" s="15"/>
      <c r="K166" s="15"/>
    </row>
    <row r="167" spans="1:11" s="10" customFormat="1" ht="15" customHeight="1" x14ac:dyDescent="0.25">
      <c r="A167" s="17"/>
      <c r="B167" s="18" t="s">
        <v>16</v>
      </c>
      <c r="C167" s="19"/>
      <c r="D167" s="1"/>
      <c r="E167" s="20"/>
      <c r="F167" s="20"/>
      <c r="G167" s="2">
        <f>SUM(G166:G166)</f>
        <v>73.614639569990103</v>
      </c>
      <c r="H167" s="21" t="s">
        <v>34</v>
      </c>
      <c r="I167" s="2">
        <v>253.8</v>
      </c>
      <c r="J167" s="22">
        <f>G167*I167</f>
        <v>18683.395522863488</v>
      </c>
      <c r="K167" s="20"/>
    </row>
    <row r="168" spans="1:11" s="10" customFormat="1" x14ac:dyDescent="0.25">
      <c r="A168" s="24"/>
      <c r="B168" s="25" t="s">
        <v>60</v>
      </c>
      <c r="C168" s="26"/>
      <c r="D168" s="27"/>
      <c r="E168" s="27"/>
      <c r="F168" s="27"/>
      <c r="G168" s="27"/>
      <c r="H168" s="26"/>
      <c r="I168" s="26"/>
      <c r="J168" s="22">
        <f>0.13*G167*2304/100</f>
        <v>220.49056844003437</v>
      </c>
      <c r="K168" s="26"/>
    </row>
    <row r="169" spans="1:11" s="10" customFormat="1" x14ac:dyDescent="0.25">
      <c r="A169" s="24"/>
      <c r="B169" s="25" t="s">
        <v>61</v>
      </c>
      <c r="C169" s="26"/>
      <c r="D169" s="27"/>
      <c r="E169" s="27"/>
      <c r="F169" s="27"/>
      <c r="G169" s="27"/>
      <c r="H169" s="26"/>
      <c r="I169" s="26"/>
      <c r="J169" s="22">
        <f>0.13*G167*10432/100</f>
        <v>998.33229599237779</v>
      </c>
      <c r="K169" s="26"/>
    </row>
    <row r="170" spans="1:11" s="10" customFormat="1" x14ac:dyDescent="0.25">
      <c r="A170" s="24"/>
      <c r="B170" s="25"/>
      <c r="C170" s="26"/>
      <c r="D170" s="27"/>
      <c r="E170" s="27"/>
      <c r="F170" s="27"/>
      <c r="G170" s="27"/>
      <c r="H170" s="26"/>
      <c r="I170" s="26"/>
      <c r="J170" s="22"/>
      <c r="K170" s="26"/>
    </row>
    <row r="171" spans="1:11" ht="30" x14ac:dyDescent="0.25">
      <c r="A171" s="11">
        <v>14</v>
      </c>
      <c r="B171" s="28" t="s">
        <v>81</v>
      </c>
      <c r="C171" s="15"/>
      <c r="D171" s="15"/>
      <c r="E171" s="15"/>
      <c r="F171" s="15"/>
      <c r="G171" s="15"/>
      <c r="H171" s="15"/>
      <c r="I171" s="15"/>
      <c r="J171" s="15"/>
      <c r="K171" s="15"/>
    </row>
    <row r="172" spans="1:11" x14ac:dyDescent="0.25">
      <c r="A172" s="15"/>
      <c r="B172" s="16" t="s">
        <v>122</v>
      </c>
      <c r="C172" s="45">
        <f>C149</f>
        <v>0</v>
      </c>
      <c r="D172" s="3">
        <f>(18.25*2+15.25*2)/3.281</f>
        <v>20.42060347455044</v>
      </c>
      <c r="E172" s="3"/>
      <c r="F172" s="3"/>
      <c r="G172" s="3">
        <f>PRODUCT(C172:F172)</f>
        <v>0</v>
      </c>
      <c r="H172" s="15"/>
      <c r="I172" s="15"/>
      <c r="J172" s="15"/>
      <c r="K172" s="15"/>
    </row>
    <row r="173" spans="1:11" s="10" customFormat="1" ht="15" customHeight="1" x14ac:dyDescent="0.25">
      <c r="A173" s="17"/>
      <c r="B173" s="18" t="s">
        <v>16</v>
      </c>
      <c r="C173" s="19"/>
      <c r="D173" s="1"/>
      <c r="E173" s="20"/>
      <c r="F173" s="20"/>
      <c r="G173" s="2">
        <f>SUM(G172:G172)</f>
        <v>0</v>
      </c>
      <c r="H173" s="21" t="s">
        <v>82</v>
      </c>
      <c r="I173" s="2">
        <v>144.41</v>
      </c>
      <c r="J173" s="22">
        <f>G173*I173</f>
        <v>0</v>
      </c>
      <c r="K173" s="20"/>
    </row>
    <row r="174" spans="1:11" s="10" customFormat="1" x14ac:dyDescent="0.25">
      <c r="A174" s="24"/>
      <c r="B174" s="25" t="s">
        <v>32</v>
      </c>
      <c r="C174" s="26"/>
      <c r="D174" s="27"/>
      <c r="E174" s="27"/>
      <c r="F174" s="27"/>
      <c r="G174" s="27"/>
      <c r="H174" s="26"/>
      <c r="I174" s="26"/>
      <c r="J174" s="22">
        <f>0.13*G173*91.21</f>
        <v>0</v>
      </c>
      <c r="K174" s="26"/>
    </row>
    <row r="175" spans="1:11" s="10" customFormat="1" x14ac:dyDescent="0.25">
      <c r="A175" s="24"/>
      <c r="B175" s="25" t="s">
        <v>31</v>
      </c>
      <c r="C175" s="26"/>
      <c r="D175" s="27"/>
      <c r="E175" s="27"/>
      <c r="F175" s="27"/>
      <c r="G175" s="27"/>
      <c r="H175" s="26"/>
      <c r="I175" s="26"/>
      <c r="J175" s="22">
        <f>0.13*G173*12.71</f>
        <v>0</v>
      </c>
      <c r="K175" s="26"/>
    </row>
    <row r="176" spans="1:11" s="10" customFormat="1" x14ac:dyDescent="0.25">
      <c r="A176" s="24"/>
      <c r="B176" s="25" t="s">
        <v>123</v>
      </c>
      <c r="C176" s="26"/>
      <c r="D176" s="27"/>
      <c r="E176" s="27"/>
      <c r="F176" s="27"/>
      <c r="G176" s="27"/>
      <c r="H176" s="26"/>
      <c r="I176" s="26"/>
      <c r="J176" s="22">
        <f>0.13*G173*0.02</f>
        <v>0</v>
      </c>
      <c r="K176" s="26"/>
    </row>
    <row r="177" spans="1:11" s="10" customFormat="1" x14ac:dyDescent="0.25">
      <c r="A177" s="24"/>
      <c r="B177" s="25"/>
      <c r="C177" s="26"/>
      <c r="D177" s="27"/>
      <c r="E177" s="27"/>
      <c r="F177" s="27"/>
      <c r="G177" s="27"/>
      <c r="H177" s="26"/>
      <c r="I177" s="26"/>
      <c r="J177" s="22"/>
      <c r="K177" s="26"/>
    </row>
    <row r="178" spans="1:11" s="10" customFormat="1" ht="30" x14ac:dyDescent="0.25">
      <c r="A178" s="24">
        <v>15</v>
      </c>
      <c r="B178" s="28" t="s">
        <v>160</v>
      </c>
      <c r="C178" s="26"/>
      <c r="D178" s="27"/>
      <c r="E178" s="27"/>
      <c r="F178" s="27"/>
      <c r="G178" s="27"/>
      <c r="H178" s="26"/>
      <c r="I178" s="26"/>
      <c r="J178" s="22"/>
      <c r="K178" s="26"/>
    </row>
    <row r="179" spans="1:11" x14ac:dyDescent="0.25">
      <c r="A179" s="15"/>
      <c r="B179" s="16" t="s">
        <v>97</v>
      </c>
      <c r="C179" s="45">
        <v>1</v>
      </c>
      <c r="D179" s="3">
        <f>(3.917/3.281)+(8/3.281)*2</f>
        <v>6.0704053642182254</v>
      </c>
      <c r="E179" s="3">
        <v>7.4999999999999997E-2</v>
      </c>
      <c r="F179" s="3">
        <v>0.1</v>
      </c>
      <c r="G179" s="3">
        <f>PRODUCT(C179:F179)</f>
        <v>4.5528040231636695E-2</v>
      </c>
      <c r="H179" s="15"/>
      <c r="I179" s="15"/>
      <c r="J179" s="15"/>
      <c r="K179" s="15"/>
    </row>
    <row r="180" spans="1:11" x14ac:dyDescent="0.25">
      <c r="A180" s="15"/>
      <c r="B180" s="16" t="s">
        <v>98</v>
      </c>
      <c r="C180" s="45">
        <v>2</v>
      </c>
      <c r="D180" s="3">
        <f>(23+23+23+23)/12/3.281</f>
        <v>2.3366859697246776</v>
      </c>
      <c r="E180" s="3">
        <v>7.4999999999999997E-2</v>
      </c>
      <c r="F180" s="3">
        <v>7.4999999999999997E-2</v>
      </c>
      <c r="G180" s="3">
        <f>PRODUCT(C180:F180)</f>
        <v>2.6287717159402622E-2</v>
      </c>
      <c r="H180" s="15"/>
      <c r="I180" s="15"/>
      <c r="J180" s="15"/>
      <c r="K180" s="15"/>
    </row>
    <row r="181" spans="1:11" s="10" customFormat="1" ht="15" customHeight="1" x14ac:dyDescent="0.25">
      <c r="A181" s="17"/>
      <c r="B181" s="18" t="s">
        <v>16</v>
      </c>
      <c r="C181" s="19"/>
      <c r="D181" s="1"/>
      <c r="E181" s="20"/>
      <c r="F181" s="20"/>
      <c r="G181" s="2">
        <f>SUM(G179:G180)</f>
        <v>7.181575739103932E-2</v>
      </c>
      <c r="H181" s="21" t="s">
        <v>28</v>
      </c>
      <c r="I181" s="2">
        <v>284731.83</v>
      </c>
      <c r="J181" s="22">
        <f>G181*I181</f>
        <v>20448.232024786652</v>
      </c>
      <c r="K181" s="20"/>
    </row>
    <row r="182" spans="1:11" s="10" customFormat="1" x14ac:dyDescent="0.25">
      <c r="A182" s="24"/>
      <c r="B182" s="25" t="s">
        <v>99</v>
      </c>
      <c r="C182" s="26"/>
      <c r="D182" s="27"/>
      <c r="E182" s="27"/>
      <c r="F182" s="27"/>
      <c r="G182" s="27"/>
      <c r="H182" s="26"/>
      <c r="I182" s="26"/>
      <c r="J182" s="22">
        <f>0.13*G181*239222.83</f>
        <v>2233.3959338181198</v>
      </c>
      <c r="K182" s="26"/>
    </row>
    <row r="183" spans="1:11" s="10" customFormat="1" x14ac:dyDescent="0.25">
      <c r="A183" s="24"/>
      <c r="B183" s="25"/>
      <c r="C183" s="26"/>
      <c r="D183" s="27"/>
      <c r="E183" s="27"/>
      <c r="F183" s="27"/>
      <c r="G183" s="27"/>
      <c r="H183" s="26"/>
      <c r="I183" s="26"/>
      <c r="J183" s="22"/>
      <c r="K183" s="26"/>
    </row>
    <row r="184" spans="1:11" s="10" customFormat="1" ht="45" x14ac:dyDescent="0.25">
      <c r="A184" s="24">
        <v>16</v>
      </c>
      <c r="B184" s="30" t="s">
        <v>96</v>
      </c>
      <c r="C184" s="26"/>
      <c r="D184" s="27"/>
      <c r="E184" s="27"/>
      <c r="F184" s="27"/>
      <c r="G184" s="27"/>
      <c r="H184" s="26"/>
      <c r="I184" s="26"/>
      <c r="J184" s="22"/>
      <c r="K184" s="26"/>
    </row>
    <row r="185" spans="1:11" x14ac:dyDescent="0.25">
      <c r="A185" s="15"/>
      <c r="B185" s="16" t="s">
        <v>97</v>
      </c>
      <c r="C185" s="45">
        <f>0*1</f>
        <v>0</v>
      </c>
      <c r="D185" s="3">
        <f>D130</f>
        <v>1.2</v>
      </c>
      <c r="E185" s="3"/>
      <c r="F185" s="3">
        <f>7/3.281</f>
        <v>2.1334958854007922</v>
      </c>
      <c r="G185" s="3">
        <f>PRODUCT(C185:F185)</f>
        <v>0</v>
      </c>
      <c r="H185" s="15"/>
      <c r="I185" s="15"/>
      <c r="J185" s="15"/>
      <c r="K185" s="15"/>
    </row>
    <row r="186" spans="1:11" x14ac:dyDescent="0.25">
      <c r="A186" s="15"/>
      <c r="B186" s="16" t="s">
        <v>98</v>
      </c>
      <c r="C186" s="45">
        <f>0*2</f>
        <v>0</v>
      </c>
      <c r="D186" s="3">
        <f>D131</f>
        <v>0.6</v>
      </c>
      <c r="E186" s="3"/>
      <c r="F186" s="3">
        <f>F131</f>
        <v>0.71014934471197799</v>
      </c>
      <c r="G186" s="3">
        <f>PRODUCT(C186:F186)</f>
        <v>0</v>
      </c>
      <c r="H186" s="15"/>
      <c r="I186" s="15"/>
      <c r="J186" s="15"/>
      <c r="K186" s="15"/>
    </row>
    <row r="187" spans="1:11" s="10" customFormat="1" ht="15" customHeight="1" x14ac:dyDescent="0.25">
      <c r="A187" s="17"/>
      <c r="B187" s="18" t="s">
        <v>16</v>
      </c>
      <c r="C187" s="19"/>
      <c r="D187" s="1"/>
      <c r="E187" s="20"/>
      <c r="F187" s="20"/>
      <c r="G187" s="2">
        <f>SUM(G185:G186)</f>
        <v>0</v>
      </c>
      <c r="H187" s="21" t="s">
        <v>34</v>
      </c>
      <c r="I187" s="2">
        <v>37363.64</v>
      </c>
      <c r="J187" s="22">
        <f>G187*I187</f>
        <v>0</v>
      </c>
      <c r="K187" s="20"/>
    </row>
    <row r="188" spans="1:11" s="10" customFormat="1" x14ac:dyDescent="0.25">
      <c r="A188" s="24"/>
      <c r="B188" s="25" t="s">
        <v>99</v>
      </c>
      <c r="C188" s="26"/>
      <c r="D188" s="27"/>
      <c r="E188" s="27"/>
      <c r="F188" s="27"/>
      <c r="G188" s="27"/>
      <c r="H188" s="26"/>
      <c r="I188" s="26"/>
      <c r="J188" s="22">
        <f>0.13*G187*7910.91/0.92</f>
        <v>0</v>
      </c>
      <c r="K188" s="26"/>
    </row>
    <row r="189" spans="1:11" s="10" customFormat="1" x14ac:dyDescent="0.25">
      <c r="A189" s="24"/>
      <c r="B189" s="25"/>
      <c r="C189" s="26"/>
      <c r="D189" s="27"/>
      <c r="E189" s="27"/>
      <c r="F189" s="27"/>
      <c r="G189" s="27"/>
      <c r="H189" s="26"/>
      <c r="I189" s="26"/>
      <c r="J189" s="22"/>
      <c r="K189" s="26"/>
    </row>
    <row r="190" spans="1:11" s="10" customFormat="1" ht="30" x14ac:dyDescent="0.25">
      <c r="A190" s="24">
        <v>17</v>
      </c>
      <c r="B190" s="50" t="s">
        <v>110</v>
      </c>
      <c r="C190" s="26"/>
      <c r="D190" s="26"/>
      <c r="E190" s="26"/>
      <c r="F190" s="26"/>
      <c r="G190" s="26"/>
      <c r="H190" s="26"/>
      <c r="I190" s="26"/>
      <c r="J190" s="26"/>
      <c r="K190" s="26"/>
    </row>
    <row r="191" spans="1:11" s="10" customFormat="1" x14ac:dyDescent="0.25">
      <c r="A191" s="24"/>
      <c r="B191" s="25" t="s">
        <v>111</v>
      </c>
      <c r="C191" s="26">
        <f>0*1</f>
        <v>0</v>
      </c>
      <c r="D191" s="27">
        <f>Q10</f>
        <v>1.2</v>
      </c>
      <c r="E191" s="26"/>
      <c r="F191" s="26"/>
      <c r="G191" s="27">
        <f t="shared" ref="G191" si="32">PRODUCT(C191:F191)</f>
        <v>0</v>
      </c>
      <c r="H191" s="26"/>
      <c r="I191" s="26"/>
      <c r="J191" s="22"/>
      <c r="K191" s="26"/>
    </row>
    <row r="192" spans="1:11" s="44" customFormat="1" x14ac:dyDescent="0.25">
      <c r="A192" s="17"/>
      <c r="B192" s="55" t="s">
        <v>112</v>
      </c>
      <c r="C192" s="19"/>
      <c r="D192" s="1"/>
      <c r="E192" s="20"/>
      <c r="F192" s="20"/>
      <c r="G192" s="56">
        <f>SUM(G191:G191)</f>
        <v>0</v>
      </c>
      <c r="H192" s="21" t="s">
        <v>82</v>
      </c>
      <c r="I192" s="2">
        <v>248</v>
      </c>
      <c r="J192" s="56">
        <f>G192*I192</f>
        <v>0</v>
      </c>
      <c r="K192" s="20"/>
    </row>
    <row r="193" spans="1:11" s="10" customFormat="1" x14ac:dyDescent="0.25">
      <c r="A193" s="24"/>
      <c r="B193" s="25" t="s">
        <v>113</v>
      </c>
      <c r="C193" s="26"/>
      <c r="D193" s="26"/>
      <c r="E193" s="26"/>
      <c r="F193" s="26"/>
      <c r="G193" s="26"/>
      <c r="H193" s="26"/>
      <c r="I193" s="26"/>
      <c r="J193" s="22">
        <f>0.13*J192</f>
        <v>0</v>
      </c>
      <c r="K193" s="26"/>
    </row>
    <row r="194" spans="1:11" s="10" customFormat="1" x14ac:dyDescent="0.25">
      <c r="A194" s="24"/>
      <c r="B194" s="50"/>
      <c r="C194" s="26"/>
      <c r="D194" s="26"/>
      <c r="E194" s="26"/>
      <c r="F194" s="26"/>
      <c r="G194" s="26"/>
      <c r="H194" s="26"/>
      <c r="I194" s="26"/>
      <c r="J194" s="26"/>
      <c r="K194" s="26"/>
    </row>
    <row r="195" spans="1:11" ht="45" x14ac:dyDescent="0.25">
      <c r="A195" s="11">
        <v>18</v>
      </c>
      <c r="B195" s="28" t="s">
        <v>125</v>
      </c>
      <c r="C195" s="59" t="s">
        <v>7</v>
      </c>
      <c r="D195" s="59" t="s">
        <v>27</v>
      </c>
      <c r="E195" s="59" t="s">
        <v>126</v>
      </c>
      <c r="F195" s="59" t="s">
        <v>127</v>
      </c>
      <c r="G195" s="15"/>
      <c r="H195" s="15"/>
      <c r="I195" s="15"/>
      <c r="J195" s="15"/>
      <c r="K195" s="15"/>
    </row>
    <row r="196" spans="1:11" ht="30" x14ac:dyDescent="0.25">
      <c r="A196" s="13"/>
      <c r="B196" s="60" t="s">
        <v>131</v>
      </c>
      <c r="C196" s="45">
        <f>0*(8+6+6+4)</f>
        <v>0</v>
      </c>
      <c r="D196" s="3">
        <f>0.9+0.23</f>
        <v>1.1300000000000001</v>
      </c>
      <c r="E196" s="3">
        <v>3.54</v>
      </c>
      <c r="F196" s="3">
        <f>PRODUCT(C196:E196)</f>
        <v>0</v>
      </c>
      <c r="G196" s="3">
        <f>F196</f>
        <v>0</v>
      </c>
      <c r="H196" s="15"/>
      <c r="I196" s="15"/>
      <c r="J196" s="15"/>
      <c r="K196" s="15"/>
    </row>
    <row r="197" spans="1:11" ht="30" x14ac:dyDescent="0.25">
      <c r="A197" s="13"/>
      <c r="B197" s="60" t="s">
        <v>132</v>
      </c>
      <c r="C197" s="45">
        <f>0*1</f>
        <v>0</v>
      </c>
      <c r="D197" s="3">
        <f>(21+18+18+16-0.25*4)/3.281</f>
        <v>21.94452910697958</v>
      </c>
      <c r="E197" s="3">
        <v>2.93</v>
      </c>
      <c r="F197" s="3">
        <f>PRODUCT(C197:E197)</f>
        <v>0</v>
      </c>
      <c r="G197" s="3">
        <f>F197</f>
        <v>0</v>
      </c>
      <c r="H197" s="15"/>
      <c r="I197" s="15"/>
      <c r="J197" s="15"/>
      <c r="K197" s="15"/>
    </row>
    <row r="198" spans="1:11" s="10" customFormat="1" ht="15" customHeight="1" x14ac:dyDescent="0.25">
      <c r="A198" s="17"/>
      <c r="B198" s="18" t="s">
        <v>16</v>
      </c>
      <c r="C198" s="19"/>
      <c r="D198" s="1"/>
      <c r="E198" s="20"/>
      <c r="F198" s="20"/>
      <c r="G198" s="2">
        <f>SUM(G196:G197)</f>
        <v>0</v>
      </c>
      <c r="H198" s="21" t="s">
        <v>128</v>
      </c>
      <c r="I198" s="2">
        <v>182.51</v>
      </c>
      <c r="J198" s="22">
        <f>G198*I198</f>
        <v>0</v>
      </c>
      <c r="K198" s="20"/>
    </row>
    <row r="199" spans="1:11" s="44" customFormat="1" ht="30" x14ac:dyDescent="0.25">
      <c r="A199" s="24"/>
      <c r="B199" s="61" t="s">
        <v>129</v>
      </c>
      <c r="C199" s="38"/>
      <c r="D199" s="39"/>
      <c r="E199" s="39"/>
      <c r="F199" s="39"/>
      <c r="G199" s="39"/>
      <c r="H199" s="38"/>
      <c r="I199" s="38"/>
      <c r="J199" s="21">
        <f>0.13*G198*1761.42/18.94</f>
        <v>0</v>
      </c>
      <c r="K199" s="38"/>
    </row>
    <row r="200" spans="1:11" s="10" customFormat="1" x14ac:dyDescent="0.25">
      <c r="A200" s="24"/>
      <c r="B200" s="25" t="s">
        <v>130</v>
      </c>
      <c r="C200" s="26"/>
      <c r="D200" s="27"/>
      <c r="E200" s="27"/>
      <c r="F200" s="27"/>
      <c r="G200" s="27"/>
      <c r="H200" s="26"/>
      <c r="I200" s="26"/>
      <c r="J200" s="22">
        <f>0.13*G198*110/18.94</f>
        <v>0</v>
      </c>
      <c r="K200" s="26"/>
    </row>
    <row r="201" spans="1:11" s="10" customFormat="1" x14ac:dyDescent="0.25">
      <c r="A201" s="24"/>
      <c r="B201" s="25"/>
      <c r="C201" s="26"/>
      <c r="D201" s="27"/>
      <c r="E201" s="27"/>
      <c r="F201" s="27"/>
      <c r="G201" s="27"/>
      <c r="H201" s="26"/>
      <c r="I201" s="26"/>
      <c r="J201" s="22"/>
      <c r="K201" s="26"/>
    </row>
    <row r="202" spans="1:11" s="10" customFormat="1" ht="30" x14ac:dyDescent="0.25">
      <c r="A202" s="17">
        <v>19</v>
      </c>
      <c r="B202" s="30" t="s">
        <v>83</v>
      </c>
      <c r="C202" s="19">
        <f>0*1</f>
        <v>0</v>
      </c>
      <c r="D202" s="1"/>
      <c r="E202" s="20"/>
      <c r="F202" s="20"/>
      <c r="G202" s="21">
        <f t="shared" ref="G202" si="33">PRODUCT(C202:F202)</f>
        <v>0</v>
      </c>
      <c r="H202" s="21" t="s">
        <v>30</v>
      </c>
      <c r="I202" s="2">
        <v>5000</v>
      </c>
      <c r="J202" s="21">
        <f>G202*I202</f>
        <v>0</v>
      </c>
      <c r="K202" s="20"/>
    </row>
    <row r="203" spans="1:11" s="10" customFormat="1" x14ac:dyDescent="0.25">
      <c r="A203" s="17"/>
      <c r="B203" s="31"/>
      <c r="C203" s="19"/>
      <c r="D203" s="1"/>
      <c r="E203" s="20"/>
      <c r="F203" s="20"/>
      <c r="G203" s="2"/>
      <c r="H203" s="21"/>
      <c r="I203" s="2"/>
      <c r="J203" s="22"/>
      <c r="K203" s="20"/>
    </row>
    <row r="204" spans="1:11" s="10" customFormat="1" ht="15" customHeight="1" x14ac:dyDescent="0.25">
      <c r="A204" s="17">
        <v>20</v>
      </c>
      <c r="B204" s="30" t="s">
        <v>17</v>
      </c>
      <c r="C204" s="19">
        <f>0*1</f>
        <v>0</v>
      </c>
      <c r="D204" s="1"/>
      <c r="E204" s="20"/>
      <c r="F204" s="20"/>
      <c r="G204" s="21">
        <f t="shared" ref="G204" si="34">PRODUCT(C204:F204)</f>
        <v>0</v>
      </c>
      <c r="H204" s="21" t="s">
        <v>18</v>
      </c>
      <c r="I204" s="2">
        <v>1000</v>
      </c>
      <c r="J204" s="21">
        <f>G204*I204</f>
        <v>0</v>
      </c>
      <c r="K204" s="20"/>
    </row>
    <row r="205" spans="1:11" s="10" customFormat="1" x14ac:dyDescent="0.25">
      <c r="A205" s="17"/>
      <c r="B205" s="31"/>
      <c r="C205" s="19"/>
      <c r="D205" s="1"/>
      <c r="E205" s="20"/>
      <c r="F205" s="20"/>
      <c r="G205" s="2"/>
      <c r="H205" s="21"/>
      <c r="I205" s="2"/>
      <c r="J205" s="22"/>
      <c r="K205" s="20"/>
    </row>
    <row r="206" spans="1:11" s="10" customFormat="1" x14ac:dyDescent="0.25">
      <c r="A206" s="32"/>
      <c r="B206" s="33" t="s">
        <v>20</v>
      </c>
      <c r="C206" s="34"/>
      <c r="D206" s="35"/>
      <c r="E206" s="35"/>
      <c r="F206" s="35"/>
      <c r="G206" s="22"/>
      <c r="H206" s="22"/>
      <c r="I206" s="22"/>
      <c r="J206" s="22">
        <f>SUM(J19:J204)</f>
        <v>406039.11358584207</v>
      </c>
      <c r="K206" s="36"/>
    </row>
    <row r="207" spans="1:11" s="10" customFormat="1" x14ac:dyDescent="0.25"/>
    <row r="208" spans="1:11" s="44" customFormat="1" x14ac:dyDescent="0.25">
      <c r="A208" s="37"/>
      <c r="B208" s="38" t="s">
        <v>157</v>
      </c>
      <c r="C208" s="90">
        <f>J206</f>
        <v>406039.11358584207</v>
      </c>
      <c r="D208" s="91"/>
      <c r="E208" s="39">
        <v>100</v>
      </c>
      <c r="F208" s="37"/>
      <c r="G208" s="40"/>
      <c r="H208" s="37"/>
      <c r="I208" s="41"/>
      <c r="J208" s="42"/>
      <c r="K208" s="43"/>
    </row>
    <row r="209" spans="2:5" s="10" customFormat="1" x14ac:dyDescent="0.25">
      <c r="B209" s="38" t="s">
        <v>21</v>
      </c>
      <c r="C209" s="94">
        <v>700000</v>
      </c>
      <c r="D209" s="95"/>
      <c r="E209" s="39"/>
    </row>
    <row r="210" spans="2:5" s="10" customFormat="1" x14ac:dyDescent="0.25">
      <c r="B210" s="38" t="s">
        <v>22</v>
      </c>
      <c r="C210" s="94">
        <f>81.92%*V!C208</f>
        <v>332627.24184952182</v>
      </c>
      <c r="D210" s="95"/>
      <c r="E210" s="39">
        <f>C210/C208*100</f>
        <v>81.919999999999987</v>
      </c>
    </row>
    <row r="211" spans="2:5" s="10" customFormat="1" x14ac:dyDescent="0.25">
      <c r="B211" s="38" t="s">
        <v>26</v>
      </c>
      <c r="C211" s="96">
        <f>C208-C210</f>
        <v>73411.87173632026</v>
      </c>
      <c r="D211" s="96"/>
      <c r="E211" s="39">
        <f>100-E210</f>
        <v>18.080000000000013</v>
      </c>
    </row>
    <row r="212" spans="2:5" s="10" customFormat="1" x14ac:dyDescent="0.25">
      <c r="B212" s="38" t="s">
        <v>23</v>
      </c>
      <c r="C212" s="90">
        <f>C209*0.03</f>
        <v>21000</v>
      </c>
      <c r="D212" s="91"/>
      <c r="E212" s="39">
        <v>3</v>
      </c>
    </row>
    <row r="213" spans="2:5" s="10" customFormat="1" x14ac:dyDescent="0.25">
      <c r="B213" s="38" t="s">
        <v>24</v>
      </c>
      <c r="C213" s="90">
        <f>C209*0.02</f>
        <v>14000</v>
      </c>
      <c r="D213" s="91"/>
      <c r="E213" s="39">
        <v>2</v>
      </c>
    </row>
  </sheetData>
  <mergeCells count="15">
    <mergeCell ref="C212:D212"/>
    <mergeCell ref="C213:D213"/>
    <mergeCell ref="A7:F7"/>
    <mergeCell ref="H7:K7"/>
    <mergeCell ref="C208:D208"/>
    <mergeCell ref="C209:D209"/>
    <mergeCell ref="C210:D210"/>
    <mergeCell ref="C211:D211"/>
    <mergeCell ref="A6:F6"/>
    <mergeCell ref="H6:K6"/>
    <mergeCell ref="A1:K1"/>
    <mergeCell ref="A2:K2"/>
    <mergeCell ref="A3:K3"/>
    <mergeCell ref="A4:K4"/>
    <mergeCell ref="A5:K5"/>
  </mergeCells>
  <pageMargins left="0.7" right="0.7" top="0.75" bottom="0.75" header="0.3" footer="0.3"/>
  <pageSetup paperSize="9" scale="80" orientation="portrait" r:id="rId1"/>
  <headerFooter>
    <oddFooter>&amp;LPrepared By:&amp;CChecked By:&amp;RApproved By: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6B7B-0E4C-49CA-A0DC-96694A7A2BF6}">
  <dimension ref="A1:Y213"/>
  <sheetViews>
    <sheetView tabSelected="1" zoomScaleNormal="100" workbookViewId="0">
      <selection activeCell="L6" sqref="L6"/>
    </sheetView>
  </sheetViews>
  <sheetFormatPr defaultColWidth="9.140625" defaultRowHeight="15" x14ac:dyDescent="0.25"/>
  <cols>
    <col min="1" max="1" width="4.7109375" customWidth="1"/>
    <col min="2" max="2" width="30.85546875" customWidth="1"/>
    <col min="3" max="3" width="5.5703125" bestFit="1" customWidth="1"/>
    <col min="4" max="4" width="8.42578125" customWidth="1"/>
    <col min="5" max="5" width="8.5703125" customWidth="1"/>
    <col min="6" max="6" width="7.28515625" customWidth="1"/>
    <col min="8" max="8" width="5" bestFit="1" customWidth="1"/>
    <col min="9" max="10" width="10.7109375" hidden="1" customWidth="1"/>
  </cols>
  <sheetData>
    <row r="1" spans="1:25" x14ac:dyDescent="0.25">
      <c r="A1" s="86" t="s">
        <v>0</v>
      </c>
      <c r="B1" s="86"/>
      <c r="C1" s="86"/>
      <c r="D1" s="86"/>
      <c r="E1" s="86"/>
      <c r="F1" s="86"/>
      <c r="G1" s="86"/>
      <c r="H1" s="86"/>
      <c r="I1" s="86"/>
      <c r="J1" s="86"/>
      <c r="K1" s="86"/>
    </row>
    <row r="2" spans="1:25" ht="22.5" x14ac:dyDescent="0.25">
      <c r="A2" s="87" t="s">
        <v>1</v>
      </c>
      <c r="B2" s="87"/>
      <c r="C2" s="87"/>
      <c r="D2" s="87"/>
      <c r="E2" s="87"/>
      <c r="F2" s="87"/>
      <c r="G2" s="87"/>
      <c r="H2" s="87"/>
      <c r="I2" s="87"/>
      <c r="J2" s="87"/>
      <c r="K2" s="87"/>
    </row>
    <row r="3" spans="1:25" x14ac:dyDescent="0.25">
      <c r="A3" s="88" t="s">
        <v>2</v>
      </c>
      <c r="B3" s="88"/>
      <c r="C3" s="88"/>
      <c r="D3" s="88"/>
      <c r="E3" s="88"/>
      <c r="F3" s="88"/>
      <c r="G3" s="88"/>
      <c r="H3" s="88"/>
      <c r="I3" s="88"/>
      <c r="J3" s="88"/>
      <c r="K3" s="88"/>
    </row>
    <row r="4" spans="1:25" x14ac:dyDescent="0.25">
      <c r="A4" s="88" t="s">
        <v>3</v>
      </c>
      <c r="B4" s="88"/>
      <c r="C4" s="88"/>
      <c r="D4" s="88"/>
      <c r="E4" s="88"/>
      <c r="F4" s="88"/>
      <c r="G4" s="88"/>
      <c r="H4" s="88"/>
      <c r="I4" s="88"/>
      <c r="J4" s="88"/>
      <c r="K4" s="88"/>
    </row>
    <row r="5" spans="1:25" ht="18.75" x14ac:dyDescent="0.3">
      <c r="A5" s="89" t="s">
        <v>155</v>
      </c>
      <c r="B5" s="89"/>
      <c r="C5" s="89"/>
      <c r="D5" s="89"/>
      <c r="E5" s="89"/>
      <c r="F5" s="89"/>
      <c r="G5" s="89"/>
      <c r="H5" s="89"/>
      <c r="I5" s="89"/>
      <c r="J5" s="89"/>
      <c r="K5" s="89"/>
    </row>
    <row r="6" spans="1:25" ht="15.75" x14ac:dyDescent="0.25">
      <c r="A6" s="84" t="s">
        <v>94</v>
      </c>
      <c r="B6" s="84"/>
      <c r="C6" s="84"/>
      <c r="D6" s="84"/>
      <c r="E6" s="84"/>
      <c r="F6" s="84"/>
      <c r="G6" s="4"/>
      <c r="I6" s="117"/>
      <c r="J6" s="117"/>
      <c r="K6" s="83" t="s">
        <v>25</v>
      </c>
    </row>
    <row r="7" spans="1:25" ht="15.75" x14ac:dyDescent="0.25">
      <c r="A7" s="92" t="s">
        <v>29</v>
      </c>
      <c r="B7" s="92"/>
      <c r="C7" s="92"/>
      <c r="D7" s="92"/>
      <c r="E7" s="92"/>
      <c r="F7" s="92"/>
      <c r="G7" s="5"/>
      <c r="I7" s="116"/>
      <c r="J7" s="116"/>
      <c r="K7" s="82" t="s">
        <v>159</v>
      </c>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49">
        <v>0</v>
      </c>
      <c r="D10" s="27">
        <f>5.5/3.281</f>
        <v>1.6763181956720512</v>
      </c>
      <c r="E10" s="27">
        <f>5.5/3.281</f>
        <v>1.6763181956720512</v>
      </c>
      <c r="F10" s="26">
        <v>0.15</v>
      </c>
      <c r="G10" s="27">
        <f>PRODUCT(C10:F10)</f>
        <v>0</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v>
      </c>
      <c r="H11" s="21" t="s">
        <v>28</v>
      </c>
      <c r="I11" s="2">
        <v>674.12</v>
      </c>
      <c r="J11" s="22">
        <f>G11*I11</f>
        <v>0</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49">
        <f>C10</f>
        <v>0</v>
      </c>
      <c r="D14" s="27">
        <f>D10</f>
        <v>1.6763181956720512</v>
      </c>
      <c r="E14" s="27">
        <f>E10</f>
        <v>1.6763181956720512</v>
      </c>
      <c r="F14" s="26"/>
      <c r="G14" s="27">
        <f>PRODUCT(C14:F14)</f>
        <v>0</v>
      </c>
      <c r="H14" s="26"/>
      <c r="I14" s="26"/>
      <c r="J14" s="26"/>
      <c r="K14" s="26"/>
    </row>
    <row r="15" spans="1:25" s="10" customFormat="1" ht="13.9" customHeight="1" x14ac:dyDescent="0.25">
      <c r="A15" s="17"/>
      <c r="B15" s="18" t="s">
        <v>16</v>
      </c>
      <c r="C15" s="19"/>
      <c r="D15" s="1"/>
      <c r="E15" s="20"/>
      <c r="F15" s="20"/>
      <c r="G15" s="2">
        <f>SUM(G14)</f>
        <v>0</v>
      </c>
      <c r="H15" s="21" t="s">
        <v>34</v>
      </c>
      <c r="I15" s="2">
        <v>1017.47</v>
      </c>
      <c r="J15" s="22">
        <f>G15*I15</f>
        <v>0</v>
      </c>
      <c r="K15" s="20"/>
    </row>
    <row r="16" spans="1:25" s="10" customFormat="1" hidden="1" x14ac:dyDescent="0.25">
      <c r="A16" s="24"/>
      <c r="B16" s="25" t="s">
        <v>53</v>
      </c>
      <c r="C16" s="26"/>
      <c r="D16" s="26"/>
      <c r="E16" s="26"/>
      <c r="F16" s="26"/>
      <c r="G16" s="26"/>
      <c r="H16" s="26"/>
      <c r="I16" s="26"/>
      <c r="J16" s="22">
        <f>0.13*G15*6360.9/10</f>
        <v>0</v>
      </c>
      <c r="K16" s="26"/>
    </row>
    <row r="17" spans="1:11" s="10" customFormat="1" hidden="1" x14ac:dyDescent="0.25">
      <c r="A17" s="24"/>
      <c r="B17" s="25" t="s">
        <v>31</v>
      </c>
      <c r="C17" s="26"/>
      <c r="D17" s="26"/>
      <c r="E17" s="26"/>
      <c r="F17" s="26"/>
      <c r="G17" s="26"/>
      <c r="H17" s="26"/>
      <c r="I17" s="26"/>
      <c r="J17" s="22">
        <f>0.13*G15*2256.3/10</f>
        <v>0</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45">
        <v>0</v>
      </c>
      <c r="D20" s="3">
        <f>15/3.281</f>
        <v>4.5717768972874122</v>
      </c>
      <c r="E20" s="3">
        <v>0.35</v>
      </c>
      <c r="F20" s="3">
        <v>0.1</v>
      </c>
      <c r="G20" s="3">
        <f>PRODUCT(C20:F20)</f>
        <v>0</v>
      </c>
      <c r="H20" s="15"/>
      <c r="I20" s="15"/>
      <c r="J20" s="15"/>
      <c r="K20" s="15"/>
    </row>
    <row r="21" spans="1:11" x14ac:dyDescent="0.25">
      <c r="A21" s="15"/>
      <c r="B21" s="16"/>
      <c r="C21" s="45">
        <v>0</v>
      </c>
      <c r="D21" s="3">
        <f>9.75/3.281</f>
        <v>2.9716549832368178</v>
      </c>
      <c r="E21" s="3">
        <v>0.35</v>
      </c>
      <c r="F21" s="3">
        <v>0.1</v>
      </c>
      <c r="G21" s="3">
        <f>PRODUCT(C21:F21)</f>
        <v>0</v>
      </c>
      <c r="H21" s="15"/>
      <c r="I21" s="15"/>
      <c r="J21" s="15"/>
      <c r="K21" s="15"/>
    </row>
    <row r="22" spans="1:11" x14ac:dyDescent="0.25">
      <c r="A22" s="15"/>
      <c r="B22" s="16" t="str">
        <f>B14</f>
        <v>-for stand tap</v>
      </c>
      <c r="C22" s="62">
        <f t="shared" ref="C22:E22" si="0">C14</f>
        <v>0</v>
      </c>
      <c r="D22" s="57">
        <f t="shared" si="0"/>
        <v>1.6763181956720512</v>
      </c>
      <c r="E22" s="57">
        <f t="shared" si="0"/>
        <v>1.6763181956720512</v>
      </c>
      <c r="F22" s="57">
        <v>0.1</v>
      </c>
      <c r="G22" s="3">
        <f>PRODUCT(C22:F22)</f>
        <v>0</v>
      </c>
      <c r="H22" s="15"/>
      <c r="I22" s="15"/>
      <c r="J22" s="15"/>
      <c r="K22" s="15"/>
    </row>
    <row r="23" spans="1:11" s="10" customFormat="1" ht="15" customHeight="1" x14ac:dyDescent="0.25">
      <c r="A23" s="17"/>
      <c r="B23" s="18" t="s">
        <v>16</v>
      </c>
      <c r="C23" s="19"/>
      <c r="D23" s="1"/>
      <c r="E23" s="20"/>
      <c r="F23" s="20"/>
      <c r="G23" s="2">
        <f>SUM(G20:G22)</f>
        <v>0</v>
      </c>
      <c r="H23" s="21" t="s">
        <v>28</v>
      </c>
      <c r="I23" s="2">
        <v>12884.61</v>
      </c>
      <c r="J23" s="22">
        <f>G23*I23</f>
        <v>0</v>
      </c>
      <c r="K23" s="20"/>
    </row>
    <row r="24" spans="1:11" s="10" customFormat="1" hidden="1" x14ac:dyDescent="0.25">
      <c r="A24" s="24"/>
      <c r="B24" s="25" t="s">
        <v>32</v>
      </c>
      <c r="C24" s="26"/>
      <c r="D24" s="27"/>
      <c r="E24" s="27"/>
      <c r="F24" s="27"/>
      <c r="G24" s="27"/>
      <c r="H24" s="26"/>
      <c r="I24" s="26"/>
      <c r="J24" s="22">
        <f>0.13*G23*4169.92</f>
        <v>0</v>
      </c>
      <c r="K24" s="26"/>
    </row>
    <row r="25" spans="1:11" s="10" customFormat="1" hidden="1" x14ac:dyDescent="0.25">
      <c r="A25" s="24"/>
      <c r="B25" s="25" t="s">
        <v>33</v>
      </c>
      <c r="C25" s="26"/>
      <c r="D25" s="27"/>
      <c r="E25" s="27"/>
      <c r="F25" s="27"/>
      <c r="G25" s="27"/>
      <c r="H25" s="26"/>
      <c r="I25" s="26"/>
      <c r="J25" s="22">
        <f>0.13*G23*(1652.5+1106.96)</f>
        <v>0</v>
      </c>
      <c r="K25" s="26"/>
    </row>
    <row r="26" spans="1:11" s="10" customFormat="1" hidden="1" x14ac:dyDescent="0.25">
      <c r="A26" s="24"/>
      <c r="B26" s="25" t="s">
        <v>31</v>
      </c>
      <c r="C26" s="26"/>
      <c r="D26" s="27"/>
      <c r="E26" s="27"/>
      <c r="F26" s="27"/>
      <c r="G26" s="27"/>
      <c r="H26" s="26"/>
      <c r="I26" s="26"/>
      <c r="J26" s="22">
        <f>0.13*G23*1414.16</f>
        <v>0</v>
      </c>
      <c r="K26" s="26"/>
    </row>
    <row r="27" spans="1:11" hidden="1" x14ac:dyDescent="0.25">
      <c r="A27" s="15"/>
      <c r="B27" s="25" t="s">
        <v>35</v>
      </c>
      <c r="C27" s="15"/>
      <c r="D27" s="3"/>
      <c r="E27" s="3"/>
      <c r="F27" s="3"/>
      <c r="G27" s="3"/>
      <c r="H27" s="15"/>
      <c r="I27" s="15"/>
      <c r="J27" s="22">
        <f>0.13*G23*36.4</f>
        <v>0</v>
      </c>
      <c r="K27" s="15"/>
    </row>
    <row r="28" spans="1:11" hidden="1" x14ac:dyDescent="0.25">
      <c r="A28" s="15"/>
      <c r="B28" s="25" t="s">
        <v>35</v>
      </c>
      <c r="C28" s="15"/>
      <c r="D28" s="3"/>
      <c r="E28" s="3"/>
      <c r="F28" s="3"/>
      <c r="G28" s="3"/>
      <c r="H28" s="15"/>
      <c r="I28" s="15"/>
      <c r="J28" s="22">
        <f>0.13*G23*392.92</f>
        <v>0</v>
      </c>
      <c r="K28" s="15"/>
    </row>
    <row r="29" spans="1:11" hidden="1" x14ac:dyDescent="0.25">
      <c r="A29" s="15"/>
      <c r="B29" s="25" t="s">
        <v>35</v>
      </c>
      <c r="C29" s="15"/>
      <c r="D29" s="3"/>
      <c r="E29" s="3"/>
      <c r="F29" s="3"/>
      <c r="G29" s="3"/>
      <c r="H29" s="15"/>
      <c r="I29" s="15"/>
      <c r="J29" s="22">
        <f>0.13*G23*14.15</f>
        <v>0</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45">
        <v>2</v>
      </c>
      <c r="D32" s="3">
        <f>15/3.281</f>
        <v>4.5717768972874122</v>
      </c>
      <c r="E32" s="3">
        <v>0.23</v>
      </c>
      <c r="F32" s="3">
        <v>0.3</v>
      </c>
      <c r="G32" s="3">
        <f t="shared" ref="G32:G41" si="1">PRODUCT(C32:F32)</f>
        <v>0.63090521182566295</v>
      </c>
      <c r="H32" s="15"/>
      <c r="I32" s="15"/>
      <c r="J32" s="15"/>
      <c r="K32" s="15"/>
    </row>
    <row r="33" spans="1:15" x14ac:dyDescent="0.25">
      <c r="A33" s="15"/>
      <c r="B33" s="16"/>
      <c r="C33" s="45">
        <v>2</v>
      </c>
      <c r="D33" s="3">
        <f>(12-1.17*2)/3.281</f>
        <v>2.9442243218530937</v>
      </c>
      <c r="E33" s="3">
        <v>0.23</v>
      </c>
      <c r="F33" s="3">
        <v>0.3</v>
      </c>
      <c r="G33" s="3">
        <f t="shared" si="1"/>
        <v>0.40630295641572695</v>
      </c>
      <c r="H33" s="15"/>
      <c r="I33" s="15"/>
      <c r="J33" s="15"/>
      <c r="K33" s="15"/>
    </row>
    <row r="34" spans="1:15" x14ac:dyDescent="0.25">
      <c r="A34" s="15"/>
      <c r="B34" s="16"/>
      <c r="C34" s="45">
        <v>2</v>
      </c>
      <c r="D34" s="3">
        <f>(12-1.17*2)/3.281</f>
        <v>2.9442243218530937</v>
      </c>
      <c r="E34" s="3">
        <v>0.23</v>
      </c>
      <c r="F34" s="3">
        <v>0.3</v>
      </c>
      <c r="G34" s="3">
        <f t="shared" si="1"/>
        <v>0.40630295641572695</v>
      </c>
      <c r="H34" s="15"/>
      <c r="I34" s="15"/>
      <c r="J34" s="15"/>
      <c r="K34" s="15"/>
    </row>
    <row r="35" spans="1:15" x14ac:dyDescent="0.25">
      <c r="A35" s="15"/>
      <c r="B35" s="16" t="s">
        <v>90</v>
      </c>
      <c r="C35" s="45">
        <v>2</v>
      </c>
      <c r="D35" s="3">
        <f>(3+1.5)/3.281</f>
        <v>1.3715330691862238</v>
      </c>
      <c r="E35" s="3">
        <v>0.23</v>
      </c>
      <c r="F35" s="3">
        <v>0.23</v>
      </c>
      <c r="G35" s="3">
        <f t="shared" si="1"/>
        <v>0.14510819871990249</v>
      </c>
      <c r="H35" s="15"/>
      <c r="I35" s="15"/>
      <c r="J35" s="15"/>
      <c r="K35" s="15"/>
    </row>
    <row r="36" spans="1:15" x14ac:dyDescent="0.25">
      <c r="A36" s="15"/>
      <c r="B36" s="16"/>
      <c r="C36" s="45">
        <v>2</v>
      </c>
      <c r="D36" s="3">
        <f>39/12/3.281</f>
        <v>0.99055166107893933</v>
      </c>
      <c r="E36" s="3">
        <v>0.23</v>
      </c>
      <c r="F36" s="3">
        <v>0.23</v>
      </c>
      <c r="G36" s="3">
        <f t="shared" si="1"/>
        <v>0.10480036574215179</v>
      </c>
      <c r="H36" s="15"/>
      <c r="I36" s="15"/>
      <c r="J36" s="15"/>
      <c r="K36" s="15"/>
    </row>
    <row r="37" spans="1:15" x14ac:dyDescent="0.25">
      <c r="A37" s="15"/>
      <c r="B37" s="16" t="s">
        <v>91</v>
      </c>
      <c r="C37" s="45">
        <v>2</v>
      </c>
      <c r="D37" s="3">
        <f>((16.75+4.5)/2)/3.281</f>
        <v>3.2383419689119171</v>
      </c>
      <c r="E37" s="3">
        <f>((8.333+7.75)/2/3.281)</f>
        <v>2.4509295946357814</v>
      </c>
      <c r="F37" s="3">
        <v>7.4999999999999997E-2</v>
      </c>
      <c r="G37" s="3">
        <f t="shared" si="1"/>
        <v>1.1905422253735984</v>
      </c>
      <c r="H37" s="15"/>
      <c r="I37" s="15"/>
      <c r="J37" s="15"/>
      <c r="K37" s="15"/>
      <c r="M37">
        <f>((7*12+8.5+8*12+4.5)/2)/12/3.281</f>
        <v>2.4509803921568625</v>
      </c>
      <c r="N37">
        <f>CONVERT(M37,"m","ft")</f>
        <v>8.0412742524831451</v>
      </c>
      <c r="O37">
        <f>16.083/2/3.281</f>
        <v>2.4509295946357814</v>
      </c>
    </row>
    <row r="38" spans="1:15" x14ac:dyDescent="0.25">
      <c r="A38" s="15"/>
      <c r="B38" s="16"/>
      <c r="C38" s="45">
        <v>2</v>
      </c>
      <c r="D38" s="3">
        <f>(4.75+19.5)/2/3.281</f>
        <v>3.695519658640658</v>
      </c>
      <c r="E38" s="3">
        <f>7/3.281</f>
        <v>2.1334958854007922</v>
      </c>
      <c r="F38" s="3">
        <v>7.4999999999999997E-2</v>
      </c>
      <c r="G38" s="3">
        <f t="shared" si="1"/>
        <v>1.1826563979191376</v>
      </c>
      <c r="H38" s="15"/>
      <c r="I38" s="15"/>
      <c r="J38" s="15"/>
      <c r="K38" s="15"/>
      <c r="M38">
        <f>(4.75+19.5)/2/3.281</f>
        <v>3.695519658640658</v>
      </c>
      <c r="N38">
        <f>CONVERT(M38,"m","ft")</f>
        <v>12.12440832887355</v>
      </c>
    </row>
    <row r="39" spans="1:15" x14ac:dyDescent="0.25">
      <c r="A39" s="15"/>
      <c r="B39" s="16" t="s">
        <v>93</v>
      </c>
      <c r="C39" s="45">
        <v>4</v>
      </c>
      <c r="D39" s="3">
        <v>0.23</v>
      </c>
      <c r="E39" s="3">
        <v>0.23</v>
      </c>
      <c r="F39" s="3">
        <f>(4/3.281)</f>
        <v>1.2191405059433098</v>
      </c>
      <c r="G39" s="3">
        <f t="shared" si="1"/>
        <v>0.25797013105760436</v>
      </c>
      <c r="H39" s="15"/>
      <c r="I39" s="15"/>
      <c r="J39" s="15"/>
      <c r="K39" s="15"/>
    </row>
    <row r="40" spans="1:15" x14ac:dyDescent="0.25">
      <c r="A40" s="15"/>
      <c r="B40" s="16" t="s">
        <v>153</v>
      </c>
      <c r="C40" s="45">
        <v>2</v>
      </c>
      <c r="D40" s="3">
        <v>6</v>
      </c>
      <c r="E40" s="3">
        <f>28/12/3.281</f>
        <v>0.7111652951335975</v>
      </c>
      <c r="F40" s="3">
        <v>7.4999999999999997E-2</v>
      </c>
      <c r="G40" s="3">
        <f t="shared" si="1"/>
        <v>0.64004876562023771</v>
      </c>
      <c r="H40" s="15"/>
      <c r="I40" s="15"/>
      <c r="J40" s="15"/>
      <c r="K40" s="15"/>
    </row>
    <row r="41" spans="1:15" x14ac:dyDescent="0.25">
      <c r="A41" s="15"/>
      <c r="B41" s="16"/>
      <c r="C41" s="45">
        <v>2</v>
      </c>
      <c r="D41" s="3">
        <f>5.1-(28/12/3.281)</f>
        <v>4.3888347048664018</v>
      </c>
      <c r="E41" s="3">
        <f>27/12/3.281</f>
        <v>0.68576653459311188</v>
      </c>
      <c r="F41" s="3">
        <v>7.4999999999999997E-2</v>
      </c>
      <c r="G41" s="3">
        <f t="shared" si="1"/>
        <v>0.45145739496873227</v>
      </c>
      <c r="H41" s="15"/>
      <c r="I41" s="15"/>
      <c r="J41" s="15"/>
      <c r="K41" s="15"/>
    </row>
    <row r="42" spans="1:15" s="10" customFormat="1" ht="15" customHeight="1" x14ac:dyDescent="0.25">
      <c r="A42" s="17"/>
      <c r="B42" s="18" t="s">
        <v>16</v>
      </c>
      <c r="C42" s="19"/>
      <c r="D42" s="1"/>
      <c r="E42" s="20"/>
      <c r="F42" s="20"/>
      <c r="G42" s="2">
        <f>SUM(G32:G41)</f>
        <v>5.4160946040584808</v>
      </c>
      <c r="H42" s="21" t="s">
        <v>28</v>
      </c>
      <c r="I42" s="2">
        <v>13957.29</v>
      </c>
      <c r="J42" s="22">
        <f>G42*I42</f>
        <v>75594.003056279398</v>
      </c>
      <c r="K42" s="20"/>
    </row>
    <row r="43" spans="1:15" s="10" customFormat="1" hidden="1" x14ac:dyDescent="0.25">
      <c r="A43" s="24"/>
      <c r="B43" s="25" t="s">
        <v>32</v>
      </c>
      <c r="C43" s="26"/>
      <c r="D43" s="27"/>
      <c r="E43" s="27"/>
      <c r="F43" s="27"/>
      <c r="G43" s="27"/>
      <c r="H43" s="26"/>
      <c r="I43" s="26"/>
      <c r="J43" s="22">
        <f>0.13*G42*5212.4</f>
        <v>3670.0106968452747</v>
      </c>
      <c r="K43" s="26"/>
    </row>
    <row r="44" spans="1:15" s="10" customFormat="1" hidden="1" x14ac:dyDescent="0.25">
      <c r="A44" s="24"/>
      <c r="B44" s="25" t="s">
        <v>33</v>
      </c>
      <c r="C44" s="26"/>
      <c r="D44" s="27"/>
      <c r="E44" s="27"/>
      <c r="F44" s="27"/>
      <c r="G44" s="27"/>
      <c r="H44" s="26"/>
      <c r="I44" s="26"/>
      <c r="J44" s="22">
        <f>0.13*G42*(1912.03+921.59)</f>
        <v>1995.1300189537849</v>
      </c>
      <c r="K44" s="26"/>
    </row>
    <row r="45" spans="1:15" s="10" customFormat="1" hidden="1" x14ac:dyDescent="0.25">
      <c r="A45" s="24"/>
      <c r="B45" s="25" t="s">
        <v>31</v>
      </c>
      <c r="C45" s="26"/>
      <c r="D45" s="27"/>
      <c r="E45" s="27"/>
      <c r="F45" s="27"/>
      <c r="G45" s="27"/>
      <c r="H45" s="26"/>
      <c r="I45" s="26"/>
      <c r="J45" s="22">
        <f>0.13*G42*1350.6</f>
        <v>950.94705839137987</v>
      </c>
      <c r="K45" s="26"/>
    </row>
    <row r="46" spans="1:15" hidden="1" x14ac:dyDescent="0.25">
      <c r="A46" s="15"/>
      <c r="B46" s="25" t="s">
        <v>35</v>
      </c>
      <c r="C46" s="15"/>
      <c r="D46" s="3"/>
      <c r="E46" s="3"/>
      <c r="F46" s="3"/>
      <c r="G46" s="3"/>
      <c r="H46" s="15"/>
      <c r="I46" s="15"/>
      <c r="J46" s="22">
        <f>0.13*G42*56</f>
        <v>39.429168717545735</v>
      </c>
      <c r="K46" s="15"/>
    </row>
    <row r="47" spans="1:15" s="10" customFormat="1" hidden="1" x14ac:dyDescent="0.25">
      <c r="A47" s="24"/>
      <c r="B47" s="25" t="s">
        <v>43</v>
      </c>
      <c r="C47" s="26"/>
      <c r="D47" s="27"/>
      <c r="E47" s="27"/>
      <c r="F47" s="27"/>
      <c r="G47" s="27"/>
      <c r="H47" s="26"/>
      <c r="I47" s="26"/>
      <c r="J47" s="22">
        <f>0.13*G42*392.92</f>
        <v>276.6519459374656</v>
      </c>
      <c r="K47" s="26"/>
    </row>
    <row r="48" spans="1:15" hidden="1" x14ac:dyDescent="0.25">
      <c r="A48" s="15"/>
      <c r="B48" s="25" t="s">
        <v>44</v>
      </c>
      <c r="C48" s="15"/>
      <c r="D48" s="3"/>
      <c r="E48" s="3"/>
      <c r="F48" s="3"/>
      <c r="G48" s="3"/>
      <c r="H48" s="15"/>
      <c r="I48" s="15"/>
      <c r="J48" s="22">
        <f>0.13*G42*14.15</f>
        <v>9.9629060241655747</v>
      </c>
      <c r="K48" s="15"/>
    </row>
    <row r="49" spans="1:11" x14ac:dyDescent="0.25">
      <c r="A49" s="15"/>
      <c r="B49" s="15"/>
      <c r="C49" s="15"/>
      <c r="D49" s="3"/>
      <c r="E49" s="3"/>
      <c r="F49" s="3"/>
      <c r="G49" s="3"/>
      <c r="H49" s="15"/>
      <c r="I49" s="15"/>
      <c r="J49" s="15"/>
      <c r="K49" s="15"/>
    </row>
    <row r="50" spans="1:11" s="14" customFormat="1" ht="30" x14ac:dyDescent="0.2">
      <c r="A50" s="11">
        <v>5</v>
      </c>
      <c r="B50" s="12" t="s">
        <v>45</v>
      </c>
      <c r="C50" s="13"/>
      <c r="D50" s="23"/>
      <c r="E50" s="23"/>
      <c r="F50" s="23"/>
      <c r="G50" s="23"/>
      <c r="H50" s="13"/>
      <c r="I50" s="13"/>
      <c r="J50" s="13"/>
      <c r="K50" s="13"/>
    </row>
    <row r="51" spans="1:11" x14ac:dyDescent="0.25">
      <c r="A51" s="15"/>
      <c r="B51" s="16" t="str">
        <f>B32</f>
        <v>-beam</v>
      </c>
      <c r="C51" s="45">
        <f>C32</f>
        <v>2</v>
      </c>
      <c r="D51" s="3">
        <f>D32</f>
        <v>4.5717768972874122</v>
      </c>
      <c r="E51" s="3"/>
      <c r="F51" s="3">
        <f>F32*2</f>
        <v>0.6</v>
      </c>
      <c r="G51" s="3">
        <f t="shared" ref="G51:G61" si="2">PRODUCT(C51:F51)</f>
        <v>5.4861322767448941</v>
      </c>
      <c r="H51" s="15"/>
      <c r="I51" s="15"/>
      <c r="J51" s="15"/>
      <c r="K51" s="15"/>
    </row>
    <row r="52" spans="1:11" x14ac:dyDescent="0.25">
      <c r="A52" s="15"/>
      <c r="B52" s="16"/>
      <c r="C52" s="45">
        <f>C33</f>
        <v>2</v>
      </c>
      <c r="D52" s="3">
        <f>D33</f>
        <v>2.9442243218530937</v>
      </c>
      <c r="E52" s="3"/>
      <c r="F52" s="3">
        <f t="shared" ref="F52:F55" si="3">F33*2</f>
        <v>0.6</v>
      </c>
      <c r="G52" s="3">
        <f t="shared" si="2"/>
        <v>3.5330691862237122</v>
      </c>
      <c r="H52" s="15"/>
      <c r="I52" s="15"/>
      <c r="J52" s="15"/>
      <c r="K52" s="15"/>
    </row>
    <row r="53" spans="1:11" x14ac:dyDescent="0.25">
      <c r="A53" s="15"/>
      <c r="B53" s="16"/>
      <c r="C53" s="45">
        <f>C34</f>
        <v>2</v>
      </c>
      <c r="D53" s="3">
        <f>D34</f>
        <v>2.9442243218530937</v>
      </c>
      <c r="E53" s="3"/>
      <c r="F53" s="3">
        <f t="shared" si="3"/>
        <v>0.6</v>
      </c>
      <c r="G53" s="3">
        <f t="shared" si="2"/>
        <v>3.5330691862237122</v>
      </c>
      <c r="H53" s="15"/>
      <c r="I53" s="15"/>
      <c r="J53" s="15"/>
      <c r="K53" s="15"/>
    </row>
    <row r="54" spans="1:11" x14ac:dyDescent="0.25">
      <c r="A54" s="15"/>
      <c r="B54" s="16" t="str">
        <f t="shared" ref="B54:D54" si="4">B35</f>
        <v>-upper beam</v>
      </c>
      <c r="C54" s="45">
        <f t="shared" si="4"/>
        <v>2</v>
      </c>
      <c r="D54" s="3">
        <f t="shared" si="4"/>
        <v>1.3715330691862238</v>
      </c>
      <c r="E54" s="3"/>
      <c r="F54" s="3">
        <f t="shared" si="3"/>
        <v>0.46</v>
      </c>
      <c r="G54" s="3">
        <f t="shared" si="2"/>
        <v>1.2618104236513259</v>
      </c>
      <c r="H54" s="15"/>
      <c r="I54" s="15"/>
      <c r="J54" s="15"/>
      <c r="K54" s="15"/>
    </row>
    <row r="55" spans="1:11" x14ac:dyDescent="0.25">
      <c r="A55" s="15"/>
      <c r="B55" s="16"/>
      <c r="C55" s="45">
        <f>C36</f>
        <v>2</v>
      </c>
      <c r="D55" s="3">
        <f>D36</f>
        <v>0.99055166107893933</v>
      </c>
      <c r="E55" s="3"/>
      <c r="F55" s="3">
        <f t="shared" si="3"/>
        <v>0.46</v>
      </c>
      <c r="G55" s="3">
        <f t="shared" si="2"/>
        <v>0.91130752819262417</v>
      </c>
      <c r="H55" s="15"/>
      <c r="I55" s="15"/>
      <c r="J55" s="15"/>
      <c r="K55" s="15"/>
    </row>
    <row r="56" spans="1:11" x14ac:dyDescent="0.25">
      <c r="A56" s="15"/>
      <c r="B56" s="16"/>
      <c r="C56" s="45">
        <v>1</v>
      </c>
      <c r="D56" s="3">
        <f>(3.25*2+3*2)/3.281</f>
        <v>3.8098140810728434</v>
      </c>
      <c r="E56" s="3"/>
      <c r="F56" s="3">
        <v>0.23</v>
      </c>
      <c r="G56" s="3">
        <f t="shared" si="2"/>
        <v>0.87625723864675398</v>
      </c>
      <c r="H56" s="15"/>
      <c r="I56" s="15"/>
      <c r="J56" s="15"/>
      <c r="K56" s="15"/>
    </row>
    <row r="57" spans="1:11" x14ac:dyDescent="0.25">
      <c r="A57" s="15"/>
      <c r="B57" s="16" t="str">
        <f t="shared" ref="B57:D57" si="5">B37</f>
        <v>-slab</v>
      </c>
      <c r="C57" s="45">
        <f t="shared" si="5"/>
        <v>2</v>
      </c>
      <c r="D57" s="3">
        <f t="shared" si="5"/>
        <v>3.2383419689119171</v>
      </c>
      <c r="E57" s="3">
        <f>7.667/3.281</f>
        <v>2.3367875647668392</v>
      </c>
      <c r="F57" s="3"/>
      <c r="G57" s="3">
        <f t="shared" si="2"/>
        <v>15.13463448683186</v>
      </c>
      <c r="H57" s="15"/>
      <c r="I57" s="15"/>
      <c r="J57" s="15"/>
      <c r="K57" s="15"/>
    </row>
    <row r="58" spans="1:11" x14ac:dyDescent="0.25">
      <c r="A58" s="15"/>
      <c r="B58" s="16"/>
      <c r="C58" s="45">
        <f>C38</f>
        <v>2</v>
      </c>
      <c r="D58" s="3">
        <f>D38</f>
        <v>3.695519658640658</v>
      </c>
      <c r="E58" s="3">
        <f>6.667/3.281</f>
        <v>2.0320024382810118</v>
      </c>
      <c r="F58" s="3"/>
      <c r="G58" s="3">
        <f t="shared" si="2"/>
        <v>15.01860991414646</v>
      </c>
      <c r="H58" s="15"/>
      <c r="I58" s="15"/>
      <c r="J58" s="15"/>
      <c r="K58" s="15"/>
    </row>
    <row r="59" spans="1:11" x14ac:dyDescent="0.25">
      <c r="A59" s="15"/>
      <c r="B59" s="16" t="str">
        <f>B39</f>
        <v>-column</v>
      </c>
      <c r="C59" s="45">
        <f>C39</f>
        <v>4</v>
      </c>
      <c r="D59" s="3">
        <f>0.23*4</f>
        <v>0.92</v>
      </c>
      <c r="E59" s="3"/>
      <c r="F59" s="3">
        <f>F39</f>
        <v>1.2191405059433098</v>
      </c>
      <c r="G59" s="3">
        <f t="shared" si="2"/>
        <v>4.4864370618713805</v>
      </c>
      <c r="H59" s="15"/>
      <c r="I59" s="15"/>
      <c r="J59" s="15"/>
      <c r="K59" s="15"/>
    </row>
    <row r="60" spans="1:11" x14ac:dyDescent="0.25">
      <c r="A60" s="15"/>
      <c r="B60" s="16" t="str">
        <f>B40</f>
        <v>-cantilever</v>
      </c>
      <c r="C60" s="45">
        <f>C40</f>
        <v>2</v>
      </c>
      <c r="D60" s="3">
        <f>D40</f>
        <v>6</v>
      </c>
      <c r="E60" s="3">
        <f>E40</f>
        <v>0.7111652951335975</v>
      </c>
      <c r="F60" s="3"/>
      <c r="G60" s="3">
        <f t="shared" si="2"/>
        <v>8.5339835416031704</v>
      </c>
      <c r="H60" s="15"/>
      <c r="I60" s="15"/>
      <c r="J60" s="15"/>
      <c r="K60" s="15"/>
    </row>
    <row r="61" spans="1:11" x14ac:dyDescent="0.25">
      <c r="A61" s="15"/>
      <c r="B61" s="16"/>
      <c r="C61" s="45">
        <f>C41</f>
        <v>2</v>
      </c>
      <c r="D61" s="3">
        <f>D41</f>
        <v>4.3888347048664018</v>
      </c>
      <c r="E61" s="3">
        <f>E41</f>
        <v>0.68576653459311188</v>
      </c>
      <c r="F61" s="3"/>
      <c r="G61" s="3">
        <f t="shared" si="2"/>
        <v>6.0194319329164303</v>
      </c>
      <c r="H61" s="15"/>
      <c r="I61" s="15"/>
      <c r="J61" s="15"/>
      <c r="K61" s="15"/>
    </row>
    <row r="62" spans="1:11" s="10" customFormat="1" ht="15" customHeight="1" x14ac:dyDescent="0.25">
      <c r="A62" s="17"/>
      <c r="B62" s="18" t="s">
        <v>16</v>
      </c>
      <c r="C62" s="19"/>
      <c r="D62" s="1"/>
      <c r="E62" s="20"/>
      <c r="F62" s="20"/>
      <c r="G62" s="2">
        <f>SUM(G51:G61)</f>
        <v>64.794742777052321</v>
      </c>
      <c r="H62" s="21" t="s">
        <v>34</v>
      </c>
      <c r="I62" s="2">
        <v>922.71</v>
      </c>
      <c r="J62" s="22">
        <f>G62*I62</f>
        <v>59786.757107813952</v>
      </c>
      <c r="K62" s="20"/>
    </row>
    <row r="63" spans="1:11" s="10" customFormat="1" hidden="1" x14ac:dyDescent="0.25">
      <c r="A63" s="24"/>
      <c r="B63" s="25" t="s">
        <v>46</v>
      </c>
      <c r="C63" s="26"/>
      <c r="D63" s="27"/>
      <c r="E63" s="27"/>
      <c r="F63" s="27"/>
      <c r="G63" s="27"/>
      <c r="H63" s="26"/>
      <c r="I63" s="26"/>
      <c r="J63" s="22">
        <f>0.13*G62*20062.02/100</f>
        <v>1689.8874531345032</v>
      </c>
      <c r="K63" s="26"/>
    </row>
    <row r="64" spans="1:11" s="10" customFormat="1" hidden="1" x14ac:dyDescent="0.25">
      <c r="A64" s="24"/>
      <c r="B64" s="25" t="s">
        <v>47</v>
      </c>
      <c r="C64" s="26"/>
      <c r="D64" s="27"/>
      <c r="E64" s="27"/>
      <c r="F64" s="27"/>
      <c r="G64" s="27"/>
      <c r="H64" s="26"/>
      <c r="I64" s="26"/>
      <c r="J64" s="22">
        <f>0.13*G62*13328.25/100</f>
        <v>1122.6806895437219</v>
      </c>
      <c r="K64" s="26"/>
    </row>
    <row r="65" spans="1:13" s="10" customFormat="1" hidden="1" x14ac:dyDescent="0.25">
      <c r="A65" s="24"/>
      <c r="B65" s="25" t="s">
        <v>48</v>
      </c>
      <c r="C65" s="26"/>
      <c r="D65" s="27"/>
      <c r="E65" s="27"/>
      <c r="F65" s="27"/>
      <c r="G65" s="27"/>
      <c r="H65" s="26"/>
      <c r="I65" s="26"/>
      <c r="J65" s="22">
        <f>0.13*G62*10137.6/100</f>
        <v>853.92213968963949</v>
      </c>
      <c r="K65" s="26"/>
    </row>
    <row r="66" spans="1:13" hidden="1" x14ac:dyDescent="0.25">
      <c r="A66" s="15"/>
      <c r="B66" s="25" t="s">
        <v>49</v>
      </c>
      <c r="C66" s="15"/>
      <c r="D66" s="3"/>
      <c r="E66" s="3"/>
      <c r="F66" s="3"/>
      <c r="G66" s="3"/>
      <c r="H66" s="15"/>
      <c r="I66" s="15"/>
      <c r="J66" s="22">
        <f>0.13*G62*3300/100</f>
        <v>277.96944651355449</v>
      </c>
      <c r="K66" s="15"/>
    </row>
    <row r="67" spans="1:13" x14ac:dyDescent="0.25">
      <c r="A67" s="15"/>
      <c r="B67" s="15"/>
      <c r="C67" s="15"/>
      <c r="D67" s="3"/>
      <c r="E67" s="3"/>
      <c r="F67" s="3"/>
      <c r="G67" s="3"/>
      <c r="H67" s="15"/>
      <c r="I67" s="15"/>
      <c r="J67" s="15"/>
      <c r="K67" s="15"/>
    </row>
    <row r="68" spans="1:13" s="14" customFormat="1" ht="45" x14ac:dyDescent="0.25">
      <c r="A68" s="11">
        <v>6</v>
      </c>
      <c r="B68" s="28" t="s">
        <v>36</v>
      </c>
      <c r="C68" s="13" t="s">
        <v>7</v>
      </c>
      <c r="D68" s="29" t="s">
        <v>27</v>
      </c>
      <c r="E68" s="29" t="s">
        <v>39</v>
      </c>
      <c r="F68" s="29" t="s">
        <v>40</v>
      </c>
      <c r="G68" s="23"/>
      <c r="H68" s="13"/>
      <c r="I68" s="13"/>
      <c r="J68" s="13"/>
      <c r="K68" s="13"/>
    </row>
    <row r="69" spans="1:13" x14ac:dyDescent="0.25">
      <c r="A69" s="15"/>
      <c r="B69" s="16" t="str">
        <f>B32</f>
        <v>-beam</v>
      </c>
      <c r="C69" s="45">
        <f>2*2</f>
        <v>4</v>
      </c>
      <c r="D69" s="3">
        <f>5.9+0.23</f>
        <v>6.1300000000000008</v>
      </c>
      <c r="E69" s="3">
        <f>12*12/162</f>
        <v>0.88888888888888884</v>
      </c>
      <c r="F69" s="3">
        <f t="shared" ref="F69:F92" si="6">PRODUCT(C69:E69)</f>
        <v>21.795555555555556</v>
      </c>
      <c r="G69" s="3">
        <f t="shared" ref="G69:G92" si="7">F69/1000</f>
        <v>2.1795555555555554E-2</v>
      </c>
      <c r="H69" s="15"/>
      <c r="I69" s="15"/>
      <c r="J69" s="15"/>
      <c r="K69" s="15"/>
      <c r="M69">
        <f>5.9*3.281</f>
        <v>19.357900000000001</v>
      </c>
    </row>
    <row r="70" spans="1:13" x14ac:dyDescent="0.25">
      <c r="A70" s="15"/>
      <c r="B70" s="16"/>
      <c r="C70" s="45">
        <f>2*2</f>
        <v>4</v>
      </c>
      <c r="D70" s="3">
        <f>14.833/3.281</f>
        <v>4.5208777811642786</v>
      </c>
      <c r="E70" s="3">
        <f>12*12/162</f>
        <v>0.88888888888888884</v>
      </c>
      <c r="F70" s="3">
        <f t="shared" si="6"/>
        <v>16.074232110806324</v>
      </c>
      <c r="G70" s="3">
        <f t="shared" si="7"/>
        <v>1.6074232110806323E-2</v>
      </c>
      <c r="H70" s="15"/>
      <c r="I70" s="15"/>
      <c r="J70" s="15"/>
      <c r="K70" s="15"/>
    </row>
    <row r="71" spans="1:13" x14ac:dyDescent="0.25">
      <c r="A71" s="15"/>
      <c r="B71" s="16" t="s">
        <v>92</v>
      </c>
      <c r="C71" s="45">
        <f>35*2</f>
        <v>70</v>
      </c>
      <c r="D71" s="3">
        <f>((0.583*4)+0.17*2)/3.281</f>
        <v>0.81438585797013097</v>
      </c>
      <c r="E71" s="3">
        <f>8*8/162</f>
        <v>0.39506172839506171</v>
      </c>
      <c r="F71" s="3">
        <f t="shared" si="6"/>
        <v>22.521287924112265</v>
      </c>
      <c r="G71" s="3">
        <f t="shared" si="7"/>
        <v>2.2521287924112263E-2</v>
      </c>
      <c r="H71" s="15"/>
      <c r="I71" s="15"/>
      <c r="J71" s="15"/>
      <c r="K71" s="15"/>
    </row>
    <row r="72" spans="1:13" x14ac:dyDescent="0.25">
      <c r="A72" s="15"/>
      <c r="B72" s="16" t="str">
        <f>B51</f>
        <v>-beam</v>
      </c>
      <c r="C72" s="45">
        <f>4*2</f>
        <v>8</v>
      </c>
      <c r="D72" s="3">
        <f>5</f>
        <v>5</v>
      </c>
      <c r="E72" s="3">
        <f>12*12/162</f>
        <v>0.88888888888888884</v>
      </c>
      <c r="F72" s="3">
        <f t="shared" si="6"/>
        <v>35.555555555555557</v>
      </c>
      <c r="G72" s="3">
        <f t="shared" si="7"/>
        <v>3.5555555555555556E-2</v>
      </c>
      <c r="H72" s="15"/>
      <c r="I72" s="15"/>
      <c r="J72" s="15"/>
      <c r="K72" s="15"/>
    </row>
    <row r="73" spans="1:13" x14ac:dyDescent="0.25">
      <c r="A73" s="15"/>
      <c r="B73" s="16"/>
      <c r="C73" s="45">
        <f>4*2</f>
        <v>8</v>
      </c>
      <c r="D73" s="3">
        <f>11.667/3.281</f>
        <v>3.555928070710149</v>
      </c>
      <c r="E73" s="3">
        <f>12*12/162</f>
        <v>0.88888888888888884</v>
      </c>
      <c r="F73" s="3">
        <f t="shared" si="6"/>
        <v>25.286599613938836</v>
      </c>
      <c r="G73" s="3">
        <f t="shared" si="7"/>
        <v>2.5286599613938837E-2</v>
      </c>
      <c r="H73" s="15"/>
      <c r="I73" s="15"/>
      <c r="J73" s="15"/>
      <c r="K73" s="15"/>
    </row>
    <row r="74" spans="1:13" x14ac:dyDescent="0.25">
      <c r="A74" s="15"/>
      <c r="B74" s="16" t="s">
        <v>92</v>
      </c>
      <c r="C74" s="45">
        <f>4*14</f>
        <v>56</v>
      </c>
      <c r="D74" s="3">
        <f>((0.583*4)+0.17*2)/3.281</f>
        <v>0.81438585797013097</v>
      </c>
      <c r="E74" s="3">
        <f>8*8/162</f>
        <v>0.39506172839506171</v>
      </c>
      <c r="F74" s="3">
        <f t="shared" si="6"/>
        <v>18.017030339289811</v>
      </c>
      <c r="G74" s="3">
        <f t="shared" si="7"/>
        <v>1.8017030339289811E-2</v>
      </c>
      <c r="H74" s="15"/>
      <c r="I74" s="15"/>
      <c r="J74" s="15"/>
      <c r="K74" s="15"/>
    </row>
    <row r="75" spans="1:13" x14ac:dyDescent="0.25">
      <c r="A75" s="15"/>
      <c r="B75" s="16" t="str">
        <f>B54</f>
        <v>-upper beam</v>
      </c>
      <c r="C75" s="45">
        <f>2*4</f>
        <v>8</v>
      </c>
      <c r="D75" s="3">
        <f>((4.5-0.333)+0.75*2)/3.281</f>
        <v>1.7272173117951843</v>
      </c>
      <c r="E75" s="3">
        <f>12*12/162</f>
        <v>0.88888888888888884</v>
      </c>
      <c r="F75" s="3">
        <f t="shared" si="6"/>
        <v>12.282434217210199</v>
      </c>
      <c r="G75" s="3">
        <f t="shared" si="7"/>
        <v>1.2282434217210198E-2</v>
      </c>
      <c r="H75" s="15"/>
      <c r="I75" s="15"/>
      <c r="J75" s="15"/>
      <c r="K75" s="15"/>
    </row>
    <row r="76" spans="1:13" x14ac:dyDescent="0.25">
      <c r="A76" s="15"/>
      <c r="B76" s="16" t="s">
        <v>92</v>
      </c>
      <c r="C76" s="45">
        <f>10*2</f>
        <v>20</v>
      </c>
      <c r="D76" s="3">
        <f>((0.583*4)+0.17*2)/3.281</f>
        <v>0.81438585797013097</v>
      </c>
      <c r="E76" s="3">
        <f>8*8/162</f>
        <v>0.39506172839506171</v>
      </c>
      <c r="F76" s="3">
        <f t="shared" si="6"/>
        <v>6.4346536926035034</v>
      </c>
      <c r="G76" s="3">
        <f t="shared" si="7"/>
        <v>6.4346536926035034E-3</v>
      </c>
      <c r="H76" s="15"/>
      <c r="I76" s="15"/>
      <c r="J76" s="15"/>
      <c r="K76" s="15"/>
    </row>
    <row r="77" spans="1:13" x14ac:dyDescent="0.25">
      <c r="A77" s="15"/>
      <c r="B77" s="16" t="str">
        <f>B35</f>
        <v>-upper beam</v>
      </c>
      <c r="C77" s="45">
        <f>2*4</f>
        <v>8</v>
      </c>
      <c r="D77" s="3">
        <f>((4.75-0.333)+0.75*2)/3.281</f>
        <v>1.8034135934166411</v>
      </c>
      <c r="E77" s="3">
        <f>12*12/162</f>
        <v>0.88888888888888884</v>
      </c>
      <c r="F77" s="3">
        <f t="shared" si="6"/>
        <v>12.824274442073891</v>
      </c>
      <c r="G77" s="3">
        <f t="shared" si="7"/>
        <v>1.2824274442073891E-2</v>
      </c>
      <c r="H77" s="15"/>
      <c r="I77" s="15"/>
      <c r="J77" s="15"/>
      <c r="K77" s="15"/>
    </row>
    <row r="78" spans="1:13" x14ac:dyDescent="0.25">
      <c r="A78" s="15"/>
      <c r="B78" s="16" t="s">
        <v>92</v>
      </c>
      <c r="C78" s="45">
        <f>10*2</f>
        <v>20</v>
      </c>
      <c r="D78" s="3">
        <f>((0.583*4)+0.17*2)/3.281</f>
        <v>0.81438585797013097</v>
      </c>
      <c r="E78" s="3">
        <f>8*8/162</f>
        <v>0.39506172839506171</v>
      </c>
      <c r="F78" s="3">
        <f t="shared" si="6"/>
        <v>6.4346536926035034</v>
      </c>
      <c r="G78" s="3">
        <f t="shared" si="7"/>
        <v>6.4346536926035034E-3</v>
      </c>
      <c r="H78" s="15"/>
      <c r="I78" s="15"/>
      <c r="J78" s="15"/>
      <c r="K78" s="15"/>
    </row>
    <row r="79" spans="1:13" x14ac:dyDescent="0.25">
      <c r="A79" s="15"/>
      <c r="B79" s="16" t="s">
        <v>93</v>
      </c>
      <c r="C79" s="45">
        <f>4*4</f>
        <v>16</v>
      </c>
      <c r="D79" s="3">
        <f>7.25/3.281</f>
        <v>2.2096921670222494</v>
      </c>
      <c r="E79" s="3">
        <f>12*12/162</f>
        <v>0.88888888888888884</v>
      </c>
      <c r="F79" s="3">
        <f>PRODUCT(C79:E79)</f>
        <v>31.426733042094213</v>
      </c>
      <c r="G79" s="3">
        <f>F79/1000</f>
        <v>3.1426733042094215E-2</v>
      </c>
      <c r="H79" s="15"/>
      <c r="I79" s="15"/>
      <c r="J79" s="15"/>
      <c r="K79" s="15"/>
    </row>
    <row r="80" spans="1:13" x14ac:dyDescent="0.25">
      <c r="A80" s="15"/>
      <c r="B80" s="16" t="s">
        <v>92</v>
      </c>
      <c r="C80" s="45">
        <f>4*10</f>
        <v>40</v>
      </c>
      <c r="D80" s="3">
        <f>(6*4+2*2)/12/3.281</f>
        <v>0.7111652951335975</v>
      </c>
      <c r="E80" s="3">
        <f>8*8/162</f>
        <v>0.39506172839506171</v>
      </c>
      <c r="F80" s="3">
        <f>PRODUCT(C80:E80)</f>
        <v>11.238167626802527</v>
      </c>
      <c r="G80" s="3">
        <f>F80/1000</f>
        <v>1.1238167626802527E-2</v>
      </c>
      <c r="H80" s="15"/>
      <c r="I80" s="15"/>
      <c r="J80" s="15"/>
      <c r="K80" s="15"/>
    </row>
    <row r="81" spans="1:11" x14ac:dyDescent="0.25">
      <c r="A81" s="15"/>
      <c r="B81" s="16" t="str">
        <f>CONCATENATE("-at first floor level catilever", B57)</f>
        <v>-at first floor level catilever-slab</v>
      </c>
      <c r="C81" s="45">
        <f>2*4</f>
        <v>8</v>
      </c>
      <c r="D81" s="3">
        <f>(191+30+30)/12/3.281</f>
        <v>6.3750888956618921</v>
      </c>
      <c r="E81" s="3">
        <f>10*10/162</f>
        <v>0.61728395061728392</v>
      </c>
      <c r="F81" s="3">
        <f t="shared" si="6"/>
        <v>31.481920472404404</v>
      </c>
      <c r="G81" s="3">
        <f t="shared" si="7"/>
        <v>3.1481920472404404E-2</v>
      </c>
      <c r="H81" s="15"/>
      <c r="I81" s="15"/>
      <c r="J81" s="15"/>
      <c r="K81" s="15"/>
    </row>
    <row r="82" spans="1:11" x14ac:dyDescent="0.25">
      <c r="A82" s="15"/>
      <c r="B82" s="16"/>
      <c r="C82" s="45">
        <f>2*3</f>
        <v>6</v>
      </c>
      <c r="D82" s="3">
        <f>19.667/3.281</f>
        <v>5.9942090825967691</v>
      </c>
      <c r="E82" s="3">
        <f t="shared" ref="E82:E84" si="8">10*10/162</f>
        <v>0.61728395061728392</v>
      </c>
      <c r="F82" s="3">
        <f t="shared" si="6"/>
        <v>22.200774379988033</v>
      </c>
      <c r="G82" s="3">
        <f t="shared" si="7"/>
        <v>2.2200774379988034E-2</v>
      </c>
      <c r="H82" s="15"/>
      <c r="I82" s="15"/>
      <c r="J82" s="15"/>
      <c r="K82" s="15"/>
    </row>
    <row r="83" spans="1:11" x14ac:dyDescent="0.25">
      <c r="A83" s="15"/>
      <c r="B83" s="16"/>
      <c r="C83" s="45">
        <f>24*2</f>
        <v>48</v>
      </c>
      <c r="D83" s="3">
        <f>(2+30+35)/12/3.281</f>
        <v>1.7017169562125367</v>
      </c>
      <c r="E83" s="3">
        <f t="shared" si="8"/>
        <v>0.61728395061728392</v>
      </c>
      <c r="F83" s="3">
        <f t="shared" si="6"/>
        <v>50.421243147038119</v>
      </c>
      <c r="G83" s="3">
        <f t="shared" si="7"/>
        <v>5.0421243147038122E-2</v>
      </c>
      <c r="H83" s="15"/>
      <c r="I83" s="15"/>
      <c r="J83" s="15"/>
      <c r="K83" s="15"/>
    </row>
    <row r="84" spans="1:11" x14ac:dyDescent="0.25">
      <c r="A84" s="15"/>
      <c r="B84" s="16"/>
      <c r="C84" s="45">
        <f>23*2</f>
        <v>46</v>
      </c>
      <c r="D84" s="3">
        <f>(30+2)/12/3.281</f>
        <v>0.81276033729553987</v>
      </c>
      <c r="E84" s="3">
        <f t="shared" si="8"/>
        <v>0.61728395061728392</v>
      </c>
      <c r="F84" s="3">
        <f t="shared" si="6"/>
        <v>23.078379947898043</v>
      </c>
      <c r="G84" s="3">
        <f t="shared" si="7"/>
        <v>2.3078379947898044E-2</v>
      </c>
      <c r="H84" s="15"/>
      <c r="I84" s="15"/>
      <c r="J84" s="15"/>
      <c r="K84" s="15"/>
    </row>
    <row r="85" spans="1:11" x14ac:dyDescent="0.25">
      <c r="A85" s="15"/>
      <c r="B85" s="16"/>
      <c r="C85" s="45">
        <f>3*2</f>
        <v>6</v>
      </c>
      <c r="D85" s="3">
        <f>16.833/3.281</f>
        <v>5.1304480341359335</v>
      </c>
      <c r="E85" s="3">
        <f>10*10/162</f>
        <v>0.61728395061728392</v>
      </c>
      <c r="F85" s="3">
        <f t="shared" si="6"/>
        <v>19.00165938568864</v>
      </c>
      <c r="G85" s="3">
        <f t="shared" si="7"/>
        <v>1.9001659385688641E-2</v>
      </c>
      <c r="H85" s="15"/>
      <c r="I85" s="15"/>
      <c r="J85" s="15"/>
      <c r="K85" s="15"/>
    </row>
    <row r="86" spans="1:11" x14ac:dyDescent="0.25">
      <c r="A86" s="15"/>
      <c r="B86" s="16"/>
      <c r="C86" s="45">
        <f>4*2</f>
        <v>8</v>
      </c>
      <c r="D86" s="3">
        <f>(191+30+30)/12/3.281</f>
        <v>6.3750888956618921</v>
      </c>
      <c r="E86" s="3">
        <f>10*10/162</f>
        <v>0.61728395061728392</v>
      </c>
      <c r="F86" s="3">
        <f t="shared" si="6"/>
        <v>31.481920472404404</v>
      </c>
      <c r="G86" s="3">
        <f t="shared" si="7"/>
        <v>3.1481920472404404E-2</v>
      </c>
      <c r="H86" s="15"/>
      <c r="I86" s="15"/>
      <c r="J86" s="15"/>
      <c r="K86" s="15"/>
    </row>
    <row r="87" spans="1:11" x14ac:dyDescent="0.25">
      <c r="A87" s="15"/>
      <c r="B87" s="16"/>
      <c r="C87" s="45">
        <f>15*2</f>
        <v>30</v>
      </c>
      <c r="D87" s="3">
        <f>(37.5+2)/12/3.281</f>
        <v>1.003251041349182</v>
      </c>
      <c r="E87" s="3">
        <f t="shared" ref="E87:E92" si="9">10*10/162</f>
        <v>0.61728395061728392</v>
      </c>
      <c r="F87" s="3">
        <f t="shared" si="6"/>
        <v>18.578722987947813</v>
      </c>
      <c r="G87" s="3">
        <f t="shared" si="7"/>
        <v>1.8578722987947813E-2</v>
      </c>
      <c r="H87" s="15"/>
      <c r="I87" s="15"/>
      <c r="J87" s="15"/>
      <c r="K87" s="15"/>
    </row>
    <row r="88" spans="1:11" x14ac:dyDescent="0.25">
      <c r="A88" s="15"/>
      <c r="B88" s="16"/>
      <c r="C88" s="45">
        <f>18*2</f>
        <v>36</v>
      </c>
      <c r="D88" s="3">
        <f>(24+24+4)/12/3.281</f>
        <v>1.3207355481052523</v>
      </c>
      <c r="E88" s="3">
        <f t="shared" si="9"/>
        <v>0.61728395061728392</v>
      </c>
      <c r="F88" s="3">
        <f t="shared" si="6"/>
        <v>29.349678846783384</v>
      </c>
      <c r="G88" s="3">
        <f t="shared" si="7"/>
        <v>2.9349678846783384E-2</v>
      </c>
      <c r="H88" s="15"/>
      <c r="I88" s="15"/>
      <c r="J88" s="15"/>
      <c r="K88" s="15"/>
    </row>
    <row r="89" spans="1:11" x14ac:dyDescent="0.25">
      <c r="A89" s="15"/>
      <c r="B89" s="16" t="s">
        <v>154</v>
      </c>
      <c r="C89" s="45">
        <f>10*4</f>
        <v>40</v>
      </c>
      <c r="D89" s="3">
        <f>E57</f>
        <v>2.3367875647668392</v>
      </c>
      <c r="E89" s="3">
        <f t="shared" si="9"/>
        <v>0.61728395061728392</v>
      </c>
      <c r="F89" s="3">
        <f t="shared" si="6"/>
        <v>57.698458389304669</v>
      </c>
      <c r="G89" s="3">
        <f t="shared" si="7"/>
        <v>5.7698458389304666E-2</v>
      </c>
      <c r="H89" s="15"/>
      <c r="I89" s="15"/>
      <c r="J89" s="15"/>
      <c r="K89" s="15"/>
    </row>
    <row r="90" spans="1:11" x14ac:dyDescent="0.25">
      <c r="A90" s="15"/>
      <c r="B90" s="16"/>
      <c r="C90" s="45">
        <f>9*4</f>
        <v>36</v>
      </c>
      <c r="D90" s="3">
        <f>E58</f>
        <v>2.0320024382810118</v>
      </c>
      <c r="E90" s="3">
        <f t="shared" si="9"/>
        <v>0.61728395061728392</v>
      </c>
      <c r="F90" s="3">
        <f t="shared" si="6"/>
        <v>45.15560973957804</v>
      </c>
      <c r="G90" s="3">
        <f t="shared" si="7"/>
        <v>4.5155609739578037E-2</v>
      </c>
      <c r="H90" s="15"/>
      <c r="I90" s="15"/>
      <c r="J90" s="15"/>
      <c r="K90" s="15"/>
    </row>
    <row r="91" spans="1:11" x14ac:dyDescent="0.25">
      <c r="A91" s="15"/>
      <c r="B91" s="16"/>
      <c r="C91" s="45">
        <f>7*2*2</f>
        <v>28</v>
      </c>
      <c r="D91" s="3">
        <f>1.833/3.281</f>
        <v>0.55867113684852177</v>
      </c>
      <c r="E91" s="3">
        <f t="shared" si="9"/>
        <v>0.61728395061728392</v>
      </c>
      <c r="F91" s="3">
        <f t="shared" si="6"/>
        <v>9.656044340591734</v>
      </c>
      <c r="G91" s="3">
        <f t="shared" si="7"/>
        <v>9.6560443405917344E-3</v>
      </c>
      <c r="H91" s="15"/>
      <c r="I91" s="15"/>
      <c r="J91" s="15"/>
      <c r="K91" s="15"/>
    </row>
    <row r="92" spans="1:11" x14ac:dyDescent="0.25">
      <c r="A92" s="15"/>
      <c r="B92" s="16"/>
      <c r="C92" s="45">
        <f>7*2*2</f>
        <v>28</v>
      </c>
      <c r="D92" s="3">
        <f>1.833/3.281</f>
        <v>0.55867113684852177</v>
      </c>
      <c r="E92" s="3">
        <f t="shared" si="9"/>
        <v>0.61728395061728392</v>
      </c>
      <c r="F92" s="3">
        <f t="shared" si="6"/>
        <v>9.656044340591734</v>
      </c>
      <c r="G92" s="3">
        <f t="shared" si="7"/>
        <v>9.6560443405917344E-3</v>
      </c>
      <c r="H92" s="15"/>
      <c r="I92" s="15"/>
      <c r="J92" s="15"/>
      <c r="K92" s="15"/>
    </row>
    <row r="93" spans="1:11" s="10" customFormat="1" ht="15" customHeight="1" x14ac:dyDescent="0.25">
      <c r="A93" s="17"/>
      <c r="B93" s="18" t="s">
        <v>16</v>
      </c>
      <c r="C93" s="19"/>
      <c r="D93" s="1"/>
      <c r="E93" s="20"/>
      <c r="F93" s="20"/>
      <c r="G93" s="2">
        <f>SUM(G69:G92)</f>
        <v>0.56765163426286513</v>
      </c>
      <c r="H93" s="21" t="s">
        <v>41</v>
      </c>
      <c r="I93" s="46">
        <v>132360</v>
      </c>
      <c r="J93" s="22">
        <f>G93*I93</f>
        <v>75134.370311032835</v>
      </c>
      <c r="K93" s="20"/>
    </row>
    <row r="94" spans="1:11" s="10" customFormat="1" hidden="1" x14ac:dyDescent="0.25">
      <c r="A94" s="24"/>
      <c r="B94" s="25" t="s">
        <v>38</v>
      </c>
      <c r="C94" s="26"/>
      <c r="D94" s="26"/>
      <c r="E94" s="26"/>
      <c r="F94" s="26"/>
      <c r="G94" s="26"/>
      <c r="H94" s="26"/>
      <c r="I94" s="26"/>
      <c r="J94" s="22">
        <f>0.13*G93*105000</f>
        <v>7748.4448076881099</v>
      </c>
      <c r="K94" s="26"/>
    </row>
    <row r="95" spans="1:11" s="10" customFormat="1" hidden="1" x14ac:dyDescent="0.25">
      <c r="A95" s="24"/>
      <c r="B95" s="25" t="s">
        <v>37</v>
      </c>
      <c r="C95" s="26"/>
      <c r="D95" s="26"/>
      <c r="E95" s="26"/>
      <c r="F95" s="26"/>
      <c r="G95" s="26"/>
      <c r="H95" s="26"/>
      <c r="I95" s="26"/>
      <c r="J95" s="22">
        <f>0.13*G93*1200</f>
        <v>88.553654945006969</v>
      </c>
      <c r="K95" s="26"/>
    </row>
    <row r="96" spans="1:11" x14ac:dyDescent="0.25">
      <c r="A96" s="15"/>
      <c r="B96" s="15"/>
      <c r="C96" s="15"/>
      <c r="D96" s="15"/>
      <c r="E96" s="15"/>
      <c r="F96" s="15"/>
      <c r="G96" s="15"/>
      <c r="H96" s="15"/>
      <c r="I96" s="15"/>
      <c r="J96" s="15"/>
      <c r="K96" s="15"/>
    </row>
    <row r="97" spans="1:11" ht="30" x14ac:dyDescent="0.25">
      <c r="A97" s="11">
        <v>7</v>
      </c>
      <c r="B97" s="28" t="s">
        <v>50</v>
      </c>
      <c r="C97" s="15"/>
      <c r="D97" s="15"/>
      <c r="E97" s="15"/>
      <c r="F97" s="15"/>
      <c r="G97" s="15"/>
      <c r="H97" s="15"/>
      <c r="I97" s="15"/>
      <c r="J97" s="15"/>
      <c r="K97" s="15"/>
    </row>
    <row r="98" spans="1:11" x14ac:dyDescent="0.25">
      <c r="A98" s="15"/>
      <c r="B98" s="25" t="s">
        <v>121</v>
      </c>
      <c r="C98" s="45">
        <f>0*2</f>
        <v>0</v>
      </c>
      <c r="D98" s="3">
        <f>12/3.281</f>
        <v>3.6574215178299299</v>
      </c>
      <c r="E98" s="3">
        <v>0.9</v>
      </c>
      <c r="F98" s="15"/>
      <c r="G98" s="3">
        <f>PRODUCT(C98:F98)</f>
        <v>0</v>
      </c>
      <c r="H98" s="15"/>
      <c r="I98" s="15"/>
      <c r="J98" s="15"/>
      <c r="K98" s="15"/>
    </row>
    <row r="99" spans="1:11" x14ac:dyDescent="0.25">
      <c r="A99" s="15"/>
      <c r="B99" s="16"/>
      <c r="C99" s="45">
        <f>0*2</f>
        <v>0</v>
      </c>
      <c r="D99" s="3">
        <f>21/3.281</f>
        <v>6.4004876562023769</v>
      </c>
      <c r="E99" s="3">
        <v>0.9</v>
      </c>
      <c r="F99" s="15"/>
      <c r="G99" s="3">
        <f>PRODUCT(C99:F99)</f>
        <v>0</v>
      </c>
      <c r="H99" s="15"/>
      <c r="I99" s="15"/>
      <c r="J99" s="15"/>
      <c r="K99" s="15"/>
    </row>
    <row r="100" spans="1:11" s="10" customFormat="1" ht="15" customHeight="1" x14ac:dyDescent="0.25">
      <c r="A100" s="17"/>
      <c r="B100" s="18" t="s">
        <v>16</v>
      </c>
      <c r="C100" s="19"/>
      <c r="D100" s="1"/>
      <c r="E100" s="20"/>
      <c r="F100" s="20"/>
      <c r="G100" s="2">
        <f>SUM(G98:G99)</f>
        <v>0</v>
      </c>
      <c r="H100" s="21" t="s">
        <v>34</v>
      </c>
      <c r="I100" s="2">
        <v>689.98</v>
      </c>
      <c r="J100" s="22">
        <f>G100*I100</f>
        <v>0</v>
      </c>
      <c r="K100" s="20"/>
    </row>
    <row r="101" spans="1:11" s="10" customFormat="1" hidden="1" x14ac:dyDescent="0.25">
      <c r="A101" s="24"/>
      <c r="B101" s="25" t="s">
        <v>32</v>
      </c>
      <c r="C101" s="26"/>
      <c r="D101" s="27"/>
      <c r="E101" s="27"/>
      <c r="F101" s="27"/>
      <c r="G101" s="27"/>
      <c r="H101" s="26"/>
      <c r="I101" s="26"/>
      <c r="J101" s="22">
        <f>0.13*G100*1694.03/10</f>
        <v>0</v>
      </c>
      <c r="K101" s="26"/>
    </row>
    <row r="102" spans="1:11" hidden="1" x14ac:dyDescent="0.25">
      <c r="A102" s="15"/>
      <c r="B102" s="25" t="s">
        <v>31</v>
      </c>
      <c r="C102" s="26"/>
      <c r="D102" s="27"/>
      <c r="E102" s="27"/>
      <c r="F102" s="27"/>
      <c r="G102" s="27"/>
      <c r="H102" s="26"/>
      <c r="I102" s="26"/>
      <c r="J102" s="22">
        <f>0.13*G100*472.02/10</f>
        <v>0</v>
      </c>
      <c r="K102" s="15"/>
    </row>
    <row r="103" spans="1:11" hidden="1" x14ac:dyDescent="0.25">
      <c r="A103" s="15"/>
      <c r="B103" s="25" t="s">
        <v>33</v>
      </c>
      <c r="C103" s="26"/>
      <c r="D103" s="27"/>
      <c r="E103" s="27"/>
      <c r="F103" s="27"/>
      <c r="G103" s="27"/>
      <c r="H103" s="26"/>
      <c r="I103" s="26"/>
      <c r="J103" s="22">
        <f>0.13*G100*1207.6/10</f>
        <v>0</v>
      </c>
      <c r="K103" s="15"/>
    </row>
    <row r="104" spans="1:11" x14ac:dyDescent="0.25">
      <c r="A104" s="15"/>
      <c r="B104" s="15"/>
      <c r="C104" s="15"/>
      <c r="D104" s="15"/>
      <c r="E104" s="15"/>
      <c r="F104" s="15"/>
      <c r="G104" s="15"/>
      <c r="H104" s="15"/>
      <c r="I104" s="15"/>
      <c r="J104" s="15"/>
      <c r="K104" s="15"/>
    </row>
    <row r="105" spans="1:11" ht="45" x14ac:dyDescent="0.25">
      <c r="A105" s="11">
        <v>8</v>
      </c>
      <c r="B105" s="28" t="s">
        <v>115</v>
      </c>
      <c r="C105" s="15"/>
      <c r="D105" s="15"/>
      <c r="E105" s="15"/>
      <c r="F105" s="15"/>
      <c r="G105" s="15"/>
      <c r="H105" s="15"/>
      <c r="I105" s="15"/>
      <c r="J105" s="15"/>
      <c r="K105" s="15"/>
    </row>
    <row r="106" spans="1:11" x14ac:dyDescent="0.25">
      <c r="A106" s="15"/>
      <c r="B106" s="16" t="s">
        <v>133</v>
      </c>
      <c r="C106" s="45">
        <f>0*1</f>
        <v>0</v>
      </c>
      <c r="D106" s="3">
        <f>12.667/3.281</f>
        <v>3.8607131971959765</v>
      </c>
      <c r="E106" s="3">
        <f>9.75/3.281</f>
        <v>2.9716549832368178</v>
      </c>
      <c r="F106" s="15"/>
      <c r="G106" s="3">
        <f>PRODUCT(C106:F106)</f>
        <v>0</v>
      </c>
      <c r="H106" s="15"/>
      <c r="I106" s="15"/>
      <c r="J106" s="15"/>
      <c r="K106" s="15"/>
    </row>
    <row r="107" spans="1:11" s="10" customFormat="1" ht="15" customHeight="1" x14ac:dyDescent="0.25">
      <c r="A107" s="17"/>
      <c r="B107" s="18" t="s">
        <v>16</v>
      </c>
      <c r="C107" s="19"/>
      <c r="D107" s="1"/>
      <c r="E107" s="20"/>
      <c r="F107" s="20"/>
      <c r="G107" s="2">
        <f>SUM(G106)</f>
        <v>0</v>
      </c>
      <c r="H107" s="21" t="s">
        <v>34</v>
      </c>
      <c r="I107" s="2">
        <v>6851.63</v>
      </c>
      <c r="J107" s="22">
        <f>G107*I107</f>
        <v>0</v>
      </c>
      <c r="K107" s="20"/>
    </row>
    <row r="108" spans="1:11" s="10" customFormat="1" hidden="1" x14ac:dyDescent="0.25">
      <c r="A108" s="24"/>
      <c r="B108" s="25" t="s">
        <v>32</v>
      </c>
      <c r="C108" s="26"/>
      <c r="D108" s="27"/>
      <c r="E108" s="27"/>
      <c r="F108" s="27"/>
      <c r="G108" s="27"/>
      <c r="H108" s="26"/>
      <c r="I108" s="26"/>
      <c r="J108" s="22">
        <f>0.13*G107*1694.03/10</f>
        <v>0</v>
      </c>
      <c r="K108" s="26"/>
    </row>
    <row r="109" spans="1:11" hidden="1" x14ac:dyDescent="0.25">
      <c r="A109" s="15"/>
      <c r="B109" s="25" t="s">
        <v>31</v>
      </c>
      <c r="C109" s="26"/>
      <c r="D109" s="27"/>
      <c r="E109" s="27"/>
      <c r="F109" s="27"/>
      <c r="G109" s="27"/>
      <c r="H109" s="26"/>
      <c r="I109" s="26"/>
      <c r="J109" s="22">
        <f>0.13*G107*581.55/10</f>
        <v>0</v>
      </c>
      <c r="K109" s="15"/>
    </row>
    <row r="110" spans="1:11" hidden="1" x14ac:dyDescent="0.25">
      <c r="A110" s="15"/>
      <c r="B110" s="25" t="s">
        <v>116</v>
      </c>
      <c r="C110" s="26"/>
      <c r="D110" s="27"/>
      <c r="E110" s="27"/>
      <c r="F110" s="27"/>
      <c r="G110" s="27"/>
      <c r="H110" s="26"/>
      <c r="I110" s="26"/>
      <c r="J110" s="22">
        <f>0.13*G107*43319.76/10</f>
        <v>0</v>
      </c>
      <c r="K110" s="15"/>
    </row>
    <row r="111" spans="1:11" hidden="1" x14ac:dyDescent="0.25">
      <c r="A111" s="15"/>
      <c r="B111" s="25" t="s">
        <v>117</v>
      </c>
      <c r="C111" s="26"/>
      <c r="D111" s="27"/>
      <c r="E111" s="27"/>
      <c r="F111" s="27"/>
      <c r="G111" s="27"/>
      <c r="H111" s="26"/>
      <c r="I111" s="26"/>
      <c r="J111" s="22">
        <f>0.13*G107*46.25/10</f>
        <v>0</v>
      </c>
      <c r="K111" s="15"/>
    </row>
    <row r="112" spans="1:11" hidden="1" x14ac:dyDescent="0.25">
      <c r="A112" s="15"/>
      <c r="B112" s="25" t="s">
        <v>118</v>
      </c>
      <c r="C112" s="26"/>
      <c r="D112" s="27"/>
      <c r="E112" s="27"/>
      <c r="F112" s="27"/>
      <c r="G112" s="27"/>
      <c r="H112" s="26"/>
      <c r="I112" s="26"/>
      <c r="J112" s="22">
        <f>0.13*G107*43.3/10</f>
        <v>0</v>
      </c>
      <c r="K112" s="15"/>
    </row>
    <row r="113" spans="1:17" hidden="1" x14ac:dyDescent="0.25">
      <c r="A113" s="15"/>
      <c r="B113" s="25" t="s">
        <v>119</v>
      </c>
      <c r="C113" s="26"/>
      <c r="D113" s="27"/>
      <c r="E113" s="27"/>
      <c r="F113" s="27"/>
      <c r="G113" s="27"/>
      <c r="H113" s="26"/>
      <c r="I113" s="26"/>
      <c r="J113" s="22">
        <f>0.13*G107*118.89/10</f>
        <v>0</v>
      </c>
      <c r="K113" s="15"/>
    </row>
    <row r="114" spans="1:17" hidden="1" x14ac:dyDescent="0.25">
      <c r="A114" s="15"/>
      <c r="B114" s="25" t="s">
        <v>120</v>
      </c>
      <c r="C114" s="26"/>
      <c r="D114" s="27"/>
      <c r="E114" s="27"/>
      <c r="F114" s="27"/>
      <c r="G114" s="27"/>
      <c r="H114" s="26"/>
      <c r="I114" s="26"/>
      <c r="J114" s="22">
        <f>0.13*G107*120/10</f>
        <v>0</v>
      </c>
      <c r="K114" s="15"/>
    </row>
    <row r="115" spans="1:17" x14ac:dyDescent="0.25">
      <c r="A115" s="15"/>
      <c r="B115" s="15"/>
      <c r="C115" s="15"/>
      <c r="D115" s="15"/>
      <c r="E115" s="15"/>
      <c r="F115" s="15"/>
      <c r="G115" s="15"/>
      <c r="H115" s="15"/>
      <c r="I115" s="15"/>
      <c r="J115" s="15"/>
      <c r="K115" s="15"/>
    </row>
    <row r="116" spans="1:17" ht="30" x14ac:dyDescent="0.25">
      <c r="A116" s="11">
        <v>9</v>
      </c>
      <c r="B116" s="28" t="s">
        <v>52</v>
      </c>
      <c r="C116" s="15"/>
      <c r="D116" s="15"/>
      <c r="E116" s="15"/>
      <c r="F116" s="15"/>
      <c r="G116" s="15"/>
      <c r="H116" s="15"/>
      <c r="I116" s="15"/>
      <c r="J116" s="15"/>
      <c r="K116" s="15"/>
    </row>
    <row r="117" spans="1:17" s="10" customFormat="1" x14ac:dyDescent="0.25">
      <c r="A117" s="24"/>
      <c r="B117" s="25" t="str">
        <f t="shared" ref="B117:D119" si="10">B148</f>
        <v>-for wing walls of stand tap</v>
      </c>
      <c r="C117" s="49">
        <f t="shared" si="10"/>
        <v>0</v>
      </c>
      <c r="D117" s="27">
        <f t="shared" si="10"/>
        <v>1.2163181956720512</v>
      </c>
      <c r="E117" s="27"/>
      <c r="F117" s="27">
        <f>F148</f>
        <v>0.6</v>
      </c>
      <c r="G117" s="27">
        <f t="shared" ref="G117:G123" si="11">PRODUCT(C117:F117)</f>
        <v>0</v>
      </c>
      <c r="H117" s="26"/>
      <c r="I117" s="26"/>
      <c r="J117" s="26"/>
      <c r="K117" s="26"/>
    </row>
    <row r="118" spans="1:17" s="10" customFormat="1" x14ac:dyDescent="0.25">
      <c r="A118" s="24"/>
      <c r="B118" s="25" t="str">
        <f t="shared" si="10"/>
        <v>-for side wall of stand tap</v>
      </c>
      <c r="C118" s="49">
        <f t="shared" si="10"/>
        <v>0</v>
      </c>
      <c r="D118" s="27">
        <f t="shared" si="10"/>
        <v>1.3197195976836331</v>
      </c>
      <c r="E118" s="27"/>
      <c r="F118" s="27">
        <f>F149</f>
        <v>0.6</v>
      </c>
      <c r="G118" s="27">
        <f t="shared" si="11"/>
        <v>0</v>
      </c>
      <c r="H118" s="26"/>
      <c r="I118" s="26"/>
      <c r="J118" s="26"/>
      <c r="K118" s="26"/>
    </row>
    <row r="119" spans="1:17" s="10" customFormat="1" x14ac:dyDescent="0.25">
      <c r="A119" s="24"/>
      <c r="B119" s="25" t="str">
        <f t="shared" si="10"/>
        <v>-stand</v>
      </c>
      <c r="C119" s="49">
        <f t="shared" si="10"/>
        <v>0</v>
      </c>
      <c r="D119" s="27">
        <f t="shared" si="10"/>
        <v>0.35659859798841814</v>
      </c>
      <c r="E119" s="27"/>
      <c r="F119" s="27">
        <f>F150</f>
        <v>1.2</v>
      </c>
      <c r="G119" s="27">
        <f t="shared" si="11"/>
        <v>0</v>
      </c>
      <c r="H119" s="26"/>
      <c r="I119" s="26"/>
      <c r="J119" s="26"/>
      <c r="K119" s="26"/>
    </row>
    <row r="120" spans="1:17" s="10" customFormat="1" x14ac:dyDescent="0.25">
      <c r="A120" s="24"/>
      <c r="B120" s="25"/>
      <c r="C120" s="49">
        <f>C151</f>
        <v>0</v>
      </c>
      <c r="D120" s="27">
        <f>D151</f>
        <v>0.46</v>
      </c>
      <c r="E120" s="27"/>
      <c r="F120" s="27">
        <f>F151</f>
        <v>0.6</v>
      </c>
      <c r="G120" s="27">
        <f t="shared" si="11"/>
        <v>0</v>
      </c>
      <c r="H120" s="26"/>
      <c r="I120" s="26"/>
      <c r="J120" s="26"/>
      <c r="K120" s="26"/>
    </row>
    <row r="121" spans="1:17" s="10" customFormat="1" x14ac:dyDescent="0.25">
      <c r="A121" s="24"/>
      <c r="B121" s="25" t="s">
        <v>109</v>
      </c>
      <c r="C121" s="49">
        <f>C14</f>
        <v>0</v>
      </c>
      <c r="D121" s="27">
        <f>M10</f>
        <v>1.6763181956720512</v>
      </c>
      <c r="E121" s="27">
        <f>N10</f>
        <v>1.6763181956720512</v>
      </c>
      <c r="F121" s="27"/>
      <c r="G121" s="27">
        <f t="shared" si="11"/>
        <v>0</v>
      </c>
      <c r="H121" s="26"/>
      <c r="I121" s="26"/>
      <c r="J121" s="26"/>
      <c r="K121" s="26"/>
    </row>
    <row r="122" spans="1:17" s="10" customFormat="1" x14ac:dyDescent="0.25">
      <c r="A122" s="24"/>
      <c r="B122" s="25" t="str">
        <f>B98</f>
        <v>-peti area</v>
      </c>
      <c r="C122" s="49">
        <f>C98</f>
        <v>0</v>
      </c>
      <c r="D122" s="27">
        <f>D98</f>
        <v>3.6574215178299299</v>
      </c>
      <c r="E122" s="27">
        <f>E98</f>
        <v>0.9</v>
      </c>
      <c r="F122" s="27"/>
      <c r="G122" s="27">
        <f t="shared" si="11"/>
        <v>0</v>
      </c>
      <c r="H122" s="26"/>
      <c r="I122" s="26"/>
      <c r="J122" s="26"/>
      <c r="K122" s="26"/>
    </row>
    <row r="123" spans="1:17" s="10" customFormat="1" x14ac:dyDescent="0.25">
      <c r="A123" s="24"/>
      <c r="B123" s="25"/>
      <c r="C123" s="49">
        <f>C99</f>
        <v>0</v>
      </c>
      <c r="D123" s="27">
        <f>D99</f>
        <v>6.4004876562023769</v>
      </c>
      <c r="E123" s="27">
        <f>E99</f>
        <v>0.9</v>
      </c>
      <c r="F123" s="27"/>
      <c r="G123" s="27">
        <f t="shared" si="11"/>
        <v>0</v>
      </c>
      <c r="H123" s="26"/>
      <c r="I123" s="26"/>
      <c r="J123" s="26"/>
      <c r="K123" s="26"/>
    </row>
    <row r="124" spans="1:17" s="10" customFormat="1" ht="15" customHeight="1" x14ac:dyDescent="0.25">
      <c r="A124" s="17"/>
      <c r="B124" s="18" t="s">
        <v>16</v>
      </c>
      <c r="C124" s="19"/>
      <c r="D124" s="1"/>
      <c r="E124" s="20"/>
      <c r="F124" s="20"/>
      <c r="G124" s="2">
        <f>SUM(G117:G123)</f>
        <v>0</v>
      </c>
      <c r="H124" s="21" t="s">
        <v>34</v>
      </c>
      <c r="I124" s="2">
        <v>287.32</v>
      </c>
      <c r="J124" s="22">
        <f>G124*I124</f>
        <v>0</v>
      </c>
      <c r="K124" s="20"/>
    </row>
    <row r="125" spans="1:17" s="10" customFormat="1" hidden="1" x14ac:dyDescent="0.25">
      <c r="A125" s="24"/>
      <c r="B125" s="25" t="s">
        <v>32</v>
      </c>
      <c r="C125" s="26"/>
      <c r="D125" s="27"/>
      <c r="E125" s="27"/>
      <c r="F125" s="27"/>
      <c r="G125" s="27"/>
      <c r="H125" s="26"/>
      <c r="I125" s="26"/>
      <c r="J125" s="22">
        <f>0.13*G124*693.24/10</f>
        <v>0</v>
      </c>
      <c r="K125" s="26"/>
    </row>
    <row r="126" spans="1:17" x14ac:dyDescent="0.25">
      <c r="A126" s="15"/>
      <c r="B126" s="15"/>
      <c r="C126" s="15"/>
      <c r="D126" s="15"/>
      <c r="E126" s="15"/>
      <c r="F126" s="15"/>
      <c r="G126" s="15"/>
      <c r="H126" s="15"/>
      <c r="I126" s="15"/>
      <c r="J126" s="15"/>
      <c r="K126" s="15"/>
    </row>
    <row r="127" spans="1:17" ht="30" x14ac:dyDescent="0.25">
      <c r="A127" s="11">
        <v>10</v>
      </c>
      <c r="B127" s="28" t="s">
        <v>56</v>
      </c>
      <c r="C127" s="15"/>
      <c r="D127" s="15"/>
      <c r="E127" s="15"/>
      <c r="F127" s="15"/>
      <c r="G127" s="15"/>
      <c r="H127" s="15"/>
      <c r="I127" s="15"/>
      <c r="J127" s="15"/>
      <c r="K127" s="15"/>
    </row>
    <row r="128" spans="1:17" x14ac:dyDescent="0.25">
      <c r="A128" s="15"/>
      <c r="B128" s="63" t="s">
        <v>86</v>
      </c>
      <c r="C128" s="64">
        <v>2</v>
      </c>
      <c r="D128" s="65">
        <f>9.667/3.281</f>
        <v>2.9463578177384941</v>
      </c>
      <c r="E128" s="65">
        <v>0.35</v>
      </c>
      <c r="F128" s="65">
        <f>4.5/3.281</f>
        <v>1.3715330691862238</v>
      </c>
      <c r="G128" s="65">
        <f t="shared" ref="G128:G131" si="12">PRODUCT(C128:F128)</f>
        <v>2.8287190264785904</v>
      </c>
      <c r="H128" s="15"/>
      <c r="I128" s="15"/>
      <c r="J128" s="15"/>
      <c r="K128" s="15"/>
      <c r="M128">
        <f>12-1.17*2</f>
        <v>9.66</v>
      </c>
      <c r="N128">
        <f>(66+68+67+66)/4</f>
        <v>66.75</v>
      </c>
      <c r="O128">
        <f>4.5*12</f>
        <v>54</v>
      </c>
      <c r="P128">
        <f>N128-O128</f>
        <v>12.75</v>
      </c>
      <c r="Q128">
        <f>P128/12</f>
        <v>1.0625</v>
      </c>
    </row>
    <row r="129" spans="1:13" x14ac:dyDescent="0.25">
      <c r="A129" s="15"/>
      <c r="B129" s="63"/>
      <c r="C129" s="64">
        <v>2</v>
      </c>
      <c r="D129" s="65">
        <f>15/3.281</f>
        <v>4.5717768972874122</v>
      </c>
      <c r="E129" s="65">
        <v>0.35</v>
      </c>
      <c r="F129" s="65">
        <f>4.5/3.281</f>
        <v>1.3715330691862238</v>
      </c>
      <c r="G129" s="65">
        <f t="shared" si="12"/>
        <v>4.3892402396998929</v>
      </c>
      <c r="H129" s="15"/>
      <c r="I129" s="15"/>
      <c r="J129" s="15"/>
      <c r="K129" s="15"/>
      <c r="M129">
        <f>D129-0.35*2</f>
        <v>3.871776897287412</v>
      </c>
    </row>
    <row r="130" spans="1:13" x14ac:dyDescent="0.25">
      <c r="A130" s="15"/>
      <c r="B130" s="16" t="s">
        <v>87</v>
      </c>
      <c r="C130" s="64">
        <v>-1</v>
      </c>
      <c r="D130" s="65">
        <v>1.2</v>
      </c>
      <c r="E130" s="65">
        <v>0.35</v>
      </c>
      <c r="F130" s="65">
        <f>(7-3.5)/3.281</f>
        <v>1.0667479427003961</v>
      </c>
      <c r="G130" s="65">
        <f t="shared" si="12"/>
        <v>-0.44803413593416636</v>
      </c>
      <c r="H130" s="15"/>
      <c r="I130" s="15"/>
      <c r="J130" s="15"/>
      <c r="K130" s="15"/>
    </row>
    <row r="131" spans="1:13" x14ac:dyDescent="0.25">
      <c r="A131" s="15"/>
      <c r="B131" s="16" t="s">
        <v>58</v>
      </c>
      <c r="C131" s="64">
        <v>-2</v>
      </c>
      <c r="D131" s="65">
        <f>0.6</f>
        <v>0.6</v>
      </c>
      <c r="E131" s="65">
        <v>0.35</v>
      </c>
      <c r="F131" s="65">
        <f>2.33/3.281</f>
        <v>0.71014934471197799</v>
      </c>
      <c r="G131" s="65">
        <f t="shared" si="12"/>
        <v>-0.29826272477903076</v>
      </c>
      <c r="H131" s="15"/>
      <c r="I131" s="15"/>
      <c r="J131" s="15"/>
      <c r="K131" s="15"/>
    </row>
    <row r="132" spans="1:13" s="10" customFormat="1" x14ac:dyDescent="0.25">
      <c r="A132" s="24"/>
      <c r="B132" s="25" t="s">
        <v>107</v>
      </c>
      <c r="C132" s="49">
        <f>C14*2</f>
        <v>0</v>
      </c>
      <c r="D132" s="27">
        <f>N10-O10*2</f>
        <v>1.2163181956720512</v>
      </c>
      <c r="E132" s="27">
        <f>O10</f>
        <v>0.23</v>
      </c>
      <c r="F132" s="27">
        <f>P10</f>
        <v>0.6</v>
      </c>
      <c r="G132" s="27">
        <f>PRODUCT(C132:F132)</f>
        <v>0</v>
      </c>
      <c r="H132" s="26"/>
      <c r="I132" s="26"/>
      <c r="J132" s="26"/>
      <c r="K132" s="26"/>
    </row>
    <row r="133" spans="1:13" s="10" customFormat="1" x14ac:dyDescent="0.25">
      <c r="A133" s="24"/>
      <c r="B133" s="25" t="s">
        <v>108</v>
      </c>
      <c r="C133" s="49">
        <f>C14</f>
        <v>0</v>
      </c>
      <c r="D133" s="27">
        <f>M10-R10</f>
        <v>1.3197195976836331</v>
      </c>
      <c r="E133" s="27">
        <f>O10</f>
        <v>0.23</v>
      </c>
      <c r="F133" s="27">
        <f>P10</f>
        <v>0.6</v>
      </c>
      <c r="G133" s="27">
        <f>PRODUCT(C133:F133)</f>
        <v>0</v>
      </c>
      <c r="H133" s="26"/>
      <c r="I133" s="26"/>
      <c r="J133" s="26"/>
      <c r="K133" s="26"/>
    </row>
    <row r="134" spans="1:13" s="10" customFormat="1" x14ac:dyDescent="0.25">
      <c r="A134" s="24"/>
      <c r="B134" s="25" t="s">
        <v>106</v>
      </c>
      <c r="C134" s="49">
        <f>C14</f>
        <v>0</v>
      </c>
      <c r="D134" s="27">
        <f>R10</f>
        <v>0.35659859798841814</v>
      </c>
      <c r="E134" s="27">
        <f>O10</f>
        <v>0.23</v>
      </c>
      <c r="F134" s="27">
        <f>Q10</f>
        <v>1.2</v>
      </c>
      <c r="G134" s="27">
        <f>PRODUCT(C134:F134)</f>
        <v>0</v>
      </c>
      <c r="H134" s="26"/>
      <c r="I134" s="26"/>
      <c r="J134" s="26"/>
      <c r="K134" s="26"/>
    </row>
    <row r="135" spans="1:13" s="10" customFormat="1" ht="15" customHeight="1" x14ac:dyDescent="0.25">
      <c r="A135" s="17"/>
      <c r="B135" s="18" t="s">
        <v>16</v>
      </c>
      <c r="C135" s="19"/>
      <c r="D135" s="1"/>
      <c r="E135" s="20"/>
      <c r="F135" s="20"/>
      <c r="G135" s="2">
        <f>SUM(G128:G134)</f>
        <v>6.4716624054652865</v>
      </c>
      <c r="H135" s="21" t="s">
        <v>28</v>
      </c>
      <c r="I135" s="2">
        <f>14491.84</f>
        <v>14491.84</v>
      </c>
      <c r="J135" s="22">
        <f>G135*I135</f>
        <v>93786.296114018056</v>
      </c>
      <c r="K135" s="20"/>
    </row>
    <row r="136" spans="1:13" s="10" customFormat="1" hidden="1" x14ac:dyDescent="0.25">
      <c r="A136" s="24"/>
      <c r="B136" s="25" t="s">
        <v>53</v>
      </c>
      <c r="C136" s="26"/>
      <c r="D136" s="27"/>
      <c r="E136" s="27"/>
      <c r="F136" s="27"/>
      <c r="G136" s="27"/>
      <c r="H136" s="26"/>
      <c r="I136" s="26"/>
      <c r="J136" s="22">
        <f>0.13*G135*8481.2</f>
        <v>7135.3702151201851</v>
      </c>
      <c r="K136" s="26"/>
    </row>
    <row r="137" spans="1:13" s="10" customFormat="1" hidden="1" x14ac:dyDescent="0.25">
      <c r="A137" s="24"/>
      <c r="B137" s="25" t="s">
        <v>32</v>
      </c>
      <c r="C137" s="26"/>
      <c r="D137" s="27"/>
      <c r="E137" s="27"/>
      <c r="F137" s="27"/>
      <c r="G137" s="27"/>
      <c r="H137" s="26"/>
      <c r="I137" s="26"/>
      <c r="J137" s="22">
        <f>0.13*G135*912.17</f>
        <v>767.42331853112512</v>
      </c>
      <c r="K137" s="26"/>
    </row>
    <row r="138" spans="1:13" s="10" customFormat="1" hidden="1" x14ac:dyDescent="0.25">
      <c r="A138" s="24"/>
      <c r="B138" s="25" t="s">
        <v>57</v>
      </c>
      <c r="C138" s="26"/>
      <c r="D138" s="27"/>
      <c r="E138" s="27"/>
      <c r="F138" s="27"/>
      <c r="G138" s="27"/>
      <c r="H138" s="26"/>
      <c r="I138" s="26"/>
      <c r="J138" s="22">
        <f>0.13*G135*953.37</f>
        <v>802.08554237479723</v>
      </c>
      <c r="K138" s="26"/>
    </row>
    <row r="139" spans="1:13" s="10" customFormat="1" hidden="1" x14ac:dyDescent="0.25">
      <c r="A139" s="24"/>
      <c r="B139" s="25" t="s">
        <v>35</v>
      </c>
      <c r="C139" s="26"/>
      <c r="D139" s="27"/>
      <c r="E139" s="27"/>
      <c r="F139" s="27"/>
      <c r="G139" s="27"/>
      <c r="H139" s="26"/>
      <c r="I139" s="26"/>
      <c r="J139" s="22">
        <f>0.13*G135*28</f>
        <v>23.556851155893643</v>
      </c>
      <c r="K139" s="26"/>
    </row>
    <row r="140" spans="1:13" x14ac:dyDescent="0.25">
      <c r="A140" s="15"/>
      <c r="B140" s="15"/>
      <c r="C140" s="15"/>
      <c r="D140" s="15"/>
      <c r="E140" s="15"/>
      <c r="F140" s="15"/>
      <c r="G140" s="15"/>
      <c r="H140" s="15"/>
      <c r="I140" s="15"/>
      <c r="J140" s="15"/>
      <c r="K140" s="15"/>
    </row>
    <row r="141" spans="1:13" ht="30" x14ac:dyDescent="0.25">
      <c r="A141" s="11">
        <v>11</v>
      </c>
      <c r="B141" s="28" t="s">
        <v>51</v>
      </c>
      <c r="C141" s="15"/>
      <c r="D141" s="15"/>
      <c r="E141" s="15"/>
      <c r="F141" s="15"/>
      <c r="G141" s="15"/>
      <c r="H141" s="15"/>
      <c r="I141" s="15"/>
      <c r="J141" s="15"/>
      <c r="K141" s="15"/>
    </row>
    <row r="142" spans="1:13" x14ac:dyDescent="0.25">
      <c r="A142" s="15"/>
      <c r="B142" s="16" t="str">
        <f>B128</f>
        <v>-for wall continue</v>
      </c>
      <c r="C142" s="45">
        <f>1</f>
        <v>1</v>
      </c>
      <c r="D142" s="3">
        <f>(15*2+(9.75+1.17*2)*2)/3.281</f>
        <v>16.513258153002134</v>
      </c>
      <c r="E142" s="3"/>
      <c r="F142" s="3">
        <f>10/3.281</f>
        <v>3.047851264858275</v>
      </c>
      <c r="G142" s="3">
        <f>PRODUCT(C142:F142)</f>
        <v>50.329954748558777</v>
      </c>
      <c r="H142" s="15"/>
      <c r="I142" s="15"/>
      <c r="J142" s="15"/>
      <c r="K142" s="15"/>
    </row>
    <row r="143" spans="1:13" x14ac:dyDescent="0.25">
      <c r="A143" s="15"/>
      <c r="B143" s="16"/>
      <c r="C143" s="45">
        <f>1</f>
        <v>1</v>
      </c>
      <c r="D143" s="3">
        <f>((15-1.17*2)*2+(9.75*2))/3.281</f>
        <v>13.660469369094788</v>
      </c>
      <c r="E143" s="3"/>
      <c r="F143" s="3">
        <f>(10-3.5)/3.281</f>
        <v>1.9811033221578787</v>
      </c>
      <c r="G143" s="3">
        <f>PRODUCT(C143:F143)</f>
        <v>27.062801249349626</v>
      </c>
      <c r="H143" s="15"/>
      <c r="I143" s="15"/>
      <c r="J143" s="15"/>
      <c r="K143" s="15"/>
    </row>
    <row r="144" spans="1:13" x14ac:dyDescent="0.25">
      <c r="A144" s="15"/>
      <c r="B144" s="16" t="str">
        <f>B130</f>
        <v>-deduction for door</v>
      </c>
      <c r="C144" s="45">
        <f>-1</f>
        <v>-1</v>
      </c>
      <c r="D144" s="3">
        <f>D130</f>
        <v>1.2</v>
      </c>
      <c r="E144" s="3"/>
      <c r="F144" s="3">
        <f>8/3.281</f>
        <v>2.4382810118866196</v>
      </c>
      <c r="G144" s="3">
        <f t="shared" ref="G144:G147" si="13">PRODUCT(C144:F144)</f>
        <v>-2.9259372142639433</v>
      </c>
      <c r="H144" s="15"/>
      <c r="I144" s="15"/>
      <c r="J144" s="15"/>
      <c r="K144" s="15"/>
    </row>
    <row r="145" spans="1:11" x14ac:dyDescent="0.25">
      <c r="A145" s="15"/>
      <c r="B145" s="16" t="str">
        <f>B131</f>
        <v>-deduction for window</v>
      </c>
      <c r="C145" s="45">
        <f>-2</f>
        <v>-2</v>
      </c>
      <c r="D145" s="3">
        <f>D131</f>
        <v>0.6</v>
      </c>
      <c r="E145" s="3"/>
      <c r="F145" s="3">
        <f>F131</f>
        <v>0.71014934471197799</v>
      </c>
      <c r="G145" s="3">
        <f t="shared" si="13"/>
        <v>-0.85217921365437355</v>
      </c>
      <c r="H145" s="15"/>
      <c r="I145" s="15"/>
      <c r="J145" s="15"/>
      <c r="K145" s="15"/>
    </row>
    <row r="146" spans="1:11" x14ac:dyDescent="0.25">
      <c r="A146" s="15"/>
      <c r="B146" s="16" t="s">
        <v>124</v>
      </c>
      <c r="C146" s="45">
        <f>0*2</f>
        <v>0</v>
      </c>
      <c r="D146" s="3">
        <f>D57</f>
        <v>3.2383419689119171</v>
      </c>
      <c r="E146" s="3">
        <f>E57</f>
        <v>2.3367875647668392</v>
      </c>
      <c r="F146" s="3"/>
      <c r="G146" s="3">
        <f t="shared" si="13"/>
        <v>0</v>
      </c>
      <c r="H146" s="15"/>
      <c r="I146" s="15"/>
      <c r="J146" s="15"/>
      <c r="K146" s="15"/>
    </row>
    <row r="147" spans="1:11" x14ac:dyDescent="0.25">
      <c r="A147" s="15"/>
      <c r="B147" s="16"/>
      <c r="C147" s="45">
        <f>0*2</f>
        <v>0</v>
      </c>
      <c r="D147" s="3">
        <f>D58</f>
        <v>3.695519658640658</v>
      </c>
      <c r="E147" s="3">
        <f>E58</f>
        <v>2.0320024382810118</v>
      </c>
      <c r="F147" s="3"/>
      <c r="G147" s="3">
        <f t="shared" si="13"/>
        <v>0</v>
      </c>
      <c r="H147" s="15"/>
      <c r="I147" s="15"/>
      <c r="J147" s="15"/>
      <c r="K147" s="15"/>
    </row>
    <row r="148" spans="1:11" s="10" customFormat="1" x14ac:dyDescent="0.25">
      <c r="A148" s="24"/>
      <c r="B148" s="25" t="str">
        <f>B132</f>
        <v>-for wing walls of stand tap</v>
      </c>
      <c r="C148" s="49">
        <f>C14*4</f>
        <v>0</v>
      </c>
      <c r="D148" s="27">
        <f>M10-O10*2</f>
        <v>1.2163181956720512</v>
      </c>
      <c r="E148" s="27"/>
      <c r="F148" s="27">
        <f>P10</f>
        <v>0.6</v>
      </c>
      <c r="G148" s="27">
        <f>PRODUCT(C148:F148)</f>
        <v>0</v>
      </c>
      <c r="H148" s="26"/>
      <c r="I148" s="26"/>
      <c r="J148" s="26"/>
      <c r="K148" s="26"/>
    </row>
    <row r="149" spans="1:11" s="10" customFormat="1" x14ac:dyDescent="0.25">
      <c r="A149" s="24"/>
      <c r="B149" s="25" t="str">
        <f>B133</f>
        <v>-for side wall of stand tap</v>
      </c>
      <c r="C149" s="49">
        <f>C14</f>
        <v>0</v>
      </c>
      <c r="D149" s="27">
        <f>M10-R10</f>
        <v>1.3197195976836331</v>
      </c>
      <c r="E149" s="27"/>
      <c r="F149" s="27">
        <f>P10</f>
        <v>0.6</v>
      </c>
      <c r="G149" s="27">
        <f>PRODUCT(C149:F149)</f>
        <v>0</v>
      </c>
      <c r="H149" s="26"/>
      <c r="I149" s="26"/>
      <c r="J149" s="26"/>
      <c r="K149" s="26"/>
    </row>
    <row r="150" spans="1:11" s="10" customFormat="1" x14ac:dyDescent="0.25">
      <c r="A150" s="24"/>
      <c r="B150" s="25" t="s">
        <v>114</v>
      </c>
      <c r="C150" s="49">
        <f>C14</f>
        <v>0</v>
      </c>
      <c r="D150" s="27">
        <f>R10</f>
        <v>0.35659859798841814</v>
      </c>
      <c r="E150" s="27"/>
      <c r="F150" s="27">
        <f>Q10</f>
        <v>1.2</v>
      </c>
      <c r="G150" s="27">
        <f>PRODUCT(C150:F150)</f>
        <v>0</v>
      </c>
      <c r="H150" s="26"/>
      <c r="I150" s="26"/>
      <c r="J150" s="26"/>
      <c r="K150" s="26"/>
    </row>
    <row r="151" spans="1:11" s="10" customFormat="1" x14ac:dyDescent="0.25">
      <c r="A151" s="24"/>
      <c r="B151" s="25"/>
      <c r="C151" s="49">
        <f>C150</f>
        <v>0</v>
      </c>
      <c r="D151" s="27">
        <f>O10*2</f>
        <v>0.46</v>
      </c>
      <c r="E151" s="27"/>
      <c r="F151" s="27">
        <f>Q10-P10</f>
        <v>0.6</v>
      </c>
      <c r="G151" s="27">
        <f>PRODUCT(C151:F151)</f>
        <v>0</v>
      </c>
      <c r="H151" s="26"/>
      <c r="I151" s="26"/>
      <c r="J151" s="26"/>
      <c r="K151" s="26"/>
    </row>
    <row r="152" spans="1:11" s="10" customFormat="1" ht="15" customHeight="1" x14ac:dyDescent="0.25">
      <c r="A152" s="17"/>
      <c r="B152" s="18" t="s">
        <v>16</v>
      </c>
      <c r="C152" s="19"/>
      <c r="D152" s="1"/>
      <c r="E152" s="20"/>
      <c r="F152" s="20"/>
      <c r="G152" s="2">
        <f>SUM(G142:G151)</f>
        <v>73.614639569990103</v>
      </c>
      <c r="H152" s="21" t="s">
        <v>34</v>
      </c>
      <c r="I152" s="2">
        <v>415.5</v>
      </c>
      <c r="J152" s="22">
        <f>G152*I152</f>
        <v>30586.882741330886</v>
      </c>
      <c r="K152" s="20"/>
    </row>
    <row r="153" spans="1:11" s="10" customFormat="1" hidden="1" x14ac:dyDescent="0.25">
      <c r="A153" s="24"/>
      <c r="B153" s="25" t="s">
        <v>32</v>
      </c>
      <c r="C153" s="26"/>
      <c r="D153" s="27"/>
      <c r="E153" s="27"/>
      <c r="F153" s="27"/>
      <c r="G153" s="27"/>
      <c r="H153" s="26"/>
      <c r="I153" s="26"/>
      <c r="J153" s="22">
        <f>0.13*G152*7010.67/100</f>
        <v>670.91432875238536</v>
      </c>
      <c r="K153" s="26"/>
    </row>
    <row r="154" spans="1:11" hidden="1" x14ac:dyDescent="0.25">
      <c r="A154" s="15"/>
      <c r="B154" s="25" t="s">
        <v>31</v>
      </c>
      <c r="C154" s="26"/>
      <c r="D154" s="27"/>
      <c r="E154" s="27"/>
      <c r="F154" s="27"/>
      <c r="G154" s="27"/>
      <c r="H154" s="26"/>
      <c r="I154" s="26"/>
      <c r="J154" s="22">
        <f>0.13*G152*4639.73/100</f>
        <v>444.01766714769116</v>
      </c>
      <c r="K154" s="15"/>
    </row>
    <row r="155" spans="1:11" x14ac:dyDescent="0.25">
      <c r="A155" s="15"/>
      <c r="B155" s="15"/>
      <c r="C155" s="15"/>
      <c r="D155" s="15"/>
      <c r="E155" s="15"/>
      <c r="F155" s="15"/>
      <c r="G155" s="15"/>
      <c r="H155" s="15"/>
      <c r="I155" s="15"/>
      <c r="J155" s="15"/>
      <c r="K155" s="15"/>
    </row>
    <row r="156" spans="1:11" ht="76.5" x14ac:dyDescent="0.25">
      <c r="A156" s="11">
        <v>12</v>
      </c>
      <c r="B156" s="28" t="s">
        <v>134</v>
      </c>
      <c r="C156" s="15"/>
      <c r="D156" s="15"/>
      <c r="E156" s="15"/>
      <c r="F156" s="15"/>
      <c r="G156" s="15"/>
      <c r="H156" s="15"/>
      <c r="I156" s="15"/>
      <c r="J156" s="15"/>
      <c r="K156" s="15"/>
    </row>
    <row r="157" spans="1:11" x14ac:dyDescent="0.25">
      <c r="A157" s="15"/>
      <c r="B157" s="16" t="s">
        <v>135</v>
      </c>
      <c r="C157" s="45">
        <f>0*1</f>
        <v>0</v>
      </c>
      <c r="D157" s="3">
        <f>((15-1.17*2)*2+(9.75*2))/3.281</f>
        <v>13.660469369094788</v>
      </c>
      <c r="E157" s="3"/>
      <c r="F157" s="3">
        <f>(3.5)/3.281</f>
        <v>1.0667479427003961</v>
      </c>
      <c r="G157" s="3">
        <f>PRODUCT(C157:F157)</f>
        <v>0</v>
      </c>
      <c r="H157" s="15"/>
      <c r="I157" s="15"/>
      <c r="J157" s="15"/>
      <c r="K157" s="15"/>
    </row>
    <row r="158" spans="1:11" s="10" customFormat="1" x14ac:dyDescent="0.25">
      <c r="A158" s="24"/>
      <c r="B158" s="25" t="str">
        <f>B144</f>
        <v>-deduction for door</v>
      </c>
      <c r="C158" s="49">
        <f>0*-1</f>
        <v>0</v>
      </c>
      <c r="D158" s="27">
        <f>D144</f>
        <v>1.2</v>
      </c>
      <c r="E158" s="27"/>
      <c r="F158" s="27">
        <f>F157</f>
        <v>1.0667479427003961</v>
      </c>
      <c r="G158" s="27">
        <f>PRODUCT(C158:F158)</f>
        <v>0</v>
      </c>
      <c r="H158" s="26"/>
      <c r="I158" s="26"/>
      <c r="J158" s="26"/>
      <c r="K158" s="26"/>
    </row>
    <row r="159" spans="1:11" s="10" customFormat="1" ht="15" customHeight="1" x14ac:dyDescent="0.25">
      <c r="A159" s="17"/>
      <c r="B159" s="18" t="s">
        <v>16</v>
      </c>
      <c r="C159" s="19"/>
      <c r="D159" s="1"/>
      <c r="E159" s="20"/>
      <c r="F159" s="20"/>
      <c r="G159" s="2">
        <f>SUM(G157:G158)</f>
        <v>0</v>
      </c>
      <c r="H159" s="21" t="s">
        <v>34</v>
      </c>
      <c r="I159" s="2">
        <v>2845.18</v>
      </c>
      <c r="J159" s="22">
        <f>G159*I159</f>
        <v>0</v>
      </c>
      <c r="K159" s="20"/>
    </row>
    <row r="160" spans="1:11" s="10" customFormat="1" hidden="1" x14ac:dyDescent="0.25">
      <c r="A160" s="24"/>
      <c r="B160" s="25" t="s">
        <v>32</v>
      </c>
      <c r="C160" s="26"/>
      <c r="D160" s="27"/>
      <c r="E160" s="27"/>
      <c r="F160" s="27"/>
      <c r="G160" s="27"/>
      <c r="H160" s="26"/>
      <c r="I160" s="26"/>
      <c r="J160" s="22">
        <f>0.13*G159*729.73/10</f>
        <v>0</v>
      </c>
      <c r="K160" s="26"/>
    </row>
    <row r="161" spans="1:11" hidden="1" x14ac:dyDescent="0.25">
      <c r="A161" s="15"/>
      <c r="B161" s="25" t="s">
        <v>31</v>
      </c>
      <c r="C161" s="26"/>
      <c r="D161" s="27"/>
      <c r="E161" s="27"/>
      <c r="F161" s="27"/>
      <c r="G161" s="27"/>
      <c r="H161" s="26"/>
      <c r="I161" s="26"/>
      <c r="J161" s="22">
        <f>0.13*G159*483.04/10</f>
        <v>0</v>
      </c>
      <c r="K161" s="15"/>
    </row>
    <row r="162" spans="1:11" s="10" customFormat="1" hidden="1" x14ac:dyDescent="0.25">
      <c r="A162" s="24"/>
      <c r="B162" s="25" t="s">
        <v>136</v>
      </c>
      <c r="C162" s="26"/>
      <c r="D162" s="27"/>
      <c r="E162" s="27"/>
      <c r="F162" s="27"/>
      <c r="G162" s="27"/>
      <c r="H162" s="26"/>
      <c r="I162" s="26"/>
      <c r="J162" s="22">
        <f>0.13*G159*100.06/10</f>
        <v>0</v>
      </c>
      <c r="K162" s="26"/>
    </row>
    <row r="163" spans="1:11" hidden="1" x14ac:dyDescent="0.25">
      <c r="A163" s="15"/>
      <c r="B163" s="25" t="s">
        <v>137</v>
      </c>
      <c r="C163" s="26"/>
      <c r="D163" s="27"/>
      <c r="E163" s="27"/>
      <c r="F163" s="27"/>
      <c r="G163" s="27"/>
      <c r="H163" s="26"/>
      <c r="I163" s="26"/>
      <c r="J163" s="22">
        <f>0.13*G159*6746.52/10</f>
        <v>0</v>
      </c>
      <c r="K163" s="15"/>
    </row>
    <row r="164" spans="1:11" x14ac:dyDescent="0.25">
      <c r="A164" s="15"/>
      <c r="B164" s="15"/>
      <c r="C164" s="15"/>
      <c r="D164" s="15"/>
      <c r="E164" s="15"/>
      <c r="F164" s="15"/>
      <c r="G164" s="15"/>
      <c r="H164" s="15"/>
      <c r="I164" s="15"/>
      <c r="J164" s="15"/>
      <c r="K164" s="15"/>
    </row>
    <row r="165" spans="1:11" ht="30" x14ac:dyDescent="0.25">
      <c r="A165" s="11">
        <v>13</v>
      </c>
      <c r="B165" s="28" t="s">
        <v>59</v>
      </c>
      <c r="C165" s="15"/>
      <c r="D165" s="15"/>
      <c r="E165" s="15"/>
      <c r="F165" s="15"/>
      <c r="G165" s="15"/>
      <c r="H165" s="15"/>
      <c r="I165" s="15"/>
      <c r="J165" s="15"/>
      <c r="K165" s="15"/>
    </row>
    <row r="166" spans="1:11" x14ac:dyDescent="0.25">
      <c r="A166" s="15"/>
      <c r="B166" s="16" t="s">
        <v>85</v>
      </c>
      <c r="C166" s="45">
        <f>C142*0</f>
        <v>0</v>
      </c>
      <c r="D166" s="3"/>
      <c r="E166" s="3"/>
      <c r="F166" s="3"/>
      <c r="G166" s="3">
        <f>SUM(G142:G147)</f>
        <v>73.614639569990103</v>
      </c>
      <c r="H166" s="15"/>
      <c r="I166" s="15"/>
      <c r="J166" s="15"/>
      <c r="K166" s="15"/>
    </row>
    <row r="167" spans="1:11" s="10" customFormat="1" ht="15" customHeight="1" x14ac:dyDescent="0.25">
      <c r="A167" s="17"/>
      <c r="B167" s="18" t="s">
        <v>16</v>
      </c>
      <c r="C167" s="19"/>
      <c r="D167" s="1"/>
      <c r="E167" s="20"/>
      <c r="F167" s="20"/>
      <c r="G167" s="2">
        <f>SUM(G166:G166)</f>
        <v>73.614639569990103</v>
      </c>
      <c r="H167" s="21" t="s">
        <v>34</v>
      </c>
      <c r="I167" s="2">
        <v>253.8</v>
      </c>
      <c r="J167" s="22">
        <f>G167*I167</f>
        <v>18683.395522863488</v>
      </c>
      <c r="K167" s="20"/>
    </row>
    <row r="168" spans="1:11" s="10" customFormat="1" hidden="1" x14ac:dyDescent="0.25">
      <c r="A168" s="24"/>
      <c r="B168" s="25" t="s">
        <v>60</v>
      </c>
      <c r="C168" s="26"/>
      <c r="D168" s="27"/>
      <c r="E168" s="27"/>
      <c r="F168" s="27"/>
      <c r="G168" s="27"/>
      <c r="H168" s="26"/>
      <c r="I168" s="26"/>
      <c r="J168" s="22">
        <f>0.13*G167*2304/100</f>
        <v>220.49056844003437</v>
      </c>
      <c r="K168" s="26"/>
    </row>
    <row r="169" spans="1:11" s="10" customFormat="1" hidden="1" x14ac:dyDescent="0.25">
      <c r="A169" s="24"/>
      <c r="B169" s="25" t="s">
        <v>61</v>
      </c>
      <c r="C169" s="26"/>
      <c r="D169" s="27"/>
      <c r="E169" s="27"/>
      <c r="F169" s="27"/>
      <c r="G169" s="27"/>
      <c r="H169" s="26"/>
      <c r="I169" s="26"/>
      <c r="J169" s="22">
        <f>0.13*G167*10432/100</f>
        <v>998.33229599237779</v>
      </c>
      <c r="K169" s="26"/>
    </row>
    <row r="170" spans="1:11" s="10" customFormat="1" x14ac:dyDescent="0.25">
      <c r="A170" s="24"/>
      <c r="B170" s="25"/>
      <c r="C170" s="26"/>
      <c r="D170" s="27"/>
      <c r="E170" s="27"/>
      <c r="F170" s="27"/>
      <c r="G170" s="27"/>
      <c r="H170" s="26"/>
      <c r="I170" s="26"/>
      <c r="J170" s="22"/>
      <c r="K170" s="26"/>
    </row>
    <row r="171" spans="1:11" ht="30" x14ac:dyDescent="0.25">
      <c r="A171" s="11">
        <v>14</v>
      </c>
      <c r="B171" s="28" t="s">
        <v>81</v>
      </c>
      <c r="C171" s="15"/>
      <c r="D171" s="15"/>
      <c r="E171" s="15"/>
      <c r="F171" s="15"/>
      <c r="G171" s="15"/>
      <c r="H171" s="15"/>
      <c r="I171" s="15"/>
      <c r="J171" s="15"/>
      <c r="K171" s="15"/>
    </row>
    <row r="172" spans="1:11" x14ac:dyDescent="0.25">
      <c r="A172" s="15"/>
      <c r="B172" s="16" t="s">
        <v>122</v>
      </c>
      <c r="C172" s="45">
        <f>C149</f>
        <v>0</v>
      </c>
      <c r="D172" s="3">
        <f>(18.25*2+15.25*2)/3.281</f>
        <v>20.42060347455044</v>
      </c>
      <c r="E172" s="3"/>
      <c r="F172" s="3"/>
      <c r="G172" s="3">
        <f>PRODUCT(C172:F172)</f>
        <v>0</v>
      </c>
      <c r="H172" s="15"/>
      <c r="I172" s="15"/>
      <c r="J172" s="15"/>
      <c r="K172" s="15"/>
    </row>
    <row r="173" spans="1:11" s="10" customFormat="1" ht="15" customHeight="1" x14ac:dyDescent="0.25">
      <c r="A173" s="17"/>
      <c r="B173" s="18" t="s">
        <v>16</v>
      </c>
      <c r="C173" s="19"/>
      <c r="D173" s="1"/>
      <c r="E173" s="20"/>
      <c r="F173" s="20"/>
      <c r="G173" s="2">
        <f>SUM(G172:G172)</f>
        <v>0</v>
      </c>
      <c r="H173" s="21" t="s">
        <v>82</v>
      </c>
      <c r="I173" s="2">
        <v>144.41</v>
      </c>
      <c r="J173" s="22">
        <f>G173*I173</f>
        <v>0</v>
      </c>
      <c r="K173" s="20"/>
    </row>
    <row r="174" spans="1:11" s="10" customFormat="1" hidden="1" x14ac:dyDescent="0.25">
      <c r="A174" s="24"/>
      <c r="B174" s="25" t="s">
        <v>32</v>
      </c>
      <c r="C174" s="26"/>
      <c r="D174" s="27"/>
      <c r="E174" s="27"/>
      <c r="F174" s="27"/>
      <c r="G174" s="27"/>
      <c r="H174" s="26"/>
      <c r="I174" s="26"/>
      <c r="J174" s="22">
        <f>0.13*G173*91.21</f>
        <v>0</v>
      </c>
      <c r="K174" s="26"/>
    </row>
    <row r="175" spans="1:11" s="10" customFormat="1" hidden="1" x14ac:dyDescent="0.25">
      <c r="A175" s="24"/>
      <c r="B175" s="25" t="s">
        <v>31</v>
      </c>
      <c r="C175" s="26"/>
      <c r="D175" s="27"/>
      <c r="E175" s="27"/>
      <c r="F175" s="27"/>
      <c r="G175" s="27"/>
      <c r="H175" s="26"/>
      <c r="I175" s="26"/>
      <c r="J175" s="22">
        <f>0.13*G173*12.71</f>
        <v>0</v>
      </c>
      <c r="K175" s="26"/>
    </row>
    <row r="176" spans="1:11" s="10" customFormat="1" hidden="1" x14ac:dyDescent="0.25">
      <c r="A176" s="24"/>
      <c r="B176" s="25" t="s">
        <v>123</v>
      </c>
      <c r="C176" s="26"/>
      <c r="D176" s="27"/>
      <c r="E176" s="27"/>
      <c r="F176" s="27"/>
      <c r="G176" s="27"/>
      <c r="H176" s="26"/>
      <c r="I176" s="26"/>
      <c r="J176" s="22">
        <f>0.13*G173*0.02</f>
        <v>0</v>
      </c>
      <c r="K176" s="26"/>
    </row>
    <row r="177" spans="1:11" s="10" customFormat="1" x14ac:dyDescent="0.25">
      <c r="A177" s="24"/>
      <c r="B177" s="25"/>
      <c r="C177" s="26"/>
      <c r="D177" s="27"/>
      <c r="E177" s="27"/>
      <c r="F177" s="27"/>
      <c r="G177" s="27"/>
      <c r="H177" s="26"/>
      <c r="I177" s="26"/>
      <c r="J177" s="22"/>
      <c r="K177" s="26"/>
    </row>
    <row r="178" spans="1:11" s="10" customFormat="1" ht="30" x14ac:dyDescent="0.25">
      <c r="A178" s="24">
        <v>15</v>
      </c>
      <c r="B178" s="28" t="s">
        <v>160</v>
      </c>
      <c r="C178" s="26"/>
      <c r="D178" s="27"/>
      <c r="E178" s="27"/>
      <c r="F178" s="27"/>
      <c r="G178" s="27"/>
      <c r="H178" s="26"/>
      <c r="I178" s="26"/>
      <c r="J178" s="22"/>
      <c r="K178" s="26"/>
    </row>
    <row r="179" spans="1:11" x14ac:dyDescent="0.25">
      <c r="A179" s="15"/>
      <c r="B179" s="16" t="s">
        <v>97</v>
      </c>
      <c r="C179" s="45">
        <v>1</v>
      </c>
      <c r="D179" s="3">
        <f>(3.917/3.281)+(8/3.281)*2</f>
        <v>6.0704053642182254</v>
      </c>
      <c r="E179" s="3">
        <v>7.4999999999999997E-2</v>
      </c>
      <c r="F179" s="3">
        <v>0.1</v>
      </c>
      <c r="G179" s="3">
        <f>PRODUCT(C179:F179)</f>
        <v>4.5528040231636695E-2</v>
      </c>
      <c r="H179" s="15"/>
      <c r="I179" s="15"/>
      <c r="J179" s="15"/>
      <c r="K179" s="15"/>
    </row>
    <row r="180" spans="1:11" x14ac:dyDescent="0.25">
      <c r="A180" s="15"/>
      <c r="B180" s="16" t="s">
        <v>98</v>
      </c>
      <c r="C180" s="45">
        <v>2</v>
      </c>
      <c r="D180" s="3">
        <f>(23+23+23+23)/12/3.281</f>
        <v>2.3366859697246776</v>
      </c>
      <c r="E180" s="3">
        <v>7.4999999999999997E-2</v>
      </c>
      <c r="F180" s="3">
        <v>7.4999999999999997E-2</v>
      </c>
      <c r="G180" s="3">
        <f>PRODUCT(C180:F180)</f>
        <v>2.6287717159402622E-2</v>
      </c>
      <c r="H180" s="15"/>
      <c r="I180" s="15"/>
      <c r="J180" s="15"/>
      <c r="K180" s="15"/>
    </row>
    <row r="181" spans="1:11" s="10" customFormat="1" ht="15" customHeight="1" x14ac:dyDescent="0.25">
      <c r="A181" s="17"/>
      <c r="B181" s="18" t="s">
        <v>16</v>
      </c>
      <c r="C181" s="19"/>
      <c r="D181" s="1"/>
      <c r="E181" s="20"/>
      <c r="F181" s="20"/>
      <c r="G181" s="2">
        <f>SUM(G179:G180)</f>
        <v>7.181575739103932E-2</v>
      </c>
      <c r="H181" s="21" t="s">
        <v>28</v>
      </c>
      <c r="I181" s="2">
        <v>284731.83</v>
      </c>
      <c r="J181" s="22">
        <f>G181*I181</f>
        <v>20448.232024786652</v>
      </c>
      <c r="K181" s="20"/>
    </row>
    <row r="182" spans="1:11" s="10" customFormat="1" hidden="1" x14ac:dyDescent="0.25">
      <c r="A182" s="24"/>
      <c r="B182" s="25" t="s">
        <v>99</v>
      </c>
      <c r="C182" s="26"/>
      <c r="D182" s="27"/>
      <c r="E182" s="27"/>
      <c r="F182" s="27"/>
      <c r="G182" s="27"/>
      <c r="H182" s="26"/>
      <c r="I182" s="26"/>
      <c r="J182" s="22">
        <f>0.13*G181*239222.83</f>
        <v>2233.3959338181198</v>
      </c>
      <c r="K182" s="26"/>
    </row>
    <row r="183" spans="1:11" s="10" customFormat="1" x14ac:dyDescent="0.25">
      <c r="A183" s="24"/>
      <c r="B183" s="25"/>
      <c r="C183" s="26"/>
      <c r="D183" s="27"/>
      <c r="E183" s="27"/>
      <c r="F183" s="27"/>
      <c r="G183" s="27"/>
      <c r="H183" s="26"/>
      <c r="I183" s="26"/>
      <c r="J183" s="22"/>
      <c r="K183" s="26"/>
    </row>
    <row r="184" spans="1:11" s="10" customFormat="1" ht="45" x14ac:dyDescent="0.25">
      <c r="A184" s="24">
        <v>16</v>
      </c>
      <c r="B184" s="30" t="s">
        <v>96</v>
      </c>
      <c r="C184" s="26"/>
      <c r="D184" s="27"/>
      <c r="E184" s="27"/>
      <c r="F184" s="27"/>
      <c r="G184" s="27"/>
      <c r="H184" s="26"/>
      <c r="I184" s="26"/>
      <c r="J184" s="22"/>
      <c r="K184" s="26"/>
    </row>
    <row r="185" spans="1:11" x14ac:dyDescent="0.25">
      <c r="A185" s="15"/>
      <c r="B185" s="16" t="s">
        <v>97</v>
      </c>
      <c r="C185" s="45">
        <f>0*1</f>
        <v>0</v>
      </c>
      <c r="D185" s="3">
        <f>D130</f>
        <v>1.2</v>
      </c>
      <c r="E185" s="3"/>
      <c r="F185" s="3">
        <f>7/3.281</f>
        <v>2.1334958854007922</v>
      </c>
      <c r="G185" s="3">
        <f>PRODUCT(C185:F185)</f>
        <v>0</v>
      </c>
      <c r="H185" s="15"/>
      <c r="I185" s="15"/>
      <c r="J185" s="15"/>
      <c r="K185" s="15"/>
    </row>
    <row r="186" spans="1:11" x14ac:dyDescent="0.25">
      <c r="A186" s="15"/>
      <c r="B186" s="16" t="s">
        <v>98</v>
      </c>
      <c r="C186" s="45">
        <f>0*2</f>
        <v>0</v>
      </c>
      <c r="D186" s="3">
        <f>D131</f>
        <v>0.6</v>
      </c>
      <c r="E186" s="3"/>
      <c r="F186" s="3">
        <f>F131</f>
        <v>0.71014934471197799</v>
      </c>
      <c r="G186" s="3">
        <f>PRODUCT(C186:F186)</f>
        <v>0</v>
      </c>
      <c r="H186" s="15"/>
      <c r="I186" s="15"/>
      <c r="J186" s="15"/>
      <c r="K186" s="15"/>
    </row>
    <row r="187" spans="1:11" s="10" customFormat="1" ht="15" customHeight="1" x14ac:dyDescent="0.25">
      <c r="A187" s="17"/>
      <c r="B187" s="18" t="s">
        <v>16</v>
      </c>
      <c r="C187" s="19"/>
      <c r="D187" s="1"/>
      <c r="E187" s="20"/>
      <c r="F187" s="20"/>
      <c r="G187" s="2">
        <f>SUM(G185:G186)</f>
        <v>0</v>
      </c>
      <c r="H187" s="21" t="s">
        <v>34</v>
      </c>
      <c r="I187" s="2">
        <v>37363.64</v>
      </c>
      <c r="J187" s="22">
        <f>G187*I187</f>
        <v>0</v>
      </c>
      <c r="K187" s="20"/>
    </row>
    <row r="188" spans="1:11" s="10" customFormat="1" x14ac:dyDescent="0.25">
      <c r="A188" s="24"/>
      <c r="B188" s="25" t="s">
        <v>99</v>
      </c>
      <c r="C188" s="26"/>
      <c r="D188" s="27"/>
      <c r="E188" s="27"/>
      <c r="F188" s="27"/>
      <c r="G188" s="27"/>
      <c r="H188" s="26"/>
      <c r="I188" s="26"/>
      <c r="J188" s="22">
        <f>0.13*G187*7910.91/0.92</f>
        <v>0</v>
      </c>
      <c r="K188" s="26"/>
    </row>
    <row r="189" spans="1:11" s="10" customFormat="1" x14ac:dyDescent="0.25">
      <c r="A189" s="24"/>
      <c r="B189" s="25"/>
      <c r="C189" s="26"/>
      <c r="D189" s="27"/>
      <c r="E189" s="27"/>
      <c r="F189" s="27"/>
      <c r="G189" s="27"/>
      <c r="H189" s="26"/>
      <c r="I189" s="26"/>
      <c r="J189" s="22"/>
      <c r="K189" s="26"/>
    </row>
    <row r="190" spans="1:11" s="10" customFormat="1" ht="30" x14ac:dyDescent="0.25">
      <c r="A190" s="24">
        <v>17</v>
      </c>
      <c r="B190" s="50" t="s">
        <v>110</v>
      </c>
      <c r="C190" s="26"/>
      <c r="D190" s="26"/>
      <c r="E190" s="26"/>
      <c r="F190" s="26"/>
      <c r="G190" s="26"/>
      <c r="H190" s="26"/>
      <c r="I190" s="26"/>
      <c r="J190" s="26"/>
      <c r="K190" s="26"/>
    </row>
    <row r="191" spans="1:11" s="10" customFormat="1" x14ac:dyDescent="0.25">
      <c r="A191" s="24"/>
      <c r="B191" s="25" t="s">
        <v>111</v>
      </c>
      <c r="C191" s="26">
        <f>0*1</f>
        <v>0</v>
      </c>
      <c r="D191" s="27">
        <f>Q10</f>
        <v>1.2</v>
      </c>
      <c r="E191" s="26"/>
      <c r="F191" s="26"/>
      <c r="G191" s="27">
        <f t="shared" ref="G191" si="14">PRODUCT(C191:F191)</f>
        <v>0</v>
      </c>
      <c r="H191" s="26"/>
      <c r="I191" s="26"/>
      <c r="J191" s="22"/>
      <c r="K191" s="26"/>
    </row>
    <row r="192" spans="1:11" s="44" customFormat="1" x14ac:dyDescent="0.25">
      <c r="A192" s="17"/>
      <c r="B192" s="55" t="s">
        <v>112</v>
      </c>
      <c r="C192" s="19"/>
      <c r="D192" s="1"/>
      <c r="E192" s="20"/>
      <c r="F192" s="20"/>
      <c r="G192" s="56">
        <f>SUM(G191:G191)</f>
        <v>0</v>
      </c>
      <c r="H192" s="21" t="s">
        <v>82</v>
      </c>
      <c r="I192" s="2">
        <v>248</v>
      </c>
      <c r="J192" s="56">
        <f>G192*I192</f>
        <v>0</v>
      </c>
      <c r="K192" s="20"/>
    </row>
    <row r="193" spans="1:11" s="10" customFormat="1" hidden="1" x14ac:dyDescent="0.25">
      <c r="A193" s="24"/>
      <c r="B193" s="25" t="s">
        <v>113</v>
      </c>
      <c r="C193" s="26"/>
      <c r="D193" s="26"/>
      <c r="E193" s="26"/>
      <c r="F193" s="26"/>
      <c r="G193" s="26"/>
      <c r="H193" s="26"/>
      <c r="I193" s="26"/>
      <c r="J193" s="22">
        <f>0.13*J192</f>
        <v>0</v>
      </c>
      <c r="K193" s="26"/>
    </row>
    <row r="194" spans="1:11" s="10" customFormat="1" x14ac:dyDescent="0.25">
      <c r="A194" s="24"/>
      <c r="B194" s="50"/>
      <c r="C194" s="26"/>
      <c r="D194" s="26"/>
      <c r="E194" s="26"/>
      <c r="F194" s="26"/>
      <c r="G194" s="26"/>
      <c r="H194" s="26"/>
      <c r="I194" s="26"/>
      <c r="J194" s="26"/>
      <c r="K194" s="26"/>
    </row>
    <row r="195" spans="1:11" ht="45" x14ac:dyDescent="0.25">
      <c r="A195" s="11">
        <v>18</v>
      </c>
      <c r="B195" s="28" t="s">
        <v>125</v>
      </c>
      <c r="C195" s="59" t="s">
        <v>7</v>
      </c>
      <c r="D195" s="59" t="s">
        <v>27</v>
      </c>
      <c r="E195" s="59" t="s">
        <v>126</v>
      </c>
      <c r="F195" s="59" t="s">
        <v>127</v>
      </c>
      <c r="G195" s="15"/>
      <c r="H195" s="15"/>
      <c r="I195" s="15"/>
      <c r="J195" s="15"/>
      <c r="K195" s="15"/>
    </row>
    <row r="196" spans="1:11" ht="30" x14ac:dyDescent="0.25">
      <c r="A196" s="13"/>
      <c r="B196" s="60" t="s">
        <v>131</v>
      </c>
      <c r="C196" s="45">
        <f>0*(8+6+6+4)</f>
        <v>0</v>
      </c>
      <c r="D196" s="3">
        <f>0.9+0.23</f>
        <v>1.1300000000000001</v>
      </c>
      <c r="E196" s="3">
        <v>3.54</v>
      </c>
      <c r="F196" s="3">
        <f>PRODUCT(C196:E196)</f>
        <v>0</v>
      </c>
      <c r="G196" s="3">
        <f>F196</f>
        <v>0</v>
      </c>
      <c r="H196" s="15"/>
      <c r="I196" s="15"/>
      <c r="J196" s="15"/>
      <c r="K196" s="15"/>
    </row>
    <row r="197" spans="1:11" ht="30" x14ac:dyDescent="0.25">
      <c r="A197" s="13"/>
      <c r="B197" s="60" t="s">
        <v>132</v>
      </c>
      <c r="C197" s="45">
        <f>0*1</f>
        <v>0</v>
      </c>
      <c r="D197" s="3">
        <f>(21+18+18+16-0.25*4)/3.281</f>
        <v>21.94452910697958</v>
      </c>
      <c r="E197" s="3">
        <v>2.93</v>
      </c>
      <c r="F197" s="3">
        <f>PRODUCT(C197:E197)</f>
        <v>0</v>
      </c>
      <c r="G197" s="3">
        <f>F197</f>
        <v>0</v>
      </c>
      <c r="H197" s="15"/>
      <c r="I197" s="15"/>
      <c r="J197" s="15"/>
      <c r="K197" s="15"/>
    </row>
    <row r="198" spans="1:11" s="10" customFormat="1" ht="15" customHeight="1" x14ac:dyDescent="0.25">
      <c r="A198" s="17"/>
      <c r="B198" s="18" t="s">
        <v>16</v>
      </c>
      <c r="C198" s="19"/>
      <c r="D198" s="1"/>
      <c r="E198" s="20"/>
      <c r="F198" s="20"/>
      <c r="G198" s="2">
        <f>SUM(G196:G197)</f>
        <v>0</v>
      </c>
      <c r="H198" s="21" t="s">
        <v>128</v>
      </c>
      <c r="I198" s="2">
        <v>182.51</v>
      </c>
      <c r="J198" s="22">
        <f>G198*I198</f>
        <v>0</v>
      </c>
      <c r="K198" s="20"/>
    </row>
    <row r="199" spans="1:11" s="44" customFormat="1" ht="30" x14ac:dyDescent="0.25">
      <c r="A199" s="24"/>
      <c r="B199" s="61" t="s">
        <v>129</v>
      </c>
      <c r="C199" s="38"/>
      <c r="D199" s="39"/>
      <c r="E199" s="39"/>
      <c r="F199" s="39"/>
      <c r="G199" s="39"/>
      <c r="H199" s="38"/>
      <c r="I199" s="38"/>
      <c r="J199" s="21">
        <f>0.13*G198*1761.42/18.94</f>
        <v>0</v>
      </c>
      <c r="K199" s="38"/>
    </row>
    <row r="200" spans="1:11" s="10" customFormat="1" hidden="1" x14ac:dyDescent="0.25">
      <c r="A200" s="24"/>
      <c r="B200" s="25" t="s">
        <v>130</v>
      </c>
      <c r="C200" s="26"/>
      <c r="D200" s="27"/>
      <c r="E200" s="27"/>
      <c r="F200" s="27"/>
      <c r="G200" s="27"/>
      <c r="H200" s="26"/>
      <c r="I200" s="26"/>
      <c r="J200" s="22">
        <f>0.13*G198*110/18.94</f>
        <v>0</v>
      </c>
      <c r="K200" s="26"/>
    </row>
    <row r="201" spans="1:11" s="10" customFormat="1" x14ac:dyDescent="0.25">
      <c r="A201" s="24"/>
      <c r="B201" s="25"/>
      <c r="C201" s="26"/>
      <c r="D201" s="27"/>
      <c r="E201" s="27"/>
      <c r="F201" s="27"/>
      <c r="G201" s="27"/>
      <c r="H201" s="26"/>
      <c r="I201" s="26"/>
      <c r="J201" s="22"/>
      <c r="K201" s="26"/>
    </row>
    <row r="202" spans="1:11" s="10" customFormat="1" ht="30" x14ac:dyDescent="0.25">
      <c r="A202" s="17">
        <v>19</v>
      </c>
      <c r="B202" s="30" t="s">
        <v>83</v>
      </c>
      <c r="C202" s="19">
        <f>0*1</f>
        <v>0</v>
      </c>
      <c r="D202" s="1"/>
      <c r="E202" s="20"/>
      <c r="F202" s="20"/>
      <c r="G202" s="21">
        <f t="shared" ref="G202" si="15">PRODUCT(C202:F202)</f>
        <v>0</v>
      </c>
      <c r="H202" s="21" t="s">
        <v>30</v>
      </c>
      <c r="I202" s="2">
        <v>5000</v>
      </c>
      <c r="J202" s="21">
        <f>G202*I202</f>
        <v>0</v>
      </c>
      <c r="K202" s="20"/>
    </row>
    <row r="203" spans="1:11" s="10" customFormat="1" x14ac:dyDescent="0.25">
      <c r="A203" s="17"/>
      <c r="B203" s="31"/>
      <c r="C203" s="19"/>
      <c r="D203" s="1"/>
      <c r="E203" s="20"/>
      <c r="F203" s="20"/>
      <c r="G203" s="2"/>
      <c r="H203" s="21"/>
      <c r="I203" s="2"/>
      <c r="J203" s="22"/>
      <c r="K203" s="20"/>
    </row>
    <row r="204" spans="1:11" s="10" customFormat="1" ht="15" customHeight="1" x14ac:dyDescent="0.25">
      <c r="A204" s="17">
        <v>20</v>
      </c>
      <c r="B204" s="30" t="s">
        <v>17</v>
      </c>
      <c r="C204" s="19">
        <f>0*1</f>
        <v>0</v>
      </c>
      <c r="D204" s="1"/>
      <c r="E204" s="20"/>
      <c r="F204" s="20"/>
      <c r="G204" s="21">
        <f t="shared" ref="G204" si="16">PRODUCT(C204:F204)</f>
        <v>0</v>
      </c>
      <c r="H204" s="21" t="s">
        <v>18</v>
      </c>
      <c r="I204" s="2">
        <v>1000</v>
      </c>
      <c r="J204" s="21">
        <f>G204*I204</f>
        <v>0</v>
      </c>
      <c r="K204" s="20"/>
    </row>
    <row r="205" spans="1:11" s="10" customFormat="1" x14ac:dyDescent="0.25">
      <c r="A205" s="17"/>
      <c r="B205" s="31"/>
      <c r="C205" s="19"/>
      <c r="D205" s="1"/>
      <c r="E205" s="20"/>
      <c r="F205" s="20"/>
      <c r="G205" s="2"/>
      <c r="H205" s="21"/>
      <c r="I205" s="2"/>
      <c r="J205" s="22"/>
      <c r="K205" s="20"/>
    </row>
    <row r="206" spans="1:11" s="10" customFormat="1" x14ac:dyDescent="0.25">
      <c r="A206" s="32"/>
      <c r="B206" s="33" t="s">
        <v>20</v>
      </c>
      <c r="C206" s="34"/>
      <c r="D206" s="35"/>
      <c r="E206" s="35"/>
      <c r="F206" s="35"/>
      <c r="G206" s="22"/>
      <c r="H206" s="22"/>
      <c r="I206" s="22"/>
      <c r="J206" s="22">
        <f>SUM(J19:J204)</f>
        <v>406039.11358584207</v>
      </c>
      <c r="K206" s="36"/>
    </row>
    <row r="207" spans="1:11" s="10" customFormat="1" x14ac:dyDescent="0.25"/>
    <row r="208" spans="1:11" s="44" customFormat="1" hidden="1" x14ac:dyDescent="0.25">
      <c r="A208" s="37"/>
      <c r="B208" s="38" t="s">
        <v>157</v>
      </c>
      <c r="C208" s="90">
        <f>J206</f>
        <v>406039.11358584207</v>
      </c>
      <c r="D208" s="91"/>
      <c r="E208" s="39">
        <v>100</v>
      </c>
      <c r="F208" s="37"/>
      <c r="G208" s="40"/>
      <c r="H208" s="37"/>
      <c r="I208" s="41"/>
      <c r="J208" s="42"/>
      <c r="K208" s="43"/>
    </row>
    <row r="209" spans="2:5" s="10" customFormat="1" hidden="1" x14ac:dyDescent="0.25">
      <c r="B209" s="38" t="s">
        <v>21</v>
      </c>
      <c r="C209" s="94">
        <v>700000</v>
      </c>
      <c r="D209" s="95"/>
      <c r="E209" s="39"/>
    </row>
    <row r="210" spans="2:5" s="10" customFormat="1" hidden="1" x14ac:dyDescent="0.25">
      <c r="B210" s="38" t="s">
        <v>22</v>
      </c>
      <c r="C210" s="94">
        <f>81.92%*M!C208</f>
        <v>332627.24184952182</v>
      </c>
      <c r="D210" s="95"/>
      <c r="E210" s="39">
        <f>C210/C208*100</f>
        <v>81.919999999999987</v>
      </c>
    </row>
    <row r="211" spans="2:5" s="10" customFormat="1" hidden="1" x14ac:dyDescent="0.25">
      <c r="B211" s="38" t="s">
        <v>26</v>
      </c>
      <c r="C211" s="96">
        <f>C208-C210</f>
        <v>73411.87173632026</v>
      </c>
      <c r="D211" s="96"/>
      <c r="E211" s="39">
        <f>100-E210</f>
        <v>18.080000000000013</v>
      </c>
    </row>
    <row r="212" spans="2:5" s="10" customFormat="1" hidden="1" x14ac:dyDescent="0.25">
      <c r="B212" s="38" t="s">
        <v>23</v>
      </c>
      <c r="C212" s="90">
        <f>C209*0.03</f>
        <v>21000</v>
      </c>
      <c r="D212" s="91"/>
      <c r="E212" s="39">
        <v>3</v>
      </c>
    </row>
    <row r="213" spans="2:5" s="10" customFormat="1" hidden="1" x14ac:dyDescent="0.25">
      <c r="B213" s="38" t="s">
        <v>24</v>
      </c>
      <c r="C213" s="90">
        <f>C209*0.02</f>
        <v>14000</v>
      </c>
      <c r="D213" s="91"/>
      <c r="E213" s="39">
        <v>2</v>
      </c>
    </row>
  </sheetData>
  <mergeCells count="13">
    <mergeCell ref="C212:D212"/>
    <mergeCell ref="C213:D213"/>
    <mergeCell ref="A7:F7"/>
    <mergeCell ref="C208:D208"/>
    <mergeCell ref="C209:D209"/>
    <mergeCell ref="C210:D210"/>
    <mergeCell ref="C211:D211"/>
    <mergeCell ref="A1:K1"/>
    <mergeCell ref="A2:K2"/>
    <mergeCell ref="A3:K3"/>
    <mergeCell ref="A4:K4"/>
    <mergeCell ref="A5:K5"/>
    <mergeCell ref="A6:F6"/>
  </mergeCells>
  <pageMargins left="0.7" right="0.7" top="0.75" bottom="0.75" header="0.3" footer="0.3"/>
  <pageSetup paperSize="9" scale="80" orientation="portrait" r:id="rId1"/>
  <headerFooter>
    <oddFooter>&amp;LPrepared By:&amp;CChecked By:&amp;RApproved By: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93"/>
  <sheetViews>
    <sheetView topLeftCell="A173" zoomScaleNormal="100" workbookViewId="0">
      <selection activeCell="J175" sqref="J175"/>
    </sheetView>
  </sheetViews>
  <sheetFormatPr defaultColWidth="9.140625" defaultRowHeight="15" x14ac:dyDescent="0.25"/>
  <cols>
    <col min="1" max="1" width="4.7109375" customWidth="1"/>
    <col min="2" max="2" width="30.85546875" customWidth="1"/>
    <col min="3" max="3" width="5.57031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25" x14ac:dyDescent="0.25">
      <c r="A1" s="86" t="s">
        <v>0</v>
      </c>
      <c r="B1" s="86"/>
      <c r="C1" s="86"/>
      <c r="D1" s="86"/>
      <c r="E1" s="86"/>
      <c r="F1" s="86"/>
      <c r="G1" s="86"/>
      <c r="H1" s="86"/>
      <c r="I1" s="86"/>
      <c r="J1" s="86"/>
      <c r="K1" s="86"/>
    </row>
    <row r="2" spans="1:25" ht="22.5" x14ac:dyDescent="0.25">
      <c r="A2" s="87" t="s">
        <v>1</v>
      </c>
      <c r="B2" s="87"/>
      <c r="C2" s="87"/>
      <c r="D2" s="87"/>
      <c r="E2" s="87"/>
      <c r="F2" s="87"/>
      <c r="G2" s="87"/>
      <c r="H2" s="87"/>
      <c r="I2" s="87"/>
      <c r="J2" s="87"/>
      <c r="K2" s="87"/>
    </row>
    <row r="3" spans="1:25" x14ac:dyDescent="0.25">
      <c r="A3" s="88" t="s">
        <v>2</v>
      </c>
      <c r="B3" s="88"/>
      <c r="C3" s="88"/>
      <c r="D3" s="88"/>
      <c r="E3" s="88"/>
      <c r="F3" s="88"/>
      <c r="G3" s="88"/>
      <c r="H3" s="88"/>
      <c r="I3" s="88"/>
      <c r="J3" s="88"/>
      <c r="K3" s="88"/>
    </row>
    <row r="4" spans="1:25" x14ac:dyDescent="0.25">
      <c r="A4" s="88" t="s">
        <v>3</v>
      </c>
      <c r="B4" s="88"/>
      <c r="C4" s="88"/>
      <c r="D4" s="88"/>
      <c r="E4" s="88"/>
      <c r="F4" s="88"/>
      <c r="G4" s="88"/>
      <c r="H4" s="88"/>
      <c r="I4" s="88"/>
      <c r="J4" s="88"/>
      <c r="K4" s="88"/>
    </row>
    <row r="5" spans="1:25" ht="18.75" x14ac:dyDescent="0.3">
      <c r="A5" s="89" t="s">
        <v>4</v>
      </c>
      <c r="B5" s="89"/>
      <c r="C5" s="89"/>
      <c r="D5" s="89"/>
      <c r="E5" s="89"/>
      <c r="F5" s="89"/>
      <c r="G5" s="89"/>
      <c r="H5" s="89"/>
      <c r="I5" s="89"/>
      <c r="J5" s="89"/>
      <c r="K5" s="89"/>
    </row>
    <row r="6" spans="1:25" ht="15.75" x14ac:dyDescent="0.25">
      <c r="A6" s="84" t="s">
        <v>94</v>
      </c>
      <c r="B6" s="84"/>
      <c r="C6" s="84"/>
      <c r="D6" s="84"/>
      <c r="E6" s="84"/>
      <c r="F6" s="84"/>
      <c r="G6" s="4"/>
      <c r="H6" s="85" t="s">
        <v>25</v>
      </c>
      <c r="I6" s="85"/>
      <c r="J6" s="85"/>
      <c r="K6" s="85"/>
    </row>
    <row r="7" spans="1:25" ht="15.75" x14ac:dyDescent="0.25">
      <c r="A7" s="92" t="s">
        <v>29</v>
      </c>
      <c r="B7" s="92"/>
      <c r="C7" s="92"/>
      <c r="D7" s="92"/>
      <c r="E7" s="92"/>
      <c r="F7" s="92"/>
      <c r="G7" s="5"/>
      <c r="H7" s="93" t="s">
        <v>62</v>
      </c>
      <c r="I7" s="93"/>
      <c r="J7" s="93"/>
      <c r="K7" s="93"/>
    </row>
    <row r="8" spans="1:25" s="10" customFormat="1" ht="15.75" x14ac:dyDescent="0.25">
      <c r="A8" s="6" t="s">
        <v>5</v>
      </c>
      <c r="B8" s="7" t="s">
        <v>6</v>
      </c>
      <c r="C8" s="6" t="s">
        <v>7</v>
      </c>
      <c r="D8" s="8" t="s">
        <v>8</v>
      </c>
      <c r="E8" s="8" t="s">
        <v>9</v>
      </c>
      <c r="F8" s="8" t="s">
        <v>10</v>
      </c>
      <c r="G8" s="8" t="s">
        <v>11</v>
      </c>
      <c r="H8" s="6" t="s">
        <v>12</v>
      </c>
      <c r="I8" s="8" t="s">
        <v>13</v>
      </c>
      <c r="J8" s="8" t="s">
        <v>14</v>
      </c>
      <c r="K8" s="9" t="s">
        <v>15</v>
      </c>
      <c r="M8" s="10" t="s">
        <v>100</v>
      </c>
    </row>
    <row r="9" spans="1:25" s="44" customFormat="1" ht="30.75" x14ac:dyDescent="0.25">
      <c r="A9" s="51">
        <v>1</v>
      </c>
      <c r="B9" s="12" t="s">
        <v>54</v>
      </c>
      <c r="C9" s="51"/>
      <c r="D9" s="52"/>
      <c r="E9" s="52"/>
      <c r="F9" s="52"/>
      <c r="G9" s="52"/>
      <c r="H9" s="51"/>
      <c r="I9" s="52"/>
      <c r="J9" s="52"/>
      <c r="K9" s="53"/>
      <c r="M9" s="10" t="s">
        <v>101</v>
      </c>
      <c r="N9" s="10" t="s">
        <v>9</v>
      </c>
      <c r="O9" s="10" t="s">
        <v>102</v>
      </c>
      <c r="P9" s="10" t="s">
        <v>103</v>
      </c>
      <c r="Q9" s="10" t="s">
        <v>104</v>
      </c>
      <c r="R9" s="10" t="s">
        <v>105</v>
      </c>
      <c r="S9" s="10"/>
      <c r="T9" s="10"/>
      <c r="U9" s="10"/>
      <c r="V9" s="10"/>
      <c r="W9" s="10"/>
      <c r="X9" s="10"/>
      <c r="Y9" s="10"/>
    </row>
    <row r="10" spans="1:25" s="10" customFormat="1" x14ac:dyDescent="0.25">
      <c r="A10" s="24"/>
      <c r="B10" s="25" t="s">
        <v>106</v>
      </c>
      <c r="C10" s="49">
        <v>1</v>
      </c>
      <c r="D10" s="27">
        <f>5.5/3.281</f>
        <v>1.6763181956720512</v>
      </c>
      <c r="E10" s="27">
        <f>5.5/3.281</f>
        <v>1.6763181956720512</v>
      </c>
      <c r="F10" s="26">
        <v>0.15</v>
      </c>
      <c r="G10" s="27">
        <f>PRODUCT(C10:F10)</f>
        <v>0.42150640397118022</v>
      </c>
      <c r="H10" s="26"/>
      <c r="I10" s="26"/>
      <c r="J10" s="26"/>
      <c r="K10" s="26"/>
      <c r="M10" s="54">
        <f>5.5/3.281</f>
        <v>1.6763181956720512</v>
      </c>
      <c r="N10" s="54">
        <f>5.5/3.281</f>
        <v>1.6763181956720512</v>
      </c>
      <c r="O10" s="54">
        <v>0.23</v>
      </c>
      <c r="P10" s="54">
        <f>TRUNC(2/3.281,1)</f>
        <v>0.6</v>
      </c>
      <c r="Q10" s="54">
        <f>TRUNC(4/3.281,1)</f>
        <v>1.2</v>
      </c>
      <c r="R10" s="54">
        <f>1.17/3.281</f>
        <v>0.35659859798841814</v>
      </c>
    </row>
    <row r="11" spans="1:25" s="10" customFormat="1" ht="15" customHeight="1" x14ac:dyDescent="0.25">
      <c r="A11" s="17"/>
      <c r="B11" s="18" t="s">
        <v>16</v>
      </c>
      <c r="C11" s="19"/>
      <c r="D11" s="1"/>
      <c r="E11" s="20"/>
      <c r="F11" s="20"/>
      <c r="G11" s="2">
        <f>SUM(G10)</f>
        <v>0.42150640397118022</v>
      </c>
      <c r="H11" s="21" t="s">
        <v>28</v>
      </c>
      <c r="I11" s="2">
        <v>674.12</v>
      </c>
      <c r="J11" s="22">
        <f>G11*I11</f>
        <v>284.14589704505204</v>
      </c>
      <c r="K11" s="20"/>
    </row>
    <row r="12" spans="1:25" s="10" customFormat="1" ht="15.75" x14ac:dyDescent="0.25">
      <c r="A12" s="6"/>
      <c r="B12" s="7"/>
      <c r="C12" s="6"/>
      <c r="D12" s="8"/>
      <c r="E12" s="8"/>
      <c r="F12" s="8"/>
      <c r="G12" s="8"/>
      <c r="H12" s="6"/>
      <c r="I12" s="8"/>
      <c r="J12" s="8"/>
      <c r="K12" s="9"/>
    </row>
    <row r="13" spans="1:25" s="10" customFormat="1" ht="15.75" x14ac:dyDescent="0.25">
      <c r="A13" s="24">
        <v>2</v>
      </c>
      <c r="B13" s="12" t="s">
        <v>55</v>
      </c>
      <c r="C13" s="26"/>
      <c r="D13" s="26"/>
      <c r="E13" s="26"/>
      <c r="F13" s="26"/>
      <c r="G13" s="26"/>
      <c r="H13" s="26"/>
      <c r="I13" s="26"/>
      <c r="J13" s="26"/>
      <c r="K13" s="26"/>
    </row>
    <row r="14" spans="1:25" s="10" customFormat="1" x14ac:dyDescent="0.25">
      <c r="A14" s="24"/>
      <c r="B14" s="25" t="str">
        <f>B10</f>
        <v>-for stand tap</v>
      </c>
      <c r="C14" s="49">
        <f>C10</f>
        <v>1</v>
      </c>
      <c r="D14" s="27">
        <f>D10</f>
        <v>1.6763181956720512</v>
      </c>
      <c r="E14" s="27">
        <f>E10</f>
        <v>1.6763181956720512</v>
      </c>
      <c r="F14" s="26"/>
      <c r="G14" s="27">
        <f>PRODUCT(C14:F14)</f>
        <v>2.8100426931412015</v>
      </c>
      <c r="H14" s="26"/>
      <c r="I14" s="26"/>
      <c r="J14" s="26"/>
      <c r="K14" s="26"/>
    </row>
    <row r="15" spans="1:25" s="10" customFormat="1" ht="13.9" customHeight="1" x14ac:dyDescent="0.25">
      <c r="A15" s="17"/>
      <c r="B15" s="18" t="s">
        <v>16</v>
      </c>
      <c r="C15" s="19"/>
      <c r="D15" s="1"/>
      <c r="E15" s="20"/>
      <c r="F15" s="20"/>
      <c r="G15" s="2">
        <f>SUM(G14)</f>
        <v>2.8100426931412015</v>
      </c>
      <c r="H15" s="21" t="s">
        <v>34</v>
      </c>
      <c r="I15" s="2">
        <v>1017.47</v>
      </c>
      <c r="J15" s="22">
        <f>G15*I15</f>
        <v>2859.1341389903782</v>
      </c>
      <c r="K15" s="20"/>
    </row>
    <row r="16" spans="1:25" s="10" customFormat="1" x14ac:dyDescent="0.25">
      <c r="A16" s="24"/>
      <c r="B16" s="25" t="s">
        <v>53</v>
      </c>
      <c r="C16" s="26"/>
      <c r="D16" s="26"/>
      <c r="E16" s="26"/>
      <c r="F16" s="26"/>
      <c r="G16" s="26"/>
      <c r="H16" s="26"/>
      <c r="I16" s="26"/>
      <c r="J16" s="22">
        <f>0.13*G15*6360.9/10</f>
        <v>232.36720736842426</v>
      </c>
      <c r="K16" s="26"/>
    </row>
    <row r="17" spans="1:11" s="10" customFormat="1" x14ac:dyDescent="0.25">
      <c r="A17" s="24"/>
      <c r="B17" s="25" t="s">
        <v>31</v>
      </c>
      <c r="C17" s="26"/>
      <c r="D17" s="26"/>
      <c r="E17" s="26"/>
      <c r="F17" s="26"/>
      <c r="G17" s="26"/>
      <c r="H17" s="26"/>
      <c r="I17" s="26"/>
      <c r="J17" s="22">
        <f>0.13*G15*2256.3/10</f>
        <v>82.423891270948417</v>
      </c>
      <c r="K17" s="26"/>
    </row>
    <row r="18" spans="1:11" s="10" customFormat="1" x14ac:dyDescent="0.25">
      <c r="A18" s="24"/>
      <c r="B18" s="25"/>
      <c r="C18" s="26"/>
      <c r="D18" s="26"/>
      <c r="E18" s="26"/>
      <c r="F18" s="26"/>
      <c r="G18" s="26"/>
      <c r="H18" s="26"/>
      <c r="I18" s="26"/>
      <c r="J18" s="22"/>
      <c r="K18" s="26"/>
    </row>
    <row r="19" spans="1:11" s="14" customFormat="1" ht="45" x14ac:dyDescent="0.2">
      <c r="A19" s="11">
        <v>3</v>
      </c>
      <c r="B19" s="12" t="s">
        <v>84</v>
      </c>
      <c r="C19" s="13"/>
      <c r="D19" s="23"/>
      <c r="E19" s="23"/>
      <c r="F19" s="23"/>
      <c r="G19" s="23"/>
      <c r="H19" s="13"/>
      <c r="I19" s="13"/>
      <c r="J19" s="13"/>
      <c r="K19" s="13"/>
    </row>
    <row r="20" spans="1:11" x14ac:dyDescent="0.25">
      <c r="A20" s="15"/>
      <c r="B20" s="16" t="s">
        <v>88</v>
      </c>
      <c r="C20" s="45">
        <f>2</f>
        <v>2</v>
      </c>
      <c r="D20" s="3">
        <f>15/3.281</f>
        <v>4.5717768972874122</v>
      </c>
      <c r="E20" s="3">
        <v>0.35</v>
      </c>
      <c r="F20" s="3">
        <v>0.1</v>
      </c>
      <c r="G20" s="3">
        <f>PRODUCT(C20:F20)</f>
        <v>0.32002438281011886</v>
      </c>
      <c r="H20" s="15"/>
      <c r="I20" s="15"/>
      <c r="J20" s="15"/>
      <c r="K20" s="15"/>
    </row>
    <row r="21" spans="1:11" x14ac:dyDescent="0.25">
      <c r="A21" s="15"/>
      <c r="B21" s="16"/>
      <c r="C21" s="45">
        <f>2</f>
        <v>2</v>
      </c>
      <c r="D21" s="3">
        <f>9.75/3.281</f>
        <v>2.9716549832368178</v>
      </c>
      <c r="E21" s="3">
        <v>0.35</v>
      </c>
      <c r="F21" s="3">
        <v>0.1</v>
      </c>
      <c r="G21" s="3">
        <f>PRODUCT(C21:F21)</f>
        <v>0.20801584882657723</v>
      </c>
      <c r="H21" s="15"/>
      <c r="I21" s="15"/>
      <c r="J21" s="15"/>
      <c r="K21" s="15"/>
    </row>
    <row r="22" spans="1:11" x14ac:dyDescent="0.25">
      <c r="A22" s="15"/>
      <c r="B22" s="16" t="str">
        <f>B14</f>
        <v>-for stand tap</v>
      </c>
      <c r="C22" s="62">
        <f t="shared" ref="C22:E22" si="0">C14</f>
        <v>1</v>
      </c>
      <c r="D22" s="57">
        <f t="shared" si="0"/>
        <v>1.6763181956720512</v>
      </c>
      <c r="E22" s="57">
        <f t="shared" si="0"/>
        <v>1.6763181956720512</v>
      </c>
      <c r="F22" s="57">
        <v>0.1</v>
      </c>
      <c r="G22" s="3">
        <f>PRODUCT(C22:F22)</f>
        <v>0.28100426931412015</v>
      </c>
      <c r="H22" s="15"/>
      <c r="I22" s="15"/>
      <c r="J22" s="15"/>
      <c r="K22" s="15"/>
    </row>
    <row r="23" spans="1:11" s="10" customFormat="1" ht="15" customHeight="1" x14ac:dyDescent="0.25">
      <c r="A23" s="17"/>
      <c r="B23" s="18" t="s">
        <v>16</v>
      </c>
      <c r="C23" s="19"/>
      <c r="D23" s="1"/>
      <c r="E23" s="20"/>
      <c r="F23" s="20"/>
      <c r="G23" s="2">
        <f>SUM(G20:G22)</f>
        <v>0.80904450095081626</v>
      </c>
      <c r="H23" s="21" t="s">
        <v>28</v>
      </c>
      <c r="I23" s="2">
        <v>12884.61</v>
      </c>
      <c r="J23" s="22">
        <f>G23*I23</f>
        <v>10424.222867395898</v>
      </c>
      <c r="K23" s="20"/>
    </row>
    <row r="24" spans="1:11" s="10" customFormat="1" x14ac:dyDescent="0.25">
      <c r="A24" s="24"/>
      <c r="B24" s="25" t="s">
        <v>32</v>
      </c>
      <c r="C24" s="26"/>
      <c r="D24" s="27"/>
      <c r="E24" s="27"/>
      <c r="F24" s="27"/>
      <c r="G24" s="27"/>
      <c r="H24" s="26"/>
      <c r="I24" s="26"/>
      <c r="J24" s="22">
        <f>0.13*G23*4169.92</f>
        <v>438.57460990262763</v>
      </c>
      <c r="K24" s="26"/>
    </row>
    <row r="25" spans="1:11" s="10" customFormat="1" x14ac:dyDescent="0.25">
      <c r="A25" s="24"/>
      <c r="B25" s="25" t="s">
        <v>33</v>
      </c>
      <c r="C25" s="26"/>
      <c r="D25" s="27"/>
      <c r="E25" s="27"/>
      <c r="F25" s="27"/>
      <c r="G25" s="27"/>
      <c r="H25" s="26"/>
      <c r="I25" s="26"/>
      <c r="J25" s="22">
        <f>0.13*G23*(1652.5+1106.96)</f>
        <v>290.22837201718613</v>
      </c>
      <c r="K25" s="26"/>
    </row>
    <row r="26" spans="1:11" s="10" customFormat="1" x14ac:dyDescent="0.25">
      <c r="A26" s="24"/>
      <c r="B26" s="25" t="s">
        <v>31</v>
      </c>
      <c r="C26" s="26"/>
      <c r="D26" s="27"/>
      <c r="E26" s="27"/>
      <c r="F26" s="27"/>
      <c r="G26" s="27"/>
      <c r="H26" s="26"/>
      <c r="I26" s="26"/>
      <c r="J26" s="22">
        <f>0.13*G23*1414.16</f>
        <v>148.73538829039884</v>
      </c>
      <c r="K26" s="26"/>
    </row>
    <row r="27" spans="1:11" x14ac:dyDescent="0.25">
      <c r="A27" s="15"/>
      <c r="B27" s="25" t="s">
        <v>35</v>
      </c>
      <c r="C27" s="15"/>
      <c r="D27" s="3"/>
      <c r="E27" s="3"/>
      <c r="F27" s="3"/>
      <c r="G27" s="3"/>
      <c r="H27" s="15"/>
      <c r="I27" s="15"/>
      <c r="J27" s="22">
        <f>0.13*G23*36.4</f>
        <v>3.8283985784992627</v>
      </c>
      <c r="K27" s="15"/>
    </row>
    <row r="28" spans="1:11" x14ac:dyDescent="0.25">
      <c r="A28" s="15"/>
      <c r="B28" s="25" t="s">
        <v>35</v>
      </c>
      <c r="C28" s="15"/>
      <c r="D28" s="3"/>
      <c r="E28" s="3"/>
      <c r="F28" s="3"/>
      <c r="G28" s="3"/>
      <c r="H28" s="15"/>
      <c r="I28" s="15"/>
      <c r="J28" s="22">
        <f>0.13*G23*392.92</f>
        <v>41.325669490767318</v>
      </c>
      <c r="K28" s="15"/>
    </row>
    <row r="29" spans="1:11" x14ac:dyDescent="0.25">
      <c r="A29" s="15"/>
      <c r="B29" s="25" t="s">
        <v>35</v>
      </c>
      <c r="C29" s="15"/>
      <c r="D29" s="3"/>
      <c r="E29" s="3"/>
      <c r="F29" s="3"/>
      <c r="G29" s="3"/>
      <c r="H29" s="15"/>
      <c r="I29" s="15"/>
      <c r="J29" s="22">
        <f>0.13*G23*14.15</f>
        <v>1.4882373594990266</v>
      </c>
      <c r="K29" s="15"/>
    </row>
    <row r="30" spans="1:11" x14ac:dyDescent="0.25">
      <c r="A30" s="15"/>
      <c r="B30" s="15"/>
      <c r="C30" s="15"/>
      <c r="D30" s="3"/>
      <c r="E30" s="3"/>
      <c r="F30" s="3"/>
      <c r="G30" s="3"/>
      <c r="H30" s="15"/>
      <c r="I30" s="15"/>
      <c r="J30" s="15"/>
      <c r="K30" s="15"/>
    </row>
    <row r="31" spans="1:11" s="14" customFormat="1" ht="30" x14ac:dyDescent="0.2">
      <c r="A31" s="11">
        <v>4</v>
      </c>
      <c r="B31" s="12" t="s">
        <v>42</v>
      </c>
      <c r="C31" s="13"/>
      <c r="D31" s="23"/>
      <c r="E31" s="23"/>
      <c r="F31" s="23"/>
      <c r="G31" s="23"/>
      <c r="H31" s="13"/>
      <c r="I31" s="13"/>
      <c r="J31" s="13"/>
      <c r="K31" s="13"/>
    </row>
    <row r="32" spans="1:11" x14ac:dyDescent="0.25">
      <c r="A32" s="15"/>
      <c r="B32" s="16" t="s">
        <v>89</v>
      </c>
      <c r="C32" s="45">
        <v>2</v>
      </c>
      <c r="D32" s="3">
        <f>15/3.281</f>
        <v>4.5717768972874122</v>
      </c>
      <c r="E32" s="3">
        <v>0.23</v>
      </c>
      <c r="F32" s="3">
        <v>0.35</v>
      </c>
      <c r="G32" s="3">
        <f t="shared" ref="G32:G38" si="1">PRODUCT(C32:F32)</f>
        <v>0.73605608046327342</v>
      </c>
      <c r="H32" s="15"/>
      <c r="I32" s="15"/>
      <c r="J32" s="15"/>
      <c r="K32" s="15"/>
    </row>
    <row r="33" spans="1:11" x14ac:dyDescent="0.25">
      <c r="A33" s="15"/>
      <c r="B33" s="16"/>
      <c r="C33" s="45">
        <f>2*2</f>
        <v>4</v>
      </c>
      <c r="D33" s="3">
        <f>9.75/3.281</f>
        <v>2.9716549832368178</v>
      </c>
      <c r="E33" s="3">
        <v>0.23</v>
      </c>
      <c r="F33" s="3">
        <v>0.35</v>
      </c>
      <c r="G33" s="3">
        <f t="shared" si="1"/>
        <v>0.95687290460225527</v>
      </c>
      <c r="H33" s="15"/>
      <c r="I33" s="15"/>
      <c r="J33" s="15"/>
      <c r="K33" s="15"/>
    </row>
    <row r="34" spans="1:11" x14ac:dyDescent="0.25">
      <c r="A34" s="15"/>
      <c r="B34" s="16" t="s">
        <v>90</v>
      </c>
      <c r="C34" s="45">
        <v>2</v>
      </c>
      <c r="D34" s="3">
        <f>5/3.281</f>
        <v>1.5239256324291375</v>
      </c>
      <c r="E34" s="3">
        <v>0.23</v>
      </c>
      <c r="F34" s="3">
        <v>0.23</v>
      </c>
      <c r="G34" s="3">
        <f t="shared" si="1"/>
        <v>0.16123133191100275</v>
      </c>
      <c r="H34" s="15"/>
      <c r="I34" s="15"/>
      <c r="J34" s="15"/>
      <c r="K34" s="15"/>
    </row>
    <row r="35" spans="1:11" x14ac:dyDescent="0.25">
      <c r="A35" s="15"/>
      <c r="B35" s="16"/>
      <c r="C35" s="45">
        <v>2</v>
      </c>
      <c r="D35" s="3">
        <f>3.75/3.281</f>
        <v>1.1429442243218531</v>
      </c>
      <c r="E35" s="3">
        <v>0.23</v>
      </c>
      <c r="F35" s="3">
        <v>0.23</v>
      </c>
      <c r="G35" s="3">
        <f t="shared" si="1"/>
        <v>0.12092349893325208</v>
      </c>
      <c r="H35" s="15"/>
      <c r="I35" s="15"/>
      <c r="J35" s="15"/>
      <c r="K35" s="15"/>
    </row>
    <row r="36" spans="1:11" x14ac:dyDescent="0.25">
      <c r="A36" s="15"/>
      <c r="B36" s="16" t="s">
        <v>91</v>
      </c>
      <c r="C36" s="45">
        <v>2</v>
      </c>
      <c r="D36" s="3">
        <f>((18.25+6.5)/2)/3.281</f>
        <v>3.7717159402621152</v>
      </c>
      <c r="E36" s="3">
        <f>6.917/3.281</f>
        <v>2.1081987199024685</v>
      </c>
      <c r="F36" s="3">
        <v>7.4999999999999997E-2</v>
      </c>
      <c r="G36" s="3">
        <f t="shared" si="1"/>
        <v>1.192729007564449</v>
      </c>
      <c r="H36" s="15"/>
      <c r="I36" s="15"/>
      <c r="J36" s="15"/>
      <c r="K36" s="15"/>
    </row>
    <row r="37" spans="1:11" x14ac:dyDescent="0.25">
      <c r="A37" s="15"/>
      <c r="B37" s="16"/>
      <c r="C37" s="45">
        <v>2</v>
      </c>
      <c r="D37" s="3">
        <f>((15.25+5.25)/2)/3.281</f>
        <v>3.1240475464797317</v>
      </c>
      <c r="E37" s="3">
        <f>6.25/3.281</f>
        <v>1.9049070405364217</v>
      </c>
      <c r="F37" s="3">
        <v>7.4999999999999997E-2</v>
      </c>
      <c r="G37" s="3">
        <f t="shared" si="1"/>
        <v>0.89265302493896614</v>
      </c>
      <c r="H37" s="15"/>
      <c r="I37" s="15"/>
      <c r="J37" s="15"/>
      <c r="K37" s="15"/>
    </row>
    <row r="38" spans="1:11" x14ac:dyDescent="0.25">
      <c r="A38" s="15"/>
      <c r="B38" s="16" t="s">
        <v>93</v>
      </c>
      <c r="C38" s="45">
        <v>4</v>
      </c>
      <c r="D38" s="3">
        <v>0.23</v>
      </c>
      <c r="E38" s="3">
        <v>0.23</v>
      </c>
      <c r="F38" s="3">
        <f>(2.667/3.281)</f>
        <v>0.81286193233770188</v>
      </c>
      <c r="G38" s="3">
        <f t="shared" si="1"/>
        <v>0.17200158488265774</v>
      </c>
      <c r="H38" s="15"/>
      <c r="I38" s="15"/>
      <c r="J38" s="15"/>
      <c r="K38" s="15"/>
    </row>
    <row r="39" spans="1:11" s="10" customFormat="1" ht="15" customHeight="1" x14ac:dyDescent="0.25">
      <c r="A39" s="17"/>
      <c r="B39" s="18" t="s">
        <v>16</v>
      </c>
      <c r="C39" s="19"/>
      <c r="D39" s="1"/>
      <c r="E39" s="20"/>
      <c r="F39" s="20"/>
      <c r="G39" s="2">
        <f>SUM(G32:G38)</f>
        <v>4.2324674332958558</v>
      </c>
      <c r="H39" s="21" t="s">
        <v>28</v>
      </c>
      <c r="I39" s="2">
        <v>13957.29</v>
      </c>
      <c r="J39" s="22">
        <f>G39*I39</f>
        <v>59073.77538206592</v>
      </c>
      <c r="K39" s="20"/>
    </row>
    <row r="40" spans="1:11" s="10" customFormat="1" x14ac:dyDescent="0.25">
      <c r="A40" s="24"/>
      <c r="B40" s="25" t="s">
        <v>32</v>
      </c>
      <c r="C40" s="26"/>
      <c r="D40" s="27"/>
      <c r="E40" s="27"/>
      <c r="F40" s="27"/>
      <c r="G40" s="27"/>
      <c r="H40" s="26"/>
      <c r="I40" s="26"/>
      <c r="J40" s="22">
        <f>0.13*G39*5212.4</f>
        <v>2867.9707224104714</v>
      </c>
      <c r="K40" s="26"/>
    </row>
    <row r="41" spans="1:11" s="10" customFormat="1" x14ac:dyDescent="0.25">
      <c r="A41" s="24"/>
      <c r="B41" s="25" t="s">
        <v>33</v>
      </c>
      <c r="C41" s="26"/>
      <c r="D41" s="27"/>
      <c r="E41" s="27"/>
      <c r="F41" s="27"/>
      <c r="G41" s="27"/>
      <c r="H41" s="26"/>
      <c r="I41" s="26"/>
      <c r="J41" s="22">
        <f>0.13*G39*(1912.03+921.59)</f>
        <v>1559.1165678836544</v>
      </c>
      <c r="K41" s="26"/>
    </row>
    <row r="42" spans="1:11" s="10" customFormat="1" x14ac:dyDescent="0.25">
      <c r="A42" s="24"/>
      <c r="B42" s="25" t="s">
        <v>31</v>
      </c>
      <c r="C42" s="26"/>
      <c r="D42" s="27"/>
      <c r="E42" s="27"/>
      <c r="F42" s="27"/>
      <c r="G42" s="27"/>
      <c r="H42" s="26"/>
      <c r="I42" s="26"/>
      <c r="J42" s="22">
        <f>0.13*G39*1350.6</f>
        <v>743.1281670032198</v>
      </c>
      <c r="K42" s="26"/>
    </row>
    <row r="43" spans="1:11" x14ac:dyDescent="0.25">
      <c r="A43" s="15"/>
      <c r="B43" s="25" t="s">
        <v>35</v>
      </c>
      <c r="C43" s="15"/>
      <c r="D43" s="3"/>
      <c r="E43" s="3"/>
      <c r="F43" s="3"/>
      <c r="G43" s="3"/>
      <c r="H43" s="15"/>
      <c r="I43" s="15"/>
      <c r="J43" s="22">
        <f>0.13*G39*56</f>
        <v>30.81236291439383</v>
      </c>
      <c r="K43" s="15"/>
    </row>
    <row r="44" spans="1:11" s="10" customFormat="1" x14ac:dyDescent="0.25">
      <c r="A44" s="24"/>
      <c r="B44" s="25" t="s">
        <v>43</v>
      </c>
      <c r="C44" s="26"/>
      <c r="D44" s="27"/>
      <c r="E44" s="27"/>
      <c r="F44" s="27"/>
      <c r="G44" s="27"/>
      <c r="H44" s="26"/>
      <c r="I44" s="26"/>
      <c r="J44" s="22">
        <f>0.13*G39*392.92</f>
        <v>216.19274350577902</v>
      </c>
      <c r="K44" s="26"/>
    </row>
    <row r="45" spans="1:11" x14ac:dyDescent="0.25">
      <c r="A45" s="15"/>
      <c r="B45" s="25" t="s">
        <v>44</v>
      </c>
      <c r="C45" s="15"/>
      <c r="D45" s="3"/>
      <c r="E45" s="3"/>
      <c r="F45" s="3"/>
      <c r="G45" s="3"/>
      <c r="H45" s="15"/>
      <c r="I45" s="15"/>
      <c r="J45" s="22">
        <f>0.13*G39*14.15</f>
        <v>7.785623843547727</v>
      </c>
      <c r="K45" s="15"/>
    </row>
    <row r="46" spans="1:11" x14ac:dyDescent="0.25">
      <c r="A46" s="15"/>
      <c r="B46" s="15"/>
      <c r="C46" s="15"/>
      <c r="D46" s="3"/>
      <c r="E46" s="3"/>
      <c r="F46" s="3"/>
      <c r="G46" s="3"/>
      <c r="H46" s="15"/>
      <c r="I46" s="15"/>
      <c r="J46" s="15"/>
      <c r="K46" s="15"/>
    </row>
    <row r="47" spans="1:11" s="14" customFormat="1" ht="30" x14ac:dyDescent="0.2">
      <c r="A47" s="11">
        <v>5</v>
      </c>
      <c r="B47" s="12" t="s">
        <v>45</v>
      </c>
      <c r="C47" s="13"/>
      <c r="D47" s="23"/>
      <c r="E47" s="23"/>
      <c r="F47" s="23"/>
      <c r="G47" s="23"/>
      <c r="H47" s="13"/>
      <c r="I47" s="13"/>
      <c r="J47" s="13"/>
      <c r="K47" s="13"/>
    </row>
    <row r="48" spans="1:11" x14ac:dyDescent="0.25">
      <c r="A48" s="15"/>
      <c r="B48" s="16" t="str">
        <f>B32</f>
        <v>-beam</v>
      </c>
      <c r="C48" s="45">
        <f>C32</f>
        <v>2</v>
      </c>
      <c r="D48" s="3">
        <f>D32</f>
        <v>4.5717768972874122</v>
      </c>
      <c r="E48" s="3"/>
      <c r="F48" s="3">
        <f>0.35*2</f>
        <v>0.7</v>
      </c>
      <c r="G48" s="3">
        <f t="shared" ref="G48:G54" si="2">PRODUCT(C48:F48)</f>
        <v>6.4004876562023769</v>
      </c>
      <c r="H48" s="15"/>
      <c r="I48" s="15"/>
      <c r="J48" s="15"/>
      <c r="K48" s="15"/>
    </row>
    <row r="49" spans="1:11" x14ac:dyDescent="0.25">
      <c r="A49" s="15"/>
      <c r="B49" s="16"/>
      <c r="C49" s="45">
        <f>C33</f>
        <v>4</v>
      </c>
      <c r="D49" s="3">
        <f>D33</f>
        <v>2.9716549832368178</v>
      </c>
      <c r="E49" s="3"/>
      <c r="F49" s="3">
        <f>0.35*2</f>
        <v>0.7</v>
      </c>
      <c r="G49" s="3">
        <f t="shared" si="2"/>
        <v>8.3206339530630888</v>
      </c>
      <c r="H49" s="15"/>
      <c r="I49" s="15"/>
      <c r="J49" s="15"/>
      <c r="K49" s="15"/>
    </row>
    <row r="50" spans="1:11" x14ac:dyDescent="0.25">
      <c r="A50" s="15"/>
      <c r="B50" s="16" t="str">
        <f t="shared" ref="B50:D50" si="3">B34</f>
        <v>-upper beam</v>
      </c>
      <c r="C50" s="45">
        <f t="shared" si="3"/>
        <v>2</v>
      </c>
      <c r="D50" s="3">
        <f t="shared" si="3"/>
        <v>1.5239256324291375</v>
      </c>
      <c r="E50" s="3"/>
      <c r="F50" s="3">
        <f t="shared" ref="F50:F51" si="4">0.23*2</f>
        <v>0.46</v>
      </c>
      <c r="G50" s="3">
        <f t="shared" si="2"/>
        <v>1.4020115818348065</v>
      </c>
      <c r="H50" s="15"/>
      <c r="I50" s="15"/>
      <c r="J50" s="15"/>
      <c r="K50" s="15"/>
    </row>
    <row r="51" spans="1:11" x14ac:dyDescent="0.25">
      <c r="A51" s="15"/>
      <c r="B51" s="16"/>
      <c r="C51" s="45">
        <f>C35</f>
        <v>2</v>
      </c>
      <c r="D51" s="3">
        <f>D35</f>
        <v>1.1429442243218531</v>
      </c>
      <c r="E51" s="3"/>
      <c r="F51" s="3">
        <f t="shared" si="4"/>
        <v>0.46</v>
      </c>
      <c r="G51" s="3">
        <f t="shared" si="2"/>
        <v>1.051508686376105</v>
      </c>
      <c r="H51" s="15"/>
      <c r="I51" s="15"/>
      <c r="J51" s="15"/>
      <c r="K51" s="15"/>
    </row>
    <row r="52" spans="1:11" x14ac:dyDescent="0.25">
      <c r="A52" s="15"/>
      <c r="B52" s="16" t="str">
        <f t="shared" ref="B52:D52" si="5">B36</f>
        <v>-slab</v>
      </c>
      <c r="C52" s="45">
        <f t="shared" si="5"/>
        <v>2</v>
      </c>
      <c r="D52" s="3">
        <f t="shared" si="5"/>
        <v>3.7717159402621152</v>
      </c>
      <c r="E52" s="3">
        <f>E36</f>
        <v>2.1081987199024685</v>
      </c>
      <c r="F52" s="3"/>
      <c r="G52" s="3">
        <f t="shared" si="2"/>
        <v>15.903053434192653</v>
      </c>
      <c r="H52" s="15"/>
      <c r="I52" s="15"/>
      <c r="J52" s="15"/>
      <c r="K52" s="15"/>
    </row>
    <row r="53" spans="1:11" x14ac:dyDescent="0.25">
      <c r="A53" s="15"/>
      <c r="B53" s="16"/>
      <c r="C53" s="45">
        <f>C37</f>
        <v>2</v>
      </c>
      <c r="D53" s="3">
        <f>D37</f>
        <v>3.1240475464797317</v>
      </c>
      <c r="E53" s="3">
        <f>E37</f>
        <v>1.9049070405364217</v>
      </c>
      <c r="F53" s="3"/>
      <c r="G53" s="3">
        <f t="shared" si="2"/>
        <v>11.902040332519549</v>
      </c>
      <c r="H53" s="15"/>
      <c r="I53" s="15"/>
      <c r="J53" s="15"/>
      <c r="K53" s="15"/>
    </row>
    <row r="54" spans="1:11" x14ac:dyDescent="0.25">
      <c r="A54" s="15"/>
      <c r="B54" s="16" t="str">
        <f>B38</f>
        <v>-column</v>
      </c>
      <c r="C54" s="45">
        <f>C38</f>
        <v>4</v>
      </c>
      <c r="D54" s="3">
        <f>0.23*4</f>
        <v>0.92</v>
      </c>
      <c r="E54" s="3"/>
      <c r="F54" s="3">
        <f>F38-0.23</f>
        <v>0.58286193233770189</v>
      </c>
      <c r="G54" s="3">
        <f t="shared" si="2"/>
        <v>2.1449319110027432</v>
      </c>
      <c r="H54" s="15"/>
      <c r="I54" s="15"/>
      <c r="J54" s="15"/>
      <c r="K54" s="15"/>
    </row>
    <row r="55" spans="1:11" s="10" customFormat="1" ht="15" customHeight="1" x14ac:dyDescent="0.25">
      <c r="A55" s="17"/>
      <c r="B55" s="18" t="s">
        <v>16</v>
      </c>
      <c r="C55" s="19"/>
      <c r="D55" s="1"/>
      <c r="E55" s="20"/>
      <c r="F55" s="20"/>
      <c r="G55" s="2">
        <f>SUM(G48:G54)</f>
        <v>47.124667555191323</v>
      </c>
      <c r="H55" s="21" t="s">
        <v>34</v>
      </c>
      <c r="I55" s="2">
        <v>922.71</v>
      </c>
      <c r="J55" s="22">
        <f>G55*I55</f>
        <v>43482.40199985059</v>
      </c>
      <c r="K55" s="20"/>
    </row>
    <row r="56" spans="1:11" s="10" customFormat="1" x14ac:dyDescent="0.25">
      <c r="A56" s="24"/>
      <c r="B56" s="25" t="s">
        <v>46</v>
      </c>
      <c r="C56" s="26"/>
      <c r="D56" s="27"/>
      <c r="E56" s="27"/>
      <c r="F56" s="27"/>
      <c r="G56" s="27"/>
      <c r="H56" s="26"/>
      <c r="I56" s="26"/>
      <c r="J56" s="22">
        <f>0.13*G55*20062.02/100</f>
        <v>1229.0408298812793</v>
      </c>
      <c r="K56" s="26"/>
    </row>
    <row r="57" spans="1:11" s="10" customFormat="1" x14ac:dyDescent="0.25">
      <c r="A57" s="24"/>
      <c r="B57" s="25" t="s">
        <v>47</v>
      </c>
      <c r="C57" s="26"/>
      <c r="D57" s="27"/>
      <c r="E57" s="27"/>
      <c r="F57" s="27"/>
      <c r="G57" s="27"/>
      <c r="H57" s="26"/>
      <c r="I57" s="26"/>
      <c r="J57" s="22">
        <f>0.13*G55*13328.25/100</f>
        <v>816.51615544522235</v>
      </c>
      <c r="K57" s="26"/>
    </row>
    <row r="58" spans="1:11" s="10" customFormat="1" x14ac:dyDescent="0.25">
      <c r="A58" s="24"/>
      <c r="B58" s="25" t="s">
        <v>48</v>
      </c>
      <c r="C58" s="26"/>
      <c r="D58" s="27"/>
      <c r="E58" s="27"/>
      <c r="F58" s="27"/>
      <c r="G58" s="27"/>
      <c r="H58" s="26"/>
      <c r="I58" s="26"/>
      <c r="J58" s="22">
        <f>0.13*G55*10137.6/100</f>
        <v>621.05033874975993</v>
      </c>
      <c r="K58" s="26"/>
    </row>
    <row r="59" spans="1:11" x14ac:dyDescent="0.25">
      <c r="A59" s="15"/>
      <c r="B59" s="25" t="s">
        <v>49</v>
      </c>
      <c r="C59" s="15"/>
      <c r="D59" s="3"/>
      <c r="E59" s="3"/>
      <c r="F59" s="3"/>
      <c r="G59" s="3"/>
      <c r="H59" s="15"/>
      <c r="I59" s="15"/>
      <c r="J59" s="22">
        <f>0.13*G55*3300/100</f>
        <v>202.16482381177076</v>
      </c>
      <c r="K59" s="15"/>
    </row>
    <row r="60" spans="1:11" x14ac:dyDescent="0.25">
      <c r="A60" s="15"/>
      <c r="B60" s="15"/>
      <c r="C60" s="15"/>
      <c r="D60" s="3"/>
      <c r="E60" s="3"/>
      <c r="F60" s="3"/>
      <c r="G60" s="3"/>
      <c r="H60" s="15"/>
      <c r="I60" s="15"/>
      <c r="J60" s="15"/>
      <c r="K60" s="15"/>
    </row>
    <row r="61" spans="1:11" s="14" customFormat="1" ht="45" x14ac:dyDescent="0.25">
      <c r="A61" s="11">
        <v>6</v>
      </c>
      <c r="B61" s="28" t="s">
        <v>36</v>
      </c>
      <c r="C61" s="13" t="s">
        <v>7</v>
      </c>
      <c r="D61" s="29" t="s">
        <v>27</v>
      </c>
      <c r="E61" s="29" t="s">
        <v>39</v>
      </c>
      <c r="F61" s="29" t="s">
        <v>40</v>
      </c>
      <c r="G61" s="23"/>
      <c r="H61" s="13"/>
      <c r="I61" s="13"/>
      <c r="J61" s="13"/>
      <c r="K61" s="13"/>
    </row>
    <row r="62" spans="1:11" x14ac:dyDescent="0.25">
      <c r="A62" s="15"/>
      <c r="B62" s="16" t="str">
        <f>B32</f>
        <v>-beam</v>
      </c>
      <c r="C62" s="45">
        <f>C48*(4)</f>
        <v>8</v>
      </c>
      <c r="D62" s="3">
        <f>D32-0.1+(0.583/3.281)*2</f>
        <v>4.8271563547698877</v>
      </c>
      <c r="E62" s="3">
        <f>16*16/162</f>
        <v>1.5802469135802468</v>
      </c>
      <c r="F62" s="3">
        <f t="shared" ref="F62:F78" si="6">PRODUCT(C62:E62)</f>
        <v>61.024791447955117</v>
      </c>
      <c r="G62" s="3">
        <f t="shared" ref="G62:G78" si="7">F62/1000</f>
        <v>6.1024791447955119E-2</v>
      </c>
      <c r="H62" s="15"/>
      <c r="I62" s="15"/>
      <c r="J62" s="15"/>
      <c r="K62" s="15"/>
    </row>
    <row r="63" spans="1:11" x14ac:dyDescent="0.25">
      <c r="A63" s="15"/>
      <c r="B63" s="16"/>
      <c r="C63" s="45">
        <f>C48*(2)</f>
        <v>4</v>
      </c>
      <c r="D63" s="3">
        <f>D33-0.1+(0.583/3.281)*2</f>
        <v>3.2270344407192924</v>
      </c>
      <c r="E63" s="3">
        <f>12*12/162</f>
        <v>0.88888888888888884</v>
      </c>
      <c r="F63" s="3">
        <f t="shared" si="6"/>
        <v>11.473900233668594</v>
      </c>
      <c r="G63" s="3">
        <f t="shared" si="7"/>
        <v>1.1473900233668594E-2</v>
      </c>
      <c r="H63" s="15"/>
      <c r="I63" s="15"/>
      <c r="J63" s="15"/>
      <c r="K63" s="15"/>
    </row>
    <row r="64" spans="1:11" x14ac:dyDescent="0.25">
      <c r="A64" s="15"/>
      <c r="B64" s="16" t="s">
        <v>92</v>
      </c>
      <c r="C64" s="45">
        <f>2*(TRUNC((D48-0.1-0.23*2)/0.125,0))</f>
        <v>64</v>
      </c>
      <c r="D64" s="3">
        <f>((0.583*4)+0.17*2)/3.281</f>
        <v>0.81438585797013097</v>
      </c>
      <c r="E64" s="3">
        <f>8*8/162</f>
        <v>0.39506172839506171</v>
      </c>
      <c r="F64" s="3">
        <f t="shared" si="6"/>
        <v>20.590891816331212</v>
      </c>
      <c r="G64" s="3">
        <f t="shared" si="7"/>
        <v>2.0590891816331211E-2</v>
      </c>
      <c r="H64" s="15"/>
      <c r="I64" s="15"/>
      <c r="J64" s="15"/>
      <c r="K64" s="15"/>
    </row>
    <row r="65" spans="1:14" x14ac:dyDescent="0.25">
      <c r="A65" s="15"/>
      <c r="B65" s="16" t="str">
        <f>B48</f>
        <v>-beam</v>
      </c>
      <c r="C65" s="45">
        <f>C49*(4)</f>
        <v>16</v>
      </c>
      <c r="D65" s="3">
        <f>D33-0.1+0.23*2+(0.583/3.281)*2</f>
        <v>3.6870344407192923</v>
      </c>
      <c r="E65" s="3">
        <f>16*16/162</f>
        <v>1.5802469135802468</v>
      </c>
      <c r="F65" s="3">
        <f t="shared" si="6"/>
        <v>93.222796723371729</v>
      </c>
      <c r="G65" s="3">
        <f t="shared" si="7"/>
        <v>9.3222796723371734E-2</v>
      </c>
      <c r="H65" s="15"/>
      <c r="I65" s="15"/>
      <c r="J65" s="15"/>
      <c r="K65" s="15"/>
    </row>
    <row r="66" spans="1:14" x14ac:dyDescent="0.25">
      <c r="A66" s="15"/>
      <c r="B66" s="16"/>
      <c r="C66" s="45">
        <f>C49*(2)</f>
        <v>8</v>
      </c>
      <c r="D66" s="3">
        <f>D34-0.1+0.23*2+(0.583/3.281)*2</f>
        <v>2.2393050899116123</v>
      </c>
      <c r="E66" s="3">
        <f>12*12/162</f>
        <v>0.88888888888888884</v>
      </c>
      <c r="F66" s="3">
        <f t="shared" si="6"/>
        <v>15.92394730603813</v>
      </c>
      <c r="G66" s="3">
        <f t="shared" si="7"/>
        <v>1.592394730603813E-2</v>
      </c>
      <c r="H66" s="15"/>
      <c r="I66" s="15"/>
      <c r="J66" s="15"/>
      <c r="K66" s="15"/>
    </row>
    <row r="67" spans="1:14" x14ac:dyDescent="0.25">
      <c r="A67" s="15"/>
      <c r="B67" s="16" t="s">
        <v>92</v>
      </c>
      <c r="C67" s="45">
        <f>4*(TRUNC((D49-0.1)/0.125,0))</f>
        <v>88</v>
      </c>
      <c r="D67" s="3">
        <f>((0.583*4)+0.17*2)/3.281</f>
        <v>0.81438585797013097</v>
      </c>
      <c r="E67" s="3">
        <f>8*8/162</f>
        <v>0.39506172839506171</v>
      </c>
      <c r="F67" s="3">
        <f t="shared" si="6"/>
        <v>28.312476247455418</v>
      </c>
      <c r="G67" s="3">
        <f t="shared" si="7"/>
        <v>2.8312476247455417E-2</v>
      </c>
      <c r="H67" s="15"/>
      <c r="I67" s="15"/>
      <c r="J67" s="15"/>
      <c r="K67" s="15"/>
    </row>
    <row r="68" spans="1:14" x14ac:dyDescent="0.25">
      <c r="A68" s="15"/>
      <c r="B68" s="16" t="str">
        <f>B50</f>
        <v>-upper beam</v>
      </c>
      <c r="C68" s="45">
        <f>C50*(3*2)</f>
        <v>12</v>
      </c>
      <c r="D68" s="3">
        <f>D34+(0.583/3.281)*2</f>
        <v>1.8793050899116124</v>
      </c>
      <c r="E68" s="3">
        <f>12*12/162</f>
        <v>0.88888888888888884</v>
      </c>
      <c r="F68" s="3">
        <f t="shared" si="6"/>
        <v>20.045920959057195</v>
      </c>
      <c r="G68" s="3">
        <f t="shared" si="7"/>
        <v>2.0045920959057197E-2</v>
      </c>
      <c r="H68" s="15"/>
      <c r="I68" s="15"/>
      <c r="J68" s="15"/>
      <c r="K68" s="15"/>
    </row>
    <row r="69" spans="1:14" x14ac:dyDescent="0.25">
      <c r="A69" s="15"/>
      <c r="B69" s="16" t="s">
        <v>92</v>
      </c>
      <c r="C69" s="45">
        <f>2*(TRUNC((D50-0.1-0.23*2)/0.125,0))</f>
        <v>14</v>
      </c>
      <c r="D69" s="3">
        <f>((0.583*4)+0.17*2)/3.281</f>
        <v>0.81438585797013097</v>
      </c>
      <c r="E69" s="3">
        <f>8*8/162</f>
        <v>0.39506172839506171</v>
      </c>
      <c r="F69" s="3">
        <f t="shared" si="6"/>
        <v>4.5042575848224526</v>
      </c>
      <c r="G69" s="3">
        <f t="shared" si="7"/>
        <v>4.5042575848224528E-3</v>
      </c>
      <c r="H69" s="15"/>
      <c r="I69" s="15"/>
      <c r="J69" s="15"/>
      <c r="K69" s="15"/>
    </row>
    <row r="70" spans="1:14" x14ac:dyDescent="0.25">
      <c r="A70" s="15"/>
      <c r="B70" s="16" t="str">
        <f>B34</f>
        <v>-upper beam</v>
      </c>
      <c r="C70" s="45">
        <f>C51*(3*2)</f>
        <v>12</v>
      </c>
      <c r="D70" s="3">
        <f>D35+0.23*2+(0.583/3.281)*2</f>
        <v>1.9583236818043277</v>
      </c>
      <c r="E70" s="3">
        <f>12*12/162</f>
        <v>0.88888888888888884</v>
      </c>
      <c r="F70" s="3">
        <f t="shared" si="6"/>
        <v>20.888785939246162</v>
      </c>
      <c r="G70" s="3">
        <f t="shared" si="7"/>
        <v>2.0888785939246163E-2</v>
      </c>
      <c r="H70" s="15"/>
      <c r="I70" s="15"/>
      <c r="J70" s="15"/>
      <c r="K70" s="15"/>
    </row>
    <row r="71" spans="1:14" x14ac:dyDescent="0.25">
      <c r="A71" s="15"/>
      <c r="B71" s="16" t="s">
        <v>92</v>
      </c>
      <c r="C71" s="45">
        <f>2*(TRUNC((D51-0.1)/0.125,0))</f>
        <v>16</v>
      </c>
      <c r="D71" s="3">
        <f>((0.583*4)+0.17*2)/3.281</f>
        <v>0.81438585797013097</v>
      </c>
      <c r="E71" s="3">
        <f>8*8/162</f>
        <v>0.39506172839506171</v>
      </c>
      <c r="F71" s="3">
        <f t="shared" si="6"/>
        <v>5.1477229540828029</v>
      </c>
      <c r="G71" s="3">
        <f t="shared" si="7"/>
        <v>5.1477229540828028E-3</v>
      </c>
      <c r="H71" s="15"/>
      <c r="I71" s="15"/>
      <c r="J71" s="15"/>
      <c r="K71" s="15"/>
    </row>
    <row r="72" spans="1:14" x14ac:dyDescent="0.25">
      <c r="A72" s="15"/>
      <c r="B72" s="16" t="str">
        <f>B52</f>
        <v>-slab</v>
      </c>
      <c r="C72" s="45">
        <f>TRUNC(((E52-0.1)/0.15),0)</f>
        <v>13</v>
      </c>
      <c r="D72" s="3">
        <f>D52*C52</f>
        <v>7.5434318805242304</v>
      </c>
      <c r="E72" s="3">
        <f t="shared" ref="E72:E75" si="8">8*8/162</f>
        <v>0.39506172839506171</v>
      </c>
      <c r="F72" s="3">
        <f t="shared" si="6"/>
        <v>38.741576077754075</v>
      </c>
      <c r="G72" s="3">
        <f t="shared" si="7"/>
        <v>3.8741576077754074E-2</v>
      </c>
      <c r="H72" s="15"/>
      <c r="I72" s="15"/>
      <c r="J72" s="15"/>
      <c r="K72" s="15"/>
    </row>
    <row r="73" spans="1:14" x14ac:dyDescent="0.25">
      <c r="A73" s="15"/>
      <c r="B73" s="16"/>
      <c r="C73" s="45">
        <f>2*(TRUNC(((D52-0.1)/0.15),0))</f>
        <v>48</v>
      </c>
      <c r="D73" s="3">
        <f>E52</f>
        <v>2.1081987199024685</v>
      </c>
      <c r="E73" s="3">
        <f t="shared" si="8"/>
        <v>0.39506172839506171</v>
      </c>
      <c r="F73" s="3">
        <f t="shared" si="6"/>
        <v>39.977694244076439</v>
      </c>
      <c r="G73" s="3">
        <f t="shared" si="7"/>
        <v>3.9977694244076441E-2</v>
      </c>
      <c r="H73" s="15"/>
      <c r="I73" s="15"/>
      <c r="J73" s="15"/>
      <c r="K73" s="15"/>
      <c r="M73">
        <f>10.5/3.281</f>
        <v>3.2002438281011885</v>
      </c>
      <c r="N73">
        <f>M73/2</f>
        <v>1.6001219140505942</v>
      </c>
    </row>
    <row r="74" spans="1:14" x14ac:dyDescent="0.25">
      <c r="A74" s="15"/>
      <c r="B74" s="16"/>
      <c r="C74" s="45">
        <f>2*(TRUNC(((D53-0.1)/0.15),0))</f>
        <v>40</v>
      </c>
      <c r="D74" s="3">
        <f>E53</f>
        <v>1.9049070405364217</v>
      </c>
      <c r="E74" s="3">
        <f t="shared" si="8"/>
        <v>0.39506172839506171</v>
      </c>
      <c r="F74" s="3">
        <f t="shared" si="6"/>
        <v>30.102234714649622</v>
      </c>
      <c r="G74" s="3">
        <f t="shared" si="7"/>
        <v>3.0102234714649623E-2</v>
      </c>
      <c r="H74" s="15"/>
      <c r="I74" s="15"/>
      <c r="J74" s="15"/>
      <c r="K74" s="15"/>
      <c r="M74">
        <f>9.5/3.281</f>
        <v>2.895458701615361</v>
      </c>
    </row>
    <row r="75" spans="1:14" x14ac:dyDescent="0.25">
      <c r="A75" s="15"/>
      <c r="B75" s="16"/>
      <c r="C75" s="45">
        <f>2*(TRUNC(((E53-0.1)/0.15),0))</f>
        <v>24</v>
      </c>
      <c r="D75" s="3">
        <f>D53</f>
        <v>3.1240475464797317</v>
      </c>
      <c r="E75" s="3">
        <f t="shared" si="8"/>
        <v>0.39506172839506171</v>
      </c>
      <c r="F75" s="3">
        <f t="shared" si="6"/>
        <v>29.620598959215233</v>
      </c>
      <c r="G75" s="3">
        <f t="shared" si="7"/>
        <v>2.9620598959215233E-2</v>
      </c>
      <c r="H75" s="15"/>
      <c r="I75" s="15"/>
      <c r="J75" s="15"/>
      <c r="K75" s="15"/>
    </row>
    <row r="76" spans="1:14" x14ac:dyDescent="0.25">
      <c r="A76" s="15"/>
      <c r="B76" s="16" t="s">
        <v>93</v>
      </c>
      <c r="C76" s="45">
        <v>8</v>
      </c>
      <c r="D76" s="3">
        <f>((3.33-0.33)/3.281)+(0.45*2)</f>
        <v>1.8143553794574825</v>
      </c>
      <c r="E76" s="3">
        <f>12*12/162</f>
        <v>0.88888888888888884</v>
      </c>
      <c r="F76" s="3">
        <f t="shared" si="6"/>
        <v>12.902082698364319</v>
      </c>
      <c r="G76" s="3">
        <f t="shared" si="7"/>
        <v>1.290208269836432E-2</v>
      </c>
      <c r="H76" s="15"/>
      <c r="I76" s="15"/>
      <c r="J76" s="15"/>
      <c r="K76" s="15"/>
    </row>
    <row r="77" spans="1:14" x14ac:dyDescent="0.25">
      <c r="A77" s="15"/>
      <c r="B77" s="16" t="s">
        <v>92</v>
      </c>
      <c r="C77" s="45">
        <f>4*(TRUNC((1.917-0.17*2)/0.33,0)+1)</f>
        <v>20</v>
      </c>
      <c r="D77" s="3">
        <f>(6*4+2*2)/12/3.281</f>
        <v>0.7111652951335975</v>
      </c>
      <c r="E77" s="3">
        <f>8*8/162</f>
        <v>0.39506172839506171</v>
      </c>
      <c r="F77" s="3">
        <f t="shared" si="6"/>
        <v>5.6190838134012635</v>
      </c>
      <c r="G77" s="3">
        <f t="shared" si="7"/>
        <v>5.6190838134012634E-3</v>
      </c>
      <c r="H77" s="15"/>
      <c r="I77" s="15"/>
      <c r="J77" s="15"/>
      <c r="K77" s="15"/>
    </row>
    <row r="78" spans="1:14" x14ac:dyDescent="0.25">
      <c r="A78" s="15"/>
      <c r="B78" s="16"/>
      <c r="C78" s="45">
        <f>C77</f>
        <v>20</v>
      </c>
      <c r="D78" s="3">
        <f>(4*4+2*2)/12/3.281</f>
        <v>0.50797521080971253</v>
      </c>
      <c r="E78" s="3">
        <f>8*8/162</f>
        <v>0.39506172839506171</v>
      </c>
      <c r="F78" s="3">
        <f t="shared" si="6"/>
        <v>4.0136312952866176</v>
      </c>
      <c r="G78" s="58">
        <f t="shared" si="7"/>
        <v>4.0136312952866173E-3</v>
      </c>
      <c r="H78" s="15"/>
      <c r="I78" s="15"/>
      <c r="J78" s="15"/>
      <c r="K78" s="15"/>
    </row>
    <row r="79" spans="1:14" s="10" customFormat="1" ht="15" customHeight="1" x14ac:dyDescent="0.25">
      <c r="A79" s="17"/>
      <c r="B79" s="18" t="s">
        <v>16</v>
      </c>
      <c r="C79" s="19"/>
      <c r="D79" s="1"/>
      <c r="E79" s="20"/>
      <c r="F79" s="20"/>
      <c r="G79" s="2">
        <f>SUM(G62:G78)</f>
        <v>0.44211239301477639</v>
      </c>
      <c r="H79" s="21" t="s">
        <v>41</v>
      </c>
      <c r="I79" s="46">
        <v>132360</v>
      </c>
      <c r="J79" s="22">
        <f>G79*I79</f>
        <v>58517.996339435806</v>
      </c>
      <c r="K79" s="20"/>
    </row>
    <row r="80" spans="1:14" s="10" customFormat="1" x14ac:dyDescent="0.25">
      <c r="A80" s="24"/>
      <c r="B80" s="25" t="s">
        <v>38</v>
      </c>
      <c r="C80" s="26"/>
      <c r="D80" s="26"/>
      <c r="E80" s="26"/>
      <c r="F80" s="26"/>
      <c r="G80" s="26"/>
      <c r="H80" s="26"/>
      <c r="I80" s="26"/>
      <c r="J80" s="22">
        <f>0.13*G79*105000</f>
        <v>6034.8341646516974</v>
      </c>
      <c r="K80" s="26"/>
    </row>
    <row r="81" spans="1:11" s="10" customFormat="1" x14ac:dyDescent="0.25">
      <c r="A81" s="24"/>
      <c r="B81" s="25" t="s">
        <v>37</v>
      </c>
      <c r="C81" s="26"/>
      <c r="D81" s="26"/>
      <c r="E81" s="26"/>
      <c r="F81" s="26"/>
      <c r="G81" s="26"/>
      <c r="H81" s="26"/>
      <c r="I81" s="26"/>
      <c r="J81" s="22">
        <f>0.13*G79*1200</f>
        <v>68.969533310305124</v>
      </c>
      <c r="K81" s="26"/>
    </row>
    <row r="82" spans="1:11" x14ac:dyDescent="0.25">
      <c r="A82" s="15"/>
      <c r="B82" s="15"/>
      <c r="C82" s="15"/>
      <c r="D82" s="15"/>
      <c r="E82" s="15"/>
      <c r="F82" s="15"/>
      <c r="G82" s="15"/>
      <c r="H82" s="15"/>
      <c r="I82" s="15"/>
      <c r="J82" s="15"/>
      <c r="K82" s="15"/>
    </row>
    <row r="83" spans="1:11" ht="30" x14ac:dyDescent="0.25">
      <c r="A83" s="11">
        <v>7</v>
      </c>
      <c r="B83" s="28" t="s">
        <v>50</v>
      </c>
      <c r="C83" s="15"/>
      <c r="D83" s="15"/>
      <c r="E83" s="15"/>
      <c r="F83" s="15"/>
      <c r="G83" s="15"/>
      <c r="H83" s="15"/>
      <c r="I83" s="15"/>
      <c r="J83" s="15"/>
      <c r="K83" s="15"/>
    </row>
    <row r="84" spans="1:11" x14ac:dyDescent="0.25">
      <c r="A84" s="15"/>
      <c r="B84" s="25" t="s">
        <v>121</v>
      </c>
      <c r="C84" s="45">
        <v>2</v>
      </c>
      <c r="D84" s="3">
        <f>12/3.281</f>
        <v>3.6574215178299299</v>
      </c>
      <c r="E84" s="3">
        <v>0.9</v>
      </c>
      <c r="F84" s="15"/>
      <c r="G84" s="3">
        <f>PRODUCT(C84:F84)</f>
        <v>6.583358732093874</v>
      </c>
      <c r="H84" s="15"/>
      <c r="I84" s="15"/>
      <c r="J84" s="15"/>
      <c r="K84" s="15"/>
    </row>
    <row r="85" spans="1:11" x14ac:dyDescent="0.25">
      <c r="A85" s="15"/>
      <c r="B85" s="16"/>
      <c r="C85" s="45">
        <v>2</v>
      </c>
      <c r="D85" s="3">
        <f>21/3.281</f>
        <v>6.4004876562023769</v>
      </c>
      <c r="E85" s="3">
        <v>0.9</v>
      </c>
      <c r="F85" s="15"/>
      <c r="G85" s="3">
        <f>PRODUCT(C85:F85)</f>
        <v>11.520877781164279</v>
      </c>
      <c r="H85" s="15"/>
      <c r="I85" s="15"/>
      <c r="J85" s="15"/>
      <c r="K85" s="15"/>
    </row>
    <row r="86" spans="1:11" s="10" customFormat="1" ht="15" customHeight="1" x14ac:dyDescent="0.25">
      <c r="A86" s="17"/>
      <c r="B86" s="18" t="s">
        <v>16</v>
      </c>
      <c r="C86" s="19"/>
      <c r="D86" s="1"/>
      <c r="E86" s="20"/>
      <c r="F86" s="20"/>
      <c r="G86" s="2">
        <f>SUM(G84:G85)</f>
        <v>18.104236513258151</v>
      </c>
      <c r="H86" s="21" t="s">
        <v>34</v>
      </c>
      <c r="I86" s="2">
        <v>689.98</v>
      </c>
      <c r="J86" s="22">
        <f>G86*I86</f>
        <v>12491.561109417858</v>
      </c>
      <c r="K86" s="20"/>
    </row>
    <row r="87" spans="1:11" s="10" customFormat="1" x14ac:dyDescent="0.25">
      <c r="A87" s="24"/>
      <c r="B87" s="25" t="s">
        <v>32</v>
      </c>
      <c r="C87" s="26"/>
      <c r="D87" s="27"/>
      <c r="E87" s="27"/>
      <c r="F87" s="27"/>
      <c r="G87" s="27"/>
      <c r="H87" s="26"/>
      <c r="I87" s="26"/>
      <c r="J87" s="22">
        <f>0.13*G86*1694.03/10</f>
        <v>398.69855714721115</v>
      </c>
      <c r="K87" s="26"/>
    </row>
    <row r="88" spans="1:11" x14ac:dyDescent="0.25">
      <c r="A88" s="15"/>
      <c r="B88" s="25" t="s">
        <v>31</v>
      </c>
      <c r="C88" s="26"/>
      <c r="D88" s="27"/>
      <c r="E88" s="27"/>
      <c r="F88" s="27"/>
      <c r="G88" s="27"/>
      <c r="H88" s="26"/>
      <c r="I88" s="26"/>
      <c r="J88" s="22">
        <f>0.13*G86*472.02/10</f>
        <v>111.09230234684546</v>
      </c>
      <c r="K88" s="15"/>
    </row>
    <row r="89" spans="1:11" x14ac:dyDescent="0.25">
      <c r="A89" s="15"/>
      <c r="B89" s="25" t="s">
        <v>33</v>
      </c>
      <c r="C89" s="26"/>
      <c r="D89" s="27"/>
      <c r="E89" s="27"/>
      <c r="F89" s="27"/>
      <c r="G89" s="27"/>
      <c r="H89" s="26"/>
      <c r="I89" s="26"/>
      <c r="J89" s="22">
        <f>0.13*G86*1207.6/10</f>
        <v>284.21478817433706</v>
      </c>
      <c r="K89" s="15"/>
    </row>
    <row r="90" spans="1:11" x14ac:dyDescent="0.25">
      <c r="A90" s="15"/>
      <c r="B90" s="15"/>
      <c r="C90" s="15"/>
      <c r="D90" s="15"/>
      <c r="E90" s="15"/>
      <c r="F90" s="15"/>
      <c r="G90" s="15"/>
      <c r="H90" s="15"/>
      <c r="I90" s="15"/>
      <c r="J90" s="15"/>
      <c r="K90" s="15"/>
    </row>
    <row r="91" spans="1:11" ht="45" x14ac:dyDescent="0.25">
      <c r="A91" s="11">
        <v>7</v>
      </c>
      <c r="B91" s="28" t="s">
        <v>115</v>
      </c>
      <c r="C91" s="15"/>
      <c r="D91" s="15"/>
      <c r="E91" s="15"/>
      <c r="F91" s="15"/>
      <c r="G91" s="15"/>
      <c r="H91" s="15"/>
      <c r="I91" s="15"/>
      <c r="J91" s="15"/>
      <c r="K91" s="15"/>
    </row>
    <row r="92" spans="1:11" x14ac:dyDescent="0.25">
      <c r="A92" s="15"/>
      <c r="B92" s="16" t="s">
        <v>133</v>
      </c>
      <c r="C92" s="45">
        <v>1</v>
      </c>
      <c r="D92" s="3">
        <f>12.667/3.281</f>
        <v>3.8607131971959765</v>
      </c>
      <c r="E92" s="3">
        <f>9.75/3.281</f>
        <v>2.9716549832368178</v>
      </c>
      <c r="F92" s="15"/>
      <c r="G92" s="3">
        <f>PRODUCT(C92:F92)</f>
        <v>11.47270761129557</v>
      </c>
      <c r="H92" s="15"/>
      <c r="I92" s="15"/>
      <c r="J92" s="15"/>
      <c r="K92" s="15"/>
    </row>
    <row r="93" spans="1:11" s="10" customFormat="1" ht="15" customHeight="1" x14ac:dyDescent="0.25">
      <c r="A93" s="17"/>
      <c r="B93" s="18" t="s">
        <v>16</v>
      </c>
      <c r="C93" s="19"/>
      <c r="D93" s="1"/>
      <c r="E93" s="20"/>
      <c r="F93" s="20"/>
      <c r="G93" s="2">
        <f>SUM(G92)</f>
        <v>11.47270761129557</v>
      </c>
      <c r="H93" s="21" t="s">
        <v>34</v>
      </c>
      <c r="I93" s="2">
        <v>6851.63</v>
      </c>
      <c r="J93" s="22">
        <f>G93*I93</f>
        <v>78606.747650781064</v>
      </c>
      <c r="K93" s="20"/>
    </row>
    <row r="94" spans="1:11" s="10" customFormat="1" x14ac:dyDescent="0.25">
      <c r="A94" s="24"/>
      <c r="B94" s="25" t="s">
        <v>32</v>
      </c>
      <c r="C94" s="26"/>
      <c r="D94" s="27"/>
      <c r="E94" s="27"/>
      <c r="F94" s="27"/>
      <c r="G94" s="27"/>
      <c r="H94" s="26"/>
      <c r="I94" s="26"/>
      <c r="J94" s="22">
        <f>0.13*G93*1694.03/10</f>
        <v>252.65644137191944</v>
      </c>
      <c r="K94" s="26"/>
    </row>
    <row r="95" spans="1:11" x14ac:dyDescent="0.25">
      <c r="A95" s="15"/>
      <c r="B95" s="25" t="s">
        <v>31</v>
      </c>
      <c r="C95" s="26"/>
      <c r="D95" s="27"/>
      <c r="E95" s="27"/>
      <c r="F95" s="27"/>
      <c r="G95" s="27"/>
      <c r="H95" s="26"/>
      <c r="I95" s="26"/>
      <c r="J95" s="22">
        <f>0.13*G93*581.55/10</f>
        <v>86.735390447536204</v>
      </c>
      <c r="K95" s="15"/>
    </row>
    <row r="96" spans="1:11" x14ac:dyDescent="0.25">
      <c r="A96" s="15"/>
      <c r="B96" s="25" t="s">
        <v>116</v>
      </c>
      <c r="C96" s="26"/>
      <c r="D96" s="27"/>
      <c r="E96" s="27"/>
      <c r="F96" s="27"/>
      <c r="G96" s="27"/>
      <c r="H96" s="26"/>
      <c r="I96" s="26"/>
      <c r="J96" s="22">
        <f>0.13*G93*43319.76/10</f>
        <v>6460.9342235294662</v>
      </c>
      <c r="K96" s="15"/>
    </row>
    <row r="97" spans="1:11" x14ac:dyDescent="0.25">
      <c r="A97" s="15"/>
      <c r="B97" s="25" t="s">
        <v>117</v>
      </c>
      <c r="C97" s="26"/>
      <c r="D97" s="27"/>
      <c r="E97" s="27"/>
      <c r="F97" s="27"/>
      <c r="G97" s="27"/>
      <c r="H97" s="26"/>
      <c r="I97" s="26"/>
      <c r="J97" s="22">
        <f>0.13*G93*46.25/10</f>
        <v>6.8979654512914621</v>
      </c>
      <c r="K97" s="15"/>
    </row>
    <row r="98" spans="1:11" x14ac:dyDescent="0.25">
      <c r="A98" s="15"/>
      <c r="B98" s="25" t="s">
        <v>118</v>
      </c>
      <c r="C98" s="26"/>
      <c r="D98" s="27"/>
      <c r="E98" s="27"/>
      <c r="F98" s="27"/>
      <c r="G98" s="27"/>
      <c r="H98" s="26"/>
      <c r="I98" s="26"/>
      <c r="J98" s="22">
        <f>0.13*G93*43.3/10</f>
        <v>6.4579871143982759</v>
      </c>
      <c r="K98" s="15"/>
    </row>
    <row r="99" spans="1:11" x14ac:dyDescent="0.25">
      <c r="A99" s="15"/>
      <c r="B99" s="25" t="s">
        <v>119</v>
      </c>
      <c r="C99" s="26"/>
      <c r="D99" s="27"/>
      <c r="E99" s="27"/>
      <c r="F99" s="27"/>
      <c r="G99" s="27"/>
      <c r="H99" s="26"/>
      <c r="I99" s="26"/>
      <c r="J99" s="22">
        <f>0.13*G93*118.89/10</f>
        <v>17.731872702790096</v>
      </c>
      <c r="K99" s="15"/>
    </row>
    <row r="100" spans="1:11" x14ac:dyDescent="0.25">
      <c r="A100" s="15"/>
      <c r="B100" s="25" t="s">
        <v>120</v>
      </c>
      <c r="C100" s="26"/>
      <c r="D100" s="27"/>
      <c r="E100" s="27"/>
      <c r="F100" s="27"/>
      <c r="G100" s="27"/>
      <c r="H100" s="26"/>
      <c r="I100" s="26"/>
      <c r="J100" s="22">
        <f>0.13*G93*120/10</f>
        <v>17.89742387362109</v>
      </c>
      <c r="K100" s="15"/>
    </row>
    <row r="101" spans="1:11" x14ac:dyDescent="0.25">
      <c r="A101" s="15"/>
      <c r="B101" s="15"/>
      <c r="C101" s="15"/>
      <c r="D101" s="15"/>
      <c r="E101" s="15"/>
      <c r="F101" s="15"/>
      <c r="G101" s="15"/>
      <c r="H101" s="15"/>
      <c r="I101" s="15"/>
      <c r="J101" s="15"/>
      <c r="K101" s="15"/>
    </row>
    <row r="102" spans="1:11" ht="30" x14ac:dyDescent="0.25">
      <c r="A102" s="11">
        <v>8</v>
      </c>
      <c r="B102" s="28" t="s">
        <v>52</v>
      </c>
      <c r="C102" s="15"/>
      <c r="D102" s="15"/>
      <c r="E102" s="15"/>
      <c r="F102" s="15"/>
      <c r="G102" s="15"/>
      <c r="H102" s="15"/>
      <c r="I102" s="15"/>
      <c r="J102" s="15"/>
      <c r="K102" s="15"/>
    </row>
    <row r="103" spans="1:11" s="10" customFormat="1" x14ac:dyDescent="0.25">
      <c r="A103" s="24"/>
      <c r="B103" s="25" t="str">
        <f t="shared" ref="B103:D105" si="9">B134</f>
        <v>-for wing walls of stand tap</v>
      </c>
      <c r="C103" s="49">
        <f t="shared" si="9"/>
        <v>4</v>
      </c>
      <c r="D103" s="27">
        <f t="shared" si="9"/>
        <v>1.2163181956720512</v>
      </c>
      <c r="E103" s="27"/>
      <c r="F103" s="27">
        <f>F134</f>
        <v>0.6</v>
      </c>
      <c r="G103" s="27">
        <f t="shared" ref="G103:G109" si="10">PRODUCT(C103:F103)</f>
        <v>2.9191636696129231</v>
      </c>
      <c r="H103" s="26"/>
      <c r="I103" s="26"/>
      <c r="J103" s="26"/>
      <c r="K103" s="26"/>
    </row>
    <row r="104" spans="1:11" s="10" customFormat="1" x14ac:dyDescent="0.25">
      <c r="A104" s="24"/>
      <c r="B104" s="25" t="str">
        <f t="shared" si="9"/>
        <v>-for side wall of stand tap</v>
      </c>
      <c r="C104" s="49">
        <f t="shared" si="9"/>
        <v>1</v>
      </c>
      <c r="D104" s="27">
        <f t="shared" si="9"/>
        <v>1.3197195976836331</v>
      </c>
      <c r="E104" s="27"/>
      <c r="F104" s="27">
        <f>F135</f>
        <v>0.6</v>
      </c>
      <c r="G104" s="27">
        <f t="shared" si="10"/>
        <v>0.79183175861017985</v>
      </c>
      <c r="H104" s="26"/>
      <c r="I104" s="26"/>
      <c r="J104" s="26"/>
      <c r="K104" s="26"/>
    </row>
    <row r="105" spans="1:11" s="10" customFormat="1" x14ac:dyDescent="0.25">
      <c r="A105" s="24"/>
      <c r="B105" s="25" t="str">
        <f t="shared" si="9"/>
        <v>-stand</v>
      </c>
      <c r="C105" s="49">
        <f t="shared" si="9"/>
        <v>1</v>
      </c>
      <c r="D105" s="27">
        <f t="shared" si="9"/>
        <v>0.35659859798841814</v>
      </c>
      <c r="E105" s="27"/>
      <c r="F105" s="27">
        <f>F136</f>
        <v>1.2</v>
      </c>
      <c r="G105" s="27">
        <f t="shared" si="10"/>
        <v>0.42791831758610177</v>
      </c>
      <c r="H105" s="26"/>
      <c r="I105" s="26"/>
      <c r="J105" s="26"/>
      <c r="K105" s="26"/>
    </row>
    <row r="106" spans="1:11" s="10" customFormat="1" x14ac:dyDescent="0.25">
      <c r="A106" s="24"/>
      <c r="B106" s="25"/>
      <c r="C106" s="49">
        <f>C137</f>
        <v>1</v>
      </c>
      <c r="D106" s="27">
        <f>D137</f>
        <v>0.46</v>
      </c>
      <c r="E106" s="27"/>
      <c r="F106" s="27">
        <f>F137</f>
        <v>0.6</v>
      </c>
      <c r="G106" s="27">
        <f t="shared" si="10"/>
        <v>0.27600000000000002</v>
      </c>
      <c r="H106" s="26"/>
      <c r="I106" s="26"/>
      <c r="J106" s="26"/>
      <c r="K106" s="26"/>
    </row>
    <row r="107" spans="1:11" s="10" customFormat="1" x14ac:dyDescent="0.25">
      <c r="A107" s="24"/>
      <c r="B107" s="25" t="s">
        <v>109</v>
      </c>
      <c r="C107" s="49">
        <f>C14</f>
        <v>1</v>
      </c>
      <c r="D107" s="27">
        <f>M10-0.23*2</f>
        <v>1.2163181956720512</v>
      </c>
      <c r="E107" s="27">
        <f>N10-0.23</f>
        <v>1.4463181956720512</v>
      </c>
      <c r="F107" s="27"/>
      <c r="G107" s="27">
        <f t="shared" si="10"/>
        <v>1.7591831381274861</v>
      </c>
      <c r="H107" s="26"/>
      <c r="I107" s="26"/>
      <c r="J107" s="26"/>
      <c r="K107" s="26"/>
    </row>
    <row r="108" spans="1:11" s="10" customFormat="1" x14ac:dyDescent="0.25">
      <c r="A108" s="24"/>
      <c r="B108" s="25" t="str">
        <f>B84</f>
        <v>-peti area</v>
      </c>
      <c r="C108" s="49">
        <f>C84</f>
        <v>2</v>
      </c>
      <c r="D108" s="27">
        <f>D84</f>
        <v>3.6574215178299299</v>
      </c>
      <c r="E108" s="27">
        <f>E84</f>
        <v>0.9</v>
      </c>
      <c r="F108" s="27"/>
      <c r="G108" s="27">
        <f t="shared" si="10"/>
        <v>6.583358732093874</v>
      </c>
      <c r="H108" s="26"/>
      <c r="I108" s="26"/>
      <c r="J108" s="26"/>
      <c r="K108" s="26"/>
    </row>
    <row r="109" spans="1:11" s="10" customFormat="1" x14ac:dyDescent="0.25">
      <c r="A109" s="24"/>
      <c r="B109" s="25"/>
      <c r="C109" s="49">
        <f>C85</f>
        <v>2</v>
      </c>
      <c r="D109" s="27">
        <f>D85</f>
        <v>6.4004876562023769</v>
      </c>
      <c r="E109" s="27">
        <f>E85</f>
        <v>0.9</v>
      </c>
      <c r="F109" s="27"/>
      <c r="G109" s="27">
        <f t="shared" si="10"/>
        <v>11.520877781164279</v>
      </c>
      <c r="H109" s="26"/>
      <c r="I109" s="26"/>
      <c r="J109" s="26"/>
      <c r="K109" s="26"/>
    </row>
    <row r="110" spans="1:11" s="10" customFormat="1" ht="15" customHeight="1" x14ac:dyDescent="0.25">
      <c r="A110" s="17"/>
      <c r="B110" s="18" t="s">
        <v>16</v>
      </c>
      <c r="C110" s="19"/>
      <c r="D110" s="1"/>
      <c r="E110" s="20"/>
      <c r="F110" s="20"/>
      <c r="G110" s="2">
        <f>SUM(G103:G109)</f>
        <v>24.278333397194842</v>
      </c>
      <c r="H110" s="21" t="s">
        <v>34</v>
      </c>
      <c r="I110" s="2">
        <v>287.32</v>
      </c>
      <c r="J110" s="22">
        <f>G110*I110</f>
        <v>6975.650751682022</v>
      </c>
      <c r="K110" s="20"/>
    </row>
    <row r="111" spans="1:11" s="10" customFormat="1" x14ac:dyDescent="0.25">
      <c r="A111" s="24"/>
      <c r="B111" s="25" t="s">
        <v>32</v>
      </c>
      <c r="C111" s="26"/>
      <c r="D111" s="27"/>
      <c r="E111" s="27"/>
      <c r="F111" s="27"/>
      <c r="G111" s="27"/>
      <c r="H111" s="26"/>
      <c r="I111" s="26"/>
      <c r="J111" s="22">
        <f>0.13*G110*693.24/10</f>
        <v>218.79925397552762</v>
      </c>
      <c r="K111" s="26"/>
    </row>
    <row r="112" spans="1:11" x14ac:dyDescent="0.25">
      <c r="A112" s="15"/>
      <c r="B112" s="15"/>
      <c r="C112" s="15"/>
      <c r="D112" s="15"/>
      <c r="E112" s="15"/>
      <c r="F112" s="15"/>
      <c r="G112" s="15"/>
      <c r="H112" s="15"/>
      <c r="I112" s="15"/>
      <c r="J112" s="15"/>
      <c r="K112" s="15"/>
    </row>
    <row r="113" spans="1:11" ht="30" x14ac:dyDescent="0.25">
      <c r="A113" s="11">
        <v>9</v>
      </c>
      <c r="B113" s="28" t="s">
        <v>56</v>
      </c>
      <c r="C113" s="15"/>
      <c r="D113" s="15"/>
      <c r="E113" s="15"/>
      <c r="F113" s="15"/>
      <c r="G113" s="15"/>
      <c r="H113" s="15"/>
      <c r="I113" s="15"/>
      <c r="J113" s="15"/>
      <c r="K113" s="15"/>
    </row>
    <row r="114" spans="1:11" x14ac:dyDescent="0.25">
      <c r="A114" s="15"/>
      <c r="B114" s="16" t="s">
        <v>86</v>
      </c>
      <c r="C114" s="45">
        <v>2</v>
      </c>
      <c r="D114" s="3">
        <f>9.75/3.281</f>
        <v>2.9716549832368178</v>
      </c>
      <c r="E114" s="3">
        <v>0.35</v>
      </c>
      <c r="F114" s="3">
        <f>(10-3.5-0.33*2)/3.281</f>
        <v>1.7799451386772325</v>
      </c>
      <c r="G114" s="3">
        <f t="shared" ref="G114:G117" si="11">PRODUCT(C114:F114)</f>
        <v>3.7025679888668424</v>
      </c>
      <c r="H114" s="15"/>
      <c r="I114" s="15"/>
      <c r="J114" s="15"/>
      <c r="K114" s="15"/>
    </row>
    <row r="115" spans="1:11" x14ac:dyDescent="0.25">
      <c r="A115" s="15"/>
      <c r="B115" s="16"/>
      <c r="C115" s="45">
        <v>2</v>
      </c>
      <c r="D115" s="3">
        <f>15/3.281</f>
        <v>4.5717768972874122</v>
      </c>
      <c r="E115" s="3">
        <v>0.35</v>
      </c>
      <c r="F115" s="3">
        <f>(10-3.5-0.33*2)/3.281</f>
        <v>1.7799451386772325</v>
      </c>
      <c r="G115" s="3">
        <f t="shared" si="11"/>
        <v>5.6962584444105273</v>
      </c>
      <c r="H115" s="15"/>
      <c r="I115" s="15"/>
      <c r="J115" s="15"/>
      <c r="K115" s="15"/>
    </row>
    <row r="116" spans="1:11" x14ac:dyDescent="0.25">
      <c r="A116" s="15"/>
      <c r="B116" s="16" t="s">
        <v>87</v>
      </c>
      <c r="C116" s="45">
        <v>-1</v>
      </c>
      <c r="D116" s="3">
        <f>1.5</f>
        <v>1.5</v>
      </c>
      <c r="E116" s="3">
        <v>0.35</v>
      </c>
      <c r="F116" s="3">
        <f>(7-3.5)/3.281</f>
        <v>1.0667479427003961</v>
      </c>
      <c r="G116" s="3">
        <f t="shared" si="11"/>
        <v>-0.56004266991770779</v>
      </c>
      <c r="H116" s="15"/>
      <c r="I116" s="15"/>
      <c r="J116" s="15"/>
      <c r="K116" s="15"/>
    </row>
    <row r="117" spans="1:11" x14ac:dyDescent="0.25">
      <c r="A117" s="15"/>
      <c r="B117" s="16" t="s">
        <v>58</v>
      </c>
      <c r="C117" s="45">
        <v>-2</v>
      </c>
      <c r="D117" s="3">
        <f>3.5/3.281</f>
        <v>1.0667479427003961</v>
      </c>
      <c r="E117" s="3">
        <v>0.35</v>
      </c>
      <c r="F117" s="3">
        <f>(7-3.5)/3.281</f>
        <v>1.0667479427003961</v>
      </c>
      <c r="G117" s="3">
        <f t="shared" si="11"/>
        <v>-0.79656582127886921</v>
      </c>
      <c r="H117" s="15"/>
      <c r="I117" s="15"/>
      <c r="J117" s="15"/>
      <c r="K117" s="15"/>
    </row>
    <row r="118" spans="1:11" s="10" customFormat="1" x14ac:dyDescent="0.25">
      <c r="A118" s="24"/>
      <c r="B118" s="25" t="s">
        <v>107</v>
      </c>
      <c r="C118" s="49">
        <f>C14*2</f>
        <v>2</v>
      </c>
      <c r="D118" s="27">
        <f>N10-O10*2</f>
        <v>1.2163181956720512</v>
      </c>
      <c r="E118" s="27">
        <f>O10</f>
        <v>0.23</v>
      </c>
      <c r="F118" s="27">
        <f>P10</f>
        <v>0.6</v>
      </c>
      <c r="G118" s="27">
        <f>PRODUCT(C118:F118)</f>
        <v>0.33570382200548615</v>
      </c>
      <c r="H118" s="26"/>
      <c r="I118" s="26"/>
      <c r="J118" s="26"/>
      <c r="K118" s="26"/>
    </row>
    <row r="119" spans="1:11" s="10" customFormat="1" x14ac:dyDescent="0.25">
      <c r="A119" s="24"/>
      <c r="B119" s="25" t="s">
        <v>108</v>
      </c>
      <c r="C119" s="49">
        <f>C14</f>
        <v>1</v>
      </c>
      <c r="D119" s="27">
        <f>M10-R10</f>
        <v>1.3197195976836331</v>
      </c>
      <c r="E119" s="27">
        <f>O10</f>
        <v>0.23</v>
      </c>
      <c r="F119" s="27">
        <f>P10</f>
        <v>0.6</v>
      </c>
      <c r="G119" s="27">
        <f>PRODUCT(C119:F119)</f>
        <v>0.18212130448034136</v>
      </c>
      <c r="H119" s="26"/>
      <c r="I119" s="26"/>
      <c r="J119" s="26"/>
      <c r="K119" s="26"/>
    </row>
    <row r="120" spans="1:11" s="10" customFormat="1" x14ac:dyDescent="0.25">
      <c r="A120" s="24"/>
      <c r="B120" s="25" t="s">
        <v>106</v>
      </c>
      <c r="C120" s="49">
        <f>C14</f>
        <v>1</v>
      </c>
      <c r="D120" s="27">
        <f>R10</f>
        <v>0.35659859798841814</v>
      </c>
      <c r="E120" s="27">
        <f>O10</f>
        <v>0.23</v>
      </c>
      <c r="F120" s="27">
        <f>Q10</f>
        <v>1.2</v>
      </c>
      <c r="G120" s="27">
        <f>PRODUCT(C120:F120)</f>
        <v>9.8421213044803404E-2</v>
      </c>
      <c r="H120" s="26"/>
      <c r="I120" s="26"/>
      <c r="J120" s="26"/>
      <c r="K120" s="26"/>
    </row>
    <row r="121" spans="1:11" s="10" customFormat="1" ht="15" customHeight="1" x14ac:dyDescent="0.25">
      <c r="A121" s="17"/>
      <c r="B121" s="18" t="s">
        <v>16</v>
      </c>
      <c r="C121" s="19"/>
      <c r="D121" s="1"/>
      <c r="E121" s="20"/>
      <c r="F121" s="20"/>
      <c r="G121" s="2">
        <f>SUM(G114:G120)</f>
        <v>8.6584642816114226</v>
      </c>
      <c r="H121" s="21" t="s">
        <v>28</v>
      </c>
      <c r="I121" s="2">
        <f>14491.84</f>
        <v>14491.84</v>
      </c>
      <c r="J121" s="22">
        <f>G121*I121</f>
        <v>125477.07901482769</v>
      </c>
      <c r="K121" s="20"/>
    </row>
    <row r="122" spans="1:11" s="10" customFormat="1" x14ac:dyDescent="0.25">
      <c r="A122" s="24"/>
      <c r="B122" s="25" t="s">
        <v>53</v>
      </c>
      <c r="C122" s="26"/>
      <c r="D122" s="27"/>
      <c r="E122" s="27"/>
      <c r="F122" s="27"/>
      <c r="G122" s="27"/>
      <c r="H122" s="26"/>
      <c r="I122" s="26"/>
      <c r="J122" s="22">
        <f>0.13*G121*8481.2</f>
        <v>9546.4417444763658</v>
      </c>
      <c r="K122" s="26"/>
    </row>
    <row r="123" spans="1:11" s="10" customFormat="1" x14ac:dyDescent="0.25">
      <c r="A123" s="24"/>
      <c r="B123" s="25" t="s">
        <v>32</v>
      </c>
      <c r="C123" s="26"/>
      <c r="D123" s="27"/>
      <c r="E123" s="27"/>
      <c r="F123" s="27"/>
      <c r="G123" s="27"/>
      <c r="H123" s="26"/>
      <c r="I123" s="26"/>
      <c r="J123" s="22">
        <f>0.13*G121*912.17</f>
        <v>1026.738877288474</v>
      </c>
      <c r="K123" s="26"/>
    </row>
    <row r="124" spans="1:11" s="10" customFormat="1" x14ac:dyDescent="0.25">
      <c r="A124" s="24"/>
      <c r="B124" s="25" t="s">
        <v>57</v>
      </c>
      <c r="C124" s="26"/>
      <c r="D124" s="27"/>
      <c r="E124" s="27"/>
      <c r="F124" s="27"/>
      <c r="G124" s="27"/>
      <c r="H124" s="26"/>
      <c r="I124" s="26"/>
      <c r="J124" s="22">
        <f>0.13*G121*953.37</f>
        <v>1073.1136119807848</v>
      </c>
      <c r="K124" s="26"/>
    </row>
    <row r="125" spans="1:11" s="10" customFormat="1" x14ac:dyDescent="0.25">
      <c r="A125" s="24"/>
      <c r="B125" s="25" t="s">
        <v>35</v>
      </c>
      <c r="C125" s="26"/>
      <c r="D125" s="27"/>
      <c r="E125" s="27"/>
      <c r="F125" s="27"/>
      <c r="G125" s="27"/>
      <c r="H125" s="26"/>
      <c r="I125" s="26"/>
      <c r="J125" s="22">
        <f>0.13*G121*28</f>
        <v>31.516809985065578</v>
      </c>
      <c r="K125" s="26"/>
    </row>
    <row r="126" spans="1:11" x14ac:dyDescent="0.25">
      <c r="A126" s="15"/>
      <c r="B126" s="15"/>
      <c r="C126" s="15"/>
      <c r="D126" s="15"/>
      <c r="E126" s="15"/>
      <c r="F126" s="15"/>
      <c r="G126" s="15"/>
      <c r="H126" s="15"/>
      <c r="I126" s="15"/>
      <c r="J126" s="15"/>
      <c r="K126" s="15"/>
    </row>
    <row r="127" spans="1:11" ht="30" x14ac:dyDescent="0.25">
      <c r="A127" s="11">
        <v>10</v>
      </c>
      <c r="B127" s="28" t="s">
        <v>51</v>
      </c>
      <c r="C127" s="15"/>
      <c r="D127" s="15"/>
      <c r="E127" s="15"/>
      <c r="F127" s="15"/>
      <c r="G127" s="15"/>
      <c r="H127" s="15"/>
      <c r="I127" s="15"/>
      <c r="J127" s="15"/>
      <c r="K127" s="15"/>
    </row>
    <row r="128" spans="1:11" x14ac:dyDescent="0.25">
      <c r="A128" s="15"/>
      <c r="B128" s="16" t="str">
        <f>B114</f>
        <v>-for wall continue</v>
      </c>
      <c r="C128" s="45">
        <v>1</v>
      </c>
      <c r="D128" s="3">
        <f>(15*2+(9.75+1.17*2)*2)/3.281</f>
        <v>16.513258153002134</v>
      </c>
      <c r="E128" s="3"/>
      <c r="F128" s="3">
        <f>10/3.281</f>
        <v>3.047851264858275</v>
      </c>
      <c r="G128" s="3">
        <f>PRODUCT(C128:F128)</f>
        <v>50.329954748558777</v>
      </c>
      <c r="H128" s="15"/>
      <c r="I128" s="15"/>
      <c r="J128" s="15"/>
      <c r="K128" s="15"/>
    </row>
    <row r="129" spans="1:11" x14ac:dyDescent="0.25">
      <c r="A129" s="15"/>
      <c r="B129" s="16"/>
      <c r="C129" s="45">
        <v>1</v>
      </c>
      <c r="D129" s="3">
        <f>((15-1.17*2)*2+(9.75*2))/3.281</f>
        <v>13.660469369094788</v>
      </c>
      <c r="E129" s="3"/>
      <c r="F129" s="3">
        <f>(10-3.5)/3.281</f>
        <v>1.9811033221578787</v>
      </c>
      <c r="G129" s="3">
        <f>PRODUCT(C129:F129)</f>
        <v>27.062801249349626</v>
      </c>
      <c r="H129" s="15"/>
      <c r="I129" s="15"/>
      <c r="J129" s="15"/>
      <c r="K129" s="15"/>
    </row>
    <row r="130" spans="1:11" x14ac:dyDescent="0.25">
      <c r="A130" s="15"/>
      <c r="B130" s="16" t="str">
        <f>B116</f>
        <v>-deduction for door</v>
      </c>
      <c r="C130" s="45">
        <v>-2</v>
      </c>
      <c r="D130" s="3">
        <f>D116</f>
        <v>1.5</v>
      </c>
      <c r="E130" s="3"/>
      <c r="F130" s="3">
        <f>7/3.281</f>
        <v>2.1334958854007922</v>
      </c>
      <c r="G130" s="3">
        <f t="shared" ref="G130:G133" si="12">PRODUCT(C130:F130)</f>
        <v>-6.400487656202376</v>
      </c>
      <c r="H130" s="15"/>
      <c r="I130" s="15"/>
      <c r="J130" s="15"/>
      <c r="K130" s="15"/>
    </row>
    <row r="131" spans="1:11" x14ac:dyDescent="0.25">
      <c r="A131" s="15"/>
      <c r="B131" s="16" t="str">
        <f>B117</f>
        <v>-deduction for window</v>
      </c>
      <c r="C131" s="45">
        <f>2*C117</f>
        <v>-4</v>
      </c>
      <c r="D131" s="3">
        <f>D117</f>
        <v>1.0667479427003961</v>
      </c>
      <c r="E131" s="3"/>
      <c r="F131" s="3">
        <f>F117</f>
        <v>1.0667479427003961</v>
      </c>
      <c r="G131" s="3">
        <f t="shared" si="12"/>
        <v>-4.5518046930221097</v>
      </c>
      <c r="H131" s="15"/>
      <c r="I131" s="15"/>
      <c r="J131" s="15"/>
      <c r="K131" s="15"/>
    </row>
    <row r="132" spans="1:11" x14ac:dyDescent="0.25">
      <c r="A132" s="15"/>
      <c r="B132" s="16" t="s">
        <v>124</v>
      </c>
      <c r="C132" s="45">
        <v>2</v>
      </c>
      <c r="D132" s="3">
        <f>D52</f>
        <v>3.7717159402621152</v>
      </c>
      <c r="E132" s="3">
        <f>E52</f>
        <v>2.1081987199024685</v>
      </c>
      <c r="F132" s="3"/>
      <c r="G132" s="3">
        <f t="shared" si="12"/>
        <v>15.903053434192653</v>
      </c>
      <c r="H132" s="15"/>
      <c r="I132" s="15"/>
      <c r="J132" s="15"/>
      <c r="K132" s="15"/>
    </row>
    <row r="133" spans="1:11" x14ac:dyDescent="0.25">
      <c r="A133" s="15"/>
      <c r="B133" s="16"/>
      <c r="C133" s="45">
        <v>2</v>
      </c>
      <c r="D133" s="3">
        <f>D53</f>
        <v>3.1240475464797317</v>
      </c>
      <c r="E133" s="3">
        <f>E53</f>
        <v>1.9049070405364217</v>
      </c>
      <c r="F133" s="3"/>
      <c r="G133" s="3">
        <f t="shared" si="12"/>
        <v>11.902040332519549</v>
      </c>
      <c r="H133" s="15"/>
      <c r="I133" s="15"/>
      <c r="J133" s="15"/>
      <c r="K133" s="15"/>
    </row>
    <row r="134" spans="1:11" s="10" customFormat="1" x14ac:dyDescent="0.25">
      <c r="A134" s="24"/>
      <c r="B134" s="25" t="str">
        <f>B118</f>
        <v>-for wing walls of stand tap</v>
      </c>
      <c r="C134" s="49">
        <f>C14*4</f>
        <v>4</v>
      </c>
      <c r="D134" s="27">
        <f>M10-O10*2</f>
        <v>1.2163181956720512</v>
      </c>
      <c r="E134" s="27"/>
      <c r="F134" s="27">
        <f>P10</f>
        <v>0.6</v>
      </c>
      <c r="G134" s="27">
        <f>PRODUCT(C134:F134)</f>
        <v>2.9191636696129231</v>
      </c>
      <c r="H134" s="26"/>
      <c r="I134" s="26"/>
      <c r="J134" s="26"/>
      <c r="K134" s="26"/>
    </row>
    <row r="135" spans="1:11" s="10" customFormat="1" x14ac:dyDescent="0.25">
      <c r="A135" s="24"/>
      <c r="B135" s="25" t="str">
        <f>B119</f>
        <v>-for side wall of stand tap</v>
      </c>
      <c r="C135" s="49">
        <f>C14</f>
        <v>1</v>
      </c>
      <c r="D135" s="27">
        <f>M10-R10</f>
        <v>1.3197195976836331</v>
      </c>
      <c r="E135" s="27"/>
      <c r="F135" s="27">
        <f>P10</f>
        <v>0.6</v>
      </c>
      <c r="G135" s="27">
        <f>PRODUCT(C135:F135)</f>
        <v>0.79183175861017985</v>
      </c>
      <c r="H135" s="26"/>
      <c r="I135" s="26"/>
      <c r="J135" s="26"/>
      <c r="K135" s="26"/>
    </row>
    <row r="136" spans="1:11" s="10" customFormat="1" x14ac:dyDescent="0.25">
      <c r="A136" s="24"/>
      <c r="B136" s="25" t="s">
        <v>114</v>
      </c>
      <c r="C136" s="49">
        <f>C14</f>
        <v>1</v>
      </c>
      <c r="D136" s="27">
        <f>R10</f>
        <v>0.35659859798841814</v>
      </c>
      <c r="E136" s="27"/>
      <c r="F136" s="27">
        <f>Q10</f>
        <v>1.2</v>
      </c>
      <c r="G136" s="27">
        <f>PRODUCT(C136:F136)</f>
        <v>0.42791831758610177</v>
      </c>
      <c r="H136" s="26"/>
      <c r="I136" s="26"/>
      <c r="J136" s="26"/>
      <c r="K136" s="26"/>
    </row>
    <row r="137" spans="1:11" s="10" customFormat="1" x14ac:dyDescent="0.25">
      <c r="A137" s="24"/>
      <c r="B137" s="25"/>
      <c r="C137" s="49">
        <f>C136</f>
        <v>1</v>
      </c>
      <c r="D137" s="27">
        <f>O10*2</f>
        <v>0.46</v>
      </c>
      <c r="E137" s="27"/>
      <c r="F137" s="27">
        <f>Q10-P10</f>
        <v>0.6</v>
      </c>
      <c r="G137" s="27">
        <f>PRODUCT(C137:F137)</f>
        <v>0.27600000000000002</v>
      </c>
      <c r="H137" s="26"/>
      <c r="I137" s="26"/>
      <c r="J137" s="26"/>
      <c r="K137" s="26"/>
    </row>
    <row r="138" spans="1:11" s="10" customFormat="1" ht="15" customHeight="1" x14ac:dyDescent="0.25">
      <c r="A138" s="17"/>
      <c r="B138" s="18" t="s">
        <v>16</v>
      </c>
      <c r="C138" s="19"/>
      <c r="D138" s="1"/>
      <c r="E138" s="20"/>
      <c r="F138" s="20"/>
      <c r="G138" s="2">
        <f>SUM(G128:G137)</f>
        <v>98.660471161205351</v>
      </c>
      <c r="H138" s="21" t="s">
        <v>34</v>
      </c>
      <c r="I138" s="2">
        <v>415.5</v>
      </c>
      <c r="J138" s="22">
        <f>G138*I138</f>
        <v>40993.425767480825</v>
      </c>
      <c r="K138" s="20"/>
    </row>
    <row r="139" spans="1:11" s="10" customFormat="1" x14ac:dyDescent="0.25">
      <c r="A139" s="24"/>
      <c r="B139" s="25" t="s">
        <v>32</v>
      </c>
      <c r="C139" s="26"/>
      <c r="D139" s="27"/>
      <c r="E139" s="27"/>
      <c r="F139" s="27"/>
      <c r="G139" s="27"/>
      <c r="H139" s="26"/>
      <c r="I139" s="26"/>
      <c r="J139" s="22">
        <f>0.13*G138*7010.67/100</f>
        <v>899.17880696244583</v>
      </c>
      <c r="K139" s="26"/>
    </row>
    <row r="140" spans="1:11" x14ac:dyDescent="0.25">
      <c r="A140" s="15"/>
      <c r="B140" s="25" t="s">
        <v>31</v>
      </c>
      <c r="C140" s="26"/>
      <c r="D140" s="27"/>
      <c r="E140" s="27"/>
      <c r="F140" s="27"/>
      <c r="G140" s="27"/>
      <c r="H140" s="26"/>
      <c r="I140" s="26"/>
      <c r="J140" s="22">
        <f>0.13*G138*4639.73/100</f>
        <v>595.08533221901303</v>
      </c>
      <c r="K140" s="15"/>
    </row>
    <row r="141" spans="1:11" x14ac:dyDescent="0.25">
      <c r="A141" s="15"/>
      <c r="B141" s="15"/>
      <c r="C141" s="15"/>
      <c r="D141" s="15"/>
      <c r="E141" s="15"/>
      <c r="F141" s="15"/>
      <c r="G141" s="15"/>
      <c r="H141" s="15"/>
      <c r="I141" s="15"/>
      <c r="J141" s="15"/>
      <c r="K141" s="15"/>
    </row>
    <row r="142" spans="1:11" ht="76.5" x14ac:dyDescent="0.25">
      <c r="A142" s="11">
        <v>10</v>
      </c>
      <c r="B142" s="28" t="s">
        <v>134</v>
      </c>
      <c r="C142" s="15"/>
      <c r="D142" s="15"/>
      <c r="E142" s="15"/>
      <c r="F142" s="15"/>
      <c r="G142" s="15"/>
      <c r="H142" s="15"/>
      <c r="I142" s="15"/>
      <c r="J142" s="15"/>
      <c r="K142" s="15"/>
    </row>
    <row r="143" spans="1:11" x14ac:dyDescent="0.25">
      <c r="A143" s="15"/>
      <c r="B143" s="16" t="s">
        <v>135</v>
      </c>
      <c r="C143" s="45">
        <v>1</v>
      </c>
      <c r="D143" s="3">
        <f>((15-1.17*2)*2+(9.75*2))/3.281</f>
        <v>13.660469369094788</v>
      </c>
      <c r="E143" s="3"/>
      <c r="F143" s="3">
        <f>(3.5)/3.281</f>
        <v>1.0667479427003961</v>
      </c>
      <c r="G143" s="3">
        <f>PRODUCT(C143:F143)</f>
        <v>14.572277595803643</v>
      </c>
      <c r="H143" s="15"/>
      <c r="I143" s="15"/>
      <c r="J143" s="15"/>
      <c r="K143" s="15"/>
    </row>
    <row r="144" spans="1:11" s="10" customFormat="1" x14ac:dyDescent="0.25">
      <c r="A144" s="24"/>
      <c r="B144" s="25" t="str">
        <f>B130</f>
        <v>-deduction for door</v>
      </c>
      <c r="C144" s="49">
        <f>-1</f>
        <v>-1</v>
      </c>
      <c r="D144" s="27">
        <f>D130</f>
        <v>1.5</v>
      </c>
      <c r="E144" s="27"/>
      <c r="F144" s="27">
        <f>F143</f>
        <v>1.0667479427003961</v>
      </c>
      <c r="G144" s="27">
        <f>PRODUCT(C144:F144)</f>
        <v>-1.600121914050594</v>
      </c>
      <c r="H144" s="26"/>
      <c r="I144" s="26"/>
      <c r="J144" s="26"/>
      <c r="K144" s="26"/>
    </row>
    <row r="145" spans="1:11" s="10" customFormat="1" ht="15" customHeight="1" x14ac:dyDescent="0.25">
      <c r="A145" s="17"/>
      <c r="B145" s="18" t="s">
        <v>16</v>
      </c>
      <c r="C145" s="19"/>
      <c r="D145" s="1"/>
      <c r="E145" s="20"/>
      <c r="F145" s="20"/>
      <c r="G145" s="2">
        <f>SUM(G143:G144)</f>
        <v>12.972155681753048</v>
      </c>
      <c r="H145" s="21" t="s">
        <v>34</v>
      </c>
      <c r="I145" s="2">
        <v>2845.18</v>
      </c>
      <c r="J145" s="22">
        <f>G145*I145</f>
        <v>36908.117902610131</v>
      </c>
      <c r="K145" s="20"/>
    </row>
    <row r="146" spans="1:11" s="10" customFormat="1" x14ac:dyDescent="0.25">
      <c r="A146" s="24"/>
      <c r="B146" s="25" t="s">
        <v>32</v>
      </c>
      <c r="C146" s="26"/>
      <c r="D146" s="27"/>
      <c r="E146" s="27"/>
      <c r="F146" s="27"/>
      <c r="G146" s="27"/>
      <c r="H146" s="26"/>
      <c r="I146" s="26"/>
      <c r="J146" s="22">
        <f>0.13*G145*729.73/10</f>
        <v>123.06022515339347</v>
      </c>
      <c r="K146" s="26"/>
    </row>
    <row r="147" spans="1:11" x14ac:dyDescent="0.25">
      <c r="A147" s="15"/>
      <c r="B147" s="25" t="s">
        <v>31</v>
      </c>
      <c r="C147" s="26"/>
      <c r="D147" s="27"/>
      <c r="E147" s="27"/>
      <c r="F147" s="27"/>
      <c r="G147" s="27"/>
      <c r="H147" s="26"/>
      <c r="I147" s="26"/>
      <c r="J147" s="22">
        <f>0.13*G145*483.04/10</f>
        <v>81.458911046681905</v>
      </c>
      <c r="K147" s="15"/>
    </row>
    <row r="148" spans="1:11" s="10" customFormat="1" x14ac:dyDescent="0.25">
      <c r="A148" s="24"/>
      <c r="B148" s="25" t="s">
        <v>136</v>
      </c>
      <c r="C148" s="26"/>
      <c r="D148" s="27"/>
      <c r="E148" s="27"/>
      <c r="F148" s="27"/>
      <c r="G148" s="27"/>
      <c r="H148" s="26"/>
      <c r="I148" s="26"/>
      <c r="J148" s="22">
        <f>0.13*G145*100.06/10</f>
        <v>16.873920667710731</v>
      </c>
      <c r="K148" s="26"/>
    </row>
    <row r="149" spans="1:11" x14ac:dyDescent="0.25">
      <c r="A149" s="15"/>
      <c r="B149" s="25" t="s">
        <v>137</v>
      </c>
      <c r="C149" s="26"/>
      <c r="D149" s="27"/>
      <c r="E149" s="27"/>
      <c r="F149" s="27"/>
      <c r="G149" s="27"/>
      <c r="H149" s="26"/>
      <c r="I149" s="26"/>
      <c r="J149" s="22">
        <f>0.13*G145*6746.52/10</f>
        <v>1137.7198007507875</v>
      </c>
      <c r="K149" s="15"/>
    </row>
    <row r="150" spans="1:11" x14ac:dyDescent="0.25">
      <c r="A150" s="15"/>
      <c r="B150" s="15"/>
      <c r="C150" s="15"/>
      <c r="D150" s="15"/>
      <c r="E150" s="15"/>
      <c r="F150" s="15"/>
      <c r="G150" s="15"/>
      <c r="H150" s="15"/>
      <c r="I150" s="15"/>
      <c r="J150" s="15"/>
      <c r="K150" s="15"/>
    </row>
    <row r="151" spans="1:11" ht="30" x14ac:dyDescent="0.25">
      <c r="A151" s="11">
        <v>11</v>
      </c>
      <c r="B151" s="28" t="s">
        <v>59</v>
      </c>
      <c r="C151" s="15"/>
      <c r="D151" s="15"/>
      <c r="E151" s="15"/>
      <c r="F151" s="15"/>
      <c r="G151" s="15"/>
      <c r="H151" s="15"/>
      <c r="I151" s="15"/>
      <c r="J151" s="15"/>
      <c r="K151" s="15"/>
    </row>
    <row r="152" spans="1:11" x14ac:dyDescent="0.25">
      <c r="A152" s="15"/>
      <c r="B152" s="16" t="s">
        <v>85</v>
      </c>
      <c r="C152" s="45">
        <f>C128</f>
        <v>1</v>
      </c>
      <c r="D152" s="3"/>
      <c r="E152" s="3"/>
      <c r="F152" s="3"/>
      <c r="G152" s="3">
        <f>SUM(G128:G131)</f>
        <v>66.440463648683931</v>
      </c>
      <c r="H152" s="15"/>
      <c r="I152" s="15"/>
      <c r="J152" s="15"/>
      <c r="K152" s="15"/>
    </row>
    <row r="153" spans="1:11" s="10" customFormat="1" ht="15" customHeight="1" x14ac:dyDescent="0.25">
      <c r="A153" s="17"/>
      <c r="B153" s="18" t="s">
        <v>16</v>
      </c>
      <c r="C153" s="19"/>
      <c r="D153" s="1"/>
      <c r="E153" s="20"/>
      <c r="F153" s="20"/>
      <c r="G153" s="2">
        <f>SUM(G152:G152)</f>
        <v>66.440463648683931</v>
      </c>
      <c r="H153" s="21" t="s">
        <v>34</v>
      </c>
      <c r="I153" s="2">
        <v>253.8</v>
      </c>
      <c r="J153" s="22">
        <f>G153*I153</f>
        <v>16862.589674035982</v>
      </c>
      <c r="K153" s="20"/>
    </row>
    <row r="154" spans="1:11" s="10" customFormat="1" x14ac:dyDescent="0.25">
      <c r="A154" s="24"/>
      <c r="B154" s="25" t="s">
        <v>60</v>
      </c>
      <c r="C154" s="26"/>
      <c r="D154" s="27"/>
      <c r="E154" s="27"/>
      <c r="F154" s="27"/>
      <c r="G154" s="27"/>
      <c r="H154" s="26"/>
      <c r="I154" s="26"/>
      <c r="J154" s="22">
        <f>0.13*G153*2304/100</f>
        <v>199.00247672053811</v>
      </c>
      <c r="K154" s="26"/>
    </row>
    <row r="155" spans="1:11" s="10" customFormat="1" x14ac:dyDescent="0.25">
      <c r="A155" s="24"/>
      <c r="B155" s="25" t="s">
        <v>61</v>
      </c>
      <c r="C155" s="26"/>
      <c r="D155" s="27"/>
      <c r="E155" s="27"/>
      <c r="F155" s="27"/>
      <c r="G155" s="27"/>
      <c r="H155" s="26"/>
      <c r="I155" s="26"/>
      <c r="J155" s="22">
        <f>0.13*G153*10432/100</f>
        <v>901.03899181799204</v>
      </c>
      <c r="K155" s="26"/>
    </row>
    <row r="156" spans="1:11" s="10" customFormat="1" x14ac:dyDescent="0.25">
      <c r="A156" s="24"/>
      <c r="B156" s="25"/>
      <c r="C156" s="26"/>
      <c r="D156" s="27"/>
      <c r="E156" s="27"/>
      <c r="F156" s="27"/>
      <c r="G156" s="27"/>
      <c r="H156" s="26"/>
      <c r="I156" s="26"/>
      <c r="J156" s="22"/>
      <c r="K156" s="26"/>
    </row>
    <row r="157" spans="1:11" ht="30" x14ac:dyDescent="0.25">
      <c r="A157" s="11">
        <v>12</v>
      </c>
      <c r="B157" s="28" t="s">
        <v>81</v>
      </c>
      <c r="C157" s="15"/>
      <c r="D157" s="15"/>
      <c r="E157" s="15"/>
      <c r="F157" s="15"/>
      <c r="G157" s="15"/>
      <c r="H157" s="15"/>
      <c r="I157" s="15"/>
      <c r="J157" s="15"/>
      <c r="K157" s="15"/>
    </row>
    <row r="158" spans="1:11" x14ac:dyDescent="0.25">
      <c r="A158" s="15"/>
      <c r="B158" s="16" t="s">
        <v>122</v>
      </c>
      <c r="C158" s="45">
        <f>C135</f>
        <v>1</v>
      </c>
      <c r="D158" s="3">
        <f>(18.25*2+15.25*2)/3.281</f>
        <v>20.42060347455044</v>
      </c>
      <c r="E158" s="3"/>
      <c r="F158" s="3"/>
      <c r="G158" s="3">
        <f>PRODUCT(C158:F158)</f>
        <v>20.42060347455044</v>
      </c>
      <c r="H158" s="15"/>
      <c r="I158" s="15"/>
      <c r="J158" s="15"/>
      <c r="K158" s="15"/>
    </row>
    <row r="159" spans="1:11" s="10" customFormat="1" ht="15" customHeight="1" x14ac:dyDescent="0.25">
      <c r="A159" s="17"/>
      <c r="B159" s="18" t="s">
        <v>16</v>
      </c>
      <c r="C159" s="19"/>
      <c r="D159" s="1"/>
      <c r="E159" s="20"/>
      <c r="F159" s="20"/>
      <c r="G159" s="2">
        <f>SUM(G158:G158)</f>
        <v>20.42060347455044</v>
      </c>
      <c r="H159" s="21" t="s">
        <v>82</v>
      </c>
      <c r="I159" s="2">
        <v>144.41</v>
      </c>
      <c r="J159" s="22">
        <f>G159*I159</f>
        <v>2948.9393477598287</v>
      </c>
      <c r="K159" s="20"/>
    </row>
    <row r="160" spans="1:11" s="10" customFormat="1" x14ac:dyDescent="0.25">
      <c r="A160" s="24"/>
      <c r="B160" s="25" t="s">
        <v>32</v>
      </c>
      <c r="C160" s="26"/>
      <c r="D160" s="27"/>
      <c r="E160" s="27"/>
      <c r="F160" s="27"/>
      <c r="G160" s="27"/>
      <c r="H160" s="26"/>
      <c r="I160" s="26"/>
      <c r="J160" s="22">
        <f>0.13*G159*91.21</f>
        <v>242.1332215787869</v>
      </c>
      <c r="K160" s="26"/>
    </row>
    <row r="161" spans="1:11" s="10" customFormat="1" x14ac:dyDescent="0.25">
      <c r="A161" s="24"/>
      <c r="B161" s="25" t="s">
        <v>31</v>
      </c>
      <c r="C161" s="26"/>
      <c r="D161" s="27"/>
      <c r="E161" s="27"/>
      <c r="F161" s="27"/>
      <c r="G161" s="27"/>
      <c r="H161" s="26"/>
      <c r="I161" s="26"/>
      <c r="J161" s="22">
        <f>0.13*G159*12.71</f>
        <v>33.740963120999695</v>
      </c>
      <c r="K161" s="26"/>
    </row>
    <row r="162" spans="1:11" s="10" customFormat="1" x14ac:dyDescent="0.25">
      <c r="A162" s="24"/>
      <c r="B162" s="25" t="s">
        <v>123</v>
      </c>
      <c r="C162" s="26"/>
      <c r="D162" s="27"/>
      <c r="E162" s="27"/>
      <c r="F162" s="27"/>
      <c r="G162" s="27"/>
      <c r="H162" s="26"/>
      <c r="I162" s="26"/>
      <c r="J162" s="22">
        <f>0.13*G159*0.02</f>
        <v>5.3093569033831146E-2</v>
      </c>
      <c r="K162" s="26"/>
    </row>
    <row r="163" spans="1:11" s="10" customFormat="1" x14ac:dyDescent="0.25">
      <c r="A163" s="24"/>
      <c r="B163" s="25"/>
      <c r="C163" s="26"/>
      <c r="D163" s="27"/>
      <c r="E163" s="27"/>
      <c r="F163" s="27"/>
      <c r="G163" s="27"/>
      <c r="H163" s="26"/>
      <c r="I163" s="26"/>
      <c r="J163" s="22"/>
      <c r="K163" s="26"/>
    </row>
    <row r="164" spans="1:11" s="10" customFormat="1" ht="45" x14ac:dyDescent="0.25">
      <c r="A164" s="24">
        <v>13</v>
      </c>
      <c r="B164" s="30" t="s">
        <v>138</v>
      </c>
      <c r="C164" s="26"/>
      <c r="D164" s="27"/>
      <c r="E164" s="27"/>
      <c r="F164" s="27"/>
      <c r="G164" s="27"/>
      <c r="H164" s="26"/>
      <c r="I164" s="26"/>
      <c r="J164" s="22"/>
      <c r="K164" s="26"/>
    </row>
    <row r="165" spans="1:11" x14ac:dyDescent="0.25">
      <c r="A165" s="15"/>
      <c r="B165" s="16" t="s">
        <v>97</v>
      </c>
      <c r="C165" s="45">
        <v>1</v>
      </c>
      <c r="D165" s="3">
        <f>D116</f>
        <v>1.5</v>
      </c>
      <c r="E165" s="3"/>
      <c r="F165" s="3">
        <f>F116+3.5/3.281</f>
        <v>2.1334958854007922</v>
      </c>
      <c r="G165" s="3">
        <f>PRODUCT(C165:F165)</f>
        <v>3.200243828101188</v>
      </c>
      <c r="H165" s="15"/>
      <c r="I165" s="15"/>
      <c r="J165" s="15"/>
      <c r="K165" s="15"/>
    </row>
    <row r="166" spans="1:11" x14ac:dyDescent="0.25">
      <c r="A166" s="15"/>
      <c r="B166" s="16" t="s">
        <v>98</v>
      </c>
      <c r="C166" s="45">
        <v>2</v>
      </c>
      <c r="D166" s="3">
        <f>D117</f>
        <v>1.0667479427003961</v>
      </c>
      <c r="E166" s="3"/>
      <c r="F166" s="3">
        <f>F117</f>
        <v>1.0667479427003961</v>
      </c>
      <c r="G166" s="3">
        <f>PRODUCT(C166:F166)</f>
        <v>2.2759023465110548</v>
      </c>
      <c r="H166" s="15"/>
      <c r="I166" s="15"/>
      <c r="J166" s="15"/>
      <c r="K166" s="15"/>
    </row>
    <row r="167" spans="1:11" s="10" customFormat="1" ht="15" customHeight="1" x14ac:dyDescent="0.25">
      <c r="A167" s="17"/>
      <c r="B167" s="18" t="s">
        <v>16</v>
      </c>
      <c r="C167" s="19"/>
      <c r="D167" s="1"/>
      <c r="E167" s="20"/>
      <c r="F167" s="20"/>
      <c r="G167" s="2">
        <f>SUM(G165:G166)</f>
        <v>5.4761461746122428</v>
      </c>
      <c r="H167" s="21" t="s">
        <v>34</v>
      </c>
      <c r="I167" s="2">
        <v>37363.64</v>
      </c>
      <c r="J167" s="22">
        <f>G167*I167</f>
        <v>204608.75425558898</v>
      </c>
      <c r="K167" s="20"/>
    </row>
    <row r="168" spans="1:11" s="10" customFormat="1" x14ac:dyDescent="0.25">
      <c r="A168" s="24"/>
      <c r="B168" s="25" t="s">
        <v>99</v>
      </c>
      <c r="C168" s="26"/>
      <c r="D168" s="27"/>
      <c r="E168" s="27"/>
      <c r="F168" s="27"/>
      <c r="G168" s="27"/>
      <c r="H168" s="26"/>
      <c r="I168" s="26"/>
      <c r="J168" s="22">
        <f>0.13*G167*7910.91/0.92</f>
        <v>6121.4879776589405</v>
      </c>
      <c r="K168" s="26"/>
    </row>
    <row r="169" spans="1:11" s="10" customFormat="1" x14ac:dyDescent="0.25">
      <c r="A169" s="24"/>
      <c r="B169" s="25"/>
      <c r="C169" s="26"/>
      <c r="D169" s="27"/>
      <c r="E169" s="27"/>
      <c r="F169" s="27"/>
      <c r="G169" s="27"/>
      <c r="H169" s="26"/>
      <c r="I169" s="26"/>
      <c r="J169" s="22"/>
      <c r="K169" s="26"/>
    </row>
    <row r="170" spans="1:11" s="10" customFormat="1" ht="30" x14ac:dyDescent="0.25">
      <c r="A170" s="24">
        <v>14</v>
      </c>
      <c r="B170" s="50" t="s">
        <v>110</v>
      </c>
      <c r="C170" s="26"/>
      <c r="D170" s="26"/>
      <c r="E170" s="26"/>
      <c r="F170" s="26"/>
      <c r="G170" s="26"/>
      <c r="H170" s="26"/>
      <c r="I170" s="26"/>
      <c r="J170" s="26"/>
      <c r="K170" s="26"/>
    </row>
    <row r="171" spans="1:11" s="10" customFormat="1" x14ac:dyDescent="0.25">
      <c r="A171" s="24"/>
      <c r="B171" s="25" t="s">
        <v>111</v>
      </c>
      <c r="C171" s="26">
        <v>1</v>
      </c>
      <c r="D171" s="27">
        <f>Q10</f>
        <v>1.2</v>
      </c>
      <c r="E171" s="26"/>
      <c r="F171" s="26"/>
      <c r="G171" s="27">
        <f t="shared" ref="G171" si="13">PRODUCT(C171:F171)</f>
        <v>1.2</v>
      </c>
      <c r="H171" s="26"/>
      <c r="I171" s="26"/>
      <c r="J171" s="22"/>
      <c r="K171" s="26"/>
    </row>
    <row r="172" spans="1:11" s="44" customFormat="1" x14ac:dyDescent="0.25">
      <c r="A172" s="17"/>
      <c r="B172" s="55" t="s">
        <v>112</v>
      </c>
      <c r="C172" s="19"/>
      <c r="D172" s="1"/>
      <c r="E172" s="20"/>
      <c r="F172" s="20"/>
      <c r="G172" s="56">
        <f>SUM(G171:G171)</f>
        <v>1.2</v>
      </c>
      <c r="H172" s="21" t="s">
        <v>82</v>
      </c>
      <c r="I172" s="2">
        <v>248</v>
      </c>
      <c r="J172" s="56">
        <f>G172*I172</f>
        <v>297.59999999999997</v>
      </c>
      <c r="K172" s="20"/>
    </row>
    <row r="173" spans="1:11" s="10" customFormat="1" x14ac:dyDescent="0.25">
      <c r="A173" s="24"/>
      <c r="B173" s="25" t="s">
        <v>113</v>
      </c>
      <c r="C173" s="26"/>
      <c r="D173" s="26"/>
      <c r="E173" s="26"/>
      <c r="F173" s="26"/>
      <c r="G173" s="26"/>
      <c r="H173" s="26"/>
      <c r="I173" s="26"/>
      <c r="J173" s="22">
        <f>0.13*J172</f>
        <v>38.687999999999995</v>
      </c>
      <c r="K173" s="26"/>
    </row>
    <row r="174" spans="1:11" s="10" customFormat="1" x14ac:dyDescent="0.25">
      <c r="A174" s="24"/>
      <c r="B174" s="50"/>
      <c r="C174" s="26"/>
      <c r="D174" s="26"/>
      <c r="E174" s="26"/>
      <c r="F174" s="26"/>
      <c r="G174" s="26"/>
      <c r="H174" s="26"/>
      <c r="I174" s="26"/>
      <c r="J174" s="26"/>
      <c r="K174" s="26"/>
    </row>
    <row r="175" spans="1:11" ht="45" x14ac:dyDescent="0.25">
      <c r="A175" s="13">
        <v>7</v>
      </c>
      <c r="B175" s="28" t="s">
        <v>125</v>
      </c>
      <c r="C175" s="59" t="s">
        <v>7</v>
      </c>
      <c r="D175" s="59" t="s">
        <v>27</v>
      </c>
      <c r="E175" s="59" t="s">
        <v>126</v>
      </c>
      <c r="F175" s="59" t="s">
        <v>127</v>
      </c>
      <c r="G175" s="15"/>
      <c r="H175" s="15"/>
      <c r="I175" s="15"/>
      <c r="J175" s="15"/>
      <c r="K175" s="15"/>
    </row>
    <row r="176" spans="1:11" ht="30" x14ac:dyDescent="0.25">
      <c r="A176" s="13"/>
      <c r="B176" s="60" t="s">
        <v>131</v>
      </c>
      <c r="C176" s="45">
        <f>8+6+6+4</f>
        <v>24</v>
      </c>
      <c r="D176" s="3">
        <f>0.9+0.23</f>
        <v>1.1300000000000001</v>
      </c>
      <c r="E176" s="3">
        <v>3.54</v>
      </c>
      <c r="F176" s="3">
        <f>PRODUCT(C176:E176)</f>
        <v>96.004800000000017</v>
      </c>
      <c r="G176" s="3">
        <f>F176</f>
        <v>96.004800000000017</v>
      </c>
      <c r="H176" s="15"/>
      <c r="I176" s="15"/>
      <c r="J176" s="15"/>
      <c r="K176" s="15"/>
    </row>
    <row r="177" spans="1:11" ht="30" x14ac:dyDescent="0.25">
      <c r="A177" s="13"/>
      <c r="B177" s="60" t="s">
        <v>132</v>
      </c>
      <c r="C177" s="45">
        <v>1</v>
      </c>
      <c r="D177" s="3">
        <f>(21+18+18+16-0.25*4)/3.281</f>
        <v>21.94452910697958</v>
      </c>
      <c r="E177" s="3">
        <v>2.93</v>
      </c>
      <c r="F177" s="3">
        <f>PRODUCT(C177:E177)</f>
        <v>64.297470283450167</v>
      </c>
      <c r="G177" s="3">
        <f>F177</f>
        <v>64.297470283450167</v>
      </c>
      <c r="H177" s="15"/>
      <c r="I177" s="15"/>
      <c r="J177" s="15"/>
      <c r="K177" s="15"/>
    </row>
    <row r="178" spans="1:11" s="10" customFormat="1" ht="15" customHeight="1" x14ac:dyDescent="0.25">
      <c r="A178" s="17"/>
      <c r="B178" s="18" t="s">
        <v>16</v>
      </c>
      <c r="C178" s="19"/>
      <c r="D178" s="1"/>
      <c r="E178" s="20"/>
      <c r="F178" s="20"/>
      <c r="G178" s="2">
        <f>SUM(G176:G177)</f>
        <v>160.30227028345018</v>
      </c>
      <c r="H178" s="21" t="s">
        <v>128</v>
      </c>
      <c r="I178" s="2">
        <v>182.51</v>
      </c>
      <c r="J178" s="22">
        <f>G178*I178</f>
        <v>29256.767349432492</v>
      </c>
      <c r="K178" s="20"/>
    </row>
    <row r="179" spans="1:11" s="44" customFormat="1" ht="30" x14ac:dyDescent="0.25">
      <c r="A179" s="24"/>
      <c r="B179" s="61" t="s">
        <v>129</v>
      </c>
      <c r="C179" s="38"/>
      <c r="D179" s="39"/>
      <c r="E179" s="39"/>
      <c r="F179" s="39"/>
      <c r="G179" s="39"/>
      <c r="H179" s="38"/>
      <c r="I179" s="38"/>
      <c r="J179" s="21">
        <f>0.13*G178*1761.42/18.94</f>
        <v>1938.0544477269127</v>
      </c>
      <c r="K179" s="38"/>
    </row>
    <row r="180" spans="1:11" s="10" customFormat="1" x14ac:dyDescent="0.25">
      <c r="A180" s="24"/>
      <c r="B180" s="25" t="s">
        <v>130</v>
      </c>
      <c r="C180" s="26"/>
      <c r="D180" s="27"/>
      <c r="E180" s="27"/>
      <c r="F180" s="27"/>
      <c r="G180" s="27"/>
      <c r="H180" s="26"/>
      <c r="I180" s="26"/>
      <c r="J180" s="22">
        <f>0.13*G178*110/18.94</f>
        <v>121.03075317071475</v>
      </c>
      <c r="K180" s="26"/>
    </row>
    <row r="181" spans="1:11" s="10" customFormat="1" x14ac:dyDescent="0.25">
      <c r="A181" s="24"/>
      <c r="B181" s="25"/>
      <c r="C181" s="26"/>
      <c r="D181" s="27"/>
      <c r="E181" s="27"/>
      <c r="F181" s="27"/>
      <c r="G181" s="27"/>
      <c r="H181" s="26"/>
      <c r="I181" s="26"/>
      <c r="J181" s="22"/>
      <c r="K181" s="26"/>
    </row>
    <row r="182" spans="1:11" s="10" customFormat="1" ht="30" x14ac:dyDescent="0.25">
      <c r="A182" s="17">
        <v>14</v>
      </c>
      <c r="B182" s="30" t="s">
        <v>83</v>
      </c>
      <c r="C182" s="19">
        <v>1</v>
      </c>
      <c r="D182" s="1"/>
      <c r="E182" s="20"/>
      <c r="F182" s="20"/>
      <c r="G182" s="21">
        <f t="shared" ref="G182" si="14">PRODUCT(C182:F182)</f>
        <v>1</v>
      </c>
      <c r="H182" s="21" t="s">
        <v>30</v>
      </c>
      <c r="I182" s="2">
        <v>25000</v>
      </c>
      <c r="J182" s="21">
        <f>G182*I182</f>
        <v>25000</v>
      </c>
      <c r="K182" s="20"/>
    </row>
    <row r="183" spans="1:11" s="10" customFormat="1" x14ac:dyDescent="0.25">
      <c r="A183" s="17"/>
      <c r="B183" s="31"/>
      <c r="C183" s="19"/>
      <c r="D183" s="1"/>
      <c r="E183" s="20"/>
      <c r="F183" s="20"/>
      <c r="G183" s="2"/>
      <c r="H183" s="21"/>
      <c r="I183" s="2"/>
      <c r="J183" s="22"/>
      <c r="K183" s="20"/>
    </row>
    <row r="184" spans="1:11" s="10" customFormat="1" ht="15" customHeight="1" x14ac:dyDescent="0.25">
      <c r="A184" s="17">
        <v>15</v>
      </c>
      <c r="B184" s="30" t="s">
        <v>17</v>
      </c>
      <c r="C184" s="19">
        <v>1</v>
      </c>
      <c r="D184" s="1"/>
      <c r="E184" s="20"/>
      <c r="F184" s="20"/>
      <c r="G184" s="21">
        <f t="shared" ref="G184" si="15">PRODUCT(C184:F184)</f>
        <v>1</v>
      </c>
      <c r="H184" s="21" t="s">
        <v>18</v>
      </c>
      <c r="I184" s="2">
        <v>500</v>
      </c>
      <c r="J184" s="21">
        <f>G184*I184</f>
        <v>500</v>
      </c>
      <c r="K184" s="20"/>
    </row>
    <row r="185" spans="1:11" s="10" customFormat="1" x14ac:dyDescent="0.25">
      <c r="A185" s="17"/>
      <c r="B185" s="31"/>
      <c r="C185" s="19"/>
      <c r="D185" s="1"/>
      <c r="E185" s="20"/>
      <c r="F185" s="20"/>
      <c r="G185" s="2"/>
      <c r="H185" s="21"/>
      <c r="I185" s="2"/>
      <c r="J185" s="22"/>
      <c r="K185" s="20"/>
    </row>
    <row r="186" spans="1:11" s="10" customFormat="1" x14ac:dyDescent="0.25">
      <c r="A186" s="32"/>
      <c r="B186" s="33" t="s">
        <v>20</v>
      </c>
      <c r="C186" s="34"/>
      <c r="D186" s="35"/>
      <c r="E186" s="35"/>
      <c r="F186" s="35"/>
      <c r="G186" s="22"/>
      <c r="H186" s="22"/>
      <c r="I186" s="22"/>
      <c r="J186" s="22">
        <f>SUM(J19:J184)</f>
        <v>799735.92629344447</v>
      </c>
      <c r="K186" s="36"/>
    </row>
    <row r="187" spans="1:11" s="10" customFormat="1" x14ac:dyDescent="0.25"/>
    <row r="188" spans="1:11" s="44" customFormat="1" x14ac:dyDescent="0.25">
      <c r="A188" s="37"/>
      <c r="B188" s="38" t="s">
        <v>19</v>
      </c>
      <c r="C188" s="90">
        <f>J186</f>
        <v>799735.92629344447</v>
      </c>
      <c r="D188" s="91"/>
      <c r="E188" s="39">
        <v>100</v>
      </c>
      <c r="F188" s="37"/>
      <c r="G188" s="40"/>
      <c r="H188" s="37"/>
      <c r="I188" s="41"/>
      <c r="J188" s="42"/>
      <c r="K188" s="43"/>
    </row>
    <row r="189" spans="1:11" s="10" customFormat="1" x14ac:dyDescent="0.25">
      <c r="B189" s="38" t="s">
        <v>21</v>
      </c>
      <c r="C189" s="94">
        <v>700000</v>
      </c>
      <c r="D189" s="95"/>
      <c r="E189" s="39"/>
    </row>
    <row r="190" spans="1:11" s="10" customFormat="1" x14ac:dyDescent="0.25">
      <c r="B190" s="38" t="s">
        <v>22</v>
      </c>
      <c r="C190" s="94">
        <f>C189-C192-C193</f>
        <v>665000</v>
      </c>
      <c r="D190" s="95"/>
      <c r="E190" s="39">
        <f>C190/C188*100</f>
        <v>83.152447968930403</v>
      </c>
    </row>
    <row r="191" spans="1:11" s="10" customFormat="1" x14ac:dyDescent="0.25">
      <c r="B191" s="38" t="s">
        <v>26</v>
      </c>
      <c r="C191" s="96">
        <f>C188-C190</f>
        <v>134735.92629344447</v>
      </c>
      <c r="D191" s="96"/>
      <c r="E191" s="39">
        <f>100-E190</f>
        <v>16.847552031069597</v>
      </c>
    </row>
    <row r="192" spans="1:11" s="10" customFormat="1" x14ac:dyDescent="0.25">
      <c r="B192" s="38" t="s">
        <v>23</v>
      </c>
      <c r="C192" s="90">
        <f>C189*0.03</f>
        <v>21000</v>
      </c>
      <c r="D192" s="91"/>
      <c r="E192" s="39">
        <v>3</v>
      </c>
    </row>
    <row r="193" spans="2:5" s="10" customFormat="1" x14ac:dyDescent="0.25">
      <c r="B193" s="38" t="s">
        <v>24</v>
      </c>
      <c r="C193" s="90">
        <f>C189*0.02</f>
        <v>14000</v>
      </c>
      <c r="D193" s="91"/>
      <c r="E193" s="39">
        <v>2</v>
      </c>
    </row>
  </sheetData>
  <mergeCells count="15">
    <mergeCell ref="A6:F6"/>
    <mergeCell ref="H6:K6"/>
    <mergeCell ref="A1:K1"/>
    <mergeCell ref="A2:K2"/>
    <mergeCell ref="A3:K3"/>
    <mergeCell ref="A4:K4"/>
    <mergeCell ref="A5:K5"/>
    <mergeCell ref="C192:D192"/>
    <mergeCell ref="C193:D193"/>
    <mergeCell ref="A7:F7"/>
    <mergeCell ref="H7:K7"/>
    <mergeCell ref="C188:D188"/>
    <mergeCell ref="C189:D189"/>
    <mergeCell ref="C190:D190"/>
    <mergeCell ref="C191:D191"/>
  </mergeCells>
  <pageMargins left="0.7" right="0.7" top="0.75" bottom="0.75" header="0.3" footer="0.3"/>
  <pageSetup scale="80" orientation="portrait"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initial 2 storey</vt:lpstr>
      <vt:lpstr>Sheet1</vt:lpstr>
      <vt:lpstr>2.5' ht</vt:lpstr>
      <vt:lpstr>total slope</vt:lpstr>
      <vt:lpstr>WCR</vt:lpstr>
      <vt:lpstr>V</vt:lpstr>
      <vt:lpstr>M</vt:lpstr>
      <vt:lpstr>2.667'column height</vt:lpstr>
      <vt:lpstr>'2.5'' ht'!Print_Area</vt:lpstr>
      <vt:lpstr>'2.667''column height'!Print_Area</vt:lpstr>
      <vt:lpstr>'initial 2 storey'!Print_Area</vt:lpstr>
      <vt:lpstr>M!Print_Area</vt:lpstr>
      <vt:lpstr>'total slope'!Print_Area</vt:lpstr>
      <vt:lpstr>V!Print_Area</vt:lpstr>
      <vt:lpstr>WCR!Print_Area</vt:lpstr>
      <vt:lpstr>'2.5'' ht'!Print_Titles</vt:lpstr>
      <vt:lpstr>'2.667''column height'!Print_Titles</vt:lpstr>
      <vt:lpstr>'initial 2 storey'!Print_Titles</vt:lpstr>
      <vt:lpstr>M!Print_Titles</vt:lpstr>
      <vt:lpstr>'total slope'!Print_Titles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2026-10-12T05:53:08Z</dcterms:modified>
</cp:coreProperties>
</file>