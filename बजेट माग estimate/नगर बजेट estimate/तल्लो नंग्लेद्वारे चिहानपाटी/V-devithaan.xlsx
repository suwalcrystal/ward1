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24226"/>
  <xr:revisionPtr revIDLastSave="0" documentId="13_ncr:1_{BEF24AE2-A688-44A6-81A4-5D200CAE1BAC}" xr6:coauthVersionLast="47" xr6:coauthVersionMax="47" xr10:uidLastSave="{00000000-0000-0000-0000-000000000000}"/>
  <bookViews>
    <workbookView xWindow="-120" yWindow="-120" windowWidth="20730" windowHeight="11040" activeTab="3" xr2:uid="{00000000-000D-0000-FFFF-FFFF00000000}"/>
  </bookViews>
  <sheets>
    <sheet name="estimate" sheetId="12" r:id="rId1"/>
    <sheet name="WCR" sheetId="13" r:id="rId2"/>
    <sheet name="V" sheetId="14" r:id="rId3"/>
    <sheet name="M" sheetId="16" r:id="rId4"/>
    <sheet name="With measurement" sheetId="15" state="hidden" r:id="rId5"/>
  </sheets>
  <externalReferences>
    <externalReference r:id="rId6"/>
    <externalReference r:id="rId7"/>
    <externalReference r:id="rId8"/>
    <externalReference r:id="rId9"/>
  </externalReferences>
  <definedNames>
    <definedName name="description_103" localSheetId="1">#REF!</definedName>
    <definedName name="description_103">[1]Abstract!$B$16</definedName>
    <definedName name="description_124" localSheetId="0">#REF!</definedName>
    <definedName name="description_124" localSheetId="3">#REF!</definedName>
    <definedName name="description_124" localSheetId="2">#REF!</definedName>
    <definedName name="description_124" localSheetId="1">#REF!</definedName>
    <definedName name="description_124" localSheetId="4">#REF!</definedName>
    <definedName name="description_124">#REF!</definedName>
    <definedName name="description_247" localSheetId="1">#REF!</definedName>
    <definedName name="description_247">[1]Abstract!$B$22</definedName>
    <definedName name="description_248" localSheetId="1">#REF!</definedName>
    <definedName name="description_248">[1]Abstract!$B$23</definedName>
    <definedName name="description_261" localSheetId="1">#REF!</definedName>
    <definedName name="description_261">[2]Abstract!$B$33</definedName>
    <definedName name="description_262" localSheetId="1">#REF!</definedName>
    <definedName name="description_262">[1]Abstract!$B$34</definedName>
    <definedName name="description_276" localSheetId="1">#REF!</definedName>
    <definedName name="description_276">[3]Abstract!$B$40</definedName>
    <definedName name="description_3" localSheetId="1">#REF!</definedName>
    <definedName name="description_3">[1]Abstract!$B$169</definedName>
    <definedName name="description_310" localSheetId="0">#REF!</definedName>
    <definedName name="description_310" localSheetId="3">#REF!</definedName>
    <definedName name="description_310" localSheetId="2">#REF!</definedName>
    <definedName name="description_310" localSheetId="1">#REF!</definedName>
    <definedName name="description_310" localSheetId="4">#REF!</definedName>
    <definedName name="description_310">#REF!</definedName>
    <definedName name="description_312" localSheetId="0">#REF!</definedName>
    <definedName name="description_312" localSheetId="3">#REF!</definedName>
    <definedName name="description_312" localSheetId="2">#REF!</definedName>
    <definedName name="description_312" localSheetId="1">#REF!</definedName>
    <definedName name="description_312" localSheetId="4">#REF!</definedName>
    <definedName name="description_312">#REF!</definedName>
    <definedName name="description_4">#REF!</definedName>
    <definedName name="description_5" localSheetId="1">#REF!</definedName>
    <definedName name="description_5">[1]Abstract!$B$171</definedName>
    <definedName name="description_6" localSheetId="0">#REF!</definedName>
    <definedName name="description_6" localSheetId="3">#REF!</definedName>
    <definedName name="description_6" localSheetId="2">#REF!</definedName>
    <definedName name="description_6" localSheetId="1">#REF!</definedName>
    <definedName name="description_6" localSheetId="4">#REF!</definedName>
    <definedName name="description_6">#REF!</definedName>
    <definedName name="description_759" localSheetId="1">#REF!</definedName>
    <definedName name="description_759">[1]Abstract!$B$278</definedName>
    <definedName name="description_781" localSheetId="0">#REF!</definedName>
    <definedName name="description_781" localSheetId="3">#REF!</definedName>
    <definedName name="description_781" localSheetId="2">#REF!</definedName>
    <definedName name="description_781" localSheetId="1">#REF!</definedName>
    <definedName name="description_781" localSheetId="4">#REF!</definedName>
    <definedName name="description_781">#REF!</definedName>
    <definedName name="description_783" localSheetId="1">#REF!</definedName>
    <definedName name="description_783">[1]Abstract!$B$301</definedName>
    <definedName name="description_784" localSheetId="1">#REF!</definedName>
    <definedName name="description_784">[3]Abstract!$B$300</definedName>
    <definedName name="_xlnm.Print_Area" localSheetId="0">estimate!$A$1:$K$103</definedName>
    <definedName name="_xlnm.Print_Area" localSheetId="3">M!$A$1:$K$111</definedName>
    <definedName name="_xlnm.Print_Area" localSheetId="2">V!$A$1:$K$111</definedName>
    <definedName name="_xlnm.Print_Area" localSheetId="1">WCR!$A$1:$K$49</definedName>
    <definedName name="_xlnm.Print_Area" localSheetId="4">'With measurement'!$A$1:$K$111</definedName>
    <definedName name="_xlnm.Print_Titles" localSheetId="0">estimate!$1:$8</definedName>
    <definedName name="_xlnm.Print_Titles" localSheetId="3">M!$1:$8</definedName>
    <definedName name="_xlnm.Print_Titles" localSheetId="2">V!$1:$8</definedName>
    <definedName name="_xlnm.Print_Titles" localSheetId="1">WCR!$1:$12</definedName>
    <definedName name="_xlnm.Print_Titles" localSheetId="4">'With measurement'!$1:$8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1" i="16" l="1"/>
  <c r="C110" i="16"/>
  <c r="G102" i="16"/>
  <c r="F98" i="16"/>
  <c r="G93" i="16"/>
  <c r="D93" i="16"/>
  <c r="F85" i="16"/>
  <c r="E85" i="16"/>
  <c r="D85" i="16"/>
  <c r="F84" i="16"/>
  <c r="E84" i="16"/>
  <c r="D84" i="16"/>
  <c r="E83" i="16"/>
  <c r="D83" i="16"/>
  <c r="N82" i="16"/>
  <c r="M82" i="16"/>
  <c r="F82" i="16"/>
  <c r="E82" i="16"/>
  <c r="D82" i="16"/>
  <c r="G72" i="16"/>
  <c r="E71" i="16"/>
  <c r="D71" i="16"/>
  <c r="E70" i="16"/>
  <c r="G69" i="16"/>
  <c r="G68" i="16"/>
  <c r="D68" i="16"/>
  <c r="G67" i="16"/>
  <c r="E67" i="16"/>
  <c r="D67" i="16"/>
  <c r="E65" i="16"/>
  <c r="D65" i="16"/>
  <c r="E60" i="16"/>
  <c r="D60" i="16"/>
  <c r="B60" i="16"/>
  <c r="G59" i="16"/>
  <c r="E58" i="16"/>
  <c r="D58" i="16"/>
  <c r="D57" i="16"/>
  <c r="C57" i="16"/>
  <c r="B57" i="16"/>
  <c r="C56" i="16"/>
  <c r="B56" i="16"/>
  <c r="E55" i="16"/>
  <c r="D55" i="16"/>
  <c r="E54" i="16"/>
  <c r="D54" i="16"/>
  <c r="G49" i="16"/>
  <c r="D48" i="16"/>
  <c r="G47" i="16"/>
  <c r="E46" i="16"/>
  <c r="D46" i="16"/>
  <c r="E45" i="16"/>
  <c r="D45" i="16"/>
  <c r="G37" i="16"/>
  <c r="E37" i="16"/>
  <c r="D37" i="16"/>
  <c r="E36" i="16"/>
  <c r="D36" i="16"/>
  <c r="D31" i="16"/>
  <c r="D30" i="16"/>
  <c r="D29" i="16"/>
  <c r="F28" i="16"/>
  <c r="F27" i="16"/>
  <c r="D27" i="16"/>
  <c r="D26" i="16"/>
  <c r="C26" i="16"/>
  <c r="F25" i="16"/>
  <c r="D25" i="16"/>
  <c r="D24" i="16"/>
  <c r="D23" i="16"/>
  <c r="F22" i="16"/>
  <c r="D22" i="16"/>
  <c r="D21" i="16"/>
  <c r="C21" i="16"/>
  <c r="D20" i="16"/>
  <c r="C20" i="16"/>
  <c r="D19" i="16"/>
  <c r="C19" i="16"/>
  <c r="D18" i="16"/>
  <c r="C18" i="16"/>
  <c r="D17" i="16"/>
  <c r="D16" i="16"/>
  <c r="D15" i="16"/>
  <c r="D14" i="16"/>
  <c r="F13" i="16"/>
  <c r="D12" i="16"/>
  <c r="D11" i="16"/>
  <c r="D10" i="16"/>
  <c r="C10" i="16"/>
  <c r="F82" i="14"/>
  <c r="C111" i="15"/>
  <c r="C110" i="15"/>
  <c r="C108" i="15"/>
  <c r="G102" i="15"/>
  <c r="F98" i="15"/>
  <c r="D93" i="15"/>
  <c r="G85" i="15"/>
  <c r="F85" i="15"/>
  <c r="E85" i="15"/>
  <c r="D85" i="15"/>
  <c r="G84" i="15"/>
  <c r="F84" i="15"/>
  <c r="E84" i="15"/>
  <c r="D84" i="15"/>
  <c r="I83" i="15"/>
  <c r="E83" i="15"/>
  <c r="D83" i="15"/>
  <c r="N82" i="15"/>
  <c r="M82" i="15"/>
  <c r="I82" i="15"/>
  <c r="F82" i="15"/>
  <c r="E82" i="15"/>
  <c r="D82" i="15"/>
  <c r="G72" i="15"/>
  <c r="G71" i="15"/>
  <c r="E71" i="15"/>
  <c r="D71" i="15"/>
  <c r="E70" i="15"/>
  <c r="G69" i="15"/>
  <c r="D68" i="15"/>
  <c r="G67" i="15"/>
  <c r="E67" i="15"/>
  <c r="D67" i="15"/>
  <c r="G65" i="15"/>
  <c r="E65" i="15"/>
  <c r="D65" i="15"/>
  <c r="E60" i="15"/>
  <c r="D60" i="15"/>
  <c r="B60" i="15"/>
  <c r="G59" i="15"/>
  <c r="E58" i="15"/>
  <c r="D58" i="15"/>
  <c r="D57" i="15"/>
  <c r="C57" i="15"/>
  <c r="B57" i="15"/>
  <c r="G56" i="15"/>
  <c r="C56" i="15"/>
  <c r="B56" i="15"/>
  <c r="E55" i="15"/>
  <c r="D55" i="15"/>
  <c r="G49" i="15"/>
  <c r="G48" i="15"/>
  <c r="D48" i="15"/>
  <c r="G47" i="15"/>
  <c r="E46" i="15"/>
  <c r="D46" i="15"/>
  <c r="E37" i="15"/>
  <c r="D37" i="15"/>
  <c r="I36" i="15"/>
  <c r="E36" i="15"/>
  <c r="D36" i="15"/>
  <c r="D31" i="15"/>
  <c r="D30" i="15"/>
  <c r="D29" i="15"/>
  <c r="F28" i="15"/>
  <c r="D27" i="15"/>
  <c r="I26" i="15"/>
  <c r="D26" i="15"/>
  <c r="C26" i="15"/>
  <c r="I25" i="15"/>
  <c r="F25" i="15"/>
  <c r="D25" i="15"/>
  <c r="I24" i="15"/>
  <c r="F24" i="15"/>
  <c r="D24" i="15"/>
  <c r="I23" i="15"/>
  <c r="D23" i="15"/>
  <c r="I22" i="15"/>
  <c r="F22" i="15"/>
  <c r="D22" i="15"/>
  <c r="I21" i="15"/>
  <c r="D21" i="15"/>
  <c r="C21" i="15"/>
  <c r="I20" i="15"/>
  <c r="D20" i="15"/>
  <c r="C20" i="15"/>
  <c r="I19" i="15"/>
  <c r="F19" i="15"/>
  <c r="D19" i="15"/>
  <c r="C19" i="15"/>
  <c r="I18" i="15"/>
  <c r="D18" i="15"/>
  <c r="C18" i="15"/>
  <c r="I17" i="15"/>
  <c r="D17" i="15"/>
  <c r="I16" i="15"/>
  <c r="F16" i="15"/>
  <c r="D16" i="15"/>
  <c r="I15" i="15"/>
  <c r="D15" i="15"/>
  <c r="I14" i="15"/>
  <c r="D14" i="15"/>
  <c r="F13" i="15"/>
  <c r="D12" i="15"/>
  <c r="R11" i="15"/>
  <c r="Q11" i="15"/>
  <c r="J11" i="15"/>
  <c r="F11" i="15"/>
  <c r="D11" i="15"/>
  <c r="D10" i="15"/>
  <c r="C10" i="15"/>
  <c r="D14" i="14"/>
  <c r="D12" i="14"/>
  <c r="D11" i="14"/>
  <c r="D10" i="14"/>
  <c r="E36" i="14"/>
  <c r="E37" i="14"/>
  <c r="D36" i="14"/>
  <c r="D83" i="14"/>
  <c r="D84" i="14"/>
  <c r="F30" i="13"/>
  <c r="F31" i="13"/>
  <c r="F32" i="13"/>
  <c r="F33" i="13"/>
  <c r="F29" i="13"/>
  <c r="E84" i="14"/>
  <c r="E85" i="14"/>
  <c r="F85" i="14"/>
  <c r="F84" i="14"/>
  <c r="E71" i="14"/>
  <c r="D71" i="14"/>
  <c r="E58" i="14"/>
  <c r="D58" i="14"/>
  <c r="D57" i="14"/>
  <c r="C57" i="14"/>
  <c r="H47" i="13"/>
  <c r="G47" i="13"/>
  <c r="E47" i="13"/>
  <c r="D47" i="13"/>
  <c r="C47" i="13"/>
  <c r="B47" i="13"/>
  <c r="A47" i="13"/>
  <c r="I45" i="13"/>
  <c r="H44" i="13"/>
  <c r="G44" i="13"/>
  <c r="F45" i="13"/>
  <c r="E44" i="13"/>
  <c r="D44" i="13"/>
  <c r="C44" i="13"/>
  <c r="B45" i="13"/>
  <c r="B44" i="13"/>
  <c r="A44" i="13"/>
  <c r="H41" i="13"/>
  <c r="F42" i="13"/>
  <c r="E41" i="13"/>
  <c r="D41" i="13"/>
  <c r="C41" i="13"/>
  <c r="B42" i="13"/>
  <c r="B41" i="13"/>
  <c r="A41" i="13"/>
  <c r="B37" i="13"/>
  <c r="F37" i="13"/>
  <c r="B38" i="13"/>
  <c r="F38" i="13"/>
  <c r="B39" i="13"/>
  <c r="F39" i="13"/>
  <c r="H35" i="13"/>
  <c r="F36" i="13"/>
  <c r="E35" i="13"/>
  <c r="D35" i="13"/>
  <c r="C35" i="13"/>
  <c r="B36" i="13"/>
  <c r="B35" i="13"/>
  <c r="A35" i="13"/>
  <c r="B30" i="13"/>
  <c r="B31" i="13"/>
  <c r="B32" i="13"/>
  <c r="B33" i="13"/>
  <c r="H28" i="13"/>
  <c r="E28" i="13"/>
  <c r="D28" i="13"/>
  <c r="C28" i="13"/>
  <c r="B29" i="13"/>
  <c r="B28" i="13"/>
  <c r="A28" i="13"/>
  <c r="H25" i="13"/>
  <c r="F26" i="13"/>
  <c r="E25" i="13"/>
  <c r="D25" i="13"/>
  <c r="C25" i="13"/>
  <c r="B26" i="13"/>
  <c r="B25" i="13"/>
  <c r="A25" i="13"/>
  <c r="F23" i="13"/>
  <c r="B23" i="13"/>
  <c r="H22" i="13"/>
  <c r="E22" i="13"/>
  <c r="D22" i="13"/>
  <c r="C22" i="13"/>
  <c r="B22" i="13"/>
  <c r="A22" i="13"/>
  <c r="B18" i="13"/>
  <c r="F18" i="13"/>
  <c r="B19" i="13"/>
  <c r="F19" i="13"/>
  <c r="B20" i="13"/>
  <c r="F20" i="13"/>
  <c r="F17" i="13"/>
  <c r="B17" i="13"/>
  <c r="H16" i="13"/>
  <c r="E16" i="13"/>
  <c r="D16" i="13"/>
  <c r="C16" i="13"/>
  <c r="B16" i="13"/>
  <c r="A16" i="13"/>
  <c r="D30" i="14"/>
  <c r="D85" i="14"/>
  <c r="E83" i="14"/>
  <c r="D82" i="14"/>
  <c r="D37" i="14"/>
  <c r="D31" i="14"/>
  <c r="D29" i="14"/>
  <c r="D27" i="14"/>
  <c r="D25" i="14"/>
  <c r="D26" i="14"/>
  <c r="C26" i="14"/>
  <c r="D24" i="14"/>
  <c r="D23" i="14"/>
  <c r="D22" i="14"/>
  <c r="F24" i="14"/>
  <c r="D16" i="14"/>
  <c r="F14" i="14"/>
  <c r="D21" i="14"/>
  <c r="C21" i="14"/>
  <c r="C20" i="14"/>
  <c r="D19" i="14"/>
  <c r="D18" i="14"/>
  <c r="D17" i="14"/>
  <c r="D15" i="14"/>
  <c r="H13" i="13"/>
  <c r="F14" i="13"/>
  <c r="E13" i="13"/>
  <c r="D13" i="13"/>
  <c r="C13" i="13"/>
  <c r="B13" i="13"/>
  <c r="A13" i="13"/>
  <c r="A8" i="13"/>
  <c r="C111" i="14"/>
  <c r="C110" i="14"/>
  <c r="G102" i="14"/>
  <c r="F98" i="14"/>
  <c r="D93" i="14"/>
  <c r="N82" i="14"/>
  <c r="M82" i="14"/>
  <c r="G72" i="14"/>
  <c r="E70" i="14"/>
  <c r="G69" i="14"/>
  <c r="E67" i="14"/>
  <c r="E60" i="14"/>
  <c r="D60" i="14"/>
  <c r="B60" i="14"/>
  <c r="G59" i="14"/>
  <c r="B57" i="14"/>
  <c r="C56" i="14"/>
  <c r="B56" i="14"/>
  <c r="G49" i="14"/>
  <c r="D48" i="14"/>
  <c r="G47" i="14"/>
  <c r="D20" i="14"/>
  <c r="C19" i="14"/>
  <c r="C18" i="14"/>
  <c r="C10" i="14"/>
  <c r="B14" i="13"/>
  <c r="G25" i="12"/>
  <c r="G31" i="12"/>
  <c r="G86" i="12"/>
  <c r="C108" i="16" l="1"/>
  <c r="G60" i="16"/>
  <c r="G48" i="16"/>
  <c r="G36" i="16"/>
  <c r="G38" i="16" s="1"/>
  <c r="G28" i="16"/>
  <c r="G25" i="16"/>
  <c r="F11" i="16"/>
  <c r="G11" i="16" s="1"/>
  <c r="F21" i="16"/>
  <c r="G21" i="16" s="1"/>
  <c r="F20" i="16"/>
  <c r="G20" i="16" s="1"/>
  <c r="F19" i="16"/>
  <c r="G19" i="16" s="1"/>
  <c r="F18" i="16"/>
  <c r="G18" i="16" s="1"/>
  <c r="F17" i="16"/>
  <c r="G17" i="16" s="1"/>
  <c r="F16" i="16"/>
  <c r="G16" i="16" s="1"/>
  <c r="F15" i="16"/>
  <c r="G15" i="16" s="1"/>
  <c r="F14" i="16"/>
  <c r="G14" i="16" s="1"/>
  <c r="G13" i="16"/>
  <c r="F12" i="16"/>
  <c r="G12" i="16" s="1"/>
  <c r="G94" i="16"/>
  <c r="G85" i="16"/>
  <c r="E73" i="16"/>
  <c r="C70" i="16"/>
  <c r="G58" i="16"/>
  <c r="G57" i="16"/>
  <c r="F31" i="16"/>
  <c r="G31" i="16" s="1"/>
  <c r="F30" i="16"/>
  <c r="G30" i="16" s="1"/>
  <c r="F24" i="16"/>
  <c r="G24" i="16" s="1"/>
  <c r="G22" i="16"/>
  <c r="Q11" i="16"/>
  <c r="R11" i="16" s="1"/>
  <c r="J102" i="16"/>
  <c r="G98" i="16"/>
  <c r="G99" i="16" s="1"/>
  <c r="J99" i="16" s="1"/>
  <c r="J100" i="16" s="1"/>
  <c r="G84" i="16"/>
  <c r="G83" i="16"/>
  <c r="P82" i="16"/>
  <c r="G82" i="16"/>
  <c r="G86" i="16" s="1"/>
  <c r="D73" i="16"/>
  <c r="G73" i="16" s="1"/>
  <c r="G71" i="16"/>
  <c r="B70" i="16"/>
  <c r="B84" i="16" s="1"/>
  <c r="B69" i="16"/>
  <c r="D66" i="16"/>
  <c r="G66" i="16" s="1"/>
  <c r="G65" i="16"/>
  <c r="D70" i="16"/>
  <c r="B73" i="16"/>
  <c r="G56" i="16"/>
  <c r="G55" i="16"/>
  <c r="G54" i="16"/>
  <c r="G61" i="16" s="1"/>
  <c r="G46" i="16"/>
  <c r="G45" i="16"/>
  <c r="G50" i="16" s="1"/>
  <c r="F29" i="16"/>
  <c r="G29" i="16" s="1"/>
  <c r="G27" i="16"/>
  <c r="F26" i="16"/>
  <c r="G26" i="16" s="1"/>
  <c r="F23" i="16"/>
  <c r="G23" i="16" s="1"/>
  <c r="F10" i="16"/>
  <c r="G10" i="16" s="1"/>
  <c r="G32" i="16" s="1"/>
  <c r="E73" i="14"/>
  <c r="D73" i="14"/>
  <c r="F20" i="15"/>
  <c r="G20" i="15" s="1"/>
  <c r="F18" i="15"/>
  <c r="G18" i="15" s="1"/>
  <c r="G83" i="15"/>
  <c r="E73" i="15"/>
  <c r="D70" i="15"/>
  <c r="D66" i="15"/>
  <c r="G66" i="15" s="1"/>
  <c r="G60" i="15"/>
  <c r="G57" i="15"/>
  <c r="B70" i="15"/>
  <c r="B84" i="15" s="1"/>
  <c r="B69" i="15"/>
  <c r="G68" i="15"/>
  <c r="E54" i="15"/>
  <c r="E45" i="15" s="1"/>
  <c r="D54" i="15"/>
  <c r="G36" i="15"/>
  <c r="G22" i="15"/>
  <c r="G19" i="15"/>
  <c r="G11" i="15"/>
  <c r="F31" i="15"/>
  <c r="G31" i="15" s="1"/>
  <c r="F30" i="15"/>
  <c r="G30" i="15" s="1"/>
  <c r="F29" i="15"/>
  <c r="G29" i="15" s="1"/>
  <c r="G28" i="15"/>
  <c r="F27" i="15"/>
  <c r="G27" i="15" s="1"/>
  <c r="F26" i="15"/>
  <c r="G26" i="15" s="1"/>
  <c r="G25" i="15"/>
  <c r="F23" i="15"/>
  <c r="G23" i="15" s="1"/>
  <c r="F17" i="15"/>
  <c r="G17" i="15" s="1"/>
  <c r="F21" i="15"/>
  <c r="G21" i="15" s="1"/>
  <c r="F14" i="15"/>
  <c r="G14" i="15" s="1"/>
  <c r="G13" i="15"/>
  <c r="F12" i="15"/>
  <c r="G12" i="15" s="1"/>
  <c r="J102" i="15"/>
  <c r="D73" i="15"/>
  <c r="G73" i="15" s="1"/>
  <c r="C70" i="15"/>
  <c r="G70" i="15" s="1"/>
  <c r="G98" i="15"/>
  <c r="G99" i="15" s="1"/>
  <c r="J99" i="15" s="1"/>
  <c r="J100" i="15" s="1"/>
  <c r="B73" i="15"/>
  <c r="G37" i="15"/>
  <c r="G93" i="15"/>
  <c r="G94" i="15" s="1"/>
  <c r="G55" i="15"/>
  <c r="G46" i="15"/>
  <c r="G16" i="15"/>
  <c r="F15" i="15"/>
  <c r="G15" i="15" s="1"/>
  <c r="F10" i="15"/>
  <c r="G10" i="15" s="1"/>
  <c r="P82" i="15"/>
  <c r="G82" i="15"/>
  <c r="G86" i="15" s="1"/>
  <c r="G58" i="15"/>
  <c r="G24" i="15"/>
  <c r="G85" i="14"/>
  <c r="F41" i="13"/>
  <c r="M41" i="13" s="1"/>
  <c r="M42" i="13"/>
  <c r="M36" i="13"/>
  <c r="F35" i="13"/>
  <c r="M35" i="13" s="1"/>
  <c r="F28" i="13"/>
  <c r="M28" i="13" s="1"/>
  <c r="M29" i="13"/>
  <c r="D65" i="14"/>
  <c r="F30" i="14"/>
  <c r="F27" i="14"/>
  <c r="E82" i="14"/>
  <c r="F31" i="14"/>
  <c r="D68" i="14"/>
  <c r="D67" i="14"/>
  <c r="E65" i="14"/>
  <c r="G31" i="14"/>
  <c r="C108" i="14"/>
  <c r="G30" i="14"/>
  <c r="F26" i="14"/>
  <c r="G24" i="14"/>
  <c r="G14" i="14"/>
  <c r="F17" i="14"/>
  <c r="F15" i="14"/>
  <c r="G68" i="14"/>
  <c r="F21" i="14"/>
  <c r="E55" i="14"/>
  <c r="D55" i="14"/>
  <c r="D54" i="14"/>
  <c r="G48" i="14"/>
  <c r="F28" i="14"/>
  <c r="F23" i="14"/>
  <c r="F22" i="14"/>
  <c r="F19" i="14"/>
  <c r="G93" i="14"/>
  <c r="G83" i="14"/>
  <c r="G82" i="14"/>
  <c r="G60" i="14"/>
  <c r="F13" i="14"/>
  <c r="G98" i="14"/>
  <c r="G99" i="14" s="1"/>
  <c r="J99" i="14" s="1"/>
  <c r="J100" i="14" s="1"/>
  <c r="B73" i="14"/>
  <c r="G71" i="14"/>
  <c r="G58" i="14"/>
  <c r="Q11" i="14"/>
  <c r="R11" i="14" s="1"/>
  <c r="F10" i="14"/>
  <c r="G10" i="14" s="1"/>
  <c r="G67" i="14"/>
  <c r="G57" i="14"/>
  <c r="E46" i="14"/>
  <c r="D46" i="14"/>
  <c r="G46" i="14" s="1"/>
  <c r="D45" i="14"/>
  <c r="G37" i="14"/>
  <c r="G27" i="14"/>
  <c r="G15" i="14"/>
  <c r="F29" i="14"/>
  <c r="G29" i="14" s="1"/>
  <c r="F20" i="14"/>
  <c r="G20" i="14" s="1"/>
  <c r="F12" i="14"/>
  <c r="G12" i="14" s="1"/>
  <c r="J102" i="14"/>
  <c r="G56" i="14"/>
  <c r="G36" i="14"/>
  <c r="F25" i="14"/>
  <c r="G25" i="14" s="1"/>
  <c r="F18" i="14"/>
  <c r="G18" i="14" s="1"/>
  <c r="F16" i="14"/>
  <c r="G16" i="14" s="1"/>
  <c r="F11" i="14"/>
  <c r="G11" i="14" s="1"/>
  <c r="D70" i="14"/>
  <c r="C70" i="14"/>
  <c r="B70" i="14"/>
  <c r="B84" i="14" s="1"/>
  <c r="B69" i="14"/>
  <c r="P82" i="14"/>
  <c r="D66" i="14"/>
  <c r="G66" i="14" s="1"/>
  <c r="F22" i="13"/>
  <c r="M22" i="13" s="1"/>
  <c r="M17" i="13"/>
  <c r="F16" i="13"/>
  <c r="M16" i="13" s="1"/>
  <c r="M14" i="13"/>
  <c r="F13" i="13"/>
  <c r="F47" i="13"/>
  <c r="I44" i="13"/>
  <c r="F44" i="13"/>
  <c r="M44" i="13" s="1"/>
  <c r="I47" i="13"/>
  <c r="M26" i="13"/>
  <c r="F25" i="13"/>
  <c r="M25" i="13" s="1"/>
  <c r="M23" i="13"/>
  <c r="F90" i="12"/>
  <c r="G90" i="12" s="1"/>
  <c r="G91" i="12" s="1"/>
  <c r="E53" i="12"/>
  <c r="E66" i="12" s="1"/>
  <c r="D53" i="12"/>
  <c r="D66" i="12" s="1"/>
  <c r="C53" i="12"/>
  <c r="C66" i="12" s="1"/>
  <c r="B53" i="12"/>
  <c r="B66" i="12" s="1"/>
  <c r="G42" i="12"/>
  <c r="D24" i="12"/>
  <c r="F24" i="12" s="1"/>
  <c r="G24" i="12" s="1"/>
  <c r="D23" i="12"/>
  <c r="F23" i="12" s="1"/>
  <c r="G23" i="12" s="1"/>
  <c r="F22" i="12"/>
  <c r="G22" i="12" s="1"/>
  <c r="G52" i="12"/>
  <c r="D85" i="12"/>
  <c r="G85" i="12" s="1"/>
  <c r="J87" i="12" s="1"/>
  <c r="G65" i="12"/>
  <c r="E64" i="12"/>
  <c r="D64" i="12"/>
  <c r="E51" i="12"/>
  <c r="D51" i="12"/>
  <c r="E63" i="12"/>
  <c r="E77" i="12" s="1"/>
  <c r="D50" i="12"/>
  <c r="C50" i="12"/>
  <c r="C63" i="12" s="1"/>
  <c r="B50" i="12"/>
  <c r="B63" i="12" s="1"/>
  <c r="B77" i="12" s="1"/>
  <c r="F41" i="12"/>
  <c r="D41" i="12"/>
  <c r="G62" i="12"/>
  <c r="E49" i="12"/>
  <c r="D49" i="12"/>
  <c r="C49" i="12"/>
  <c r="B49" i="12"/>
  <c r="B62" i="12" s="1"/>
  <c r="G40" i="12"/>
  <c r="E60" i="12"/>
  <c r="E48" i="12" s="1"/>
  <c r="E39" i="12" s="1"/>
  <c r="D61" i="12"/>
  <c r="G61" i="12" s="1"/>
  <c r="D60" i="12"/>
  <c r="D48" i="12" s="1"/>
  <c r="E58" i="12"/>
  <c r="E47" i="12" s="1"/>
  <c r="E38" i="12" s="1"/>
  <c r="D58" i="12"/>
  <c r="E76" i="12"/>
  <c r="N75" i="12"/>
  <c r="M75" i="12"/>
  <c r="E75" i="12"/>
  <c r="J40" i="16" l="1"/>
  <c r="J38" i="16"/>
  <c r="J39" i="16"/>
  <c r="J42" i="16"/>
  <c r="J41" i="16"/>
  <c r="J94" i="16"/>
  <c r="J95" i="16"/>
  <c r="J86" i="16"/>
  <c r="J87" i="16"/>
  <c r="J88" i="16"/>
  <c r="J89" i="16"/>
  <c r="J90" i="16"/>
  <c r="J62" i="16"/>
  <c r="J61" i="16"/>
  <c r="J50" i="16"/>
  <c r="J51" i="16"/>
  <c r="J32" i="16"/>
  <c r="J33" i="16"/>
  <c r="G70" i="16"/>
  <c r="G74" i="16" s="1"/>
  <c r="G54" i="15"/>
  <c r="G61" i="15" s="1"/>
  <c r="D45" i="15"/>
  <c r="G45" i="15" s="1"/>
  <c r="G50" i="15" s="1"/>
  <c r="J94" i="15"/>
  <c r="J95" i="15"/>
  <c r="J86" i="15"/>
  <c r="J87" i="15"/>
  <c r="J88" i="15"/>
  <c r="J89" i="15"/>
  <c r="J90" i="15"/>
  <c r="G74" i="15"/>
  <c r="G38" i="15"/>
  <c r="G32" i="15"/>
  <c r="J47" i="13"/>
  <c r="G26" i="14"/>
  <c r="E54" i="14"/>
  <c r="G54" i="14" s="1"/>
  <c r="G65" i="14"/>
  <c r="G94" i="14"/>
  <c r="G41" i="13" s="1"/>
  <c r="I41" i="13" s="1"/>
  <c r="J41" i="13" s="1"/>
  <c r="G28" i="14"/>
  <c r="G21" i="14"/>
  <c r="G55" i="14"/>
  <c r="G17" i="14"/>
  <c r="G73" i="14"/>
  <c r="G19" i="14"/>
  <c r="G23" i="14"/>
  <c r="G22" i="14"/>
  <c r="G13" i="14"/>
  <c r="G70" i="14"/>
  <c r="G84" i="14"/>
  <c r="G86" i="14" s="1"/>
  <c r="G35" i="13" s="1"/>
  <c r="I35" i="13" s="1"/>
  <c r="J35" i="13" s="1"/>
  <c r="G38" i="14"/>
  <c r="G16" i="13" s="1"/>
  <c r="I16" i="13" s="1"/>
  <c r="J16" i="13" s="1"/>
  <c r="M13" i="13"/>
  <c r="F49" i="13"/>
  <c r="C6" i="13" s="1"/>
  <c r="J44" i="13"/>
  <c r="J91" i="12"/>
  <c r="G66" i="12"/>
  <c r="G53" i="12"/>
  <c r="J86" i="12"/>
  <c r="G64" i="12"/>
  <c r="G51" i="12"/>
  <c r="G41" i="12"/>
  <c r="G50" i="12"/>
  <c r="D63" i="12"/>
  <c r="D77" i="12" s="1"/>
  <c r="C77" i="12"/>
  <c r="G58" i="12"/>
  <c r="G49" i="12"/>
  <c r="G48" i="12"/>
  <c r="D59" i="12"/>
  <c r="G59" i="12" s="1"/>
  <c r="D39" i="12"/>
  <c r="G39" i="12" s="1"/>
  <c r="G60" i="12"/>
  <c r="D47" i="12"/>
  <c r="P75" i="12"/>
  <c r="J79" i="16" l="1"/>
  <c r="J76" i="16"/>
  <c r="J75" i="16"/>
  <c r="J74" i="16"/>
  <c r="J78" i="16"/>
  <c r="J77" i="16"/>
  <c r="J61" i="15"/>
  <c r="J62" i="15"/>
  <c r="J50" i="15"/>
  <c r="J51" i="15"/>
  <c r="J77" i="15"/>
  <c r="J74" i="15"/>
  <c r="J78" i="15"/>
  <c r="J79" i="15"/>
  <c r="J75" i="15"/>
  <c r="J76" i="15"/>
  <c r="J42" i="15"/>
  <c r="J38" i="15"/>
  <c r="J39" i="15"/>
  <c r="J40" i="15"/>
  <c r="J41" i="15"/>
  <c r="J33" i="15"/>
  <c r="J32" i="15"/>
  <c r="J104" i="15" s="1"/>
  <c r="C106" i="15" s="1"/>
  <c r="J95" i="14"/>
  <c r="I42" i="13" s="1"/>
  <c r="J42" i="13" s="1"/>
  <c r="J94" i="14"/>
  <c r="G32" i="14"/>
  <c r="E45" i="14"/>
  <c r="G45" i="14" s="1"/>
  <c r="G50" i="14" s="1"/>
  <c r="G61" i="14"/>
  <c r="G25" i="13" s="1"/>
  <c r="I25" i="13" s="1"/>
  <c r="J25" i="13" s="1"/>
  <c r="G74" i="14"/>
  <c r="G28" i="13" s="1"/>
  <c r="I28" i="13" s="1"/>
  <c r="J28" i="13" s="1"/>
  <c r="J90" i="14"/>
  <c r="I39" i="13" s="1"/>
  <c r="J39" i="13" s="1"/>
  <c r="J89" i="14"/>
  <c r="I38" i="13" s="1"/>
  <c r="J38" i="13" s="1"/>
  <c r="J88" i="14"/>
  <c r="I37" i="13" s="1"/>
  <c r="J37" i="13" s="1"/>
  <c r="J87" i="14"/>
  <c r="I36" i="13" s="1"/>
  <c r="J36" i="13" s="1"/>
  <c r="J86" i="14"/>
  <c r="J42" i="14"/>
  <c r="I20" i="13" s="1"/>
  <c r="J20" i="13" s="1"/>
  <c r="J41" i="14"/>
  <c r="I19" i="13" s="1"/>
  <c r="J19" i="13" s="1"/>
  <c r="J40" i="14"/>
  <c r="I18" i="13" s="1"/>
  <c r="J18" i="13" s="1"/>
  <c r="J39" i="14"/>
  <c r="I17" i="13" s="1"/>
  <c r="J17" i="13" s="1"/>
  <c r="J38" i="14"/>
  <c r="G67" i="12"/>
  <c r="J70" i="12" s="1"/>
  <c r="J92" i="12"/>
  <c r="G77" i="12"/>
  <c r="G63" i="12"/>
  <c r="G47" i="12"/>
  <c r="G54" i="12" s="1"/>
  <c r="D38" i="12"/>
  <c r="G38" i="12" s="1"/>
  <c r="G43" i="12" s="1"/>
  <c r="J104" i="16" l="1"/>
  <c r="C106" i="16" s="1"/>
  <c r="E108" i="15"/>
  <c r="E109" i="15" s="1"/>
  <c r="C109" i="15"/>
  <c r="G13" i="13"/>
  <c r="I13" i="13" s="1"/>
  <c r="J50" i="14"/>
  <c r="G22" i="13"/>
  <c r="I22" i="13" s="1"/>
  <c r="J22" i="13" s="1"/>
  <c r="J61" i="14"/>
  <c r="J62" i="14"/>
  <c r="I26" i="13" s="1"/>
  <c r="J26" i="13" s="1"/>
  <c r="J51" i="14"/>
  <c r="I23" i="13" s="1"/>
  <c r="J23" i="13" s="1"/>
  <c r="J79" i="14"/>
  <c r="I33" i="13" s="1"/>
  <c r="J33" i="13" s="1"/>
  <c r="J78" i="14"/>
  <c r="I32" i="13" s="1"/>
  <c r="J32" i="13" s="1"/>
  <c r="J77" i="14"/>
  <c r="I31" i="13" s="1"/>
  <c r="J31" i="13" s="1"/>
  <c r="J76" i="14"/>
  <c r="I30" i="13" s="1"/>
  <c r="J30" i="13" s="1"/>
  <c r="J75" i="14"/>
  <c r="I29" i="13" s="1"/>
  <c r="J29" i="13" s="1"/>
  <c r="J74" i="14"/>
  <c r="J33" i="14"/>
  <c r="I14" i="13" s="1"/>
  <c r="J32" i="14"/>
  <c r="J68" i="12"/>
  <c r="J72" i="12"/>
  <c r="J69" i="12"/>
  <c r="J71" i="12"/>
  <c r="J67" i="12"/>
  <c r="J44" i="12"/>
  <c r="J43" i="12"/>
  <c r="J55" i="12"/>
  <c r="J54" i="12"/>
  <c r="E108" i="16" l="1"/>
  <c r="E109" i="16" s="1"/>
  <c r="C109" i="16"/>
  <c r="J13" i="13"/>
  <c r="I49" i="13"/>
  <c r="J14" i="13"/>
  <c r="J104" i="14"/>
  <c r="C106" i="14" s="1"/>
  <c r="E29" i="12"/>
  <c r="E30" i="12"/>
  <c r="D29" i="12"/>
  <c r="D30" i="12"/>
  <c r="E108" i="14" l="1"/>
  <c r="E109" i="14" s="1"/>
  <c r="J6" i="13"/>
  <c r="J49" i="13"/>
  <c r="C109" i="14"/>
  <c r="G29" i="12"/>
  <c r="G30" i="12"/>
  <c r="J32" i="12" l="1"/>
  <c r="J33" i="12"/>
  <c r="J35" i="12"/>
  <c r="J34" i="12"/>
  <c r="D21" i="12"/>
  <c r="C21" i="12"/>
  <c r="D20" i="12"/>
  <c r="G76" i="12" s="1"/>
  <c r="D19" i="12"/>
  <c r="C18" i="12"/>
  <c r="D18" i="12"/>
  <c r="D17" i="12"/>
  <c r="C17" i="12"/>
  <c r="D16" i="12"/>
  <c r="C16" i="12"/>
  <c r="C15" i="12"/>
  <c r="D15" i="12"/>
  <c r="D14" i="12"/>
  <c r="D13" i="12"/>
  <c r="J31" i="12" l="1"/>
  <c r="F21" i="12"/>
  <c r="G21" i="12" s="1"/>
  <c r="F20" i="12"/>
  <c r="G20" i="12" s="1"/>
  <c r="F19" i="12"/>
  <c r="G19" i="12" s="1"/>
  <c r="G75" i="12"/>
  <c r="G78" i="12" s="1"/>
  <c r="F18" i="12"/>
  <c r="G18" i="12" s="1"/>
  <c r="F17" i="12"/>
  <c r="G17" i="12" s="1"/>
  <c r="F16" i="12"/>
  <c r="G16" i="12" s="1"/>
  <c r="F14" i="12"/>
  <c r="G14" i="12" s="1"/>
  <c r="F15" i="12"/>
  <c r="G15" i="12" s="1"/>
  <c r="F13" i="12"/>
  <c r="G13" i="12" s="1"/>
  <c r="D12" i="12"/>
  <c r="F12" i="12" s="1"/>
  <c r="G12" i="12" s="1"/>
  <c r="D10" i="12"/>
  <c r="D11" i="12"/>
  <c r="Q11" i="12" s="1"/>
  <c r="R11" i="12" s="1"/>
  <c r="J78" i="12" l="1"/>
  <c r="J82" i="12"/>
  <c r="J81" i="12"/>
  <c r="J80" i="12"/>
  <c r="J79" i="12"/>
  <c r="C10" i="12"/>
  <c r="F10" i="12" s="1"/>
  <c r="G10" i="12" s="1"/>
  <c r="F11" i="12"/>
  <c r="G11" i="12" s="1"/>
  <c r="J96" i="12" l="1"/>
  <c r="J25" i="12"/>
  <c r="J26" i="12" l="1"/>
  <c r="C102" i="12" l="1"/>
  <c r="C103" i="12" l="1"/>
  <c r="C100" i="12" s="1"/>
  <c r="G94" i="12"/>
  <c r="J94" i="12" s="1"/>
  <c r="C98" i="12" l="1"/>
  <c r="C101" i="12" s="1"/>
  <c r="E100" i="12" l="1"/>
  <c r="E101" i="12" s="1"/>
</calcChain>
</file>

<file path=xl/sharedStrings.xml><?xml version="1.0" encoding="utf-8"?>
<sst xmlns="http://schemas.openxmlformats.org/spreadsheetml/2006/main" count="441" uniqueCount="104">
  <si>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</si>
  <si>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</si>
  <si>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</si>
  <si>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</si>
  <si>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</si>
  <si>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</si>
  <si>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</si>
  <si>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</si>
  <si>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</si>
  <si>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</si>
  <si>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</si>
  <si>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</si>
  <si>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</si>
  <si>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</si>
  <si>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</si>
  <si>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</si>
  <si>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</si>
  <si>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</si>
  <si>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</si>
  <si>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</si>
  <si>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</si>
  <si>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</si>
  <si>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</si>
  <si>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</si>
  <si>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</si>
  <si>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</si>
  <si>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</si>
  <si>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</si>
  <si>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</si>
  <si>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</si>
  <si>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</si>
  <si>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Random Rubble Masonry, Providing and laying of Stone Masonry Work in Cement Mortar 1:6 in Foundation complete as per Drawing and Technical Specifications., Using Concrete Mixer</t>
  </si>
  <si>
    <t>-13% VAT for stone</t>
  </si>
  <si>
    <t>-13% VAT for water</t>
  </si>
  <si>
    <t>User contribution</t>
  </si>
  <si>
    <t>sfnf] kmnfd] kfO{ksf] 6«; agfO{ h8fg ug]{ sfd</t>
  </si>
  <si>
    <t>Length (m)</t>
  </si>
  <si>
    <t>Unit length (Kg/m)</t>
  </si>
  <si>
    <t>Total Weight (kg)</t>
  </si>
  <si>
    <t>sub-total</t>
  </si>
  <si>
    <t>Kg</t>
  </si>
  <si>
    <t>-VAT 13% for materials</t>
  </si>
  <si>
    <t>-MS square pipe of 3" * 3" of 3mm thickness for vertical post</t>
  </si>
  <si>
    <t>-MS square pipe horizontal of 3" * 3" of 3mm thickness for binding post</t>
  </si>
  <si>
    <t>-MS square pipe horizontal of 3" * 3" of 3mm thickness for base of upper portion</t>
  </si>
  <si>
    <t>-MS square pipe vertical section of 3" * 3" of 3mm thickness for upper portion</t>
  </si>
  <si>
    <t>-MS square pipe horizontal of 2" * 2" of 3mm thickness for diagnol of uppermost portion</t>
  </si>
  <si>
    <t>-MS square pipe horizontal of 2" * 2" of 3mm thickness for binding at mid portion of upper part</t>
  </si>
  <si>
    <t>-MS square pipe horizontal of 2" * 2" of 3mm thickness as purlin  at mid portion of upper part</t>
  </si>
  <si>
    <t>-MS square pipe horizontal of 2" * 2" of 3mm thickness  at corner of upper part</t>
  </si>
  <si>
    <t>-MS square pipe horizontal of 2" * 2" of 3mm thickness as purlin  at mid portion of uppermost part</t>
  </si>
  <si>
    <t>-MS square pipe horizontal of 2" * 2" of 3mm thickness  at corner of uppermost part</t>
  </si>
  <si>
    <t>-upper portion</t>
  </si>
  <si>
    <t>-uppermost portion</t>
  </si>
  <si>
    <t>sqm</t>
  </si>
  <si>
    <t>-13% VAT for sheet</t>
  </si>
  <si>
    <t>-13% VAT for nut bolt</t>
  </si>
  <si>
    <t>-13% VAT for j-hook</t>
  </si>
  <si>
    <t>-13% VAT for bitumen washer</t>
  </si>
  <si>
    <t>)=$! dL=dL=afSnf] sf]?u]6]8 /+lug ss{6 kftfsf] 5fgf 5fpg] sfd</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</si>
  <si>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</si>
  <si>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-Masonary wall</t>
  </si>
  <si>
    <t>-13% VAT for excavator</t>
  </si>
  <si>
    <t>cum</t>
  </si>
  <si>
    <t>-13% VAT for formwork</t>
  </si>
  <si>
    <t>-for footing of vertical post</t>
  </si>
  <si>
    <t>-for plinth level</t>
  </si>
  <si>
    <t>-deduction for chihaan</t>
  </si>
  <si>
    <t>;'Vvf O{6f RofK6f] 5fKg] sfd</t>
  </si>
  <si>
    <t>-for chihaan</t>
  </si>
  <si>
    <t>-MS square pipe horizontal of 2" * 2" of 2mm thickness  for vertical post of railing</t>
  </si>
  <si>
    <t>-MS square pipe horizontal of 1.5" * 1.5" of 2mm thickness  for vertical post of railing</t>
  </si>
  <si>
    <t>-for railing</t>
  </si>
  <si>
    <t>-High Density Polythene Pipe NS 40 pipe material PE 100, PN 16</t>
  </si>
  <si>
    <t>-for watersupply</t>
  </si>
  <si>
    <t>Weight (Kg/m)</t>
  </si>
  <si>
    <t>Total weight (Kg)</t>
  </si>
  <si>
    <t>kg</t>
  </si>
  <si>
    <t>Date:2082/09/07</t>
  </si>
  <si>
    <t xml:space="preserve">Project:- तल्लो नाङ्गलेद्वारे चिहानपाटी </t>
  </si>
  <si>
    <t>Location:- Shankharapur Municipality 1</t>
  </si>
  <si>
    <t>-13% VAT for material</t>
  </si>
  <si>
    <t>-13% VAT for brick</t>
  </si>
  <si>
    <t>Work Completion Report</t>
  </si>
  <si>
    <t>Total Estimated Amount:</t>
  </si>
  <si>
    <t>Total Valuated Amount :</t>
  </si>
  <si>
    <t xml:space="preserve">Work Started : </t>
  </si>
  <si>
    <t xml:space="preserve">Work Finished:           </t>
  </si>
  <si>
    <t xml:space="preserve">F.Y:2082/2083            </t>
  </si>
  <si>
    <t>S.No.</t>
  </si>
  <si>
    <t>Description</t>
  </si>
  <si>
    <t>Estimated</t>
  </si>
  <si>
    <t>Valuated</t>
  </si>
  <si>
    <t>Difference</t>
  </si>
  <si>
    <t>Remarks</t>
  </si>
  <si>
    <t xml:space="preserve">Quantity </t>
  </si>
  <si>
    <t>39kg per pipe</t>
  </si>
  <si>
    <t>6ft</t>
  </si>
  <si>
    <t>-MS square pipe horizontal of 1.5" * 1.5" of 2mm thickness for railing</t>
  </si>
  <si>
    <t>Total Valuated</t>
  </si>
  <si>
    <t>Detail Valuated Sheet</t>
  </si>
  <si>
    <t>Date:2083/03/15</t>
  </si>
  <si>
    <t>Detail Quantity Mesurement Sheet</t>
  </si>
  <si>
    <t xml:space="preserve">Date:2083/03/15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</si>
</sst>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22"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b/>
      <sz val="12"/>
      <name val="Preeti"/>
    </font>
    <font>
      <sz val="12"/>
      <name val="Times New Roman"/>
      <family val="2"/>
    </font>
    <font>
      <b/>
      <sz val="11"/>
      <color theme="1"/>
      <name val="Calibri"/>
      <family val="2"/>
      <scheme val="minor"/>
    </font>
    <font>
      <b/>
      <sz val="11"/>
      <color theme="1"/>
      <name val="Times New Roman"/>
      <family val="1"/>
    </font>
    <font>
      <b/>
      <sz val="20"/>
      <color theme="1"/>
      <name val="Times New Roman"/>
      <family val="1"/>
    </font>
    <font>
      <b/>
      <sz val="14"/>
      <color theme="1"/>
      <name val="Calibri"/>
      <family val="2"/>
      <scheme val="minor"/>
    </font>
    <font>
      <sz val="12"/>
      <color theme="1"/>
      <name val="Calibri"/>
      <family val="2"/>
      <scheme val="minor"/>
    </font>
    <font>
      <sz val="14"/>
      <color theme="1"/>
      <name val="Calibri"/>
      <family val="2"/>
      <scheme val="minor"/>
    </font>
    <font>
      <sz val="12"/>
      <color theme="1"/>
      <name val="Times New Roman"/>
      <family val="1"/>
    </font>
    <font>
      <sz val="11"/>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99">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2" fontId="4" fillId="0" borderId="0" xfId="0" applyNumberFormat="1" applyFont="1"/>
    <xf numFmtId="0" fontId="0" fillId="0" borderId="0" xfId="0" applyAlignment="1">
      <alignment vertical="center"/>
    </xf>
    <xf numFmtId="1" fontId="2" fillId="0" borderId="2" xfId="0" quotePrefix="1" applyNumberFormat="1" applyFont="1" applyBorder="1" applyAlignment="1">
      <alignment vertical="center" wrapText="1"/>
    </xf>
    <xf numFmtId="0" fontId="4" fillId="0" borderId="2" xfId="0" applyFont="1" applyBorder="1" applyAlignment="1">
      <alignment wrapText="1"/>
    </xf>
    <xf numFmtId="0" fontId="12" fillId="2" borderId="2" xfId="0" applyFont="1" applyFill="1" applyBorder="1" applyAlignment="1">
      <alignment vertical="center" wrapText="1"/>
    </xf>
    <xf numFmtId="2" fontId="2" fillId="0" borderId="2" xfId="1" applyNumberFormat="1" applyFont="1" applyFill="1" applyBorder="1" applyAlignment="1">
      <alignment vertical="center" wrapText="1"/>
    </xf>
    <xf numFmtId="2" fontId="2" fillId="0" borderId="2" xfId="0" applyNumberFormat="1" applyFont="1" applyBorder="1" applyAlignment="1">
      <alignment vertical="center" wrapText="1"/>
    </xf>
    <xf numFmtId="2" fontId="6" fillId="0" borderId="2" xfId="0" applyNumberFormat="1" applyFont="1" applyBorder="1" applyAlignment="1">
      <alignment vertical="center"/>
    </xf>
    <xf numFmtId="0" fontId="2" fillId="0" borderId="2" xfId="0" quotePrefix="1" applyFont="1" applyBorder="1" applyAlignment="1">
      <alignment horizontal="right" vertical="center" wrapText="1"/>
    </xf>
    <xf numFmtId="164" fontId="4" fillId="0" borderId="2" xfId="0" applyNumberFormat="1" applyFont="1" applyBorder="1" applyAlignment="1">
      <alignment vertical="center"/>
    </xf>
    <xf numFmtId="0" fontId="4" fillId="0" borderId="2" xfId="0" quotePrefix="1" applyFont="1" applyBorder="1" applyAlignment="1">
      <alignment wrapText="1"/>
    </xf>
    <xf numFmtId="0" fontId="13" fillId="2" borderId="2" xfId="0" applyFont="1" applyFill="1" applyBorder="1" applyAlignment="1">
      <alignment vertical="center" wrapText="1"/>
    </xf>
    <xf numFmtId="0" fontId="18" fillId="0" borderId="0" xfId="0" applyFont="1"/>
    <xf numFmtId="0" fontId="19" fillId="0" borderId="0" xfId="0" applyFont="1" applyAlignment="1">
      <alignment horizontal="center"/>
    </xf>
    <xf numFmtId="0" fontId="0" fillId="0" borderId="0" xfId="0" applyAlignment="1">
      <alignment horizontal="left"/>
    </xf>
    <xf numFmtId="0" fontId="0" fillId="3" borderId="2" xfId="0" applyFill="1" applyBorder="1"/>
    <xf numFmtId="1" fontId="15" fillId="0" borderId="2" xfId="0" applyNumberFormat="1" applyFont="1" applyBorder="1" applyAlignment="1">
      <alignment vertical="center"/>
    </xf>
    <xf numFmtId="2" fontId="0" fillId="0" borderId="2" xfId="0" applyNumberFormat="1" applyBorder="1" applyAlignment="1">
      <alignment vertical="center"/>
    </xf>
    <xf numFmtId="43" fontId="14" fillId="0" borderId="2" xfId="1" applyFont="1" applyBorder="1" applyAlignment="1">
      <alignment vertical="center"/>
    </xf>
    <xf numFmtId="0" fontId="0" fillId="0" borderId="2" xfId="0" applyBorder="1" applyAlignment="1">
      <alignment vertical="center" wrapText="1"/>
    </xf>
    <xf numFmtId="1" fontId="20" fillId="0" borderId="2" xfId="0" applyNumberFormat="1" applyFont="1" applyBorder="1" applyAlignment="1">
      <alignment horizontal="right" vertical="center" wrapText="1"/>
    </xf>
    <xf numFmtId="0" fontId="15" fillId="0" borderId="2" xfId="0" applyFont="1" applyBorder="1" applyAlignment="1">
      <alignment vertical="center"/>
    </xf>
    <xf numFmtId="0" fontId="21" fillId="0" borderId="2" xfId="0" applyFont="1" applyBorder="1" applyAlignment="1">
      <alignment vertical="center"/>
    </xf>
    <xf numFmtId="0" fontId="8" fillId="2" borderId="2" xfId="0" applyFont="1" applyFill="1" applyBorder="1" applyAlignment="1">
      <alignment vertical="center" wrapText="1"/>
    </xf>
    <xf numFmtId="1" fontId="8" fillId="2" borderId="2" xfId="0" applyNumberFormat="1" applyFont="1" applyFill="1" applyBorder="1" applyAlignment="1">
      <alignment vertical="center" wrapText="1"/>
    </xf>
    <xf numFmtId="1" fontId="21" fillId="0" borderId="2" xfId="0" applyNumberFormat="1" applyFont="1" applyBorder="1" applyAlignment="1">
      <alignment vertical="center" wrapText="1"/>
    </xf>
    <xf numFmtId="0" fontId="0" fillId="0" borderId="2" xfId="0" applyBorder="1"/>
    <xf numFmtId="0" fontId="14" fillId="0" borderId="2" xfId="0" applyFont="1" applyBorder="1" applyAlignment="1">
      <alignment horizontal="right"/>
    </xf>
    <xf numFmtId="2" fontId="14" fillId="0" borderId="2" xfId="0" applyNumberFormat="1" applyFont="1" applyBorder="1"/>
    <xf numFmtId="43" fontId="14" fillId="0" borderId="2" xfId="1" applyFont="1" applyBorder="1"/>
    <xf numFmtId="0" fontId="8" fillId="0" borderId="0" xfId="0" applyFont="1" applyAlignment="1">
      <alignment horizontal="right"/>
    </xf>
    <xf numFmtId="0" fontId="8" fillId="0" borderId="1" xfId="0" applyFont="1" applyBorder="1" applyAlignment="1">
      <alignment horizontal="right"/>
    </xf>
    <xf numFmtId="43" fontId="9" fillId="0" borderId="0" xfId="1" applyFont="1" applyFill="1"/>
    <xf numFmtId="43" fontId="9" fillId="0" borderId="2" xfId="1" applyFont="1" applyFill="1" applyBorder="1" applyAlignment="1">
      <alignment horizontal="center"/>
    </xf>
    <xf numFmtId="0" fontId="12" fillId="0" borderId="2" xfId="0" applyFont="1" applyBorder="1" applyAlignment="1">
      <alignment vertical="center"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0" fillId="3" borderId="2" xfId="0" applyFill="1" applyBorder="1" applyAlignment="1">
      <alignment horizontal="center" vertical="center" wrapText="1"/>
    </xf>
    <xf numFmtId="0" fontId="0" fillId="3" borderId="2" xfId="0" applyFill="1" applyBorder="1" applyAlignment="1">
      <alignment horizontal="center" vertical="center"/>
    </xf>
    <xf numFmtId="0" fontId="0" fillId="3" borderId="2" xfId="0" applyFill="1" applyBorder="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0" xfId="0" applyAlignment="1">
      <alignment horizontal="right"/>
    </xf>
    <xf numFmtId="0" fontId="0" fillId="0" borderId="0" xfId="0" applyAlignment="1">
      <alignment horizontal="left"/>
    </xf>
    <xf numFmtId="43" fontId="18" fillId="0" borderId="0" xfId="0" applyNumberFormat="1" applyFont="1" applyAlignment="1">
      <alignment horizontal="center"/>
    </xf>
    <xf numFmtId="0" fontId="18" fillId="0" borderId="0" xfId="0" applyFont="1" applyAlignment="1">
      <alignment horizontal="center"/>
    </xf>
    <xf numFmtId="0" fontId="15" fillId="0" borderId="0" xfId="0" applyFont="1" applyAlignment="1">
      <alignment horizontal="center"/>
    </xf>
    <xf numFmtId="0" fontId="16" fillId="0" borderId="0" xfId="0" applyFont="1" applyAlignment="1">
      <alignment horizontal="center"/>
    </xf>
    <xf numFmtId="0" fontId="14" fillId="0" borderId="0" xfId="0" applyFont="1" applyAlignment="1">
      <alignment horizontal="center" vertical="center"/>
    </xf>
    <xf numFmtId="0" fontId="17" fillId="0" borderId="0" xfId="0" applyFont="1" applyAlignment="1">
      <alignment horizontal="center"/>
    </xf>
    <xf numFmtId="2" fontId="0" fillId="0" borderId="0" xfId="0" applyNumberFormat="1" applyAlignment="1">
      <alignment vertical="center"/>
    </xf>
    <xf numFmtId="0" fontId="8" fillId="0" borderId="1" xfId="0" applyFont="1" applyBorder="1" applyAlignment="1"/>
    <xf numFmtId="0" fontId="8" fillId="0" borderId="0" xfId="0" applyFont="1" applyAlignment="1"/>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2354;&#2366;&#2305;&#2325;&#2369;&#2352;&#2368;%20&#2348;&#2379;&#2335;%20&#2342;&#2375;&#2357;&#2368;%20&#2360;&#2369;&#2350;&#2366;&#2352;&#2366;%20&#2360;&#2337;&#2325;/valuation%20&#2354;&#2366;&#2305;&#2325;&#2369;&#2352;&#2368;%20-%20Copy.xlsx" TargetMode="External"/><Relationship Id="rId2" Type="http://schemas.openxmlformats.org/officeDocument/2006/relationships/externalLinkPath" Target="file:///G:\2082_2083\&#2348;&#2332;&#2375;&#2335;%20&#2350;&#2366;&#2327;%20estimate\&#2344;&#2327;&#2352;%20&#2348;&#2332;&#2375;&#2335;%20estimate\&#2354;&#2366;&#2305;&#2325;&#2369;&#2352;&#2368;%20&#2348;&#2379;&#2335;%20&#2342;&#2375;&#2357;&#2368;%20&#2360;&#2369;&#2350;&#2366;&#2352;&#2366;%20&#2360;&#2337;&#2325;\valuation%20&#2354;&#2366;&#2305;&#2325;&#2369;&#2352;&#2368;%20-%20Copy.xlsx" TargetMode="External"/><Relationship Id="rId1" Type="http://schemas.openxmlformats.org/officeDocument/2006/relationships/externalLinkPath" Target="/2082_2083/&#2348;&#2332;&#2375;&#2335;%20&#2350;&#2366;&#2327;%20estimate/&#2344;&#2327;&#2352;%20&#2348;&#2332;&#2375;&#2335;%20estimate/&#2354;&#2366;&#2305;&#2325;&#2369;&#2352;&#2368;%20&#2348;&#2379;&#2335;%20&#2342;&#2375;&#2357;&#2368;%20&#2360;&#2369;&#2350;&#2366;&#2352;&#2366;%20&#2360;&#2337;&#2325;/valuation%20&#2354;&#2366;&#2305;&#2325;&#2369;&#2352;&#2368;%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timate"/>
      <sheetName val="WCR"/>
      <sheetName val="V"/>
      <sheetName val="chainage measurement"/>
    </sheetNames>
    <sheetDataSet>
      <sheetData sheetId="0">
        <row r="9">
          <cell r="A9">
            <v>1</v>
          </cell>
        </row>
        <row r="12">
          <cell r="B12" t="str">
            <v>-13% VAT for excavator</v>
          </cell>
        </row>
      </sheetData>
      <sheetData sheetId="1"/>
      <sheetData sheetId="2">
        <row r="26">
          <cell r="G26">
            <v>22.511609090584113</v>
          </cell>
        </row>
      </sheetData>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3"/>
  <sheetViews>
    <sheetView view="pageBreakPreview" topLeftCell="A89" zoomScale="95" zoomScaleNormal="90" zoomScaleSheetLayoutView="95" workbookViewId="0">
      <selection activeCell="E50" sqref="E50"/>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customWidth="1"/>
    <col min="10" max="10" width="10.7109375" style="19" bestFit="1" customWidth="1"/>
    <col min="11" max="12" width="9.140625" style="19"/>
    <col min="13" max="16" width="0" style="19" hidden="1" customWidth="1"/>
    <col min="17" max="16384" width="9.140625" style="19"/>
  </cols>
  <sheetData>
    <row r="1" spans="1:18" x14ac:dyDescent="0.25">
      <c r="A1" s="79" t="s">
        <v>0</v>
      </c>
      <c r="B1" s="79"/>
      <c r="C1" s="79"/>
      <c r="D1" s="79"/>
      <c r="E1" s="79"/>
      <c r="F1" s="79"/>
      <c r="G1" s="79"/>
      <c r="H1" s="79"/>
      <c r="I1" s="79"/>
      <c r="J1" s="79"/>
      <c r="K1" s="79"/>
    </row>
    <row r="2" spans="1:18" ht="22.5" x14ac:dyDescent="0.25">
      <c r="A2" s="80" t="s">
        <v>1</v>
      </c>
      <c r="B2" s="80"/>
      <c r="C2" s="80"/>
      <c r="D2" s="80"/>
      <c r="E2" s="80"/>
      <c r="F2" s="80"/>
      <c r="G2" s="80"/>
      <c r="H2" s="80"/>
      <c r="I2" s="80"/>
      <c r="J2" s="80"/>
      <c r="K2" s="80"/>
    </row>
    <row r="3" spans="1:18" x14ac:dyDescent="0.25">
      <c r="A3" s="81" t="s">
        <v>2</v>
      </c>
      <c r="B3" s="81"/>
      <c r="C3" s="81"/>
      <c r="D3" s="81"/>
      <c r="E3" s="81"/>
      <c r="F3" s="81"/>
      <c r="G3" s="81"/>
      <c r="H3" s="81"/>
      <c r="I3" s="81"/>
      <c r="J3" s="81"/>
      <c r="K3" s="81"/>
    </row>
    <row r="4" spans="1:18" x14ac:dyDescent="0.25">
      <c r="A4" s="81" t="s">
        <v>3</v>
      </c>
      <c r="B4" s="81"/>
      <c r="C4" s="81"/>
      <c r="D4" s="81"/>
      <c r="E4" s="81"/>
      <c r="F4" s="81"/>
      <c r="G4" s="81"/>
      <c r="H4" s="81"/>
      <c r="I4" s="81"/>
      <c r="J4" s="81"/>
      <c r="K4" s="81"/>
    </row>
    <row r="5" spans="1:18" ht="18.75" x14ac:dyDescent="0.3">
      <c r="A5" s="82" t="s">
        <v>4</v>
      </c>
      <c r="B5" s="82"/>
      <c r="C5" s="82"/>
      <c r="D5" s="82"/>
      <c r="E5" s="82"/>
      <c r="F5" s="82"/>
      <c r="G5" s="82"/>
      <c r="H5" s="82"/>
      <c r="I5" s="82"/>
      <c r="J5" s="82"/>
      <c r="K5" s="82"/>
    </row>
    <row r="6" spans="1:18" ht="15.75" x14ac:dyDescent="0.25">
      <c r="A6" s="77" t="s">
        <v>79</v>
      </c>
      <c r="B6" s="77"/>
      <c r="C6" s="77"/>
      <c r="D6" s="77"/>
      <c r="E6" s="77"/>
      <c r="F6" s="77"/>
      <c r="G6" s="10"/>
      <c r="H6" s="78" t="s">
        <v>25</v>
      </c>
      <c r="I6" s="78"/>
      <c r="J6" s="78"/>
      <c r="K6" s="78"/>
    </row>
    <row r="7" spans="1:18" ht="15.75" x14ac:dyDescent="0.25">
      <c r="A7" s="72" t="s">
        <v>80</v>
      </c>
      <c r="B7" s="72"/>
      <c r="C7" s="72"/>
      <c r="D7" s="72"/>
      <c r="E7" s="72"/>
      <c r="F7" s="72"/>
      <c r="G7" s="11"/>
      <c r="H7" s="73" t="s">
        <v>78</v>
      </c>
      <c r="I7" s="73"/>
      <c r="J7" s="73"/>
      <c r="K7" s="73"/>
    </row>
    <row r="8" spans="1:18" ht="15.75" x14ac:dyDescent="0.25">
      <c r="A8" s="12" t="s">
        <v>5</v>
      </c>
      <c r="B8" s="13" t="s">
        <v>6</v>
      </c>
      <c r="C8" s="12" t="s">
        <v>7</v>
      </c>
      <c r="D8" s="14" t="s">
        <v>8</v>
      </c>
      <c r="E8" s="14" t="s">
        <v>9</v>
      </c>
      <c r="F8" s="14" t="s">
        <v>10</v>
      </c>
      <c r="G8" s="14" t="s">
        <v>11</v>
      </c>
      <c r="H8" s="12" t="s">
        <v>12</v>
      </c>
      <c r="I8" s="14" t="s">
        <v>13</v>
      </c>
      <c r="J8" s="14" t="s">
        <v>14</v>
      </c>
      <c r="K8" s="15" t="s">
        <v>15</v>
      </c>
    </row>
    <row r="9" spans="1:18" s="36" customFormat="1" ht="45" x14ac:dyDescent="0.25">
      <c r="A9" s="2">
        <v>1</v>
      </c>
      <c r="B9" s="39" t="s">
        <v>35</v>
      </c>
      <c r="C9" s="3" t="s">
        <v>7</v>
      </c>
      <c r="D9" s="40" t="s">
        <v>36</v>
      </c>
      <c r="E9" s="41" t="s">
        <v>37</v>
      </c>
      <c r="F9" s="41" t="s">
        <v>38</v>
      </c>
      <c r="G9" s="41"/>
      <c r="H9" s="7"/>
      <c r="I9" s="6"/>
      <c r="J9" s="42"/>
      <c r="K9" s="5"/>
    </row>
    <row r="10" spans="1:18" s="36" customFormat="1" ht="30" x14ac:dyDescent="0.25">
      <c r="A10" s="16"/>
      <c r="B10" s="43" t="s">
        <v>42</v>
      </c>
      <c r="C10" s="44">
        <f>4</f>
        <v>4</v>
      </c>
      <c r="D10" s="9">
        <f>(12+1+2)/3.281</f>
        <v>4.5717768972874122</v>
      </c>
      <c r="E10" s="9">
        <v>6.5</v>
      </c>
      <c r="F10" s="9">
        <f t="shared" ref="F10:F15" si="0">PRODUCT(C10:E10)</f>
        <v>118.86619932947272</v>
      </c>
      <c r="G10" s="9">
        <f t="shared" ref="G10:G15" si="1">F10</f>
        <v>118.86619932947272</v>
      </c>
      <c r="H10" s="42"/>
      <c r="I10" s="42"/>
      <c r="J10" s="42"/>
      <c r="K10" s="27"/>
    </row>
    <row r="11" spans="1:18" s="36" customFormat="1" ht="45" x14ac:dyDescent="0.25">
      <c r="A11" s="16"/>
      <c r="B11" s="43" t="s">
        <v>43</v>
      </c>
      <c r="C11" s="44">
        <v>4</v>
      </c>
      <c r="D11" s="9">
        <f>12/3.281</f>
        <v>3.6574215178299299</v>
      </c>
      <c r="E11" s="9">
        <v>6.5</v>
      </c>
      <c r="F11" s="9">
        <f t="shared" si="0"/>
        <v>95.092959463578183</v>
      </c>
      <c r="G11" s="9">
        <f t="shared" si="1"/>
        <v>95.092959463578183</v>
      </c>
      <c r="H11" s="42"/>
      <c r="I11" s="42"/>
      <c r="J11" s="42"/>
      <c r="K11" s="27"/>
      <c r="Q11" s="36">
        <f>PRODUCT(C11:D11)</f>
        <v>14.629686071319719</v>
      </c>
      <c r="R11" s="36">
        <f>CONVERT(Q11,"m","ft")</f>
        <v>47.997657714303543</v>
      </c>
    </row>
    <row r="12" spans="1:18" s="36" customFormat="1" ht="45" x14ac:dyDescent="0.25">
      <c r="A12" s="16"/>
      <c r="B12" s="43" t="s">
        <v>44</v>
      </c>
      <c r="C12" s="44">
        <v>2</v>
      </c>
      <c r="D12" s="9">
        <f>12/3.281</f>
        <v>3.6574215178299299</v>
      </c>
      <c r="E12" s="9">
        <v>6.5</v>
      </c>
      <c r="F12" s="9">
        <f t="shared" si="0"/>
        <v>47.546479731789091</v>
      </c>
      <c r="G12" s="9">
        <f t="shared" si="1"/>
        <v>47.546479731789091</v>
      </c>
      <c r="H12" s="42"/>
      <c r="I12" s="42"/>
      <c r="J12" s="42"/>
      <c r="K12" s="27"/>
    </row>
    <row r="13" spans="1:18" s="36" customFormat="1" ht="45" x14ac:dyDescent="0.25">
      <c r="A13" s="16"/>
      <c r="B13" s="43" t="s">
        <v>45</v>
      </c>
      <c r="C13" s="44">
        <v>4</v>
      </c>
      <c r="D13" s="9">
        <f>5.33/3.281</f>
        <v>1.6245047241694606</v>
      </c>
      <c r="E13" s="9">
        <v>6.5</v>
      </c>
      <c r="F13" s="9">
        <f t="shared" si="0"/>
        <v>42.237122828405973</v>
      </c>
      <c r="G13" s="9">
        <f t="shared" si="1"/>
        <v>42.237122828405973</v>
      </c>
      <c r="H13" s="42"/>
      <c r="I13" s="42"/>
      <c r="J13" s="42"/>
      <c r="K13" s="27"/>
    </row>
    <row r="14" spans="1:18" s="36" customFormat="1" ht="45" x14ac:dyDescent="0.25">
      <c r="A14" s="16"/>
      <c r="B14" s="43" t="s">
        <v>46</v>
      </c>
      <c r="C14" s="44">
        <v>2</v>
      </c>
      <c r="D14" s="9">
        <f>8.25/3.281</f>
        <v>2.5144772935080768</v>
      </c>
      <c r="E14" s="9">
        <v>4.43</v>
      </c>
      <c r="F14" s="9">
        <f t="shared" si="0"/>
        <v>22.278268820481561</v>
      </c>
      <c r="G14" s="9">
        <f t="shared" si="1"/>
        <v>22.278268820481561</v>
      </c>
      <c r="H14" s="42"/>
      <c r="I14" s="42"/>
      <c r="J14" s="42"/>
      <c r="K14" s="27"/>
    </row>
    <row r="15" spans="1:18" s="36" customFormat="1" ht="45" x14ac:dyDescent="0.25">
      <c r="A15" s="16"/>
      <c r="B15" s="43" t="s">
        <v>47</v>
      </c>
      <c r="C15" s="44">
        <f>2*4</f>
        <v>8</v>
      </c>
      <c r="D15" s="9">
        <f>6/3.281</f>
        <v>1.8287107589149649</v>
      </c>
      <c r="E15" s="9">
        <v>4.43</v>
      </c>
      <c r="F15" s="9">
        <f t="shared" si="0"/>
        <v>64.809509295946356</v>
      </c>
      <c r="G15" s="9">
        <f t="shared" si="1"/>
        <v>64.809509295946356</v>
      </c>
      <c r="H15" s="42"/>
      <c r="I15" s="42"/>
      <c r="J15" s="42"/>
      <c r="K15" s="27"/>
    </row>
    <row r="16" spans="1:18" s="36" customFormat="1" ht="45" x14ac:dyDescent="0.25">
      <c r="A16" s="16"/>
      <c r="B16" s="43" t="s">
        <v>48</v>
      </c>
      <c r="C16" s="44">
        <f>4</f>
        <v>4</v>
      </c>
      <c r="D16" s="9">
        <f>9.5/3.281</f>
        <v>2.895458701615361</v>
      </c>
      <c r="E16" s="9">
        <v>4.43</v>
      </c>
      <c r="F16" s="9">
        <f t="shared" ref="F16" si="2">PRODUCT(C16:E16)</f>
        <v>51.307528192624197</v>
      </c>
      <c r="G16" s="9">
        <f t="shared" ref="G16" si="3">F16</f>
        <v>51.307528192624197</v>
      </c>
      <c r="H16" s="42"/>
      <c r="I16" s="42"/>
      <c r="J16" s="42"/>
      <c r="K16" s="27"/>
    </row>
    <row r="17" spans="1:11" s="36" customFormat="1" x14ac:dyDescent="0.25">
      <c r="A17" s="16"/>
      <c r="B17" s="43"/>
      <c r="C17" s="44">
        <f>4</f>
        <v>4</v>
      </c>
      <c r="D17" s="9">
        <f>14.083/3.281</f>
        <v>4.2922889362999088</v>
      </c>
      <c r="E17" s="9">
        <v>4.43</v>
      </c>
      <c r="F17" s="9">
        <f t="shared" ref="F17:F18" si="4">PRODUCT(C17:E17)</f>
        <v>76.059359951234384</v>
      </c>
      <c r="G17" s="9">
        <f t="shared" ref="G17:G18" si="5">F17</f>
        <v>76.059359951234384</v>
      </c>
      <c r="H17" s="42"/>
      <c r="I17" s="42"/>
      <c r="J17" s="42"/>
      <c r="K17" s="27"/>
    </row>
    <row r="18" spans="1:11" s="36" customFormat="1" ht="45" x14ac:dyDescent="0.25">
      <c r="A18" s="16"/>
      <c r="B18" s="43" t="s">
        <v>49</v>
      </c>
      <c r="C18" s="44">
        <f>4*2</f>
        <v>8</v>
      </c>
      <c r="D18" s="9">
        <f>6.42/3.281</f>
        <v>1.9567205120390123</v>
      </c>
      <c r="E18" s="9">
        <v>4.43</v>
      </c>
      <c r="F18" s="9">
        <f t="shared" si="4"/>
        <v>69.346174946662586</v>
      </c>
      <c r="G18" s="9">
        <f t="shared" si="5"/>
        <v>69.346174946662586</v>
      </c>
      <c r="H18" s="42"/>
      <c r="I18" s="42"/>
      <c r="J18" s="42"/>
      <c r="K18" s="27"/>
    </row>
    <row r="19" spans="1:11" s="36" customFormat="1" ht="45" x14ac:dyDescent="0.25">
      <c r="A19" s="16"/>
      <c r="B19" s="43" t="s">
        <v>50</v>
      </c>
      <c r="C19" s="44">
        <v>4</v>
      </c>
      <c r="D19" s="9">
        <f>8/3.281</f>
        <v>2.4382810118866196</v>
      </c>
      <c r="E19" s="9">
        <v>4.43</v>
      </c>
      <c r="F19" s="9">
        <f t="shared" ref="F19" si="6">PRODUCT(C19:E19)</f>
        <v>43.206339530630899</v>
      </c>
      <c r="G19" s="9">
        <f t="shared" ref="G19" si="7">F19</f>
        <v>43.206339530630899</v>
      </c>
      <c r="H19" s="42"/>
      <c r="I19" s="42"/>
      <c r="J19" s="42"/>
      <c r="K19" s="27"/>
    </row>
    <row r="20" spans="1:11" s="36" customFormat="1" x14ac:dyDescent="0.25">
      <c r="A20" s="16"/>
      <c r="B20" s="43"/>
      <c r="C20" s="44">
        <v>4</v>
      </c>
      <c r="D20" s="9">
        <f>2.5/3.281</f>
        <v>0.76196281621456874</v>
      </c>
      <c r="E20" s="9">
        <v>5.43</v>
      </c>
      <c r="F20" s="9">
        <f t="shared" ref="F20:F21" si="8">PRODUCT(C20:E20)</f>
        <v>16.549832368180432</v>
      </c>
      <c r="G20" s="9">
        <f t="shared" ref="G20:G21" si="9">F20</f>
        <v>16.549832368180432</v>
      </c>
      <c r="H20" s="42"/>
      <c r="I20" s="42"/>
      <c r="J20" s="42"/>
      <c r="K20" s="27"/>
    </row>
    <row r="21" spans="1:11" s="36" customFormat="1" ht="45" x14ac:dyDescent="0.25">
      <c r="A21" s="16"/>
      <c r="B21" s="43" t="s">
        <v>51</v>
      </c>
      <c r="C21" s="44">
        <f>4*2</f>
        <v>8</v>
      </c>
      <c r="D21" s="9">
        <f>4.17/3.281</f>
        <v>1.2709539774459007</v>
      </c>
      <c r="E21" s="9">
        <v>4.43</v>
      </c>
      <c r="F21" s="9">
        <f t="shared" si="8"/>
        <v>45.042608960682713</v>
      </c>
      <c r="G21" s="9">
        <f t="shared" si="9"/>
        <v>45.042608960682713</v>
      </c>
      <c r="H21" s="42"/>
      <c r="I21" s="42"/>
      <c r="J21" s="42"/>
      <c r="K21" s="27"/>
    </row>
    <row r="22" spans="1:11" s="36" customFormat="1" ht="45" x14ac:dyDescent="0.25">
      <c r="A22" s="16"/>
      <c r="B22" s="43" t="s">
        <v>70</v>
      </c>
      <c r="C22" s="44">
        <v>6</v>
      </c>
      <c r="D22" s="9">
        <v>1.5</v>
      </c>
      <c r="E22" s="9">
        <v>3.01</v>
      </c>
      <c r="F22" s="9">
        <f t="shared" ref="F22" si="10">PRODUCT(C22:E22)</f>
        <v>27.089999999999996</v>
      </c>
      <c r="G22" s="9">
        <f t="shared" ref="G22" si="11">F22</f>
        <v>27.089999999999996</v>
      </c>
      <c r="H22" s="42"/>
      <c r="I22" s="42"/>
      <c r="J22" s="42"/>
      <c r="K22" s="27"/>
    </row>
    <row r="23" spans="1:11" s="36" customFormat="1" ht="45" x14ac:dyDescent="0.25">
      <c r="A23" s="16"/>
      <c r="B23" s="43" t="s">
        <v>70</v>
      </c>
      <c r="C23" s="44">
        <v>1</v>
      </c>
      <c r="D23" s="9">
        <f>36/3.281</f>
        <v>10.97226455348979</v>
      </c>
      <c r="E23" s="9">
        <v>3.01</v>
      </c>
      <c r="F23" s="9">
        <f t="shared" ref="F23" si="12">PRODUCT(C23:E23)</f>
        <v>33.026516306004268</v>
      </c>
      <c r="G23" s="9">
        <f t="shared" ref="G23" si="13">F23</f>
        <v>33.026516306004268</v>
      </c>
      <c r="H23" s="42"/>
      <c r="I23" s="42"/>
      <c r="J23" s="42"/>
      <c r="K23" s="27"/>
    </row>
    <row r="24" spans="1:11" s="36" customFormat="1" ht="45" x14ac:dyDescent="0.25">
      <c r="A24" s="16"/>
      <c r="B24" s="43" t="s">
        <v>71</v>
      </c>
      <c r="C24" s="44">
        <v>2</v>
      </c>
      <c r="D24" s="9">
        <f>(36-0.17*7)/3.281</f>
        <v>10.609570252971656</v>
      </c>
      <c r="E24" s="9">
        <v>2.2599999999999998</v>
      </c>
      <c r="F24" s="9">
        <f t="shared" ref="F24" si="14">PRODUCT(C24:E24)</f>
        <v>47.955257543431877</v>
      </c>
      <c r="G24" s="9">
        <f t="shared" ref="G24" si="15">F24</f>
        <v>47.955257543431877</v>
      </c>
      <c r="H24" s="42"/>
      <c r="I24" s="42"/>
      <c r="J24" s="42"/>
      <c r="K24" s="27"/>
    </row>
    <row r="25" spans="1:11" s="36" customFormat="1" x14ac:dyDescent="0.25">
      <c r="A25" s="2"/>
      <c r="B25" s="43" t="s">
        <v>39</v>
      </c>
      <c r="C25" s="3"/>
      <c r="D25" s="4"/>
      <c r="E25" s="5"/>
      <c r="F25" s="5"/>
      <c r="G25" s="42">
        <f>SUM(G10:G24)</f>
        <v>800.41415726912533</v>
      </c>
      <c r="H25" s="7" t="s">
        <v>40</v>
      </c>
      <c r="I25" s="6">
        <v>182.51</v>
      </c>
      <c r="J25" s="42">
        <f>G25*I25</f>
        <v>146083.58784318806</v>
      </c>
      <c r="K25" s="5"/>
    </row>
    <row r="26" spans="1:11" s="36" customFormat="1" x14ac:dyDescent="0.25">
      <c r="A26" s="2"/>
      <c r="B26" s="43" t="s">
        <v>41</v>
      </c>
      <c r="C26" s="3"/>
      <c r="D26" s="4"/>
      <c r="E26" s="5"/>
      <c r="F26" s="5"/>
      <c r="G26" s="42"/>
      <c r="H26" s="7"/>
      <c r="I26" s="6"/>
      <c r="J26" s="42">
        <f>0.13*G25*(1871.42/18.94)</f>
        <v>10281.332528276465</v>
      </c>
      <c r="K26" s="5"/>
    </row>
    <row r="27" spans="1:11" s="36" customFormat="1" x14ac:dyDescent="0.25">
      <c r="A27" s="2"/>
      <c r="B27" s="43"/>
      <c r="C27" s="3"/>
      <c r="D27" s="4"/>
      <c r="E27" s="5"/>
      <c r="F27" s="5"/>
      <c r="G27" s="42"/>
      <c r="H27" s="7"/>
      <c r="I27" s="6"/>
      <c r="J27" s="42"/>
      <c r="K27" s="5"/>
    </row>
    <row r="28" spans="1:11" s="36" customFormat="1" ht="30" x14ac:dyDescent="0.25">
      <c r="A28" s="2">
        <v>2</v>
      </c>
      <c r="B28" s="39" t="s">
        <v>59</v>
      </c>
      <c r="C28" s="3"/>
      <c r="D28" s="4"/>
      <c r="E28" s="5"/>
      <c r="F28" s="5"/>
      <c r="G28" s="42"/>
      <c r="H28" s="7"/>
      <c r="I28" s="6"/>
      <c r="J28" s="42"/>
      <c r="K28" s="5"/>
    </row>
    <row r="29" spans="1:11" s="36" customFormat="1" x14ac:dyDescent="0.25">
      <c r="A29" s="2"/>
      <c r="B29" s="43" t="s">
        <v>52</v>
      </c>
      <c r="C29" s="3">
        <v>4</v>
      </c>
      <c r="D29" s="4">
        <f>((15.833+6.5)/2)/3.281</f>
        <v>3.4033831149039924</v>
      </c>
      <c r="E29" s="5">
        <f>5.33/3.281</f>
        <v>1.6245047241694606</v>
      </c>
      <c r="F29" s="5"/>
      <c r="G29" s="33">
        <f t="shared" ref="G29:G30" si="16">PRODUCT(C29:F29)</f>
        <v>22.115247793280439</v>
      </c>
      <c r="H29" s="7"/>
      <c r="I29" s="6"/>
      <c r="J29" s="42"/>
      <c r="K29" s="5"/>
    </row>
    <row r="30" spans="1:11" s="36" customFormat="1" x14ac:dyDescent="0.25">
      <c r="A30" s="2"/>
      <c r="B30" s="43" t="s">
        <v>53</v>
      </c>
      <c r="C30" s="3">
        <v>4</v>
      </c>
      <c r="D30" s="4">
        <f>((0+9.583)/2)/3.281</f>
        <v>1.4603779335568423</v>
      </c>
      <c r="E30" s="5">
        <f>5.5/3.281</f>
        <v>1.6763181956720512</v>
      </c>
      <c r="F30" s="5"/>
      <c r="G30" s="33">
        <f t="shared" si="16"/>
        <v>9.7922324103171388</v>
      </c>
      <c r="H30" s="7"/>
      <c r="I30" s="6"/>
      <c r="J30" s="42"/>
      <c r="K30" s="5"/>
    </row>
    <row r="31" spans="1:11" s="36" customFormat="1" x14ac:dyDescent="0.25">
      <c r="A31" s="2"/>
      <c r="B31" s="43" t="s">
        <v>39</v>
      </c>
      <c r="C31" s="3"/>
      <c r="D31" s="4"/>
      <c r="E31" s="5"/>
      <c r="F31" s="5"/>
      <c r="G31" s="42">
        <f>SUM(G29:G30)</f>
        <v>31.907480203597579</v>
      </c>
      <c r="H31" s="7" t="s">
        <v>54</v>
      </c>
      <c r="I31" s="6">
        <v>1112.58</v>
      </c>
      <c r="J31" s="42">
        <f>G31*I31</f>
        <v>35499.624324918594</v>
      </c>
      <c r="K31" s="5"/>
    </row>
    <row r="32" spans="1:11" x14ac:dyDescent="0.25">
      <c r="A32" s="16"/>
      <c r="B32" s="32" t="s">
        <v>55</v>
      </c>
      <c r="C32" s="17"/>
      <c r="D32" s="17"/>
      <c r="E32" s="17"/>
      <c r="F32" s="17"/>
      <c r="G32" s="17"/>
      <c r="H32" s="17"/>
      <c r="I32" s="17"/>
      <c r="J32" s="18">
        <f>0.13*G31*7050.67/10</f>
        <v>2924.5984748122914</v>
      </c>
      <c r="K32" s="17"/>
    </row>
    <row r="33" spans="1:11" x14ac:dyDescent="0.25">
      <c r="A33" s="16"/>
      <c r="B33" s="32" t="s">
        <v>56</v>
      </c>
      <c r="C33" s="17"/>
      <c r="D33" s="17"/>
      <c r="E33" s="17"/>
      <c r="F33" s="17"/>
      <c r="G33" s="17"/>
      <c r="H33" s="17"/>
      <c r="I33" s="17"/>
      <c r="J33" s="18">
        <f>0.13*G31*1023.75/10</f>
        <v>424.6486771596293</v>
      </c>
      <c r="K33" s="17"/>
    </row>
    <row r="34" spans="1:11" x14ac:dyDescent="0.25">
      <c r="A34" s="16"/>
      <c r="B34" s="32" t="s">
        <v>57</v>
      </c>
      <c r="C34" s="17"/>
      <c r="D34" s="17"/>
      <c r="E34" s="17"/>
      <c r="F34" s="17"/>
      <c r="G34" s="17"/>
      <c r="H34" s="17"/>
      <c r="I34" s="17"/>
      <c r="J34" s="18">
        <f>0.13*G31*348.21/10</f>
        <v>144.43654786203126</v>
      </c>
      <c r="K34" s="17"/>
    </row>
    <row r="35" spans="1:11" x14ac:dyDescent="0.25">
      <c r="A35" s="16"/>
      <c r="B35" s="32" t="s">
        <v>58</v>
      </c>
      <c r="C35" s="17"/>
      <c r="D35" s="17"/>
      <c r="E35" s="17"/>
      <c r="F35" s="17"/>
      <c r="G35" s="17"/>
      <c r="H35" s="17"/>
      <c r="I35" s="17"/>
      <c r="J35" s="18">
        <f>0.13*G31*165/10</f>
        <v>68.441545036716803</v>
      </c>
      <c r="K35" s="17"/>
    </row>
    <row r="36" spans="1:11" x14ac:dyDescent="0.25">
      <c r="A36" s="16"/>
      <c r="B36" s="32"/>
      <c r="C36" s="17"/>
      <c r="D36" s="17"/>
      <c r="E36" s="17"/>
      <c r="F36" s="17"/>
      <c r="G36" s="17"/>
      <c r="H36" s="17"/>
      <c r="I36" s="17"/>
      <c r="J36" s="18"/>
      <c r="K36" s="17"/>
    </row>
    <row r="37" spans="1:11" ht="150" x14ac:dyDescent="0.25">
      <c r="A37" s="16">
        <v>3</v>
      </c>
      <c r="B37" s="45" t="s">
        <v>60</v>
      </c>
      <c r="C37" s="17"/>
      <c r="D37" s="17"/>
      <c r="E37" s="17"/>
      <c r="F37" s="17"/>
      <c r="G37" s="17"/>
      <c r="H37" s="17"/>
      <c r="I37" s="17"/>
      <c r="J37" s="18"/>
      <c r="K37" s="17"/>
    </row>
    <row r="38" spans="1:11" x14ac:dyDescent="0.25">
      <c r="A38" s="16"/>
      <c r="B38" s="32" t="s">
        <v>61</v>
      </c>
      <c r="C38" s="17">
        <v>1</v>
      </c>
      <c r="D38" s="33">
        <f>D47</f>
        <v>8.5</v>
      </c>
      <c r="E38" s="17">
        <f>E47</f>
        <v>2</v>
      </c>
      <c r="F38" s="17">
        <v>0.9</v>
      </c>
      <c r="G38" s="33">
        <f t="shared" ref="G38:G42" si="17">PRODUCT(C38:F38)</f>
        <v>15.3</v>
      </c>
      <c r="H38" s="17"/>
      <c r="I38" s="17"/>
      <c r="J38" s="18"/>
      <c r="K38" s="17"/>
    </row>
    <row r="39" spans="1:11" x14ac:dyDescent="0.25">
      <c r="A39" s="16"/>
      <c r="B39" s="32"/>
      <c r="C39" s="17">
        <v>1</v>
      </c>
      <c r="D39" s="33">
        <f>D48</f>
        <v>5</v>
      </c>
      <c r="E39" s="17">
        <f>E48</f>
        <v>1</v>
      </c>
      <c r="F39" s="17">
        <v>0.75</v>
      </c>
      <c r="G39" s="33">
        <f t="shared" si="17"/>
        <v>3.75</v>
      </c>
      <c r="H39" s="17"/>
      <c r="I39" s="17"/>
      <c r="J39" s="18"/>
      <c r="K39" s="17"/>
    </row>
    <row r="40" spans="1:11" x14ac:dyDescent="0.25">
      <c r="A40" s="16"/>
      <c r="B40" s="32" t="s">
        <v>65</v>
      </c>
      <c r="C40" s="17">
        <v>4</v>
      </c>
      <c r="D40" s="33">
        <v>0.6</v>
      </c>
      <c r="E40" s="17">
        <v>0.6</v>
      </c>
      <c r="F40" s="17">
        <v>0.6</v>
      </c>
      <c r="G40" s="33">
        <f t="shared" si="17"/>
        <v>0.86399999999999999</v>
      </c>
      <c r="H40" s="17"/>
      <c r="I40" s="17"/>
      <c r="J40" s="18"/>
      <c r="K40" s="17"/>
    </row>
    <row r="41" spans="1:11" x14ac:dyDescent="0.25">
      <c r="A41" s="16"/>
      <c r="B41" s="32" t="s">
        <v>66</v>
      </c>
      <c r="C41" s="17">
        <v>4</v>
      </c>
      <c r="D41" s="33">
        <f>10.25/3.281</f>
        <v>3.1240475464797317</v>
      </c>
      <c r="E41" s="17">
        <v>0.45</v>
      </c>
      <c r="F41" s="33">
        <f>0.45+0.075</f>
        <v>0.52500000000000002</v>
      </c>
      <c r="G41" s="33">
        <f t="shared" si="17"/>
        <v>2.9522249314233471</v>
      </c>
      <c r="H41" s="17"/>
      <c r="I41" s="17"/>
      <c r="J41" s="18"/>
      <c r="K41" s="17"/>
    </row>
    <row r="42" spans="1:11" x14ac:dyDescent="0.25">
      <c r="A42" s="16"/>
      <c r="B42" s="32" t="s">
        <v>72</v>
      </c>
      <c r="C42" s="17">
        <v>6</v>
      </c>
      <c r="D42" s="33">
        <v>0.3</v>
      </c>
      <c r="E42" s="17">
        <v>0.3</v>
      </c>
      <c r="F42" s="33">
        <v>0.6</v>
      </c>
      <c r="G42" s="33">
        <f t="shared" si="17"/>
        <v>0.32399999999999995</v>
      </c>
      <c r="H42" s="17"/>
      <c r="I42" s="17"/>
      <c r="J42" s="18"/>
      <c r="K42" s="17"/>
    </row>
    <row r="43" spans="1:11" s="36" customFormat="1" x14ac:dyDescent="0.25">
      <c r="A43" s="2"/>
      <c r="B43" s="43" t="s">
        <v>39</v>
      </c>
      <c r="C43" s="3"/>
      <c r="D43" s="4"/>
      <c r="E43" s="5"/>
      <c r="F43" s="5"/>
      <c r="G43" s="42">
        <f>SUM(G38:G42)</f>
        <v>23.190224931423352</v>
      </c>
      <c r="H43" s="7" t="s">
        <v>63</v>
      </c>
      <c r="I43" s="6">
        <v>62.95</v>
      </c>
      <c r="J43" s="42">
        <f>G43*I43</f>
        <v>1459.8246594331001</v>
      </c>
      <c r="K43" s="5"/>
    </row>
    <row r="44" spans="1:11" x14ac:dyDescent="0.25">
      <c r="A44" s="16"/>
      <c r="B44" s="32" t="s">
        <v>62</v>
      </c>
      <c r="C44" s="17"/>
      <c r="D44" s="17"/>
      <c r="E44" s="17"/>
      <c r="F44" s="17"/>
      <c r="G44" s="17"/>
      <c r="H44" s="17"/>
      <c r="I44" s="17"/>
      <c r="J44" s="18">
        <f>0.13*G43*18612/360</f>
        <v>155.86150176409637</v>
      </c>
      <c r="K44" s="17"/>
    </row>
    <row r="45" spans="1:11" x14ac:dyDescent="0.25">
      <c r="A45" s="16"/>
      <c r="B45" s="32"/>
      <c r="C45" s="17"/>
      <c r="D45" s="17"/>
      <c r="E45" s="17"/>
      <c r="F45" s="17"/>
      <c r="G45" s="17"/>
      <c r="H45" s="17"/>
      <c r="I45" s="17"/>
      <c r="J45" s="18"/>
      <c r="K45" s="17"/>
    </row>
    <row r="46" spans="1:11" ht="105" x14ac:dyDescent="0.25">
      <c r="A46" s="16">
        <v>4</v>
      </c>
      <c r="B46" s="45" t="s">
        <v>26</v>
      </c>
      <c r="C46" s="17"/>
      <c r="D46" s="17"/>
      <c r="E46" s="17"/>
      <c r="F46" s="17"/>
      <c r="G46" s="17"/>
      <c r="H46" s="17"/>
      <c r="I46" s="17"/>
      <c r="J46" s="18"/>
      <c r="K46" s="17"/>
    </row>
    <row r="47" spans="1:11" x14ac:dyDescent="0.25">
      <c r="A47" s="16"/>
      <c r="B47" s="32" t="s">
        <v>61</v>
      </c>
      <c r="C47" s="17">
        <v>1</v>
      </c>
      <c r="D47" s="33">
        <f>D58</f>
        <v>8.5</v>
      </c>
      <c r="E47" s="17">
        <f>E58</f>
        <v>2</v>
      </c>
      <c r="F47" s="17">
        <v>0.15</v>
      </c>
      <c r="G47" s="33">
        <f t="shared" ref="G47:G53" si="18">PRODUCT(C47:F47)</f>
        <v>2.5499999999999998</v>
      </c>
      <c r="H47" s="17"/>
      <c r="I47" s="17"/>
      <c r="J47" s="18"/>
      <c r="K47" s="17"/>
    </row>
    <row r="48" spans="1:11" x14ac:dyDescent="0.25">
      <c r="A48" s="16"/>
      <c r="B48" s="32"/>
      <c r="C48" s="17">
        <v>1</v>
      </c>
      <c r="D48" s="33">
        <f>D60</f>
        <v>5</v>
      </c>
      <c r="E48" s="17">
        <f>E60</f>
        <v>1</v>
      </c>
      <c r="F48" s="17">
        <v>0.15</v>
      </c>
      <c r="G48" s="33">
        <f t="shared" si="18"/>
        <v>0.75</v>
      </c>
      <c r="H48" s="17"/>
      <c r="I48" s="17"/>
      <c r="J48" s="18"/>
      <c r="K48" s="17"/>
    </row>
    <row r="49" spans="1:11" x14ac:dyDescent="0.25">
      <c r="A49" s="16"/>
      <c r="B49" s="32" t="str">
        <f>B40</f>
        <v>-for footing of vertical post</v>
      </c>
      <c r="C49" s="17">
        <f>C40</f>
        <v>4</v>
      </c>
      <c r="D49" s="33">
        <f>D40</f>
        <v>0.6</v>
      </c>
      <c r="E49" s="17">
        <f>E40</f>
        <v>0.6</v>
      </c>
      <c r="F49" s="17">
        <v>0.15</v>
      </c>
      <c r="G49" s="33">
        <f t="shared" si="18"/>
        <v>0.216</v>
      </c>
      <c r="H49" s="17"/>
      <c r="I49" s="17"/>
      <c r="J49" s="18"/>
      <c r="K49" s="17"/>
    </row>
    <row r="50" spans="1:11" x14ac:dyDescent="0.25">
      <c r="A50" s="16"/>
      <c r="B50" s="32" t="str">
        <f>B41</f>
        <v>-for plinth level</v>
      </c>
      <c r="C50" s="17">
        <f>C41</f>
        <v>4</v>
      </c>
      <c r="D50" s="33">
        <f>10.75/3.281</f>
        <v>3.2764401097226452</v>
      </c>
      <c r="E50" s="17">
        <v>0.45</v>
      </c>
      <c r="F50" s="17">
        <v>0.15</v>
      </c>
      <c r="G50" s="33">
        <f t="shared" si="18"/>
        <v>0.88463882962511431</v>
      </c>
      <c r="H50" s="17"/>
      <c r="I50" s="17"/>
      <c r="J50" s="18"/>
      <c r="K50" s="17"/>
    </row>
    <row r="51" spans="1:11" x14ac:dyDescent="0.25">
      <c r="A51" s="16"/>
      <c r="B51" s="32"/>
      <c r="C51" s="17">
        <v>1</v>
      </c>
      <c r="D51" s="33">
        <f>10.75/3.281</f>
        <v>3.2764401097226452</v>
      </c>
      <c r="E51" s="33">
        <f>10.75/3.281</f>
        <v>3.2764401097226452</v>
      </c>
      <c r="F51" s="17">
        <v>0.15</v>
      </c>
      <c r="G51" s="33">
        <f t="shared" si="18"/>
        <v>1.6102589688899007</v>
      </c>
      <c r="H51" s="17"/>
      <c r="I51" s="17"/>
      <c r="J51" s="18"/>
      <c r="K51" s="17"/>
    </row>
    <row r="52" spans="1:11" x14ac:dyDescent="0.25">
      <c r="A52" s="16"/>
      <c r="B52" s="32" t="s">
        <v>67</v>
      </c>
      <c r="C52" s="17">
        <v>-1</v>
      </c>
      <c r="D52" s="33">
        <v>1.5</v>
      </c>
      <c r="E52" s="33">
        <v>1.8</v>
      </c>
      <c r="F52" s="17">
        <v>0.15</v>
      </c>
      <c r="G52" s="33">
        <f t="shared" si="18"/>
        <v>-0.40500000000000003</v>
      </c>
      <c r="H52" s="17"/>
      <c r="I52" s="17"/>
      <c r="J52" s="18"/>
      <c r="K52" s="17"/>
    </row>
    <row r="53" spans="1:11" x14ac:dyDescent="0.25">
      <c r="A53" s="16"/>
      <c r="B53" s="32" t="str">
        <f>B42</f>
        <v>-for railing</v>
      </c>
      <c r="C53" s="17">
        <f>C42</f>
        <v>6</v>
      </c>
      <c r="D53" s="33">
        <f>D42</f>
        <v>0.3</v>
      </c>
      <c r="E53" s="33">
        <f>E42</f>
        <v>0.3</v>
      </c>
      <c r="F53" s="17">
        <v>0.15</v>
      </c>
      <c r="G53" s="33">
        <f t="shared" si="18"/>
        <v>8.0999999999999989E-2</v>
      </c>
      <c r="H53" s="17"/>
      <c r="I53" s="17"/>
      <c r="J53" s="18"/>
      <c r="K53" s="17"/>
    </row>
    <row r="54" spans="1:11" s="36" customFormat="1" x14ac:dyDescent="0.25">
      <c r="A54" s="2"/>
      <c r="B54" s="43" t="s">
        <v>39</v>
      </c>
      <c r="C54" s="3"/>
      <c r="D54" s="4"/>
      <c r="E54" s="5"/>
      <c r="F54" s="5"/>
      <c r="G54" s="42">
        <f>SUM(G47:G53)</f>
        <v>5.6868977985150151</v>
      </c>
      <c r="H54" s="7" t="s">
        <v>63</v>
      </c>
      <c r="I54" s="6">
        <v>4458.5200000000004</v>
      </c>
      <c r="J54" s="42">
        <f>G54*I54</f>
        <v>25355.147572635167</v>
      </c>
      <c r="K54" s="5"/>
    </row>
    <row r="55" spans="1:11" x14ac:dyDescent="0.25">
      <c r="A55" s="16"/>
      <c r="B55" s="32" t="s">
        <v>32</v>
      </c>
      <c r="C55" s="17"/>
      <c r="D55" s="17"/>
      <c r="E55" s="17"/>
      <c r="F55" s="17"/>
      <c r="G55" s="17"/>
      <c r="H55" s="17"/>
      <c r="I55" s="17"/>
      <c r="J55" s="18">
        <f>0.13*G54*15452.64/5</f>
        <v>2284.8171943283714</v>
      </c>
      <c r="K55" s="17"/>
    </row>
    <row r="56" spans="1:11" x14ac:dyDescent="0.25">
      <c r="A56" s="16"/>
      <c r="B56" s="45"/>
      <c r="C56" s="17"/>
      <c r="D56" s="17"/>
      <c r="E56" s="17"/>
      <c r="F56" s="17"/>
      <c r="G56" s="17"/>
      <c r="H56" s="17"/>
      <c r="I56" s="17"/>
      <c r="J56" s="18"/>
      <c r="K56" s="17"/>
    </row>
    <row r="57" spans="1:11" ht="78.75" x14ac:dyDescent="0.25">
      <c r="A57" s="16">
        <v>5</v>
      </c>
      <c r="B57" s="46" t="s">
        <v>27</v>
      </c>
      <c r="C57" s="17"/>
      <c r="D57" s="17"/>
      <c r="E57" s="17"/>
      <c r="F57" s="17"/>
      <c r="G57" s="17"/>
      <c r="H57" s="17"/>
      <c r="I57" s="17"/>
      <c r="J57" s="17"/>
      <c r="K57" s="17"/>
    </row>
    <row r="58" spans="1:11" x14ac:dyDescent="0.25">
      <c r="A58" s="16"/>
      <c r="B58" s="32" t="s">
        <v>61</v>
      </c>
      <c r="C58" s="17">
        <v>1</v>
      </c>
      <c r="D58" s="33">
        <f>D75</f>
        <v>8.5</v>
      </c>
      <c r="E58" s="33">
        <f>F75/2</f>
        <v>2</v>
      </c>
      <c r="F58" s="17">
        <v>0.05</v>
      </c>
      <c r="G58" s="33">
        <f t="shared" ref="G58:G66" si="19">PRODUCT(C58:F58)</f>
        <v>0.85000000000000009</v>
      </c>
      <c r="H58" s="17"/>
      <c r="I58" s="17"/>
      <c r="J58" s="18"/>
      <c r="K58" s="17"/>
    </row>
    <row r="59" spans="1:11" x14ac:dyDescent="0.25">
      <c r="A59" s="16"/>
      <c r="B59" s="32"/>
      <c r="C59" s="17">
        <v>1</v>
      </c>
      <c r="D59" s="33">
        <f>D58</f>
        <v>8.5</v>
      </c>
      <c r="E59" s="17">
        <v>0.45</v>
      </c>
      <c r="F59" s="17">
        <v>0.05</v>
      </c>
      <c r="G59" s="33">
        <f t="shared" si="19"/>
        <v>0.19125000000000003</v>
      </c>
      <c r="H59" s="17"/>
      <c r="I59" s="17"/>
      <c r="J59" s="18"/>
      <c r="K59" s="17"/>
    </row>
    <row r="60" spans="1:11" x14ac:dyDescent="0.25">
      <c r="A60" s="16"/>
      <c r="B60" s="32"/>
      <c r="C60" s="17">
        <v>1</v>
      </c>
      <c r="D60" s="33">
        <f>D76</f>
        <v>5</v>
      </c>
      <c r="E60" s="17">
        <f>F76/2</f>
        <v>1</v>
      </c>
      <c r="F60" s="17">
        <v>0.05</v>
      </c>
      <c r="G60" s="33">
        <f t="shared" si="19"/>
        <v>0.25</v>
      </c>
      <c r="H60" s="17"/>
      <c r="I60" s="17"/>
      <c r="J60" s="18"/>
      <c r="K60" s="17"/>
    </row>
    <row r="61" spans="1:11" x14ac:dyDescent="0.25">
      <c r="A61" s="16"/>
      <c r="B61" s="32"/>
      <c r="C61" s="17">
        <v>1</v>
      </c>
      <c r="D61" s="33">
        <f>D76</f>
        <v>5</v>
      </c>
      <c r="E61" s="17">
        <v>0.45</v>
      </c>
      <c r="F61" s="17">
        <v>0.05</v>
      </c>
      <c r="G61" s="33">
        <f t="shared" si="19"/>
        <v>0.1125</v>
      </c>
      <c r="H61" s="17"/>
      <c r="I61" s="17"/>
      <c r="J61" s="18"/>
      <c r="K61" s="17"/>
    </row>
    <row r="62" spans="1:11" x14ac:dyDescent="0.25">
      <c r="A62" s="16"/>
      <c r="B62" s="32" t="str">
        <f>B49</f>
        <v>-for footing of vertical post</v>
      </c>
      <c r="C62" s="17">
        <v>4</v>
      </c>
      <c r="D62" s="33">
        <v>0.6</v>
      </c>
      <c r="E62" s="17">
        <v>0.6</v>
      </c>
      <c r="F62" s="17">
        <v>0.3</v>
      </c>
      <c r="G62" s="33">
        <f t="shared" si="19"/>
        <v>0.432</v>
      </c>
      <c r="H62" s="17"/>
      <c r="I62" s="17"/>
      <c r="J62" s="18"/>
      <c r="K62" s="17"/>
    </row>
    <row r="63" spans="1:11" x14ac:dyDescent="0.25">
      <c r="A63" s="16"/>
      <c r="B63" s="32" t="str">
        <f>B50</f>
        <v>-for plinth level</v>
      </c>
      <c r="C63" s="17">
        <f>C50</f>
        <v>4</v>
      </c>
      <c r="D63" s="33">
        <f>D50</f>
        <v>3.2764401097226452</v>
      </c>
      <c r="E63" s="17">
        <f>E50</f>
        <v>0.45</v>
      </c>
      <c r="F63" s="17">
        <v>0.05</v>
      </c>
      <c r="G63" s="33">
        <f t="shared" si="19"/>
        <v>0.29487960987503808</v>
      </c>
      <c r="H63" s="17"/>
      <c r="I63" s="17"/>
      <c r="J63" s="18"/>
      <c r="K63" s="17"/>
    </row>
    <row r="64" spans="1:11" x14ac:dyDescent="0.25">
      <c r="A64" s="16"/>
      <c r="B64" s="32"/>
      <c r="C64" s="17">
        <v>1</v>
      </c>
      <c r="D64" s="33">
        <f>13.75/3.281</f>
        <v>4.190795489180128</v>
      </c>
      <c r="E64" s="33">
        <f>13.75/3.281</f>
        <v>4.190795489180128</v>
      </c>
      <c r="F64" s="33">
        <v>7.4999999999999997E-2</v>
      </c>
      <c r="G64" s="33">
        <f t="shared" si="19"/>
        <v>1.3172075124099381</v>
      </c>
      <c r="H64" s="17"/>
      <c r="I64" s="17"/>
      <c r="J64" s="18"/>
      <c r="K64" s="17"/>
    </row>
    <row r="65" spans="1:16" x14ac:dyDescent="0.25">
      <c r="A65" s="16"/>
      <c r="B65" s="32" t="s">
        <v>67</v>
      </c>
      <c r="C65" s="17">
        <v>-1</v>
      </c>
      <c r="D65" s="33">
        <v>1.5</v>
      </c>
      <c r="E65" s="33">
        <v>1.8</v>
      </c>
      <c r="F65" s="33">
        <v>7.4999999999999997E-2</v>
      </c>
      <c r="G65" s="33">
        <f t="shared" si="19"/>
        <v>-0.20250000000000001</v>
      </c>
      <c r="H65" s="17"/>
      <c r="I65" s="17"/>
      <c r="J65" s="18"/>
      <c r="K65" s="17"/>
    </row>
    <row r="66" spans="1:16" x14ac:dyDescent="0.25">
      <c r="A66" s="16"/>
      <c r="B66" s="32" t="str">
        <f>B53</f>
        <v>-for railing</v>
      </c>
      <c r="C66" s="17">
        <f>C53</f>
        <v>6</v>
      </c>
      <c r="D66" s="33">
        <f>D53</f>
        <v>0.3</v>
      </c>
      <c r="E66" s="33">
        <f>E53</f>
        <v>0.3</v>
      </c>
      <c r="F66" s="33">
        <v>0.45</v>
      </c>
      <c r="G66" s="33">
        <f t="shared" si="19"/>
        <v>0.24299999999999997</v>
      </c>
      <c r="H66" s="17"/>
      <c r="I66" s="17"/>
      <c r="J66" s="18"/>
      <c r="K66" s="17"/>
    </row>
    <row r="67" spans="1:16" s="36" customFormat="1" x14ac:dyDescent="0.25">
      <c r="A67" s="2"/>
      <c r="B67" s="43" t="s">
        <v>39</v>
      </c>
      <c r="C67" s="3"/>
      <c r="D67" s="4"/>
      <c r="E67" s="5"/>
      <c r="F67" s="5"/>
      <c r="G67" s="42">
        <f>SUM(G58:G66)</f>
        <v>3.4883371222849764</v>
      </c>
      <c r="H67" s="7" t="s">
        <v>63</v>
      </c>
      <c r="I67" s="6">
        <v>10964.46</v>
      </c>
      <c r="J67" s="42">
        <f>G67*I67</f>
        <v>38247.732843808728</v>
      </c>
      <c r="K67" s="5"/>
    </row>
    <row r="68" spans="1:16" x14ac:dyDescent="0.25">
      <c r="A68" s="16"/>
      <c r="B68" s="32" t="s">
        <v>28</v>
      </c>
      <c r="C68" s="17"/>
      <c r="D68" s="17"/>
      <c r="E68" s="17"/>
      <c r="F68" s="17"/>
      <c r="G68" s="17"/>
      <c r="H68" s="17"/>
      <c r="I68" s="17"/>
      <c r="J68" s="18">
        <f>0.13*G67*53818.03/15</f>
        <v>1627.0404097761368</v>
      </c>
      <c r="K68" s="17"/>
    </row>
    <row r="69" spans="1:16" x14ac:dyDescent="0.25">
      <c r="A69" s="16"/>
      <c r="B69" s="32" t="s">
        <v>29</v>
      </c>
      <c r="C69" s="17"/>
      <c r="D69" s="17"/>
      <c r="E69" s="17"/>
      <c r="F69" s="17"/>
      <c r="G69" s="17"/>
      <c r="H69" s="17"/>
      <c r="I69" s="17"/>
      <c r="J69" s="18">
        <f>0.13*G67*21432.6/15</f>
        <v>647.95582979473659</v>
      </c>
      <c r="K69" s="17"/>
    </row>
    <row r="70" spans="1:16" x14ac:dyDescent="0.25">
      <c r="A70" s="16"/>
      <c r="B70" s="32" t="s">
        <v>30</v>
      </c>
      <c r="C70" s="17"/>
      <c r="D70" s="17"/>
      <c r="E70" s="17"/>
      <c r="F70" s="17"/>
      <c r="G70" s="17"/>
      <c r="H70" s="17"/>
      <c r="I70" s="17"/>
      <c r="J70" s="18">
        <f>0.13*G67*(25719.12+13573.98+4286.52)/15</f>
        <v>1317.5101872492974</v>
      </c>
      <c r="K70" s="17"/>
    </row>
    <row r="71" spans="1:16" x14ac:dyDescent="0.25">
      <c r="A71" s="16"/>
      <c r="B71" s="32" t="s">
        <v>64</v>
      </c>
      <c r="C71" s="17"/>
      <c r="D71" s="17"/>
      <c r="E71" s="17"/>
      <c r="F71" s="17"/>
      <c r="G71" s="17"/>
      <c r="H71" s="17"/>
      <c r="I71" s="17"/>
      <c r="J71" s="18">
        <f>0.13*G67*(6325.7/15)</f>
        <v>191.24017583179665</v>
      </c>
      <c r="K71" s="17"/>
    </row>
    <row r="72" spans="1:16" x14ac:dyDescent="0.25">
      <c r="A72" s="16"/>
      <c r="B72" s="32" t="s">
        <v>33</v>
      </c>
      <c r="C72" s="17"/>
      <c r="D72" s="17"/>
      <c r="E72" s="17"/>
      <c r="F72" s="17"/>
      <c r="G72" s="17"/>
      <c r="H72" s="17"/>
      <c r="I72" s="17"/>
      <c r="J72" s="18">
        <f>0.13*G67*(310)/5</f>
        <v>28.115997205616914</v>
      </c>
      <c r="K72" s="17"/>
    </row>
    <row r="73" spans="1:16" x14ac:dyDescent="0.25">
      <c r="A73" s="16"/>
      <c r="B73" s="32"/>
      <c r="C73" s="17"/>
      <c r="D73" s="17"/>
      <c r="E73" s="17"/>
      <c r="F73" s="17"/>
      <c r="G73" s="17"/>
      <c r="H73" s="17"/>
      <c r="I73" s="17"/>
      <c r="J73" s="18"/>
      <c r="K73" s="17"/>
    </row>
    <row r="74" spans="1:16" ht="110.25" x14ac:dyDescent="0.25">
      <c r="A74" s="16">
        <v>6</v>
      </c>
      <c r="B74" s="46" t="s">
        <v>31</v>
      </c>
      <c r="C74" s="17"/>
      <c r="D74" s="17"/>
      <c r="E74" s="17"/>
      <c r="F74" s="17"/>
      <c r="G74" s="17"/>
      <c r="H74" s="17"/>
      <c r="I74" s="17"/>
      <c r="J74" s="17"/>
      <c r="K74" s="17"/>
    </row>
    <row r="75" spans="1:16" x14ac:dyDescent="0.25">
      <c r="A75" s="16"/>
      <c r="B75" s="32" t="s">
        <v>61</v>
      </c>
      <c r="C75" s="17">
        <v>1</v>
      </c>
      <c r="D75" s="33">
        <v>8.5</v>
      </c>
      <c r="E75" s="33">
        <f>((F75/2)+0.45)/2</f>
        <v>1.2250000000000001</v>
      </c>
      <c r="F75" s="33">
        <v>4</v>
      </c>
      <c r="G75" s="33">
        <f>PRODUCT(C75:F75)</f>
        <v>41.650000000000006</v>
      </c>
      <c r="H75" s="17"/>
      <c r="I75" s="17"/>
      <c r="J75" s="17"/>
      <c r="K75" s="17"/>
      <c r="M75" s="33">
        <f>7</f>
        <v>7</v>
      </c>
      <c r="N75" s="33">
        <f>2</f>
        <v>2</v>
      </c>
      <c r="O75" s="33"/>
      <c r="P75" s="33">
        <f>PI()*M75*SQRT(M75^2+N75^2)</f>
        <v>160.09797821843054</v>
      </c>
    </row>
    <row r="76" spans="1:16" x14ac:dyDescent="0.25">
      <c r="A76" s="16"/>
      <c r="B76" s="32"/>
      <c r="C76" s="17">
        <v>1</v>
      </c>
      <c r="D76" s="33">
        <v>5</v>
      </c>
      <c r="E76" s="33">
        <f>((F76/2)+0.45)/2</f>
        <v>0.72499999999999998</v>
      </c>
      <c r="F76" s="33">
        <v>2</v>
      </c>
      <c r="G76" s="33">
        <f>PRODUCT(C76:F76)</f>
        <v>7.25</v>
      </c>
      <c r="H76" s="17"/>
      <c r="I76" s="17"/>
      <c r="J76" s="17"/>
      <c r="K76" s="17"/>
      <c r="M76" s="35"/>
      <c r="N76" s="35"/>
      <c r="O76" s="35"/>
      <c r="P76" s="35"/>
    </row>
    <row r="77" spans="1:16" x14ac:dyDescent="0.25">
      <c r="A77" s="16"/>
      <c r="B77" s="32" t="str">
        <f>B63</f>
        <v>-for plinth level</v>
      </c>
      <c r="C77" s="17">
        <f>C63</f>
        <v>4</v>
      </c>
      <c r="D77" s="33">
        <f>D63</f>
        <v>3.2764401097226452</v>
      </c>
      <c r="E77" s="33">
        <f>E63</f>
        <v>0.45</v>
      </c>
      <c r="F77" s="33">
        <v>0.6</v>
      </c>
      <c r="G77" s="33">
        <f>PRODUCT(C77:F77)</f>
        <v>3.5385553185004572</v>
      </c>
      <c r="H77" s="17"/>
      <c r="I77" s="17"/>
      <c r="J77" s="17"/>
      <c r="K77" s="17"/>
      <c r="M77" s="35"/>
      <c r="N77" s="35"/>
      <c r="O77" s="35"/>
      <c r="P77" s="35"/>
    </row>
    <row r="78" spans="1:16" ht="15" customHeight="1" x14ac:dyDescent="0.25">
      <c r="A78" s="2"/>
      <c r="B78" s="34" t="s">
        <v>16</v>
      </c>
      <c r="C78" s="3"/>
      <c r="D78" s="4"/>
      <c r="E78" s="5"/>
      <c r="F78" s="5"/>
      <c r="G78" s="6">
        <f>SUM(G75:G77)</f>
        <v>52.438555318500462</v>
      </c>
      <c r="H78" s="7" t="s">
        <v>63</v>
      </c>
      <c r="I78" s="6">
        <v>8987.83</v>
      </c>
      <c r="J78" s="18">
        <f>G78*I78</f>
        <v>471308.82064827799</v>
      </c>
      <c r="K78" s="5"/>
    </row>
    <row r="79" spans="1:16" x14ac:dyDescent="0.25">
      <c r="A79" s="16"/>
      <c r="B79" s="32" t="s">
        <v>28</v>
      </c>
      <c r="C79" s="17"/>
      <c r="D79" s="17"/>
      <c r="E79" s="17"/>
      <c r="F79" s="17"/>
      <c r="G79" s="17"/>
      <c r="H79" s="17"/>
      <c r="I79" s="17"/>
      <c r="J79" s="18">
        <f>0.13*G78*(5863.95)/5</f>
        <v>7994.9237279579411</v>
      </c>
      <c r="K79" s="17"/>
    </row>
    <row r="80" spans="1:16" x14ac:dyDescent="0.25">
      <c r="A80" s="16"/>
      <c r="B80" s="32" t="s">
        <v>29</v>
      </c>
      <c r="C80" s="17"/>
      <c r="D80" s="17"/>
      <c r="E80" s="17"/>
      <c r="F80" s="17"/>
      <c r="G80" s="17"/>
      <c r="H80" s="17"/>
      <c r="I80" s="17"/>
      <c r="J80" s="18">
        <f>0.13*G78*(6604.416)/5</f>
        <v>9004.4768778221296</v>
      </c>
      <c r="K80" s="17"/>
    </row>
    <row r="81" spans="1:11" x14ac:dyDescent="0.25">
      <c r="A81" s="16"/>
      <c r="B81" s="32" t="s">
        <v>32</v>
      </c>
      <c r="C81" s="17"/>
      <c r="D81" s="17"/>
      <c r="E81" s="17"/>
      <c r="F81" s="17"/>
      <c r="G81" s="17"/>
      <c r="H81" s="17"/>
      <c r="I81" s="17"/>
      <c r="J81" s="18">
        <f>0.13*G78*(14808.78)/5</f>
        <v>20190.326759967087</v>
      </c>
      <c r="K81" s="17"/>
    </row>
    <row r="82" spans="1:11" x14ac:dyDescent="0.25">
      <c r="A82" s="16"/>
      <c r="B82" s="32" t="s">
        <v>33</v>
      </c>
      <c r="C82" s="17"/>
      <c r="D82" s="17"/>
      <c r="E82" s="17"/>
      <c r="F82" s="17"/>
      <c r="G82" s="17"/>
      <c r="H82" s="17"/>
      <c r="I82" s="17"/>
      <c r="J82" s="18">
        <f>0.13*G78*(310)/5</f>
        <v>422.65475586711375</v>
      </c>
      <c r="K82" s="17"/>
    </row>
    <row r="83" spans="1:11" x14ac:dyDescent="0.25">
      <c r="A83" s="16"/>
      <c r="B83" s="32"/>
      <c r="C83" s="17"/>
      <c r="D83" s="17"/>
      <c r="E83" s="17"/>
      <c r="F83" s="17"/>
      <c r="G83" s="17"/>
      <c r="H83" s="17"/>
      <c r="I83" s="17"/>
      <c r="J83" s="18"/>
      <c r="K83" s="17"/>
    </row>
    <row r="84" spans="1:11" x14ac:dyDescent="0.25">
      <c r="A84" s="16">
        <v>7</v>
      </c>
      <c r="B84" s="39" t="s">
        <v>68</v>
      </c>
      <c r="C84" s="17"/>
      <c r="D84" s="17"/>
      <c r="E84" s="17"/>
      <c r="F84" s="17"/>
      <c r="G84" s="17"/>
      <c r="H84" s="17"/>
      <c r="I84" s="17"/>
      <c r="J84" s="18"/>
      <c r="K84" s="17"/>
    </row>
    <row r="85" spans="1:11" x14ac:dyDescent="0.25">
      <c r="A85" s="16"/>
      <c r="B85" s="32" t="s">
        <v>69</v>
      </c>
      <c r="C85" s="17">
        <v>1</v>
      </c>
      <c r="D85" s="17">
        <f>1.5</f>
        <v>1.5</v>
      </c>
      <c r="E85" s="17">
        <v>1.6</v>
      </c>
      <c r="F85" s="17"/>
      <c r="G85" s="33">
        <f>PRODUCT(C85:F85)</f>
        <v>2.4000000000000004</v>
      </c>
      <c r="H85" s="17"/>
      <c r="I85" s="17"/>
      <c r="J85" s="18"/>
      <c r="K85" s="17"/>
    </row>
    <row r="86" spans="1:11" ht="15" customHeight="1" x14ac:dyDescent="0.25">
      <c r="A86" s="2"/>
      <c r="B86" s="34" t="s">
        <v>16</v>
      </c>
      <c r="C86" s="3"/>
      <c r="D86" s="4"/>
      <c r="E86" s="5"/>
      <c r="F86" s="5"/>
      <c r="G86" s="6">
        <f>SUM(G85)</f>
        <v>2.4000000000000004</v>
      </c>
      <c r="H86" s="7" t="s">
        <v>54</v>
      </c>
      <c r="I86" s="6">
        <v>1017.47</v>
      </c>
      <c r="J86" s="18">
        <f>G86*I86</f>
        <v>2441.9280000000003</v>
      </c>
      <c r="K86" s="5"/>
    </row>
    <row r="87" spans="1:11" x14ac:dyDescent="0.25">
      <c r="A87" s="16"/>
      <c r="B87" s="32" t="s">
        <v>82</v>
      </c>
      <c r="C87" s="17"/>
      <c r="D87" s="17"/>
      <c r="E87" s="17"/>
      <c r="F87" s="17"/>
      <c r="G87" s="17"/>
      <c r="H87" s="17"/>
      <c r="I87" s="17"/>
      <c r="J87" s="18">
        <f>0.13*G86*(8617.2)/10</f>
        <v>268.85664000000008</v>
      </c>
      <c r="K87" s="17"/>
    </row>
    <row r="88" spans="1:11" x14ac:dyDescent="0.25">
      <c r="A88" s="16"/>
      <c r="B88" s="17"/>
      <c r="C88" s="17"/>
      <c r="D88" s="17"/>
      <c r="E88" s="17"/>
      <c r="F88" s="17"/>
      <c r="G88" s="17"/>
      <c r="H88" s="17"/>
      <c r="I88" s="17"/>
      <c r="J88" s="17"/>
      <c r="K88" s="17"/>
    </row>
    <row r="89" spans="1:11" ht="45" x14ac:dyDescent="0.25">
      <c r="A89" s="16">
        <v>8</v>
      </c>
      <c r="B89" s="37" t="s">
        <v>73</v>
      </c>
      <c r="C89" s="17"/>
      <c r="D89" s="38" t="s">
        <v>36</v>
      </c>
      <c r="E89" s="38" t="s">
        <v>75</v>
      </c>
      <c r="F89" s="38" t="s">
        <v>76</v>
      </c>
      <c r="G89" s="17"/>
      <c r="H89" s="17"/>
      <c r="I89" s="17"/>
      <c r="J89" s="18"/>
      <c r="K89" s="17"/>
    </row>
    <row r="90" spans="1:11" x14ac:dyDescent="0.25">
      <c r="A90" s="16"/>
      <c r="B90" s="32" t="s">
        <v>74</v>
      </c>
      <c r="C90" s="17">
        <v>1</v>
      </c>
      <c r="D90" s="17">
        <v>185</v>
      </c>
      <c r="E90" s="17">
        <v>0.13500000000000001</v>
      </c>
      <c r="F90" s="17">
        <f>C90*D90*E90</f>
        <v>24.975000000000001</v>
      </c>
      <c r="G90" s="33">
        <f>F90</f>
        <v>24.975000000000001</v>
      </c>
      <c r="H90" s="17"/>
      <c r="I90" s="17"/>
      <c r="J90" s="18"/>
      <c r="K90" s="17"/>
    </row>
    <row r="91" spans="1:11" ht="15" customHeight="1" x14ac:dyDescent="0.25">
      <c r="A91" s="2"/>
      <c r="B91" s="34" t="s">
        <v>16</v>
      </c>
      <c r="C91" s="3"/>
      <c r="D91" s="4"/>
      <c r="E91" s="5"/>
      <c r="F91" s="5"/>
      <c r="G91" s="6">
        <f>SUM(G90)</f>
        <v>24.975000000000001</v>
      </c>
      <c r="H91" s="7" t="s">
        <v>77</v>
      </c>
      <c r="I91" s="6">
        <v>287</v>
      </c>
      <c r="J91" s="18">
        <f>G91*I91</f>
        <v>7167.8250000000007</v>
      </c>
      <c r="K91" s="5"/>
    </row>
    <row r="92" spans="1:11" x14ac:dyDescent="0.25">
      <c r="A92" s="16"/>
      <c r="B92" s="32" t="s">
        <v>81</v>
      </c>
      <c r="C92" s="17"/>
      <c r="D92" s="17"/>
      <c r="E92" s="17"/>
      <c r="F92" s="17"/>
      <c r="G92" s="17"/>
      <c r="H92" s="17"/>
      <c r="I92" s="17"/>
      <c r="J92" s="18">
        <f>0.13*J91</f>
        <v>931.81725000000017</v>
      </c>
      <c r="K92" s="17"/>
    </row>
    <row r="93" spans="1:11" x14ac:dyDescent="0.25">
      <c r="A93" s="16"/>
      <c r="B93" s="17"/>
      <c r="C93" s="17"/>
      <c r="D93" s="17"/>
      <c r="E93" s="17"/>
      <c r="F93" s="17"/>
      <c r="G93" s="17"/>
      <c r="H93" s="17"/>
      <c r="I93" s="17"/>
      <c r="J93" s="17"/>
      <c r="K93" s="17"/>
    </row>
    <row r="94" spans="1:11" ht="15" customHeight="1" x14ac:dyDescent="0.25">
      <c r="A94" s="2">
        <v>9</v>
      </c>
      <c r="B94" s="1" t="s">
        <v>17</v>
      </c>
      <c r="C94" s="3">
        <v>1</v>
      </c>
      <c r="D94" s="4"/>
      <c r="E94" s="5"/>
      <c r="F94" s="5"/>
      <c r="G94" s="7">
        <f t="shared" ref="G94" si="20">PRODUCT(C94:F94)</f>
        <v>1</v>
      </c>
      <c r="H94" s="7" t="s">
        <v>18</v>
      </c>
      <c r="I94" s="6">
        <v>500</v>
      </c>
      <c r="J94" s="7">
        <f>G94*I94</f>
        <v>500</v>
      </c>
      <c r="K94" s="5"/>
    </row>
    <row r="95" spans="1:11" x14ac:dyDescent="0.25">
      <c r="A95" s="2"/>
      <c r="B95" s="8"/>
      <c r="C95" s="3"/>
      <c r="D95" s="4"/>
      <c r="E95" s="5"/>
      <c r="F95" s="5"/>
      <c r="G95" s="6"/>
      <c r="H95" s="7"/>
      <c r="I95" s="6"/>
      <c r="J95" s="18"/>
      <c r="K95" s="5"/>
    </row>
    <row r="96" spans="1:11" x14ac:dyDescent="0.25">
      <c r="A96" s="21"/>
      <c r="B96" s="22" t="s">
        <v>20</v>
      </c>
      <c r="C96" s="23"/>
      <c r="D96" s="24"/>
      <c r="E96" s="24"/>
      <c r="F96" s="24"/>
      <c r="G96" s="18"/>
      <c r="H96" s="18"/>
      <c r="I96" s="18"/>
      <c r="J96" s="18">
        <f>SUM(J9:J94)</f>
        <v>786973.54597297299</v>
      </c>
      <c r="K96" s="25"/>
    </row>
    <row r="97" spans="1:19" x14ac:dyDescent="0.25">
      <c r="M97" s="20"/>
      <c r="N97" s="20"/>
      <c r="O97" s="20"/>
      <c r="P97" s="20"/>
      <c r="Q97" s="20"/>
      <c r="R97" s="20"/>
      <c r="S97" s="20"/>
    </row>
    <row r="98" spans="1:19" s="20" customFormat="1" x14ac:dyDescent="0.25">
      <c r="A98" s="26"/>
      <c r="B98" s="27" t="s">
        <v>19</v>
      </c>
      <c r="C98" s="70">
        <f>J96</f>
        <v>786973.54597297299</v>
      </c>
      <c r="D98" s="71"/>
      <c r="E98" s="9">
        <v>100</v>
      </c>
      <c r="F98" s="26"/>
      <c r="G98" s="28"/>
      <c r="H98" s="26"/>
      <c r="I98" s="29"/>
      <c r="J98" s="30"/>
      <c r="K98" s="31"/>
      <c r="M98" s="19"/>
      <c r="N98" s="19"/>
      <c r="O98" s="19"/>
      <c r="P98" s="19"/>
      <c r="Q98" s="19"/>
      <c r="R98" s="19"/>
      <c r="S98" s="19"/>
    </row>
    <row r="99" spans="1:19" x14ac:dyDescent="0.25">
      <c r="B99" s="27" t="s">
        <v>21</v>
      </c>
      <c r="C99" s="74">
        <v>700000</v>
      </c>
      <c r="D99" s="75"/>
      <c r="E99" s="9"/>
    </row>
    <row r="100" spans="1:19" x14ac:dyDescent="0.25">
      <c r="B100" s="27" t="s">
        <v>22</v>
      </c>
      <c r="C100" s="74">
        <f>C99-C102-C103</f>
        <v>665000</v>
      </c>
      <c r="D100" s="75"/>
      <c r="E100" s="9">
        <f>C100/C98*100</f>
        <v>84.500934421858958</v>
      </c>
    </row>
    <row r="101" spans="1:19" x14ac:dyDescent="0.25">
      <c r="B101" s="27" t="s">
        <v>34</v>
      </c>
      <c r="C101" s="76">
        <f>C98-C100</f>
        <v>121973.54597297299</v>
      </c>
      <c r="D101" s="76"/>
      <c r="E101" s="9">
        <f>100-E100</f>
        <v>15.499065578141042</v>
      </c>
    </row>
    <row r="102" spans="1:19" x14ac:dyDescent="0.25">
      <c r="B102" s="27" t="s">
        <v>23</v>
      </c>
      <c r="C102" s="70">
        <f>C99*0.03</f>
        <v>21000</v>
      </c>
      <c r="D102" s="71"/>
      <c r="E102" s="9">
        <v>3</v>
      </c>
    </row>
    <row r="103" spans="1:19" x14ac:dyDescent="0.25">
      <c r="B103" s="27" t="s">
        <v>24</v>
      </c>
      <c r="C103" s="70">
        <f>C99*0.02</f>
        <v>14000</v>
      </c>
      <c r="D103" s="71"/>
      <c r="E103" s="9">
        <v>2</v>
      </c>
    </row>
  </sheetData>
  <mergeCells count="15">
    <mergeCell ref="A6:F6"/>
    <mergeCell ref="H6:K6"/>
    <mergeCell ref="A1:K1"/>
    <mergeCell ref="A2:K2"/>
    <mergeCell ref="A3:K3"/>
    <mergeCell ref="A4:K4"/>
    <mergeCell ref="A5:K5"/>
    <mergeCell ref="C102:D102"/>
    <mergeCell ref="C103:D103"/>
    <mergeCell ref="A7:F7"/>
    <mergeCell ref="H7:K7"/>
    <mergeCell ref="C98:D98"/>
    <mergeCell ref="C99:D99"/>
    <mergeCell ref="C100:D100"/>
    <mergeCell ref="C101:D101"/>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C7C3A-4B53-4873-A254-2981ED93CBDA}">
  <dimension ref="A1:M49"/>
  <sheetViews>
    <sheetView view="pageBreakPreview" zoomScaleNormal="100" zoomScaleSheetLayoutView="100" workbookViewId="0">
      <selection activeCell="I10" sqref="I10"/>
    </sheetView>
  </sheetViews>
  <sheetFormatPr defaultRowHeight="15" x14ac:dyDescent="0.25"/>
  <cols>
    <col min="1" max="1" width="6.28515625" customWidth="1"/>
    <col min="2" max="2" width="39.28515625" customWidth="1"/>
    <col min="3" max="3" width="8.85546875" customWidth="1"/>
    <col min="4" max="4" width="9.28515625" bestFit="1" customWidth="1"/>
    <col min="5" max="5" width="11.5703125" bestFit="1" customWidth="1"/>
    <col min="6" max="6" width="12.28515625" bestFit="1" customWidth="1"/>
    <col min="7" max="7" width="9.5703125" bestFit="1" customWidth="1"/>
    <col min="8" max="8" width="11.140625" bestFit="1" customWidth="1"/>
    <col min="9" max="9" width="11.85546875" bestFit="1" customWidth="1"/>
    <col min="10" max="10" width="12.28515625" bestFit="1" customWidth="1"/>
    <col min="11" max="11" width="11" customWidth="1"/>
    <col min="13" max="13" width="9.5703125" bestFit="1" customWidth="1"/>
  </cols>
  <sheetData>
    <row r="1" spans="1:13" x14ac:dyDescent="0.25">
      <c r="A1" s="92" t="s">
        <v>0</v>
      </c>
      <c r="B1" s="92"/>
      <c r="C1" s="92"/>
      <c r="D1" s="92"/>
      <c r="E1" s="92"/>
      <c r="F1" s="92"/>
      <c r="G1" s="92"/>
      <c r="H1" s="92"/>
      <c r="I1" s="92"/>
      <c r="J1" s="92"/>
      <c r="K1" s="92"/>
    </row>
    <row r="2" spans="1:13" ht="25.5" x14ac:dyDescent="0.35">
      <c r="A2" s="93" t="s">
        <v>1</v>
      </c>
      <c r="B2" s="93"/>
      <c r="C2" s="93"/>
      <c r="D2" s="93"/>
      <c r="E2" s="93"/>
      <c r="F2" s="93"/>
      <c r="G2" s="93"/>
      <c r="H2" s="93"/>
      <c r="I2" s="93"/>
      <c r="J2" s="93"/>
      <c r="K2" s="93"/>
    </row>
    <row r="3" spans="1:13" s="36" customFormat="1" x14ac:dyDescent="0.25">
      <c r="A3" s="94" t="s">
        <v>2</v>
      </c>
      <c r="B3" s="94"/>
      <c r="C3" s="94"/>
      <c r="D3" s="94"/>
      <c r="E3" s="94"/>
      <c r="F3" s="94"/>
      <c r="G3" s="94"/>
      <c r="H3" s="94"/>
      <c r="I3" s="94"/>
      <c r="J3" s="94"/>
      <c r="K3" s="94"/>
    </row>
    <row r="4" spans="1:13" s="36" customFormat="1" x14ac:dyDescent="0.25">
      <c r="A4" s="94" t="s">
        <v>3</v>
      </c>
      <c r="B4" s="94"/>
      <c r="C4" s="94"/>
      <c r="D4" s="94"/>
      <c r="E4" s="94"/>
      <c r="F4" s="94"/>
      <c r="G4" s="94"/>
      <c r="H4" s="94"/>
      <c r="I4" s="94"/>
      <c r="J4" s="94"/>
      <c r="K4" s="94"/>
    </row>
    <row r="5" spans="1:13" ht="18.75" x14ac:dyDescent="0.3">
      <c r="A5" s="95" t="s">
        <v>83</v>
      </c>
      <c r="B5" s="95"/>
      <c r="C5" s="95"/>
      <c r="D5" s="95"/>
      <c r="E5" s="95"/>
      <c r="F5" s="95"/>
      <c r="G5" s="95"/>
      <c r="H5" s="95"/>
      <c r="I5" s="95"/>
      <c r="J5" s="95"/>
      <c r="K5" s="95"/>
    </row>
    <row r="6" spans="1:13" ht="18.75" x14ac:dyDescent="0.3">
      <c r="A6" s="47" t="s">
        <v>84</v>
      </c>
      <c r="B6" s="47"/>
      <c r="C6" s="90">
        <f>F49</f>
        <v>786973.54597297299</v>
      </c>
      <c r="D6" s="91"/>
      <c r="E6" s="48"/>
      <c r="F6" s="47"/>
      <c r="G6" s="47"/>
      <c r="H6" s="47" t="s">
        <v>85</v>
      </c>
      <c r="I6" s="47"/>
      <c r="J6" s="90">
        <f>I49</f>
        <v>789632.08517511096</v>
      </c>
      <c r="K6" s="91"/>
    </row>
    <row r="7" spans="1:13" x14ac:dyDescent="0.25">
      <c r="A7" s="49" t="s">
        <v>86</v>
      </c>
      <c r="B7" s="49"/>
      <c r="C7" s="49"/>
      <c r="D7" s="49"/>
      <c r="F7" s="86"/>
      <c r="G7" s="86"/>
      <c r="I7" s="87" t="s">
        <v>87</v>
      </c>
      <c r="J7" s="87"/>
      <c r="K7" s="87"/>
    </row>
    <row r="8" spans="1:13" ht="18" x14ac:dyDescent="0.25">
      <c r="A8" s="77" t="str">
        <f>estimate!A6</f>
        <v xml:space="preserve">Project:- तल्लो नाङ्गलेद्वारे चिहानपाटी </v>
      </c>
      <c r="B8" s="77"/>
      <c r="C8" s="77"/>
      <c r="D8" s="77"/>
      <c r="E8" s="77"/>
      <c r="F8" s="77"/>
      <c r="I8" s="88" t="s">
        <v>88</v>
      </c>
      <c r="J8" s="88"/>
      <c r="K8" s="88"/>
    </row>
    <row r="9" spans="1:13" x14ac:dyDescent="0.25">
      <c r="A9" s="89" t="s">
        <v>80</v>
      </c>
      <c r="B9" s="89"/>
      <c r="C9" s="89"/>
      <c r="D9" s="89"/>
      <c r="E9" s="89"/>
      <c r="F9" s="89"/>
      <c r="I9" s="88" t="s">
        <v>103</v>
      </c>
      <c r="J9" s="88"/>
      <c r="K9" s="88"/>
    </row>
    <row r="11" spans="1:13" x14ac:dyDescent="0.25">
      <c r="A11" s="84" t="s">
        <v>89</v>
      </c>
      <c r="B11" s="84" t="s">
        <v>90</v>
      </c>
      <c r="C11" s="84" t="s">
        <v>12</v>
      </c>
      <c r="D11" s="85" t="s">
        <v>91</v>
      </c>
      <c r="E11" s="85"/>
      <c r="F11" s="85"/>
      <c r="G11" s="85" t="s">
        <v>92</v>
      </c>
      <c r="H11" s="85"/>
      <c r="I11" s="85"/>
      <c r="J11" s="84" t="s">
        <v>93</v>
      </c>
      <c r="K11" s="83" t="s">
        <v>94</v>
      </c>
    </row>
    <row r="12" spans="1:13" x14ac:dyDescent="0.25">
      <c r="A12" s="84"/>
      <c r="B12" s="84"/>
      <c r="C12" s="84"/>
      <c r="D12" s="50" t="s">
        <v>95</v>
      </c>
      <c r="E12" s="50" t="s">
        <v>13</v>
      </c>
      <c r="F12" s="50" t="s">
        <v>14</v>
      </c>
      <c r="G12" s="50" t="s">
        <v>95</v>
      </c>
      <c r="H12" s="50" t="s">
        <v>13</v>
      </c>
      <c r="I12" s="50" t="s">
        <v>14</v>
      </c>
      <c r="J12" s="84"/>
      <c r="K12" s="83"/>
    </row>
    <row r="13" spans="1:13" s="36" customFormat="1" ht="30" x14ac:dyDescent="0.25">
      <c r="A13" s="51">
        <f>estimate!A9</f>
        <v>1</v>
      </c>
      <c r="B13" s="39" t="str">
        <f>estimate!B9</f>
        <v>sfnf] kmnfd] kfO{ksf] 6«; agfO{ h8fg ug]{ sfd</v>
      </c>
      <c r="C13" s="52" t="str">
        <f>estimate!H25</f>
        <v>Kg</v>
      </c>
      <c r="D13" s="52">
        <f>estimate!G25</f>
        <v>800.41415726912533</v>
      </c>
      <c r="E13" s="52">
        <f>estimate!I25</f>
        <v>182.51</v>
      </c>
      <c r="F13" s="52">
        <f>D13*E13</f>
        <v>146083.58784318806</v>
      </c>
      <c r="G13" s="52">
        <f>V!G32</f>
        <v>880.06056639235987</v>
      </c>
      <c r="H13" s="52">
        <f>V!I32</f>
        <v>182.51</v>
      </c>
      <c r="I13" s="52">
        <f>G13*H13</f>
        <v>160619.8539722696</v>
      </c>
      <c r="J13" s="53">
        <f>I13-F13</f>
        <v>14536.266129081545</v>
      </c>
      <c r="K13" s="54"/>
      <c r="M13" s="36">
        <f>1.25*F13</f>
        <v>182604.48480398508</v>
      </c>
    </row>
    <row r="14" spans="1:13" s="36" customFormat="1" ht="15.75" x14ac:dyDescent="0.25">
      <c r="A14" s="51"/>
      <c r="B14" s="55" t="str">
        <f>[4]estimate!B12</f>
        <v>-13% VAT for excavator</v>
      </c>
      <c r="C14" s="52"/>
      <c r="D14" s="52"/>
      <c r="E14" s="52"/>
      <c r="F14" s="52">
        <f>estimate!J26</f>
        <v>10281.332528276465</v>
      </c>
      <c r="G14" s="52"/>
      <c r="H14" s="52"/>
      <c r="I14" s="52">
        <f>V!J33</f>
        <v>11304.391915023165</v>
      </c>
      <c r="J14" s="53">
        <f>I14-F14</f>
        <v>1023.0593867466996</v>
      </c>
      <c r="K14" s="54"/>
      <c r="M14" s="36">
        <f t="shared" ref="M14" si="0">1.25*F14</f>
        <v>12851.665660345581</v>
      </c>
    </row>
    <row r="15" spans="1:13" s="36" customFormat="1" x14ac:dyDescent="0.25">
      <c r="A15" s="56"/>
      <c r="B15" s="57"/>
      <c r="C15" s="52"/>
      <c r="D15" s="52"/>
      <c r="E15" s="52"/>
      <c r="F15" s="52"/>
      <c r="G15" s="52"/>
      <c r="H15" s="52"/>
      <c r="I15" s="52"/>
      <c r="J15" s="53"/>
      <c r="K15" s="54"/>
    </row>
    <row r="16" spans="1:13" s="36" customFormat="1" ht="30" x14ac:dyDescent="0.25">
      <c r="A16" s="51">
        <f>estimate!A28</f>
        <v>2</v>
      </c>
      <c r="B16" s="39" t="str">
        <f>estimate!B28</f>
        <v>)=$! dL=dL=afSnf] sf]?u]6]8 /+lug ss{6 kftfsf] 5fgf 5fpg] sfd</v>
      </c>
      <c r="C16" s="52" t="str">
        <f>estimate!H31</f>
        <v>sqm</v>
      </c>
      <c r="D16" s="52">
        <f>estimate!G31</f>
        <v>31.907480203597579</v>
      </c>
      <c r="E16" s="52">
        <f>estimate!I31</f>
        <v>1112.58</v>
      </c>
      <c r="F16" s="52">
        <f>D16*E16</f>
        <v>35499.624324918594</v>
      </c>
      <c r="G16" s="52">
        <f>V!G38</f>
        <v>32.154877291241462</v>
      </c>
      <c r="H16" s="52">
        <f>V!I38</f>
        <v>1112.58</v>
      </c>
      <c r="I16" s="52">
        <f>G16*H16</f>
        <v>35774.873376689422</v>
      </c>
      <c r="J16" s="53">
        <f>I16-F16</f>
        <v>275.24905177082837</v>
      </c>
      <c r="K16" s="54"/>
      <c r="M16" s="36">
        <f t="shared" ref="M16:M44" si="1">1.25*F16</f>
        <v>44374.530406148246</v>
      </c>
    </row>
    <row r="17" spans="1:13" s="36" customFormat="1" ht="15.75" x14ac:dyDescent="0.25">
      <c r="A17" s="51"/>
      <c r="B17" s="55" t="str">
        <f>estimate!B32</f>
        <v>-13% VAT for sheet</v>
      </c>
      <c r="C17" s="52"/>
      <c r="D17" s="52"/>
      <c r="E17" s="52"/>
      <c r="F17" s="52">
        <f>estimate!J32</f>
        <v>2924.5984748122914</v>
      </c>
      <c r="G17" s="52"/>
      <c r="H17" s="52"/>
      <c r="I17" s="52">
        <f>V!J39</f>
        <v>2947.2745727234869</v>
      </c>
      <c r="J17" s="53">
        <f>I17-F17</f>
        <v>22.676097911195484</v>
      </c>
      <c r="K17" s="54"/>
      <c r="M17" s="36">
        <f t="shared" si="1"/>
        <v>3655.7480935153644</v>
      </c>
    </row>
    <row r="18" spans="1:13" s="36" customFormat="1" ht="15.75" x14ac:dyDescent="0.25">
      <c r="A18" s="51"/>
      <c r="B18" s="55" t="str">
        <f>estimate!B33</f>
        <v>-13% VAT for nut bolt</v>
      </c>
      <c r="C18" s="52"/>
      <c r="D18" s="52"/>
      <c r="E18" s="52"/>
      <c r="F18" s="52">
        <f>estimate!J33</f>
        <v>424.6486771596293</v>
      </c>
      <c r="G18" s="52"/>
      <c r="H18" s="52"/>
      <c r="I18" s="52">
        <f>V!J40</f>
        <v>427.94122314980984</v>
      </c>
      <c r="J18" s="53">
        <f t="shared" ref="J18:J20" si="2">I18-F18</f>
        <v>3.2925459901805425</v>
      </c>
      <c r="K18" s="54"/>
    </row>
    <row r="19" spans="1:13" s="36" customFormat="1" ht="15.75" x14ac:dyDescent="0.25">
      <c r="A19" s="51"/>
      <c r="B19" s="55" t="str">
        <f>estimate!B34</f>
        <v>-13% VAT for j-hook</v>
      </c>
      <c r="C19" s="52"/>
      <c r="D19" s="52"/>
      <c r="E19" s="52"/>
      <c r="F19" s="52">
        <f>estimate!J34</f>
        <v>144.43654786203126</v>
      </c>
      <c r="G19" s="52"/>
      <c r="H19" s="52"/>
      <c r="I19" s="52">
        <f>V!J41</f>
        <v>145.55644768058147</v>
      </c>
      <c r="J19" s="53">
        <f t="shared" si="2"/>
        <v>1.1198998185502091</v>
      </c>
      <c r="K19" s="54"/>
    </row>
    <row r="20" spans="1:13" s="36" customFormat="1" ht="15.75" x14ac:dyDescent="0.25">
      <c r="A20" s="51"/>
      <c r="B20" s="55" t="str">
        <f>estimate!B35</f>
        <v>-13% VAT for bitumen washer</v>
      </c>
      <c r="C20" s="52"/>
      <c r="D20" s="52"/>
      <c r="E20" s="52"/>
      <c r="F20" s="52">
        <f>estimate!J35</f>
        <v>68.441545036716803</v>
      </c>
      <c r="G20" s="52"/>
      <c r="H20" s="52"/>
      <c r="I20" s="52">
        <f>V!J42</f>
        <v>68.972211789712929</v>
      </c>
      <c r="J20" s="53">
        <f t="shared" si="2"/>
        <v>0.53066675299612598</v>
      </c>
      <c r="K20" s="54"/>
    </row>
    <row r="21" spans="1:13" s="36" customFormat="1" ht="15.75" x14ac:dyDescent="0.25">
      <c r="A21" s="51"/>
      <c r="B21" s="58"/>
      <c r="C21" s="52"/>
      <c r="D21" s="52"/>
      <c r="E21" s="52"/>
      <c r="F21" s="52"/>
      <c r="G21" s="52"/>
      <c r="H21" s="52"/>
      <c r="I21" s="52"/>
      <c r="J21" s="53"/>
      <c r="K21" s="54"/>
    </row>
    <row r="22" spans="1:13" s="36" customFormat="1" ht="63" x14ac:dyDescent="0.25">
      <c r="A22" s="51">
        <f>estimate!A37</f>
        <v>3</v>
      </c>
      <c r="B22" s="58" t="str">
        <f>estimate!B37</f>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
      <c r="C22" s="52" t="str">
        <f>estimate!H43</f>
        <v>cum</v>
      </c>
      <c r="D22" s="52">
        <f>estimate!G43</f>
        <v>23.190224931423352</v>
      </c>
      <c r="E22" s="52">
        <f>estimate!I43</f>
        <v>62.95</v>
      </c>
      <c r="F22" s="52">
        <f>D22*E22</f>
        <v>1459.8246594331001</v>
      </c>
      <c r="G22" s="52">
        <f>V!G50</f>
        <v>22.882157985370316</v>
      </c>
      <c r="H22" s="52">
        <f>V!I50</f>
        <v>62.95</v>
      </c>
      <c r="I22" s="52">
        <f>G22*H22</f>
        <v>1440.4318451790614</v>
      </c>
      <c r="J22" s="53">
        <f>I22-F22</f>
        <v>-19.39281425403874</v>
      </c>
      <c r="K22" s="54"/>
      <c r="M22" s="36">
        <f t="shared" si="1"/>
        <v>1824.7808242913752</v>
      </c>
    </row>
    <row r="23" spans="1:13" s="36" customFormat="1" ht="15.75" x14ac:dyDescent="0.25">
      <c r="A23" s="51"/>
      <c r="B23" s="55" t="str">
        <f>estimate!B44</f>
        <v>-13% VAT for excavator</v>
      </c>
      <c r="C23" s="52"/>
      <c r="D23" s="52"/>
      <c r="E23" s="52"/>
      <c r="F23" s="52">
        <f>estimate!J44</f>
        <v>155.86150176409637</v>
      </c>
      <c r="G23" s="52"/>
      <c r="H23" s="52"/>
      <c r="I23" s="52">
        <f>V!J51</f>
        <v>153.7909838196739</v>
      </c>
      <c r="J23" s="53">
        <f>I23-F23</f>
        <v>-2.0705179444224768</v>
      </c>
      <c r="K23" s="54"/>
      <c r="M23" s="36">
        <f t="shared" si="1"/>
        <v>194.82687720512047</v>
      </c>
    </row>
    <row r="24" spans="1:13" s="36" customFormat="1" x14ac:dyDescent="0.25">
      <c r="A24" s="56"/>
      <c r="B24" s="57"/>
      <c r="C24" s="52"/>
      <c r="D24" s="52"/>
      <c r="E24" s="52"/>
      <c r="F24" s="52"/>
      <c r="G24" s="52"/>
      <c r="H24" s="52"/>
      <c r="I24" s="52"/>
      <c r="J24" s="53"/>
      <c r="K24" s="54"/>
    </row>
    <row r="25" spans="1:13" s="36" customFormat="1" ht="78.75" x14ac:dyDescent="0.25">
      <c r="A25" s="51">
        <f>estimate!A46</f>
        <v>4</v>
      </c>
      <c r="B25" s="58" t="str">
        <f>estimate!B46</f>
        <v>Providing and laying of hand pack locally available Stone soling with 150 to 200 mm thick stones and packing with smaller stone on prepared surface as per Drawing and Technical Specifications.</v>
      </c>
      <c r="C25" s="52" t="str">
        <f>estimate!H54</f>
        <v>cum</v>
      </c>
      <c r="D25" s="52">
        <f>estimate!G54</f>
        <v>5.6868977985150151</v>
      </c>
      <c r="E25" s="52">
        <f>estimate!I54</f>
        <v>4458.5200000000004</v>
      </c>
      <c r="F25" s="52">
        <f>D25*E25</f>
        <v>25355.147572635167</v>
      </c>
      <c r="G25" s="52">
        <f>V!G61</f>
        <v>6.0110163578785833</v>
      </c>
      <c r="H25" s="52">
        <f>V!I61</f>
        <v>4458.5200000000004</v>
      </c>
      <c r="I25" s="52">
        <f>G25*H25</f>
        <v>26800.236651928823</v>
      </c>
      <c r="J25" s="53">
        <f>I25-F25</f>
        <v>1445.0890792936552</v>
      </c>
      <c r="K25" s="54"/>
      <c r="M25" s="36">
        <f t="shared" si="1"/>
        <v>31693.934465793958</v>
      </c>
    </row>
    <row r="26" spans="1:13" s="36" customFormat="1" ht="15.75" x14ac:dyDescent="0.25">
      <c r="A26" s="51"/>
      <c r="B26" s="55" t="str">
        <f>estimate!B55</f>
        <v>-13% VAT for stone</v>
      </c>
      <c r="C26" s="52"/>
      <c r="D26" s="52"/>
      <c r="E26" s="52"/>
      <c r="F26" s="52">
        <f>estimate!J55</f>
        <v>2284.8171943283714</v>
      </c>
      <c r="G26" s="52"/>
      <c r="H26" s="52"/>
      <c r="I26" s="52">
        <f>V!J62</f>
        <v>2415.0378671226317</v>
      </c>
      <c r="J26" s="53">
        <f>I26-F26</f>
        <v>130.22067279426028</v>
      </c>
      <c r="K26" s="54"/>
      <c r="M26" s="36">
        <f t="shared" si="1"/>
        <v>2856.0214929104641</v>
      </c>
    </row>
    <row r="27" spans="1:13" s="36" customFormat="1" x14ac:dyDescent="0.25">
      <c r="A27" s="56"/>
      <c r="B27" s="57"/>
      <c r="C27" s="52"/>
      <c r="D27" s="52"/>
      <c r="E27" s="52"/>
      <c r="F27" s="52"/>
      <c r="G27" s="52"/>
      <c r="H27" s="52"/>
      <c r="I27" s="52"/>
      <c r="J27" s="53"/>
      <c r="K27" s="54"/>
    </row>
    <row r="28" spans="1:13" s="36" customFormat="1" ht="63" x14ac:dyDescent="0.25">
      <c r="A28" s="51">
        <f>estimate!A57</f>
        <v>5</v>
      </c>
      <c r="B28" s="58" t="str">
        <f>estimate!B57</f>
        <v>Providing and laying of Plain/Reinforced Cement Concrete in Foundation complete as per Drawing and Technical Specifications, PCC Grade M 15</v>
      </c>
      <c r="C28" s="52" t="str">
        <f>estimate!H67</f>
        <v>cum</v>
      </c>
      <c r="D28" s="52">
        <f>estimate!G67</f>
        <v>3.4883371222849764</v>
      </c>
      <c r="E28" s="52">
        <f>estimate!I67</f>
        <v>10964.46</v>
      </c>
      <c r="F28" s="52">
        <f>D28*E28</f>
        <v>38247.732843808728</v>
      </c>
      <c r="G28" s="52">
        <f>V!G74</f>
        <v>3.3959918184269315</v>
      </c>
      <c r="H28" s="52">
        <f>V!I74</f>
        <v>10964.46</v>
      </c>
      <c r="I28" s="52">
        <f>G28*H28</f>
        <v>37235.216453469351</v>
      </c>
      <c r="J28" s="53">
        <f>I28-F28</f>
        <v>-1012.5163903393768</v>
      </c>
      <c r="K28" s="54"/>
      <c r="M28" s="36">
        <f t="shared" ref="M28:M29" si="3">1.25*F28</f>
        <v>47809.666054760906</v>
      </c>
    </row>
    <row r="29" spans="1:13" s="36" customFormat="1" ht="15.75" x14ac:dyDescent="0.25">
      <c r="A29" s="51"/>
      <c r="B29" s="55" t="str">
        <f>estimate!B68</f>
        <v>-13% VAT for cement</v>
      </c>
      <c r="C29" s="52"/>
      <c r="D29" s="52"/>
      <c r="E29" s="52"/>
      <c r="F29" s="52">
        <f>estimate!J68</f>
        <v>1627.0404097761368</v>
      </c>
      <c r="G29" s="52"/>
      <c r="H29" s="52"/>
      <c r="I29" s="52">
        <f>V!J75</f>
        <v>1583.9684428867447</v>
      </c>
      <c r="J29" s="53">
        <f>I29-F29</f>
        <v>-43.071966889392115</v>
      </c>
      <c r="K29" s="54"/>
      <c r="M29" s="36">
        <f t="shared" si="3"/>
        <v>2033.800512220171</v>
      </c>
    </row>
    <row r="30" spans="1:13" s="36" customFormat="1" ht="15.75" x14ac:dyDescent="0.25">
      <c r="A30" s="51"/>
      <c r="B30" s="55" t="str">
        <f>estimate!B69</f>
        <v>-13% VAT for sand</v>
      </c>
      <c r="C30" s="52"/>
      <c r="D30" s="52"/>
      <c r="E30" s="52"/>
      <c r="F30" s="52">
        <f>estimate!J69</f>
        <v>647.95582979473659</v>
      </c>
      <c r="G30" s="52"/>
      <c r="H30" s="52"/>
      <c r="I30" s="52">
        <f>V!J76</f>
        <v>630.80276347934773</v>
      </c>
      <c r="J30" s="53">
        <f t="shared" ref="J30:J33" si="4">I30-F30</f>
        <v>-17.153066315388855</v>
      </c>
      <c r="K30" s="54"/>
    </row>
    <row r="31" spans="1:13" s="36" customFormat="1" ht="15.75" x14ac:dyDescent="0.25">
      <c r="A31" s="51"/>
      <c r="B31" s="55" t="str">
        <f>estimate!B70</f>
        <v>-13% VAT for aggregate</v>
      </c>
      <c r="C31" s="52"/>
      <c r="D31" s="52"/>
      <c r="E31" s="52"/>
      <c r="F31" s="52">
        <f>estimate!J70</f>
        <v>1317.5101872492974</v>
      </c>
      <c r="G31" s="52"/>
      <c r="H31" s="52"/>
      <c r="I31" s="52">
        <f>V!J77</f>
        <v>1282.6322857413404</v>
      </c>
      <c r="J31" s="53">
        <f t="shared" si="4"/>
        <v>-34.877901507956949</v>
      </c>
      <c r="K31" s="54"/>
    </row>
    <row r="32" spans="1:13" s="36" customFormat="1" ht="15.75" x14ac:dyDescent="0.25">
      <c r="A32" s="51"/>
      <c r="B32" s="55" t="str">
        <f>estimate!B71</f>
        <v>-13% VAT for formwork</v>
      </c>
      <c r="C32" s="52"/>
      <c r="D32" s="52"/>
      <c r="E32" s="52"/>
      <c r="F32" s="52">
        <f>estimate!J71</f>
        <v>191.24017583179665</v>
      </c>
      <c r="G32" s="52"/>
      <c r="H32" s="52"/>
      <c r="I32" s="52">
        <f>V!J78</f>
        <v>186.17755386380142</v>
      </c>
      <c r="J32" s="53">
        <f t="shared" si="4"/>
        <v>-5.0626219679952271</v>
      </c>
      <c r="K32" s="54"/>
    </row>
    <row r="33" spans="1:13" s="36" customFormat="1" ht="15.75" x14ac:dyDescent="0.25">
      <c r="A33" s="51"/>
      <c r="B33" s="55" t="str">
        <f>estimate!B72</f>
        <v>-13% VAT for water</v>
      </c>
      <c r="C33" s="52"/>
      <c r="D33" s="52"/>
      <c r="E33" s="52"/>
      <c r="F33" s="52">
        <f>estimate!J72</f>
        <v>28.115997205616914</v>
      </c>
      <c r="G33" s="52"/>
      <c r="H33" s="52"/>
      <c r="I33" s="52">
        <f>V!J79</f>
        <v>27.371694056521068</v>
      </c>
      <c r="J33" s="53">
        <f t="shared" si="4"/>
        <v>-0.74430314909584538</v>
      </c>
      <c r="K33" s="54"/>
    </row>
    <row r="34" spans="1:13" s="36" customFormat="1" x14ac:dyDescent="0.25">
      <c r="A34" s="56"/>
      <c r="B34" s="57"/>
      <c r="C34" s="52"/>
      <c r="D34" s="52"/>
      <c r="E34" s="52"/>
      <c r="F34" s="52"/>
      <c r="G34" s="52"/>
      <c r="H34" s="52"/>
      <c r="I34" s="52"/>
      <c r="J34" s="53"/>
      <c r="K34" s="54"/>
    </row>
    <row r="35" spans="1:13" s="36" customFormat="1" ht="78.75" x14ac:dyDescent="0.25">
      <c r="A35" s="51">
        <f>estimate!A74</f>
        <v>6</v>
      </c>
      <c r="B35" s="58" t="str">
        <f>estimate!B74</f>
        <v>Random Rubble Masonry, Providing and laying of Stone Masonry Work in Cement Mortar 1:6 in Foundation complete as per Drawing and Technical Specifications., Using Concrete Mixer</v>
      </c>
      <c r="C35" s="52" t="str">
        <f>estimate!H78</f>
        <v>cum</v>
      </c>
      <c r="D35" s="52">
        <f>estimate!G78</f>
        <v>52.438555318500462</v>
      </c>
      <c r="E35" s="52">
        <f>estimate!I78</f>
        <v>8987.83</v>
      </c>
      <c r="F35" s="52">
        <f>D35*E35</f>
        <v>471308.82064827799</v>
      </c>
      <c r="G35" s="52">
        <f>V!G86</f>
        <v>51.032688232543656</v>
      </c>
      <c r="H35" s="52">
        <f>V!I86</f>
        <v>8987.83</v>
      </c>
      <c r="I35" s="52">
        <f>G35*H35</f>
        <v>458673.12627710286</v>
      </c>
      <c r="J35" s="53">
        <f>I35-F35</f>
        <v>-12635.694371175137</v>
      </c>
      <c r="K35" s="54"/>
      <c r="M35" s="36">
        <f t="shared" ref="M35:M36" si="5">1.25*F35</f>
        <v>589136.02581034752</v>
      </c>
    </row>
    <row r="36" spans="1:13" s="36" customFormat="1" ht="15.75" x14ac:dyDescent="0.25">
      <c r="A36" s="51"/>
      <c r="B36" s="55" t="str">
        <f>estimate!B79</f>
        <v>-13% VAT for cement</v>
      </c>
      <c r="C36" s="52"/>
      <c r="D36" s="52"/>
      <c r="E36" s="52"/>
      <c r="F36" s="52">
        <f>estimate!J79</f>
        <v>7994.9237279579411</v>
      </c>
      <c r="G36" s="52"/>
      <c r="H36" s="52"/>
      <c r="I36" s="52">
        <f>V!J87</f>
        <v>7780.5814361918337</v>
      </c>
      <c r="J36" s="53">
        <f>I36-F36</f>
        <v>-214.34229176610734</v>
      </c>
      <c r="K36" s="54"/>
      <c r="M36" s="36">
        <f t="shared" si="5"/>
        <v>9993.6546599474259</v>
      </c>
    </row>
    <row r="37" spans="1:13" s="36" customFormat="1" ht="15.75" x14ac:dyDescent="0.25">
      <c r="A37" s="51"/>
      <c r="B37" s="55" t="str">
        <f>estimate!B80</f>
        <v>-13% VAT for sand</v>
      </c>
      <c r="C37" s="52"/>
      <c r="D37" s="52"/>
      <c r="E37" s="52"/>
      <c r="F37" s="52">
        <f>estimate!J80</f>
        <v>9004.4768778221296</v>
      </c>
      <c r="G37" s="52"/>
      <c r="H37" s="52"/>
      <c r="I37" s="52">
        <f>V!J88</f>
        <v>8763.0686698366007</v>
      </c>
      <c r="J37" s="53">
        <f t="shared" ref="J37:J39" si="6">I37-F37</f>
        <v>-241.40820798552886</v>
      </c>
      <c r="K37" s="54"/>
    </row>
    <row r="38" spans="1:13" s="36" customFormat="1" ht="15.75" x14ac:dyDescent="0.25">
      <c r="A38" s="51"/>
      <c r="B38" s="55" t="str">
        <f>estimate!B81</f>
        <v>-13% VAT for stone</v>
      </c>
      <c r="C38" s="52"/>
      <c r="D38" s="52"/>
      <c r="E38" s="52"/>
      <c r="F38" s="52">
        <f>estimate!J81</f>
        <v>20190.326759967087</v>
      </c>
      <c r="G38" s="52"/>
      <c r="H38" s="52"/>
      <c r="I38" s="52">
        <f>V!J89</f>
        <v>19649.028173952527</v>
      </c>
      <c r="J38" s="53">
        <f t="shared" si="6"/>
        <v>-541.29858601455999</v>
      </c>
      <c r="K38" s="54"/>
    </row>
    <row r="39" spans="1:13" s="36" customFormat="1" ht="15.75" x14ac:dyDescent="0.25">
      <c r="A39" s="51"/>
      <c r="B39" s="55" t="str">
        <f>estimate!B82</f>
        <v>-13% VAT for water</v>
      </c>
      <c r="C39" s="52"/>
      <c r="D39" s="52"/>
      <c r="E39" s="52"/>
      <c r="F39" s="52">
        <f>estimate!J82</f>
        <v>422.65475586711375</v>
      </c>
      <c r="G39" s="52"/>
      <c r="H39" s="52"/>
      <c r="I39" s="52">
        <f>V!J90</f>
        <v>411.32346715430185</v>
      </c>
      <c r="J39" s="53">
        <f t="shared" si="6"/>
        <v>-11.331288712811897</v>
      </c>
      <c r="K39" s="54"/>
    </row>
    <row r="40" spans="1:13" s="36" customFormat="1" x14ac:dyDescent="0.25">
      <c r="A40" s="56"/>
      <c r="B40" s="57"/>
      <c r="C40" s="52"/>
      <c r="D40" s="52"/>
      <c r="E40" s="52"/>
      <c r="F40" s="52"/>
      <c r="G40" s="52"/>
      <c r="H40" s="52"/>
      <c r="I40" s="52"/>
      <c r="J40" s="53"/>
      <c r="K40" s="54"/>
    </row>
    <row r="41" spans="1:13" s="36" customFormat="1" x14ac:dyDescent="0.25">
      <c r="A41" s="51">
        <f>estimate!A84</f>
        <v>7</v>
      </c>
      <c r="B41" s="39" t="str">
        <f>estimate!B84</f>
        <v>;'Vvf O{6f RofK6f] 5fKg] sfd</v>
      </c>
      <c r="C41" s="52" t="str">
        <f>estimate!H86</f>
        <v>sqm</v>
      </c>
      <c r="D41" s="52">
        <f>estimate!G86</f>
        <v>2.4000000000000004</v>
      </c>
      <c r="E41" s="52">
        <f>estimate!I86</f>
        <v>1017.47</v>
      </c>
      <c r="F41" s="52">
        <f>D41*E41</f>
        <v>2441.9280000000003</v>
      </c>
      <c r="G41" s="52">
        <f>V!G94</f>
        <v>2.4000000000000004</v>
      </c>
      <c r="H41" s="52">
        <f>V!I94</f>
        <v>1017.47</v>
      </c>
      <c r="I41" s="52">
        <f>G41*H41</f>
        <v>2441.9280000000003</v>
      </c>
      <c r="J41" s="53">
        <f>I41-F41</f>
        <v>0</v>
      </c>
      <c r="K41" s="54"/>
      <c r="M41" s="36">
        <f t="shared" ref="M41:M42" si="7">1.25*F41</f>
        <v>3052.4100000000003</v>
      </c>
    </row>
    <row r="42" spans="1:13" s="36" customFormat="1" ht="15.75" x14ac:dyDescent="0.25">
      <c r="A42" s="51"/>
      <c r="B42" s="55" t="str">
        <f>estimate!B87</f>
        <v>-13% VAT for brick</v>
      </c>
      <c r="C42" s="52"/>
      <c r="D42" s="52"/>
      <c r="E42" s="52"/>
      <c r="F42" s="52">
        <f>estimate!J87</f>
        <v>268.85664000000008</v>
      </c>
      <c r="G42" s="52"/>
      <c r="H42" s="52"/>
      <c r="I42" s="52">
        <f>V!J95</f>
        <v>268.85664000000008</v>
      </c>
      <c r="J42" s="53">
        <f>I42-F42</f>
        <v>0</v>
      </c>
      <c r="K42" s="54"/>
      <c r="M42" s="36">
        <f t="shared" si="7"/>
        <v>336.07080000000008</v>
      </c>
    </row>
    <row r="43" spans="1:13" s="36" customFormat="1" x14ac:dyDescent="0.25">
      <c r="A43" s="56"/>
      <c r="B43" s="57"/>
      <c r="C43" s="52"/>
      <c r="D43" s="52"/>
      <c r="E43" s="52"/>
      <c r="F43" s="52"/>
      <c r="G43" s="52"/>
      <c r="H43" s="52"/>
      <c r="I43" s="52"/>
      <c r="J43" s="53"/>
      <c r="K43" s="54"/>
    </row>
    <row r="44" spans="1:13" s="36" customFormat="1" ht="31.5" x14ac:dyDescent="0.25">
      <c r="A44" s="51">
        <f>estimate!A89</f>
        <v>8</v>
      </c>
      <c r="B44" s="59" t="str">
        <f>estimate!B89</f>
        <v>-High Density Polythene Pipe NS 40 pipe material PE 100, PN 16</v>
      </c>
      <c r="C44" s="52" t="str">
        <f>estimate!H91</f>
        <v>kg</v>
      </c>
      <c r="D44" s="52">
        <f>estimate!G91</f>
        <v>24.975000000000001</v>
      </c>
      <c r="E44" s="52">
        <f>estimate!I91</f>
        <v>287</v>
      </c>
      <c r="F44" s="52">
        <f>D44*E44</f>
        <v>7167.8250000000007</v>
      </c>
      <c r="G44" s="52">
        <f>V!G99</f>
        <v>24.975000000000001</v>
      </c>
      <c r="H44" s="52">
        <f>V!I99</f>
        <v>287</v>
      </c>
      <c r="I44" s="52">
        <f>G44*H44</f>
        <v>7167.8250000000007</v>
      </c>
      <c r="J44" s="53">
        <f>I44-F44</f>
        <v>0</v>
      </c>
      <c r="K44" s="54"/>
      <c r="M44" s="36">
        <f t="shared" si="1"/>
        <v>8959.78125</v>
      </c>
    </row>
    <row r="45" spans="1:13" s="36" customFormat="1" ht="15.75" x14ac:dyDescent="0.25">
      <c r="A45" s="51"/>
      <c r="B45" s="59" t="str">
        <f>estimate!B92</f>
        <v>-13% VAT for material</v>
      </c>
      <c r="C45" s="52"/>
      <c r="D45" s="52"/>
      <c r="E45" s="52"/>
      <c r="F45" s="52">
        <f>estimate!J92</f>
        <v>931.81725000000017</v>
      </c>
      <c r="G45" s="52"/>
      <c r="H45" s="52"/>
      <c r="I45" s="52">
        <f>V!J100</f>
        <v>931.81725000000017</v>
      </c>
      <c r="J45" s="53"/>
      <c r="K45" s="54"/>
    </row>
    <row r="46" spans="1:13" s="36" customFormat="1" x14ac:dyDescent="0.25">
      <c r="A46" s="56"/>
      <c r="B46" s="57"/>
      <c r="C46" s="52"/>
      <c r="D46" s="52"/>
      <c r="E46" s="52"/>
      <c r="F46" s="52"/>
      <c r="G46" s="52"/>
      <c r="H46" s="52"/>
      <c r="I46" s="52"/>
      <c r="J46" s="53"/>
      <c r="K46" s="54"/>
    </row>
    <row r="47" spans="1:13" s="36" customFormat="1" x14ac:dyDescent="0.25">
      <c r="A47" s="51">
        <f>estimate!A94</f>
        <v>9</v>
      </c>
      <c r="B47" s="60" t="str">
        <f>estimate!B94</f>
        <v>Information board (सुचना पाटि)</v>
      </c>
      <c r="C47" s="52" t="str">
        <f>estimate!H94</f>
        <v>no.</v>
      </c>
      <c r="D47" s="52">
        <f>estimate!G94</f>
        <v>1</v>
      </c>
      <c r="E47" s="52">
        <f>estimate!I94</f>
        <v>500</v>
      </c>
      <c r="F47" s="52">
        <f>D47*E47</f>
        <v>500</v>
      </c>
      <c r="G47" s="52">
        <f>V!G102</f>
        <v>1</v>
      </c>
      <c r="H47" s="52">
        <f>V!I102</f>
        <v>500</v>
      </c>
      <c r="I47" s="52">
        <f>G47*H47</f>
        <v>500</v>
      </c>
      <c r="J47" s="53">
        <f>I47-F47</f>
        <v>0</v>
      </c>
      <c r="K47" s="54"/>
    </row>
    <row r="48" spans="1:13" s="36" customFormat="1" x14ac:dyDescent="0.25">
      <c r="A48" s="57"/>
      <c r="B48" s="57"/>
      <c r="C48" s="52"/>
      <c r="D48" s="52"/>
      <c r="E48" s="52"/>
      <c r="F48" s="52"/>
      <c r="G48" s="52"/>
      <c r="H48" s="52"/>
      <c r="I48" s="52"/>
      <c r="J48" s="53"/>
      <c r="K48" s="54"/>
    </row>
    <row r="49" spans="1:11" x14ac:dyDescent="0.25">
      <c r="A49" s="61"/>
      <c r="B49" s="62" t="s">
        <v>20</v>
      </c>
      <c r="C49" s="62"/>
      <c r="D49" s="63"/>
      <c r="E49" s="63"/>
      <c r="F49" s="63">
        <f>SUM(F13:F47)</f>
        <v>786973.54597297299</v>
      </c>
      <c r="G49" s="63"/>
      <c r="H49" s="63"/>
      <c r="I49" s="63">
        <f>SUM(I13:I47)</f>
        <v>789632.08517511096</v>
      </c>
      <c r="J49" s="64">
        <f>I49-F49</f>
        <v>2658.5392021379666</v>
      </c>
      <c r="K49" s="61"/>
    </row>
  </sheetData>
  <mergeCells count="20">
    <mergeCell ref="C6:D6"/>
    <mergeCell ref="J6:K6"/>
    <mergeCell ref="A1:K1"/>
    <mergeCell ref="A2:K2"/>
    <mergeCell ref="A3:K3"/>
    <mergeCell ref="A4:K4"/>
    <mergeCell ref="A5:K5"/>
    <mergeCell ref="F7:G7"/>
    <mergeCell ref="I7:K7"/>
    <mergeCell ref="A8:F8"/>
    <mergeCell ref="I8:K8"/>
    <mergeCell ref="A9:F9"/>
    <mergeCell ref="I9:K9"/>
    <mergeCell ref="K11:K12"/>
    <mergeCell ref="A11:A12"/>
    <mergeCell ref="B11:B12"/>
    <mergeCell ref="C11:C12"/>
    <mergeCell ref="D11:F11"/>
    <mergeCell ref="G11:I11"/>
    <mergeCell ref="J11:J12"/>
  </mergeCells>
  <printOptions horizontalCentered="1"/>
  <pageMargins left="0.7" right="0.7" top="0.75" bottom="0.75" header="0.3" footer="0.3"/>
  <pageSetup scale="80" orientation="landscape" horizontalDpi="300" verticalDpi="300" r:id="rId1"/>
  <headerFooter>
    <oddFooter xml:space="preserve">&amp;LPrepared By:
&amp;CChecked By:
&amp;RApproved By: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43CB5-CED9-4B95-AE26-06DAB5246BB1}">
  <dimension ref="A1:S111"/>
  <sheetViews>
    <sheetView view="pageBreakPreview" zoomScale="95" zoomScaleNormal="90" zoomScaleSheetLayoutView="95" workbookViewId="0">
      <selection activeCell="H8" sqref="H8"/>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customWidth="1"/>
    <col min="10" max="10" width="10.7109375" style="19" bestFit="1" customWidth="1"/>
    <col min="11" max="12" width="9.140625" style="19"/>
    <col min="13" max="16" width="0" style="19" hidden="1" customWidth="1"/>
    <col min="17" max="16384" width="9.140625" style="19"/>
  </cols>
  <sheetData>
    <row r="1" spans="1:18" x14ac:dyDescent="0.25">
      <c r="A1" s="79" t="s">
        <v>0</v>
      </c>
      <c r="B1" s="79"/>
      <c r="C1" s="79"/>
      <c r="D1" s="79"/>
      <c r="E1" s="79"/>
      <c r="F1" s="79"/>
      <c r="G1" s="79"/>
      <c r="H1" s="79"/>
      <c r="I1" s="79"/>
      <c r="J1" s="79"/>
      <c r="K1" s="79"/>
    </row>
    <row r="2" spans="1:18" ht="22.5" x14ac:dyDescent="0.25">
      <c r="A2" s="80" t="s">
        <v>1</v>
      </c>
      <c r="B2" s="80"/>
      <c r="C2" s="80"/>
      <c r="D2" s="80"/>
      <c r="E2" s="80"/>
      <c r="F2" s="80"/>
      <c r="G2" s="80"/>
      <c r="H2" s="80"/>
      <c r="I2" s="80"/>
      <c r="J2" s="80"/>
      <c r="K2" s="80"/>
    </row>
    <row r="3" spans="1:18" x14ac:dyDescent="0.25">
      <c r="A3" s="81" t="s">
        <v>2</v>
      </c>
      <c r="B3" s="81"/>
      <c r="C3" s="81"/>
      <c r="D3" s="81"/>
      <c r="E3" s="81"/>
      <c r="F3" s="81"/>
      <c r="G3" s="81"/>
      <c r="H3" s="81"/>
      <c r="I3" s="81"/>
      <c r="J3" s="81"/>
      <c r="K3" s="81"/>
    </row>
    <row r="4" spans="1:18" x14ac:dyDescent="0.25">
      <c r="A4" s="81" t="s">
        <v>3</v>
      </c>
      <c r="B4" s="81"/>
      <c r="C4" s="81"/>
      <c r="D4" s="81"/>
      <c r="E4" s="81"/>
      <c r="F4" s="81"/>
      <c r="G4" s="81"/>
      <c r="H4" s="81"/>
      <c r="I4" s="81"/>
      <c r="J4" s="81"/>
      <c r="K4" s="81"/>
    </row>
    <row r="5" spans="1:18" ht="18.75" x14ac:dyDescent="0.3">
      <c r="A5" s="82" t="s">
        <v>100</v>
      </c>
      <c r="B5" s="82"/>
      <c r="C5" s="82"/>
      <c r="D5" s="82"/>
      <c r="E5" s="82"/>
      <c r="F5" s="82"/>
      <c r="G5" s="82"/>
      <c r="H5" s="82"/>
      <c r="I5" s="82"/>
      <c r="J5" s="82"/>
      <c r="K5" s="82"/>
    </row>
    <row r="6" spans="1:18" ht="15.75" x14ac:dyDescent="0.25">
      <c r="A6" s="77" t="s">
        <v>79</v>
      </c>
      <c r="B6" s="77"/>
      <c r="C6" s="77"/>
      <c r="D6" s="77"/>
      <c r="E6" s="77"/>
      <c r="F6" s="77"/>
      <c r="G6" s="10"/>
      <c r="H6" s="78" t="s">
        <v>25</v>
      </c>
      <c r="I6" s="78"/>
      <c r="J6" s="78"/>
      <c r="K6" s="78"/>
    </row>
    <row r="7" spans="1:18" ht="15.75" x14ac:dyDescent="0.25">
      <c r="A7" s="72" t="s">
        <v>80</v>
      </c>
      <c r="B7" s="72"/>
      <c r="C7" s="72"/>
      <c r="D7" s="72"/>
      <c r="E7" s="72"/>
      <c r="F7" s="72"/>
      <c r="G7" s="67"/>
      <c r="H7" s="73" t="s">
        <v>101</v>
      </c>
      <c r="I7" s="73"/>
      <c r="J7" s="73"/>
      <c r="K7" s="73"/>
    </row>
    <row r="8" spans="1:18" ht="15.75" x14ac:dyDescent="0.25">
      <c r="A8" s="12" t="s">
        <v>5</v>
      </c>
      <c r="B8" s="13" t="s">
        <v>6</v>
      </c>
      <c r="C8" s="12" t="s">
        <v>7</v>
      </c>
      <c r="D8" s="68" t="s">
        <v>8</v>
      </c>
      <c r="E8" s="68" t="s">
        <v>9</v>
      </c>
      <c r="F8" s="68" t="s">
        <v>10</v>
      </c>
      <c r="G8" s="68" t="s">
        <v>11</v>
      </c>
      <c r="H8" s="12" t="s">
        <v>12</v>
      </c>
      <c r="I8" s="68" t="s">
        <v>13</v>
      </c>
      <c r="J8" s="68" t="s">
        <v>14</v>
      </c>
      <c r="K8" s="15" t="s">
        <v>15</v>
      </c>
    </row>
    <row r="9" spans="1:18" s="36" customFormat="1" ht="45" x14ac:dyDescent="0.25">
      <c r="A9" s="2">
        <v>1</v>
      </c>
      <c r="B9" s="69" t="s">
        <v>35</v>
      </c>
      <c r="C9" s="3" t="s">
        <v>7</v>
      </c>
      <c r="D9" s="40" t="s">
        <v>36</v>
      </c>
      <c r="E9" s="41" t="s">
        <v>37</v>
      </c>
      <c r="F9" s="41" t="s">
        <v>38</v>
      </c>
      <c r="G9" s="41"/>
      <c r="H9" s="7"/>
      <c r="I9" s="6"/>
      <c r="J9" s="42"/>
      <c r="K9" s="5"/>
    </row>
    <row r="10" spans="1:18" s="36" customFormat="1" ht="30" x14ac:dyDescent="0.25">
      <c r="A10" s="16"/>
      <c r="B10" s="43" t="s">
        <v>42</v>
      </c>
      <c r="C10" s="44">
        <f>4</f>
        <v>4</v>
      </c>
      <c r="D10" s="9">
        <f>(12+1)/3.281</f>
        <v>3.9622066443157573</v>
      </c>
      <c r="E10" s="9">
        <v>6.5</v>
      </c>
      <c r="F10" s="9">
        <f t="shared" ref="F10:F31" si="0">PRODUCT(C10:E10)</f>
        <v>103.0173727522097</v>
      </c>
      <c r="G10" s="9">
        <f t="shared" ref="G10:G31" si="1">F10</f>
        <v>103.0173727522097</v>
      </c>
      <c r="H10" s="42"/>
      <c r="I10" s="42"/>
      <c r="J10" s="42"/>
      <c r="K10" s="27"/>
    </row>
    <row r="11" spans="1:18" s="36" customFormat="1" ht="45" x14ac:dyDescent="0.25">
      <c r="A11" s="16"/>
      <c r="B11" s="43" t="s">
        <v>43</v>
      </c>
      <c r="C11" s="44">
        <v>4</v>
      </c>
      <c r="D11" s="9">
        <f>11.5/3.281</f>
        <v>3.5050289545870159</v>
      </c>
      <c r="E11" s="9">
        <v>6.5</v>
      </c>
      <c r="F11" s="9">
        <f t="shared" si="0"/>
        <v>91.130752819262412</v>
      </c>
      <c r="G11" s="9">
        <f t="shared" si="1"/>
        <v>91.130752819262412</v>
      </c>
      <c r="H11" s="42"/>
      <c r="I11" s="42"/>
      <c r="J11" s="42"/>
      <c r="K11" s="27"/>
      <c r="Q11" s="36">
        <f>PRODUCT(C11:D11)</f>
        <v>14.020115818348064</v>
      </c>
      <c r="R11" s="36">
        <f>CONVERT(Q11,"m","ft")</f>
        <v>45.997755309540885</v>
      </c>
    </row>
    <row r="12" spans="1:18" s="36" customFormat="1" ht="45" x14ac:dyDescent="0.25">
      <c r="A12" s="16"/>
      <c r="B12" s="43" t="s">
        <v>44</v>
      </c>
      <c r="C12" s="44">
        <v>2</v>
      </c>
      <c r="D12" s="9">
        <f>11.5/3.281</f>
        <v>3.5050289545870159</v>
      </c>
      <c r="E12" s="9">
        <v>6.5</v>
      </c>
      <c r="F12" s="9">
        <f t="shared" si="0"/>
        <v>45.565376409631206</v>
      </c>
      <c r="G12" s="9">
        <f t="shared" si="1"/>
        <v>45.565376409631206</v>
      </c>
      <c r="H12" s="42"/>
      <c r="I12" s="42"/>
      <c r="J12" s="42"/>
      <c r="K12" s="27"/>
    </row>
    <row r="13" spans="1:18" s="36" customFormat="1" ht="45" x14ac:dyDescent="0.25">
      <c r="A13" s="16"/>
      <c r="B13" s="43" t="s">
        <v>45</v>
      </c>
      <c r="C13" s="44">
        <v>4</v>
      </c>
      <c r="D13" s="9">
        <v>1.5</v>
      </c>
      <c r="E13" s="9">
        <v>6.5</v>
      </c>
      <c r="F13" s="9">
        <f t="shared" si="0"/>
        <v>39</v>
      </c>
      <c r="G13" s="9">
        <f t="shared" si="1"/>
        <v>39</v>
      </c>
      <c r="H13" s="42"/>
      <c r="I13" s="42"/>
      <c r="J13" s="42"/>
      <c r="K13" s="27"/>
    </row>
    <row r="14" spans="1:18" s="36" customFormat="1" x14ac:dyDescent="0.25">
      <c r="A14" s="16"/>
      <c r="B14" s="43"/>
      <c r="C14" s="44">
        <v>1</v>
      </c>
      <c r="D14" s="9">
        <f>0.45</f>
        <v>0.45</v>
      </c>
      <c r="E14" s="9">
        <v>6.5</v>
      </c>
      <c r="F14" s="9">
        <f t="shared" ref="F14" si="2">PRODUCT(C14:E14)</f>
        <v>2.9250000000000003</v>
      </c>
      <c r="G14" s="9">
        <f t="shared" ref="G14" si="3">F14</f>
        <v>2.9250000000000003</v>
      </c>
      <c r="H14" s="42"/>
      <c r="I14" s="42"/>
      <c r="J14" s="42"/>
      <c r="K14" s="27"/>
    </row>
    <row r="15" spans="1:18" s="36" customFormat="1" ht="45" x14ac:dyDescent="0.25">
      <c r="A15" s="16"/>
      <c r="B15" s="43" t="s">
        <v>46</v>
      </c>
      <c r="C15" s="44">
        <v>2</v>
      </c>
      <c r="D15" s="9">
        <f>9/3.281</f>
        <v>2.7430661383724475</v>
      </c>
      <c r="E15" s="9">
        <v>4.43</v>
      </c>
      <c r="F15" s="9">
        <f t="shared" si="0"/>
        <v>24.303565985979883</v>
      </c>
      <c r="G15" s="9">
        <f t="shared" si="1"/>
        <v>24.303565985979883</v>
      </c>
      <c r="H15" s="42"/>
      <c r="I15" s="42"/>
      <c r="J15" s="42"/>
      <c r="K15" s="27"/>
    </row>
    <row r="16" spans="1:18" s="36" customFormat="1" ht="45" x14ac:dyDescent="0.25">
      <c r="A16" s="16"/>
      <c r="B16" s="43" t="s">
        <v>47</v>
      </c>
      <c r="C16" s="44">
        <v>4</v>
      </c>
      <c r="D16" s="9">
        <f>5.75/3.281</f>
        <v>1.752514477293508</v>
      </c>
      <c r="E16" s="9">
        <v>4.43</v>
      </c>
      <c r="F16" s="9">
        <f t="shared" si="0"/>
        <v>31.054556537640959</v>
      </c>
      <c r="G16" s="9">
        <f t="shared" si="1"/>
        <v>31.054556537640959</v>
      </c>
      <c r="H16" s="42"/>
      <c r="I16" s="42"/>
      <c r="J16" s="42"/>
      <c r="K16" s="27"/>
    </row>
    <row r="17" spans="1:11" s="36" customFormat="1" x14ac:dyDescent="0.25">
      <c r="A17" s="16"/>
      <c r="B17" s="43"/>
      <c r="C17" s="44">
        <v>4</v>
      </c>
      <c r="D17" s="9">
        <f>77/12/3.281</f>
        <v>1.9557045616173931</v>
      </c>
      <c r="E17" s="9">
        <v>4.43</v>
      </c>
      <c r="F17" s="9">
        <f t="shared" ref="F17" si="4">PRODUCT(C17:E17)</f>
        <v>34.655084831860208</v>
      </c>
      <c r="G17" s="9">
        <f t="shared" ref="G17" si="5">F17</f>
        <v>34.655084831860208</v>
      </c>
      <c r="H17" s="42"/>
      <c r="I17" s="42"/>
      <c r="J17" s="42"/>
      <c r="K17" s="27"/>
    </row>
    <row r="18" spans="1:11" s="36" customFormat="1" ht="45" x14ac:dyDescent="0.25">
      <c r="A18" s="16"/>
      <c r="B18" s="43" t="s">
        <v>48</v>
      </c>
      <c r="C18" s="44">
        <f>4</f>
        <v>4</v>
      </c>
      <c r="D18" s="9">
        <f>10.67/3.281</f>
        <v>3.2520572996037793</v>
      </c>
      <c r="E18" s="9">
        <v>4.43</v>
      </c>
      <c r="F18" s="9">
        <f t="shared" si="0"/>
        <v>57.626455348978965</v>
      </c>
      <c r="G18" s="9">
        <f t="shared" si="1"/>
        <v>57.626455348978965</v>
      </c>
      <c r="H18" s="42"/>
      <c r="I18" s="42"/>
      <c r="J18" s="42"/>
      <c r="K18" s="27"/>
    </row>
    <row r="19" spans="1:11" s="36" customFormat="1" x14ac:dyDescent="0.25">
      <c r="A19" s="16"/>
      <c r="B19" s="43"/>
      <c r="C19" s="44">
        <f>4</f>
        <v>4</v>
      </c>
      <c r="D19" s="9">
        <f>15/3.281</f>
        <v>4.5717768972874122</v>
      </c>
      <c r="E19" s="9">
        <v>4.43</v>
      </c>
      <c r="F19" s="9">
        <f t="shared" si="0"/>
        <v>81.011886619932937</v>
      </c>
      <c r="G19" s="9">
        <f t="shared" si="1"/>
        <v>81.011886619932937</v>
      </c>
      <c r="H19" s="42"/>
      <c r="I19" s="42"/>
      <c r="J19" s="42"/>
      <c r="K19" s="27"/>
    </row>
    <row r="20" spans="1:11" s="36" customFormat="1" ht="45" x14ac:dyDescent="0.25">
      <c r="A20" s="16"/>
      <c r="B20" s="43" t="s">
        <v>49</v>
      </c>
      <c r="C20" s="44">
        <f>4*1</f>
        <v>4</v>
      </c>
      <c r="D20" s="9">
        <f>6.42/3.281</f>
        <v>1.9567205120390123</v>
      </c>
      <c r="E20" s="9">
        <v>4.43</v>
      </c>
      <c r="F20" s="9">
        <f t="shared" si="0"/>
        <v>34.673087473331293</v>
      </c>
      <c r="G20" s="9">
        <f t="shared" si="1"/>
        <v>34.673087473331293</v>
      </c>
      <c r="H20" s="42"/>
      <c r="I20" s="42"/>
      <c r="J20" s="42"/>
      <c r="K20" s="27"/>
    </row>
    <row r="21" spans="1:11" s="36" customFormat="1" x14ac:dyDescent="0.25">
      <c r="A21" s="16"/>
      <c r="B21" s="43"/>
      <c r="C21" s="44">
        <f>4*2</f>
        <v>8</v>
      </c>
      <c r="D21" s="9">
        <f>6.42/3.281</f>
        <v>1.9567205120390123</v>
      </c>
      <c r="E21" s="9">
        <v>4.43</v>
      </c>
      <c r="F21" s="9">
        <f t="shared" ref="F21" si="6">PRODUCT(C21:E21)</f>
        <v>69.346174946662586</v>
      </c>
      <c r="G21" s="9">
        <f t="shared" ref="G21" si="7">F21</f>
        <v>69.346174946662586</v>
      </c>
      <c r="H21" s="42"/>
      <c r="I21" s="42"/>
      <c r="J21" s="42"/>
      <c r="K21" s="27"/>
    </row>
    <row r="22" spans="1:11" s="36" customFormat="1" ht="45" x14ac:dyDescent="0.25">
      <c r="A22" s="16"/>
      <c r="B22" s="43" t="s">
        <v>50</v>
      </c>
      <c r="C22" s="44">
        <v>4</v>
      </c>
      <c r="D22" s="9">
        <f>8/12/3.281</f>
        <v>0.20319008432388497</v>
      </c>
      <c r="E22" s="9">
        <v>4.43</v>
      </c>
      <c r="F22" s="9">
        <f t="shared" si="0"/>
        <v>3.6005282942192416</v>
      </c>
      <c r="G22" s="9">
        <f t="shared" si="1"/>
        <v>3.6005282942192416</v>
      </c>
      <c r="H22" s="42"/>
      <c r="I22" s="42"/>
      <c r="J22" s="42"/>
      <c r="K22" s="27"/>
    </row>
    <row r="23" spans="1:11" s="36" customFormat="1" x14ac:dyDescent="0.25">
      <c r="A23" s="16"/>
      <c r="B23" s="43"/>
      <c r="C23" s="44">
        <v>4</v>
      </c>
      <c r="D23" s="9">
        <f>54/12/3.281</f>
        <v>1.3715330691862238</v>
      </c>
      <c r="E23" s="9">
        <v>4.43</v>
      </c>
      <c r="F23" s="9">
        <f t="shared" si="0"/>
        <v>24.303565985979883</v>
      </c>
      <c r="G23" s="9">
        <f t="shared" si="1"/>
        <v>24.303565985979883</v>
      </c>
      <c r="H23" s="42"/>
      <c r="I23" s="42"/>
      <c r="J23" s="42"/>
      <c r="K23" s="27"/>
    </row>
    <row r="24" spans="1:11" s="36" customFormat="1" x14ac:dyDescent="0.25">
      <c r="A24" s="16"/>
      <c r="B24" s="43"/>
      <c r="C24" s="44">
        <v>4</v>
      </c>
      <c r="D24" s="9">
        <f>105/12/3.281</f>
        <v>2.6668698567509903</v>
      </c>
      <c r="E24" s="9">
        <v>4.43</v>
      </c>
      <c r="F24" s="9">
        <f t="shared" ref="F24" si="8">PRODUCT(C24:E24)</f>
        <v>47.256933861627545</v>
      </c>
      <c r="G24" s="9">
        <f t="shared" ref="G24" si="9">F24</f>
        <v>47.256933861627545</v>
      </c>
      <c r="H24" s="42"/>
      <c r="I24" s="42"/>
      <c r="J24" s="42"/>
      <c r="K24" s="27"/>
    </row>
    <row r="25" spans="1:11" s="36" customFormat="1" ht="45" x14ac:dyDescent="0.25">
      <c r="A25" s="16"/>
      <c r="B25" s="43" t="s">
        <v>51</v>
      </c>
      <c r="C25" s="44">
        <v>4</v>
      </c>
      <c r="D25" s="9">
        <f>75/12/3.281</f>
        <v>1.9049070405364217</v>
      </c>
      <c r="E25" s="9">
        <v>4.43</v>
      </c>
      <c r="F25" s="9">
        <f t="shared" si="0"/>
        <v>33.754952758305393</v>
      </c>
      <c r="G25" s="9">
        <f t="shared" si="1"/>
        <v>33.754952758305393</v>
      </c>
      <c r="H25" s="42"/>
      <c r="I25" s="42"/>
      <c r="J25" s="42"/>
      <c r="K25" s="27"/>
    </row>
    <row r="26" spans="1:11" s="36" customFormat="1" x14ac:dyDescent="0.25">
      <c r="A26" s="16"/>
      <c r="B26" s="43"/>
      <c r="C26" s="44">
        <f>4*2</f>
        <v>8</v>
      </c>
      <c r="D26" s="9">
        <f>(36+37)/12/3.281</f>
        <v>1.8541095194554504</v>
      </c>
      <c r="E26" s="9">
        <v>4.43</v>
      </c>
      <c r="F26" s="9">
        <f t="shared" ref="F26" si="10">PRODUCT(C26:E26)</f>
        <v>65.709641369501156</v>
      </c>
      <c r="G26" s="9">
        <f t="shared" ref="G26" si="11">F26</f>
        <v>65.709641369501156</v>
      </c>
      <c r="H26" s="42"/>
      <c r="I26" s="42"/>
      <c r="J26" s="42"/>
      <c r="K26" s="27"/>
    </row>
    <row r="27" spans="1:11" s="36" customFormat="1" ht="45" x14ac:dyDescent="0.25">
      <c r="A27" s="16"/>
      <c r="B27" s="43" t="s">
        <v>70</v>
      </c>
      <c r="C27" s="44">
        <v>1</v>
      </c>
      <c r="D27" s="9">
        <f>6/3.281</f>
        <v>1.8287107589149649</v>
      </c>
      <c r="E27" s="9">
        <v>3.01</v>
      </c>
      <c r="F27" s="9">
        <f t="shared" si="0"/>
        <v>5.5044193843340441</v>
      </c>
      <c r="G27" s="9">
        <f t="shared" si="1"/>
        <v>5.5044193843340441</v>
      </c>
      <c r="H27" s="42"/>
      <c r="I27" s="42"/>
      <c r="J27" s="42"/>
      <c r="K27" s="27"/>
    </row>
    <row r="28" spans="1:11" s="36" customFormat="1" x14ac:dyDescent="0.25">
      <c r="A28" s="16"/>
      <c r="B28" s="43"/>
      <c r="C28" s="44">
        <v>4</v>
      </c>
      <c r="D28" s="9">
        <v>1.5</v>
      </c>
      <c r="E28" s="9">
        <v>3.01</v>
      </c>
      <c r="F28" s="9">
        <f t="shared" si="0"/>
        <v>18.059999999999999</v>
      </c>
      <c r="G28" s="9">
        <f t="shared" si="1"/>
        <v>18.059999999999999</v>
      </c>
      <c r="H28" s="42"/>
      <c r="I28" s="42"/>
      <c r="J28" s="42"/>
      <c r="K28" s="27"/>
    </row>
    <row r="29" spans="1:11" s="36" customFormat="1" ht="30" x14ac:dyDescent="0.25">
      <c r="A29" s="16"/>
      <c r="B29" s="43" t="s">
        <v>98</v>
      </c>
      <c r="C29" s="44">
        <v>1</v>
      </c>
      <c r="D29" s="9">
        <f>(7+65/12+76/12+74/12+6)/3.281</f>
        <v>9.4229401605201666</v>
      </c>
      <c r="E29" s="9">
        <v>2.2599999999999998</v>
      </c>
      <c r="F29" s="9">
        <f t="shared" si="0"/>
        <v>21.295844762775573</v>
      </c>
      <c r="G29" s="9">
        <f t="shared" si="1"/>
        <v>21.295844762775573</v>
      </c>
      <c r="H29" s="42"/>
      <c r="I29" s="42"/>
      <c r="J29" s="42"/>
      <c r="K29" s="27"/>
    </row>
    <row r="30" spans="1:11" s="36" customFormat="1" x14ac:dyDescent="0.25">
      <c r="A30" s="16"/>
      <c r="B30" s="43"/>
      <c r="C30" s="44">
        <v>2</v>
      </c>
      <c r="D30" s="9">
        <f>(69+72+75+64+82)/12/3.281</f>
        <v>9.1943513156557959</v>
      </c>
      <c r="E30" s="9">
        <v>2.2599999999999998</v>
      </c>
      <c r="F30" s="9">
        <f t="shared" si="0"/>
        <v>41.558467946764196</v>
      </c>
      <c r="G30" s="9">
        <f t="shared" si="1"/>
        <v>41.558467946764196</v>
      </c>
      <c r="H30" s="42"/>
      <c r="I30" s="42"/>
      <c r="J30" s="42"/>
      <c r="K30" s="27"/>
    </row>
    <row r="31" spans="1:11" s="36" customFormat="1" x14ac:dyDescent="0.25">
      <c r="A31" s="16"/>
      <c r="B31" s="43"/>
      <c r="C31" s="44">
        <v>1</v>
      </c>
      <c r="D31" s="9">
        <f>82/12/3.281</f>
        <v>2.0826983643198211</v>
      </c>
      <c r="E31" s="9">
        <v>2.2599999999999998</v>
      </c>
      <c r="F31" s="9">
        <f t="shared" si="0"/>
        <v>4.7068983033627951</v>
      </c>
      <c r="G31" s="9">
        <f t="shared" si="1"/>
        <v>4.7068983033627951</v>
      </c>
      <c r="H31" s="42"/>
      <c r="I31" s="42"/>
      <c r="J31" s="42"/>
      <c r="K31" s="27"/>
    </row>
    <row r="32" spans="1:11" s="36" customFormat="1" x14ac:dyDescent="0.25">
      <c r="A32" s="2"/>
      <c r="B32" s="43" t="s">
        <v>39</v>
      </c>
      <c r="C32" s="3"/>
      <c r="D32" s="4"/>
      <c r="E32" s="5"/>
      <c r="F32" s="5"/>
      <c r="G32" s="42">
        <f>SUM(G10:G31)</f>
        <v>880.06056639235987</v>
      </c>
      <c r="H32" s="7" t="s">
        <v>40</v>
      </c>
      <c r="I32" s="6">
        <v>182.51</v>
      </c>
      <c r="J32" s="42">
        <f>G32*I32</f>
        <v>160619.8539722696</v>
      </c>
      <c r="K32" s="5"/>
    </row>
    <row r="33" spans="1:18" s="36" customFormat="1" x14ac:dyDescent="0.25">
      <c r="A33" s="2"/>
      <c r="B33" s="43" t="s">
        <v>41</v>
      </c>
      <c r="C33" s="3"/>
      <c r="D33" s="4"/>
      <c r="E33" s="5"/>
      <c r="F33" s="5"/>
      <c r="G33" s="42"/>
      <c r="H33" s="7"/>
      <c r="I33" s="6"/>
      <c r="J33" s="42">
        <f>0.13*G32*(1871.42/18.94)</f>
        <v>11304.391915023165</v>
      </c>
      <c r="K33" s="5"/>
    </row>
    <row r="34" spans="1:18" s="36" customFormat="1" x14ac:dyDescent="0.25">
      <c r="A34" s="2"/>
      <c r="B34" s="43"/>
      <c r="C34" s="3"/>
      <c r="D34" s="4"/>
      <c r="E34" s="5"/>
      <c r="F34" s="5"/>
      <c r="G34" s="42"/>
      <c r="H34" s="7"/>
      <c r="I34" s="6"/>
      <c r="J34" s="42"/>
      <c r="K34" s="5"/>
      <c r="R34" s="96"/>
    </row>
    <row r="35" spans="1:18" s="36" customFormat="1" ht="30" x14ac:dyDescent="0.25">
      <c r="A35" s="2">
        <v>2</v>
      </c>
      <c r="B35" s="39" t="s">
        <v>59</v>
      </c>
      <c r="C35" s="3"/>
      <c r="D35" s="4"/>
      <c r="E35" s="5"/>
      <c r="F35" s="5"/>
      <c r="G35" s="42"/>
      <c r="H35" s="7"/>
      <c r="I35" s="6"/>
      <c r="J35" s="42"/>
      <c r="K35" s="5"/>
      <c r="R35" s="96"/>
    </row>
    <row r="36" spans="1:18" s="36" customFormat="1" x14ac:dyDescent="0.25">
      <c r="A36" s="2"/>
      <c r="B36" s="43" t="s">
        <v>52</v>
      </c>
      <c r="C36" s="3">
        <v>4</v>
      </c>
      <c r="D36" s="4">
        <f>(15+6)/2/3.281</f>
        <v>3.2002438281011885</v>
      </c>
      <c r="E36" s="5">
        <f>5.583/3.281</f>
        <v>1.7016153611703748</v>
      </c>
      <c r="F36" s="5"/>
      <c r="G36" s="33">
        <f t="shared" ref="G36:G37" si="12">PRODUCT(C36:F36)</f>
        <v>21.782336229550666</v>
      </c>
      <c r="H36" s="7"/>
      <c r="I36" s="6"/>
      <c r="J36" s="42"/>
      <c r="K36" s="5"/>
    </row>
    <row r="37" spans="1:18" s="36" customFormat="1" x14ac:dyDescent="0.25">
      <c r="A37" s="2"/>
      <c r="B37" s="43" t="s">
        <v>53</v>
      </c>
      <c r="C37" s="3">
        <v>4</v>
      </c>
      <c r="D37" s="4">
        <f>5/3.281</f>
        <v>1.5239256324291375</v>
      </c>
      <c r="E37" s="5">
        <f>5.583/3.281</f>
        <v>1.7016153611703748</v>
      </c>
      <c r="F37" s="5"/>
      <c r="G37" s="33">
        <f t="shared" si="12"/>
        <v>10.372541061690795</v>
      </c>
      <c r="H37" s="7"/>
      <c r="I37" s="6"/>
      <c r="J37" s="42"/>
      <c r="K37" s="5"/>
    </row>
    <row r="38" spans="1:18" s="36" customFormat="1" x14ac:dyDescent="0.25">
      <c r="A38" s="2"/>
      <c r="B38" s="43" t="s">
        <v>39</v>
      </c>
      <c r="C38" s="3"/>
      <c r="D38" s="4"/>
      <c r="E38" s="5"/>
      <c r="F38" s="5"/>
      <c r="G38" s="42">
        <f>SUM(G36:G37)</f>
        <v>32.154877291241462</v>
      </c>
      <c r="H38" s="7" t="s">
        <v>54</v>
      </c>
      <c r="I38" s="6">
        <v>1112.58</v>
      </c>
      <c r="J38" s="42">
        <f>G38*I38</f>
        <v>35774.873376689422</v>
      </c>
      <c r="K38" s="5"/>
    </row>
    <row r="39" spans="1:18" x14ac:dyDescent="0.25">
      <c r="A39" s="16"/>
      <c r="B39" s="32" t="s">
        <v>55</v>
      </c>
      <c r="C39" s="17"/>
      <c r="D39" s="17"/>
      <c r="E39" s="17"/>
      <c r="F39" s="17"/>
      <c r="G39" s="17"/>
      <c r="H39" s="17"/>
      <c r="I39" s="17"/>
      <c r="J39" s="18">
        <f>0.13*G38*7050.67/10</f>
        <v>2947.2745727234869</v>
      </c>
      <c r="K39" s="17"/>
    </row>
    <row r="40" spans="1:18" x14ac:dyDescent="0.25">
      <c r="A40" s="16"/>
      <c r="B40" s="32" t="s">
        <v>56</v>
      </c>
      <c r="C40" s="17"/>
      <c r="D40" s="17"/>
      <c r="E40" s="17"/>
      <c r="F40" s="17"/>
      <c r="G40" s="17"/>
      <c r="H40" s="17"/>
      <c r="I40" s="17"/>
      <c r="J40" s="18">
        <f>0.13*G38*1023.75/10</f>
        <v>427.94122314980984</v>
      </c>
      <c r="K40" s="17"/>
    </row>
    <row r="41" spans="1:18" x14ac:dyDescent="0.25">
      <c r="A41" s="16"/>
      <c r="B41" s="32" t="s">
        <v>57</v>
      </c>
      <c r="C41" s="17"/>
      <c r="D41" s="17"/>
      <c r="E41" s="17"/>
      <c r="F41" s="17"/>
      <c r="G41" s="17"/>
      <c r="H41" s="17"/>
      <c r="I41" s="17"/>
      <c r="J41" s="18">
        <f>0.13*G38*348.21/10</f>
        <v>145.55644768058147</v>
      </c>
      <c r="K41" s="17"/>
    </row>
    <row r="42" spans="1:18" x14ac:dyDescent="0.25">
      <c r="A42" s="16"/>
      <c r="B42" s="32" t="s">
        <v>58</v>
      </c>
      <c r="C42" s="17"/>
      <c r="D42" s="17"/>
      <c r="E42" s="17"/>
      <c r="F42" s="17"/>
      <c r="G42" s="17"/>
      <c r="H42" s="17"/>
      <c r="I42" s="17"/>
      <c r="J42" s="18">
        <f>0.13*G38*165/10</f>
        <v>68.972211789712929</v>
      </c>
      <c r="K42" s="17"/>
    </row>
    <row r="43" spans="1:18" x14ac:dyDescent="0.25">
      <c r="A43" s="16"/>
      <c r="B43" s="32"/>
      <c r="C43" s="17"/>
      <c r="D43" s="17"/>
      <c r="E43" s="17"/>
      <c r="F43" s="17"/>
      <c r="G43" s="17"/>
      <c r="H43" s="17"/>
      <c r="I43" s="17"/>
      <c r="J43" s="18"/>
      <c r="K43" s="17"/>
    </row>
    <row r="44" spans="1:18" ht="150" x14ac:dyDescent="0.25">
      <c r="A44" s="16">
        <v>3</v>
      </c>
      <c r="B44" s="45" t="s">
        <v>60</v>
      </c>
      <c r="C44" s="17"/>
      <c r="D44" s="17"/>
      <c r="E44" s="17"/>
      <c r="F44" s="17"/>
      <c r="G44" s="17"/>
      <c r="H44" s="17"/>
      <c r="I44" s="17"/>
      <c r="J44" s="18"/>
      <c r="K44" s="17"/>
    </row>
    <row r="45" spans="1:18" x14ac:dyDescent="0.25">
      <c r="A45" s="16"/>
      <c r="B45" s="32" t="s">
        <v>61</v>
      </c>
      <c r="C45" s="17">
        <v>1</v>
      </c>
      <c r="D45" s="33">
        <f>D54</f>
        <v>9.5245352026821095</v>
      </c>
      <c r="E45" s="17">
        <f>E54</f>
        <v>1.7375</v>
      </c>
      <c r="F45" s="33">
        <v>0.9</v>
      </c>
      <c r="G45" s="33">
        <f t="shared" ref="G45:G49" si="13">PRODUCT(C45:F45)</f>
        <v>14.89399192319415</v>
      </c>
      <c r="H45" s="17"/>
      <c r="I45" s="17"/>
      <c r="J45" s="18"/>
      <c r="K45" s="17"/>
    </row>
    <row r="46" spans="1:18" x14ac:dyDescent="0.25">
      <c r="A46" s="16"/>
      <c r="B46" s="32"/>
      <c r="C46" s="17">
        <v>1</v>
      </c>
      <c r="D46" s="33">
        <f>D55</f>
        <v>7.8229198415117347</v>
      </c>
      <c r="E46" s="33">
        <f>E55</f>
        <v>0.95</v>
      </c>
      <c r="F46" s="17">
        <v>0.75</v>
      </c>
      <c r="G46" s="33">
        <f t="shared" si="13"/>
        <v>5.5738303870771109</v>
      </c>
      <c r="H46" s="17"/>
      <c r="I46" s="17"/>
      <c r="J46" s="18"/>
      <c r="K46" s="17"/>
    </row>
    <row r="47" spans="1:18" x14ac:dyDescent="0.25">
      <c r="A47" s="16"/>
      <c r="B47" s="32" t="s">
        <v>65</v>
      </c>
      <c r="C47" s="17">
        <v>4</v>
      </c>
      <c r="D47" s="33">
        <v>0.6</v>
      </c>
      <c r="E47" s="33">
        <v>0.6</v>
      </c>
      <c r="F47" s="17">
        <v>0.45</v>
      </c>
      <c r="G47" s="33">
        <f t="shared" si="13"/>
        <v>0.64800000000000002</v>
      </c>
      <c r="H47" s="17"/>
      <c r="I47" s="17"/>
      <c r="J47" s="18"/>
      <c r="K47" s="17"/>
    </row>
    <row r="48" spans="1:18" x14ac:dyDescent="0.25">
      <c r="A48" s="16"/>
      <c r="B48" s="32" t="s">
        <v>66</v>
      </c>
      <c r="C48" s="17">
        <v>4</v>
      </c>
      <c r="D48" s="33">
        <f>10.25/3.281</f>
        <v>3.1240475464797317</v>
      </c>
      <c r="E48" s="17">
        <v>0.45</v>
      </c>
      <c r="F48" s="33">
        <v>0.3</v>
      </c>
      <c r="G48" s="33">
        <f t="shared" si="13"/>
        <v>1.6869856750990553</v>
      </c>
      <c r="H48" s="17"/>
      <c r="I48" s="17"/>
      <c r="J48" s="18"/>
      <c r="K48" s="17"/>
    </row>
    <row r="49" spans="1:11" x14ac:dyDescent="0.25">
      <c r="A49" s="16"/>
      <c r="B49" s="32" t="s">
        <v>72</v>
      </c>
      <c r="C49" s="17">
        <v>5</v>
      </c>
      <c r="D49" s="33">
        <v>0.23</v>
      </c>
      <c r="E49" s="33">
        <v>0.23</v>
      </c>
      <c r="F49" s="33">
        <v>0.3</v>
      </c>
      <c r="G49" s="33">
        <f t="shared" si="13"/>
        <v>7.9350000000000018E-2</v>
      </c>
      <c r="H49" s="17"/>
      <c r="I49" s="17"/>
      <c r="J49" s="18"/>
      <c r="K49" s="17"/>
    </row>
    <row r="50" spans="1:11" s="36" customFormat="1" x14ac:dyDescent="0.25">
      <c r="A50" s="2"/>
      <c r="B50" s="43" t="s">
        <v>39</v>
      </c>
      <c r="C50" s="3"/>
      <c r="D50" s="4"/>
      <c r="E50" s="5"/>
      <c r="F50" s="5"/>
      <c r="G50" s="42">
        <f>SUM(G45:G49)</f>
        <v>22.882157985370316</v>
      </c>
      <c r="H50" s="7" t="s">
        <v>63</v>
      </c>
      <c r="I50" s="6">
        <v>62.95</v>
      </c>
      <c r="J50" s="42">
        <f>G50*I50</f>
        <v>1440.4318451790614</v>
      </c>
      <c r="K50" s="5"/>
    </row>
    <row r="51" spans="1:11" x14ac:dyDescent="0.25">
      <c r="A51" s="16"/>
      <c r="B51" s="32" t="s">
        <v>62</v>
      </c>
      <c r="C51" s="17"/>
      <c r="D51" s="17"/>
      <c r="E51" s="17"/>
      <c r="F51" s="17"/>
      <c r="G51" s="17"/>
      <c r="H51" s="17"/>
      <c r="I51" s="17"/>
      <c r="J51" s="18">
        <f>0.13*G50*18612/360</f>
        <v>153.7909838196739</v>
      </c>
      <c r="K51" s="17"/>
    </row>
    <row r="52" spans="1:11" x14ac:dyDescent="0.25">
      <c r="A52" s="16"/>
      <c r="B52" s="32"/>
      <c r="C52" s="17"/>
      <c r="D52" s="17"/>
      <c r="E52" s="17"/>
      <c r="F52" s="17"/>
      <c r="G52" s="17"/>
      <c r="H52" s="17"/>
      <c r="I52" s="17"/>
      <c r="J52" s="18"/>
      <c r="K52" s="17"/>
    </row>
    <row r="53" spans="1:11" ht="105" x14ac:dyDescent="0.25">
      <c r="A53" s="16">
        <v>4</v>
      </c>
      <c r="B53" s="45" t="s">
        <v>26</v>
      </c>
      <c r="C53" s="17"/>
      <c r="D53" s="17"/>
      <c r="E53" s="17"/>
      <c r="F53" s="17"/>
      <c r="G53" s="17"/>
      <c r="H53" s="17"/>
      <c r="I53" s="17"/>
      <c r="J53" s="18"/>
      <c r="K53" s="17"/>
    </row>
    <row r="54" spans="1:11" x14ac:dyDescent="0.25">
      <c r="A54" s="16"/>
      <c r="B54" s="32" t="s">
        <v>61</v>
      </c>
      <c r="C54" s="17">
        <v>1</v>
      </c>
      <c r="D54" s="33">
        <f>D65</f>
        <v>9.5245352026821095</v>
      </c>
      <c r="E54" s="17">
        <f>E65</f>
        <v>1.7375</v>
      </c>
      <c r="F54" s="17">
        <v>0.15</v>
      </c>
      <c r="G54" s="33">
        <f t="shared" ref="G54:G60" si="14">PRODUCT(C54:F54)</f>
        <v>2.4823319871990246</v>
      </c>
      <c r="H54" s="17"/>
      <c r="I54" s="17"/>
      <c r="J54" s="18"/>
      <c r="K54" s="17"/>
    </row>
    <row r="55" spans="1:11" x14ac:dyDescent="0.25">
      <c r="A55" s="16"/>
      <c r="B55" s="32"/>
      <c r="C55" s="17">
        <v>1</v>
      </c>
      <c r="D55" s="33">
        <f>D67</f>
        <v>7.8229198415117347</v>
      </c>
      <c r="E55" s="33">
        <f>E67</f>
        <v>0.95</v>
      </c>
      <c r="F55" s="17">
        <v>0.15</v>
      </c>
      <c r="G55" s="33">
        <f t="shared" si="14"/>
        <v>1.1147660774154222</v>
      </c>
      <c r="H55" s="17"/>
      <c r="I55" s="17"/>
      <c r="J55" s="18"/>
      <c r="K55" s="17"/>
    </row>
    <row r="56" spans="1:11" x14ac:dyDescent="0.25">
      <c r="A56" s="16"/>
      <c r="B56" s="32" t="str">
        <f>B47</f>
        <v>-for footing of vertical post</v>
      </c>
      <c r="C56" s="17">
        <f>C47</f>
        <v>4</v>
      </c>
      <c r="D56" s="33">
        <v>0.45</v>
      </c>
      <c r="E56" s="17">
        <v>0.45</v>
      </c>
      <c r="F56" s="17">
        <v>0.15</v>
      </c>
      <c r="G56" s="33">
        <f t="shared" si="14"/>
        <v>0.1215</v>
      </c>
      <c r="H56" s="17"/>
      <c r="I56" s="17"/>
      <c r="J56" s="18"/>
      <c r="K56" s="17"/>
    </row>
    <row r="57" spans="1:11" x14ac:dyDescent="0.25">
      <c r="A57" s="16"/>
      <c r="B57" s="32" t="str">
        <f>B48</f>
        <v>-for plinth level</v>
      </c>
      <c r="C57" s="17">
        <f>C48</f>
        <v>4</v>
      </c>
      <c r="D57" s="33">
        <f>11.17/3.281</f>
        <v>3.4044498628466928</v>
      </c>
      <c r="E57" s="17">
        <v>0.45</v>
      </c>
      <c r="F57" s="17">
        <v>0.15</v>
      </c>
      <c r="G57" s="33">
        <f t="shared" si="14"/>
        <v>0.91920146296860705</v>
      </c>
      <c r="H57" s="17"/>
      <c r="I57" s="17"/>
      <c r="J57" s="18"/>
      <c r="K57" s="17"/>
    </row>
    <row r="58" spans="1:11" x14ac:dyDescent="0.25">
      <c r="A58" s="16"/>
      <c r="B58" s="32"/>
      <c r="C58" s="17">
        <v>1</v>
      </c>
      <c r="D58" s="33">
        <f>11.17/3.281</f>
        <v>3.4044498628466928</v>
      </c>
      <c r="E58" s="33">
        <f>11.17/3.281</f>
        <v>3.4044498628466928</v>
      </c>
      <c r="F58" s="17">
        <v>0.15</v>
      </c>
      <c r="G58" s="33">
        <f t="shared" si="14"/>
        <v>1.7385418302955298</v>
      </c>
      <c r="H58" s="17"/>
      <c r="I58" s="17"/>
      <c r="J58" s="18"/>
      <c r="K58" s="17"/>
    </row>
    <row r="59" spans="1:11" x14ac:dyDescent="0.25">
      <c r="A59" s="16"/>
      <c r="B59" s="32" t="s">
        <v>67</v>
      </c>
      <c r="C59" s="17">
        <v>-1</v>
      </c>
      <c r="D59" s="33">
        <v>1.5</v>
      </c>
      <c r="E59" s="33">
        <v>1.8</v>
      </c>
      <c r="F59" s="17">
        <v>0.15</v>
      </c>
      <c r="G59" s="33">
        <f t="shared" si="14"/>
        <v>-0.40500000000000003</v>
      </c>
      <c r="H59" s="17"/>
      <c r="I59" s="17"/>
      <c r="J59" s="18"/>
      <c r="K59" s="17"/>
    </row>
    <row r="60" spans="1:11" x14ac:dyDescent="0.25">
      <c r="A60" s="16"/>
      <c r="B60" s="32" t="str">
        <f>B49</f>
        <v>-for railing</v>
      </c>
      <c r="C60" s="17">
        <v>5</v>
      </c>
      <c r="D60" s="33">
        <f>D49</f>
        <v>0.23</v>
      </c>
      <c r="E60" s="33">
        <f>E49</f>
        <v>0.23</v>
      </c>
      <c r="F60" s="17">
        <v>0.15</v>
      </c>
      <c r="G60" s="33">
        <f t="shared" si="14"/>
        <v>3.9675000000000009E-2</v>
      </c>
      <c r="H60" s="17"/>
      <c r="I60" s="17"/>
      <c r="J60" s="18"/>
      <c r="K60" s="17"/>
    </row>
    <row r="61" spans="1:11" s="36" customFormat="1" x14ac:dyDescent="0.25">
      <c r="A61" s="2"/>
      <c r="B61" s="43" t="s">
        <v>39</v>
      </c>
      <c r="C61" s="3"/>
      <c r="D61" s="4"/>
      <c r="E61" s="5"/>
      <c r="F61" s="5"/>
      <c r="G61" s="42">
        <f>SUM(G54:G60)</f>
        <v>6.0110163578785833</v>
      </c>
      <c r="H61" s="7" t="s">
        <v>63</v>
      </c>
      <c r="I61" s="6">
        <v>4458.5200000000004</v>
      </c>
      <c r="J61" s="42">
        <f>G61*I61</f>
        <v>26800.236651928823</v>
      </c>
      <c r="K61" s="5"/>
    </row>
    <row r="62" spans="1:11" x14ac:dyDescent="0.25">
      <c r="A62" s="16"/>
      <c r="B62" s="32" t="s">
        <v>32</v>
      </c>
      <c r="C62" s="17"/>
      <c r="D62" s="17"/>
      <c r="E62" s="17"/>
      <c r="F62" s="17"/>
      <c r="G62" s="17"/>
      <c r="H62" s="17"/>
      <c r="I62" s="17"/>
      <c r="J62" s="18">
        <f>0.13*G61*15452.64/5</f>
        <v>2415.0378671226317</v>
      </c>
      <c r="K62" s="17"/>
    </row>
    <row r="63" spans="1:11" x14ac:dyDescent="0.25">
      <c r="A63" s="16"/>
      <c r="B63" s="45"/>
      <c r="C63" s="17"/>
      <c r="D63" s="17"/>
      <c r="E63" s="17"/>
      <c r="F63" s="17"/>
      <c r="G63" s="17"/>
      <c r="H63" s="17"/>
      <c r="I63" s="17"/>
      <c r="J63" s="18"/>
      <c r="K63" s="17"/>
    </row>
    <row r="64" spans="1:11" ht="94.5" x14ac:dyDescent="0.25">
      <c r="A64" s="16">
        <v>5</v>
      </c>
      <c r="B64" s="46" t="s">
        <v>27</v>
      </c>
      <c r="C64" s="17"/>
      <c r="D64" s="17"/>
      <c r="E64" s="17"/>
      <c r="F64" s="17"/>
      <c r="G64" s="17"/>
      <c r="H64" s="17"/>
      <c r="I64" s="17"/>
      <c r="J64" s="17"/>
      <c r="K64" s="17"/>
    </row>
    <row r="65" spans="1:11" x14ac:dyDescent="0.25">
      <c r="A65" s="16"/>
      <c r="B65" s="32" t="s">
        <v>61</v>
      </c>
      <c r="C65" s="17">
        <v>1</v>
      </c>
      <c r="D65" s="33">
        <f>D82</f>
        <v>9.5245352026821095</v>
      </c>
      <c r="E65" s="33">
        <f>F82/2</f>
        <v>1.7375</v>
      </c>
      <c r="F65" s="17">
        <v>0.05</v>
      </c>
      <c r="G65" s="33">
        <f t="shared" ref="G65:G73" si="15">PRODUCT(C65:F65)</f>
        <v>0.82744399573300831</v>
      </c>
      <c r="H65" s="17"/>
      <c r="I65" s="17"/>
      <c r="J65" s="18"/>
      <c r="K65" s="17"/>
    </row>
    <row r="66" spans="1:11" x14ac:dyDescent="0.25">
      <c r="A66" s="16"/>
      <c r="B66" s="32"/>
      <c r="C66" s="17">
        <v>1</v>
      </c>
      <c r="D66" s="33">
        <f>D65</f>
        <v>9.5245352026821095</v>
      </c>
      <c r="E66" s="17">
        <v>0.45</v>
      </c>
      <c r="F66" s="17">
        <v>0.05</v>
      </c>
      <c r="G66" s="33">
        <f t="shared" si="15"/>
        <v>0.21430204206034748</v>
      </c>
      <c r="H66" s="17"/>
      <c r="I66" s="17"/>
      <c r="J66" s="18"/>
      <c r="K66" s="17"/>
    </row>
    <row r="67" spans="1:11" x14ac:dyDescent="0.25">
      <c r="A67" s="16"/>
      <c r="B67" s="32"/>
      <c r="C67" s="17">
        <v>1</v>
      </c>
      <c r="D67" s="33">
        <f>D83</f>
        <v>7.8229198415117347</v>
      </c>
      <c r="E67" s="33">
        <f>F83/2</f>
        <v>0.95</v>
      </c>
      <c r="F67" s="17">
        <v>0.05</v>
      </c>
      <c r="G67" s="33">
        <f t="shared" si="15"/>
        <v>0.37158869247180742</v>
      </c>
      <c r="H67" s="17"/>
      <c r="I67" s="17"/>
      <c r="J67" s="18"/>
      <c r="K67" s="17"/>
    </row>
    <row r="68" spans="1:11" x14ac:dyDescent="0.25">
      <c r="A68" s="16"/>
      <c r="B68" s="32"/>
      <c r="C68" s="17">
        <v>1</v>
      </c>
      <c r="D68" s="33">
        <f>D83</f>
        <v>7.8229198415117347</v>
      </c>
      <c r="E68" s="17">
        <v>0.45</v>
      </c>
      <c r="F68" s="17">
        <v>0.05</v>
      </c>
      <c r="G68" s="33">
        <f t="shared" si="15"/>
        <v>0.17601569643401405</v>
      </c>
      <c r="H68" s="17"/>
      <c r="I68" s="17"/>
      <c r="J68" s="18"/>
      <c r="K68" s="17"/>
    </row>
    <row r="69" spans="1:11" x14ac:dyDescent="0.25">
      <c r="A69" s="16"/>
      <c r="B69" s="32" t="str">
        <f>B56</f>
        <v>-for footing of vertical post</v>
      </c>
      <c r="C69" s="17">
        <v>4</v>
      </c>
      <c r="D69" s="33">
        <v>0.45</v>
      </c>
      <c r="E69" s="17">
        <v>0.45</v>
      </c>
      <c r="F69" s="17">
        <v>0.3</v>
      </c>
      <c r="G69" s="33">
        <f t="shared" si="15"/>
        <v>0.24299999999999999</v>
      </c>
      <c r="H69" s="17"/>
      <c r="I69" s="17"/>
      <c r="J69" s="18"/>
      <c r="K69" s="17"/>
    </row>
    <row r="70" spans="1:11" x14ac:dyDescent="0.25">
      <c r="A70" s="16"/>
      <c r="B70" s="32" t="str">
        <f>B57</f>
        <v>-for plinth level</v>
      </c>
      <c r="C70" s="17">
        <f>C57</f>
        <v>4</v>
      </c>
      <c r="D70" s="33">
        <f>D57</f>
        <v>3.4044498628466928</v>
      </c>
      <c r="E70" s="17">
        <f>E57</f>
        <v>0.45</v>
      </c>
      <c r="F70" s="33">
        <v>0.05</v>
      </c>
      <c r="G70" s="33">
        <f t="shared" si="15"/>
        <v>0.30640048765620237</v>
      </c>
      <c r="H70" s="17"/>
      <c r="I70" s="17"/>
      <c r="J70" s="18"/>
      <c r="K70" s="17"/>
    </row>
    <row r="71" spans="1:11" x14ac:dyDescent="0.25">
      <c r="A71" s="16"/>
      <c r="B71" s="32"/>
      <c r="C71" s="17">
        <v>1</v>
      </c>
      <c r="D71" s="33">
        <f>14.17/3.281</f>
        <v>4.3188052423041752</v>
      </c>
      <c r="E71" s="33">
        <f>14.17/3.281</f>
        <v>4.3188052423041752</v>
      </c>
      <c r="F71" s="33">
        <v>7.4999999999999997E-2</v>
      </c>
      <c r="G71" s="33">
        <f t="shared" si="15"/>
        <v>1.3989059040715519</v>
      </c>
      <c r="H71" s="17"/>
      <c r="I71" s="17"/>
      <c r="J71" s="18"/>
      <c r="K71" s="17"/>
    </row>
    <row r="72" spans="1:11" x14ac:dyDescent="0.25">
      <c r="A72" s="16"/>
      <c r="B72" s="32" t="s">
        <v>67</v>
      </c>
      <c r="C72" s="17">
        <v>-1</v>
      </c>
      <c r="D72" s="33">
        <v>1.5</v>
      </c>
      <c r="E72" s="33">
        <v>1.8</v>
      </c>
      <c r="F72" s="33">
        <v>7.4999999999999997E-2</v>
      </c>
      <c r="G72" s="33">
        <f t="shared" si="15"/>
        <v>-0.20250000000000001</v>
      </c>
      <c r="H72" s="17"/>
      <c r="I72" s="17"/>
      <c r="J72" s="18"/>
      <c r="K72" s="17"/>
    </row>
    <row r="73" spans="1:11" x14ac:dyDescent="0.25">
      <c r="A73" s="16"/>
      <c r="B73" s="32" t="str">
        <f>B60</f>
        <v>-for railing</v>
      </c>
      <c r="C73" s="17">
        <v>5</v>
      </c>
      <c r="D73" s="33">
        <f>D60</f>
        <v>0.23</v>
      </c>
      <c r="E73" s="33">
        <f>E60</f>
        <v>0.23</v>
      </c>
      <c r="F73" s="33">
        <v>0.23</v>
      </c>
      <c r="G73" s="33">
        <f t="shared" si="15"/>
        <v>6.0835000000000021E-2</v>
      </c>
      <c r="H73" s="17"/>
      <c r="I73" s="17"/>
      <c r="J73" s="18"/>
      <c r="K73" s="17"/>
    </row>
    <row r="74" spans="1:11" s="36" customFormat="1" x14ac:dyDescent="0.25">
      <c r="A74" s="2"/>
      <c r="B74" s="43" t="s">
        <v>39</v>
      </c>
      <c r="C74" s="3"/>
      <c r="D74" s="4"/>
      <c r="E74" s="5"/>
      <c r="F74" s="5"/>
      <c r="G74" s="42">
        <f>SUM(G65:G73)</f>
        <v>3.3959918184269315</v>
      </c>
      <c r="H74" s="7" t="s">
        <v>63</v>
      </c>
      <c r="I74" s="6">
        <v>10964.46</v>
      </c>
      <c r="J74" s="42">
        <f>G74*I74</f>
        <v>37235.216453469351</v>
      </c>
      <c r="K74" s="5"/>
    </row>
    <row r="75" spans="1:11" x14ac:dyDescent="0.25">
      <c r="A75" s="16"/>
      <c r="B75" s="32" t="s">
        <v>28</v>
      </c>
      <c r="C75" s="17"/>
      <c r="D75" s="17"/>
      <c r="E75" s="17"/>
      <c r="F75" s="17"/>
      <c r="G75" s="17"/>
      <c r="H75" s="17"/>
      <c r="I75" s="17"/>
      <c r="J75" s="18">
        <f>0.13*G74*53818.03/15</f>
        <v>1583.9684428867447</v>
      </c>
      <c r="K75" s="17"/>
    </row>
    <row r="76" spans="1:11" x14ac:dyDescent="0.25">
      <c r="A76" s="16"/>
      <c r="B76" s="32" t="s">
        <v>29</v>
      </c>
      <c r="C76" s="17"/>
      <c r="D76" s="17"/>
      <c r="E76" s="17"/>
      <c r="F76" s="17"/>
      <c r="G76" s="17"/>
      <c r="H76" s="17"/>
      <c r="I76" s="17"/>
      <c r="J76" s="18">
        <f>0.13*G74*21432.6/15</f>
        <v>630.80276347934773</v>
      </c>
      <c r="K76" s="17"/>
    </row>
    <row r="77" spans="1:11" x14ac:dyDescent="0.25">
      <c r="A77" s="16"/>
      <c r="B77" s="32" t="s">
        <v>30</v>
      </c>
      <c r="C77" s="17"/>
      <c r="D77" s="17"/>
      <c r="E77" s="17"/>
      <c r="F77" s="17"/>
      <c r="G77" s="17"/>
      <c r="H77" s="17"/>
      <c r="I77" s="17"/>
      <c r="J77" s="18">
        <f>0.13*G74*(25719.12+13573.98+4286.52)/15</f>
        <v>1282.6322857413404</v>
      </c>
      <c r="K77" s="17"/>
    </row>
    <row r="78" spans="1:11" x14ac:dyDescent="0.25">
      <c r="A78" s="16"/>
      <c r="B78" s="32" t="s">
        <v>64</v>
      </c>
      <c r="C78" s="17"/>
      <c r="D78" s="17"/>
      <c r="E78" s="17"/>
      <c r="F78" s="17"/>
      <c r="G78" s="17"/>
      <c r="H78" s="17"/>
      <c r="I78" s="17"/>
      <c r="J78" s="18">
        <f>0.13*G74*(6325.7/15)</f>
        <v>186.17755386380142</v>
      </c>
      <c r="K78" s="17"/>
    </row>
    <row r="79" spans="1:11" x14ac:dyDescent="0.25">
      <c r="A79" s="16"/>
      <c r="B79" s="32" t="s">
        <v>33</v>
      </c>
      <c r="C79" s="17"/>
      <c r="D79" s="17"/>
      <c r="E79" s="17"/>
      <c r="F79" s="17"/>
      <c r="G79" s="17"/>
      <c r="H79" s="17"/>
      <c r="I79" s="17"/>
      <c r="J79" s="18">
        <f>0.13*G74*(310)/5</f>
        <v>27.371694056521068</v>
      </c>
      <c r="K79" s="17"/>
    </row>
    <row r="80" spans="1:11" x14ac:dyDescent="0.25">
      <c r="A80" s="16"/>
      <c r="B80" s="32"/>
      <c r="C80" s="17"/>
      <c r="D80" s="17"/>
      <c r="E80" s="17"/>
      <c r="F80" s="17"/>
      <c r="G80" s="17"/>
      <c r="H80" s="17"/>
      <c r="I80" s="17"/>
      <c r="J80" s="18"/>
      <c r="K80" s="17"/>
    </row>
    <row r="81" spans="1:16" ht="110.25" x14ac:dyDescent="0.25">
      <c r="A81" s="16">
        <v>6</v>
      </c>
      <c r="B81" s="46" t="s">
        <v>31</v>
      </c>
      <c r="C81" s="17"/>
      <c r="D81" s="17"/>
      <c r="E81" s="17"/>
      <c r="F81" s="17"/>
      <c r="G81" s="17"/>
      <c r="H81" s="17"/>
      <c r="I81" s="17"/>
      <c r="J81" s="17"/>
      <c r="K81" s="17"/>
    </row>
    <row r="82" spans="1:16" x14ac:dyDescent="0.25">
      <c r="A82" s="16"/>
      <c r="B82" s="32" t="s">
        <v>61</v>
      </c>
      <c r="C82" s="17">
        <v>1</v>
      </c>
      <c r="D82" s="33">
        <f>31.25/3.281</f>
        <v>9.5245352026821095</v>
      </c>
      <c r="E82" s="33">
        <f>((F82/2)+0.5)/2</f>
        <v>1.1187499999999999</v>
      </c>
      <c r="F82" s="33">
        <f>6.95/2</f>
        <v>3.4750000000000001</v>
      </c>
      <c r="G82" s="33">
        <f>PRODUCT(C82:F82)</f>
        <v>37.028118809052117</v>
      </c>
      <c r="H82" s="17"/>
      <c r="I82" s="17"/>
      <c r="J82" s="17"/>
      <c r="K82" s="17"/>
      <c r="M82" s="33">
        <f>7</f>
        <v>7</v>
      </c>
      <c r="N82" s="33">
        <f>2</f>
        <v>2</v>
      </c>
      <c r="O82" s="33"/>
      <c r="P82" s="33">
        <f>PI()*M82*SQRT(M82^2+N82^2)</f>
        <v>160.09797821843054</v>
      </c>
    </row>
    <row r="83" spans="1:16" x14ac:dyDescent="0.25">
      <c r="A83" s="16"/>
      <c r="B83" s="32"/>
      <c r="C83" s="17">
        <v>1</v>
      </c>
      <c r="D83" s="33">
        <f>(10.667+15)/3.281</f>
        <v>7.8229198415117347</v>
      </c>
      <c r="E83" s="33">
        <f>((F83/2)+0.5)/2</f>
        <v>0.72499999999999998</v>
      </c>
      <c r="F83" s="33">
        <v>1.9</v>
      </c>
      <c r="G83" s="33">
        <f>PRODUCT(C83:F83)</f>
        <v>10.776072081682413</v>
      </c>
      <c r="H83" s="17"/>
      <c r="I83" s="17"/>
      <c r="J83" s="17"/>
      <c r="K83" s="17"/>
      <c r="M83" s="35"/>
      <c r="N83" s="35"/>
      <c r="O83" s="35"/>
      <c r="P83" s="35"/>
    </row>
    <row r="84" spans="1:16" x14ac:dyDescent="0.25">
      <c r="A84" s="16"/>
      <c r="B84" s="32" t="str">
        <f>B70</f>
        <v>-for plinth level</v>
      </c>
      <c r="C84" s="17">
        <v>2</v>
      </c>
      <c r="D84" s="33">
        <f>14.17/3.281</f>
        <v>4.3188052423041752</v>
      </c>
      <c r="E84" s="33">
        <f>1.5/3.281</f>
        <v>0.45717768972874123</v>
      </c>
      <c r="F84" s="33">
        <f>1.5/3.281</f>
        <v>0.45717768972874123</v>
      </c>
      <c r="G84" s="33">
        <f>PRODUCT(C84:F84)</f>
        <v>1.8053594054236508</v>
      </c>
      <c r="H84" s="17"/>
      <c r="I84" s="17"/>
      <c r="J84" s="17"/>
      <c r="K84" s="17"/>
      <c r="M84" s="35"/>
      <c r="N84" s="35"/>
      <c r="O84" s="35"/>
      <c r="P84" s="35"/>
    </row>
    <row r="85" spans="1:16" x14ac:dyDescent="0.25">
      <c r="A85" s="16"/>
      <c r="B85" s="32"/>
      <c r="C85" s="17">
        <v>2</v>
      </c>
      <c r="D85" s="33">
        <f>(14.17-3)/3.281</f>
        <v>3.4044498628466928</v>
      </c>
      <c r="E85" s="33">
        <f>1.5/3.281</f>
        <v>0.45717768972874123</v>
      </c>
      <c r="F85" s="33">
        <f>1.5/3.281</f>
        <v>0.45717768972874123</v>
      </c>
      <c r="G85" s="33">
        <f>PRODUCT(C85:F85)</f>
        <v>1.4231379363854748</v>
      </c>
      <c r="H85" s="17"/>
      <c r="I85" s="17"/>
      <c r="J85" s="17"/>
      <c r="K85" s="17"/>
      <c r="M85" s="35"/>
      <c r="N85" s="35"/>
      <c r="O85" s="35"/>
      <c r="P85" s="35"/>
    </row>
    <row r="86" spans="1:16" ht="15" customHeight="1" x14ac:dyDescent="0.25">
      <c r="A86" s="2"/>
      <c r="B86" s="34" t="s">
        <v>16</v>
      </c>
      <c r="C86" s="3"/>
      <c r="D86" s="4"/>
      <c r="E86" s="5"/>
      <c r="F86" s="5"/>
      <c r="G86" s="6">
        <f>SUM(G82:G85)</f>
        <v>51.032688232543656</v>
      </c>
      <c r="H86" s="7" t="s">
        <v>63</v>
      </c>
      <c r="I86" s="6">
        <v>8987.83</v>
      </c>
      <c r="J86" s="18">
        <f>G86*I86</f>
        <v>458673.12627710286</v>
      </c>
      <c r="K86" s="5"/>
    </row>
    <row r="87" spans="1:16" x14ac:dyDescent="0.25">
      <c r="A87" s="16"/>
      <c r="B87" s="32" t="s">
        <v>28</v>
      </c>
      <c r="C87" s="17"/>
      <c r="D87" s="17"/>
      <c r="E87" s="17"/>
      <c r="F87" s="17"/>
      <c r="G87" s="17"/>
      <c r="H87" s="17"/>
      <c r="I87" s="17"/>
      <c r="J87" s="18">
        <f>0.13*G86*(5863.95)/5</f>
        <v>7780.5814361918337</v>
      </c>
      <c r="K87" s="17"/>
    </row>
    <row r="88" spans="1:16" x14ac:dyDescent="0.25">
      <c r="A88" s="16"/>
      <c r="B88" s="32" t="s">
        <v>29</v>
      </c>
      <c r="C88" s="17"/>
      <c r="D88" s="17"/>
      <c r="E88" s="17"/>
      <c r="F88" s="17"/>
      <c r="G88" s="17"/>
      <c r="H88" s="17"/>
      <c r="I88" s="17"/>
      <c r="J88" s="18">
        <f>0.13*G86*(6604.416)/5</f>
        <v>8763.0686698366007</v>
      </c>
      <c r="K88" s="17"/>
    </row>
    <row r="89" spans="1:16" x14ac:dyDescent="0.25">
      <c r="A89" s="16"/>
      <c r="B89" s="32" t="s">
        <v>32</v>
      </c>
      <c r="C89" s="17"/>
      <c r="D89" s="17"/>
      <c r="E89" s="17"/>
      <c r="F89" s="17"/>
      <c r="G89" s="17"/>
      <c r="H89" s="17"/>
      <c r="I89" s="17"/>
      <c r="J89" s="18">
        <f>0.13*G86*(14808.78)/5</f>
        <v>19649.028173952527</v>
      </c>
      <c r="K89" s="17"/>
    </row>
    <row r="90" spans="1:16" x14ac:dyDescent="0.25">
      <c r="A90" s="16"/>
      <c r="B90" s="32" t="s">
        <v>33</v>
      </c>
      <c r="C90" s="17"/>
      <c r="D90" s="17"/>
      <c r="E90" s="17"/>
      <c r="F90" s="17"/>
      <c r="G90" s="17"/>
      <c r="H90" s="17"/>
      <c r="I90" s="17"/>
      <c r="J90" s="18">
        <f>0.13*G86*(310)/5</f>
        <v>411.32346715430185</v>
      </c>
      <c r="K90" s="17"/>
    </row>
    <row r="91" spans="1:16" x14ac:dyDescent="0.25">
      <c r="A91" s="16"/>
      <c r="B91" s="32"/>
      <c r="C91" s="17"/>
      <c r="D91" s="17"/>
      <c r="E91" s="17"/>
      <c r="F91" s="17"/>
      <c r="G91" s="17"/>
      <c r="H91" s="17"/>
      <c r="I91" s="17"/>
      <c r="J91" s="18"/>
      <c r="K91" s="17"/>
    </row>
    <row r="92" spans="1:16" x14ac:dyDescent="0.25">
      <c r="A92" s="16">
        <v>7</v>
      </c>
      <c r="B92" s="39" t="s">
        <v>68</v>
      </c>
      <c r="C92" s="17"/>
      <c r="D92" s="17"/>
      <c r="E92" s="17"/>
      <c r="F92" s="17"/>
      <c r="G92" s="17"/>
      <c r="H92" s="17"/>
      <c r="I92" s="17"/>
      <c r="J92" s="18"/>
      <c r="K92" s="17"/>
    </row>
    <row r="93" spans="1:16" x14ac:dyDescent="0.25">
      <c r="A93" s="16"/>
      <c r="B93" s="32" t="s">
        <v>69</v>
      </c>
      <c r="C93" s="17">
        <v>1</v>
      </c>
      <c r="D93" s="33">
        <f>1.5</f>
        <v>1.5</v>
      </c>
      <c r="E93" s="33">
        <v>1.6</v>
      </c>
      <c r="F93" s="17"/>
      <c r="G93" s="33">
        <f>PRODUCT(C93:F93)</f>
        <v>2.4000000000000004</v>
      </c>
      <c r="H93" s="17"/>
      <c r="I93" s="17"/>
      <c r="J93" s="18"/>
      <c r="K93" s="17"/>
    </row>
    <row r="94" spans="1:16" ht="15" customHeight="1" x14ac:dyDescent="0.25">
      <c r="A94" s="2"/>
      <c r="B94" s="34" t="s">
        <v>16</v>
      </c>
      <c r="C94" s="3"/>
      <c r="D94" s="4"/>
      <c r="E94" s="5"/>
      <c r="F94" s="5"/>
      <c r="G94" s="6">
        <f>SUM(G93)</f>
        <v>2.4000000000000004</v>
      </c>
      <c r="H94" s="7" t="s">
        <v>54</v>
      </c>
      <c r="I94" s="6">
        <v>1017.47</v>
      </c>
      <c r="J94" s="18">
        <f>G94*I94</f>
        <v>2441.9280000000003</v>
      </c>
      <c r="K94" s="5"/>
    </row>
    <row r="95" spans="1:16" x14ac:dyDescent="0.25">
      <c r="A95" s="16"/>
      <c r="B95" s="32" t="s">
        <v>82</v>
      </c>
      <c r="C95" s="17"/>
      <c r="D95" s="17"/>
      <c r="E95" s="17"/>
      <c r="F95" s="17"/>
      <c r="G95" s="17"/>
      <c r="H95" s="17"/>
      <c r="I95" s="17"/>
      <c r="J95" s="18">
        <f>0.13*G94*(8617.2)/10</f>
        <v>268.85664000000008</v>
      </c>
      <c r="K95" s="17"/>
    </row>
    <row r="96" spans="1:16" x14ac:dyDescent="0.25">
      <c r="A96" s="16"/>
      <c r="B96" s="17"/>
      <c r="C96" s="17"/>
      <c r="D96" s="17"/>
      <c r="E96" s="17"/>
      <c r="F96" s="17"/>
      <c r="G96" s="17"/>
      <c r="H96" s="17"/>
      <c r="I96" s="17"/>
      <c r="J96" s="17"/>
      <c r="K96" s="17"/>
    </row>
    <row r="97" spans="1:19" ht="45" x14ac:dyDescent="0.25">
      <c r="A97" s="16">
        <v>8</v>
      </c>
      <c r="B97" s="37" t="s">
        <v>73</v>
      </c>
      <c r="C97" s="17"/>
      <c r="D97" s="38" t="s">
        <v>36</v>
      </c>
      <c r="E97" s="38" t="s">
        <v>75</v>
      </c>
      <c r="F97" s="38" t="s">
        <v>76</v>
      </c>
      <c r="G97" s="17"/>
      <c r="H97" s="17"/>
      <c r="I97" s="17"/>
      <c r="J97" s="18"/>
      <c r="K97" s="17"/>
    </row>
    <row r="98" spans="1:19" x14ac:dyDescent="0.25">
      <c r="A98" s="16"/>
      <c r="B98" s="32" t="s">
        <v>74</v>
      </c>
      <c r="C98" s="17">
        <v>1</v>
      </c>
      <c r="D98" s="17">
        <v>185</v>
      </c>
      <c r="E98" s="17">
        <v>0.13500000000000001</v>
      </c>
      <c r="F98" s="17">
        <f>C98*D98*E98</f>
        <v>24.975000000000001</v>
      </c>
      <c r="G98" s="33">
        <f>F98</f>
        <v>24.975000000000001</v>
      </c>
      <c r="H98" s="17"/>
      <c r="I98" s="17"/>
      <c r="J98" s="18"/>
      <c r="K98" s="17"/>
    </row>
    <row r="99" spans="1:19" ht="15" customHeight="1" x14ac:dyDescent="0.25">
      <c r="A99" s="2"/>
      <c r="B99" s="34" t="s">
        <v>16</v>
      </c>
      <c r="C99" s="3"/>
      <c r="D99" s="4"/>
      <c r="E99" s="5"/>
      <c r="F99" s="5"/>
      <c r="G99" s="6">
        <f>SUM(G98)</f>
        <v>24.975000000000001</v>
      </c>
      <c r="H99" s="7" t="s">
        <v>77</v>
      </c>
      <c r="I99" s="6">
        <v>287</v>
      </c>
      <c r="J99" s="18">
        <f>G99*I99</f>
        <v>7167.8250000000007</v>
      </c>
      <c r="K99" s="5"/>
    </row>
    <row r="100" spans="1:19" x14ac:dyDescent="0.25">
      <c r="A100" s="16"/>
      <c r="B100" s="32" t="s">
        <v>81</v>
      </c>
      <c r="C100" s="17"/>
      <c r="D100" s="17"/>
      <c r="E100" s="17"/>
      <c r="F100" s="17"/>
      <c r="G100" s="17"/>
      <c r="H100" s="17"/>
      <c r="I100" s="17"/>
      <c r="J100" s="18">
        <f>0.13*J99</f>
        <v>931.81725000000017</v>
      </c>
      <c r="K100" s="17"/>
    </row>
    <row r="101" spans="1:19" x14ac:dyDescent="0.25">
      <c r="A101" s="16"/>
      <c r="B101" s="17"/>
      <c r="C101" s="17"/>
      <c r="D101" s="17"/>
      <c r="E101" s="17"/>
      <c r="F101" s="17"/>
      <c r="G101" s="17"/>
      <c r="H101" s="17"/>
      <c r="I101" s="17"/>
      <c r="J101" s="17"/>
      <c r="K101" s="17"/>
    </row>
    <row r="102" spans="1:19" ht="15" customHeight="1" x14ac:dyDescent="0.25">
      <c r="A102" s="2">
        <v>9</v>
      </c>
      <c r="B102" s="1" t="s">
        <v>17</v>
      </c>
      <c r="C102" s="3">
        <v>1</v>
      </c>
      <c r="D102" s="4"/>
      <c r="E102" s="5"/>
      <c r="F102" s="5"/>
      <c r="G102" s="7">
        <f t="shared" ref="G102" si="16">PRODUCT(C102:F102)</f>
        <v>1</v>
      </c>
      <c r="H102" s="7" t="s">
        <v>18</v>
      </c>
      <c r="I102" s="6">
        <v>500</v>
      </c>
      <c r="J102" s="7">
        <f>G102*I102</f>
        <v>500</v>
      </c>
      <c r="K102" s="5"/>
    </row>
    <row r="103" spans="1:19" x14ac:dyDescent="0.25">
      <c r="A103" s="2"/>
      <c r="B103" s="8"/>
      <c r="C103" s="3"/>
      <c r="D103" s="4"/>
      <c r="E103" s="5"/>
      <c r="F103" s="5"/>
      <c r="G103" s="6"/>
      <c r="H103" s="7"/>
      <c r="I103" s="6"/>
      <c r="J103" s="18"/>
      <c r="K103" s="5"/>
    </row>
    <row r="104" spans="1:19" x14ac:dyDescent="0.25">
      <c r="A104" s="21"/>
      <c r="B104" s="22" t="s">
        <v>20</v>
      </c>
      <c r="C104" s="23"/>
      <c r="D104" s="24"/>
      <c r="E104" s="24"/>
      <c r="F104" s="24"/>
      <c r="G104" s="18"/>
      <c r="H104" s="18"/>
      <c r="I104" s="18"/>
      <c r="J104" s="18">
        <f>SUM(J9:J102)</f>
        <v>789632.08517511096</v>
      </c>
      <c r="K104" s="25"/>
    </row>
    <row r="105" spans="1:19" x14ac:dyDescent="0.25">
      <c r="M105" s="20"/>
      <c r="N105" s="20"/>
      <c r="O105" s="20"/>
      <c r="P105" s="20"/>
      <c r="Q105" s="20"/>
      <c r="R105" s="20"/>
      <c r="S105" s="20"/>
    </row>
    <row r="106" spans="1:19" s="20" customFormat="1" x14ac:dyDescent="0.25">
      <c r="A106" s="26"/>
      <c r="B106" s="27" t="s">
        <v>99</v>
      </c>
      <c r="C106" s="70">
        <f>J104</f>
        <v>789632.08517511096</v>
      </c>
      <c r="D106" s="71"/>
      <c r="E106" s="9">
        <v>100</v>
      </c>
      <c r="F106" s="26"/>
      <c r="G106" s="28"/>
      <c r="H106" s="26"/>
      <c r="I106" s="29"/>
      <c r="J106" s="30"/>
      <c r="K106" s="31"/>
      <c r="M106" s="19"/>
      <c r="N106" s="19"/>
      <c r="O106" s="19"/>
      <c r="P106" s="19"/>
      <c r="Q106" s="19"/>
      <c r="R106" s="19"/>
      <c r="S106" s="19"/>
    </row>
    <row r="107" spans="1:19" x14ac:dyDescent="0.25">
      <c r="B107" s="27" t="s">
        <v>21</v>
      </c>
      <c r="C107" s="74">
        <v>700000</v>
      </c>
      <c r="D107" s="75"/>
      <c r="E107" s="9"/>
    </row>
    <row r="108" spans="1:19" x14ac:dyDescent="0.25">
      <c r="B108" s="27" t="s">
        <v>22</v>
      </c>
      <c r="C108" s="74">
        <f>C107-C110-C111</f>
        <v>665000</v>
      </c>
      <c r="D108" s="75"/>
      <c r="E108" s="9">
        <f>C108/C106*100</f>
        <v>84.21643604470907</v>
      </c>
    </row>
    <row r="109" spans="1:19" x14ac:dyDescent="0.25">
      <c r="B109" s="27" t="s">
        <v>34</v>
      </c>
      <c r="C109" s="76">
        <f>C106-C108</f>
        <v>124632.08517511096</v>
      </c>
      <c r="D109" s="76"/>
      <c r="E109" s="9">
        <f>100-E108</f>
        <v>15.78356395529093</v>
      </c>
    </row>
    <row r="110" spans="1:19" x14ac:dyDescent="0.25">
      <c r="B110" s="27" t="s">
        <v>23</v>
      </c>
      <c r="C110" s="70">
        <f>C107*0.03</f>
        <v>21000</v>
      </c>
      <c r="D110" s="71"/>
      <c r="E110" s="9">
        <v>3</v>
      </c>
    </row>
    <row r="111" spans="1:19" x14ac:dyDescent="0.25">
      <c r="B111" s="27" t="s">
        <v>24</v>
      </c>
      <c r="C111" s="70">
        <f>C107*0.02</f>
        <v>14000</v>
      </c>
      <c r="D111" s="71"/>
      <c r="E111" s="9">
        <v>2</v>
      </c>
    </row>
  </sheetData>
  <mergeCells count="15">
    <mergeCell ref="A6:F6"/>
    <mergeCell ref="H6:K6"/>
    <mergeCell ref="A1:K1"/>
    <mergeCell ref="A2:K2"/>
    <mergeCell ref="A3:K3"/>
    <mergeCell ref="A4:K4"/>
    <mergeCell ref="A5:K5"/>
    <mergeCell ref="C110:D110"/>
    <mergeCell ref="C111:D111"/>
    <mergeCell ref="A7:F7"/>
    <mergeCell ref="H7:K7"/>
    <mergeCell ref="C106:D106"/>
    <mergeCell ref="C107:D107"/>
    <mergeCell ref="C108:D108"/>
    <mergeCell ref="C109:D109"/>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85263-E899-4633-BF0C-CE33042030BF}">
  <dimension ref="A1:S111"/>
  <sheetViews>
    <sheetView tabSelected="1" view="pageBreakPreview" zoomScale="95" zoomScaleNormal="90" zoomScaleSheetLayoutView="95" workbookViewId="0">
      <selection activeCell="D102" sqref="D102"/>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hidden="1" customWidth="1"/>
    <col min="10" max="10" width="10.7109375" style="19" hidden="1" customWidth="1"/>
    <col min="11" max="12" width="9.140625" style="19"/>
    <col min="13" max="16" width="0" style="19" hidden="1" customWidth="1"/>
    <col min="17" max="16384" width="9.140625" style="19"/>
  </cols>
  <sheetData>
    <row r="1" spans="1:18" x14ac:dyDescent="0.25">
      <c r="A1" s="79" t="s">
        <v>0</v>
      </c>
      <c r="B1" s="79"/>
      <c r="C1" s="79"/>
      <c r="D1" s="79"/>
      <c r="E1" s="79"/>
      <c r="F1" s="79"/>
      <c r="G1" s="79"/>
      <c r="H1" s="79"/>
      <c r="I1" s="79"/>
      <c r="J1" s="79"/>
      <c r="K1" s="79"/>
    </row>
    <row r="2" spans="1:18" ht="22.5" x14ac:dyDescent="0.25">
      <c r="A2" s="80" t="s">
        <v>1</v>
      </c>
      <c r="B2" s="80"/>
      <c r="C2" s="80"/>
      <c r="D2" s="80"/>
      <c r="E2" s="80"/>
      <c r="F2" s="80"/>
      <c r="G2" s="80"/>
      <c r="H2" s="80"/>
      <c r="I2" s="80"/>
      <c r="J2" s="80"/>
      <c r="K2" s="80"/>
    </row>
    <row r="3" spans="1:18" x14ac:dyDescent="0.25">
      <c r="A3" s="81" t="s">
        <v>2</v>
      </c>
      <c r="B3" s="81"/>
      <c r="C3" s="81"/>
      <c r="D3" s="81"/>
      <c r="E3" s="81"/>
      <c r="F3" s="81"/>
      <c r="G3" s="81"/>
      <c r="H3" s="81"/>
      <c r="I3" s="81"/>
      <c r="J3" s="81"/>
      <c r="K3" s="81"/>
    </row>
    <row r="4" spans="1:18" x14ac:dyDescent="0.25">
      <c r="A4" s="81" t="s">
        <v>3</v>
      </c>
      <c r="B4" s="81"/>
      <c r="C4" s="81"/>
      <c r="D4" s="81"/>
      <c r="E4" s="81"/>
      <c r="F4" s="81"/>
      <c r="G4" s="81"/>
      <c r="H4" s="81"/>
      <c r="I4" s="81"/>
      <c r="J4" s="81"/>
      <c r="K4" s="81"/>
    </row>
    <row r="5" spans="1:18" ht="18.75" x14ac:dyDescent="0.3">
      <c r="A5" s="82" t="s">
        <v>102</v>
      </c>
      <c r="B5" s="82"/>
      <c r="C5" s="82"/>
      <c r="D5" s="82"/>
      <c r="E5" s="82"/>
      <c r="F5" s="82"/>
      <c r="G5" s="82"/>
      <c r="H5" s="82"/>
      <c r="I5" s="82"/>
      <c r="J5" s="82"/>
      <c r="K5" s="82"/>
    </row>
    <row r="6" spans="1:18" ht="15.75" x14ac:dyDescent="0.25">
      <c r="A6" s="77" t="s">
        <v>79</v>
      </c>
      <c r="B6" s="77"/>
      <c r="C6" s="77"/>
      <c r="D6" s="77"/>
      <c r="E6" s="77"/>
      <c r="F6" s="77"/>
      <c r="G6" s="10"/>
      <c r="I6" s="98"/>
      <c r="J6" s="98"/>
      <c r="K6" s="65" t="s">
        <v>25</v>
      </c>
    </row>
    <row r="7" spans="1:18" ht="15.75" x14ac:dyDescent="0.25">
      <c r="A7" s="72" t="s">
        <v>80</v>
      </c>
      <c r="B7" s="72"/>
      <c r="C7" s="72"/>
      <c r="D7" s="72"/>
      <c r="E7" s="72"/>
      <c r="F7" s="72"/>
      <c r="G7" s="67"/>
      <c r="I7" s="97"/>
      <c r="J7" s="97"/>
      <c r="K7" s="66" t="s">
        <v>101</v>
      </c>
    </row>
    <row r="8" spans="1:18" ht="15.75" x14ac:dyDescent="0.25">
      <c r="A8" s="12" t="s">
        <v>5</v>
      </c>
      <c r="B8" s="13" t="s">
        <v>6</v>
      </c>
      <c r="C8" s="12" t="s">
        <v>7</v>
      </c>
      <c r="D8" s="68" t="s">
        <v>8</v>
      </c>
      <c r="E8" s="68" t="s">
        <v>9</v>
      </c>
      <c r="F8" s="68" t="s">
        <v>10</v>
      </c>
      <c r="G8" s="68" t="s">
        <v>11</v>
      </c>
      <c r="H8" s="12" t="s">
        <v>12</v>
      </c>
      <c r="I8" s="68" t="s">
        <v>13</v>
      </c>
      <c r="J8" s="68" t="s">
        <v>14</v>
      </c>
      <c r="K8" s="15" t="s">
        <v>15</v>
      </c>
    </row>
    <row r="9" spans="1:18" s="36" customFormat="1" ht="45" x14ac:dyDescent="0.25">
      <c r="A9" s="2">
        <v>1</v>
      </c>
      <c r="B9" s="69" t="s">
        <v>35</v>
      </c>
      <c r="C9" s="3" t="s">
        <v>7</v>
      </c>
      <c r="D9" s="40" t="s">
        <v>36</v>
      </c>
      <c r="E9" s="41" t="s">
        <v>37</v>
      </c>
      <c r="F9" s="41" t="s">
        <v>38</v>
      </c>
      <c r="G9" s="41"/>
      <c r="H9" s="7"/>
      <c r="I9" s="6"/>
      <c r="J9" s="42"/>
      <c r="K9" s="5"/>
    </row>
    <row r="10" spans="1:18" s="36" customFormat="1" ht="30" x14ac:dyDescent="0.25">
      <c r="A10" s="16"/>
      <c r="B10" s="43" t="s">
        <v>42</v>
      </c>
      <c r="C10" s="44">
        <f>4</f>
        <v>4</v>
      </c>
      <c r="D10" s="9">
        <f>(12+1)/3.281</f>
        <v>3.9622066443157573</v>
      </c>
      <c r="E10" s="9">
        <v>6.5</v>
      </c>
      <c r="F10" s="9">
        <f t="shared" ref="F10:F31" si="0">PRODUCT(C10:E10)</f>
        <v>103.0173727522097</v>
      </c>
      <c r="G10" s="9">
        <f t="shared" ref="G10:G31" si="1">F10</f>
        <v>103.0173727522097</v>
      </c>
      <c r="H10" s="42"/>
      <c r="I10" s="42"/>
      <c r="J10" s="42"/>
      <c r="K10" s="27"/>
    </row>
    <row r="11" spans="1:18" s="36" customFormat="1" ht="45" x14ac:dyDescent="0.25">
      <c r="A11" s="16"/>
      <c r="B11" s="43" t="s">
        <v>43</v>
      </c>
      <c r="C11" s="44">
        <v>4</v>
      </c>
      <c r="D11" s="9">
        <f>11.5/3.281</f>
        <v>3.5050289545870159</v>
      </c>
      <c r="E11" s="9">
        <v>6.5</v>
      </c>
      <c r="F11" s="9">
        <f t="shared" si="0"/>
        <v>91.130752819262412</v>
      </c>
      <c r="G11" s="9">
        <f t="shared" si="1"/>
        <v>91.130752819262412</v>
      </c>
      <c r="H11" s="42"/>
      <c r="I11" s="42"/>
      <c r="J11" s="42"/>
      <c r="K11" s="27"/>
      <c r="Q11" s="36">
        <f>PRODUCT(C11:D11)</f>
        <v>14.020115818348064</v>
      </c>
      <c r="R11" s="36">
        <f>CONVERT(Q11,"m","ft")</f>
        <v>45.997755309540885</v>
      </c>
    </row>
    <row r="12" spans="1:18" s="36" customFormat="1" ht="45" x14ac:dyDescent="0.25">
      <c r="A12" s="16"/>
      <c r="B12" s="43" t="s">
        <v>44</v>
      </c>
      <c r="C12" s="44">
        <v>2</v>
      </c>
      <c r="D12" s="9">
        <f>11.5/3.281</f>
        <v>3.5050289545870159</v>
      </c>
      <c r="E12" s="9">
        <v>6.5</v>
      </c>
      <c r="F12" s="9">
        <f t="shared" si="0"/>
        <v>45.565376409631206</v>
      </c>
      <c r="G12" s="9">
        <f t="shared" si="1"/>
        <v>45.565376409631206</v>
      </c>
      <c r="H12" s="42"/>
      <c r="I12" s="42"/>
      <c r="J12" s="42"/>
      <c r="K12" s="27"/>
    </row>
    <row r="13" spans="1:18" s="36" customFormat="1" ht="45" x14ac:dyDescent="0.25">
      <c r="A13" s="16"/>
      <c r="B13" s="43" t="s">
        <v>45</v>
      </c>
      <c r="C13" s="44">
        <v>4</v>
      </c>
      <c r="D13" s="9">
        <v>1.5</v>
      </c>
      <c r="E13" s="9">
        <v>6.5</v>
      </c>
      <c r="F13" s="9">
        <f t="shared" si="0"/>
        <v>39</v>
      </c>
      <c r="G13" s="9">
        <f t="shared" si="1"/>
        <v>39</v>
      </c>
      <c r="H13" s="42"/>
      <c r="I13" s="42"/>
      <c r="J13" s="42"/>
      <c r="K13" s="27"/>
    </row>
    <row r="14" spans="1:18" s="36" customFormat="1" x14ac:dyDescent="0.25">
      <c r="A14" s="16"/>
      <c r="B14" s="43"/>
      <c r="C14" s="44">
        <v>1</v>
      </c>
      <c r="D14" s="9">
        <f>0.45</f>
        <v>0.45</v>
      </c>
      <c r="E14" s="9">
        <v>6.5</v>
      </c>
      <c r="F14" s="9">
        <f t="shared" si="0"/>
        <v>2.9250000000000003</v>
      </c>
      <c r="G14" s="9">
        <f t="shared" si="1"/>
        <v>2.9250000000000003</v>
      </c>
      <c r="H14" s="42"/>
      <c r="I14" s="42"/>
      <c r="J14" s="42"/>
      <c r="K14" s="27"/>
    </row>
    <row r="15" spans="1:18" s="36" customFormat="1" ht="45" x14ac:dyDescent="0.25">
      <c r="A15" s="16"/>
      <c r="B15" s="43" t="s">
        <v>46</v>
      </c>
      <c r="C15" s="44">
        <v>2</v>
      </c>
      <c r="D15" s="9">
        <f>9/3.281</f>
        <v>2.7430661383724475</v>
      </c>
      <c r="E15" s="9">
        <v>4.43</v>
      </c>
      <c r="F15" s="9">
        <f t="shared" si="0"/>
        <v>24.303565985979883</v>
      </c>
      <c r="G15" s="9">
        <f t="shared" si="1"/>
        <v>24.303565985979883</v>
      </c>
      <c r="H15" s="42"/>
      <c r="I15" s="42"/>
      <c r="J15" s="42"/>
      <c r="K15" s="27"/>
    </row>
    <row r="16" spans="1:18" s="36" customFormat="1" ht="45" x14ac:dyDescent="0.25">
      <c r="A16" s="16"/>
      <c r="B16" s="43" t="s">
        <v>47</v>
      </c>
      <c r="C16" s="44">
        <v>4</v>
      </c>
      <c r="D16" s="9">
        <f>5.75/3.281</f>
        <v>1.752514477293508</v>
      </c>
      <c r="E16" s="9">
        <v>4.43</v>
      </c>
      <c r="F16" s="9">
        <f t="shared" si="0"/>
        <v>31.054556537640959</v>
      </c>
      <c r="G16" s="9">
        <f t="shared" si="1"/>
        <v>31.054556537640959</v>
      </c>
      <c r="H16" s="42"/>
      <c r="I16" s="42"/>
      <c r="J16" s="42"/>
      <c r="K16" s="27"/>
    </row>
    <row r="17" spans="1:11" s="36" customFormat="1" x14ac:dyDescent="0.25">
      <c r="A17" s="16"/>
      <c r="B17" s="43"/>
      <c r="C17" s="44">
        <v>4</v>
      </c>
      <c r="D17" s="9">
        <f>77/12/3.281</f>
        <v>1.9557045616173931</v>
      </c>
      <c r="E17" s="9">
        <v>4.43</v>
      </c>
      <c r="F17" s="9">
        <f t="shared" si="0"/>
        <v>34.655084831860208</v>
      </c>
      <c r="G17" s="9">
        <f t="shared" si="1"/>
        <v>34.655084831860208</v>
      </c>
      <c r="H17" s="42"/>
      <c r="I17" s="42"/>
      <c r="J17" s="42"/>
      <c r="K17" s="27"/>
    </row>
    <row r="18" spans="1:11" s="36" customFormat="1" ht="45" x14ac:dyDescent="0.25">
      <c r="A18" s="16"/>
      <c r="B18" s="43" t="s">
        <v>48</v>
      </c>
      <c r="C18" s="44">
        <f>4</f>
        <v>4</v>
      </c>
      <c r="D18" s="9">
        <f>10.67/3.281</f>
        <v>3.2520572996037793</v>
      </c>
      <c r="E18" s="9">
        <v>4.43</v>
      </c>
      <c r="F18" s="9">
        <f t="shared" si="0"/>
        <v>57.626455348978965</v>
      </c>
      <c r="G18" s="9">
        <f t="shared" si="1"/>
        <v>57.626455348978965</v>
      </c>
      <c r="H18" s="42"/>
      <c r="I18" s="42"/>
      <c r="J18" s="42"/>
      <c r="K18" s="27"/>
    </row>
    <row r="19" spans="1:11" s="36" customFormat="1" x14ac:dyDescent="0.25">
      <c r="A19" s="16"/>
      <c r="B19" s="43"/>
      <c r="C19" s="44">
        <f>4</f>
        <v>4</v>
      </c>
      <c r="D19" s="9">
        <f>15/3.281</f>
        <v>4.5717768972874122</v>
      </c>
      <c r="E19" s="9">
        <v>4.43</v>
      </c>
      <c r="F19" s="9">
        <f t="shared" si="0"/>
        <v>81.011886619932937</v>
      </c>
      <c r="G19" s="9">
        <f t="shared" si="1"/>
        <v>81.011886619932937</v>
      </c>
      <c r="H19" s="42"/>
      <c r="I19" s="42"/>
      <c r="J19" s="42"/>
      <c r="K19" s="27"/>
    </row>
    <row r="20" spans="1:11" s="36" customFormat="1" ht="45" x14ac:dyDescent="0.25">
      <c r="A20" s="16"/>
      <c r="B20" s="43" t="s">
        <v>49</v>
      </c>
      <c r="C20" s="44">
        <f>4*1</f>
        <v>4</v>
      </c>
      <c r="D20" s="9">
        <f>6.42/3.281</f>
        <v>1.9567205120390123</v>
      </c>
      <c r="E20" s="9">
        <v>4.43</v>
      </c>
      <c r="F20" s="9">
        <f t="shared" si="0"/>
        <v>34.673087473331293</v>
      </c>
      <c r="G20" s="9">
        <f t="shared" si="1"/>
        <v>34.673087473331293</v>
      </c>
      <c r="H20" s="42"/>
      <c r="I20" s="42"/>
      <c r="J20" s="42"/>
      <c r="K20" s="27"/>
    </row>
    <row r="21" spans="1:11" s="36" customFormat="1" x14ac:dyDescent="0.25">
      <c r="A21" s="16"/>
      <c r="B21" s="43"/>
      <c r="C21" s="44">
        <f>4*2</f>
        <v>8</v>
      </c>
      <c r="D21" s="9">
        <f>6.42/3.281</f>
        <v>1.9567205120390123</v>
      </c>
      <c r="E21" s="9">
        <v>4.43</v>
      </c>
      <c r="F21" s="9">
        <f t="shared" si="0"/>
        <v>69.346174946662586</v>
      </c>
      <c r="G21" s="9">
        <f t="shared" si="1"/>
        <v>69.346174946662586</v>
      </c>
      <c r="H21" s="42"/>
      <c r="I21" s="42"/>
      <c r="J21" s="42"/>
      <c r="K21" s="27"/>
    </row>
    <row r="22" spans="1:11" s="36" customFormat="1" ht="45" x14ac:dyDescent="0.25">
      <c r="A22" s="16"/>
      <c r="B22" s="43" t="s">
        <v>50</v>
      </c>
      <c r="C22" s="44">
        <v>4</v>
      </c>
      <c r="D22" s="9">
        <f>8/12/3.281</f>
        <v>0.20319008432388497</v>
      </c>
      <c r="E22" s="9">
        <v>4.43</v>
      </c>
      <c r="F22" s="9">
        <f t="shared" si="0"/>
        <v>3.6005282942192416</v>
      </c>
      <c r="G22" s="9">
        <f t="shared" si="1"/>
        <v>3.6005282942192416</v>
      </c>
      <c r="H22" s="42"/>
      <c r="I22" s="42"/>
      <c r="J22" s="42"/>
      <c r="K22" s="27"/>
    </row>
    <row r="23" spans="1:11" s="36" customFormat="1" x14ac:dyDescent="0.25">
      <c r="A23" s="16"/>
      <c r="B23" s="43"/>
      <c r="C23" s="44">
        <v>4</v>
      </c>
      <c r="D23" s="9">
        <f>54/12/3.281</f>
        <v>1.3715330691862238</v>
      </c>
      <c r="E23" s="9">
        <v>4.43</v>
      </c>
      <c r="F23" s="9">
        <f t="shared" si="0"/>
        <v>24.303565985979883</v>
      </c>
      <c r="G23" s="9">
        <f t="shared" si="1"/>
        <v>24.303565985979883</v>
      </c>
      <c r="H23" s="42"/>
      <c r="I23" s="42"/>
      <c r="J23" s="42"/>
      <c r="K23" s="27"/>
    </row>
    <row r="24" spans="1:11" s="36" customFormat="1" x14ac:dyDescent="0.25">
      <c r="A24" s="16"/>
      <c r="B24" s="43"/>
      <c r="C24" s="44">
        <v>4</v>
      </c>
      <c r="D24" s="9">
        <f>105/12/3.281</f>
        <v>2.6668698567509903</v>
      </c>
      <c r="E24" s="9">
        <v>4.43</v>
      </c>
      <c r="F24" s="9">
        <f t="shared" si="0"/>
        <v>47.256933861627545</v>
      </c>
      <c r="G24" s="9">
        <f t="shared" si="1"/>
        <v>47.256933861627545</v>
      </c>
      <c r="H24" s="42"/>
      <c r="I24" s="42"/>
      <c r="J24" s="42"/>
      <c r="K24" s="27"/>
    </row>
    <row r="25" spans="1:11" s="36" customFormat="1" ht="45" x14ac:dyDescent="0.25">
      <c r="A25" s="16"/>
      <c r="B25" s="43" t="s">
        <v>51</v>
      </c>
      <c r="C25" s="44">
        <v>4</v>
      </c>
      <c r="D25" s="9">
        <f>75/12/3.281</f>
        <v>1.9049070405364217</v>
      </c>
      <c r="E25" s="9">
        <v>4.43</v>
      </c>
      <c r="F25" s="9">
        <f t="shared" si="0"/>
        <v>33.754952758305393</v>
      </c>
      <c r="G25" s="9">
        <f t="shared" si="1"/>
        <v>33.754952758305393</v>
      </c>
      <c r="H25" s="42"/>
      <c r="I25" s="42"/>
      <c r="J25" s="42"/>
      <c r="K25" s="27"/>
    </row>
    <row r="26" spans="1:11" s="36" customFormat="1" x14ac:dyDescent="0.25">
      <c r="A26" s="16"/>
      <c r="B26" s="43"/>
      <c r="C26" s="44">
        <f>4*2</f>
        <v>8</v>
      </c>
      <c r="D26" s="9">
        <f>(36+37)/12/3.281</f>
        <v>1.8541095194554504</v>
      </c>
      <c r="E26" s="9">
        <v>4.43</v>
      </c>
      <c r="F26" s="9">
        <f t="shared" si="0"/>
        <v>65.709641369501156</v>
      </c>
      <c r="G26" s="9">
        <f t="shared" si="1"/>
        <v>65.709641369501156</v>
      </c>
      <c r="H26" s="42"/>
      <c r="I26" s="42"/>
      <c r="J26" s="42"/>
      <c r="K26" s="27"/>
    </row>
    <row r="27" spans="1:11" s="36" customFormat="1" ht="45" x14ac:dyDescent="0.25">
      <c r="A27" s="16"/>
      <c r="B27" s="43" t="s">
        <v>70</v>
      </c>
      <c r="C27" s="44">
        <v>1</v>
      </c>
      <c r="D27" s="9">
        <f>6/3.281</f>
        <v>1.8287107589149649</v>
      </c>
      <c r="E27" s="9">
        <v>3.01</v>
      </c>
      <c r="F27" s="9">
        <f t="shared" si="0"/>
        <v>5.5044193843340441</v>
      </c>
      <c r="G27" s="9">
        <f t="shared" si="1"/>
        <v>5.5044193843340441</v>
      </c>
      <c r="H27" s="42"/>
      <c r="I27" s="42"/>
      <c r="J27" s="42"/>
      <c r="K27" s="27"/>
    </row>
    <row r="28" spans="1:11" s="36" customFormat="1" x14ac:dyDescent="0.25">
      <c r="A28" s="16"/>
      <c r="B28" s="43"/>
      <c r="C28" s="44">
        <v>4</v>
      </c>
      <c r="D28" s="9">
        <v>1.5</v>
      </c>
      <c r="E28" s="9">
        <v>3.01</v>
      </c>
      <c r="F28" s="9">
        <f t="shared" si="0"/>
        <v>18.059999999999999</v>
      </c>
      <c r="G28" s="9">
        <f t="shared" si="1"/>
        <v>18.059999999999999</v>
      </c>
      <c r="H28" s="42"/>
      <c r="I28" s="42"/>
      <c r="J28" s="42"/>
      <c r="K28" s="27"/>
    </row>
    <row r="29" spans="1:11" s="36" customFormat="1" ht="30" x14ac:dyDescent="0.25">
      <c r="A29" s="16"/>
      <c r="B29" s="43" t="s">
        <v>98</v>
      </c>
      <c r="C29" s="44">
        <v>1</v>
      </c>
      <c r="D29" s="9">
        <f>(7+65/12+76/12+74/12+6)/3.281</f>
        <v>9.4229401605201666</v>
      </c>
      <c r="E29" s="9">
        <v>2.2599999999999998</v>
      </c>
      <c r="F29" s="9">
        <f t="shared" si="0"/>
        <v>21.295844762775573</v>
      </c>
      <c r="G29" s="9">
        <f t="shared" si="1"/>
        <v>21.295844762775573</v>
      </c>
      <c r="H29" s="42"/>
      <c r="I29" s="42"/>
      <c r="J29" s="42"/>
      <c r="K29" s="27"/>
    </row>
    <row r="30" spans="1:11" s="36" customFormat="1" x14ac:dyDescent="0.25">
      <c r="A30" s="16"/>
      <c r="B30" s="43"/>
      <c r="C30" s="44">
        <v>2</v>
      </c>
      <c r="D30" s="9">
        <f>(69+72+75+64+82)/12/3.281</f>
        <v>9.1943513156557959</v>
      </c>
      <c r="E30" s="9">
        <v>2.2599999999999998</v>
      </c>
      <c r="F30" s="9">
        <f t="shared" si="0"/>
        <v>41.558467946764196</v>
      </c>
      <c r="G30" s="9">
        <f t="shared" si="1"/>
        <v>41.558467946764196</v>
      </c>
      <c r="H30" s="42"/>
      <c r="I30" s="42"/>
      <c r="J30" s="42"/>
      <c r="K30" s="27"/>
    </row>
    <row r="31" spans="1:11" s="36" customFormat="1" x14ac:dyDescent="0.25">
      <c r="A31" s="16"/>
      <c r="B31" s="43"/>
      <c r="C31" s="44">
        <v>1</v>
      </c>
      <c r="D31" s="9">
        <f>82/12/3.281</f>
        <v>2.0826983643198211</v>
      </c>
      <c r="E31" s="9">
        <v>2.2599999999999998</v>
      </c>
      <c r="F31" s="9">
        <f t="shared" si="0"/>
        <v>4.7068983033627951</v>
      </c>
      <c r="G31" s="9">
        <f t="shared" si="1"/>
        <v>4.7068983033627951</v>
      </c>
      <c r="H31" s="42"/>
      <c r="I31" s="42"/>
      <c r="J31" s="42"/>
      <c r="K31" s="27"/>
    </row>
    <row r="32" spans="1:11" s="36" customFormat="1" x14ac:dyDescent="0.25">
      <c r="A32" s="2"/>
      <c r="B32" s="43" t="s">
        <v>39</v>
      </c>
      <c r="C32" s="3"/>
      <c r="D32" s="4"/>
      <c r="E32" s="5"/>
      <c r="F32" s="5"/>
      <c r="G32" s="42">
        <f>SUM(G10:G31)</f>
        <v>880.06056639235987</v>
      </c>
      <c r="H32" s="7" t="s">
        <v>40</v>
      </c>
      <c r="I32" s="6">
        <v>182.51</v>
      </c>
      <c r="J32" s="42">
        <f>G32*I32</f>
        <v>160619.8539722696</v>
      </c>
      <c r="K32" s="5"/>
    </row>
    <row r="33" spans="1:18" s="36" customFormat="1" hidden="1" x14ac:dyDescent="0.25">
      <c r="A33" s="2"/>
      <c r="B33" s="43" t="s">
        <v>41</v>
      </c>
      <c r="C33" s="3"/>
      <c r="D33" s="4"/>
      <c r="E33" s="5"/>
      <c r="F33" s="5"/>
      <c r="G33" s="42"/>
      <c r="H33" s="7"/>
      <c r="I33" s="6"/>
      <c r="J33" s="42">
        <f>0.13*G32*(1871.42/18.94)</f>
        <v>11304.391915023165</v>
      </c>
      <c r="K33" s="5"/>
    </row>
    <row r="34" spans="1:18" s="36" customFormat="1" x14ac:dyDescent="0.25">
      <c r="A34" s="2"/>
      <c r="B34" s="43"/>
      <c r="C34" s="3"/>
      <c r="D34" s="4"/>
      <c r="E34" s="5"/>
      <c r="F34" s="5"/>
      <c r="G34" s="42"/>
      <c r="H34" s="7"/>
      <c r="I34" s="6"/>
      <c r="J34" s="42"/>
      <c r="K34" s="5"/>
      <c r="R34" s="96"/>
    </row>
    <row r="35" spans="1:18" s="36" customFormat="1" ht="30" x14ac:dyDescent="0.25">
      <c r="A35" s="2">
        <v>2</v>
      </c>
      <c r="B35" s="39" t="s">
        <v>59</v>
      </c>
      <c r="C35" s="3"/>
      <c r="D35" s="4"/>
      <c r="E35" s="5"/>
      <c r="F35" s="5"/>
      <c r="G35" s="42"/>
      <c r="H35" s="7"/>
      <c r="I35" s="6"/>
      <c r="J35" s="42"/>
      <c r="K35" s="5"/>
      <c r="R35" s="96"/>
    </row>
    <row r="36" spans="1:18" s="36" customFormat="1" x14ac:dyDescent="0.25">
      <c r="A36" s="2"/>
      <c r="B36" s="43" t="s">
        <v>52</v>
      </c>
      <c r="C36" s="3">
        <v>4</v>
      </c>
      <c r="D36" s="4">
        <f>(15+6)/2/3.281</f>
        <v>3.2002438281011885</v>
      </c>
      <c r="E36" s="5">
        <f>5.583/3.281</f>
        <v>1.7016153611703748</v>
      </c>
      <c r="F36" s="5"/>
      <c r="G36" s="33">
        <f t="shared" ref="G36:G37" si="2">PRODUCT(C36:F36)</f>
        <v>21.782336229550666</v>
      </c>
      <c r="H36" s="7"/>
      <c r="I36" s="6"/>
      <c r="J36" s="42"/>
      <c r="K36" s="5"/>
    </row>
    <row r="37" spans="1:18" s="36" customFormat="1" x14ac:dyDescent="0.25">
      <c r="A37" s="2"/>
      <c r="B37" s="43" t="s">
        <v>53</v>
      </c>
      <c r="C37" s="3">
        <v>4</v>
      </c>
      <c r="D37" s="4">
        <f>5/3.281</f>
        <v>1.5239256324291375</v>
      </c>
      <c r="E37" s="5">
        <f>5.583/3.281</f>
        <v>1.7016153611703748</v>
      </c>
      <c r="F37" s="5"/>
      <c r="G37" s="33">
        <f t="shared" si="2"/>
        <v>10.372541061690795</v>
      </c>
      <c r="H37" s="7"/>
      <c r="I37" s="6"/>
      <c r="J37" s="42"/>
      <c r="K37" s="5"/>
    </row>
    <row r="38" spans="1:18" s="36" customFormat="1" x14ac:dyDescent="0.25">
      <c r="A38" s="2"/>
      <c r="B38" s="43" t="s">
        <v>39</v>
      </c>
      <c r="C38" s="3"/>
      <c r="D38" s="4"/>
      <c r="E38" s="5"/>
      <c r="F38" s="5"/>
      <c r="G38" s="42">
        <f>SUM(G36:G37)</f>
        <v>32.154877291241462</v>
      </c>
      <c r="H38" s="7" t="s">
        <v>54</v>
      </c>
      <c r="I38" s="6">
        <v>1112.58</v>
      </c>
      <c r="J38" s="42">
        <f>G38*I38</f>
        <v>35774.873376689422</v>
      </c>
      <c r="K38" s="5"/>
    </row>
    <row r="39" spans="1:18" hidden="1" x14ac:dyDescent="0.25">
      <c r="A39" s="16"/>
      <c r="B39" s="32" t="s">
        <v>55</v>
      </c>
      <c r="C39" s="17"/>
      <c r="D39" s="17"/>
      <c r="E39" s="17"/>
      <c r="F39" s="17"/>
      <c r="G39" s="17"/>
      <c r="H39" s="17"/>
      <c r="I39" s="17"/>
      <c r="J39" s="18">
        <f>0.13*G38*7050.67/10</f>
        <v>2947.2745727234869</v>
      </c>
      <c r="K39" s="17"/>
    </row>
    <row r="40" spans="1:18" hidden="1" x14ac:dyDescent="0.25">
      <c r="A40" s="16"/>
      <c r="B40" s="32" t="s">
        <v>56</v>
      </c>
      <c r="C40" s="17"/>
      <c r="D40" s="17"/>
      <c r="E40" s="17"/>
      <c r="F40" s="17"/>
      <c r="G40" s="17"/>
      <c r="H40" s="17"/>
      <c r="I40" s="17"/>
      <c r="J40" s="18">
        <f>0.13*G38*1023.75/10</f>
        <v>427.94122314980984</v>
      </c>
      <c r="K40" s="17"/>
    </row>
    <row r="41" spans="1:18" hidden="1" x14ac:dyDescent="0.25">
      <c r="A41" s="16"/>
      <c r="B41" s="32" t="s">
        <v>57</v>
      </c>
      <c r="C41" s="17"/>
      <c r="D41" s="17"/>
      <c r="E41" s="17"/>
      <c r="F41" s="17"/>
      <c r="G41" s="17"/>
      <c r="H41" s="17"/>
      <c r="I41" s="17"/>
      <c r="J41" s="18">
        <f>0.13*G38*348.21/10</f>
        <v>145.55644768058147</v>
      </c>
      <c r="K41" s="17"/>
    </row>
    <row r="42" spans="1:18" hidden="1" x14ac:dyDescent="0.25">
      <c r="A42" s="16"/>
      <c r="B42" s="32" t="s">
        <v>58</v>
      </c>
      <c r="C42" s="17"/>
      <c r="D42" s="17"/>
      <c r="E42" s="17"/>
      <c r="F42" s="17"/>
      <c r="G42" s="17"/>
      <c r="H42" s="17"/>
      <c r="I42" s="17"/>
      <c r="J42" s="18">
        <f>0.13*G38*165/10</f>
        <v>68.972211789712929</v>
      </c>
      <c r="K42" s="17"/>
    </row>
    <row r="43" spans="1:18" x14ac:dyDescent="0.25">
      <c r="A43" s="16"/>
      <c r="B43" s="32"/>
      <c r="C43" s="17"/>
      <c r="D43" s="17"/>
      <c r="E43" s="17"/>
      <c r="F43" s="17"/>
      <c r="G43" s="17"/>
      <c r="H43" s="17"/>
      <c r="I43" s="17"/>
      <c r="J43" s="18"/>
      <c r="K43" s="17"/>
    </row>
    <row r="44" spans="1:18" ht="150" x14ac:dyDescent="0.25">
      <c r="A44" s="16">
        <v>3</v>
      </c>
      <c r="B44" s="45" t="s">
        <v>60</v>
      </c>
      <c r="C44" s="17"/>
      <c r="D44" s="17"/>
      <c r="E44" s="17"/>
      <c r="F44" s="17"/>
      <c r="G44" s="17"/>
      <c r="H44" s="17"/>
      <c r="I44" s="17"/>
      <c r="J44" s="18"/>
      <c r="K44" s="17"/>
    </row>
    <row r="45" spans="1:18" x14ac:dyDescent="0.25">
      <c r="A45" s="16"/>
      <c r="B45" s="32" t="s">
        <v>61</v>
      </c>
      <c r="C45" s="17">
        <v>1</v>
      </c>
      <c r="D45" s="33">
        <f>D54</f>
        <v>9.5245352026821095</v>
      </c>
      <c r="E45" s="17">
        <f>E54</f>
        <v>1.7375</v>
      </c>
      <c r="F45" s="33">
        <v>0.9</v>
      </c>
      <c r="G45" s="33">
        <f t="shared" ref="G45:G49" si="3">PRODUCT(C45:F45)</f>
        <v>14.89399192319415</v>
      </c>
      <c r="H45" s="17"/>
      <c r="I45" s="17"/>
      <c r="J45" s="18"/>
      <c r="K45" s="17"/>
    </row>
    <row r="46" spans="1:18" x14ac:dyDescent="0.25">
      <c r="A46" s="16"/>
      <c r="B46" s="32"/>
      <c r="C46" s="17">
        <v>1</v>
      </c>
      <c r="D46" s="33">
        <f>D55</f>
        <v>7.8229198415117347</v>
      </c>
      <c r="E46" s="33">
        <f>E55</f>
        <v>0.95</v>
      </c>
      <c r="F46" s="17">
        <v>0.75</v>
      </c>
      <c r="G46" s="33">
        <f t="shared" si="3"/>
        <v>5.5738303870771109</v>
      </c>
      <c r="H46" s="17"/>
      <c r="I46" s="17"/>
      <c r="J46" s="18"/>
      <c r="K46" s="17"/>
    </row>
    <row r="47" spans="1:18" x14ac:dyDescent="0.25">
      <c r="A47" s="16"/>
      <c r="B47" s="32" t="s">
        <v>65</v>
      </c>
      <c r="C47" s="17">
        <v>4</v>
      </c>
      <c r="D47" s="33">
        <v>0.6</v>
      </c>
      <c r="E47" s="33">
        <v>0.6</v>
      </c>
      <c r="F47" s="17">
        <v>0.45</v>
      </c>
      <c r="G47" s="33">
        <f t="shared" si="3"/>
        <v>0.64800000000000002</v>
      </c>
      <c r="H47" s="17"/>
      <c r="I47" s="17"/>
      <c r="J47" s="18"/>
      <c r="K47" s="17"/>
    </row>
    <row r="48" spans="1:18" x14ac:dyDescent="0.25">
      <c r="A48" s="16"/>
      <c r="B48" s="32" t="s">
        <v>66</v>
      </c>
      <c r="C48" s="17">
        <v>4</v>
      </c>
      <c r="D48" s="33">
        <f>10.25/3.281</f>
        <v>3.1240475464797317</v>
      </c>
      <c r="E48" s="17">
        <v>0.45</v>
      </c>
      <c r="F48" s="33">
        <v>0.3</v>
      </c>
      <c r="G48" s="33">
        <f t="shared" si="3"/>
        <v>1.6869856750990553</v>
      </c>
      <c r="H48" s="17"/>
      <c r="I48" s="17"/>
      <c r="J48" s="18"/>
      <c r="K48" s="17"/>
    </row>
    <row r="49" spans="1:11" x14ac:dyDescent="0.25">
      <c r="A49" s="16"/>
      <c r="B49" s="32" t="s">
        <v>72</v>
      </c>
      <c r="C49" s="17">
        <v>5</v>
      </c>
      <c r="D49" s="33">
        <v>0.23</v>
      </c>
      <c r="E49" s="33">
        <v>0.23</v>
      </c>
      <c r="F49" s="33">
        <v>0.3</v>
      </c>
      <c r="G49" s="33">
        <f t="shared" si="3"/>
        <v>7.9350000000000018E-2</v>
      </c>
      <c r="H49" s="17"/>
      <c r="I49" s="17"/>
      <c r="J49" s="18"/>
      <c r="K49" s="17"/>
    </row>
    <row r="50" spans="1:11" s="36" customFormat="1" x14ac:dyDescent="0.25">
      <c r="A50" s="2"/>
      <c r="B50" s="43" t="s">
        <v>39</v>
      </c>
      <c r="C50" s="3"/>
      <c r="D50" s="4"/>
      <c r="E50" s="5"/>
      <c r="F50" s="5"/>
      <c r="G50" s="42">
        <f>SUM(G45:G49)</f>
        <v>22.882157985370316</v>
      </c>
      <c r="H50" s="7" t="s">
        <v>63</v>
      </c>
      <c r="I50" s="6">
        <v>62.95</v>
      </c>
      <c r="J50" s="42">
        <f>G50*I50</f>
        <v>1440.4318451790614</v>
      </c>
      <c r="K50" s="5"/>
    </row>
    <row r="51" spans="1:11" hidden="1" x14ac:dyDescent="0.25">
      <c r="A51" s="16"/>
      <c r="B51" s="32" t="s">
        <v>62</v>
      </c>
      <c r="C51" s="17"/>
      <c r="D51" s="17"/>
      <c r="E51" s="17"/>
      <c r="F51" s="17"/>
      <c r="G51" s="17"/>
      <c r="H51" s="17"/>
      <c r="I51" s="17"/>
      <c r="J51" s="18">
        <f>0.13*G50*18612/360</f>
        <v>153.7909838196739</v>
      </c>
      <c r="K51" s="17"/>
    </row>
    <row r="52" spans="1:11" x14ac:dyDescent="0.25">
      <c r="A52" s="16"/>
      <c r="B52" s="32"/>
      <c r="C52" s="17"/>
      <c r="D52" s="17"/>
      <c r="E52" s="17"/>
      <c r="F52" s="17"/>
      <c r="G52" s="17"/>
      <c r="H52" s="17"/>
      <c r="I52" s="17"/>
      <c r="J52" s="18"/>
      <c r="K52" s="17"/>
    </row>
    <row r="53" spans="1:11" ht="105" x14ac:dyDescent="0.25">
      <c r="A53" s="16">
        <v>4</v>
      </c>
      <c r="B53" s="45" t="s">
        <v>26</v>
      </c>
      <c r="C53" s="17"/>
      <c r="D53" s="17"/>
      <c r="E53" s="17"/>
      <c r="F53" s="17"/>
      <c r="G53" s="17"/>
      <c r="H53" s="17"/>
      <c r="I53" s="17"/>
      <c r="J53" s="18"/>
      <c r="K53" s="17"/>
    </row>
    <row r="54" spans="1:11" x14ac:dyDescent="0.25">
      <c r="A54" s="16"/>
      <c r="B54" s="32" t="s">
        <v>61</v>
      </c>
      <c r="C54" s="17">
        <v>1</v>
      </c>
      <c r="D54" s="33">
        <f>D65</f>
        <v>9.5245352026821095</v>
      </c>
      <c r="E54" s="17">
        <f>E65</f>
        <v>1.7375</v>
      </c>
      <c r="F54" s="17">
        <v>0.15</v>
      </c>
      <c r="G54" s="33">
        <f t="shared" ref="G54:G60" si="4">PRODUCT(C54:F54)</f>
        <v>2.4823319871990246</v>
      </c>
      <c r="H54" s="17"/>
      <c r="I54" s="17"/>
      <c r="J54" s="18"/>
      <c r="K54" s="17"/>
    </row>
    <row r="55" spans="1:11" x14ac:dyDescent="0.25">
      <c r="A55" s="16"/>
      <c r="B55" s="32"/>
      <c r="C55" s="17">
        <v>1</v>
      </c>
      <c r="D55" s="33">
        <f>D67</f>
        <v>7.8229198415117347</v>
      </c>
      <c r="E55" s="33">
        <f>E67</f>
        <v>0.95</v>
      </c>
      <c r="F55" s="17">
        <v>0.15</v>
      </c>
      <c r="G55" s="33">
        <f t="shared" si="4"/>
        <v>1.1147660774154222</v>
      </c>
      <c r="H55" s="17"/>
      <c r="I55" s="17"/>
      <c r="J55" s="18"/>
      <c r="K55" s="17"/>
    </row>
    <row r="56" spans="1:11" x14ac:dyDescent="0.25">
      <c r="A56" s="16"/>
      <c r="B56" s="32" t="str">
        <f>B47</f>
        <v>-for footing of vertical post</v>
      </c>
      <c r="C56" s="17">
        <f>C47</f>
        <v>4</v>
      </c>
      <c r="D56" s="33">
        <v>0.45</v>
      </c>
      <c r="E56" s="17">
        <v>0.45</v>
      </c>
      <c r="F56" s="17">
        <v>0.15</v>
      </c>
      <c r="G56" s="33">
        <f t="shared" si="4"/>
        <v>0.1215</v>
      </c>
      <c r="H56" s="17"/>
      <c r="I56" s="17"/>
      <c r="J56" s="18"/>
      <c r="K56" s="17"/>
    </row>
    <row r="57" spans="1:11" x14ac:dyDescent="0.25">
      <c r="A57" s="16"/>
      <c r="B57" s="32" t="str">
        <f>B48</f>
        <v>-for plinth level</v>
      </c>
      <c r="C57" s="17">
        <f>C48</f>
        <v>4</v>
      </c>
      <c r="D57" s="33">
        <f>11.17/3.281</f>
        <v>3.4044498628466928</v>
      </c>
      <c r="E57" s="17">
        <v>0.45</v>
      </c>
      <c r="F57" s="17">
        <v>0.15</v>
      </c>
      <c r="G57" s="33">
        <f t="shared" si="4"/>
        <v>0.91920146296860705</v>
      </c>
      <c r="H57" s="17"/>
      <c r="I57" s="17"/>
      <c r="J57" s="18"/>
      <c r="K57" s="17"/>
    </row>
    <row r="58" spans="1:11" x14ac:dyDescent="0.25">
      <c r="A58" s="16"/>
      <c r="B58" s="32"/>
      <c r="C58" s="17">
        <v>1</v>
      </c>
      <c r="D58" s="33">
        <f>11.17/3.281</f>
        <v>3.4044498628466928</v>
      </c>
      <c r="E58" s="33">
        <f>11.17/3.281</f>
        <v>3.4044498628466928</v>
      </c>
      <c r="F58" s="17">
        <v>0.15</v>
      </c>
      <c r="G58" s="33">
        <f t="shared" si="4"/>
        <v>1.7385418302955298</v>
      </c>
      <c r="H58" s="17"/>
      <c r="I58" s="17"/>
      <c r="J58" s="18"/>
      <c r="K58" s="17"/>
    </row>
    <row r="59" spans="1:11" x14ac:dyDescent="0.25">
      <c r="A59" s="16"/>
      <c r="B59" s="32" t="s">
        <v>67</v>
      </c>
      <c r="C59" s="17">
        <v>-1</v>
      </c>
      <c r="D59" s="33">
        <v>1.5</v>
      </c>
      <c r="E59" s="33">
        <v>1.8</v>
      </c>
      <c r="F59" s="17">
        <v>0.15</v>
      </c>
      <c r="G59" s="33">
        <f t="shared" si="4"/>
        <v>-0.40500000000000003</v>
      </c>
      <c r="H59" s="17"/>
      <c r="I59" s="17"/>
      <c r="J59" s="18"/>
      <c r="K59" s="17"/>
    </row>
    <row r="60" spans="1:11" x14ac:dyDescent="0.25">
      <c r="A60" s="16"/>
      <c r="B60" s="32" t="str">
        <f>B49</f>
        <v>-for railing</v>
      </c>
      <c r="C60" s="17">
        <v>5</v>
      </c>
      <c r="D60" s="33">
        <f>D49</f>
        <v>0.23</v>
      </c>
      <c r="E60" s="33">
        <f>E49</f>
        <v>0.23</v>
      </c>
      <c r="F60" s="17">
        <v>0.15</v>
      </c>
      <c r="G60" s="33">
        <f t="shared" si="4"/>
        <v>3.9675000000000009E-2</v>
      </c>
      <c r="H60" s="17"/>
      <c r="I60" s="17"/>
      <c r="J60" s="18"/>
      <c r="K60" s="17"/>
    </row>
    <row r="61" spans="1:11" s="36" customFormat="1" x14ac:dyDescent="0.25">
      <c r="A61" s="2"/>
      <c r="B61" s="43" t="s">
        <v>39</v>
      </c>
      <c r="C61" s="3"/>
      <c r="D61" s="4"/>
      <c r="E61" s="5"/>
      <c r="F61" s="5"/>
      <c r="G61" s="42">
        <f>SUM(G54:G60)</f>
        <v>6.0110163578785833</v>
      </c>
      <c r="H61" s="7" t="s">
        <v>63</v>
      </c>
      <c r="I61" s="6">
        <v>4458.5200000000004</v>
      </c>
      <c r="J61" s="42">
        <f>G61*I61</f>
        <v>26800.236651928823</v>
      </c>
      <c r="K61" s="5"/>
    </row>
    <row r="62" spans="1:11" hidden="1" x14ac:dyDescent="0.25">
      <c r="A62" s="16"/>
      <c r="B62" s="32" t="s">
        <v>32</v>
      </c>
      <c r="C62" s="17"/>
      <c r="D62" s="17"/>
      <c r="E62" s="17"/>
      <c r="F62" s="17"/>
      <c r="G62" s="17"/>
      <c r="H62" s="17"/>
      <c r="I62" s="17"/>
      <c r="J62" s="18">
        <f>0.13*G61*15452.64/5</f>
        <v>2415.0378671226317</v>
      </c>
      <c r="K62" s="17"/>
    </row>
    <row r="63" spans="1:11" x14ac:dyDescent="0.25">
      <c r="A63" s="16"/>
      <c r="B63" s="45"/>
      <c r="C63" s="17"/>
      <c r="D63" s="17"/>
      <c r="E63" s="17"/>
      <c r="F63" s="17"/>
      <c r="G63" s="17"/>
      <c r="H63" s="17"/>
      <c r="I63" s="17"/>
      <c r="J63" s="18"/>
      <c r="K63" s="17"/>
    </row>
    <row r="64" spans="1:11" ht="94.5" x14ac:dyDescent="0.25">
      <c r="A64" s="16">
        <v>5</v>
      </c>
      <c r="B64" s="46" t="s">
        <v>27</v>
      </c>
      <c r="C64" s="17"/>
      <c r="D64" s="17"/>
      <c r="E64" s="17"/>
      <c r="F64" s="17"/>
      <c r="G64" s="17"/>
      <c r="H64" s="17"/>
      <c r="I64" s="17"/>
      <c r="J64" s="17"/>
      <c r="K64" s="17"/>
    </row>
    <row r="65" spans="1:11" x14ac:dyDescent="0.25">
      <c r="A65" s="16"/>
      <c r="B65" s="32" t="s">
        <v>61</v>
      </c>
      <c r="C65" s="17">
        <v>1</v>
      </c>
      <c r="D65" s="33">
        <f>D82</f>
        <v>9.5245352026821095</v>
      </c>
      <c r="E65" s="33">
        <f>F82/2</f>
        <v>1.7375</v>
      </c>
      <c r="F65" s="17">
        <v>0.05</v>
      </c>
      <c r="G65" s="33">
        <f t="shared" ref="G65:G73" si="5">PRODUCT(C65:F65)</f>
        <v>0.82744399573300831</v>
      </c>
      <c r="H65" s="17"/>
      <c r="I65" s="17"/>
      <c r="J65" s="18"/>
      <c r="K65" s="17"/>
    </row>
    <row r="66" spans="1:11" x14ac:dyDescent="0.25">
      <c r="A66" s="16"/>
      <c r="B66" s="32"/>
      <c r="C66" s="17">
        <v>1</v>
      </c>
      <c r="D66" s="33">
        <f>D65</f>
        <v>9.5245352026821095</v>
      </c>
      <c r="E66" s="17">
        <v>0.45</v>
      </c>
      <c r="F66" s="17">
        <v>0.05</v>
      </c>
      <c r="G66" s="33">
        <f t="shared" si="5"/>
        <v>0.21430204206034748</v>
      </c>
      <c r="H66" s="17"/>
      <c r="I66" s="17"/>
      <c r="J66" s="18"/>
      <c r="K66" s="17"/>
    </row>
    <row r="67" spans="1:11" x14ac:dyDescent="0.25">
      <c r="A67" s="16"/>
      <c r="B67" s="32"/>
      <c r="C67" s="17">
        <v>1</v>
      </c>
      <c r="D67" s="33">
        <f>D83</f>
        <v>7.8229198415117347</v>
      </c>
      <c r="E67" s="33">
        <f>F83/2</f>
        <v>0.95</v>
      </c>
      <c r="F67" s="17">
        <v>0.05</v>
      </c>
      <c r="G67" s="33">
        <f t="shared" si="5"/>
        <v>0.37158869247180742</v>
      </c>
      <c r="H67" s="17"/>
      <c r="I67" s="17"/>
      <c r="J67" s="18"/>
      <c r="K67" s="17"/>
    </row>
    <row r="68" spans="1:11" x14ac:dyDescent="0.25">
      <c r="A68" s="16"/>
      <c r="B68" s="32"/>
      <c r="C68" s="17">
        <v>1</v>
      </c>
      <c r="D68" s="33">
        <f>D83</f>
        <v>7.8229198415117347</v>
      </c>
      <c r="E68" s="17">
        <v>0.45</v>
      </c>
      <c r="F68" s="17">
        <v>0.05</v>
      </c>
      <c r="G68" s="33">
        <f t="shared" si="5"/>
        <v>0.17601569643401405</v>
      </c>
      <c r="H68" s="17"/>
      <c r="I68" s="17"/>
      <c r="J68" s="18"/>
      <c r="K68" s="17"/>
    </row>
    <row r="69" spans="1:11" x14ac:dyDescent="0.25">
      <c r="A69" s="16"/>
      <c r="B69" s="32" t="str">
        <f>B56</f>
        <v>-for footing of vertical post</v>
      </c>
      <c r="C69" s="17">
        <v>4</v>
      </c>
      <c r="D69" s="33">
        <v>0.45</v>
      </c>
      <c r="E69" s="17">
        <v>0.45</v>
      </c>
      <c r="F69" s="17">
        <v>0.3</v>
      </c>
      <c r="G69" s="33">
        <f t="shared" si="5"/>
        <v>0.24299999999999999</v>
      </c>
      <c r="H69" s="17"/>
      <c r="I69" s="17"/>
      <c r="J69" s="18"/>
      <c r="K69" s="17"/>
    </row>
    <row r="70" spans="1:11" x14ac:dyDescent="0.25">
      <c r="A70" s="16"/>
      <c r="B70" s="32" t="str">
        <f>B57</f>
        <v>-for plinth level</v>
      </c>
      <c r="C70" s="17">
        <f>C57</f>
        <v>4</v>
      </c>
      <c r="D70" s="33">
        <f>D57</f>
        <v>3.4044498628466928</v>
      </c>
      <c r="E70" s="17">
        <f>E57</f>
        <v>0.45</v>
      </c>
      <c r="F70" s="33">
        <v>0.05</v>
      </c>
      <c r="G70" s="33">
        <f t="shared" si="5"/>
        <v>0.30640048765620237</v>
      </c>
      <c r="H70" s="17"/>
      <c r="I70" s="17"/>
      <c r="J70" s="18"/>
      <c r="K70" s="17"/>
    </row>
    <row r="71" spans="1:11" x14ac:dyDescent="0.25">
      <c r="A71" s="16"/>
      <c r="B71" s="32"/>
      <c r="C71" s="17">
        <v>1</v>
      </c>
      <c r="D71" s="33">
        <f>14.17/3.281</f>
        <v>4.3188052423041752</v>
      </c>
      <c r="E71" s="33">
        <f>14.17/3.281</f>
        <v>4.3188052423041752</v>
      </c>
      <c r="F71" s="33">
        <v>7.4999999999999997E-2</v>
      </c>
      <c r="G71" s="33">
        <f t="shared" si="5"/>
        <v>1.3989059040715519</v>
      </c>
      <c r="H71" s="17"/>
      <c r="I71" s="17"/>
      <c r="J71" s="18"/>
      <c r="K71" s="17"/>
    </row>
    <row r="72" spans="1:11" x14ac:dyDescent="0.25">
      <c r="A72" s="16"/>
      <c r="B72" s="32" t="s">
        <v>67</v>
      </c>
      <c r="C72" s="17">
        <v>-1</v>
      </c>
      <c r="D72" s="33">
        <v>1.5</v>
      </c>
      <c r="E72" s="33">
        <v>1.8</v>
      </c>
      <c r="F72" s="33">
        <v>7.4999999999999997E-2</v>
      </c>
      <c r="G72" s="33">
        <f t="shared" si="5"/>
        <v>-0.20250000000000001</v>
      </c>
      <c r="H72" s="17"/>
      <c r="I72" s="17"/>
      <c r="J72" s="18"/>
      <c r="K72" s="17"/>
    </row>
    <row r="73" spans="1:11" x14ac:dyDescent="0.25">
      <c r="A73" s="16"/>
      <c r="B73" s="32" t="str">
        <f>B60</f>
        <v>-for railing</v>
      </c>
      <c r="C73" s="17">
        <v>5</v>
      </c>
      <c r="D73" s="33">
        <f>D60</f>
        <v>0.23</v>
      </c>
      <c r="E73" s="33">
        <f>E60</f>
        <v>0.23</v>
      </c>
      <c r="F73" s="33">
        <v>0.23</v>
      </c>
      <c r="G73" s="33">
        <f t="shared" si="5"/>
        <v>6.0835000000000021E-2</v>
      </c>
      <c r="H73" s="17"/>
      <c r="I73" s="17"/>
      <c r="J73" s="18"/>
      <c r="K73" s="17"/>
    </row>
    <row r="74" spans="1:11" s="36" customFormat="1" x14ac:dyDescent="0.25">
      <c r="A74" s="2"/>
      <c r="B74" s="43" t="s">
        <v>39</v>
      </c>
      <c r="C74" s="3"/>
      <c r="D74" s="4"/>
      <c r="E74" s="5"/>
      <c r="F74" s="5"/>
      <c r="G74" s="42">
        <f>SUM(G65:G73)</f>
        <v>3.3959918184269315</v>
      </c>
      <c r="H74" s="7" t="s">
        <v>63</v>
      </c>
      <c r="I74" s="6">
        <v>10964.46</v>
      </c>
      <c r="J74" s="42">
        <f>G74*I74</f>
        <v>37235.216453469351</v>
      </c>
      <c r="K74" s="5"/>
    </row>
    <row r="75" spans="1:11" hidden="1" x14ac:dyDescent="0.25">
      <c r="A75" s="16"/>
      <c r="B75" s="32" t="s">
        <v>28</v>
      </c>
      <c r="C75" s="17"/>
      <c r="D75" s="17"/>
      <c r="E75" s="17"/>
      <c r="F75" s="17"/>
      <c r="G75" s="17"/>
      <c r="H75" s="17"/>
      <c r="I75" s="17"/>
      <c r="J75" s="18">
        <f>0.13*G74*53818.03/15</f>
        <v>1583.9684428867447</v>
      </c>
      <c r="K75" s="17"/>
    </row>
    <row r="76" spans="1:11" hidden="1" x14ac:dyDescent="0.25">
      <c r="A76" s="16"/>
      <c r="B76" s="32" t="s">
        <v>29</v>
      </c>
      <c r="C76" s="17"/>
      <c r="D76" s="17"/>
      <c r="E76" s="17"/>
      <c r="F76" s="17"/>
      <c r="G76" s="17"/>
      <c r="H76" s="17"/>
      <c r="I76" s="17"/>
      <c r="J76" s="18">
        <f>0.13*G74*21432.6/15</f>
        <v>630.80276347934773</v>
      </c>
      <c r="K76" s="17"/>
    </row>
    <row r="77" spans="1:11" hidden="1" x14ac:dyDescent="0.25">
      <c r="A77" s="16"/>
      <c r="B77" s="32" t="s">
        <v>30</v>
      </c>
      <c r="C77" s="17"/>
      <c r="D77" s="17"/>
      <c r="E77" s="17"/>
      <c r="F77" s="17"/>
      <c r="G77" s="17"/>
      <c r="H77" s="17"/>
      <c r="I77" s="17"/>
      <c r="J77" s="18">
        <f>0.13*G74*(25719.12+13573.98+4286.52)/15</f>
        <v>1282.6322857413404</v>
      </c>
      <c r="K77" s="17"/>
    </row>
    <row r="78" spans="1:11" hidden="1" x14ac:dyDescent="0.25">
      <c r="A78" s="16"/>
      <c r="B78" s="32" t="s">
        <v>64</v>
      </c>
      <c r="C78" s="17"/>
      <c r="D78" s="17"/>
      <c r="E78" s="17"/>
      <c r="F78" s="17"/>
      <c r="G78" s="17"/>
      <c r="H78" s="17"/>
      <c r="I78" s="17"/>
      <c r="J78" s="18">
        <f>0.13*G74*(6325.7/15)</f>
        <v>186.17755386380142</v>
      </c>
      <c r="K78" s="17"/>
    </row>
    <row r="79" spans="1:11" hidden="1" x14ac:dyDescent="0.25">
      <c r="A79" s="16"/>
      <c r="B79" s="32" t="s">
        <v>33</v>
      </c>
      <c r="C79" s="17"/>
      <c r="D79" s="17"/>
      <c r="E79" s="17"/>
      <c r="F79" s="17"/>
      <c r="G79" s="17"/>
      <c r="H79" s="17"/>
      <c r="I79" s="17"/>
      <c r="J79" s="18">
        <f>0.13*G74*(310)/5</f>
        <v>27.371694056521068</v>
      </c>
      <c r="K79" s="17"/>
    </row>
    <row r="80" spans="1:11" x14ac:dyDescent="0.25">
      <c r="A80" s="16"/>
      <c r="B80" s="32"/>
      <c r="C80" s="17"/>
      <c r="D80" s="17"/>
      <c r="E80" s="17"/>
      <c r="F80" s="17"/>
      <c r="G80" s="17"/>
      <c r="H80" s="17"/>
      <c r="I80" s="17"/>
      <c r="J80" s="18"/>
      <c r="K80" s="17"/>
    </row>
    <row r="81" spans="1:16" ht="110.25" x14ac:dyDescent="0.25">
      <c r="A81" s="16">
        <v>6</v>
      </c>
      <c r="B81" s="46" t="s">
        <v>31</v>
      </c>
      <c r="C81" s="17"/>
      <c r="D81" s="17"/>
      <c r="E81" s="17"/>
      <c r="F81" s="17"/>
      <c r="G81" s="17"/>
      <c r="H81" s="17"/>
      <c r="I81" s="17"/>
      <c r="J81" s="17"/>
      <c r="K81" s="17"/>
    </row>
    <row r="82" spans="1:16" x14ac:dyDescent="0.25">
      <c r="A82" s="16"/>
      <c r="B82" s="32" t="s">
        <v>61</v>
      </c>
      <c r="C82" s="17">
        <v>1</v>
      </c>
      <c r="D82" s="33">
        <f>31.25/3.281</f>
        <v>9.5245352026821095</v>
      </c>
      <c r="E82" s="33">
        <f>((F82/2)+0.5)/2</f>
        <v>1.1187499999999999</v>
      </c>
      <c r="F82" s="33">
        <f>6.95/2</f>
        <v>3.4750000000000001</v>
      </c>
      <c r="G82" s="33">
        <f>PRODUCT(C82:F82)</f>
        <v>37.028118809052117</v>
      </c>
      <c r="H82" s="17"/>
      <c r="I82" s="17"/>
      <c r="J82" s="17"/>
      <c r="K82" s="17"/>
      <c r="M82" s="33">
        <f>7</f>
        <v>7</v>
      </c>
      <c r="N82" s="33">
        <f>2</f>
        <v>2</v>
      </c>
      <c r="O82" s="33"/>
      <c r="P82" s="33">
        <f>PI()*M82*SQRT(M82^2+N82^2)</f>
        <v>160.09797821843054</v>
      </c>
    </row>
    <row r="83" spans="1:16" x14ac:dyDescent="0.25">
      <c r="A83" s="16"/>
      <c r="B83" s="32"/>
      <c r="C83" s="17">
        <v>1</v>
      </c>
      <c r="D83" s="33">
        <f>(10.667+15)/3.281</f>
        <v>7.8229198415117347</v>
      </c>
      <c r="E83" s="33">
        <f>((F83/2)+0.5)/2</f>
        <v>0.72499999999999998</v>
      </c>
      <c r="F83" s="33">
        <v>1.9</v>
      </c>
      <c r="G83" s="33">
        <f>PRODUCT(C83:F83)</f>
        <v>10.776072081682413</v>
      </c>
      <c r="H83" s="17"/>
      <c r="I83" s="17"/>
      <c r="J83" s="17"/>
      <c r="K83" s="17"/>
      <c r="M83" s="35"/>
      <c r="N83" s="35"/>
      <c r="O83" s="35"/>
      <c r="P83" s="35"/>
    </row>
    <row r="84" spans="1:16" x14ac:dyDescent="0.25">
      <c r="A84" s="16"/>
      <c r="B84" s="32" t="str">
        <f>B70</f>
        <v>-for plinth level</v>
      </c>
      <c r="C84" s="17">
        <v>2</v>
      </c>
      <c r="D84" s="33">
        <f>14.17/3.281</f>
        <v>4.3188052423041752</v>
      </c>
      <c r="E84" s="33">
        <f>1.5/3.281</f>
        <v>0.45717768972874123</v>
      </c>
      <c r="F84" s="33">
        <f>1.5/3.281</f>
        <v>0.45717768972874123</v>
      </c>
      <c r="G84" s="33">
        <f>PRODUCT(C84:F84)</f>
        <v>1.8053594054236508</v>
      </c>
      <c r="H84" s="17"/>
      <c r="I84" s="17"/>
      <c r="J84" s="17"/>
      <c r="K84" s="17"/>
      <c r="M84" s="35"/>
      <c r="N84" s="35"/>
      <c r="O84" s="35"/>
      <c r="P84" s="35"/>
    </row>
    <row r="85" spans="1:16" x14ac:dyDescent="0.25">
      <c r="A85" s="16"/>
      <c r="B85" s="32"/>
      <c r="C85" s="17">
        <v>2</v>
      </c>
      <c r="D85" s="33">
        <f>(14.17-3)/3.281</f>
        <v>3.4044498628466928</v>
      </c>
      <c r="E85" s="33">
        <f>1.5/3.281</f>
        <v>0.45717768972874123</v>
      </c>
      <c r="F85" s="33">
        <f>1.5/3.281</f>
        <v>0.45717768972874123</v>
      </c>
      <c r="G85" s="33">
        <f>PRODUCT(C85:F85)</f>
        <v>1.4231379363854748</v>
      </c>
      <c r="H85" s="17"/>
      <c r="I85" s="17"/>
      <c r="J85" s="17"/>
      <c r="K85" s="17"/>
      <c r="M85" s="35"/>
      <c r="N85" s="35"/>
      <c r="O85" s="35"/>
      <c r="P85" s="35"/>
    </row>
    <row r="86" spans="1:16" ht="15" customHeight="1" x14ac:dyDescent="0.25">
      <c r="A86" s="2"/>
      <c r="B86" s="34" t="s">
        <v>16</v>
      </c>
      <c r="C86" s="3"/>
      <c r="D86" s="4"/>
      <c r="E86" s="5"/>
      <c r="F86" s="5"/>
      <c r="G86" s="6">
        <f>SUM(G82:G85)</f>
        <v>51.032688232543656</v>
      </c>
      <c r="H86" s="7" t="s">
        <v>63</v>
      </c>
      <c r="I86" s="6">
        <v>8987.83</v>
      </c>
      <c r="J86" s="18">
        <f>G86*I86</f>
        <v>458673.12627710286</v>
      </c>
      <c r="K86" s="5"/>
    </row>
    <row r="87" spans="1:16" hidden="1" x14ac:dyDescent="0.25">
      <c r="A87" s="16"/>
      <c r="B87" s="32" t="s">
        <v>28</v>
      </c>
      <c r="C87" s="17"/>
      <c r="D87" s="17"/>
      <c r="E87" s="17"/>
      <c r="F87" s="17"/>
      <c r="G87" s="17"/>
      <c r="H87" s="17"/>
      <c r="I87" s="17"/>
      <c r="J87" s="18">
        <f>0.13*G86*(5863.95)/5</f>
        <v>7780.5814361918337</v>
      </c>
      <c r="K87" s="17"/>
    </row>
    <row r="88" spans="1:16" hidden="1" x14ac:dyDescent="0.25">
      <c r="A88" s="16"/>
      <c r="B88" s="32" t="s">
        <v>29</v>
      </c>
      <c r="C88" s="17"/>
      <c r="D88" s="17"/>
      <c r="E88" s="17"/>
      <c r="F88" s="17"/>
      <c r="G88" s="17"/>
      <c r="H88" s="17"/>
      <c r="I88" s="17"/>
      <c r="J88" s="18">
        <f>0.13*G86*(6604.416)/5</f>
        <v>8763.0686698366007</v>
      </c>
      <c r="K88" s="17"/>
    </row>
    <row r="89" spans="1:16" hidden="1" x14ac:dyDescent="0.25">
      <c r="A89" s="16"/>
      <c r="B89" s="32" t="s">
        <v>32</v>
      </c>
      <c r="C89" s="17"/>
      <c r="D89" s="17"/>
      <c r="E89" s="17"/>
      <c r="F89" s="17"/>
      <c r="G89" s="17"/>
      <c r="H89" s="17"/>
      <c r="I89" s="17"/>
      <c r="J89" s="18">
        <f>0.13*G86*(14808.78)/5</f>
        <v>19649.028173952527</v>
      </c>
      <c r="K89" s="17"/>
    </row>
    <row r="90" spans="1:16" hidden="1" x14ac:dyDescent="0.25">
      <c r="A90" s="16"/>
      <c r="B90" s="32" t="s">
        <v>33</v>
      </c>
      <c r="C90" s="17"/>
      <c r="D90" s="17"/>
      <c r="E90" s="17"/>
      <c r="F90" s="17"/>
      <c r="G90" s="17"/>
      <c r="H90" s="17"/>
      <c r="I90" s="17"/>
      <c r="J90" s="18">
        <f>0.13*G86*(310)/5</f>
        <v>411.32346715430185</v>
      </c>
      <c r="K90" s="17"/>
    </row>
    <row r="91" spans="1:16" x14ac:dyDescent="0.25">
      <c r="A91" s="16"/>
      <c r="B91" s="32"/>
      <c r="C91" s="17"/>
      <c r="D91" s="17"/>
      <c r="E91" s="17"/>
      <c r="F91" s="17"/>
      <c r="G91" s="17"/>
      <c r="H91" s="17"/>
      <c r="I91" s="17"/>
      <c r="J91" s="18"/>
      <c r="K91" s="17"/>
    </row>
    <row r="92" spans="1:16" x14ac:dyDescent="0.25">
      <c r="A92" s="16">
        <v>7</v>
      </c>
      <c r="B92" s="39" t="s">
        <v>68</v>
      </c>
      <c r="C92" s="17"/>
      <c r="D92" s="17"/>
      <c r="E92" s="17"/>
      <c r="F92" s="17"/>
      <c r="G92" s="17"/>
      <c r="H92" s="17"/>
      <c r="I92" s="17"/>
      <c r="J92" s="18"/>
      <c r="K92" s="17"/>
    </row>
    <row r="93" spans="1:16" x14ac:dyDescent="0.25">
      <c r="A93" s="16"/>
      <c r="B93" s="32" t="s">
        <v>69</v>
      </c>
      <c r="C93" s="17">
        <v>1</v>
      </c>
      <c r="D93" s="33">
        <f>1.5</f>
        <v>1.5</v>
      </c>
      <c r="E93" s="33">
        <v>1.6</v>
      </c>
      <c r="F93" s="17"/>
      <c r="G93" s="33">
        <f>PRODUCT(C93:F93)</f>
        <v>2.4000000000000004</v>
      </c>
      <c r="H93" s="17"/>
      <c r="I93" s="17"/>
      <c r="J93" s="18"/>
      <c r="K93" s="17"/>
    </row>
    <row r="94" spans="1:16" ht="15" customHeight="1" x14ac:dyDescent="0.25">
      <c r="A94" s="2"/>
      <c r="B94" s="34" t="s">
        <v>16</v>
      </c>
      <c r="C94" s="3"/>
      <c r="D94" s="4"/>
      <c r="E94" s="5"/>
      <c r="F94" s="5"/>
      <c r="G94" s="6">
        <f>SUM(G93)</f>
        <v>2.4000000000000004</v>
      </c>
      <c r="H94" s="7" t="s">
        <v>54</v>
      </c>
      <c r="I94" s="6">
        <v>1017.47</v>
      </c>
      <c r="J94" s="18">
        <f>G94*I94</f>
        <v>2441.9280000000003</v>
      </c>
      <c r="K94" s="5"/>
    </row>
    <row r="95" spans="1:16" hidden="1" x14ac:dyDescent="0.25">
      <c r="A95" s="16"/>
      <c r="B95" s="32" t="s">
        <v>82</v>
      </c>
      <c r="C95" s="17"/>
      <c r="D95" s="17"/>
      <c r="E95" s="17"/>
      <c r="F95" s="17"/>
      <c r="G95" s="17"/>
      <c r="H95" s="17"/>
      <c r="I95" s="17"/>
      <c r="J95" s="18">
        <f>0.13*G94*(8617.2)/10</f>
        <v>268.85664000000008</v>
      </c>
      <c r="K95" s="17"/>
    </row>
    <row r="96" spans="1:16" x14ac:dyDescent="0.25">
      <c r="A96" s="16"/>
      <c r="B96" s="17"/>
      <c r="C96" s="17"/>
      <c r="D96" s="17"/>
      <c r="E96" s="17"/>
      <c r="F96" s="17"/>
      <c r="G96" s="17"/>
      <c r="H96" s="17"/>
      <c r="I96" s="17"/>
      <c r="J96" s="17"/>
      <c r="K96" s="17"/>
    </row>
    <row r="97" spans="1:19" ht="45" x14ac:dyDescent="0.25">
      <c r="A97" s="16">
        <v>8</v>
      </c>
      <c r="B97" s="37" t="s">
        <v>73</v>
      </c>
      <c r="C97" s="17"/>
      <c r="D97" s="38" t="s">
        <v>36</v>
      </c>
      <c r="E97" s="38" t="s">
        <v>75</v>
      </c>
      <c r="F97" s="38" t="s">
        <v>76</v>
      </c>
      <c r="G97" s="17"/>
      <c r="H97" s="17"/>
      <c r="I97" s="17"/>
      <c r="J97" s="18"/>
      <c r="K97" s="17"/>
    </row>
    <row r="98" spans="1:19" x14ac:dyDescent="0.25">
      <c r="A98" s="16"/>
      <c r="B98" s="32" t="s">
        <v>74</v>
      </c>
      <c r="C98" s="17">
        <v>1</v>
      </c>
      <c r="D98" s="17">
        <v>185</v>
      </c>
      <c r="E98" s="17">
        <v>0.13500000000000001</v>
      </c>
      <c r="F98" s="17">
        <f>C98*D98*E98</f>
        <v>24.975000000000001</v>
      </c>
      <c r="G98" s="33">
        <f>F98</f>
        <v>24.975000000000001</v>
      </c>
      <c r="H98" s="17"/>
      <c r="I98" s="17"/>
      <c r="J98" s="18"/>
      <c r="K98" s="17"/>
    </row>
    <row r="99" spans="1:19" ht="15" customHeight="1" x14ac:dyDescent="0.25">
      <c r="A99" s="2"/>
      <c r="B99" s="34" t="s">
        <v>16</v>
      </c>
      <c r="C99" s="3"/>
      <c r="D99" s="4"/>
      <c r="E99" s="5"/>
      <c r="F99" s="5"/>
      <c r="G99" s="6">
        <f>SUM(G98)</f>
        <v>24.975000000000001</v>
      </c>
      <c r="H99" s="7" t="s">
        <v>77</v>
      </c>
      <c r="I99" s="6">
        <v>287</v>
      </c>
      <c r="J99" s="18">
        <f>G99*I99</f>
        <v>7167.8250000000007</v>
      </c>
      <c r="K99" s="5"/>
    </row>
    <row r="100" spans="1:19" hidden="1" x14ac:dyDescent="0.25">
      <c r="A100" s="16"/>
      <c r="B100" s="32" t="s">
        <v>81</v>
      </c>
      <c r="C100" s="17"/>
      <c r="D100" s="17"/>
      <c r="E100" s="17"/>
      <c r="F100" s="17"/>
      <c r="G100" s="17"/>
      <c r="H100" s="17"/>
      <c r="I100" s="17"/>
      <c r="J100" s="18">
        <f>0.13*J99</f>
        <v>931.81725000000017</v>
      </c>
      <c r="K100" s="17"/>
    </row>
    <row r="101" spans="1:19" x14ac:dyDescent="0.25">
      <c r="A101" s="16"/>
      <c r="B101" s="17"/>
      <c r="C101" s="17"/>
      <c r="D101" s="17"/>
      <c r="E101" s="17"/>
      <c r="F101" s="17"/>
      <c r="G101" s="17"/>
      <c r="H101" s="17"/>
      <c r="I101" s="17"/>
      <c r="J101" s="17"/>
      <c r="K101" s="17"/>
    </row>
    <row r="102" spans="1:19" ht="15" customHeight="1" x14ac:dyDescent="0.25">
      <c r="A102" s="2">
        <v>9</v>
      </c>
      <c r="B102" s="1" t="s">
        <v>17</v>
      </c>
      <c r="C102" s="3">
        <v>1</v>
      </c>
      <c r="D102" s="4"/>
      <c r="E102" s="5"/>
      <c r="F102" s="5"/>
      <c r="G102" s="7">
        <f t="shared" ref="G102" si="6">PRODUCT(C102:F102)</f>
        <v>1</v>
      </c>
      <c r="H102" s="7" t="s">
        <v>18</v>
      </c>
      <c r="I102" s="6">
        <v>500</v>
      </c>
      <c r="J102" s="7">
        <f>G102*I102</f>
        <v>500</v>
      </c>
      <c r="K102" s="5"/>
    </row>
    <row r="103" spans="1:19" x14ac:dyDescent="0.25">
      <c r="A103" s="2"/>
      <c r="B103" s="8"/>
      <c r="C103" s="3"/>
      <c r="D103" s="4"/>
      <c r="E103" s="5"/>
      <c r="F103" s="5"/>
      <c r="G103" s="6"/>
      <c r="H103" s="7"/>
      <c r="I103" s="6"/>
      <c r="J103" s="18"/>
      <c r="K103" s="5"/>
    </row>
    <row r="104" spans="1:19" x14ac:dyDescent="0.25">
      <c r="A104" s="21"/>
      <c r="B104" s="22" t="s">
        <v>20</v>
      </c>
      <c r="C104" s="23"/>
      <c r="D104" s="24"/>
      <c r="E104" s="24"/>
      <c r="F104" s="24"/>
      <c r="G104" s="18"/>
      <c r="H104" s="18"/>
      <c r="I104" s="18"/>
      <c r="J104" s="18">
        <f>SUM(J9:J102)</f>
        <v>789632.08517511096</v>
      </c>
      <c r="K104" s="25"/>
    </row>
    <row r="105" spans="1:19" x14ac:dyDescent="0.25">
      <c r="M105" s="20"/>
      <c r="N105" s="20"/>
      <c r="O105" s="20"/>
      <c r="P105" s="20"/>
      <c r="Q105" s="20"/>
      <c r="R105" s="20"/>
      <c r="S105" s="20"/>
    </row>
    <row r="106" spans="1:19" s="20" customFormat="1" hidden="1" x14ac:dyDescent="0.25">
      <c r="A106" s="26"/>
      <c r="B106" s="27" t="s">
        <v>99</v>
      </c>
      <c r="C106" s="70">
        <f>J104</f>
        <v>789632.08517511096</v>
      </c>
      <c r="D106" s="71"/>
      <c r="E106" s="9">
        <v>100</v>
      </c>
      <c r="F106" s="26"/>
      <c r="G106" s="28"/>
      <c r="H106" s="26"/>
      <c r="I106" s="29"/>
      <c r="J106" s="30"/>
      <c r="K106" s="31"/>
      <c r="M106" s="19"/>
      <c r="N106" s="19"/>
      <c r="O106" s="19"/>
      <c r="P106" s="19"/>
      <c r="Q106" s="19"/>
      <c r="R106" s="19"/>
      <c r="S106" s="19"/>
    </row>
    <row r="107" spans="1:19" hidden="1" x14ac:dyDescent="0.25">
      <c r="B107" s="27" t="s">
        <v>21</v>
      </c>
      <c r="C107" s="74">
        <v>700000</v>
      </c>
      <c r="D107" s="75"/>
      <c r="E107" s="9"/>
    </row>
    <row r="108" spans="1:19" hidden="1" x14ac:dyDescent="0.25">
      <c r="B108" s="27" t="s">
        <v>22</v>
      </c>
      <c r="C108" s="74">
        <f>C107-C110-C111</f>
        <v>665000</v>
      </c>
      <c r="D108" s="75"/>
      <c r="E108" s="9">
        <f>C108/C106*100</f>
        <v>84.21643604470907</v>
      </c>
    </row>
    <row r="109" spans="1:19" hidden="1" x14ac:dyDescent="0.25">
      <c r="B109" s="27" t="s">
        <v>34</v>
      </c>
      <c r="C109" s="76">
        <f>C106-C108</f>
        <v>124632.08517511096</v>
      </c>
      <c r="D109" s="76"/>
      <c r="E109" s="9">
        <f>100-E108</f>
        <v>15.78356395529093</v>
      </c>
    </row>
    <row r="110" spans="1:19" hidden="1" x14ac:dyDescent="0.25">
      <c r="B110" s="27" t="s">
        <v>23</v>
      </c>
      <c r="C110" s="70">
        <f>C107*0.03</f>
        <v>21000</v>
      </c>
      <c r="D110" s="71"/>
      <c r="E110" s="9">
        <v>3</v>
      </c>
    </row>
    <row r="111" spans="1:19" hidden="1" x14ac:dyDescent="0.25">
      <c r="B111" s="27" t="s">
        <v>24</v>
      </c>
      <c r="C111" s="70">
        <f>C107*0.02</f>
        <v>14000</v>
      </c>
      <c r="D111" s="71"/>
      <c r="E111" s="9">
        <v>2</v>
      </c>
    </row>
  </sheetData>
  <mergeCells count="13">
    <mergeCell ref="C110:D110"/>
    <mergeCell ref="C111:D111"/>
    <mergeCell ref="A7:F7"/>
    <mergeCell ref="C106:D106"/>
    <mergeCell ref="C107:D107"/>
    <mergeCell ref="C108:D108"/>
    <mergeCell ref="C109:D109"/>
    <mergeCell ref="A1:K1"/>
    <mergeCell ref="A2:K2"/>
    <mergeCell ref="A3:K3"/>
    <mergeCell ref="A4:K4"/>
    <mergeCell ref="A5:K5"/>
    <mergeCell ref="A6:F6"/>
  </mergeCells>
  <pageMargins left="0.70866141732283505" right="0.70866141732283505" top="0.74803149606299202" bottom="0.74803149606299202" header="0.31496062992126" footer="0.31496062992126"/>
  <pageSetup paperSize="9" scale="90" orientation="portrait" verticalDpi="1200" r:id="rId1"/>
  <headerFooter>
    <oddFooter>&amp;LPrepared By:&amp;CChecked By:&amp;RApproved By: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ED376-89D8-4E35-8A2B-E6A997628D72}">
  <dimension ref="A1:S111"/>
  <sheetViews>
    <sheetView view="pageBreakPreview" topLeftCell="A6" zoomScale="95" zoomScaleNormal="90" zoomScaleSheetLayoutView="95" workbookViewId="0">
      <selection activeCell="E9" sqref="E9"/>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customWidth="1"/>
    <col min="10" max="10" width="10.7109375" style="19" bestFit="1" customWidth="1"/>
    <col min="11" max="12" width="9.140625" style="19"/>
    <col min="13" max="16" width="0" style="19" hidden="1" customWidth="1"/>
    <col min="17" max="16384" width="9.140625" style="19"/>
  </cols>
  <sheetData>
    <row r="1" spans="1:18" x14ac:dyDescent="0.25">
      <c r="A1" s="79" t="s">
        <v>0</v>
      </c>
      <c r="B1" s="79"/>
      <c r="C1" s="79"/>
      <c r="D1" s="79"/>
      <c r="E1" s="79"/>
      <c r="F1" s="79"/>
      <c r="G1" s="79"/>
      <c r="H1" s="79"/>
      <c r="I1" s="79"/>
      <c r="J1" s="79"/>
      <c r="K1" s="79"/>
    </row>
    <row r="2" spans="1:18" ht="22.5" x14ac:dyDescent="0.25">
      <c r="A2" s="80" t="s">
        <v>1</v>
      </c>
      <c r="B2" s="80"/>
      <c r="C2" s="80"/>
      <c r="D2" s="80"/>
      <c r="E2" s="80"/>
      <c r="F2" s="80"/>
      <c r="G2" s="80"/>
      <c r="H2" s="80"/>
      <c r="I2" s="80"/>
      <c r="J2" s="80"/>
      <c r="K2" s="80"/>
    </row>
    <row r="3" spans="1:18" x14ac:dyDescent="0.25">
      <c r="A3" s="81" t="s">
        <v>2</v>
      </c>
      <c r="B3" s="81"/>
      <c r="C3" s="81"/>
      <c r="D3" s="81"/>
      <c r="E3" s="81"/>
      <c r="F3" s="81"/>
      <c r="G3" s="81"/>
      <c r="H3" s="81"/>
      <c r="I3" s="81"/>
      <c r="J3" s="81"/>
      <c r="K3" s="81"/>
    </row>
    <row r="4" spans="1:18" x14ac:dyDescent="0.25">
      <c r="A4" s="81" t="s">
        <v>3</v>
      </c>
      <c r="B4" s="81"/>
      <c r="C4" s="81"/>
      <c r="D4" s="81"/>
      <c r="E4" s="81"/>
      <c r="F4" s="81"/>
      <c r="G4" s="81"/>
      <c r="H4" s="81"/>
      <c r="I4" s="81"/>
      <c r="J4" s="81"/>
      <c r="K4" s="81"/>
    </row>
    <row r="5" spans="1:18" ht="18.75" x14ac:dyDescent="0.3">
      <c r="A5" s="82" t="s">
        <v>4</v>
      </c>
      <c r="B5" s="82"/>
      <c r="C5" s="82"/>
      <c r="D5" s="82"/>
      <c r="E5" s="82"/>
      <c r="F5" s="82"/>
      <c r="G5" s="82"/>
      <c r="H5" s="82"/>
      <c r="I5" s="82"/>
      <c r="J5" s="82"/>
      <c r="K5" s="82"/>
    </row>
    <row r="6" spans="1:18" ht="15.75" x14ac:dyDescent="0.25">
      <c r="A6" s="77" t="s">
        <v>79</v>
      </c>
      <c r="B6" s="77"/>
      <c r="C6" s="77"/>
      <c r="D6" s="77"/>
      <c r="E6" s="77"/>
      <c r="F6" s="77"/>
      <c r="G6" s="10"/>
      <c r="H6" s="78" t="s">
        <v>25</v>
      </c>
      <c r="I6" s="78"/>
      <c r="J6" s="78"/>
      <c r="K6" s="78"/>
    </row>
    <row r="7" spans="1:18" ht="15.75" x14ac:dyDescent="0.25">
      <c r="A7" s="72" t="s">
        <v>80</v>
      </c>
      <c r="B7" s="72"/>
      <c r="C7" s="72"/>
      <c r="D7" s="72"/>
      <c r="E7" s="72"/>
      <c r="F7" s="72"/>
      <c r="G7" s="67"/>
      <c r="H7" s="73" t="s">
        <v>78</v>
      </c>
      <c r="I7" s="73"/>
      <c r="J7" s="73"/>
      <c r="K7" s="73"/>
    </row>
    <row r="8" spans="1:18" ht="15.75" x14ac:dyDescent="0.25">
      <c r="A8" s="12" t="s">
        <v>5</v>
      </c>
      <c r="B8" s="13" t="s">
        <v>6</v>
      </c>
      <c r="C8" s="12" t="s">
        <v>7</v>
      </c>
      <c r="D8" s="68" t="s">
        <v>8</v>
      </c>
      <c r="E8" s="68" t="s">
        <v>9</v>
      </c>
      <c r="F8" s="68" t="s">
        <v>10</v>
      </c>
      <c r="G8" s="68" t="s">
        <v>11</v>
      </c>
      <c r="H8" s="12" t="s">
        <v>12</v>
      </c>
      <c r="I8" s="68" t="s">
        <v>13</v>
      </c>
      <c r="J8" s="68" t="s">
        <v>14</v>
      </c>
      <c r="K8" s="15" t="s">
        <v>15</v>
      </c>
    </row>
    <row r="9" spans="1:18" s="36" customFormat="1" ht="45" x14ac:dyDescent="0.25">
      <c r="A9" s="2">
        <v>1</v>
      </c>
      <c r="B9" s="69" t="s">
        <v>35</v>
      </c>
      <c r="C9" s="3" t="s">
        <v>7</v>
      </c>
      <c r="D9" s="40" t="s">
        <v>36</v>
      </c>
      <c r="E9" s="41" t="s">
        <v>37</v>
      </c>
      <c r="F9" s="41" t="s">
        <v>38</v>
      </c>
      <c r="G9" s="41"/>
      <c r="H9" s="7"/>
      <c r="I9" s="6"/>
      <c r="J9" s="42"/>
      <c r="K9" s="5"/>
    </row>
    <row r="10" spans="1:18" s="36" customFormat="1" ht="30" x14ac:dyDescent="0.25">
      <c r="A10" s="16"/>
      <c r="B10" s="43" t="s">
        <v>42</v>
      </c>
      <c r="C10" s="44">
        <f>4</f>
        <v>4</v>
      </c>
      <c r="D10" s="9">
        <f>(12+1)/3.281</f>
        <v>3.9622066443157573</v>
      </c>
      <c r="E10" s="9">
        <v>6.5</v>
      </c>
      <c r="F10" s="9">
        <f t="shared" ref="F10:F31" si="0">PRODUCT(C10:E10)</f>
        <v>103.0173727522097</v>
      </c>
      <c r="G10" s="9">
        <f t="shared" ref="G10:G31" si="1">F10</f>
        <v>103.0173727522097</v>
      </c>
      <c r="H10" s="42"/>
      <c r="I10" s="42"/>
      <c r="J10" s="42" t="s">
        <v>96</v>
      </c>
      <c r="K10" s="27"/>
    </row>
    <row r="11" spans="1:18" s="36" customFormat="1" ht="45" x14ac:dyDescent="0.25">
      <c r="A11" s="16"/>
      <c r="B11" s="43" t="s">
        <v>43</v>
      </c>
      <c r="C11" s="44">
        <v>4</v>
      </c>
      <c r="D11" s="9">
        <f>11.5/3.281</f>
        <v>3.5050289545870159</v>
      </c>
      <c r="E11" s="9">
        <v>6.5</v>
      </c>
      <c r="F11" s="9">
        <f t="shared" si="0"/>
        <v>91.130752819262412</v>
      </c>
      <c r="G11" s="9">
        <f t="shared" si="1"/>
        <v>91.130752819262412</v>
      </c>
      <c r="H11" s="42"/>
      <c r="I11" s="42"/>
      <c r="J11" s="42">
        <f>20/3.281</f>
        <v>6.0957025297165499</v>
      </c>
      <c r="K11" s="27"/>
      <c r="Q11" s="36">
        <f>PRODUCT(C11:D11)</f>
        <v>14.020115818348064</v>
      </c>
      <c r="R11" s="36">
        <f>CONVERT(Q11,"m","ft")</f>
        <v>45.997755309540885</v>
      </c>
    </row>
    <row r="12" spans="1:18" s="36" customFormat="1" ht="45" x14ac:dyDescent="0.25">
      <c r="A12" s="16"/>
      <c r="B12" s="43" t="s">
        <v>44</v>
      </c>
      <c r="C12" s="44">
        <v>2</v>
      </c>
      <c r="D12" s="9">
        <f>11.5/3.281</f>
        <v>3.5050289545870159</v>
      </c>
      <c r="E12" s="9">
        <v>6.5</v>
      </c>
      <c r="F12" s="9">
        <f t="shared" si="0"/>
        <v>45.565376409631206</v>
      </c>
      <c r="G12" s="9">
        <f t="shared" si="1"/>
        <v>45.565376409631206</v>
      </c>
      <c r="H12" s="42"/>
      <c r="I12" s="42"/>
      <c r="J12" s="42"/>
      <c r="K12" s="27"/>
    </row>
    <row r="13" spans="1:18" s="36" customFormat="1" ht="45" x14ac:dyDescent="0.25">
      <c r="A13" s="16"/>
      <c r="B13" s="43" t="s">
        <v>45</v>
      </c>
      <c r="C13" s="44">
        <v>4</v>
      </c>
      <c r="D13" s="9">
        <v>1.5</v>
      </c>
      <c r="E13" s="9">
        <v>6.5</v>
      </c>
      <c r="F13" s="9">
        <f t="shared" si="0"/>
        <v>39</v>
      </c>
      <c r="G13" s="9">
        <f t="shared" si="1"/>
        <v>39</v>
      </c>
      <c r="H13" s="42"/>
      <c r="I13" s="42"/>
      <c r="J13" s="42"/>
      <c r="K13" s="27"/>
    </row>
    <row r="14" spans="1:18" s="36" customFormat="1" x14ac:dyDescent="0.25">
      <c r="A14" s="16"/>
      <c r="B14" s="43"/>
      <c r="C14" s="44">
        <v>1</v>
      </c>
      <c r="D14" s="9">
        <f>0.45</f>
        <v>0.45</v>
      </c>
      <c r="E14" s="9">
        <v>6.5</v>
      </c>
      <c r="F14" s="9">
        <f t="shared" si="0"/>
        <v>2.9250000000000003</v>
      </c>
      <c r="G14" s="9">
        <f t="shared" si="1"/>
        <v>2.9250000000000003</v>
      </c>
      <c r="H14" s="42"/>
      <c r="I14" s="42">
        <f>22/12</f>
        <v>1.8333333333333333</v>
      </c>
      <c r="J14" s="42"/>
      <c r="K14" s="27"/>
    </row>
    <row r="15" spans="1:18" s="36" customFormat="1" ht="45" x14ac:dyDescent="0.25">
      <c r="A15" s="16"/>
      <c r="B15" s="43" t="s">
        <v>46</v>
      </c>
      <c r="C15" s="44">
        <v>2</v>
      </c>
      <c r="D15" s="9">
        <f>9/3.281</f>
        <v>2.7430661383724475</v>
      </c>
      <c r="E15" s="9">
        <v>4.43</v>
      </c>
      <c r="F15" s="9">
        <f t="shared" si="0"/>
        <v>24.303565985979883</v>
      </c>
      <c r="G15" s="9">
        <f t="shared" si="1"/>
        <v>24.303565985979883</v>
      </c>
      <c r="H15" s="42"/>
      <c r="I15" s="42">
        <f>110/12</f>
        <v>9.1666666666666661</v>
      </c>
      <c r="J15" s="42"/>
      <c r="K15" s="27"/>
    </row>
    <row r="16" spans="1:18" s="36" customFormat="1" ht="45" x14ac:dyDescent="0.25">
      <c r="A16" s="16"/>
      <c r="B16" s="43" t="s">
        <v>47</v>
      </c>
      <c r="C16" s="44">
        <v>4</v>
      </c>
      <c r="D16" s="9">
        <f>5.75/3.281</f>
        <v>1.752514477293508</v>
      </c>
      <c r="E16" s="9">
        <v>4.43</v>
      </c>
      <c r="F16" s="9">
        <f t="shared" si="0"/>
        <v>31.054556537640959</v>
      </c>
      <c r="G16" s="9">
        <f t="shared" si="1"/>
        <v>31.054556537640959</v>
      </c>
      <c r="H16" s="42"/>
      <c r="I16" s="42">
        <f>71/12</f>
        <v>5.916666666666667</v>
      </c>
      <c r="J16" s="42"/>
      <c r="K16" s="27"/>
    </row>
    <row r="17" spans="1:11" s="36" customFormat="1" x14ac:dyDescent="0.25">
      <c r="A17" s="16"/>
      <c r="B17" s="43"/>
      <c r="C17" s="44">
        <v>4</v>
      </c>
      <c r="D17" s="9">
        <f>77/12/3.281</f>
        <v>1.9557045616173931</v>
      </c>
      <c r="E17" s="9">
        <v>4.43</v>
      </c>
      <c r="F17" s="9">
        <f t="shared" si="0"/>
        <v>34.655084831860208</v>
      </c>
      <c r="G17" s="9">
        <f t="shared" si="1"/>
        <v>34.655084831860208</v>
      </c>
      <c r="H17" s="42"/>
      <c r="I17" s="42">
        <f>77/12</f>
        <v>6.416666666666667</v>
      </c>
      <c r="J17" s="42"/>
      <c r="K17" s="27"/>
    </row>
    <row r="18" spans="1:11" s="36" customFormat="1" ht="45" x14ac:dyDescent="0.25">
      <c r="A18" s="16"/>
      <c r="B18" s="43" t="s">
        <v>48</v>
      </c>
      <c r="C18" s="44">
        <f>4</f>
        <v>4</v>
      </c>
      <c r="D18" s="9">
        <f>10.67/3.281</f>
        <v>3.2520572996037793</v>
      </c>
      <c r="E18" s="9">
        <v>4.43</v>
      </c>
      <c r="F18" s="9">
        <f t="shared" si="0"/>
        <v>57.626455348978965</v>
      </c>
      <c r="G18" s="9">
        <f t="shared" si="1"/>
        <v>57.626455348978965</v>
      </c>
      <c r="H18" s="42"/>
      <c r="I18" s="42">
        <f>128/12</f>
        <v>10.666666666666666</v>
      </c>
      <c r="J18" s="42"/>
      <c r="K18" s="27"/>
    </row>
    <row r="19" spans="1:11" s="36" customFormat="1" x14ac:dyDescent="0.25">
      <c r="A19" s="16"/>
      <c r="B19" s="43"/>
      <c r="C19" s="44">
        <f>4</f>
        <v>4</v>
      </c>
      <c r="D19" s="9">
        <f>15/3.281</f>
        <v>4.5717768972874122</v>
      </c>
      <c r="E19" s="9">
        <v>4.43</v>
      </c>
      <c r="F19" s="9">
        <f t="shared" si="0"/>
        <v>81.011886619932937</v>
      </c>
      <c r="G19" s="9">
        <f t="shared" si="1"/>
        <v>81.011886619932937</v>
      </c>
      <c r="H19" s="42"/>
      <c r="I19" s="42">
        <f>183/12</f>
        <v>15.25</v>
      </c>
      <c r="J19" s="42"/>
      <c r="K19" s="27"/>
    </row>
    <row r="20" spans="1:11" s="36" customFormat="1" ht="45" x14ac:dyDescent="0.25">
      <c r="A20" s="16"/>
      <c r="B20" s="43" t="s">
        <v>49</v>
      </c>
      <c r="C20" s="44">
        <f>4*1</f>
        <v>4</v>
      </c>
      <c r="D20" s="9">
        <f>6.42/3.281</f>
        <v>1.9567205120390123</v>
      </c>
      <c r="E20" s="9">
        <v>4.43</v>
      </c>
      <c r="F20" s="9">
        <f t="shared" si="0"/>
        <v>34.673087473331293</v>
      </c>
      <c r="G20" s="9">
        <f t="shared" si="1"/>
        <v>34.673087473331293</v>
      </c>
      <c r="H20" s="42"/>
      <c r="I20" s="42">
        <f>82/12</f>
        <v>6.833333333333333</v>
      </c>
      <c r="J20" s="42"/>
      <c r="K20" s="27"/>
    </row>
    <row r="21" spans="1:11" s="36" customFormat="1" x14ac:dyDescent="0.25">
      <c r="A21" s="16"/>
      <c r="B21" s="43"/>
      <c r="C21" s="44">
        <f>4*2</f>
        <v>8</v>
      </c>
      <c r="D21" s="9">
        <f>6.42/3.281</f>
        <v>1.9567205120390123</v>
      </c>
      <c r="E21" s="9">
        <v>4.43</v>
      </c>
      <c r="F21" s="9">
        <f t="shared" si="0"/>
        <v>69.346174946662586</v>
      </c>
      <c r="G21" s="9">
        <f t="shared" si="1"/>
        <v>69.346174946662586</v>
      </c>
      <c r="H21" s="42"/>
      <c r="I21" s="42">
        <f>(38+41)/12</f>
        <v>6.583333333333333</v>
      </c>
      <c r="J21" s="42"/>
      <c r="K21" s="27"/>
    </row>
    <row r="22" spans="1:11" s="36" customFormat="1" ht="45" x14ac:dyDescent="0.25">
      <c r="A22" s="16"/>
      <c r="B22" s="43" t="s">
        <v>50</v>
      </c>
      <c r="C22" s="44">
        <v>4</v>
      </c>
      <c r="D22" s="9">
        <f>8/12/3.281</f>
        <v>0.20319008432388497</v>
      </c>
      <c r="E22" s="9">
        <v>4.43</v>
      </c>
      <c r="F22" s="9">
        <f t="shared" si="0"/>
        <v>3.6005282942192416</v>
      </c>
      <c r="G22" s="9">
        <f t="shared" si="1"/>
        <v>3.6005282942192416</v>
      </c>
      <c r="H22" s="42"/>
      <c r="I22" s="42">
        <f>8/12</f>
        <v>0.66666666666666663</v>
      </c>
      <c r="J22" s="42"/>
      <c r="K22" s="27"/>
    </row>
    <row r="23" spans="1:11" s="36" customFormat="1" x14ac:dyDescent="0.25">
      <c r="A23" s="16"/>
      <c r="B23" s="43"/>
      <c r="C23" s="44">
        <v>4</v>
      </c>
      <c r="D23" s="9">
        <f>54/12/3.281</f>
        <v>1.3715330691862238</v>
      </c>
      <c r="E23" s="9">
        <v>4.43</v>
      </c>
      <c r="F23" s="9">
        <f t="shared" si="0"/>
        <v>24.303565985979883</v>
      </c>
      <c r="G23" s="9">
        <f t="shared" si="1"/>
        <v>24.303565985979883</v>
      </c>
      <c r="H23" s="42"/>
      <c r="I23" s="42">
        <f>54/12</f>
        <v>4.5</v>
      </c>
      <c r="J23" s="42"/>
      <c r="K23" s="27"/>
    </row>
    <row r="24" spans="1:11" s="36" customFormat="1" x14ac:dyDescent="0.25">
      <c r="A24" s="16"/>
      <c r="B24" s="43"/>
      <c r="C24" s="44">
        <v>4</v>
      </c>
      <c r="D24" s="9">
        <f>105/12/3.281</f>
        <v>2.6668698567509903</v>
      </c>
      <c r="E24" s="9">
        <v>4.43</v>
      </c>
      <c r="F24" s="9">
        <f t="shared" si="0"/>
        <v>47.256933861627545</v>
      </c>
      <c r="G24" s="9">
        <f t="shared" si="1"/>
        <v>47.256933861627545</v>
      </c>
      <c r="H24" s="42"/>
      <c r="I24" s="42">
        <f>105/12</f>
        <v>8.75</v>
      </c>
      <c r="J24" s="42"/>
      <c r="K24" s="27"/>
    </row>
    <row r="25" spans="1:11" s="36" customFormat="1" ht="45" x14ac:dyDescent="0.25">
      <c r="A25" s="16"/>
      <c r="B25" s="43" t="s">
        <v>51</v>
      </c>
      <c r="C25" s="44">
        <v>4</v>
      </c>
      <c r="D25" s="9">
        <f>75/12/3.281</f>
        <v>1.9049070405364217</v>
      </c>
      <c r="E25" s="9">
        <v>4.43</v>
      </c>
      <c r="F25" s="9">
        <f t="shared" si="0"/>
        <v>33.754952758305393</v>
      </c>
      <c r="G25" s="9">
        <f t="shared" si="1"/>
        <v>33.754952758305393</v>
      </c>
      <c r="H25" s="42"/>
      <c r="I25" s="42">
        <f>75/12</f>
        <v>6.25</v>
      </c>
      <c r="J25" s="42"/>
      <c r="K25" s="27"/>
    </row>
    <row r="26" spans="1:11" s="36" customFormat="1" x14ac:dyDescent="0.25">
      <c r="A26" s="16"/>
      <c r="B26" s="43"/>
      <c r="C26" s="44">
        <f>4*2</f>
        <v>8</v>
      </c>
      <c r="D26" s="9">
        <f>(36+37)/12/3.281</f>
        <v>1.8541095194554504</v>
      </c>
      <c r="E26" s="9">
        <v>4.43</v>
      </c>
      <c r="F26" s="9">
        <f t="shared" si="0"/>
        <v>65.709641369501156</v>
      </c>
      <c r="G26" s="9">
        <f t="shared" si="1"/>
        <v>65.709641369501156</v>
      </c>
      <c r="H26" s="42"/>
      <c r="I26" s="42">
        <f>(36+37)/12</f>
        <v>6.083333333333333</v>
      </c>
      <c r="J26" s="42"/>
      <c r="K26" s="27"/>
    </row>
    <row r="27" spans="1:11" s="36" customFormat="1" ht="45" x14ac:dyDescent="0.25">
      <c r="A27" s="16"/>
      <c r="B27" s="43" t="s">
        <v>70</v>
      </c>
      <c r="C27" s="44">
        <v>1</v>
      </c>
      <c r="D27" s="9">
        <f>6/3.281</f>
        <v>1.8287107589149649</v>
      </c>
      <c r="E27" s="9">
        <v>3.01</v>
      </c>
      <c r="F27" s="9">
        <f t="shared" si="0"/>
        <v>5.5044193843340441</v>
      </c>
      <c r="G27" s="9">
        <f t="shared" si="1"/>
        <v>5.5044193843340441</v>
      </c>
      <c r="H27" s="42"/>
      <c r="I27" s="42" t="s">
        <v>97</v>
      </c>
      <c r="J27" s="42"/>
      <c r="K27" s="27"/>
    </row>
    <row r="28" spans="1:11" s="36" customFormat="1" x14ac:dyDescent="0.25">
      <c r="A28" s="16"/>
      <c r="B28" s="43"/>
      <c r="C28" s="44">
        <v>4</v>
      </c>
      <c r="D28" s="9">
        <v>1.5</v>
      </c>
      <c r="E28" s="9">
        <v>3.01</v>
      </c>
      <c r="F28" s="9">
        <f t="shared" si="0"/>
        <v>18.059999999999999</v>
      </c>
      <c r="G28" s="9">
        <f t="shared" si="1"/>
        <v>18.059999999999999</v>
      </c>
      <c r="H28" s="42"/>
      <c r="I28" s="42"/>
      <c r="J28" s="42"/>
      <c r="K28" s="27"/>
    </row>
    <row r="29" spans="1:11" s="36" customFormat="1" ht="30" x14ac:dyDescent="0.25">
      <c r="A29" s="16"/>
      <c r="B29" s="43" t="s">
        <v>98</v>
      </c>
      <c r="C29" s="44">
        <v>1</v>
      </c>
      <c r="D29" s="9">
        <f>(7+65/12+76/12+74/12+6)/3.281</f>
        <v>9.4229401605201666</v>
      </c>
      <c r="E29" s="9">
        <v>2.2599999999999998</v>
      </c>
      <c r="F29" s="9">
        <f t="shared" si="0"/>
        <v>21.295844762775573</v>
      </c>
      <c r="G29" s="9">
        <f t="shared" si="1"/>
        <v>21.295844762775573</v>
      </c>
      <c r="H29" s="42"/>
      <c r="I29" s="42"/>
      <c r="J29" s="42"/>
      <c r="K29" s="27"/>
    </row>
    <row r="30" spans="1:11" s="36" customFormat="1" x14ac:dyDescent="0.25">
      <c r="A30" s="16"/>
      <c r="B30" s="43"/>
      <c r="C30" s="44">
        <v>2</v>
      </c>
      <c r="D30" s="9">
        <f>(69+72+75+64+82)/12/3.281</f>
        <v>9.1943513156557959</v>
      </c>
      <c r="E30" s="9">
        <v>2.2599999999999998</v>
      </c>
      <c r="F30" s="9">
        <f t="shared" si="0"/>
        <v>41.558467946764196</v>
      </c>
      <c r="G30" s="9">
        <f t="shared" si="1"/>
        <v>41.558467946764196</v>
      </c>
      <c r="H30" s="42"/>
      <c r="I30" s="42"/>
      <c r="J30" s="42"/>
      <c r="K30" s="27"/>
    </row>
    <row r="31" spans="1:11" s="36" customFormat="1" x14ac:dyDescent="0.25">
      <c r="A31" s="16"/>
      <c r="B31" s="43"/>
      <c r="C31" s="44">
        <v>1</v>
      </c>
      <c r="D31" s="9">
        <f>82/12/3.281</f>
        <v>2.0826983643198211</v>
      </c>
      <c r="E31" s="9">
        <v>2.2599999999999998</v>
      </c>
      <c r="F31" s="9">
        <f t="shared" si="0"/>
        <v>4.7068983033627951</v>
      </c>
      <c r="G31" s="9">
        <f t="shared" si="1"/>
        <v>4.7068983033627951</v>
      </c>
      <c r="H31" s="42"/>
      <c r="I31" s="42"/>
      <c r="J31" s="42"/>
      <c r="K31" s="27"/>
    </row>
    <row r="32" spans="1:11" s="36" customFormat="1" x14ac:dyDescent="0.25">
      <c r="A32" s="2"/>
      <c r="B32" s="43" t="s">
        <v>39</v>
      </c>
      <c r="C32" s="3"/>
      <c r="D32" s="4"/>
      <c r="E32" s="5"/>
      <c r="F32" s="5"/>
      <c r="G32" s="42">
        <f>SUM(G10:G31)</f>
        <v>880.06056639235987</v>
      </c>
      <c r="H32" s="7" t="s">
        <v>40</v>
      </c>
      <c r="I32" s="6">
        <v>182.51</v>
      </c>
      <c r="J32" s="42">
        <f>G32*I32</f>
        <v>160619.8539722696</v>
      </c>
      <c r="K32" s="5"/>
    </row>
    <row r="33" spans="1:11" s="36" customFormat="1" x14ac:dyDescent="0.25">
      <c r="A33" s="2"/>
      <c r="B33" s="43" t="s">
        <v>41</v>
      </c>
      <c r="C33" s="3"/>
      <c r="D33" s="4"/>
      <c r="E33" s="5"/>
      <c r="F33" s="5"/>
      <c r="G33" s="42"/>
      <c r="H33" s="7"/>
      <c r="I33" s="6"/>
      <c r="J33" s="42">
        <f>0.13*G32*(1871.42/18.94)</f>
        <v>11304.391915023165</v>
      </c>
      <c r="K33" s="5"/>
    </row>
    <row r="34" spans="1:11" s="36" customFormat="1" x14ac:dyDescent="0.25">
      <c r="A34" s="2"/>
      <c r="B34" s="43"/>
      <c r="C34" s="3"/>
      <c r="D34" s="4"/>
      <c r="E34" s="5"/>
      <c r="F34" s="5"/>
      <c r="G34" s="42"/>
      <c r="H34" s="7"/>
      <c r="I34" s="6"/>
      <c r="J34" s="42"/>
      <c r="K34" s="5"/>
    </row>
    <row r="35" spans="1:11" s="36" customFormat="1" ht="30" x14ac:dyDescent="0.25">
      <c r="A35" s="2">
        <v>2</v>
      </c>
      <c r="B35" s="39" t="s">
        <v>59</v>
      </c>
      <c r="C35" s="3"/>
      <c r="D35" s="4"/>
      <c r="E35" s="5"/>
      <c r="F35" s="5"/>
      <c r="G35" s="42"/>
      <c r="H35" s="7"/>
      <c r="I35" s="6"/>
      <c r="J35" s="42"/>
      <c r="K35" s="5"/>
    </row>
    <row r="36" spans="1:11" s="36" customFormat="1" x14ac:dyDescent="0.25">
      <c r="A36" s="2"/>
      <c r="B36" s="43" t="s">
        <v>52</v>
      </c>
      <c r="C36" s="3">
        <v>4</v>
      </c>
      <c r="D36" s="4">
        <f>(15+6)/2/3.281</f>
        <v>3.2002438281011885</v>
      </c>
      <c r="E36" s="5">
        <f>5.583/3.281</f>
        <v>1.7016153611703748</v>
      </c>
      <c r="F36" s="5"/>
      <c r="G36" s="33">
        <f t="shared" ref="G36:G37" si="2">PRODUCT(C36:F36)</f>
        <v>21.782336229550666</v>
      </c>
      <c r="H36" s="7"/>
      <c r="I36" s="6">
        <f>183/12</f>
        <v>15.25</v>
      </c>
      <c r="J36" s="42"/>
      <c r="K36" s="5"/>
    </row>
    <row r="37" spans="1:11" s="36" customFormat="1" x14ac:dyDescent="0.25">
      <c r="A37" s="2"/>
      <c r="B37" s="43" t="s">
        <v>53</v>
      </c>
      <c r="C37" s="3">
        <v>4</v>
      </c>
      <c r="D37" s="4">
        <f>5/3.281</f>
        <v>1.5239256324291375</v>
      </c>
      <c r="E37" s="5">
        <f>5.583/3.281</f>
        <v>1.7016153611703748</v>
      </c>
      <c r="F37" s="5"/>
      <c r="G37" s="33">
        <f t="shared" si="2"/>
        <v>10.372541061690795</v>
      </c>
      <c r="H37" s="7"/>
      <c r="I37" s="6"/>
      <c r="J37" s="42"/>
      <c r="K37" s="5"/>
    </row>
    <row r="38" spans="1:11" s="36" customFormat="1" x14ac:dyDescent="0.25">
      <c r="A38" s="2"/>
      <c r="B38" s="43" t="s">
        <v>39</v>
      </c>
      <c r="C38" s="3"/>
      <c r="D38" s="4"/>
      <c r="E38" s="5"/>
      <c r="F38" s="5"/>
      <c r="G38" s="42">
        <f>SUM(G36:G37)</f>
        <v>32.154877291241462</v>
      </c>
      <c r="H38" s="7" t="s">
        <v>54</v>
      </c>
      <c r="I38" s="6">
        <v>1112.58</v>
      </c>
      <c r="J38" s="42">
        <f>G38*I38</f>
        <v>35774.873376689422</v>
      </c>
      <c r="K38" s="5"/>
    </row>
    <row r="39" spans="1:11" x14ac:dyDescent="0.25">
      <c r="A39" s="16"/>
      <c r="B39" s="32" t="s">
        <v>55</v>
      </c>
      <c r="C39" s="17"/>
      <c r="D39" s="17"/>
      <c r="E39" s="17"/>
      <c r="F39" s="17"/>
      <c r="G39" s="17"/>
      <c r="H39" s="17"/>
      <c r="I39" s="17"/>
      <c r="J39" s="18">
        <f>0.13*G38*7050.67/10</f>
        <v>2947.2745727234869</v>
      </c>
      <c r="K39" s="17"/>
    </row>
    <row r="40" spans="1:11" x14ac:dyDescent="0.25">
      <c r="A40" s="16"/>
      <c r="B40" s="32" t="s">
        <v>56</v>
      </c>
      <c r="C40" s="17"/>
      <c r="D40" s="17"/>
      <c r="E40" s="17"/>
      <c r="F40" s="17"/>
      <c r="G40" s="17"/>
      <c r="H40" s="17"/>
      <c r="I40" s="17"/>
      <c r="J40" s="18">
        <f>0.13*G38*1023.75/10</f>
        <v>427.94122314980984</v>
      </c>
      <c r="K40" s="17"/>
    </row>
    <row r="41" spans="1:11" x14ac:dyDescent="0.25">
      <c r="A41" s="16"/>
      <c r="B41" s="32" t="s">
        <v>57</v>
      </c>
      <c r="C41" s="17"/>
      <c r="D41" s="17"/>
      <c r="E41" s="17"/>
      <c r="F41" s="17"/>
      <c r="G41" s="17"/>
      <c r="H41" s="17"/>
      <c r="I41" s="17"/>
      <c r="J41" s="18">
        <f>0.13*G38*348.21/10</f>
        <v>145.55644768058147</v>
      </c>
      <c r="K41" s="17"/>
    </row>
    <row r="42" spans="1:11" x14ac:dyDescent="0.25">
      <c r="A42" s="16"/>
      <c r="B42" s="32" t="s">
        <v>58</v>
      </c>
      <c r="C42" s="17"/>
      <c r="D42" s="17"/>
      <c r="E42" s="17"/>
      <c r="F42" s="17"/>
      <c r="G42" s="17"/>
      <c r="H42" s="17"/>
      <c r="I42" s="17"/>
      <c r="J42" s="18">
        <f>0.13*G38*165/10</f>
        <v>68.972211789712929</v>
      </c>
      <c r="K42" s="17"/>
    </row>
    <row r="43" spans="1:11" x14ac:dyDescent="0.25">
      <c r="A43" s="16"/>
      <c r="B43" s="32"/>
      <c r="C43" s="17"/>
      <c r="D43" s="17"/>
      <c r="E43" s="17"/>
      <c r="F43" s="17"/>
      <c r="G43" s="17"/>
      <c r="H43" s="17"/>
      <c r="I43" s="17"/>
      <c r="J43" s="18"/>
      <c r="K43" s="17"/>
    </row>
    <row r="44" spans="1:11" ht="150" x14ac:dyDescent="0.25">
      <c r="A44" s="16">
        <v>3</v>
      </c>
      <c r="B44" s="45" t="s">
        <v>60</v>
      </c>
      <c r="C44" s="17"/>
      <c r="D44" s="17"/>
      <c r="E44" s="17"/>
      <c r="F44" s="17"/>
      <c r="G44" s="17"/>
      <c r="H44" s="17"/>
      <c r="I44" s="17"/>
      <c r="J44" s="18"/>
      <c r="K44" s="17"/>
    </row>
    <row r="45" spans="1:11" x14ac:dyDescent="0.25">
      <c r="A45" s="16"/>
      <c r="B45" s="32" t="s">
        <v>61</v>
      </c>
      <c r="C45" s="17">
        <v>1</v>
      </c>
      <c r="D45" s="33">
        <f>D54</f>
        <v>9.5245352026821095</v>
      </c>
      <c r="E45" s="17">
        <f>E54</f>
        <v>1.75</v>
      </c>
      <c r="F45" s="33">
        <v>0.9</v>
      </c>
      <c r="G45" s="33">
        <f t="shared" ref="G45:G49" si="3">PRODUCT(C45:F45)</f>
        <v>15.001142944224325</v>
      </c>
      <c r="H45" s="17"/>
      <c r="I45" s="17"/>
      <c r="J45" s="18"/>
      <c r="K45" s="17"/>
    </row>
    <row r="46" spans="1:11" x14ac:dyDescent="0.25">
      <c r="A46" s="16"/>
      <c r="B46" s="32"/>
      <c r="C46" s="17">
        <v>1</v>
      </c>
      <c r="D46" s="33">
        <f>D55</f>
        <v>7.8229198415117347</v>
      </c>
      <c r="E46" s="33">
        <f>E55</f>
        <v>1</v>
      </c>
      <c r="F46" s="17">
        <v>0.75</v>
      </c>
      <c r="G46" s="33">
        <f t="shared" si="3"/>
        <v>5.8671898811338012</v>
      </c>
      <c r="H46" s="17"/>
      <c r="I46" s="17"/>
      <c r="J46" s="18"/>
      <c r="K46" s="17"/>
    </row>
    <row r="47" spans="1:11" x14ac:dyDescent="0.25">
      <c r="A47" s="16"/>
      <c r="B47" s="32" t="s">
        <v>65</v>
      </c>
      <c r="C47" s="17">
        <v>4</v>
      </c>
      <c r="D47" s="33">
        <v>0.6</v>
      </c>
      <c r="E47" s="33">
        <v>0.6</v>
      </c>
      <c r="F47" s="17">
        <v>0.45</v>
      </c>
      <c r="G47" s="33">
        <f t="shared" si="3"/>
        <v>0.64800000000000002</v>
      </c>
      <c r="H47" s="17"/>
      <c r="I47" s="17"/>
      <c r="J47" s="18"/>
      <c r="K47" s="17"/>
    </row>
    <row r="48" spans="1:11" x14ac:dyDescent="0.25">
      <c r="A48" s="16"/>
      <c r="B48" s="32" t="s">
        <v>66</v>
      </c>
      <c r="C48" s="17">
        <v>4</v>
      </c>
      <c r="D48" s="33">
        <f>10.25/3.281</f>
        <v>3.1240475464797317</v>
      </c>
      <c r="E48" s="17">
        <v>0.45</v>
      </c>
      <c r="F48" s="33">
        <v>0.3</v>
      </c>
      <c r="G48" s="33">
        <f t="shared" si="3"/>
        <v>1.6869856750990553</v>
      </c>
      <c r="H48" s="17"/>
      <c r="I48" s="17"/>
      <c r="J48" s="18"/>
      <c r="K48" s="17"/>
    </row>
    <row r="49" spans="1:11" x14ac:dyDescent="0.25">
      <c r="A49" s="16"/>
      <c r="B49" s="32" t="s">
        <v>72</v>
      </c>
      <c r="C49" s="17">
        <v>5</v>
      </c>
      <c r="D49" s="33">
        <v>0.3</v>
      </c>
      <c r="E49" s="33">
        <v>0.3</v>
      </c>
      <c r="F49" s="33">
        <v>0.3</v>
      </c>
      <c r="G49" s="33">
        <f t="shared" si="3"/>
        <v>0.13499999999999998</v>
      </c>
      <c r="H49" s="17"/>
      <c r="I49" s="17"/>
      <c r="J49" s="18"/>
      <c r="K49" s="17"/>
    </row>
    <row r="50" spans="1:11" s="36" customFormat="1" x14ac:dyDescent="0.25">
      <c r="A50" s="2"/>
      <c r="B50" s="43" t="s">
        <v>39</v>
      </c>
      <c r="C50" s="3"/>
      <c r="D50" s="4"/>
      <c r="E50" s="5"/>
      <c r="F50" s="5"/>
      <c r="G50" s="42">
        <f>SUM(G45:G49)</f>
        <v>23.338318500457184</v>
      </c>
      <c r="H50" s="7" t="s">
        <v>63</v>
      </c>
      <c r="I50" s="6">
        <v>62.95</v>
      </c>
      <c r="J50" s="42">
        <f>G50*I50</f>
        <v>1469.1471496037798</v>
      </c>
      <c r="K50" s="5"/>
    </row>
    <row r="51" spans="1:11" x14ac:dyDescent="0.25">
      <c r="A51" s="16"/>
      <c r="B51" s="32" t="s">
        <v>62</v>
      </c>
      <c r="C51" s="17"/>
      <c r="D51" s="17"/>
      <c r="E51" s="17"/>
      <c r="F51" s="17"/>
      <c r="G51" s="17"/>
      <c r="H51" s="17"/>
      <c r="I51" s="17"/>
      <c r="J51" s="18">
        <f>0.13*G50*18612/360</f>
        <v>156.85683864157275</v>
      </c>
      <c r="K51" s="17"/>
    </row>
    <row r="52" spans="1:11" x14ac:dyDescent="0.25">
      <c r="A52" s="16"/>
      <c r="B52" s="32"/>
      <c r="C52" s="17"/>
      <c r="D52" s="17"/>
      <c r="E52" s="17"/>
      <c r="F52" s="17"/>
      <c r="G52" s="17"/>
      <c r="H52" s="17"/>
      <c r="I52" s="17"/>
      <c r="J52" s="18"/>
      <c r="K52" s="17"/>
    </row>
    <row r="53" spans="1:11" ht="105" x14ac:dyDescent="0.25">
      <c r="A53" s="16">
        <v>4</v>
      </c>
      <c r="B53" s="45" t="s">
        <v>26</v>
      </c>
      <c r="C53" s="17"/>
      <c r="D53" s="17"/>
      <c r="E53" s="17"/>
      <c r="F53" s="17"/>
      <c r="G53" s="17"/>
      <c r="H53" s="17"/>
      <c r="I53" s="17"/>
      <c r="J53" s="18"/>
      <c r="K53" s="17"/>
    </row>
    <row r="54" spans="1:11" x14ac:dyDescent="0.25">
      <c r="A54" s="16"/>
      <c r="B54" s="32" t="s">
        <v>61</v>
      </c>
      <c r="C54" s="17">
        <v>1</v>
      </c>
      <c r="D54" s="33">
        <f>D65</f>
        <v>9.5245352026821095</v>
      </c>
      <c r="E54" s="17">
        <f>E65</f>
        <v>1.75</v>
      </c>
      <c r="F54" s="17">
        <v>0.15</v>
      </c>
      <c r="G54" s="33">
        <f t="shared" ref="G54:G60" si="4">PRODUCT(C54:F54)</f>
        <v>2.5001904907040537</v>
      </c>
      <c r="H54" s="17"/>
      <c r="I54" s="17"/>
      <c r="J54" s="18"/>
      <c r="K54" s="17"/>
    </row>
    <row r="55" spans="1:11" x14ac:dyDescent="0.25">
      <c r="A55" s="16"/>
      <c r="B55" s="32"/>
      <c r="C55" s="17">
        <v>1</v>
      </c>
      <c r="D55" s="33">
        <f>D67</f>
        <v>7.8229198415117347</v>
      </c>
      <c r="E55" s="33">
        <f>E67</f>
        <v>1</v>
      </c>
      <c r="F55" s="17">
        <v>0.15</v>
      </c>
      <c r="G55" s="33">
        <f t="shared" si="4"/>
        <v>1.1734379762267602</v>
      </c>
      <c r="H55" s="17"/>
      <c r="I55" s="17"/>
      <c r="J55" s="18"/>
      <c r="K55" s="17"/>
    </row>
    <row r="56" spans="1:11" x14ac:dyDescent="0.25">
      <c r="A56" s="16"/>
      <c r="B56" s="32" t="str">
        <f>B47</f>
        <v>-for footing of vertical post</v>
      </c>
      <c r="C56" s="17">
        <f>C47</f>
        <v>4</v>
      </c>
      <c r="D56" s="33">
        <v>0.45</v>
      </c>
      <c r="E56" s="17">
        <v>0.45</v>
      </c>
      <c r="F56" s="17">
        <v>0.15</v>
      </c>
      <c r="G56" s="33">
        <f t="shared" si="4"/>
        <v>0.1215</v>
      </c>
      <c r="H56" s="17"/>
      <c r="I56" s="17"/>
      <c r="J56" s="18"/>
      <c r="K56" s="17"/>
    </row>
    <row r="57" spans="1:11" x14ac:dyDescent="0.25">
      <c r="A57" s="16"/>
      <c r="B57" s="32" t="str">
        <f>B48</f>
        <v>-for plinth level</v>
      </c>
      <c r="C57" s="17">
        <f>C48</f>
        <v>4</v>
      </c>
      <c r="D57" s="33">
        <f>11.17/3.281</f>
        <v>3.4044498628466928</v>
      </c>
      <c r="E57" s="17">
        <v>0.45</v>
      </c>
      <c r="F57" s="17">
        <v>0.15</v>
      </c>
      <c r="G57" s="33">
        <f t="shared" si="4"/>
        <v>0.91920146296860705</v>
      </c>
      <c r="H57" s="17"/>
      <c r="I57" s="17"/>
      <c r="J57" s="18"/>
      <c r="K57" s="17"/>
    </row>
    <row r="58" spans="1:11" x14ac:dyDescent="0.25">
      <c r="A58" s="16"/>
      <c r="B58" s="32"/>
      <c r="C58" s="17">
        <v>1</v>
      </c>
      <c r="D58" s="33">
        <f>11.17/3.281</f>
        <v>3.4044498628466928</v>
      </c>
      <c r="E58" s="33">
        <f>11.17/3.281</f>
        <v>3.4044498628466928</v>
      </c>
      <c r="F58" s="17">
        <v>0.15</v>
      </c>
      <c r="G58" s="33">
        <f t="shared" si="4"/>
        <v>1.7385418302955298</v>
      </c>
      <c r="H58" s="17"/>
      <c r="I58" s="17"/>
      <c r="J58" s="18"/>
      <c r="K58" s="17"/>
    </row>
    <row r="59" spans="1:11" x14ac:dyDescent="0.25">
      <c r="A59" s="16"/>
      <c r="B59" s="32" t="s">
        <v>67</v>
      </c>
      <c r="C59" s="17">
        <v>-1</v>
      </c>
      <c r="D59" s="33">
        <v>1.5</v>
      </c>
      <c r="E59" s="33">
        <v>1.8</v>
      </c>
      <c r="F59" s="17">
        <v>0.15</v>
      </c>
      <c r="G59" s="33">
        <f t="shared" si="4"/>
        <v>-0.40500000000000003</v>
      </c>
      <c r="H59" s="17"/>
      <c r="I59" s="17"/>
      <c r="J59" s="18"/>
      <c r="K59" s="17"/>
    </row>
    <row r="60" spans="1:11" x14ac:dyDescent="0.25">
      <c r="A60" s="16"/>
      <c r="B60" s="32" t="str">
        <f>B49</f>
        <v>-for railing</v>
      </c>
      <c r="C60" s="17">
        <v>5</v>
      </c>
      <c r="D60" s="33">
        <f>D49</f>
        <v>0.3</v>
      </c>
      <c r="E60" s="33">
        <f>E49</f>
        <v>0.3</v>
      </c>
      <c r="F60" s="17">
        <v>0.15</v>
      </c>
      <c r="G60" s="33">
        <f t="shared" si="4"/>
        <v>6.7499999999999991E-2</v>
      </c>
      <c r="H60" s="17"/>
      <c r="I60" s="17"/>
      <c r="J60" s="18"/>
      <c r="K60" s="17"/>
    </row>
    <row r="61" spans="1:11" s="36" customFormat="1" x14ac:dyDescent="0.25">
      <c r="A61" s="2"/>
      <c r="B61" s="43" t="s">
        <v>39</v>
      </c>
      <c r="C61" s="3"/>
      <c r="D61" s="4"/>
      <c r="E61" s="5"/>
      <c r="F61" s="5"/>
      <c r="G61" s="42">
        <f>SUM(G54:G60)</f>
        <v>6.1153717601949502</v>
      </c>
      <c r="H61" s="7" t="s">
        <v>63</v>
      </c>
      <c r="I61" s="6">
        <v>4458.5200000000004</v>
      </c>
      <c r="J61" s="42">
        <f>G61*I61</f>
        <v>27265.507300264391</v>
      </c>
      <c r="K61" s="5"/>
    </row>
    <row r="62" spans="1:11" x14ac:dyDescent="0.25">
      <c r="A62" s="16"/>
      <c r="B62" s="32" t="s">
        <v>32</v>
      </c>
      <c r="C62" s="17"/>
      <c r="D62" s="17"/>
      <c r="E62" s="17"/>
      <c r="F62" s="17"/>
      <c r="G62" s="17"/>
      <c r="H62" s="17"/>
      <c r="I62" s="17"/>
      <c r="J62" s="18">
        <f>0.13*G61*15452.64/5</f>
        <v>2456.9645951879311</v>
      </c>
      <c r="K62" s="17"/>
    </row>
    <row r="63" spans="1:11" x14ac:dyDescent="0.25">
      <c r="A63" s="16"/>
      <c r="B63" s="45"/>
      <c r="C63" s="17"/>
      <c r="D63" s="17"/>
      <c r="E63" s="17"/>
      <c r="F63" s="17"/>
      <c r="G63" s="17"/>
      <c r="H63" s="17"/>
      <c r="I63" s="17"/>
      <c r="J63" s="18"/>
      <c r="K63" s="17"/>
    </row>
    <row r="64" spans="1:11" ht="94.5" x14ac:dyDescent="0.25">
      <c r="A64" s="16">
        <v>5</v>
      </c>
      <c r="B64" s="46" t="s">
        <v>27</v>
      </c>
      <c r="C64" s="17"/>
      <c r="D64" s="17"/>
      <c r="E64" s="17"/>
      <c r="F64" s="17"/>
      <c r="G64" s="17"/>
      <c r="H64" s="17"/>
      <c r="I64" s="17"/>
      <c r="J64" s="17"/>
      <c r="K64" s="17"/>
    </row>
    <row r="65" spans="1:11" x14ac:dyDescent="0.25">
      <c r="A65" s="16"/>
      <c r="B65" s="32" t="s">
        <v>61</v>
      </c>
      <c r="C65" s="17">
        <v>1</v>
      </c>
      <c r="D65" s="33">
        <f>D82</f>
        <v>9.5245352026821095</v>
      </c>
      <c r="E65" s="33">
        <f>F82/2</f>
        <v>1.75</v>
      </c>
      <c r="F65" s="17">
        <v>0.05</v>
      </c>
      <c r="G65" s="33">
        <f t="shared" ref="G65:G73" si="5">PRODUCT(C65:F65)</f>
        <v>0.83339683023468469</v>
      </c>
      <c r="H65" s="17"/>
      <c r="I65" s="17"/>
      <c r="J65" s="18"/>
      <c r="K65" s="17"/>
    </row>
    <row r="66" spans="1:11" x14ac:dyDescent="0.25">
      <c r="A66" s="16"/>
      <c r="B66" s="32"/>
      <c r="C66" s="17">
        <v>1</v>
      </c>
      <c r="D66" s="33">
        <f>D65</f>
        <v>9.5245352026821095</v>
      </c>
      <c r="E66" s="17">
        <v>0.45</v>
      </c>
      <c r="F66" s="17">
        <v>0.05</v>
      </c>
      <c r="G66" s="33">
        <f t="shared" si="5"/>
        <v>0.21430204206034748</v>
      </c>
      <c r="H66" s="17"/>
      <c r="I66" s="17"/>
      <c r="J66" s="18"/>
      <c r="K66" s="17"/>
    </row>
    <row r="67" spans="1:11" x14ac:dyDescent="0.25">
      <c r="A67" s="16"/>
      <c r="B67" s="32"/>
      <c r="C67" s="17">
        <v>1</v>
      </c>
      <c r="D67" s="33">
        <f>D83</f>
        <v>7.8229198415117347</v>
      </c>
      <c r="E67" s="33">
        <f>F83/2</f>
        <v>1</v>
      </c>
      <c r="F67" s="17">
        <v>0.05</v>
      </c>
      <c r="G67" s="33">
        <f t="shared" si="5"/>
        <v>0.39114599207558676</v>
      </c>
      <c r="H67" s="17"/>
      <c r="I67" s="17"/>
      <c r="J67" s="18"/>
      <c r="K67" s="17"/>
    </row>
    <row r="68" spans="1:11" x14ac:dyDescent="0.25">
      <c r="A68" s="16"/>
      <c r="B68" s="32"/>
      <c r="C68" s="17">
        <v>1</v>
      </c>
      <c r="D68" s="33">
        <f>D83</f>
        <v>7.8229198415117347</v>
      </c>
      <c r="E68" s="17">
        <v>0.45</v>
      </c>
      <c r="F68" s="17">
        <v>0.05</v>
      </c>
      <c r="G68" s="33">
        <f t="shared" si="5"/>
        <v>0.17601569643401405</v>
      </c>
      <c r="H68" s="17"/>
      <c r="I68" s="17"/>
      <c r="J68" s="18"/>
      <c r="K68" s="17"/>
    </row>
    <row r="69" spans="1:11" x14ac:dyDescent="0.25">
      <c r="A69" s="16"/>
      <c r="B69" s="32" t="str">
        <f>B56</f>
        <v>-for footing of vertical post</v>
      </c>
      <c r="C69" s="17">
        <v>4</v>
      </c>
      <c r="D69" s="33">
        <v>0.45</v>
      </c>
      <c r="E69" s="17">
        <v>0.45</v>
      </c>
      <c r="F69" s="17">
        <v>0.3</v>
      </c>
      <c r="G69" s="33">
        <f t="shared" si="5"/>
        <v>0.24299999999999999</v>
      </c>
      <c r="H69" s="17"/>
      <c r="I69" s="17"/>
      <c r="J69" s="18"/>
      <c r="K69" s="17"/>
    </row>
    <row r="70" spans="1:11" x14ac:dyDescent="0.25">
      <c r="A70" s="16"/>
      <c r="B70" s="32" t="str">
        <f>B57</f>
        <v>-for plinth level</v>
      </c>
      <c r="C70" s="17">
        <f>C57</f>
        <v>4</v>
      </c>
      <c r="D70" s="33">
        <f>D57</f>
        <v>3.4044498628466928</v>
      </c>
      <c r="E70" s="17">
        <f>E57</f>
        <v>0.45</v>
      </c>
      <c r="F70" s="33">
        <v>0.05</v>
      </c>
      <c r="G70" s="33">
        <f t="shared" si="5"/>
        <v>0.30640048765620237</v>
      </c>
      <c r="H70" s="17"/>
      <c r="I70" s="17"/>
      <c r="J70" s="18"/>
      <c r="K70" s="17"/>
    </row>
    <row r="71" spans="1:11" x14ac:dyDescent="0.25">
      <c r="A71" s="16"/>
      <c r="B71" s="32"/>
      <c r="C71" s="17">
        <v>1</v>
      </c>
      <c r="D71" s="33">
        <f>14.17/3.281</f>
        <v>4.3188052423041752</v>
      </c>
      <c r="E71" s="33">
        <f>14.17/3.281</f>
        <v>4.3188052423041752</v>
      </c>
      <c r="F71" s="33">
        <v>7.4999999999999997E-2</v>
      </c>
      <c r="G71" s="33">
        <f t="shared" si="5"/>
        <v>1.3989059040715519</v>
      </c>
      <c r="H71" s="17"/>
      <c r="I71" s="17"/>
      <c r="J71" s="18"/>
      <c r="K71" s="17"/>
    </row>
    <row r="72" spans="1:11" x14ac:dyDescent="0.25">
      <c r="A72" s="16"/>
      <c r="B72" s="32" t="s">
        <v>67</v>
      </c>
      <c r="C72" s="17">
        <v>-1</v>
      </c>
      <c r="D72" s="33">
        <v>1.5</v>
      </c>
      <c r="E72" s="33">
        <v>1.8</v>
      </c>
      <c r="F72" s="33">
        <v>7.4999999999999997E-2</v>
      </c>
      <c r="G72" s="33">
        <f t="shared" si="5"/>
        <v>-0.20250000000000001</v>
      </c>
      <c r="H72" s="17"/>
      <c r="I72" s="17"/>
      <c r="J72" s="18"/>
      <c r="K72" s="17"/>
    </row>
    <row r="73" spans="1:11" x14ac:dyDescent="0.25">
      <c r="A73" s="16"/>
      <c r="B73" s="32" t="str">
        <f>B60</f>
        <v>-for railing</v>
      </c>
      <c r="C73" s="17">
        <v>5</v>
      </c>
      <c r="D73" s="33">
        <f>D60</f>
        <v>0.3</v>
      </c>
      <c r="E73" s="33">
        <f>E60</f>
        <v>0.3</v>
      </c>
      <c r="F73" s="33">
        <v>0.3</v>
      </c>
      <c r="G73" s="33">
        <f t="shared" si="5"/>
        <v>0.13499999999999998</v>
      </c>
      <c r="H73" s="17"/>
      <c r="I73" s="17"/>
      <c r="J73" s="18"/>
      <c r="K73" s="17"/>
    </row>
    <row r="74" spans="1:11" s="36" customFormat="1" x14ac:dyDescent="0.25">
      <c r="A74" s="2"/>
      <c r="B74" s="43" t="s">
        <v>39</v>
      </c>
      <c r="C74" s="3"/>
      <c r="D74" s="4"/>
      <c r="E74" s="5"/>
      <c r="F74" s="5"/>
      <c r="G74" s="42">
        <f>SUM(G65:G73)</f>
        <v>3.4956669525323871</v>
      </c>
      <c r="H74" s="7" t="s">
        <v>63</v>
      </c>
      <c r="I74" s="6">
        <v>10964.46</v>
      </c>
      <c r="J74" s="42">
        <f>G74*I74</f>
        <v>38328.100474363251</v>
      </c>
      <c r="K74" s="5"/>
    </row>
    <row r="75" spans="1:11" x14ac:dyDescent="0.25">
      <c r="A75" s="16"/>
      <c r="B75" s="32" t="s">
        <v>28</v>
      </c>
      <c r="C75" s="17"/>
      <c r="D75" s="17"/>
      <c r="E75" s="17"/>
      <c r="F75" s="17"/>
      <c r="G75" s="17"/>
      <c r="H75" s="17"/>
      <c r="I75" s="17"/>
      <c r="J75" s="18">
        <f>0.13*G74*53818.03/15</f>
        <v>1630.4592106521038</v>
      </c>
      <c r="K75" s="17"/>
    </row>
    <row r="76" spans="1:11" x14ac:dyDescent="0.25">
      <c r="A76" s="16"/>
      <c r="B76" s="32" t="s">
        <v>29</v>
      </c>
      <c r="C76" s="17"/>
      <c r="D76" s="17"/>
      <c r="E76" s="17"/>
      <c r="F76" s="17"/>
      <c r="G76" s="17"/>
      <c r="H76" s="17"/>
      <c r="I76" s="17"/>
      <c r="J76" s="18">
        <f>0.13*G74*21432.6/15</f>
        <v>649.31733989932889</v>
      </c>
      <c r="K76" s="17"/>
    </row>
    <row r="77" spans="1:11" x14ac:dyDescent="0.25">
      <c r="A77" s="16"/>
      <c r="B77" s="32" t="s">
        <v>30</v>
      </c>
      <c r="C77" s="17"/>
      <c r="D77" s="17"/>
      <c r="E77" s="17"/>
      <c r="F77" s="17"/>
      <c r="G77" s="17"/>
      <c r="H77" s="17"/>
      <c r="I77" s="17"/>
      <c r="J77" s="18">
        <f>0.13*G74*(25719.12+13573.98+4286.52)/15</f>
        <v>1320.2785911286353</v>
      </c>
      <c r="K77" s="17"/>
    </row>
    <row r="78" spans="1:11" x14ac:dyDescent="0.25">
      <c r="A78" s="16"/>
      <c r="B78" s="32" t="s">
        <v>64</v>
      </c>
      <c r="C78" s="17"/>
      <c r="D78" s="17"/>
      <c r="E78" s="17"/>
      <c r="F78" s="17"/>
      <c r="G78" s="17"/>
      <c r="H78" s="17"/>
      <c r="I78" s="17"/>
      <c r="J78" s="18">
        <f>0.13*G74*(6325.7/15)</f>
        <v>191.64201716082906</v>
      </c>
      <c r="K78" s="17"/>
    </row>
    <row r="79" spans="1:11" x14ac:dyDescent="0.25">
      <c r="A79" s="16"/>
      <c r="B79" s="32" t="s">
        <v>33</v>
      </c>
      <c r="C79" s="17"/>
      <c r="D79" s="17"/>
      <c r="E79" s="17"/>
      <c r="F79" s="17"/>
      <c r="G79" s="17"/>
      <c r="H79" s="17"/>
      <c r="I79" s="17"/>
      <c r="J79" s="18">
        <f>0.13*G74*(310)/5</f>
        <v>28.175075637411044</v>
      </c>
      <c r="K79" s="17"/>
    </row>
    <row r="80" spans="1:11" x14ac:dyDescent="0.25">
      <c r="A80" s="16"/>
      <c r="B80" s="32"/>
      <c r="C80" s="17"/>
      <c r="D80" s="17"/>
      <c r="E80" s="17"/>
      <c r="F80" s="17"/>
      <c r="G80" s="17"/>
      <c r="H80" s="17"/>
      <c r="I80" s="17"/>
      <c r="J80" s="18"/>
      <c r="K80" s="17"/>
    </row>
    <row r="81" spans="1:16" ht="110.25" x14ac:dyDescent="0.25">
      <c r="A81" s="16">
        <v>6</v>
      </c>
      <c r="B81" s="46" t="s">
        <v>31</v>
      </c>
      <c r="C81" s="17"/>
      <c r="D81" s="17"/>
      <c r="E81" s="17"/>
      <c r="F81" s="17"/>
      <c r="G81" s="17"/>
      <c r="H81" s="17"/>
      <c r="I81" s="17"/>
      <c r="J81" s="17"/>
      <c r="K81" s="17"/>
    </row>
    <row r="82" spans="1:16" x14ac:dyDescent="0.25">
      <c r="A82" s="16"/>
      <c r="B82" s="32" t="s">
        <v>61</v>
      </c>
      <c r="C82" s="17">
        <v>1</v>
      </c>
      <c r="D82" s="33">
        <f>31.25/3.281</f>
        <v>9.5245352026821095</v>
      </c>
      <c r="E82" s="33">
        <f>((F82/2)+0.5)/2</f>
        <v>1.125</v>
      </c>
      <c r="F82" s="33">
        <f>7/2</f>
        <v>3.5</v>
      </c>
      <c r="G82" s="33">
        <f>PRODUCT(C82:F82)</f>
        <v>37.502857360560803</v>
      </c>
      <c r="H82" s="17"/>
      <c r="I82" s="17">
        <f>31.25/3.281</f>
        <v>9.5245352026821095</v>
      </c>
      <c r="J82" s="17"/>
      <c r="K82" s="17"/>
      <c r="M82" s="33">
        <f>7</f>
        <v>7</v>
      </c>
      <c r="N82" s="33">
        <f>2</f>
        <v>2</v>
      </c>
      <c r="O82" s="33"/>
      <c r="P82" s="33">
        <f>PI()*M82*SQRT(M82^2+N82^2)</f>
        <v>160.09797821843054</v>
      </c>
    </row>
    <row r="83" spans="1:16" x14ac:dyDescent="0.25">
      <c r="A83" s="16"/>
      <c r="B83" s="32"/>
      <c r="C83" s="17">
        <v>1</v>
      </c>
      <c r="D83" s="33">
        <f>(10.667+15)/3.281</f>
        <v>7.8229198415117347</v>
      </c>
      <c r="E83" s="33">
        <f>((F83/2)+0.5)/2</f>
        <v>0.75</v>
      </c>
      <c r="F83" s="33">
        <v>2</v>
      </c>
      <c r="G83" s="33">
        <f>PRODUCT(C83:F83)</f>
        <v>11.734379762267602</v>
      </c>
      <c r="H83" s="17"/>
      <c r="I83" s="17">
        <f>(10.75+15)/3.281</f>
        <v>7.8482170070100574</v>
      </c>
      <c r="J83" s="17"/>
      <c r="K83" s="17"/>
      <c r="M83" s="35"/>
      <c r="N83" s="35"/>
      <c r="O83" s="35"/>
      <c r="P83" s="35"/>
    </row>
    <row r="84" spans="1:16" x14ac:dyDescent="0.25">
      <c r="A84" s="16"/>
      <c r="B84" s="32" t="str">
        <f>B70</f>
        <v>-for plinth level</v>
      </c>
      <c r="C84" s="17">
        <v>2</v>
      </c>
      <c r="D84" s="33">
        <f>14.17/3.281</f>
        <v>4.3188052423041752</v>
      </c>
      <c r="E84" s="33">
        <f>1.5/3.281</f>
        <v>0.45717768972874123</v>
      </c>
      <c r="F84" s="33">
        <f>1.5/3.281</f>
        <v>0.45717768972874123</v>
      </c>
      <c r="G84" s="33">
        <f>PRODUCT(C84:F84)</f>
        <v>1.8053594054236508</v>
      </c>
      <c r="H84" s="17"/>
      <c r="I84" s="17"/>
      <c r="J84" s="17"/>
      <c r="K84" s="17"/>
      <c r="M84" s="35"/>
      <c r="N84" s="35"/>
      <c r="O84" s="35"/>
      <c r="P84" s="35"/>
    </row>
    <row r="85" spans="1:16" x14ac:dyDescent="0.25">
      <c r="A85" s="16"/>
      <c r="B85" s="32"/>
      <c r="C85" s="17">
        <v>2</v>
      </c>
      <c r="D85" s="33">
        <f>(14.17-3)/3.281</f>
        <v>3.4044498628466928</v>
      </c>
      <c r="E85" s="33">
        <f>1.5/3.281</f>
        <v>0.45717768972874123</v>
      </c>
      <c r="F85" s="33">
        <f>1.5/3.281</f>
        <v>0.45717768972874123</v>
      </c>
      <c r="G85" s="33">
        <f>PRODUCT(C85:F85)</f>
        <v>1.4231379363854748</v>
      </c>
      <c r="H85" s="17"/>
      <c r="I85" s="17"/>
      <c r="J85" s="17"/>
      <c r="K85" s="17"/>
      <c r="M85" s="35"/>
      <c r="N85" s="35"/>
      <c r="O85" s="35"/>
      <c r="P85" s="35"/>
    </row>
    <row r="86" spans="1:16" ht="15" customHeight="1" x14ac:dyDescent="0.25">
      <c r="A86" s="2"/>
      <c r="B86" s="34" t="s">
        <v>16</v>
      </c>
      <c r="C86" s="3"/>
      <c r="D86" s="4"/>
      <c r="E86" s="5"/>
      <c r="F86" s="5"/>
      <c r="G86" s="6">
        <f>SUM(G82:G85)</f>
        <v>52.465734464637528</v>
      </c>
      <c r="H86" s="7" t="s">
        <v>63</v>
      </c>
      <c r="I86" s="6">
        <v>8987.83</v>
      </c>
      <c r="J86" s="18">
        <f>G86*I86</f>
        <v>471553.10219330312</v>
      </c>
      <c r="K86" s="5"/>
    </row>
    <row r="87" spans="1:16" x14ac:dyDescent="0.25">
      <c r="A87" s="16"/>
      <c r="B87" s="32" t="s">
        <v>28</v>
      </c>
      <c r="C87" s="17"/>
      <c r="D87" s="17"/>
      <c r="E87" s="17"/>
      <c r="F87" s="17"/>
      <c r="G87" s="17"/>
      <c r="H87" s="17"/>
      <c r="I87" s="17"/>
      <c r="J87" s="18">
        <f>0.13*G86*(5863.95)/5</f>
        <v>7999.0675339616919</v>
      </c>
      <c r="K87" s="17"/>
    </row>
    <row r="88" spans="1:16" x14ac:dyDescent="0.25">
      <c r="A88" s="16"/>
      <c r="B88" s="32" t="s">
        <v>29</v>
      </c>
      <c r="C88" s="17"/>
      <c r="D88" s="17"/>
      <c r="E88" s="17"/>
      <c r="F88" s="17"/>
      <c r="G88" s="17"/>
      <c r="H88" s="17"/>
      <c r="I88" s="17"/>
      <c r="J88" s="18">
        <f>0.13*G86*(6604.416)/5</f>
        <v>9009.1439399000919</v>
      </c>
      <c r="K88" s="17"/>
    </row>
    <row r="89" spans="1:16" x14ac:dyDescent="0.25">
      <c r="A89" s="16"/>
      <c r="B89" s="32" t="s">
        <v>32</v>
      </c>
      <c r="C89" s="17"/>
      <c r="D89" s="17"/>
      <c r="E89" s="17"/>
      <c r="F89" s="17"/>
      <c r="G89" s="17"/>
      <c r="H89" s="17"/>
      <c r="I89" s="17"/>
      <c r="J89" s="18">
        <f>0.13*G86*(14808.78)/5</f>
        <v>20200.79149985611</v>
      </c>
      <c r="K89" s="17"/>
    </row>
    <row r="90" spans="1:16" x14ac:dyDescent="0.25">
      <c r="A90" s="16"/>
      <c r="B90" s="32" t="s">
        <v>33</v>
      </c>
      <c r="C90" s="17"/>
      <c r="D90" s="17"/>
      <c r="E90" s="17"/>
      <c r="F90" s="17"/>
      <c r="G90" s="17"/>
      <c r="H90" s="17"/>
      <c r="I90" s="17"/>
      <c r="J90" s="18">
        <f>0.13*G86*(310)/5</f>
        <v>422.87381978497842</v>
      </c>
      <c r="K90" s="17"/>
    </row>
    <row r="91" spans="1:16" x14ac:dyDescent="0.25">
      <c r="A91" s="16"/>
      <c r="B91" s="32"/>
      <c r="C91" s="17"/>
      <c r="D91" s="17"/>
      <c r="E91" s="17"/>
      <c r="F91" s="17"/>
      <c r="G91" s="17"/>
      <c r="H91" s="17"/>
      <c r="I91" s="17"/>
      <c r="J91" s="18"/>
      <c r="K91" s="17"/>
    </row>
    <row r="92" spans="1:16" x14ac:dyDescent="0.25">
      <c r="A92" s="16">
        <v>7</v>
      </c>
      <c r="B92" s="39" t="s">
        <v>68</v>
      </c>
      <c r="C92" s="17"/>
      <c r="D92" s="17"/>
      <c r="E92" s="17"/>
      <c r="F92" s="17"/>
      <c r="G92" s="17"/>
      <c r="H92" s="17"/>
      <c r="I92" s="17"/>
      <c r="J92" s="18"/>
      <c r="K92" s="17"/>
    </row>
    <row r="93" spans="1:16" x14ac:dyDescent="0.25">
      <c r="A93" s="16"/>
      <c r="B93" s="32" t="s">
        <v>69</v>
      </c>
      <c r="C93" s="17">
        <v>1</v>
      </c>
      <c r="D93" s="33">
        <f>1.5</f>
        <v>1.5</v>
      </c>
      <c r="E93" s="33">
        <v>1.6</v>
      </c>
      <c r="F93" s="17"/>
      <c r="G93" s="33">
        <f>PRODUCT(C93:F93)</f>
        <v>2.4000000000000004</v>
      </c>
      <c r="H93" s="17"/>
      <c r="I93" s="17"/>
      <c r="J93" s="18"/>
      <c r="K93" s="17"/>
    </row>
    <row r="94" spans="1:16" ht="15" customHeight="1" x14ac:dyDescent="0.25">
      <c r="A94" s="2"/>
      <c r="B94" s="34" t="s">
        <v>16</v>
      </c>
      <c r="C94" s="3"/>
      <c r="D94" s="4"/>
      <c r="E94" s="5"/>
      <c r="F94" s="5"/>
      <c r="G94" s="6">
        <f>SUM(G93)</f>
        <v>2.4000000000000004</v>
      </c>
      <c r="H94" s="7" t="s">
        <v>54</v>
      </c>
      <c r="I94" s="6">
        <v>1017.47</v>
      </c>
      <c r="J94" s="18">
        <f>G94*I94</f>
        <v>2441.9280000000003</v>
      </c>
      <c r="K94" s="5"/>
    </row>
    <row r="95" spans="1:16" x14ac:dyDescent="0.25">
      <c r="A95" s="16"/>
      <c r="B95" s="32" t="s">
        <v>82</v>
      </c>
      <c r="C95" s="17"/>
      <c r="D95" s="17"/>
      <c r="E95" s="17"/>
      <c r="F95" s="17"/>
      <c r="G95" s="17"/>
      <c r="H95" s="17"/>
      <c r="I95" s="17"/>
      <c r="J95" s="18">
        <f>0.13*G94*(8617.2)/10</f>
        <v>268.85664000000008</v>
      </c>
      <c r="K95" s="17"/>
    </row>
    <row r="96" spans="1:16" x14ac:dyDescent="0.25">
      <c r="A96" s="16"/>
      <c r="B96" s="17"/>
      <c r="C96" s="17"/>
      <c r="D96" s="17"/>
      <c r="E96" s="17"/>
      <c r="F96" s="17"/>
      <c r="G96" s="17"/>
      <c r="H96" s="17"/>
      <c r="I96" s="17"/>
      <c r="J96" s="17"/>
      <c r="K96" s="17"/>
    </row>
    <row r="97" spans="1:19" ht="45" x14ac:dyDescent="0.25">
      <c r="A97" s="16">
        <v>8</v>
      </c>
      <c r="B97" s="37" t="s">
        <v>73</v>
      </c>
      <c r="C97" s="17"/>
      <c r="D97" s="38" t="s">
        <v>36</v>
      </c>
      <c r="E97" s="38" t="s">
        <v>75</v>
      </c>
      <c r="F97" s="38" t="s">
        <v>76</v>
      </c>
      <c r="G97" s="17"/>
      <c r="H97" s="17"/>
      <c r="I97" s="17"/>
      <c r="J97" s="18"/>
      <c r="K97" s="17"/>
    </row>
    <row r="98" spans="1:19" x14ac:dyDescent="0.25">
      <c r="A98" s="16"/>
      <c r="B98" s="32" t="s">
        <v>74</v>
      </c>
      <c r="C98" s="17">
        <v>1</v>
      </c>
      <c r="D98" s="17">
        <v>185</v>
      </c>
      <c r="E98" s="17">
        <v>0.13500000000000001</v>
      </c>
      <c r="F98" s="17">
        <f>C98*D98*E98</f>
        <v>24.975000000000001</v>
      </c>
      <c r="G98" s="33">
        <f>F98</f>
        <v>24.975000000000001</v>
      </c>
      <c r="H98" s="17"/>
      <c r="I98" s="17"/>
      <c r="J98" s="18"/>
      <c r="K98" s="17"/>
    </row>
    <row r="99" spans="1:19" ht="15" customHeight="1" x14ac:dyDescent="0.25">
      <c r="A99" s="2"/>
      <c r="B99" s="34" t="s">
        <v>16</v>
      </c>
      <c r="C99" s="3"/>
      <c r="D99" s="4"/>
      <c r="E99" s="5"/>
      <c r="F99" s="5"/>
      <c r="G99" s="6">
        <f>SUM(G98)</f>
        <v>24.975000000000001</v>
      </c>
      <c r="H99" s="7" t="s">
        <v>77</v>
      </c>
      <c r="I99" s="6">
        <v>287</v>
      </c>
      <c r="J99" s="18">
        <f>G99*I99</f>
        <v>7167.8250000000007</v>
      </c>
      <c r="K99" s="5"/>
    </row>
    <row r="100" spans="1:19" x14ac:dyDescent="0.25">
      <c r="A100" s="16"/>
      <c r="B100" s="32" t="s">
        <v>81</v>
      </c>
      <c r="C100" s="17"/>
      <c r="D100" s="17"/>
      <c r="E100" s="17"/>
      <c r="F100" s="17"/>
      <c r="G100" s="17"/>
      <c r="H100" s="17"/>
      <c r="I100" s="17"/>
      <c r="J100" s="18">
        <f>0.13*J99</f>
        <v>931.81725000000017</v>
      </c>
      <c r="K100" s="17"/>
    </row>
    <row r="101" spans="1:19" x14ac:dyDescent="0.25">
      <c r="A101" s="16"/>
      <c r="B101" s="17"/>
      <c r="C101" s="17"/>
      <c r="D101" s="17"/>
      <c r="E101" s="17"/>
      <c r="F101" s="17"/>
      <c r="G101" s="17"/>
      <c r="H101" s="17"/>
      <c r="I101" s="17"/>
      <c r="J101" s="17"/>
      <c r="K101" s="17"/>
    </row>
    <row r="102" spans="1:19" ht="15" customHeight="1" x14ac:dyDescent="0.25">
      <c r="A102" s="2">
        <v>9</v>
      </c>
      <c r="B102" s="1" t="s">
        <v>17</v>
      </c>
      <c r="C102" s="3">
        <v>1</v>
      </c>
      <c r="D102" s="4"/>
      <c r="E102" s="5"/>
      <c r="F102" s="5"/>
      <c r="G102" s="7">
        <f t="shared" ref="G102" si="6">PRODUCT(C102:F102)</f>
        <v>1</v>
      </c>
      <c r="H102" s="7" t="s">
        <v>18</v>
      </c>
      <c r="I102" s="6">
        <v>500</v>
      </c>
      <c r="J102" s="7">
        <f>G102*I102</f>
        <v>500</v>
      </c>
      <c r="K102" s="5"/>
    </row>
    <row r="103" spans="1:19" x14ac:dyDescent="0.25">
      <c r="A103" s="2"/>
      <c r="B103" s="8"/>
      <c r="C103" s="3"/>
      <c r="D103" s="4"/>
      <c r="E103" s="5"/>
      <c r="F103" s="5"/>
      <c r="G103" s="6"/>
      <c r="H103" s="7"/>
      <c r="I103" s="6"/>
      <c r="J103" s="18"/>
      <c r="K103" s="5"/>
    </row>
    <row r="104" spans="1:19" x14ac:dyDescent="0.25">
      <c r="A104" s="21"/>
      <c r="B104" s="22" t="s">
        <v>20</v>
      </c>
      <c r="C104" s="23"/>
      <c r="D104" s="24"/>
      <c r="E104" s="24"/>
      <c r="F104" s="24"/>
      <c r="G104" s="18"/>
      <c r="H104" s="18"/>
      <c r="I104" s="18"/>
      <c r="J104" s="18">
        <f>SUM(J9:J102)</f>
        <v>805286.81389120058</v>
      </c>
      <c r="K104" s="25"/>
    </row>
    <row r="105" spans="1:19" x14ac:dyDescent="0.25">
      <c r="M105" s="20"/>
      <c r="N105" s="20"/>
      <c r="O105" s="20"/>
      <c r="P105" s="20"/>
      <c r="Q105" s="20"/>
      <c r="R105" s="20"/>
      <c r="S105" s="20"/>
    </row>
    <row r="106" spans="1:19" s="20" customFormat="1" x14ac:dyDescent="0.25">
      <c r="A106" s="26"/>
      <c r="B106" s="27" t="s">
        <v>19</v>
      </c>
      <c r="C106" s="70">
        <f>J104</f>
        <v>805286.81389120058</v>
      </c>
      <c r="D106" s="71"/>
      <c r="E106" s="9">
        <v>100</v>
      </c>
      <c r="F106" s="26"/>
      <c r="G106" s="28"/>
      <c r="H106" s="26"/>
      <c r="I106" s="29"/>
      <c r="J106" s="30"/>
      <c r="K106" s="31"/>
      <c r="M106" s="19"/>
      <c r="N106" s="19"/>
      <c r="O106" s="19"/>
      <c r="P106" s="19"/>
      <c r="Q106" s="19"/>
      <c r="R106" s="19"/>
      <c r="S106" s="19"/>
    </row>
    <row r="107" spans="1:19" x14ac:dyDescent="0.25">
      <c r="B107" s="27" t="s">
        <v>21</v>
      </c>
      <c r="C107" s="74">
        <v>700000</v>
      </c>
      <c r="D107" s="75"/>
      <c r="E107" s="9"/>
    </row>
    <row r="108" spans="1:19" x14ac:dyDescent="0.25">
      <c r="B108" s="27" t="s">
        <v>22</v>
      </c>
      <c r="C108" s="74">
        <f>C107-C110-C111</f>
        <v>665000</v>
      </c>
      <c r="D108" s="75"/>
      <c r="E108" s="9">
        <f>C108/C106*100</f>
        <v>82.579273437581179</v>
      </c>
    </row>
    <row r="109" spans="1:19" x14ac:dyDescent="0.25">
      <c r="B109" s="27" t="s">
        <v>34</v>
      </c>
      <c r="C109" s="76">
        <f>C106-C108</f>
        <v>140286.81389120058</v>
      </c>
      <c r="D109" s="76"/>
      <c r="E109" s="9">
        <f>100-E108</f>
        <v>17.420726562418821</v>
      </c>
    </row>
    <row r="110" spans="1:19" x14ac:dyDescent="0.25">
      <c r="B110" s="27" t="s">
        <v>23</v>
      </c>
      <c r="C110" s="70">
        <f>C107*0.03</f>
        <v>21000</v>
      </c>
      <c r="D110" s="71"/>
      <c r="E110" s="9">
        <v>3</v>
      </c>
    </row>
    <row r="111" spans="1:19" x14ac:dyDescent="0.25">
      <c r="B111" s="27" t="s">
        <v>24</v>
      </c>
      <c r="C111" s="70">
        <f>C107*0.02</f>
        <v>14000</v>
      </c>
      <c r="D111" s="71"/>
      <c r="E111" s="9">
        <v>2</v>
      </c>
    </row>
  </sheetData>
  <mergeCells count="15">
    <mergeCell ref="A6:F6"/>
    <mergeCell ref="H6:K6"/>
    <mergeCell ref="A1:K1"/>
    <mergeCell ref="A2:K2"/>
    <mergeCell ref="A3:K3"/>
    <mergeCell ref="A4:K4"/>
    <mergeCell ref="A5:K5"/>
    <mergeCell ref="C110:D110"/>
    <mergeCell ref="C111:D111"/>
    <mergeCell ref="A7:F7"/>
    <mergeCell ref="H7:K7"/>
    <mergeCell ref="C106:D106"/>
    <mergeCell ref="C107:D107"/>
    <mergeCell ref="C108:D108"/>
    <mergeCell ref="C109:D109"/>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estimate</vt:lpstr>
      <vt:lpstr>WCR</vt:lpstr>
      <vt:lpstr>V</vt:lpstr>
      <vt:lpstr>M</vt:lpstr>
      <vt:lpstr>With measurement</vt:lpstr>
      <vt:lpstr>estimate!Print_Area</vt:lpstr>
      <vt:lpstr>M!Print_Area</vt:lpstr>
      <vt:lpstr>V!Print_Area</vt:lpstr>
      <vt:lpstr>WCR!Print_Area</vt:lpstr>
      <vt:lpstr>'With measurement'!Print_Area</vt:lpstr>
      <vt:lpstr>estimate!Print_Titles</vt:lpstr>
      <vt:lpstr>M!Print_Titles</vt:lpstr>
      <vt:lpstr>V!Print_Titles</vt:lpstr>
      <vt:lpstr>WCR!Print_Titles</vt:lpstr>
      <vt:lpstr>'With measurement'!Print_Titles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2026-06-29T08:31:48Z</dcterms:modified>
</cp:coreProperties>
</file>