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284D0B99-7BD8-4D7E-9A0B-398B232E04F6}"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estimate!$A$8:$K$91</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1" i="12" l="1"/>
  <c r="E53" i="12"/>
  <c r="E66" i="12" s="1"/>
  <c r="D53" i="12"/>
  <c r="D66" i="12" s="1"/>
  <c r="C53" i="12"/>
  <c r="C66" i="12" s="1"/>
  <c r="B53" i="12"/>
  <c r="B66" i="12" s="1"/>
  <c r="G42" i="12"/>
  <c r="D24" i="12"/>
  <c r="F24" i="12" s="1"/>
  <c r="G24" i="12" s="1"/>
  <c r="D23" i="12"/>
  <c r="F23" i="12" s="1"/>
  <c r="G23" i="12" s="1"/>
  <c r="F22" i="12"/>
  <c r="G22" i="12" s="1"/>
  <c r="G52" i="12"/>
  <c r="D85" i="12"/>
  <c r="G85" i="12" s="1"/>
  <c r="G86" i="12" s="1"/>
  <c r="J87" i="12" s="1"/>
  <c r="G65" i="12"/>
  <c r="E64" i="12"/>
  <c r="D64" i="12"/>
  <c r="E51" i="12"/>
  <c r="D51" i="12"/>
  <c r="E63" i="12"/>
  <c r="E77" i="12" s="1"/>
  <c r="D50" i="12"/>
  <c r="C50" i="12"/>
  <c r="C63" i="12" s="1"/>
  <c r="B50" i="12"/>
  <c r="B63" i="12" s="1"/>
  <c r="B77" i="12" s="1"/>
  <c r="F41" i="12"/>
  <c r="D41" i="12"/>
  <c r="G62" i="12"/>
  <c r="E49" i="12"/>
  <c r="D49" i="12"/>
  <c r="C49" i="12"/>
  <c r="B49" i="12"/>
  <c r="B62" i="12" s="1"/>
  <c r="G40" i="12"/>
  <c r="E60" i="12"/>
  <c r="E48" i="12" s="1"/>
  <c r="E39" i="12" s="1"/>
  <c r="D61" i="12"/>
  <c r="G61" i="12" s="1"/>
  <c r="D60" i="12"/>
  <c r="D48" i="12" s="1"/>
  <c r="E58" i="12"/>
  <c r="E47" i="12" s="1"/>
  <c r="E38" i="12" s="1"/>
  <c r="D58" i="12"/>
  <c r="E76" i="12"/>
  <c r="N75" i="12"/>
  <c r="M75" i="12"/>
  <c r="E75" i="12"/>
  <c r="G66" i="12" l="1"/>
  <c r="G53" i="12"/>
  <c r="J86" i="12"/>
  <c r="G64" i="12"/>
  <c r="G51" i="12"/>
  <c r="G41" i="12"/>
  <c r="G50" i="12"/>
  <c r="D63" i="12"/>
  <c r="D77" i="12" s="1"/>
  <c r="C77" i="12"/>
  <c r="G58" i="12"/>
  <c r="G49" i="12"/>
  <c r="G48" i="12"/>
  <c r="D59" i="12"/>
  <c r="G59" i="12" s="1"/>
  <c r="D39" i="12"/>
  <c r="G39" i="12" s="1"/>
  <c r="G60" i="12"/>
  <c r="D47" i="12"/>
  <c r="P75" i="12"/>
  <c r="G77" i="12" l="1"/>
  <c r="G63" i="12"/>
  <c r="G67" i="12" s="1"/>
  <c r="G47" i="12"/>
  <c r="G54" i="12" s="1"/>
  <c r="D38" i="12"/>
  <c r="G38" i="12" s="1"/>
  <c r="G43" i="12" s="1"/>
  <c r="J68" i="12" l="1"/>
  <c r="J72" i="12"/>
  <c r="J69" i="12"/>
  <c r="J71" i="12"/>
  <c r="J70" i="12"/>
  <c r="J67" i="12"/>
  <c r="J44" i="12"/>
  <c r="J43" i="12"/>
  <c r="J55" i="12"/>
  <c r="J54" i="12"/>
  <c r="E29" i="12" l="1"/>
  <c r="E30" i="12"/>
  <c r="D29" i="12"/>
  <c r="D30" i="12"/>
  <c r="G29" i="12" l="1"/>
  <c r="G30" i="12"/>
  <c r="G31" i="12" l="1"/>
  <c r="J33" i="12"/>
  <c r="J35" i="12"/>
  <c r="J34" i="12"/>
  <c r="J32" i="12"/>
  <c r="J31" i="12"/>
  <c r="D21" i="12"/>
  <c r="C21" i="12"/>
  <c r="D20" i="12"/>
  <c r="G76" i="12" s="1"/>
  <c r="D19" i="12"/>
  <c r="C18" i="12"/>
  <c r="D18" i="12"/>
  <c r="D17" i="12"/>
  <c r="C17" i="12"/>
  <c r="D16" i="12"/>
  <c r="C16" i="12"/>
  <c r="C15" i="12"/>
  <c r="D15" i="12"/>
  <c r="D14" i="12"/>
  <c r="D13" i="12"/>
  <c r="F21" i="12" l="1"/>
  <c r="G21" i="12" s="1"/>
  <c r="F20" i="12"/>
  <c r="G20" i="12" s="1"/>
  <c r="F19" i="12"/>
  <c r="G19" i="12" s="1"/>
  <c r="G75" i="12"/>
  <c r="G78" i="12" s="1"/>
  <c r="F18" i="12"/>
  <c r="G18" i="12" s="1"/>
  <c r="F17" i="12"/>
  <c r="G17" i="12" s="1"/>
  <c r="F16" i="12"/>
  <c r="G16" i="12" s="1"/>
  <c r="F14" i="12"/>
  <c r="G14" i="12" s="1"/>
  <c r="F15" i="12"/>
  <c r="G15" i="12" s="1"/>
  <c r="F13" i="12"/>
  <c r="G13" i="12" s="1"/>
  <c r="D12" i="12"/>
  <c r="F12" i="12" s="1"/>
  <c r="G12" i="12" s="1"/>
  <c r="D10" i="12"/>
  <c r="D11" i="12"/>
  <c r="Q11" i="12" s="1"/>
  <c r="R11" i="12" s="1"/>
  <c r="J78" i="12" l="1"/>
  <c r="J82" i="12"/>
  <c r="J81" i="12"/>
  <c r="J80" i="12"/>
  <c r="J79" i="12"/>
  <c r="C10" i="12"/>
  <c r="F10" i="12" s="1"/>
  <c r="G10" i="12" s="1"/>
  <c r="F11" i="12"/>
  <c r="G11" i="12" s="1"/>
  <c r="G25" i="12" l="1"/>
  <c r="J25" i="12" s="1"/>
  <c r="J26" i="12" l="1"/>
  <c r="C97" i="12" l="1"/>
  <c r="C98" i="12" l="1"/>
  <c r="C95" i="12" s="1"/>
  <c r="G89" i="12"/>
  <c r="J89" i="12" s="1"/>
  <c r="C93" i="12" l="1"/>
  <c r="C96" i="12" s="1"/>
  <c r="E95" i="12" l="1"/>
  <c r="E96" i="12" s="1"/>
</calcChain>
</file>

<file path=xl/sharedStrings.xml><?xml version="1.0" encoding="utf-8"?>
<sst xmlns="http://schemas.openxmlformats.org/spreadsheetml/2006/main" count="96" uniqueCount="78">
  <si>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</si>
  <si>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</si>
  <si>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</si>
  <si>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</si>
  <si>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</si>
  <si>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</si>
  <si>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</si>
  <si>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</si>
  <si>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</si>
  <si>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</si>
  <si>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</si>
  <si>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</si>
  <si>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</si>
  <si>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</si>
  <si>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</si>
  <si>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</si>
  <si>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</si>
  <si>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</si>
  <si>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</si>
  <si>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</si>
  <si>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</si>
  <si>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</si>
  <si>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</si>
  <si>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</si>
  <si>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</si>
  <si>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</si>
  <si>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</si>
  <si>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</si>
  <si>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</si>
  <si>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</si>
  <si>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</si>
  <si>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</si>
  <si>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</si>
  <si>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</si>
  <si>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Random Rubble Masonry, Providing and laying of Stone Masonry Work in Cement Mortar 1:6 in Foundation complete as per Drawing and Technical Specifications., Using Concrete Mixer</t>
  </si>
  <si>
    <t>-13% VAT for stone</t>
  </si>
  <si>
    <t>-13% VAT for water</t>
  </si>
  <si>
    <t>User contribution</t>
  </si>
  <si>
    <t>sfnf] kmnfd] kfO{ksf] 6«; agfO{ h8fg ug]{ sfd</t>
  </si>
  <si>
    <t>Length (m)</t>
  </si>
  <si>
    <t>Unit length (Kg/m)</t>
  </si>
  <si>
    <t>Total Weight (kg)</t>
  </si>
  <si>
    <t>sub-total</t>
  </si>
  <si>
    <t>Kg</t>
  </si>
  <si>
    <t>-VAT 13% for materials</t>
  </si>
  <si>
    <t>Project:-देविथान निर्माण कार्य</t>
  </si>
  <si>
    <t>-MS square pipe of 3" * 3" of 3mm thickness for vertical post</t>
  </si>
  <si>
    <t>-MS square pipe horizontal of 3" * 3" of 3mm thickness for binding post</t>
  </si>
  <si>
    <t>-MS square pipe horizontal of 3" * 3" of 3mm thickness for base of upper portion</t>
  </si>
  <si>
    <t>-MS square pipe vertical section of 3" * 3" of 3mm thickness for upper portion</t>
  </si>
  <si>
    <t>-MS square pipe horizontal of 2" * 2" of 3mm thickness for diagnol of uppermost portion</t>
  </si>
  <si>
    <t>-MS square pipe horizontal of 2" * 2" of 3mm thickness for binding at mid portion of upper part</t>
  </si>
  <si>
    <t>-MS square pipe horizontal of 2" * 2" of 3mm thickness as purlin  at mid portion of upper part</t>
  </si>
  <si>
    <t>-MS square pipe horizontal of 2" * 2" of 3mm thickness  at corner of upper part</t>
  </si>
  <si>
    <t>-MS square pipe horizontal of 2" * 2" of 3mm thickness as purlin  at mid portion of uppermost part</t>
  </si>
  <si>
    <t>-MS square pipe horizontal of 2" * 2" of 3mm thickness  at corner of uppermost part</t>
  </si>
  <si>
    <t>-upper portion</t>
  </si>
  <si>
    <t>-uppermost portion</t>
  </si>
  <si>
    <t>sqm</t>
  </si>
  <si>
    <t>-13% VAT for sheet</t>
  </si>
  <si>
    <t>-13% VAT for nut bolt</t>
  </si>
  <si>
    <t>-13% VAT for j-hook</t>
  </si>
  <si>
    <t>-13% VAT for bitumen washer</t>
  </si>
  <si>
    <t>)=$! dL=dL=afSnf] sf]?u]6]8 /+lug ss{6 kftfsf] 5fgf 5fpg] sfd</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</si>
  <si>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</si>
  <si>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-Masonary wall</t>
  </si>
  <si>
    <t>-13% VAT for excavator</t>
  </si>
  <si>
    <t>cum</t>
  </si>
  <si>
    <t>-13% VAT for formwork</t>
  </si>
  <si>
    <t>-for footing of vertical post</t>
  </si>
  <si>
    <t>-for plinth level</t>
  </si>
  <si>
    <t>-deduction for chihaan</t>
  </si>
  <si>
    <t>;'Vvf O{6f RofK6f] 5fKg] sfd</t>
  </si>
  <si>
    <t>-for chihaan</t>
  </si>
  <si>
    <t>m2</t>
  </si>
  <si>
    <t>-MS square pipe horizontal of 2" * 2" of 2mm thickness  for vertical post of railing</t>
  </si>
  <si>
    <t>-MS square pipe horizontal of 1.5" * 1.5" of 2mm thickness  for vertical post of railing</t>
  </si>
  <si>
    <t>-for railing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</si>
</sst>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8"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sz val="11"/>
      <color rgb="FFFF0000"/>
      <name val="Calibri"/>
      <family val="2"/>
      <scheme val="minor"/>
    </font>
    <font>
      <b/>
      <sz val="11"/>
      <color rgb="FFFF0000"/>
      <name val="Times New Roman"/>
      <family val="1"/>
    </font>
    <font>
      <b/>
      <sz val="12"/>
      <color rgb="FFFF0000"/>
      <name val="Preeti"/>
    </font>
    <font>
      <sz val="11"/>
      <color rgb="FFFF0000"/>
      <name val="Times New Roman"/>
      <family val="1"/>
    </font>
    <font>
      <b/>
      <sz val="11"/>
      <color rgb="FFFF0000"/>
      <name val="Calibri"/>
      <family val="2"/>
      <scheme val="minor"/>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7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0" fillId="0" borderId="0" xfId="0" applyAlignment="1">
      <alignment vertical="center"/>
    </xf>
    <xf numFmtId="0" fontId="0" fillId="0" borderId="2" xfId="0" applyBorder="1" applyAlignment="1">
      <alignment vertical="center"/>
    </xf>
    <xf numFmtId="1" fontId="14" fillId="0" borderId="2" xfId="0" applyNumberFormat="1" applyFont="1" applyBorder="1" applyAlignment="1">
      <alignment vertical="center"/>
    </xf>
    <xf numFmtId="0" fontId="15" fillId="2" borderId="2" xfId="0" applyFont="1" applyFill="1" applyBorder="1" applyAlignment="1">
      <alignment vertical="center" wrapText="1"/>
    </xf>
    <xf numFmtId="164" fontId="16" fillId="0" borderId="2" xfId="0" applyNumberFormat="1" applyFont="1" applyBorder="1" applyAlignment="1">
      <alignment vertical="center"/>
    </xf>
    <xf numFmtId="2" fontId="16" fillId="0" borderId="2" xfId="1" applyNumberFormat="1" applyFont="1" applyFill="1" applyBorder="1" applyAlignment="1">
      <alignment vertical="center" wrapText="1"/>
    </xf>
    <xf numFmtId="2" fontId="16" fillId="0" borderId="2" xfId="0" applyNumberFormat="1" applyFont="1" applyBorder="1" applyAlignment="1">
      <alignment vertical="center" wrapText="1"/>
    </xf>
    <xf numFmtId="2" fontId="14" fillId="0" borderId="2" xfId="0" applyNumberFormat="1" applyFont="1" applyBorder="1" applyAlignment="1">
      <alignment vertical="center"/>
    </xf>
    <xf numFmtId="2" fontId="14" fillId="0" borderId="2" xfId="1" applyNumberFormat="1" applyFont="1" applyFill="1" applyBorder="1" applyAlignment="1">
      <alignment vertical="center"/>
    </xf>
    <xf numFmtId="2" fontId="17" fillId="0" borderId="2" xfId="0" applyNumberFormat="1" applyFont="1" applyBorder="1" applyAlignment="1">
      <alignment vertical="center"/>
    </xf>
    <xf numFmtId="0" fontId="17" fillId="0" borderId="2" xfId="0" applyFont="1" applyBorder="1" applyAlignment="1">
      <alignment vertical="center"/>
    </xf>
    <xf numFmtId="0" fontId="16" fillId="0" borderId="2" xfId="0" quotePrefix="1" applyFont="1" applyBorder="1" applyAlignment="1">
      <alignment horizontal="right" vertical="center" wrapText="1"/>
    </xf>
    <xf numFmtId="164" fontId="13" fillId="0" borderId="2" xfId="0" applyNumberFormat="1" applyFont="1" applyBorder="1" applyAlignment="1">
      <alignment vertical="center"/>
    </xf>
    <xf numFmtId="2" fontId="13" fillId="0" borderId="2" xfId="0" applyNumberFormat="1" applyFont="1" applyBorder="1" applyAlignment="1">
      <alignment vertical="center"/>
    </xf>
    <xf numFmtId="2" fontId="16" fillId="0" borderId="2" xfId="1" applyNumberFormat="1" applyFont="1" applyFill="1" applyBorder="1" applyAlignment="1">
      <alignment vertical="center"/>
    </xf>
    <xf numFmtId="2" fontId="16" fillId="0" borderId="2" xfId="0" applyNumberFormat="1" applyFont="1" applyBorder="1" applyAlignment="1">
      <alignment vertical="center"/>
    </xf>
    <xf numFmtId="2" fontId="13" fillId="0" borderId="2" xfId="0" applyNumberFormat="1" applyFont="1" applyBorder="1"/>
    <xf numFmtId="0" fontId="13" fillId="0" borderId="2" xfId="0" quotePrefix="1" applyFont="1" applyBorder="1" applyAlignment="1">
      <alignment horizontal="right"/>
    </xf>
    <xf numFmtId="0" fontId="13" fillId="0" borderId="2" xfId="0" applyFont="1" applyBorder="1"/>
    <xf numFmtId="2" fontId="14" fillId="0" borderId="2" xfId="0" applyNumberFormat="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13" fillId="0" borderId="2" xfId="0" quotePrefix="1" applyFont="1" applyBorder="1" applyAlignment="1">
      <alignment wrapText="1"/>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98"/>
  <sheetViews>
    <sheetView tabSelected="1" topLeftCell="A71" zoomScale="90" zoomScaleNormal="90" zoomScaleSheetLayoutView="95" workbookViewId="0">
      <selection activeCell="A6" sqref="A6:F6"/>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2.7109375" style="19" hidden="1" customWidth="1"/>
    <col min="11" max="12" width="9.140625" style="19"/>
    <col min="13" max="16" width="0" style="19" hidden="1" customWidth="1"/>
    <col min="17" max="16384" width="9.140625" style="19"/>
  </cols>
  <sheetData>
    <row r="1" spans="1:18" x14ac:dyDescent="0.25">
      <c r="A1" s="66" t="s">
        <v>0</v>
      </c>
      <c r="B1" s="66"/>
      <c r="C1" s="66"/>
      <c r="D1" s="66"/>
      <c r="E1" s="66"/>
      <c r="F1" s="66"/>
      <c r="G1" s="66"/>
      <c r="H1" s="66"/>
      <c r="I1" s="66"/>
      <c r="J1" s="66"/>
      <c r="K1" s="66"/>
    </row>
    <row r="2" spans="1:18" ht="22.5" x14ac:dyDescent="0.25">
      <c r="A2" s="67" t="s">
        <v>1</v>
      </c>
      <c r="B2" s="67"/>
      <c r="C2" s="67"/>
      <c r="D2" s="67"/>
      <c r="E2" s="67"/>
      <c r="F2" s="67"/>
      <c r="G2" s="67"/>
      <c r="H2" s="67"/>
      <c r="I2" s="67"/>
      <c r="J2" s="67"/>
      <c r="K2" s="67"/>
    </row>
    <row r="3" spans="1:18" x14ac:dyDescent="0.25">
      <c r="A3" s="68" t="s">
        <v>2</v>
      </c>
      <c r="B3" s="68"/>
      <c r="C3" s="68"/>
      <c r="D3" s="68"/>
      <c r="E3" s="68"/>
      <c r="F3" s="68"/>
      <c r="G3" s="68"/>
      <c r="H3" s="68"/>
      <c r="I3" s="68"/>
      <c r="J3" s="68"/>
      <c r="K3" s="68"/>
    </row>
    <row r="4" spans="1:18" x14ac:dyDescent="0.25">
      <c r="A4" s="68" t="s">
        <v>3</v>
      </c>
      <c r="B4" s="68"/>
      <c r="C4" s="68"/>
      <c r="D4" s="68"/>
      <c r="E4" s="68"/>
      <c r="F4" s="68"/>
      <c r="G4" s="68"/>
      <c r="H4" s="68"/>
      <c r="I4" s="68"/>
      <c r="J4" s="68"/>
      <c r="K4" s="68"/>
    </row>
    <row r="5" spans="1:18" ht="18.75" x14ac:dyDescent="0.3">
      <c r="A5" s="69" t="s">
        <v>4</v>
      </c>
      <c r="B5" s="69"/>
      <c r="C5" s="69"/>
      <c r="D5" s="69"/>
      <c r="E5" s="69"/>
      <c r="F5" s="69"/>
      <c r="G5" s="69"/>
      <c r="H5" s="69"/>
      <c r="I5" s="69"/>
      <c r="J5" s="69"/>
      <c r="K5" s="69"/>
    </row>
    <row r="6" spans="1:18" ht="15.75" x14ac:dyDescent="0.25">
      <c r="A6" s="64" t="s">
        <v>45</v>
      </c>
      <c r="B6" s="64"/>
      <c r="C6" s="64"/>
      <c r="D6" s="64"/>
      <c r="E6" s="64"/>
      <c r="F6" s="64"/>
      <c r="G6" s="10"/>
      <c r="H6" s="65" t="s">
        <v>28</v>
      </c>
      <c r="I6" s="65"/>
      <c r="J6" s="65"/>
      <c r="K6" s="65"/>
    </row>
    <row r="7" spans="1:18" ht="15.75" x14ac:dyDescent="0.25">
      <c r="A7" s="59" t="s">
        <v>5</v>
      </c>
      <c r="B7" s="59"/>
      <c r="C7" s="59"/>
      <c r="D7" s="59"/>
      <c r="E7" s="59"/>
      <c r="F7" s="59"/>
      <c r="G7" s="11"/>
      <c r="H7" s="60" t="s">
        <v>23</v>
      </c>
      <c r="I7" s="60"/>
      <c r="J7" s="60"/>
      <c r="K7" s="60"/>
    </row>
    <row r="8" spans="1:18" ht="15.75" x14ac:dyDescent="0.25">
      <c r="A8" s="12" t="s">
        <v>6</v>
      </c>
      <c r="B8" s="13" t="s">
        <v>7</v>
      </c>
      <c r="C8" s="12" t="s">
        <v>8</v>
      </c>
      <c r="D8" s="14" t="s">
        <v>9</v>
      </c>
      <c r="E8" s="14" t="s">
        <v>10</v>
      </c>
      <c r="F8" s="14" t="s">
        <v>11</v>
      </c>
      <c r="G8" s="14" t="s">
        <v>12</v>
      </c>
      <c r="H8" s="12" t="s">
        <v>13</v>
      </c>
      <c r="I8" s="14" t="s">
        <v>14</v>
      </c>
      <c r="J8" s="14" t="s">
        <v>15</v>
      </c>
      <c r="K8" s="15" t="s">
        <v>16</v>
      </c>
    </row>
    <row r="9" spans="1:18" s="37" customFormat="1" ht="45" x14ac:dyDescent="0.25">
      <c r="A9" s="39">
        <v>1</v>
      </c>
      <c r="B9" s="40" t="s">
        <v>38</v>
      </c>
      <c r="C9" s="41" t="s">
        <v>8</v>
      </c>
      <c r="D9" s="42" t="s">
        <v>39</v>
      </c>
      <c r="E9" s="43" t="s">
        <v>40</v>
      </c>
      <c r="F9" s="43" t="s">
        <v>41</v>
      </c>
      <c r="G9" s="43"/>
      <c r="H9" s="44"/>
      <c r="I9" s="45"/>
      <c r="J9" s="46"/>
      <c r="K9" s="5"/>
    </row>
    <row r="10" spans="1:18" s="37" customFormat="1" ht="30" x14ac:dyDescent="0.25">
      <c r="A10" s="47"/>
      <c r="B10" s="48" t="s">
        <v>46</v>
      </c>
      <c r="C10" s="49">
        <f>4</f>
        <v>4</v>
      </c>
      <c r="D10" s="50">
        <f>(12+1+2)/3.281</f>
        <v>4.5717768972874122</v>
      </c>
      <c r="E10" s="50">
        <v>6.5</v>
      </c>
      <c r="F10" s="50">
        <f t="shared" ref="F10:F15" si="0">PRODUCT(C10:E10)</f>
        <v>118.86619932947272</v>
      </c>
      <c r="G10" s="50">
        <f t="shared" ref="G10:G15" si="1">F10</f>
        <v>118.86619932947272</v>
      </c>
      <c r="H10" s="46"/>
      <c r="I10" s="46"/>
      <c r="J10" s="46"/>
      <c r="K10" s="38"/>
    </row>
    <row r="11" spans="1:18" s="37" customFormat="1" ht="45" x14ac:dyDescent="0.25">
      <c r="A11" s="47"/>
      <c r="B11" s="48" t="s">
        <v>47</v>
      </c>
      <c r="C11" s="49">
        <v>4</v>
      </c>
      <c r="D11" s="50">
        <f>12/3.281</f>
        <v>3.6574215178299299</v>
      </c>
      <c r="E11" s="50">
        <v>6.5</v>
      </c>
      <c r="F11" s="50">
        <f t="shared" si="0"/>
        <v>95.092959463578183</v>
      </c>
      <c r="G11" s="50">
        <f t="shared" si="1"/>
        <v>95.092959463578183</v>
      </c>
      <c r="H11" s="46"/>
      <c r="I11" s="46"/>
      <c r="J11" s="46"/>
      <c r="K11" s="38"/>
      <c r="Q11" s="37">
        <f>PRODUCT(C11:D11)</f>
        <v>14.629686071319719</v>
      </c>
      <c r="R11" s="37">
        <f>CONVERT(Q11,"m","ft")</f>
        <v>47.997657714303543</v>
      </c>
    </row>
    <row r="12" spans="1:18" s="37" customFormat="1" ht="45" x14ac:dyDescent="0.25">
      <c r="A12" s="47"/>
      <c r="B12" s="48" t="s">
        <v>48</v>
      </c>
      <c r="C12" s="49">
        <v>2</v>
      </c>
      <c r="D12" s="50">
        <f>12/3.281</f>
        <v>3.6574215178299299</v>
      </c>
      <c r="E12" s="50">
        <v>6.5</v>
      </c>
      <c r="F12" s="50">
        <f t="shared" si="0"/>
        <v>47.546479731789091</v>
      </c>
      <c r="G12" s="50">
        <f t="shared" si="1"/>
        <v>47.546479731789091</v>
      </c>
      <c r="H12" s="46"/>
      <c r="I12" s="46"/>
      <c r="J12" s="46"/>
      <c r="K12" s="38"/>
    </row>
    <row r="13" spans="1:18" s="37" customFormat="1" ht="45" x14ac:dyDescent="0.25">
      <c r="A13" s="47"/>
      <c r="B13" s="48" t="s">
        <v>49</v>
      </c>
      <c r="C13" s="49">
        <v>4</v>
      </c>
      <c r="D13" s="50">
        <f>5.33/3.281</f>
        <v>1.6245047241694606</v>
      </c>
      <c r="E13" s="50">
        <v>6.5</v>
      </c>
      <c r="F13" s="50">
        <f t="shared" si="0"/>
        <v>42.237122828405973</v>
      </c>
      <c r="G13" s="50">
        <f t="shared" si="1"/>
        <v>42.237122828405973</v>
      </c>
      <c r="H13" s="46"/>
      <c r="I13" s="46"/>
      <c r="J13" s="46"/>
      <c r="K13" s="38"/>
    </row>
    <row r="14" spans="1:18" s="37" customFormat="1" ht="45" x14ac:dyDescent="0.25">
      <c r="A14" s="47"/>
      <c r="B14" s="48" t="s">
        <v>50</v>
      </c>
      <c r="C14" s="49">
        <v>2</v>
      </c>
      <c r="D14" s="50">
        <f>8.25/3.281</f>
        <v>2.5144772935080768</v>
      </c>
      <c r="E14" s="50">
        <v>4.43</v>
      </c>
      <c r="F14" s="50">
        <f t="shared" si="0"/>
        <v>22.278268820481561</v>
      </c>
      <c r="G14" s="50">
        <f t="shared" si="1"/>
        <v>22.278268820481561</v>
      </c>
      <c r="H14" s="46"/>
      <c r="I14" s="46"/>
      <c r="J14" s="46"/>
      <c r="K14" s="38"/>
    </row>
    <row r="15" spans="1:18" s="37" customFormat="1" ht="45" x14ac:dyDescent="0.25">
      <c r="A15" s="47"/>
      <c r="B15" s="48" t="s">
        <v>51</v>
      </c>
      <c r="C15" s="49">
        <f>2*4</f>
        <v>8</v>
      </c>
      <c r="D15" s="50">
        <f>6/3.281</f>
        <v>1.8287107589149649</v>
      </c>
      <c r="E15" s="50">
        <v>4.43</v>
      </c>
      <c r="F15" s="50">
        <f t="shared" si="0"/>
        <v>64.809509295946356</v>
      </c>
      <c r="G15" s="50">
        <f t="shared" si="1"/>
        <v>64.809509295946356</v>
      </c>
      <c r="H15" s="46"/>
      <c r="I15" s="46"/>
      <c r="J15" s="46"/>
      <c r="K15" s="38"/>
    </row>
    <row r="16" spans="1:18" s="37" customFormat="1" ht="45" x14ac:dyDescent="0.25">
      <c r="A16" s="47"/>
      <c r="B16" s="48" t="s">
        <v>52</v>
      </c>
      <c r="C16" s="49">
        <f>4</f>
        <v>4</v>
      </c>
      <c r="D16" s="50">
        <f>9.5/3.281</f>
        <v>2.895458701615361</v>
      </c>
      <c r="E16" s="50">
        <v>4.43</v>
      </c>
      <c r="F16" s="50">
        <f t="shared" ref="F16" si="2">PRODUCT(C16:E16)</f>
        <v>51.307528192624197</v>
      </c>
      <c r="G16" s="50">
        <f t="shared" ref="G16" si="3">F16</f>
        <v>51.307528192624197</v>
      </c>
      <c r="H16" s="46"/>
      <c r="I16" s="46"/>
      <c r="J16" s="46"/>
      <c r="K16" s="38"/>
    </row>
    <row r="17" spans="1:11" s="37" customFormat="1" x14ac:dyDescent="0.25">
      <c r="A17" s="47"/>
      <c r="B17" s="48"/>
      <c r="C17" s="49">
        <f>4</f>
        <v>4</v>
      </c>
      <c r="D17" s="50">
        <f>14.083/3.281</f>
        <v>4.2922889362999088</v>
      </c>
      <c r="E17" s="50">
        <v>4.43</v>
      </c>
      <c r="F17" s="50">
        <f t="shared" ref="F17:F18" si="4">PRODUCT(C17:E17)</f>
        <v>76.059359951234384</v>
      </c>
      <c r="G17" s="50">
        <f t="shared" ref="G17:G18" si="5">F17</f>
        <v>76.059359951234384</v>
      </c>
      <c r="H17" s="46"/>
      <c r="I17" s="46"/>
      <c r="J17" s="46"/>
      <c r="K17" s="38"/>
    </row>
    <row r="18" spans="1:11" s="37" customFormat="1" ht="45" x14ac:dyDescent="0.25">
      <c r="A18" s="47"/>
      <c r="B18" s="48" t="s">
        <v>53</v>
      </c>
      <c r="C18" s="49">
        <f>4*2</f>
        <v>8</v>
      </c>
      <c r="D18" s="50">
        <f>6.42/3.281</f>
        <v>1.9567205120390123</v>
      </c>
      <c r="E18" s="50">
        <v>4.43</v>
      </c>
      <c r="F18" s="50">
        <f t="shared" si="4"/>
        <v>69.346174946662586</v>
      </c>
      <c r="G18" s="50">
        <f t="shared" si="5"/>
        <v>69.346174946662586</v>
      </c>
      <c r="H18" s="46"/>
      <c r="I18" s="46"/>
      <c r="J18" s="46"/>
      <c r="K18" s="38"/>
    </row>
    <row r="19" spans="1:11" s="37" customFormat="1" ht="45" x14ac:dyDescent="0.25">
      <c r="A19" s="47"/>
      <c r="B19" s="48" t="s">
        <v>54</v>
      </c>
      <c r="C19" s="49">
        <v>4</v>
      </c>
      <c r="D19" s="50">
        <f>8/3.281</f>
        <v>2.4382810118866196</v>
      </c>
      <c r="E19" s="50">
        <v>4.43</v>
      </c>
      <c r="F19" s="50">
        <f t="shared" ref="F19" si="6">PRODUCT(C19:E19)</f>
        <v>43.206339530630899</v>
      </c>
      <c r="G19" s="50">
        <f t="shared" ref="G19" si="7">F19</f>
        <v>43.206339530630899</v>
      </c>
      <c r="H19" s="46"/>
      <c r="I19" s="46"/>
      <c r="J19" s="46"/>
      <c r="K19" s="38"/>
    </row>
    <row r="20" spans="1:11" s="37" customFormat="1" x14ac:dyDescent="0.25">
      <c r="A20" s="47"/>
      <c r="B20" s="48"/>
      <c r="C20" s="49">
        <v>4</v>
      </c>
      <c r="D20" s="50">
        <f>2.5/3.281</f>
        <v>0.76196281621456874</v>
      </c>
      <c r="E20" s="50">
        <v>5.43</v>
      </c>
      <c r="F20" s="50">
        <f t="shared" ref="F20:F21" si="8">PRODUCT(C20:E20)</f>
        <v>16.549832368180432</v>
      </c>
      <c r="G20" s="50">
        <f t="shared" ref="G20:G21" si="9">F20</f>
        <v>16.549832368180432</v>
      </c>
      <c r="H20" s="46"/>
      <c r="I20" s="46"/>
      <c r="J20" s="46"/>
      <c r="K20" s="38"/>
    </row>
    <row r="21" spans="1:11" s="37" customFormat="1" ht="45" x14ac:dyDescent="0.25">
      <c r="A21" s="47"/>
      <c r="B21" s="48" t="s">
        <v>55</v>
      </c>
      <c r="C21" s="49">
        <f>4*2</f>
        <v>8</v>
      </c>
      <c r="D21" s="50">
        <f>4.17/3.281</f>
        <v>1.2709539774459007</v>
      </c>
      <c r="E21" s="50">
        <v>4.43</v>
      </c>
      <c r="F21" s="50">
        <f t="shared" si="8"/>
        <v>45.042608960682713</v>
      </c>
      <c r="G21" s="50">
        <f t="shared" si="9"/>
        <v>45.042608960682713</v>
      </c>
      <c r="H21" s="46"/>
      <c r="I21" s="46"/>
      <c r="J21" s="46"/>
      <c r="K21" s="38"/>
    </row>
    <row r="22" spans="1:11" s="37" customFormat="1" ht="45" x14ac:dyDescent="0.25">
      <c r="A22" s="47"/>
      <c r="B22" s="48" t="s">
        <v>75</v>
      </c>
      <c r="C22" s="49">
        <v>6</v>
      </c>
      <c r="D22" s="50">
        <v>1.5</v>
      </c>
      <c r="E22" s="50">
        <v>3.01</v>
      </c>
      <c r="F22" s="50">
        <f t="shared" ref="F22" si="10">PRODUCT(C22:E22)</f>
        <v>27.089999999999996</v>
      </c>
      <c r="G22" s="50">
        <f t="shared" ref="G22" si="11">F22</f>
        <v>27.089999999999996</v>
      </c>
      <c r="H22" s="46"/>
      <c r="I22" s="46"/>
      <c r="J22" s="46"/>
      <c r="K22" s="38"/>
    </row>
    <row r="23" spans="1:11" s="37" customFormat="1" ht="45" x14ac:dyDescent="0.25">
      <c r="A23" s="47"/>
      <c r="B23" s="48" t="s">
        <v>75</v>
      </c>
      <c r="C23" s="49">
        <v>1</v>
      </c>
      <c r="D23" s="50">
        <f>36/3.281</f>
        <v>10.97226455348979</v>
      </c>
      <c r="E23" s="50">
        <v>3.01</v>
      </c>
      <c r="F23" s="50">
        <f t="shared" ref="F23" si="12">PRODUCT(C23:E23)</f>
        <v>33.026516306004268</v>
      </c>
      <c r="G23" s="50">
        <f t="shared" ref="G23" si="13">F23</f>
        <v>33.026516306004268</v>
      </c>
      <c r="H23" s="46"/>
      <c r="I23" s="46"/>
      <c r="J23" s="46"/>
      <c r="K23" s="38"/>
    </row>
    <row r="24" spans="1:11" s="37" customFormat="1" ht="45" x14ac:dyDescent="0.25">
      <c r="A24" s="47"/>
      <c r="B24" s="48" t="s">
        <v>76</v>
      </c>
      <c r="C24" s="49">
        <v>2</v>
      </c>
      <c r="D24" s="50">
        <f>(36-0.17*7)/3.281</f>
        <v>10.609570252971656</v>
      </c>
      <c r="E24" s="50">
        <v>2.2599999999999998</v>
      </c>
      <c r="F24" s="50">
        <f t="shared" ref="F24" si="14">PRODUCT(C24:E24)</f>
        <v>47.955257543431877</v>
      </c>
      <c r="G24" s="50">
        <f t="shared" ref="G24" si="15">F24</f>
        <v>47.955257543431877</v>
      </c>
      <c r="H24" s="46"/>
      <c r="I24" s="46"/>
      <c r="J24" s="46"/>
      <c r="K24" s="38"/>
    </row>
    <row r="25" spans="1:11" s="37" customFormat="1" x14ac:dyDescent="0.25">
      <c r="A25" s="39"/>
      <c r="B25" s="48" t="s">
        <v>42</v>
      </c>
      <c r="C25" s="41"/>
      <c r="D25" s="51"/>
      <c r="E25" s="52"/>
      <c r="F25" s="52"/>
      <c r="G25" s="46">
        <f>SUM(G10:G24)</f>
        <v>800.41415726912533</v>
      </c>
      <c r="H25" s="44" t="s">
        <v>43</v>
      </c>
      <c r="I25" s="45">
        <v>182.51</v>
      </c>
      <c r="J25" s="46">
        <f>G25*I25</f>
        <v>146083.58784318806</v>
      </c>
      <c r="K25" s="5"/>
    </row>
    <row r="26" spans="1:11" s="37" customFormat="1" x14ac:dyDescent="0.25">
      <c r="A26" s="39"/>
      <c r="B26" s="48" t="s">
        <v>44</v>
      </c>
      <c r="C26" s="41"/>
      <c r="D26" s="51"/>
      <c r="E26" s="52"/>
      <c r="F26" s="52"/>
      <c r="G26" s="46"/>
      <c r="H26" s="44"/>
      <c r="I26" s="45"/>
      <c r="J26" s="46">
        <f>0.13*G25*(1871.42/18.94)</f>
        <v>10281.332528276465</v>
      </c>
      <c r="K26" s="5"/>
    </row>
    <row r="27" spans="1:11" s="37" customFormat="1" x14ac:dyDescent="0.25">
      <c r="A27" s="39"/>
      <c r="B27" s="48"/>
      <c r="C27" s="41"/>
      <c r="D27" s="51"/>
      <c r="E27" s="52"/>
      <c r="F27" s="52"/>
      <c r="G27" s="46"/>
      <c r="H27" s="44"/>
      <c r="I27" s="45"/>
      <c r="J27" s="46"/>
      <c r="K27" s="5"/>
    </row>
    <row r="28" spans="1:11" s="37" customFormat="1" ht="30" x14ac:dyDescent="0.25">
      <c r="A28" s="39">
        <v>2</v>
      </c>
      <c r="B28" s="40" t="s">
        <v>63</v>
      </c>
      <c r="C28" s="41"/>
      <c r="D28" s="51"/>
      <c r="E28" s="52"/>
      <c r="F28" s="52"/>
      <c r="G28" s="46"/>
      <c r="H28" s="44"/>
      <c r="I28" s="45"/>
      <c r="J28" s="46"/>
      <c r="K28" s="5"/>
    </row>
    <row r="29" spans="1:11" s="37" customFormat="1" x14ac:dyDescent="0.25">
      <c r="A29" s="39"/>
      <c r="B29" s="48" t="s">
        <v>56</v>
      </c>
      <c r="C29" s="41">
        <v>4</v>
      </c>
      <c r="D29" s="51">
        <f>((15.833+6.5)/2)/3.281</f>
        <v>3.4033831149039924</v>
      </c>
      <c r="E29" s="52">
        <f>5.33/3.281</f>
        <v>1.6245047241694606</v>
      </c>
      <c r="F29" s="52"/>
      <c r="G29" s="53">
        <f t="shared" ref="G29:G30" si="16">PRODUCT(C29:F29)</f>
        <v>22.115247793280439</v>
      </c>
      <c r="H29" s="44"/>
      <c r="I29" s="45"/>
      <c r="J29" s="46"/>
      <c r="K29" s="5"/>
    </row>
    <row r="30" spans="1:11" s="37" customFormat="1" x14ac:dyDescent="0.25">
      <c r="A30" s="39"/>
      <c r="B30" s="48" t="s">
        <v>57</v>
      </c>
      <c r="C30" s="41">
        <v>4</v>
      </c>
      <c r="D30" s="51">
        <f>((0+9.583)/2)/3.281</f>
        <v>1.4603779335568423</v>
      </c>
      <c r="E30" s="52">
        <f>5.5/3.281</f>
        <v>1.6763181956720512</v>
      </c>
      <c r="F30" s="52"/>
      <c r="G30" s="53">
        <f t="shared" si="16"/>
        <v>9.7922324103171388</v>
      </c>
      <c r="H30" s="44"/>
      <c r="I30" s="45"/>
      <c r="J30" s="46"/>
      <c r="K30" s="5"/>
    </row>
    <row r="31" spans="1:11" s="37" customFormat="1" x14ac:dyDescent="0.25">
      <c r="A31" s="39"/>
      <c r="B31" s="48" t="s">
        <v>42</v>
      </c>
      <c r="C31" s="41"/>
      <c r="D31" s="51"/>
      <c r="E31" s="52"/>
      <c r="F31" s="52"/>
      <c r="G31" s="46">
        <f>SUM(G29:G30)</f>
        <v>31.907480203597579</v>
      </c>
      <c r="H31" s="44" t="s">
        <v>58</v>
      </c>
      <c r="I31" s="45">
        <v>1112.58</v>
      </c>
      <c r="J31" s="46">
        <f>G31*I31</f>
        <v>35499.624324918594</v>
      </c>
      <c r="K31" s="5"/>
    </row>
    <row r="32" spans="1:11" x14ac:dyDescent="0.25">
      <c r="A32" s="47"/>
      <c r="B32" s="54" t="s">
        <v>59</v>
      </c>
      <c r="C32" s="55"/>
      <c r="D32" s="55"/>
      <c r="E32" s="55"/>
      <c r="F32" s="55"/>
      <c r="G32" s="55"/>
      <c r="H32" s="55"/>
      <c r="I32" s="55"/>
      <c r="J32" s="56">
        <f>0.13*G31*7050.67/10</f>
        <v>2924.5984748122914</v>
      </c>
      <c r="K32" s="17"/>
    </row>
    <row r="33" spans="1:11" x14ac:dyDescent="0.25">
      <c r="A33" s="47"/>
      <c r="B33" s="54" t="s">
        <v>60</v>
      </c>
      <c r="C33" s="55"/>
      <c r="D33" s="55"/>
      <c r="E33" s="55"/>
      <c r="F33" s="55"/>
      <c r="G33" s="55"/>
      <c r="H33" s="55"/>
      <c r="I33" s="55"/>
      <c r="J33" s="56">
        <f>0.13*G31*1023.75/10</f>
        <v>424.6486771596293</v>
      </c>
      <c r="K33" s="17"/>
    </row>
    <row r="34" spans="1:11" x14ac:dyDescent="0.25">
      <c r="A34" s="47"/>
      <c r="B34" s="54" t="s">
        <v>61</v>
      </c>
      <c r="C34" s="55"/>
      <c r="D34" s="55"/>
      <c r="E34" s="55"/>
      <c r="F34" s="55"/>
      <c r="G34" s="55"/>
      <c r="H34" s="55"/>
      <c r="I34" s="55"/>
      <c r="J34" s="56">
        <f>0.13*G31*348.21/10</f>
        <v>144.43654786203126</v>
      </c>
      <c r="K34" s="17"/>
    </row>
    <row r="35" spans="1:11" x14ac:dyDescent="0.25">
      <c r="A35" s="47"/>
      <c r="B35" s="54" t="s">
        <v>62</v>
      </c>
      <c r="C35" s="55"/>
      <c r="D35" s="55"/>
      <c r="E35" s="55"/>
      <c r="F35" s="55"/>
      <c r="G35" s="55"/>
      <c r="H35" s="55"/>
      <c r="I35" s="55"/>
      <c r="J35" s="56">
        <f>0.13*G31*165/10</f>
        <v>68.441545036716803</v>
      </c>
      <c r="K35" s="17"/>
    </row>
    <row r="36" spans="1:11" x14ac:dyDescent="0.25">
      <c r="A36" s="47"/>
      <c r="B36" s="54"/>
      <c r="C36" s="55"/>
      <c r="D36" s="55"/>
      <c r="E36" s="55"/>
      <c r="F36" s="55"/>
      <c r="G36" s="55"/>
      <c r="H36" s="55"/>
      <c r="I36" s="55"/>
      <c r="J36" s="56"/>
      <c r="K36" s="17"/>
    </row>
    <row r="37" spans="1:11" ht="150" x14ac:dyDescent="0.25">
      <c r="A37" s="47">
        <v>3</v>
      </c>
      <c r="B37" s="70" t="s">
        <v>64</v>
      </c>
      <c r="C37" s="55"/>
      <c r="D37" s="55"/>
      <c r="E37" s="55"/>
      <c r="F37" s="55"/>
      <c r="G37" s="55"/>
      <c r="H37" s="55"/>
      <c r="I37" s="55"/>
      <c r="J37" s="56"/>
      <c r="K37" s="17"/>
    </row>
    <row r="38" spans="1:11" x14ac:dyDescent="0.25">
      <c r="A38" s="47"/>
      <c r="B38" s="54" t="s">
        <v>65</v>
      </c>
      <c r="C38" s="55">
        <v>1</v>
      </c>
      <c r="D38" s="53">
        <f>D47</f>
        <v>8.5</v>
      </c>
      <c r="E38" s="55">
        <f>E47</f>
        <v>2</v>
      </c>
      <c r="F38" s="55">
        <v>0.9</v>
      </c>
      <c r="G38" s="53">
        <f t="shared" ref="G38:G42" si="17">PRODUCT(C38:F38)</f>
        <v>15.3</v>
      </c>
      <c r="H38" s="55"/>
      <c r="I38" s="55"/>
      <c r="J38" s="56"/>
      <c r="K38" s="17"/>
    </row>
    <row r="39" spans="1:11" x14ac:dyDescent="0.25">
      <c r="A39" s="47"/>
      <c r="B39" s="54"/>
      <c r="C39" s="55">
        <v>1</v>
      </c>
      <c r="D39" s="53">
        <f>D48</f>
        <v>5</v>
      </c>
      <c r="E39" s="55">
        <f>E48</f>
        <v>1</v>
      </c>
      <c r="F39" s="55">
        <v>0.75</v>
      </c>
      <c r="G39" s="53">
        <f t="shared" si="17"/>
        <v>3.75</v>
      </c>
      <c r="H39" s="55"/>
      <c r="I39" s="55"/>
      <c r="J39" s="56"/>
      <c r="K39" s="17"/>
    </row>
    <row r="40" spans="1:11" x14ac:dyDescent="0.25">
      <c r="A40" s="47"/>
      <c r="B40" s="54" t="s">
        <v>69</v>
      </c>
      <c r="C40" s="55">
        <v>4</v>
      </c>
      <c r="D40" s="53">
        <v>0.6</v>
      </c>
      <c r="E40" s="55">
        <v>0.6</v>
      </c>
      <c r="F40" s="55">
        <v>0.6</v>
      </c>
      <c r="G40" s="53">
        <f t="shared" si="17"/>
        <v>0.86399999999999999</v>
      </c>
      <c r="H40" s="55"/>
      <c r="I40" s="55"/>
      <c r="J40" s="56"/>
      <c r="K40" s="17"/>
    </row>
    <row r="41" spans="1:11" x14ac:dyDescent="0.25">
      <c r="A41" s="47"/>
      <c r="B41" s="54" t="s">
        <v>70</v>
      </c>
      <c r="C41" s="55">
        <v>4</v>
      </c>
      <c r="D41" s="53">
        <f>10.25/3.281</f>
        <v>3.1240475464797317</v>
      </c>
      <c r="E41" s="55">
        <v>0.45</v>
      </c>
      <c r="F41" s="53">
        <f>0.45+0.075</f>
        <v>0.52500000000000002</v>
      </c>
      <c r="G41" s="53">
        <f t="shared" si="17"/>
        <v>2.9522249314233471</v>
      </c>
      <c r="H41" s="55"/>
      <c r="I41" s="55"/>
      <c r="J41" s="56"/>
      <c r="K41" s="17"/>
    </row>
    <row r="42" spans="1:11" x14ac:dyDescent="0.25">
      <c r="A42" s="47"/>
      <c r="B42" s="54" t="s">
        <v>77</v>
      </c>
      <c r="C42" s="55">
        <v>6</v>
      </c>
      <c r="D42" s="53">
        <v>0.3</v>
      </c>
      <c r="E42" s="55">
        <v>0.3</v>
      </c>
      <c r="F42" s="53">
        <v>0.6</v>
      </c>
      <c r="G42" s="53">
        <f t="shared" si="17"/>
        <v>0.32399999999999995</v>
      </c>
      <c r="H42" s="55"/>
      <c r="I42" s="55"/>
      <c r="J42" s="56"/>
      <c r="K42" s="17"/>
    </row>
    <row r="43" spans="1:11" s="37" customFormat="1" x14ac:dyDescent="0.25">
      <c r="A43" s="39"/>
      <c r="B43" s="48" t="s">
        <v>42</v>
      </c>
      <c r="C43" s="41"/>
      <c r="D43" s="51"/>
      <c r="E43" s="52"/>
      <c r="F43" s="52"/>
      <c r="G43" s="46">
        <f>SUM(G38:G42)</f>
        <v>23.190224931423352</v>
      </c>
      <c r="H43" s="44" t="s">
        <v>67</v>
      </c>
      <c r="I43" s="45">
        <v>62.95</v>
      </c>
      <c r="J43" s="46">
        <f>G43*I43</f>
        <v>1459.8246594331001</v>
      </c>
      <c r="K43" s="5"/>
    </row>
    <row r="44" spans="1:11" x14ac:dyDescent="0.25">
      <c r="A44" s="47"/>
      <c r="B44" s="54" t="s">
        <v>66</v>
      </c>
      <c r="C44" s="55"/>
      <c r="D44" s="55"/>
      <c r="E44" s="55"/>
      <c r="F44" s="55"/>
      <c r="G44" s="55"/>
      <c r="H44" s="55"/>
      <c r="I44" s="55"/>
      <c r="J44" s="56">
        <f>0.13*G43*18612/360</f>
        <v>155.86150176409637</v>
      </c>
      <c r="K44" s="17"/>
    </row>
    <row r="45" spans="1:11" x14ac:dyDescent="0.25">
      <c r="A45" s="47"/>
      <c r="B45" s="54"/>
      <c r="C45" s="55"/>
      <c r="D45" s="55"/>
      <c r="E45" s="55"/>
      <c r="F45" s="55"/>
      <c r="G45" s="55"/>
      <c r="H45" s="55"/>
      <c r="I45" s="55"/>
      <c r="J45" s="56"/>
      <c r="K45" s="17"/>
    </row>
    <row r="46" spans="1:11" ht="105" x14ac:dyDescent="0.25">
      <c r="A46" s="47">
        <v>4</v>
      </c>
      <c r="B46" s="70" t="s">
        <v>29</v>
      </c>
      <c r="C46" s="55"/>
      <c r="D46" s="55"/>
      <c r="E46" s="55"/>
      <c r="F46" s="55"/>
      <c r="G46" s="55"/>
      <c r="H46" s="55"/>
      <c r="I46" s="55"/>
      <c r="J46" s="56"/>
      <c r="K46" s="17"/>
    </row>
    <row r="47" spans="1:11" x14ac:dyDescent="0.25">
      <c r="A47" s="47"/>
      <c r="B47" s="54" t="s">
        <v>65</v>
      </c>
      <c r="C47" s="55">
        <v>1</v>
      </c>
      <c r="D47" s="53">
        <f>D58</f>
        <v>8.5</v>
      </c>
      <c r="E47" s="55">
        <f>E58</f>
        <v>2</v>
      </c>
      <c r="F47" s="55">
        <v>0.15</v>
      </c>
      <c r="G47" s="53">
        <f t="shared" ref="G47:G53" si="18">PRODUCT(C47:F47)</f>
        <v>2.5499999999999998</v>
      </c>
      <c r="H47" s="55"/>
      <c r="I47" s="55"/>
      <c r="J47" s="56"/>
      <c r="K47" s="17"/>
    </row>
    <row r="48" spans="1:11" x14ac:dyDescent="0.25">
      <c r="A48" s="47"/>
      <c r="B48" s="54"/>
      <c r="C48" s="55">
        <v>1</v>
      </c>
      <c r="D48" s="53">
        <f>D60</f>
        <v>5</v>
      </c>
      <c r="E48" s="55">
        <f>E60</f>
        <v>1</v>
      </c>
      <c r="F48" s="55">
        <v>0.15</v>
      </c>
      <c r="G48" s="53">
        <f t="shared" si="18"/>
        <v>0.75</v>
      </c>
      <c r="H48" s="55"/>
      <c r="I48" s="55"/>
      <c r="J48" s="56"/>
      <c r="K48" s="17"/>
    </row>
    <row r="49" spans="1:11" x14ac:dyDescent="0.25">
      <c r="A49" s="47"/>
      <c r="B49" s="54" t="str">
        <f>B40</f>
        <v>-for footing of vertical post</v>
      </c>
      <c r="C49" s="55">
        <f>C40</f>
        <v>4</v>
      </c>
      <c r="D49" s="53">
        <f>D40</f>
        <v>0.6</v>
      </c>
      <c r="E49" s="55">
        <f>E40</f>
        <v>0.6</v>
      </c>
      <c r="F49" s="55">
        <v>0.15</v>
      </c>
      <c r="G49" s="53">
        <f t="shared" si="18"/>
        <v>0.216</v>
      </c>
      <c r="H49" s="55"/>
      <c r="I49" s="55"/>
      <c r="J49" s="56"/>
      <c r="K49" s="17"/>
    </row>
    <row r="50" spans="1:11" x14ac:dyDescent="0.25">
      <c r="A50" s="47"/>
      <c r="B50" s="54" t="str">
        <f>B41</f>
        <v>-for plinth level</v>
      </c>
      <c r="C50" s="55">
        <f>C41</f>
        <v>4</v>
      </c>
      <c r="D50" s="53">
        <f>10.75/3.281</f>
        <v>3.2764401097226452</v>
      </c>
      <c r="E50" s="55">
        <v>0.45</v>
      </c>
      <c r="F50" s="55">
        <v>0.15</v>
      </c>
      <c r="G50" s="53">
        <f t="shared" si="18"/>
        <v>0.88463882962511431</v>
      </c>
      <c r="H50" s="55"/>
      <c r="I50" s="55"/>
      <c r="J50" s="56"/>
      <c r="K50" s="17"/>
    </row>
    <row r="51" spans="1:11" x14ac:dyDescent="0.25">
      <c r="A51" s="47"/>
      <c r="B51" s="54"/>
      <c r="C51" s="55">
        <v>1</v>
      </c>
      <c r="D51" s="53">
        <f>10.75/3.281</f>
        <v>3.2764401097226452</v>
      </c>
      <c r="E51" s="53">
        <f>10.75/3.281</f>
        <v>3.2764401097226452</v>
      </c>
      <c r="F51" s="55">
        <v>0.15</v>
      </c>
      <c r="G51" s="53">
        <f t="shared" si="18"/>
        <v>1.6102589688899007</v>
      </c>
      <c r="H51" s="55"/>
      <c r="I51" s="55"/>
      <c r="J51" s="56"/>
      <c r="K51" s="17"/>
    </row>
    <row r="52" spans="1:11" x14ac:dyDescent="0.25">
      <c r="A52" s="47"/>
      <c r="B52" s="54" t="s">
        <v>71</v>
      </c>
      <c r="C52" s="55">
        <v>-1</v>
      </c>
      <c r="D52" s="53">
        <v>1.5</v>
      </c>
      <c r="E52" s="53">
        <v>1.8</v>
      </c>
      <c r="F52" s="55">
        <v>0.15</v>
      </c>
      <c r="G52" s="53">
        <f t="shared" si="18"/>
        <v>-0.40500000000000003</v>
      </c>
      <c r="H52" s="55"/>
      <c r="I52" s="55"/>
      <c r="J52" s="56"/>
      <c r="K52" s="17"/>
    </row>
    <row r="53" spans="1:11" x14ac:dyDescent="0.25">
      <c r="A53" s="47"/>
      <c r="B53" s="54" t="str">
        <f>B42</f>
        <v>-for railing</v>
      </c>
      <c r="C53" s="55">
        <f>C42</f>
        <v>6</v>
      </c>
      <c r="D53" s="53">
        <f>D42</f>
        <v>0.3</v>
      </c>
      <c r="E53" s="53">
        <f>E42</f>
        <v>0.3</v>
      </c>
      <c r="F53" s="55">
        <v>0.15</v>
      </c>
      <c r="G53" s="53">
        <f t="shared" si="18"/>
        <v>8.0999999999999989E-2</v>
      </c>
      <c r="H53" s="55"/>
      <c r="I53" s="55"/>
      <c r="J53" s="56"/>
      <c r="K53" s="17"/>
    </row>
    <row r="54" spans="1:11" s="37" customFormat="1" x14ac:dyDescent="0.25">
      <c r="A54" s="39"/>
      <c r="B54" s="48" t="s">
        <v>42</v>
      </c>
      <c r="C54" s="41"/>
      <c r="D54" s="51"/>
      <c r="E54" s="52"/>
      <c r="F54" s="52"/>
      <c r="G54" s="46">
        <f>SUM(G47:G53)</f>
        <v>5.6868977985150151</v>
      </c>
      <c r="H54" s="44" t="s">
        <v>67</v>
      </c>
      <c r="I54" s="45">
        <v>4458.5200000000004</v>
      </c>
      <c r="J54" s="46">
        <f>G54*I54</f>
        <v>25355.147572635167</v>
      </c>
      <c r="K54" s="5"/>
    </row>
    <row r="55" spans="1:11" x14ac:dyDescent="0.25">
      <c r="A55" s="47"/>
      <c r="B55" s="54" t="s">
        <v>35</v>
      </c>
      <c r="C55" s="55"/>
      <c r="D55" s="55"/>
      <c r="E55" s="55"/>
      <c r="F55" s="55"/>
      <c r="G55" s="55"/>
      <c r="H55" s="55"/>
      <c r="I55" s="55"/>
      <c r="J55" s="56">
        <f>0.13*G54*15452.64/5</f>
        <v>2284.8171943283714</v>
      </c>
      <c r="K55" s="17"/>
    </row>
    <row r="56" spans="1:11" x14ac:dyDescent="0.25">
      <c r="A56" s="47"/>
      <c r="B56" s="70"/>
      <c r="C56" s="55"/>
      <c r="D56" s="55"/>
      <c r="E56" s="55"/>
      <c r="F56" s="55"/>
      <c r="G56" s="55"/>
      <c r="H56" s="55"/>
      <c r="I56" s="55"/>
      <c r="J56" s="56"/>
      <c r="K56" s="17"/>
    </row>
    <row r="57" spans="1:11" ht="94.5" x14ac:dyDescent="0.25">
      <c r="A57" s="16">
        <v>5</v>
      </c>
      <c r="B57" s="35" t="s">
        <v>30</v>
      </c>
      <c r="C57" s="17"/>
      <c r="D57" s="17"/>
      <c r="E57" s="17"/>
      <c r="F57" s="17"/>
      <c r="G57" s="17"/>
      <c r="H57" s="17"/>
      <c r="I57" s="17"/>
      <c r="J57" s="17"/>
      <c r="K57" s="17"/>
    </row>
    <row r="58" spans="1:11" x14ac:dyDescent="0.25">
      <c r="A58" s="47"/>
      <c r="B58" s="54" t="s">
        <v>65</v>
      </c>
      <c r="C58" s="55">
        <v>1</v>
      </c>
      <c r="D58" s="53">
        <f>D75</f>
        <v>8.5</v>
      </c>
      <c r="E58" s="53">
        <f>F75/2</f>
        <v>2</v>
      </c>
      <c r="F58" s="55">
        <v>0.05</v>
      </c>
      <c r="G58" s="53">
        <f t="shared" ref="G58:G66" si="19">PRODUCT(C58:F58)</f>
        <v>0.85000000000000009</v>
      </c>
      <c r="H58" s="55"/>
      <c r="I58" s="55"/>
      <c r="J58" s="56"/>
      <c r="K58" s="17"/>
    </row>
    <row r="59" spans="1:11" x14ac:dyDescent="0.25">
      <c r="A59" s="47"/>
      <c r="B59" s="54"/>
      <c r="C59" s="55">
        <v>1</v>
      </c>
      <c r="D59" s="53">
        <f>D58</f>
        <v>8.5</v>
      </c>
      <c r="E59" s="55">
        <v>0.45</v>
      </c>
      <c r="F59" s="55">
        <v>0.05</v>
      </c>
      <c r="G59" s="53">
        <f t="shared" si="19"/>
        <v>0.19125000000000003</v>
      </c>
      <c r="H59" s="55"/>
      <c r="I59" s="55"/>
      <c r="J59" s="56"/>
      <c r="K59" s="17"/>
    </row>
    <row r="60" spans="1:11" x14ac:dyDescent="0.25">
      <c r="A60" s="47"/>
      <c r="B60" s="54"/>
      <c r="C60" s="55">
        <v>1</v>
      </c>
      <c r="D60" s="53">
        <f>D76</f>
        <v>5</v>
      </c>
      <c r="E60" s="55">
        <f>F76/2</f>
        <v>1</v>
      </c>
      <c r="F60" s="55">
        <v>0.05</v>
      </c>
      <c r="G60" s="53">
        <f t="shared" si="19"/>
        <v>0.25</v>
      </c>
      <c r="H60" s="55"/>
      <c r="I60" s="55"/>
      <c r="J60" s="56"/>
      <c r="K60" s="17"/>
    </row>
    <row r="61" spans="1:11" x14ac:dyDescent="0.25">
      <c r="A61" s="47"/>
      <c r="B61" s="54"/>
      <c r="C61" s="55">
        <v>1</v>
      </c>
      <c r="D61" s="53">
        <f>D76</f>
        <v>5</v>
      </c>
      <c r="E61" s="55">
        <v>0.45</v>
      </c>
      <c r="F61" s="55">
        <v>0.05</v>
      </c>
      <c r="G61" s="53">
        <f t="shared" si="19"/>
        <v>0.1125</v>
      </c>
      <c r="H61" s="55"/>
      <c r="I61" s="55"/>
      <c r="J61" s="56"/>
      <c r="K61" s="17"/>
    </row>
    <row r="62" spans="1:11" x14ac:dyDescent="0.25">
      <c r="A62" s="47"/>
      <c r="B62" s="54" t="str">
        <f>B49</f>
        <v>-for footing of vertical post</v>
      </c>
      <c r="C62" s="55">
        <v>4</v>
      </c>
      <c r="D62" s="53">
        <v>0.6</v>
      </c>
      <c r="E62" s="55">
        <v>0.6</v>
      </c>
      <c r="F62" s="55">
        <v>0.3</v>
      </c>
      <c r="G62" s="53">
        <f t="shared" si="19"/>
        <v>0.432</v>
      </c>
      <c r="H62" s="55"/>
      <c r="I62" s="55"/>
      <c r="J62" s="56"/>
      <c r="K62" s="17"/>
    </row>
    <row r="63" spans="1:11" x14ac:dyDescent="0.25">
      <c r="A63" s="47"/>
      <c r="B63" s="54" t="str">
        <f>B50</f>
        <v>-for plinth level</v>
      </c>
      <c r="C63" s="55">
        <f>C50</f>
        <v>4</v>
      </c>
      <c r="D63" s="53">
        <f>D50</f>
        <v>3.2764401097226452</v>
      </c>
      <c r="E63" s="55">
        <f>E50</f>
        <v>0.45</v>
      </c>
      <c r="F63" s="55">
        <v>0.05</v>
      </c>
      <c r="G63" s="53">
        <f t="shared" si="19"/>
        <v>0.29487960987503808</v>
      </c>
      <c r="H63" s="55"/>
      <c r="I63" s="55"/>
      <c r="J63" s="56"/>
      <c r="K63" s="17"/>
    </row>
    <row r="64" spans="1:11" x14ac:dyDescent="0.25">
      <c r="A64" s="47"/>
      <c r="B64" s="54"/>
      <c r="C64" s="55">
        <v>1</v>
      </c>
      <c r="D64" s="53">
        <f>13.75/3.281</f>
        <v>4.190795489180128</v>
      </c>
      <c r="E64" s="53">
        <f>13.75/3.281</f>
        <v>4.190795489180128</v>
      </c>
      <c r="F64" s="53">
        <v>7.4999999999999997E-2</v>
      </c>
      <c r="G64" s="53">
        <f t="shared" si="19"/>
        <v>1.3172075124099381</v>
      </c>
      <c r="H64" s="55"/>
      <c r="I64" s="55"/>
      <c r="J64" s="56"/>
      <c r="K64" s="17"/>
    </row>
    <row r="65" spans="1:16" x14ac:dyDescent="0.25">
      <c r="A65" s="47"/>
      <c r="B65" s="54" t="s">
        <v>71</v>
      </c>
      <c r="C65" s="55">
        <v>-1</v>
      </c>
      <c r="D65" s="53">
        <v>1.5</v>
      </c>
      <c r="E65" s="53">
        <v>1.8</v>
      </c>
      <c r="F65" s="53">
        <v>7.4999999999999997E-2</v>
      </c>
      <c r="G65" s="53">
        <f t="shared" si="19"/>
        <v>-0.20250000000000001</v>
      </c>
      <c r="H65" s="55"/>
      <c r="I65" s="55"/>
      <c r="J65" s="56"/>
      <c r="K65" s="17"/>
    </row>
    <row r="66" spans="1:16" x14ac:dyDescent="0.25">
      <c r="A66" s="47"/>
      <c r="B66" s="54" t="str">
        <f>B53</f>
        <v>-for railing</v>
      </c>
      <c r="C66" s="55">
        <f>C53</f>
        <v>6</v>
      </c>
      <c r="D66" s="53">
        <f>D53</f>
        <v>0.3</v>
      </c>
      <c r="E66" s="53">
        <f>E53</f>
        <v>0.3</v>
      </c>
      <c r="F66" s="53">
        <v>0.45</v>
      </c>
      <c r="G66" s="53">
        <f t="shared" si="19"/>
        <v>0.24299999999999997</v>
      </c>
      <c r="H66" s="55"/>
      <c r="I66" s="55"/>
      <c r="J66" s="56"/>
      <c r="K66" s="17"/>
    </row>
    <row r="67" spans="1:16" s="37" customFormat="1" x14ac:dyDescent="0.25">
      <c r="A67" s="39"/>
      <c r="B67" s="48" t="s">
        <v>42</v>
      </c>
      <c r="C67" s="41"/>
      <c r="D67" s="51"/>
      <c r="E67" s="52"/>
      <c r="F67" s="52"/>
      <c r="G67" s="46">
        <f>SUM(G58:G66)</f>
        <v>3.4883371222849764</v>
      </c>
      <c r="H67" s="44" t="s">
        <v>67</v>
      </c>
      <c r="I67" s="45">
        <v>10964.46</v>
      </c>
      <c r="J67" s="46">
        <f>G67*I67</f>
        <v>38247.732843808728</v>
      </c>
      <c r="K67" s="5"/>
    </row>
    <row r="68" spans="1:16" x14ac:dyDescent="0.25">
      <c r="A68" s="47"/>
      <c r="B68" s="54" t="s">
        <v>31</v>
      </c>
      <c r="C68" s="55"/>
      <c r="D68" s="55"/>
      <c r="E68" s="55"/>
      <c r="F68" s="55"/>
      <c r="G68" s="55"/>
      <c r="H68" s="55"/>
      <c r="I68" s="55"/>
      <c r="J68" s="56">
        <f>0.13*G67*53818.03/15</f>
        <v>1627.0404097761368</v>
      </c>
      <c r="K68" s="17"/>
    </row>
    <row r="69" spans="1:16" x14ac:dyDescent="0.25">
      <c r="A69" s="47"/>
      <c r="B69" s="54" t="s">
        <v>32</v>
      </c>
      <c r="C69" s="55"/>
      <c r="D69" s="55"/>
      <c r="E69" s="55"/>
      <c r="F69" s="55"/>
      <c r="G69" s="55"/>
      <c r="H69" s="55"/>
      <c r="I69" s="55"/>
      <c r="J69" s="56">
        <f>0.13*G67*21432.6/15</f>
        <v>647.95582979473659</v>
      </c>
      <c r="K69" s="17"/>
    </row>
    <row r="70" spans="1:16" x14ac:dyDescent="0.25">
      <c r="A70" s="47"/>
      <c r="B70" s="54" t="s">
        <v>33</v>
      </c>
      <c r="C70" s="55"/>
      <c r="D70" s="55"/>
      <c r="E70" s="55"/>
      <c r="F70" s="55"/>
      <c r="G70" s="55"/>
      <c r="H70" s="55"/>
      <c r="I70" s="55"/>
      <c r="J70" s="56">
        <f>0.13*G67*(25719.12+13573.98+4286.52/15)</f>
        <v>17948.376485314202</v>
      </c>
      <c r="K70" s="17"/>
    </row>
    <row r="71" spans="1:16" x14ac:dyDescent="0.25">
      <c r="A71" s="47"/>
      <c r="B71" s="54" t="s">
        <v>68</v>
      </c>
      <c r="C71" s="55"/>
      <c r="D71" s="55"/>
      <c r="E71" s="55"/>
      <c r="F71" s="55"/>
      <c r="G71" s="55"/>
      <c r="H71" s="55"/>
      <c r="I71" s="55"/>
      <c r="J71" s="56">
        <f>0.13*G67*(6325.7/15)</f>
        <v>191.24017583179665</v>
      </c>
      <c r="K71" s="17"/>
    </row>
    <row r="72" spans="1:16" x14ac:dyDescent="0.25">
      <c r="A72" s="16"/>
      <c r="B72" s="32" t="s">
        <v>36</v>
      </c>
      <c r="C72" s="17"/>
      <c r="D72" s="17"/>
      <c r="E72" s="17"/>
      <c r="F72" s="17"/>
      <c r="G72" s="17"/>
      <c r="H72" s="17"/>
      <c r="I72" s="17"/>
      <c r="J72" s="18">
        <f>0.13*G67*(310)/5</f>
        <v>28.115997205616914</v>
      </c>
      <c r="K72" s="17"/>
    </row>
    <row r="73" spans="1:16" x14ac:dyDescent="0.25">
      <c r="A73" s="47"/>
      <c r="B73" s="54"/>
      <c r="C73" s="55"/>
      <c r="D73" s="55"/>
      <c r="E73" s="55"/>
      <c r="F73" s="55"/>
      <c r="G73" s="55"/>
      <c r="H73" s="55"/>
      <c r="I73" s="55"/>
      <c r="J73" s="56"/>
      <c r="K73" s="17"/>
    </row>
    <row r="74" spans="1:16" ht="110.25" x14ac:dyDescent="0.25">
      <c r="A74" s="16">
        <v>6</v>
      </c>
      <c r="B74" s="35" t="s">
        <v>34</v>
      </c>
      <c r="C74" s="17"/>
      <c r="D74" s="17"/>
      <c r="E74" s="17"/>
      <c r="F74" s="17"/>
      <c r="G74" s="17"/>
      <c r="H74" s="17"/>
      <c r="I74" s="17"/>
      <c r="J74" s="17"/>
      <c r="K74" s="17"/>
    </row>
    <row r="75" spans="1:16" x14ac:dyDescent="0.25">
      <c r="A75" s="16"/>
      <c r="B75" s="54" t="s">
        <v>65</v>
      </c>
      <c r="C75" s="17">
        <v>1</v>
      </c>
      <c r="D75" s="33">
        <v>8.5</v>
      </c>
      <c r="E75" s="33">
        <f>((F75/2)+0.45)/2</f>
        <v>1.2250000000000001</v>
      </c>
      <c r="F75" s="33">
        <v>4</v>
      </c>
      <c r="G75" s="33">
        <f>PRODUCT(C75:F75)</f>
        <v>41.650000000000006</v>
      </c>
      <c r="H75" s="17"/>
      <c r="I75" s="17"/>
      <c r="J75" s="17"/>
      <c r="K75" s="17"/>
      <c r="M75" s="33">
        <f>7</f>
        <v>7</v>
      </c>
      <c r="N75" s="33">
        <f>2</f>
        <v>2</v>
      </c>
      <c r="O75" s="33"/>
      <c r="P75" s="33">
        <f>PI()*M75*SQRT(M75^2+N75^2)</f>
        <v>160.09797821843054</v>
      </c>
    </row>
    <row r="76" spans="1:16" x14ac:dyDescent="0.25">
      <c r="A76" s="16"/>
      <c r="B76" s="32"/>
      <c r="C76" s="17">
        <v>1</v>
      </c>
      <c r="D76" s="33">
        <v>5</v>
      </c>
      <c r="E76" s="33">
        <f>((F76/2)+0.45)/2</f>
        <v>0.72499999999999998</v>
      </c>
      <c r="F76" s="33">
        <v>2</v>
      </c>
      <c r="G76" s="33">
        <f>PRODUCT(C76:F76)</f>
        <v>7.25</v>
      </c>
      <c r="H76" s="17"/>
      <c r="I76" s="17"/>
      <c r="J76" s="17"/>
      <c r="K76" s="17"/>
      <c r="M76" s="36"/>
      <c r="N76" s="36"/>
      <c r="O76" s="36"/>
      <c r="P76" s="36"/>
    </row>
    <row r="77" spans="1:16" x14ac:dyDescent="0.25">
      <c r="A77" s="16"/>
      <c r="B77" s="32" t="str">
        <f>B63</f>
        <v>-for plinth level</v>
      </c>
      <c r="C77" s="17">
        <f>C63</f>
        <v>4</v>
      </c>
      <c r="D77" s="33">
        <f>D63</f>
        <v>3.2764401097226452</v>
      </c>
      <c r="E77" s="33">
        <f>E63</f>
        <v>0.45</v>
      </c>
      <c r="F77" s="33">
        <v>0.6</v>
      </c>
      <c r="G77" s="33">
        <f>PRODUCT(C77:F77)</f>
        <v>3.5385553185004572</v>
      </c>
      <c r="H77" s="17"/>
      <c r="I77" s="17"/>
      <c r="J77" s="17"/>
      <c r="K77" s="17"/>
      <c r="M77" s="36"/>
      <c r="N77" s="36"/>
      <c r="O77" s="36"/>
      <c r="P77" s="36"/>
    </row>
    <row r="78" spans="1:16" ht="15" customHeight="1" x14ac:dyDescent="0.25">
      <c r="A78" s="2"/>
      <c r="B78" s="34" t="s">
        <v>17</v>
      </c>
      <c r="C78" s="3"/>
      <c r="D78" s="4"/>
      <c r="E78" s="5"/>
      <c r="F78" s="5"/>
      <c r="G78" s="6">
        <f>SUM(G75:G77)</f>
        <v>52.438555318500462</v>
      </c>
      <c r="H78" s="7" t="s">
        <v>18</v>
      </c>
      <c r="I78" s="6">
        <v>8987.83</v>
      </c>
      <c r="J78" s="18">
        <f>G78*I78</f>
        <v>471308.82064827799</v>
      </c>
      <c r="K78" s="5"/>
    </row>
    <row r="79" spans="1:16" x14ac:dyDescent="0.25">
      <c r="A79" s="16"/>
      <c r="B79" s="32" t="s">
        <v>31</v>
      </c>
      <c r="C79" s="17"/>
      <c r="D79" s="17"/>
      <c r="E79" s="17"/>
      <c r="F79" s="17"/>
      <c r="G79" s="17"/>
      <c r="H79" s="17"/>
      <c r="I79" s="17"/>
      <c r="J79" s="18">
        <f>0.13*G78*(5863.95)/5</f>
        <v>7994.9237279579411</v>
      </c>
      <c r="K79" s="17"/>
    </row>
    <row r="80" spans="1:16" x14ac:dyDescent="0.25">
      <c r="A80" s="16"/>
      <c r="B80" s="32" t="s">
        <v>32</v>
      </c>
      <c r="C80" s="17"/>
      <c r="D80" s="17"/>
      <c r="E80" s="17"/>
      <c r="F80" s="17"/>
      <c r="G80" s="17"/>
      <c r="H80" s="17"/>
      <c r="I80" s="17"/>
      <c r="J80" s="18">
        <f>0.13*G78*(6604.416)/5</f>
        <v>9004.4768778221296</v>
      </c>
      <c r="K80" s="17"/>
    </row>
    <row r="81" spans="1:19" x14ac:dyDescent="0.25">
      <c r="A81" s="16"/>
      <c r="B81" s="32" t="s">
        <v>35</v>
      </c>
      <c r="C81" s="17"/>
      <c r="D81" s="17"/>
      <c r="E81" s="17"/>
      <c r="F81" s="17"/>
      <c r="G81" s="17"/>
      <c r="H81" s="17"/>
      <c r="I81" s="17"/>
      <c r="J81" s="18">
        <f>0.13*G78*(14808.78)/5</f>
        <v>20190.326759967087</v>
      </c>
      <c r="K81" s="17"/>
    </row>
    <row r="82" spans="1:19" x14ac:dyDescent="0.25">
      <c r="A82" s="16"/>
      <c r="B82" s="32" t="s">
        <v>36</v>
      </c>
      <c r="C82" s="17"/>
      <c r="D82" s="17"/>
      <c r="E82" s="17"/>
      <c r="F82" s="17"/>
      <c r="G82" s="17"/>
      <c r="H82" s="17"/>
      <c r="I82" s="17"/>
      <c r="J82" s="18">
        <f>0.13*G78*(310)/5</f>
        <v>422.65475586711375</v>
      </c>
      <c r="K82" s="17"/>
    </row>
    <row r="83" spans="1:19" x14ac:dyDescent="0.25">
      <c r="A83" s="16"/>
      <c r="B83" s="32"/>
      <c r="C83" s="17"/>
      <c r="D83" s="17"/>
      <c r="E83" s="17"/>
      <c r="F83" s="17"/>
      <c r="G83" s="17"/>
      <c r="H83" s="17"/>
      <c r="I83" s="17"/>
      <c r="J83" s="18"/>
      <c r="K83" s="17"/>
    </row>
    <row r="84" spans="1:19" x14ac:dyDescent="0.25">
      <c r="A84" s="16">
        <v>7</v>
      </c>
      <c r="B84" s="40" t="s">
        <v>72</v>
      </c>
      <c r="C84" s="17"/>
      <c r="D84" s="17"/>
      <c r="E84" s="17"/>
      <c r="F84" s="17"/>
      <c r="G84" s="17"/>
      <c r="H84" s="17"/>
      <c r="I84" s="17"/>
      <c r="J84" s="18"/>
      <c r="K84" s="17"/>
    </row>
    <row r="85" spans="1:19" x14ac:dyDescent="0.25">
      <c r="A85" s="16"/>
      <c r="B85" s="32" t="s">
        <v>73</v>
      </c>
      <c r="C85" s="17">
        <v>1</v>
      </c>
      <c r="D85" s="17">
        <f>1.5</f>
        <v>1.5</v>
      </c>
      <c r="E85" s="17">
        <v>1.6</v>
      </c>
      <c r="F85" s="17"/>
      <c r="G85" s="33">
        <f>PRODUCT(C85:F85)</f>
        <v>2.4000000000000004</v>
      </c>
      <c r="H85" s="17"/>
      <c r="I85" s="17"/>
      <c r="J85" s="18"/>
      <c r="K85" s="17"/>
    </row>
    <row r="86" spans="1:19" ht="15" customHeight="1" x14ac:dyDescent="0.25">
      <c r="A86" s="2"/>
      <c r="B86" s="34" t="s">
        <v>17</v>
      </c>
      <c r="C86" s="3"/>
      <c r="D86" s="4"/>
      <c r="E86" s="5"/>
      <c r="F86" s="5"/>
      <c r="G86" s="6">
        <f>SUM(G83:G85)</f>
        <v>2.4000000000000004</v>
      </c>
      <c r="H86" s="7" t="s">
        <v>74</v>
      </c>
      <c r="I86" s="6">
        <v>1017.47</v>
      </c>
      <c r="J86" s="18">
        <f>G86*I86</f>
        <v>2441.9280000000003</v>
      </c>
      <c r="K86" s="5"/>
    </row>
    <row r="87" spans="1:19" x14ac:dyDescent="0.25">
      <c r="A87" s="16"/>
      <c r="B87" s="32" t="s">
        <v>31</v>
      </c>
      <c r="C87" s="17"/>
      <c r="D87" s="17"/>
      <c r="E87" s="17"/>
      <c r="F87" s="17"/>
      <c r="G87" s="17"/>
      <c r="H87" s="17"/>
      <c r="I87" s="17"/>
      <c r="J87" s="18">
        <f>0.13*G86*(8617.2)/10</f>
        <v>268.85664000000008</v>
      </c>
      <c r="K87" s="17"/>
    </row>
    <row r="88" spans="1:19" x14ac:dyDescent="0.25">
      <c r="A88" s="16"/>
      <c r="B88" s="17"/>
      <c r="C88" s="17"/>
      <c r="D88" s="17"/>
      <c r="E88" s="17"/>
      <c r="F88" s="17"/>
      <c r="G88" s="17"/>
      <c r="H88" s="17"/>
      <c r="I88" s="17"/>
      <c r="J88" s="17"/>
      <c r="K88" s="17"/>
    </row>
    <row r="89" spans="1:19" ht="15" customHeight="1" x14ac:dyDescent="0.25">
      <c r="A89" s="2">
        <v>8</v>
      </c>
      <c r="B89" s="1" t="s">
        <v>19</v>
      </c>
      <c r="C89" s="3">
        <v>1</v>
      </c>
      <c r="D89" s="4"/>
      <c r="E89" s="5"/>
      <c r="F89" s="5"/>
      <c r="G89" s="7">
        <f t="shared" ref="G89" si="20">PRODUCT(C89:F89)</f>
        <v>1</v>
      </c>
      <c r="H89" s="7" t="s">
        <v>20</v>
      </c>
      <c r="I89" s="6">
        <v>500</v>
      </c>
      <c r="J89" s="7">
        <f>G89*I89</f>
        <v>500</v>
      </c>
      <c r="K89" s="5"/>
    </row>
    <row r="90" spans="1:19" x14ac:dyDescent="0.25">
      <c r="A90" s="2"/>
      <c r="B90" s="8"/>
      <c r="C90" s="3"/>
      <c r="D90" s="4"/>
      <c r="E90" s="5"/>
      <c r="F90" s="5"/>
      <c r="G90" s="6"/>
      <c r="H90" s="7"/>
      <c r="I90" s="6"/>
      <c r="J90" s="18"/>
      <c r="K90" s="5"/>
    </row>
    <row r="91" spans="1:19" x14ac:dyDescent="0.25">
      <c r="A91" s="21"/>
      <c r="B91" s="22" t="s">
        <v>22</v>
      </c>
      <c r="C91" s="23"/>
      <c r="D91" s="24"/>
      <c r="E91" s="24"/>
      <c r="F91" s="24"/>
      <c r="G91" s="18"/>
      <c r="H91" s="18"/>
      <c r="I91" s="18"/>
      <c r="J91" s="18">
        <f>SUM(J9:J89)</f>
        <v>795504.77002103801</v>
      </c>
      <c r="K91" s="25"/>
    </row>
    <row r="92" spans="1:19" x14ac:dyDescent="0.25">
      <c r="M92" s="20"/>
      <c r="N92" s="20"/>
      <c r="O92" s="20"/>
      <c r="P92" s="20"/>
      <c r="Q92" s="20"/>
      <c r="R92" s="20"/>
      <c r="S92" s="20"/>
    </row>
    <row r="93" spans="1:19" s="20" customFormat="1" x14ac:dyDescent="0.25">
      <c r="A93" s="26"/>
      <c r="B93" s="27" t="s">
        <v>21</v>
      </c>
      <c r="C93" s="57">
        <f>J91</f>
        <v>795504.77002103801</v>
      </c>
      <c r="D93" s="58"/>
      <c r="E93" s="9">
        <v>100</v>
      </c>
      <c r="F93" s="26"/>
      <c r="G93" s="28"/>
      <c r="H93" s="26"/>
      <c r="I93" s="29"/>
      <c r="J93" s="30"/>
      <c r="K93" s="31"/>
      <c r="M93" s="19"/>
      <c r="N93" s="19"/>
      <c r="O93" s="19"/>
      <c r="P93" s="19"/>
      <c r="Q93" s="19"/>
      <c r="R93" s="19"/>
      <c r="S93" s="19"/>
    </row>
    <row r="94" spans="1:19" x14ac:dyDescent="0.25">
      <c r="B94" s="27" t="s">
        <v>24</v>
      </c>
      <c r="C94" s="61">
        <v>700000</v>
      </c>
      <c r="D94" s="62"/>
      <c r="E94" s="9"/>
    </row>
    <row r="95" spans="1:19" x14ac:dyDescent="0.25">
      <c r="B95" s="27" t="s">
        <v>25</v>
      </c>
      <c r="C95" s="61">
        <f>C94-C97-C98</f>
        <v>665000</v>
      </c>
      <c r="D95" s="62"/>
      <c r="E95" s="9">
        <f>C95/C93*100</f>
        <v>83.594721874818347</v>
      </c>
    </row>
    <row r="96" spans="1:19" x14ac:dyDescent="0.25">
      <c r="B96" s="27" t="s">
        <v>37</v>
      </c>
      <c r="C96" s="63">
        <f>C93-C95</f>
        <v>130504.77002103801</v>
      </c>
      <c r="D96" s="63"/>
      <c r="E96" s="9">
        <f>100-E95</f>
        <v>16.405278125181653</v>
      </c>
    </row>
    <row r="97" spans="2:5" x14ac:dyDescent="0.25">
      <c r="B97" s="27" t="s">
        <v>26</v>
      </c>
      <c r="C97" s="57">
        <f>C94*0.03</f>
        <v>21000</v>
      </c>
      <c r="D97" s="58"/>
      <c r="E97" s="9">
        <v>3</v>
      </c>
    </row>
    <row r="98" spans="2:5" x14ac:dyDescent="0.25">
      <c r="B98" s="27" t="s">
        <v>27</v>
      </c>
      <c r="C98" s="57">
        <f>C94*0.02</f>
        <v>14000</v>
      </c>
      <c r="D98" s="58"/>
      <c r="E98" s="9">
        <v>2</v>
      </c>
    </row>
  </sheetData>
  <mergeCells count="15">
    <mergeCell ref="A6:F6"/>
    <mergeCell ref="H6:K6"/>
    <mergeCell ref="A1:K1"/>
    <mergeCell ref="A2:K2"/>
    <mergeCell ref="A3:K3"/>
    <mergeCell ref="A4:K4"/>
    <mergeCell ref="A5:K5"/>
    <mergeCell ref="C97:D97"/>
    <mergeCell ref="C98:D98"/>
    <mergeCell ref="A7:F7"/>
    <mergeCell ref="H7:K7"/>
    <mergeCell ref="C93:D93"/>
    <mergeCell ref="C94:D94"/>
    <mergeCell ref="C95:D95"/>
    <mergeCell ref="C96:D96"/>
  </mergeCells>
  <pageMargins left="0.70866141732283505" right="0.70866141732283505" top="0.74803149606299202" bottom="0.74803149606299202" header="0.31496062992126" footer="0.31496062992126"/>
  <pageSetup paperSize="9" scale="9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2025-12-22T09:03:51Z</dcterms:modified>
</cp:coreProperties>
</file>