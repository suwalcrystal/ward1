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estimate!$A$1:$K$88</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9" i="12" l="1"/>
  <c r="E70" i="12"/>
  <c r="D69" i="12"/>
  <c r="G69" i="12" s="1"/>
  <c r="G71" i="12" s="1"/>
  <c r="J71" i="12" s="1"/>
  <c r="D70" i="12"/>
  <c r="G70" i="12" s="1"/>
  <c r="J75" i="12" l="1"/>
  <c r="J72" i="12"/>
  <c r="J73" i="12"/>
  <c r="J74" i="12"/>
  <c r="D64" i="12" l="1"/>
  <c r="F64" i="12"/>
  <c r="G64" i="12" s="1"/>
  <c r="C64" i="12"/>
  <c r="D63" i="12"/>
  <c r="F63" i="12"/>
  <c r="G63" i="12" s="1"/>
  <c r="D62" i="12"/>
  <c r="F62" i="12" s="1"/>
  <c r="G62" i="12" s="1"/>
  <c r="C61" i="12"/>
  <c r="F61" i="12" s="1"/>
  <c r="G61" i="12" s="1"/>
  <c r="D61" i="12"/>
  <c r="D60" i="12"/>
  <c r="F60" i="12" s="1"/>
  <c r="G60" i="12" s="1"/>
  <c r="C60" i="12"/>
  <c r="D59" i="12"/>
  <c r="C59" i="12"/>
  <c r="F59" i="12" s="1"/>
  <c r="G59" i="12" s="1"/>
  <c r="C58" i="12"/>
  <c r="D58" i="12"/>
  <c r="D57" i="12"/>
  <c r="D56" i="12"/>
  <c r="F57" i="12" l="1"/>
  <c r="G57" i="12" s="1"/>
  <c r="F58" i="12"/>
  <c r="G58" i="12" s="1"/>
  <c r="F56" i="12"/>
  <c r="G56" i="12" s="1"/>
  <c r="D55" i="12"/>
  <c r="F55" i="12" s="1"/>
  <c r="G55" i="12" s="1"/>
  <c r="D53" i="12"/>
  <c r="D54" i="12"/>
  <c r="Q54" i="12" s="1"/>
  <c r="R54" i="12" s="1"/>
  <c r="C53" i="12" l="1"/>
  <c r="F53" i="12" s="1"/>
  <c r="G53" i="12" s="1"/>
  <c r="D11" i="12"/>
  <c r="C13" i="12"/>
  <c r="G13" i="12" s="1"/>
  <c r="F14" i="12"/>
  <c r="E23" i="12"/>
  <c r="E14" i="12" s="1"/>
  <c r="D23" i="12"/>
  <c r="D14" i="12" s="1"/>
  <c r="C23" i="12"/>
  <c r="C14" i="12" s="1"/>
  <c r="B23" i="12"/>
  <c r="B14" i="12" s="1"/>
  <c r="G35" i="12"/>
  <c r="D33" i="12"/>
  <c r="E33" i="12"/>
  <c r="B33" i="12"/>
  <c r="C22" i="12"/>
  <c r="C33" i="12" s="1"/>
  <c r="F54" i="12"/>
  <c r="G54" i="12" s="1"/>
  <c r="G65" i="12" l="1"/>
  <c r="J65" i="12"/>
  <c r="G14" i="12"/>
  <c r="G23" i="12"/>
  <c r="G33" i="12"/>
  <c r="C34" i="12"/>
  <c r="G34" i="12" s="1"/>
  <c r="G22" i="12"/>
  <c r="J66" i="12" l="1"/>
  <c r="G77" i="12"/>
  <c r="J77" i="12" s="1"/>
  <c r="E21" i="12"/>
  <c r="E32" i="12" s="1"/>
  <c r="D12" i="12"/>
  <c r="G12" i="12" s="1"/>
  <c r="D20" i="12"/>
  <c r="E45" i="12"/>
  <c r="E11" i="12"/>
  <c r="E20" i="12" s="1"/>
  <c r="E30" i="12" s="1"/>
  <c r="G20" i="12" l="1"/>
  <c r="G11" i="12"/>
  <c r="D45" i="12"/>
  <c r="G45" i="12" s="1"/>
  <c r="D21" i="12"/>
  <c r="G21" i="12" s="1"/>
  <c r="D30" i="12"/>
  <c r="D31" i="12" l="1"/>
  <c r="G31" i="12" s="1"/>
  <c r="G30" i="12"/>
  <c r="D32" i="12"/>
  <c r="G32" i="12" s="1"/>
  <c r="C87" i="12"/>
  <c r="E44" i="12" l="1"/>
  <c r="D44" i="12"/>
  <c r="N44" i="12"/>
  <c r="M44" i="12"/>
  <c r="N28" i="12"/>
  <c r="M28" i="12"/>
  <c r="D19" i="12"/>
  <c r="D28" i="12" s="1"/>
  <c r="D29" i="12" s="1"/>
  <c r="G29" i="12" s="1"/>
  <c r="B19" i="12"/>
  <c r="B28" i="12" s="1"/>
  <c r="B44" i="12" s="1"/>
  <c r="E10" i="12"/>
  <c r="E19" i="12" s="1"/>
  <c r="N19" i="12"/>
  <c r="M19" i="12"/>
  <c r="P28" i="12" l="1"/>
  <c r="P44" i="12"/>
  <c r="G44" i="12"/>
  <c r="G46" i="12" s="1"/>
  <c r="G10" i="12"/>
  <c r="G15" i="12" s="1"/>
  <c r="P19" i="12"/>
  <c r="G19" i="12"/>
  <c r="G24" i="12" s="1"/>
  <c r="E28" i="12"/>
  <c r="G28" i="12" s="1"/>
  <c r="G36" i="12" s="1"/>
  <c r="J41" i="12" l="1"/>
  <c r="J50" i="12"/>
  <c r="J47" i="12"/>
  <c r="J48" i="12"/>
  <c r="J49" i="12"/>
  <c r="J40" i="12"/>
  <c r="J37" i="12"/>
  <c r="J24" i="12"/>
  <c r="J25" i="12"/>
  <c r="J36" i="12"/>
  <c r="J46" i="12" l="1"/>
  <c r="J38" i="12"/>
  <c r="J39" i="12"/>
  <c r="N10" i="12"/>
  <c r="M10" i="12"/>
  <c r="P10" i="12" l="1"/>
  <c r="J16" i="12"/>
  <c r="J15" i="12" l="1"/>
  <c r="C88" i="12"/>
  <c r="C85" i="12" s="1"/>
  <c r="G79" i="12"/>
  <c r="J79" i="12" s="1"/>
  <c r="J81" i="12" l="1"/>
  <c r="C83" i="12" s="1"/>
  <c r="C86" i="12" s="1"/>
  <c r="E85" i="12" l="1"/>
  <c r="E86" i="12" s="1"/>
</calcChain>
</file>

<file path=xl/sharedStrings.xml><?xml version="1.0" encoding="utf-8"?>
<sst xmlns="http://schemas.openxmlformats.org/spreadsheetml/2006/main" count="85" uniqueCount="72">
  <si>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</si>
  <si>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</si>
  <si>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</si>
  <si>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</si>
  <si>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</si>
  <si>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</si>
  <si>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</si>
  <si>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</si>
  <si>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</si>
  <si>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</si>
  <si>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</si>
  <si>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</si>
  <si>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</si>
  <si>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</si>
  <si>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</si>
  <si>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</si>
  <si>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</si>
  <si>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</si>
  <si>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</si>
  <si>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</si>
  <si>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</si>
  <si>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</si>
  <si>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</si>
  <si>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</si>
  <si>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</si>
  <si>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</si>
  <si>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</si>
  <si>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</si>
  <si>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</si>
  <si>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</si>
  <si>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</si>
  <si>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</si>
  <si>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</si>
  <si>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</si>
  <si>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</si>
  <si>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</si>
  <si>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</si>
  <si>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</si>
  <si>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</si>
  <si>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</si>
  <si>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</si>
  <si>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</si>
  <si>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t>Provisional sum for unforseen works</t>
  </si>
  <si>
    <t>PS</t>
  </si>
  <si>
    <t>sfnf] kmnfd] kfO{ksf] 6«; agfO{ h8fg ug]{ sfd</t>
  </si>
  <si>
    <t>Length (m)</t>
  </si>
  <si>
    <t>Unit length (Kg/m)</t>
  </si>
  <si>
    <t>Total Weight (kg)</t>
  </si>
  <si>
    <t>sub-total</t>
  </si>
  <si>
    <t>Kg</t>
  </si>
  <si>
    <t>-VAT 13% for materials</t>
  </si>
  <si>
    <t>-for footing</t>
  </si>
  <si>
    <t>Project:-देविथान निर्माण कार्य</t>
  </si>
  <si>
    <t>- for open space</t>
  </si>
  <si>
    <t>-MS square pipe of 3" * 3" of 3mm thickness for vertical post</t>
  </si>
  <si>
    <t>-MS square pipe horizontal of 3" * 3" of 3mm thickness for binding post</t>
  </si>
  <si>
    <t>-MS square pipe horizontal of 3" * 3" of 3mm thickness for base of upper portion</t>
  </si>
  <si>
    <t>-MS square pipe vertical section of 3" * 3" of 3mm thickness for upper portion</t>
  </si>
  <si>
    <t>-MS square pipe horizontal of 2" * 2" of 3mm thickness for diagnol of uppermost portion</t>
  </si>
  <si>
    <t>-MS square pipe horizontal of 2" * 2" of 3mm thickness for binding at mid portion of upper part</t>
  </si>
  <si>
    <t>-MS square pipe horizontal of 2" * 2" of 3mm thickness as purlin  at mid portion of upper part</t>
  </si>
  <si>
    <t>-MS square pipe horizontal of 2" * 2" of 3mm thickness  at corner of upper part</t>
  </si>
  <si>
    <t>-MS square pipe horizontal of 2" * 2" of 3mm thickness as purlin  at mid portion of uppermost part</t>
  </si>
  <si>
    <t>-MS square pipe horizontal of 2" * 2" of 3mm thickness  at corner of uppermost part</t>
  </si>
  <si>
    <t xml:space="preserve">).#^ lblv ).$ dL.dL.afSnf] sf]?u]6]8 /+lug ss{6 kftfsf] 5fgf 5fpg] sfd </t>
  </si>
  <si>
    <t>-upper portion</t>
  </si>
  <si>
    <t>-uppermost portion</t>
  </si>
  <si>
    <t>sqm</t>
  </si>
  <si>
    <t>-13% VAT for sheet</t>
  </si>
  <si>
    <t>-13% VAT for nut bolt</t>
  </si>
  <si>
    <t>-13% VAT for j-hook</t>
  </si>
  <si>
    <t>-13% VAT for bitumen 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</si>
</sst>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20"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1"/>
      <color theme="1"/>
      <name val="Calibri"/>
      <family val="2"/>
      <scheme val="minor"/>
    </font>
    <font>
      <sz val="11"/>
      <color theme="1"/>
      <name val="Times New Roman"/>
      <family val="1"/>
    </font>
    <font>
      <sz val="11"/>
      <color rgb="FFFF0000"/>
      <name val="Calibri"/>
      <family val="2"/>
      <scheme val="minor"/>
    </font>
    <font>
      <b/>
      <sz val="11"/>
      <color rgb="FFFF0000"/>
      <name val="Times New Roman"/>
      <family val="1"/>
    </font>
    <font>
      <b/>
      <sz val="12"/>
      <color rgb="FFFF0000"/>
      <name val="Preeti"/>
    </font>
    <font>
      <sz val="11"/>
      <color rgb="FFFF0000"/>
      <name val="Times New Roman"/>
      <family val="1"/>
    </font>
    <font>
      <b/>
      <sz val="11"/>
      <color rgb="FFFF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73">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2" fontId="13" fillId="0" borderId="2" xfId="0" applyNumberFormat="1" applyFont="1" applyBorder="1" applyAlignment="1">
      <alignment vertical="center"/>
    </xf>
    <xf numFmtId="0" fontId="0" fillId="0" borderId="0" xfId="0" applyAlignment="1">
      <alignment vertical="center"/>
    </xf>
    <xf numFmtId="0" fontId="14" fillId="0" borderId="2" xfId="0" quotePrefix="1" applyFont="1" applyBorder="1" applyAlignment="1">
      <alignment horizontal="right" vertical="center" wrapText="1"/>
    </xf>
    <xf numFmtId="0" fontId="0" fillId="0" borderId="2" xfId="0" applyBorder="1" applyAlignment="1">
      <alignment vertical="center"/>
    </xf>
    <xf numFmtId="2" fontId="4" fillId="0" borderId="2" xfId="0" quotePrefix="1" applyNumberFormat="1" applyFont="1" applyBorder="1" applyAlignment="1">
      <alignment horizontal="right"/>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1" fontId="16" fillId="0" borderId="2" xfId="0" applyNumberFormat="1" applyFont="1" applyBorder="1" applyAlignment="1">
      <alignment vertical="center"/>
    </xf>
    <xf numFmtId="0" fontId="17" fillId="2" borderId="2" xfId="0" applyFont="1" applyFill="1" applyBorder="1" applyAlignment="1">
      <alignment vertical="center" wrapText="1"/>
    </xf>
    <xf numFmtId="165" fontId="18" fillId="0" borderId="2" xfId="0" applyNumberFormat="1" applyFont="1" applyBorder="1" applyAlignment="1">
      <alignment vertical="center"/>
    </xf>
    <xf numFmtId="2" fontId="18" fillId="0" borderId="2" xfId="1" applyNumberFormat="1" applyFont="1" applyFill="1" applyBorder="1" applyAlignment="1">
      <alignment vertical="center" wrapText="1"/>
    </xf>
    <xf numFmtId="2" fontId="18" fillId="0" borderId="2" xfId="0" applyNumberFormat="1" applyFont="1" applyBorder="1" applyAlignment="1">
      <alignment vertical="center" wrapText="1"/>
    </xf>
    <xf numFmtId="2" fontId="16" fillId="0" borderId="2" xfId="0" applyNumberFormat="1" applyFont="1" applyBorder="1" applyAlignment="1">
      <alignment vertical="center"/>
    </xf>
    <xf numFmtId="2" fontId="16" fillId="0" borderId="2" xfId="1" applyNumberFormat="1" applyFont="1" applyFill="1" applyBorder="1" applyAlignment="1">
      <alignment vertical="center"/>
    </xf>
    <xf numFmtId="2" fontId="19" fillId="0" borderId="2" xfId="0" applyNumberFormat="1" applyFont="1" applyBorder="1" applyAlignment="1">
      <alignment vertical="center"/>
    </xf>
    <xf numFmtId="0" fontId="19" fillId="0" borderId="2" xfId="0" applyFont="1" applyBorder="1" applyAlignment="1">
      <alignment vertical="center"/>
    </xf>
    <xf numFmtId="0" fontId="18" fillId="0" borderId="2" xfId="0" quotePrefix="1" applyFont="1" applyBorder="1" applyAlignment="1">
      <alignment horizontal="right" vertical="center" wrapText="1"/>
    </xf>
    <xf numFmtId="165" fontId="15" fillId="0" borderId="2" xfId="0" applyNumberFormat="1" applyFont="1" applyBorder="1" applyAlignment="1">
      <alignment vertical="center"/>
    </xf>
    <xf numFmtId="2" fontId="15" fillId="0" borderId="2" xfId="0" applyNumberFormat="1" applyFont="1" applyBorder="1" applyAlignment="1">
      <alignment vertical="center"/>
    </xf>
    <xf numFmtId="2" fontId="18" fillId="0" borderId="2" xfId="1" applyNumberFormat="1" applyFont="1" applyFill="1" applyBorder="1" applyAlignment="1">
      <alignment vertical="center"/>
    </xf>
    <xf numFmtId="2" fontId="18" fillId="0" borderId="2" xfId="0" applyNumberFormat="1" applyFont="1" applyBorder="1" applyAlignment="1">
      <alignment vertical="center"/>
    </xf>
    <xf numFmtId="2" fontId="15" fillId="0" borderId="2" xfId="0" applyNumberFormat="1" applyFont="1" applyBorder="1"/>
    <xf numFmtId="0" fontId="15" fillId="0" borderId="2" xfId="0" quotePrefix="1" applyFont="1" applyBorder="1" applyAlignment="1">
      <alignment horizontal="right"/>
    </xf>
    <xf numFmtId="0" fontId="15" fillId="0" borderId="2" xfId="0" applyFont="1" applyBorder="1"/>
    <xf numFmtId="2" fontId="16" fillId="0" borderId="2" xfId="0" applyNumberFormat="1" applyFont="1" applyBorder="1"/>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tabSelected="1" topLeftCell="A44" zoomScale="90" zoomScaleNormal="90" zoomScaleSheetLayoutView="95" workbookViewId="0">
      <selection activeCell="S54" sqref="S54"/>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44" t="s">
        <v>0</v>
      </c>
      <c r="B1" s="44"/>
      <c r="C1" s="44"/>
      <c r="D1" s="44"/>
      <c r="E1" s="44"/>
      <c r="F1" s="44"/>
      <c r="G1" s="44"/>
      <c r="H1" s="44"/>
      <c r="I1" s="44"/>
      <c r="J1" s="44"/>
      <c r="K1" s="44"/>
    </row>
    <row r="2" spans="1:16" ht="22.8" x14ac:dyDescent="0.3">
      <c r="A2" s="45" t="s">
        <v>1</v>
      </c>
      <c r="B2" s="45"/>
      <c r="C2" s="45"/>
      <c r="D2" s="45"/>
      <c r="E2" s="45"/>
      <c r="F2" s="45"/>
      <c r="G2" s="45"/>
      <c r="H2" s="45"/>
      <c r="I2" s="45"/>
      <c r="J2" s="45"/>
      <c r="K2" s="45"/>
    </row>
    <row r="3" spans="1:16" x14ac:dyDescent="0.3">
      <c r="A3" s="46" t="s">
        <v>2</v>
      </c>
      <c r="B3" s="46"/>
      <c r="C3" s="46"/>
      <c r="D3" s="46"/>
      <c r="E3" s="46"/>
      <c r="F3" s="46"/>
      <c r="G3" s="46"/>
      <c r="H3" s="46"/>
      <c r="I3" s="46"/>
      <c r="J3" s="46"/>
      <c r="K3" s="46"/>
    </row>
    <row r="4" spans="1:16" x14ac:dyDescent="0.3">
      <c r="A4" s="46" t="s">
        <v>3</v>
      </c>
      <c r="B4" s="46"/>
      <c r="C4" s="46"/>
      <c r="D4" s="46"/>
      <c r="E4" s="46"/>
      <c r="F4" s="46"/>
      <c r="G4" s="46"/>
      <c r="H4" s="46"/>
      <c r="I4" s="46"/>
      <c r="J4" s="46"/>
      <c r="K4" s="46"/>
    </row>
    <row r="5" spans="1:16" ht="17.399999999999999" x14ac:dyDescent="0.3">
      <c r="A5" s="47" t="s">
        <v>4</v>
      </c>
      <c r="B5" s="47"/>
      <c r="C5" s="47"/>
      <c r="D5" s="47"/>
      <c r="E5" s="47"/>
      <c r="F5" s="47"/>
      <c r="G5" s="47"/>
      <c r="H5" s="47"/>
      <c r="I5" s="47"/>
      <c r="J5" s="47"/>
      <c r="K5" s="47"/>
    </row>
    <row r="6" spans="1:16" ht="15.6" x14ac:dyDescent="0.3">
      <c r="A6" s="42" t="s">
        <v>52</v>
      </c>
      <c r="B6" s="42"/>
      <c r="C6" s="42"/>
      <c r="D6" s="42"/>
      <c r="E6" s="42"/>
      <c r="F6" s="42"/>
      <c r="G6" s="10"/>
      <c r="H6" s="43" t="s">
        <v>29</v>
      </c>
      <c r="I6" s="43"/>
      <c r="J6" s="43"/>
      <c r="K6" s="43"/>
    </row>
    <row r="7" spans="1:16" ht="15.6" x14ac:dyDescent="0.3">
      <c r="A7" s="50" t="s">
        <v>5</v>
      </c>
      <c r="B7" s="50"/>
      <c r="C7" s="50"/>
      <c r="D7" s="50"/>
      <c r="E7" s="50"/>
      <c r="F7" s="50"/>
      <c r="G7" s="11"/>
      <c r="H7" s="51" t="s">
        <v>23</v>
      </c>
      <c r="I7" s="51"/>
      <c r="J7" s="51"/>
      <c r="K7" s="51"/>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88.25" customHeight="1" x14ac:dyDescent="0.3">
      <c r="A9" s="16">
        <v>1</v>
      </c>
      <c r="B9" s="35" t="s">
        <v>39</v>
      </c>
      <c r="C9" s="17"/>
      <c r="D9" s="17"/>
      <c r="E9" s="17"/>
      <c r="F9" s="17"/>
      <c r="G9" s="17"/>
      <c r="H9" s="17"/>
      <c r="I9" s="17"/>
      <c r="J9" s="17"/>
      <c r="K9" s="17"/>
    </row>
    <row r="10" spans="1:16" x14ac:dyDescent="0.3">
      <c r="A10" s="16"/>
      <c r="B10" s="32" t="s">
        <v>30</v>
      </c>
      <c r="C10" s="17">
        <v>1</v>
      </c>
      <c r="D10" s="33">
        <v>17.5</v>
      </c>
      <c r="E10" s="33">
        <f>F10/2</f>
        <v>1.5</v>
      </c>
      <c r="F10" s="33">
        <v>3</v>
      </c>
      <c r="G10" s="33">
        <f>PRODUCT(C10:F10)</f>
        <v>78.75</v>
      </c>
      <c r="H10" s="17"/>
      <c r="I10" s="17"/>
      <c r="J10" s="17"/>
      <c r="K10" s="17"/>
      <c r="M10" s="33">
        <f>7</f>
        <v>7</v>
      </c>
      <c r="N10" s="33">
        <f>2</f>
        <v>2</v>
      </c>
      <c r="O10" s="33"/>
      <c r="P10" s="33">
        <f>PI()*M10*SQRT(M10^2+N10^2)</f>
        <v>160.09797821843054</v>
      </c>
    </row>
    <row r="11" spans="1:16" x14ac:dyDescent="0.3">
      <c r="A11" s="16"/>
      <c r="B11" s="32"/>
      <c r="C11" s="17">
        <v>1</v>
      </c>
      <c r="D11" s="33">
        <f>5.5+2.4</f>
        <v>7.9</v>
      </c>
      <c r="E11" s="33">
        <f>F11/2</f>
        <v>1</v>
      </c>
      <c r="F11" s="33">
        <v>2</v>
      </c>
      <c r="G11" s="33">
        <f>PRODUCT(C11:F11)</f>
        <v>15.8</v>
      </c>
      <c r="H11" s="17"/>
      <c r="I11" s="17"/>
      <c r="J11" s="17"/>
      <c r="K11" s="17"/>
      <c r="M11" s="36"/>
      <c r="N11" s="36"/>
      <c r="O11" s="36"/>
      <c r="P11" s="36"/>
    </row>
    <row r="12" spans="1:16" x14ac:dyDescent="0.3">
      <c r="A12" s="16"/>
      <c r="B12" s="32"/>
      <c r="C12" s="17">
        <v>1</v>
      </c>
      <c r="D12" s="33">
        <f>2.5+3+2+3</f>
        <v>10.5</v>
      </c>
      <c r="E12" s="33">
        <v>1.2</v>
      </c>
      <c r="F12" s="33">
        <v>0.15</v>
      </c>
      <c r="G12" s="33">
        <f>PRODUCT(C12:F12)</f>
        <v>1.89</v>
      </c>
      <c r="H12" s="17"/>
      <c r="I12" s="17"/>
      <c r="J12" s="17"/>
      <c r="K12" s="17"/>
      <c r="M12" s="36"/>
      <c r="N12" s="36"/>
      <c r="O12" s="36"/>
      <c r="P12" s="36"/>
    </row>
    <row r="13" spans="1:16" x14ac:dyDescent="0.3">
      <c r="A13" s="16"/>
      <c r="B13" s="32" t="s">
        <v>51</v>
      </c>
      <c r="C13" s="17">
        <f>4*2</f>
        <v>8</v>
      </c>
      <c r="D13" s="33">
        <v>0.45</v>
      </c>
      <c r="E13" s="33">
        <v>0.45</v>
      </c>
      <c r="F13" s="33">
        <v>0.6</v>
      </c>
      <c r="G13" s="33">
        <f>PRODUCT(C13:F13)</f>
        <v>0.97199999999999998</v>
      </c>
      <c r="H13" s="17"/>
      <c r="I13" s="17"/>
      <c r="J13" s="17"/>
      <c r="K13" s="17"/>
      <c r="M13" s="36"/>
      <c r="N13" s="36"/>
      <c r="O13" s="36"/>
      <c r="P13" s="36"/>
    </row>
    <row r="14" spans="1:16" x14ac:dyDescent="0.3">
      <c r="A14" s="16"/>
      <c r="B14" s="32" t="str">
        <f>B23</f>
        <v>- for open space</v>
      </c>
      <c r="C14" s="17">
        <f>C23</f>
        <v>1</v>
      </c>
      <c r="D14" s="33">
        <f>D23</f>
        <v>10</v>
      </c>
      <c r="E14" s="33">
        <f t="shared" ref="E14:F14" si="0">E23</f>
        <v>1.2</v>
      </c>
      <c r="F14" s="33">
        <f t="shared" si="0"/>
        <v>0.15</v>
      </c>
      <c r="G14" s="33">
        <f>PRODUCT(C14:F14)</f>
        <v>1.7999999999999998</v>
      </c>
      <c r="H14" s="17"/>
      <c r="I14" s="17"/>
      <c r="J14" s="17"/>
      <c r="K14" s="17"/>
      <c r="M14" s="36"/>
      <c r="N14" s="36"/>
      <c r="O14" s="36"/>
      <c r="P14" s="36"/>
    </row>
    <row r="15" spans="1:16" ht="15" customHeight="1" x14ac:dyDescent="0.3">
      <c r="A15" s="2"/>
      <c r="B15" s="34" t="s">
        <v>17</v>
      </c>
      <c r="C15" s="3"/>
      <c r="D15" s="4"/>
      <c r="E15" s="5"/>
      <c r="F15" s="5"/>
      <c r="G15" s="6">
        <f>SUM(G10:G14)</f>
        <v>99.211999999999989</v>
      </c>
      <c r="H15" s="7" t="s">
        <v>18</v>
      </c>
      <c r="I15" s="6">
        <v>62.95</v>
      </c>
      <c r="J15" s="18">
        <f>G15*I15</f>
        <v>6245.3953999999994</v>
      </c>
      <c r="K15" s="5"/>
    </row>
    <row r="16" spans="1:16" x14ac:dyDescent="0.3">
      <c r="A16" s="16"/>
      <c r="B16" s="32" t="s">
        <v>24</v>
      </c>
      <c r="C16" s="17"/>
      <c r="D16" s="17"/>
      <c r="E16" s="17"/>
      <c r="F16" s="17"/>
      <c r="G16" s="17"/>
      <c r="H16" s="17"/>
      <c r="I16" s="17"/>
      <c r="J16" s="18">
        <f>0.13*G15*(18612)/360</f>
        <v>666.80385199999989</v>
      </c>
      <c r="K16" s="17"/>
    </row>
    <row r="17" spans="1:16" x14ac:dyDescent="0.3">
      <c r="A17" s="16"/>
      <c r="B17" s="17"/>
      <c r="C17" s="17"/>
      <c r="D17" s="17"/>
      <c r="E17" s="17"/>
      <c r="F17" s="17"/>
      <c r="G17" s="17"/>
      <c r="H17" s="17"/>
      <c r="I17" s="17"/>
      <c r="J17" s="17"/>
      <c r="K17" s="17"/>
    </row>
    <row r="18" spans="1:16" ht="109.2" x14ac:dyDescent="0.3">
      <c r="A18" s="16">
        <v>2</v>
      </c>
      <c r="B18" s="35" t="s">
        <v>31</v>
      </c>
      <c r="C18" s="17"/>
      <c r="D18" s="17"/>
      <c r="E18" s="17"/>
      <c r="F18" s="17"/>
      <c r="G18" s="17"/>
      <c r="H18" s="17"/>
      <c r="I18" s="17"/>
      <c r="J18" s="17"/>
      <c r="K18" s="17"/>
    </row>
    <row r="19" spans="1:16" x14ac:dyDescent="0.3">
      <c r="A19" s="16"/>
      <c r="B19" s="32" t="str">
        <f>B10</f>
        <v>-for masonary wall</v>
      </c>
      <c r="C19" s="17">
        <v>1</v>
      </c>
      <c r="D19" s="33">
        <f t="shared" ref="D19:E21" si="1">D10</f>
        <v>17.5</v>
      </c>
      <c r="E19" s="33">
        <f t="shared" si="1"/>
        <v>1.5</v>
      </c>
      <c r="F19" s="33">
        <v>0.15</v>
      </c>
      <c r="G19" s="33">
        <f>PRODUCT(C19:F19)</f>
        <v>3.9375</v>
      </c>
      <c r="H19" s="17"/>
      <c r="I19" s="17"/>
      <c r="J19" s="17"/>
      <c r="K19" s="17"/>
      <c r="M19" s="33">
        <f>7</f>
        <v>7</v>
      </c>
      <c r="N19" s="33">
        <f>2</f>
        <v>2</v>
      </c>
      <c r="O19" s="33"/>
      <c r="P19" s="33">
        <f>PI()*M19*SQRT(M19^2+N19^2)</f>
        <v>160.09797821843054</v>
      </c>
    </row>
    <row r="20" spans="1:16" x14ac:dyDescent="0.3">
      <c r="A20" s="16"/>
      <c r="B20" s="32"/>
      <c r="C20" s="17">
        <v>1</v>
      </c>
      <c r="D20" s="33">
        <f t="shared" si="1"/>
        <v>7.9</v>
      </c>
      <c r="E20" s="33">
        <f t="shared" si="1"/>
        <v>1</v>
      </c>
      <c r="F20" s="33">
        <v>0.15</v>
      </c>
      <c r="G20" s="33">
        <f>PRODUCT(C20:F20)</f>
        <v>1.1850000000000001</v>
      </c>
      <c r="H20" s="17"/>
      <c r="I20" s="17"/>
      <c r="J20" s="17"/>
      <c r="K20" s="17"/>
      <c r="M20" s="36"/>
      <c r="N20" s="36"/>
      <c r="O20" s="36"/>
      <c r="P20" s="36"/>
    </row>
    <row r="21" spans="1:16" x14ac:dyDescent="0.3">
      <c r="A21" s="16"/>
      <c r="B21" s="32"/>
      <c r="C21" s="17">
        <v>1</v>
      </c>
      <c r="D21" s="33">
        <f t="shared" si="1"/>
        <v>10.5</v>
      </c>
      <c r="E21" s="33">
        <f t="shared" si="1"/>
        <v>1.2</v>
      </c>
      <c r="F21" s="33">
        <v>0.15</v>
      </c>
      <c r="G21" s="33">
        <f>PRODUCT(C21:F21)</f>
        <v>1.89</v>
      </c>
      <c r="H21" s="17"/>
      <c r="I21" s="17"/>
      <c r="J21" s="17"/>
      <c r="K21" s="17"/>
      <c r="M21" s="36"/>
      <c r="N21" s="36"/>
      <c r="O21" s="36"/>
      <c r="P21" s="36"/>
    </row>
    <row r="22" spans="1:16" x14ac:dyDescent="0.3">
      <c r="A22" s="16"/>
      <c r="B22" s="32" t="s">
        <v>51</v>
      </c>
      <c r="C22" s="17">
        <f>4*2</f>
        <v>8</v>
      </c>
      <c r="D22" s="33">
        <v>0.45</v>
      </c>
      <c r="E22" s="33">
        <v>0.45</v>
      </c>
      <c r="F22" s="33">
        <v>0.15</v>
      </c>
      <c r="G22" s="33">
        <f>PRODUCT(C22:F22)</f>
        <v>0.24299999999999999</v>
      </c>
      <c r="H22" s="17"/>
      <c r="I22" s="17"/>
      <c r="J22" s="17"/>
      <c r="K22" s="17"/>
      <c r="M22" s="36"/>
      <c r="N22" s="36"/>
      <c r="O22" s="36"/>
      <c r="P22" s="36"/>
    </row>
    <row r="23" spans="1:16" x14ac:dyDescent="0.3">
      <c r="A23" s="16"/>
      <c r="B23" s="32" t="str">
        <f>B35</f>
        <v>- for open space</v>
      </c>
      <c r="C23" s="17">
        <f>C35</f>
        <v>1</v>
      </c>
      <c r="D23" s="33">
        <f>D35</f>
        <v>10</v>
      </c>
      <c r="E23" s="33">
        <f>E35</f>
        <v>1.2</v>
      </c>
      <c r="F23" s="33">
        <v>0.15</v>
      </c>
      <c r="G23" s="33">
        <f>PRODUCT(C23:F23)</f>
        <v>1.7999999999999998</v>
      </c>
      <c r="H23" s="17"/>
      <c r="I23" s="17"/>
      <c r="J23" s="17"/>
      <c r="K23" s="17"/>
      <c r="M23" s="36"/>
      <c r="N23" s="36"/>
      <c r="O23" s="36"/>
      <c r="P23" s="36"/>
    </row>
    <row r="24" spans="1:16" ht="15" customHeight="1" x14ac:dyDescent="0.3">
      <c r="A24" s="2"/>
      <c r="B24" s="34" t="s">
        <v>17</v>
      </c>
      <c r="C24" s="3"/>
      <c r="D24" s="4"/>
      <c r="E24" s="5"/>
      <c r="F24" s="5"/>
      <c r="G24" s="6">
        <f>SUM(G19:G23)</f>
        <v>9.0555000000000003</v>
      </c>
      <c r="H24" s="7" t="s">
        <v>18</v>
      </c>
      <c r="I24" s="6">
        <v>4458.5200000000004</v>
      </c>
      <c r="J24" s="18">
        <f>G24*I24</f>
        <v>40374.127860000008</v>
      </c>
      <c r="K24" s="5"/>
    </row>
    <row r="25" spans="1:16" x14ac:dyDescent="0.3">
      <c r="A25" s="16"/>
      <c r="B25" s="32" t="s">
        <v>24</v>
      </c>
      <c r="C25" s="17"/>
      <c r="D25" s="17"/>
      <c r="E25" s="17"/>
      <c r="F25" s="17"/>
      <c r="G25" s="17"/>
      <c r="H25" s="17"/>
      <c r="I25" s="17"/>
      <c r="J25" s="18">
        <f>0.13*G24*(14817.6)/5</f>
        <v>3488.7001968000004</v>
      </c>
      <c r="K25" s="17"/>
    </row>
    <row r="26" spans="1:16" x14ac:dyDescent="0.3">
      <c r="A26" s="16"/>
      <c r="B26" s="17"/>
      <c r="C26" s="17"/>
      <c r="D26" s="17"/>
      <c r="E26" s="17"/>
      <c r="F26" s="17"/>
      <c r="G26" s="17"/>
      <c r="H26" s="17"/>
      <c r="I26" s="17"/>
      <c r="J26" s="17"/>
      <c r="K26" s="17"/>
    </row>
    <row r="27" spans="1:16" ht="93.6" x14ac:dyDescent="0.3">
      <c r="A27" s="16">
        <v>3</v>
      </c>
      <c r="B27" s="35" t="s">
        <v>32</v>
      </c>
      <c r="C27" s="17"/>
      <c r="D27" s="17"/>
      <c r="E27" s="17"/>
      <c r="F27" s="17"/>
      <c r="G27" s="17"/>
      <c r="H27" s="17"/>
      <c r="I27" s="17"/>
      <c r="J27" s="17"/>
      <c r="K27" s="17"/>
    </row>
    <row r="28" spans="1:16" x14ac:dyDescent="0.3">
      <c r="A28" s="16"/>
      <c r="B28" s="32" t="str">
        <f>B19</f>
        <v>-for masonary wall</v>
      </c>
      <c r="C28" s="17">
        <v>1</v>
      </c>
      <c r="D28" s="33">
        <f>D19</f>
        <v>17.5</v>
      </c>
      <c r="E28" s="33">
        <f>E19</f>
        <v>1.5</v>
      </c>
      <c r="F28" s="33">
        <v>7.4999999999999997E-2</v>
      </c>
      <c r="G28" s="33">
        <f>PRODUCT(C28:F28)</f>
        <v>1.96875</v>
      </c>
      <c r="H28" s="17"/>
      <c r="I28" s="17"/>
      <c r="J28" s="17"/>
      <c r="K28" s="17"/>
      <c r="M28" s="33">
        <f>7</f>
        <v>7</v>
      </c>
      <c r="N28" s="33">
        <f>2</f>
        <v>2</v>
      </c>
      <c r="O28" s="33"/>
      <c r="P28" s="33">
        <f>PI()*M28*SQRT(M28^2+N28^2)</f>
        <v>160.09797821843054</v>
      </c>
    </row>
    <row r="29" spans="1:16" x14ac:dyDescent="0.3">
      <c r="A29" s="16"/>
      <c r="B29" s="32"/>
      <c r="C29" s="17">
        <v>1</v>
      </c>
      <c r="D29" s="33">
        <f>D28</f>
        <v>17.5</v>
      </c>
      <c r="E29" s="33">
        <v>0.45</v>
      </c>
      <c r="F29" s="33">
        <v>0.05</v>
      </c>
      <c r="G29" s="33">
        <f t="shared" ref="G29:G35" si="2">PRODUCT(C29:F29)</f>
        <v>0.39375000000000004</v>
      </c>
      <c r="H29" s="17"/>
      <c r="I29" s="17"/>
      <c r="J29" s="17"/>
      <c r="K29" s="17"/>
      <c r="M29" s="36"/>
      <c r="N29" s="36"/>
      <c r="O29" s="36"/>
      <c r="P29" s="36"/>
    </row>
    <row r="30" spans="1:16" x14ac:dyDescent="0.3">
      <c r="A30" s="16"/>
      <c r="B30" s="32"/>
      <c r="C30" s="17">
        <v>1</v>
      </c>
      <c r="D30" s="33">
        <f>D20</f>
        <v>7.9</v>
      </c>
      <c r="E30" s="33">
        <f>E20</f>
        <v>1</v>
      </c>
      <c r="F30" s="33">
        <v>7.4999999999999997E-2</v>
      </c>
      <c r="G30" s="33">
        <f t="shared" si="2"/>
        <v>0.59250000000000003</v>
      </c>
      <c r="H30" s="17"/>
      <c r="I30" s="17"/>
      <c r="J30" s="17"/>
      <c r="K30" s="17"/>
      <c r="M30" s="36"/>
      <c r="N30" s="36"/>
      <c r="O30" s="36"/>
      <c r="P30" s="36"/>
    </row>
    <row r="31" spans="1:16" x14ac:dyDescent="0.3">
      <c r="A31" s="16"/>
      <c r="B31" s="32"/>
      <c r="C31" s="17">
        <v>1</v>
      </c>
      <c r="D31" s="33">
        <f>D30</f>
        <v>7.9</v>
      </c>
      <c r="E31" s="33">
        <v>0.45</v>
      </c>
      <c r="F31" s="33">
        <v>0.05</v>
      </c>
      <c r="G31" s="33">
        <f t="shared" si="2"/>
        <v>0.17775000000000002</v>
      </c>
      <c r="H31" s="17"/>
      <c r="I31" s="17"/>
      <c r="J31" s="17"/>
      <c r="K31" s="17"/>
      <c r="M31" s="36"/>
      <c r="N31" s="36"/>
      <c r="O31" s="36"/>
      <c r="P31" s="36"/>
    </row>
    <row r="32" spans="1:16" x14ac:dyDescent="0.3">
      <c r="A32" s="16"/>
      <c r="B32" s="32"/>
      <c r="C32" s="17">
        <v>1</v>
      </c>
      <c r="D32" s="33">
        <f>D21</f>
        <v>10.5</v>
      </c>
      <c r="E32" s="33">
        <f>E21</f>
        <v>1.2</v>
      </c>
      <c r="F32" s="33">
        <v>0.1</v>
      </c>
      <c r="G32" s="33">
        <f t="shared" si="2"/>
        <v>1.26</v>
      </c>
      <c r="H32" s="17"/>
      <c r="I32" s="17"/>
      <c r="J32" s="17"/>
      <c r="K32" s="17"/>
      <c r="M32" s="36"/>
      <c r="N32" s="36"/>
      <c r="O32" s="36"/>
      <c r="P32" s="36"/>
    </row>
    <row r="33" spans="1:16" x14ac:dyDescent="0.3">
      <c r="A33" s="16"/>
      <c r="B33" s="32" t="str">
        <f>B22</f>
        <v>-for footing</v>
      </c>
      <c r="C33" s="32">
        <f t="shared" ref="C33:E33" si="3">C22</f>
        <v>8</v>
      </c>
      <c r="D33" s="32">
        <f t="shared" si="3"/>
        <v>0.45</v>
      </c>
      <c r="E33" s="32">
        <f t="shared" si="3"/>
        <v>0.45</v>
      </c>
      <c r="F33" s="32">
        <v>0.05</v>
      </c>
      <c r="G33" s="33">
        <f t="shared" si="2"/>
        <v>8.1000000000000016E-2</v>
      </c>
      <c r="H33" s="17"/>
      <c r="I33" s="17"/>
      <c r="J33" s="17"/>
      <c r="K33" s="17"/>
      <c r="M33" s="36"/>
      <c r="N33" s="36"/>
      <c r="O33" s="36"/>
      <c r="P33" s="36"/>
    </row>
    <row r="34" spans="1:16" x14ac:dyDescent="0.3">
      <c r="A34" s="16"/>
      <c r="B34" s="32"/>
      <c r="C34" s="32">
        <f>C33</f>
        <v>8</v>
      </c>
      <c r="D34" s="32">
        <v>0.45</v>
      </c>
      <c r="E34" s="32">
        <v>0.45</v>
      </c>
      <c r="F34" s="32">
        <v>0.45</v>
      </c>
      <c r="G34" s="33">
        <f t="shared" si="2"/>
        <v>0.72900000000000009</v>
      </c>
      <c r="H34" s="17"/>
      <c r="I34" s="17"/>
      <c r="J34" s="17"/>
      <c r="K34" s="17"/>
      <c r="M34" s="36"/>
      <c r="N34" s="36"/>
      <c r="O34" s="36"/>
      <c r="P34" s="36"/>
    </row>
    <row r="35" spans="1:16" x14ac:dyDescent="0.3">
      <c r="A35" s="16"/>
      <c r="B35" s="32" t="s">
        <v>53</v>
      </c>
      <c r="C35" s="32">
        <v>1</v>
      </c>
      <c r="D35" s="41">
        <v>10</v>
      </c>
      <c r="E35" s="41">
        <v>1.2</v>
      </c>
      <c r="F35" s="32">
        <v>7.4999999999999997E-2</v>
      </c>
      <c r="G35" s="33">
        <f t="shared" si="2"/>
        <v>0.89999999999999991</v>
      </c>
      <c r="H35" s="17"/>
      <c r="I35" s="17"/>
      <c r="J35" s="17"/>
      <c r="K35" s="17"/>
      <c r="M35" s="36"/>
      <c r="N35" s="36"/>
      <c r="O35" s="36"/>
      <c r="P35" s="36"/>
    </row>
    <row r="36" spans="1:16" ht="15" customHeight="1" x14ac:dyDescent="0.3">
      <c r="A36" s="2"/>
      <c r="B36" s="34" t="s">
        <v>17</v>
      </c>
      <c r="C36" s="3"/>
      <c r="D36" s="4"/>
      <c r="E36" s="5"/>
      <c r="F36" s="5"/>
      <c r="G36" s="6">
        <f>SUM(G28:G35)</f>
        <v>6.1027500000000003</v>
      </c>
      <c r="H36" s="7" t="s">
        <v>18</v>
      </c>
      <c r="I36" s="6">
        <v>10964.46</v>
      </c>
      <c r="J36" s="18">
        <f>G36*I36</f>
        <v>66913.358265000003</v>
      </c>
      <c r="K36" s="5"/>
    </row>
    <row r="37" spans="1:16" x14ac:dyDescent="0.3">
      <c r="A37" s="16"/>
      <c r="B37" s="32" t="s">
        <v>33</v>
      </c>
      <c r="C37" s="17"/>
      <c r="D37" s="17"/>
      <c r="E37" s="17"/>
      <c r="F37" s="17"/>
      <c r="G37" s="17"/>
      <c r="H37" s="17"/>
      <c r="I37" s="17"/>
      <c r="J37" s="18">
        <f>0.13*G36*(53818.03)/15</f>
        <v>2846.4625157150003</v>
      </c>
      <c r="K37" s="17"/>
    </row>
    <row r="38" spans="1:16" x14ac:dyDescent="0.3">
      <c r="A38" s="16"/>
      <c r="B38" s="32" t="s">
        <v>34</v>
      </c>
      <c r="C38" s="17"/>
      <c r="D38" s="17"/>
      <c r="E38" s="17"/>
      <c r="F38" s="17"/>
      <c r="G38" s="17"/>
      <c r="H38" s="17"/>
      <c r="I38" s="17"/>
      <c r="J38" s="18">
        <f>0.13*G36*(21432.6)/15</f>
        <v>1133.5809302999999</v>
      </c>
      <c r="K38" s="17"/>
    </row>
    <row r="39" spans="1:16" x14ac:dyDescent="0.3">
      <c r="A39" s="16"/>
      <c r="B39" s="32" t="s">
        <v>35</v>
      </c>
      <c r="C39" s="17"/>
      <c r="D39" s="17"/>
      <c r="E39" s="17"/>
      <c r="F39" s="17"/>
      <c r="G39" s="17"/>
      <c r="H39" s="17"/>
      <c r="I39" s="17"/>
      <c r="J39" s="18">
        <f>0.13*G36*(25719.12+13573.98+4286.52)/15</f>
        <v>2304.9478916099997</v>
      </c>
      <c r="K39" s="17"/>
    </row>
    <row r="40" spans="1:16" x14ac:dyDescent="0.3">
      <c r="A40" s="16"/>
      <c r="B40" s="32" t="s">
        <v>36</v>
      </c>
      <c r="C40" s="17"/>
      <c r="D40" s="17"/>
      <c r="E40" s="17"/>
      <c r="F40" s="17"/>
      <c r="G40" s="17"/>
      <c r="H40" s="17"/>
      <c r="I40" s="17"/>
      <c r="J40" s="18">
        <f>0.13*G36*(6325.7)/15</f>
        <v>334.56943585000005</v>
      </c>
      <c r="K40" s="17"/>
    </row>
    <row r="41" spans="1:16" x14ac:dyDescent="0.3">
      <c r="A41" s="16"/>
      <c r="B41" s="32" t="s">
        <v>40</v>
      </c>
      <c r="C41" s="17"/>
      <c r="D41" s="17"/>
      <c r="E41" s="17"/>
      <c r="F41" s="17"/>
      <c r="G41" s="17"/>
      <c r="H41" s="17"/>
      <c r="I41" s="17"/>
      <c r="J41" s="18">
        <f>0.13*G36*(310)/5</f>
        <v>49.188165000000005</v>
      </c>
      <c r="K41" s="17"/>
    </row>
    <row r="42" spans="1:16" x14ac:dyDescent="0.3">
      <c r="A42" s="16"/>
      <c r="B42" s="17"/>
      <c r="C42" s="17"/>
      <c r="D42" s="17"/>
      <c r="E42" s="17"/>
      <c r="F42" s="17"/>
      <c r="G42" s="17"/>
      <c r="H42" s="17"/>
      <c r="I42" s="17"/>
      <c r="J42" s="17"/>
      <c r="K42" s="17"/>
    </row>
    <row r="43" spans="1:16" ht="109.2" x14ac:dyDescent="0.3">
      <c r="A43" s="16">
        <v>4</v>
      </c>
      <c r="B43" s="35" t="s">
        <v>37</v>
      </c>
      <c r="C43" s="17"/>
      <c r="D43" s="17"/>
      <c r="E43" s="17"/>
      <c r="F43" s="17"/>
      <c r="G43" s="17"/>
      <c r="H43" s="17"/>
      <c r="I43" s="17"/>
      <c r="J43" s="17"/>
      <c r="K43" s="17"/>
    </row>
    <row r="44" spans="1:16" x14ac:dyDescent="0.3">
      <c r="A44" s="16"/>
      <c r="B44" s="32" t="str">
        <f>B28</f>
        <v>-for masonary wall</v>
      </c>
      <c r="C44" s="17">
        <v>1</v>
      </c>
      <c r="D44" s="33">
        <f>D10</f>
        <v>17.5</v>
      </c>
      <c r="E44" s="33">
        <f>((F44/2)+0.45)/2</f>
        <v>0.97499999999999998</v>
      </c>
      <c r="F44" s="33">
        <v>3</v>
      </c>
      <c r="G44" s="33">
        <f>PRODUCT(C44:F44)</f>
        <v>51.1875</v>
      </c>
      <c r="H44" s="17"/>
      <c r="I44" s="17"/>
      <c r="J44" s="17"/>
      <c r="K44" s="17"/>
      <c r="M44" s="33">
        <f>7</f>
        <v>7</v>
      </c>
      <c r="N44" s="33">
        <f>2</f>
        <v>2</v>
      </c>
      <c r="O44" s="33"/>
      <c r="P44" s="33">
        <f>PI()*M44*SQRT(M44^2+N44^2)</f>
        <v>160.09797821843054</v>
      </c>
    </row>
    <row r="45" spans="1:16" x14ac:dyDescent="0.3">
      <c r="A45" s="16"/>
      <c r="B45" s="32"/>
      <c r="C45" s="17">
        <v>1</v>
      </c>
      <c r="D45" s="33">
        <f>D11</f>
        <v>7.9</v>
      </c>
      <c r="E45" s="33">
        <f>((F45/2)+0.45)/2</f>
        <v>0.72499999999999998</v>
      </c>
      <c r="F45" s="33">
        <v>2</v>
      </c>
      <c r="G45" s="33">
        <f>PRODUCT(C45:F45)</f>
        <v>11.455</v>
      </c>
      <c r="H45" s="17"/>
      <c r="I45" s="17"/>
      <c r="J45" s="17"/>
      <c r="K45" s="17"/>
      <c r="M45" s="36"/>
      <c r="N45" s="36"/>
      <c r="O45" s="36"/>
      <c r="P45" s="36"/>
    </row>
    <row r="46" spans="1:16" ht="15" customHeight="1" x14ac:dyDescent="0.3">
      <c r="A46" s="2"/>
      <c r="B46" s="34" t="s">
        <v>17</v>
      </c>
      <c r="C46" s="3"/>
      <c r="D46" s="4"/>
      <c r="E46" s="5"/>
      <c r="F46" s="5"/>
      <c r="G46" s="6">
        <f>SUM(G44:G45)</f>
        <v>62.642499999999998</v>
      </c>
      <c r="H46" s="7" t="s">
        <v>18</v>
      </c>
      <c r="I46" s="6">
        <v>8987.83</v>
      </c>
      <c r="J46" s="18">
        <f>G46*I46</f>
        <v>563020.14077499998</v>
      </c>
      <c r="K46" s="5"/>
    </row>
    <row r="47" spans="1:16" x14ac:dyDescent="0.3">
      <c r="A47" s="16"/>
      <c r="B47" s="32" t="s">
        <v>33</v>
      </c>
      <c r="C47" s="17"/>
      <c r="D47" s="17"/>
      <c r="E47" s="17"/>
      <c r="F47" s="17"/>
      <c r="G47" s="17"/>
      <c r="H47" s="17"/>
      <c r="I47" s="17"/>
      <c r="J47" s="18">
        <f>0.13*G46*(5863.95)/5</f>
        <v>9550.644684750001</v>
      </c>
      <c r="K47" s="17"/>
    </row>
    <row r="48" spans="1:16" x14ac:dyDescent="0.3">
      <c r="A48" s="16"/>
      <c r="B48" s="32" t="s">
        <v>34</v>
      </c>
      <c r="C48" s="17"/>
      <c r="D48" s="17"/>
      <c r="E48" s="17"/>
      <c r="F48" s="17"/>
      <c r="G48" s="17"/>
      <c r="H48" s="17"/>
      <c r="I48" s="17"/>
      <c r="J48" s="18">
        <f>0.13*G46*(6604.416)/5</f>
        <v>10756.64536128</v>
      </c>
      <c r="K48" s="17"/>
    </row>
    <row r="49" spans="1:18" x14ac:dyDescent="0.3">
      <c r="A49" s="16"/>
      <c r="B49" s="32" t="s">
        <v>38</v>
      </c>
      <c r="C49" s="17"/>
      <c r="D49" s="17"/>
      <c r="E49" s="17"/>
      <c r="F49" s="17"/>
      <c r="G49" s="17"/>
      <c r="H49" s="17"/>
      <c r="I49" s="17"/>
      <c r="J49" s="18">
        <f>0.13*G46*(14808.78)/5</f>
        <v>24119.134029900004</v>
      </c>
      <c r="K49" s="17"/>
    </row>
    <row r="50" spans="1:18" x14ac:dyDescent="0.3">
      <c r="A50" s="16"/>
      <c r="B50" s="32" t="s">
        <v>40</v>
      </c>
      <c r="C50" s="17"/>
      <c r="D50" s="17"/>
      <c r="E50" s="17"/>
      <c r="F50" s="17"/>
      <c r="G50" s="17"/>
      <c r="H50" s="17"/>
      <c r="I50" s="17"/>
      <c r="J50" s="18">
        <f>0.13*G46*(310)/5</f>
        <v>504.89855</v>
      </c>
      <c r="K50" s="17"/>
    </row>
    <row r="51" spans="1:18" x14ac:dyDescent="0.3">
      <c r="A51" s="16"/>
      <c r="B51" s="17"/>
      <c r="C51" s="17"/>
      <c r="D51" s="17"/>
      <c r="E51" s="17"/>
      <c r="F51" s="17"/>
      <c r="G51" s="17"/>
      <c r="H51" s="17"/>
      <c r="I51" s="17"/>
      <c r="J51" s="17"/>
      <c r="K51" s="17"/>
    </row>
    <row r="52" spans="1:18" s="38" customFormat="1" ht="41.4" x14ac:dyDescent="0.3">
      <c r="A52" s="55">
        <v>5</v>
      </c>
      <c r="B52" s="56" t="s">
        <v>44</v>
      </c>
      <c r="C52" s="57" t="s">
        <v>8</v>
      </c>
      <c r="D52" s="58" t="s">
        <v>45</v>
      </c>
      <c r="E52" s="59" t="s">
        <v>46</v>
      </c>
      <c r="F52" s="59" t="s">
        <v>47</v>
      </c>
      <c r="G52" s="59"/>
      <c r="H52" s="60"/>
      <c r="I52" s="61"/>
      <c r="J52" s="62"/>
      <c r="K52" s="5"/>
    </row>
    <row r="53" spans="1:18" s="38" customFormat="1" ht="27.6" x14ac:dyDescent="0.3">
      <c r="A53" s="63"/>
      <c r="B53" s="64" t="s">
        <v>54</v>
      </c>
      <c r="C53" s="65">
        <f>4</f>
        <v>4</v>
      </c>
      <c r="D53" s="66">
        <f>(12+1+2)/3.281</f>
        <v>4.5717768972874122</v>
      </c>
      <c r="E53" s="66">
        <v>6.5</v>
      </c>
      <c r="F53" s="66">
        <f t="shared" ref="F53:F58" si="4">PRODUCT(C53:E53)</f>
        <v>118.86619932947272</v>
      </c>
      <c r="G53" s="66">
        <f t="shared" ref="G53:G58" si="5">F53</f>
        <v>118.86619932947272</v>
      </c>
      <c r="H53" s="62"/>
      <c r="I53" s="62"/>
      <c r="J53" s="62"/>
      <c r="K53" s="40"/>
    </row>
    <row r="54" spans="1:18" s="38" customFormat="1" ht="41.4" x14ac:dyDescent="0.3">
      <c r="A54" s="63"/>
      <c r="B54" s="64" t="s">
        <v>55</v>
      </c>
      <c r="C54" s="65">
        <v>4</v>
      </c>
      <c r="D54" s="66">
        <f>12/3.281</f>
        <v>3.6574215178299299</v>
      </c>
      <c r="E54" s="66">
        <v>6.5</v>
      </c>
      <c r="F54" s="66">
        <f t="shared" si="4"/>
        <v>95.092959463578183</v>
      </c>
      <c r="G54" s="66">
        <f t="shared" si="5"/>
        <v>95.092959463578183</v>
      </c>
      <c r="H54" s="62"/>
      <c r="I54" s="62"/>
      <c r="J54" s="62"/>
      <c r="K54" s="40"/>
      <c r="Q54" s="38">
        <f>PRODUCT(C54:D54)</f>
        <v>14.629686071319719</v>
      </c>
      <c r="R54" s="38">
        <f>CONVERT(Q54,"m","ft")</f>
        <v>47.997657714303543</v>
      </c>
    </row>
    <row r="55" spans="1:18" s="38" customFormat="1" ht="41.4" x14ac:dyDescent="0.3">
      <c r="A55" s="63"/>
      <c r="B55" s="64" t="s">
        <v>56</v>
      </c>
      <c r="C55" s="65">
        <v>2</v>
      </c>
      <c r="D55" s="66">
        <f>12/3.281</f>
        <v>3.6574215178299299</v>
      </c>
      <c r="E55" s="66">
        <v>6.5</v>
      </c>
      <c r="F55" s="66">
        <f t="shared" si="4"/>
        <v>47.546479731789091</v>
      </c>
      <c r="G55" s="66">
        <f t="shared" si="5"/>
        <v>47.546479731789091</v>
      </c>
      <c r="H55" s="62"/>
      <c r="I55" s="62"/>
      <c r="J55" s="62"/>
      <c r="K55" s="40"/>
    </row>
    <row r="56" spans="1:18" s="38" customFormat="1" ht="41.4" x14ac:dyDescent="0.3">
      <c r="A56" s="63"/>
      <c r="B56" s="64" t="s">
        <v>57</v>
      </c>
      <c r="C56" s="65">
        <v>4</v>
      </c>
      <c r="D56" s="66">
        <f>5.33/3.281</f>
        <v>1.6245047241694606</v>
      </c>
      <c r="E56" s="66">
        <v>6.5</v>
      </c>
      <c r="F56" s="66">
        <f t="shared" si="4"/>
        <v>42.237122828405973</v>
      </c>
      <c r="G56" s="66">
        <f t="shared" si="5"/>
        <v>42.237122828405973</v>
      </c>
      <c r="H56" s="62"/>
      <c r="I56" s="62"/>
      <c r="J56" s="62"/>
      <c r="K56" s="40"/>
    </row>
    <row r="57" spans="1:18" s="38" customFormat="1" ht="41.4" x14ac:dyDescent="0.3">
      <c r="A57" s="63"/>
      <c r="B57" s="64" t="s">
        <v>58</v>
      </c>
      <c r="C57" s="65">
        <v>2</v>
      </c>
      <c r="D57" s="66">
        <f>8.25/3.281</f>
        <v>2.5144772935080768</v>
      </c>
      <c r="E57" s="66">
        <v>4.43</v>
      </c>
      <c r="F57" s="66">
        <f t="shared" si="4"/>
        <v>22.278268820481561</v>
      </c>
      <c r="G57" s="66">
        <f t="shared" si="5"/>
        <v>22.278268820481561</v>
      </c>
      <c r="H57" s="62"/>
      <c r="I57" s="62"/>
      <c r="J57" s="62"/>
      <c r="K57" s="40"/>
    </row>
    <row r="58" spans="1:18" s="38" customFormat="1" ht="41.4" x14ac:dyDescent="0.3">
      <c r="A58" s="63"/>
      <c r="B58" s="64" t="s">
        <v>59</v>
      </c>
      <c r="C58" s="65">
        <f>2*4</f>
        <v>8</v>
      </c>
      <c r="D58" s="66">
        <f>6/3.281</f>
        <v>1.8287107589149649</v>
      </c>
      <c r="E58" s="66">
        <v>4.43</v>
      </c>
      <c r="F58" s="66">
        <f t="shared" si="4"/>
        <v>64.809509295946356</v>
      </c>
      <c r="G58" s="66">
        <f t="shared" si="5"/>
        <v>64.809509295946356</v>
      </c>
      <c r="H58" s="62"/>
      <c r="I58" s="62"/>
      <c r="J58" s="62"/>
      <c r="K58" s="40"/>
    </row>
    <row r="59" spans="1:18" s="38" customFormat="1" ht="41.4" x14ac:dyDescent="0.3">
      <c r="A59" s="63"/>
      <c r="B59" s="64" t="s">
        <v>60</v>
      </c>
      <c r="C59" s="65">
        <f>4</f>
        <v>4</v>
      </c>
      <c r="D59" s="66">
        <f>9.5/3.281</f>
        <v>2.895458701615361</v>
      </c>
      <c r="E59" s="66">
        <v>4.43</v>
      </c>
      <c r="F59" s="66">
        <f t="shared" ref="F59" si="6">PRODUCT(C59:E59)</f>
        <v>51.307528192624197</v>
      </c>
      <c r="G59" s="66">
        <f t="shared" ref="G59" si="7">F59</f>
        <v>51.307528192624197</v>
      </c>
      <c r="H59" s="62"/>
      <c r="I59" s="62"/>
      <c r="J59" s="62"/>
      <c r="K59" s="40"/>
    </row>
    <row r="60" spans="1:18" s="38" customFormat="1" x14ac:dyDescent="0.3">
      <c r="A60" s="63"/>
      <c r="B60" s="64"/>
      <c r="C60" s="65">
        <f>4</f>
        <v>4</v>
      </c>
      <c r="D60" s="66">
        <f>14.083/3.281</f>
        <v>4.2922889362999088</v>
      </c>
      <c r="E60" s="66">
        <v>4.43</v>
      </c>
      <c r="F60" s="66">
        <f t="shared" ref="F60:F61" si="8">PRODUCT(C60:E60)</f>
        <v>76.059359951234384</v>
      </c>
      <c r="G60" s="66">
        <f t="shared" ref="G60:G61" si="9">F60</f>
        <v>76.059359951234384</v>
      </c>
      <c r="H60" s="62"/>
      <c r="I60" s="62"/>
      <c r="J60" s="62"/>
      <c r="K60" s="40"/>
    </row>
    <row r="61" spans="1:18" s="38" customFormat="1" ht="41.4" x14ac:dyDescent="0.3">
      <c r="A61" s="63"/>
      <c r="B61" s="64" t="s">
        <v>61</v>
      </c>
      <c r="C61" s="65">
        <f>4*2</f>
        <v>8</v>
      </c>
      <c r="D61" s="66">
        <f>6.42/3.281</f>
        <v>1.9567205120390123</v>
      </c>
      <c r="E61" s="66">
        <v>4.43</v>
      </c>
      <c r="F61" s="66">
        <f t="shared" si="8"/>
        <v>69.346174946662586</v>
      </c>
      <c r="G61" s="66">
        <f t="shared" si="9"/>
        <v>69.346174946662586</v>
      </c>
      <c r="H61" s="62"/>
      <c r="I61" s="62"/>
      <c r="J61" s="62"/>
      <c r="K61" s="40"/>
    </row>
    <row r="62" spans="1:18" s="38" customFormat="1" ht="41.4" x14ac:dyDescent="0.3">
      <c r="A62" s="63"/>
      <c r="B62" s="64" t="s">
        <v>62</v>
      </c>
      <c r="C62" s="65">
        <v>4</v>
      </c>
      <c r="D62" s="66">
        <f>8/3.281</f>
        <v>2.4382810118866196</v>
      </c>
      <c r="E62" s="66">
        <v>4.43</v>
      </c>
      <c r="F62" s="66">
        <f t="shared" ref="F62" si="10">PRODUCT(C62:E62)</f>
        <v>43.206339530630899</v>
      </c>
      <c r="G62" s="66">
        <f t="shared" ref="G62" si="11">F62</f>
        <v>43.206339530630899</v>
      </c>
      <c r="H62" s="62"/>
      <c r="I62" s="62"/>
      <c r="J62" s="62"/>
      <c r="K62" s="40"/>
    </row>
    <row r="63" spans="1:18" s="38" customFormat="1" x14ac:dyDescent="0.3">
      <c r="A63" s="63"/>
      <c r="B63" s="64"/>
      <c r="C63" s="65">
        <v>4</v>
      </c>
      <c r="D63" s="66">
        <f>2.5/3.281</f>
        <v>0.76196281621456874</v>
      </c>
      <c r="E63" s="66">
        <v>5.43</v>
      </c>
      <c r="F63" s="66">
        <f t="shared" ref="F63:F64" si="12">PRODUCT(C63:E63)</f>
        <v>16.549832368180432</v>
      </c>
      <c r="G63" s="66">
        <f t="shared" ref="G63:G64" si="13">F63</f>
        <v>16.549832368180432</v>
      </c>
      <c r="H63" s="62"/>
      <c r="I63" s="62"/>
      <c r="J63" s="62"/>
      <c r="K63" s="40"/>
    </row>
    <row r="64" spans="1:18" s="38" customFormat="1" ht="41.4" x14ac:dyDescent="0.3">
      <c r="A64" s="63"/>
      <c r="B64" s="64" t="s">
        <v>63</v>
      </c>
      <c r="C64" s="65">
        <f>4*2</f>
        <v>8</v>
      </c>
      <c r="D64" s="66">
        <f>4.17/3.281</f>
        <v>1.2709539774459007</v>
      </c>
      <c r="E64" s="66">
        <v>4.43</v>
      </c>
      <c r="F64" s="66">
        <f t="shared" si="12"/>
        <v>45.042608960682713</v>
      </c>
      <c r="G64" s="66">
        <f t="shared" si="13"/>
        <v>45.042608960682713</v>
      </c>
      <c r="H64" s="62"/>
      <c r="I64" s="62"/>
      <c r="J64" s="62"/>
      <c r="K64" s="40"/>
    </row>
    <row r="65" spans="1:11" s="38" customFormat="1" x14ac:dyDescent="0.3">
      <c r="A65" s="55"/>
      <c r="B65" s="64" t="s">
        <v>48</v>
      </c>
      <c r="C65" s="57"/>
      <c r="D65" s="67"/>
      <c r="E65" s="68"/>
      <c r="F65" s="68"/>
      <c r="G65" s="62">
        <f>SUM(G53:G64)</f>
        <v>692.3423834196891</v>
      </c>
      <c r="H65" s="60" t="s">
        <v>49</v>
      </c>
      <c r="I65" s="61">
        <v>182.51</v>
      </c>
      <c r="J65" s="62">
        <f>G65*I65</f>
        <v>126359.40839792746</v>
      </c>
      <c r="K65" s="5"/>
    </row>
    <row r="66" spans="1:11" s="38" customFormat="1" x14ac:dyDescent="0.3">
      <c r="A66" s="55"/>
      <c r="B66" s="64" t="s">
        <v>50</v>
      </c>
      <c r="C66" s="57"/>
      <c r="D66" s="67"/>
      <c r="E66" s="68"/>
      <c r="F66" s="68"/>
      <c r="G66" s="62"/>
      <c r="H66" s="60"/>
      <c r="I66" s="61"/>
      <c r="J66" s="62">
        <f>0.13*G65*(1871.42/18.94)</f>
        <v>8893.148881378338</v>
      </c>
      <c r="K66" s="5"/>
    </row>
    <row r="67" spans="1:11" s="38" customFormat="1" x14ac:dyDescent="0.3">
      <c r="A67" s="55"/>
      <c r="B67" s="64"/>
      <c r="C67" s="57"/>
      <c r="D67" s="67"/>
      <c r="E67" s="68"/>
      <c r="F67" s="68"/>
      <c r="G67" s="62"/>
      <c r="H67" s="60"/>
      <c r="I67" s="61"/>
      <c r="J67" s="62"/>
      <c r="K67" s="5"/>
    </row>
    <row r="68" spans="1:11" s="38" customFormat="1" ht="45" x14ac:dyDescent="0.3">
      <c r="A68" s="55"/>
      <c r="B68" s="56" t="s">
        <v>64</v>
      </c>
      <c r="C68" s="57"/>
      <c r="D68" s="67"/>
      <c r="E68" s="68"/>
      <c r="F68" s="68"/>
      <c r="G68" s="62"/>
      <c r="H68" s="60"/>
      <c r="I68" s="61"/>
      <c r="J68" s="62"/>
      <c r="K68" s="5"/>
    </row>
    <row r="69" spans="1:11" s="38" customFormat="1" x14ac:dyDescent="0.3">
      <c r="A69" s="55"/>
      <c r="B69" s="64" t="s">
        <v>65</v>
      </c>
      <c r="C69" s="57">
        <v>4</v>
      </c>
      <c r="D69" s="67">
        <f>((15.833+6.5)/2)/3.281</f>
        <v>3.4033831149039924</v>
      </c>
      <c r="E69" s="68">
        <f>5.33/3.281</f>
        <v>1.6245047241694606</v>
      </c>
      <c r="F69" s="68"/>
      <c r="G69" s="69">
        <f t="shared" ref="G69:G70" si="14">PRODUCT(C69:F69)</f>
        <v>22.115247793280439</v>
      </c>
      <c r="H69" s="60"/>
      <c r="I69" s="61"/>
      <c r="J69" s="62"/>
      <c r="K69" s="5"/>
    </row>
    <row r="70" spans="1:11" s="38" customFormat="1" x14ac:dyDescent="0.3">
      <c r="A70" s="55"/>
      <c r="B70" s="64" t="s">
        <v>66</v>
      </c>
      <c r="C70" s="57">
        <v>4</v>
      </c>
      <c r="D70" s="67">
        <f>((0+9.583)/2)/3.281</f>
        <v>1.4603779335568423</v>
      </c>
      <c r="E70" s="68">
        <f>5.5/3.281</f>
        <v>1.6763181956720512</v>
      </c>
      <c r="F70" s="68"/>
      <c r="G70" s="69">
        <f t="shared" si="14"/>
        <v>9.7922324103171388</v>
      </c>
      <c r="H70" s="60"/>
      <c r="I70" s="61"/>
      <c r="J70" s="62"/>
      <c r="K70" s="5"/>
    </row>
    <row r="71" spans="1:11" s="38" customFormat="1" x14ac:dyDescent="0.3">
      <c r="A71" s="55"/>
      <c r="B71" s="64" t="s">
        <v>48</v>
      </c>
      <c r="C71" s="57"/>
      <c r="D71" s="67"/>
      <c r="E71" s="68"/>
      <c r="F71" s="68"/>
      <c r="G71" s="62">
        <f>SUM(G69:G70)</f>
        <v>31.907480203597579</v>
      </c>
      <c r="H71" s="60" t="s">
        <v>67</v>
      </c>
      <c r="I71" s="61">
        <v>1074.98</v>
      </c>
      <c r="J71" s="62">
        <f>G71*I71</f>
        <v>34299.903069263324</v>
      </c>
      <c r="K71" s="5"/>
    </row>
    <row r="72" spans="1:11" x14ac:dyDescent="0.3">
      <c r="A72" s="63"/>
      <c r="B72" s="70" t="s">
        <v>68</v>
      </c>
      <c r="C72" s="71"/>
      <c r="D72" s="71"/>
      <c r="E72" s="71"/>
      <c r="F72" s="71"/>
      <c r="G72" s="71"/>
      <c r="H72" s="71"/>
      <c r="I72" s="71"/>
      <c r="J72" s="72">
        <f>0.13*G71*6674.66/10</f>
        <v>2768.63056360468</v>
      </c>
      <c r="K72" s="17"/>
    </row>
    <row r="73" spans="1:11" x14ac:dyDescent="0.3">
      <c r="A73" s="63"/>
      <c r="B73" s="70" t="s">
        <v>69</v>
      </c>
      <c r="C73" s="71"/>
      <c r="D73" s="71"/>
      <c r="E73" s="71"/>
      <c r="F73" s="71"/>
      <c r="G73" s="71"/>
      <c r="H73" s="71"/>
      <c r="I73" s="71"/>
      <c r="J73" s="72">
        <f>0.13*G71*1023.75/10</f>
        <v>424.6486771596293</v>
      </c>
      <c r="K73" s="17"/>
    </row>
    <row r="74" spans="1:11" x14ac:dyDescent="0.3">
      <c r="A74" s="63"/>
      <c r="B74" s="70" t="s">
        <v>70</v>
      </c>
      <c r="C74" s="71"/>
      <c r="D74" s="71"/>
      <c r="E74" s="71"/>
      <c r="F74" s="71"/>
      <c r="G74" s="71"/>
      <c r="H74" s="71"/>
      <c r="I74" s="71"/>
      <c r="J74" s="72">
        <f>0.13*G71*348.21/10</f>
        <v>144.43654786203126</v>
      </c>
      <c r="K74" s="17"/>
    </row>
    <row r="75" spans="1:11" x14ac:dyDescent="0.3">
      <c r="A75" s="63"/>
      <c r="B75" s="70" t="s">
        <v>71</v>
      </c>
      <c r="C75" s="71"/>
      <c r="D75" s="71"/>
      <c r="E75" s="71"/>
      <c r="F75" s="71"/>
      <c r="G75" s="71"/>
      <c r="H75" s="71"/>
      <c r="I75" s="71"/>
      <c r="J75" s="72">
        <f>0.13*G71*165/10</f>
        <v>68.441545036716803</v>
      </c>
      <c r="K75" s="17"/>
    </row>
    <row r="76" spans="1:11" s="38" customFormat="1" x14ac:dyDescent="0.3">
      <c r="A76" s="2"/>
      <c r="B76" s="39"/>
      <c r="C76" s="3"/>
      <c r="D76" s="4"/>
      <c r="E76" s="5"/>
      <c r="F76" s="5"/>
      <c r="G76" s="37"/>
      <c r="H76" s="7"/>
      <c r="I76" s="6"/>
      <c r="J76" s="37"/>
      <c r="K76" s="5"/>
    </row>
    <row r="77" spans="1:11" ht="27.6" x14ac:dyDescent="0.3">
      <c r="A77" s="2">
        <v>6</v>
      </c>
      <c r="B77" s="1" t="s">
        <v>42</v>
      </c>
      <c r="C77" s="3">
        <v>1</v>
      </c>
      <c r="D77" s="4"/>
      <c r="E77" s="5"/>
      <c r="F77" s="5"/>
      <c r="G77" s="7">
        <f t="shared" ref="G77" si="15">PRODUCT(C77:F77)</f>
        <v>1</v>
      </c>
      <c r="H77" s="7" t="s">
        <v>43</v>
      </c>
      <c r="I77" s="6">
        <v>30000</v>
      </c>
      <c r="J77" s="7">
        <f>G77*I77</f>
        <v>30000</v>
      </c>
      <c r="K77" s="5"/>
    </row>
    <row r="78" spans="1:11" x14ac:dyDescent="0.3">
      <c r="A78" s="2"/>
      <c r="B78" s="8"/>
      <c r="C78" s="3"/>
      <c r="D78" s="4"/>
      <c r="E78" s="5"/>
      <c r="F78" s="5"/>
      <c r="G78" s="6"/>
      <c r="H78" s="7"/>
      <c r="I78" s="6"/>
      <c r="J78" s="18"/>
      <c r="K78" s="5"/>
    </row>
    <row r="79" spans="1:11" ht="15" customHeight="1" x14ac:dyDescent="0.3">
      <c r="A79" s="2">
        <v>7</v>
      </c>
      <c r="B79" s="1" t="s">
        <v>19</v>
      </c>
      <c r="C79" s="3">
        <v>1</v>
      </c>
      <c r="D79" s="4"/>
      <c r="E79" s="5"/>
      <c r="F79" s="5"/>
      <c r="G79" s="7">
        <f t="shared" ref="G79" si="16">PRODUCT(C79:F79)</f>
        <v>1</v>
      </c>
      <c r="H79" s="7" t="s">
        <v>20</v>
      </c>
      <c r="I79" s="6">
        <v>1000</v>
      </c>
      <c r="J79" s="7">
        <f>G79*I79</f>
        <v>1000</v>
      </c>
      <c r="K79" s="5"/>
    </row>
    <row r="80" spans="1:11" x14ac:dyDescent="0.3">
      <c r="A80" s="2"/>
      <c r="B80" s="8"/>
      <c r="C80" s="3"/>
      <c r="D80" s="4"/>
      <c r="E80" s="5"/>
      <c r="F80" s="5"/>
      <c r="G80" s="6"/>
      <c r="H80" s="7"/>
      <c r="I80" s="6"/>
      <c r="J80" s="18"/>
      <c r="K80" s="5"/>
    </row>
    <row r="81" spans="1:19" x14ac:dyDescent="0.3">
      <c r="A81" s="21"/>
      <c r="B81" s="22" t="s">
        <v>22</v>
      </c>
      <c r="C81" s="23"/>
      <c r="D81" s="24"/>
      <c r="E81" s="24"/>
      <c r="F81" s="24"/>
      <c r="G81" s="18"/>
      <c r="H81" s="18"/>
      <c r="I81" s="18"/>
      <c r="J81" s="18">
        <f>SUM(J9:J79)</f>
        <v>936267.2155954371</v>
      </c>
      <c r="K81" s="25"/>
    </row>
    <row r="82" spans="1:19" x14ac:dyDescent="0.3">
      <c r="M82" s="20"/>
      <c r="N82" s="20"/>
      <c r="O82" s="20"/>
      <c r="P82" s="20"/>
      <c r="Q82" s="20"/>
      <c r="R82" s="20"/>
      <c r="S82" s="20"/>
    </row>
    <row r="83" spans="1:19" s="20" customFormat="1" x14ac:dyDescent="0.3">
      <c r="A83" s="26"/>
      <c r="B83" s="27" t="s">
        <v>21</v>
      </c>
      <c r="C83" s="48">
        <f>J81</f>
        <v>936267.2155954371</v>
      </c>
      <c r="D83" s="49"/>
      <c r="E83" s="9">
        <v>100</v>
      </c>
      <c r="F83" s="26"/>
      <c r="G83" s="28"/>
      <c r="H83" s="26"/>
      <c r="I83" s="29"/>
      <c r="J83" s="30"/>
      <c r="K83" s="31"/>
      <c r="M83" s="19"/>
      <c r="N83" s="19"/>
      <c r="O83" s="19"/>
      <c r="P83" s="19"/>
      <c r="Q83" s="19"/>
      <c r="R83" s="19"/>
      <c r="S83" s="19"/>
    </row>
    <row r="84" spans="1:19" x14ac:dyDescent="0.3">
      <c r="B84" s="27" t="s">
        <v>25</v>
      </c>
      <c r="C84" s="52">
        <v>700000</v>
      </c>
      <c r="D84" s="53"/>
      <c r="E84" s="9"/>
    </row>
    <row r="85" spans="1:19" x14ac:dyDescent="0.3">
      <c r="B85" s="27" t="s">
        <v>26</v>
      </c>
      <c r="C85" s="52">
        <f>C84-C87-C88</f>
        <v>665000</v>
      </c>
      <c r="D85" s="53"/>
      <c r="E85" s="9">
        <f>C85/C83*100</f>
        <v>71.026731356504939</v>
      </c>
    </row>
    <row r="86" spans="1:19" x14ac:dyDescent="0.3">
      <c r="B86" s="27" t="s">
        <v>41</v>
      </c>
      <c r="C86" s="54">
        <f>C83-C85</f>
        <v>271267.2155954371</v>
      </c>
      <c r="D86" s="54"/>
      <c r="E86" s="9">
        <f>100-E85</f>
        <v>28.973268643495061</v>
      </c>
    </row>
    <row r="87" spans="1:19" x14ac:dyDescent="0.3">
      <c r="B87" s="27" t="s">
        <v>27</v>
      </c>
      <c r="C87" s="48">
        <f>C84*0.03</f>
        <v>21000</v>
      </c>
      <c r="D87" s="49"/>
      <c r="E87" s="9">
        <v>3</v>
      </c>
    </row>
    <row r="88" spans="1:19" x14ac:dyDescent="0.3">
      <c r="B88" s="27" t="s">
        <v>28</v>
      </c>
      <c r="C88" s="48">
        <f>C84*0.02</f>
        <v>14000</v>
      </c>
      <c r="D88" s="49"/>
      <c r="E88" s="9">
        <v>2</v>
      </c>
    </row>
  </sheetData>
  <mergeCells count="15">
    <mergeCell ref="C87:D87"/>
    <mergeCell ref="C88:D88"/>
    <mergeCell ref="A7:F7"/>
    <mergeCell ref="H7:K7"/>
    <mergeCell ref="C83:D83"/>
    <mergeCell ref="C84:D84"/>
    <mergeCell ref="C85:D85"/>
    <mergeCell ref="C86:D86"/>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2025-12-21T13:35:11Z</dcterms:modified>
</cp:coreProperties>
</file>