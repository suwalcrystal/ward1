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activeTab="2"/>
  </bookViews>
  <sheets>
    <sheet name="estimate" sheetId="12" r:id="rId1"/>
    <sheet name="valuation" sheetId="14" r:id="rId2"/>
    <sheet name="WCR" sheetId="15" r:id="rId3"/>
    <sheet name="measure" sheetId="16" r:id="rId4"/>
  </sheets>
  <externalReferences>
    <externalReference r:id="rId5"/>
    <externalReference r:id="rId6"/>
    <externalReference r:id="rId7"/>
    <externalReference r:id="rId8"/>
    <externalReference r:id="rId9"/>
    <externalReference r:id="rId10"/>
    <externalReference r:id="rId11"/>
  </externalReferences>
  <definedNames>
    <definedName name="description_103">[1]Abstract!$B$16</definedName>
    <definedName name="description_124" localSheetId="0">#REF!</definedName>
    <definedName name="description_124" localSheetId="3">#REF!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3">#REF!</definedName>
    <definedName name="description_310" localSheetId="1">#REF!</definedName>
    <definedName name="description_310" localSheetId="2">[5]Abstract!$B$60</definedName>
    <definedName name="description_310">#REF!</definedName>
    <definedName name="description_312" localSheetId="0">#REF!</definedName>
    <definedName name="description_312" localSheetId="3">#REF!</definedName>
    <definedName name="description_312" localSheetId="1">#REF!</definedName>
    <definedName name="description_312" localSheetId="2">[6]Abstract!$B$61</definedName>
    <definedName name="description_312">#REF!</definedName>
    <definedName name="description_5">[1]Abstract!$B$171</definedName>
    <definedName name="description_6" localSheetId="0">#REF!</definedName>
    <definedName name="description_6" localSheetId="3">#REF!</definedName>
    <definedName name="description_6" localSheetId="1">#REF!</definedName>
    <definedName name="description_6" localSheetId="2">[5]Abstract!$B$172</definedName>
    <definedName name="description_6">#REF!</definedName>
    <definedName name="description_759">[1]Abstract!$B$278</definedName>
    <definedName name="description_781" localSheetId="0">#REF!</definedName>
    <definedName name="description_781" localSheetId="3">#REF!</definedName>
    <definedName name="description_781" localSheetId="1">#REF!</definedName>
    <definedName name="description_781" localSheetId="2">[7]Abstract!$B$299</definedName>
    <definedName name="description_781">#REF!</definedName>
    <definedName name="description_783">[1]Abstract!$B$301</definedName>
    <definedName name="description_784">[3]Abstract!$B$300</definedName>
    <definedName name="_xlnm.Print_Area" localSheetId="0">estimate!$A$1:$K$46</definedName>
    <definedName name="_xlnm.Print_Area" localSheetId="3">measure!$A$1:$K$51</definedName>
    <definedName name="_xlnm.Print_Area" localSheetId="1">valuation!$A$1:$K$51</definedName>
    <definedName name="_xlnm.Print_Area" localSheetId="2">WCR!$A$1:$K$34</definedName>
    <definedName name="_xlnm.Print_Titles" localSheetId="0">estimate!$1:$8</definedName>
    <definedName name="_xlnm.Print_Titles" localSheetId="3">measure!$1:$8</definedName>
    <definedName name="_xlnm.Print_Titles" localSheetId="1">valuation!$1:$8</definedName>
    <definedName name="_xlnm.Print_Titles" localSheetId="2">WCR!$1:$12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4" l="1"/>
  <c r="E34" i="14"/>
  <c r="C51" i="16"/>
  <c r="C48" i="16" s="1"/>
  <c r="C50" i="16"/>
  <c r="G42" i="16"/>
  <c r="J42" i="16" s="1"/>
  <c r="N35" i="16"/>
  <c r="M35" i="16"/>
  <c r="P35" i="16" s="1"/>
  <c r="G35" i="16"/>
  <c r="E35" i="16"/>
  <c r="B35" i="16"/>
  <c r="N34" i="16"/>
  <c r="P34" i="16" s="1"/>
  <c r="M34" i="16"/>
  <c r="E34" i="16"/>
  <c r="D34" i="16"/>
  <c r="G34" i="16" s="1"/>
  <c r="G36" i="16" s="1"/>
  <c r="N24" i="16"/>
  <c r="P24" i="16" s="1"/>
  <c r="M24" i="16"/>
  <c r="E24" i="16"/>
  <c r="D24" i="16"/>
  <c r="G24" i="16" s="1"/>
  <c r="B24" i="16"/>
  <c r="P22" i="16"/>
  <c r="N22" i="16"/>
  <c r="M22" i="16"/>
  <c r="E22" i="16"/>
  <c r="E16" i="16" s="1"/>
  <c r="N17" i="16"/>
  <c r="M17" i="16"/>
  <c r="P17" i="16" s="1"/>
  <c r="E17" i="16"/>
  <c r="D17" i="16"/>
  <c r="G17" i="16" s="1"/>
  <c r="B17" i="16"/>
  <c r="N16" i="16"/>
  <c r="M16" i="16"/>
  <c r="P16" i="16" s="1"/>
  <c r="D16" i="16"/>
  <c r="G16" i="16" s="1"/>
  <c r="B16" i="16"/>
  <c r="B22" i="16" s="1"/>
  <c r="B34" i="16" s="1"/>
  <c r="N11" i="16"/>
  <c r="P11" i="16" s="1"/>
  <c r="M11" i="16"/>
  <c r="E11" i="16"/>
  <c r="D11" i="16"/>
  <c r="G11" i="16" s="1"/>
  <c r="N10" i="16"/>
  <c r="M10" i="16"/>
  <c r="P10" i="16" s="1"/>
  <c r="D10" i="16"/>
  <c r="G12" i="14"/>
  <c r="E11" i="14"/>
  <c r="E10" i="14"/>
  <c r="D11" i="14"/>
  <c r="D10" i="14"/>
  <c r="G26" i="14"/>
  <c r="G18" i="14"/>
  <c r="E17" i="14"/>
  <c r="E16" i="14"/>
  <c r="D16" i="14"/>
  <c r="D24" i="14"/>
  <c r="D22" i="14"/>
  <c r="D17" i="14"/>
  <c r="E22" i="14"/>
  <c r="E24" i="14"/>
  <c r="H32" i="15"/>
  <c r="I32" i="15" s="1"/>
  <c r="G32" i="15"/>
  <c r="E32" i="15"/>
  <c r="D32" i="15"/>
  <c r="C32" i="15"/>
  <c r="B32" i="15"/>
  <c r="A32" i="15"/>
  <c r="B28" i="15"/>
  <c r="F28" i="15"/>
  <c r="B29" i="15"/>
  <c r="F29" i="15"/>
  <c r="B30" i="15"/>
  <c r="F30" i="15"/>
  <c r="H26" i="15"/>
  <c r="E26" i="15"/>
  <c r="D26" i="15"/>
  <c r="C26" i="15"/>
  <c r="F27" i="15"/>
  <c r="B27" i="15"/>
  <c r="B26" i="15"/>
  <c r="A26" i="15"/>
  <c r="E19" i="15"/>
  <c r="D19" i="15"/>
  <c r="H19" i="15"/>
  <c r="F21" i="15"/>
  <c r="F22" i="15"/>
  <c r="F23" i="15"/>
  <c r="B24" i="15"/>
  <c r="B21" i="15"/>
  <c r="B22" i="15"/>
  <c r="B23" i="15"/>
  <c r="F20" i="15"/>
  <c r="B20" i="15"/>
  <c r="C19" i="15"/>
  <c r="B19" i="15"/>
  <c r="A19" i="15"/>
  <c r="H16" i="15"/>
  <c r="F17" i="15"/>
  <c r="E16" i="15"/>
  <c r="D16" i="15"/>
  <c r="C16" i="15"/>
  <c r="B17" i="15"/>
  <c r="B16" i="15"/>
  <c r="A16" i="15"/>
  <c r="H13" i="15"/>
  <c r="F14" i="15"/>
  <c r="E13" i="15"/>
  <c r="D13" i="15"/>
  <c r="C13" i="15"/>
  <c r="B14" i="15"/>
  <c r="B13" i="15"/>
  <c r="A13" i="15"/>
  <c r="A9" i="15"/>
  <c r="A8" i="15"/>
  <c r="G18" i="16" l="1"/>
  <c r="J39" i="16"/>
  <c r="J40" i="16"/>
  <c r="J36" i="16"/>
  <c r="J38" i="16"/>
  <c r="J37" i="16"/>
  <c r="D25" i="16"/>
  <c r="G25" i="16" s="1"/>
  <c r="E10" i="16"/>
  <c r="G10" i="16" s="1"/>
  <c r="G12" i="16" s="1"/>
  <c r="D22" i="16"/>
  <c r="F26" i="15"/>
  <c r="F32" i="15"/>
  <c r="J32" i="15" s="1"/>
  <c r="F19" i="15"/>
  <c r="F16" i="15"/>
  <c r="F13" i="15"/>
  <c r="G22" i="16" l="1"/>
  <c r="D23" i="16"/>
  <c r="G23" i="16" s="1"/>
  <c r="J12" i="16"/>
  <c r="J13" i="16"/>
  <c r="J19" i="16"/>
  <c r="J18" i="16"/>
  <c r="F34" i="15"/>
  <c r="C6" i="15" s="1"/>
  <c r="G26" i="16" l="1"/>
  <c r="D34" i="14"/>
  <c r="G34" i="14" s="1"/>
  <c r="B35" i="14"/>
  <c r="B24" i="14"/>
  <c r="B17" i="14"/>
  <c r="N11" i="14"/>
  <c r="M11" i="14"/>
  <c r="P11" i="14" s="1"/>
  <c r="G11" i="14"/>
  <c r="N17" i="14"/>
  <c r="M17" i="14"/>
  <c r="P17" i="14" s="1"/>
  <c r="G17" i="14"/>
  <c r="N24" i="14"/>
  <c r="M24" i="14"/>
  <c r="P24" i="14" s="1"/>
  <c r="D25" i="14"/>
  <c r="G25" i="14" s="1"/>
  <c r="N35" i="14"/>
  <c r="M35" i="14"/>
  <c r="P35" i="14" s="1"/>
  <c r="G35" i="14"/>
  <c r="C51" i="14"/>
  <c r="C50" i="14"/>
  <c r="G42" i="14"/>
  <c r="J42" i="14" s="1"/>
  <c r="N34" i="14"/>
  <c r="P34" i="14" s="1"/>
  <c r="M34" i="14"/>
  <c r="N22" i="14"/>
  <c r="P22" i="14" s="1"/>
  <c r="M22" i="14"/>
  <c r="D23" i="14"/>
  <c r="G23" i="14" s="1"/>
  <c r="N16" i="14"/>
  <c r="M16" i="14"/>
  <c r="P16" i="14" s="1"/>
  <c r="B16" i="14"/>
  <c r="B22" i="14" s="1"/>
  <c r="B34" i="14" s="1"/>
  <c r="N10" i="14"/>
  <c r="M10" i="14"/>
  <c r="P10" i="14" s="1"/>
  <c r="G10" i="14"/>
  <c r="G13" i="15" s="1"/>
  <c r="I13" i="15" s="1"/>
  <c r="J13" i="15" s="1"/>
  <c r="G36" i="14" l="1"/>
  <c r="G26" i="15" s="1"/>
  <c r="I26" i="15" s="1"/>
  <c r="J26" i="15" s="1"/>
  <c r="J28" i="16"/>
  <c r="J27" i="16"/>
  <c r="J30" i="16"/>
  <c r="J26" i="16"/>
  <c r="J44" i="16" s="1"/>
  <c r="C46" i="16" s="1"/>
  <c r="J29" i="16"/>
  <c r="J31" i="16"/>
  <c r="G24" i="14"/>
  <c r="G22" i="14"/>
  <c r="G19" i="15" s="1"/>
  <c r="I19" i="15" s="1"/>
  <c r="G16" i="14"/>
  <c r="G16" i="15" s="1"/>
  <c r="I16" i="15" s="1"/>
  <c r="J16" i="15" s="1"/>
  <c r="J12" i="14"/>
  <c r="J13" i="14"/>
  <c r="I14" i="15" s="1"/>
  <c r="J14" i="15" s="1"/>
  <c r="C43" i="12"/>
  <c r="C44" i="12"/>
  <c r="C45" i="12"/>
  <c r="G22" i="12"/>
  <c r="J27" i="12"/>
  <c r="J39" i="14" l="1"/>
  <c r="I29" i="15" s="1"/>
  <c r="J29" i="15" s="1"/>
  <c r="J37" i="14"/>
  <c r="I27" i="15" s="1"/>
  <c r="J27" i="15" s="1"/>
  <c r="J40" i="14"/>
  <c r="I30" i="15" s="1"/>
  <c r="J30" i="15" s="1"/>
  <c r="J36" i="14"/>
  <c r="J38" i="14"/>
  <c r="I28" i="15" s="1"/>
  <c r="J28" i="15" s="1"/>
  <c r="C49" i="16"/>
  <c r="E48" i="16"/>
  <c r="E49" i="16" s="1"/>
  <c r="J19" i="15"/>
  <c r="J18" i="14"/>
  <c r="J19" i="14"/>
  <c r="I17" i="15" s="1"/>
  <c r="J17" i="15" s="1"/>
  <c r="J30" i="14"/>
  <c r="I23" i="15" s="1"/>
  <c r="J23" i="15" s="1"/>
  <c r="J28" i="14"/>
  <c r="I21" i="15" s="1"/>
  <c r="J21" i="15" s="1"/>
  <c r="J27" i="14"/>
  <c r="I20" i="15" s="1"/>
  <c r="J20" i="15" s="1"/>
  <c r="J26" i="14"/>
  <c r="J29" i="14"/>
  <c r="I22" i="15" s="1"/>
  <c r="J22" i="15" s="1"/>
  <c r="J31" i="14"/>
  <c r="E30" i="12"/>
  <c r="D30" i="12"/>
  <c r="N30" i="12"/>
  <c r="M30" i="12"/>
  <c r="N20" i="12"/>
  <c r="M20" i="12"/>
  <c r="D15" i="12"/>
  <c r="D20" i="12" s="1"/>
  <c r="D21" i="12" s="1"/>
  <c r="G21" i="12" s="1"/>
  <c r="B15" i="12"/>
  <c r="B20" i="12" s="1"/>
  <c r="B30" i="12" s="1"/>
  <c r="E10" i="12"/>
  <c r="E15" i="12" s="1"/>
  <c r="N15" i="12"/>
  <c r="M15" i="12"/>
  <c r="J44" i="14" l="1"/>
  <c r="C46" i="14" s="1"/>
  <c r="I34" i="15"/>
  <c r="P20" i="12"/>
  <c r="P30" i="12"/>
  <c r="G30" i="12"/>
  <c r="G31" i="12" s="1"/>
  <c r="J35" i="12" s="1"/>
  <c r="G10" i="12"/>
  <c r="P15" i="12"/>
  <c r="G15" i="12"/>
  <c r="G16" i="12" s="1"/>
  <c r="E20" i="12"/>
  <c r="G20" i="12" s="1"/>
  <c r="C48" i="14" l="1"/>
  <c r="E48" i="14" s="1"/>
  <c r="E49" i="14" s="1"/>
  <c r="J6" i="15"/>
  <c r="J34" i="15"/>
  <c r="J32" i="12"/>
  <c r="J33" i="12"/>
  <c r="J34" i="12"/>
  <c r="J26" i="12"/>
  <c r="J25" i="12"/>
  <c r="J24" i="12"/>
  <c r="J23" i="12"/>
  <c r="J31" i="12"/>
  <c r="J16" i="12"/>
  <c r="J17" i="12"/>
  <c r="J22" i="12"/>
  <c r="J39" i="12" s="1"/>
  <c r="C49" i="14" l="1"/>
  <c r="N10" i="12"/>
  <c r="M10" i="12"/>
  <c r="P10" i="12" l="1"/>
  <c r="G11" i="12"/>
  <c r="J12" i="12" s="1"/>
  <c r="J11" i="12" l="1"/>
  <c r="C46" i="12"/>
  <c r="G37" i="12"/>
  <c r="J37" i="12" s="1"/>
  <c r="C41" i="12" l="1"/>
  <c r="E43" i="12" l="1"/>
  <c r="E44" i="12" s="1"/>
</calcChain>
</file>

<file path=xl/sharedStrings.xml><?xml version="1.0" encoding="utf-8"?>
<sst xmlns="http://schemas.openxmlformats.org/spreadsheetml/2006/main" count="186" uniqueCount="62">
  <si>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</si>
  <si>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</si>
  <si>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</si>
  <si>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</si>
  <si>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</si>
  <si>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</si>
  <si>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</si>
  <si>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</si>
  <si>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</si>
  <si>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</si>
  <si>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</si>
  <si>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</si>
  <si>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</si>
  <si>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</si>
  <si>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</si>
  <si>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</si>
  <si>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</si>
  <si>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</si>
  <si>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</si>
  <si>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</si>
  <si>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</si>
  <si>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</si>
  <si>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</si>
  <si>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</si>
  <si>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</si>
  <si>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</si>
  <si>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</si>
  <si>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</si>
  <si>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</si>
  <si>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Project:-तिनघरे बाटो स्तरोन्नति</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</si>
  <si>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</si>
  <si>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</si>
  <si>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</si>
  <si>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</si>
  <si>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</si>
  <si>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</si>
  <si>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</si>
  <si>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</si>
  <si>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</si>
  <si>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</si>
  <si>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</si>
  <si>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</si>
  <si>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Detail Valuated Sheet</t>
  </si>
  <si>
    <t>-for masonary wall section 1</t>
  </si>
  <si>
    <t>-for masonary wall section 2</t>
  </si>
  <si>
    <t>Work Completion Report</t>
  </si>
  <si>
    <t>Total Estimated Amount:</t>
  </si>
  <si>
    <t>Total Valuated Amount :</t>
  </si>
  <si>
    <t xml:space="preserve">Work Started : </t>
  </si>
  <si>
    <t xml:space="preserve">Work Finished:           </t>
  </si>
  <si>
    <t>S.No.</t>
  </si>
  <si>
    <t>Description</t>
  </si>
  <si>
    <t>Estimated</t>
  </si>
  <si>
    <t>Valuated</t>
  </si>
  <si>
    <t>Difference</t>
  </si>
  <si>
    <t>Remarks</t>
  </si>
  <si>
    <t xml:space="preserve">Quantity </t>
  </si>
  <si>
    <t>Location:- Shankharapur Municipality 1</t>
  </si>
  <si>
    <t xml:space="preserve">F.Y:2082/2083            </t>
  </si>
  <si>
    <t xml:space="preserve">Date:2082/10/13       </t>
  </si>
  <si>
    <t>Detail Quantity Measurement Sheet</t>
  </si>
  <si>
    <t>Total 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</si>
</sst>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21"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83">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13" fillId="0" borderId="0" xfId="0" applyFont="1" applyAlignment="1">
      <alignment horizontal="center" vertical="center"/>
    </xf>
    <xf numFmtId="0" fontId="0" fillId="0" borderId="0" xfId="0" applyAlignment="1">
      <alignment vertical="center"/>
    </xf>
    <xf numFmtId="0" fontId="16" fillId="0" borderId="0" xfId="0" applyFont="1" applyAlignment="1">
      <alignment horizontal="center"/>
    </xf>
    <xf numFmtId="0" fontId="17" fillId="0" borderId="0" xfId="0" applyFont="1"/>
    <xf numFmtId="164" fontId="17" fillId="0" borderId="0" xfId="0" applyNumberFormat="1"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right" vertical="center"/>
    </xf>
    <xf numFmtId="0" fontId="19" fillId="0" borderId="0" xfId="0" applyFont="1" applyAlignment="1">
      <alignment horizontal="left"/>
    </xf>
    <xf numFmtId="0" fontId="0" fillId="0" borderId="0" xfId="0" applyAlignment="1">
      <alignment horizontal="right"/>
    </xf>
    <xf numFmtId="0" fontId="0" fillId="0" borderId="0" xfId="0" applyAlignment="1">
      <alignment horizontal="left"/>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2" xfId="0" applyFill="1" applyBorder="1" applyAlignment="1">
      <alignment horizontal="center" vertical="center" wrapText="1"/>
    </xf>
    <xf numFmtId="0" fontId="0" fillId="3" borderId="2" xfId="0" applyFill="1" applyBorder="1"/>
    <xf numFmtId="1" fontId="14" fillId="0" borderId="2" xfId="0" applyNumberFormat="1" applyFont="1" applyBorder="1" applyAlignment="1">
      <alignment vertical="center"/>
    </xf>
    <xf numFmtId="1" fontId="19" fillId="0" borderId="2" xfId="0" applyNumberFormat="1" applyFont="1" applyFill="1" applyBorder="1" applyAlignment="1">
      <alignment horizontal="left" vertical="center" wrapText="1"/>
    </xf>
    <xf numFmtId="2" fontId="0" fillId="0" borderId="2" xfId="0" applyNumberFormat="1" applyBorder="1" applyAlignment="1">
      <alignment vertical="center"/>
    </xf>
    <xf numFmtId="164" fontId="13" fillId="0" borderId="2" xfId="1" applyFont="1" applyBorder="1" applyAlignment="1">
      <alignment vertical="center"/>
    </xf>
    <xf numFmtId="0" fontId="0" fillId="0" borderId="2" xfId="0" applyBorder="1" applyAlignment="1">
      <alignment vertical="center" wrapText="1"/>
    </xf>
    <xf numFmtId="1" fontId="19" fillId="0" borderId="2" xfId="0" applyNumberFormat="1" applyFont="1" applyFill="1" applyBorder="1" applyAlignment="1">
      <alignment horizontal="right" vertical="center" wrapText="1"/>
    </xf>
    <xf numFmtId="0" fontId="14" fillId="0" borderId="2" xfId="0" applyFont="1" applyBorder="1" applyAlignment="1">
      <alignment vertical="center"/>
    </xf>
    <xf numFmtId="0" fontId="20" fillId="0" borderId="2" xfId="0" applyFont="1" applyBorder="1" applyAlignment="1">
      <alignment vertical="center"/>
    </xf>
    <xf numFmtId="164" fontId="0" fillId="0" borderId="0" xfId="0" applyNumberFormat="1" applyAlignment="1">
      <alignment vertical="center"/>
    </xf>
    <xf numFmtId="1" fontId="20" fillId="0" borderId="2" xfId="0" applyNumberFormat="1" applyFont="1" applyBorder="1" applyAlignment="1">
      <alignment vertical="center" wrapText="1"/>
    </xf>
    <xf numFmtId="0" fontId="0" fillId="0" borderId="2" xfId="0" applyBorder="1"/>
    <xf numFmtId="0" fontId="13" fillId="0" borderId="2" xfId="0" applyFont="1" applyBorder="1" applyAlignment="1">
      <alignment horizontal="right"/>
    </xf>
    <xf numFmtId="2" fontId="13" fillId="0" borderId="2" xfId="0" applyNumberFormat="1" applyFont="1" applyBorder="1"/>
    <xf numFmtId="164" fontId="13" fillId="0" borderId="2" xfId="1" applyFont="1" applyBorder="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2348;&#2332;&#2375;&#2335;%20&#2350;&#2366;&#2327;%20estimate\&#2344;&#2327;&#2352;%20&#2348;&#2332;&#2375;&#2335;%20estimate\&#2340;&#2367;&#2344;&#2328;&#2352;&#2375;%20&#2348;&#2366;&#2335;&#2379;%20&#2360;&#2381;&#2340;&#2352;&#2379;&#2344;&#2381;&#2344;&#2340;&#2367;\v.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WCR"/>
    </sheetNames>
    <sheetDataSet>
      <sheetData sheetId="0">
        <row r="6">
          <cell r="A6" t="str">
            <v>Project:- कालीमस्ट मन्दिर निर्माण</v>
          </cell>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view="pageBreakPreview" topLeftCell="A34" zoomScale="95" zoomScaleNormal="90" zoomScaleSheetLayoutView="95" workbookViewId="0">
      <selection activeCell="A8" sqref="A8"/>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v>
      </c>
      <c r="B5" s="42"/>
      <c r="C5" s="42"/>
      <c r="D5" s="42"/>
      <c r="E5" s="42"/>
      <c r="F5" s="42"/>
      <c r="G5" s="42"/>
      <c r="H5" s="42"/>
      <c r="I5" s="42"/>
      <c r="J5" s="42"/>
      <c r="K5" s="42"/>
    </row>
    <row r="6" spans="1:16" ht="15.6" x14ac:dyDescent="0.3">
      <c r="A6" s="37" t="s">
        <v>29</v>
      </c>
      <c r="B6" s="37"/>
      <c r="C6" s="37"/>
      <c r="D6" s="37"/>
      <c r="E6" s="37"/>
      <c r="F6" s="37"/>
      <c r="G6" s="10"/>
      <c r="H6" s="38" t="s">
        <v>28</v>
      </c>
      <c r="I6" s="38"/>
      <c r="J6" s="38"/>
      <c r="K6" s="38"/>
    </row>
    <row r="7" spans="1:16" ht="15.6" x14ac:dyDescent="0.3">
      <c r="A7" s="45" t="s">
        <v>57</v>
      </c>
      <c r="B7" s="45"/>
      <c r="C7" s="45"/>
      <c r="D7" s="45"/>
      <c r="E7" s="45"/>
      <c r="F7" s="45"/>
      <c r="G7" s="11"/>
      <c r="H7" s="46" t="s">
        <v>22</v>
      </c>
      <c r="I7" s="46"/>
      <c r="J7" s="46"/>
      <c r="K7" s="46"/>
    </row>
    <row r="8" spans="1:16" ht="15.6" x14ac:dyDescent="0.3">
      <c r="A8" s="12" t="s">
        <v>5</v>
      </c>
      <c r="B8" s="13" t="s">
        <v>6</v>
      </c>
      <c r="C8" s="12" t="s">
        <v>7</v>
      </c>
      <c r="D8" s="14" t="s">
        <v>8</v>
      </c>
      <c r="E8" s="14" t="s">
        <v>9</v>
      </c>
      <c r="F8" s="14" t="s">
        <v>10</v>
      </c>
      <c r="G8" s="14" t="s">
        <v>11</v>
      </c>
      <c r="H8" s="12" t="s">
        <v>12</v>
      </c>
      <c r="I8" s="14" t="s">
        <v>13</v>
      </c>
      <c r="J8" s="14" t="s">
        <v>14</v>
      </c>
      <c r="K8" s="15" t="s">
        <v>15</v>
      </c>
    </row>
    <row r="9" spans="1:16" ht="188.25" customHeight="1" x14ac:dyDescent="0.3">
      <c r="A9" s="16">
        <v>1</v>
      </c>
      <c r="B9" s="35" t="s">
        <v>39</v>
      </c>
      <c r="C9" s="17"/>
      <c r="D9" s="17"/>
      <c r="E9" s="17"/>
      <c r="F9" s="17"/>
      <c r="G9" s="17"/>
      <c r="H9" s="17"/>
      <c r="I9" s="17"/>
      <c r="J9" s="17"/>
      <c r="K9" s="17"/>
    </row>
    <row r="10" spans="1:16" x14ac:dyDescent="0.3">
      <c r="A10" s="16"/>
      <c r="B10" s="32" t="s">
        <v>30</v>
      </c>
      <c r="C10" s="17">
        <v>1</v>
      </c>
      <c r="D10" s="33">
        <v>18.5</v>
      </c>
      <c r="E10" s="33">
        <f>F10/2</f>
        <v>1.5</v>
      </c>
      <c r="F10" s="33">
        <v>3</v>
      </c>
      <c r="G10" s="33">
        <f>PRODUCT(C10:F10)</f>
        <v>83.25</v>
      </c>
      <c r="H10" s="17"/>
      <c r="I10" s="17"/>
      <c r="J10" s="17"/>
      <c r="K10" s="17"/>
      <c r="M10" s="33">
        <f>7</f>
        <v>7</v>
      </c>
      <c r="N10" s="33">
        <f>2</f>
        <v>2</v>
      </c>
      <c r="O10" s="33"/>
      <c r="P10" s="33">
        <f>PI()*M10*SQRT(M10^2+N10^2)</f>
        <v>160.09797821843054</v>
      </c>
    </row>
    <row r="11" spans="1:16" ht="15" customHeight="1" x14ac:dyDescent="0.3">
      <c r="A11" s="2"/>
      <c r="B11" s="34" t="s">
        <v>16</v>
      </c>
      <c r="C11" s="3"/>
      <c r="D11" s="4"/>
      <c r="E11" s="5"/>
      <c r="F11" s="5"/>
      <c r="G11" s="6">
        <f>SUM(G10:G10)</f>
        <v>83.25</v>
      </c>
      <c r="H11" s="7" t="s">
        <v>17</v>
      </c>
      <c r="I11" s="6">
        <v>62.95</v>
      </c>
      <c r="J11" s="18">
        <f>G11*I11</f>
        <v>5240.5875000000005</v>
      </c>
      <c r="K11" s="5"/>
    </row>
    <row r="12" spans="1:16" x14ac:dyDescent="0.3">
      <c r="A12" s="16"/>
      <c r="B12" s="32" t="s">
        <v>23</v>
      </c>
      <c r="C12" s="17"/>
      <c r="D12" s="17"/>
      <c r="E12" s="17"/>
      <c r="F12" s="17"/>
      <c r="G12" s="17"/>
      <c r="H12" s="17"/>
      <c r="I12" s="17"/>
      <c r="J12" s="18">
        <f>0.13*G11*(18612)/360</f>
        <v>559.52324999999996</v>
      </c>
      <c r="K12" s="17"/>
    </row>
    <row r="13" spans="1:16" x14ac:dyDescent="0.3">
      <c r="A13" s="16"/>
      <c r="B13" s="17"/>
      <c r="C13" s="17"/>
      <c r="D13" s="17"/>
      <c r="E13" s="17"/>
      <c r="F13" s="17"/>
      <c r="G13" s="17"/>
      <c r="H13" s="17"/>
      <c r="I13" s="17"/>
      <c r="J13" s="17"/>
      <c r="K13" s="17"/>
    </row>
    <row r="14" spans="1:16" ht="109.2" x14ac:dyDescent="0.3">
      <c r="A14" s="16">
        <v>2</v>
      </c>
      <c r="B14" s="35" t="s">
        <v>31</v>
      </c>
      <c r="C14" s="17"/>
      <c r="D14" s="17"/>
      <c r="E14" s="17"/>
      <c r="F14" s="17"/>
      <c r="G14" s="17"/>
      <c r="H14" s="17"/>
      <c r="I14" s="17"/>
      <c r="J14" s="17"/>
      <c r="K14" s="17"/>
    </row>
    <row r="15" spans="1:16" x14ac:dyDescent="0.3">
      <c r="A15" s="16"/>
      <c r="B15" s="32" t="str">
        <f>B10</f>
        <v>-for masonary wall</v>
      </c>
      <c r="C15" s="17">
        <v>1</v>
      </c>
      <c r="D15" s="33">
        <f>D10</f>
        <v>18.5</v>
      </c>
      <c r="E15" s="33">
        <f>E10</f>
        <v>1.5</v>
      </c>
      <c r="F15" s="33">
        <v>0.15</v>
      </c>
      <c r="G15" s="33">
        <f>PRODUCT(C15:F15)</f>
        <v>4.1624999999999996</v>
      </c>
      <c r="H15" s="17"/>
      <c r="I15" s="17"/>
      <c r="J15" s="17"/>
      <c r="K15" s="17"/>
      <c r="M15" s="33">
        <f>7</f>
        <v>7</v>
      </c>
      <c r="N15" s="33">
        <f>2</f>
        <v>2</v>
      </c>
      <c r="O15" s="33"/>
      <c r="P15" s="33">
        <f>PI()*M15*SQRT(M15^2+N15^2)</f>
        <v>160.09797821843054</v>
      </c>
    </row>
    <row r="16" spans="1:16" ht="15" customHeight="1" x14ac:dyDescent="0.3">
      <c r="A16" s="2"/>
      <c r="B16" s="34" t="s">
        <v>16</v>
      </c>
      <c r="C16" s="3"/>
      <c r="D16" s="4"/>
      <c r="E16" s="5"/>
      <c r="F16" s="5"/>
      <c r="G16" s="6">
        <f>SUM(G15:G15)</f>
        <v>4.1624999999999996</v>
      </c>
      <c r="H16" s="7" t="s">
        <v>17</v>
      </c>
      <c r="I16" s="6">
        <v>4458.5200000000004</v>
      </c>
      <c r="J16" s="18">
        <f>G16*I16</f>
        <v>18558.589500000002</v>
      </c>
      <c r="K16" s="5"/>
    </row>
    <row r="17" spans="1:16" x14ac:dyDescent="0.3">
      <c r="A17" s="16"/>
      <c r="B17" s="32" t="s">
        <v>23</v>
      </c>
      <c r="C17" s="17"/>
      <c r="D17" s="17"/>
      <c r="E17" s="17"/>
      <c r="F17" s="17"/>
      <c r="G17" s="17"/>
      <c r="H17" s="17"/>
      <c r="I17" s="17"/>
      <c r="J17" s="18">
        <f>0.13*G16*(14817.6)/5</f>
        <v>1603.6347599999999</v>
      </c>
      <c r="K17" s="17"/>
    </row>
    <row r="18" spans="1:16" x14ac:dyDescent="0.3">
      <c r="A18" s="16"/>
      <c r="B18" s="17"/>
      <c r="C18" s="17"/>
      <c r="D18" s="17"/>
      <c r="E18" s="17"/>
      <c r="F18" s="17"/>
      <c r="G18" s="17"/>
      <c r="H18" s="17"/>
      <c r="I18" s="17"/>
      <c r="J18" s="17"/>
      <c r="K18" s="17"/>
    </row>
    <row r="19" spans="1:16" ht="78" x14ac:dyDescent="0.3">
      <c r="A19" s="16">
        <v>3</v>
      </c>
      <c r="B19" s="35" t="s">
        <v>32</v>
      </c>
      <c r="C19" s="17"/>
      <c r="D19" s="17"/>
      <c r="E19" s="17"/>
      <c r="F19" s="17"/>
      <c r="G19" s="17"/>
      <c r="H19" s="17"/>
      <c r="I19" s="17"/>
      <c r="J19" s="17"/>
      <c r="K19" s="17"/>
    </row>
    <row r="20" spans="1:16" x14ac:dyDescent="0.3">
      <c r="A20" s="16"/>
      <c r="B20" s="32" t="str">
        <f>B15</f>
        <v>-for masonary wall</v>
      </c>
      <c r="C20" s="17">
        <v>1</v>
      </c>
      <c r="D20" s="33">
        <f>D15</f>
        <v>18.5</v>
      </c>
      <c r="E20" s="33">
        <f>E15</f>
        <v>1.5</v>
      </c>
      <c r="F20" s="33">
        <v>0.05</v>
      </c>
      <c r="G20" s="33">
        <f>PRODUCT(C20:F20)</f>
        <v>1.3875000000000002</v>
      </c>
      <c r="H20" s="17"/>
      <c r="I20" s="17"/>
      <c r="J20" s="17"/>
      <c r="K20" s="17"/>
      <c r="M20" s="33">
        <f>7</f>
        <v>7</v>
      </c>
      <c r="N20" s="33">
        <f>2</f>
        <v>2</v>
      </c>
      <c r="O20" s="33"/>
      <c r="P20" s="33">
        <f>PI()*M20*SQRT(M20^2+N20^2)</f>
        <v>160.09797821843054</v>
      </c>
    </row>
    <row r="21" spans="1:16" x14ac:dyDescent="0.3">
      <c r="A21" s="16"/>
      <c r="B21" s="32"/>
      <c r="C21" s="17">
        <v>1</v>
      </c>
      <c r="D21" s="33">
        <f>D20</f>
        <v>18.5</v>
      </c>
      <c r="E21" s="33">
        <v>0.45</v>
      </c>
      <c r="F21" s="33">
        <v>0.05</v>
      </c>
      <c r="G21" s="33">
        <f>PRODUCT(C21:F21)</f>
        <v>0.41625000000000006</v>
      </c>
      <c r="H21" s="17"/>
      <c r="I21" s="17"/>
      <c r="J21" s="17"/>
      <c r="K21" s="17"/>
      <c r="M21" s="36"/>
      <c r="N21" s="36"/>
      <c r="O21" s="36"/>
      <c r="P21" s="36"/>
    </row>
    <row r="22" spans="1:16" ht="15" customHeight="1" x14ac:dyDescent="0.3">
      <c r="A22" s="2"/>
      <c r="B22" s="34" t="s">
        <v>16</v>
      </c>
      <c r="C22" s="3"/>
      <c r="D22" s="4"/>
      <c r="E22" s="5"/>
      <c r="F22" s="5"/>
      <c r="G22" s="6">
        <f>SUM(G20:G21)</f>
        <v>1.8037500000000002</v>
      </c>
      <c r="H22" s="7" t="s">
        <v>17</v>
      </c>
      <c r="I22" s="6">
        <v>10964.46</v>
      </c>
      <c r="J22" s="18">
        <f>G22*I22</f>
        <v>19777.144725000002</v>
      </c>
      <c r="K22" s="5"/>
    </row>
    <row r="23" spans="1:16" x14ac:dyDescent="0.3">
      <c r="A23" s="16"/>
      <c r="B23" s="32" t="s">
        <v>33</v>
      </c>
      <c r="C23" s="17"/>
      <c r="D23" s="17"/>
      <c r="E23" s="17"/>
      <c r="F23" s="17"/>
      <c r="G23" s="17"/>
      <c r="H23" s="17"/>
      <c r="I23" s="17"/>
      <c r="J23" s="18">
        <f>0.13*G22*(53818.03)/15</f>
        <v>841.31035397500023</v>
      </c>
      <c r="K23" s="17"/>
    </row>
    <row r="24" spans="1:16" x14ac:dyDescent="0.3">
      <c r="A24" s="16"/>
      <c r="B24" s="32" t="s">
        <v>34</v>
      </c>
      <c r="C24" s="17"/>
      <c r="D24" s="17"/>
      <c r="E24" s="17"/>
      <c r="F24" s="17"/>
      <c r="G24" s="17"/>
      <c r="H24" s="17"/>
      <c r="I24" s="17"/>
      <c r="J24" s="18">
        <f>0.13*G22*(21432.6)/15</f>
        <v>335.0451195</v>
      </c>
      <c r="K24" s="17"/>
    </row>
    <row r="25" spans="1:16" x14ac:dyDescent="0.3">
      <c r="A25" s="16"/>
      <c r="B25" s="32" t="s">
        <v>35</v>
      </c>
      <c r="C25" s="17"/>
      <c r="D25" s="17"/>
      <c r="E25" s="17"/>
      <c r="F25" s="17"/>
      <c r="G25" s="17"/>
      <c r="H25" s="17"/>
      <c r="I25" s="17"/>
      <c r="J25" s="18">
        <f>0.13*G22*(25719.12+13573.98+4286.52)/15</f>
        <v>681.25840964999998</v>
      </c>
      <c r="K25" s="17"/>
    </row>
    <row r="26" spans="1:16" x14ac:dyDescent="0.3">
      <c r="A26" s="16"/>
      <c r="B26" s="32" t="s">
        <v>36</v>
      </c>
      <c r="C26" s="17"/>
      <c r="D26" s="17"/>
      <c r="E26" s="17"/>
      <c r="F26" s="17"/>
      <c r="G26" s="17"/>
      <c r="H26" s="17"/>
      <c r="I26" s="17"/>
      <c r="J26" s="18">
        <f>0.13*G22*(6325.7)/15</f>
        <v>98.886505250000013</v>
      </c>
      <c r="K26" s="17"/>
    </row>
    <row r="27" spans="1:16" x14ac:dyDescent="0.3">
      <c r="A27" s="16"/>
      <c r="B27" s="32" t="s">
        <v>40</v>
      </c>
      <c r="C27" s="17"/>
      <c r="D27" s="17"/>
      <c r="E27" s="17"/>
      <c r="F27" s="17"/>
      <c r="G27" s="17"/>
      <c r="H27" s="17"/>
      <c r="I27" s="17"/>
      <c r="J27" s="18">
        <f>0.13*G22*(310)/5</f>
        <v>14.538225000000002</v>
      </c>
      <c r="K27" s="17"/>
    </row>
    <row r="28" spans="1:16" x14ac:dyDescent="0.3">
      <c r="A28" s="16"/>
      <c r="B28" s="17"/>
      <c r="C28" s="17"/>
      <c r="D28" s="17"/>
      <c r="E28" s="17"/>
      <c r="F28" s="17"/>
      <c r="G28" s="17"/>
      <c r="H28" s="17"/>
      <c r="I28" s="17"/>
      <c r="J28" s="17"/>
      <c r="K28" s="17"/>
    </row>
    <row r="29" spans="1:16" ht="109.2" x14ac:dyDescent="0.3">
      <c r="A29" s="16">
        <v>4</v>
      </c>
      <c r="B29" s="35" t="s">
        <v>37</v>
      </c>
      <c r="C29" s="17"/>
      <c r="D29" s="17"/>
      <c r="E29" s="17"/>
      <c r="F29" s="17"/>
      <c r="G29" s="17"/>
      <c r="H29" s="17"/>
      <c r="I29" s="17"/>
      <c r="J29" s="17"/>
      <c r="K29" s="17"/>
    </row>
    <row r="30" spans="1:16" x14ac:dyDescent="0.3">
      <c r="A30" s="16"/>
      <c r="B30" s="32" t="str">
        <f>B20</f>
        <v>-for masonary wall</v>
      </c>
      <c r="C30" s="17">
        <v>1</v>
      </c>
      <c r="D30" s="33">
        <f>D10</f>
        <v>18.5</v>
      </c>
      <c r="E30" s="33">
        <f>((F30/2)+0.45)/2</f>
        <v>0.97499999999999998</v>
      </c>
      <c r="F30" s="33">
        <v>3</v>
      </c>
      <c r="G30" s="33">
        <f>PRODUCT(C30:F30)</f>
        <v>54.112499999999997</v>
      </c>
      <c r="H30" s="17"/>
      <c r="I30" s="17"/>
      <c r="J30" s="17"/>
      <c r="K30" s="17"/>
      <c r="M30" s="33">
        <f>7</f>
        <v>7</v>
      </c>
      <c r="N30" s="33">
        <f>2</f>
        <v>2</v>
      </c>
      <c r="O30" s="33"/>
      <c r="P30" s="33">
        <f>PI()*M30*SQRT(M30^2+N30^2)</f>
        <v>160.09797821843054</v>
      </c>
    </row>
    <row r="31" spans="1:16" ht="15" customHeight="1" x14ac:dyDescent="0.3">
      <c r="A31" s="2"/>
      <c r="B31" s="34" t="s">
        <v>16</v>
      </c>
      <c r="C31" s="3"/>
      <c r="D31" s="4"/>
      <c r="E31" s="5"/>
      <c r="F31" s="5"/>
      <c r="G31" s="6">
        <f>SUM(G30:G30)</f>
        <v>54.112499999999997</v>
      </c>
      <c r="H31" s="7" t="s">
        <v>17</v>
      </c>
      <c r="I31" s="6">
        <v>8987.83</v>
      </c>
      <c r="J31" s="18">
        <f>G31*I31</f>
        <v>486353.95087499998</v>
      </c>
      <c r="K31" s="5"/>
    </row>
    <row r="32" spans="1:16" x14ac:dyDescent="0.3">
      <c r="A32" s="16"/>
      <c r="B32" s="32" t="s">
        <v>33</v>
      </c>
      <c r="C32" s="17"/>
      <c r="D32" s="17"/>
      <c r="E32" s="17"/>
      <c r="F32" s="17"/>
      <c r="G32" s="17"/>
      <c r="H32" s="17"/>
      <c r="I32" s="17"/>
      <c r="J32" s="18">
        <f>0.13*G31*(5863.95)/5</f>
        <v>8250.1378537500004</v>
      </c>
      <c r="K32" s="17"/>
    </row>
    <row r="33" spans="1:19" x14ac:dyDescent="0.3">
      <c r="A33" s="16"/>
      <c r="B33" s="32" t="s">
        <v>34</v>
      </c>
      <c r="C33" s="17"/>
      <c r="D33" s="17"/>
      <c r="E33" s="17"/>
      <c r="F33" s="17"/>
      <c r="G33" s="17"/>
      <c r="H33" s="17"/>
      <c r="I33" s="17"/>
      <c r="J33" s="18">
        <f>0.13*G31*(6604.416)/5</f>
        <v>9291.9179808000008</v>
      </c>
      <c r="K33" s="17"/>
    </row>
    <row r="34" spans="1:19" x14ac:dyDescent="0.3">
      <c r="A34" s="16"/>
      <c r="B34" s="32" t="s">
        <v>38</v>
      </c>
      <c r="C34" s="17"/>
      <c r="D34" s="17"/>
      <c r="E34" s="17"/>
      <c r="F34" s="17"/>
      <c r="G34" s="17"/>
      <c r="H34" s="17"/>
      <c r="I34" s="17"/>
      <c r="J34" s="18">
        <f>0.13*G31*(14808.78)/5</f>
        <v>20834.842801500003</v>
      </c>
      <c r="K34" s="17"/>
    </row>
    <row r="35" spans="1:19" x14ac:dyDescent="0.3">
      <c r="A35" s="16"/>
      <c r="B35" s="32" t="s">
        <v>40</v>
      </c>
      <c r="C35" s="17"/>
      <c r="D35" s="17"/>
      <c r="E35" s="17"/>
      <c r="F35" s="17"/>
      <c r="G35" s="17"/>
      <c r="H35" s="17"/>
      <c r="I35" s="17"/>
      <c r="J35" s="18">
        <f>0.13*G31*(310)/5</f>
        <v>436.14675</v>
      </c>
      <c r="K35" s="17"/>
    </row>
    <row r="36" spans="1:19" x14ac:dyDescent="0.3">
      <c r="A36" s="16"/>
      <c r="B36" s="17"/>
      <c r="C36" s="17"/>
      <c r="D36" s="17"/>
      <c r="E36" s="17"/>
      <c r="F36" s="17"/>
      <c r="G36" s="17"/>
      <c r="H36" s="17"/>
      <c r="I36" s="17"/>
      <c r="J36" s="17"/>
      <c r="K36" s="17"/>
    </row>
    <row r="37" spans="1:19" ht="15" customHeight="1" x14ac:dyDescent="0.3">
      <c r="A37" s="2">
        <v>5</v>
      </c>
      <c r="B37" s="1" t="s">
        <v>18</v>
      </c>
      <c r="C37" s="3">
        <v>1</v>
      </c>
      <c r="D37" s="4"/>
      <c r="E37" s="5"/>
      <c r="F37" s="5"/>
      <c r="G37" s="7">
        <f t="shared" ref="G37" si="0">PRODUCT(C37:F37)</f>
        <v>1</v>
      </c>
      <c r="H37" s="7" t="s">
        <v>19</v>
      </c>
      <c r="I37" s="6">
        <v>500</v>
      </c>
      <c r="J37" s="7">
        <f>G37*I37</f>
        <v>500</v>
      </c>
      <c r="K37" s="5"/>
    </row>
    <row r="38" spans="1:19" x14ac:dyDescent="0.3">
      <c r="A38" s="2"/>
      <c r="B38" s="8"/>
      <c r="C38" s="3"/>
      <c r="D38" s="4"/>
      <c r="E38" s="5"/>
      <c r="F38" s="5"/>
      <c r="G38" s="6"/>
      <c r="H38" s="7"/>
      <c r="I38" s="6"/>
      <c r="J38" s="18"/>
      <c r="K38" s="5"/>
    </row>
    <row r="39" spans="1:19" x14ac:dyDescent="0.3">
      <c r="A39" s="21"/>
      <c r="B39" s="22" t="s">
        <v>21</v>
      </c>
      <c r="C39" s="23"/>
      <c r="D39" s="24"/>
      <c r="E39" s="24"/>
      <c r="F39" s="24"/>
      <c r="G39" s="18"/>
      <c r="H39" s="18"/>
      <c r="I39" s="18"/>
      <c r="J39" s="18">
        <f>SUM(J9:J37)</f>
        <v>573377.51460942498</v>
      </c>
      <c r="K39" s="25"/>
    </row>
    <row r="40" spans="1:19" x14ac:dyDescent="0.3">
      <c r="M40" s="20"/>
      <c r="N40" s="20"/>
      <c r="O40" s="20"/>
      <c r="P40" s="20"/>
      <c r="Q40" s="20"/>
      <c r="R40" s="20"/>
      <c r="S40" s="20"/>
    </row>
    <row r="41" spans="1:19" s="20" customFormat="1" x14ac:dyDescent="0.3">
      <c r="A41" s="26"/>
      <c r="B41" s="27" t="s">
        <v>20</v>
      </c>
      <c r="C41" s="43">
        <f>J39</f>
        <v>573377.51460942498</v>
      </c>
      <c r="D41" s="44"/>
      <c r="E41" s="9">
        <v>100</v>
      </c>
      <c r="F41" s="26"/>
      <c r="G41" s="28"/>
      <c r="H41" s="26"/>
      <c r="I41" s="29"/>
      <c r="J41" s="30"/>
      <c r="K41" s="31"/>
      <c r="M41" s="19"/>
      <c r="N41" s="19"/>
      <c r="O41" s="19"/>
      <c r="P41" s="19"/>
      <c r="Q41" s="19"/>
      <c r="R41" s="19"/>
      <c r="S41" s="19"/>
    </row>
    <row r="42" spans="1:19" x14ac:dyDescent="0.3">
      <c r="B42" s="27" t="s">
        <v>24</v>
      </c>
      <c r="C42" s="47">
        <v>500000</v>
      </c>
      <c r="D42" s="48"/>
      <c r="E42" s="9"/>
    </row>
    <row r="43" spans="1:19" x14ac:dyDescent="0.3">
      <c r="B43" s="27" t="s">
        <v>25</v>
      </c>
      <c r="C43" s="47">
        <f>C42-C45-C46</f>
        <v>475000</v>
      </c>
      <c r="D43" s="48"/>
      <c r="E43" s="9">
        <f>C43/C41*100</f>
        <v>82.842453339587607</v>
      </c>
    </row>
    <row r="44" spans="1:19" x14ac:dyDescent="0.3">
      <c r="B44" s="27" t="s">
        <v>41</v>
      </c>
      <c r="C44" s="49">
        <f>C41-C43</f>
        <v>98377.514609424979</v>
      </c>
      <c r="D44" s="49"/>
      <c r="E44" s="9">
        <f>100-E43</f>
        <v>17.157546660412393</v>
      </c>
    </row>
    <row r="45" spans="1:19" x14ac:dyDescent="0.3">
      <c r="B45" s="27" t="s">
        <v>26</v>
      </c>
      <c r="C45" s="43">
        <f>C42*0.03</f>
        <v>15000</v>
      </c>
      <c r="D45" s="44"/>
      <c r="E45" s="9">
        <v>3</v>
      </c>
    </row>
    <row r="46" spans="1:19" x14ac:dyDescent="0.3">
      <c r="B46" s="27" t="s">
        <v>27</v>
      </c>
      <c r="C46" s="43">
        <f>C42*0.02</f>
        <v>10000</v>
      </c>
      <c r="D46" s="44"/>
      <c r="E46" s="9">
        <v>2</v>
      </c>
    </row>
  </sheetData>
  <mergeCells count="15">
    <mergeCell ref="C45:D45"/>
    <mergeCell ref="C46:D46"/>
    <mergeCell ref="A7:F7"/>
    <mergeCell ref="H7:K7"/>
    <mergeCell ref="C41:D41"/>
    <mergeCell ref="C42:D42"/>
    <mergeCell ref="C43:D43"/>
    <mergeCell ref="C44:D4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view="pageBreakPreview" topLeftCell="A16" zoomScale="95" zoomScaleNormal="90" zoomScaleSheetLayoutView="95" workbookViewId="0">
      <selection activeCell="G21" sqref="G21"/>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42</v>
      </c>
      <c r="B5" s="42"/>
      <c r="C5" s="42"/>
      <c r="D5" s="42"/>
      <c r="E5" s="42"/>
      <c r="F5" s="42"/>
      <c r="G5" s="42"/>
      <c r="H5" s="42"/>
      <c r="I5" s="42"/>
      <c r="J5" s="42"/>
      <c r="K5" s="42"/>
    </row>
    <row r="6" spans="1:16" ht="15.6" x14ac:dyDescent="0.3">
      <c r="A6" s="37" t="s">
        <v>29</v>
      </c>
      <c r="B6" s="37"/>
      <c r="C6" s="37"/>
      <c r="D6" s="37"/>
      <c r="E6" s="37"/>
      <c r="F6" s="37"/>
      <c r="G6" s="10"/>
      <c r="H6" s="38" t="s">
        <v>28</v>
      </c>
      <c r="I6" s="38"/>
      <c r="J6" s="38"/>
      <c r="K6" s="38"/>
    </row>
    <row r="7" spans="1:16" ht="15.6" x14ac:dyDescent="0.3">
      <c r="A7" s="45" t="s">
        <v>57</v>
      </c>
      <c r="B7" s="45"/>
      <c r="C7" s="45"/>
      <c r="D7" s="45"/>
      <c r="E7" s="45"/>
      <c r="F7" s="45"/>
      <c r="G7" s="11"/>
      <c r="H7" s="46" t="s">
        <v>22</v>
      </c>
      <c r="I7" s="46"/>
      <c r="J7" s="46"/>
      <c r="K7" s="46"/>
    </row>
    <row r="8" spans="1:16" ht="15.6" x14ac:dyDescent="0.3">
      <c r="A8" s="12" t="s">
        <v>5</v>
      </c>
      <c r="B8" s="13" t="s">
        <v>6</v>
      </c>
      <c r="C8" s="12" t="s">
        <v>7</v>
      </c>
      <c r="D8" s="14" t="s">
        <v>8</v>
      </c>
      <c r="E8" s="14" t="s">
        <v>9</v>
      </c>
      <c r="F8" s="14" t="s">
        <v>10</v>
      </c>
      <c r="G8" s="14" t="s">
        <v>11</v>
      </c>
      <c r="H8" s="12" t="s">
        <v>12</v>
      </c>
      <c r="I8" s="14" t="s">
        <v>13</v>
      </c>
      <c r="J8" s="14" t="s">
        <v>14</v>
      </c>
      <c r="K8" s="15" t="s">
        <v>15</v>
      </c>
    </row>
    <row r="9" spans="1:16" ht="188.25" customHeight="1" x14ac:dyDescent="0.3">
      <c r="A9" s="16">
        <v>1</v>
      </c>
      <c r="B9" s="35" t="s">
        <v>39</v>
      </c>
      <c r="C9" s="17"/>
      <c r="D9" s="17"/>
      <c r="E9" s="17"/>
      <c r="F9" s="17"/>
      <c r="G9" s="17"/>
      <c r="H9" s="17"/>
      <c r="I9" s="17"/>
      <c r="J9" s="17"/>
      <c r="K9" s="17"/>
    </row>
    <row r="10" spans="1:16" x14ac:dyDescent="0.3">
      <c r="A10" s="16"/>
      <c r="B10" s="32" t="s">
        <v>43</v>
      </c>
      <c r="C10" s="17">
        <v>1</v>
      </c>
      <c r="D10" s="33">
        <f>D34</f>
        <v>7.9</v>
      </c>
      <c r="E10" s="33">
        <f>E22</f>
        <v>1.95</v>
      </c>
      <c r="F10" s="33">
        <v>3</v>
      </c>
      <c r="G10" s="33">
        <f>PRODUCT(C10:F10)</f>
        <v>46.215000000000003</v>
      </c>
      <c r="H10" s="17"/>
      <c r="I10" s="17"/>
      <c r="J10" s="17"/>
      <c r="K10" s="17"/>
      <c r="M10" s="33">
        <f>7</f>
        <v>7</v>
      </c>
      <c r="N10" s="33">
        <f>2</f>
        <v>2</v>
      </c>
      <c r="O10" s="33"/>
      <c r="P10" s="33">
        <f>PI()*M10*SQRT(M10^2+N10^2)</f>
        <v>160.09797821843054</v>
      </c>
    </row>
    <row r="11" spans="1:16" x14ac:dyDescent="0.3">
      <c r="A11" s="16"/>
      <c r="B11" s="32" t="s">
        <v>44</v>
      </c>
      <c r="C11" s="17">
        <v>1</v>
      </c>
      <c r="D11" s="33">
        <f>D35</f>
        <v>3.15</v>
      </c>
      <c r="E11" s="33">
        <f>E24</f>
        <v>2</v>
      </c>
      <c r="F11" s="33">
        <v>3</v>
      </c>
      <c r="G11" s="33">
        <f>PRODUCT(C11:F11)</f>
        <v>18.899999999999999</v>
      </c>
      <c r="H11" s="17"/>
      <c r="I11" s="17"/>
      <c r="J11" s="17"/>
      <c r="K11" s="17"/>
      <c r="M11" s="33">
        <f>7</f>
        <v>7</v>
      </c>
      <c r="N11" s="33">
        <f>2</f>
        <v>2</v>
      </c>
      <c r="O11" s="33"/>
      <c r="P11" s="33">
        <f>PI()*M11*SQRT(M11^2+N11^2)</f>
        <v>160.09797821843054</v>
      </c>
    </row>
    <row r="12" spans="1:16" ht="15" customHeight="1" x14ac:dyDescent="0.3">
      <c r="A12" s="2"/>
      <c r="B12" s="34" t="s">
        <v>16</v>
      </c>
      <c r="C12" s="3"/>
      <c r="D12" s="4"/>
      <c r="E12" s="5"/>
      <c r="F12" s="5"/>
      <c r="G12" s="6">
        <f>SUM(G10:G11)</f>
        <v>65.115000000000009</v>
      </c>
      <c r="H12" s="7" t="s">
        <v>17</v>
      </c>
      <c r="I12" s="6">
        <v>62.95</v>
      </c>
      <c r="J12" s="18">
        <f>G12*I12</f>
        <v>4098.9892500000005</v>
      </c>
      <c r="K12" s="5"/>
    </row>
    <row r="13" spans="1:16" x14ac:dyDescent="0.3">
      <c r="A13" s="16"/>
      <c r="B13" s="32" t="s">
        <v>23</v>
      </c>
      <c r="C13" s="17"/>
      <c r="D13" s="17"/>
      <c r="E13" s="17"/>
      <c r="F13" s="17"/>
      <c r="G13" s="17"/>
      <c r="H13" s="17"/>
      <c r="I13" s="17"/>
      <c r="J13" s="18">
        <f>0.13*G12*(18612)/360</f>
        <v>437.63791500000008</v>
      </c>
      <c r="K13" s="17"/>
    </row>
    <row r="14" spans="1:16" x14ac:dyDescent="0.3">
      <c r="A14" s="16"/>
      <c r="B14" s="17"/>
      <c r="C14" s="17"/>
      <c r="D14" s="17"/>
      <c r="E14" s="17"/>
      <c r="F14" s="17"/>
      <c r="G14" s="17"/>
      <c r="H14" s="17"/>
      <c r="I14" s="17"/>
      <c r="J14" s="17"/>
      <c r="K14" s="17"/>
    </row>
    <row r="15" spans="1:16" ht="109.2" x14ac:dyDescent="0.3">
      <c r="A15" s="16">
        <v>2</v>
      </c>
      <c r="B15" s="35" t="s">
        <v>31</v>
      </c>
      <c r="C15" s="17"/>
      <c r="D15" s="17"/>
      <c r="E15" s="17"/>
      <c r="F15" s="17"/>
      <c r="G15" s="17"/>
      <c r="H15" s="17"/>
      <c r="I15" s="17"/>
      <c r="J15" s="17"/>
      <c r="K15" s="17"/>
    </row>
    <row r="16" spans="1:16" x14ac:dyDescent="0.3">
      <c r="A16" s="16"/>
      <c r="B16" s="32" t="str">
        <f>B10</f>
        <v>-for masonary wall section 1</v>
      </c>
      <c r="C16" s="17">
        <v>1</v>
      </c>
      <c r="D16" s="33">
        <f>D34</f>
        <v>7.9</v>
      </c>
      <c r="E16" s="33">
        <f>E22</f>
        <v>1.95</v>
      </c>
      <c r="F16" s="33">
        <v>0.15</v>
      </c>
      <c r="G16" s="33">
        <f>PRODUCT(C16:F16)</f>
        <v>2.3107500000000001</v>
      </c>
      <c r="H16" s="17"/>
      <c r="I16" s="17"/>
      <c r="J16" s="17"/>
      <c r="K16" s="17"/>
      <c r="M16" s="33">
        <f>7</f>
        <v>7</v>
      </c>
      <c r="N16" s="33">
        <f>2</f>
        <v>2</v>
      </c>
      <c r="O16" s="33"/>
      <c r="P16" s="33">
        <f>PI()*M16*SQRT(M16^2+N16^2)</f>
        <v>160.09797821843054</v>
      </c>
    </row>
    <row r="17" spans="1:16" x14ac:dyDescent="0.3">
      <c r="A17" s="16"/>
      <c r="B17" s="32" t="str">
        <f>B11</f>
        <v>-for masonary wall section 2</v>
      </c>
      <c r="C17" s="17">
        <v>1</v>
      </c>
      <c r="D17" s="33">
        <f>D35</f>
        <v>3.15</v>
      </c>
      <c r="E17" s="33">
        <f>E24</f>
        <v>2</v>
      </c>
      <c r="F17" s="33">
        <v>0.15</v>
      </c>
      <c r="G17" s="33">
        <f>PRODUCT(C17:F17)</f>
        <v>0.94499999999999995</v>
      </c>
      <c r="H17" s="17"/>
      <c r="I17" s="17"/>
      <c r="J17" s="17"/>
      <c r="K17" s="17"/>
      <c r="M17" s="33">
        <f>7</f>
        <v>7</v>
      </c>
      <c r="N17" s="33">
        <f>2</f>
        <v>2</v>
      </c>
      <c r="O17" s="33"/>
      <c r="P17" s="33">
        <f>PI()*M17*SQRT(M17^2+N17^2)</f>
        <v>160.09797821843054</v>
      </c>
    </row>
    <row r="18" spans="1:16" ht="15" customHeight="1" x14ac:dyDescent="0.3">
      <c r="A18" s="2"/>
      <c r="B18" s="34" t="s">
        <v>16</v>
      </c>
      <c r="C18" s="3"/>
      <c r="D18" s="4"/>
      <c r="E18" s="5"/>
      <c r="F18" s="5"/>
      <c r="G18" s="6">
        <f>SUM(G16:G17)</f>
        <v>3.2557499999999999</v>
      </c>
      <c r="H18" s="7" t="s">
        <v>17</v>
      </c>
      <c r="I18" s="6">
        <v>4458.5200000000004</v>
      </c>
      <c r="J18" s="18">
        <f>G18*I18</f>
        <v>14515.826490000001</v>
      </c>
      <c r="K18" s="5"/>
    </row>
    <row r="19" spans="1:16" x14ac:dyDescent="0.3">
      <c r="A19" s="16"/>
      <c r="B19" s="32" t="s">
        <v>23</v>
      </c>
      <c r="C19" s="17"/>
      <c r="D19" s="17"/>
      <c r="E19" s="17"/>
      <c r="F19" s="17"/>
      <c r="G19" s="17"/>
      <c r="H19" s="17"/>
      <c r="I19" s="17"/>
      <c r="J19" s="18">
        <f>0.13*G18*(14817.6)/5</f>
        <v>1254.3024312</v>
      </c>
      <c r="K19" s="17"/>
    </row>
    <row r="20" spans="1:16" x14ac:dyDescent="0.3">
      <c r="A20" s="16"/>
      <c r="B20" s="17"/>
      <c r="C20" s="17"/>
      <c r="D20" s="17"/>
      <c r="E20" s="17"/>
      <c r="F20" s="17"/>
      <c r="G20" s="17"/>
      <c r="H20" s="17"/>
      <c r="I20" s="17"/>
      <c r="J20" s="17"/>
      <c r="K20" s="17"/>
    </row>
    <row r="21" spans="1:16" ht="78" x14ac:dyDescent="0.3">
      <c r="A21" s="16">
        <v>3</v>
      </c>
      <c r="B21" s="35" t="s">
        <v>32</v>
      </c>
      <c r="C21" s="17"/>
      <c r="D21" s="17"/>
      <c r="E21" s="17"/>
      <c r="F21" s="17"/>
      <c r="G21" s="17"/>
      <c r="H21" s="17"/>
      <c r="I21" s="17"/>
      <c r="J21" s="17"/>
      <c r="K21" s="17"/>
    </row>
    <row r="22" spans="1:16" x14ac:dyDescent="0.3">
      <c r="A22" s="16"/>
      <c r="B22" s="32" t="str">
        <f>B16</f>
        <v>-for masonary wall section 1</v>
      </c>
      <c r="C22" s="17">
        <v>1</v>
      </c>
      <c r="D22" s="33">
        <f>D34</f>
        <v>7.9</v>
      </c>
      <c r="E22" s="33">
        <f>F34/2</f>
        <v>1.95</v>
      </c>
      <c r="F22" s="33">
        <v>0.05</v>
      </c>
      <c r="G22" s="33">
        <f>PRODUCT(C22:F22)</f>
        <v>0.7702500000000001</v>
      </c>
      <c r="H22" s="17"/>
      <c r="I22" s="17"/>
      <c r="J22" s="17"/>
      <c r="K22" s="17"/>
      <c r="M22" s="33">
        <f>7</f>
        <v>7</v>
      </c>
      <c r="N22" s="33">
        <f>2</f>
        <v>2</v>
      </c>
      <c r="O22" s="33"/>
      <c r="P22" s="33">
        <f>PI()*M22*SQRT(M22^2+N22^2)</f>
        <v>160.09797821843054</v>
      </c>
    </row>
    <row r="23" spans="1:16" x14ac:dyDescent="0.3">
      <c r="A23" s="16"/>
      <c r="B23" s="32"/>
      <c r="C23" s="17">
        <v>1</v>
      </c>
      <c r="D23" s="33">
        <f>D22</f>
        <v>7.9</v>
      </c>
      <c r="E23" s="33">
        <v>0.5</v>
      </c>
      <c r="F23" s="33">
        <v>0.05</v>
      </c>
      <c r="G23" s="33">
        <f>PRODUCT(C23:F23)</f>
        <v>0.19750000000000001</v>
      </c>
      <c r="H23" s="17"/>
      <c r="I23" s="17"/>
      <c r="J23" s="17"/>
      <c r="K23" s="17"/>
      <c r="M23" s="36"/>
      <c r="N23" s="36"/>
      <c r="O23" s="36"/>
      <c r="P23" s="36"/>
    </row>
    <row r="24" spans="1:16" x14ac:dyDescent="0.3">
      <c r="A24" s="16"/>
      <c r="B24" s="32" t="str">
        <f>B11</f>
        <v>-for masonary wall section 2</v>
      </c>
      <c r="C24" s="17">
        <v>1</v>
      </c>
      <c r="D24" s="33">
        <f>D35</f>
        <v>3.15</v>
      </c>
      <c r="E24" s="33">
        <f>F35/2</f>
        <v>2</v>
      </c>
      <c r="F24" s="33">
        <v>0.05</v>
      </c>
      <c r="G24" s="33">
        <f>PRODUCT(C24:F24)</f>
        <v>0.315</v>
      </c>
      <c r="H24" s="17"/>
      <c r="I24" s="17"/>
      <c r="J24" s="17"/>
      <c r="K24" s="17"/>
      <c r="M24" s="33">
        <f>7</f>
        <v>7</v>
      </c>
      <c r="N24" s="33">
        <f>2</f>
        <v>2</v>
      </c>
      <c r="O24" s="33"/>
      <c r="P24" s="33">
        <f>PI()*M24*SQRT(M24^2+N24^2)</f>
        <v>160.09797821843054</v>
      </c>
    </row>
    <row r="25" spans="1:16" x14ac:dyDescent="0.3">
      <c r="A25" s="16"/>
      <c r="B25" s="32"/>
      <c r="C25" s="17">
        <v>1</v>
      </c>
      <c r="D25" s="33">
        <f>D24</f>
        <v>3.15</v>
      </c>
      <c r="E25" s="33">
        <v>0.5</v>
      </c>
      <c r="F25" s="33">
        <v>0.05</v>
      </c>
      <c r="G25" s="33">
        <f>PRODUCT(C25:F25)</f>
        <v>7.8750000000000001E-2</v>
      </c>
      <c r="H25" s="17"/>
      <c r="I25" s="17"/>
      <c r="J25" s="17"/>
      <c r="K25" s="17"/>
      <c r="M25" s="36"/>
      <c r="N25" s="36"/>
      <c r="O25" s="36"/>
      <c r="P25" s="36"/>
    </row>
    <row r="26" spans="1:16" ht="15" customHeight="1" x14ac:dyDescent="0.3">
      <c r="A26" s="2"/>
      <c r="B26" s="34" t="s">
        <v>16</v>
      </c>
      <c r="C26" s="3"/>
      <c r="D26" s="4"/>
      <c r="E26" s="5"/>
      <c r="F26" s="5"/>
      <c r="G26" s="6">
        <f>SUM(G22:G25)</f>
        <v>1.3615000000000002</v>
      </c>
      <c r="H26" s="7" t="s">
        <v>17</v>
      </c>
      <c r="I26" s="6">
        <v>10964.46</v>
      </c>
      <c r="J26" s="18">
        <f>G26*I26</f>
        <v>14928.112290000001</v>
      </c>
      <c r="K26" s="5"/>
    </row>
    <row r="27" spans="1:16" x14ac:dyDescent="0.3">
      <c r="A27" s="16"/>
      <c r="B27" s="32" t="s">
        <v>33</v>
      </c>
      <c r="C27" s="17"/>
      <c r="D27" s="17"/>
      <c r="E27" s="17"/>
      <c r="F27" s="17"/>
      <c r="G27" s="17"/>
      <c r="H27" s="17"/>
      <c r="I27" s="17"/>
      <c r="J27" s="18">
        <f>0.13*G26*(53818.03)/15</f>
        <v>635.03481465666675</v>
      </c>
      <c r="K27" s="17"/>
    </row>
    <row r="28" spans="1:16" x14ac:dyDescent="0.3">
      <c r="A28" s="16"/>
      <c r="B28" s="32" t="s">
        <v>34</v>
      </c>
      <c r="C28" s="17"/>
      <c r="D28" s="17"/>
      <c r="E28" s="17"/>
      <c r="F28" s="17"/>
      <c r="G28" s="17"/>
      <c r="H28" s="17"/>
      <c r="I28" s="17"/>
      <c r="J28" s="18">
        <f>0.13*G26*(21432.6)/15</f>
        <v>252.89753579999999</v>
      </c>
      <c r="K28" s="17"/>
    </row>
    <row r="29" spans="1:16" x14ac:dyDescent="0.3">
      <c r="A29" s="16"/>
      <c r="B29" s="32" t="s">
        <v>35</v>
      </c>
      <c r="C29" s="17"/>
      <c r="D29" s="17"/>
      <c r="E29" s="17"/>
      <c r="F29" s="17"/>
      <c r="G29" s="17"/>
      <c r="H29" s="17"/>
      <c r="I29" s="17"/>
      <c r="J29" s="18">
        <f>0.13*G26*(25719.12+13573.98+4286.52)/15</f>
        <v>514.22498945999996</v>
      </c>
      <c r="K29" s="17"/>
    </row>
    <row r="30" spans="1:16" x14ac:dyDescent="0.3">
      <c r="A30" s="16"/>
      <c r="B30" s="32" t="s">
        <v>36</v>
      </c>
      <c r="C30" s="17"/>
      <c r="D30" s="17"/>
      <c r="E30" s="17"/>
      <c r="F30" s="17"/>
      <c r="G30" s="17"/>
      <c r="H30" s="17"/>
      <c r="I30" s="17"/>
      <c r="J30" s="18">
        <f>0.13*G26*(6325.7)/15</f>
        <v>74.641151433333334</v>
      </c>
      <c r="K30" s="17"/>
    </row>
    <row r="31" spans="1:16" x14ac:dyDescent="0.3">
      <c r="A31" s="16"/>
      <c r="B31" s="32" t="s">
        <v>40</v>
      </c>
      <c r="C31" s="17"/>
      <c r="D31" s="17"/>
      <c r="E31" s="17"/>
      <c r="F31" s="17"/>
      <c r="G31" s="17"/>
      <c r="H31" s="17"/>
      <c r="I31" s="17"/>
      <c r="J31" s="18">
        <f>0.13*G26*(310)/5</f>
        <v>10.973690000000001</v>
      </c>
      <c r="K31" s="17"/>
    </row>
    <row r="32" spans="1:16" x14ac:dyDescent="0.3">
      <c r="A32" s="16"/>
      <c r="B32" s="17"/>
      <c r="C32" s="17"/>
      <c r="D32" s="17"/>
      <c r="E32" s="17"/>
      <c r="F32" s="17"/>
      <c r="G32" s="17"/>
      <c r="H32" s="17"/>
      <c r="I32" s="17"/>
      <c r="J32" s="17"/>
      <c r="K32" s="17"/>
    </row>
    <row r="33" spans="1:19" ht="109.2" x14ac:dyDescent="0.3">
      <c r="A33" s="16">
        <v>4</v>
      </c>
      <c r="B33" s="35" t="s">
        <v>37</v>
      </c>
      <c r="C33" s="17"/>
      <c r="D33" s="17"/>
      <c r="E33" s="17"/>
      <c r="F33" s="17"/>
      <c r="G33" s="17"/>
      <c r="H33" s="17"/>
      <c r="I33" s="17"/>
      <c r="J33" s="17"/>
      <c r="K33" s="17"/>
    </row>
    <row r="34" spans="1:19" x14ac:dyDescent="0.3">
      <c r="A34" s="16"/>
      <c r="B34" s="32" t="str">
        <f>B22</f>
        <v>-for masonary wall section 1</v>
      </c>
      <c r="C34" s="17">
        <v>1</v>
      </c>
      <c r="D34" s="33">
        <f>7.5+0.4</f>
        <v>7.9</v>
      </c>
      <c r="E34" s="33">
        <f>((F34/2)+0.5)/2</f>
        <v>1.2250000000000001</v>
      </c>
      <c r="F34" s="33">
        <v>3.9</v>
      </c>
      <c r="G34" s="33">
        <f>PRODUCT(C34:F34)</f>
        <v>37.742250000000006</v>
      </c>
      <c r="H34" s="17"/>
      <c r="I34" s="17"/>
      <c r="J34" s="17"/>
      <c r="K34" s="17"/>
      <c r="M34" s="33">
        <f>7</f>
        <v>7</v>
      </c>
      <c r="N34" s="33">
        <f>2</f>
        <v>2</v>
      </c>
      <c r="O34" s="33"/>
      <c r="P34" s="33">
        <f>PI()*M34*SQRT(M34^2+N34^2)</f>
        <v>160.09797821843054</v>
      </c>
    </row>
    <row r="35" spans="1:19" x14ac:dyDescent="0.3">
      <c r="A35" s="16"/>
      <c r="B35" s="32" t="str">
        <f>B11</f>
        <v>-for masonary wall section 2</v>
      </c>
      <c r="C35" s="17">
        <v>1</v>
      </c>
      <c r="D35" s="33">
        <v>3.15</v>
      </c>
      <c r="E35" s="33">
        <f>((F35/2)+0.5)/2</f>
        <v>1.25</v>
      </c>
      <c r="F35" s="33">
        <v>4</v>
      </c>
      <c r="G35" s="33">
        <f>PRODUCT(C35:F35)</f>
        <v>15.75</v>
      </c>
      <c r="H35" s="17"/>
      <c r="I35" s="17"/>
      <c r="J35" s="17"/>
      <c r="K35" s="17"/>
      <c r="M35" s="33">
        <f>7</f>
        <v>7</v>
      </c>
      <c r="N35" s="33">
        <f>2</f>
        <v>2</v>
      </c>
      <c r="O35" s="33"/>
      <c r="P35" s="33">
        <f>PI()*M35*SQRT(M35^2+N35^2)</f>
        <v>160.09797821843054</v>
      </c>
    </row>
    <row r="36" spans="1:19" ht="15" customHeight="1" x14ac:dyDescent="0.3">
      <c r="A36" s="2"/>
      <c r="B36" s="34" t="s">
        <v>16</v>
      </c>
      <c r="C36" s="3"/>
      <c r="D36" s="4"/>
      <c r="E36" s="5"/>
      <c r="F36" s="5"/>
      <c r="G36" s="6">
        <f>SUM(G34:G35)</f>
        <v>53.492250000000006</v>
      </c>
      <c r="H36" s="7" t="s">
        <v>17</v>
      </c>
      <c r="I36" s="6">
        <v>8987.83</v>
      </c>
      <c r="J36" s="18">
        <f>G36*I36</f>
        <v>480779.24931750004</v>
      </c>
      <c r="K36" s="5"/>
    </row>
    <row r="37" spans="1:19" x14ac:dyDescent="0.3">
      <c r="A37" s="16"/>
      <c r="B37" s="32" t="s">
        <v>33</v>
      </c>
      <c r="C37" s="17"/>
      <c r="D37" s="17"/>
      <c r="E37" s="17"/>
      <c r="F37" s="17"/>
      <c r="G37" s="17"/>
      <c r="H37" s="17"/>
      <c r="I37" s="17"/>
      <c r="J37" s="18">
        <f>0.13*G36*(5863.95)/5</f>
        <v>8155.5728640750003</v>
      </c>
      <c r="K37" s="17"/>
    </row>
    <row r="38" spans="1:19" x14ac:dyDescent="0.3">
      <c r="A38" s="16"/>
      <c r="B38" s="32" t="s">
        <v>34</v>
      </c>
      <c r="C38" s="17"/>
      <c r="D38" s="17"/>
      <c r="E38" s="17"/>
      <c r="F38" s="17"/>
      <c r="G38" s="17"/>
      <c r="H38" s="17"/>
      <c r="I38" s="17"/>
      <c r="J38" s="18">
        <f>0.13*G36*(6604.416)/5</f>
        <v>9185.4118661760021</v>
      </c>
      <c r="K38" s="17"/>
    </row>
    <row r="39" spans="1:19" x14ac:dyDescent="0.3">
      <c r="A39" s="16"/>
      <c r="B39" s="32" t="s">
        <v>38</v>
      </c>
      <c r="C39" s="17"/>
      <c r="D39" s="17"/>
      <c r="E39" s="17"/>
      <c r="F39" s="17"/>
      <c r="G39" s="17"/>
      <c r="H39" s="17"/>
      <c r="I39" s="17"/>
      <c r="J39" s="18">
        <f>0.13*G36*(14808.78)/5</f>
        <v>20596.029010830003</v>
      </c>
      <c r="K39" s="17"/>
    </row>
    <row r="40" spans="1:19" x14ac:dyDescent="0.3">
      <c r="A40" s="16"/>
      <c r="B40" s="32" t="s">
        <v>40</v>
      </c>
      <c r="C40" s="17"/>
      <c r="D40" s="17"/>
      <c r="E40" s="17"/>
      <c r="F40" s="17"/>
      <c r="G40" s="17"/>
      <c r="H40" s="17"/>
      <c r="I40" s="17"/>
      <c r="J40" s="18">
        <f>0.13*G36*(310)/5</f>
        <v>431.14753500000006</v>
      </c>
      <c r="K40" s="17"/>
    </row>
    <row r="41" spans="1:19" x14ac:dyDescent="0.3">
      <c r="A41" s="16"/>
      <c r="B41" s="17"/>
      <c r="C41" s="17"/>
      <c r="D41" s="17"/>
      <c r="E41" s="17"/>
      <c r="F41" s="17"/>
      <c r="G41" s="17"/>
      <c r="H41" s="17"/>
      <c r="I41" s="17"/>
      <c r="J41" s="17"/>
      <c r="K41" s="17"/>
    </row>
    <row r="42" spans="1:19" ht="15" customHeight="1" x14ac:dyDescent="0.3">
      <c r="A42" s="2">
        <v>5</v>
      </c>
      <c r="B42" s="1" t="s">
        <v>18</v>
      </c>
      <c r="C42" s="3">
        <v>1</v>
      </c>
      <c r="D42" s="4"/>
      <c r="E42" s="5"/>
      <c r="F42" s="5"/>
      <c r="G42" s="7">
        <f t="shared" ref="G42" si="0">PRODUCT(C42:F42)</f>
        <v>1</v>
      </c>
      <c r="H42" s="7" t="s">
        <v>19</v>
      </c>
      <c r="I42" s="6">
        <v>500</v>
      </c>
      <c r="J42" s="7">
        <f>G42*I42</f>
        <v>500</v>
      </c>
      <c r="K42" s="5"/>
    </row>
    <row r="43" spans="1:19" x14ac:dyDescent="0.3">
      <c r="A43" s="2"/>
      <c r="B43" s="8"/>
      <c r="C43" s="3"/>
      <c r="D43" s="4"/>
      <c r="E43" s="5"/>
      <c r="F43" s="5"/>
      <c r="G43" s="6"/>
      <c r="H43" s="7"/>
      <c r="I43" s="6"/>
      <c r="J43" s="18"/>
      <c r="K43" s="5"/>
    </row>
    <row r="44" spans="1:19" x14ac:dyDescent="0.3">
      <c r="A44" s="21"/>
      <c r="B44" s="22" t="s">
        <v>21</v>
      </c>
      <c r="C44" s="23"/>
      <c r="D44" s="24"/>
      <c r="E44" s="24"/>
      <c r="F44" s="24"/>
      <c r="G44" s="18"/>
      <c r="H44" s="18"/>
      <c r="I44" s="18"/>
      <c r="J44" s="18">
        <f>SUM(J9:J42)</f>
        <v>556370.05115113105</v>
      </c>
      <c r="K44" s="25"/>
    </row>
    <row r="45" spans="1:19" x14ac:dyDescent="0.3">
      <c r="M45" s="20"/>
      <c r="N45" s="20"/>
      <c r="O45" s="20"/>
      <c r="P45" s="20"/>
      <c r="Q45" s="20"/>
      <c r="R45" s="20"/>
      <c r="S45" s="20"/>
    </row>
    <row r="46" spans="1:19" s="20" customFormat="1" x14ac:dyDescent="0.3">
      <c r="A46" s="26"/>
      <c r="B46" s="27" t="s">
        <v>61</v>
      </c>
      <c r="C46" s="43">
        <f>J44</f>
        <v>556370.05115113105</v>
      </c>
      <c r="D46" s="44"/>
      <c r="E46" s="9">
        <v>100</v>
      </c>
      <c r="F46" s="26"/>
      <c r="G46" s="28"/>
      <c r="H46" s="26"/>
      <c r="I46" s="29"/>
      <c r="J46" s="30"/>
      <c r="K46" s="31"/>
      <c r="M46" s="19"/>
      <c r="N46" s="19"/>
      <c r="O46" s="19"/>
      <c r="P46" s="19"/>
      <c r="Q46" s="19"/>
      <c r="R46" s="19"/>
      <c r="S46" s="19"/>
    </row>
    <row r="47" spans="1:19" x14ac:dyDescent="0.3">
      <c r="B47" s="27" t="s">
        <v>24</v>
      </c>
      <c r="C47" s="47">
        <v>500000</v>
      </c>
      <c r="D47" s="48"/>
      <c r="E47" s="9"/>
    </row>
    <row r="48" spans="1:19" x14ac:dyDescent="0.3">
      <c r="B48" s="27" t="s">
        <v>25</v>
      </c>
      <c r="C48" s="47">
        <f>82.84%*C46</f>
        <v>460896.95037359698</v>
      </c>
      <c r="D48" s="48"/>
      <c r="E48" s="9">
        <f>C48/C46*100</f>
        <v>82.84</v>
      </c>
    </row>
    <row r="49" spans="2:5" x14ac:dyDescent="0.3">
      <c r="B49" s="27" t="s">
        <v>41</v>
      </c>
      <c r="C49" s="49">
        <f>C46-C48</f>
        <v>95473.100777534069</v>
      </c>
      <c r="D49" s="49"/>
      <c r="E49" s="9">
        <f>100-E48</f>
        <v>17.159999999999997</v>
      </c>
    </row>
    <row r="50" spans="2:5" x14ac:dyDescent="0.3">
      <c r="B50" s="27" t="s">
        <v>26</v>
      </c>
      <c r="C50" s="43">
        <f>C47*0.03</f>
        <v>15000</v>
      </c>
      <c r="D50" s="44"/>
      <c r="E50" s="9">
        <v>3</v>
      </c>
    </row>
    <row r="51" spans="2:5" x14ac:dyDescent="0.3">
      <c r="B51" s="27" t="s">
        <v>27</v>
      </c>
      <c r="C51" s="43">
        <f>C47*0.02</f>
        <v>10000</v>
      </c>
      <c r="D51" s="44"/>
      <c r="E51" s="9">
        <v>2</v>
      </c>
    </row>
  </sheetData>
  <mergeCells count="15">
    <mergeCell ref="C50:D50"/>
    <mergeCell ref="C51:D51"/>
    <mergeCell ref="A7:F7"/>
    <mergeCell ref="H7:K7"/>
    <mergeCell ref="C46:D46"/>
    <mergeCell ref="C47:D47"/>
    <mergeCell ref="C48:D48"/>
    <mergeCell ref="C49:D49"/>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2"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abSelected="1" topLeftCell="A22" zoomScaleNormal="100" workbookViewId="0">
      <selection activeCell="E26" sqref="E26"/>
    </sheetView>
  </sheetViews>
  <sheetFormatPr defaultRowHeight="14.4" x14ac:dyDescent="0.3"/>
  <cols>
    <col min="1" max="1" width="6.33203125" customWidth="1"/>
    <col min="2" max="2" width="39.33203125" customWidth="1"/>
    <col min="3" max="3" width="8.88671875" customWidth="1"/>
    <col min="4" max="4" width="9.33203125" bestFit="1" customWidth="1"/>
    <col min="5" max="5" width="11.5546875" bestFit="1" customWidth="1"/>
    <col min="6" max="6" width="12.33203125" bestFit="1" customWidth="1"/>
    <col min="7" max="7" width="9.5546875" bestFit="1" customWidth="1"/>
    <col min="8" max="8" width="11.109375" bestFit="1" customWidth="1"/>
    <col min="9" max="9" width="11.88671875" bestFit="1" customWidth="1"/>
    <col min="10" max="10" width="12.33203125" bestFit="1" customWidth="1"/>
    <col min="11" max="11" width="11" customWidth="1"/>
    <col min="13" max="13" width="9.5546875" bestFit="1" customWidth="1"/>
  </cols>
  <sheetData>
    <row r="1" spans="1:11" x14ac:dyDescent="0.3">
      <c r="A1" s="50" t="s">
        <v>0</v>
      </c>
      <c r="B1" s="50"/>
      <c r="C1" s="50"/>
      <c r="D1" s="50"/>
      <c r="E1" s="50"/>
      <c r="F1" s="50"/>
      <c r="G1" s="50"/>
      <c r="H1" s="50"/>
      <c r="I1" s="50"/>
      <c r="J1" s="50"/>
      <c r="K1" s="50"/>
    </row>
    <row r="2" spans="1:11" ht="24.6" x14ac:dyDescent="0.4">
      <c r="A2" s="51" t="s">
        <v>1</v>
      </c>
      <c r="B2" s="51"/>
      <c r="C2" s="51"/>
      <c r="D2" s="51"/>
      <c r="E2" s="51"/>
      <c r="F2" s="51"/>
      <c r="G2" s="51"/>
      <c r="H2" s="51"/>
      <c r="I2" s="51"/>
      <c r="J2" s="51"/>
      <c r="K2" s="51"/>
    </row>
    <row r="3" spans="1:11" s="53" customFormat="1" x14ac:dyDescent="0.3">
      <c r="A3" s="52" t="s">
        <v>2</v>
      </c>
      <c r="B3" s="52"/>
      <c r="C3" s="52"/>
      <c r="D3" s="52"/>
      <c r="E3" s="52"/>
      <c r="F3" s="52"/>
      <c r="G3" s="52"/>
      <c r="H3" s="52"/>
      <c r="I3" s="52"/>
      <c r="J3" s="52"/>
      <c r="K3" s="52"/>
    </row>
    <row r="4" spans="1:11" s="53" customFormat="1" x14ac:dyDescent="0.3">
      <c r="A4" s="52" t="s">
        <v>3</v>
      </c>
      <c r="B4" s="52"/>
      <c r="C4" s="52"/>
      <c r="D4" s="52"/>
      <c r="E4" s="52"/>
      <c r="F4" s="52"/>
      <c r="G4" s="52"/>
      <c r="H4" s="52"/>
      <c r="I4" s="52"/>
      <c r="J4" s="52"/>
      <c r="K4" s="52"/>
    </row>
    <row r="5" spans="1:11" ht="18" x14ac:dyDescent="0.35">
      <c r="A5" s="54" t="s">
        <v>45</v>
      </c>
      <c r="B5" s="54"/>
      <c r="C5" s="54"/>
      <c r="D5" s="54"/>
      <c r="E5" s="54"/>
      <c r="F5" s="54"/>
      <c r="G5" s="54"/>
      <c r="H5" s="54"/>
      <c r="I5" s="54"/>
      <c r="J5" s="54"/>
      <c r="K5" s="54"/>
    </row>
    <row r="6" spans="1:11" ht="18" x14ac:dyDescent="0.35">
      <c r="A6" s="55" t="s">
        <v>46</v>
      </c>
      <c r="B6" s="55"/>
      <c r="C6" s="56">
        <f>F34</f>
        <v>573362.97638442495</v>
      </c>
      <c r="D6" s="57"/>
      <c r="E6" s="58"/>
      <c r="F6" s="55"/>
      <c r="G6" s="55"/>
      <c r="H6" s="55" t="s">
        <v>47</v>
      </c>
      <c r="I6" s="55"/>
      <c r="J6" s="56">
        <f>I34</f>
        <v>556359.07746113103</v>
      </c>
      <c r="K6" s="57"/>
    </row>
    <row r="7" spans="1:11" x14ac:dyDescent="0.3">
      <c r="A7" s="59" t="s">
        <v>48</v>
      </c>
      <c r="B7" s="59"/>
      <c r="C7" s="59"/>
      <c r="D7" s="59"/>
      <c r="F7" s="60"/>
      <c r="G7" s="60"/>
      <c r="I7" s="61" t="s">
        <v>49</v>
      </c>
      <c r="J7" s="61"/>
      <c r="K7" s="61"/>
    </row>
    <row r="8" spans="1:11" ht="15.6" x14ac:dyDescent="0.3">
      <c r="A8" s="62" t="str">
        <f>estimate!A6</f>
        <v>Project:-तिनघरे बाटो स्तरोन्नति</v>
      </c>
      <c r="B8" s="62"/>
      <c r="C8" s="62"/>
      <c r="D8" s="62"/>
      <c r="E8" s="62"/>
      <c r="F8" s="62"/>
      <c r="I8" s="63" t="s">
        <v>58</v>
      </c>
      <c r="J8" s="63"/>
      <c r="K8" s="63"/>
    </row>
    <row r="9" spans="1:11" x14ac:dyDescent="0.3">
      <c r="A9" s="64" t="str">
        <f>estimate!A7</f>
        <v>Location:- Shankharapur Municipality 1</v>
      </c>
      <c r="B9" s="64"/>
      <c r="C9" s="64"/>
      <c r="D9" s="64"/>
      <c r="E9" s="64"/>
      <c r="F9" s="64"/>
      <c r="I9" s="63" t="s">
        <v>59</v>
      </c>
      <c r="J9" s="63"/>
      <c r="K9" s="63"/>
    </row>
    <row r="11" spans="1:11" x14ac:dyDescent="0.3">
      <c r="A11" s="65" t="s">
        <v>50</v>
      </c>
      <c r="B11" s="65" t="s">
        <v>51</v>
      </c>
      <c r="C11" s="65" t="s">
        <v>12</v>
      </c>
      <c r="D11" s="66" t="s">
        <v>52</v>
      </c>
      <c r="E11" s="66"/>
      <c r="F11" s="66"/>
      <c r="G11" s="66" t="s">
        <v>53</v>
      </c>
      <c r="H11" s="66"/>
      <c r="I11" s="66"/>
      <c r="J11" s="65" t="s">
        <v>54</v>
      </c>
      <c r="K11" s="67" t="s">
        <v>55</v>
      </c>
    </row>
    <row r="12" spans="1:11" x14ac:dyDescent="0.3">
      <c r="A12" s="65"/>
      <c r="B12" s="65"/>
      <c r="C12" s="65"/>
      <c r="D12" s="68" t="s">
        <v>56</v>
      </c>
      <c r="E12" s="68" t="s">
        <v>13</v>
      </c>
      <c r="F12" s="68" t="s">
        <v>14</v>
      </c>
      <c r="G12" s="68" t="s">
        <v>56</v>
      </c>
      <c r="H12" s="68" t="s">
        <v>13</v>
      </c>
      <c r="I12" s="68" t="s">
        <v>14</v>
      </c>
      <c r="J12" s="65"/>
      <c r="K12" s="67"/>
    </row>
    <row r="13" spans="1:11" s="53" customFormat="1" ht="140.4" x14ac:dyDescent="0.3">
      <c r="A13" s="69">
        <f>estimate!A9</f>
        <v>1</v>
      </c>
      <c r="B13" s="70" t="str">
        <f>estimate!B9</f>
        <v>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v>
      </c>
      <c r="C13" s="71" t="str">
        <f>estimate!H11</f>
        <v>m3</v>
      </c>
      <c r="D13" s="71">
        <f>estimate!G11</f>
        <v>83.25</v>
      </c>
      <c r="E13" s="71">
        <f>estimate!I11</f>
        <v>62.95</v>
      </c>
      <c r="F13" s="71">
        <f>D13*E13</f>
        <v>5240.5875000000005</v>
      </c>
      <c r="G13" s="71">
        <f>valuation!G12</f>
        <v>65.115000000000009</v>
      </c>
      <c r="H13" s="71">
        <f>valuation!I12</f>
        <v>62.95</v>
      </c>
      <c r="I13" s="71">
        <f>G13*H13</f>
        <v>4098.9892500000005</v>
      </c>
      <c r="J13" s="72">
        <f>I13-F13</f>
        <v>-1141.59825</v>
      </c>
      <c r="K13" s="73"/>
    </row>
    <row r="14" spans="1:11" s="53" customFormat="1" ht="15.6" x14ac:dyDescent="0.3">
      <c r="A14" s="69"/>
      <c r="B14" s="74" t="str">
        <f>estimate!B12</f>
        <v>-13% VAT for materials</v>
      </c>
      <c r="C14" s="71"/>
      <c r="D14" s="71"/>
      <c r="E14" s="71"/>
      <c r="F14" s="71">
        <f>estimate!J12</f>
        <v>559.52324999999996</v>
      </c>
      <c r="G14" s="71"/>
      <c r="H14" s="71"/>
      <c r="I14" s="71">
        <f>valuation!J13</f>
        <v>437.63791500000008</v>
      </c>
      <c r="J14" s="72">
        <f>I14-F14</f>
        <v>-121.88533499999988</v>
      </c>
      <c r="K14" s="73"/>
    </row>
    <row r="15" spans="1:11" s="53" customFormat="1" x14ac:dyDescent="0.3">
      <c r="A15" s="75"/>
      <c r="B15" s="76"/>
      <c r="C15" s="71"/>
      <c r="D15" s="71"/>
      <c r="E15" s="71"/>
      <c r="F15" s="71"/>
      <c r="G15" s="71"/>
      <c r="H15" s="71"/>
      <c r="I15" s="71"/>
      <c r="J15" s="72"/>
      <c r="K15" s="73"/>
    </row>
    <row r="16" spans="1:11" s="53" customFormat="1" ht="78" x14ac:dyDescent="0.3">
      <c r="A16" s="69">
        <f>estimate!A14</f>
        <v>2</v>
      </c>
      <c r="B16" s="70" t="str">
        <f>estimate!B14</f>
        <v>Providing and laying of hand pack locally available Stone soling with 150 to 200 mm thick stones and packing with smaller stone on prepared surface as per Drawing and Technical Specifications.</v>
      </c>
      <c r="C16" s="71" t="str">
        <f>estimate!H16</f>
        <v>m3</v>
      </c>
      <c r="D16" s="71">
        <f>estimate!G16</f>
        <v>4.1624999999999996</v>
      </c>
      <c r="E16" s="71">
        <f>estimate!I16</f>
        <v>4458.5200000000004</v>
      </c>
      <c r="F16" s="71">
        <f>D16*E16</f>
        <v>18558.589500000002</v>
      </c>
      <c r="G16" s="71">
        <f>valuation!G18</f>
        <v>3.2557499999999999</v>
      </c>
      <c r="H16" s="71">
        <f>valuation!I18</f>
        <v>4458.5200000000004</v>
      </c>
      <c r="I16" s="71">
        <f>G16*H16</f>
        <v>14515.826490000001</v>
      </c>
      <c r="J16" s="72">
        <f>I16-F16</f>
        <v>-4042.7630100000006</v>
      </c>
      <c r="K16" s="73"/>
    </row>
    <row r="17" spans="1:13" s="53" customFormat="1" ht="15.6" x14ac:dyDescent="0.3">
      <c r="A17" s="69"/>
      <c r="B17" s="74" t="str">
        <f>estimate!B17</f>
        <v>-13% VAT for materials</v>
      </c>
      <c r="C17" s="71"/>
      <c r="D17" s="71"/>
      <c r="E17" s="71"/>
      <c r="F17" s="71">
        <f>estimate!J17</f>
        <v>1603.6347599999999</v>
      </c>
      <c r="G17" s="71"/>
      <c r="H17" s="71"/>
      <c r="I17" s="71">
        <f>valuation!J19</f>
        <v>1254.3024312</v>
      </c>
      <c r="J17" s="72">
        <f>I17-F17</f>
        <v>-349.33232879999991</v>
      </c>
      <c r="K17" s="73"/>
    </row>
    <row r="18" spans="1:13" s="53" customFormat="1" x14ac:dyDescent="0.3">
      <c r="A18" s="75"/>
      <c r="B18" s="76"/>
      <c r="C18" s="71"/>
      <c r="D18" s="71"/>
      <c r="E18" s="71"/>
      <c r="F18" s="71"/>
      <c r="G18" s="71"/>
      <c r="H18" s="71"/>
      <c r="I18" s="71"/>
      <c r="J18" s="72"/>
      <c r="K18" s="73"/>
    </row>
    <row r="19" spans="1:13" s="53" customFormat="1" ht="62.4" x14ac:dyDescent="0.3">
      <c r="A19" s="69">
        <f>estimate!A19</f>
        <v>3</v>
      </c>
      <c r="B19" s="70" t="str">
        <f>estimate!B19</f>
        <v>Providing and laying of Plain/Reinforced Cement Concrete in Foundation complete as per Drawing and Technical Specifications, PCC Grade M 15</v>
      </c>
      <c r="C19" s="71" t="str">
        <f>estimate!H22</f>
        <v>m3</v>
      </c>
      <c r="D19" s="71">
        <f>estimate!G22</f>
        <v>1.8037500000000002</v>
      </c>
      <c r="E19" s="71">
        <f>estimate!I22</f>
        <v>10964.46</v>
      </c>
      <c r="F19" s="71">
        <f>D19*E19</f>
        <v>19777.144725000002</v>
      </c>
      <c r="G19" s="71">
        <f>valuation!G26</f>
        <v>1.3615000000000002</v>
      </c>
      <c r="H19" s="71">
        <f>valuation!I26</f>
        <v>10964.46</v>
      </c>
      <c r="I19" s="71">
        <f>G19*H19</f>
        <v>14928.112290000001</v>
      </c>
      <c r="J19" s="72">
        <f>I19-F19</f>
        <v>-4849.032435000001</v>
      </c>
      <c r="K19" s="73"/>
    </row>
    <row r="20" spans="1:13" s="53" customFormat="1" ht="15.6" x14ac:dyDescent="0.3">
      <c r="A20" s="69"/>
      <c r="B20" s="74" t="str">
        <f>estimate!B23</f>
        <v>-13% VAT for cement</v>
      </c>
      <c r="C20" s="71"/>
      <c r="D20" s="71"/>
      <c r="E20" s="71"/>
      <c r="F20" s="71">
        <f>estimate!J23</f>
        <v>841.31035397500023</v>
      </c>
      <c r="G20" s="71"/>
      <c r="H20" s="71"/>
      <c r="I20" s="71">
        <f>valuation!J27</f>
        <v>635.03481465666675</v>
      </c>
      <c r="J20" s="72">
        <f t="shared" ref="J20:J23" si="0">I20-F20</f>
        <v>-206.27553931833347</v>
      </c>
      <c r="K20" s="73"/>
    </row>
    <row r="21" spans="1:13" s="53" customFormat="1" ht="15.6" x14ac:dyDescent="0.3">
      <c r="A21" s="69"/>
      <c r="B21" s="74" t="str">
        <f>estimate!B24</f>
        <v>-13% VAT for sand</v>
      </c>
      <c r="C21" s="71"/>
      <c r="D21" s="71"/>
      <c r="E21" s="71"/>
      <c r="F21" s="71">
        <f>estimate!J24</f>
        <v>335.0451195</v>
      </c>
      <c r="G21" s="71"/>
      <c r="H21" s="71"/>
      <c r="I21" s="71">
        <f>valuation!J28</f>
        <v>252.89753579999999</v>
      </c>
      <c r="J21" s="72">
        <f t="shared" si="0"/>
        <v>-82.147583700000013</v>
      </c>
      <c r="K21" s="73"/>
    </row>
    <row r="22" spans="1:13" s="53" customFormat="1" ht="15.6" x14ac:dyDescent="0.3">
      <c r="A22" s="69"/>
      <c r="B22" s="74" t="str">
        <f>estimate!B25</f>
        <v>-13% VAT for aggregate</v>
      </c>
      <c r="C22" s="71"/>
      <c r="D22" s="71"/>
      <c r="E22" s="71"/>
      <c r="F22" s="71">
        <f>estimate!J25</f>
        <v>681.25840964999998</v>
      </c>
      <c r="G22" s="71"/>
      <c r="H22" s="71"/>
      <c r="I22" s="71">
        <f>valuation!J29</f>
        <v>514.22498945999996</v>
      </c>
      <c r="J22" s="72">
        <f t="shared" si="0"/>
        <v>-167.03342019000002</v>
      </c>
      <c r="K22" s="73"/>
    </row>
    <row r="23" spans="1:13" s="53" customFormat="1" ht="15.6" x14ac:dyDescent="0.3">
      <c r="A23" s="69"/>
      <c r="B23" s="74" t="str">
        <f>estimate!B26</f>
        <v>-13% VAT for formworks</v>
      </c>
      <c r="C23" s="71"/>
      <c r="D23" s="71"/>
      <c r="E23" s="71"/>
      <c r="F23" s="71">
        <f>estimate!J26</f>
        <v>98.886505250000013</v>
      </c>
      <c r="G23" s="71"/>
      <c r="H23" s="71"/>
      <c r="I23" s="71">
        <f>valuation!J30</f>
        <v>74.641151433333334</v>
      </c>
      <c r="J23" s="72">
        <f t="shared" si="0"/>
        <v>-24.245353816666679</v>
      </c>
      <c r="K23" s="73"/>
    </row>
    <row r="24" spans="1:13" s="53" customFormat="1" ht="15.6" x14ac:dyDescent="0.3">
      <c r="A24" s="69"/>
      <c r="B24" s="74" t="str">
        <f>estimate!B27</f>
        <v>-13% VAT for water</v>
      </c>
      <c r="C24" s="71"/>
      <c r="D24" s="71"/>
      <c r="E24" s="71"/>
      <c r="F24" s="71"/>
      <c r="G24" s="71"/>
      <c r="H24" s="71"/>
      <c r="I24" s="71"/>
      <c r="J24" s="72"/>
      <c r="K24" s="73"/>
    </row>
    <row r="25" spans="1:13" s="53" customFormat="1" x14ac:dyDescent="0.3">
      <c r="A25" s="75"/>
      <c r="B25" s="76"/>
      <c r="C25" s="71"/>
      <c r="D25" s="71"/>
      <c r="E25" s="71"/>
      <c r="F25" s="71"/>
      <c r="G25" s="71"/>
      <c r="H25" s="71"/>
      <c r="I25" s="71"/>
      <c r="J25" s="72"/>
      <c r="K25" s="73"/>
    </row>
    <row r="26" spans="1:13" s="53" customFormat="1" ht="78" x14ac:dyDescent="0.3">
      <c r="A26" s="69">
        <f>estimate!A29</f>
        <v>4</v>
      </c>
      <c r="B26" s="70" t="str">
        <f>estimate!B29</f>
        <v>Random Rubble Masonry, Providing and laying of Stone Masonry Work in Cement Mortar 1:6 in Foundation complete as per Drawing and Technical Specifications., Using Concrete Mixer</v>
      </c>
      <c r="C26" s="71" t="str">
        <f>estimate!H31</f>
        <v>m3</v>
      </c>
      <c r="D26" s="71">
        <f>estimate!G31</f>
        <v>54.112499999999997</v>
      </c>
      <c r="E26" s="71">
        <f>estimate!I31</f>
        <v>8987.83</v>
      </c>
      <c r="F26" s="71">
        <f>D26*E26</f>
        <v>486353.95087499998</v>
      </c>
      <c r="G26" s="71">
        <f>valuation!G36</f>
        <v>53.492250000000006</v>
      </c>
      <c r="H26" s="71">
        <f>valuation!I36</f>
        <v>8987.83</v>
      </c>
      <c r="I26" s="71">
        <f>G26*H26</f>
        <v>480779.24931750004</v>
      </c>
      <c r="J26" s="72">
        <f>I26-F26</f>
        <v>-5574.7015574999386</v>
      </c>
      <c r="K26" s="73"/>
    </row>
    <row r="27" spans="1:13" s="53" customFormat="1" ht="15.6" x14ac:dyDescent="0.3">
      <c r="A27" s="69"/>
      <c r="B27" s="74" t="str">
        <f>estimate!B32</f>
        <v>-13% VAT for cement</v>
      </c>
      <c r="C27" s="71"/>
      <c r="D27" s="71"/>
      <c r="E27" s="71"/>
      <c r="F27" s="71">
        <f>estimate!J32</f>
        <v>8250.1378537500004</v>
      </c>
      <c r="G27" s="71"/>
      <c r="H27" s="71"/>
      <c r="I27" s="71">
        <f>valuation!J37</f>
        <v>8155.5728640750003</v>
      </c>
      <c r="J27" s="72">
        <f>I27-F27</f>
        <v>-94.564989675000106</v>
      </c>
      <c r="K27" s="73"/>
    </row>
    <row r="28" spans="1:13" s="53" customFormat="1" ht="15.6" x14ac:dyDescent="0.3">
      <c r="A28" s="69"/>
      <c r="B28" s="74" t="str">
        <f>estimate!B33</f>
        <v>-13% VAT for sand</v>
      </c>
      <c r="C28" s="71"/>
      <c r="D28" s="71"/>
      <c r="E28" s="71"/>
      <c r="F28" s="71">
        <f>estimate!J33</f>
        <v>9291.9179808000008</v>
      </c>
      <c r="G28" s="71"/>
      <c r="H28" s="71"/>
      <c r="I28" s="71">
        <f>valuation!J38</f>
        <v>9185.4118661760021</v>
      </c>
      <c r="J28" s="72">
        <f t="shared" ref="J28:J30" si="1">I28-F28</f>
        <v>-106.50611462399866</v>
      </c>
      <c r="K28" s="73"/>
    </row>
    <row r="29" spans="1:13" s="53" customFormat="1" ht="15.6" x14ac:dyDescent="0.3">
      <c r="A29" s="69"/>
      <c r="B29" s="74" t="str">
        <f>estimate!B34</f>
        <v>-13% VAT for stone</v>
      </c>
      <c r="C29" s="71"/>
      <c r="D29" s="71"/>
      <c r="E29" s="71"/>
      <c r="F29" s="71">
        <f>estimate!J34</f>
        <v>20834.842801500003</v>
      </c>
      <c r="G29" s="71"/>
      <c r="H29" s="71"/>
      <c r="I29" s="71">
        <f>valuation!J39</f>
        <v>20596.029010830003</v>
      </c>
      <c r="J29" s="72">
        <f t="shared" si="1"/>
        <v>-238.81379066999943</v>
      </c>
      <c r="K29" s="73"/>
    </row>
    <row r="30" spans="1:13" s="53" customFormat="1" ht="15.6" x14ac:dyDescent="0.3">
      <c r="A30" s="69"/>
      <c r="B30" s="74" t="str">
        <f>estimate!B35</f>
        <v>-13% VAT for water</v>
      </c>
      <c r="C30" s="71"/>
      <c r="D30" s="71"/>
      <c r="E30" s="71"/>
      <c r="F30" s="71">
        <f>estimate!J35</f>
        <v>436.14675</v>
      </c>
      <c r="G30" s="71"/>
      <c r="H30" s="71"/>
      <c r="I30" s="71">
        <f>valuation!J40</f>
        <v>431.14753500000006</v>
      </c>
      <c r="J30" s="72">
        <f t="shared" si="1"/>
        <v>-4.9992149999999356</v>
      </c>
      <c r="K30" s="73"/>
    </row>
    <row r="31" spans="1:13" s="53" customFormat="1" x14ac:dyDescent="0.3">
      <c r="A31" s="75"/>
      <c r="B31" s="76"/>
      <c r="C31" s="71"/>
      <c r="D31" s="71"/>
      <c r="E31" s="71"/>
      <c r="F31" s="71"/>
      <c r="G31" s="71"/>
      <c r="H31" s="71"/>
      <c r="I31" s="71"/>
      <c r="J31" s="72"/>
      <c r="K31" s="73"/>
      <c r="M31" s="77"/>
    </row>
    <row r="32" spans="1:13" s="53" customFormat="1" x14ac:dyDescent="0.3">
      <c r="A32" s="69">
        <f>estimate!A37</f>
        <v>5</v>
      </c>
      <c r="B32" s="78" t="str">
        <f>estimate!B37</f>
        <v>Information board (सुचना पाटि)</v>
      </c>
      <c r="C32" s="71" t="str">
        <f>estimate!H37</f>
        <v>no.</v>
      </c>
      <c r="D32" s="71">
        <f>estimate!G37</f>
        <v>1</v>
      </c>
      <c r="E32" s="71">
        <f>estimate!I37</f>
        <v>500</v>
      </c>
      <c r="F32" s="71">
        <f>D32*E32</f>
        <v>500</v>
      </c>
      <c r="G32" s="71">
        <f>valuation!G42</f>
        <v>1</v>
      </c>
      <c r="H32" s="71">
        <f>valuation!I42</f>
        <v>500</v>
      </c>
      <c r="I32" s="71">
        <f>G32*H32</f>
        <v>500</v>
      </c>
      <c r="J32" s="72">
        <f>I32-F32</f>
        <v>0</v>
      </c>
      <c r="K32" s="73"/>
    </row>
    <row r="33" spans="1:11" s="53" customFormat="1" x14ac:dyDescent="0.3">
      <c r="A33" s="76"/>
      <c r="B33" s="76"/>
      <c r="C33" s="71"/>
      <c r="D33" s="71"/>
      <c r="E33" s="71"/>
      <c r="F33" s="71"/>
      <c r="G33" s="71"/>
      <c r="H33" s="71"/>
      <c r="I33" s="71"/>
      <c r="J33" s="72"/>
      <c r="K33" s="73"/>
    </row>
    <row r="34" spans="1:11" x14ac:dyDescent="0.3">
      <c r="A34" s="79"/>
      <c r="B34" s="80" t="s">
        <v>21</v>
      </c>
      <c r="C34" s="80"/>
      <c r="D34" s="81"/>
      <c r="E34" s="81"/>
      <c r="F34" s="81">
        <f>SUM(F13:F32)</f>
        <v>573362.97638442495</v>
      </c>
      <c r="G34" s="81"/>
      <c r="H34" s="81"/>
      <c r="I34" s="81">
        <f>SUM(I13:I32)</f>
        <v>556359.07746113103</v>
      </c>
      <c r="J34" s="82">
        <f>I34-F34</f>
        <v>-17003.89892329392</v>
      </c>
      <c r="K34" s="79"/>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A1:K1"/>
    <mergeCell ref="A2:K2"/>
    <mergeCell ref="A3:K3"/>
    <mergeCell ref="A4:K4"/>
    <mergeCell ref="A5:K5"/>
    <mergeCell ref="C6:D6"/>
    <mergeCell ref="J6:K6"/>
  </mergeCells>
  <printOptions horizontalCentered="1"/>
  <pageMargins left="0.7" right="0.7" top="0.75" bottom="0.75" header="0.3" footer="0.3"/>
  <pageSetup scale="80" orientation="landscape" horizontalDpi="300" verticalDpi="300" r:id="rId1"/>
  <headerFooter>
    <oddFooter xml:space="preserve">&amp;LPrepared By:
&amp;CChecked By:
&amp;RApproved By: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view="pageBreakPreview" topLeftCell="A37" zoomScale="95" zoomScaleNormal="90" zoomScaleSheetLayoutView="95" workbookViewId="0">
      <selection activeCell="A46" sqref="A46:XFD51"/>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60</v>
      </c>
      <c r="B5" s="42"/>
      <c r="C5" s="42"/>
      <c r="D5" s="42"/>
      <c r="E5" s="42"/>
      <c r="F5" s="42"/>
      <c r="G5" s="42"/>
      <c r="H5" s="42"/>
      <c r="I5" s="42"/>
      <c r="J5" s="42"/>
      <c r="K5" s="42"/>
    </row>
    <row r="6" spans="1:16" ht="15.6" x14ac:dyDescent="0.3">
      <c r="A6" s="37" t="s">
        <v>29</v>
      </c>
      <c r="B6" s="37"/>
      <c r="C6" s="37"/>
      <c r="D6" s="37"/>
      <c r="E6" s="37"/>
      <c r="F6" s="37"/>
      <c r="G6" s="10"/>
      <c r="H6" s="38" t="s">
        <v>28</v>
      </c>
      <c r="I6" s="38"/>
      <c r="J6" s="38"/>
      <c r="K6" s="38"/>
    </row>
    <row r="7" spans="1:16" ht="15.6" x14ac:dyDescent="0.3">
      <c r="A7" s="45" t="s">
        <v>57</v>
      </c>
      <c r="B7" s="45"/>
      <c r="C7" s="45"/>
      <c r="D7" s="45"/>
      <c r="E7" s="45"/>
      <c r="F7" s="45"/>
      <c r="G7" s="11"/>
      <c r="H7" s="46" t="s">
        <v>22</v>
      </c>
      <c r="I7" s="46"/>
      <c r="J7" s="46"/>
      <c r="K7" s="46"/>
    </row>
    <row r="8" spans="1:16" ht="15.6" x14ac:dyDescent="0.3">
      <c r="A8" s="12" t="s">
        <v>5</v>
      </c>
      <c r="B8" s="13" t="s">
        <v>6</v>
      </c>
      <c r="C8" s="12" t="s">
        <v>7</v>
      </c>
      <c r="D8" s="14" t="s">
        <v>8</v>
      </c>
      <c r="E8" s="14" t="s">
        <v>9</v>
      </c>
      <c r="F8" s="14" t="s">
        <v>10</v>
      </c>
      <c r="G8" s="14" t="s">
        <v>11</v>
      </c>
      <c r="H8" s="12" t="s">
        <v>12</v>
      </c>
      <c r="I8" s="14" t="s">
        <v>13</v>
      </c>
      <c r="J8" s="14" t="s">
        <v>14</v>
      </c>
      <c r="K8" s="15" t="s">
        <v>15</v>
      </c>
    </row>
    <row r="9" spans="1:16" ht="188.25" customHeight="1" x14ac:dyDescent="0.3">
      <c r="A9" s="16">
        <v>1</v>
      </c>
      <c r="B9" s="35" t="s">
        <v>39</v>
      </c>
      <c r="C9" s="17"/>
      <c r="D9" s="17"/>
      <c r="E9" s="17"/>
      <c r="F9" s="17"/>
      <c r="G9" s="17"/>
      <c r="H9" s="17"/>
      <c r="I9" s="17"/>
      <c r="J9" s="17"/>
      <c r="K9" s="17"/>
    </row>
    <row r="10" spans="1:16" x14ac:dyDescent="0.3">
      <c r="A10" s="16"/>
      <c r="B10" s="32" t="s">
        <v>43</v>
      </c>
      <c r="C10" s="17">
        <v>1</v>
      </c>
      <c r="D10" s="33">
        <f>D34</f>
        <v>7.9</v>
      </c>
      <c r="E10" s="33">
        <f>E22</f>
        <v>1.95</v>
      </c>
      <c r="F10" s="33">
        <v>3</v>
      </c>
      <c r="G10" s="33">
        <f>PRODUCT(C10:F10)</f>
        <v>46.215000000000003</v>
      </c>
      <c r="H10" s="17"/>
      <c r="I10" s="17"/>
      <c r="J10" s="17"/>
      <c r="K10" s="17"/>
      <c r="M10" s="33">
        <f>7</f>
        <v>7</v>
      </c>
      <c r="N10" s="33">
        <f>2</f>
        <v>2</v>
      </c>
      <c r="O10" s="33"/>
      <c r="P10" s="33">
        <f>PI()*M10*SQRT(M10^2+N10^2)</f>
        <v>160.09797821843054</v>
      </c>
    </row>
    <row r="11" spans="1:16" x14ac:dyDescent="0.3">
      <c r="A11" s="16"/>
      <c r="B11" s="32" t="s">
        <v>44</v>
      </c>
      <c r="C11" s="17">
        <v>1</v>
      </c>
      <c r="D11" s="33">
        <f>D35</f>
        <v>3.15</v>
      </c>
      <c r="E11" s="33">
        <f>E24</f>
        <v>2</v>
      </c>
      <c r="F11" s="33">
        <v>3</v>
      </c>
      <c r="G11" s="33">
        <f>PRODUCT(C11:F11)</f>
        <v>18.899999999999999</v>
      </c>
      <c r="H11" s="17"/>
      <c r="I11" s="17"/>
      <c r="J11" s="17"/>
      <c r="K11" s="17"/>
      <c r="M11" s="33">
        <f>7</f>
        <v>7</v>
      </c>
      <c r="N11" s="33">
        <f>2</f>
        <v>2</v>
      </c>
      <c r="O11" s="33"/>
      <c r="P11" s="33">
        <f>PI()*M11*SQRT(M11^2+N11^2)</f>
        <v>160.09797821843054</v>
      </c>
    </row>
    <row r="12" spans="1:16" ht="15" customHeight="1" x14ac:dyDescent="0.3">
      <c r="A12" s="2"/>
      <c r="B12" s="34" t="s">
        <v>16</v>
      </c>
      <c r="C12" s="3"/>
      <c r="D12" s="4"/>
      <c r="E12" s="5"/>
      <c r="F12" s="5"/>
      <c r="G12" s="6">
        <f>SUM(G10:G11)</f>
        <v>65.115000000000009</v>
      </c>
      <c r="H12" s="7" t="s">
        <v>17</v>
      </c>
      <c r="I12" s="6">
        <v>62.95</v>
      </c>
      <c r="J12" s="18">
        <f>G12*I12</f>
        <v>4098.9892500000005</v>
      </c>
      <c r="K12" s="5"/>
    </row>
    <row r="13" spans="1:16" x14ac:dyDescent="0.3">
      <c r="A13" s="16"/>
      <c r="B13" s="32" t="s">
        <v>23</v>
      </c>
      <c r="C13" s="17"/>
      <c r="D13" s="17"/>
      <c r="E13" s="17"/>
      <c r="F13" s="17"/>
      <c r="G13" s="17"/>
      <c r="H13" s="17"/>
      <c r="I13" s="17"/>
      <c r="J13" s="18">
        <f>0.13*G12*(18612)/360</f>
        <v>437.63791500000008</v>
      </c>
      <c r="K13" s="17"/>
    </row>
    <row r="14" spans="1:16" x14ac:dyDescent="0.3">
      <c r="A14" s="16"/>
      <c r="B14" s="17"/>
      <c r="C14" s="17"/>
      <c r="D14" s="17"/>
      <c r="E14" s="17"/>
      <c r="F14" s="17"/>
      <c r="G14" s="17"/>
      <c r="H14" s="17"/>
      <c r="I14" s="17"/>
      <c r="J14" s="17"/>
      <c r="K14" s="17"/>
    </row>
    <row r="15" spans="1:16" ht="109.2" x14ac:dyDescent="0.3">
      <c r="A15" s="16">
        <v>2</v>
      </c>
      <c r="B15" s="35" t="s">
        <v>31</v>
      </c>
      <c r="C15" s="17"/>
      <c r="D15" s="17"/>
      <c r="E15" s="17"/>
      <c r="F15" s="17"/>
      <c r="G15" s="17"/>
      <c r="H15" s="17"/>
      <c r="I15" s="17"/>
      <c r="J15" s="17"/>
      <c r="K15" s="17"/>
    </row>
    <row r="16" spans="1:16" x14ac:dyDescent="0.3">
      <c r="A16" s="16"/>
      <c r="B16" s="32" t="str">
        <f>B10</f>
        <v>-for masonary wall section 1</v>
      </c>
      <c r="C16" s="17">
        <v>1</v>
      </c>
      <c r="D16" s="33">
        <f>D34</f>
        <v>7.9</v>
      </c>
      <c r="E16" s="33">
        <f>E22</f>
        <v>1.95</v>
      </c>
      <c r="F16" s="33">
        <v>0.15</v>
      </c>
      <c r="G16" s="33">
        <f>PRODUCT(C16:F16)</f>
        <v>2.3107500000000001</v>
      </c>
      <c r="H16" s="17"/>
      <c r="I16" s="17"/>
      <c r="J16" s="17"/>
      <c r="K16" s="17"/>
      <c r="M16" s="33">
        <f>7</f>
        <v>7</v>
      </c>
      <c r="N16" s="33">
        <f>2</f>
        <v>2</v>
      </c>
      <c r="O16" s="33"/>
      <c r="P16" s="33">
        <f>PI()*M16*SQRT(M16^2+N16^2)</f>
        <v>160.09797821843054</v>
      </c>
    </row>
    <row r="17" spans="1:16" x14ac:dyDescent="0.3">
      <c r="A17" s="16"/>
      <c r="B17" s="32" t="str">
        <f>B11</f>
        <v>-for masonary wall section 2</v>
      </c>
      <c r="C17" s="17">
        <v>1</v>
      </c>
      <c r="D17" s="33">
        <f>D35</f>
        <v>3.15</v>
      </c>
      <c r="E17" s="33">
        <f>E24</f>
        <v>2</v>
      </c>
      <c r="F17" s="33">
        <v>0.15</v>
      </c>
      <c r="G17" s="33">
        <f>PRODUCT(C17:F17)</f>
        <v>0.94499999999999995</v>
      </c>
      <c r="H17" s="17"/>
      <c r="I17" s="17"/>
      <c r="J17" s="17"/>
      <c r="K17" s="17"/>
      <c r="M17" s="33">
        <f>7</f>
        <v>7</v>
      </c>
      <c r="N17" s="33">
        <f>2</f>
        <v>2</v>
      </c>
      <c r="O17" s="33"/>
      <c r="P17" s="33">
        <f>PI()*M17*SQRT(M17^2+N17^2)</f>
        <v>160.09797821843054</v>
      </c>
    </row>
    <row r="18" spans="1:16" ht="15" customHeight="1" x14ac:dyDescent="0.3">
      <c r="A18" s="2"/>
      <c r="B18" s="34" t="s">
        <v>16</v>
      </c>
      <c r="C18" s="3"/>
      <c r="D18" s="4"/>
      <c r="E18" s="5"/>
      <c r="F18" s="5"/>
      <c r="G18" s="6">
        <f>SUM(G16:G17)</f>
        <v>3.2557499999999999</v>
      </c>
      <c r="H18" s="7" t="s">
        <v>17</v>
      </c>
      <c r="I18" s="6">
        <v>4458.5200000000004</v>
      </c>
      <c r="J18" s="18">
        <f>G18*I18</f>
        <v>14515.826490000001</v>
      </c>
      <c r="K18" s="5"/>
    </row>
    <row r="19" spans="1:16" x14ac:dyDescent="0.3">
      <c r="A19" s="16"/>
      <c r="B19" s="32" t="s">
        <v>23</v>
      </c>
      <c r="C19" s="17"/>
      <c r="D19" s="17"/>
      <c r="E19" s="17"/>
      <c r="F19" s="17"/>
      <c r="G19" s="17"/>
      <c r="H19" s="17"/>
      <c r="I19" s="17"/>
      <c r="J19" s="18">
        <f>0.13*G18*(14817.6)/5</f>
        <v>1254.3024312</v>
      </c>
      <c r="K19" s="17"/>
    </row>
    <row r="20" spans="1:16" x14ac:dyDescent="0.3">
      <c r="A20" s="16"/>
      <c r="B20" s="17"/>
      <c r="C20" s="17"/>
      <c r="D20" s="17"/>
      <c r="E20" s="17"/>
      <c r="F20" s="17"/>
      <c r="G20" s="17"/>
      <c r="H20" s="17"/>
      <c r="I20" s="17"/>
      <c r="J20" s="17"/>
      <c r="K20" s="17"/>
    </row>
    <row r="21" spans="1:16" ht="78" x14ac:dyDescent="0.3">
      <c r="A21" s="16">
        <v>3</v>
      </c>
      <c r="B21" s="35" t="s">
        <v>32</v>
      </c>
      <c r="C21" s="17"/>
      <c r="D21" s="17"/>
      <c r="E21" s="17"/>
      <c r="F21" s="17"/>
      <c r="G21" s="17"/>
      <c r="H21" s="17"/>
      <c r="I21" s="17"/>
      <c r="J21" s="17"/>
      <c r="K21" s="17"/>
    </row>
    <row r="22" spans="1:16" x14ac:dyDescent="0.3">
      <c r="A22" s="16"/>
      <c r="B22" s="32" t="str">
        <f>B16</f>
        <v>-for masonary wall section 1</v>
      </c>
      <c r="C22" s="17">
        <v>1</v>
      </c>
      <c r="D22" s="33">
        <f>D34</f>
        <v>7.9</v>
      </c>
      <c r="E22" s="33">
        <f>F34/2</f>
        <v>1.95</v>
      </c>
      <c r="F22" s="33">
        <v>0.05</v>
      </c>
      <c r="G22" s="33">
        <f>PRODUCT(C22:F22)</f>
        <v>0.7702500000000001</v>
      </c>
      <c r="H22" s="17"/>
      <c r="I22" s="17"/>
      <c r="J22" s="17"/>
      <c r="K22" s="17"/>
      <c r="M22" s="33">
        <f>7</f>
        <v>7</v>
      </c>
      <c r="N22" s="33">
        <f>2</f>
        <v>2</v>
      </c>
      <c r="O22" s="33"/>
      <c r="P22" s="33">
        <f>PI()*M22*SQRT(M22^2+N22^2)</f>
        <v>160.09797821843054</v>
      </c>
    </row>
    <row r="23" spans="1:16" x14ac:dyDescent="0.3">
      <c r="A23" s="16"/>
      <c r="B23" s="32"/>
      <c r="C23" s="17">
        <v>1</v>
      </c>
      <c r="D23" s="33">
        <f>D22</f>
        <v>7.9</v>
      </c>
      <c r="E23" s="33">
        <v>0.5</v>
      </c>
      <c r="F23" s="33">
        <v>0.05</v>
      </c>
      <c r="G23" s="33">
        <f>PRODUCT(C23:F23)</f>
        <v>0.19750000000000001</v>
      </c>
      <c r="H23" s="17"/>
      <c r="I23" s="17"/>
      <c r="J23" s="17"/>
      <c r="K23" s="17"/>
      <c r="M23" s="36"/>
      <c r="N23" s="36"/>
      <c r="O23" s="36"/>
      <c r="P23" s="36"/>
    </row>
    <row r="24" spans="1:16" x14ac:dyDescent="0.3">
      <c r="A24" s="16"/>
      <c r="B24" s="32" t="str">
        <f>B11</f>
        <v>-for masonary wall section 2</v>
      </c>
      <c r="C24" s="17">
        <v>1</v>
      </c>
      <c r="D24" s="33">
        <f>D35</f>
        <v>3.15</v>
      </c>
      <c r="E24" s="33">
        <f>F35/2</f>
        <v>2</v>
      </c>
      <c r="F24" s="33">
        <v>0.05</v>
      </c>
      <c r="G24" s="33">
        <f>PRODUCT(C24:F24)</f>
        <v>0.315</v>
      </c>
      <c r="H24" s="17"/>
      <c r="I24" s="17"/>
      <c r="J24" s="17"/>
      <c r="K24" s="17"/>
      <c r="M24" s="33">
        <f>7</f>
        <v>7</v>
      </c>
      <c r="N24" s="33">
        <f>2</f>
        <v>2</v>
      </c>
      <c r="O24" s="33"/>
      <c r="P24" s="33">
        <f>PI()*M24*SQRT(M24^2+N24^2)</f>
        <v>160.09797821843054</v>
      </c>
    </row>
    <row r="25" spans="1:16" x14ac:dyDescent="0.3">
      <c r="A25" s="16"/>
      <c r="B25" s="32"/>
      <c r="C25" s="17">
        <v>1</v>
      </c>
      <c r="D25" s="33">
        <f>D24</f>
        <v>3.15</v>
      </c>
      <c r="E25" s="33">
        <v>0.5</v>
      </c>
      <c r="F25" s="33">
        <v>0.05</v>
      </c>
      <c r="G25" s="33">
        <f>PRODUCT(C25:F25)</f>
        <v>7.8750000000000001E-2</v>
      </c>
      <c r="H25" s="17"/>
      <c r="I25" s="17"/>
      <c r="J25" s="17"/>
      <c r="K25" s="17"/>
      <c r="M25" s="36"/>
      <c r="N25" s="36"/>
      <c r="O25" s="36"/>
      <c r="P25" s="36"/>
    </row>
    <row r="26" spans="1:16" ht="15" customHeight="1" x14ac:dyDescent="0.3">
      <c r="A26" s="2"/>
      <c r="B26" s="34" t="s">
        <v>16</v>
      </c>
      <c r="C26" s="3"/>
      <c r="D26" s="4"/>
      <c r="E26" s="5"/>
      <c r="F26" s="5"/>
      <c r="G26" s="6">
        <f>SUM(G22:G25)</f>
        <v>1.3615000000000002</v>
      </c>
      <c r="H26" s="7" t="s">
        <v>17</v>
      </c>
      <c r="I26" s="6">
        <v>10964.46</v>
      </c>
      <c r="J26" s="18">
        <f>G26*I26</f>
        <v>14928.112290000001</v>
      </c>
      <c r="K26" s="5"/>
    </row>
    <row r="27" spans="1:16" x14ac:dyDescent="0.3">
      <c r="A27" s="16"/>
      <c r="B27" s="32" t="s">
        <v>33</v>
      </c>
      <c r="C27" s="17"/>
      <c r="D27" s="17"/>
      <c r="E27" s="17"/>
      <c r="F27" s="17"/>
      <c r="G27" s="17"/>
      <c r="H27" s="17"/>
      <c r="I27" s="17"/>
      <c r="J27" s="18">
        <f>0.13*G26*(53818.03)/15</f>
        <v>635.03481465666675</v>
      </c>
      <c r="K27" s="17"/>
    </row>
    <row r="28" spans="1:16" x14ac:dyDescent="0.3">
      <c r="A28" s="16"/>
      <c r="B28" s="32" t="s">
        <v>34</v>
      </c>
      <c r="C28" s="17"/>
      <c r="D28" s="17"/>
      <c r="E28" s="17"/>
      <c r="F28" s="17"/>
      <c r="G28" s="17"/>
      <c r="H28" s="17"/>
      <c r="I28" s="17"/>
      <c r="J28" s="18">
        <f>0.13*G26*(21432.6)/15</f>
        <v>252.89753579999999</v>
      </c>
      <c r="K28" s="17"/>
    </row>
    <row r="29" spans="1:16" x14ac:dyDescent="0.3">
      <c r="A29" s="16"/>
      <c r="B29" s="32" t="s">
        <v>35</v>
      </c>
      <c r="C29" s="17"/>
      <c r="D29" s="17"/>
      <c r="E29" s="17"/>
      <c r="F29" s="17"/>
      <c r="G29" s="17"/>
      <c r="H29" s="17"/>
      <c r="I29" s="17"/>
      <c r="J29" s="18">
        <f>0.13*G26*(25719.12+13573.98+4286.52)/15</f>
        <v>514.22498945999996</v>
      </c>
      <c r="K29" s="17"/>
    </row>
    <row r="30" spans="1:16" x14ac:dyDescent="0.3">
      <c r="A30" s="16"/>
      <c r="B30" s="32" t="s">
        <v>36</v>
      </c>
      <c r="C30" s="17"/>
      <c r="D30" s="17"/>
      <c r="E30" s="17"/>
      <c r="F30" s="17"/>
      <c r="G30" s="17"/>
      <c r="H30" s="17"/>
      <c r="I30" s="17"/>
      <c r="J30" s="18">
        <f>0.13*G26*(6325.7)/15</f>
        <v>74.641151433333334</v>
      </c>
      <c r="K30" s="17"/>
    </row>
    <row r="31" spans="1:16" x14ac:dyDescent="0.3">
      <c r="A31" s="16"/>
      <c r="B31" s="32" t="s">
        <v>40</v>
      </c>
      <c r="C31" s="17"/>
      <c r="D31" s="17"/>
      <c r="E31" s="17"/>
      <c r="F31" s="17"/>
      <c r="G31" s="17"/>
      <c r="H31" s="17"/>
      <c r="I31" s="17"/>
      <c r="J31" s="18">
        <f>0.13*G26*(310)/5</f>
        <v>10.973690000000001</v>
      </c>
      <c r="K31" s="17"/>
    </row>
    <row r="32" spans="1:16" x14ac:dyDescent="0.3">
      <c r="A32" s="16"/>
      <c r="B32" s="17"/>
      <c r="C32" s="17"/>
      <c r="D32" s="17"/>
      <c r="E32" s="17"/>
      <c r="F32" s="17"/>
      <c r="G32" s="17"/>
      <c r="H32" s="17"/>
      <c r="I32" s="17"/>
      <c r="J32" s="17"/>
      <c r="K32" s="17"/>
    </row>
    <row r="33" spans="1:19" ht="109.2" x14ac:dyDescent="0.3">
      <c r="A33" s="16">
        <v>4</v>
      </c>
      <c r="B33" s="35" t="s">
        <v>37</v>
      </c>
      <c r="C33" s="17"/>
      <c r="D33" s="17"/>
      <c r="E33" s="17"/>
      <c r="F33" s="17"/>
      <c r="G33" s="17"/>
      <c r="H33" s="17"/>
      <c r="I33" s="17"/>
      <c r="J33" s="17"/>
      <c r="K33" s="17"/>
    </row>
    <row r="34" spans="1:19" x14ac:dyDescent="0.3">
      <c r="A34" s="16"/>
      <c r="B34" s="32" t="str">
        <f>B22</f>
        <v>-for masonary wall section 1</v>
      </c>
      <c r="C34" s="17">
        <v>1</v>
      </c>
      <c r="D34" s="33">
        <f>7.5+0.4</f>
        <v>7.9</v>
      </c>
      <c r="E34" s="33">
        <f>((F34/2)+0.45)/2</f>
        <v>1.2</v>
      </c>
      <c r="F34" s="33">
        <v>3.9</v>
      </c>
      <c r="G34" s="33">
        <f>PRODUCT(C34:F34)</f>
        <v>36.972000000000001</v>
      </c>
      <c r="H34" s="17"/>
      <c r="I34" s="17"/>
      <c r="J34" s="17"/>
      <c r="K34" s="17"/>
      <c r="M34" s="33">
        <f>7</f>
        <v>7</v>
      </c>
      <c r="N34" s="33">
        <f>2</f>
        <v>2</v>
      </c>
      <c r="O34" s="33"/>
      <c r="P34" s="33">
        <f>PI()*M34*SQRT(M34^2+N34^2)</f>
        <v>160.09797821843054</v>
      </c>
    </row>
    <row r="35" spans="1:19" x14ac:dyDescent="0.3">
      <c r="A35" s="16"/>
      <c r="B35" s="32" t="str">
        <f>B11</f>
        <v>-for masonary wall section 2</v>
      </c>
      <c r="C35" s="17">
        <v>1</v>
      </c>
      <c r="D35" s="33">
        <v>3.15</v>
      </c>
      <c r="E35" s="33">
        <f>((F35/2)+0.45)/2</f>
        <v>1.2250000000000001</v>
      </c>
      <c r="F35" s="33">
        <v>4</v>
      </c>
      <c r="G35" s="33">
        <f>PRODUCT(C35:F35)</f>
        <v>15.435</v>
      </c>
      <c r="H35" s="17"/>
      <c r="I35" s="17"/>
      <c r="J35" s="17"/>
      <c r="K35" s="17"/>
      <c r="M35" s="33">
        <f>7</f>
        <v>7</v>
      </c>
      <c r="N35" s="33">
        <f>2</f>
        <v>2</v>
      </c>
      <c r="O35" s="33"/>
      <c r="P35" s="33">
        <f>PI()*M35*SQRT(M35^2+N35^2)</f>
        <v>160.09797821843054</v>
      </c>
    </row>
    <row r="36" spans="1:19" ht="15" customHeight="1" x14ac:dyDescent="0.3">
      <c r="A36" s="2"/>
      <c r="B36" s="34" t="s">
        <v>16</v>
      </c>
      <c r="C36" s="3"/>
      <c r="D36" s="4"/>
      <c r="E36" s="5"/>
      <c r="F36" s="5"/>
      <c r="G36" s="6">
        <f>SUM(G34:G35)</f>
        <v>52.407000000000004</v>
      </c>
      <c r="H36" s="7" t="s">
        <v>17</v>
      </c>
      <c r="I36" s="6">
        <v>8987.83</v>
      </c>
      <c r="J36" s="18">
        <f>G36*I36</f>
        <v>471025.20681</v>
      </c>
      <c r="K36" s="5"/>
    </row>
    <row r="37" spans="1:19" x14ac:dyDescent="0.3">
      <c r="A37" s="16"/>
      <c r="B37" s="32" t="s">
        <v>33</v>
      </c>
      <c r="C37" s="17"/>
      <c r="D37" s="17"/>
      <c r="E37" s="17"/>
      <c r="F37" s="17"/>
      <c r="G37" s="17"/>
      <c r="H37" s="17"/>
      <c r="I37" s="17"/>
      <c r="J37" s="18">
        <f>0.13*G36*(5863.95)/5</f>
        <v>7990.1127189000008</v>
      </c>
      <c r="K37" s="17"/>
    </row>
    <row r="38" spans="1:19" x14ac:dyDescent="0.3">
      <c r="A38" s="16"/>
      <c r="B38" s="32" t="s">
        <v>34</v>
      </c>
      <c r="C38" s="17"/>
      <c r="D38" s="17"/>
      <c r="E38" s="17"/>
      <c r="F38" s="17"/>
      <c r="G38" s="17"/>
      <c r="H38" s="17"/>
      <c r="I38" s="17"/>
      <c r="J38" s="18">
        <f>0.13*G36*(6604.416)/5</f>
        <v>8999.0583621120004</v>
      </c>
      <c r="K38" s="17"/>
    </row>
    <row r="39" spans="1:19" x14ac:dyDescent="0.3">
      <c r="A39" s="16"/>
      <c r="B39" s="32" t="s">
        <v>38</v>
      </c>
      <c r="C39" s="17"/>
      <c r="D39" s="17"/>
      <c r="E39" s="17"/>
      <c r="F39" s="17"/>
      <c r="G39" s="17"/>
      <c r="H39" s="17"/>
      <c r="I39" s="17"/>
      <c r="J39" s="18">
        <f>0.13*G36*(14808.78)/5</f>
        <v>20178.177069960002</v>
      </c>
      <c r="K39" s="17"/>
    </row>
    <row r="40" spans="1:19" x14ac:dyDescent="0.3">
      <c r="A40" s="16"/>
      <c r="B40" s="32" t="s">
        <v>40</v>
      </c>
      <c r="C40" s="17"/>
      <c r="D40" s="17"/>
      <c r="E40" s="17"/>
      <c r="F40" s="17"/>
      <c r="G40" s="17"/>
      <c r="H40" s="17"/>
      <c r="I40" s="17"/>
      <c r="J40" s="18">
        <f>0.13*G36*(310)/5</f>
        <v>422.40042000000005</v>
      </c>
      <c r="K40" s="17"/>
    </row>
    <row r="41" spans="1:19" x14ac:dyDescent="0.3">
      <c r="A41" s="16"/>
      <c r="B41" s="17"/>
      <c r="C41" s="17"/>
      <c r="D41" s="17"/>
      <c r="E41" s="17"/>
      <c r="F41" s="17"/>
      <c r="G41" s="17"/>
      <c r="H41" s="17"/>
      <c r="I41" s="17"/>
      <c r="J41" s="17"/>
      <c r="K41" s="17"/>
    </row>
    <row r="42" spans="1:19" ht="15" customHeight="1" x14ac:dyDescent="0.3">
      <c r="A42" s="2">
        <v>5</v>
      </c>
      <c r="B42" s="1" t="s">
        <v>18</v>
      </c>
      <c r="C42" s="3">
        <v>1</v>
      </c>
      <c r="D42" s="4"/>
      <c r="E42" s="5"/>
      <c r="F42" s="5"/>
      <c r="G42" s="7">
        <f t="shared" ref="G42" si="0">PRODUCT(C42:F42)</f>
        <v>1</v>
      </c>
      <c r="H42" s="7" t="s">
        <v>19</v>
      </c>
      <c r="I42" s="6">
        <v>500</v>
      </c>
      <c r="J42" s="7">
        <f>G42*I42</f>
        <v>500</v>
      </c>
      <c r="K42" s="5"/>
    </row>
    <row r="43" spans="1:19" x14ac:dyDescent="0.3">
      <c r="A43" s="2"/>
      <c r="B43" s="8"/>
      <c r="C43" s="3"/>
      <c r="D43" s="4"/>
      <c r="E43" s="5"/>
      <c r="F43" s="5"/>
      <c r="G43" s="6"/>
      <c r="H43" s="7"/>
      <c r="I43" s="6"/>
      <c r="J43" s="18"/>
      <c r="K43" s="5"/>
    </row>
    <row r="44" spans="1:19" x14ac:dyDescent="0.3">
      <c r="A44" s="21"/>
      <c r="B44" s="22" t="s">
        <v>21</v>
      </c>
      <c r="C44" s="23"/>
      <c r="D44" s="24"/>
      <c r="E44" s="24"/>
      <c r="F44" s="24"/>
      <c r="G44" s="18"/>
      <c r="H44" s="18"/>
      <c r="I44" s="18"/>
      <c r="J44" s="18">
        <f>SUM(J9:J42)</f>
        <v>545837.59593852202</v>
      </c>
      <c r="K44" s="25"/>
    </row>
    <row r="45" spans="1:19" x14ac:dyDescent="0.3">
      <c r="M45" s="20"/>
      <c r="N45" s="20"/>
      <c r="O45" s="20"/>
      <c r="P45" s="20"/>
      <c r="Q45" s="20"/>
      <c r="R45" s="20"/>
      <c r="S45" s="20"/>
    </row>
    <row r="46" spans="1:19" s="20" customFormat="1" hidden="1" x14ac:dyDescent="0.3">
      <c r="A46" s="26"/>
      <c r="B46" s="27" t="s">
        <v>20</v>
      </c>
      <c r="C46" s="43">
        <f>J44</f>
        <v>545837.59593852202</v>
      </c>
      <c r="D46" s="44"/>
      <c r="E46" s="9">
        <v>100</v>
      </c>
      <c r="F46" s="26"/>
      <c r="G46" s="28"/>
      <c r="H46" s="26"/>
      <c r="I46" s="29"/>
      <c r="J46" s="30"/>
      <c r="K46" s="31"/>
      <c r="M46" s="19"/>
      <c r="N46" s="19"/>
      <c r="O46" s="19"/>
      <c r="P46" s="19"/>
      <c r="Q46" s="19"/>
      <c r="R46" s="19"/>
      <c r="S46" s="19"/>
    </row>
    <row r="47" spans="1:19" hidden="1" x14ac:dyDescent="0.3">
      <c r="B47" s="27" t="s">
        <v>24</v>
      </c>
      <c r="C47" s="47">
        <v>500000</v>
      </c>
      <c r="D47" s="48"/>
      <c r="E47" s="9"/>
    </row>
    <row r="48" spans="1:19" hidden="1" x14ac:dyDescent="0.3">
      <c r="B48" s="27" t="s">
        <v>25</v>
      </c>
      <c r="C48" s="47">
        <f>C47-C50-C51</f>
        <v>475000</v>
      </c>
      <c r="D48" s="48"/>
      <c r="E48" s="9">
        <f>C48/C46*100</f>
        <v>87.022221176113263</v>
      </c>
    </row>
    <row r="49" spans="2:5" hidden="1" x14ac:dyDescent="0.3">
      <c r="B49" s="27" t="s">
        <v>41</v>
      </c>
      <c r="C49" s="49">
        <f>C46-C48</f>
        <v>70837.595938522019</v>
      </c>
      <c r="D49" s="49"/>
      <c r="E49" s="9">
        <f>100-E48</f>
        <v>12.977778823886737</v>
      </c>
    </row>
    <row r="50" spans="2:5" hidden="1" x14ac:dyDescent="0.3">
      <c r="B50" s="27" t="s">
        <v>26</v>
      </c>
      <c r="C50" s="43">
        <f>C47*0.03</f>
        <v>15000</v>
      </c>
      <c r="D50" s="44"/>
      <c r="E50" s="9">
        <v>3</v>
      </c>
    </row>
    <row r="51" spans="2:5" hidden="1" x14ac:dyDescent="0.3">
      <c r="B51" s="27" t="s">
        <v>27</v>
      </c>
      <c r="C51" s="43">
        <f>C47*0.02</f>
        <v>10000</v>
      </c>
      <c r="D51" s="44"/>
      <c r="E51" s="9">
        <v>2</v>
      </c>
    </row>
  </sheetData>
  <mergeCells count="15">
    <mergeCell ref="C50:D50"/>
    <mergeCell ref="C51:D51"/>
    <mergeCell ref="A7:F7"/>
    <mergeCell ref="H7:K7"/>
    <mergeCell ref="C46:D46"/>
    <mergeCell ref="C47:D47"/>
    <mergeCell ref="C48:D48"/>
    <mergeCell ref="C49:D49"/>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2"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valuation</vt:lpstr>
      <vt:lpstr>WCR</vt:lpstr>
      <vt:lpstr>measure</vt:lpstr>
      <vt:lpstr>estimate!Print_Area</vt:lpstr>
      <vt:lpstr>measure!Print_Area</vt:lpstr>
      <vt:lpstr>valuation!Print_Area</vt:lpstr>
      <vt:lpstr>WCR!Print_Area</vt:lpstr>
      <vt:lpstr>estimate!Print_Titles</vt:lpstr>
      <vt:lpstr>measure!Print_Titles</vt:lpstr>
      <vt:lpstr>valuation!Print_Titles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2026-01-27T01:53:12Z</dcterms:modified>
</cp:coreProperties>
</file>