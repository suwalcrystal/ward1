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1B50F655-0E9D-4C1D-9B2F-78CE412BD5D5}"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estimate!$A$1:$K$75</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14" l="1"/>
  <c r="J64" i="14" s="1"/>
  <c r="G42" i="14"/>
  <c r="G43" i="14" s="1"/>
  <c r="J44" i="14" s="1"/>
  <c r="G49" i="14"/>
  <c r="G50" i="14" s="1"/>
  <c r="C56" i="14"/>
  <c r="J46" i="14" l="1"/>
  <c r="J45" i="14"/>
  <c r="J43" i="14"/>
  <c r="J53" i="14"/>
  <c r="J52" i="14"/>
  <c r="J51" i="14"/>
  <c r="J50" i="14"/>
  <c r="E33" i="14" l="1"/>
  <c r="E22" i="14" l="1"/>
  <c r="E10" i="14"/>
  <c r="E11" i="14"/>
  <c r="D11" i="14"/>
  <c r="D56" i="14" s="1"/>
  <c r="G56" i="14" s="1"/>
  <c r="G57" i="14" s="1"/>
  <c r="J59" i="14" l="1"/>
  <c r="J60" i="14"/>
  <c r="J62" i="14"/>
  <c r="J57" i="14"/>
  <c r="J61" i="14"/>
  <c r="J58" i="14"/>
  <c r="E17" i="14"/>
  <c r="E23" i="14" s="1"/>
  <c r="D17" i="14"/>
  <c r="D23" i="14" s="1"/>
  <c r="D33" i="14" s="1"/>
  <c r="C17" i="14"/>
  <c r="B17" i="14"/>
  <c r="B23" i="14" s="1"/>
  <c r="B33" i="14" s="1"/>
  <c r="G11" i="14"/>
  <c r="G17" i="14" l="1"/>
  <c r="C23" i="14"/>
  <c r="D10" i="14"/>
  <c r="C75" i="14"/>
  <c r="C74" i="14"/>
  <c r="G66" i="14"/>
  <c r="J66" i="14" s="1"/>
  <c r="N32" i="14"/>
  <c r="M32" i="14"/>
  <c r="P32" i="14" s="1"/>
  <c r="N22" i="14"/>
  <c r="M22" i="14"/>
  <c r="P22" i="14" s="1"/>
  <c r="E16" i="14"/>
  <c r="D22" i="14"/>
  <c r="N16" i="14"/>
  <c r="M16" i="14"/>
  <c r="B16" i="14"/>
  <c r="B22" i="14" s="1"/>
  <c r="B32" i="14" s="1"/>
  <c r="N10" i="14"/>
  <c r="M10" i="14"/>
  <c r="P10" i="14" s="1"/>
  <c r="P16" i="14" l="1"/>
  <c r="G23" i="14"/>
  <c r="C33" i="14"/>
  <c r="G33" i="14" s="1"/>
  <c r="G22" i="14"/>
  <c r="G24" i="14" s="1"/>
  <c r="C72" i="14"/>
  <c r="G32" i="14"/>
  <c r="G34" i="14" s="1"/>
  <c r="G10" i="14"/>
  <c r="G12" i="14" s="1"/>
  <c r="D16" i="14"/>
  <c r="G16" i="14" s="1"/>
  <c r="G18" i="14" s="1"/>
  <c r="J29" i="14" l="1"/>
  <c r="J12" i="14"/>
  <c r="J13" i="14"/>
  <c r="J19" i="14"/>
  <c r="J18" i="14"/>
  <c r="J25" i="14" l="1"/>
  <c r="J27" i="14"/>
  <c r="J26" i="14"/>
  <c r="J24" i="14"/>
  <c r="J28" i="14"/>
  <c r="J34" i="14"/>
  <c r="J39" i="14"/>
  <c r="J37" i="14"/>
  <c r="J36" i="14"/>
  <c r="J38" i="14"/>
  <c r="J35" i="14"/>
  <c r="J68" i="14" l="1"/>
  <c r="C70" i="14" s="1"/>
  <c r="E72" i="14" s="1"/>
  <c r="E73" i="14" s="1"/>
  <c r="C73" i="14" l="1"/>
</calcChain>
</file>

<file path=xl/sharedStrings.xml><?xml version="1.0" encoding="utf-8"?>
<sst xmlns="http://schemas.openxmlformats.org/spreadsheetml/2006/main" count="80" uniqueCount="62">
  <si>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</si>
  <si>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</si>
  <si>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</si>
  <si>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</si>
  <si>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</si>
  <si>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</si>
  <si>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</si>
  <si>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</si>
  <si>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</si>
  <si>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</si>
  <si>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</si>
  <si>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</si>
  <si>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</si>
  <si>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</si>
  <si>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</si>
  <si>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</si>
  <si>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</si>
  <si>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</si>
  <si>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</si>
  <si>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</si>
  <si>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</si>
  <si>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</si>
  <si>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</si>
  <si>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</si>
  <si>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</si>
  <si>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</si>
  <si>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</si>
  <si>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</si>
  <si>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</si>
  <si>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</si>
  <si>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</si>
  <si>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</si>
  <si>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</si>
  <si>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</si>
  <si>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</si>
  <si>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</si>
  <si>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</si>
  <si>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</si>
  <si>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</si>
  <si>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</si>
  <si>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</si>
  <si>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</si>
  <si>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</si>
  <si>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t>-for drain</t>
  </si>
  <si>
    <t>Providing and laying  granular sub-base   on prepared surface, mixing  at OMC, and compacting  to achieve the desired density, complete as per Drawing and Technical Specifications., By Mechanical means</t>
  </si>
  <si>
    <t>-for road</t>
  </si>
  <si>
    <t>cum</t>
  </si>
  <si>
    <t>-13% VAT for sub-base material S1 type or S2 type</t>
  </si>
  <si>
    <t>-13% VAT for mortar grader</t>
  </si>
  <si>
    <t>-13% VAT for vibratory road roller</t>
  </si>
  <si>
    <t>-13% VAT for tractor/loader</t>
  </si>
  <si>
    <t>Providing and Laying Reinforced cement concrete NP3 Flush jointed pipe for culverts including fixing with cement mortar 1:2 as per Drawing and Technical Specifications., 450 mm  internal dia.</t>
  </si>
  <si>
    <t>-450mm dia hume pipe</t>
  </si>
  <si>
    <t>rm</t>
  </si>
  <si>
    <t>-13% VAT for NP3 RCC pipe 450mm dia</t>
  </si>
  <si>
    <t>Providing and Laying Reinforced cement concrete NP3 Flush jointed pipe for culverts including fixing with cement mortar 1:2 as per Drawing and Technical Specifications., 300 mm  internal dia.</t>
  </si>
  <si>
    <t>-300mm dia hume pipe</t>
  </si>
  <si>
    <t>-13% VAT for NP3 RCC pipe 300mm dia</t>
  </si>
  <si>
    <t>Date: 2082</t>
  </si>
  <si>
    <r>
      <t xml:space="preserve">Project:- </t>
    </r>
    <r>
      <rPr>
        <b/>
        <sz val="14"/>
        <rFont val="Preeti"/>
      </rPr>
      <t>3'DtL vgfn6f]n ;8s</t>
    </r>
  </si>
  <si>
    <t>Provisional sum for lab tests</t>
  </si>
  <si>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</sst>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4" fillId="0" borderId="2" xfId="0" quotePrefix="1" applyFont="1" applyBorder="1" applyAlignment="1">
      <alignment horizontal="righ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
  <sheetViews>
    <sheetView tabSelected="1" topLeftCell="A58" zoomScale="90" zoomScaleNormal="90" zoomScaleSheetLayoutView="95" workbookViewId="0">
      <selection activeCell="E67" sqref="E67"/>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8" t="s">
        <v>0</v>
      </c>
      <c r="B1" s="48"/>
      <c r="C1" s="48"/>
      <c r="D1" s="48"/>
      <c r="E1" s="48"/>
      <c r="F1" s="48"/>
      <c r="G1" s="48"/>
      <c r="H1" s="48"/>
      <c r="I1" s="48"/>
      <c r="J1" s="48"/>
      <c r="K1" s="48"/>
    </row>
    <row r="2" spans="1:16" ht="22.5" x14ac:dyDescent="0.25">
      <c r="A2" s="49" t="s">
        <v>1</v>
      </c>
      <c r="B2" s="49"/>
      <c r="C2" s="49"/>
      <c r="D2" s="49"/>
      <c r="E2" s="49"/>
      <c r="F2" s="49"/>
      <c r="G2" s="49"/>
      <c r="H2" s="49"/>
      <c r="I2" s="49"/>
      <c r="J2" s="49"/>
      <c r="K2" s="49"/>
    </row>
    <row r="3" spans="1:16" x14ac:dyDescent="0.25">
      <c r="A3" s="50" t="s">
        <v>2</v>
      </c>
      <c r="B3" s="50"/>
      <c r="C3" s="50"/>
      <c r="D3" s="50"/>
      <c r="E3" s="50"/>
      <c r="F3" s="50"/>
      <c r="G3" s="50"/>
      <c r="H3" s="50"/>
      <c r="I3" s="50"/>
      <c r="J3" s="50"/>
      <c r="K3" s="50"/>
    </row>
    <row r="4" spans="1:16" x14ac:dyDescent="0.25">
      <c r="A4" s="50" t="s">
        <v>3</v>
      </c>
      <c r="B4" s="50"/>
      <c r="C4" s="50"/>
      <c r="D4" s="50"/>
      <c r="E4" s="50"/>
      <c r="F4" s="50"/>
      <c r="G4" s="50"/>
      <c r="H4" s="50"/>
      <c r="I4" s="50"/>
      <c r="J4" s="50"/>
      <c r="K4" s="50"/>
    </row>
    <row r="5" spans="1:16" ht="18.75" x14ac:dyDescent="0.3">
      <c r="A5" s="51" t="s">
        <v>4</v>
      </c>
      <c r="B5" s="51"/>
      <c r="C5" s="51"/>
      <c r="D5" s="51"/>
      <c r="E5" s="51"/>
      <c r="F5" s="51"/>
      <c r="G5" s="51"/>
      <c r="H5" s="51"/>
      <c r="I5" s="51"/>
      <c r="J5" s="51"/>
      <c r="K5" s="51"/>
    </row>
    <row r="6" spans="1:16" ht="18" x14ac:dyDescent="0.25">
      <c r="A6" s="46" t="s">
        <v>59</v>
      </c>
      <c r="B6" s="46"/>
      <c r="C6" s="46"/>
      <c r="D6" s="46"/>
      <c r="E6" s="46"/>
      <c r="F6" s="46"/>
      <c r="G6" s="10"/>
      <c r="H6" s="47" t="s">
        <v>27</v>
      </c>
      <c r="I6" s="47"/>
      <c r="J6" s="47"/>
      <c r="K6" s="47"/>
    </row>
    <row r="7" spans="1:16" ht="15.75" x14ac:dyDescent="0.25">
      <c r="A7" s="41" t="s">
        <v>40</v>
      </c>
      <c r="B7" s="41"/>
      <c r="C7" s="41"/>
      <c r="D7" s="41"/>
      <c r="E7" s="41"/>
      <c r="F7" s="41"/>
      <c r="G7" s="11"/>
      <c r="H7" s="42" t="s">
        <v>58</v>
      </c>
      <c r="I7" s="42"/>
      <c r="J7" s="42"/>
      <c r="K7" s="42"/>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73.25" x14ac:dyDescent="0.25">
      <c r="A9" s="16">
        <v>1</v>
      </c>
      <c r="B9" s="35" t="s">
        <v>41</v>
      </c>
      <c r="C9" s="17"/>
      <c r="D9" s="17"/>
      <c r="E9" s="17"/>
      <c r="F9" s="17"/>
      <c r="G9" s="17"/>
      <c r="H9" s="17"/>
      <c r="I9" s="17"/>
      <c r="J9" s="17"/>
      <c r="K9" s="17"/>
    </row>
    <row r="10" spans="1:16" x14ac:dyDescent="0.25">
      <c r="A10" s="16"/>
      <c r="B10" s="32" t="s">
        <v>36</v>
      </c>
      <c r="C10" s="37">
        <v>0.5</v>
      </c>
      <c r="D10" s="33">
        <f>D32</f>
        <v>3</v>
      </c>
      <c r="E10" s="33">
        <f>E32</f>
        <v>0.45</v>
      </c>
      <c r="F10" s="33">
        <v>1.5</v>
      </c>
      <c r="G10" s="33">
        <f>PRODUCT(C10:F10)</f>
        <v>1.0125000000000002</v>
      </c>
      <c r="H10" s="17"/>
      <c r="I10" s="17"/>
      <c r="J10" s="17"/>
      <c r="K10" s="17"/>
      <c r="M10" s="33">
        <f>7</f>
        <v>7</v>
      </c>
      <c r="N10" s="33">
        <f>2</f>
        <v>2</v>
      </c>
      <c r="O10" s="33"/>
      <c r="P10" s="33">
        <f>PI()*M10*SQRT(M10^2+N10^2)</f>
        <v>160.09797821843054</v>
      </c>
    </row>
    <row r="11" spans="1:16" x14ac:dyDescent="0.25">
      <c r="A11" s="16"/>
      <c r="B11" s="32" t="s">
        <v>43</v>
      </c>
      <c r="C11" s="37">
        <v>1</v>
      </c>
      <c r="D11" s="33">
        <f>62</f>
        <v>62</v>
      </c>
      <c r="E11" s="33">
        <f>((1+10/12)+0.75+0.75)/3.281</f>
        <v>1.0159504216194251</v>
      </c>
      <c r="F11" s="33">
        <v>0.45</v>
      </c>
      <c r="G11" s="33">
        <f>PRODUCT(C11:F11)</f>
        <v>28.34501676318196</v>
      </c>
      <c r="H11" s="17"/>
      <c r="I11" s="17"/>
      <c r="J11" s="17"/>
      <c r="K11" s="17"/>
      <c r="M11" s="36"/>
      <c r="N11" s="36"/>
      <c r="O11" s="36"/>
      <c r="P11" s="36"/>
    </row>
    <row r="12" spans="1:16" ht="15" customHeight="1" x14ac:dyDescent="0.25">
      <c r="A12" s="2"/>
      <c r="B12" s="34" t="s">
        <v>16</v>
      </c>
      <c r="C12" s="3"/>
      <c r="D12" s="4"/>
      <c r="E12" s="5"/>
      <c r="F12" s="5"/>
      <c r="G12" s="6">
        <f>SUM(G10:G11)</f>
        <v>29.357516763181959</v>
      </c>
      <c r="H12" s="7" t="s">
        <v>17</v>
      </c>
      <c r="I12" s="6">
        <v>62.95</v>
      </c>
      <c r="J12" s="18">
        <f>G12*I12</f>
        <v>1848.0556802423043</v>
      </c>
      <c r="K12" s="5"/>
    </row>
    <row r="13" spans="1:16" x14ac:dyDescent="0.25">
      <c r="A13" s="16"/>
      <c r="B13" s="32" t="s">
        <v>42</v>
      </c>
      <c r="C13" s="17"/>
      <c r="D13" s="17"/>
      <c r="E13" s="17"/>
      <c r="F13" s="17"/>
      <c r="G13" s="17"/>
      <c r="H13" s="17"/>
      <c r="I13" s="17"/>
      <c r="J13" s="18">
        <f>0.13*G12*18612/360</f>
        <v>197.31187016534597</v>
      </c>
      <c r="K13" s="17"/>
    </row>
    <row r="14" spans="1:16" x14ac:dyDescent="0.25">
      <c r="A14" s="16"/>
      <c r="B14" s="17"/>
      <c r="C14" s="17"/>
      <c r="D14" s="17"/>
      <c r="E14" s="17"/>
      <c r="F14" s="17"/>
      <c r="G14" s="17"/>
      <c r="H14" s="17"/>
      <c r="I14" s="17"/>
      <c r="J14" s="17"/>
      <c r="K14" s="17"/>
    </row>
    <row r="15" spans="1:16" ht="110.25" x14ac:dyDescent="0.25">
      <c r="A15" s="16">
        <v>2</v>
      </c>
      <c r="B15" s="35" t="s">
        <v>28</v>
      </c>
      <c r="C15" s="17"/>
      <c r="D15" s="17"/>
      <c r="E15" s="17"/>
      <c r="F15" s="17"/>
      <c r="G15" s="17"/>
      <c r="H15" s="17"/>
      <c r="I15" s="17"/>
      <c r="J15" s="17"/>
      <c r="K15" s="17"/>
    </row>
    <row r="16" spans="1:16" x14ac:dyDescent="0.25">
      <c r="A16" s="16"/>
      <c r="B16" s="32" t="str">
        <f>B10</f>
        <v>-for plum wall</v>
      </c>
      <c r="C16" s="17">
        <v>1</v>
      </c>
      <c r="D16" s="33">
        <f>D22</f>
        <v>3</v>
      </c>
      <c r="E16" s="33">
        <f>E22</f>
        <v>0.45</v>
      </c>
      <c r="F16" s="33">
        <v>0.15</v>
      </c>
      <c r="G16" s="33">
        <f>PRODUCT(C16:F16)</f>
        <v>0.20250000000000001</v>
      </c>
      <c r="H16" s="17"/>
      <c r="I16" s="17"/>
      <c r="J16" s="17"/>
      <c r="K16" s="17"/>
      <c r="M16" s="33">
        <f>7</f>
        <v>7</v>
      </c>
      <c r="N16" s="33">
        <f>2</f>
        <v>2</v>
      </c>
      <c r="O16" s="33"/>
      <c r="P16" s="33">
        <f>PI()*M16*SQRT(M16^2+N16^2)</f>
        <v>160.09797821843054</v>
      </c>
    </row>
    <row r="17" spans="1:16" x14ac:dyDescent="0.25">
      <c r="A17" s="16"/>
      <c r="B17" s="32" t="str">
        <f>B11</f>
        <v>-for drain</v>
      </c>
      <c r="C17" s="17">
        <f>C11</f>
        <v>1</v>
      </c>
      <c r="D17" s="33">
        <f>D11</f>
        <v>62</v>
      </c>
      <c r="E17" s="33">
        <f>E11</f>
        <v>1.0159504216194251</v>
      </c>
      <c r="F17" s="33">
        <v>0.15</v>
      </c>
      <c r="G17" s="33">
        <f>PRODUCT(C17:F17)</f>
        <v>9.4483389210606532</v>
      </c>
      <c r="H17" s="17"/>
      <c r="I17" s="17"/>
      <c r="J17" s="17"/>
      <c r="K17" s="17"/>
      <c r="M17" s="36"/>
      <c r="N17" s="36"/>
      <c r="O17" s="36"/>
      <c r="P17" s="36"/>
    </row>
    <row r="18" spans="1:16" ht="15" customHeight="1" x14ac:dyDescent="0.25">
      <c r="A18" s="2"/>
      <c r="B18" s="34" t="s">
        <v>16</v>
      </c>
      <c r="C18" s="3"/>
      <c r="D18" s="4"/>
      <c r="E18" s="5"/>
      <c r="F18" s="5"/>
      <c r="G18" s="6">
        <f>SUM(G16:G17)</f>
        <v>9.6508389210606538</v>
      </c>
      <c r="H18" s="7" t="s">
        <v>17</v>
      </c>
      <c r="I18" s="6">
        <v>4458.5200000000004</v>
      </c>
      <c r="J18" s="18">
        <f>G18*I18</f>
        <v>43028.458346327352</v>
      </c>
      <c r="K18" s="5"/>
    </row>
    <row r="19" spans="1:16" x14ac:dyDescent="0.25">
      <c r="A19" s="16"/>
      <c r="B19" s="32" t="s">
        <v>22</v>
      </c>
      <c r="C19" s="17"/>
      <c r="D19" s="17"/>
      <c r="E19" s="17"/>
      <c r="F19" s="17"/>
      <c r="G19" s="17"/>
      <c r="H19" s="17"/>
      <c r="I19" s="17"/>
      <c r="J19" s="18">
        <f>0.13*G18*(14817.6)/5</f>
        <v>3718.0590407144168</v>
      </c>
      <c r="K19" s="17"/>
    </row>
    <row r="20" spans="1:16" x14ac:dyDescent="0.25">
      <c r="A20" s="16"/>
      <c r="B20" s="17"/>
      <c r="C20" s="17"/>
      <c r="D20" s="17"/>
      <c r="E20" s="17"/>
      <c r="F20" s="17"/>
      <c r="G20" s="17"/>
      <c r="H20" s="17"/>
      <c r="I20" s="17"/>
      <c r="J20" s="17"/>
      <c r="K20" s="17"/>
    </row>
    <row r="21" spans="1:16" ht="94.5" x14ac:dyDescent="0.25">
      <c r="A21" s="16">
        <v>3</v>
      </c>
      <c r="B21" s="35" t="s">
        <v>29</v>
      </c>
      <c r="C21" s="17"/>
      <c r="D21" s="17"/>
      <c r="E21" s="17"/>
      <c r="F21" s="17"/>
      <c r="G21" s="17"/>
      <c r="H21" s="17"/>
      <c r="I21" s="17"/>
      <c r="J21" s="17"/>
      <c r="K21" s="17"/>
    </row>
    <row r="22" spans="1:16" x14ac:dyDescent="0.25">
      <c r="A22" s="16"/>
      <c r="B22" s="32" t="str">
        <f>B16</f>
        <v>-for plum wall</v>
      </c>
      <c r="C22" s="17">
        <v>1</v>
      </c>
      <c r="D22" s="33">
        <f>D32</f>
        <v>3</v>
      </c>
      <c r="E22" s="33">
        <f>E32</f>
        <v>0.45</v>
      </c>
      <c r="F22" s="33">
        <v>0.05</v>
      </c>
      <c r="G22" s="33">
        <f>PRODUCT(C22:F22)</f>
        <v>6.7500000000000004E-2</v>
      </c>
      <c r="H22" s="17"/>
      <c r="I22" s="17"/>
      <c r="J22" s="17"/>
      <c r="K22" s="17"/>
      <c r="M22" s="33">
        <f>7</f>
        <v>7</v>
      </c>
      <c r="N22" s="33">
        <f>2</f>
        <v>2</v>
      </c>
      <c r="O22" s="33"/>
      <c r="P22" s="33">
        <f>PI()*M22*SQRT(M22^2+N22^2)</f>
        <v>160.09797821843054</v>
      </c>
    </row>
    <row r="23" spans="1:16" x14ac:dyDescent="0.25">
      <c r="A23" s="16"/>
      <c r="B23" s="32" t="str">
        <f>B17</f>
        <v>-for drain</v>
      </c>
      <c r="C23" s="17">
        <f>C17</f>
        <v>1</v>
      </c>
      <c r="D23" s="33">
        <f>D17</f>
        <v>62</v>
      </c>
      <c r="E23" s="33">
        <f>E17</f>
        <v>1.0159504216194251</v>
      </c>
      <c r="F23" s="33">
        <v>0.1</v>
      </c>
      <c r="G23" s="33">
        <f>PRODUCT(C23:F23)</f>
        <v>6.2988926140404358</v>
      </c>
      <c r="H23" s="17"/>
      <c r="I23" s="17"/>
      <c r="J23" s="17"/>
      <c r="K23" s="17"/>
      <c r="M23" s="36"/>
      <c r="N23" s="36"/>
      <c r="O23" s="36"/>
      <c r="P23" s="36"/>
    </row>
    <row r="24" spans="1:16" ht="15" customHeight="1" x14ac:dyDescent="0.25">
      <c r="A24" s="2"/>
      <c r="B24" s="34" t="s">
        <v>16</v>
      </c>
      <c r="C24" s="3"/>
      <c r="D24" s="4"/>
      <c r="E24" s="5"/>
      <c r="F24" s="5"/>
      <c r="G24" s="6">
        <f>SUM(G22:G23)</f>
        <v>6.3663926140404357</v>
      </c>
      <c r="H24" s="7" t="s">
        <v>17</v>
      </c>
      <c r="I24" s="6">
        <v>10964.46</v>
      </c>
      <c r="J24" s="18">
        <f>G24*I24</f>
        <v>69804.057160941797</v>
      </c>
      <c r="K24" s="5"/>
    </row>
    <row r="25" spans="1:16" x14ac:dyDescent="0.25">
      <c r="A25" s="16"/>
      <c r="B25" s="32" t="s">
        <v>30</v>
      </c>
      <c r="C25" s="17"/>
      <c r="D25" s="17"/>
      <c r="E25" s="17"/>
      <c r="F25" s="17"/>
      <c r="G25" s="17"/>
      <c r="H25" s="17"/>
      <c r="I25" s="17"/>
      <c r="J25" s="18">
        <f>0.13*G24*(53818.03)/15</f>
        <v>2969.4314753497902</v>
      </c>
      <c r="K25" s="17"/>
    </row>
    <row r="26" spans="1:16" x14ac:dyDescent="0.25">
      <c r="A26" s="16"/>
      <c r="B26" s="32" t="s">
        <v>31</v>
      </c>
      <c r="C26" s="17"/>
      <c r="D26" s="17"/>
      <c r="E26" s="17"/>
      <c r="F26" s="17"/>
      <c r="G26" s="17"/>
      <c r="H26" s="17"/>
      <c r="I26" s="17"/>
      <c r="J26" s="18">
        <f>0.13*G24*(21432.6)/15</f>
        <v>1182.5523349439197</v>
      </c>
      <c r="K26" s="17"/>
    </row>
    <row r="27" spans="1:16" x14ac:dyDescent="0.25">
      <c r="A27" s="16"/>
      <c r="B27" s="32" t="s">
        <v>32</v>
      </c>
      <c r="C27" s="17"/>
      <c r="D27" s="17"/>
      <c r="E27" s="17"/>
      <c r="F27" s="17"/>
      <c r="G27" s="17"/>
      <c r="H27" s="17"/>
      <c r="I27" s="17"/>
      <c r="J27" s="18">
        <f>0.13*G24*(25719.12+13573.98+4286.52)/15</f>
        <v>2404.5230810526364</v>
      </c>
      <c r="K27" s="17"/>
    </row>
    <row r="28" spans="1:16" x14ac:dyDescent="0.25">
      <c r="A28" s="16"/>
      <c r="B28" s="32" t="s">
        <v>33</v>
      </c>
      <c r="C28" s="17"/>
      <c r="D28" s="17"/>
      <c r="E28" s="17"/>
      <c r="F28" s="17"/>
      <c r="G28" s="17"/>
      <c r="H28" s="17"/>
      <c r="I28" s="17"/>
      <c r="J28" s="18">
        <f>0.13*G24*(6325.7)/15</f>
        <v>349.02304457484172</v>
      </c>
      <c r="K28" s="17"/>
    </row>
    <row r="29" spans="1:16" x14ac:dyDescent="0.25">
      <c r="A29" s="16"/>
      <c r="B29" s="32" t="s">
        <v>34</v>
      </c>
      <c r="C29" s="17"/>
      <c r="D29" s="17"/>
      <c r="E29" s="17"/>
      <c r="F29" s="17"/>
      <c r="G29" s="17"/>
      <c r="H29" s="17"/>
      <c r="I29" s="17"/>
      <c r="J29" s="18">
        <f>0.13*G24*(310)/5</f>
        <v>51.313124469165913</v>
      </c>
      <c r="K29" s="17"/>
    </row>
    <row r="30" spans="1:16" x14ac:dyDescent="0.25">
      <c r="A30" s="16"/>
      <c r="B30" s="17"/>
      <c r="C30" s="17"/>
      <c r="D30" s="17"/>
      <c r="E30" s="17"/>
      <c r="F30" s="17"/>
      <c r="G30" s="17"/>
      <c r="H30" s="17"/>
      <c r="I30" s="17"/>
      <c r="J30" s="17"/>
      <c r="K30" s="17"/>
    </row>
    <row r="31" spans="1:16" ht="141.75" x14ac:dyDescent="0.25">
      <c r="A31" s="16">
        <v>4</v>
      </c>
      <c r="B31" s="35" t="s">
        <v>37</v>
      </c>
      <c r="C31" s="17"/>
      <c r="D31" s="17"/>
      <c r="E31" s="17"/>
      <c r="F31" s="17"/>
      <c r="G31" s="17"/>
      <c r="H31" s="17"/>
      <c r="I31" s="17"/>
      <c r="J31" s="17"/>
      <c r="K31" s="17"/>
    </row>
    <row r="32" spans="1:16" x14ac:dyDescent="0.25">
      <c r="A32" s="16"/>
      <c r="B32" s="32" t="str">
        <f>B22</f>
        <v>-for plum wall</v>
      </c>
      <c r="C32" s="17">
        <v>1</v>
      </c>
      <c r="D32" s="33">
        <v>3</v>
      </c>
      <c r="E32" s="33">
        <v>0.45</v>
      </c>
      <c r="F32" s="33">
        <v>1.5</v>
      </c>
      <c r="G32" s="33">
        <f>PRODUCT(C32:F32)</f>
        <v>2.0250000000000004</v>
      </c>
      <c r="H32" s="17"/>
      <c r="I32" s="17"/>
      <c r="J32" s="17"/>
      <c r="K32" s="17"/>
      <c r="M32" s="33">
        <f>7</f>
        <v>7</v>
      </c>
      <c r="N32" s="33">
        <f>2</f>
        <v>2</v>
      </c>
      <c r="O32" s="33"/>
      <c r="P32" s="33">
        <f>PI()*M32*SQRT(M32^2+N32^2)</f>
        <v>160.09797821843054</v>
      </c>
    </row>
    <row r="33" spans="1:16" x14ac:dyDescent="0.25">
      <c r="A33" s="16"/>
      <c r="B33" s="32" t="str">
        <f>B23</f>
        <v>-for drain</v>
      </c>
      <c r="C33" s="17">
        <f>C23*2</f>
        <v>2</v>
      </c>
      <c r="D33" s="33">
        <f>D23</f>
        <v>62</v>
      </c>
      <c r="E33" s="33">
        <f>((0.75+1.17)/2)/3.281</f>
        <v>0.29259372142639439</v>
      </c>
      <c r="F33" s="33">
        <v>0.45</v>
      </c>
      <c r="G33" s="33">
        <f>PRODUCT(C33:F33)</f>
        <v>16.326729655592807</v>
      </c>
      <c r="H33" s="17"/>
      <c r="I33" s="17"/>
      <c r="J33" s="17"/>
      <c r="K33" s="17"/>
      <c r="M33" s="36"/>
      <c r="N33" s="36"/>
      <c r="O33" s="36"/>
      <c r="P33" s="36"/>
    </row>
    <row r="34" spans="1:16" ht="15" customHeight="1" x14ac:dyDescent="0.25">
      <c r="A34" s="2"/>
      <c r="B34" s="34" t="s">
        <v>16</v>
      </c>
      <c r="C34" s="3"/>
      <c r="D34" s="4"/>
      <c r="E34" s="5"/>
      <c r="F34" s="5"/>
      <c r="G34" s="6">
        <f>SUM(G32:G33)</f>
        <v>18.351729655592806</v>
      </c>
      <c r="H34" s="7" t="s">
        <v>17</v>
      </c>
      <c r="I34" s="6">
        <v>9860.43</v>
      </c>
      <c r="J34" s="18">
        <f>G34*I34</f>
        <v>180955.94564789697</v>
      </c>
      <c r="K34" s="5"/>
    </row>
    <row r="35" spans="1:16" x14ac:dyDescent="0.25">
      <c r="A35" s="16"/>
      <c r="B35" s="32" t="s">
        <v>30</v>
      </c>
      <c r="C35" s="17"/>
      <c r="D35" s="17"/>
      <c r="E35" s="17"/>
      <c r="F35" s="17"/>
      <c r="G35" s="17"/>
      <c r="H35" s="17"/>
      <c r="I35" s="17"/>
      <c r="J35" s="18">
        <f>0.13*G34*(22152.7)/10</f>
        <v>5285.0247000388608</v>
      </c>
      <c r="K35" s="17"/>
    </row>
    <row r="36" spans="1:16" x14ac:dyDescent="0.25">
      <c r="A36" s="16"/>
      <c r="B36" s="32" t="s">
        <v>31</v>
      </c>
      <c r="C36" s="17"/>
      <c r="D36" s="17"/>
      <c r="E36" s="17"/>
      <c r="F36" s="17"/>
      <c r="G36" s="17"/>
      <c r="H36" s="17"/>
      <c r="I36" s="17"/>
      <c r="J36" s="18">
        <f>0.13*G34*(9525.6)/10</f>
        <v>2272.5460680950932</v>
      </c>
      <c r="K36" s="17"/>
    </row>
    <row r="37" spans="1:16" x14ac:dyDescent="0.25">
      <c r="A37" s="16"/>
      <c r="B37" s="32" t="s">
        <v>38</v>
      </c>
      <c r="C37" s="17"/>
      <c r="D37" s="17"/>
      <c r="E37" s="17"/>
      <c r="F37" s="17"/>
      <c r="G37" s="17"/>
      <c r="H37" s="17"/>
      <c r="I37" s="17"/>
      <c r="J37" s="18">
        <f>0.13*G34*(11331.936)/10</f>
        <v>2703.4881373042363</v>
      </c>
      <c r="K37" s="17"/>
    </row>
    <row r="38" spans="1:16" x14ac:dyDescent="0.25">
      <c r="A38" s="16"/>
      <c r="B38" s="32" t="s">
        <v>39</v>
      </c>
      <c r="C38" s="17"/>
      <c r="D38" s="17"/>
      <c r="E38" s="17"/>
      <c r="F38" s="17"/>
      <c r="G38" s="17"/>
      <c r="H38" s="17"/>
      <c r="I38" s="17"/>
      <c r="J38" s="18">
        <f>0.13*G34*(10954.44+5228.496+2286.144)/10</f>
        <v>4406.2143209177084</v>
      </c>
      <c r="K38" s="17"/>
    </row>
    <row r="39" spans="1:16" x14ac:dyDescent="0.25">
      <c r="A39" s="16"/>
      <c r="B39" s="32" t="s">
        <v>33</v>
      </c>
      <c r="C39" s="17"/>
      <c r="D39" s="17"/>
      <c r="E39" s="17"/>
      <c r="F39" s="17"/>
      <c r="G39" s="17"/>
      <c r="H39" s="17"/>
      <c r="I39" s="17"/>
      <c r="J39" s="18">
        <f>0.13*G34*(3564.01)/10</f>
        <v>850.27472412778116</v>
      </c>
      <c r="K39" s="17"/>
    </row>
    <row r="40" spans="1:16" x14ac:dyDescent="0.25">
      <c r="A40" s="16"/>
      <c r="B40" s="17"/>
      <c r="C40" s="17"/>
      <c r="D40" s="17"/>
      <c r="E40" s="17"/>
      <c r="F40" s="17"/>
      <c r="G40" s="17"/>
      <c r="H40" s="17"/>
      <c r="I40" s="17"/>
      <c r="J40" s="17"/>
      <c r="K40" s="17"/>
    </row>
    <row r="41" spans="1:16" ht="110.25" x14ac:dyDescent="0.25">
      <c r="A41" s="16">
        <v>5</v>
      </c>
      <c r="B41" s="35" t="s">
        <v>55</v>
      </c>
      <c r="C41" s="17"/>
      <c r="D41" s="17"/>
      <c r="E41" s="17"/>
      <c r="F41" s="17"/>
      <c r="G41" s="17"/>
      <c r="H41" s="17"/>
      <c r="I41" s="17"/>
      <c r="J41" s="17"/>
      <c r="K41" s="17"/>
    </row>
    <row r="42" spans="1:16" x14ac:dyDescent="0.25">
      <c r="A42" s="16"/>
      <c r="B42" s="32" t="s">
        <v>56</v>
      </c>
      <c r="C42" s="17">
        <v>2</v>
      </c>
      <c r="D42" s="33">
        <v>2.5</v>
      </c>
      <c r="E42" s="33"/>
      <c r="F42" s="33"/>
      <c r="G42" s="33">
        <f>PRODUCT(C42:F42)</f>
        <v>5</v>
      </c>
      <c r="H42" s="17"/>
      <c r="I42" s="17"/>
      <c r="J42" s="17"/>
      <c r="K42" s="17"/>
      <c r="M42" s="36"/>
      <c r="N42" s="36"/>
      <c r="O42" s="36"/>
      <c r="P42" s="36"/>
    </row>
    <row r="43" spans="1:16" ht="15" customHeight="1" x14ac:dyDescent="0.25">
      <c r="A43" s="2"/>
      <c r="B43" s="34" t="s">
        <v>16</v>
      </c>
      <c r="C43" s="3"/>
      <c r="D43" s="4"/>
      <c r="E43" s="5"/>
      <c r="F43" s="5"/>
      <c r="G43" s="6">
        <f>SUM(G42:G42)</f>
        <v>5</v>
      </c>
      <c r="H43" s="7" t="s">
        <v>53</v>
      </c>
      <c r="I43" s="6">
        <v>3710.23</v>
      </c>
      <c r="J43" s="18">
        <f>G43*I43</f>
        <v>18551.150000000001</v>
      </c>
      <c r="K43" s="5"/>
    </row>
    <row r="44" spans="1:16" ht="30" x14ac:dyDescent="0.25">
      <c r="A44" s="16"/>
      <c r="B44" s="38" t="s">
        <v>57</v>
      </c>
      <c r="C44" s="17"/>
      <c r="D44" s="17"/>
      <c r="E44" s="17"/>
      <c r="F44" s="17"/>
      <c r="G44" s="17"/>
      <c r="H44" s="17"/>
      <c r="I44" s="17"/>
      <c r="J44" s="18">
        <f>0.13*G43*(39250)/12.5</f>
        <v>2041</v>
      </c>
      <c r="K44" s="17"/>
    </row>
    <row r="45" spans="1:16" x14ac:dyDescent="0.25">
      <c r="A45" s="16"/>
      <c r="B45" s="32" t="s">
        <v>30</v>
      </c>
      <c r="C45" s="17"/>
      <c r="D45" s="17"/>
      <c r="E45" s="17"/>
      <c r="F45" s="17"/>
      <c r="G45" s="17"/>
      <c r="H45" s="17"/>
      <c r="I45" s="17"/>
      <c r="J45" s="18">
        <f>0.13*G43*781.86/12.5</f>
        <v>40.65672</v>
      </c>
      <c r="K45" s="17"/>
    </row>
    <row r="46" spans="1:16" x14ac:dyDescent="0.25">
      <c r="A46" s="16"/>
      <c r="B46" s="32" t="s">
        <v>31</v>
      </c>
      <c r="C46" s="17"/>
      <c r="D46" s="17"/>
      <c r="E46" s="17"/>
      <c r="F46" s="17"/>
      <c r="G46" s="17"/>
      <c r="H46" s="17"/>
      <c r="I46" s="17"/>
      <c r="J46" s="18">
        <f>0.13*G43*248.3712/12.5</f>
        <v>12.9153024</v>
      </c>
      <c r="K46" s="17"/>
    </row>
    <row r="47" spans="1:16" x14ac:dyDescent="0.25">
      <c r="A47" s="16"/>
      <c r="B47" s="17"/>
      <c r="C47" s="17"/>
      <c r="D47" s="17"/>
      <c r="E47" s="17"/>
      <c r="F47" s="17"/>
      <c r="G47" s="17"/>
      <c r="H47" s="17"/>
      <c r="I47" s="17"/>
      <c r="J47" s="17"/>
      <c r="K47" s="17"/>
    </row>
    <row r="48" spans="1:16" ht="110.25" x14ac:dyDescent="0.25">
      <c r="A48" s="16">
        <v>6</v>
      </c>
      <c r="B48" s="35" t="s">
        <v>51</v>
      </c>
      <c r="C48" s="17"/>
      <c r="D48" s="17"/>
      <c r="E48" s="17"/>
      <c r="F48" s="17"/>
      <c r="G48" s="17"/>
      <c r="H48" s="17"/>
      <c r="I48" s="17"/>
      <c r="J48" s="17"/>
      <c r="K48" s="17"/>
    </row>
    <row r="49" spans="1:16" x14ac:dyDescent="0.25">
      <c r="A49" s="16"/>
      <c r="B49" s="32" t="s">
        <v>52</v>
      </c>
      <c r="C49" s="17">
        <v>3</v>
      </c>
      <c r="D49" s="33">
        <v>2.5</v>
      </c>
      <c r="E49" s="33"/>
      <c r="F49" s="33"/>
      <c r="G49" s="33">
        <f>PRODUCT(C49:F49)</f>
        <v>7.5</v>
      </c>
      <c r="H49" s="17"/>
      <c r="I49" s="17"/>
      <c r="J49" s="17"/>
      <c r="K49" s="17"/>
      <c r="M49" s="36"/>
      <c r="N49" s="36"/>
      <c r="O49" s="36"/>
      <c r="P49" s="36"/>
    </row>
    <row r="50" spans="1:16" ht="15" customHeight="1" x14ac:dyDescent="0.25">
      <c r="A50" s="2"/>
      <c r="B50" s="34" t="s">
        <v>16</v>
      </c>
      <c r="C50" s="3"/>
      <c r="D50" s="4"/>
      <c r="E50" s="5"/>
      <c r="F50" s="5"/>
      <c r="G50" s="6">
        <f>SUM(G49:G49)</f>
        <v>7.5</v>
      </c>
      <c r="H50" s="7" t="s">
        <v>53</v>
      </c>
      <c r="I50" s="6">
        <v>5160.18</v>
      </c>
      <c r="J50" s="18">
        <f>G50*I50</f>
        <v>38701.350000000006</v>
      </c>
      <c r="K50" s="5"/>
    </row>
    <row r="51" spans="1:16" ht="30" x14ac:dyDescent="0.25">
      <c r="A51" s="16"/>
      <c r="B51" s="38" t="s">
        <v>54</v>
      </c>
      <c r="C51" s="17"/>
      <c r="D51" s="17"/>
      <c r="E51" s="17"/>
      <c r="F51" s="17"/>
      <c r="G51" s="17"/>
      <c r="H51" s="17"/>
      <c r="I51" s="17"/>
      <c r="J51" s="18">
        <f>0.13*G50*(56250)/12.5</f>
        <v>4387.5000000000009</v>
      </c>
      <c r="K51" s="17"/>
    </row>
    <row r="52" spans="1:16" x14ac:dyDescent="0.25">
      <c r="A52" s="16"/>
      <c r="B52" s="32" t="s">
        <v>30</v>
      </c>
      <c r="C52" s="17"/>
      <c r="D52" s="17"/>
      <c r="E52" s="17"/>
      <c r="F52" s="17"/>
      <c r="G52" s="17"/>
      <c r="H52" s="17"/>
      <c r="I52" s="17"/>
      <c r="J52" s="18">
        <f>0.13*G50*912.17/12.5</f>
        <v>71.149259999999998</v>
      </c>
      <c r="K52" s="17"/>
    </row>
    <row r="53" spans="1:16" x14ac:dyDescent="0.25">
      <c r="A53" s="16"/>
      <c r="B53" s="32" t="s">
        <v>31</v>
      </c>
      <c r="C53" s="17"/>
      <c r="D53" s="17"/>
      <c r="E53" s="17"/>
      <c r="F53" s="17"/>
      <c r="G53" s="17"/>
      <c r="H53" s="17"/>
      <c r="I53" s="17"/>
      <c r="J53" s="18">
        <f>0.13*G50*279.4176/12.5</f>
        <v>21.794572800000001</v>
      </c>
      <c r="K53" s="17"/>
    </row>
    <row r="54" spans="1:16" x14ac:dyDescent="0.25">
      <c r="A54" s="16"/>
      <c r="B54" s="17"/>
      <c r="C54" s="17"/>
      <c r="D54" s="17"/>
      <c r="E54" s="17"/>
      <c r="F54" s="17"/>
      <c r="G54" s="17"/>
      <c r="H54" s="17"/>
      <c r="I54" s="17"/>
      <c r="J54" s="17"/>
      <c r="K54" s="17"/>
    </row>
    <row r="55" spans="1:16" ht="121.15" customHeight="1" x14ac:dyDescent="0.25">
      <c r="A55" s="16">
        <v>7</v>
      </c>
      <c r="B55" s="35" t="s">
        <v>44</v>
      </c>
      <c r="C55" s="17"/>
      <c r="D55" s="17"/>
      <c r="E55" s="17"/>
      <c r="F55" s="17"/>
      <c r="G55" s="17"/>
      <c r="H55" s="17"/>
      <c r="I55" s="17"/>
      <c r="J55" s="17"/>
      <c r="K55" s="17"/>
    </row>
    <row r="56" spans="1:16" x14ac:dyDescent="0.25">
      <c r="A56" s="16"/>
      <c r="B56" s="32" t="s">
        <v>45</v>
      </c>
      <c r="C56" s="37">
        <f>C11</f>
        <v>1</v>
      </c>
      <c r="D56" s="33">
        <f>D11</f>
        <v>62</v>
      </c>
      <c r="E56" s="33">
        <v>3</v>
      </c>
      <c r="F56" s="33">
        <v>0.15</v>
      </c>
      <c r="G56" s="33">
        <f>PRODUCT(C56:F56)</f>
        <v>27.9</v>
      </c>
      <c r="H56" s="17"/>
      <c r="I56" s="17"/>
      <c r="J56" s="17"/>
      <c r="K56" s="17"/>
      <c r="M56" s="36"/>
      <c r="N56" s="36"/>
      <c r="O56" s="36"/>
      <c r="P56" s="36"/>
    </row>
    <row r="57" spans="1:16" ht="15" customHeight="1" x14ac:dyDescent="0.25">
      <c r="A57" s="2"/>
      <c r="B57" s="34" t="s">
        <v>16</v>
      </c>
      <c r="C57" s="3"/>
      <c r="D57" s="4"/>
      <c r="E57" s="5"/>
      <c r="F57" s="5"/>
      <c r="G57" s="6">
        <f>SUM(G56:G56)</f>
        <v>27.9</v>
      </c>
      <c r="H57" s="7" t="s">
        <v>46</v>
      </c>
      <c r="I57" s="6">
        <v>2976.7</v>
      </c>
      <c r="J57" s="18">
        <f>G57*I57</f>
        <v>83049.929999999993</v>
      </c>
      <c r="K57" s="5"/>
    </row>
    <row r="58" spans="1:16" ht="30" x14ac:dyDescent="0.25">
      <c r="A58" s="16"/>
      <c r="B58" s="38" t="s">
        <v>47</v>
      </c>
      <c r="C58" s="17"/>
      <c r="D58" s="17"/>
      <c r="E58" s="17"/>
      <c r="F58" s="17"/>
      <c r="G58" s="17"/>
      <c r="H58" s="17"/>
      <c r="I58" s="17"/>
      <c r="J58" s="18">
        <f>0.13*G57*826398.72/300</f>
        <v>9991.1605247999996</v>
      </c>
      <c r="K58" s="17"/>
    </row>
    <row r="59" spans="1:16" x14ac:dyDescent="0.25">
      <c r="A59" s="16"/>
      <c r="B59" s="32" t="s">
        <v>34</v>
      </c>
      <c r="C59" s="17"/>
      <c r="D59" s="17"/>
      <c r="E59" s="17"/>
      <c r="F59" s="17"/>
      <c r="G59" s="17"/>
      <c r="H59" s="17"/>
      <c r="I59" s="17"/>
      <c r="J59" s="18">
        <f>0.13*G57*5580/300</f>
        <v>67.462199999999996</v>
      </c>
      <c r="K59" s="17"/>
    </row>
    <row r="60" spans="1:16" x14ac:dyDescent="0.25">
      <c r="A60" s="16"/>
      <c r="B60" s="32" t="s">
        <v>48</v>
      </c>
      <c r="C60" s="17"/>
      <c r="D60" s="17"/>
      <c r="E60" s="17"/>
      <c r="F60" s="17"/>
      <c r="G60" s="17"/>
      <c r="H60" s="17"/>
      <c r="I60" s="17"/>
      <c r="J60" s="18">
        <f>0.13*G57*17490/300</f>
        <v>211.45409999999998</v>
      </c>
      <c r="K60" s="17"/>
    </row>
    <row r="61" spans="1:16" x14ac:dyDescent="0.25">
      <c r="A61" s="16"/>
      <c r="B61" s="32" t="s">
        <v>49</v>
      </c>
      <c r="C61" s="17"/>
      <c r="D61" s="17"/>
      <c r="E61" s="17"/>
      <c r="F61" s="17"/>
      <c r="G61" s="17"/>
      <c r="H61" s="17"/>
      <c r="I61" s="17"/>
      <c r="J61" s="18">
        <f>0.13*G57*19416/300</f>
        <v>234.73943999999997</v>
      </c>
      <c r="K61" s="17"/>
    </row>
    <row r="62" spans="1:16" x14ac:dyDescent="0.25">
      <c r="A62" s="16"/>
      <c r="B62" s="32" t="s">
        <v>50</v>
      </c>
      <c r="C62" s="17"/>
      <c r="D62" s="17"/>
      <c r="E62" s="17"/>
      <c r="F62" s="17"/>
      <c r="G62" s="17"/>
      <c r="H62" s="17"/>
      <c r="I62" s="17"/>
      <c r="J62" s="18">
        <f>0.13*G57*10416/300</f>
        <v>125.92943999999999</v>
      </c>
      <c r="K62" s="17"/>
    </row>
    <row r="63" spans="1:16" x14ac:dyDescent="0.25">
      <c r="A63" s="16"/>
      <c r="B63" s="17"/>
      <c r="C63" s="17"/>
      <c r="D63" s="17"/>
      <c r="E63" s="17"/>
      <c r="F63" s="17"/>
      <c r="G63" s="17"/>
      <c r="H63" s="17"/>
      <c r="I63" s="17"/>
      <c r="J63" s="17"/>
      <c r="K63" s="17"/>
    </row>
    <row r="64" spans="1:16" ht="15" customHeight="1" x14ac:dyDescent="0.25">
      <c r="A64" s="2">
        <v>8</v>
      </c>
      <c r="B64" s="1" t="s">
        <v>60</v>
      </c>
      <c r="C64" s="3">
        <v>1</v>
      </c>
      <c r="D64" s="4"/>
      <c r="E64" s="5"/>
      <c r="F64" s="5"/>
      <c r="G64" s="7">
        <f t="shared" ref="G64" si="0">PRODUCT(C64:F64)</f>
        <v>1</v>
      </c>
      <c r="H64" s="7" t="s">
        <v>61</v>
      </c>
      <c r="I64" s="6">
        <v>3000</v>
      </c>
      <c r="J64" s="7">
        <f>G64*I64</f>
        <v>3000</v>
      </c>
      <c r="K64" s="5"/>
    </row>
    <row r="65" spans="1:19" x14ac:dyDescent="0.25">
      <c r="A65" s="2"/>
      <c r="B65" s="8"/>
      <c r="C65" s="3"/>
      <c r="D65" s="4"/>
      <c r="E65" s="5"/>
      <c r="F65" s="5"/>
      <c r="G65" s="6"/>
      <c r="H65" s="7"/>
      <c r="I65" s="6"/>
      <c r="J65" s="18"/>
      <c r="K65" s="5"/>
    </row>
    <row r="66" spans="1:19" ht="15" customHeight="1" x14ac:dyDescent="0.25">
      <c r="A66" s="2">
        <v>9</v>
      </c>
      <c r="B66" s="1" t="s">
        <v>18</v>
      </c>
      <c r="C66" s="3">
        <v>1</v>
      </c>
      <c r="D66" s="4"/>
      <c r="E66" s="5"/>
      <c r="F66" s="5"/>
      <c r="G66" s="7">
        <f t="shared" ref="G66" si="1">PRODUCT(C66:F66)</f>
        <v>1</v>
      </c>
      <c r="H66" s="7" t="s">
        <v>19</v>
      </c>
      <c r="I66" s="6">
        <v>500</v>
      </c>
      <c r="J66" s="7">
        <f>G66*I66</f>
        <v>500</v>
      </c>
      <c r="K66" s="5"/>
    </row>
    <row r="67" spans="1:19" x14ac:dyDescent="0.25">
      <c r="A67" s="2"/>
      <c r="B67" s="8"/>
      <c r="C67" s="3"/>
      <c r="D67" s="4"/>
      <c r="E67" s="5"/>
      <c r="F67" s="5"/>
      <c r="G67" s="6"/>
      <c r="H67" s="7"/>
      <c r="I67" s="6"/>
      <c r="J67" s="18"/>
      <c r="K67" s="5"/>
    </row>
    <row r="68" spans="1:19" x14ac:dyDescent="0.25">
      <c r="A68" s="21"/>
      <c r="B68" s="22" t="s">
        <v>21</v>
      </c>
      <c r="C68" s="23"/>
      <c r="D68" s="24"/>
      <c r="E68" s="24"/>
      <c r="F68" s="24"/>
      <c r="G68" s="18"/>
      <c r="H68" s="18"/>
      <c r="I68" s="18"/>
      <c r="J68" s="18">
        <f>SUM(J9:J66)</f>
        <v>483034.47031716217</v>
      </c>
      <c r="K68" s="25"/>
    </row>
    <row r="69" spans="1:19" x14ac:dyDescent="0.25">
      <c r="M69" s="20"/>
      <c r="N69" s="20"/>
      <c r="O69" s="20"/>
      <c r="P69" s="20"/>
      <c r="Q69" s="20"/>
      <c r="R69" s="20"/>
      <c r="S69" s="20"/>
    </row>
    <row r="70" spans="1:19" s="20" customFormat="1" x14ac:dyDescent="0.25">
      <c r="A70" s="26"/>
      <c r="B70" s="27" t="s">
        <v>20</v>
      </c>
      <c r="C70" s="39">
        <f>J68</f>
        <v>483034.47031716217</v>
      </c>
      <c r="D70" s="40"/>
      <c r="E70" s="9">
        <v>100</v>
      </c>
      <c r="F70" s="26"/>
      <c r="G70" s="28"/>
      <c r="H70" s="26"/>
      <c r="I70" s="29"/>
      <c r="J70" s="30"/>
      <c r="K70" s="31"/>
      <c r="M70" s="19"/>
      <c r="N70" s="19"/>
      <c r="O70" s="19"/>
      <c r="P70" s="19"/>
      <c r="Q70" s="19"/>
      <c r="R70" s="19"/>
      <c r="S70" s="19"/>
    </row>
    <row r="71" spans="1:19" x14ac:dyDescent="0.25">
      <c r="B71" s="27" t="s">
        <v>23</v>
      </c>
      <c r="C71" s="43">
        <v>425000</v>
      </c>
      <c r="D71" s="44"/>
      <c r="E71" s="9"/>
    </row>
    <row r="72" spans="1:19" x14ac:dyDescent="0.25">
      <c r="B72" s="27" t="s">
        <v>24</v>
      </c>
      <c r="C72" s="43">
        <f>C71-C74-C75</f>
        <v>403750</v>
      </c>
      <c r="D72" s="44"/>
      <c r="E72" s="9">
        <f>C72/C70*100</f>
        <v>83.586167201462104</v>
      </c>
    </row>
    <row r="73" spans="1:19" x14ac:dyDescent="0.25">
      <c r="B73" s="27" t="s">
        <v>35</v>
      </c>
      <c r="C73" s="45">
        <f>C70-C72</f>
        <v>79284.470317162166</v>
      </c>
      <c r="D73" s="45"/>
      <c r="E73" s="9">
        <f>100-E72</f>
        <v>16.413832798537896</v>
      </c>
    </row>
    <row r="74" spans="1:19" x14ac:dyDescent="0.25">
      <c r="B74" s="27" t="s">
        <v>25</v>
      </c>
      <c r="C74" s="39">
        <f>C71*0.03</f>
        <v>12750</v>
      </c>
      <c r="D74" s="40"/>
      <c r="E74" s="9">
        <v>3</v>
      </c>
    </row>
    <row r="75" spans="1:19" x14ac:dyDescent="0.25">
      <c r="B75" s="27" t="s">
        <v>26</v>
      </c>
      <c r="C75" s="39">
        <f>C71*0.02</f>
        <v>8500</v>
      </c>
      <c r="D75" s="40"/>
      <c r="E75" s="9">
        <v>2</v>
      </c>
    </row>
  </sheetData>
  <mergeCells count="15">
    <mergeCell ref="A6:F6"/>
    <mergeCell ref="H6:K6"/>
    <mergeCell ref="A1:K1"/>
    <mergeCell ref="A2:K2"/>
    <mergeCell ref="A3:K3"/>
    <mergeCell ref="A4:K4"/>
    <mergeCell ref="A5:K5"/>
    <mergeCell ref="C74:D74"/>
    <mergeCell ref="C75:D75"/>
    <mergeCell ref="A7:F7"/>
    <mergeCell ref="H7:K7"/>
    <mergeCell ref="C70:D70"/>
    <mergeCell ref="C71:D71"/>
    <mergeCell ref="C72:D72"/>
    <mergeCell ref="C73:D73"/>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2026-03-19T07:22:26Z</dcterms:modified>
</cp:coreProperties>
</file>