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7E0743F3-C92D-48E9-B457-7574BEB0C0D1}" xr6:coauthVersionLast="47" xr6:coauthVersionMax="47" xr10:uidLastSave="{00000000-0000-0000-0000-000000000000}"/>
  <bookViews>
    <workbookView xWindow="-120" yWindow="-120" windowWidth="20730" windowHeight="11040" xr2:uid="{00000000-000D-0000-FFFF-FFFF00000000}"/>
  </bookViews>
  <sheets>
    <sheet name="estimate" sheetId="14"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estimate!$A$1:$K$47</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 i="14" l="1"/>
  <c r="I35" i="14"/>
  <c r="I31" i="14"/>
  <c r="I27" i="14"/>
  <c r="I22" i="14"/>
  <c r="I17" i="14"/>
  <c r="I12" i="14"/>
  <c r="G41" i="14"/>
  <c r="J41" i="14" s="1"/>
  <c r="G30" i="14"/>
  <c r="G31" i="14" s="1"/>
  <c r="G34" i="14"/>
  <c r="G35" i="14" s="1"/>
  <c r="C38" i="14"/>
  <c r="J31" i="14" l="1"/>
  <c r="J35" i="14"/>
  <c r="E26" i="14" l="1"/>
  <c r="E20" i="14" l="1"/>
  <c r="E10" i="14"/>
  <c r="E11" i="14"/>
  <c r="D11" i="14"/>
  <c r="D38" i="14" s="1"/>
  <c r="G38" i="14" s="1"/>
  <c r="G39" i="14" s="1"/>
  <c r="J39" i="14" l="1"/>
  <c r="E16" i="14"/>
  <c r="E21" i="14" s="1"/>
  <c r="D16" i="14"/>
  <c r="D21" i="14" s="1"/>
  <c r="D26" i="14" s="1"/>
  <c r="C16" i="14"/>
  <c r="B16" i="14"/>
  <c r="B21" i="14" s="1"/>
  <c r="B26" i="14" s="1"/>
  <c r="G11" i="14"/>
  <c r="G16" i="14" l="1"/>
  <c r="C21" i="14"/>
  <c r="D10" i="14"/>
  <c r="G43" i="14"/>
  <c r="J43" i="14" s="1"/>
  <c r="N25" i="14"/>
  <c r="M25" i="14"/>
  <c r="P25" i="14" s="1"/>
  <c r="N20" i="14"/>
  <c r="M20" i="14"/>
  <c r="P20" i="14" s="1"/>
  <c r="E15" i="14"/>
  <c r="D20" i="14"/>
  <c r="N15" i="14"/>
  <c r="M15" i="14"/>
  <c r="B15" i="14"/>
  <c r="B20" i="14" s="1"/>
  <c r="B25" i="14" s="1"/>
  <c r="N10" i="14"/>
  <c r="M10" i="14"/>
  <c r="P10" i="14" s="1"/>
  <c r="P15" i="14" l="1"/>
  <c r="G21" i="14"/>
  <c r="C26" i="14"/>
  <c r="G26" i="14" s="1"/>
  <c r="G20" i="14"/>
  <c r="G22" i="14" s="1"/>
  <c r="G25" i="14"/>
  <c r="G10" i="14"/>
  <c r="G12" i="14" s="1"/>
  <c r="D15" i="14"/>
  <c r="G15" i="14" s="1"/>
  <c r="G17" i="14" s="1"/>
  <c r="G27" i="14" l="1"/>
  <c r="J12" i="14"/>
  <c r="J17" i="14"/>
  <c r="J22" i="14" l="1"/>
  <c r="J27" i="14"/>
  <c r="J45" i="14" l="1"/>
  <c r="C47" i="14" s="1"/>
</calcChain>
</file>

<file path=xl/sharedStrings.xml><?xml version="1.0" encoding="utf-8"?>
<sst xmlns="http://schemas.openxmlformats.org/spreadsheetml/2006/main" count="52" uniqueCount="42">
  <si>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</si>
  <si>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</si>
  <si>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</si>
  <si>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</si>
  <si>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</si>
  <si>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</si>
  <si>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</si>
  <si>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</si>
  <si>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</si>
  <si>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</si>
  <si>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</si>
  <si>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</si>
  <si>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</si>
  <si>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</si>
  <si>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</si>
  <si>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</si>
  <si>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</si>
  <si>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</si>
  <si>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</si>
  <si>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</si>
  <si>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</si>
  <si>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</si>
  <si>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</si>
  <si>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</si>
  <si>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</si>
  <si>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-for plum wall</t>
  </si>
  <si>
    <t>Providing and laying Plum concrete ( Boulder mixed concrete) including form work and 110mm dia PN6 HDPE pipe for Weep hole as per Drawing and Specifications, 60% M 15  concrete and 40% boulders/stones, using Mechanical Aids</t>
  </si>
  <si>
    <t>Location:- Shankharapur Municipality 1</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</si>
  <si>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</si>
  <si>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-for drain</t>
  </si>
  <si>
    <t>Providing and laying  granular sub-base   on prepared surface, mixing  at OMC, and compacting  to achieve the desired density, complete as per Drawing and Technical Specifications., By Mechanical means</t>
  </si>
  <si>
    <t>-for road</t>
  </si>
  <si>
    <t>cum</t>
  </si>
  <si>
    <t>Providing and Laying Reinforced cement concrete NP3 Flush jointed pipe for culverts including fixing with cement mortar 1:2 as per Drawing and Technical Specifications., 450 mm  internal dia.</t>
  </si>
  <si>
    <t>-450mm dia hume pipe</t>
  </si>
  <si>
    <t>rm</t>
  </si>
  <si>
    <t>Providing and Laying Reinforced cement concrete NP3 Flush jointed pipe for culverts including fixing with cement mortar 1:2 as per Drawing and Technical Specifications., 300 mm  internal dia.</t>
  </si>
  <si>
    <t>-300mm dia hume pipe</t>
  </si>
  <si>
    <t>Date: 2082</t>
  </si>
  <si>
    <r>
      <t xml:space="preserve">Project:- </t>
    </r>
    <r>
      <rPr>
        <b/>
        <sz val="14"/>
        <rFont val="Preeti"/>
      </rPr>
      <t>3'DtL vgfn6f]n ;8s</t>
    </r>
  </si>
  <si>
    <t>Provisional sum for lab tests</t>
  </si>
  <si>
    <t>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</si>
</sst>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b/>
      <sz val="14"/>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48">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1" fontId="4" fillId="0" borderId="2" xfId="0" applyNumberFormat="1" applyFont="1" applyBorder="1"/>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7"/>
  <sheetViews>
    <sheetView tabSelected="1" topLeftCell="A37" zoomScale="90" zoomScaleNormal="90" zoomScaleSheetLayoutView="95" workbookViewId="0">
      <selection activeCell="I48" sqref="I48"/>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40" t="s">
        <v>0</v>
      </c>
      <c r="B1" s="40"/>
      <c r="C1" s="40"/>
      <c r="D1" s="40"/>
      <c r="E1" s="40"/>
      <c r="F1" s="40"/>
      <c r="G1" s="40"/>
      <c r="H1" s="40"/>
      <c r="I1" s="40"/>
      <c r="J1" s="40"/>
      <c r="K1" s="40"/>
    </row>
    <row r="2" spans="1:16" ht="22.5" x14ac:dyDescent="0.25">
      <c r="A2" s="41" t="s">
        <v>1</v>
      </c>
      <c r="B2" s="41"/>
      <c r="C2" s="41"/>
      <c r="D2" s="41"/>
      <c r="E2" s="41"/>
      <c r="F2" s="41"/>
      <c r="G2" s="41"/>
      <c r="H2" s="41"/>
      <c r="I2" s="41"/>
      <c r="J2" s="41"/>
      <c r="K2" s="41"/>
    </row>
    <row r="3" spans="1:16" x14ac:dyDescent="0.25">
      <c r="A3" s="42" t="s">
        <v>2</v>
      </c>
      <c r="B3" s="42"/>
      <c r="C3" s="42"/>
      <c r="D3" s="42"/>
      <c r="E3" s="42"/>
      <c r="F3" s="42"/>
      <c r="G3" s="42"/>
      <c r="H3" s="42"/>
      <c r="I3" s="42"/>
      <c r="J3" s="42"/>
      <c r="K3" s="42"/>
    </row>
    <row r="4" spans="1:16" x14ac:dyDescent="0.25">
      <c r="A4" s="42" t="s">
        <v>3</v>
      </c>
      <c r="B4" s="42"/>
      <c r="C4" s="42"/>
      <c r="D4" s="42"/>
      <c r="E4" s="42"/>
      <c r="F4" s="42"/>
      <c r="G4" s="42"/>
      <c r="H4" s="42"/>
      <c r="I4" s="42"/>
      <c r="J4" s="42"/>
      <c r="K4" s="42"/>
    </row>
    <row r="5" spans="1:16" ht="18.75" x14ac:dyDescent="0.3">
      <c r="A5" s="43" t="s">
        <v>4</v>
      </c>
      <c r="B5" s="43"/>
      <c r="C5" s="43"/>
      <c r="D5" s="43"/>
      <c r="E5" s="43"/>
      <c r="F5" s="43"/>
      <c r="G5" s="43"/>
      <c r="H5" s="43"/>
      <c r="I5" s="43"/>
      <c r="J5" s="43"/>
      <c r="K5" s="43"/>
    </row>
    <row r="6" spans="1:16" ht="18" x14ac:dyDescent="0.25">
      <c r="A6" s="38" t="s">
        <v>39</v>
      </c>
      <c r="B6" s="38"/>
      <c r="C6" s="38"/>
      <c r="D6" s="38"/>
      <c r="E6" s="38"/>
      <c r="F6" s="38"/>
      <c r="G6" s="10"/>
      <c r="H6" s="39" t="s">
        <v>22</v>
      </c>
      <c r="I6" s="39"/>
      <c r="J6" s="39"/>
      <c r="K6" s="39"/>
    </row>
    <row r="7" spans="1:16" ht="15.75" x14ac:dyDescent="0.25">
      <c r="A7" s="46" t="s">
        <v>27</v>
      </c>
      <c r="B7" s="46"/>
      <c r="C7" s="46"/>
      <c r="D7" s="46"/>
      <c r="E7" s="46"/>
      <c r="F7" s="46"/>
      <c r="G7" s="11"/>
      <c r="H7" s="47" t="s">
        <v>38</v>
      </c>
      <c r="I7" s="47"/>
      <c r="J7" s="47"/>
      <c r="K7" s="47"/>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73.25" x14ac:dyDescent="0.25">
      <c r="A9" s="16">
        <v>1</v>
      </c>
      <c r="B9" s="35" t="s">
        <v>28</v>
      </c>
      <c r="C9" s="17"/>
      <c r="D9" s="17"/>
      <c r="E9" s="17"/>
      <c r="F9" s="17"/>
      <c r="G9" s="17"/>
      <c r="H9" s="17"/>
      <c r="I9" s="17"/>
      <c r="J9" s="17"/>
      <c r="K9" s="17"/>
    </row>
    <row r="10" spans="1:16" x14ac:dyDescent="0.25">
      <c r="A10" s="16"/>
      <c r="B10" s="32" t="s">
        <v>25</v>
      </c>
      <c r="C10" s="37">
        <v>0.5</v>
      </c>
      <c r="D10" s="33">
        <f>D25</f>
        <v>3</v>
      </c>
      <c r="E10" s="33">
        <f>E25</f>
        <v>0.45</v>
      </c>
      <c r="F10" s="33">
        <v>1.5</v>
      </c>
      <c r="G10" s="33">
        <f>PRODUCT(C10:F10)</f>
        <v>1.0125000000000002</v>
      </c>
      <c r="H10" s="17"/>
      <c r="I10" s="17"/>
      <c r="J10" s="17"/>
      <c r="K10" s="17"/>
      <c r="M10" s="33">
        <f>7</f>
        <v>7</v>
      </c>
      <c r="N10" s="33">
        <f>2</f>
        <v>2</v>
      </c>
      <c r="O10" s="33"/>
      <c r="P10" s="33">
        <f>PI()*M10*SQRT(M10^2+N10^2)</f>
        <v>160.09797821843054</v>
      </c>
    </row>
    <row r="11" spans="1:16" x14ac:dyDescent="0.25">
      <c r="A11" s="16"/>
      <c r="B11" s="32" t="s">
        <v>29</v>
      </c>
      <c r="C11" s="37">
        <v>1</v>
      </c>
      <c r="D11" s="33">
        <f>62</f>
        <v>62</v>
      </c>
      <c r="E11" s="33">
        <f>((1+10/12)+0.75+0.75)/3.281</f>
        <v>1.0159504216194251</v>
      </c>
      <c r="F11" s="33">
        <v>0.45</v>
      </c>
      <c r="G11" s="33">
        <f>PRODUCT(C11:F11)</f>
        <v>28.34501676318196</v>
      </c>
      <c r="H11" s="17"/>
      <c r="I11" s="17"/>
      <c r="J11" s="17"/>
      <c r="K11" s="17"/>
      <c r="M11" s="36"/>
      <c r="N11" s="36"/>
      <c r="O11" s="36"/>
      <c r="P11" s="36"/>
    </row>
    <row r="12" spans="1:16" ht="15" customHeight="1" x14ac:dyDescent="0.25">
      <c r="A12" s="2"/>
      <c r="B12" s="34" t="s">
        <v>16</v>
      </c>
      <c r="C12" s="3"/>
      <c r="D12" s="4"/>
      <c r="E12" s="5"/>
      <c r="F12" s="5"/>
      <c r="G12" s="6">
        <f>SUM(G10:G11)</f>
        <v>29.357516763181959</v>
      </c>
      <c r="H12" s="7" t="s">
        <v>17</v>
      </c>
      <c r="I12" s="6">
        <f>1.15*62.95</f>
        <v>72.392499999999998</v>
      </c>
      <c r="J12" s="18">
        <f>G12*I12</f>
        <v>2125.2640322786501</v>
      </c>
      <c r="K12" s="5"/>
    </row>
    <row r="13" spans="1:16" x14ac:dyDescent="0.25">
      <c r="A13" s="16"/>
      <c r="B13" s="17"/>
      <c r="C13" s="17"/>
      <c r="D13" s="17"/>
      <c r="E13" s="17"/>
      <c r="F13" s="17"/>
      <c r="G13" s="17"/>
      <c r="H13" s="17"/>
      <c r="I13" s="17"/>
      <c r="J13" s="17"/>
      <c r="K13" s="17"/>
    </row>
    <row r="14" spans="1:16" ht="110.25" x14ac:dyDescent="0.25">
      <c r="A14" s="16">
        <v>2</v>
      </c>
      <c r="B14" s="35" t="s">
        <v>23</v>
      </c>
      <c r="C14" s="17"/>
      <c r="D14" s="17"/>
      <c r="E14" s="17"/>
      <c r="F14" s="17"/>
      <c r="G14" s="17"/>
      <c r="H14" s="17"/>
      <c r="I14" s="17"/>
      <c r="J14" s="17"/>
      <c r="K14" s="17"/>
    </row>
    <row r="15" spans="1:16" x14ac:dyDescent="0.25">
      <c r="A15" s="16"/>
      <c r="B15" s="32" t="str">
        <f>B10</f>
        <v>-for plum wall</v>
      </c>
      <c r="C15" s="17">
        <v>1</v>
      </c>
      <c r="D15" s="33">
        <f>D20</f>
        <v>3</v>
      </c>
      <c r="E15" s="33">
        <f>E20</f>
        <v>0.45</v>
      </c>
      <c r="F15" s="33">
        <v>0.15</v>
      </c>
      <c r="G15" s="33">
        <f>PRODUCT(C15:F15)</f>
        <v>0.20250000000000001</v>
      </c>
      <c r="H15" s="17"/>
      <c r="I15" s="17"/>
      <c r="J15" s="17"/>
      <c r="K15" s="17"/>
      <c r="M15" s="33">
        <f>7</f>
        <v>7</v>
      </c>
      <c r="N15" s="33">
        <f>2</f>
        <v>2</v>
      </c>
      <c r="O15" s="33"/>
      <c r="P15" s="33">
        <f>PI()*M15*SQRT(M15^2+N15^2)</f>
        <v>160.09797821843054</v>
      </c>
    </row>
    <row r="16" spans="1:16" x14ac:dyDescent="0.25">
      <c r="A16" s="16"/>
      <c r="B16" s="32" t="str">
        <f>B11</f>
        <v>-for drain</v>
      </c>
      <c r="C16" s="17">
        <f>C11</f>
        <v>1</v>
      </c>
      <c r="D16" s="33">
        <f>D11</f>
        <v>62</v>
      </c>
      <c r="E16" s="33">
        <f>E11</f>
        <v>1.0159504216194251</v>
      </c>
      <c r="F16" s="33">
        <v>0.15</v>
      </c>
      <c r="G16" s="33">
        <f>PRODUCT(C16:F16)</f>
        <v>9.4483389210606532</v>
      </c>
      <c r="H16" s="17"/>
      <c r="I16" s="17"/>
      <c r="J16" s="17"/>
      <c r="K16" s="17"/>
      <c r="M16" s="36"/>
      <c r="N16" s="36"/>
      <c r="O16" s="36"/>
      <c r="P16" s="36"/>
    </row>
    <row r="17" spans="1:16" ht="15" customHeight="1" x14ac:dyDescent="0.25">
      <c r="A17" s="2"/>
      <c r="B17" s="34" t="s">
        <v>16</v>
      </c>
      <c r="C17" s="3"/>
      <c r="D17" s="4"/>
      <c r="E17" s="5"/>
      <c r="F17" s="5"/>
      <c r="G17" s="6">
        <f>SUM(G15:G16)</f>
        <v>9.6508389210606538</v>
      </c>
      <c r="H17" s="7" t="s">
        <v>17</v>
      </c>
      <c r="I17" s="6">
        <f>1.15*4458.52</f>
        <v>5127.2979999999998</v>
      </c>
      <c r="J17" s="18">
        <f>G17*I17</f>
        <v>49482.727098276446</v>
      </c>
      <c r="K17" s="5"/>
    </row>
    <row r="18" spans="1:16" x14ac:dyDescent="0.25">
      <c r="A18" s="16"/>
      <c r="B18" s="17"/>
      <c r="C18" s="17"/>
      <c r="D18" s="17"/>
      <c r="E18" s="17"/>
      <c r="F18" s="17"/>
      <c r="G18" s="17"/>
      <c r="H18" s="17"/>
      <c r="I18" s="17"/>
      <c r="J18" s="17"/>
      <c r="K18" s="17"/>
    </row>
    <row r="19" spans="1:16" ht="94.5" x14ac:dyDescent="0.25">
      <c r="A19" s="16">
        <v>3</v>
      </c>
      <c r="B19" s="35" t="s">
        <v>24</v>
      </c>
      <c r="C19" s="17"/>
      <c r="D19" s="17"/>
      <c r="E19" s="17"/>
      <c r="F19" s="17"/>
      <c r="G19" s="17"/>
      <c r="H19" s="17"/>
      <c r="I19" s="17"/>
      <c r="J19" s="17"/>
      <c r="K19" s="17"/>
    </row>
    <row r="20" spans="1:16" x14ac:dyDescent="0.25">
      <c r="A20" s="16"/>
      <c r="B20" s="32" t="str">
        <f>B15</f>
        <v>-for plum wall</v>
      </c>
      <c r="C20" s="17">
        <v>1</v>
      </c>
      <c r="D20" s="33">
        <f>D25</f>
        <v>3</v>
      </c>
      <c r="E20" s="33">
        <f>E25</f>
        <v>0.45</v>
      </c>
      <c r="F20" s="33">
        <v>0.05</v>
      </c>
      <c r="G20" s="33">
        <f>PRODUCT(C20:F20)</f>
        <v>6.7500000000000004E-2</v>
      </c>
      <c r="H20" s="17"/>
      <c r="I20" s="17"/>
      <c r="J20" s="17"/>
      <c r="K20" s="17"/>
      <c r="M20" s="33">
        <f>7</f>
        <v>7</v>
      </c>
      <c r="N20" s="33">
        <f>2</f>
        <v>2</v>
      </c>
      <c r="O20" s="33"/>
      <c r="P20" s="33">
        <f>PI()*M20*SQRT(M20^2+N20^2)</f>
        <v>160.09797821843054</v>
      </c>
    </row>
    <row r="21" spans="1:16" x14ac:dyDescent="0.25">
      <c r="A21" s="16"/>
      <c r="B21" s="32" t="str">
        <f>B16</f>
        <v>-for drain</v>
      </c>
      <c r="C21" s="17">
        <f>C16</f>
        <v>1</v>
      </c>
      <c r="D21" s="33">
        <f>D16</f>
        <v>62</v>
      </c>
      <c r="E21" s="33">
        <f>E16</f>
        <v>1.0159504216194251</v>
      </c>
      <c r="F21" s="33">
        <v>0.1</v>
      </c>
      <c r="G21" s="33">
        <f>PRODUCT(C21:F21)</f>
        <v>6.2988926140404358</v>
      </c>
      <c r="H21" s="17"/>
      <c r="I21" s="17"/>
      <c r="J21" s="17"/>
      <c r="K21" s="17"/>
      <c r="M21" s="36"/>
      <c r="N21" s="36"/>
      <c r="O21" s="36"/>
      <c r="P21" s="36"/>
    </row>
    <row r="22" spans="1:16" ht="15" customHeight="1" x14ac:dyDescent="0.25">
      <c r="A22" s="2"/>
      <c r="B22" s="34" t="s">
        <v>16</v>
      </c>
      <c r="C22" s="3"/>
      <c r="D22" s="4"/>
      <c r="E22" s="5"/>
      <c r="F22" s="5"/>
      <c r="G22" s="6">
        <f>SUM(G20:G21)</f>
        <v>6.3663926140404357</v>
      </c>
      <c r="H22" s="7" t="s">
        <v>17</v>
      </c>
      <c r="I22" s="6">
        <f>1.15*10964.46</f>
        <v>12609.128999999997</v>
      </c>
      <c r="J22" s="18">
        <f>G22*I22</f>
        <v>80274.66573508305</v>
      </c>
      <c r="K22" s="5"/>
    </row>
    <row r="23" spans="1:16" x14ac:dyDescent="0.25">
      <c r="A23" s="16"/>
      <c r="B23" s="17"/>
      <c r="C23" s="17"/>
      <c r="D23" s="17"/>
      <c r="E23" s="17"/>
      <c r="F23" s="17"/>
      <c r="G23" s="17"/>
      <c r="H23" s="17"/>
      <c r="I23" s="17"/>
      <c r="J23" s="17"/>
      <c r="K23" s="17"/>
    </row>
    <row r="24" spans="1:16" ht="141.75" x14ac:dyDescent="0.25">
      <c r="A24" s="16">
        <v>4</v>
      </c>
      <c r="B24" s="35" t="s">
        <v>26</v>
      </c>
      <c r="C24" s="17"/>
      <c r="D24" s="17"/>
      <c r="E24" s="17"/>
      <c r="F24" s="17"/>
      <c r="G24" s="17"/>
      <c r="H24" s="17"/>
      <c r="I24" s="17"/>
      <c r="J24" s="17"/>
      <c r="K24" s="17"/>
    </row>
    <row r="25" spans="1:16" x14ac:dyDescent="0.25">
      <c r="A25" s="16"/>
      <c r="B25" s="32" t="str">
        <f>B20</f>
        <v>-for plum wall</v>
      </c>
      <c r="C25" s="17">
        <v>1</v>
      </c>
      <c r="D25" s="33">
        <v>3</v>
      </c>
      <c r="E25" s="33">
        <v>0.45</v>
      </c>
      <c r="F25" s="33">
        <v>1.5</v>
      </c>
      <c r="G25" s="33">
        <f>PRODUCT(C25:F25)</f>
        <v>2.0250000000000004</v>
      </c>
      <c r="H25" s="17"/>
      <c r="I25" s="17"/>
      <c r="J25" s="17"/>
      <c r="K25" s="17"/>
      <c r="M25" s="33">
        <f>7</f>
        <v>7</v>
      </c>
      <c r="N25" s="33">
        <f>2</f>
        <v>2</v>
      </c>
      <c r="O25" s="33"/>
      <c r="P25" s="33">
        <f>PI()*M25*SQRT(M25^2+N25^2)</f>
        <v>160.09797821843054</v>
      </c>
    </row>
    <row r="26" spans="1:16" x14ac:dyDescent="0.25">
      <c r="A26" s="16"/>
      <c r="B26" s="32" t="str">
        <f>B21</f>
        <v>-for drain</v>
      </c>
      <c r="C26" s="17">
        <f>C21*2</f>
        <v>2</v>
      </c>
      <c r="D26" s="33">
        <f>D21</f>
        <v>62</v>
      </c>
      <c r="E26" s="33">
        <f>((0.75+1.17)/2)/3.281</f>
        <v>0.29259372142639439</v>
      </c>
      <c r="F26" s="33">
        <v>0.45</v>
      </c>
      <c r="G26" s="33">
        <f>PRODUCT(C26:F26)</f>
        <v>16.326729655592807</v>
      </c>
      <c r="H26" s="17"/>
      <c r="I26" s="17"/>
      <c r="J26" s="17"/>
      <c r="K26" s="17"/>
      <c r="M26" s="36"/>
      <c r="N26" s="36"/>
      <c r="O26" s="36"/>
      <c r="P26" s="36"/>
    </row>
    <row r="27" spans="1:16" ht="15" customHeight="1" x14ac:dyDescent="0.25">
      <c r="A27" s="2"/>
      <c r="B27" s="34" t="s">
        <v>16</v>
      </c>
      <c r="C27" s="3"/>
      <c r="D27" s="4"/>
      <c r="E27" s="5"/>
      <c r="F27" s="5"/>
      <c r="G27" s="6">
        <f>SUM(G25:G26)</f>
        <v>18.351729655592806</v>
      </c>
      <c r="H27" s="7" t="s">
        <v>17</v>
      </c>
      <c r="I27" s="6">
        <f>1.15*9860.43</f>
        <v>11339.494499999999</v>
      </c>
      <c r="J27" s="18">
        <f>G27*I27</f>
        <v>208099.33749508151</v>
      </c>
      <c r="K27" s="5"/>
    </row>
    <row r="28" spans="1:16" x14ac:dyDescent="0.25">
      <c r="A28" s="16"/>
      <c r="B28" s="17"/>
      <c r="C28" s="17"/>
      <c r="D28" s="17"/>
      <c r="E28" s="17"/>
      <c r="F28" s="17"/>
      <c r="G28" s="17"/>
      <c r="H28" s="17"/>
      <c r="I28" s="17"/>
      <c r="J28" s="17"/>
      <c r="K28" s="17"/>
    </row>
    <row r="29" spans="1:16" ht="110.25" x14ac:dyDescent="0.25">
      <c r="A29" s="16">
        <v>5</v>
      </c>
      <c r="B29" s="35" t="s">
        <v>36</v>
      </c>
      <c r="C29" s="17"/>
      <c r="D29" s="17"/>
      <c r="E29" s="17"/>
      <c r="F29" s="17"/>
      <c r="G29" s="17"/>
      <c r="H29" s="17"/>
      <c r="I29" s="17"/>
      <c r="J29" s="17"/>
      <c r="K29" s="17"/>
    </row>
    <row r="30" spans="1:16" x14ac:dyDescent="0.25">
      <c r="A30" s="16"/>
      <c r="B30" s="32" t="s">
        <v>37</v>
      </c>
      <c r="C30" s="17">
        <v>2</v>
      </c>
      <c r="D30" s="33">
        <v>2.5</v>
      </c>
      <c r="E30" s="33"/>
      <c r="F30" s="33"/>
      <c r="G30" s="33">
        <f>PRODUCT(C30:F30)</f>
        <v>5</v>
      </c>
      <c r="H30" s="17"/>
      <c r="I30" s="17"/>
      <c r="J30" s="17"/>
      <c r="K30" s="17"/>
      <c r="M30" s="36"/>
      <c r="N30" s="36"/>
      <c r="O30" s="36"/>
      <c r="P30" s="36"/>
    </row>
    <row r="31" spans="1:16" ht="15" customHeight="1" x14ac:dyDescent="0.25">
      <c r="A31" s="2"/>
      <c r="B31" s="34" t="s">
        <v>16</v>
      </c>
      <c r="C31" s="3"/>
      <c r="D31" s="4"/>
      <c r="E31" s="5"/>
      <c r="F31" s="5"/>
      <c r="G31" s="6">
        <f>SUM(G30:G30)</f>
        <v>5</v>
      </c>
      <c r="H31" s="7" t="s">
        <v>35</v>
      </c>
      <c r="I31" s="6">
        <f>1.15*3710.23</f>
        <v>4266.7644999999993</v>
      </c>
      <c r="J31" s="18">
        <f>G31*I31</f>
        <v>21333.822499999995</v>
      </c>
      <c r="K31" s="5"/>
    </row>
    <row r="32" spans="1:16" x14ac:dyDescent="0.25">
      <c r="A32" s="16"/>
      <c r="B32" s="17"/>
      <c r="C32" s="17"/>
      <c r="D32" s="17"/>
      <c r="E32" s="17"/>
      <c r="F32" s="17"/>
      <c r="G32" s="17"/>
      <c r="H32" s="17"/>
      <c r="I32" s="17"/>
      <c r="J32" s="17"/>
      <c r="K32" s="17"/>
    </row>
    <row r="33" spans="1:19" ht="110.25" x14ac:dyDescent="0.25">
      <c r="A33" s="16">
        <v>6</v>
      </c>
      <c r="B33" s="35" t="s">
        <v>33</v>
      </c>
      <c r="C33" s="17"/>
      <c r="D33" s="17"/>
      <c r="E33" s="17"/>
      <c r="F33" s="17"/>
      <c r="G33" s="17"/>
      <c r="H33" s="17"/>
      <c r="I33" s="17"/>
      <c r="J33" s="17"/>
      <c r="K33" s="17"/>
    </row>
    <row r="34" spans="1:19" x14ac:dyDescent="0.25">
      <c r="A34" s="16"/>
      <c r="B34" s="32" t="s">
        <v>34</v>
      </c>
      <c r="C34" s="17">
        <v>3</v>
      </c>
      <c r="D34" s="33">
        <v>2.5</v>
      </c>
      <c r="E34" s="33"/>
      <c r="F34" s="33"/>
      <c r="G34" s="33">
        <f>PRODUCT(C34:F34)</f>
        <v>7.5</v>
      </c>
      <c r="H34" s="17"/>
      <c r="I34" s="17"/>
      <c r="J34" s="17"/>
      <c r="K34" s="17"/>
      <c r="M34" s="36"/>
      <c r="N34" s="36"/>
      <c r="O34" s="36"/>
      <c r="P34" s="36"/>
    </row>
    <row r="35" spans="1:19" ht="15" customHeight="1" x14ac:dyDescent="0.25">
      <c r="A35" s="2"/>
      <c r="B35" s="34" t="s">
        <v>16</v>
      </c>
      <c r="C35" s="3"/>
      <c r="D35" s="4"/>
      <c r="E35" s="5"/>
      <c r="F35" s="5"/>
      <c r="G35" s="6">
        <f>SUM(G34:G34)</f>
        <v>7.5</v>
      </c>
      <c r="H35" s="7" t="s">
        <v>35</v>
      </c>
      <c r="I35" s="6">
        <f>1.15*5160.18</f>
        <v>5934.2069999999994</v>
      </c>
      <c r="J35" s="18">
        <f>G35*I35</f>
        <v>44506.552499999998</v>
      </c>
      <c r="K35" s="5"/>
    </row>
    <row r="36" spans="1:19" x14ac:dyDescent="0.25">
      <c r="A36" s="16"/>
      <c r="B36" s="17"/>
      <c r="C36" s="17"/>
      <c r="D36" s="17"/>
      <c r="E36" s="17"/>
      <c r="F36" s="17"/>
      <c r="G36" s="17"/>
      <c r="H36" s="17"/>
      <c r="I36" s="17"/>
      <c r="J36" s="17"/>
      <c r="K36" s="17"/>
    </row>
    <row r="37" spans="1:19" ht="121.15" customHeight="1" x14ac:dyDescent="0.25">
      <c r="A37" s="16">
        <v>7</v>
      </c>
      <c r="B37" s="35" t="s">
        <v>30</v>
      </c>
      <c r="C37" s="17"/>
      <c r="D37" s="17"/>
      <c r="E37" s="17"/>
      <c r="F37" s="17"/>
      <c r="G37" s="17"/>
      <c r="H37" s="17"/>
      <c r="I37" s="17"/>
      <c r="J37" s="17"/>
      <c r="K37" s="17"/>
    </row>
    <row r="38" spans="1:19" x14ac:dyDescent="0.25">
      <c r="A38" s="16"/>
      <c r="B38" s="32" t="s">
        <v>31</v>
      </c>
      <c r="C38" s="37">
        <f>C11</f>
        <v>1</v>
      </c>
      <c r="D38" s="33">
        <f>D11</f>
        <v>62</v>
      </c>
      <c r="E38" s="33">
        <v>3</v>
      </c>
      <c r="F38" s="33">
        <v>0.15</v>
      </c>
      <c r="G38" s="33">
        <f>PRODUCT(C38:F38)</f>
        <v>27.9</v>
      </c>
      <c r="H38" s="17"/>
      <c r="I38" s="17"/>
      <c r="J38" s="17"/>
      <c r="K38" s="17"/>
      <c r="M38" s="36"/>
      <c r="N38" s="36"/>
      <c r="O38" s="36"/>
      <c r="P38" s="36"/>
    </row>
    <row r="39" spans="1:19" ht="15" customHeight="1" x14ac:dyDescent="0.25">
      <c r="A39" s="2"/>
      <c r="B39" s="34" t="s">
        <v>16</v>
      </c>
      <c r="C39" s="3"/>
      <c r="D39" s="4"/>
      <c r="E39" s="5"/>
      <c r="F39" s="5"/>
      <c r="G39" s="6">
        <f>SUM(G38:G38)</f>
        <v>27.9</v>
      </c>
      <c r="H39" s="7" t="s">
        <v>32</v>
      </c>
      <c r="I39" s="6">
        <f>1.15*2976.7</f>
        <v>3423.2049999999995</v>
      </c>
      <c r="J39" s="18">
        <f>G39*I39</f>
        <v>95507.419499999975</v>
      </c>
      <c r="K39" s="5"/>
    </row>
    <row r="40" spans="1:19" x14ac:dyDescent="0.25">
      <c r="A40" s="16"/>
      <c r="B40" s="17"/>
      <c r="C40" s="17"/>
      <c r="D40" s="17"/>
      <c r="E40" s="17"/>
      <c r="F40" s="17"/>
      <c r="G40" s="17"/>
      <c r="H40" s="17"/>
      <c r="I40" s="17"/>
      <c r="J40" s="17"/>
      <c r="K40" s="17"/>
    </row>
    <row r="41" spans="1:19" ht="15" customHeight="1" x14ac:dyDescent="0.25">
      <c r="A41" s="2">
        <v>8</v>
      </c>
      <c r="B41" s="1" t="s">
        <v>40</v>
      </c>
      <c r="C41" s="3">
        <v>1</v>
      </c>
      <c r="D41" s="4"/>
      <c r="E41" s="5"/>
      <c r="F41" s="5"/>
      <c r="G41" s="7">
        <f t="shared" ref="G41" si="0">PRODUCT(C41:F41)</f>
        <v>1</v>
      </c>
      <c r="H41" s="7" t="s">
        <v>41</v>
      </c>
      <c r="I41" s="6">
        <v>3000</v>
      </c>
      <c r="J41" s="7">
        <f>G41*I41</f>
        <v>3000</v>
      </c>
      <c r="K41" s="5"/>
    </row>
    <row r="42" spans="1:19" x14ac:dyDescent="0.25">
      <c r="A42" s="2"/>
      <c r="B42" s="8"/>
      <c r="C42" s="3"/>
      <c r="D42" s="4"/>
      <c r="E42" s="5"/>
      <c r="F42" s="5"/>
      <c r="G42" s="6"/>
      <c r="H42" s="7"/>
      <c r="I42" s="6"/>
      <c r="J42" s="18"/>
      <c r="K42" s="5"/>
    </row>
    <row r="43" spans="1:19" ht="15" customHeight="1" x14ac:dyDescent="0.25">
      <c r="A43" s="2">
        <v>9</v>
      </c>
      <c r="B43" s="1" t="s">
        <v>18</v>
      </c>
      <c r="C43" s="3">
        <v>1</v>
      </c>
      <c r="D43" s="4"/>
      <c r="E43" s="5"/>
      <c r="F43" s="5"/>
      <c r="G43" s="7">
        <f t="shared" ref="G43" si="1">PRODUCT(C43:F43)</f>
        <v>1</v>
      </c>
      <c r="H43" s="7" t="s">
        <v>19</v>
      </c>
      <c r="I43" s="6">
        <v>500</v>
      </c>
      <c r="J43" s="7">
        <f>G43*I43</f>
        <v>500</v>
      </c>
      <c r="K43" s="5"/>
    </row>
    <row r="44" spans="1:19" x14ac:dyDescent="0.25">
      <c r="A44" s="2"/>
      <c r="B44" s="8"/>
      <c r="C44" s="3"/>
      <c r="D44" s="4"/>
      <c r="E44" s="5"/>
      <c r="F44" s="5"/>
      <c r="G44" s="6"/>
      <c r="H44" s="7"/>
      <c r="I44" s="6"/>
      <c r="J44" s="18"/>
      <c r="K44" s="5"/>
    </row>
    <row r="45" spans="1:19" x14ac:dyDescent="0.25">
      <c r="A45" s="21"/>
      <c r="B45" s="22" t="s">
        <v>21</v>
      </c>
      <c r="C45" s="23"/>
      <c r="D45" s="24"/>
      <c r="E45" s="24"/>
      <c r="F45" s="24"/>
      <c r="G45" s="18"/>
      <c r="H45" s="18"/>
      <c r="I45" s="18"/>
      <c r="J45" s="18">
        <f>SUM(J9:J43)</f>
        <v>504829.78886071965</v>
      </c>
      <c r="K45" s="25"/>
    </row>
    <row r="46" spans="1:19" x14ac:dyDescent="0.25">
      <c r="M46" s="20"/>
      <c r="N46" s="20"/>
      <c r="O46" s="20"/>
      <c r="P46" s="20"/>
      <c r="Q46" s="20"/>
      <c r="R46" s="20"/>
      <c r="S46" s="20"/>
    </row>
    <row r="47" spans="1:19" s="20" customFormat="1" x14ac:dyDescent="0.25">
      <c r="A47" s="26"/>
      <c r="B47" s="27" t="s">
        <v>20</v>
      </c>
      <c r="C47" s="44">
        <f>J45</f>
        <v>504829.78886071965</v>
      </c>
      <c r="D47" s="45"/>
      <c r="E47" s="9"/>
      <c r="F47" s="26"/>
      <c r="G47" s="28"/>
      <c r="H47" s="26"/>
      <c r="I47" s="29"/>
      <c r="J47" s="30"/>
      <c r="K47" s="31"/>
      <c r="M47" s="19"/>
      <c r="N47" s="19"/>
      <c r="O47" s="19"/>
      <c r="P47" s="19"/>
      <c r="Q47" s="19"/>
      <c r="R47" s="19"/>
      <c r="S47" s="19"/>
    </row>
  </sheetData>
  <mergeCells count="10">
    <mergeCell ref="A7:F7"/>
    <mergeCell ref="H7:K7"/>
    <mergeCell ref="C47:D47"/>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2026-03-30T06:05:57Z</dcterms:modified>
</cp:coreProperties>
</file>