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DEE6D48A-92EE-45CB-A761-CAD158A6FF1C}" xr6:coauthVersionLast="47" xr6:coauthVersionMax="47" xr10:uidLastSave="{00000000-0000-0000-0000-000000000000}"/>
  <bookViews>
    <workbookView xWindow="-120" yWindow="-120" windowWidth="20730" windowHeight="11040" xr2:uid="{00000000-000D-0000-FFFF-FFFF00000000}"/>
  </bookViews>
  <sheets>
    <sheet name="estimate"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6" i="13" l="1"/>
  <c r="I41" i="13"/>
  <c r="I36" i="13"/>
  <c r="I32" i="13"/>
  <c r="I27" i="13"/>
  <c r="I19" i="13"/>
  <c r="I13" i="13"/>
  <c r="C10" i="14"/>
  <c r="B10" i="14"/>
  <c r="F31" i="13"/>
  <c r="D12" i="13"/>
  <c r="D11" i="13"/>
  <c r="F23" i="13" l="1"/>
  <c r="C23" i="13"/>
  <c r="F12" i="13"/>
  <c r="F30" i="13"/>
  <c r="E30" i="13" s="1"/>
  <c r="C31" i="13"/>
  <c r="C30" i="13"/>
  <c r="B31" i="13"/>
  <c r="B30" i="13"/>
  <c r="C17" i="13"/>
  <c r="C18" i="13"/>
  <c r="B17" i="13"/>
  <c r="B23" i="13" s="1"/>
  <c r="B18" i="13"/>
  <c r="B25" i="13" s="1"/>
  <c r="D31" i="13"/>
  <c r="D26" i="13" s="1"/>
  <c r="G26" i="13" s="1"/>
  <c r="D17" i="13"/>
  <c r="E23" i="13" l="1"/>
  <c r="D30" i="13"/>
  <c r="D23" i="13" s="1"/>
  <c r="D24" i="13" s="1"/>
  <c r="G24" i="13" s="1"/>
  <c r="E18" i="13"/>
  <c r="F18" i="13"/>
  <c r="D25" i="13"/>
  <c r="F11" i="13"/>
  <c r="D18" i="13"/>
  <c r="E45" i="13"/>
  <c r="E44" i="13"/>
  <c r="C35" i="13"/>
  <c r="B35" i="13"/>
  <c r="F35" i="13"/>
  <c r="C44" i="13"/>
  <c r="B16" i="13"/>
  <c r="B22" i="13" s="1"/>
  <c r="B44" i="13" s="1"/>
  <c r="C16" i="13"/>
  <c r="C22" i="13" s="1"/>
  <c r="C39" i="13" s="1"/>
  <c r="G23" i="13" l="1"/>
  <c r="G12" i="13"/>
  <c r="G18" i="13"/>
  <c r="G25" i="13"/>
  <c r="F17" i="13"/>
  <c r="E11" i="13"/>
  <c r="E39" i="13"/>
  <c r="D16" i="13"/>
  <c r="D39" i="13"/>
  <c r="F44" i="13"/>
  <c r="G44" i="13" s="1"/>
  <c r="C45" i="13"/>
  <c r="E17" i="13" l="1"/>
  <c r="G17" i="13" s="1"/>
  <c r="G11" i="13"/>
  <c r="G39" i="13"/>
  <c r="G10" i="13"/>
  <c r="G16" i="13"/>
  <c r="F45" i="13"/>
  <c r="G45" i="13" s="1"/>
  <c r="G46" i="13" s="1"/>
  <c r="G22" i="13"/>
  <c r="G27" i="13" s="1"/>
  <c r="G40" i="13"/>
  <c r="D35" i="13"/>
  <c r="G13" i="13" l="1"/>
  <c r="G19" i="13"/>
  <c r="G35" i="13"/>
  <c r="G41" i="13"/>
  <c r="G36" i="13" l="1"/>
  <c r="G31" i="13"/>
  <c r="G30" i="13"/>
  <c r="J46" i="13" l="1"/>
  <c r="G32" i="13"/>
  <c r="J32" i="13" s="1"/>
  <c r="J41" i="13"/>
  <c r="J36" i="13"/>
  <c r="J19" i="13" l="1"/>
  <c r="G50" i="13" l="1"/>
  <c r="J50" i="13" s="1"/>
  <c r="G48" i="13"/>
  <c r="J48" i="13" s="1"/>
  <c r="J13" i="13" l="1"/>
  <c r="J27" i="13" l="1"/>
  <c r="J52" i="13" l="1"/>
  <c r="C54" i="13" s="1"/>
</calcChain>
</file>

<file path=xl/sharedStrings.xml><?xml version="1.0" encoding="utf-8"?>
<sst xmlns="http://schemas.openxmlformats.org/spreadsheetml/2006/main" count="62" uniqueCount="51">
  <si>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</si>
  <si>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</si>
  <si>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</si>
  <si>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</si>
  <si>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</si>
  <si>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</si>
  <si>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</si>
  <si>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</si>
  <si>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</si>
  <si>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</si>
  <si>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</si>
  <si>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</si>
  <si>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</si>
  <si>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</si>
  <si>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</si>
  <si>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</si>
  <si>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</si>
  <si>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</si>
  <si>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</si>
  <si>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</si>
  <si>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</si>
  <si>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</si>
  <si>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</si>
  <si>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cum</t>
  </si>
  <si>
    <t>Location:- Shankharapur Municipality 1</t>
  </si>
  <si>
    <t>PS</t>
  </si>
  <si>
    <t>Plain cement concrete (1:2:4)</t>
  </si>
  <si>
    <t>sqm</t>
  </si>
  <si>
    <t>length</t>
  </si>
  <si>
    <t>thickness</t>
  </si>
  <si>
    <t>Date:2082</t>
  </si>
  <si>
    <t>Unit Weight (Kg/m)</t>
  </si>
  <si>
    <t>Total Weight (Kg)</t>
  </si>
  <si>
    <t>Earthwork in Excavation in ordinary soil</t>
  </si>
  <si>
    <t>Plain cement concrete (1:1.5:3)</t>
  </si>
  <si>
    <t>Mild steel reinforcement</t>
  </si>
  <si>
    <t>Kg</t>
  </si>
  <si>
    <t>Form work for concrete work</t>
  </si>
  <si>
    <t>breadth</t>
  </si>
  <si>
    <t>height</t>
  </si>
  <si>
    <t>Dry boulder packing work</t>
  </si>
  <si>
    <t>R.R. masonry in 1:6 cement mortar</t>
  </si>
  <si>
    <t>-for kulo</t>
  </si>
  <si>
    <t>kulo</t>
  </si>
  <si>
    <t>-for kulo base</t>
  </si>
  <si>
    <t>-for kulo shear wall</t>
  </si>
  <si>
    <t>-distribution bars</t>
  </si>
  <si>
    <t>-for masonary wall 1</t>
  </si>
  <si>
    <t>-for masonary wall 2</t>
  </si>
  <si>
    <t>Provisional sum for other unforseen works and lab tests</t>
  </si>
  <si>
    <r>
      <t xml:space="preserve">Project:- </t>
    </r>
    <r>
      <rPr>
        <sz val="12"/>
        <rFont val="Preeti"/>
      </rPr>
      <t xml:space="preserve">dflyNnf] l/dfn 38]/L l;FrfO{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</si>
</sst>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5">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xf numFmtId="0" fontId="4" fillId="0" borderId="0" xfId="0" applyFont="1"/>
    <xf numFmtId="0" fontId="4" fillId="0" borderId="0" xfId="0" applyFont="1" applyAlignment="1">
      <alignment vertical="center"/>
    </xf>
    <xf numFmtId="2" fontId="4" fillId="0" borderId="2" xfId="0" applyNumberFormat="1" applyFont="1" applyBorder="1"/>
    <xf numFmtId="0" fontId="0" fillId="0" borderId="0" xfId="0" applyAlignment="1">
      <alignment vertical="center"/>
    </xf>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6" fillId="0" borderId="2" xfId="0" applyFont="1" applyBorder="1" applyAlignment="1">
      <alignment vertical="center"/>
    </xf>
    <xf numFmtId="0" fontId="4" fillId="0" borderId="2" xfId="0" quotePrefix="1" applyFont="1" applyBorder="1" applyAlignment="1">
      <alignment horizontal="right"/>
    </xf>
    <xf numFmtId="1" fontId="4" fillId="0" borderId="2" xfId="0" applyNumberFormat="1" applyFont="1" applyBorder="1"/>
    <xf numFmtId="0" fontId="4" fillId="0" borderId="2" xfId="0"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4" fillId="0" borderId="2" xfId="0" applyFont="1" applyBorder="1" applyAlignment="1">
      <alignment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4" fillId="0" borderId="2" xfId="0" applyFont="1" applyBorder="1" applyAlignment="1">
      <alignment vertical="center" wrapText="1"/>
    </xf>
    <xf numFmtId="0" fontId="2" fillId="0" borderId="2" xfId="0" quotePrefix="1" applyFont="1" applyBorder="1" applyAlignment="1">
      <alignment vertical="center" wrapText="1"/>
    </xf>
    <xf numFmtId="2" fontId="6" fillId="0" borderId="2" xfId="0" applyNumberFormat="1" applyFont="1" applyBorder="1" applyAlignment="1">
      <alignment vertical="center"/>
    </xf>
    <xf numFmtId="1" fontId="2" fillId="0" borderId="2" xfId="0" applyNumberFormat="1" applyFont="1" applyBorder="1" applyAlignment="1">
      <alignmen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4"/>
  <sheetViews>
    <sheetView tabSelected="1" topLeftCell="A50" workbookViewId="0">
      <selection activeCell="G56" sqref="G56"/>
    </sheetView>
  </sheetViews>
  <sheetFormatPr defaultColWidth="9.140625" defaultRowHeight="15" x14ac:dyDescent="0.25"/>
  <cols>
    <col min="1" max="1" width="4.7109375" customWidth="1"/>
    <col min="2" max="2" width="30.85546875" customWidth="1"/>
    <col min="3" max="3" width="4.42578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7" x14ac:dyDescent="0.25">
      <c r="A1" s="47" t="s">
        <v>0</v>
      </c>
      <c r="B1" s="47"/>
      <c r="C1" s="47"/>
      <c r="D1" s="47"/>
      <c r="E1" s="47"/>
      <c r="F1" s="47"/>
      <c r="G1" s="47"/>
      <c r="H1" s="47"/>
      <c r="I1" s="47"/>
      <c r="J1" s="47"/>
      <c r="K1" s="47"/>
    </row>
    <row r="2" spans="1:17" ht="22.5" x14ac:dyDescent="0.25">
      <c r="A2" s="48" t="s">
        <v>1</v>
      </c>
      <c r="B2" s="48"/>
      <c r="C2" s="48"/>
      <c r="D2" s="48"/>
      <c r="E2" s="48"/>
      <c r="F2" s="48"/>
      <c r="G2" s="48"/>
      <c r="H2" s="48"/>
      <c r="I2" s="48"/>
      <c r="J2" s="48"/>
      <c r="K2" s="48"/>
    </row>
    <row r="3" spans="1:17" x14ac:dyDescent="0.25">
      <c r="A3" s="49" t="s">
        <v>2</v>
      </c>
      <c r="B3" s="49"/>
      <c r="C3" s="49"/>
      <c r="D3" s="49"/>
      <c r="E3" s="49"/>
      <c r="F3" s="49"/>
      <c r="G3" s="49"/>
      <c r="H3" s="49"/>
      <c r="I3" s="49"/>
      <c r="J3" s="49"/>
      <c r="K3" s="49"/>
    </row>
    <row r="4" spans="1:17" x14ac:dyDescent="0.25">
      <c r="A4" s="49" t="s">
        <v>3</v>
      </c>
      <c r="B4" s="49"/>
      <c r="C4" s="49"/>
      <c r="D4" s="49"/>
      <c r="E4" s="49"/>
      <c r="F4" s="49"/>
      <c r="G4" s="49"/>
      <c r="H4" s="49"/>
      <c r="I4" s="49"/>
      <c r="J4" s="49"/>
      <c r="K4" s="49"/>
    </row>
    <row r="5" spans="1:17" ht="18.75" x14ac:dyDescent="0.3">
      <c r="A5" s="50" t="s">
        <v>4</v>
      </c>
      <c r="B5" s="50"/>
      <c r="C5" s="50"/>
      <c r="D5" s="50"/>
      <c r="E5" s="50"/>
      <c r="F5" s="50"/>
      <c r="G5" s="50"/>
      <c r="H5" s="50"/>
      <c r="I5" s="50"/>
      <c r="J5" s="50"/>
      <c r="K5" s="50"/>
    </row>
    <row r="6" spans="1:17" ht="15.75" x14ac:dyDescent="0.25">
      <c r="A6" s="51" t="s">
        <v>50</v>
      </c>
      <c r="B6" s="51"/>
      <c r="C6" s="51"/>
      <c r="D6" s="51"/>
      <c r="E6" s="51"/>
      <c r="F6" s="51"/>
      <c r="G6" s="3"/>
      <c r="H6" s="52" t="s">
        <v>21</v>
      </c>
      <c r="I6" s="52"/>
      <c r="J6" s="52"/>
      <c r="K6" s="52"/>
    </row>
    <row r="7" spans="1:17" ht="15.75" x14ac:dyDescent="0.25">
      <c r="A7" s="45" t="s">
        <v>24</v>
      </c>
      <c r="B7" s="45"/>
      <c r="C7" s="45"/>
      <c r="D7" s="45"/>
      <c r="E7" s="45"/>
      <c r="F7" s="45"/>
      <c r="G7" s="4"/>
      <c r="H7" s="46" t="s">
        <v>30</v>
      </c>
      <c r="I7" s="46"/>
      <c r="J7" s="46"/>
      <c r="K7" s="46"/>
    </row>
    <row r="8" spans="1:17" s="5" customFormat="1" ht="15.75" x14ac:dyDescent="0.25">
      <c r="A8" s="9" t="s">
        <v>5</v>
      </c>
      <c r="B8" s="10" t="s">
        <v>6</v>
      </c>
      <c r="C8" s="9" t="s">
        <v>7</v>
      </c>
      <c r="D8" s="11" t="s">
        <v>8</v>
      </c>
      <c r="E8" s="11" t="s">
        <v>9</v>
      </c>
      <c r="F8" s="11" t="s">
        <v>10</v>
      </c>
      <c r="G8" s="11" t="s">
        <v>11</v>
      </c>
      <c r="H8" s="9" t="s">
        <v>12</v>
      </c>
      <c r="I8" s="11" t="s">
        <v>13</v>
      </c>
      <c r="J8" s="11" t="s">
        <v>14</v>
      </c>
      <c r="K8" s="12" t="s">
        <v>15</v>
      </c>
      <c r="Q8" s="6"/>
    </row>
    <row r="9" spans="1:17" s="6" customFormat="1" ht="30" x14ac:dyDescent="0.25">
      <c r="A9" s="13">
        <v>1</v>
      </c>
      <c r="B9" s="40" t="s">
        <v>33</v>
      </c>
      <c r="C9" s="13"/>
      <c r="D9" s="14"/>
      <c r="E9" s="14"/>
      <c r="F9" s="14"/>
      <c r="G9" s="14"/>
      <c r="H9" s="13"/>
      <c r="I9" s="14"/>
      <c r="J9" s="14"/>
      <c r="K9" s="15"/>
      <c r="Q9" s="5"/>
    </row>
    <row r="10" spans="1:17" s="5" customFormat="1" x14ac:dyDescent="0.25">
      <c r="A10" s="16"/>
      <c r="B10" s="17" t="s">
        <v>42</v>
      </c>
      <c r="C10" s="18">
        <v>0.5</v>
      </c>
      <c r="D10" s="7">
        <v>30.48</v>
      </c>
      <c r="E10" s="7">
        <v>0.54999999999999993</v>
      </c>
      <c r="F10" s="7">
        <v>0.67499999999999993</v>
      </c>
      <c r="G10" s="7">
        <f>PRODUCT(C10:F10)</f>
        <v>5.6578499999999989</v>
      </c>
      <c r="H10" s="19"/>
      <c r="I10" s="19"/>
      <c r="J10" s="19"/>
      <c r="K10" s="19"/>
    </row>
    <row r="11" spans="1:17" s="5" customFormat="1" x14ac:dyDescent="0.25">
      <c r="A11" s="16"/>
      <c r="B11" s="17" t="s">
        <v>47</v>
      </c>
      <c r="C11" s="18">
        <v>0.5</v>
      </c>
      <c r="D11" s="7">
        <f>23/3.281</f>
        <v>7.0100579091740318</v>
      </c>
      <c r="E11" s="7">
        <f>F11/2</f>
        <v>1.5239256324291375</v>
      </c>
      <c r="F11" s="7">
        <f>F30</f>
        <v>3.047851264858275</v>
      </c>
      <c r="G11" s="7">
        <f>PRODUCT(C11:F11)</f>
        <v>16.279803310885271</v>
      </c>
      <c r="H11" s="19"/>
      <c r="I11" s="19"/>
      <c r="J11" s="19"/>
      <c r="K11" s="19"/>
    </row>
    <row r="12" spans="1:17" s="5" customFormat="1" x14ac:dyDescent="0.25">
      <c r="A12" s="16"/>
      <c r="B12" s="17" t="s">
        <v>48</v>
      </c>
      <c r="C12" s="18">
        <v>0.5</v>
      </c>
      <c r="D12" s="7">
        <f>13/3.281</f>
        <v>3.9622066443157573</v>
      </c>
      <c r="E12" s="7">
        <v>0.45</v>
      </c>
      <c r="F12" s="7">
        <f>F31</f>
        <v>1.2</v>
      </c>
      <c r="G12" s="7">
        <f>PRODUCT(C12:F12)</f>
        <v>1.0697957939652545</v>
      </c>
      <c r="H12" s="19"/>
      <c r="I12" s="19"/>
      <c r="J12" s="19"/>
      <c r="K12" s="19"/>
    </row>
    <row r="13" spans="1:17" s="5" customFormat="1" ht="15" customHeight="1" x14ac:dyDescent="0.25">
      <c r="A13" s="20"/>
      <c r="B13" s="21" t="s">
        <v>16</v>
      </c>
      <c r="C13" s="22"/>
      <c r="D13" s="1"/>
      <c r="E13" s="23"/>
      <c r="F13" s="23"/>
      <c r="G13" s="2">
        <f>SUM(G10:G12)</f>
        <v>23.007449104850526</v>
      </c>
      <c r="H13" s="24" t="s">
        <v>23</v>
      </c>
      <c r="I13" s="2">
        <f>1.15*963.05</f>
        <v>1107.5074999999999</v>
      </c>
      <c r="J13" s="25">
        <f>G13*I13</f>
        <v>25480.922439490241</v>
      </c>
      <c r="K13" s="23"/>
    </row>
    <row r="14" spans="1:17" s="5" customFormat="1" ht="15.75" x14ac:dyDescent="0.25">
      <c r="A14" s="9"/>
      <c r="B14" s="10"/>
      <c r="C14" s="9"/>
      <c r="D14" s="11"/>
      <c r="E14" s="11"/>
      <c r="F14" s="11"/>
      <c r="G14" s="11"/>
      <c r="H14" s="9"/>
      <c r="I14" s="11"/>
      <c r="J14" s="11"/>
      <c r="K14" s="12"/>
    </row>
    <row r="15" spans="1:17" s="5" customFormat="1" x14ac:dyDescent="0.25">
      <c r="A15" s="16">
        <v>2</v>
      </c>
      <c r="B15" s="19" t="s">
        <v>40</v>
      </c>
      <c r="C15" s="19"/>
      <c r="D15" s="19"/>
      <c r="E15" s="19"/>
      <c r="F15" s="19"/>
      <c r="G15" s="19"/>
      <c r="H15" s="19"/>
      <c r="I15" s="19"/>
      <c r="J15" s="19"/>
      <c r="K15" s="19"/>
    </row>
    <row r="16" spans="1:17" s="5" customFormat="1" x14ac:dyDescent="0.25">
      <c r="A16" s="16"/>
      <c r="B16" s="17" t="str">
        <f t="shared" ref="B16:D18" si="0">B10</f>
        <v>-for kulo</v>
      </c>
      <c r="C16" s="18">
        <f t="shared" si="0"/>
        <v>0.5</v>
      </c>
      <c r="D16" s="7">
        <f t="shared" si="0"/>
        <v>30.48</v>
      </c>
      <c r="E16" s="7">
        <v>0.54999999999999993</v>
      </c>
      <c r="F16" s="19">
        <v>0.15</v>
      </c>
      <c r="G16" s="7">
        <f>PRODUCT(C16:F16)</f>
        <v>1.2572999999999999</v>
      </c>
      <c r="H16" s="19"/>
      <c r="I16" s="19"/>
      <c r="J16" s="19"/>
      <c r="K16" s="19"/>
    </row>
    <row r="17" spans="1:11" s="5" customFormat="1" x14ac:dyDescent="0.25">
      <c r="A17" s="16"/>
      <c r="B17" s="17" t="str">
        <f t="shared" si="0"/>
        <v>-for masonary wall 1</v>
      </c>
      <c r="C17" s="18">
        <f t="shared" si="0"/>
        <v>0.5</v>
      </c>
      <c r="D17" s="7">
        <f t="shared" si="0"/>
        <v>7.0100579091740318</v>
      </c>
      <c r="E17" s="7">
        <f>E11</f>
        <v>1.5239256324291375</v>
      </c>
      <c r="F17" s="7">
        <f>F11</f>
        <v>3.047851264858275</v>
      </c>
      <c r="G17" s="7">
        <f>PRODUCT(C17:F17)</f>
        <v>16.279803310885271</v>
      </c>
      <c r="H17" s="19"/>
      <c r="I17" s="19"/>
      <c r="J17" s="19"/>
      <c r="K17" s="19"/>
    </row>
    <row r="18" spans="1:11" s="5" customFormat="1" x14ac:dyDescent="0.25">
      <c r="A18" s="16"/>
      <c r="B18" s="17" t="str">
        <f t="shared" si="0"/>
        <v>-for masonary wall 2</v>
      </c>
      <c r="C18" s="18">
        <f t="shared" si="0"/>
        <v>0.5</v>
      </c>
      <c r="D18" s="7">
        <f t="shared" si="0"/>
        <v>3.9622066443157573</v>
      </c>
      <c r="E18" s="7">
        <f>E12</f>
        <v>0.45</v>
      </c>
      <c r="F18" s="7">
        <f>F12</f>
        <v>1.2</v>
      </c>
      <c r="G18" s="7">
        <f>PRODUCT(C18:F18)</f>
        <v>1.0697957939652545</v>
      </c>
      <c r="H18" s="19"/>
      <c r="I18" s="19"/>
      <c r="J18" s="19"/>
      <c r="K18" s="19"/>
    </row>
    <row r="19" spans="1:11" s="5" customFormat="1" ht="15" customHeight="1" x14ac:dyDescent="0.25">
      <c r="A19" s="20"/>
      <c r="B19" s="21" t="s">
        <v>16</v>
      </c>
      <c r="C19" s="22"/>
      <c r="D19" s="1"/>
      <c r="E19" s="23"/>
      <c r="F19" s="23"/>
      <c r="G19" s="2">
        <f>SUM(G16:G18)</f>
        <v>18.606899104850527</v>
      </c>
      <c r="H19" s="24" t="s">
        <v>23</v>
      </c>
      <c r="I19" s="2">
        <f>1.15*4493.69</f>
        <v>5167.7434999999996</v>
      </c>
      <c r="J19" s="25">
        <f>G19*I19</f>
        <v>96155.681904247118</v>
      </c>
      <c r="K19" s="23"/>
    </row>
    <row r="20" spans="1:11" s="5" customFormat="1" x14ac:dyDescent="0.25">
      <c r="A20" s="16"/>
      <c r="B20" s="19"/>
      <c r="C20" s="19"/>
      <c r="D20" s="19"/>
      <c r="E20" s="19"/>
      <c r="F20" s="19"/>
      <c r="G20" s="19"/>
      <c r="H20" s="19"/>
      <c r="I20" s="19"/>
      <c r="J20" s="19"/>
      <c r="K20" s="19"/>
    </row>
    <row r="21" spans="1:11" s="5" customFormat="1" x14ac:dyDescent="0.25">
      <c r="A21" s="16">
        <v>3</v>
      </c>
      <c r="B21" s="19" t="s">
        <v>26</v>
      </c>
      <c r="C21" s="19"/>
      <c r="D21" s="19"/>
      <c r="E21" s="19"/>
      <c r="F21" s="19"/>
      <c r="G21" s="19"/>
      <c r="H21" s="19"/>
      <c r="I21" s="19"/>
      <c r="J21" s="19"/>
      <c r="K21" s="19"/>
    </row>
    <row r="22" spans="1:11" s="5" customFormat="1" x14ac:dyDescent="0.25">
      <c r="A22" s="16"/>
      <c r="B22" s="17" t="str">
        <f>B16</f>
        <v>-for kulo</v>
      </c>
      <c r="C22" s="18">
        <f>C16</f>
        <v>0.5</v>
      </c>
      <c r="D22" s="7">
        <v>30.48</v>
      </c>
      <c r="E22" s="7">
        <v>0.54999999999999993</v>
      </c>
      <c r="F22" s="19">
        <v>7.4999999999999997E-2</v>
      </c>
      <c r="G22" s="7">
        <f>PRODUCT(C22:F22)</f>
        <v>0.62864999999999993</v>
      </c>
      <c r="H22" s="19"/>
      <c r="I22" s="19"/>
      <c r="J22" s="19"/>
      <c r="K22" s="19"/>
    </row>
    <row r="23" spans="1:11" s="5" customFormat="1" x14ac:dyDescent="0.25">
      <c r="A23" s="16"/>
      <c r="B23" s="17" t="str">
        <f>B17</f>
        <v>-for masonary wall 1</v>
      </c>
      <c r="C23" s="18">
        <f>1</f>
        <v>1</v>
      </c>
      <c r="D23" s="7">
        <f>D30</f>
        <v>7.0100579091740318</v>
      </c>
      <c r="E23" s="7">
        <f>F30/2</f>
        <v>1.5239256324291375</v>
      </c>
      <c r="F23" s="19">
        <f>0.05</f>
        <v>0.05</v>
      </c>
      <c r="G23" s="7">
        <f>PRODUCT(C23:F23)</f>
        <v>0.53414034663014565</v>
      </c>
      <c r="H23" s="19"/>
      <c r="I23" s="19"/>
      <c r="J23" s="19"/>
      <c r="K23" s="19"/>
    </row>
    <row r="24" spans="1:11" s="5" customFormat="1" x14ac:dyDescent="0.25">
      <c r="A24" s="16"/>
      <c r="B24" s="17"/>
      <c r="C24" s="18">
        <v>1</v>
      </c>
      <c r="D24" s="7">
        <f>D23</f>
        <v>7.0100579091740318</v>
      </c>
      <c r="E24" s="5">
        <v>0.45</v>
      </c>
      <c r="F24" s="19">
        <v>0.05</v>
      </c>
      <c r="G24" s="7">
        <f>PRODUCT(C24:F24)</f>
        <v>0.15772630295641574</v>
      </c>
      <c r="H24" s="19"/>
      <c r="I24" s="19"/>
      <c r="J24" s="19"/>
      <c r="K24" s="19"/>
    </row>
    <row r="25" spans="1:11" s="5" customFormat="1" x14ac:dyDescent="0.25">
      <c r="A25" s="16"/>
      <c r="B25" s="17" t="str">
        <f>B18</f>
        <v>-for masonary wall 2</v>
      </c>
      <c r="C25" s="18">
        <v>1</v>
      </c>
      <c r="D25" s="7">
        <f>D31</f>
        <v>3.9622066443157573</v>
      </c>
      <c r="E25" s="7">
        <v>0.45</v>
      </c>
      <c r="F25" s="19">
        <v>0.05</v>
      </c>
      <c r="G25" s="7">
        <f>PRODUCT(C25:F25)</f>
        <v>8.9149649497104549E-2</v>
      </c>
      <c r="H25" s="19"/>
      <c r="I25" s="19"/>
      <c r="J25" s="19"/>
      <c r="K25" s="19"/>
    </row>
    <row r="26" spans="1:11" s="5" customFormat="1" x14ac:dyDescent="0.25">
      <c r="A26" s="16"/>
      <c r="B26" s="17"/>
      <c r="C26" s="18">
        <v>1</v>
      </c>
      <c r="D26" s="7">
        <f>D31</f>
        <v>3.9622066443157573</v>
      </c>
      <c r="E26" s="7">
        <v>0.45</v>
      </c>
      <c r="F26" s="19">
        <v>0.05</v>
      </c>
      <c r="G26" s="7">
        <f>PRODUCT(C26:F26)</f>
        <v>8.9149649497104549E-2</v>
      </c>
      <c r="H26" s="19"/>
      <c r="I26" s="19"/>
      <c r="J26" s="19"/>
      <c r="K26" s="19"/>
    </row>
    <row r="27" spans="1:11" s="5" customFormat="1" ht="15" customHeight="1" x14ac:dyDescent="0.25">
      <c r="A27" s="20"/>
      <c r="B27" s="21" t="s">
        <v>16</v>
      </c>
      <c r="C27" s="22"/>
      <c r="D27" s="1"/>
      <c r="E27" s="23"/>
      <c r="F27" s="23"/>
      <c r="G27" s="2">
        <f>SUM(G22:G26)</f>
        <v>1.4988159485807704</v>
      </c>
      <c r="H27" s="24" t="s">
        <v>23</v>
      </c>
      <c r="I27" s="2">
        <f>1.15*13343.7</f>
        <v>15345.254999999999</v>
      </c>
      <c r="J27" s="25">
        <f>G27*I27</f>
        <v>22999.712929038807</v>
      </c>
      <c r="K27" s="23"/>
    </row>
    <row r="28" spans="1:11" s="5" customFormat="1" x14ac:dyDescent="0.25">
      <c r="A28" s="16"/>
      <c r="B28" s="19"/>
      <c r="C28" s="19"/>
      <c r="D28" s="19"/>
      <c r="E28" s="19"/>
      <c r="F28" s="19"/>
      <c r="G28" s="19"/>
      <c r="H28" s="19"/>
      <c r="I28" s="19"/>
      <c r="J28" s="19"/>
      <c r="K28" s="19"/>
    </row>
    <row r="29" spans="1:11" s="5" customFormat="1" ht="30" x14ac:dyDescent="0.25">
      <c r="A29" s="16">
        <v>4</v>
      </c>
      <c r="B29" s="26" t="s">
        <v>41</v>
      </c>
      <c r="C29" s="19"/>
      <c r="D29" s="19"/>
      <c r="E29" s="19"/>
      <c r="F29" s="19"/>
      <c r="G29" s="19"/>
      <c r="H29" s="19"/>
      <c r="I29" s="19"/>
      <c r="J29" s="19"/>
      <c r="K29" s="19"/>
    </row>
    <row r="30" spans="1:11" s="5" customFormat="1" x14ac:dyDescent="0.25">
      <c r="A30" s="16"/>
      <c r="B30" s="17" t="str">
        <f t="shared" ref="B30:D31" si="1">B11</f>
        <v>-for masonary wall 1</v>
      </c>
      <c r="C30" s="18">
        <f t="shared" si="1"/>
        <v>0.5</v>
      </c>
      <c r="D30" s="7">
        <f t="shared" si="1"/>
        <v>7.0100579091740318</v>
      </c>
      <c r="E30" s="7">
        <f>((F30/2)+0.45)/2</f>
        <v>0.98696281621456872</v>
      </c>
      <c r="F30" s="7">
        <f>10/3.281</f>
        <v>3.047851264858275</v>
      </c>
      <c r="G30" s="7">
        <f>PRODUCT(C30:F30)</f>
        <v>10.543533215278289</v>
      </c>
      <c r="H30" s="19"/>
      <c r="I30" s="19"/>
      <c r="J30" s="19"/>
      <c r="K30" s="19"/>
    </row>
    <row r="31" spans="1:11" s="5" customFormat="1" x14ac:dyDescent="0.25">
      <c r="A31" s="16"/>
      <c r="B31" s="17" t="str">
        <f t="shared" si="1"/>
        <v>-for masonary wall 2</v>
      </c>
      <c r="C31" s="18">
        <f t="shared" si="1"/>
        <v>0.5</v>
      </c>
      <c r="D31" s="7">
        <f t="shared" si="1"/>
        <v>3.9622066443157573</v>
      </c>
      <c r="E31" s="7">
        <v>0.45</v>
      </c>
      <c r="F31" s="7">
        <f>1.2</f>
        <v>1.2</v>
      </c>
      <c r="G31" s="7">
        <f>PRODUCT(C31:F31)</f>
        <v>1.0697957939652545</v>
      </c>
      <c r="H31" s="19"/>
      <c r="I31" s="19"/>
      <c r="J31" s="19"/>
      <c r="K31" s="19"/>
    </row>
    <row r="32" spans="1:11" s="5" customFormat="1" ht="15" customHeight="1" x14ac:dyDescent="0.25">
      <c r="A32" s="20"/>
      <c r="B32" s="21" t="s">
        <v>16</v>
      </c>
      <c r="C32" s="22"/>
      <c r="D32" s="1"/>
      <c r="E32" s="23"/>
      <c r="F32" s="23"/>
      <c r="G32" s="2">
        <f>SUM(G30:G31)</f>
        <v>11.613329009243543</v>
      </c>
      <c r="H32" s="24" t="s">
        <v>23</v>
      </c>
      <c r="I32" s="2">
        <f>1.15*12225.55</f>
        <v>14059.382499999998</v>
      </c>
      <c r="J32" s="25">
        <f>G32*I32</f>
        <v>163276.23463930099</v>
      </c>
      <c r="K32" s="23"/>
    </row>
    <row r="33" spans="1:17" s="5" customFormat="1" x14ac:dyDescent="0.25">
      <c r="A33" s="16"/>
      <c r="B33" s="19"/>
      <c r="C33" s="19"/>
      <c r="D33" s="19"/>
      <c r="E33" s="19"/>
      <c r="F33" s="19"/>
      <c r="G33" s="19"/>
      <c r="H33" s="19"/>
      <c r="I33" s="19"/>
      <c r="J33" s="19"/>
      <c r="K33" s="19"/>
    </row>
    <row r="34" spans="1:17" s="5" customFormat="1" x14ac:dyDescent="0.25">
      <c r="A34" s="16">
        <v>5</v>
      </c>
      <c r="B34" s="19" t="s">
        <v>37</v>
      </c>
      <c r="C34" s="19"/>
      <c r="D34" s="19"/>
      <c r="E34" s="19"/>
      <c r="F34" s="19"/>
      <c r="G34" s="19"/>
      <c r="H34" s="19"/>
      <c r="I34" s="19"/>
      <c r="J34" s="19"/>
      <c r="K34" s="19"/>
    </row>
    <row r="35" spans="1:17" s="5" customFormat="1" x14ac:dyDescent="0.25">
      <c r="A35" s="16"/>
      <c r="B35" s="17" t="str">
        <f>B40</f>
        <v>-for kulo shear wall</v>
      </c>
      <c r="C35" s="19">
        <f>C40*2</f>
        <v>4</v>
      </c>
      <c r="D35" s="7">
        <f>D40</f>
        <v>30.48</v>
      </c>
      <c r="E35" s="7"/>
      <c r="F35" s="7">
        <f>F40</f>
        <v>0.35</v>
      </c>
      <c r="G35" s="7">
        <f>PRODUCT(C35:F35)</f>
        <v>42.671999999999997</v>
      </c>
      <c r="H35" s="19"/>
      <c r="I35" s="19"/>
      <c r="J35" s="19"/>
      <c r="K35" s="19"/>
    </row>
    <row r="36" spans="1:17" s="5" customFormat="1" ht="15" customHeight="1" x14ac:dyDescent="0.25">
      <c r="A36" s="20"/>
      <c r="B36" s="21" t="s">
        <v>16</v>
      </c>
      <c r="C36" s="22"/>
      <c r="D36" s="1"/>
      <c r="E36" s="23"/>
      <c r="F36" s="23"/>
      <c r="G36" s="2">
        <f>SUM(G35:G35)</f>
        <v>42.671999999999997</v>
      </c>
      <c r="H36" s="24" t="s">
        <v>27</v>
      </c>
      <c r="I36" s="2">
        <f>1.15*11188.35/10</f>
        <v>1286.6602499999999</v>
      </c>
      <c r="J36" s="25">
        <f>G36*I36</f>
        <v>54904.366187999993</v>
      </c>
      <c r="K36" s="23"/>
    </row>
    <row r="37" spans="1:17" s="5" customFormat="1" x14ac:dyDescent="0.25">
      <c r="A37" s="16"/>
      <c r="B37" s="19"/>
      <c r="C37" s="19"/>
      <c r="D37" s="19"/>
      <c r="E37" s="19"/>
      <c r="F37" s="19"/>
      <c r="G37" s="19"/>
      <c r="H37" s="19"/>
      <c r="I37" s="19"/>
      <c r="J37" s="19"/>
      <c r="K37" s="19"/>
    </row>
    <row r="38" spans="1:17" s="5" customFormat="1" x14ac:dyDescent="0.25">
      <c r="A38" s="16">
        <v>6</v>
      </c>
      <c r="B38" s="19" t="s">
        <v>34</v>
      </c>
      <c r="C38" s="19"/>
      <c r="D38" s="19"/>
      <c r="E38" s="19"/>
      <c r="F38" s="19"/>
      <c r="G38" s="19"/>
      <c r="H38" s="19"/>
      <c r="I38" s="19"/>
      <c r="J38" s="19"/>
      <c r="K38" s="19"/>
    </row>
    <row r="39" spans="1:17" s="5" customFormat="1" x14ac:dyDescent="0.25">
      <c r="A39" s="16"/>
      <c r="B39" s="17" t="s">
        <v>44</v>
      </c>
      <c r="C39" s="18">
        <f>C22</f>
        <v>0.5</v>
      </c>
      <c r="D39" s="7">
        <f>D22</f>
        <v>30.48</v>
      </c>
      <c r="E39" s="7">
        <f>E22</f>
        <v>0.54999999999999993</v>
      </c>
      <c r="F39" s="7">
        <v>0.1</v>
      </c>
      <c r="G39" s="7">
        <f>PRODUCT(C39:F39)</f>
        <v>0.83820000000000006</v>
      </c>
      <c r="H39" s="19"/>
      <c r="I39" s="19"/>
      <c r="J39" s="19"/>
      <c r="K39" s="19"/>
    </row>
    <row r="40" spans="1:17" s="5" customFormat="1" x14ac:dyDescent="0.25">
      <c r="A40" s="16"/>
      <c r="B40" s="17" t="s">
        <v>45</v>
      </c>
      <c r="C40" s="18">
        <v>2</v>
      </c>
      <c r="D40" s="7">
        <v>30.48</v>
      </c>
      <c r="E40" s="7">
        <v>0.1</v>
      </c>
      <c r="F40" s="7">
        <v>0.35</v>
      </c>
      <c r="G40" s="7">
        <f>PRODUCT(C40:F40)</f>
        <v>2.1335999999999999</v>
      </c>
      <c r="H40" s="19"/>
      <c r="I40" s="19"/>
      <c r="J40" s="19"/>
      <c r="K40" s="19"/>
    </row>
    <row r="41" spans="1:17" s="5" customFormat="1" ht="15" customHeight="1" x14ac:dyDescent="0.25">
      <c r="A41" s="20"/>
      <c r="B41" s="21" t="s">
        <v>16</v>
      </c>
      <c r="C41" s="22"/>
      <c r="D41" s="1"/>
      <c r="E41" s="23"/>
      <c r="F41" s="23"/>
      <c r="G41" s="2">
        <f>SUM(G39:G40)</f>
        <v>2.9718</v>
      </c>
      <c r="H41" s="24" t="s">
        <v>23</v>
      </c>
      <c r="I41" s="2">
        <f>1.15*14337.7</f>
        <v>16488.355</v>
      </c>
      <c r="J41" s="25">
        <f>G41*I41</f>
        <v>49000.093389000001</v>
      </c>
      <c r="K41" s="23"/>
    </row>
    <row r="42" spans="1:17" s="5" customFormat="1" x14ac:dyDescent="0.25">
      <c r="A42" s="16"/>
      <c r="B42" s="19"/>
      <c r="C42" s="19"/>
      <c r="D42" s="19"/>
      <c r="E42" s="19"/>
      <c r="F42" s="19"/>
      <c r="G42" s="19"/>
      <c r="H42" s="19"/>
      <c r="I42" s="19"/>
      <c r="J42" s="19"/>
      <c r="K42" s="19"/>
    </row>
    <row r="43" spans="1:17" s="6" customFormat="1" ht="45" x14ac:dyDescent="0.25">
      <c r="A43" s="16">
        <v>7</v>
      </c>
      <c r="B43" s="34" t="s">
        <v>35</v>
      </c>
      <c r="C43" s="34" t="s">
        <v>7</v>
      </c>
      <c r="D43" s="41" t="s">
        <v>22</v>
      </c>
      <c r="E43" s="41" t="s">
        <v>31</v>
      </c>
      <c r="F43" s="41" t="s">
        <v>32</v>
      </c>
      <c r="G43" s="34"/>
      <c r="H43" s="34"/>
      <c r="I43" s="34"/>
      <c r="J43" s="34"/>
      <c r="K43" s="34"/>
    </row>
    <row r="44" spans="1:17" s="5" customFormat="1" x14ac:dyDescent="0.25">
      <c r="A44" s="16"/>
      <c r="B44" s="17" t="str">
        <f>B22</f>
        <v>-for kulo</v>
      </c>
      <c r="C44" s="19">
        <f>TRUNC((Sheet1!B10-0.1)/0.15,0)+1</f>
        <v>203</v>
      </c>
      <c r="D44" s="7">
        <v>1.1499999999999999</v>
      </c>
      <c r="E44" s="7">
        <f>10*10/162</f>
        <v>0.61728395061728392</v>
      </c>
      <c r="F44" s="7">
        <f>PRODUCT(C44:E44)</f>
        <v>144.10493827160494</v>
      </c>
      <c r="G44" s="7">
        <f>F44</f>
        <v>144.10493827160494</v>
      </c>
      <c r="H44" s="19"/>
      <c r="I44" s="19"/>
      <c r="J44" s="19"/>
      <c r="K44" s="19"/>
    </row>
    <row r="45" spans="1:17" s="5" customFormat="1" x14ac:dyDescent="0.25">
      <c r="A45" s="16"/>
      <c r="B45" s="17" t="s">
        <v>46</v>
      </c>
      <c r="C45" s="19">
        <f>(TRUNC((Sheet1!C10-Sheet1!E10)/0.15,0)+1)+2*(TRUNC((Sheet1!D10/0.15),0)+1)</f>
        <v>10</v>
      </c>
      <c r="D45" s="7">
        <v>30.38</v>
      </c>
      <c r="E45" s="7">
        <f>10*10/162</f>
        <v>0.61728395061728392</v>
      </c>
      <c r="F45" s="7">
        <f>PRODUCT(C45:E45)</f>
        <v>187.53086419753086</v>
      </c>
      <c r="G45" s="7">
        <f>F45</f>
        <v>187.53086419753086</v>
      </c>
      <c r="H45" s="19"/>
      <c r="I45" s="19"/>
      <c r="J45" s="19"/>
      <c r="K45" s="19"/>
    </row>
    <row r="46" spans="1:17" s="5" customFormat="1" ht="15" customHeight="1" x14ac:dyDescent="0.25">
      <c r="A46" s="20"/>
      <c r="B46" s="21" t="s">
        <v>16</v>
      </c>
      <c r="C46" s="22"/>
      <c r="D46" s="1"/>
      <c r="E46" s="23"/>
      <c r="F46" s="23"/>
      <c r="G46" s="2">
        <f>SUM(G44:G45)</f>
        <v>331.6358024691358</v>
      </c>
      <c r="H46" s="24" t="s">
        <v>36</v>
      </c>
      <c r="I46" s="2">
        <f>1.15*9831.6/100</f>
        <v>113.0634</v>
      </c>
      <c r="J46" s="25">
        <f>G46*I46</f>
        <v>37495.871388888889</v>
      </c>
      <c r="K46" s="23"/>
    </row>
    <row r="47" spans="1:17" s="5" customFormat="1" x14ac:dyDescent="0.25">
      <c r="A47" s="16"/>
      <c r="B47" s="19"/>
      <c r="C47" s="19"/>
      <c r="D47" s="19"/>
      <c r="E47" s="19"/>
      <c r="F47" s="19"/>
      <c r="G47" s="19"/>
      <c r="H47" s="19"/>
      <c r="I47" s="19"/>
      <c r="J47" s="19"/>
      <c r="K47" s="19"/>
    </row>
    <row r="48" spans="1:17" s="8" customFormat="1" ht="30" x14ac:dyDescent="0.25">
      <c r="A48" s="20">
        <v>8</v>
      </c>
      <c r="B48" s="42" t="s">
        <v>49</v>
      </c>
      <c r="C48" s="22">
        <v>1</v>
      </c>
      <c r="D48" s="1"/>
      <c r="E48" s="23"/>
      <c r="F48" s="23"/>
      <c r="G48" s="43">
        <f>PRODUCT(C48:F48)</f>
        <v>1</v>
      </c>
      <c r="H48" s="24" t="s">
        <v>25</v>
      </c>
      <c r="I48" s="2">
        <v>5000</v>
      </c>
      <c r="J48" s="43">
        <f>G48*I48</f>
        <v>5000</v>
      </c>
      <c r="K48" s="23"/>
      <c r="Q48" s="5"/>
    </row>
    <row r="49" spans="1:17" s="5" customFormat="1" x14ac:dyDescent="0.25">
      <c r="A49" s="16"/>
      <c r="B49" s="40"/>
      <c r="C49" s="19"/>
      <c r="D49" s="19"/>
      <c r="E49" s="19"/>
      <c r="F49" s="19"/>
      <c r="G49" s="19"/>
      <c r="H49" s="19"/>
      <c r="I49" s="19"/>
      <c r="J49" s="19"/>
      <c r="K49" s="19"/>
    </row>
    <row r="50" spans="1:17" s="5" customFormat="1" ht="15" customHeight="1" x14ac:dyDescent="0.25">
      <c r="A50" s="20">
        <v>9</v>
      </c>
      <c r="B50" s="44" t="s">
        <v>17</v>
      </c>
      <c r="C50" s="22">
        <v>1</v>
      </c>
      <c r="D50" s="1"/>
      <c r="E50" s="23"/>
      <c r="F50" s="23"/>
      <c r="G50" s="24">
        <f>PRODUCT(C50:F50)</f>
        <v>1</v>
      </c>
      <c r="H50" s="24" t="s">
        <v>18</v>
      </c>
      <c r="I50" s="2">
        <v>500</v>
      </c>
      <c r="J50" s="24">
        <f>G50*I50</f>
        <v>500</v>
      </c>
      <c r="K50" s="23"/>
    </row>
    <row r="51" spans="1:17" s="5" customFormat="1" x14ac:dyDescent="0.25">
      <c r="A51" s="20"/>
      <c r="B51" s="27"/>
      <c r="C51" s="22"/>
      <c r="D51" s="1"/>
      <c r="E51" s="23"/>
      <c r="F51" s="23"/>
      <c r="G51" s="2"/>
      <c r="H51" s="24"/>
      <c r="I51" s="2"/>
      <c r="J51" s="25"/>
      <c r="K51" s="23"/>
    </row>
    <row r="52" spans="1:17" s="5" customFormat="1" x14ac:dyDescent="0.25">
      <c r="A52" s="28"/>
      <c r="B52" s="29" t="s">
        <v>20</v>
      </c>
      <c r="C52" s="30"/>
      <c r="D52" s="31"/>
      <c r="E52" s="31"/>
      <c r="F52" s="31"/>
      <c r="G52" s="25"/>
      <c r="H52" s="25"/>
      <c r="I52" s="25"/>
      <c r="J52" s="25">
        <f>SUM(J10:J50)</f>
        <v>454812.88287796604</v>
      </c>
      <c r="K52" s="32"/>
    </row>
    <row r="53" spans="1:17" s="5" customFormat="1" x14ac:dyDescent="0.25">
      <c r="Q53" s="6"/>
    </row>
    <row r="54" spans="1:17" s="6" customFormat="1" x14ac:dyDescent="0.25">
      <c r="A54" s="33"/>
      <c r="B54" s="34" t="s">
        <v>19</v>
      </c>
      <c r="C54" s="53">
        <f>J52</f>
        <v>454812.88287796604</v>
      </c>
      <c r="D54" s="54"/>
      <c r="E54" s="35"/>
      <c r="F54" s="33"/>
      <c r="G54" s="36"/>
      <c r="H54" s="33"/>
      <c r="I54" s="37"/>
      <c r="J54" s="38"/>
      <c r="K54" s="39"/>
      <c r="Q54" s="5"/>
    </row>
  </sheetData>
  <mergeCells count="10">
    <mergeCell ref="C54:D54"/>
    <mergeCell ref="A7:F7"/>
    <mergeCell ref="H7:K7"/>
    <mergeCell ref="A1:K1"/>
    <mergeCell ref="A2:K2"/>
    <mergeCell ref="A3:K3"/>
    <mergeCell ref="A4:K4"/>
    <mergeCell ref="A5:K5"/>
    <mergeCell ref="A6:F6"/>
    <mergeCell ref="H6: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F6B5-53ED-439B-9F9F-7903EC0551D1}">
  <dimension ref="B8:E72"/>
  <sheetViews>
    <sheetView workbookViewId="0">
      <selection activeCell="I9" sqref="I8:I9"/>
    </sheetView>
  </sheetViews>
  <sheetFormatPr defaultRowHeight="15" x14ac:dyDescent="0.25"/>
  <cols>
    <col min="2" max="2" width="8.42578125" bestFit="1" customWidth="1"/>
    <col min="3" max="4" width="7.7109375" bestFit="1" customWidth="1"/>
  </cols>
  <sheetData>
    <row r="8" spans="2:5" x14ac:dyDescent="0.25">
      <c r="B8" s="6" t="s">
        <v>43</v>
      </c>
      <c r="C8" s="6"/>
      <c r="D8" s="6"/>
      <c r="E8" s="6"/>
    </row>
    <row r="9" spans="2:5" x14ac:dyDescent="0.25">
      <c r="B9" s="5" t="s">
        <v>28</v>
      </c>
      <c r="C9" s="5" t="s">
        <v>38</v>
      </c>
      <c r="D9" s="5" t="s">
        <v>39</v>
      </c>
      <c r="E9" s="5" t="s">
        <v>29</v>
      </c>
    </row>
    <row r="10" spans="2:5" x14ac:dyDescent="0.25">
      <c r="B10" s="7">
        <f>100/3.281</f>
        <v>30.478512648582747</v>
      </c>
      <c r="C10" s="5">
        <f>0.35+E10+E10</f>
        <v>0.54999999999999993</v>
      </c>
      <c r="D10" s="5">
        <v>0.35</v>
      </c>
      <c r="E10" s="5">
        <v>0.1</v>
      </c>
    </row>
    <row r="11" spans="2:5" x14ac:dyDescent="0.25">
      <c r="B11" s="5"/>
      <c r="C11" s="5"/>
      <c r="D11" s="5"/>
      <c r="E11" s="5"/>
    </row>
    <row r="12" spans="2:5" x14ac:dyDescent="0.25">
      <c r="B12" s="5"/>
      <c r="C12" s="5"/>
      <c r="D12" s="5"/>
      <c r="E12" s="5"/>
    </row>
    <row r="13" spans="2:5" x14ac:dyDescent="0.25">
      <c r="B13" s="5"/>
      <c r="C13" s="5"/>
      <c r="D13" s="5"/>
      <c r="E13" s="5"/>
    </row>
    <row r="14" spans="2:5" x14ac:dyDescent="0.25">
      <c r="B14" s="5"/>
      <c r="C14" s="5"/>
      <c r="D14" s="5"/>
      <c r="E14" s="5"/>
    </row>
    <row r="15" spans="2:5" x14ac:dyDescent="0.25">
      <c r="B15" s="5"/>
      <c r="C15" s="5"/>
      <c r="D15" s="5"/>
      <c r="E15" s="5"/>
    </row>
    <row r="16" spans="2:5" x14ac:dyDescent="0.25">
      <c r="B16" s="5"/>
      <c r="C16" s="5"/>
      <c r="D16" s="5"/>
      <c r="E16" s="5"/>
    </row>
    <row r="17" spans="2:5" x14ac:dyDescent="0.25">
      <c r="B17" s="5"/>
      <c r="C17" s="5"/>
      <c r="D17" s="5"/>
      <c r="E17" s="5"/>
    </row>
    <row r="18" spans="2:5" x14ac:dyDescent="0.25">
      <c r="B18" s="5"/>
      <c r="C18" s="5"/>
      <c r="D18" s="5"/>
      <c r="E18" s="5"/>
    </row>
    <row r="19" spans="2:5" x14ac:dyDescent="0.25">
      <c r="B19" s="5"/>
      <c r="C19" s="5"/>
      <c r="D19" s="5"/>
      <c r="E19" s="5"/>
    </row>
    <row r="20" spans="2:5" x14ac:dyDescent="0.25">
      <c r="B20" s="5"/>
      <c r="C20" s="5"/>
      <c r="D20" s="5"/>
      <c r="E20" s="5"/>
    </row>
    <row r="21" spans="2:5" x14ac:dyDescent="0.25">
      <c r="B21" s="5"/>
      <c r="C21" s="5"/>
      <c r="D21" s="5"/>
      <c r="E21" s="5"/>
    </row>
    <row r="22" spans="2:5" x14ac:dyDescent="0.25">
      <c r="B22" s="5"/>
      <c r="C22" s="5"/>
      <c r="D22" s="5"/>
      <c r="E22" s="5"/>
    </row>
    <row r="23" spans="2:5" x14ac:dyDescent="0.25">
      <c r="B23" s="5"/>
      <c r="C23" s="5"/>
      <c r="D23" s="5"/>
      <c r="E23" s="5"/>
    </row>
    <row r="24" spans="2:5" x14ac:dyDescent="0.25">
      <c r="B24" s="5"/>
      <c r="C24" s="5"/>
      <c r="D24" s="5"/>
      <c r="E24" s="5"/>
    </row>
    <row r="25" spans="2:5" x14ac:dyDescent="0.25">
      <c r="B25" s="5"/>
      <c r="C25" s="5"/>
      <c r="D25" s="5"/>
      <c r="E25" s="5"/>
    </row>
    <row r="26" spans="2:5" x14ac:dyDescent="0.25">
      <c r="B26" s="5"/>
      <c r="C26" s="5"/>
      <c r="D26" s="5"/>
      <c r="E26" s="5"/>
    </row>
    <row r="27" spans="2:5" x14ac:dyDescent="0.25">
      <c r="B27" s="5"/>
      <c r="C27" s="5"/>
      <c r="D27" s="5"/>
      <c r="E27" s="5"/>
    </row>
    <row r="28" spans="2:5" x14ac:dyDescent="0.25">
      <c r="B28" s="5"/>
      <c r="C28" s="5"/>
      <c r="D28" s="5"/>
      <c r="E28" s="5"/>
    </row>
    <row r="29" spans="2:5" x14ac:dyDescent="0.25">
      <c r="B29" s="5"/>
      <c r="C29" s="5"/>
      <c r="D29" s="5"/>
      <c r="E29" s="5"/>
    </row>
    <row r="30" spans="2:5" x14ac:dyDescent="0.25">
      <c r="B30" s="5"/>
      <c r="C30" s="5"/>
      <c r="D30" s="5"/>
      <c r="E30" s="5"/>
    </row>
    <row r="31" spans="2:5" x14ac:dyDescent="0.25">
      <c r="B31" s="5"/>
      <c r="C31" s="5"/>
      <c r="D31" s="5"/>
      <c r="E31" s="5"/>
    </row>
    <row r="32" spans="2:5" x14ac:dyDescent="0.25">
      <c r="B32" s="5"/>
      <c r="C32" s="5"/>
      <c r="D32" s="5"/>
      <c r="E32" s="5"/>
    </row>
    <row r="33" spans="2:5" x14ac:dyDescent="0.25">
      <c r="B33" s="5"/>
      <c r="C33" s="5"/>
      <c r="D33" s="5"/>
      <c r="E33" s="5"/>
    </row>
    <row r="34" spans="2:5" x14ac:dyDescent="0.25">
      <c r="B34" s="5"/>
      <c r="C34" s="5"/>
      <c r="D34" s="5"/>
      <c r="E34" s="5"/>
    </row>
    <row r="35" spans="2:5" x14ac:dyDescent="0.25">
      <c r="B35" s="5"/>
      <c r="C35" s="5"/>
      <c r="D35" s="5"/>
      <c r="E35" s="5"/>
    </row>
    <row r="36" spans="2:5" x14ac:dyDescent="0.25">
      <c r="B36" s="5"/>
      <c r="C36" s="5"/>
      <c r="D36" s="5"/>
      <c r="E36" s="5"/>
    </row>
    <row r="37" spans="2:5" x14ac:dyDescent="0.25">
      <c r="B37" s="5"/>
      <c r="C37" s="5"/>
      <c r="D37" s="5"/>
      <c r="E37" s="5"/>
    </row>
    <row r="38" spans="2:5" x14ac:dyDescent="0.25">
      <c r="B38" s="5"/>
      <c r="C38" s="5"/>
      <c r="D38" s="5"/>
      <c r="E38" s="5"/>
    </row>
    <row r="39" spans="2:5" x14ac:dyDescent="0.25">
      <c r="B39" s="5"/>
      <c r="C39" s="5"/>
      <c r="D39" s="5"/>
      <c r="E39" s="5"/>
    </row>
    <row r="40" spans="2:5" x14ac:dyDescent="0.25">
      <c r="B40" s="5"/>
      <c r="C40" s="5"/>
      <c r="D40" s="5"/>
      <c r="E40" s="5"/>
    </row>
    <row r="41" spans="2:5" x14ac:dyDescent="0.25">
      <c r="B41" s="5"/>
      <c r="C41" s="5"/>
      <c r="D41" s="5"/>
      <c r="E41" s="5"/>
    </row>
    <row r="42" spans="2:5" x14ac:dyDescent="0.25">
      <c r="B42" s="5"/>
      <c r="C42" s="5"/>
      <c r="D42" s="5"/>
      <c r="E42" s="5"/>
    </row>
    <row r="43" spans="2:5" x14ac:dyDescent="0.25">
      <c r="B43" s="5"/>
      <c r="C43" s="5"/>
      <c r="D43" s="5"/>
      <c r="E43" s="5"/>
    </row>
    <row r="44" spans="2:5" x14ac:dyDescent="0.25">
      <c r="B44" s="5"/>
      <c r="C44" s="5"/>
      <c r="D44" s="5"/>
      <c r="E44" s="5"/>
    </row>
    <row r="45" spans="2:5" x14ac:dyDescent="0.25">
      <c r="B45" s="5"/>
      <c r="C45" s="5"/>
      <c r="D45" s="5"/>
      <c r="E45" s="5"/>
    </row>
    <row r="46" spans="2:5" x14ac:dyDescent="0.25">
      <c r="B46" s="5"/>
      <c r="C46" s="5"/>
      <c r="D46" s="5"/>
      <c r="E46" s="5"/>
    </row>
    <row r="47" spans="2:5" x14ac:dyDescent="0.25">
      <c r="B47" s="5"/>
      <c r="C47" s="5"/>
      <c r="D47" s="5"/>
      <c r="E47" s="5"/>
    </row>
    <row r="48" spans="2:5" x14ac:dyDescent="0.25">
      <c r="B48" s="5"/>
      <c r="C48" s="5"/>
      <c r="D48" s="5"/>
      <c r="E48" s="5"/>
    </row>
    <row r="49" spans="2:5" x14ac:dyDescent="0.25">
      <c r="B49" s="5"/>
      <c r="C49" s="5"/>
      <c r="D49" s="5"/>
      <c r="E49" s="5"/>
    </row>
    <row r="50" spans="2:5" x14ac:dyDescent="0.25">
      <c r="B50" s="5"/>
      <c r="C50" s="5"/>
      <c r="D50" s="5"/>
      <c r="E50" s="5"/>
    </row>
    <row r="51" spans="2:5" x14ac:dyDescent="0.25">
      <c r="B51" s="5"/>
      <c r="C51" s="5"/>
      <c r="D51" s="5"/>
      <c r="E51" s="5"/>
    </row>
    <row r="52" spans="2:5" x14ac:dyDescent="0.25">
      <c r="B52" s="5"/>
      <c r="C52" s="5"/>
      <c r="D52" s="5"/>
      <c r="E52" s="5"/>
    </row>
    <row r="53" spans="2:5" x14ac:dyDescent="0.25">
      <c r="B53" s="5"/>
      <c r="C53" s="5"/>
      <c r="D53" s="5"/>
      <c r="E53" s="5"/>
    </row>
    <row r="54" spans="2:5" x14ac:dyDescent="0.25">
      <c r="B54" s="5"/>
      <c r="C54" s="5"/>
      <c r="D54" s="5"/>
      <c r="E54" s="5"/>
    </row>
    <row r="55" spans="2:5" x14ac:dyDescent="0.25">
      <c r="B55" s="6"/>
      <c r="C55" s="6"/>
      <c r="D55" s="6"/>
      <c r="E55" s="6"/>
    </row>
    <row r="56" spans="2:5" x14ac:dyDescent="0.25">
      <c r="B56" s="5"/>
      <c r="C56" s="5"/>
      <c r="D56" s="5"/>
      <c r="E56" s="5"/>
    </row>
    <row r="57" spans="2:5" x14ac:dyDescent="0.25">
      <c r="B57" s="5"/>
      <c r="C57" s="5"/>
      <c r="D57" s="5"/>
      <c r="E57" s="5"/>
    </row>
    <row r="58" spans="2:5" x14ac:dyDescent="0.25">
      <c r="B58" s="5"/>
      <c r="C58" s="5"/>
      <c r="D58" s="5"/>
      <c r="E58" s="5"/>
    </row>
    <row r="59" spans="2:5" x14ac:dyDescent="0.25">
      <c r="B59" s="5"/>
      <c r="C59" s="5"/>
      <c r="D59" s="5"/>
      <c r="E59" s="5"/>
    </row>
    <row r="60" spans="2:5" x14ac:dyDescent="0.25">
      <c r="B60" s="5"/>
      <c r="C60" s="5"/>
      <c r="D60" s="5"/>
      <c r="E60" s="5"/>
    </row>
    <row r="61" spans="2:5" x14ac:dyDescent="0.25">
      <c r="B61" s="5"/>
      <c r="C61" s="5"/>
      <c r="D61" s="5"/>
      <c r="E61" s="5"/>
    </row>
    <row r="62" spans="2:5" x14ac:dyDescent="0.25">
      <c r="B62" s="5"/>
      <c r="C62" s="5"/>
      <c r="D62" s="5"/>
      <c r="E62" s="5"/>
    </row>
    <row r="63" spans="2:5" x14ac:dyDescent="0.25">
      <c r="B63" s="5"/>
      <c r="C63" s="5"/>
      <c r="D63" s="5"/>
      <c r="E63" s="5"/>
    </row>
    <row r="64" spans="2:5" x14ac:dyDescent="0.25">
      <c r="B64" s="5"/>
      <c r="C64" s="5"/>
      <c r="D64" s="5"/>
      <c r="E64" s="5"/>
    </row>
    <row r="65" spans="2:5" x14ac:dyDescent="0.25">
      <c r="B65" s="5"/>
      <c r="C65" s="5"/>
      <c r="D65" s="5"/>
      <c r="E65" s="5"/>
    </row>
    <row r="66" spans="2:5" x14ac:dyDescent="0.25">
      <c r="B66" s="5"/>
      <c r="C66" s="5"/>
      <c r="D66" s="5"/>
      <c r="E66" s="5"/>
    </row>
    <row r="67" spans="2:5" x14ac:dyDescent="0.25">
      <c r="B67" s="6"/>
      <c r="C67" s="6"/>
      <c r="D67" s="6"/>
      <c r="E67" s="6"/>
    </row>
    <row r="68" spans="2:5" x14ac:dyDescent="0.25">
      <c r="B68" s="5"/>
      <c r="C68" s="5"/>
      <c r="D68" s="5"/>
      <c r="E68" s="5"/>
    </row>
    <row r="69" spans="2:5" x14ac:dyDescent="0.25">
      <c r="B69" s="5"/>
      <c r="C69" s="5"/>
      <c r="D69" s="5"/>
      <c r="E69" s="5"/>
    </row>
    <row r="70" spans="2:5" x14ac:dyDescent="0.25">
      <c r="B70" s="5"/>
      <c r="C70" s="5"/>
      <c r="D70" s="5"/>
      <c r="E70" s="5"/>
    </row>
    <row r="71" spans="2:5" x14ac:dyDescent="0.25">
      <c r="B71" s="5"/>
      <c r="C71" s="5"/>
      <c r="D71" s="5"/>
      <c r="E71" s="5"/>
    </row>
    <row r="72" spans="2:5" x14ac:dyDescent="0.25">
      <c r="B72" s="5"/>
      <c r="C72" s="5"/>
      <c r="D72" s="5"/>
      <c r="E72" s="5"/>
    </row>
  </sheetData>
  <sheetProtection algorithmName="SHA-512" hashValue="4ygf/B+MhgLxLNeocNf0KKZx9DvQuNPhY16eOoPJKrnLypgdcLEFe8eml4l+fduO/Oww4NcvREbnjt55hUvfHA==" saltValue="3ccvfZoENs5DuxrPoBw99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estimate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2026-03-30T06:22:14Z</dcterms:modified>
</cp:coreProperties>
</file>