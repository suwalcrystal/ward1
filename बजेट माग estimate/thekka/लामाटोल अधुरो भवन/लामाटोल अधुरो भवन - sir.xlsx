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124226"/>
  <xr:revisionPtr revIDLastSave="0" documentId="13_ncr:1_{439A52DF-7C01-4FC7-8503-E4DC935A6027}" xr6:coauthVersionLast="47" xr6:coauthVersionMax="47" xr10:uidLastSave="{00000000-0000-0000-0000-000000000000}"/>
  <bookViews>
    <workbookView xWindow="-120" yWindow="-120" windowWidth="20730" windowHeight="11040" xr2:uid="{00000000-000D-0000-FFFF-FFFF00000000}"/>
  </bookViews>
  <sheets>
    <sheet name="estimate" sheetId="15"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estimate!$A$1:$K$193</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89" i="15" l="1"/>
  <c r="I32" i="15"/>
  <c r="I27" i="15"/>
  <c r="G31" i="15"/>
  <c r="E31" i="15"/>
  <c r="D31" i="15"/>
  <c r="G30" i="15"/>
  <c r="E30" i="15"/>
  <c r="D30" i="15"/>
  <c r="E26" i="15"/>
  <c r="D26" i="15"/>
  <c r="E25" i="15"/>
  <c r="D25" i="15"/>
  <c r="G25" i="15" s="1"/>
  <c r="I22" i="15"/>
  <c r="E21" i="15"/>
  <c r="D21" i="15"/>
  <c r="E20" i="15"/>
  <c r="D20" i="15"/>
  <c r="I12" i="15"/>
  <c r="I17" i="15"/>
  <c r="E16" i="15"/>
  <c r="D16" i="15"/>
  <c r="E15" i="15"/>
  <c r="D15" i="15"/>
  <c r="D11" i="15"/>
  <c r="E11" i="15"/>
  <c r="D10" i="15"/>
  <c r="E10" i="15"/>
  <c r="D52" i="15"/>
  <c r="D51" i="15"/>
  <c r="F52" i="15"/>
  <c r="F51" i="15"/>
  <c r="I183" i="15"/>
  <c r="E182" i="15"/>
  <c r="D182" i="15"/>
  <c r="I179" i="15"/>
  <c r="E178" i="15"/>
  <c r="D178" i="15"/>
  <c r="D174" i="15"/>
  <c r="F174" i="15" s="1"/>
  <c r="G174" i="15" s="1"/>
  <c r="D173" i="15"/>
  <c r="F173" i="15" s="1"/>
  <c r="G173" i="15" s="1"/>
  <c r="D172" i="15"/>
  <c r="F172" i="15" s="1"/>
  <c r="G172" i="15" s="1"/>
  <c r="D171" i="15"/>
  <c r="F171" i="15" s="1"/>
  <c r="G171" i="15" s="1"/>
  <c r="D170" i="15"/>
  <c r="F170" i="15" s="1"/>
  <c r="G170" i="15" s="1"/>
  <c r="D169" i="15"/>
  <c r="F169" i="15" s="1"/>
  <c r="G169" i="15" s="1"/>
  <c r="D168" i="15"/>
  <c r="F168" i="15" s="1"/>
  <c r="G168" i="15" s="1"/>
  <c r="D167" i="15"/>
  <c r="F167" i="15" s="1"/>
  <c r="G167" i="15" s="1"/>
  <c r="D166" i="15"/>
  <c r="F166" i="15" s="1"/>
  <c r="G166" i="15" s="1"/>
  <c r="D165" i="15"/>
  <c r="F165" i="15" s="1"/>
  <c r="G165" i="15" s="1"/>
  <c r="D164" i="15"/>
  <c r="F164" i="15" s="1"/>
  <c r="G164" i="15" s="1"/>
  <c r="I40" i="15"/>
  <c r="D39" i="15"/>
  <c r="I36" i="15"/>
  <c r="F35" i="15"/>
  <c r="G35" i="15" s="1"/>
  <c r="G36" i="15" s="1"/>
  <c r="F39" i="15"/>
  <c r="G32" i="15" l="1"/>
  <c r="J32" i="15" s="1"/>
  <c r="G26" i="15"/>
  <c r="G21" i="15"/>
  <c r="G27" i="15"/>
  <c r="J27" i="15" s="1"/>
  <c r="G10" i="15"/>
  <c r="G20" i="15"/>
  <c r="G16" i="15"/>
  <c r="G11" i="15"/>
  <c r="G15" i="15"/>
  <c r="G182" i="15"/>
  <c r="G178" i="15"/>
  <c r="J36" i="15"/>
  <c r="G22" i="15" l="1"/>
  <c r="J22" i="15" s="1"/>
  <c r="G183" i="15"/>
  <c r="J183" i="15" s="1"/>
  <c r="G179" i="15"/>
  <c r="J179" i="15" s="1"/>
  <c r="G17" i="15"/>
  <c r="J17" i="15" s="1"/>
  <c r="G12" i="15"/>
  <c r="J12" i="15" s="1"/>
  <c r="D47" i="15" l="1"/>
  <c r="D46" i="15"/>
  <c r="F46" i="15"/>
  <c r="G46" i="15" s="1"/>
  <c r="F47" i="15"/>
  <c r="F45" i="15"/>
  <c r="D45" i="15"/>
  <c r="N45" i="15"/>
  <c r="F44" i="15"/>
  <c r="D44" i="15"/>
  <c r="D43" i="15"/>
  <c r="F43" i="15"/>
  <c r="D162" i="15"/>
  <c r="F162" i="15" s="1"/>
  <c r="G162" i="15" s="1"/>
  <c r="D161" i="15"/>
  <c r="F161" i="15" s="1"/>
  <c r="G161" i="15" s="1"/>
  <c r="D160" i="15"/>
  <c r="F160" i="15" s="1"/>
  <c r="G160" i="15" s="1"/>
  <c r="D159" i="15"/>
  <c r="F159" i="15" s="1"/>
  <c r="G159" i="15" s="1"/>
  <c r="D158" i="15"/>
  <c r="F158" i="15" s="1"/>
  <c r="G158" i="15" s="1"/>
  <c r="D157" i="15"/>
  <c r="F157" i="15" s="1"/>
  <c r="G157" i="15" s="1"/>
  <c r="D156" i="15"/>
  <c r="F156" i="15" s="1"/>
  <c r="G156" i="15" s="1"/>
  <c r="D155" i="15"/>
  <c r="F155" i="15" s="1"/>
  <c r="G155" i="15" s="1"/>
  <c r="D154" i="15"/>
  <c r="F154" i="15" s="1"/>
  <c r="G154" i="15" s="1"/>
  <c r="D153" i="15"/>
  <c r="F153" i="15" s="1"/>
  <c r="G153" i="15" s="1"/>
  <c r="D152" i="15"/>
  <c r="F152" i="15" s="1"/>
  <c r="G152" i="15" s="1"/>
  <c r="D151" i="15"/>
  <c r="F151" i="15" s="1"/>
  <c r="G151" i="15" s="1"/>
  <c r="D150" i="15"/>
  <c r="F150" i="15" s="1"/>
  <c r="G150" i="15" s="1"/>
  <c r="D149" i="15"/>
  <c r="F149" i="15" s="1"/>
  <c r="G149" i="15" s="1"/>
  <c r="D148" i="15"/>
  <c r="F148" i="15" s="1"/>
  <c r="G148" i="15" s="1"/>
  <c r="D147" i="15"/>
  <c r="F147" i="15" s="1"/>
  <c r="G147" i="15" s="1"/>
  <c r="D146" i="15"/>
  <c r="F146" i="15" s="1"/>
  <c r="G146" i="15" s="1"/>
  <c r="D145" i="15"/>
  <c r="F145" i="15" s="1"/>
  <c r="G145" i="15" s="1"/>
  <c r="D144" i="15"/>
  <c r="F144" i="15" s="1"/>
  <c r="G144" i="15" s="1"/>
  <c r="D143" i="15"/>
  <c r="F143" i="15" s="1"/>
  <c r="G143" i="15" s="1"/>
  <c r="D142" i="15"/>
  <c r="F142" i="15" s="1"/>
  <c r="G142" i="15" s="1"/>
  <c r="D141" i="15"/>
  <c r="F141" i="15" s="1"/>
  <c r="G141" i="15" s="1"/>
  <c r="D140" i="15"/>
  <c r="F140" i="15" s="1"/>
  <c r="G140" i="15" s="1"/>
  <c r="D139" i="15"/>
  <c r="F139" i="15" s="1"/>
  <c r="G139" i="15" s="1"/>
  <c r="D138" i="15"/>
  <c r="F138" i="15" s="1"/>
  <c r="G138" i="15" s="1"/>
  <c r="D137" i="15"/>
  <c r="F137" i="15" s="1"/>
  <c r="G137" i="15" s="1"/>
  <c r="D136" i="15"/>
  <c r="F136" i="15" s="1"/>
  <c r="G136" i="15" s="1"/>
  <c r="D135" i="15"/>
  <c r="F135" i="15" s="1"/>
  <c r="G135" i="15" s="1"/>
  <c r="D134" i="15"/>
  <c r="F134" i="15" s="1"/>
  <c r="G134" i="15" s="1"/>
  <c r="D133" i="15"/>
  <c r="F133" i="15" s="1"/>
  <c r="G133" i="15" s="1"/>
  <c r="D132" i="15"/>
  <c r="F132" i="15" s="1"/>
  <c r="G132" i="15" s="1"/>
  <c r="D131" i="15"/>
  <c r="F131" i="15" s="1"/>
  <c r="G131" i="15" s="1"/>
  <c r="D130" i="15"/>
  <c r="F130" i="15" s="1"/>
  <c r="G130" i="15" s="1"/>
  <c r="D129" i="15"/>
  <c r="F129" i="15" s="1"/>
  <c r="G129" i="15" s="1"/>
  <c r="D128" i="15"/>
  <c r="F128" i="15" s="1"/>
  <c r="G128" i="15" s="1"/>
  <c r="D127" i="15"/>
  <c r="F127" i="15" s="1"/>
  <c r="G127" i="15" s="1"/>
  <c r="D126" i="15"/>
  <c r="F126" i="15" s="1"/>
  <c r="G126" i="15" s="1"/>
  <c r="D125" i="15"/>
  <c r="F125" i="15" s="1"/>
  <c r="G125" i="15" s="1"/>
  <c r="D123" i="15"/>
  <c r="F123" i="15" s="1"/>
  <c r="G123" i="15" s="1"/>
  <c r="D124" i="15"/>
  <c r="F124" i="15" s="1"/>
  <c r="G124" i="15" s="1"/>
  <c r="D122" i="15"/>
  <c r="F122" i="15" s="1"/>
  <c r="G122" i="15" s="1"/>
  <c r="D120" i="15"/>
  <c r="F120" i="15" s="1"/>
  <c r="G120" i="15" s="1"/>
  <c r="D119" i="15"/>
  <c r="F119" i="15" s="1"/>
  <c r="G119" i="15" s="1"/>
  <c r="D118" i="15"/>
  <c r="F118" i="15" s="1"/>
  <c r="G118" i="15" s="1"/>
  <c r="D117" i="15"/>
  <c r="F117" i="15" s="1"/>
  <c r="G117" i="15" s="1"/>
  <c r="D116" i="15"/>
  <c r="F116" i="15" s="1"/>
  <c r="G116" i="15" s="1"/>
  <c r="D115" i="15"/>
  <c r="F115" i="15" s="1"/>
  <c r="G115" i="15" s="1"/>
  <c r="D114" i="15"/>
  <c r="F114" i="15" s="1"/>
  <c r="G114" i="15" s="1"/>
  <c r="D113" i="15"/>
  <c r="F113" i="15" s="1"/>
  <c r="G113" i="15" s="1"/>
  <c r="D112" i="15"/>
  <c r="F112" i="15" s="1"/>
  <c r="G112" i="15" s="1"/>
  <c r="D111" i="15"/>
  <c r="F111" i="15" s="1"/>
  <c r="G111" i="15" s="1"/>
  <c r="D110" i="15"/>
  <c r="F110" i="15" s="1"/>
  <c r="G110" i="15" s="1"/>
  <c r="D109" i="15"/>
  <c r="F109" i="15" s="1"/>
  <c r="G109" i="15" s="1"/>
  <c r="D108" i="15"/>
  <c r="F108" i="15" s="1"/>
  <c r="G108" i="15" s="1"/>
  <c r="D107" i="15"/>
  <c r="F107" i="15" s="1"/>
  <c r="G107" i="15" s="1"/>
  <c r="D106" i="15"/>
  <c r="F106" i="15" s="1"/>
  <c r="G106" i="15" s="1"/>
  <c r="D105" i="15"/>
  <c r="F105" i="15" s="1"/>
  <c r="G105" i="15" s="1"/>
  <c r="D104" i="15"/>
  <c r="F104" i="15" s="1"/>
  <c r="G104" i="15" s="1"/>
  <c r="D103" i="15"/>
  <c r="F103" i="15" s="1"/>
  <c r="G103" i="15" s="1"/>
  <c r="D102" i="15"/>
  <c r="F102" i="15" s="1"/>
  <c r="G102" i="15" s="1"/>
  <c r="D101" i="15"/>
  <c r="F101" i="15" s="1"/>
  <c r="G101" i="15" s="1"/>
  <c r="D100" i="15"/>
  <c r="F100" i="15" s="1"/>
  <c r="G100" i="15" s="1"/>
  <c r="D99" i="15"/>
  <c r="F99" i="15" s="1"/>
  <c r="G99" i="15" s="1"/>
  <c r="D98" i="15"/>
  <c r="F98" i="15" s="1"/>
  <c r="G98" i="15" s="1"/>
  <c r="D97" i="15"/>
  <c r="F97" i="15" s="1"/>
  <c r="G97" i="15" s="1"/>
  <c r="D96" i="15"/>
  <c r="F96" i="15" s="1"/>
  <c r="G96" i="15" s="1"/>
  <c r="D95" i="15"/>
  <c r="F95" i="15" s="1"/>
  <c r="G95" i="15" s="1"/>
  <c r="D94" i="15"/>
  <c r="F94" i="15" s="1"/>
  <c r="G94" i="15" s="1"/>
  <c r="D93" i="15"/>
  <c r="F93" i="15" s="1"/>
  <c r="G93" i="15" s="1"/>
  <c r="D92" i="15"/>
  <c r="F92" i="15" s="1"/>
  <c r="G92" i="15" s="1"/>
  <c r="D91" i="15"/>
  <c r="F91" i="15" s="1"/>
  <c r="G91" i="15" s="1"/>
  <c r="D90" i="15"/>
  <c r="F90" i="15" s="1"/>
  <c r="G90" i="15" s="1"/>
  <c r="D88" i="15"/>
  <c r="F88" i="15" s="1"/>
  <c r="G88" i="15" s="1"/>
  <c r="D87" i="15"/>
  <c r="F87" i="15" s="1"/>
  <c r="G87" i="15" s="1"/>
  <c r="D86" i="15"/>
  <c r="F86" i="15" s="1"/>
  <c r="G86" i="15" s="1"/>
  <c r="D85" i="15"/>
  <c r="F85" i="15" s="1"/>
  <c r="G85" i="15" s="1"/>
  <c r="D84" i="15"/>
  <c r="F84" i="15" s="1"/>
  <c r="G84" i="15" s="1"/>
  <c r="D83" i="15"/>
  <c r="F83" i="15" s="1"/>
  <c r="G83" i="15" s="1"/>
  <c r="D82" i="15"/>
  <c r="F82" i="15" s="1"/>
  <c r="G82" i="15" s="1"/>
  <c r="D89" i="15"/>
  <c r="F89" i="15" s="1"/>
  <c r="G89" i="15" s="1"/>
  <c r="D75" i="15"/>
  <c r="F75" i="15" s="1"/>
  <c r="G75" i="15" s="1"/>
  <c r="D81" i="15"/>
  <c r="F81" i="15" s="1"/>
  <c r="G81" i="15" s="1"/>
  <c r="D80" i="15"/>
  <c r="F80" i="15" s="1"/>
  <c r="G80" i="15" s="1"/>
  <c r="D77" i="15"/>
  <c r="F77" i="15" s="1"/>
  <c r="G77" i="15" s="1"/>
  <c r="D79" i="15"/>
  <c r="F79" i="15" s="1"/>
  <c r="G79" i="15" s="1"/>
  <c r="D78" i="15"/>
  <c r="F78" i="15" s="1"/>
  <c r="G78" i="15" s="1"/>
  <c r="D76" i="15"/>
  <c r="F76" i="15" s="1"/>
  <c r="G76" i="15" s="1"/>
  <c r="D73" i="15"/>
  <c r="D72" i="15"/>
  <c r="D71" i="15"/>
  <c r="F71" i="15" s="1"/>
  <c r="G71" i="15" s="1"/>
  <c r="D70" i="15"/>
  <c r="F70" i="15" s="1"/>
  <c r="G70" i="15" s="1"/>
  <c r="D69" i="15"/>
  <c r="F69" i="15" s="1"/>
  <c r="G69" i="15" s="1"/>
  <c r="D68" i="15"/>
  <c r="F68" i="15" s="1"/>
  <c r="G68" i="15" s="1"/>
  <c r="D67" i="15"/>
  <c r="F67" i="15" s="1"/>
  <c r="G67" i="15" s="1"/>
  <c r="D66" i="15"/>
  <c r="F66" i="15" s="1"/>
  <c r="G66" i="15" s="1"/>
  <c r="D65" i="15"/>
  <c r="F65" i="15" s="1"/>
  <c r="G65" i="15" s="1"/>
  <c r="D64" i="15"/>
  <c r="F64" i="15" s="1"/>
  <c r="G64" i="15" s="1"/>
  <c r="D63" i="15"/>
  <c r="F63" i="15" s="1"/>
  <c r="G63" i="15" s="1"/>
  <c r="D62" i="15"/>
  <c r="F62" i="15" s="1"/>
  <c r="G62" i="15" s="1"/>
  <c r="D61" i="15"/>
  <c r="F61" i="15" s="1"/>
  <c r="G61" i="15" s="1"/>
  <c r="D60" i="15"/>
  <c r="F60" i="15" s="1"/>
  <c r="G60" i="15" s="1"/>
  <c r="G185" i="15"/>
  <c r="J185" i="15" s="1"/>
  <c r="I175" i="15"/>
  <c r="I57" i="15"/>
  <c r="I53" i="15"/>
  <c r="I48" i="15"/>
  <c r="G187" i="15"/>
  <c r="J187" i="15" s="1"/>
  <c r="G45" i="15" l="1"/>
  <c r="G47" i="15"/>
  <c r="G44" i="15"/>
  <c r="F72" i="15"/>
  <c r="G72" i="15" s="1"/>
  <c r="F73" i="15"/>
  <c r="G73" i="15" s="1"/>
  <c r="G43" i="15"/>
  <c r="G48" i="15" s="1"/>
  <c r="G39" i="15"/>
  <c r="G52" i="15"/>
  <c r="G51" i="15"/>
  <c r="G53" i="15" s="1"/>
  <c r="G175" i="15" l="1"/>
  <c r="G40" i="15"/>
  <c r="J40" i="15" s="1"/>
  <c r="J175" i="15"/>
  <c r="J48" i="15"/>
  <c r="D56" i="15" l="1"/>
  <c r="G56" i="15" s="1"/>
  <c r="J53" i="15"/>
  <c r="G57" i="15" l="1"/>
  <c r="J57" i="15" s="1"/>
  <c r="C191" i="15" s="1"/>
  <c r="C192" i="15" l="1"/>
  <c r="C193" i="15" s="1"/>
</calcChain>
</file>

<file path=xl/sharedStrings.xml><?xml version="1.0" encoding="utf-8"?>
<sst xmlns="http://schemas.openxmlformats.org/spreadsheetml/2006/main" count="106" uniqueCount="70">
  <si>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</si>
  <si>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</si>
  <si>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</si>
  <si>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</si>
  <si>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</si>
  <si>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</si>
  <si>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</si>
  <si>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</si>
  <si>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</si>
  <si>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</si>
  <si>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</si>
  <si>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</si>
  <si>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</si>
  <si>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</si>
  <si>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</si>
  <si>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</si>
  <si>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</si>
  <si>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</si>
  <si>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</si>
  <si>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</si>
  <si>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</si>
  <si>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F.Y.: 2082/2083</t>
  </si>
  <si>
    <t>Length (m)</t>
  </si>
  <si>
    <t>cum</t>
  </si>
  <si>
    <t>Location:- Shankharapur Municipality 1</t>
  </si>
  <si>
    <t>PS</t>
  </si>
  <si>
    <t>sqm</t>
  </si>
  <si>
    <t>!@=% dL=dL= l;d]G6 afn'jf -!M$_ Knfi6/</t>
  </si>
  <si>
    <t>e'O{+tNnfdf lrDgL e§fsf] O{+6fsf] uf/f] l;d]G6 d;nf -!M^_ df</t>
  </si>
  <si>
    <t xml:space="preserve"> Ps sf]6 k|fO{d/ ;lxt b'O{ sf]6 j]b/sf]6 k]G6 ug]{ sfd</t>
  </si>
  <si>
    <t xml:space="preserve">Date:                  </t>
  </si>
  <si>
    <t>-outer face of wall</t>
  </si>
  <si>
    <t>-inner face of wall</t>
  </si>
  <si>
    <t>-as of plaster</t>
  </si>
  <si>
    <t>ljleGg ;fO{hsf] kmnfd] PËn km]lj|s]zg u/L k|fOd/ k]G6 ;lxt ug]{ sfd</t>
  </si>
  <si>
    <t>Unit weight (Kg/m)</t>
  </si>
  <si>
    <t>Weight (Kg)</t>
  </si>
  <si>
    <t>Kg</t>
  </si>
  <si>
    <t>-partition wall</t>
  </si>
  <si>
    <t>Provisional sum for unforseen work</t>
  </si>
  <si>
    <t>VAT 13%</t>
  </si>
  <si>
    <t>Grand total</t>
  </si>
  <si>
    <t>-for horizontal member</t>
  </si>
  <si>
    <t>-for remaining post</t>
  </si>
  <si>
    <t>-MS square pipe for inclined member of size 2"*2"*2mm thickness</t>
  </si>
  <si>
    <t>-MS square pipe for post of size 3" * 3" * 2mm thickness</t>
  </si>
  <si>
    <t>-for truss no. 1</t>
  </si>
  <si>
    <t>-for truss no. 2</t>
  </si>
  <si>
    <t>-for truss no. 3</t>
  </si>
  <si>
    <t>-for truss no. 4</t>
  </si>
  <si>
    <t>-for truss no. 5</t>
  </si>
  <si>
    <t>-MS square pipe for vertical member of size 1.5"*1.5"*2mm thickness</t>
  </si>
  <si>
    <t>-MS square pipe for diagonal member of size 1.5"*1.5"*2mm thickness</t>
  </si>
  <si>
    <t>-wall</t>
  </si>
  <si>
    <t>d]lzgsf] k|of]u u/L ;'k/ :6«Sr/df l;d]G6 s+lqm6 ug]{ sfd -!M!=%M#_</t>
  </si>
  <si>
    <t>-column</t>
  </si>
  <si>
    <t>kmnfd]sf] kfOk / KnfOaf]8{af6 kmdf{ agfpg] sfd</t>
  </si>
  <si>
    <t>)=$% dL=dL=afSnf] sf]?u]6]8 /+lug ss{6 kftfsf] 5fgf 5fpg] sfd</t>
  </si>
  <si>
    <t>-roof</t>
  </si>
  <si>
    <t>-MS square pipe for purlins of size 1.5"*1.5"*2mm thickness</t>
  </si>
  <si>
    <t>kmnfd] sf]nfK;Lan u]6 k]lG6Ë / h8fg ;d]t ug</t>
  </si>
  <si>
    <t>-gate</t>
  </si>
  <si>
    <t>g/d k|sf/sf] Sn] / l;N6L df6f]df ;j} lsl;dsf] vGg] sfd</t>
  </si>
  <si>
    <t>-flooring</t>
  </si>
  <si>
    <t>-deduction for beam occupied part</t>
  </si>
  <si>
    <t>husf] vf8ndf 9'+uf eg]{ / n]en ug]{ sfddf</t>
  </si>
  <si>
    <t>d]lzgsf] k|of]u u/L hu leQf kvf{ndf l;d]G6 s+lqm6 ug]{ sfd -!M@M$_</t>
  </si>
  <si>
    <t>l;d]G6 s+qmL6 ˆnf]l/Ë -!M@M$_ -#* dL=dL=_</t>
  </si>
  <si>
    <t># dL=dL= df]6fO{ d;Lgf] l;d]G6 3f]6\g] sfd</t>
  </si>
  <si>
    <r>
      <t>Project:-</t>
    </r>
    <r>
      <rPr>
        <sz val="12"/>
        <rFont val="Preeti"/>
      </rPr>
      <t xml:space="preserve"> nfdf6f]n cw'/f] ejg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</si>
</sst>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b/>
      <sz val="11"/>
      <color theme="1"/>
      <name val="Calibri"/>
      <family val="2"/>
      <scheme val="minor"/>
    </font>
    <font>
      <b/>
      <sz val="12"/>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9">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0" fillId="0" borderId="2" xfId="0" applyNumberFormat="1" applyBorder="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13" fillId="0" borderId="2" xfId="0" applyFont="1" applyBorder="1" applyAlignment="1">
      <alignment vertical="center"/>
    </xf>
    <xf numFmtId="0" fontId="0" fillId="0" borderId="2" xfId="0" applyBorder="1" applyAlignment="1">
      <alignment vertical="center"/>
    </xf>
    <xf numFmtId="0" fontId="0" fillId="0" borderId="0" xfId="0" applyAlignment="1">
      <alignment vertical="center"/>
    </xf>
    <xf numFmtId="0" fontId="0" fillId="0" borderId="2" xfId="0" applyBorder="1"/>
    <xf numFmtId="0" fontId="0" fillId="0" borderId="2" xfId="0" quotePrefix="1" applyBorder="1" applyAlignment="1">
      <alignment horizontal="right"/>
    </xf>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4" fillId="0" borderId="2" xfId="0" applyFont="1" applyBorder="1" applyAlignment="1">
      <alignment vertical="center"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0" xfId="0" applyFont="1" applyAlignment="1">
      <alignment vertical="center"/>
    </xf>
    <xf numFmtId="0" fontId="9" fillId="0" borderId="2" xfId="0" applyFont="1" applyBorder="1" applyAlignment="1">
      <alignment horizontal="center" vertical="center"/>
    </xf>
    <xf numFmtId="0" fontId="3" fillId="0" borderId="2" xfId="0" applyFont="1" applyBorder="1" applyAlignment="1">
      <alignment vertical="center"/>
    </xf>
    <xf numFmtId="0" fontId="0" fillId="0" borderId="2" xfId="0" applyBorder="1" applyAlignment="1">
      <alignment wrapText="1"/>
    </xf>
    <xf numFmtId="0" fontId="0" fillId="0" borderId="2" xfId="0" quotePrefix="1" applyBorder="1" applyAlignment="1">
      <alignment horizontal="right" wrapText="1"/>
    </xf>
    <xf numFmtId="0" fontId="4" fillId="0" borderId="2" xfId="0" quotePrefix="1" applyFont="1" applyBorder="1" applyAlignment="1">
      <alignment horizontal="right" wrapText="1"/>
    </xf>
    <xf numFmtId="1" fontId="2" fillId="0" borderId="2" xfId="0" applyNumberFormat="1" applyFont="1" applyBorder="1" applyAlignment="1">
      <alignment vertical="center"/>
    </xf>
    <xf numFmtId="0" fontId="4" fillId="0" borderId="2" xfId="0" quotePrefix="1" applyFont="1" applyBorder="1" applyAlignment="1">
      <alignment vertical="center"/>
    </xf>
    <xf numFmtId="0" fontId="8" fillId="0" borderId="1" xfId="0" applyFont="1" applyBorder="1"/>
    <xf numFmtId="0" fontId="8" fillId="0" borderId="1" xfId="0" applyFont="1" applyBorder="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C7C2F-1478-4A13-8446-41B228967A5A}">
  <dimension ref="A1:P193"/>
  <sheetViews>
    <sheetView tabSelected="1" zoomScale="85" zoomScaleNormal="85" workbookViewId="0">
      <selection activeCell="A7" sqref="A7:F7"/>
    </sheetView>
  </sheetViews>
  <sheetFormatPr defaultColWidth="9.140625" defaultRowHeight="15" x14ac:dyDescent="0.25"/>
  <cols>
    <col min="1" max="1" width="4.7109375" style="13" customWidth="1"/>
    <col min="2" max="2" width="30.85546875" customWidth="1"/>
    <col min="3" max="3" width="6.28515625" bestFit="1" customWidth="1"/>
    <col min="4" max="4" width="8.42578125" customWidth="1"/>
    <col min="5" max="5" width="8.5703125" customWidth="1"/>
    <col min="6" max="6" width="7.28515625" customWidth="1"/>
    <col min="8" max="8" width="5" bestFit="1" customWidth="1"/>
    <col min="9" max="9" width="9.5703125" customWidth="1"/>
    <col min="10" max="10" width="11.85546875" bestFit="1" customWidth="1"/>
  </cols>
  <sheetData>
    <row r="1" spans="1:16" x14ac:dyDescent="0.25">
      <c r="A1" s="55" t="s">
        <v>0</v>
      </c>
      <c r="B1" s="55"/>
      <c r="C1" s="55"/>
      <c r="D1" s="55"/>
      <c r="E1" s="55"/>
      <c r="F1" s="55"/>
      <c r="G1" s="55"/>
      <c r="H1" s="55"/>
      <c r="I1" s="55"/>
      <c r="J1" s="55"/>
      <c r="K1" s="55"/>
    </row>
    <row r="2" spans="1:16" ht="22.5" x14ac:dyDescent="0.25">
      <c r="A2" s="56" t="s">
        <v>1</v>
      </c>
      <c r="B2" s="56"/>
      <c r="C2" s="56"/>
      <c r="D2" s="56"/>
      <c r="E2" s="56"/>
      <c r="F2" s="56"/>
      <c r="G2" s="56"/>
      <c r="H2" s="56"/>
      <c r="I2" s="56"/>
      <c r="J2" s="56"/>
      <c r="K2" s="56"/>
    </row>
    <row r="3" spans="1:16" x14ac:dyDescent="0.25">
      <c r="A3" s="57" t="s">
        <v>2</v>
      </c>
      <c r="B3" s="57"/>
      <c r="C3" s="57"/>
      <c r="D3" s="57"/>
      <c r="E3" s="57"/>
      <c r="F3" s="57"/>
      <c r="G3" s="57"/>
      <c r="H3" s="57"/>
      <c r="I3" s="57"/>
      <c r="J3" s="57"/>
      <c r="K3" s="57"/>
    </row>
    <row r="4" spans="1:16" x14ac:dyDescent="0.25">
      <c r="A4" s="57" t="s">
        <v>3</v>
      </c>
      <c r="B4" s="57"/>
      <c r="C4" s="57"/>
      <c r="D4" s="57"/>
      <c r="E4" s="57"/>
      <c r="F4" s="57"/>
      <c r="G4" s="57"/>
      <c r="H4" s="57"/>
      <c r="I4" s="57"/>
      <c r="J4" s="57"/>
      <c r="K4" s="57"/>
    </row>
    <row r="5" spans="1:16" ht="18.75" x14ac:dyDescent="0.3">
      <c r="A5" s="58" t="s">
        <v>4</v>
      </c>
      <c r="B5" s="58"/>
      <c r="C5" s="58"/>
      <c r="D5" s="58"/>
      <c r="E5" s="58"/>
      <c r="F5" s="58"/>
      <c r="G5" s="58"/>
      <c r="H5" s="58"/>
      <c r="I5" s="58"/>
      <c r="J5" s="58"/>
      <c r="K5" s="58"/>
    </row>
    <row r="6" spans="1:16" ht="15.75" x14ac:dyDescent="0.25">
      <c r="A6" s="53" t="s">
        <v>69</v>
      </c>
      <c r="B6" s="53"/>
      <c r="C6" s="53"/>
      <c r="D6" s="53"/>
      <c r="E6" s="53"/>
      <c r="F6" s="53"/>
      <c r="G6" s="4"/>
      <c r="H6" s="54" t="s">
        <v>21</v>
      </c>
      <c r="I6" s="54"/>
      <c r="J6" s="54"/>
      <c r="K6" s="54"/>
    </row>
    <row r="7" spans="1:16" ht="15.75" x14ac:dyDescent="0.25">
      <c r="A7" s="47" t="s">
        <v>24</v>
      </c>
      <c r="B7" s="47"/>
      <c r="C7" s="47"/>
      <c r="D7" s="47"/>
      <c r="E7" s="47"/>
      <c r="F7" s="47"/>
      <c r="G7" s="5"/>
      <c r="H7" s="48" t="s">
        <v>30</v>
      </c>
      <c r="I7" s="48"/>
      <c r="J7" s="48"/>
      <c r="K7" s="48"/>
    </row>
    <row r="8" spans="1:16" s="10" customFormat="1" ht="15.75" x14ac:dyDescent="0.25">
      <c r="A8" s="40" t="s">
        <v>5</v>
      </c>
      <c r="B8" s="7" t="s">
        <v>6</v>
      </c>
      <c r="C8" s="6" t="s">
        <v>7</v>
      </c>
      <c r="D8" s="8" t="s">
        <v>8</v>
      </c>
      <c r="E8" s="8" t="s">
        <v>9</v>
      </c>
      <c r="F8" s="8" t="s">
        <v>10</v>
      </c>
      <c r="G8" s="8" t="s">
        <v>11</v>
      </c>
      <c r="H8" s="6" t="s">
        <v>12</v>
      </c>
      <c r="I8" s="8" t="s">
        <v>13</v>
      </c>
      <c r="J8" s="8" t="s">
        <v>14</v>
      </c>
      <c r="K8" s="9" t="s">
        <v>15</v>
      </c>
    </row>
    <row r="9" spans="1:16" s="10" customFormat="1" ht="30" x14ac:dyDescent="0.25">
      <c r="A9" s="16">
        <v>1</v>
      </c>
      <c r="B9" s="26" t="s">
        <v>62</v>
      </c>
      <c r="C9" s="18"/>
      <c r="D9" s="1"/>
      <c r="E9" s="19"/>
      <c r="F9" s="19"/>
      <c r="G9" s="20"/>
      <c r="H9" s="20"/>
      <c r="I9" s="2"/>
      <c r="J9" s="20"/>
      <c r="K9" s="19"/>
    </row>
    <row r="10" spans="1:16" x14ac:dyDescent="0.25">
      <c r="A10" s="12"/>
      <c r="B10" s="15" t="s">
        <v>63</v>
      </c>
      <c r="C10" s="3">
        <v>1</v>
      </c>
      <c r="D10" s="3">
        <f>26/3.281</f>
        <v>7.9244132886315146</v>
      </c>
      <c r="E10" s="3">
        <f>40.25/3.281</f>
        <v>12.267601341054556</v>
      </c>
      <c r="F10" s="3">
        <v>0.15</v>
      </c>
      <c r="G10" s="3">
        <f>PRODUCT(C10:F10)</f>
        <v>14.582031463002977</v>
      </c>
      <c r="H10" s="14"/>
      <c r="I10" s="14"/>
      <c r="J10" s="14"/>
      <c r="K10" s="14"/>
    </row>
    <row r="11" spans="1:16" x14ac:dyDescent="0.25">
      <c r="A11" s="12"/>
      <c r="B11" s="15" t="s">
        <v>64</v>
      </c>
      <c r="C11" s="3">
        <v>-1</v>
      </c>
      <c r="D11" s="3">
        <f>(28.75+6.42+2.853+32.583+5.583+0.75+11.833+20.917+20.917)/3.281</f>
        <v>39.806766229807984</v>
      </c>
      <c r="E11" s="3">
        <f>0.25/3.281</f>
        <v>7.6196281621456863E-2</v>
      </c>
      <c r="F11" s="3">
        <v>0.15</v>
      </c>
      <c r="G11" s="3">
        <f>PRODUCT(C11:F11)</f>
        <v>-0.45496913551289214</v>
      </c>
      <c r="H11" s="14"/>
      <c r="I11" s="14"/>
      <c r="J11" s="14"/>
      <c r="K11" s="14"/>
    </row>
    <row r="12" spans="1:16" s="10" customFormat="1" ht="15" customHeight="1" x14ac:dyDescent="0.25">
      <c r="A12" s="16"/>
      <c r="B12" s="17" t="s">
        <v>16</v>
      </c>
      <c r="C12" s="18"/>
      <c r="D12" s="1"/>
      <c r="E12" s="19"/>
      <c r="F12" s="19"/>
      <c r="G12" s="2">
        <f>SUM(G10:G11)</f>
        <v>14.127062327490085</v>
      </c>
      <c r="H12" s="20" t="s">
        <v>23</v>
      </c>
      <c r="I12" s="2">
        <f>1.15*674.12</f>
        <v>775.23799999999994</v>
      </c>
      <c r="J12" s="21">
        <f>G12*I12</f>
        <v>10951.835544638758</v>
      </c>
      <c r="K12" s="19"/>
    </row>
    <row r="13" spans="1:16" s="10" customFormat="1" x14ac:dyDescent="0.25">
      <c r="A13" s="22"/>
      <c r="B13" s="23"/>
      <c r="C13" s="24"/>
      <c r="D13" s="3"/>
      <c r="E13" s="3"/>
      <c r="F13" s="25"/>
      <c r="G13" s="25"/>
      <c r="H13" s="24"/>
      <c r="I13" s="24"/>
      <c r="J13" s="21"/>
      <c r="K13" s="24"/>
    </row>
    <row r="14" spans="1:16" s="10" customFormat="1" ht="30" x14ac:dyDescent="0.25">
      <c r="A14" s="16">
        <v>2</v>
      </c>
      <c r="B14" s="26" t="s">
        <v>65</v>
      </c>
      <c r="C14" s="18"/>
      <c r="D14" s="1"/>
      <c r="E14" s="19"/>
      <c r="F14" s="19"/>
      <c r="G14" s="20"/>
      <c r="H14" s="20"/>
      <c r="I14" s="2"/>
      <c r="J14" s="20"/>
      <c r="K14" s="19"/>
    </row>
    <row r="15" spans="1:16" x14ac:dyDescent="0.25">
      <c r="A15" s="12"/>
      <c r="B15" s="15" t="s">
        <v>63</v>
      </c>
      <c r="C15" s="3">
        <v>1</v>
      </c>
      <c r="D15" s="3">
        <f>26/3.281</f>
        <v>7.9244132886315146</v>
      </c>
      <c r="E15" s="3">
        <f>40.25/3.281</f>
        <v>12.267601341054556</v>
      </c>
      <c r="F15" s="3">
        <v>0.15</v>
      </c>
      <c r="G15" s="3">
        <f>PRODUCT(C15:F15)</f>
        <v>14.582031463002977</v>
      </c>
      <c r="H15" s="14"/>
      <c r="I15" s="14"/>
      <c r="J15" s="14"/>
      <c r="K15" s="14"/>
    </row>
    <row r="16" spans="1:16" x14ac:dyDescent="0.25">
      <c r="A16" s="12"/>
      <c r="B16" s="15" t="s">
        <v>64</v>
      </c>
      <c r="C16" s="3">
        <v>-1</v>
      </c>
      <c r="D16" s="3">
        <f>(28.75+6.42+2.853+32.583+5.583+0.75+11.833+20.917+20.917)/3.281</f>
        <v>39.806766229807984</v>
      </c>
      <c r="E16" s="3">
        <f>0.25/3.281</f>
        <v>7.6196281621456863E-2</v>
      </c>
      <c r="F16" s="3">
        <v>0.15</v>
      </c>
      <c r="G16" s="3">
        <f>PRODUCT(C16:F16)</f>
        <v>-0.45496913551289214</v>
      </c>
      <c r="H16" s="14"/>
      <c r="I16" s="14"/>
      <c r="J16" s="14"/>
      <c r="K16" s="14"/>
      <c r="P16" s="2"/>
    </row>
    <row r="17" spans="1:15" s="10" customFormat="1" ht="15" customHeight="1" x14ac:dyDescent="0.25">
      <c r="A17" s="16"/>
      <c r="B17" s="17" t="s">
        <v>16</v>
      </c>
      <c r="C17" s="18"/>
      <c r="D17" s="1"/>
      <c r="E17" s="19"/>
      <c r="F17" s="19"/>
      <c r="G17" s="2">
        <f>SUM(G15:G16)</f>
        <v>14.127062327490085</v>
      </c>
      <c r="H17" s="20" t="s">
        <v>23</v>
      </c>
      <c r="I17" s="2">
        <f>1.15*4495.64</f>
        <v>5169.9859999999999</v>
      </c>
      <c r="J17" s="21">
        <f>G17*I17</f>
        <v>73036.714454251152</v>
      </c>
      <c r="K17" s="19"/>
      <c r="O17"/>
    </row>
    <row r="18" spans="1:15" s="10" customFormat="1" x14ac:dyDescent="0.25">
      <c r="A18" s="22"/>
      <c r="B18" s="23"/>
      <c r="C18" s="24"/>
      <c r="D18" s="3"/>
      <c r="E18" s="3"/>
      <c r="F18" s="25"/>
      <c r="G18" s="25"/>
      <c r="H18" s="24"/>
      <c r="I18" s="24"/>
      <c r="J18" s="21"/>
      <c r="K18" s="24"/>
    </row>
    <row r="19" spans="1:15" ht="45" x14ac:dyDescent="0.25">
      <c r="A19" s="12">
        <v>3</v>
      </c>
      <c r="B19" s="26" t="s">
        <v>66</v>
      </c>
      <c r="C19" s="42"/>
      <c r="D19" s="42"/>
      <c r="E19" s="42"/>
      <c r="F19" s="42"/>
      <c r="G19" s="14"/>
      <c r="H19" s="14"/>
      <c r="I19" s="14"/>
      <c r="J19" s="14"/>
      <c r="K19" s="14"/>
    </row>
    <row r="20" spans="1:15" x14ac:dyDescent="0.25">
      <c r="A20" s="12"/>
      <c r="B20" s="15" t="s">
        <v>63</v>
      </c>
      <c r="C20" s="3">
        <v>1</v>
      </c>
      <c r="D20" s="3">
        <f>26/3.281</f>
        <v>7.9244132886315146</v>
      </c>
      <c r="E20" s="3">
        <f>40.25/3.281</f>
        <v>12.267601341054556</v>
      </c>
      <c r="F20" s="3">
        <v>7.4999999999999997E-2</v>
      </c>
      <c r="G20" s="3">
        <f>PRODUCT(C20:F20)</f>
        <v>7.2910157315014885</v>
      </c>
      <c r="H20" s="14"/>
      <c r="I20" s="14"/>
      <c r="J20" s="14"/>
      <c r="K20" s="14"/>
    </row>
    <row r="21" spans="1:15" x14ac:dyDescent="0.25">
      <c r="A21" s="12"/>
      <c r="B21" s="15" t="s">
        <v>64</v>
      </c>
      <c r="C21" s="3">
        <v>-1</v>
      </c>
      <c r="D21" s="3">
        <f>(28.75+6.42+2.853+32.583+5.583+0.75+11.833+20.917+20.917)/3.281</f>
        <v>39.806766229807984</v>
      </c>
      <c r="E21" s="3">
        <f>0.25/3.281</f>
        <v>7.6196281621456863E-2</v>
      </c>
      <c r="F21" s="3">
        <v>7.4999999999999997E-2</v>
      </c>
      <c r="G21" s="3">
        <f>PRODUCT(C21:F21)</f>
        <v>-0.22748456775644607</v>
      </c>
      <c r="H21" s="14"/>
      <c r="I21" s="14"/>
      <c r="J21" s="14"/>
      <c r="K21" s="14"/>
    </row>
    <row r="22" spans="1:15" s="10" customFormat="1" ht="15" customHeight="1" x14ac:dyDescent="0.25">
      <c r="A22" s="16"/>
      <c r="B22" s="17" t="s">
        <v>16</v>
      </c>
      <c r="C22" s="18"/>
      <c r="D22" s="1"/>
      <c r="E22" s="19"/>
      <c r="F22" s="19"/>
      <c r="G22" s="2">
        <f>SUM(G20:G21)</f>
        <v>7.0635311637450426</v>
      </c>
      <c r="H22" s="20" t="s">
        <v>23</v>
      </c>
      <c r="I22" s="2">
        <f>1.15*12884.61</f>
        <v>14817.3015</v>
      </c>
      <c r="J22" s="21">
        <f>G22*I22</f>
        <v>104662.47090785616</v>
      </c>
      <c r="K22" s="19"/>
    </row>
    <row r="23" spans="1:15" s="10" customFormat="1" x14ac:dyDescent="0.25">
      <c r="A23" s="22"/>
      <c r="B23" s="23"/>
      <c r="C23" s="24"/>
      <c r="D23" s="25"/>
      <c r="E23" s="25"/>
      <c r="F23" s="25"/>
      <c r="G23" s="25"/>
      <c r="H23" s="24"/>
      <c r="I23" s="24"/>
      <c r="J23" s="21"/>
      <c r="K23" s="24"/>
    </row>
    <row r="24" spans="1:15" ht="30" x14ac:dyDescent="0.25">
      <c r="A24" s="12">
        <v>4</v>
      </c>
      <c r="B24" s="26" t="s">
        <v>67</v>
      </c>
      <c r="C24" s="42"/>
      <c r="D24" s="42"/>
      <c r="E24" s="42"/>
      <c r="F24" s="42"/>
      <c r="G24" s="14"/>
      <c r="H24" s="14"/>
      <c r="I24" s="14"/>
      <c r="J24" s="14"/>
      <c r="K24" s="14"/>
    </row>
    <row r="25" spans="1:15" x14ac:dyDescent="0.25">
      <c r="A25" s="12"/>
      <c r="B25" s="15" t="s">
        <v>63</v>
      </c>
      <c r="C25" s="3">
        <v>1</v>
      </c>
      <c r="D25" s="3">
        <f>26/3.281</f>
        <v>7.9244132886315146</v>
      </c>
      <c r="E25" s="3">
        <f>40.25/3.281</f>
        <v>12.267601341054556</v>
      </c>
      <c r="F25" s="3"/>
      <c r="G25" s="3">
        <f>PRODUCT(C25:F25)</f>
        <v>97.213543086686514</v>
      </c>
      <c r="H25" s="14"/>
      <c r="I25" s="14"/>
      <c r="J25" s="14"/>
      <c r="K25" s="14"/>
    </row>
    <row r="26" spans="1:15" x14ac:dyDescent="0.25">
      <c r="A26" s="12"/>
      <c r="B26" s="15" t="s">
        <v>64</v>
      </c>
      <c r="C26" s="3">
        <v>-1</v>
      </c>
      <c r="D26" s="3">
        <f>(28.75+6.42+2.853+32.583+5.583+0.75+11.833+20.917+20.917)/3.281</f>
        <v>39.806766229807984</v>
      </c>
      <c r="E26" s="3">
        <f>0.25/3.281</f>
        <v>7.6196281621456863E-2</v>
      </c>
      <c r="F26" s="3"/>
      <c r="G26" s="3">
        <f>PRODUCT(C26:F26)</f>
        <v>-3.0331275700859477</v>
      </c>
      <c r="H26" s="14"/>
      <c r="I26" s="14"/>
      <c r="J26" s="14"/>
      <c r="K26" s="14"/>
    </row>
    <row r="27" spans="1:15" s="10" customFormat="1" ht="15" customHeight="1" x14ac:dyDescent="0.25">
      <c r="A27" s="16"/>
      <c r="B27" s="17" t="s">
        <v>16</v>
      </c>
      <c r="C27" s="18"/>
      <c r="D27" s="1"/>
      <c r="E27" s="19"/>
      <c r="F27" s="19"/>
      <c r="G27" s="2">
        <f>SUM(G25:G26)</f>
        <v>94.180415516600561</v>
      </c>
      <c r="H27" s="20" t="s">
        <v>26</v>
      </c>
      <c r="I27" s="2">
        <f>1.15*689.98</f>
        <v>793.47699999999998</v>
      </c>
      <c r="J27" s="21">
        <f>G27*I27</f>
        <v>74729.993562865668</v>
      </c>
      <c r="K27" s="19"/>
    </row>
    <row r="28" spans="1:15" s="10" customFormat="1" x14ac:dyDescent="0.25">
      <c r="A28" s="22"/>
      <c r="B28" s="23"/>
      <c r="C28" s="24"/>
      <c r="D28" s="25"/>
      <c r="E28" s="25"/>
      <c r="F28" s="25"/>
      <c r="G28" s="25"/>
      <c r="H28" s="24"/>
      <c r="I28" s="24"/>
      <c r="J28" s="21"/>
      <c r="K28" s="24"/>
    </row>
    <row r="29" spans="1:15" ht="30" x14ac:dyDescent="0.25">
      <c r="A29" s="12">
        <v>5</v>
      </c>
      <c r="B29" s="26" t="s">
        <v>68</v>
      </c>
      <c r="C29" s="42"/>
      <c r="D29" s="42"/>
      <c r="E29" s="42"/>
      <c r="F29" s="42"/>
      <c r="G29" s="14"/>
      <c r="H29" s="14"/>
      <c r="I29" s="14"/>
      <c r="J29" s="14"/>
      <c r="K29" s="14"/>
    </row>
    <row r="30" spans="1:15" x14ac:dyDescent="0.25">
      <c r="A30" s="12"/>
      <c r="B30" s="15" t="s">
        <v>63</v>
      </c>
      <c r="C30" s="3">
        <v>1</v>
      </c>
      <c r="D30" s="3">
        <f>26/3.281</f>
        <v>7.9244132886315146</v>
      </c>
      <c r="E30" s="3">
        <f>40.25/3.281</f>
        <v>12.267601341054556</v>
      </c>
      <c r="F30" s="3"/>
      <c r="G30" s="3">
        <f>PRODUCT(C30:F30)</f>
        <v>97.213543086686514</v>
      </c>
      <c r="H30" s="14"/>
      <c r="I30" s="14"/>
      <c r="J30" s="14"/>
      <c r="K30" s="14"/>
    </row>
    <row r="31" spans="1:15" x14ac:dyDescent="0.25">
      <c r="A31" s="12"/>
      <c r="B31" s="15" t="s">
        <v>64</v>
      </c>
      <c r="C31" s="3">
        <v>-1</v>
      </c>
      <c r="D31" s="3">
        <f>(28.75+6.42+2.853+32.583+5.583+0.75+11.833+20.917+20.917)/3.281</f>
        <v>39.806766229807984</v>
      </c>
      <c r="E31" s="3">
        <f>0.25/3.281</f>
        <v>7.6196281621456863E-2</v>
      </c>
      <c r="F31" s="3"/>
      <c r="G31" s="3">
        <f>PRODUCT(C31:F31)</f>
        <v>-3.0331275700859477</v>
      </c>
      <c r="H31" s="14"/>
      <c r="I31" s="14"/>
      <c r="J31" s="14"/>
      <c r="K31" s="14"/>
    </row>
    <row r="32" spans="1:15" s="10" customFormat="1" ht="15" customHeight="1" x14ac:dyDescent="0.25">
      <c r="A32" s="16"/>
      <c r="B32" s="17" t="s">
        <v>16</v>
      </c>
      <c r="C32" s="18"/>
      <c r="D32" s="1"/>
      <c r="E32" s="19"/>
      <c r="F32" s="19"/>
      <c r="G32" s="2">
        <f>SUM(G30:G31)</f>
        <v>94.180415516600561</v>
      </c>
      <c r="H32" s="20" t="s">
        <v>26</v>
      </c>
      <c r="I32" s="2">
        <f>1.15*287.32</f>
        <v>330.41799999999995</v>
      </c>
      <c r="J32" s="21">
        <f>G32*I32</f>
        <v>31118.904534164121</v>
      </c>
      <c r="K32" s="19"/>
    </row>
    <row r="33" spans="1:14" s="10" customFormat="1" x14ac:dyDescent="0.25">
      <c r="A33" s="22"/>
      <c r="B33" s="23"/>
      <c r="C33" s="24"/>
      <c r="D33" s="25"/>
      <c r="E33" s="25"/>
      <c r="F33" s="25"/>
      <c r="G33" s="25"/>
      <c r="H33" s="24"/>
      <c r="I33" s="24"/>
      <c r="J33" s="21"/>
      <c r="K33" s="24"/>
    </row>
    <row r="34" spans="1:14" ht="30" x14ac:dyDescent="0.25">
      <c r="A34" s="12">
        <v>6</v>
      </c>
      <c r="B34" s="26" t="s">
        <v>54</v>
      </c>
      <c r="C34" s="42"/>
      <c r="D34" s="42"/>
      <c r="E34" s="42"/>
      <c r="F34" s="42"/>
      <c r="G34" s="14"/>
      <c r="H34" s="14"/>
      <c r="I34" s="14"/>
      <c r="J34" s="14"/>
      <c r="K34" s="14"/>
    </row>
    <row r="35" spans="1:14" x14ac:dyDescent="0.25">
      <c r="A35" s="12"/>
      <c r="B35" s="15" t="s">
        <v>55</v>
      </c>
      <c r="C35" s="3">
        <v>9</v>
      </c>
      <c r="D35" s="3">
        <v>0.23</v>
      </c>
      <c r="E35" s="3">
        <v>0.23</v>
      </c>
      <c r="F35" s="3">
        <f>(9-7.25)/3.281</f>
        <v>0.53337397135019804</v>
      </c>
      <c r="G35" s="3">
        <f>PRODUCT(C35:F35)</f>
        <v>0.25393934775982935</v>
      </c>
      <c r="H35" s="14"/>
      <c r="I35" s="14"/>
      <c r="J35" s="14"/>
      <c r="K35" s="14"/>
    </row>
    <row r="36" spans="1:14" s="10" customFormat="1" ht="15" customHeight="1" x14ac:dyDescent="0.25">
      <c r="A36" s="16"/>
      <c r="B36" s="17" t="s">
        <v>16</v>
      </c>
      <c r="C36" s="18"/>
      <c r="D36" s="1"/>
      <c r="E36" s="19"/>
      <c r="F36" s="19"/>
      <c r="G36" s="2">
        <f>SUM(G35)</f>
        <v>0.25393934775982935</v>
      </c>
      <c r="H36" s="20" t="s">
        <v>23</v>
      </c>
      <c r="I36" s="2">
        <f>1.15*13957.29</f>
        <v>16050.8835</v>
      </c>
      <c r="J36" s="21">
        <f>G36*I36</f>
        <v>4075.9508869590068</v>
      </c>
      <c r="K36" s="19"/>
    </row>
    <row r="37" spans="1:14" s="10" customFormat="1" x14ac:dyDescent="0.25">
      <c r="A37" s="22"/>
      <c r="B37" s="23"/>
      <c r="C37" s="24"/>
      <c r="D37" s="25"/>
      <c r="E37" s="25"/>
      <c r="F37" s="25"/>
      <c r="G37" s="25"/>
      <c r="H37" s="24"/>
      <c r="I37" s="24"/>
      <c r="J37" s="21"/>
      <c r="K37" s="24"/>
    </row>
    <row r="38" spans="1:14" s="10" customFormat="1" ht="30" x14ac:dyDescent="0.25">
      <c r="A38" s="16">
        <v>7</v>
      </c>
      <c r="B38" s="26" t="s">
        <v>56</v>
      </c>
      <c r="C38" s="18"/>
      <c r="D38" s="1"/>
      <c r="E38" s="19"/>
      <c r="F38" s="19"/>
      <c r="G38" s="20"/>
      <c r="H38" s="20"/>
      <c r="I38" s="2"/>
      <c r="J38" s="20"/>
      <c r="K38" s="19"/>
    </row>
    <row r="39" spans="1:14" x14ac:dyDescent="0.25">
      <c r="A39" s="12"/>
      <c r="B39" s="15" t="s">
        <v>38</v>
      </c>
      <c r="C39" s="3">
        <v>9</v>
      </c>
      <c r="D39" s="3">
        <f>0.23*2</f>
        <v>0.46</v>
      </c>
      <c r="E39" s="3"/>
      <c r="F39" s="3">
        <f>(9-7.25)/3.281</f>
        <v>0.53337397135019804</v>
      </c>
      <c r="G39" s="3">
        <f>PRODUCT(C39:F39)</f>
        <v>2.2081682413898203</v>
      </c>
      <c r="H39" s="14"/>
      <c r="I39" s="14"/>
      <c r="J39" s="14"/>
      <c r="K39" s="14"/>
    </row>
    <row r="40" spans="1:14" s="10" customFormat="1" ht="15" customHeight="1" x14ac:dyDescent="0.25">
      <c r="A40" s="16"/>
      <c r="B40" s="17" t="s">
        <v>16</v>
      </c>
      <c r="C40" s="18"/>
      <c r="D40" s="1"/>
      <c r="E40" s="19"/>
      <c r="F40" s="19"/>
      <c r="G40" s="2">
        <f>SUM(G39)</f>
        <v>2.2081682413898203</v>
      </c>
      <c r="H40" s="20" t="s">
        <v>26</v>
      </c>
      <c r="I40" s="2">
        <f>1.15*922.71</f>
        <v>1061.1164999999999</v>
      </c>
      <c r="J40" s="21">
        <f>G40*I40</f>
        <v>2343.123755714721</v>
      </c>
      <c r="K40" s="19"/>
    </row>
    <row r="41" spans="1:14" s="10" customFormat="1" x14ac:dyDescent="0.25">
      <c r="A41" s="22"/>
      <c r="B41" s="23"/>
      <c r="C41" s="24"/>
      <c r="D41" s="25"/>
      <c r="E41" s="25"/>
      <c r="F41" s="25"/>
      <c r="G41" s="25"/>
      <c r="H41" s="24"/>
      <c r="I41" s="24"/>
      <c r="J41" s="21"/>
      <c r="K41" s="24"/>
    </row>
    <row r="42" spans="1:14" ht="30" x14ac:dyDescent="0.25">
      <c r="A42" s="11">
        <v>8</v>
      </c>
      <c r="B42" s="26" t="s">
        <v>28</v>
      </c>
      <c r="C42" s="14"/>
      <c r="D42" s="14"/>
      <c r="E42" s="14"/>
      <c r="F42" s="14"/>
      <c r="G42" s="14"/>
      <c r="H42" s="14"/>
      <c r="I42" s="14"/>
      <c r="J42" s="14"/>
      <c r="K42" s="14"/>
    </row>
    <row r="43" spans="1:14" x14ac:dyDescent="0.25">
      <c r="A43" s="12"/>
      <c r="B43" s="15" t="s">
        <v>53</v>
      </c>
      <c r="C43" s="3">
        <v>1</v>
      </c>
      <c r="D43" s="3">
        <f>(20.33+21.25)/3.281</f>
        <v>12.672965559280707</v>
      </c>
      <c r="E43" s="3">
        <v>0.23</v>
      </c>
      <c r="F43" s="3">
        <f>(9-6.833)/3.281</f>
        <v>0.66046936909478804</v>
      </c>
      <c r="G43" s="3">
        <f>PRODUCT(C43:F43)</f>
        <v>1.9251242805245645</v>
      </c>
      <c r="H43" s="14"/>
      <c r="I43" s="14"/>
      <c r="J43" s="14"/>
      <c r="K43" s="14"/>
    </row>
    <row r="44" spans="1:14" x14ac:dyDescent="0.25">
      <c r="A44" s="12"/>
      <c r="B44" s="15"/>
      <c r="C44" s="3">
        <v>1</v>
      </c>
      <c r="D44" s="3">
        <f>(13.5+12.75)/3.281</f>
        <v>8.0006095702529709</v>
      </c>
      <c r="E44" s="3">
        <v>0.23</v>
      </c>
      <c r="F44" s="3">
        <f>(9-6.833)/3.281</f>
        <v>0.66046936909478804</v>
      </c>
      <c r="G44" s="3">
        <f>PRODUCT(C44:F44)</f>
        <v>1.2153562377049016</v>
      </c>
      <c r="H44" s="14"/>
      <c r="I44" s="14"/>
      <c r="J44" s="14"/>
      <c r="K44" s="14"/>
    </row>
    <row r="45" spans="1:14" x14ac:dyDescent="0.25">
      <c r="A45" s="12"/>
      <c r="B45" s="15"/>
      <c r="C45" s="3">
        <v>1</v>
      </c>
      <c r="D45" s="3">
        <f>(((7.833+6.75)/2)+2.583+1.42)/3.281</f>
        <v>3.4423956110941787</v>
      </c>
      <c r="E45" s="3">
        <v>0.23</v>
      </c>
      <c r="F45" s="3">
        <f>(9-6.833)/3.281</f>
        <v>0.66046936909478804</v>
      </c>
      <c r="G45" s="3">
        <f>PRODUCT(C45:F45)</f>
        <v>0.52292727720982912</v>
      </c>
      <c r="H45" s="14"/>
      <c r="I45" s="14"/>
      <c r="J45" s="14"/>
      <c r="K45" s="14"/>
      <c r="N45">
        <f>11.25/3.281</f>
        <v>3.4288326729655592</v>
      </c>
    </row>
    <row r="46" spans="1:14" x14ac:dyDescent="0.25">
      <c r="A46" s="12"/>
      <c r="B46" s="15"/>
      <c r="C46" s="3">
        <v>1</v>
      </c>
      <c r="D46" s="3">
        <f>(14.917+16.25)/3.281</f>
        <v>9.499238037183785</v>
      </c>
      <c r="E46" s="3">
        <v>0.23</v>
      </c>
      <c r="F46" s="3">
        <f t="shared" ref="F46:F47" si="0">(9-6.833)/3.281</f>
        <v>0.66046936909478804</v>
      </c>
      <c r="G46" s="3">
        <f t="shared" ref="G46:G47" si="1">PRODUCT(C46:F46)</f>
        <v>1.4430098232589972</v>
      </c>
      <c r="H46" s="14"/>
      <c r="I46" s="14"/>
      <c r="J46" s="14"/>
      <c r="K46" s="14"/>
    </row>
    <row r="47" spans="1:14" x14ac:dyDescent="0.25">
      <c r="A47" s="12"/>
      <c r="B47" s="15"/>
      <c r="C47" s="3">
        <v>1</v>
      </c>
      <c r="D47" s="3">
        <f>(5.75)/3.281</f>
        <v>1.752514477293508</v>
      </c>
      <c r="E47" s="3">
        <v>0.23</v>
      </c>
      <c r="F47" s="3">
        <f t="shared" si="0"/>
        <v>0.66046936909478804</v>
      </c>
      <c r="G47" s="3">
        <f t="shared" si="1"/>
        <v>0.26622089016393086</v>
      </c>
      <c r="H47" s="14"/>
      <c r="I47" s="14"/>
      <c r="J47" s="14"/>
      <c r="K47" s="14"/>
    </row>
    <row r="48" spans="1:14" s="10" customFormat="1" ht="15" customHeight="1" x14ac:dyDescent="0.25">
      <c r="A48" s="16"/>
      <c r="B48" s="17" t="s">
        <v>16</v>
      </c>
      <c r="C48" s="18"/>
      <c r="D48" s="1"/>
      <c r="E48" s="19"/>
      <c r="F48" s="19"/>
      <c r="G48" s="2">
        <f>SUM(G43:G47)</f>
        <v>5.3726385088622228</v>
      </c>
      <c r="H48" s="20" t="s">
        <v>23</v>
      </c>
      <c r="I48" s="2">
        <f>1.15*14491.84</f>
        <v>16665.615999999998</v>
      </c>
      <c r="J48" s="21">
        <f>G48*I48</f>
        <v>89538.330295510386</v>
      </c>
      <c r="K48" s="19"/>
    </row>
    <row r="49" spans="1:11" s="10" customFormat="1" x14ac:dyDescent="0.25">
      <c r="A49" s="22"/>
      <c r="B49" s="23"/>
      <c r="C49" s="24"/>
      <c r="D49" s="25"/>
      <c r="E49" s="25"/>
      <c r="F49" s="25"/>
      <c r="G49" s="25"/>
      <c r="H49" s="24"/>
      <c r="I49" s="24"/>
      <c r="J49" s="21"/>
      <c r="K49" s="24"/>
    </row>
    <row r="50" spans="1:11" ht="30" x14ac:dyDescent="0.25">
      <c r="A50" s="11">
        <v>9</v>
      </c>
      <c r="B50" s="26" t="s">
        <v>27</v>
      </c>
      <c r="C50" s="14"/>
      <c r="D50" s="14"/>
      <c r="E50" s="14"/>
      <c r="F50" s="14"/>
      <c r="G50" s="14"/>
      <c r="H50" s="14"/>
      <c r="I50" s="14"/>
      <c r="J50" s="14"/>
      <c r="K50" s="14"/>
    </row>
    <row r="51" spans="1:11" x14ac:dyDescent="0.25">
      <c r="A51" s="12"/>
      <c r="B51" s="15" t="s">
        <v>31</v>
      </c>
      <c r="C51" s="14">
        <v>1</v>
      </c>
      <c r="D51" s="3">
        <f>(7.25+0.75+35.33+7.833+30.25+22.25+0.75+20.25+0.75+0.75+0.75+0.75)/3.281</f>
        <v>38.909783602560189</v>
      </c>
      <c r="E51" s="14"/>
      <c r="F51" s="3">
        <f>9/3.281</f>
        <v>2.7430661383724475</v>
      </c>
      <c r="G51" s="3">
        <f t="shared" ref="G51:G52" si="2">PRODUCT(C51:F51)</f>
        <v>106.73210985158235</v>
      </c>
      <c r="H51" s="14"/>
      <c r="I51" s="14"/>
      <c r="J51" s="14"/>
      <c r="K51" s="14"/>
    </row>
    <row r="52" spans="1:11" x14ac:dyDescent="0.25">
      <c r="A52" s="12"/>
      <c r="B52" s="15" t="s">
        <v>32</v>
      </c>
      <c r="C52" s="14">
        <v>1</v>
      </c>
      <c r="D52" s="3">
        <f>(42.42+29.17+6.75+35.42+6.5)/3.281</f>
        <v>36.653459311185614</v>
      </c>
      <c r="E52" s="14"/>
      <c r="F52" s="3">
        <f>9/3.281</f>
        <v>2.7430661383724475</v>
      </c>
      <c r="G52" s="3">
        <f t="shared" si="2"/>
        <v>100.54286309072555</v>
      </c>
      <c r="H52" s="14"/>
      <c r="I52" s="14"/>
      <c r="J52" s="14"/>
      <c r="K52" s="14"/>
    </row>
    <row r="53" spans="1:11" s="10" customFormat="1" ht="15" customHeight="1" x14ac:dyDescent="0.25">
      <c r="A53" s="16"/>
      <c r="B53" s="17" t="s">
        <v>16</v>
      </c>
      <c r="C53" s="18"/>
      <c r="D53" s="1"/>
      <c r="E53" s="19"/>
      <c r="F53" s="19"/>
      <c r="G53" s="2">
        <f>SUM(G51:G52)</f>
        <v>207.2749729423079</v>
      </c>
      <c r="H53" s="20" t="s">
        <v>26</v>
      </c>
      <c r="I53" s="2">
        <f>1.15*415.5</f>
        <v>477.82499999999999</v>
      </c>
      <c r="J53" s="21">
        <f>G53*I53</f>
        <v>99041.163946158267</v>
      </c>
      <c r="K53" s="19"/>
    </row>
    <row r="54" spans="1:11" s="10" customFormat="1" x14ac:dyDescent="0.25">
      <c r="A54" s="22"/>
      <c r="B54" s="23"/>
      <c r="C54" s="24"/>
      <c r="D54" s="25"/>
      <c r="E54" s="25"/>
      <c r="F54" s="25"/>
      <c r="G54" s="25"/>
      <c r="H54" s="24"/>
      <c r="I54" s="24"/>
      <c r="J54" s="21"/>
      <c r="K54" s="24"/>
    </row>
    <row r="55" spans="1:11" ht="30" x14ac:dyDescent="0.25">
      <c r="A55" s="12">
        <v>10</v>
      </c>
      <c r="B55" s="26" t="s">
        <v>29</v>
      </c>
      <c r="C55" s="14"/>
      <c r="D55" s="14"/>
      <c r="E55" s="14"/>
      <c r="F55" s="14"/>
      <c r="G55" s="14"/>
      <c r="H55" s="14"/>
      <c r="I55" s="14"/>
      <c r="J55" s="14"/>
      <c r="K55" s="14"/>
    </row>
    <row r="56" spans="1:11" x14ac:dyDescent="0.25">
      <c r="A56" s="12"/>
      <c r="B56" s="15" t="s">
        <v>33</v>
      </c>
      <c r="C56" s="3">
        <v>1</v>
      </c>
      <c r="D56" s="3">
        <f>G53</f>
        <v>207.2749729423079</v>
      </c>
      <c r="E56" s="3"/>
      <c r="F56" s="3"/>
      <c r="G56" s="3">
        <f>PRODUCT(C56:F56)</f>
        <v>207.2749729423079</v>
      </c>
      <c r="H56" s="14"/>
      <c r="I56" s="14"/>
      <c r="J56" s="14"/>
      <c r="K56" s="14"/>
    </row>
    <row r="57" spans="1:11" s="10" customFormat="1" ht="15" customHeight="1" x14ac:dyDescent="0.25">
      <c r="A57" s="16"/>
      <c r="B57" s="17" t="s">
        <v>16</v>
      </c>
      <c r="C57" s="18"/>
      <c r="D57" s="1"/>
      <c r="E57" s="19"/>
      <c r="F57" s="19"/>
      <c r="G57" s="2">
        <f>SUM(G56:G56)</f>
        <v>207.2749729423079</v>
      </c>
      <c r="H57" s="20" t="s">
        <v>26</v>
      </c>
      <c r="I57" s="2">
        <f>1.15*253.8</f>
        <v>291.87</v>
      </c>
      <c r="J57" s="21">
        <f>G57*I57</f>
        <v>60497.346352671404</v>
      </c>
      <c r="K57" s="19"/>
    </row>
    <row r="58" spans="1:11" s="10" customFormat="1" x14ac:dyDescent="0.25">
      <c r="A58" s="22"/>
      <c r="B58" s="23"/>
      <c r="C58" s="24"/>
      <c r="D58" s="25"/>
      <c r="E58" s="25"/>
      <c r="F58" s="25"/>
      <c r="G58" s="25"/>
      <c r="H58" s="24"/>
      <c r="I58" s="24"/>
      <c r="J58" s="21"/>
      <c r="K58" s="24"/>
    </row>
    <row r="59" spans="1:11" ht="45" x14ac:dyDescent="0.25">
      <c r="A59" s="12">
        <v>11</v>
      </c>
      <c r="B59" s="26" t="s">
        <v>34</v>
      </c>
      <c r="C59" s="42" t="s">
        <v>7</v>
      </c>
      <c r="D59" s="42" t="s">
        <v>22</v>
      </c>
      <c r="E59" s="42" t="s">
        <v>35</v>
      </c>
      <c r="F59" s="42" t="s">
        <v>36</v>
      </c>
      <c r="G59" s="14"/>
      <c r="H59" s="14"/>
      <c r="I59" s="14"/>
      <c r="J59" s="14"/>
      <c r="K59" s="14"/>
    </row>
    <row r="60" spans="1:11" ht="30" x14ac:dyDescent="0.25">
      <c r="A60" s="12"/>
      <c r="B60" s="43" t="s">
        <v>45</v>
      </c>
      <c r="C60" s="3">
        <v>10</v>
      </c>
      <c r="D60" s="3">
        <f>9/3.281</f>
        <v>2.7430661383724475</v>
      </c>
      <c r="E60" s="3">
        <v>4.4000000000000004</v>
      </c>
      <c r="F60" s="3">
        <f>PRODUCT(C60:E60)</f>
        <v>120.6949100883877</v>
      </c>
      <c r="G60" s="3">
        <f>F60</f>
        <v>120.6949100883877</v>
      </c>
      <c r="H60" s="14"/>
      <c r="I60" s="14"/>
      <c r="J60" s="14"/>
      <c r="K60" s="14"/>
    </row>
    <row r="61" spans="1:11" x14ac:dyDescent="0.25">
      <c r="A61" s="12"/>
      <c r="B61" s="15" t="s">
        <v>43</v>
      </c>
      <c r="C61" s="3">
        <v>9</v>
      </c>
      <c r="D61" s="3">
        <f>(9-7.25)/3.281</f>
        <v>0.53337397135019804</v>
      </c>
      <c r="E61" s="3">
        <v>4.4000000000000004</v>
      </c>
      <c r="F61" s="3">
        <f>PRODUCT(C61:E61)</f>
        <v>21.121609265467843</v>
      </c>
      <c r="G61" s="3">
        <f>F61</f>
        <v>21.121609265467843</v>
      </c>
      <c r="H61" s="14"/>
      <c r="I61" s="14"/>
      <c r="J61" s="14"/>
      <c r="K61" s="14"/>
    </row>
    <row r="62" spans="1:11" x14ac:dyDescent="0.25">
      <c r="A62" s="12"/>
      <c r="B62" s="15" t="s">
        <v>42</v>
      </c>
      <c r="C62" s="3">
        <v>1</v>
      </c>
      <c r="D62" s="3">
        <f>19.083/3.281</f>
        <v>5.8162145687290456</v>
      </c>
      <c r="E62" s="3">
        <v>4.4000000000000004</v>
      </c>
      <c r="F62" s="3">
        <f>PRODUCT(C62:E62)</f>
        <v>25.591344102407803</v>
      </c>
      <c r="G62" s="3">
        <f>F62</f>
        <v>25.591344102407803</v>
      </c>
      <c r="H62" s="14"/>
      <c r="I62" s="14"/>
      <c r="J62" s="14"/>
      <c r="K62" s="14"/>
    </row>
    <row r="63" spans="1:11" x14ac:dyDescent="0.25">
      <c r="A63" s="12"/>
      <c r="B63" s="15"/>
      <c r="C63" s="3">
        <v>1</v>
      </c>
      <c r="D63" s="3">
        <f>22.25/3.281</f>
        <v>6.7814690643096611</v>
      </c>
      <c r="E63" s="3">
        <v>4.4000000000000004</v>
      </c>
      <c r="F63" s="3">
        <f t="shared" ref="F63:F68" si="3">PRODUCT(C63:E63)</f>
        <v>29.838463882962511</v>
      </c>
      <c r="G63" s="3">
        <f t="shared" ref="G63:G68" si="4">F63</f>
        <v>29.838463882962511</v>
      </c>
      <c r="H63" s="14"/>
      <c r="I63" s="14"/>
      <c r="J63" s="14"/>
      <c r="K63" s="14"/>
    </row>
    <row r="64" spans="1:11" x14ac:dyDescent="0.25">
      <c r="A64" s="12"/>
      <c r="B64" s="15"/>
      <c r="C64" s="3">
        <v>1</v>
      </c>
      <c r="D64" s="3">
        <f>26.33/3.281</f>
        <v>8.0249923803718364</v>
      </c>
      <c r="E64" s="3">
        <v>4.4000000000000004</v>
      </c>
      <c r="F64" s="3">
        <f t="shared" si="3"/>
        <v>35.309966473636081</v>
      </c>
      <c r="G64" s="3">
        <f t="shared" si="4"/>
        <v>35.309966473636081</v>
      </c>
      <c r="H64" s="14"/>
      <c r="I64" s="14"/>
      <c r="J64" s="14"/>
      <c r="K64" s="14"/>
    </row>
    <row r="65" spans="1:11" x14ac:dyDescent="0.25">
      <c r="A65" s="12"/>
      <c r="B65" s="15"/>
      <c r="C65" s="3">
        <v>1</v>
      </c>
      <c r="D65" s="3">
        <f>30.25/3.281</f>
        <v>9.2197500761962807</v>
      </c>
      <c r="E65" s="3">
        <v>4.4000000000000004</v>
      </c>
      <c r="F65" s="3">
        <f t="shared" si="3"/>
        <v>40.566900335263639</v>
      </c>
      <c r="G65" s="3">
        <f t="shared" si="4"/>
        <v>40.566900335263639</v>
      </c>
      <c r="H65" s="14"/>
      <c r="I65" s="14"/>
      <c r="J65" s="14"/>
      <c r="K65" s="14"/>
    </row>
    <row r="66" spans="1:11" x14ac:dyDescent="0.25">
      <c r="A66" s="12"/>
      <c r="B66" s="15"/>
      <c r="C66" s="3">
        <v>1</v>
      </c>
      <c r="D66" s="3">
        <f>34.75/3.281</f>
        <v>10.591283145382505</v>
      </c>
      <c r="E66" s="3">
        <v>4.4000000000000004</v>
      </c>
      <c r="F66" s="3">
        <f t="shared" si="3"/>
        <v>46.601645839683023</v>
      </c>
      <c r="G66" s="3">
        <f t="shared" si="4"/>
        <v>46.601645839683023</v>
      </c>
      <c r="H66" s="14"/>
      <c r="I66" s="14"/>
      <c r="J66" s="14"/>
      <c r="K66" s="14"/>
    </row>
    <row r="67" spans="1:11" x14ac:dyDescent="0.25">
      <c r="A67" s="12"/>
      <c r="B67" s="15"/>
      <c r="C67" s="3">
        <v>1</v>
      </c>
      <c r="D67" s="3">
        <f>44/3.281</f>
        <v>13.41054556537641</v>
      </c>
      <c r="E67" s="3">
        <v>4.4000000000000004</v>
      </c>
      <c r="F67" s="3">
        <f t="shared" si="3"/>
        <v>59.006400487656208</v>
      </c>
      <c r="G67" s="3">
        <f t="shared" si="4"/>
        <v>59.006400487656208</v>
      </c>
      <c r="H67" s="14"/>
      <c r="I67" s="14"/>
      <c r="J67" s="14"/>
      <c r="K67" s="14"/>
    </row>
    <row r="68" spans="1:11" x14ac:dyDescent="0.25">
      <c r="A68" s="12"/>
      <c r="B68" s="15"/>
      <c r="C68" s="3">
        <v>1</v>
      </c>
      <c r="D68" s="3">
        <f>41/3.281</f>
        <v>12.496190185918927</v>
      </c>
      <c r="E68" s="3">
        <v>4.4000000000000004</v>
      </c>
      <c r="F68" s="3">
        <f t="shared" si="3"/>
        <v>54.983236818043281</v>
      </c>
      <c r="G68" s="3">
        <f t="shared" si="4"/>
        <v>54.983236818043281</v>
      </c>
      <c r="H68" s="14"/>
      <c r="I68" s="14"/>
      <c r="J68" s="14"/>
      <c r="K68" s="14"/>
    </row>
    <row r="69" spans="1:11" ht="45" x14ac:dyDescent="0.25">
      <c r="A69" s="12"/>
      <c r="B69" s="43" t="s">
        <v>44</v>
      </c>
      <c r="C69" s="3">
        <v>1</v>
      </c>
      <c r="D69" s="3">
        <f>19.17/3.281</f>
        <v>5.8427308747333129</v>
      </c>
      <c r="E69" s="3">
        <v>3.01</v>
      </c>
      <c r="F69" s="3">
        <f>PRODUCT(C69:E69)</f>
        <v>17.586619932947272</v>
      </c>
      <c r="G69" s="3">
        <f>F69</f>
        <v>17.586619932947272</v>
      </c>
      <c r="H69" s="14"/>
      <c r="I69" s="14"/>
      <c r="J69" s="14"/>
      <c r="K69" s="14"/>
    </row>
    <row r="70" spans="1:11" x14ac:dyDescent="0.25">
      <c r="A70" s="12"/>
      <c r="B70" s="43"/>
      <c r="C70" s="3">
        <v>1</v>
      </c>
      <c r="D70" s="3">
        <f>22.42/3.281</f>
        <v>6.8332825358122529</v>
      </c>
      <c r="E70" s="3">
        <v>3.01</v>
      </c>
      <c r="F70" s="3">
        <f>PRODUCT(C70:E70)</f>
        <v>20.568180432794879</v>
      </c>
      <c r="G70" s="3">
        <f>F70</f>
        <v>20.568180432794879</v>
      </c>
      <c r="H70" s="14"/>
      <c r="I70" s="14"/>
      <c r="J70" s="14"/>
      <c r="K70" s="14"/>
    </row>
    <row r="71" spans="1:11" x14ac:dyDescent="0.25">
      <c r="A71" s="12"/>
      <c r="B71" s="15"/>
      <c r="C71" s="3">
        <v>1</v>
      </c>
      <c r="D71" s="3">
        <f>26.5/3.281</f>
        <v>8.076805851874429</v>
      </c>
      <c r="E71" s="3">
        <v>3.01</v>
      </c>
      <c r="F71" s="3">
        <f t="shared" ref="F71:F73" si="5">PRODUCT(C71:E71)</f>
        <v>24.31118561414203</v>
      </c>
      <c r="G71" s="3">
        <f t="shared" ref="G71:G73" si="6">F71</f>
        <v>24.31118561414203</v>
      </c>
      <c r="H71" s="14"/>
      <c r="I71" s="14"/>
      <c r="J71" s="14"/>
      <c r="K71" s="14"/>
    </row>
    <row r="72" spans="1:11" x14ac:dyDescent="0.25">
      <c r="A72" s="12"/>
      <c r="B72" s="15"/>
      <c r="C72" s="3">
        <v>1</v>
      </c>
      <c r="D72" s="3">
        <f>30.42/3.281</f>
        <v>9.2715635476988716</v>
      </c>
      <c r="E72" s="3">
        <v>3.01</v>
      </c>
      <c r="F72" s="3">
        <f t="shared" si="5"/>
        <v>27.907406278573603</v>
      </c>
      <c r="G72" s="3">
        <f t="shared" si="6"/>
        <v>27.907406278573603</v>
      </c>
      <c r="H72" s="14"/>
      <c r="I72" s="14"/>
      <c r="J72" s="14"/>
      <c r="K72" s="14"/>
    </row>
    <row r="73" spans="1:11" x14ac:dyDescent="0.25">
      <c r="A73" s="12"/>
      <c r="B73" s="15"/>
      <c r="C73" s="3">
        <v>1</v>
      </c>
      <c r="D73" s="3">
        <f>34.917/3.281</f>
        <v>10.642182261505639</v>
      </c>
      <c r="E73" s="3">
        <v>3.01</v>
      </c>
      <c r="F73" s="3">
        <f t="shared" si="5"/>
        <v>32.03296860713197</v>
      </c>
      <c r="G73" s="3">
        <f t="shared" si="6"/>
        <v>32.03296860713197</v>
      </c>
      <c r="H73" s="14"/>
      <c r="I73" s="14"/>
      <c r="J73" s="14"/>
      <c r="K73" s="14"/>
    </row>
    <row r="74" spans="1:11" ht="45" x14ac:dyDescent="0.25">
      <c r="A74" s="12"/>
      <c r="B74" s="43" t="s">
        <v>51</v>
      </c>
      <c r="C74" s="3"/>
      <c r="D74" s="3"/>
      <c r="E74" s="3"/>
      <c r="F74" s="3"/>
      <c r="G74" s="3"/>
      <c r="H74" s="14"/>
      <c r="I74" s="14"/>
      <c r="J74" s="14"/>
      <c r="K74" s="14"/>
    </row>
    <row r="75" spans="1:11" x14ac:dyDescent="0.25">
      <c r="A75" s="12"/>
      <c r="B75" s="43" t="s">
        <v>46</v>
      </c>
      <c r="C75" s="3">
        <v>1</v>
      </c>
      <c r="D75" s="3">
        <f>2/3.281</f>
        <v>0.6095702529716549</v>
      </c>
      <c r="E75" s="3">
        <v>2.2599999999999998</v>
      </c>
      <c r="F75" s="3">
        <f>PRODUCT(C75:E75)</f>
        <v>1.3776287717159399</v>
      </c>
      <c r="G75" s="3">
        <f>F75</f>
        <v>1.3776287717159399</v>
      </c>
      <c r="H75" s="14"/>
      <c r="I75" s="14"/>
      <c r="J75" s="14"/>
      <c r="K75" s="14"/>
    </row>
    <row r="76" spans="1:11" x14ac:dyDescent="0.25">
      <c r="A76" s="12"/>
      <c r="B76" s="43"/>
      <c r="C76" s="3">
        <v>1</v>
      </c>
      <c r="D76" s="3">
        <f>1.5/3.281</f>
        <v>0.45717768972874123</v>
      </c>
      <c r="E76" s="3">
        <v>2.2599999999999998</v>
      </c>
      <c r="F76" s="3">
        <f>PRODUCT(C76:E76)</f>
        <v>1.0332215787869552</v>
      </c>
      <c r="G76" s="3">
        <f>F76</f>
        <v>1.0332215787869552</v>
      </c>
      <c r="H76" s="14"/>
      <c r="I76" s="14"/>
      <c r="J76" s="14"/>
      <c r="K76" s="14"/>
    </row>
    <row r="77" spans="1:11" x14ac:dyDescent="0.25">
      <c r="A77" s="12"/>
      <c r="B77" s="15"/>
      <c r="C77" s="3">
        <v>1</v>
      </c>
      <c r="D77" s="3">
        <f>1.25/3.281</f>
        <v>0.38098140810728437</v>
      </c>
      <c r="E77" s="3">
        <v>2.2599999999999998</v>
      </c>
      <c r="F77" s="3">
        <f t="shared" ref="F77:F79" si="7">PRODUCT(C77:E77)</f>
        <v>0.86101798232246263</v>
      </c>
      <c r="G77" s="3">
        <f t="shared" ref="G77:G79" si="8">F77</f>
        <v>0.86101798232246263</v>
      </c>
      <c r="H77" s="14"/>
      <c r="I77" s="14"/>
      <c r="J77" s="14"/>
      <c r="K77" s="14"/>
    </row>
    <row r="78" spans="1:11" x14ac:dyDescent="0.25">
      <c r="A78" s="12"/>
      <c r="B78" s="15"/>
      <c r="C78" s="3">
        <v>1</v>
      </c>
      <c r="D78" s="3">
        <f>1/3.281</f>
        <v>0.30478512648582745</v>
      </c>
      <c r="E78" s="3">
        <v>2.2599999999999998</v>
      </c>
      <c r="F78" s="3">
        <f t="shared" si="7"/>
        <v>0.68881438585796995</v>
      </c>
      <c r="G78" s="3">
        <f t="shared" si="8"/>
        <v>0.68881438585796995</v>
      </c>
      <c r="H78" s="14"/>
      <c r="I78" s="14"/>
      <c r="J78" s="14"/>
      <c r="K78" s="14"/>
    </row>
    <row r="79" spans="1:11" x14ac:dyDescent="0.25">
      <c r="A79" s="12"/>
      <c r="B79" s="15"/>
      <c r="C79" s="3">
        <v>1</v>
      </c>
      <c r="D79" s="3">
        <f>0.75/3.281</f>
        <v>0.22858884486437062</v>
      </c>
      <c r="E79" s="3">
        <v>2.2599999999999998</v>
      </c>
      <c r="F79" s="3">
        <f t="shared" si="7"/>
        <v>0.5166107893934776</v>
      </c>
      <c r="G79" s="3">
        <f t="shared" si="8"/>
        <v>0.5166107893934776</v>
      </c>
      <c r="H79" s="14"/>
      <c r="I79" s="14"/>
      <c r="J79" s="14"/>
      <c r="K79" s="14"/>
    </row>
    <row r="80" spans="1:11" x14ac:dyDescent="0.25">
      <c r="A80" s="12"/>
      <c r="B80" s="15"/>
      <c r="C80" s="3">
        <v>1</v>
      </c>
      <c r="D80" s="3">
        <f>0.5/3.281</f>
        <v>0.15239256324291373</v>
      </c>
      <c r="E80" s="3">
        <v>2.2599999999999998</v>
      </c>
      <c r="F80" s="3">
        <f t="shared" ref="F80:F81" si="9">PRODUCT(C80:E80)</f>
        <v>0.34440719292898497</v>
      </c>
      <c r="G80" s="3">
        <f t="shared" ref="G80:G81" si="10">F80</f>
        <v>0.34440719292898497</v>
      </c>
      <c r="H80" s="14"/>
      <c r="I80" s="14"/>
      <c r="J80" s="14"/>
      <c r="K80" s="14"/>
    </row>
    <row r="81" spans="1:11" x14ac:dyDescent="0.25">
      <c r="A81" s="12"/>
      <c r="B81" s="15"/>
      <c r="C81" s="3">
        <v>1</v>
      </c>
      <c r="D81" s="3">
        <f>0.25/3.281</f>
        <v>7.6196281621456863E-2</v>
      </c>
      <c r="E81" s="3">
        <v>2.2599999999999998</v>
      </c>
      <c r="F81" s="3">
        <f t="shared" si="9"/>
        <v>0.17220359646449249</v>
      </c>
      <c r="G81" s="3">
        <f t="shared" si="10"/>
        <v>0.17220359646449249</v>
      </c>
      <c r="H81" s="14"/>
      <c r="I81" s="14"/>
      <c r="J81" s="14"/>
      <c r="K81" s="14"/>
    </row>
    <row r="82" spans="1:11" x14ac:dyDescent="0.25">
      <c r="A82" s="12"/>
      <c r="B82" s="43" t="s">
        <v>47</v>
      </c>
      <c r="C82" s="3">
        <v>1</v>
      </c>
      <c r="D82" s="3">
        <f>2.33/3.281</f>
        <v>0.71014934471197799</v>
      </c>
      <c r="E82" s="3">
        <v>2.2599999999999998</v>
      </c>
      <c r="F82" s="3">
        <f>PRODUCT(C82:E82)</f>
        <v>1.60493751904907</v>
      </c>
      <c r="G82" s="3">
        <f>F82</f>
        <v>1.60493751904907</v>
      </c>
      <c r="H82" s="14"/>
      <c r="I82" s="14"/>
      <c r="J82" s="14"/>
      <c r="K82" s="14"/>
    </row>
    <row r="83" spans="1:11" x14ac:dyDescent="0.25">
      <c r="A83" s="12"/>
      <c r="B83" s="43"/>
      <c r="C83" s="3">
        <v>1</v>
      </c>
      <c r="D83" s="3">
        <f>2/3.281</f>
        <v>0.6095702529716549</v>
      </c>
      <c r="E83" s="3">
        <v>2.2599999999999998</v>
      </c>
      <c r="F83" s="3">
        <f>PRODUCT(C83:E83)</f>
        <v>1.3776287717159399</v>
      </c>
      <c r="G83" s="3">
        <f>F83</f>
        <v>1.3776287717159399</v>
      </c>
      <c r="H83" s="14"/>
      <c r="I83" s="14"/>
      <c r="J83" s="14"/>
      <c r="K83" s="14"/>
    </row>
    <row r="84" spans="1:11" x14ac:dyDescent="0.25">
      <c r="A84" s="12"/>
      <c r="B84" s="15"/>
      <c r="C84" s="3">
        <v>1</v>
      </c>
      <c r="D84" s="3">
        <f>1.75/3.281</f>
        <v>0.53337397135019804</v>
      </c>
      <c r="E84" s="3">
        <v>2.2599999999999998</v>
      </c>
      <c r="F84" s="3">
        <f t="shared" ref="F84:F89" si="11">PRODUCT(C84:E84)</f>
        <v>1.2054251752514475</v>
      </c>
      <c r="G84" s="3">
        <f t="shared" ref="G84:G89" si="12">F84</f>
        <v>1.2054251752514475</v>
      </c>
      <c r="H84" s="14"/>
      <c r="I84" s="14"/>
      <c r="J84" s="14"/>
      <c r="K84" s="14"/>
    </row>
    <row r="85" spans="1:11" x14ac:dyDescent="0.25">
      <c r="A85" s="12"/>
      <c r="B85" s="15"/>
      <c r="C85" s="3">
        <v>1</v>
      </c>
      <c r="D85" s="3">
        <f>1.42/3.281</f>
        <v>0.43279487960987501</v>
      </c>
      <c r="E85" s="3">
        <v>2.2599999999999998</v>
      </c>
      <c r="F85" s="3">
        <f t="shared" si="11"/>
        <v>0.97811642791831743</v>
      </c>
      <c r="G85" s="3">
        <f t="shared" si="12"/>
        <v>0.97811642791831743</v>
      </c>
      <c r="H85" s="14"/>
      <c r="I85" s="14"/>
      <c r="J85" s="14"/>
      <c r="K85" s="14"/>
    </row>
    <row r="86" spans="1:11" x14ac:dyDescent="0.25">
      <c r="A86" s="12"/>
      <c r="B86" s="15"/>
      <c r="C86" s="3">
        <v>1</v>
      </c>
      <c r="D86" s="3">
        <f>1.17/3.281</f>
        <v>0.35659859798841814</v>
      </c>
      <c r="E86" s="3">
        <v>2.2599999999999998</v>
      </c>
      <c r="F86" s="3">
        <f t="shared" si="11"/>
        <v>0.80591283145382497</v>
      </c>
      <c r="G86" s="3">
        <f t="shared" si="12"/>
        <v>0.80591283145382497</v>
      </c>
      <c r="H86" s="14"/>
      <c r="I86" s="14"/>
      <c r="J86" s="14"/>
      <c r="K86" s="14"/>
    </row>
    <row r="87" spans="1:11" x14ac:dyDescent="0.25">
      <c r="A87" s="12"/>
      <c r="B87" s="15"/>
      <c r="C87" s="3">
        <v>1</v>
      </c>
      <c r="D87" s="3">
        <f>0.75/3.281</f>
        <v>0.22858884486437062</v>
      </c>
      <c r="E87" s="3">
        <v>2.2599999999999998</v>
      </c>
      <c r="F87" s="3">
        <f t="shared" si="11"/>
        <v>0.5166107893934776</v>
      </c>
      <c r="G87" s="3">
        <f t="shared" si="12"/>
        <v>0.5166107893934776</v>
      </c>
      <c r="H87" s="14"/>
      <c r="I87" s="14"/>
      <c r="J87" s="14"/>
      <c r="K87" s="14"/>
    </row>
    <row r="88" spans="1:11" x14ac:dyDescent="0.25">
      <c r="A88" s="12"/>
      <c r="B88" s="15"/>
      <c r="C88" s="3">
        <v>1</v>
      </c>
      <c r="D88" s="3">
        <f>0.5/3.281</f>
        <v>0.15239256324291373</v>
      </c>
      <c r="E88" s="3">
        <v>2.2599999999999998</v>
      </c>
      <c r="F88" s="3">
        <f t="shared" si="11"/>
        <v>0.34440719292898497</v>
      </c>
      <c r="G88" s="3">
        <f t="shared" si="12"/>
        <v>0.34440719292898497</v>
      </c>
      <c r="H88" s="14"/>
      <c r="I88" s="14"/>
      <c r="J88" s="14"/>
      <c r="K88" s="14"/>
    </row>
    <row r="89" spans="1:11" x14ac:dyDescent="0.25">
      <c r="A89" s="12"/>
      <c r="B89" s="15"/>
      <c r="C89" s="3">
        <v>1</v>
      </c>
      <c r="D89" s="3">
        <f>0.25/3.281</f>
        <v>7.6196281621456863E-2</v>
      </c>
      <c r="E89" s="3">
        <v>2.2599999999999998</v>
      </c>
      <c r="F89" s="3">
        <f t="shared" si="11"/>
        <v>0.17220359646449249</v>
      </c>
      <c r="G89" s="3">
        <f t="shared" si="12"/>
        <v>0.17220359646449249</v>
      </c>
      <c r="H89" s="14"/>
      <c r="I89" s="14"/>
      <c r="J89" s="14"/>
      <c r="K89" s="14"/>
    </row>
    <row r="90" spans="1:11" x14ac:dyDescent="0.25">
      <c r="A90" s="12"/>
      <c r="B90" s="44" t="s">
        <v>48</v>
      </c>
      <c r="C90" s="25">
        <v>1</v>
      </c>
      <c r="D90" s="25">
        <f>2.75/3.281</f>
        <v>0.8381590978360256</v>
      </c>
      <c r="E90" s="25">
        <v>2.2599999999999998</v>
      </c>
      <c r="F90" s="25">
        <f>PRODUCT(C90:E90)</f>
        <v>1.8942395611094176</v>
      </c>
      <c r="G90" s="25">
        <f>F90</f>
        <v>1.8942395611094176</v>
      </c>
      <c r="H90" s="14"/>
      <c r="I90" s="14"/>
      <c r="J90" s="14"/>
      <c r="K90" s="14"/>
    </row>
    <row r="91" spans="1:11" x14ac:dyDescent="0.25">
      <c r="A91" s="12"/>
      <c r="B91" s="43"/>
      <c r="C91" s="3">
        <v>1</v>
      </c>
      <c r="D91" s="3">
        <f>2.5/3.281</f>
        <v>0.76196281621456874</v>
      </c>
      <c r="E91" s="3">
        <v>2.2599999999999998</v>
      </c>
      <c r="F91" s="3">
        <f>PRODUCT(C91:E91)</f>
        <v>1.7220359646449253</v>
      </c>
      <c r="G91" s="3">
        <f>F91</f>
        <v>1.7220359646449253</v>
      </c>
      <c r="H91" s="14"/>
      <c r="I91" s="14"/>
      <c r="J91" s="14"/>
      <c r="K91" s="14"/>
    </row>
    <row r="92" spans="1:11" x14ac:dyDescent="0.25">
      <c r="A92" s="12"/>
      <c r="B92" s="15"/>
      <c r="C92" s="3">
        <v>1</v>
      </c>
      <c r="D92" s="3">
        <f>2.17/3.281</f>
        <v>0.66138372447424565</v>
      </c>
      <c r="E92" s="3">
        <v>2.2599999999999998</v>
      </c>
      <c r="F92" s="3">
        <f t="shared" ref="F92:F98" si="13">PRODUCT(C92:E92)</f>
        <v>1.4947272173117949</v>
      </c>
      <c r="G92" s="3">
        <f t="shared" ref="G92:G98" si="14">F92</f>
        <v>1.4947272173117949</v>
      </c>
      <c r="H92" s="14"/>
      <c r="I92" s="14"/>
      <c r="J92" s="14"/>
      <c r="K92" s="14"/>
    </row>
    <row r="93" spans="1:11" x14ac:dyDescent="0.25">
      <c r="A93" s="12"/>
      <c r="B93" s="15"/>
      <c r="C93" s="3">
        <v>1</v>
      </c>
      <c r="D93" s="3">
        <f>1.75/3.281</f>
        <v>0.53337397135019804</v>
      </c>
      <c r="E93" s="3">
        <v>2.2599999999999998</v>
      </c>
      <c r="F93" s="3">
        <f t="shared" si="13"/>
        <v>1.2054251752514475</v>
      </c>
      <c r="G93" s="3">
        <f t="shared" si="14"/>
        <v>1.2054251752514475</v>
      </c>
      <c r="H93" s="14"/>
      <c r="I93" s="14"/>
      <c r="J93" s="14"/>
      <c r="K93" s="14"/>
    </row>
    <row r="94" spans="1:11" x14ac:dyDescent="0.25">
      <c r="A94" s="12"/>
      <c r="B94" s="15"/>
      <c r="C94" s="3">
        <v>1</v>
      </c>
      <c r="D94" s="3">
        <f>1.5/3.281</f>
        <v>0.45717768972874123</v>
      </c>
      <c r="E94" s="3">
        <v>2.2599999999999998</v>
      </c>
      <c r="F94" s="3">
        <f t="shared" si="13"/>
        <v>1.0332215787869552</v>
      </c>
      <c r="G94" s="3">
        <f t="shared" si="14"/>
        <v>1.0332215787869552</v>
      </c>
      <c r="H94" s="14"/>
      <c r="I94" s="14"/>
      <c r="J94" s="14"/>
      <c r="K94" s="14"/>
    </row>
    <row r="95" spans="1:11" x14ac:dyDescent="0.25">
      <c r="A95" s="12"/>
      <c r="B95" s="15"/>
      <c r="C95" s="3">
        <v>1</v>
      </c>
      <c r="D95" s="3">
        <f>1.25/3.281</f>
        <v>0.38098140810728437</v>
      </c>
      <c r="E95" s="3">
        <v>2.2599999999999998</v>
      </c>
      <c r="F95" s="3">
        <f t="shared" si="13"/>
        <v>0.86101798232246263</v>
      </c>
      <c r="G95" s="3">
        <f t="shared" si="14"/>
        <v>0.86101798232246263</v>
      </c>
      <c r="H95" s="14"/>
      <c r="I95" s="14"/>
      <c r="J95" s="14"/>
      <c r="K95" s="14"/>
    </row>
    <row r="96" spans="1:11" x14ac:dyDescent="0.25">
      <c r="A96" s="12"/>
      <c r="B96" s="15"/>
      <c r="C96" s="3">
        <v>1</v>
      </c>
      <c r="D96" s="3">
        <f>0.833/3.281</f>
        <v>0.25388601036269426</v>
      </c>
      <c r="E96" s="3">
        <v>2.2599999999999998</v>
      </c>
      <c r="F96" s="3">
        <f t="shared" si="13"/>
        <v>0.57378238341968901</v>
      </c>
      <c r="G96" s="3">
        <f t="shared" si="14"/>
        <v>0.57378238341968901</v>
      </c>
      <c r="H96" s="14"/>
      <c r="I96" s="14"/>
      <c r="J96" s="14"/>
      <c r="K96" s="14"/>
    </row>
    <row r="97" spans="1:11" x14ac:dyDescent="0.25">
      <c r="A97" s="12"/>
      <c r="B97" s="15"/>
      <c r="C97" s="3">
        <v>1</v>
      </c>
      <c r="D97" s="3">
        <f>0.583/3.281</f>
        <v>0.1776897287412374</v>
      </c>
      <c r="E97" s="3">
        <v>2.2599999999999998</v>
      </c>
      <c r="F97" s="3">
        <f t="shared" si="13"/>
        <v>0.4015787869551965</v>
      </c>
      <c r="G97" s="3">
        <f t="shared" si="14"/>
        <v>0.4015787869551965</v>
      </c>
      <c r="H97" s="14"/>
      <c r="I97" s="14"/>
      <c r="J97" s="14"/>
      <c r="K97" s="14"/>
    </row>
    <row r="98" spans="1:11" x14ac:dyDescent="0.25">
      <c r="A98" s="12"/>
      <c r="B98" s="15"/>
      <c r="C98" s="3">
        <v>1</v>
      </c>
      <c r="D98" s="3">
        <f>0.25/3.281</f>
        <v>7.6196281621456863E-2</v>
      </c>
      <c r="E98" s="3">
        <v>2.2599999999999998</v>
      </c>
      <c r="F98" s="3">
        <f t="shared" si="13"/>
        <v>0.17220359646449249</v>
      </c>
      <c r="G98" s="3">
        <f t="shared" si="14"/>
        <v>0.17220359646449249</v>
      </c>
      <c r="H98" s="14"/>
      <c r="I98" s="14"/>
      <c r="J98" s="14"/>
      <c r="K98" s="14"/>
    </row>
    <row r="99" spans="1:11" x14ac:dyDescent="0.25">
      <c r="A99" s="12"/>
      <c r="B99" s="44" t="s">
        <v>49</v>
      </c>
      <c r="C99" s="25">
        <v>1</v>
      </c>
      <c r="D99" s="25">
        <f>3.17/3.281</f>
        <v>0.9661688509600731</v>
      </c>
      <c r="E99" s="25">
        <v>2.2599999999999998</v>
      </c>
      <c r="F99" s="25">
        <f>PRODUCT(C99:E99)</f>
        <v>2.1835416031697652</v>
      </c>
      <c r="G99" s="25">
        <f>F99</f>
        <v>2.1835416031697652</v>
      </c>
      <c r="H99" s="14"/>
      <c r="I99" s="14"/>
      <c r="J99" s="14"/>
      <c r="K99" s="14"/>
    </row>
    <row r="100" spans="1:11" x14ac:dyDescent="0.25">
      <c r="A100" s="12"/>
      <c r="B100" s="43"/>
      <c r="C100" s="3">
        <v>1</v>
      </c>
      <c r="D100" s="3">
        <f>2.75/3.281</f>
        <v>0.8381590978360256</v>
      </c>
      <c r="E100" s="3">
        <v>2.2599999999999998</v>
      </c>
      <c r="F100" s="3">
        <f>PRODUCT(C100:E100)</f>
        <v>1.8942395611094176</v>
      </c>
      <c r="G100" s="3">
        <f>F100</f>
        <v>1.8942395611094176</v>
      </c>
      <c r="H100" s="14"/>
      <c r="I100" s="14"/>
      <c r="J100" s="14"/>
      <c r="K100" s="14"/>
    </row>
    <row r="101" spans="1:11" x14ac:dyDescent="0.25">
      <c r="A101" s="12"/>
      <c r="B101" s="15"/>
      <c r="C101" s="3">
        <v>1</v>
      </c>
      <c r="D101" s="3">
        <f>2.5/3.281</f>
        <v>0.76196281621456874</v>
      </c>
      <c r="E101" s="3">
        <v>2.2599999999999998</v>
      </c>
      <c r="F101" s="3">
        <f t="shared" ref="F101:F108" si="15">PRODUCT(C101:E101)</f>
        <v>1.7220359646449253</v>
      </c>
      <c r="G101" s="3">
        <f t="shared" ref="G101:G108" si="16">F101</f>
        <v>1.7220359646449253</v>
      </c>
      <c r="H101" s="14"/>
      <c r="I101" s="14"/>
      <c r="J101" s="14"/>
      <c r="K101" s="14"/>
    </row>
    <row r="102" spans="1:11" x14ac:dyDescent="0.25">
      <c r="A102" s="12"/>
      <c r="B102" s="15"/>
      <c r="C102" s="3">
        <v>1</v>
      </c>
      <c r="D102" s="3">
        <f>2.17/3.281</f>
        <v>0.66138372447424565</v>
      </c>
      <c r="E102" s="3">
        <v>2.2599999999999998</v>
      </c>
      <c r="F102" s="3">
        <f t="shared" si="15"/>
        <v>1.4947272173117949</v>
      </c>
      <c r="G102" s="3">
        <f t="shared" si="16"/>
        <v>1.4947272173117949</v>
      </c>
      <c r="H102" s="14"/>
      <c r="I102" s="14"/>
      <c r="J102" s="14"/>
      <c r="K102" s="14"/>
    </row>
    <row r="103" spans="1:11" x14ac:dyDescent="0.25">
      <c r="A103" s="12"/>
      <c r="B103" s="15"/>
      <c r="C103" s="3">
        <v>1</v>
      </c>
      <c r="D103" s="3">
        <f>1.833/3.281</f>
        <v>0.55867113684852177</v>
      </c>
      <c r="E103" s="3">
        <v>2.2599999999999998</v>
      </c>
      <c r="F103" s="3">
        <f t="shared" si="15"/>
        <v>1.2625967692776592</v>
      </c>
      <c r="G103" s="3">
        <f t="shared" si="16"/>
        <v>1.2625967692776592</v>
      </c>
      <c r="H103" s="14"/>
      <c r="I103" s="14"/>
      <c r="J103" s="14"/>
      <c r="K103" s="14"/>
    </row>
    <row r="104" spans="1:11" x14ac:dyDescent="0.25">
      <c r="A104" s="12"/>
      <c r="B104" s="15"/>
      <c r="C104" s="3">
        <v>1</v>
      </c>
      <c r="D104" s="3">
        <f>1.5/3.281</f>
        <v>0.45717768972874123</v>
      </c>
      <c r="E104" s="3">
        <v>2.2599999999999998</v>
      </c>
      <c r="F104" s="3">
        <f t="shared" si="15"/>
        <v>1.0332215787869552</v>
      </c>
      <c r="G104" s="3">
        <f t="shared" si="16"/>
        <v>1.0332215787869552</v>
      </c>
      <c r="H104" s="14"/>
      <c r="I104" s="14"/>
      <c r="J104" s="14"/>
      <c r="K104" s="14"/>
    </row>
    <row r="105" spans="1:11" x14ac:dyDescent="0.25">
      <c r="A105" s="12"/>
      <c r="B105" s="15"/>
      <c r="C105" s="3">
        <v>1</v>
      </c>
      <c r="D105" s="3">
        <f>1.25/3.281</f>
        <v>0.38098140810728437</v>
      </c>
      <c r="E105" s="3">
        <v>2.2599999999999998</v>
      </c>
      <c r="F105" s="3">
        <f t="shared" si="15"/>
        <v>0.86101798232246263</v>
      </c>
      <c r="G105" s="3">
        <f t="shared" si="16"/>
        <v>0.86101798232246263</v>
      </c>
      <c r="H105" s="14"/>
      <c r="I105" s="14"/>
      <c r="J105" s="14"/>
      <c r="K105" s="14"/>
    </row>
    <row r="106" spans="1:11" x14ac:dyDescent="0.25">
      <c r="A106" s="12"/>
      <c r="B106" s="15"/>
      <c r="C106" s="3">
        <v>1</v>
      </c>
      <c r="D106" s="3">
        <f>0.917/3.281</f>
        <v>0.27948796098750384</v>
      </c>
      <c r="E106" s="3">
        <v>2.2599999999999998</v>
      </c>
      <c r="F106" s="3">
        <f t="shared" si="15"/>
        <v>0.63164279183175864</v>
      </c>
      <c r="G106" s="3">
        <f t="shared" si="16"/>
        <v>0.63164279183175864</v>
      </c>
      <c r="H106" s="14"/>
      <c r="I106" s="14"/>
      <c r="J106" s="14"/>
      <c r="K106" s="14"/>
    </row>
    <row r="107" spans="1:11" x14ac:dyDescent="0.25">
      <c r="A107" s="12"/>
      <c r="B107" s="15"/>
      <c r="C107" s="3">
        <v>1</v>
      </c>
      <c r="D107" s="3">
        <f>0.5/3.281</f>
        <v>0.15239256324291373</v>
      </c>
      <c r="E107" s="3">
        <v>2.2599999999999998</v>
      </c>
      <c r="F107" s="3">
        <f t="shared" si="15"/>
        <v>0.34440719292898497</v>
      </c>
      <c r="G107" s="3">
        <f t="shared" si="16"/>
        <v>0.34440719292898497</v>
      </c>
      <c r="H107" s="14"/>
      <c r="I107" s="14"/>
      <c r="J107" s="14"/>
      <c r="K107" s="14"/>
    </row>
    <row r="108" spans="1:11" x14ac:dyDescent="0.25">
      <c r="A108" s="12"/>
      <c r="B108" s="15"/>
      <c r="C108" s="3">
        <v>1</v>
      </c>
      <c r="D108" s="3">
        <f>0.25/3.281</f>
        <v>7.6196281621456863E-2</v>
      </c>
      <c r="E108" s="3">
        <v>2.2599999999999998</v>
      </c>
      <c r="F108" s="3">
        <f t="shared" si="15"/>
        <v>0.17220359646449249</v>
      </c>
      <c r="G108" s="3">
        <f t="shared" si="16"/>
        <v>0.17220359646449249</v>
      </c>
      <c r="H108" s="14"/>
      <c r="I108" s="14"/>
      <c r="J108" s="14"/>
      <c r="K108" s="14"/>
    </row>
    <row r="109" spans="1:11" x14ac:dyDescent="0.25">
      <c r="A109" s="12"/>
      <c r="B109" s="44" t="s">
        <v>50</v>
      </c>
      <c r="C109" s="25">
        <v>1</v>
      </c>
      <c r="D109" s="25">
        <f>3.583/3.281</f>
        <v>1.0920451081987199</v>
      </c>
      <c r="E109" s="25">
        <v>2.2599999999999998</v>
      </c>
      <c r="F109" s="25">
        <f>PRODUCT(C109:E109)</f>
        <v>2.4680219445291067</v>
      </c>
      <c r="G109" s="25">
        <f>F109</f>
        <v>2.4680219445291067</v>
      </c>
      <c r="H109" s="14"/>
      <c r="I109" s="14"/>
      <c r="J109" s="14"/>
      <c r="K109" s="14"/>
    </row>
    <row r="110" spans="1:11" x14ac:dyDescent="0.25">
      <c r="A110" s="12"/>
      <c r="B110" s="43"/>
      <c r="C110" s="3">
        <v>1</v>
      </c>
      <c r="D110" s="3">
        <f>3.25/3.281/3.281</f>
        <v>0.30190541331269105</v>
      </c>
      <c r="E110" s="3">
        <v>2.2599999999999998</v>
      </c>
      <c r="F110" s="3">
        <f>PRODUCT(C110:E110)</f>
        <v>0.68230623408668167</v>
      </c>
      <c r="G110" s="3">
        <f>F110</f>
        <v>0.68230623408668167</v>
      </c>
      <c r="H110" s="14"/>
      <c r="I110" s="14"/>
      <c r="J110" s="14"/>
      <c r="K110" s="14"/>
    </row>
    <row r="111" spans="1:11" x14ac:dyDescent="0.25">
      <c r="A111" s="12"/>
      <c r="B111" s="15"/>
      <c r="C111" s="3">
        <v>1</v>
      </c>
      <c r="D111" s="3">
        <f>3/3.281</f>
        <v>0.91435537945748246</v>
      </c>
      <c r="E111" s="3">
        <v>2.2599999999999998</v>
      </c>
      <c r="F111" s="3">
        <f t="shared" ref="F111:F120" si="17">PRODUCT(C111:E111)</f>
        <v>2.0664431575739104</v>
      </c>
      <c r="G111" s="3">
        <f t="shared" ref="G111:G120" si="18">F111</f>
        <v>2.0664431575739104</v>
      </c>
      <c r="H111" s="14"/>
      <c r="I111" s="14"/>
      <c r="J111" s="14"/>
      <c r="K111" s="14"/>
    </row>
    <row r="112" spans="1:11" x14ac:dyDescent="0.25">
      <c r="A112" s="12"/>
      <c r="B112" s="15"/>
      <c r="C112" s="3">
        <v>1</v>
      </c>
      <c r="D112" s="3">
        <f>2.75/3.281</f>
        <v>0.8381590978360256</v>
      </c>
      <c r="E112" s="3">
        <v>2.2599999999999998</v>
      </c>
      <c r="F112" s="3">
        <f t="shared" si="17"/>
        <v>1.8942395611094176</v>
      </c>
      <c r="G112" s="3">
        <f t="shared" si="18"/>
        <v>1.8942395611094176</v>
      </c>
      <c r="H112" s="14"/>
      <c r="I112" s="14"/>
      <c r="J112" s="14"/>
      <c r="K112" s="14"/>
    </row>
    <row r="113" spans="1:11" x14ac:dyDescent="0.25">
      <c r="A113" s="12"/>
      <c r="B113" s="15"/>
      <c r="C113" s="3">
        <v>1</v>
      </c>
      <c r="D113" s="3">
        <f>2.33/3.281</f>
        <v>0.71014934471197799</v>
      </c>
      <c r="E113" s="3">
        <v>2.2599999999999998</v>
      </c>
      <c r="F113" s="3">
        <f t="shared" si="17"/>
        <v>1.60493751904907</v>
      </c>
      <c r="G113" s="3">
        <f t="shared" si="18"/>
        <v>1.60493751904907</v>
      </c>
      <c r="H113" s="14"/>
      <c r="I113" s="14"/>
      <c r="J113" s="14"/>
      <c r="K113" s="14"/>
    </row>
    <row r="114" spans="1:11" x14ac:dyDescent="0.25">
      <c r="A114" s="12"/>
      <c r="B114" s="15"/>
      <c r="C114" s="3">
        <v>1</v>
      </c>
      <c r="D114" s="3">
        <f>2.083/3.281</f>
        <v>0.63486741846997874</v>
      </c>
      <c r="E114" s="3">
        <v>2.2599999999999998</v>
      </c>
      <c r="F114" s="3">
        <f t="shared" si="17"/>
        <v>1.4348003657421518</v>
      </c>
      <c r="G114" s="3">
        <f t="shared" si="18"/>
        <v>1.4348003657421518</v>
      </c>
      <c r="H114" s="14"/>
      <c r="I114" s="14"/>
      <c r="J114" s="14"/>
      <c r="K114" s="14"/>
    </row>
    <row r="115" spans="1:11" x14ac:dyDescent="0.25">
      <c r="A115" s="12"/>
      <c r="B115" s="15"/>
      <c r="C115" s="3">
        <v>1</v>
      </c>
      <c r="D115" s="3">
        <f>1.75/3.281</f>
        <v>0.53337397135019804</v>
      </c>
      <c r="E115" s="3">
        <v>2.2599999999999998</v>
      </c>
      <c r="F115" s="3">
        <f t="shared" si="17"/>
        <v>1.2054251752514475</v>
      </c>
      <c r="G115" s="3">
        <f t="shared" si="18"/>
        <v>1.2054251752514475</v>
      </c>
      <c r="H115" s="14"/>
      <c r="I115" s="14"/>
      <c r="J115" s="14"/>
      <c r="K115" s="14"/>
    </row>
    <row r="116" spans="1:11" x14ac:dyDescent="0.25">
      <c r="A116" s="12"/>
      <c r="B116" s="15"/>
      <c r="C116" s="3">
        <v>1</v>
      </c>
      <c r="D116" s="3">
        <f>1.5/3.281</f>
        <v>0.45717768972874123</v>
      </c>
      <c r="E116" s="3">
        <v>2.2599999999999998</v>
      </c>
      <c r="F116" s="3">
        <f t="shared" si="17"/>
        <v>1.0332215787869552</v>
      </c>
      <c r="G116" s="3">
        <f t="shared" si="18"/>
        <v>1.0332215787869552</v>
      </c>
      <c r="H116" s="14"/>
      <c r="I116" s="14"/>
      <c r="J116" s="14"/>
      <c r="K116" s="14"/>
    </row>
    <row r="117" spans="1:11" x14ac:dyDescent="0.25">
      <c r="A117" s="12"/>
      <c r="B117" s="15"/>
      <c r="C117" s="3">
        <v>1</v>
      </c>
      <c r="D117" s="3">
        <f>1.17/3.281</f>
        <v>0.35659859798841814</v>
      </c>
      <c r="E117" s="3">
        <v>2.2599999999999998</v>
      </c>
      <c r="F117" s="3">
        <f t="shared" si="17"/>
        <v>0.80591283145382497</v>
      </c>
      <c r="G117" s="3">
        <f t="shared" si="18"/>
        <v>0.80591283145382497</v>
      </c>
      <c r="H117" s="14"/>
      <c r="I117" s="14"/>
      <c r="J117" s="14"/>
      <c r="K117" s="14"/>
    </row>
    <row r="118" spans="1:11" x14ac:dyDescent="0.25">
      <c r="A118" s="12"/>
      <c r="B118" s="15"/>
      <c r="C118" s="3">
        <v>1</v>
      </c>
      <c r="D118" s="3">
        <f>0.833/3.281</f>
        <v>0.25388601036269426</v>
      </c>
      <c r="E118" s="3">
        <v>2.2599999999999998</v>
      </c>
      <c r="F118" s="3">
        <f t="shared" si="17"/>
        <v>0.57378238341968901</v>
      </c>
      <c r="G118" s="3">
        <f t="shared" si="18"/>
        <v>0.57378238341968901</v>
      </c>
      <c r="H118" s="14"/>
      <c r="I118" s="14"/>
      <c r="J118" s="14"/>
      <c r="K118" s="14"/>
    </row>
    <row r="119" spans="1:11" x14ac:dyDescent="0.25">
      <c r="A119" s="12"/>
      <c r="B119" s="15"/>
      <c r="C119" s="3">
        <v>1</v>
      </c>
      <c r="D119" s="3">
        <f>0.583/3.281</f>
        <v>0.1776897287412374</v>
      </c>
      <c r="E119" s="3">
        <v>2.2599999999999998</v>
      </c>
      <c r="F119" s="3">
        <f t="shared" si="17"/>
        <v>0.4015787869551965</v>
      </c>
      <c r="G119" s="3">
        <f t="shared" si="18"/>
        <v>0.4015787869551965</v>
      </c>
      <c r="H119" s="14"/>
      <c r="I119" s="14"/>
      <c r="J119" s="14"/>
      <c r="K119" s="14"/>
    </row>
    <row r="120" spans="1:11" x14ac:dyDescent="0.25">
      <c r="A120" s="12"/>
      <c r="B120" s="15"/>
      <c r="C120" s="3">
        <v>1</v>
      </c>
      <c r="D120" s="3">
        <f>0.25/3.281</f>
        <v>7.6196281621456863E-2</v>
      </c>
      <c r="E120" s="3">
        <v>2.2599999999999998</v>
      </c>
      <c r="F120" s="3">
        <f t="shared" si="17"/>
        <v>0.17220359646449249</v>
      </c>
      <c r="G120" s="3">
        <f t="shared" si="18"/>
        <v>0.17220359646449249</v>
      </c>
      <c r="H120" s="14"/>
      <c r="I120" s="14"/>
      <c r="J120" s="14"/>
      <c r="K120" s="14"/>
    </row>
    <row r="121" spans="1:11" ht="45" x14ac:dyDescent="0.25">
      <c r="A121" s="12"/>
      <c r="B121" s="43" t="s">
        <v>52</v>
      </c>
      <c r="C121" s="3"/>
      <c r="D121" s="3"/>
      <c r="E121" s="3"/>
      <c r="F121" s="3"/>
      <c r="G121" s="3"/>
      <c r="H121" s="14"/>
      <c r="I121" s="14"/>
      <c r="J121" s="14"/>
      <c r="K121" s="14"/>
    </row>
    <row r="122" spans="1:11" x14ac:dyDescent="0.25">
      <c r="A122" s="12"/>
      <c r="B122" s="43" t="s">
        <v>46</v>
      </c>
      <c r="C122" s="3">
        <v>1</v>
      </c>
      <c r="D122" s="3">
        <f>3/3.281</f>
        <v>0.91435537945748246</v>
      </c>
      <c r="E122" s="3">
        <v>2.2599999999999998</v>
      </c>
      <c r="F122" s="3">
        <f>PRODUCT(C122:E122)</f>
        <v>2.0664431575739104</v>
      </c>
      <c r="G122" s="3">
        <f>F122</f>
        <v>2.0664431575739104</v>
      </c>
      <c r="H122" s="14"/>
      <c r="I122" s="14"/>
      <c r="J122" s="14"/>
      <c r="K122" s="14"/>
    </row>
    <row r="123" spans="1:11" x14ac:dyDescent="0.25">
      <c r="A123" s="12"/>
      <c r="B123" s="43"/>
      <c r="C123" s="3">
        <v>1</v>
      </c>
      <c r="D123" s="3">
        <f>2.917/3.281</f>
        <v>0.88905821395915874</v>
      </c>
      <c r="E123" s="3">
        <v>2.2599999999999998</v>
      </c>
      <c r="F123" s="3">
        <f>PRODUCT(C123:E123)</f>
        <v>2.0092715635476988</v>
      </c>
      <c r="G123" s="3">
        <f>F123</f>
        <v>2.0092715635476988</v>
      </c>
      <c r="H123" s="14"/>
      <c r="I123" s="14"/>
      <c r="J123" s="14"/>
      <c r="K123" s="14"/>
    </row>
    <row r="124" spans="1:11" x14ac:dyDescent="0.25">
      <c r="A124" s="12"/>
      <c r="B124" s="15"/>
      <c r="C124" s="3">
        <v>1</v>
      </c>
      <c r="D124" s="3">
        <f>2.75/3.281</f>
        <v>0.8381590978360256</v>
      </c>
      <c r="E124" s="3">
        <v>2.2599999999999998</v>
      </c>
      <c r="F124" s="3">
        <f t="shared" ref="F124:F127" si="19">PRODUCT(C124:E124)</f>
        <v>1.8942395611094176</v>
      </c>
      <c r="G124" s="3">
        <f t="shared" ref="G124:G127" si="20">F124</f>
        <v>1.8942395611094176</v>
      </c>
      <c r="H124" s="14"/>
      <c r="I124" s="14"/>
      <c r="J124" s="14"/>
      <c r="K124" s="14"/>
    </row>
    <row r="125" spans="1:11" x14ac:dyDescent="0.25">
      <c r="A125" s="12"/>
      <c r="B125" s="15"/>
      <c r="C125" s="3">
        <v>1</v>
      </c>
      <c r="D125" s="3">
        <f>2.667/3.281</f>
        <v>0.81286193233770188</v>
      </c>
      <c r="E125" s="3">
        <v>2.2599999999999998</v>
      </c>
      <c r="F125" s="3">
        <f t="shared" si="19"/>
        <v>1.837067967083206</v>
      </c>
      <c r="G125" s="3">
        <f t="shared" si="20"/>
        <v>1.837067967083206</v>
      </c>
      <c r="H125" s="14"/>
      <c r="I125" s="14"/>
      <c r="J125" s="14"/>
      <c r="K125" s="14"/>
    </row>
    <row r="126" spans="1:11" x14ac:dyDescent="0.25">
      <c r="A126" s="12"/>
      <c r="B126" s="15"/>
      <c r="C126" s="3">
        <v>1</v>
      </c>
      <c r="D126" s="3">
        <f>2.583/3.281</f>
        <v>0.78725998171289246</v>
      </c>
      <c r="E126" s="3">
        <v>2.2599999999999998</v>
      </c>
      <c r="F126" s="3">
        <f t="shared" si="19"/>
        <v>1.7792075586711369</v>
      </c>
      <c r="G126" s="3">
        <f t="shared" si="20"/>
        <v>1.7792075586711369</v>
      </c>
      <c r="H126" s="14"/>
      <c r="I126" s="14"/>
      <c r="J126" s="14"/>
      <c r="K126" s="14"/>
    </row>
    <row r="127" spans="1:11" x14ac:dyDescent="0.25">
      <c r="A127" s="12"/>
      <c r="B127" s="15"/>
      <c r="C127" s="3">
        <v>1</v>
      </c>
      <c r="D127" s="3">
        <f>2.5/3.281</f>
        <v>0.76196281621456874</v>
      </c>
      <c r="E127" s="3">
        <v>2.2599999999999998</v>
      </c>
      <c r="F127" s="3">
        <f t="shared" si="19"/>
        <v>1.7220359646449253</v>
      </c>
      <c r="G127" s="3">
        <f t="shared" si="20"/>
        <v>1.7220359646449253</v>
      </c>
      <c r="H127" s="14"/>
      <c r="I127" s="14"/>
      <c r="J127" s="14"/>
      <c r="K127" s="14"/>
    </row>
    <row r="128" spans="1:11" x14ac:dyDescent="0.25">
      <c r="A128" s="12"/>
      <c r="B128" s="43" t="s">
        <v>47</v>
      </c>
      <c r="C128" s="3">
        <v>1</v>
      </c>
      <c r="D128" s="3">
        <f>3.33/3.281</f>
        <v>1.0149344711978054</v>
      </c>
      <c r="E128" s="3">
        <v>2.2599999999999998</v>
      </c>
      <c r="F128" s="3">
        <f>PRODUCT(C128:E128)</f>
        <v>2.2937519049070403</v>
      </c>
      <c r="G128" s="3">
        <f>F128</f>
        <v>2.2937519049070403</v>
      </c>
      <c r="H128" s="14"/>
      <c r="I128" s="14"/>
      <c r="J128" s="14"/>
      <c r="K128" s="14"/>
    </row>
    <row r="129" spans="1:11" x14ac:dyDescent="0.25">
      <c r="A129" s="12"/>
      <c r="B129" s="43"/>
      <c r="C129" s="3">
        <v>1</v>
      </c>
      <c r="D129" s="3">
        <f>3.17/3.281</f>
        <v>0.9661688509600731</v>
      </c>
      <c r="E129" s="3">
        <v>2.2599999999999998</v>
      </c>
      <c r="F129" s="3">
        <f>PRODUCT(C129:E129)</f>
        <v>2.1835416031697652</v>
      </c>
      <c r="G129" s="3">
        <f>F129</f>
        <v>2.1835416031697652</v>
      </c>
      <c r="H129" s="14"/>
      <c r="I129" s="14"/>
      <c r="J129" s="14"/>
      <c r="K129" s="14"/>
    </row>
    <row r="130" spans="1:11" x14ac:dyDescent="0.25">
      <c r="A130" s="12"/>
      <c r="B130" s="15"/>
      <c r="C130" s="3">
        <v>1</v>
      </c>
      <c r="D130" s="3">
        <f>3/3.281</f>
        <v>0.91435537945748246</v>
      </c>
      <c r="E130" s="3">
        <v>2.2599999999999998</v>
      </c>
      <c r="F130" s="3">
        <f t="shared" ref="F130:F134" si="21">PRODUCT(C130:E130)</f>
        <v>2.0664431575739104</v>
      </c>
      <c r="G130" s="3">
        <f t="shared" ref="G130:G134" si="22">F130</f>
        <v>2.0664431575739104</v>
      </c>
      <c r="H130" s="14"/>
      <c r="I130" s="14"/>
      <c r="J130" s="14"/>
      <c r="K130" s="14"/>
    </row>
    <row r="131" spans="1:11" x14ac:dyDescent="0.25">
      <c r="A131" s="12"/>
      <c r="B131" s="15"/>
      <c r="C131" s="3">
        <v>1</v>
      </c>
      <c r="D131" s="3">
        <f>2.833/3.281</f>
        <v>0.86345626333434933</v>
      </c>
      <c r="E131" s="3">
        <v>2.2599999999999998</v>
      </c>
      <c r="F131" s="3">
        <f t="shared" si="21"/>
        <v>1.9514111551356292</v>
      </c>
      <c r="G131" s="3">
        <f t="shared" si="22"/>
        <v>1.9514111551356292</v>
      </c>
      <c r="H131" s="14"/>
      <c r="I131" s="14"/>
      <c r="J131" s="14"/>
      <c r="K131" s="14"/>
    </row>
    <row r="132" spans="1:11" x14ac:dyDescent="0.25">
      <c r="A132" s="12"/>
      <c r="B132" s="15"/>
      <c r="C132" s="3">
        <v>1</v>
      </c>
      <c r="D132" s="3">
        <f>2.75/3.281</f>
        <v>0.8381590978360256</v>
      </c>
      <c r="E132" s="3">
        <v>2.2599999999999998</v>
      </c>
      <c r="F132" s="3">
        <f t="shared" si="21"/>
        <v>1.8942395611094176</v>
      </c>
      <c r="G132" s="3">
        <f t="shared" si="22"/>
        <v>1.8942395611094176</v>
      </c>
      <c r="H132" s="14"/>
      <c r="I132" s="14"/>
      <c r="J132" s="14"/>
      <c r="K132" s="14"/>
    </row>
    <row r="133" spans="1:11" x14ac:dyDescent="0.25">
      <c r="A133" s="12"/>
      <c r="B133" s="15"/>
      <c r="C133" s="3">
        <v>1</v>
      </c>
      <c r="D133" s="3">
        <f>2.667/3.281</f>
        <v>0.81286193233770188</v>
      </c>
      <c r="E133" s="3">
        <v>2.2599999999999998</v>
      </c>
      <c r="F133" s="3">
        <f t="shared" si="21"/>
        <v>1.837067967083206</v>
      </c>
      <c r="G133" s="3">
        <f t="shared" si="22"/>
        <v>1.837067967083206</v>
      </c>
      <c r="H133" s="14"/>
      <c r="I133" s="14"/>
      <c r="J133" s="14"/>
      <c r="K133" s="14"/>
    </row>
    <row r="134" spans="1:11" x14ac:dyDescent="0.25">
      <c r="A134" s="12"/>
      <c r="B134" s="15"/>
      <c r="C134" s="3">
        <v>1</v>
      </c>
      <c r="D134" s="3">
        <f>2.583/3.281</f>
        <v>0.78725998171289246</v>
      </c>
      <c r="E134" s="3">
        <v>2.2599999999999998</v>
      </c>
      <c r="F134" s="3">
        <f t="shared" si="21"/>
        <v>1.7792075586711369</v>
      </c>
      <c r="G134" s="3">
        <f t="shared" si="22"/>
        <v>1.7792075586711369</v>
      </c>
      <c r="H134" s="14"/>
      <c r="I134" s="14"/>
      <c r="J134" s="14"/>
      <c r="K134" s="14"/>
    </row>
    <row r="135" spans="1:11" x14ac:dyDescent="0.25">
      <c r="A135" s="12"/>
      <c r="B135" s="44" t="s">
        <v>48</v>
      </c>
      <c r="C135" s="25">
        <v>1</v>
      </c>
      <c r="D135" s="25">
        <f>3.667/3.281</f>
        <v>1.1176470588235292</v>
      </c>
      <c r="E135" s="25">
        <v>2.2599999999999998</v>
      </c>
      <c r="F135" s="25">
        <f>PRODUCT(C135:E135)</f>
        <v>2.5258823529411756</v>
      </c>
      <c r="G135" s="25">
        <f>F135</f>
        <v>2.5258823529411756</v>
      </c>
      <c r="H135" s="14"/>
      <c r="I135" s="14"/>
      <c r="J135" s="14"/>
      <c r="K135" s="14"/>
    </row>
    <row r="136" spans="1:11" x14ac:dyDescent="0.25">
      <c r="A136" s="12"/>
      <c r="B136" s="43"/>
      <c r="C136" s="3">
        <v>1</v>
      </c>
      <c r="D136" s="3">
        <f>3.5/3.281</f>
        <v>1.0667479427003961</v>
      </c>
      <c r="E136" s="3">
        <v>2.2599999999999998</v>
      </c>
      <c r="F136" s="3">
        <f>PRODUCT(C136:E136)</f>
        <v>2.4108503505028951</v>
      </c>
      <c r="G136" s="3">
        <f>F136</f>
        <v>2.4108503505028951</v>
      </c>
      <c r="H136" s="14"/>
      <c r="I136" s="14"/>
      <c r="J136" s="14"/>
      <c r="K136" s="14"/>
    </row>
    <row r="137" spans="1:11" x14ac:dyDescent="0.25">
      <c r="A137" s="12"/>
      <c r="B137" s="15"/>
      <c r="C137" s="3">
        <v>1</v>
      </c>
      <c r="D137" s="3">
        <f>3.33/3.281</f>
        <v>1.0149344711978054</v>
      </c>
      <c r="E137" s="3">
        <v>2.2599999999999998</v>
      </c>
      <c r="F137" s="3">
        <f t="shared" ref="F137:F142" si="23">PRODUCT(C137:E137)</f>
        <v>2.2937519049070403</v>
      </c>
      <c r="G137" s="3">
        <f t="shared" ref="G137:G142" si="24">F137</f>
        <v>2.2937519049070403</v>
      </c>
      <c r="H137" s="14"/>
      <c r="I137" s="14"/>
      <c r="J137" s="14"/>
      <c r="K137" s="14"/>
    </row>
    <row r="138" spans="1:11" x14ac:dyDescent="0.25">
      <c r="A138" s="12"/>
      <c r="B138" s="15"/>
      <c r="C138" s="3">
        <v>1</v>
      </c>
      <c r="D138" s="3">
        <f>3.17/3.281</f>
        <v>0.9661688509600731</v>
      </c>
      <c r="E138" s="3">
        <v>2.2599999999999998</v>
      </c>
      <c r="F138" s="3">
        <f t="shared" si="23"/>
        <v>2.1835416031697652</v>
      </c>
      <c r="G138" s="3">
        <f t="shared" si="24"/>
        <v>2.1835416031697652</v>
      </c>
      <c r="H138" s="14"/>
      <c r="I138" s="14"/>
      <c r="J138" s="14"/>
      <c r="K138" s="14"/>
    </row>
    <row r="139" spans="1:11" x14ac:dyDescent="0.25">
      <c r="A139" s="12"/>
      <c r="B139" s="15"/>
      <c r="C139" s="3">
        <v>1</v>
      </c>
      <c r="D139" s="3">
        <f>3/3.281</f>
        <v>0.91435537945748246</v>
      </c>
      <c r="E139" s="3">
        <v>2.2599999999999998</v>
      </c>
      <c r="F139" s="3">
        <f t="shared" si="23"/>
        <v>2.0664431575739104</v>
      </c>
      <c r="G139" s="3">
        <f t="shared" si="24"/>
        <v>2.0664431575739104</v>
      </c>
      <c r="H139" s="14"/>
      <c r="I139" s="14"/>
      <c r="J139" s="14"/>
      <c r="K139" s="14"/>
    </row>
    <row r="140" spans="1:11" x14ac:dyDescent="0.25">
      <c r="A140" s="12"/>
      <c r="B140" s="15"/>
      <c r="C140" s="3">
        <v>1</v>
      </c>
      <c r="D140" s="3">
        <f>2.917/3.281</f>
        <v>0.88905821395915874</v>
      </c>
      <c r="E140" s="3">
        <v>2.2599999999999998</v>
      </c>
      <c r="F140" s="3">
        <f t="shared" si="23"/>
        <v>2.0092715635476988</v>
      </c>
      <c r="G140" s="3">
        <f t="shared" si="24"/>
        <v>2.0092715635476988</v>
      </c>
      <c r="H140" s="14"/>
      <c r="I140" s="14"/>
      <c r="J140" s="14"/>
      <c r="K140" s="14"/>
    </row>
    <row r="141" spans="1:11" x14ac:dyDescent="0.25">
      <c r="A141" s="12"/>
      <c r="B141" s="15"/>
      <c r="C141" s="3">
        <v>1</v>
      </c>
      <c r="D141" s="3">
        <f>2.833/3.281</f>
        <v>0.86345626333434933</v>
      </c>
      <c r="E141" s="3">
        <v>2.2599999999999998</v>
      </c>
      <c r="F141" s="3">
        <f t="shared" si="23"/>
        <v>1.9514111551356292</v>
      </c>
      <c r="G141" s="3">
        <f t="shared" si="24"/>
        <v>1.9514111551356292</v>
      </c>
      <c r="H141" s="14"/>
      <c r="I141" s="14"/>
      <c r="J141" s="14"/>
      <c r="K141" s="14"/>
    </row>
    <row r="142" spans="1:11" x14ac:dyDescent="0.25">
      <c r="A142" s="12"/>
      <c r="B142" s="15"/>
      <c r="C142" s="3">
        <v>1</v>
      </c>
      <c r="D142" s="3">
        <f>2.75/3.281</f>
        <v>0.8381590978360256</v>
      </c>
      <c r="E142" s="3">
        <v>2.2599999999999998</v>
      </c>
      <c r="F142" s="3">
        <f t="shared" si="23"/>
        <v>1.8942395611094176</v>
      </c>
      <c r="G142" s="3">
        <f t="shared" si="24"/>
        <v>1.8942395611094176</v>
      </c>
      <c r="H142" s="14"/>
      <c r="I142" s="14"/>
      <c r="J142" s="14"/>
      <c r="K142" s="14"/>
    </row>
    <row r="143" spans="1:11" x14ac:dyDescent="0.25">
      <c r="A143" s="12"/>
      <c r="B143" s="44" t="s">
        <v>49</v>
      </c>
      <c r="C143" s="25">
        <v>1</v>
      </c>
      <c r="D143" s="25">
        <f>4/3.281</f>
        <v>1.2191405059433098</v>
      </c>
      <c r="E143" s="25">
        <v>2.2599999999999998</v>
      </c>
      <c r="F143" s="25">
        <f>PRODUCT(C143:E143)</f>
        <v>2.7552575434318798</v>
      </c>
      <c r="G143" s="25">
        <f>F143</f>
        <v>2.7552575434318798</v>
      </c>
      <c r="H143" s="14"/>
      <c r="I143" s="14"/>
      <c r="J143" s="14"/>
      <c r="K143" s="14"/>
    </row>
    <row r="144" spans="1:11" x14ac:dyDescent="0.25">
      <c r="A144" s="12"/>
      <c r="B144" s="43"/>
      <c r="C144" s="3">
        <v>1</v>
      </c>
      <c r="D144" s="3">
        <f>3.75/3.281</f>
        <v>1.1429442243218531</v>
      </c>
      <c r="E144" s="3">
        <v>2.2599999999999998</v>
      </c>
      <c r="F144" s="3">
        <f>PRODUCT(C144:E144)</f>
        <v>2.5830539469673877</v>
      </c>
      <c r="G144" s="3">
        <f>F144</f>
        <v>2.5830539469673877</v>
      </c>
      <c r="H144" s="14"/>
      <c r="I144" s="14"/>
      <c r="J144" s="14"/>
      <c r="K144" s="14"/>
    </row>
    <row r="145" spans="1:11" x14ac:dyDescent="0.25">
      <c r="A145" s="12"/>
      <c r="B145" s="15"/>
      <c r="C145" s="3">
        <v>1</v>
      </c>
      <c r="D145" s="3">
        <f>3.583/3.281</f>
        <v>1.0920451081987199</v>
      </c>
      <c r="E145" s="3">
        <v>2.2599999999999998</v>
      </c>
      <c r="F145" s="3">
        <f t="shared" ref="F145:F151" si="25">PRODUCT(C145:E145)</f>
        <v>2.4680219445291067</v>
      </c>
      <c r="G145" s="3">
        <f t="shared" ref="G145:G151" si="26">F145</f>
        <v>2.4680219445291067</v>
      </c>
      <c r="H145" s="14"/>
      <c r="I145" s="14"/>
      <c r="J145" s="14"/>
      <c r="K145" s="14"/>
    </row>
    <row r="146" spans="1:11" x14ac:dyDescent="0.25">
      <c r="A146" s="12"/>
      <c r="B146" s="15"/>
      <c r="C146" s="3">
        <v>1</v>
      </c>
      <c r="D146" s="3">
        <f>3.42/3.281</f>
        <v>1.04236513258153</v>
      </c>
      <c r="E146" s="3">
        <v>2.2599999999999998</v>
      </c>
      <c r="F146" s="3">
        <f t="shared" si="25"/>
        <v>2.3557451996342573</v>
      </c>
      <c r="G146" s="3">
        <f t="shared" si="26"/>
        <v>2.3557451996342573</v>
      </c>
      <c r="H146" s="14"/>
      <c r="I146" s="14"/>
      <c r="J146" s="14"/>
      <c r="K146" s="14"/>
    </row>
    <row r="147" spans="1:11" x14ac:dyDescent="0.25">
      <c r="A147" s="12"/>
      <c r="B147" s="15"/>
      <c r="C147" s="3">
        <v>1</v>
      </c>
      <c r="D147" s="3">
        <f>3.25/3.281</f>
        <v>0.99055166107893933</v>
      </c>
      <c r="E147" s="3">
        <v>2.2599999999999998</v>
      </c>
      <c r="F147" s="3">
        <f t="shared" si="25"/>
        <v>2.2386467540384025</v>
      </c>
      <c r="G147" s="3">
        <f t="shared" si="26"/>
        <v>2.2386467540384025</v>
      </c>
      <c r="H147" s="14"/>
      <c r="I147" s="14"/>
      <c r="J147" s="14"/>
      <c r="K147" s="14"/>
    </row>
    <row r="148" spans="1:11" x14ac:dyDescent="0.25">
      <c r="A148" s="12"/>
      <c r="B148" s="15"/>
      <c r="C148" s="3">
        <v>1</v>
      </c>
      <c r="D148" s="3">
        <f>3.17/3.281</f>
        <v>0.9661688509600731</v>
      </c>
      <c r="E148" s="3">
        <v>2.2599999999999998</v>
      </c>
      <c r="F148" s="3">
        <f t="shared" si="25"/>
        <v>2.1835416031697652</v>
      </c>
      <c r="G148" s="3">
        <f t="shared" si="26"/>
        <v>2.1835416031697652</v>
      </c>
      <c r="H148" s="14"/>
      <c r="I148" s="14"/>
      <c r="J148" s="14"/>
      <c r="K148" s="14"/>
    </row>
    <row r="149" spans="1:11" x14ac:dyDescent="0.25">
      <c r="A149" s="12"/>
      <c r="B149" s="15"/>
      <c r="C149" s="3">
        <v>1</v>
      </c>
      <c r="D149" s="3">
        <f>3/3.281</f>
        <v>0.91435537945748246</v>
      </c>
      <c r="E149" s="3">
        <v>2.2599999999999998</v>
      </c>
      <c r="F149" s="3">
        <f t="shared" si="25"/>
        <v>2.0664431575739104</v>
      </c>
      <c r="G149" s="3">
        <f t="shared" si="26"/>
        <v>2.0664431575739104</v>
      </c>
      <c r="H149" s="14"/>
      <c r="I149" s="14"/>
      <c r="J149" s="14"/>
      <c r="K149" s="14"/>
    </row>
    <row r="150" spans="1:11" x14ac:dyDescent="0.25">
      <c r="A150" s="12"/>
      <c r="B150" s="15"/>
      <c r="C150" s="3">
        <v>1</v>
      </c>
      <c r="D150" s="3">
        <f>2.917/3.281</f>
        <v>0.88905821395915874</v>
      </c>
      <c r="E150" s="3">
        <v>2.2599999999999998</v>
      </c>
      <c r="F150" s="3">
        <f t="shared" si="25"/>
        <v>2.0092715635476988</v>
      </c>
      <c r="G150" s="3">
        <f t="shared" si="26"/>
        <v>2.0092715635476988</v>
      </c>
      <c r="H150" s="14"/>
      <c r="I150" s="14"/>
      <c r="J150" s="14"/>
      <c r="K150" s="14"/>
    </row>
    <row r="151" spans="1:11" x14ac:dyDescent="0.25">
      <c r="A151" s="12"/>
      <c r="B151" s="15"/>
      <c r="C151" s="3">
        <v>1</v>
      </c>
      <c r="D151" s="3">
        <f>2.833/3.281</f>
        <v>0.86345626333434933</v>
      </c>
      <c r="E151" s="3">
        <v>2.2599999999999998</v>
      </c>
      <c r="F151" s="3">
        <f t="shared" si="25"/>
        <v>1.9514111551356292</v>
      </c>
      <c r="G151" s="3">
        <f t="shared" si="26"/>
        <v>1.9514111551356292</v>
      </c>
      <c r="H151" s="14"/>
      <c r="I151" s="14"/>
      <c r="J151" s="14"/>
      <c r="K151" s="14"/>
    </row>
    <row r="152" spans="1:11" x14ac:dyDescent="0.25">
      <c r="A152" s="12"/>
      <c r="B152" s="44" t="s">
        <v>50</v>
      </c>
      <c r="C152" s="25">
        <v>1</v>
      </c>
      <c r="D152" s="25">
        <f>4.25/3.281</f>
        <v>1.2953367875647668</v>
      </c>
      <c r="E152" s="25">
        <v>2.2599999999999998</v>
      </c>
      <c r="F152" s="25">
        <f>PRODUCT(C152:E152)</f>
        <v>2.9274611398963728</v>
      </c>
      <c r="G152" s="25">
        <f>F152</f>
        <v>2.9274611398963728</v>
      </c>
      <c r="H152" s="14"/>
      <c r="I152" s="14"/>
      <c r="J152" s="14"/>
      <c r="K152" s="14"/>
    </row>
    <row r="153" spans="1:11" x14ac:dyDescent="0.25">
      <c r="A153" s="12"/>
      <c r="B153" s="43"/>
      <c r="C153" s="3">
        <v>1</v>
      </c>
      <c r="D153" s="3">
        <f>4/3.281/3.281</f>
        <v>0.3715758933079274</v>
      </c>
      <c r="E153" s="3">
        <v>2.2599999999999998</v>
      </c>
      <c r="F153" s="3">
        <f>PRODUCT(C153:E153)</f>
        <v>0.83976151887591588</v>
      </c>
      <c r="G153" s="3">
        <f>F153</f>
        <v>0.83976151887591588</v>
      </c>
      <c r="H153" s="14"/>
      <c r="I153" s="14"/>
      <c r="J153" s="14"/>
      <c r="K153" s="14"/>
    </row>
    <row r="154" spans="1:11" x14ac:dyDescent="0.25">
      <c r="A154" s="12"/>
      <c r="B154" s="15"/>
      <c r="C154" s="3">
        <v>1</v>
      </c>
      <c r="D154" s="3">
        <f>3.833/3.281</f>
        <v>1.1682413898201769</v>
      </c>
      <c r="E154" s="3">
        <v>2.2599999999999998</v>
      </c>
      <c r="F154" s="3">
        <f t="shared" ref="F154:F162" si="27">PRODUCT(C154:E154)</f>
        <v>2.6402255409935997</v>
      </c>
      <c r="G154" s="3">
        <f t="shared" ref="G154:G162" si="28">F154</f>
        <v>2.6402255409935997</v>
      </c>
      <c r="H154" s="14"/>
      <c r="I154" s="14"/>
      <c r="J154" s="14"/>
      <c r="K154" s="14"/>
    </row>
    <row r="155" spans="1:11" x14ac:dyDescent="0.25">
      <c r="A155" s="12"/>
      <c r="B155" s="15"/>
      <c r="C155" s="3">
        <v>1</v>
      </c>
      <c r="D155" s="3">
        <f>3.667/3.281</f>
        <v>1.1176470588235292</v>
      </c>
      <c r="E155" s="3">
        <v>2.2599999999999998</v>
      </c>
      <c r="F155" s="3">
        <f t="shared" si="27"/>
        <v>2.5258823529411756</v>
      </c>
      <c r="G155" s="3">
        <f t="shared" si="28"/>
        <v>2.5258823529411756</v>
      </c>
      <c r="H155" s="14"/>
      <c r="I155" s="14"/>
      <c r="J155" s="14"/>
      <c r="K155" s="14"/>
    </row>
    <row r="156" spans="1:11" x14ac:dyDescent="0.25">
      <c r="A156" s="12"/>
      <c r="B156" s="15"/>
      <c r="C156" s="3">
        <v>1</v>
      </c>
      <c r="D156" s="3">
        <f>3.42/3.281</f>
        <v>1.04236513258153</v>
      </c>
      <c r="E156" s="3">
        <v>2.2599999999999998</v>
      </c>
      <c r="F156" s="3">
        <f t="shared" si="27"/>
        <v>2.3557451996342573</v>
      </c>
      <c r="G156" s="3">
        <f t="shared" si="28"/>
        <v>2.3557451996342573</v>
      </c>
      <c r="H156" s="14"/>
      <c r="I156" s="14"/>
      <c r="J156" s="14"/>
      <c r="K156" s="14"/>
    </row>
    <row r="157" spans="1:11" x14ac:dyDescent="0.25">
      <c r="A157" s="12"/>
      <c r="B157" s="15"/>
      <c r="C157" s="3">
        <v>1</v>
      </c>
      <c r="D157" s="3">
        <f>3.25/3.281</f>
        <v>0.99055166107893933</v>
      </c>
      <c r="E157" s="3">
        <v>2.2599999999999998</v>
      </c>
      <c r="F157" s="3">
        <f t="shared" si="27"/>
        <v>2.2386467540384025</v>
      </c>
      <c r="G157" s="3">
        <f t="shared" si="28"/>
        <v>2.2386467540384025</v>
      </c>
      <c r="H157" s="14"/>
      <c r="I157" s="14"/>
      <c r="J157" s="14"/>
      <c r="K157" s="14"/>
    </row>
    <row r="158" spans="1:11" x14ac:dyDescent="0.25">
      <c r="A158" s="12"/>
      <c r="B158" s="15"/>
      <c r="C158" s="3">
        <v>1</v>
      </c>
      <c r="D158" s="3">
        <f>3.083/3.281</f>
        <v>0.93965254495580619</v>
      </c>
      <c r="E158" s="3">
        <v>2.2599999999999998</v>
      </c>
      <c r="F158" s="3">
        <f t="shared" si="27"/>
        <v>2.1236147516001216</v>
      </c>
      <c r="G158" s="3">
        <f t="shared" si="28"/>
        <v>2.1236147516001216</v>
      </c>
      <c r="H158" s="14"/>
      <c r="I158" s="14"/>
      <c r="J158" s="14"/>
      <c r="K158" s="14"/>
    </row>
    <row r="159" spans="1:11" x14ac:dyDescent="0.25">
      <c r="A159" s="12"/>
      <c r="B159" s="15"/>
      <c r="C159" s="3">
        <v>1</v>
      </c>
      <c r="D159" s="3">
        <f>2.917/3.281</f>
        <v>0.88905821395915874</v>
      </c>
      <c r="E159" s="3">
        <v>2.2599999999999998</v>
      </c>
      <c r="F159" s="3">
        <f t="shared" si="27"/>
        <v>2.0092715635476988</v>
      </c>
      <c r="G159" s="3">
        <f t="shared" si="28"/>
        <v>2.0092715635476988</v>
      </c>
      <c r="H159" s="14"/>
      <c r="I159" s="14"/>
      <c r="J159" s="14"/>
      <c r="K159" s="14"/>
    </row>
    <row r="160" spans="1:11" x14ac:dyDescent="0.25">
      <c r="A160" s="12"/>
      <c r="B160" s="15"/>
      <c r="C160" s="3">
        <v>1</v>
      </c>
      <c r="D160" s="3">
        <f>2.833/3.281</f>
        <v>0.86345626333434933</v>
      </c>
      <c r="E160" s="3">
        <v>2.2599999999999998</v>
      </c>
      <c r="F160" s="3">
        <f t="shared" si="27"/>
        <v>1.9514111551356292</v>
      </c>
      <c r="G160" s="3">
        <f t="shared" si="28"/>
        <v>1.9514111551356292</v>
      </c>
      <c r="H160" s="14"/>
      <c r="I160" s="14"/>
      <c r="J160" s="14"/>
      <c r="K160" s="14"/>
    </row>
    <row r="161" spans="1:11" x14ac:dyDescent="0.25">
      <c r="A161" s="12"/>
      <c r="B161" s="15"/>
      <c r="C161" s="3">
        <v>1</v>
      </c>
      <c r="D161" s="3">
        <f>2.75/3.281</f>
        <v>0.8381590978360256</v>
      </c>
      <c r="E161" s="3">
        <v>2.2599999999999998</v>
      </c>
      <c r="F161" s="3">
        <f t="shared" si="27"/>
        <v>1.8942395611094176</v>
      </c>
      <c r="G161" s="3">
        <f t="shared" si="28"/>
        <v>1.8942395611094176</v>
      </c>
      <c r="H161" s="14"/>
      <c r="I161" s="14"/>
      <c r="J161" s="14"/>
      <c r="K161" s="14"/>
    </row>
    <row r="162" spans="1:11" x14ac:dyDescent="0.25">
      <c r="A162" s="12"/>
      <c r="B162" s="15"/>
      <c r="C162" s="3">
        <v>1</v>
      </c>
      <c r="D162" s="3">
        <f>2.667/3.281</f>
        <v>0.81286193233770188</v>
      </c>
      <c r="E162" s="3">
        <v>2.2599999999999998</v>
      </c>
      <c r="F162" s="3">
        <f t="shared" si="27"/>
        <v>1.837067967083206</v>
      </c>
      <c r="G162" s="3">
        <f t="shared" si="28"/>
        <v>1.837067967083206</v>
      </c>
      <c r="H162" s="14"/>
      <c r="I162" s="14"/>
      <c r="J162" s="14"/>
      <c r="K162" s="14"/>
    </row>
    <row r="163" spans="1:11" ht="30" x14ac:dyDescent="0.25">
      <c r="A163" s="12"/>
      <c r="B163" s="43" t="s">
        <v>59</v>
      </c>
      <c r="C163" s="3"/>
      <c r="D163" s="3"/>
      <c r="E163" s="3"/>
      <c r="F163" s="3"/>
      <c r="G163" s="3"/>
      <c r="H163" s="14"/>
      <c r="I163" s="14"/>
      <c r="J163" s="14"/>
      <c r="K163" s="14"/>
    </row>
    <row r="164" spans="1:11" x14ac:dyDescent="0.25">
      <c r="A164" s="12"/>
      <c r="B164" s="43"/>
      <c r="C164" s="3">
        <v>1</v>
      </c>
      <c r="D164" s="3">
        <f>42.75/3.281</f>
        <v>13.029564157269125</v>
      </c>
      <c r="E164" s="3">
        <v>2.2599999999999998</v>
      </c>
      <c r="F164" s="3">
        <f t="shared" ref="F164:F174" si="29">PRODUCT(C164:E164)</f>
        <v>29.44681499542822</v>
      </c>
      <c r="G164" s="3">
        <f t="shared" ref="G164:G174" si="30">F164</f>
        <v>29.44681499542822</v>
      </c>
      <c r="H164" s="14"/>
      <c r="I164" s="14"/>
      <c r="J164" s="14"/>
      <c r="K164" s="14"/>
    </row>
    <row r="165" spans="1:11" x14ac:dyDescent="0.25">
      <c r="A165" s="12"/>
      <c r="B165" s="43"/>
      <c r="C165" s="3">
        <v>1</v>
      </c>
      <c r="D165" s="3">
        <f>42.917/3.281</f>
        <v>13.080463273392258</v>
      </c>
      <c r="E165" s="3">
        <v>2.2599999999999998</v>
      </c>
      <c r="F165" s="3">
        <f t="shared" si="29"/>
        <v>29.5618469978665</v>
      </c>
      <c r="G165" s="3">
        <f t="shared" si="30"/>
        <v>29.5618469978665</v>
      </c>
      <c r="H165" s="14"/>
      <c r="I165" s="14"/>
      <c r="J165" s="14"/>
      <c r="K165" s="14"/>
    </row>
    <row r="166" spans="1:11" x14ac:dyDescent="0.25">
      <c r="A166" s="12"/>
      <c r="B166" s="43"/>
      <c r="C166" s="3">
        <v>1</v>
      </c>
      <c r="D166" s="3">
        <f>43.17/3.281</f>
        <v>13.157573910393173</v>
      </c>
      <c r="E166" s="3">
        <v>2.2599999999999998</v>
      </c>
      <c r="F166" s="3">
        <f t="shared" si="29"/>
        <v>29.736117037488569</v>
      </c>
      <c r="G166" s="3">
        <f t="shared" si="30"/>
        <v>29.736117037488569</v>
      </c>
      <c r="H166" s="14"/>
      <c r="I166" s="14"/>
      <c r="J166" s="14"/>
      <c r="K166" s="14"/>
    </row>
    <row r="167" spans="1:11" x14ac:dyDescent="0.25">
      <c r="A167" s="12"/>
      <c r="B167" s="43"/>
      <c r="C167" s="3">
        <v>1</v>
      </c>
      <c r="D167" s="3">
        <f>43.42/3.281</f>
        <v>13.23377019201463</v>
      </c>
      <c r="E167" s="3">
        <v>2.2599999999999998</v>
      </c>
      <c r="F167" s="3">
        <f t="shared" si="29"/>
        <v>29.908320633953061</v>
      </c>
      <c r="G167" s="3">
        <f t="shared" si="30"/>
        <v>29.908320633953061</v>
      </c>
      <c r="H167" s="14"/>
      <c r="I167" s="14"/>
      <c r="J167" s="14"/>
      <c r="K167" s="14"/>
    </row>
    <row r="168" spans="1:11" x14ac:dyDescent="0.25">
      <c r="A168" s="12"/>
      <c r="B168" s="43"/>
      <c r="C168" s="3">
        <v>1</v>
      </c>
      <c r="D168" s="3">
        <f>43.583/3.281</f>
        <v>13.283450167631818</v>
      </c>
      <c r="E168" s="3">
        <v>2.2599999999999998</v>
      </c>
      <c r="F168" s="3">
        <f t="shared" si="29"/>
        <v>30.020597378847906</v>
      </c>
      <c r="G168" s="3">
        <f t="shared" si="30"/>
        <v>30.020597378847906</v>
      </c>
      <c r="H168" s="14"/>
      <c r="I168" s="14"/>
      <c r="J168" s="14"/>
      <c r="K168" s="14"/>
    </row>
    <row r="169" spans="1:11" x14ac:dyDescent="0.25">
      <c r="A169" s="12"/>
      <c r="B169" s="43"/>
      <c r="C169" s="3">
        <v>1</v>
      </c>
      <c r="D169" s="3">
        <f>43.833/3.281</f>
        <v>13.359646449253276</v>
      </c>
      <c r="E169" s="3">
        <v>2.2599999999999998</v>
      </c>
      <c r="F169" s="3">
        <f t="shared" si="29"/>
        <v>30.192800975312402</v>
      </c>
      <c r="G169" s="3">
        <f t="shared" si="30"/>
        <v>30.192800975312402</v>
      </c>
      <c r="H169" s="14"/>
      <c r="I169" s="14"/>
      <c r="J169" s="14"/>
      <c r="K169" s="14"/>
    </row>
    <row r="170" spans="1:11" x14ac:dyDescent="0.25">
      <c r="A170" s="12"/>
      <c r="B170" s="43"/>
      <c r="C170" s="3">
        <v>1</v>
      </c>
      <c r="D170" s="3">
        <f>44/3.281</f>
        <v>13.41054556537641</v>
      </c>
      <c r="E170" s="3">
        <v>2.2599999999999998</v>
      </c>
      <c r="F170" s="3">
        <f t="shared" si="29"/>
        <v>30.307832977750682</v>
      </c>
      <c r="G170" s="3">
        <f t="shared" si="30"/>
        <v>30.307832977750682</v>
      </c>
      <c r="H170" s="14"/>
      <c r="I170" s="14"/>
      <c r="J170" s="14"/>
      <c r="K170" s="14"/>
    </row>
    <row r="171" spans="1:11" x14ac:dyDescent="0.25">
      <c r="A171" s="12"/>
      <c r="B171" s="43"/>
      <c r="C171" s="3">
        <v>1</v>
      </c>
      <c r="D171" s="3">
        <f>32.667/3.281</f>
        <v>9.9564157269125264</v>
      </c>
      <c r="E171" s="3">
        <v>2.2599999999999998</v>
      </c>
      <c r="F171" s="3">
        <f t="shared" si="29"/>
        <v>22.501499542822309</v>
      </c>
      <c r="G171" s="3">
        <f t="shared" si="30"/>
        <v>22.501499542822309</v>
      </c>
      <c r="H171" s="14"/>
      <c r="I171" s="14"/>
      <c r="J171" s="14"/>
      <c r="K171" s="14"/>
    </row>
    <row r="172" spans="1:11" x14ac:dyDescent="0.25">
      <c r="A172" s="12"/>
      <c r="B172" s="43"/>
      <c r="C172" s="3">
        <v>1</v>
      </c>
      <c r="D172" s="3">
        <f>23.33/3.281</f>
        <v>7.1106370009143545</v>
      </c>
      <c r="E172" s="3">
        <v>2.2599999999999998</v>
      </c>
      <c r="F172" s="3">
        <f t="shared" si="29"/>
        <v>16.070039622066439</v>
      </c>
      <c r="G172" s="3">
        <f t="shared" si="30"/>
        <v>16.070039622066439</v>
      </c>
      <c r="H172" s="14"/>
      <c r="I172" s="14"/>
      <c r="J172" s="14"/>
      <c r="K172" s="14"/>
    </row>
    <row r="173" spans="1:11" x14ac:dyDescent="0.25">
      <c r="A173" s="12"/>
      <c r="B173" s="43"/>
      <c r="C173" s="3">
        <v>1</v>
      </c>
      <c r="D173" s="3">
        <f>14/3.281</f>
        <v>4.2669917708015843</v>
      </c>
      <c r="E173" s="3">
        <v>2.2599999999999998</v>
      </c>
      <c r="F173" s="3">
        <f t="shared" si="29"/>
        <v>9.6434014020115804</v>
      </c>
      <c r="G173" s="3">
        <f t="shared" si="30"/>
        <v>9.6434014020115804</v>
      </c>
      <c r="H173" s="14"/>
      <c r="I173" s="14"/>
      <c r="J173" s="14"/>
      <c r="K173" s="14"/>
    </row>
    <row r="174" spans="1:11" x14ac:dyDescent="0.25">
      <c r="A174" s="12"/>
      <c r="B174" s="43"/>
      <c r="C174" s="3">
        <v>1</v>
      </c>
      <c r="D174" s="3">
        <f>4.75/3.281</f>
        <v>1.4477293508076805</v>
      </c>
      <c r="E174" s="3">
        <v>2.2599999999999998</v>
      </c>
      <c r="F174" s="3">
        <f t="shared" si="29"/>
        <v>3.2718683328253575</v>
      </c>
      <c r="G174" s="3">
        <f t="shared" si="30"/>
        <v>3.2718683328253575</v>
      </c>
      <c r="H174" s="14"/>
      <c r="I174" s="14"/>
      <c r="J174" s="14"/>
      <c r="K174" s="14"/>
    </row>
    <row r="175" spans="1:11" s="10" customFormat="1" ht="15" customHeight="1" x14ac:dyDescent="0.25">
      <c r="A175" s="16"/>
      <c r="B175" s="17" t="s">
        <v>16</v>
      </c>
      <c r="C175" s="18"/>
      <c r="D175" s="1"/>
      <c r="E175" s="19"/>
      <c r="F175" s="19"/>
      <c r="G175" s="2">
        <f>SUM(G60:G174)</f>
        <v>950.68590499770414</v>
      </c>
      <c r="H175" s="20" t="s">
        <v>37</v>
      </c>
      <c r="I175" s="2">
        <f>1.15*182.51</f>
        <v>209.88649999999998</v>
      </c>
      <c r="J175" s="21">
        <f>G175*I175</f>
        <v>199536.1371993006</v>
      </c>
      <c r="K175" s="19"/>
    </row>
    <row r="176" spans="1:11" s="10" customFormat="1" ht="15" customHeight="1" x14ac:dyDescent="0.25">
      <c r="A176" s="16"/>
      <c r="B176" s="17"/>
      <c r="C176" s="18"/>
      <c r="D176" s="1"/>
      <c r="E176" s="19"/>
      <c r="F176" s="19"/>
      <c r="G176" s="2"/>
      <c r="H176" s="20"/>
      <c r="I176" s="2"/>
      <c r="J176" s="21"/>
      <c r="K176" s="19"/>
    </row>
    <row r="177" spans="1:11" s="10" customFormat="1" ht="30" x14ac:dyDescent="0.25">
      <c r="A177" s="22">
        <v>12</v>
      </c>
      <c r="B177" s="26" t="s">
        <v>57</v>
      </c>
      <c r="C177" s="24"/>
      <c r="D177" s="25"/>
      <c r="E177" s="25"/>
      <c r="F177" s="25"/>
      <c r="G177" s="25"/>
      <c r="H177" s="24"/>
      <c r="I177" s="24"/>
      <c r="J177" s="21"/>
      <c r="K177" s="24"/>
    </row>
    <row r="178" spans="1:11" x14ac:dyDescent="0.25">
      <c r="A178" s="12"/>
      <c r="B178" s="15" t="s">
        <v>58</v>
      </c>
      <c r="C178" s="3">
        <v>1</v>
      </c>
      <c r="D178" s="3">
        <f>(28+8.5/12)/3.281</f>
        <v>8.749873006197296</v>
      </c>
      <c r="E178" s="3">
        <f>(43+3/12)/3.281</f>
        <v>13.181956720512039</v>
      </c>
      <c r="F178" s="3"/>
      <c r="G178" s="3">
        <f>PRODUCT(C178:F178)</f>
        <v>115.34044727766933</v>
      </c>
      <c r="H178" s="14"/>
      <c r="I178" s="14"/>
      <c r="J178" s="14"/>
      <c r="K178" s="14"/>
    </row>
    <row r="179" spans="1:11" s="10" customFormat="1" ht="15" customHeight="1" x14ac:dyDescent="0.25">
      <c r="A179" s="16"/>
      <c r="B179" s="17" t="s">
        <v>16</v>
      </c>
      <c r="C179" s="18"/>
      <c r="D179" s="1"/>
      <c r="E179" s="19"/>
      <c r="F179" s="19"/>
      <c r="G179" s="2">
        <f>SUM(G178)</f>
        <v>115.34044727766933</v>
      </c>
      <c r="H179" s="20" t="s">
        <v>26</v>
      </c>
      <c r="I179" s="2">
        <f>1.15*1172.04</f>
        <v>1347.8459999999998</v>
      </c>
      <c r="J179" s="21">
        <f>G179*I179</f>
        <v>155461.16050141747</v>
      </c>
      <c r="K179" s="19"/>
    </row>
    <row r="180" spans="1:11" s="10" customFormat="1" ht="15" customHeight="1" x14ac:dyDescent="0.25">
      <c r="A180" s="16"/>
      <c r="B180" s="17"/>
      <c r="C180" s="18"/>
      <c r="D180" s="1"/>
      <c r="E180" s="19"/>
      <c r="F180" s="19"/>
      <c r="G180" s="2"/>
      <c r="H180" s="20"/>
      <c r="I180" s="2"/>
      <c r="J180" s="21"/>
      <c r="K180" s="19"/>
    </row>
    <row r="181" spans="1:11" s="10" customFormat="1" ht="30" x14ac:dyDescent="0.25">
      <c r="A181" s="22">
        <v>13</v>
      </c>
      <c r="B181" s="26" t="s">
        <v>60</v>
      </c>
      <c r="C181" s="24"/>
      <c r="D181" s="25"/>
      <c r="E181" s="25"/>
      <c r="F181" s="25"/>
      <c r="G181" s="25"/>
      <c r="H181" s="24"/>
      <c r="I181" s="24"/>
      <c r="J181" s="21"/>
      <c r="K181" s="24"/>
    </row>
    <row r="182" spans="1:11" x14ac:dyDescent="0.25">
      <c r="A182" s="12"/>
      <c r="B182" s="15" t="s">
        <v>61</v>
      </c>
      <c r="C182" s="3">
        <v>1</v>
      </c>
      <c r="D182" s="3">
        <f>12/3.281</f>
        <v>3.6574215178299299</v>
      </c>
      <c r="E182" s="3">
        <f>9/3.281</f>
        <v>2.7430661383724475</v>
      </c>
      <c r="F182" s="3"/>
      <c r="G182" s="3">
        <f>PRODUCT(C182:F182)</f>
        <v>10.032549119314041</v>
      </c>
      <c r="H182" s="14"/>
      <c r="I182" s="14"/>
      <c r="J182" s="14"/>
      <c r="K182" s="14"/>
    </row>
    <row r="183" spans="1:11" s="10" customFormat="1" ht="15" customHeight="1" x14ac:dyDescent="0.25">
      <c r="A183" s="16"/>
      <c r="B183" s="17" t="s">
        <v>16</v>
      </c>
      <c r="C183" s="18"/>
      <c r="D183" s="1"/>
      <c r="E183" s="19"/>
      <c r="F183" s="19"/>
      <c r="G183" s="2">
        <f>SUM(G182)</f>
        <v>10.032549119314041</v>
      </c>
      <c r="H183" s="20" t="s">
        <v>26</v>
      </c>
      <c r="I183" s="2">
        <f>1.15*6391.43</f>
        <v>7350.1444999999994</v>
      </c>
      <c r="J183" s="21">
        <f>G183*I183</f>
        <v>73740.685730305937</v>
      </c>
      <c r="K183" s="19"/>
    </row>
    <row r="184" spans="1:11" s="10" customFormat="1" ht="15" customHeight="1" x14ac:dyDescent="0.25">
      <c r="A184" s="16"/>
      <c r="B184" s="17"/>
      <c r="C184" s="18"/>
      <c r="D184" s="1"/>
      <c r="E184" s="19"/>
      <c r="F184" s="19"/>
      <c r="G184" s="2"/>
      <c r="H184" s="20"/>
      <c r="I184" s="2"/>
      <c r="J184" s="21"/>
      <c r="K184" s="19"/>
    </row>
    <row r="185" spans="1:11" s="10" customFormat="1" ht="15" customHeight="1" x14ac:dyDescent="0.25">
      <c r="A185" s="16">
        <v>14</v>
      </c>
      <c r="B185" s="45" t="s">
        <v>39</v>
      </c>
      <c r="C185" s="18">
        <v>1</v>
      </c>
      <c r="D185" s="1"/>
      <c r="E185" s="19"/>
      <c r="F185" s="19"/>
      <c r="G185" s="20">
        <f t="shared" ref="G185" si="31">PRODUCT(C185:F185)</f>
        <v>1</v>
      </c>
      <c r="H185" s="20" t="s">
        <v>25</v>
      </c>
      <c r="I185" s="2">
        <v>5000</v>
      </c>
      <c r="J185" s="20">
        <f>G185*I185</f>
        <v>5000</v>
      </c>
      <c r="K185" s="19"/>
    </row>
    <row r="186" spans="1:11" s="10" customFormat="1" x14ac:dyDescent="0.25">
      <c r="A186" s="22"/>
      <c r="B186" s="23"/>
      <c r="C186" s="24"/>
      <c r="D186" s="25"/>
      <c r="E186" s="25"/>
      <c r="F186" s="25"/>
      <c r="G186" s="25"/>
      <c r="H186" s="24"/>
      <c r="I186" s="24"/>
      <c r="J186" s="21"/>
      <c r="K186" s="24"/>
    </row>
    <row r="187" spans="1:11" s="10" customFormat="1" ht="15" customHeight="1" x14ac:dyDescent="0.25">
      <c r="A187" s="16">
        <v>15</v>
      </c>
      <c r="B187" s="27" t="s">
        <v>17</v>
      </c>
      <c r="C187" s="18">
        <v>1</v>
      </c>
      <c r="D187" s="1"/>
      <c r="E187" s="19"/>
      <c r="F187" s="19"/>
      <c r="G187" s="20">
        <f t="shared" ref="G187" si="32">PRODUCT(C187:F187)</f>
        <v>1</v>
      </c>
      <c r="H187" s="20" t="s">
        <v>18</v>
      </c>
      <c r="I187" s="2">
        <v>500</v>
      </c>
      <c r="J187" s="20">
        <f>G187*I187</f>
        <v>500</v>
      </c>
      <c r="K187" s="19"/>
    </row>
    <row r="188" spans="1:11" s="10" customFormat="1" x14ac:dyDescent="0.25">
      <c r="A188" s="16"/>
      <c r="B188" s="28"/>
      <c r="C188" s="18"/>
      <c r="D188" s="1"/>
      <c r="E188" s="19"/>
      <c r="F188" s="19"/>
      <c r="G188" s="2"/>
      <c r="H188" s="20"/>
      <c r="I188" s="2"/>
      <c r="J188" s="21"/>
      <c r="K188" s="19"/>
    </row>
    <row r="189" spans="1:11" s="10" customFormat="1" x14ac:dyDescent="0.25">
      <c r="A189" s="41"/>
      <c r="B189" s="29" t="s">
        <v>20</v>
      </c>
      <c r="C189" s="30"/>
      <c r="D189" s="31"/>
      <c r="E189" s="31"/>
      <c r="F189" s="31"/>
      <c r="G189" s="21"/>
      <c r="H189" s="21"/>
      <c r="I189" s="21"/>
      <c r="J189" s="21">
        <f>SUM(J10:J187)</f>
        <v>984233.81767181365</v>
      </c>
      <c r="K189" s="32"/>
    </row>
    <row r="190" spans="1:11" s="10" customFormat="1" x14ac:dyDescent="0.25">
      <c r="A190" s="39"/>
    </row>
    <row r="191" spans="1:11" s="39" customFormat="1" x14ac:dyDescent="0.25">
      <c r="A191" s="33"/>
      <c r="B191" s="34" t="s">
        <v>19</v>
      </c>
      <c r="C191" s="49">
        <f>J189</f>
        <v>984233.81767181365</v>
      </c>
      <c r="D191" s="50"/>
      <c r="E191" s="33"/>
      <c r="F191" s="35"/>
      <c r="G191" s="33"/>
      <c r="H191" s="36"/>
      <c r="I191" s="37"/>
      <c r="J191" s="38"/>
    </row>
    <row r="192" spans="1:11" s="10" customFormat="1" x14ac:dyDescent="0.25">
      <c r="A192" s="39"/>
      <c r="B192" s="46" t="s">
        <v>40</v>
      </c>
      <c r="C192" s="51">
        <f>0.13*C191</f>
        <v>127950.39629733578</v>
      </c>
      <c r="D192" s="52"/>
    </row>
    <row r="193" spans="1:4" s="10" customFormat="1" x14ac:dyDescent="0.25">
      <c r="A193" s="39"/>
      <c r="B193" s="34" t="s">
        <v>41</v>
      </c>
      <c r="C193" s="51">
        <f>SUM(C191:D192)</f>
        <v>1112184.2139691494</v>
      </c>
      <c r="D193" s="52"/>
    </row>
  </sheetData>
  <mergeCells count="12">
    <mergeCell ref="A6:F6"/>
    <mergeCell ref="H6:K6"/>
    <mergeCell ref="A1:K1"/>
    <mergeCell ref="A2:K2"/>
    <mergeCell ref="A3:K3"/>
    <mergeCell ref="A4:K4"/>
    <mergeCell ref="A5:K5"/>
    <mergeCell ref="A7:F7"/>
    <mergeCell ref="H7:K7"/>
    <mergeCell ref="C191:D191"/>
    <mergeCell ref="C192:D192"/>
    <mergeCell ref="C193:D193"/>
  </mergeCells>
  <pageMargins left="0.7" right="0.7" top="0.75" bottom="0.75" header="0.3" footer="0.3"/>
  <pageSetup scale="80" orientation="portrait"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2026-04-29T04:48:44Z</dcterms:modified>
</cp:coreProperties>
</file>