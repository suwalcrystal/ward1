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EC4E7945-B7B8-4FDC-8636-4AEAD1BE5F92}"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krishi" sheetId="14" r:id="rId2"/>
    <sheet name="krishi thekka" sheetId="15" r:id="rId3"/>
  </sheets>
  <externalReferences>
    <externalReference r:id="rId4"/>
    <externalReference r:id="rId5"/>
    <externalReference r:id="rId6"/>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krishi!$A$1:$K$104</definedName>
    <definedName name="_xlnm.Print_Area" localSheetId="2">'krishi thekka'!$A$1:$K$51</definedName>
    <definedName name="_xlnm.Print_Titles" localSheetId="0">estimate!$1:$8</definedName>
    <definedName name="_xlnm.Print_Titles" localSheetId="1">krishi!$1:$8</definedName>
    <definedName name="_xlnm.Print_Titles" localSheetId="2">'krishi thekka'!$1:$8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15" l="1"/>
  <c r="J43" i="15" s="1"/>
  <c r="C36" i="15"/>
  <c r="C39" i="15"/>
  <c r="I11" i="15"/>
  <c r="I41" i="15"/>
  <c r="I30" i="15"/>
  <c r="I26" i="15"/>
  <c r="I19" i="15"/>
  <c r="G45" i="15"/>
  <c r="J45" i="15" s="1"/>
  <c r="F10" i="15"/>
  <c r="D40" i="15"/>
  <c r="F40" i="15" s="1"/>
  <c r="G40" i="15" s="1"/>
  <c r="D39" i="15"/>
  <c r="D38" i="15"/>
  <c r="C38" i="15"/>
  <c r="F38" i="15" s="1"/>
  <c r="G38" i="15" s="1"/>
  <c r="D37" i="15"/>
  <c r="F37" i="15" s="1"/>
  <c r="G37" i="15" s="1"/>
  <c r="D36" i="15"/>
  <c r="D35" i="15"/>
  <c r="C35" i="15"/>
  <c r="F34" i="15"/>
  <c r="G34" i="15" s="1"/>
  <c r="F33" i="15"/>
  <c r="G33" i="15" s="1"/>
  <c r="F25" i="15"/>
  <c r="D25" i="15"/>
  <c r="G25" i="15" s="1"/>
  <c r="F24" i="15"/>
  <c r="D24" i="15"/>
  <c r="D23" i="15"/>
  <c r="D22" i="15"/>
  <c r="F18" i="15"/>
  <c r="G18" i="15" s="1"/>
  <c r="F17" i="15"/>
  <c r="F22" i="15" s="1"/>
  <c r="F23" i="15" s="1"/>
  <c r="D17" i="15"/>
  <c r="F16" i="15"/>
  <c r="C16" i="15"/>
  <c r="F15" i="15"/>
  <c r="C15" i="15"/>
  <c r="F14" i="15"/>
  <c r="D14" i="15"/>
  <c r="G25" i="14"/>
  <c r="G16" i="14"/>
  <c r="G14" i="14"/>
  <c r="G15" i="14"/>
  <c r="D14" i="14"/>
  <c r="D15" i="14"/>
  <c r="E24" i="14"/>
  <c r="D24" i="14"/>
  <c r="G24" i="14" s="1"/>
  <c r="F90" i="14"/>
  <c r="F39" i="15" l="1"/>
  <c r="G39" i="15" s="1"/>
  <c r="G24" i="15"/>
  <c r="G16" i="15"/>
  <c r="G14" i="15"/>
  <c r="F36" i="15"/>
  <c r="G36" i="15" s="1"/>
  <c r="G15" i="15"/>
  <c r="F35" i="15"/>
  <c r="G35" i="15" s="1"/>
  <c r="G17" i="15"/>
  <c r="D10" i="15"/>
  <c r="G10" i="15" s="1"/>
  <c r="G11" i="15" s="1"/>
  <c r="J11" i="15" s="1"/>
  <c r="G23" i="15"/>
  <c r="G22" i="15"/>
  <c r="G93" i="14"/>
  <c r="J93" i="14" s="1"/>
  <c r="C74" i="14"/>
  <c r="C71" i="14"/>
  <c r="D53" i="14"/>
  <c r="D52" i="14"/>
  <c r="F44" i="14"/>
  <c r="G44" i="14" s="1"/>
  <c r="D43" i="14"/>
  <c r="F35" i="14"/>
  <c r="F34" i="14"/>
  <c r="F52" i="14" s="1"/>
  <c r="F53" i="14" s="1"/>
  <c r="D34" i="14"/>
  <c r="D90" i="14" s="1"/>
  <c r="G90" i="14" s="1"/>
  <c r="G91" i="14" s="1"/>
  <c r="D82" i="14"/>
  <c r="G82" i="14" s="1"/>
  <c r="D81" i="14"/>
  <c r="G81" i="14" s="1"/>
  <c r="I83" i="14"/>
  <c r="D13" i="14"/>
  <c r="D23" i="14" s="1"/>
  <c r="E13" i="14"/>
  <c r="E23" i="14" s="1"/>
  <c r="G13" i="14"/>
  <c r="E12" i="14"/>
  <c r="E22" i="14" s="1"/>
  <c r="D12" i="14"/>
  <c r="D75" i="14"/>
  <c r="F75" i="14" s="1"/>
  <c r="G75" i="14" s="1"/>
  <c r="D72" i="14"/>
  <c r="F72" i="14" s="1"/>
  <c r="G72" i="14" s="1"/>
  <c r="C73" i="14"/>
  <c r="C70" i="14"/>
  <c r="D73" i="14"/>
  <c r="D74" i="14"/>
  <c r="D71" i="14"/>
  <c r="D70" i="14"/>
  <c r="F70" i="14" s="1"/>
  <c r="G70" i="14" s="1"/>
  <c r="F69" i="14"/>
  <c r="G69" i="14" s="1"/>
  <c r="F68" i="14"/>
  <c r="G68" i="14" s="1"/>
  <c r="F55" i="14"/>
  <c r="D55" i="14"/>
  <c r="D54" i="14"/>
  <c r="F54" i="14"/>
  <c r="E21" i="14"/>
  <c r="D21" i="14"/>
  <c r="G21" i="14" s="1"/>
  <c r="D10" i="14"/>
  <c r="G10" i="14" s="1"/>
  <c r="D11" i="14"/>
  <c r="C43" i="14"/>
  <c r="C56" i="14" s="1"/>
  <c r="F43" i="14"/>
  <c r="F56" i="14" s="1"/>
  <c r="G19" i="15" l="1"/>
  <c r="J19" i="15" s="1"/>
  <c r="G41" i="15"/>
  <c r="J41" i="15" s="1"/>
  <c r="G26" i="15"/>
  <c r="F74" i="14"/>
  <c r="G74" i="14" s="1"/>
  <c r="F73" i="14"/>
  <c r="G73" i="14" s="1"/>
  <c r="J91" i="14"/>
  <c r="G53" i="14"/>
  <c r="G52" i="14"/>
  <c r="D56" i="14"/>
  <c r="G56" i="14" s="1"/>
  <c r="G83" i="14"/>
  <c r="G12" i="14"/>
  <c r="D22" i="14"/>
  <c r="G22" i="14" s="1"/>
  <c r="G23" i="14"/>
  <c r="F71" i="14"/>
  <c r="G71" i="14" s="1"/>
  <c r="G55" i="14"/>
  <c r="G54" i="14"/>
  <c r="G43" i="14"/>
  <c r="G45" i="14" s="1"/>
  <c r="D29" i="15" l="1"/>
  <c r="G29" i="15" s="1"/>
  <c r="G30" i="15" s="1"/>
  <c r="J30" i="15" s="1"/>
  <c r="J26" i="15"/>
  <c r="G76" i="14"/>
  <c r="J77" i="14" s="1"/>
  <c r="G57" i="14"/>
  <c r="J59" i="14" s="1"/>
  <c r="J87" i="14"/>
  <c r="J86" i="14"/>
  <c r="J85" i="14"/>
  <c r="J84" i="14"/>
  <c r="J83" i="14"/>
  <c r="J78" i="14"/>
  <c r="D62" i="14"/>
  <c r="G62" i="14" s="1"/>
  <c r="G63" i="14" s="1"/>
  <c r="J49" i="14"/>
  <c r="J48" i="14"/>
  <c r="J47" i="14"/>
  <c r="J45" i="14"/>
  <c r="J46" i="14"/>
  <c r="J47" i="15" l="1"/>
  <c r="C49" i="15" s="1"/>
  <c r="J28" i="14"/>
  <c r="J27" i="14"/>
  <c r="J58" i="14"/>
  <c r="J57" i="14"/>
  <c r="J26" i="14"/>
  <c r="J25" i="14"/>
  <c r="J64" i="14"/>
  <c r="J65" i="14"/>
  <c r="J63" i="14"/>
  <c r="G35" i="14"/>
  <c r="C32" i="14"/>
  <c r="C33" i="14"/>
  <c r="F33" i="14"/>
  <c r="F32" i="14"/>
  <c r="F31" i="14"/>
  <c r="D31" i="14"/>
  <c r="C50" i="15" l="1"/>
  <c r="C51" i="15" s="1"/>
  <c r="J76" i="14"/>
  <c r="G31" i="14"/>
  <c r="G34" i="14"/>
  <c r="G33" i="14"/>
  <c r="C104" i="14"/>
  <c r="C103" i="14"/>
  <c r="G95" i="14"/>
  <c r="J95" i="14" s="1"/>
  <c r="I36"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C59" i="13"/>
  <c r="B59" i="13"/>
  <c r="B82" i="13" s="1"/>
  <c r="F41" i="13"/>
  <c r="F59" i="13" s="1"/>
  <c r="D83" i="13" s="1"/>
  <c r="C82" i="13" s="1"/>
  <c r="D41" i="13"/>
  <c r="E81" i="13"/>
  <c r="D81" i="13"/>
  <c r="E80" i="13"/>
  <c r="D80" i="13"/>
  <c r="C81" i="13" s="1"/>
  <c r="F81" i="13" s="1"/>
  <c r="G81" i="13" s="1"/>
  <c r="F58" i="13"/>
  <c r="C58" i="13"/>
  <c r="C80" i="13" s="1"/>
  <c r="B58" i="13"/>
  <c r="B80" i="13" s="1"/>
  <c r="D40" i="13"/>
  <c r="E79" i="13"/>
  <c r="D79" i="13"/>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78" i="13" l="1"/>
  <c r="G78" i="13" s="1"/>
  <c r="G41" i="13"/>
  <c r="D59" i="13"/>
  <c r="G40" i="13"/>
  <c r="D58" i="13"/>
  <c r="G58" i="13" s="1"/>
  <c r="C101" i="14"/>
  <c r="G11" i="14"/>
  <c r="G32" i="14"/>
  <c r="G36" i="14" s="1"/>
  <c r="F80" i="13"/>
  <c r="G80" i="13" s="1"/>
  <c r="D60" i="13"/>
  <c r="G60" i="13" s="1"/>
  <c r="D61" i="13"/>
  <c r="G61" i="13" s="1"/>
  <c r="F85" i="13"/>
  <c r="G85" i="13" s="1"/>
  <c r="G116" i="13"/>
  <c r="D118" i="13"/>
  <c r="G118" i="13" s="1"/>
  <c r="J144" i="13"/>
  <c r="J145" i="13" s="1"/>
  <c r="C73" i="13"/>
  <c r="G131" i="13"/>
  <c r="G138" i="13"/>
  <c r="G139" i="13" s="1"/>
  <c r="G120" i="13"/>
  <c r="G129" i="13"/>
  <c r="G119" i="13"/>
  <c r="D26" i="13"/>
  <c r="G26" i="13" s="1"/>
  <c r="G130" i="13"/>
  <c r="G102" i="13"/>
  <c r="G117" i="13"/>
  <c r="E109" i="13"/>
  <c r="F100" i="13"/>
  <c r="F128" i="13" s="1"/>
  <c r="G128" i="13" s="1"/>
  <c r="G103" i="13"/>
  <c r="G11" i="13"/>
  <c r="G17" i="13"/>
  <c r="D16" i="13"/>
  <c r="D24" i="13" s="1"/>
  <c r="D35" i="13" s="1"/>
  <c r="D115" i="13" s="1"/>
  <c r="G25" i="13"/>
  <c r="C24" i="13"/>
  <c r="D82" i="13" l="1"/>
  <c r="G59" i="13"/>
  <c r="F82" i="13"/>
  <c r="G82" i="13" s="1"/>
  <c r="C83" i="13"/>
  <c r="F83" i="13" s="1"/>
  <c r="G83" i="13" s="1"/>
  <c r="J17" i="14"/>
  <c r="J18" i="14"/>
  <c r="J140" i="13"/>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J37" i="14" l="1"/>
  <c r="J39" i="14"/>
  <c r="J38" i="14"/>
  <c r="J40" i="14"/>
  <c r="J36" i="14"/>
  <c r="C158" i="13"/>
  <c r="C157" i="13"/>
  <c r="G149" i="13"/>
  <c r="J149" i="13" s="1"/>
  <c r="C155" i="13" l="1"/>
  <c r="G115" i="13"/>
  <c r="G121" i="13" s="1"/>
  <c r="J16" i="14" l="1"/>
  <c r="J97"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G62" i="13" l="1"/>
  <c r="C99" i="14"/>
  <c r="C102" i="14"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G88" i="13" l="1"/>
  <c r="E101" i="14"/>
  <c r="E102" i="14" s="1"/>
  <c r="J88" i="13"/>
  <c r="J27" i="13"/>
  <c r="J20" i="13"/>
  <c r="J19" i="13"/>
  <c r="J110" i="13"/>
  <c r="J111" i="13"/>
  <c r="J104" i="13"/>
  <c r="J105" i="13"/>
  <c r="J28" i="13"/>
  <c r="J30" i="13"/>
  <c r="J29" i="13"/>
  <c r="J31" i="13"/>
  <c r="J12" i="13"/>
  <c r="J63" i="13"/>
  <c r="J64" i="13"/>
  <c r="J65" i="13"/>
  <c r="J66" i="13"/>
  <c r="J18" i="13"/>
  <c r="G38" i="13"/>
  <c r="G44" i="13" s="1"/>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<sst xmlns="http://schemas.openxmlformats.org/spreadsheetml/2006/main" count="302" uniqueCount="131">
  <si>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</si>
  <si>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</si>
  <si>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</si>
  <si>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</si>
  <si>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</si>
  <si>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</si>
  <si>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</si>
  <si>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</si>
  <si>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</si>
  <si>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</si>
  <si>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</si>
  <si>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</si>
  <si>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</si>
  <si>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</si>
  <si>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</si>
  <si>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</si>
  <si>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</si>
  <si>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</si>
  <si>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</si>
  <si>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</si>
  <si>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</si>
  <si>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</si>
  <si>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</si>
  <si>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</si>
  <si>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</si>
  <si>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</si>
  <si>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</si>
  <si>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</si>
  <si>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</si>
  <si>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</si>
  <si>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</si>
  <si>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</si>
  <si>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</si>
  <si>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</si>
  <si>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</si>
  <si>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</si>
  <si>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</si>
  <si>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</si>
  <si>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</si>
  <si>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</si>
  <si>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</si>
  <si>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</si>
  <si>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</si>
  <si>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</si>
  <si>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</si>
  <si>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</si>
  <si>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</si>
  <si>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</si>
  <si>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</si>
  <si>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</si>
  <si>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</si>
  <si>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</si>
  <si>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</si>
  <si>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</si>
  <si>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</si>
  <si>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</si>
  <si>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</si>
  <si>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</si>
  <si>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</si>
  <si>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</si>
  <si>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</si>
  <si>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</si>
  <si>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</si>
  <si>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</si>
  <si>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</si>
  <si>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</si>
  <si>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</si>
  <si>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</si>
  <si>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</si>
  <si>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</si>
  <si>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</si>
  <si>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</si>
  <si>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</si>
  <si>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</si>
  <si>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</si>
  <si>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</si>
  <si>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</si>
  <si>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</si>
  <si>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</si>
  <si>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</si>
  <si>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</si>
  <si>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</si>
  <si>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</si>
  <si>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</si>
  <si>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</si>
  <si>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</si>
  <si>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</si>
  <si>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</si>
  <si>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</si>
  <si>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</si>
  <si>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</si>
  <si>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</si>
  <si>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</si>
  <si>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</si>
  <si>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</si>
  <si>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-13% VAT for killa kaanti</t>
  </si>
  <si>
    <t>-13% VAT for agrakh kaath</t>
  </si>
  <si>
    <t>kfs]6 lj5\ofpg] / vfS;L nufO{ kfln; ug]{ sfd</t>
  </si>
  <si>
    <t>-flooring</t>
  </si>
  <si>
    <t>-13% VAT for parquete</t>
  </si>
  <si>
    <t>-13% VAT for main polish</t>
  </si>
  <si>
    <t>-13% VAT for khakshi</t>
  </si>
  <si>
    <t>-outer face of wall</t>
  </si>
  <si>
    <t>-inner face of wall</t>
  </si>
  <si>
    <t>-as of plaster</t>
  </si>
  <si>
    <t>ljleGg ;fO{hsf] kmnfd] PËn km]lj|s]zg u/L k|fOd/ k]G6 ;lxt ug]{ sfd</t>
  </si>
  <si>
    <t>Unit weight (Kg/m)</t>
  </si>
  <si>
    <t>Weight (Kg)</t>
  </si>
  <si>
    <t>Kg</t>
  </si>
  <si>
    <t>-MS square pipe for post of 75mm*75mm*5mm thickness</t>
  </si>
  <si>
    <t>-75mm*75mm*5mm size equal angle for stage binding</t>
  </si>
  <si>
    <t>-at stage</t>
  </si>
  <si>
    <t>-13% VAT for any kind of angles and MS black pipes</t>
  </si>
  <si>
    <t>-13% VAT for primer</t>
  </si>
  <si>
    <t>-deduction for stage area</t>
  </si>
  <si>
    <r>
      <t>%) dL=dL=</t>
    </r>
    <r>
      <rPr>
        <b/>
        <sz val="12"/>
        <rFont val="Times New Roman"/>
        <family val="1"/>
      </rPr>
      <t xml:space="preserve"> Ø</t>
    </r>
    <r>
      <rPr>
        <b/>
        <sz val="12"/>
        <rFont val="Preeti"/>
      </rPr>
      <t xml:space="preserve"> sf] sfnf] kmnfd] kfO{k kf]i6 @ dL6/ b"/Ldf</t>
    </r>
    <r>
      <rPr>
        <b/>
        <sz val="12"/>
        <rFont val="Times New Roman"/>
        <family val="1"/>
      </rPr>
      <t xml:space="preserve"> </t>
    </r>
    <r>
      <rPr>
        <b/>
        <sz val="12"/>
        <rFont val="Preeti"/>
      </rPr>
      <t xml:space="preserve">@% </t>
    </r>
    <r>
      <rPr>
        <b/>
        <sz val="12"/>
        <rFont val="Times New Roman"/>
        <family val="1"/>
      </rPr>
      <t>x</t>
    </r>
    <r>
      <rPr>
        <b/>
        <sz val="12"/>
        <rFont val="Preeti"/>
      </rPr>
      <t xml:space="preserve"> @% </t>
    </r>
    <r>
      <rPr>
        <b/>
        <sz val="12"/>
        <rFont val="Times New Roman"/>
        <family val="1"/>
      </rPr>
      <t>x</t>
    </r>
    <r>
      <rPr>
        <b/>
        <sz val="12"/>
        <rFont val="Preeti"/>
      </rPr>
      <t xml:space="preserve"> $ dL=dL= ;fO{hsf] kmnfd] PËn k|m]ddf &amp; dL=dL=</t>
    </r>
    <r>
      <rPr>
        <b/>
        <sz val="12"/>
        <rFont val="Times New Roman"/>
        <family val="1"/>
      </rPr>
      <t>Ø</t>
    </r>
    <r>
      <rPr>
        <b/>
        <sz val="12"/>
        <rFont val="Preeti"/>
      </rPr>
      <t xml:space="preserve"> kmnfd] 808Lsf] 8fouf]gnL hfnL ^@ </t>
    </r>
    <r>
      <rPr>
        <b/>
        <sz val="12"/>
        <rFont val="Times New Roman"/>
        <family val="1"/>
      </rPr>
      <t>x</t>
    </r>
    <r>
      <rPr>
        <b/>
        <sz val="12"/>
        <rFont val="Preeti"/>
      </rPr>
      <t xml:space="preserve"> ^@ dL=dL= ;fOhdf h8fg ug]{ / #</t>
    </r>
    <r>
      <rPr>
        <b/>
        <sz val="12"/>
        <rFont val="Times New Roman"/>
        <family val="1"/>
      </rPr>
      <t>x</t>
    </r>
    <r>
      <rPr>
        <b/>
        <sz val="12"/>
        <rFont val="Preeti"/>
      </rPr>
      <t>@) sf] kmnfd] kftfsf] lu|n )=!% dL= cUnf] agfO{ dfly h8fg u/L km]lj|s]zg u/L k|fOd/ k]G6 ;lxt ;Dk"0f{ sfo{ .</t>
    </r>
  </si>
  <si>
    <t>-fencing</t>
  </si>
  <si>
    <t>-13% VAT for 50mm Ø post</t>
  </si>
  <si>
    <t>-13% VAT for 25mm*25mm*4mm angle</t>
  </si>
  <si>
    <r>
      <t xml:space="preserve">-13% VAT for </t>
    </r>
    <r>
      <rPr>
        <sz val="11"/>
        <rFont val="Preeti"/>
      </rPr>
      <t>kmnfd] kftfsf] lu|n #</t>
    </r>
    <r>
      <rPr>
        <sz val="11"/>
        <rFont val="Times New Roman"/>
        <family val="1"/>
      </rPr>
      <t>x</t>
    </r>
    <r>
      <rPr>
        <sz val="11"/>
        <rFont val="Preeti"/>
      </rPr>
      <t>@) dL=dL=</t>
    </r>
  </si>
  <si>
    <t>-13% VAT for 7mm steel rod</t>
  </si>
  <si>
    <t>-partition wall</t>
  </si>
  <si>
    <t>- 9" wall</t>
  </si>
  <si>
    <t>Provisional sum for unforseen work</t>
  </si>
  <si>
    <r>
      <t>Project:-</t>
    </r>
    <r>
      <rPr>
        <sz val="12"/>
        <rFont val="Preeti"/>
      </rPr>
      <t xml:space="preserve"> s[lif pkh ;+sng s]Gb| lgdf{0f</t>
    </r>
  </si>
  <si>
    <t>l;d]G6 jf jh|df hf]8]sf] uf/f] eTsfO{ To;af6 cfPsf] ;fdfu+|L !) dL</t>
  </si>
  <si>
    <t>-office room</t>
  </si>
  <si>
    <t>-deduction for door area</t>
  </si>
  <si>
    <t>VAT 13%</t>
  </si>
  <si>
    <t>Grand total</t>
  </si>
  <si>
    <t>-MS square pipe for post of 3" * 3" * 2mm thickness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</si>
</sst>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11"/>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wrapText="1"/>
    </xf>
    <xf numFmtId="0" fontId="4" fillId="0" borderId="2" xfId="0" quotePrefix="1" applyFont="1" applyBorder="1" applyAlignment="1">
      <alignment horizontal="right" vertical="center"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1" xfId="0" applyFont="1" applyBorder="1"/>
    <xf numFmtId="0" fontId="8" fillId="0" borderId="1" xfId="0" applyFon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7" t="s">
        <v>0</v>
      </c>
      <c r="B1" s="57"/>
      <c r="C1" s="57"/>
      <c r="D1" s="57"/>
      <c r="E1" s="57"/>
      <c r="F1" s="57"/>
      <c r="G1" s="57"/>
      <c r="H1" s="57"/>
      <c r="I1" s="57"/>
      <c r="J1" s="57"/>
      <c r="K1" s="57"/>
    </row>
    <row r="2" spans="1:11" ht="22.5" x14ac:dyDescent="0.25">
      <c r="A2" s="58" t="s">
        <v>1</v>
      </c>
      <c r="B2" s="58"/>
      <c r="C2" s="58"/>
      <c r="D2" s="58"/>
      <c r="E2" s="58"/>
      <c r="F2" s="58"/>
      <c r="G2" s="58"/>
      <c r="H2" s="58"/>
      <c r="I2" s="58"/>
      <c r="J2" s="58"/>
      <c r="K2" s="58"/>
    </row>
    <row r="3" spans="1:11" x14ac:dyDescent="0.25">
      <c r="A3" s="59" t="s">
        <v>2</v>
      </c>
      <c r="B3" s="59"/>
      <c r="C3" s="59"/>
      <c r="D3" s="59"/>
      <c r="E3" s="59"/>
      <c r="F3" s="59"/>
      <c r="G3" s="59"/>
      <c r="H3" s="59"/>
      <c r="I3" s="59"/>
      <c r="J3" s="59"/>
      <c r="K3" s="59"/>
    </row>
    <row r="4" spans="1:11" x14ac:dyDescent="0.25">
      <c r="A4" s="59" t="s">
        <v>3</v>
      </c>
      <c r="B4" s="59"/>
      <c r="C4" s="59"/>
      <c r="D4" s="59"/>
      <c r="E4" s="59"/>
      <c r="F4" s="59"/>
      <c r="G4" s="59"/>
      <c r="H4" s="59"/>
      <c r="I4" s="59"/>
      <c r="J4" s="59"/>
      <c r="K4" s="59"/>
    </row>
    <row r="5" spans="1:11" ht="18.75" x14ac:dyDescent="0.3">
      <c r="A5" s="60" t="s">
        <v>4</v>
      </c>
      <c r="B5" s="60"/>
      <c r="C5" s="60"/>
      <c r="D5" s="60"/>
      <c r="E5" s="60"/>
      <c r="F5" s="60"/>
      <c r="G5" s="60"/>
      <c r="H5" s="60"/>
      <c r="I5" s="60"/>
      <c r="J5" s="60"/>
      <c r="K5" s="60"/>
    </row>
    <row r="6" spans="1:11" ht="15.75" x14ac:dyDescent="0.25">
      <c r="A6" s="55" t="s">
        <v>86</v>
      </c>
      <c r="B6" s="55"/>
      <c r="C6" s="55"/>
      <c r="D6" s="55"/>
      <c r="E6" s="55"/>
      <c r="F6" s="55"/>
      <c r="G6" s="4"/>
      <c r="H6" s="56" t="s">
        <v>25</v>
      </c>
      <c r="I6" s="56"/>
      <c r="J6" s="56"/>
      <c r="K6" s="56"/>
    </row>
    <row r="7" spans="1:11" ht="15.75" x14ac:dyDescent="0.25">
      <c r="A7" s="61" t="s">
        <v>29</v>
      </c>
      <c r="B7" s="61"/>
      <c r="C7" s="61"/>
      <c r="D7" s="61"/>
      <c r="E7" s="61"/>
      <c r="F7" s="61"/>
      <c r="G7" s="5"/>
      <c r="H7" s="62" t="s">
        <v>88</v>
      </c>
      <c r="I7" s="62"/>
      <c r="J7" s="62"/>
      <c r="K7" s="62"/>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63">
        <f>J151</f>
        <v>520268.58119831659</v>
      </c>
      <c r="D153" s="64"/>
      <c r="E153" s="39">
        <v>100</v>
      </c>
      <c r="F153" s="37"/>
      <c r="G153" s="40"/>
      <c r="H153" s="37"/>
      <c r="I153" s="41"/>
      <c r="J153" s="42"/>
      <c r="K153" s="43"/>
    </row>
    <row r="154" spans="1:11" s="10" customFormat="1" x14ac:dyDescent="0.25">
      <c r="B154" s="38" t="s">
        <v>21</v>
      </c>
      <c r="C154" s="65">
        <v>700000</v>
      </c>
      <c r="D154" s="66"/>
      <c r="E154" s="39"/>
    </row>
    <row r="155" spans="1:11" s="10" customFormat="1" x14ac:dyDescent="0.25">
      <c r="B155" s="38" t="s">
        <v>22</v>
      </c>
      <c r="C155" s="65">
        <f>C154-C157-C158</f>
        <v>665000</v>
      </c>
      <c r="D155" s="66"/>
      <c r="E155" s="39">
        <f>C155/C153*100</f>
        <v>127.81859678482381</v>
      </c>
    </row>
    <row r="156" spans="1:11" s="10" customFormat="1" x14ac:dyDescent="0.25">
      <c r="B156" s="38" t="s">
        <v>26</v>
      </c>
      <c r="C156" s="67">
        <f>C153-C155</f>
        <v>-144731.41880168341</v>
      </c>
      <c r="D156" s="67"/>
      <c r="E156" s="39">
        <f>100-E155</f>
        <v>-27.818596784823811</v>
      </c>
    </row>
    <row r="157" spans="1:11" s="10" customFormat="1" x14ac:dyDescent="0.25">
      <c r="B157" s="38" t="s">
        <v>23</v>
      </c>
      <c r="C157" s="63">
        <f>C154*0.03</f>
        <v>21000</v>
      </c>
      <c r="D157" s="64"/>
      <c r="E157" s="39">
        <v>3</v>
      </c>
    </row>
    <row r="158" spans="1:11" s="10" customFormat="1" x14ac:dyDescent="0.25">
      <c r="B158" s="38" t="s">
        <v>24</v>
      </c>
      <c r="C158" s="63">
        <f>C154*0.02</f>
        <v>14000</v>
      </c>
      <c r="D158" s="64"/>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4"/>
  <sheetViews>
    <sheetView topLeftCell="A85" zoomScaleNormal="100" workbookViewId="0">
      <selection activeCell="A93" sqref="A93:XFD94"/>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57" t="s">
        <v>0</v>
      </c>
      <c r="B1" s="57"/>
      <c r="C1" s="57"/>
      <c r="D1" s="57"/>
      <c r="E1" s="57"/>
      <c r="F1" s="57"/>
      <c r="G1" s="57"/>
      <c r="H1" s="57"/>
      <c r="I1" s="57"/>
      <c r="J1" s="57"/>
      <c r="K1" s="57"/>
    </row>
    <row r="2" spans="1:11" ht="22.5" x14ac:dyDescent="0.25">
      <c r="A2" s="58" t="s">
        <v>1</v>
      </c>
      <c r="B2" s="58"/>
      <c r="C2" s="58"/>
      <c r="D2" s="58"/>
      <c r="E2" s="58"/>
      <c r="F2" s="58"/>
      <c r="G2" s="58"/>
      <c r="H2" s="58"/>
      <c r="I2" s="58"/>
      <c r="J2" s="58"/>
      <c r="K2" s="58"/>
    </row>
    <row r="3" spans="1:11" x14ac:dyDescent="0.25">
      <c r="A3" s="59" t="s">
        <v>2</v>
      </c>
      <c r="B3" s="59"/>
      <c r="C3" s="59"/>
      <c r="D3" s="59"/>
      <c r="E3" s="59"/>
      <c r="F3" s="59"/>
      <c r="G3" s="59"/>
      <c r="H3" s="59"/>
      <c r="I3" s="59"/>
      <c r="J3" s="59"/>
      <c r="K3" s="59"/>
    </row>
    <row r="4" spans="1:11" x14ac:dyDescent="0.25">
      <c r="A4" s="59" t="s">
        <v>3</v>
      </c>
      <c r="B4" s="59"/>
      <c r="C4" s="59"/>
      <c r="D4" s="59"/>
      <c r="E4" s="59"/>
      <c r="F4" s="59"/>
      <c r="G4" s="59"/>
      <c r="H4" s="59"/>
      <c r="I4" s="59"/>
      <c r="J4" s="59"/>
      <c r="K4" s="59"/>
    </row>
    <row r="5" spans="1:11" ht="18.75" x14ac:dyDescent="0.3">
      <c r="A5" s="60" t="s">
        <v>4</v>
      </c>
      <c r="B5" s="60"/>
      <c r="C5" s="60"/>
      <c r="D5" s="60"/>
      <c r="E5" s="60"/>
      <c r="F5" s="60"/>
      <c r="G5" s="60"/>
      <c r="H5" s="60"/>
      <c r="I5" s="60"/>
      <c r="J5" s="60"/>
      <c r="K5" s="60"/>
    </row>
    <row r="6" spans="1:11" ht="15.75" x14ac:dyDescent="0.25">
      <c r="A6" s="55" t="s">
        <v>124</v>
      </c>
      <c r="B6" s="55"/>
      <c r="C6" s="55"/>
      <c r="D6" s="55"/>
      <c r="E6" s="55"/>
      <c r="F6" s="55"/>
      <c r="G6" s="4"/>
      <c r="H6" s="56" t="s">
        <v>25</v>
      </c>
      <c r="I6" s="56"/>
      <c r="J6" s="56"/>
      <c r="K6" s="56"/>
    </row>
    <row r="7" spans="1:11" ht="15.75" x14ac:dyDescent="0.25">
      <c r="A7" s="61" t="s">
        <v>29</v>
      </c>
      <c r="B7" s="61"/>
      <c r="C7" s="61"/>
      <c r="D7" s="61"/>
      <c r="E7" s="61"/>
      <c r="F7" s="61"/>
      <c r="G7" s="5"/>
      <c r="H7" s="62" t="s">
        <v>88</v>
      </c>
      <c r="I7" s="62"/>
      <c r="J7" s="62"/>
      <c r="K7" s="62"/>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3"/>
      <c r="B10" s="16" t="s">
        <v>89</v>
      </c>
      <c r="C10" s="15">
        <v>2</v>
      </c>
      <c r="D10" s="3">
        <f>(272+272)/12/3.281</f>
        <v>13.81692573402418</v>
      </c>
      <c r="E10" s="3"/>
      <c r="F10" s="3">
        <v>0.75</v>
      </c>
      <c r="G10" s="3">
        <f>PRODUCT(C10:F10)</f>
        <v>20.725388601036268</v>
      </c>
      <c r="H10" s="15"/>
      <c r="I10" s="15"/>
      <c r="J10" s="15"/>
      <c r="K10" s="15"/>
    </row>
    <row r="11" spans="1:11" x14ac:dyDescent="0.25">
      <c r="A11" s="13"/>
      <c r="B11" s="16" t="s">
        <v>92</v>
      </c>
      <c r="C11" s="15">
        <v>2</v>
      </c>
      <c r="D11" s="3">
        <f>236/12/3.281</f>
        <v>5.9941074875546079</v>
      </c>
      <c r="E11" s="3"/>
      <c r="F11" s="3">
        <v>0.75</v>
      </c>
      <c r="G11" s="3">
        <f t="shared" ref="G11:G15" si="0">PRODUCT(C11:F11)</f>
        <v>8.9911612313319118</v>
      </c>
      <c r="H11" s="15"/>
      <c r="I11" s="15"/>
      <c r="J11" s="15"/>
      <c r="K11" s="15"/>
    </row>
    <row r="12" spans="1:11" x14ac:dyDescent="0.25">
      <c r="A12" s="13"/>
      <c r="B12" s="16" t="s">
        <v>111</v>
      </c>
      <c r="C12" s="15">
        <v>1</v>
      </c>
      <c r="D12" s="3">
        <f>28.75/3.281</f>
        <v>8.7625723864675393</v>
      </c>
      <c r="E12" s="3">
        <f>6.75/3.281</f>
        <v>2.0572996037793354</v>
      </c>
      <c r="F12" s="3"/>
      <c r="G12" s="3">
        <f t="shared" si="0"/>
        <v>18.027236698767414</v>
      </c>
      <c r="H12" s="15"/>
      <c r="I12" s="15"/>
      <c r="J12" s="15"/>
      <c r="K12" s="15"/>
    </row>
    <row r="13" spans="1:11" x14ac:dyDescent="0.25">
      <c r="A13" s="13"/>
      <c r="B13" s="16"/>
      <c r="C13" s="15">
        <v>1</v>
      </c>
      <c r="D13" s="3">
        <f>32.25/3.281</f>
        <v>9.8293203291679365</v>
      </c>
      <c r="E13" s="3">
        <f>6.75/3.281</f>
        <v>2.0572996037793354</v>
      </c>
      <c r="F13" s="3"/>
      <c r="G13" s="3">
        <f t="shared" si="0"/>
        <v>20.221856818617361</v>
      </c>
      <c r="H13" s="15"/>
      <c r="I13" s="15"/>
      <c r="J13" s="15"/>
      <c r="K13" s="15"/>
    </row>
    <row r="14" spans="1:11" x14ac:dyDescent="0.25">
      <c r="A14" s="13"/>
      <c r="B14" s="16" t="s">
        <v>127</v>
      </c>
      <c r="C14" s="15">
        <v>-2</v>
      </c>
      <c r="D14" s="3">
        <f>42/12/3.281</f>
        <v>1.0667479427003961</v>
      </c>
      <c r="E14" s="3"/>
      <c r="F14" s="3">
        <v>0.75</v>
      </c>
      <c r="G14" s="3">
        <f t="shared" si="0"/>
        <v>-1.600121914050594</v>
      </c>
      <c r="H14" s="15"/>
      <c r="I14" s="15"/>
      <c r="J14" s="15"/>
      <c r="K14" s="15"/>
    </row>
    <row r="15" spans="1:11" x14ac:dyDescent="0.25">
      <c r="A15" s="13"/>
      <c r="B15" s="16"/>
      <c r="C15" s="15">
        <v>-1</v>
      </c>
      <c r="D15" s="3">
        <f>35/12/3.281</f>
        <v>0.88895661891699673</v>
      </c>
      <c r="E15" s="3"/>
      <c r="F15" s="3">
        <v>0.75</v>
      </c>
      <c r="G15" s="3">
        <f t="shared" si="0"/>
        <v>-0.66671746418774758</v>
      </c>
      <c r="H15" s="15"/>
      <c r="I15" s="15"/>
      <c r="J15" s="15"/>
      <c r="K15" s="15"/>
    </row>
    <row r="16" spans="1:11" s="10" customFormat="1" ht="15" customHeight="1" x14ac:dyDescent="0.25">
      <c r="A16" s="17"/>
      <c r="B16" s="18" t="s">
        <v>16</v>
      </c>
      <c r="C16" s="19"/>
      <c r="D16" s="1"/>
      <c r="E16" s="20"/>
      <c r="F16" s="20"/>
      <c r="G16" s="2">
        <f>SUM(G10:G15)</f>
        <v>65.698803971514621</v>
      </c>
      <c r="H16" s="21" t="s">
        <v>34</v>
      </c>
      <c r="I16" s="2">
        <v>9949.51</v>
      </c>
      <c r="J16" s="22">
        <f>G16*I16</f>
        <v>653670.90710262442</v>
      </c>
      <c r="K16" s="20"/>
    </row>
    <row r="17" spans="1:11" s="10" customFormat="1" x14ac:dyDescent="0.25">
      <c r="A17" s="24"/>
      <c r="B17" s="25" t="s">
        <v>96</v>
      </c>
      <c r="C17" s="26"/>
      <c r="D17" s="27"/>
      <c r="E17" s="27"/>
      <c r="F17" s="27"/>
      <c r="G17" s="27"/>
      <c r="H17" s="26"/>
      <c r="I17" s="26"/>
      <c r="J17" s="22">
        <f>0.13*G16*90530.95/10</f>
        <v>77321.076786264879</v>
      </c>
      <c r="K17" s="26"/>
    </row>
    <row r="18" spans="1:11" s="10" customFormat="1" x14ac:dyDescent="0.25">
      <c r="A18" s="24"/>
      <c r="B18" s="25" t="s">
        <v>95</v>
      </c>
      <c r="C18" s="26"/>
      <c r="D18" s="27"/>
      <c r="E18" s="27"/>
      <c r="F18" s="27"/>
      <c r="G18" s="27"/>
      <c r="H18" s="26"/>
      <c r="I18" s="26"/>
      <c r="J18" s="22">
        <f>0.13*G16*264/10</f>
        <v>225.47829523023816</v>
      </c>
      <c r="K18" s="26"/>
    </row>
    <row r="19" spans="1:11" x14ac:dyDescent="0.25">
      <c r="A19" s="13"/>
      <c r="B19" s="15"/>
      <c r="C19" s="15"/>
      <c r="D19" s="3"/>
      <c r="E19" s="3"/>
      <c r="F19" s="3"/>
      <c r="G19" s="3"/>
      <c r="H19" s="15"/>
      <c r="I19" s="15"/>
      <c r="J19" s="15"/>
      <c r="K19" s="15"/>
    </row>
    <row r="20" spans="1:11" s="14" customFormat="1" ht="30" x14ac:dyDescent="0.25">
      <c r="A20" s="11">
        <v>2</v>
      </c>
      <c r="B20" s="28" t="s">
        <v>97</v>
      </c>
      <c r="C20" s="13"/>
      <c r="D20" s="23"/>
      <c r="E20" s="23"/>
      <c r="F20" s="23"/>
      <c r="G20" s="23"/>
      <c r="H20" s="13"/>
      <c r="I20" s="13"/>
      <c r="J20" s="13"/>
      <c r="K20" s="13"/>
    </row>
    <row r="21" spans="1:11" x14ac:dyDescent="0.25">
      <c r="A21" s="13"/>
      <c r="B21" s="16" t="s">
        <v>98</v>
      </c>
      <c r="C21" s="15">
        <v>1</v>
      </c>
      <c r="D21" s="3">
        <f>35.083/3.281</f>
        <v>10.692776592502286</v>
      </c>
      <c r="E21" s="3">
        <f>236/12/3.281</f>
        <v>5.9941074875546079</v>
      </c>
      <c r="F21" s="3"/>
      <c r="G21" s="3">
        <f>PRODUCT(C21:F21)</f>
        <v>64.0936522358666</v>
      </c>
      <c r="H21" s="15"/>
      <c r="I21" s="15"/>
      <c r="J21" s="15"/>
      <c r="K21" s="15"/>
    </row>
    <row r="22" spans="1:11" x14ac:dyDescent="0.25">
      <c r="A22" s="13"/>
      <c r="B22" s="16" t="s">
        <v>114</v>
      </c>
      <c r="C22" s="15">
        <v>-1</v>
      </c>
      <c r="D22" s="3">
        <f>D12</f>
        <v>8.7625723864675393</v>
      </c>
      <c r="E22" s="3">
        <f>E12</f>
        <v>2.0572996037793354</v>
      </c>
      <c r="F22" s="3"/>
      <c r="G22" s="3">
        <f t="shared" ref="G22:G24" si="1">PRODUCT(C22:F22)</f>
        <v>-18.027236698767414</v>
      </c>
      <c r="H22" s="15"/>
      <c r="I22" s="15"/>
      <c r="J22" s="15"/>
      <c r="K22" s="15"/>
    </row>
    <row r="23" spans="1:11" x14ac:dyDescent="0.25">
      <c r="A23" s="13"/>
      <c r="B23" s="16"/>
      <c r="C23" s="15">
        <v>-1</v>
      </c>
      <c r="D23" s="3">
        <f>D13</f>
        <v>9.8293203291679365</v>
      </c>
      <c r="E23" s="3">
        <f>E13</f>
        <v>2.0572996037793354</v>
      </c>
      <c r="F23" s="3"/>
      <c r="G23" s="3">
        <f t="shared" si="1"/>
        <v>-20.221856818617361</v>
      </c>
      <c r="H23" s="15"/>
      <c r="I23" s="15"/>
      <c r="J23" s="15"/>
      <c r="K23" s="15"/>
    </row>
    <row r="24" spans="1:11" x14ac:dyDescent="0.25">
      <c r="A24" s="13"/>
      <c r="B24" s="16" t="s">
        <v>126</v>
      </c>
      <c r="C24" s="15">
        <v>1</v>
      </c>
      <c r="D24" s="3">
        <f>10.667/3.281</f>
        <v>3.2511429442243216</v>
      </c>
      <c r="E24" s="3">
        <f>236/12/3.281</f>
        <v>5.9941074875546079</v>
      </c>
      <c r="F24" s="3"/>
      <c r="G24" s="3">
        <f t="shared" si="1"/>
        <v>19.487700265085341</v>
      </c>
      <c r="H24" s="15"/>
      <c r="I24" s="15"/>
      <c r="J24" s="15"/>
      <c r="K24" s="15"/>
    </row>
    <row r="25" spans="1:11" s="10" customFormat="1" ht="15" customHeight="1" x14ac:dyDescent="0.25">
      <c r="A25" s="17"/>
      <c r="B25" s="18" t="s">
        <v>16</v>
      </c>
      <c r="C25" s="19"/>
      <c r="D25" s="1"/>
      <c r="E25" s="20"/>
      <c r="F25" s="20"/>
      <c r="G25" s="2">
        <f>SUM(G21:G24)</f>
        <v>45.332258983567172</v>
      </c>
      <c r="H25" s="21" t="s">
        <v>34</v>
      </c>
      <c r="I25" s="2">
        <v>2808.56</v>
      </c>
      <c r="J25" s="22">
        <f>G25*I25</f>
        <v>127318.36929088741</v>
      </c>
      <c r="K25" s="20"/>
    </row>
    <row r="26" spans="1:11" s="10" customFormat="1" x14ac:dyDescent="0.25">
      <c r="A26" s="24"/>
      <c r="B26" s="25" t="s">
        <v>99</v>
      </c>
      <c r="C26" s="26"/>
      <c r="D26" s="27"/>
      <c r="E26" s="27"/>
      <c r="F26" s="27"/>
      <c r="G26" s="27"/>
      <c r="H26" s="26"/>
      <c r="I26" s="26"/>
      <c r="J26" s="22">
        <f>0.13*G25*24855.6/10</f>
        <v>14647.886453095378</v>
      </c>
      <c r="K26" s="26"/>
    </row>
    <row r="27" spans="1:11" s="10" customFormat="1" x14ac:dyDescent="0.25">
      <c r="A27" s="24"/>
      <c r="B27" s="25" t="s">
        <v>101</v>
      </c>
      <c r="C27" s="26"/>
      <c r="D27" s="27"/>
      <c r="E27" s="27"/>
      <c r="F27" s="27"/>
      <c r="G27" s="27"/>
      <c r="H27" s="26"/>
      <c r="I27" s="26"/>
      <c r="J27" s="22">
        <f>0.13*G25*50/10</f>
        <v>29.465968339318664</v>
      </c>
      <c r="K27" s="26"/>
    </row>
    <row r="28" spans="1:11" s="10" customFormat="1" x14ac:dyDescent="0.25">
      <c r="A28" s="24"/>
      <c r="B28" s="25" t="s">
        <v>100</v>
      </c>
      <c r="C28" s="26"/>
      <c r="D28" s="27"/>
      <c r="E28" s="27"/>
      <c r="F28" s="27"/>
      <c r="G28" s="27"/>
      <c r="H28" s="26"/>
      <c r="I28" s="26"/>
      <c r="J28" s="22">
        <f>0.13*G25*300/10</f>
        <v>176.79581003591198</v>
      </c>
      <c r="K28" s="26"/>
    </row>
    <row r="29" spans="1:11" x14ac:dyDescent="0.25">
      <c r="A29" s="13"/>
      <c r="B29" s="15"/>
      <c r="C29" s="15"/>
      <c r="D29" s="3"/>
      <c r="E29" s="3"/>
      <c r="F29" s="3"/>
      <c r="G29" s="3"/>
      <c r="H29" s="15"/>
      <c r="I29" s="15"/>
      <c r="J29" s="15"/>
      <c r="K29" s="15"/>
    </row>
    <row r="30" spans="1:11" ht="30" x14ac:dyDescent="0.25">
      <c r="A30" s="11">
        <v>3</v>
      </c>
      <c r="B30" s="28" t="s">
        <v>63</v>
      </c>
      <c r="C30" s="15"/>
      <c r="D30" s="15"/>
      <c r="E30" s="15"/>
      <c r="F30" s="15"/>
      <c r="G30" s="15"/>
      <c r="H30" s="15"/>
      <c r="I30" s="15"/>
      <c r="J30" s="15"/>
      <c r="K30" s="15"/>
    </row>
    <row r="31" spans="1:11" x14ac:dyDescent="0.25">
      <c r="A31" s="13"/>
      <c r="B31" s="16" t="s">
        <v>89</v>
      </c>
      <c r="C31" s="3">
        <v>2</v>
      </c>
      <c r="D31" s="3">
        <f>(48.5/3.281)</f>
        <v>14.782078634562632</v>
      </c>
      <c r="E31" s="3">
        <v>0.23</v>
      </c>
      <c r="F31" s="3">
        <f t="shared" ref="F31:F33" si="2">2.75/3.281</f>
        <v>0.8381590978360256</v>
      </c>
      <c r="G31" s="3">
        <f>PRODUCT(C31:F31)</f>
        <v>5.6992774985436547</v>
      </c>
      <c r="H31" s="15"/>
      <c r="I31" s="15"/>
      <c r="J31" s="15"/>
      <c r="K31" s="15"/>
    </row>
    <row r="32" spans="1:11" x14ac:dyDescent="0.25">
      <c r="A32" s="13"/>
      <c r="B32" s="16" t="s">
        <v>90</v>
      </c>
      <c r="C32" s="3">
        <f>-5*2</f>
        <v>-10</v>
      </c>
      <c r="D32" s="3">
        <v>0.35</v>
      </c>
      <c r="E32" s="3">
        <v>0.23</v>
      </c>
      <c r="F32" s="3">
        <f t="shared" si="2"/>
        <v>0.8381590978360256</v>
      </c>
      <c r="G32" s="3">
        <f t="shared" ref="G32" si="3">PRODUCT(C32:F32)</f>
        <v>-0.67471807375800064</v>
      </c>
      <c r="H32" s="15"/>
      <c r="I32" s="15"/>
      <c r="J32" s="15"/>
      <c r="K32" s="15"/>
    </row>
    <row r="33" spans="1:11" x14ac:dyDescent="0.25">
      <c r="A33" s="13"/>
      <c r="B33" s="16" t="s">
        <v>91</v>
      </c>
      <c r="C33" s="3">
        <f>5*2</f>
        <v>10</v>
      </c>
      <c r="D33" s="3">
        <v>0.35</v>
      </c>
      <c r="E33" s="3">
        <v>0.35</v>
      </c>
      <c r="F33" s="3">
        <f t="shared" si="2"/>
        <v>0.8381590978360256</v>
      </c>
      <c r="G33" s="3">
        <f t="shared" ref="G33" si="4">PRODUCT(C33:F33)</f>
        <v>1.0267448948491313</v>
      </c>
      <c r="H33" s="15"/>
      <c r="I33" s="15"/>
      <c r="J33" s="15"/>
      <c r="K33" s="15"/>
    </row>
    <row r="34" spans="1:11" x14ac:dyDescent="0.25">
      <c r="A34" s="13"/>
      <c r="B34" s="16" t="s">
        <v>92</v>
      </c>
      <c r="C34" s="3">
        <v>1</v>
      </c>
      <c r="D34" s="3">
        <f>((19.17-0.75)/3.281)</f>
        <v>5.6141420298689431</v>
      </c>
      <c r="E34" s="3">
        <v>0.1</v>
      </c>
      <c r="F34" s="3">
        <f>(7.5+2.75)/3.281</f>
        <v>3.1240475464797317</v>
      </c>
      <c r="G34" s="3">
        <f>PRODUCT(C34:F34)</f>
        <v>1.7538846634000815</v>
      </c>
      <c r="H34" s="15"/>
      <c r="I34" s="15"/>
      <c r="J34" s="15"/>
      <c r="K34" s="15"/>
    </row>
    <row r="35" spans="1:11" x14ac:dyDescent="0.25">
      <c r="A35" s="13"/>
      <c r="B35" s="16" t="s">
        <v>122</v>
      </c>
      <c r="C35" s="3">
        <v>1</v>
      </c>
      <c r="D35" s="3">
        <v>0.23</v>
      </c>
      <c r="E35" s="3">
        <v>0.23</v>
      </c>
      <c r="F35" s="3">
        <f>(7.5+2.75)/3.281</f>
        <v>3.1240475464797317</v>
      </c>
      <c r="G35" s="3">
        <f>PRODUCT(C35:F35)</f>
        <v>0.16526211520877782</v>
      </c>
      <c r="H35" s="15"/>
      <c r="I35" s="15"/>
      <c r="J35" s="15"/>
      <c r="K35" s="15"/>
    </row>
    <row r="36" spans="1:11" s="10" customFormat="1" ht="15" customHeight="1" x14ac:dyDescent="0.25">
      <c r="A36" s="17"/>
      <c r="B36" s="18" t="s">
        <v>16</v>
      </c>
      <c r="C36" s="19"/>
      <c r="D36" s="1"/>
      <c r="E36" s="20"/>
      <c r="F36" s="20"/>
      <c r="G36" s="2">
        <f>SUM(G31:G35)</f>
        <v>7.9704510982436449</v>
      </c>
      <c r="H36" s="21" t="s">
        <v>28</v>
      </c>
      <c r="I36" s="2">
        <f>14491.84</f>
        <v>14491.84</v>
      </c>
      <c r="J36" s="22">
        <f>G36*I36</f>
        <v>115506.50204357118</v>
      </c>
      <c r="K36" s="20"/>
    </row>
    <row r="37" spans="1:11" s="10" customFormat="1" x14ac:dyDescent="0.25">
      <c r="A37" s="24"/>
      <c r="B37" s="25" t="s">
        <v>55</v>
      </c>
      <c r="C37" s="26"/>
      <c r="D37" s="27"/>
      <c r="E37" s="27"/>
      <c r="F37" s="27"/>
      <c r="G37" s="27"/>
      <c r="H37" s="26"/>
      <c r="I37" s="26"/>
      <c r="J37" s="22">
        <f>0.13*G36*8481.2</f>
        <v>8787.8686810751205</v>
      </c>
      <c r="K37" s="26"/>
    </row>
    <row r="38" spans="1:11" s="10" customFormat="1" x14ac:dyDescent="0.25">
      <c r="A38" s="24"/>
      <c r="B38" s="25" t="s">
        <v>32</v>
      </c>
      <c r="C38" s="26"/>
      <c r="D38" s="27"/>
      <c r="E38" s="27"/>
      <c r="F38" s="27"/>
      <c r="G38" s="27"/>
      <c r="H38" s="26"/>
      <c r="I38" s="26"/>
      <c r="J38" s="22">
        <f>0.13*G36*912.17</f>
        <v>945.15282917703769</v>
      </c>
      <c r="K38" s="26"/>
    </row>
    <row r="39" spans="1:11" s="10" customFormat="1" x14ac:dyDescent="0.25">
      <c r="A39" s="24"/>
      <c r="B39" s="25" t="s">
        <v>31</v>
      </c>
      <c r="C39" s="26"/>
      <c r="D39" s="27"/>
      <c r="E39" s="27"/>
      <c r="F39" s="27"/>
      <c r="G39" s="27"/>
      <c r="H39" s="26"/>
      <c r="I39" s="26"/>
      <c r="J39" s="22">
        <f>0.13*G36*953.37</f>
        <v>987.8425652592307</v>
      </c>
      <c r="K39" s="26"/>
    </row>
    <row r="40" spans="1:11" s="10" customFormat="1" x14ac:dyDescent="0.25">
      <c r="A40" s="24"/>
      <c r="B40" s="25" t="s">
        <v>36</v>
      </c>
      <c r="C40" s="26"/>
      <c r="D40" s="27"/>
      <c r="E40" s="27"/>
      <c r="F40" s="27"/>
      <c r="G40" s="27"/>
      <c r="H40" s="26"/>
      <c r="I40" s="26"/>
      <c r="J40" s="22">
        <f>0.13*G36*28</f>
        <v>29.012441997606867</v>
      </c>
      <c r="K40" s="26"/>
    </row>
    <row r="41" spans="1:11" s="10" customFormat="1" x14ac:dyDescent="0.25">
      <c r="A41" s="24"/>
      <c r="B41" s="25"/>
      <c r="C41" s="26"/>
      <c r="D41" s="27"/>
      <c r="E41" s="27"/>
      <c r="F41" s="27"/>
      <c r="G41" s="27"/>
      <c r="H41" s="26"/>
      <c r="I41" s="26"/>
      <c r="J41" s="22"/>
      <c r="K41" s="26"/>
    </row>
    <row r="42" spans="1:11" ht="30" x14ac:dyDescent="0.25">
      <c r="A42" s="13">
        <v>4</v>
      </c>
      <c r="B42" s="28" t="s">
        <v>93</v>
      </c>
      <c r="C42" s="15"/>
      <c r="D42" s="15"/>
      <c r="E42" s="15"/>
      <c r="F42" s="15"/>
      <c r="G42" s="15"/>
      <c r="H42" s="15"/>
      <c r="I42" s="15"/>
      <c r="J42" s="15"/>
      <c r="K42" s="15"/>
    </row>
    <row r="43" spans="1:11" x14ac:dyDescent="0.25">
      <c r="A43" s="13"/>
      <c r="B43" s="16" t="s">
        <v>92</v>
      </c>
      <c r="C43" s="3">
        <f>2*2</f>
        <v>4</v>
      </c>
      <c r="D43" s="3">
        <f>(11.33-0.75)/3.281</f>
        <v>3.2246266382200548</v>
      </c>
      <c r="E43" s="3">
        <v>0.1</v>
      </c>
      <c r="F43" s="3">
        <f>3.5/3.281</f>
        <v>1.0667479427003961</v>
      </c>
      <c r="G43" s="3">
        <f>PRODUCT(C43:F43)</f>
        <v>1.3759455329192551</v>
      </c>
      <c r="H43" s="15"/>
      <c r="I43" s="15"/>
      <c r="J43" s="15"/>
      <c r="K43" s="15"/>
    </row>
    <row r="44" spans="1:11" x14ac:dyDescent="0.25">
      <c r="A44" s="13"/>
      <c r="B44" s="16"/>
      <c r="C44" s="3">
        <v>2</v>
      </c>
      <c r="D44" s="3">
        <v>0.23</v>
      </c>
      <c r="E44" s="3">
        <v>0.23</v>
      </c>
      <c r="F44" s="3">
        <f>3.5/3.281</f>
        <v>1.0667479427003961</v>
      </c>
      <c r="G44" s="3">
        <f>PRODUCT(C44:F44)</f>
        <v>0.11286193233770191</v>
      </c>
      <c r="H44" s="15"/>
      <c r="I44" s="15"/>
      <c r="J44" s="15"/>
      <c r="K44" s="15"/>
    </row>
    <row r="45" spans="1:11" s="10" customFormat="1" ht="15" customHeight="1" x14ac:dyDescent="0.25">
      <c r="A45" s="17"/>
      <c r="B45" s="18" t="s">
        <v>16</v>
      </c>
      <c r="C45" s="19"/>
      <c r="D45" s="1"/>
      <c r="E45" s="20"/>
      <c r="F45" s="20"/>
      <c r="G45" s="2">
        <f>SUM(G43:G44)</f>
        <v>1.488807465256957</v>
      </c>
      <c r="H45" s="21" t="s">
        <v>28</v>
      </c>
      <c r="I45" s="2">
        <v>14827.62</v>
      </c>
      <c r="J45" s="22">
        <f>G45*I45</f>
        <v>22075.47134799336</v>
      </c>
      <c r="K45" s="20"/>
    </row>
    <row r="46" spans="1:11" s="10" customFormat="1" x14ac:dyDescent="0.25">
      <c r="A46" s="24"/>
      <c r="B46" s="25" t="s">
        <v>55</v>
      </c>
      <c r="C46" s="26"/>
      <c r="D46" s="27"/>
      <c r="E46" s="27"/>
      <c r="F46" s="27"/>
      <c r="G46" s="27"/>
      <c r="H46" s="26"/>
      <c r="I46" s="26"/>
      <c r="J46" s="22">
        <f>0.13*G45*8481.2</f>
        <v>1641.4936036638496</v>
      </c>
      <c r="K46" s="26"/>
    </row>
    <row r="47" spans="1:11" s="10" customFormat="1" x14ac:dyDescent="0.25">
      <c r="A47" s="24"/>
      <c r="B47" s="25" t="s">
        <v>32</v>
      </c>
      <c r="C47" s="26"/>
      <c r="D47" s="27"/>
      <c r="E47" s="27"/>
      <c r="F47" s="27"/>
      <c r="G47" s="27"/>
      <c r="H47" s="26"/>
      <c r="I47" s="26"/>
      <c r="J47" s="22">
        <f>0.13*G45*1303.1</f>
        <v>252.20845103692426</v>
      </c>
      <c r="K47" s="26"/>
    </row>
    <row r="48" spans="1:11" s="10" customFormat="1" x14ac:dyDescent="0.25">
      <c r="A48" s="24"/>
      <c r="B48" s="25" t="s">
        <v>31</v>
      </c>
      <c r="C48" s="26"/>
      <c r="D48" s="27"/>
      <c r="E48" s="27"/>
      <c r="F48" s="27"/>
      <c r="G48" s="27"/>
      <c r="H48" s="26"/>
      <c r="I48" s="26"/>
      <c r="J48" s="22">
        <f>0.13*G45*889.81</f>
        <v>172.21825018583806</v>
      </c>
      <c r="K48" s="26"/>
    </row>
    <row r="49" spans="1:11" s="10" customFormat="1" x14ac:dyDescent="0.25">
      <c r="A49" s="24"/>
      <c r="B49" s="25" t="s">
        <v>36</v>
      </c>
      <c r="C49" s="26"/>
      <c r="D49" s="27"/>
      <c r="E49" s="27"/>
      <c r="F49" s="27"/>
      <c r="G49" s="27"/>
      <c r="H49" s="26"/>
      <c r="I49" s="26"/>
      <c r="J49" s="22">
        <f>0.13*G45*36.4</f>
        <v>7.0450369255959204</v>
      </c>
      <c r="K49" s="26"/>
    </row>
    <row r="50" spans="1:11" s="10" customFormat="1" x14ac:dyDescent="0.25">
      <c r="A50" s="24"/>
      <c r="B50" s="25"/>
      <c r="C50" s="26"/>
      <c r="D50" s="27"/>
      <c r="E50" s="27"/>
      <c r="F50" s="27"/>
      <c r="G50" s="27"/>
      <c r="H50" s="26"/>
      <c r="I50" s="26"/>
      <c r="J50" s="22"/>
      <c r="K50" s="26"/>
    </row>
    <row r="51" spans="1:11" ht="30" x14ac:dyDescent="0.25">
      <c r="A51" s="13">
        <v>5</v>
      </c>
      <c r="B51" s="28" t="s">
        <v>53</v>
      </c>
      <c r="C51" s="15"/>
      <c r="D51" s="15"/>
      <c r="E51" s="15"/>
      <c r="F51" s="15"/>
      <c r="G51" s="15"/>
      <c r="H51" s="15"/>
      <c r="I51" s="15"/>
      <c r="J51" s="15"/>
      <c r="K51" s="15"/>
    </row>
    <row r="52" spans="1:11" x14ac:dyDescent="0.25">
      <c r="A52" s="13"/>
      <c r="B52" s="16" t="s">
        <v>121</v>
      </c>
      <c r="C52" s="15">
        <v>1</v>
      </c>
      <c r="D52" s="3">
        <f>19.17/3.281</f>
        <v>5.8427308747333129</v>
      </c>
      <c r="E52" s="15"/>
      <c r="F52" s="3">
        <f>F34</f>
        <v>3.1240475464797317</v>
      </c>
      <c r="G52" s="3">
        <f t="shared" ref="G52:G53" si="5">PRODUCT(C52:F52)</f>
        <v>18.252969053951983</v>
      </c>
      <c r="H52" s="15"/>
      <c r="I52" s="15"/>
      <c r="J52" s="15"/>
      <c r="K52" s="15"/>
    </row>
    <row r="53" spans="1:11" x14ac:dyDescent="0.25">
      <c r="A53" s="13"/>
      <c r="B53" s="16"/>
      <c r="C53" s="15">
        <v>1</v>
      </c>
      <c r="D53" s="3">
        <f>19.17/3.281</f>
        <v>5.8427308747333129</v>
      </c>
      <c r="E53" s="15"/>
      <c r="F53" s="3">
        <f>F52-2.5/3.281</f>
        <v>2.3620847302651629</v>
      </c>
      <c r="G53" s="3">
        <f t="shared" si="5"/>
        <v>13.801025382256377</v>
      </c>
      <c r="H53" s="15"/>
      <c r="I53" s="15"/>
      <c r="J53" s="15"/>
      <c r="K53" s="15"/>
    </row>
    <row r="54" spans="1:11" x14ac:dyDescent="0.25">
      <c r="A54" s="13"/>
      <c r="B54" s="16" t="s">
        <v>102</v>
      </c>
      <c r="C54" s="3">
        <v>2</v>
      </c>
      <c r="D54" s="3">
        <f>(48.5)/3.281</f>
        <v>14.782078634562632</v>
      </c>
      <c r="E54" s="3"/>
      <c r="F54" s="3">
        <f>3.5/3.281</f>
        <v>1.0667479427003961</v>
      </c>
      <c r="G54" s="3">
        <f>PRODUCT(C54:F54)</f>
        <v>31.537503944510334</v>
      </c>
      <c r="H54" s="15"/>
      <c r="I54" s="15"/>
      <c r="J54" s="15"/>
      <c r="K54" s="15"/>
    </row>
    <row r="55" spans="1:11" x14ac:dyDescent="0.25">
      <c r="A55" s="13"/>
      <c r="B55" s="16" t="s">
        <v>103</v>
      </c>
      <c r="C55" s="3">
        <v>2</v>
      </c>
      <c r="D55" s="3">
        <f>(48.5-0.75*2)/3.281</f>
        <v>14.324900944833891</v>
      </c>
      <c r="E55" s="3"/>
      <c r="F55" s="3">
        <f>3.5/3.281</f>
        <v>1.0667479427003961</v>
      </c>
      <c r="G55" s="3">
        <f>PRODUCT(C55:F55)</f>
        <v>30.562117224577026</v>
      </c>
      <c r="H55" s="15"/>
      <c r="I55" s="15"/>
      <c r="J55" s="15"/>
      <c r="K55" s="15"/>
    </row>
    <row r="56" spans="1:11" x14ac:dyDescent="0.25">
      <c r="A56" s="13"/>
      <c r="B56" s="16" t="s">
        <v>92</v>
      </c>
      <c r="C56" s="3">
        <f>C43</f>
        <v>4</v>
      </c>
      <c r="D56" s="3">
        <f>D43</f>
        <v>3.2246266382200548</v>
      </c>
      <c r="E56" s="3"/>
      <c r="F56" s="3">
        <f>F43</f>
        <v>1.0667479427003961</v>
      </c>
      <c r="G56" s="3">
        <f>PRODUCT(C56:F56)</f>
        <v>13.759455329192551</v>
      </c>
      <c r="H56" s="15"/>
      <c r="I56" s="15"/>
      <c r="J56" s="15"/>
      <c r="K56" s="15"/>
    </row>
    <row r="57" spans="1:11" s="10" customFormat="1" ht="15" customHeight="1" x14ac:dyDescent="0.25">
      <c r="A57" s="17"/>
      <c r="B57" s="18" t="s">
        <v>16</v>
      </c>
      <c r="C57" s="19"/>
      <c r="D57" s="1"/>
      <c r="E57" s="20"/>
      <c r="F57" s="20"/>
      <c r="G57" s="2">
        <f>SUM(G52:G56)</f>
        <v>107.91307093448826</v>
      </c>
      <c r="H57" s="21" t="s">
        <v>34</v>
      </c>
      <c r="I57" s="2">
        <v>415.5</v>
      </c>
      <c r="J57" s="22">
        <f>G57*I57</f>
        <v>44837.880973279869</v>
      </c>
      <c r="K57" s="20"/>
    </row>
    <row r="58" spans="1:11" s="10" customFormat="1" x14ac:dyDescent="0.25">
      <c r="A58" s="24"/>
      <c r="B58" s="25" t="s">
        <v>32</v>
      </c>
      <c r="C58" s="26"/>
      <c r="D58" s="27"/>
      <c r="E58" s="27"/>
      <c r="F58" s="27"/>
      <c r="G58" s="27"/>
      <c r="H58" s="26"/>
      <c r="I58" s="26"/>
      <c r="J58" s="22">
        <f>0.13*G57*7010.67/100</f>
        <v>983.50580771077557</v>
      </c>
      <c r="K58" s="26"/>
    </row>
    <row r="59" spans="1:11" s="10" customFormat="1" x14ac:dyDescent="0.25">
      <c r="A59" s="24"/>
      <c r="B59" s="25" t="s">
        <v>31</v>
      </c>
      <c r="C59" s="26"/>
      <c r="D59" s="27"/>
      <c r="E59" s="27"/>
      <c r="F59" s="27"/>
      <c r="G59" s="27"/>
      <c r="H59" s="26"/>
      <c r="I59" s="26"/>
      <c r="J59" s="22">
        <f>0.13*G57*4639.73/100</f>
        <v>650.89376638893521</v>
      </c>
      <c r="K59" s="26"/>
    </row>
    <row r="60" spans="1:11" s="10" customFormat="1" x14ac:dyDescent="0.25">
      <c r="A60" s="24"/>
      <c r="B60" s="25"/>
      <c r="C60" s="26"/>
      <c r="D60" s="27"/>
      <c r="E60" s="27"/>
      <c r="F60" s="27"/>
      <c r="G60" s="27"/>
      <c r="H60" s="26"/>
      <c r="I60" s="26"/>
      <c r="J60" s="22"/>
      <c r="K60" s="26"/>
    </row>
    <row r="61" spans="1:11" ht="30" x14ac:dyDescent="0.25">
      <c r="A61" s="13">
        <v>6</v>
      </c>
      <c r="B61" s="28" t="s">
        <v>73</v>
      </c>
      <c r="C61" s="15"/>
      <c r="D61" s="15"/>
      <c r="E61" s="15"/>
      <c r="F61" s="15"/>
      <c r="G61" s="15"/>
      <c r="H61" s="15"/>
      <c r="I61" s="15"/>
      <c r="J61" s="15"/>
      <c r="K61" s="15"/>
    </row>
    <row r="62" spans="1:11" x14ac:dyDescent="0.25">
      <c r="A62" s="13"/>
      <c r="B62" s="16" t="s">
        <v>104</v>
      </c>
      <c r="C62" s="3">
        <v>1</v>
      </c>
      <c r="D62" s="3">
        <f>G57</f>
        <v>107.91307093448826</v>
      </c>
      <c r="E62" s="3"/>
      <c r="F62" s="3"/>
      <c r="G62" s="3">
        <f>PRODUCT(C62:F62)</f>
        <v>107.91307093448826</v>
      </c>
      <c r="H62" s="15"/>
      <c r="I62" s="15"/>
      <c r="J62" s="15"/>
      <c r="K62" s="15"/>
    </row>
    <row r="63" spans="1:11" s="10" customFormat="1" ht="15" customHeight="1" x14ac:dyDescent="0.25">
      <c r="A63" s="17"/>
      <c r="B63" s="18" t="s">
        <v>16</v>
      </c>
      <c r="C63" s="19"/>
      <c r="D63" s="1"/>
      <c r="E63" s="20"/>
      <c r="F63" s="20"/>
      <c r="G63" s="2">
        <f>SUM(G62:G62)</f>
        <v>107.91307093448826</v>
      </c>
      <c r="H63" s="21" t="s">
        <v>34</v>
      </c>
      <c r="I63" s="2">
        <v>253.8</v>
      </c>
      <c r="J63" s="22">
        <f>G63*I63</f>
        <v>27388.337403173122</v>
      </c>
      <c r="K63" s="20"/>
    </row>
    <row r="64" spans="1:11" s="10" customFormat="1" x14ac:dyDescent="0.25">
      <c r="A64" s="24"/>
      <c r="B64" s="25" t="s">
        <v>74</v>
      </c>
      <c r="C64" s="26"/>
      <c r="D64" s="27"/>
      <c r="E64" s="27"/>
      <c r="F64" s="27"/>
      <c r="G64" s="27"/>
      <c r="H64" s="26"/>
      <c r="I64" s="26"/>
      <c r="J64" s="22">
        <f>0.13*G63*2304/100</f>
        <v>323.22123006297926</v>
      </c>
      <c r="K64" s="26"/>
    </row>
    <row r="65" spans="1:11" s="10" customFormat="1" x14ac:dyDescent="0.25">
      <c r="A65" s="24"/>
      <c r="B65" s="25" t="s">
        <v>75</v>
      </c>
      <c r="C65" s="26"/>
      <c r="D65" s="27"/>
      <c r="E65" s="27"/>
      <c r="F65" s="27"/>
      <c r="G65" s="27"/>
      <c r="H65" s="26"/>
      <c r="I65" s="26"/>
      <c r="J65" s="22">
        <f>0.13*G63*10432/100</f>
        <v>1463.473902785156</v>
      </c>
      <c r="K65" s="26"/>
    </row>
    <row r="66" spans="1:11" s="10" customFormat="1" x14ac:dyDescent="0.25">
      <c r="A66" s="24"/>
      <c r="B66" s="25"/>
      <c r="C66" s="26"/>
      <c r="D66" s="27"/>
      <c r="E66" s="27"/>
      <c r="F66" s="27"/>
      <c r="G66" s="27"/>
      <c r="H66" s="26"/>
      <c r="I66" s="26"/>
      <c r="J66" s="22"/>
      <c r="K66" s="26"/>
    </row>
    <row r="67" spans="1:11" ht="45" x14ac:dyDescent="0.25">
      <c r="A67" s="13">
        <v>7</v>
      </c>
      <c r="B67" s="28" t="s">
        <v>105</v>
      </c>
      <c r="C67" s="49" t="s">
        <v>7</v>
      </c>
      <c r="D67" s="49" t="s">
        <v>27</v>
      </c>
      <c r="E67" s="49" t="s">
        <v>106</v>
      </c>
      <c r="F67" s="49" t="s">
        <v>107</v>
      </c>
      <c r="G67" s="15"/>
      <c r="H67" s="15"/>
      <c r="I67" s="15"/>
      <c r="J67" s="15"/>
      <c r="K67" s="15"/>
    </row>
    <row r="68" spans="1:11" ht="30" x14ac:dyDescent="0.25">
      <c r="A68" s="13"/>
      <c r="B68" s="50" t="s">
        <v>109</v>
      </c>
      <c r="C68" s="3">
        <v>30</v>
      </c>
      <c r="D68" s="3">
        <v>0.3</v>
      </c>
      <c r="E68" s="3">
        <v>10.5</v>
      </c>
      <c r="F68" s="3">
        <f>PRODUCT(C68:E68)</f>
        <v>94.5</v>
      </c>
      <c r="G68" s="3">
        <f>F68</f>
        <v>94.5</v>
      </c>
      <c r="H68" s="15"/>
      <c r="I68" s="15"/>
      <c r="J68" s="15"/>
      <c r="K68" s="15"/>
    </row>
    <row r="69" spans="1:11" x14ac:dyDescent="0.25">
      <c r="A69" s="13"/>
      <c r="B69" s="16"/>
      <c r="C69" s="3">
        <v>33</v>
      </c>
      <c r="D69" s="3">
        <v>0.3</v>
      </c>
      <c r="E69" s="3">
        <v>10.5</v>
      </c>
      <c r="F69" s="3">
        <f>PRODUCT(C69:E69)</f>
        <v>103.95</v>
      </c>
      <c r="G69" s="3">
        <f>F69</f>
        <v>103.95</v>
      </c>
      <c r="H69" s="15"/>
      <c r="I69" s="15"/>
      <c r="J69" s="15"/>
      <c r="K69" s="15"/>
    </row>
    <row r="70" spans="1:11" ht="30" x14ac:dyDescent="0.25">
      <c r="A70" s="13"/>
      <c r="B70" s="50" t="s">
        <v>110</v>
      </c>
      <c r="C70" s="3">
        <f>2*2</f>
        <v>4</v>
      </c>
      <c r="D70" s="3">
        <f>28.75/3.281</f>
        <v>8.7625723864675393</v>
      </c>
      <c r="E70" s="3">
        <v>5.8</v>
      </c>
      <c r="F70" s="3">
        <f t="shared" ref="F70:F74" si="6">PRODUCT(C70:E70)</f>
        <v>203.29167936604691</v>
      </c>
      <c r="G70" s="3">
        <f t="shared" ref="G70:G75" si="7">F70</f>
        <v>203.29167936604691</v>
      </c>
      <c r="H70" s="15"/>
      <c r="I70" s="15"/>
      <c r="J70" s="15"/>
      <c r="K70" s="15"/>
    </row>
    <row r="71" spans="1:11" x14ac:dyDescent="0.25">
      <c r="A71" s="13"/>
      <c r="B71" s="16"/>
      <c r="C71" s="3">
        <f>2*2+2</f>
        <v>6</v>
      </c>
      <c r="D71" s="3">
        <f>6.75/3.281</f>
        <v>2.0572996037793354</v>
      </c>
      <c r="E71" s="3">
        <v>5.8</v>
      </c>
      <c r="F71" s="3">
        <f t="shared" si="6"/>
        <v>71.59402621152087</v>
      </c>
      <c r="G71" s="3">
        <f t="shared" si="7"/>
        <v>71.59402621152087</v>
      </c>
      <c r="H71" s="15"/>
      <c r="I71" s="15"/>
      <c r="J71" s="15"/>
      <c r="K71" s="15"/>
    </row>
    <row r="72" spans="1:11" x14ac:dyDescent="0.25">
      <c r="A72" s="13"/>
      <c r="B72" s="16"/>
      <c r="C72" s="3">
        <v>8</v>
      </c>
      <c r="D72" s="3">
        <f>6.75/3.281</f>
        <v>2.0572996037793354</v>
      </c>
      <c r="E72" s="3">
        <v>5.8</v>
      </c>
      <c r="F72" s="3">
        <f t="shared" ref="F72" si="8">PRODUCT(C72:E72)</f>
        <v>95.458701615361164</v>
      </c>
      <c r="G72" s="3">
        <f t="shared" si="7"/>
        <v>95.458701615361164</v>
      </c>
      <c r="H72" s="15"/>
      <c r="I72" s="15"/>
      <c r="J72" s="15"/>
      <c r="K72" s="15"/>
    </row>
    <row r="73" spans="1:11" x14ac:dyDescent="0.25">
      <c r="A73" s="13"/>
      <c r="B73" s="16"/>
      <c r="C73" s="3">
        <f>2*2</f>
        <v>4</v>
      </c>
      <c r="D73" s="3">
        <f>32.25/3.281</f>
        <v>9.8293203291679365</v>
      </c>
      <c r="E73" s="3">
        <v>5.8</v>
      </c>
      <c r="F73" s="3">
        <f t="shared" si="6"/>
        <v>228.04023163669612</v>
      </c>
      <c r="G73" s="3">
        <f t="shared" si="7"/>
        <v>228.04023163669612</v>
      </c>
      <c r="H73" s="15"/>
      <c r="I73" s="15"/>
      <c r="J73" s="15"/>
      <c r="K73" s="15"/>
    </row>
    <row r="74" spans="1:11" x14ac:dyDescent="0.25">
      <c r="A74" s="13"/>
      <c r="B74" s="16"/>
      <c r="C74" s="3">
        <f>2*2+2</f>
        <v>6</v>
      </c>
      <c r="D74" s="3">
        <f>6.75/3.281</f>
        <v>2.0572996037793354</v>
      </c>
      <c r="E74" s="3">
        <v>5.8</v>
      </c>
      <c r="F74" s="3">
        <f t="shared" si="6"/>
        <v>71.59402621152087</v>
      </c>
      <c r="G74" s="3">
        <f t="shared" si="7"/>
        <v>71.59402621152087</v>
      </c>
      <c r="H74" s="15"/>
      <c r="I74" s="15"/>
      <c r="J74" s="15"/>
      <c r="K74" s="15"/>
    </row>
    <row r="75" spans="1:11" x14ac:dyDescent="0.25">
      <c r="A75" s="13"/>
      <c r="B75" s="16"/>
      <c r="C75" s="3">
        <v>9</v>
      </c>
      <c r="D75" s="3">
        <f>6.75/3.281</f>
        <v>2.0572996037793354</v>
      </c>
      <c r="E75" s="3">
        <v>5.8</v>
      </c>
      <c r="F75" s="3">
        <f t="shared" ref="F75" si="9">PRODUCT(C75:E75)</f>
        <v>107.3910393172813</v>
      </c>
      <c r="G75" s="3">
        <f t="shared" si="7"/>
        <v>107.3910393172813</v>
      </c>
      <c r="H75" s="15"/>
      <c r="I75" s="15"/>
      <c r="J75" s="15"/>
      <c r="K75" s="15"/>
    </row>
    <row r="76" spans="1:11" s="10" customFormat="1" ht="15" customHeight="1" x14ac:dyDescent="0.25">
      <c r="A76" s="17"/>
      <c r="B76" s="18" t="s">
        <v>16</v>
      </c>
      <c r="C76" s="19"/>
      <c r="D76" s="1"/>
      <c r="E76" s="20"/>
      <c r="F76" s="20"/>
      <c r="G76" s="2">
        <f>SUM(G68:G75)</f>
        <v>975.8197043584272</v>
      </c>
      <c r="H76" s="21" t="s">
        <v>108</v>
      </c>
      <c r="I76" s="2">
        <v>182.51</v>
      </c>
      <c r="J76" s="22">
        <f>G76*I76</f>
        <v>178096.85424245655</v>
      </c>
      <c r="K76" s="20"/>
    </row>
    <row r="77" spans="1:11" s="44" customFormat="1" ht="30" x14ac:dyDescent="0.25">
      <c r="A77" s="24"/>
      <c r="B77" s="52" t="s">
        <v>112</v>
      </c>
      <c r="C77" s="38"/>
      <c r="D77" s="39"/>
      <c r="E77" s="39"/>
      <c r="F77" s="39"/>
      <c r="G77" s="39"/>
      <c r="H77" s="38"/>
      <c r="I77" s="38"/>
      <c r="J77" s="21">
        <f>0.13*G76*1761.42/18.94</f>
        <v>11797.660225693386</v>
      </c>
      <c r="K77" s="38"/>
    </row>
    <row r="78" spans="1:11" s="10" customFormat="1" x14ac:dyDescent="0.25">
      <c r="A78" s="24"/>
      <c r="B78" s="25" t="s">
        <v>113</v>
      </c>
      <c r="C78" s="26"/>
      <c r="D78" s="27"/>
      <c r="E78" s="27"/>
      <c r="F78" s="27"/>
      <c r="G78" s="27"/>
      <c r="H78" s="26"/>
      <c r="I78" s="26"/>
      <c r="J78" s="22">
        <f>0.13*G76*110/18.94</f>
        <v>736.75933328012195</v>
      </c>
      <c r="K78" s="26"/>
    </row>
    <row r="79" spans="1:11" s="10" customFormat="1" x14ac:dyDescent="0.25">
      <c r="A79" s="24"/>
      <c r="B79" s="25"/>
      <c r="C79" s="26"/>
      <c r="D79" s="27"/>
      <c r="E79" s="27"/>
      <c r="F79" s="27"/>
      <c r="G79" s="27"/>
      <c r="H79" s="26"/>
      <c r="I79" s="26"/>
      <c r="J79" s="22"/>
      <c r="K79" s="26"/>
    </row>
    <row r="80" spans="1:11" ht="138.75" x14ac:dyDescent="0.25">
      <c r="A80" s="13">
        <v>8</v>
      </c>
      <c r="B80" s="28" t="s">
        <v>115</v>
      </c>
      <c r="C80" s="15"/>
      <c r="D80" s="15"/>
      <c r="E80" s="15"/>
      <c r="F80" s="15"/>
      <c r="G80" s="15"/>
      <c r="H80" s="15"/>
      <c r="I80" s="15"/>
      <c r="J80" s="15"/>
      <c r="K80" s="15"/>
    </row>
    <row r="81" spans="1:11" x14ac:dyDescent="0.25">
      <c r="A81" s="13"/>
      <c r="B81" s="16" t="s">
        <v>116</v>
      </c>
      <c r="C81" s="3">
        <v>1</v>
      </c>
      <c r="D81" s="3">
        <f>(48.5+5+5)/3.281</f>
        <v>17.829929899420907</v>
      </c>
      <c r="E81" s="3"/>
      <c r="F81" s="3">
        <v>1.8</v>
      </c>
      <c r="G81" s="3">
        <f>PRODUCT(C81:F81)</f>
        <v>32.093873818957633</v>
      </c>
      <c r="H81" s="15"/>
      <c r="I81" s="15"/>
      <c r="J81" s="15"/>
      <c r="K81" s="15"/>
    </row>
    <row r="82" spans="1:11" x14ac:dyDescent="0.25">
      <c r="A82" s="13"/>
      <c r="B82" s="16"/>
      <c r="C82" s="3">
        <v>1</v>
      </c>
      <c r="D82" s="3">
        <f>(21.5+5)/3.281</f>
        <v>8.076805851874429</v>
      </c>
      <c r="E82" s="3"/>
      <c r="F82" s="3">
        <v>1.8</v>
      </c>
      <c r="G82" s="3">
        <f>PRODUCT(C82:F82)</f>
        <v>14.538250533373972</v>
      </c>
      <c r="H82" s="15"/>
      <c r="I82" s="15"/>
      <c r="J82" s="15"/>
      <c r="K82" s="15"/>
    </row>
    <row r="83" spans="1:11" s="10" customFormat="1" ht="15" customHeight="1" x14ac:dyDescent="0.25">
      <c r="A83" s="17"/>
      <c r="B83" s="18" t="s">
        <v>16</v>
      </c>
      <c r="C83" s="19"/>
      <c r="D83" s="1"/>
      <c r="E83" s="20"/>
      <c r="F83" s="20"/>
      <c r="G83" s="2">
        <f>SUM(G81:G82)</f>
        <v>46.632124352331601</v>
      </c>
      <c r="H83" s="21" t="s">
        <v>34</v>
      </c>
      <c r="I83" s="2">
        <f>30571.1/10</f>
        <v>3057.1099999999997</v>
      </c>
      <c r="J83" s="22">
        <f>G83*I83</f>
        <v>142559.53367875644</v>
      </c>
      <c r="K83" s="20"/>
    </row>
    <row r="84" spans="1:11" s="10" customFormat="1" x14ac:dyDescent="0.25">
      <c r="A84" s="24"/>
      <c r="B84" s="25" t="s">
        <v>117</v>
      </c>
      <c r="C84" s="26"/>
      <c r="D84" s="27"/>
      <c r="E84" s="27"/>
      <c r="F84" s="27"/>
      <c r="G84" s="27"/>
      <c r="H84" s="26"/>
      <c r="I84" s="26"/>
      <c r="J84" s="22">
        <f>0.13*G83*3302.43/10</f>
        <v>2001.9912435233157</v>
      </c>
      <c r="K84" s="26"/>
    </row>
    <row r="85" spans="1:11" s="10" customFormat="1" ht="30" x14ac:dyDescent="0.25">
      <c r="A85" s="24"/>
      <c r="B85" s="51" t="s">
        <v>118</v>
      </c>
      <c r="C85" s="26"/>
      <c r="D85" s="27"/>
      <c r="E85" s="27"/>
      <c r="F85" s="27"/>
      <c r="G85" s="27"/>
      <c r="H85" s="26"/>
      <c r="I85" s="26"/>
      <c r="J85" s="22">
        <f>0.13*G83*2981.58/10</f>
        <v>1807.486321243523</v>
      </c>
      <c r="K85" s="26"/>
    </row>
    <row r="86" spans="1:11" s="10" customFormat="1" ht="30" x14ac:dyDescent="0.25">
      <c r="A86" s="24"/>
      <c r="B86" s="51" t="s">
        <v>119</v>
      </c>
      <c r="C86" s="26"/>
      <c r="D86" s="27"/>
      <c r="E86" s="27"/>
      <c r="F86" s="27"/>
      <c r="G86" s="27"/>
      <c r="H86" s="26"/>
      <c r="I86" s="26"/>
      <c r="J86" s="22">
        <f>0.13*G83*2273.04/10</f>
        <v>1377.9568911917097</v>
      </c>
      <c r="K86" s="26"/>
    </row>
    <row r="87" spans="1:11" s="10" customFormat="1" x14ac:dyDescent="0.25">
      <c r="A87" s="24"/>
      <c r="B87" s="25" t="s">
        <v>120</v>
      </c>
      <c r="C87" s="26"/>
      <c r="D87" s="27"/>
      <c r="E87" s="27"/>
      <c r="F87" s="27"/>
      <c r="G87" s="27"/>
      <c r="H87" s="26"/>
      <c r="I87" s="26"/>
      <c r="J87" s="22">
        <f>0.13*G83*6383.04/10</f>
        <v>3869.511295336787</v>
      </c>
      <c r="K87" s="26"/>
    </row>
    <row r="88" spans="1:11" s="10" customFormat="1" x14ac:dyDescent="0.25">
      <c r="A88" s="24"/>
      <c r="B88" s="25"/>
      <c r="C88" s="26"/>
      <c r="D88" s="27"/>
      <c r="E88" s="27"/>
      <c r="F88" s="27"/>
      <c r="G88" s="27"/>
      <c r="H88" s="26"/>
      <c r="I88" s="26"/>
      <c r="J88" s="22"/>
      <c r="K88" s="26"/>
    </row>
    <row r="89" spans="1:11" s="10" customFormat="1" ht="45" x14ac:dyDescent="0.25">
      <c r="A89" s="17">
        <v>9</v>
      </c>
      <c r="B89" s="28" t="s">
        <v>125</v>
      </c>
      <c r="C89" s="19"/>
      <c r="D89" s="1"/>
      <c r="E89" s="20"/>
      <c r="F89" s="20"/>
      <c r="G89" s="21"/>
      <c r="H89" s="21"/>
      <c r="I89" s="2"/>
      <c r="J89" s="21"/>
      <c r="K89" s="20"/>
    </row>
    <row r="90" spans="1:11" x14ac:dyDescent="0.25">
      <c r="A90" s="13"/>
      <c r="B90" s="16" t="s">
        <v>121</v>
      </c>
      <c r="C90" s="3">
        <v>1</v>
      </c>
      <c r="D90" s="3">
        <f>D34</f>
        <v>5.6141420298689431</v>
      </c>
      <c r="E90" s="3">
        <v>0.1</v>
      </c>
      <c r="F90" s="3">
        <f>7.5/3.281</f>
        <v>2.2858884486437061</v>
      </c>
      <c r="G90" s="3">
        <f>PRODUCT(C90:F90)</f>
        <v>1.2833302415122547</v>
      </c>
      <c r="H90" s="15"/>
      <c r="I90" s="15"/>
      <c r="J90" s="15"/>
      <c r="K90" s="15"/>
    </row>
    <row r="91" spans="1:11" s="10" customFormat="1" ht="15" customHeight="1" x14ac:dyDescent="0.25">
      <c r="A91" s="17"/>
      <c r="B91" s="18" t="s">
        <v>16</v>
      </c>
      <c r="C91" s="19"/>
      <c r="D91" s="1"/>
      <c r="E91" s="20"/>
      <c r="F91" s="20"/>
      <c r="G91" s="2">
        <f>SUM(G89:G90)</f>
        <v>1.2833302415122547</v>
      </c>
      <c r="H91" s="21" t="s">
        <v>28</v>
      </c>
      <c r="I91" s="2">
        <v>1982.2</v>
      </c>
      <c r="J91" s="22">
        <f>G91*I91</f>
        <v>2543.8172047255912</v>
      </c>
      <c r="K91" s="20"/>
    </row>
    <row r="92" spans="1:11" s="10" customFormat="1" x14ac:dyDescent="0.25">
      <c r="A92" s="24"/>
      <c r="B92" s="25"/>
      <c r="C92" s="26"/>
      <c r="D92" s="27"/>
      <c r="E92" s="27"/>
      <c r="F92" s="27"/>
      <c r="G92" s="27"/>
      <c r="H92" s="26"/>
      <c r="I92" s="26"/>
      <c r="J92" s="22"/>
      <c r="K92" s="26"/>
    </row>
    <row r="93" spans="1:11" s="10" customFormat="1" ht="15" customHeight="1" x14ac:dyDescent="0.25">
      <c r="A93" s="17">
        <v>10</v>
      </c>
      <c r="B93" s="53" t="s">
        <v>123</v>
      </c>
      <c r="C93" s="19">
        <v>1</v>
      </c>
      <c r="D93" s="1"/>
      <c r="E93" s="20"/>
      <c r="F93" s="20"/>
      <c r="G93" s="21">
        <f t="shared" ref="G93" si="10">PRODUCT(C93:F93)</f>
        <v>1</v>
      </c>
      <c r="H93" s="21" t="s">
        <v>30</v>
      </c>
      <c r="I93" s="2">
        <v>5000</v>
      </c>
      <c r="J93" s="21">
        <f>G93*I93</f>
        <v>5000</v>
      </c>
      <c r="K93" s="20"/>
    </row>
    <row r="94" spans="1:11" s="10" customFormat="1" x14ac:dyDescent="0.25">
      <c r="A94" s="24"/>
      <c r="B94" s="25"/>
      <c r="C94" s="26"/>
      <c r="D94" s="27"/>
      <c r="E94" s="27"/>
      <c r="F94" s="27"/>
      <c r="G94" s="27"/>
      <c r="H94" s="26"/>
      <c r="I94" s="26"/>
      <c r="J94" s="22"/>
      <c r="K94" s="26"/>
    </row>
    <row r="95" spans="1:11" s="10" customFormat="1" ht="15" customHeight="1" x14ac:dyDescent="0.25">
      <c r="A95" s="17">
        <v>11</v>
      </c>
      <c r="B95" s="30" t="s">
        <v>17</v>
      </c>
      <c r="C95" s="19">
        <v>1</v>
      </c>
      <c r="D95" s="1"/>
      <c r="E95" s="20"/>
      <c r="F95" s="20"/>
      <c r="G95" s="21">
        <f t="shared" ref="G95" si="11">PRODUCT(C95:F95)</f>
        <v>1</v>
      </c>
      <c r="H95" s="21" t="s">
        <v>18</v>
      </c>
      <c r="I95" s="2">
        <v>500</v>
      </c>
      <c r="J95" s="21">
        <f>G95*I95</f>
        <v>500</v>
      </c>
      <c r="K95" s="20"/>
    </row>
    <row r="96" spans="1:11" s="10" customFormat="1" x14ac:dyDescent="0.25">
      <c r="A96" s="17"/>
      <c r="B96" s="31"/>
      <c r="C96" s="19"/>
      <c r="D96" s="1"/>
      <c r="E96" s="20"/>
      <c r="F96" s="20"/>
      <c r="G96" s="2"/>
      <c r="H96" s="21"/>
      <c r="I96" s="2"/>
      <c r="J96" s="22"/>
      <c r="K96" s="20"/>
    </row>
    <row r="97" spans="1:11" s="10" customFormat="1" x14ac:dyDescent="0.25">
      <c r="A97" s="48"/>
      <c r="B97" s="33" t="s">
        <v>20</v>
      </c>
      <c r="C97" s="34"/>
      <c r="D97" s="35"/>
      <c r="E97" s="35"/>
      <c r="F97" s="35"/>
      <c r="G97" s="22"/>
      <c r="H97" s="22"/>
      <c r="I97" s="22"/>
      <c r="J97" s="22">
        <f>SUM(J9:J95)</f>
        <v>1449733.6784769716</v>
      </c>
      <c r="K97" s="36"/>
    </row>
    <row r="98" spans="1:11" s="10" customFormat="1" x14ac:dyDescent="0.25">
      <c r="A98" s="44"/>
    </row>
    <row r="99" spans="1:11" s="44" customFormat="1" x14ac:dyDescent="0.25">
      <c r="A99" s="37"/>
      <c r="B99" s="38" t="s">
        <v>19</v>
      </c>
      <c r="C99" s="63">
        <f>J97</f>
        <v>1449733.6784769716</v>
      </c>
      <c r="D99" s="64"/>
      <c r="E99" s="39">
        <v>100</v>
      </c>
      <c r="F99" s="37"/>
      <c r="G99" s="40"/>
      <c r="H99" s="37"/>
      <c r="I99" s="41"/>
      <c r="J99" s="42"/>
      <c r="K99" s="43"/>
    </row>
    <row r="100" spans="1:11" s="10" customFormat="1" x14ac:dyDescent="0.25">
      <c r="A100" s="44"/>
      <c r="B100" s="38" t="s">
        <v>21</v>
      </c>
      <c r="C100" s="65">
        <v>1600000</v>
      </c>
      <c r="D100" s="66"/>
      <c r="E100" s="39"/>
    </row>
    <row r="101" spans="1:11" s="10" customFormat="1" x14ac:dyDescent="0.25">
      <c r="A101" s="44"/>
      <c r="B101" s="38" t="s">
        <v>22</v>
      </c>
      <c r="C101" s="65">
        <f>C100-C103-C104</f>
        <v>1520000</v>
      </c>
      <c r="D101" s="66"/>
      <c r="E101" s="39">
        <f>C101/C99*100</f>
        <v>104.84684342829418</v>
      </c>
    </row>
    <row r="102" spans="1:11" s="10" customFormat="1" x14ac:dyDescent="0.25">
      <c r="A102" s="44"/>
      <c r="B102" s="38" t="s">
        <v>26</v>
      </c>
      <c r="C102" s="67">
        <f>C99-C101</f>
        <v>-70266.321523028426</v>
      </c>
      <c r="D102" s="67"/>
      <c r="E102" s="39">
        <f>100-E101</f>
        <v>-4.8468434282941786</v>
      </c>
    </row>
    <row r="103" spans="1:11" s="10" customFormat="1" x14ac:dyDescent="0.25">
      <c r="A103" s="44"/>
      <c r="B103" s="38" t="s">
        <v>23</v>
      </c>
      <c r="C103" s="63">
        <f>C100*0.03</f>
        <v>48000</v>
      </c>
      <c r="D103" s="64"/>
      <c r="E103" s="39">
        <v>3</v>
      </c>
    </row>
    <row r="104" spans="1:11" s="10" customFormat="1" x14ac:dyDescent="0.25">
      <c r="A104" s="44"/>
      <c r="B104" s="38" t="s">
        <v>24</v>
      </c>
      <c r="C104" s="63">
        <f>C100*0.02</f>
        <v>32000</v>
      </c>
      <c r="D104" s="64"/>
      <c r="E104" s="39">
        <v>2</v>
      </c>
    </row>
  </sheetData>
  <mergeCells count="15">
    <mergeCell ref="C103:D103"/>
    <mergeCell ref="C104:D104"/>
    <mergeCell ref="A7:F7"/>
    <mergeCell ref="H7:K7"/>
    <mergeCell ref="C99:D99"/>
    <mergeCell ref="C100:D100"/>
    <mergeCell ref="C101:D101"/>
    <mergeCell ref="C102:D102"/>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7C2F-1478-4A13-8446-41B228967A5A}">
  <dimension ref="A1:K51"/>
  <sheetViews>
    <sheetView tabSelected="1" topLeftCell="A30" zoomScaleNormal="100" workbookViewId="0">
      <selection activeCell="I32" sqref="I32"/>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57" t="s">
        <v>0</v>
      </c>
      <c r="B1" s="57"/>
      <c r="C1" s="57"/>
      <c r="D1" s="57"/>
      <c r="E1" s="57"/>
      <c r="F1" s="57"/>
      <c r="G1" s="57"/>
      <c r="H1" s="57"/>
      <c r="I1" s="57"/>
      <c r="J1" s="57"/>
      <c r="K1" s="57"/>
    </row>
    <row r="2" spans="1:11" ht="22.5" x14ac:dyDescent="0.25">
      <c r="A2" s="58" t="s">
        <v>1</v>
      </c>
      <c r="B2" s="58"/>
      <c r="C2" s="58"/>
      <c r="D2" s="58"/>
      <c r="E2" s="58"/>
      <c r="F2" s="58"/>
      <c r="G2" s="58"/>
      <c r="H2" s="58"/>
      <c r="I2" s="58"/>
      <c r="J2" s="58"/>
      <c r="K2" s="58"/>
    </row>
    <row r="3" spans="1:11" x14ac:dyDescent="0.25">
      <c r="A3" s="59" t="s">
        <v>2</v>
      </c>
      <c r="B3" s="59"/>
      <c r="C3" s="59"/>
      <c r="D3" s="59"/>
      <c r="E3" s="59"/>
      <c r="F3" s="59"/>
      <c r="G3" s="59"/>
      <c r="H3" s="59"/>
      <c r="I3" s="59"/>
      <c r="J3" s="59"/>
      <c r="K3" s="59"/>
    </row>
    <row r="4" spans="1:11" x14ac:dyDescent="0.25">
      <c r="A4" s="59" t="s">
        <v>3</v>
      </c>
      <c r="B4" s="59"/>
      <c r="C4" s="59"/>
      <c r="D4" s="59"/>
      <c r="E4" s="59"/>
      <c r="F4" s="59"/>
      <c r="G4" s="59"/>
      <c r="H4" s="59"/>
      <c r="I4" s="59"/>
      <c r="J4" s="59"/>
      <c r="K4" s="59"/>
    </row>
    <row r="5" spans="1:11" ht="18.75" x14ac:dyDescent="0.3">
      <c r="A5" s="60" t="s">
        <v>4</v>
      </c>
      <c r="B5" s="60"/>
      <c r="C5" s="60"/>
      <c r="D5" s="60"/>
      <c r="E5" s="60"/>
      <c r="F5" s="60"/>
      <c r="G5" s="60"/>
      <c r="H5" s="60"/>
      <c r="I5" s="60"/>
      <c r="J5" s="60"/>
      <c r="K5" s="60"/>
    </row>
    <row r="6" spans="1:11" ht="15.75" x14ac:dyDescent="0.25">
      <c r="A6" s="55" t="s">
        <v>124</v>
      </c>
      <c r="B6" s="55"/>
      <c r="C6" s="55"/>
      <c r="D6" s="55"/>
      <c r="E6" s="55"/>
      <c r="F6" s="55"/>
      <c r="G6" s="4"/>
      <c r="H6" s="56" t="s">
        <v>25</v>
      </c>
      <c r="I6" s="56"/>
      <c r="J6" s="56"/>
      <c r="K6" s="56"/>
    </row>
    <row r="7" spans="1:11" ht="15.75" x14ac:dyDescent="0.25">
      <c r="A7" s="61" t="s">
        <v>29</v>
      </c>
      <c r="B7" s="61"/>
      <c r="C7" s="61"/>
      <c r="D7" s="61"/>
      <c r="E7" s="61"/>
      <c r="F7" s="61"/>
      <c r="G7" s="5"/>
      <c r="H7" s="62" t="s">
        <v>88</v>
      </c>
      <c r="I7" s="62"/>
      <c r="J7" s="62"/>
      <c r="K7" s="62"/>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0" customFormat="1" ht="45" x14ac:dyDescent="0.25">
      <c r="A9" s="17">
        <v>9</v>
      </c>
      <c r="B9" s="28" t="s">
        <v>125</v>
      </c>
      <c r="C9" s="19"/>
      <c r="D9" s="1"/>
      <c r="E9" s="20"/>
      <c r="F9" s="20"/>
      <c r="G9" s="21"/>
      <c r="H9" s="21"/>
      <c r="I9" s="2"/>
      <c r="J9" s="21"/>
      <c r="K9" s="20"/>
    </row>
    <row r="10" spans="1:11" x14ac:dyDescent="0.25">
      <c r="A10" s="13"/>
      <c r="B10" s="16" t="s">
        <v>121</v>
      </c>
      <c r="C10" s="3">
        <v>1</v>
      </c>
      <c r="D10" s="3">
        <f>D17</f>
        <v>5.6141420298689431</v>
      </c>
      <c r="E10" s="3">
        <v>0.1</v>
      </c>
      <c r="F10" s="3">
        <f>7.5/3.281</f>
        <v>2.2858884486437061</v>
      </c>
      <c r="G10" s="3">
        <f>PRODUCT(C10:F10)</f>
        <v>1.2833302415122547</v>
      </c>
      <c r="H10" s="15"/>
      <c r="I10" s="15"/>
      <c r="J10" s="15"/>
      <c r="K10" s="15"/>
    </row>
    <row r="11" spans="1:11" s="10" customFormat="1" ht="15" customHeight="1" x14ac:dyDescent="0.25">
      <c r="A11" s="17"/>
      <c r="B11" s="18" t="s">
        <v>16</v>
      </c>
      <c r="C11" s="19"/>
      <c r="D11" s="1"/>
      <c r="E11" s="20"/>
      <c r="F11" s="20"/>
      <c r="G11" s="2">
        <f>SUM(G9:G10)</f>
        <v>1.2833302415122547</v>
      </c>
      <c r="H11" s="21" t="s">
        <v>28</v>
      </c>
      <c r="I11" s="2">
        <f>1.15*1982.2</f>
        <v>2279.5299999999997</v>
      </c>
      <c r="J11" s="22">
        <f>G11*I11</f>
        <v>2925.3897854344295</v>
      </c>
      <c r="K11" s="20"/>
    </row>
    <row r="12" spans="1:11" s="10" customFormat="1" x14ac:dyDescent="0.25">
      <c r="A12" s="24"/>
      <c r="B12" s="25"/>
      <c r="C12" s="26"/>
      <c r="D12" s="27"/>
      <c r="E12" s="27"/>
      <c r="F12" s="27"/>
      <c r="G12" s="27"/>
      <c r="H12" s="26"/>
      <c r="I12" s="26"/>
      <c r="J12" s="22"/>
      <c r="K12" s="26"/>
    </row>
    <row r="13" spans="1:11" ht="30" x14ac:dyDescent="0.25">
      <c r="A13" s="11">
        <v>3</v>
      </c>
      <c r="B13" s="28" t="s">
        <v>63</v>
      </c>
      <c r="C13" s="15"/>
      <c r="D13" s="15"/>
      <c r="E13" s="15"/>
      <c r="F13" s="15"/>
      <c r="G13" s="15"/>
      <c r="H13" s="15"/>
      <c r="I13" s="15"/>
      <c r="J13" s="15"/>
      <c r="K13" s="15"/>
    </row>
    <row r="14" spans="1:11" x14ac:dyDescent="0.25">
      <c r="A14" s="13"/>
      <c r="B14" s="16" t="s">
        <v>89</v>
      </c>
      <c r="C14" s="3">
        <v>2</v>
      </c>
      <c r="D14" s="3">
        <f>(48.5/3.281)</f>
        <v>14.782078634562632</v>
      </c>
      <c r="E14" s="3">
        <v>0.23</v>
      </c>
      <c r="F14" s="3">
        <f t="shared" ref="F14:F16" si="0">2.75/3.281</f>
        <v>0.8381590978360256</v>
      </c>
      <c r="G14" s="3">
        <f>PRODUCT(C14:F14)</f>
        <v>5.6992774985436547</v>
      </c>
      <c r="H14" s="15"/>
      <c r="I14" s="15"/>
      <c r="J14" s="15"/>
      <c r="K14" s="15"/>
    </row>
    <row r="15" spans="1:11" x14ac:dyDescent="0.25">
      <c r="A15" s="13"/>
      <c r="B15" s="16" t="s">
        <v>90</v>
      </c>
      <c r="C15" s="3">
        <f>-5*2</f>
        <v>-10</v>
      </c>
      <c r="D15" s="3">
        <v>0.35</v>
      </c>
      <c r="E15" s="3">
        <v>0.23</v>
      </c>
      <c r="F15" s="3">
        <f t="shared" si="0"/>
        <v>0.8381590978360256</v>
      </c>
      <c r="G15" s="3">
        <f t="shared" ref="G15:G16" si="1">PRODUCT(C15:F15)</f>
        <v>-0.67471807375800064</v>
      </c>
      <c r="H15" s="15"/>
      <c r="I15" s="15"/>
      <c r="J15" s="15"/>
      <c r="K15" s="15"/>
    </row>
    <row r="16" spans="1:11" x14ac:dyDescent="0.25">
      <c r="A16" s="13"/>
      <c r="B16" s="16" t="s">
        <v>91</v>
      </c>
      <c r="C16" s="3">
        <f>5*2</f>
        <v>10</v>
      </c>
      <c r="D16" s="3">
        <v>0.35</v>
      </c>
      <c r="E16" s="3">
        <v>0.35</v>
      </c>
      <c r="F16" s="3">
        <f t="shared" si="0"/>
        <v>0.8381590978360256</v>
      </c>
      <c r="G16" s="3">
        <f t="shared" si="1"/>
        <v>1.0267448948491313</v>
      </c>
      <c r="H16" s="15"/>
      <c r="I16" s="15"/>
      <c r="J16" s="15"/>
      <c r="K16" s="15"/>
    </row>
    <row r="17" spans="1:11" x14ac:dyDescent="0.25">
      <c r="A17" s="13"/>
      <c r="B17" s="16" t="s">
        <v>92</v>
      </c>
      <c r="C17" s="3">
        <v>1</v>
      </c>
      <c r="D17" s="3">
        <f>((19.17-0.75)/3.281)</f>
        <v>5.6141420298689431</v>
      </c>
      <c r="E17" s="3">
        <v>0.1</v>
      </c>
      <c r="F17" s="3">
        <f>(7.5+2.75)/3.281</f>
        <v>3.1240475464797317</v>
      </c>
      <c r="G17" s="3">
        <f>PRODUCT(C17:F17)</f>
        <v>1.7538846634000815</v>
      </c>
      <c r="H17" s="15"/>
      <c r="I17" s="15"/>
      <c r="J17" s="15"/>
      <c r="K17" s="15"/>
    </row>
    <row r="18" spans="1:11" x14ac:dyDescent="0.25">
      <c r="A18" s="13"/>
      <c r="B18" s="16" t="s">
        <v>122</v>
      </c>
      <c r="C18" s="3">
        <v>1</v>
      </c>
      <c r="D18" s="3">
        <v>0.23</v>
      </c>
      <c r="E18" s="3">
        <v>0.23</v>
      </c>
      <c r="F18" s="3">
        <f>(7.5+2.75)/3.281</f>
        <v>3.1240475464797317</v>
      </c>
      <c r="G18" s="3">
        <f>PRODUCT(C18:F18)</f>
        <v>0.16526211520877782</v>
      </c>
      <c r="H18" s="15"/>
      <c r="I18" s="15"/>
      <c r="J18" s="15"/>
      <c r="K18" s="15"/>
    </row>
    <row r="19" spans="1:11" s="10" customFormat="1" ht="15" customHeight="1" x14ac:dyDescent="0.25">
      <c r="A19" s="17"/>
      <c r="B19" s="18" t="s">
        <v>16</v>
      </c>
      <c r="C19" s="19"/>
      <c r="D19" s="1"/>
      <c r="E19" s="20"/>
      <c r="F19" s="20"/>
      <c r="G19" s="2">
        <f>SUM(G14:G18)</f>
        <v>7.9704510982436449</v>
      </c>
      <c r="H19" s="21" t="s">
        <v>28</v>
      </c>
      <c r="I19" s="2">
        <f>1.15*14491.84</f>
        <v>16665.615999999998</v>
      </c>
      <c r="J19" s="22">
        <f>G19*I19</f>
        <v>132832.47735010684</v>
      </c>
      <c r="K19" s="20"/>
    </row>
    <row r="20" spans="1:11" s="10" customFormat="1" x14ac:dyDescent="0.25">
      <c r="A20" s="24"/>
      <c r="B20" s="25"/>
      <c r="C20" s="26"/>
      <c r="D20" s="27"/>
      <c r="E20" s="27"/>
      <c r="F20" s="27"/>
      <c r="G20" s="27"/>
      <c r="H20" s="26"/>
      <c r="I20" s="26"/>
      <c r="J20" s="22"/>
      <c r="K20" s="26"/>
    </row>
    <row r="21" spans="1:11" ht="30" x14ac:dyDescent="0.25">
      <c r="A21" s="13">
        <v>5</v>
      </c>
      <c r="B21" s="28" t="s">
        <v>53</v>
      </c>
      <c r="C21" s="15"/>
      <c r="D21" s="15"/>
      <c r="E21" s="15"/>
      <c r="F21" s="15"/>
      <c r="G21" s="15"/>
      <c r="H21" s="15"/>
      <c r="I21" s="15"/>
      <c r="J21" s="15"/>
      <c r="K21" s="15"/>
    </row>
    <row r="22" spans="1:11" x14ac:dyDescent="0.25">
      <c r="A22" s="13"/>
      <c r="B22" s="16" t="s">
        <v>121</v>
      </c>
      <c r="C22" s="15">
        <v>1</v>
      </c>
      <c r="D22" s="3">
        <f>19.17/3.281</f>
        <v>5.8427308747333129</v>
      </c>
      <c r="E22" s="15"/>
      <c r="F22" s="3">
        <f>F17</f>
        <v>3.1240475464797317</v>
      </c>
      <c r="G22" s="3">
        <f t="shared" ref="G22:G23" si="2">PRODUCT(C22:F22)</f>
        <v>18.252969053951983</v>
      </c>
      <c r="H22" s="15"/>
      <c r="I22" s="15"/>
      <c r="J22" s="15"/>
      <c r="K22" s="15"/>
    </row>
    <row r="23" spans="1:11" x14ac:dyDescent="0.25">
      <c r="A23" s="13"/>
      <c r="B23" s="16"/>
      <c r="C23" s="15">
        <v>1</v>
      </c>
      <c r="D23" s="3">
        <f>19.17/3.281</f>
        <v>5.8427308747333129</v>
      </c>
      <c r="E23" s="15"/>
      <c r="F23" s="3">
        <f>F22-2.5/3.281</f>
        <v>2.3620847302651629</v>
      </c>
      <c r="G23" s="3">
        <f t="shared" si="2"/>
        <v>13.801025382256377</v>
      </c>
      <c r="H23" s="15"/>
      <c r="I23" s="15"/>
      <c r="J23" s="15"/>
      <c r="K23" s="15"/>
    </row>
    <row r="24" spans="1:11" x14ac:dyDescent="0.25">
      <c r="A24" s="13"/>
      <c r="B24" s="16" t="s">
        <v>102</v>
      </c>
      <c r="C24" s="3">
        <v>2</v>
      </c>
      <c r="D24" s="3">
        <f>(48.5)/3.281</f>
        <v>14.782078634562632</v>
      </c>
      <c r="E24" s="3"/>
      <c r="F24" s="3">
        <f>3.5/3.281</f>
        <v>1.0667479427003961</v>
      </c>
      <c r="G24" s="3">
        <f>PRODUCT(C24:F24)</f>
        <v>31.537503944510334</v>
      </c>
      <c r="H24" s="15"/>
      <c r="I24" s="15"/>
      <c r="J24" s="15"/>
      <c r="K24" s="15"/>
    </row>
    <row r="25" spans="1:11" x14ac:dyDescent="0.25">
      <c r="A25" s="13"/>
      <c r="B25" s="16" t="s">
        <v>103</v>
      </c>
      <c r="C25" s="3">
        <v>2</v>
      </c>
      <c r="D25" s="3">
        <f>(48.5-0.75*2)/3.281</f>
        <v>14.324900944833891</v>
      </c>
      <c r="E25" s="3"/>
      <c r="F25" s="3">
        <f>3.5/3.281</f>
        <v>1.0667479427003961</v>
      </c>
      <c r="G25" s="3">
        <f>PRODUCT(C25:F25)</f>
        <v>30.562117224577026</v>
      </c>
      <c r="H25" s="15"/>
      <c r="I25" s="15"/>
      <c r="J25" s="15"/>
      <c r="K25" s="15"/>
    </row>
    <row r="26" spans="1:11" s="10" customFormat="1" ht="15" customHeight="1" x14ac:dyDescent="0.25">
      <c r="A26" s="17"/>
      <c r="B26" s="18" t="s">
        <v>16</v>
      </c>
      <c r="C26" s="19"/>
      <c r="D26" s="1"/>
      <c r="E26" s="20"/>
      <c r="F26" s="20"/>
      <c r="G26" s="2">
        <f>SUM(G22:G25)</f>
        <v>94.153615605295712</v>
      </c>
      <c r="H26" s="21" t="s">
        <v>34</v>
      </c>
      <c r="I26" s="2">
        <f>1.15*415.5</f>
        <v>477.82499999999999</v>
      </c>
      <c r="J26" s="22">
        <f>G26*I26</f>
        <v>44988.951376600424</v>
      </c>
      <c r="K26" s="20"/>
    </row>
    <row r="27" spans="1:11" s="10" customFormat="1" x14ac:dyDescent="0.25">
      <c r="A27" s="24"/>
      <c r="B27" s="25"/>
      <c r="C27" s="26"/>
      <c r="D27" s="27"/>
      <c r="E27" s="27"/>
      <c r="F27" s="27"/>
      <c r="G27" s="27"/>
      <c r="H27" s="26"/>
      <c r="I27" s="26"/>
      <c r="J27" s="22"/>
      <c r="K27" s="26"/>
    </row>
    <row r="28" spans="1:11" ht="30" x14ac:dyDescent="0.25">
      <c r="A28" s="13">
        <v>6</v>
      </c>
      <c r="B28" s="28" t="s">
        <v>73</v>
      </c>
      <c r="C28" s="15"/>
      <c r="D28" s="15"/>
      <c r="E28" s="15"/>
      <c r="F28" s="15"/>
      <c r="G28" s="15"/>
      <c r="H28" s="15"/>
      <c r="I28" s="15"/>
      <c r="J28" s="15"/>
      <c r="K28" s="15"/>
    </row>
    <row r="29" spans="1:11" x14ac:dyDescent="0.25">
      <c r="A29" s="13"/>
      <c r="B29" s="16" t="s">
        <v>104</v>
      </c>
      <c r="C29" s="3">
        <v>1</v>
      </c>
      <c r="D29" s="3">
        <f>G26</f>
        <v>94.153615605295712</v>
      </c>
      <c r="E29" s="3"/>
      <c r="F29" s="3"/>
      <c r="G29" s="3">
        <f>PRODUCT(C29:F29)</f>
        <v>94.153615605295712</v>
      </c>
      <c r="H29" s="15"/>
      <c r="I29" s="15"/>
      <c r="J29" s="15"/>
      <c r="K29" s="15"/>
    </row>
    <row r="30" spans="1:11" s="10" customFormat="1" ht="15" customHeight="1" x14ac:dyDescent="0.25">
      <c r="A30" s="17"/>
      <c r="B30" s="18" t="s">
        <v>16</v>
      </c>
      <c r="C30" s="19"/>
      <c r="D30" s="1"/>
      <c r="E30" s="20"/>
      <c r="F30" s="20"/>
      <c r="G30" s="2">
        <f>SUM(G29:G29)</f>
        <v>94.153615605295712</v>
      </c>
      <c r="H30" s="21" t="s">
        <v>34</v>
      </c>
      <c r="I30" s="2">
        <f>1.15*253.8</f>
        <v>291.87</v>
      </c>
      <c r="J30" s="22">
        <f>G30*I30</f>
        <v>27480.615786717659</v>
      </c>
      <c r="K30" s="20"/>
    </row>
    <row r="31" spans="1:11" s="10" customFormat="1" x14ac:dyDescent="0.25">
      <c r="A31" s="24"/>
      <c r="B31" s="25"/>
      <c r="C31" s="26"/>
      <c r="D31" s="27"/>
      <c r="E31" s="27"/>
      <c r="F31" s="27"/>
      <c r="G31" s="27"/>
      <c r="H31" s="26"/>
      <c r="I31" s="26"/>
      <c r="J31" s="22"/>
      <c r="K31" s="26"/>
    </row>
    <row r="32" spans="1:11" ht="45" x14ac:dyDescent="0.25">
      <c r="A32" s="13">
        <v>7</v>
      </c>
      <c r="B32" s="28" t="s">
        <v>105</v>
      </c>
      <c r="C32" s="49" t="s">
        <v>7</v>
      </c>
      <c r="D32" s="49" t="s">
        <v>27</v>
      </c>
      <c r="E32" s="49" t="s">
        <v>106</v>
      </c>
      <c r="F32" s="49" t="s">
        <v>107</v>
      </c>
      <c r="G32" s="15"/>
      <c r="H32" s="15"/>
      <c r="I32" s="15"/>
      <c r="J32" s="15"/>
      <c r="K32" s="15"/>
    </row>
    <row r="33" spans="1:11" ht="30" x14ac:dyDescent="0.25">
      <c r="A33" s="13"/>
      <c r="B33" s="50" t="s">
        <v>130</v>
      </c>
      <c r="C33" s="3">
        <v>30</v>
      </c>
      <c r="D33" s="3">
        <v>0.3</v>
      </c>
      <c r="E33" s="3">
        <v>4.4000000000000004</v>
      </c>
      <c r="F33" s="3">
        <f>PRODUCT(C33:E33)</f>
        <v>39.6</v>
      </c>
      <c r="G33" s="3">
        <f>F33</f>
        <v>39.6</v>
      </c>
      <c r="H33" s="15"/>
      <c r="I33" s="15"/>
      <c r="J33" s="15"/>
      <c r="K33" s="15"/>
    </row>
    <row r="34" spans="1:11" x14ac:dyDescent="0.25">
      <c r="A34" s="13"/>
      <c r="B34" s="16"/>
      <c r="C34" s="3">
        <v>33</v>
      </c>
      <c r="D34" s="3">
        <v>0.3</v>
      </c>
      <c r="E34" s="3">
        <v>4.4000000000000004</v>
      </c>
      <c r="F34" s="3">
        <f>PRODUCT(C34:E34)</f>
        <v>43.56</v>
      </c>
      <c r="G34" s="3">
        <f>F34</f>
        <v>43.56</v>
      </c>
      <c r="H34" s="15"/>
      <c r="I34" s="15"/>
      <c r="J34" s="15"/>
      <c r="K34" s="15"/>
    </row>
    <row r="35" spans="1:11" ht="30" x14ac:dyDescent="0.25">
      <c r="A35" s="13"/>
      <c r="B35" s="50" t="s">
        <v>110</v>
      </c>
      <c r="C35" s="3">
        <f>2*2</f>
        <v>4</v>
      </c>
      <c r="D35" s="3">
        <f>28.75/3.281</f>
        <v>8.7625723864675393</v>
      </c>
      <c r="E35" s="3">
        <v>5.8</v>
      </c>
      <c r="F35" s="3">
        <f t="shared" ref="F35:F40" si="3">PRODUCT(C35:E35)</f>
        <v>203.29167936604691</v>
      </c>
      <c r="G35" s="3">
        <f t="shared" ref="G35:G40" si="4">F35</f>
        <v>203.29167936604691</v>
      </c>
      <c r="H35" s="15"/>
      <c r="I35" s="15"/>
      <c r="J35" s="15"/>
      <c r="K35" s="15"/>
    </row>
    <row r="36" spans="1:11" x14ac:dyDescent="0.25">
      <c r="A36" s="13"/>
      <c r="B36" s="16"/>
      <c r="C36" s="3">
        <f>2*2</f>
        <v>4</v>
      </c>
      <c r="D36" s="3">
        <f>6.75/3.281</f>
        <v>2.0572996037793354</v>
      </c>
      <c r="E36" s="3">
        <v>5.8</v>
      </c>
      <c r="F36" s="3">
        <f t="shared" si="3"/>
        <v>47.729350807680582</v>
      </c>
      <c r="G36" s="3">
        <f t="shared" si="4"/>
        <v>47.729350807680582</v>
      </c>
      <c r="H36" s="15"/>
      <c r="I36" s="15"/>
      <c r="J36" s="15"/>
      <c r="K36" s="15"/>
    </row>
    <row r="37" spans="1:11" x14ac:dyDescent="0.25">
      <c r="A37" s="13"/>
      <c r="B37" s="16"/>
      <c r="C37" s="3">
        <v>8</v>
      </c>
      <c r="D37" s="3">
        <f>6.75/3.281</f>
        <v>2.0572996037793354</v>
      </c>
      <c r="E37" s="3">
        <v>5.8</v>
      </c>
      <c r="F37" s="3">
        <f t="shared" si="3"/>
        <v>95.458701615361164</v>
      </c>
      <c r="G37" s="3">
        <f t="shared" si="4"/>
        <v>95.458701615361164</v>
      </c>
      <c r="H37" s="15"/>
      <c r="I37" s="15"/>
      <c r="J37" s="15"/>
      <c r="K37" s="15"/>
    </row>
    <row r="38" spans="1:11" x14ac:dyDescent="0.25">
      <c r="A38" s="13"/>
      <c r="B38" s="16"/>
      <c r="C38" s="3">
        <f>2*2</f>
        <v>4</v>
      </c>
      <c r="D38" s="3">
        <f>32.25/3.281</f>
        <v>9.8293203291679365</v>
      </c>
      <c r="E38" s="3">
        <v>5.8</v>
      </c>
      <c r="F38" s="3">
        <f t="shared" si="3"/>
        <v>228.04023163669612</v>
      </c>
      <c r="G38" s="3">
        <f t="shared" si="4"/>
        <v>228.04023163669612</v>
      </c>
      <c r="H38" s="15"/>
      <c r="I38" s="15"/>
      <c r="J38" s="15"/>
      <c r="K38" s="15"/>
    </row>
    <row r="39" spans="1:11" x14ac:dyDescent="0.25">
      <c r="A39" s="13"/>
      <c r="B39" s="16"/>
      <c r="C39" s="3">
        <f>2*2+1</f>
        <v>5</v>
      </c>
      <c r="D39" s="3">
        <f>6.75/3.281</f>
        <v>2.0572996037793354</v>
      </c>
      <c r="E39" s="3">
        <v>5.8</v>
      </c>
      <c r="F39" s="3">
        <f t="shared" si="3"/>
        <v>59.661688509600722</v>
      </c>
      <c r="G39" s="3">
        <f t="shared" si="4"/>
        <v>59.661688509600722</v>
      </c>
      <c r="H39" s="15"/>
      <c r="I39" s="15"/>
      <c r="J39" s="15"/>
      <c r="K39" s="15"/>
    </row>
    <row r="40" spans="1:11" x14ac:dyDescent="0.25">
      <c r="A40" s="13"/>
      <c r="B40" s="16"/>
      <c r="C40" s="3">
        <v>9</v>
      </c>
      <c r="D40" s="3">
        <f>6.75/3.281</f>
        <v>2.0572996037793354</v>
      </c>
      <c r="E40" s="3">
        <v>5.8</v>
      </c>
      <c r="F40" s="3">
        <f t="shared" si="3"/>
        <v>107.3910393172813</v>
      </c>
      <c r="G40" s="3">
        <f t="shared" si="4"/>
        <v>107.3910393172813</v>
      </c>
      <c r="H40" s="15"/>
      <c r="I40" s="15"/>
      <c r="J40" s="15"/>
      <c r="K40" s="15"/>
    </row>
    <row r="41" spans="1:11" s="10" customFormat="1" ht="15" customHeight="1" x14ac:dyDescent="0.25">
      <c r="A41" s="17"/>
      <c r="B41" s="18" t="s">
        <v>16</v>
      </c>
      <c r="C41" s="19"/>
      <c r="D41" s="1"/>
      <c r="E41" s="20"/>
      <c r="F41" s="20"/>
      <c r="G41" s="2">
        <f>SUM(G33:G40)</f>
        <v>824.73269125266677</v>
      </c>
      <c r="H41" s="21" t="s">
        <v>108</v>
      </c>
      <c r="I41" s="2">
        <f>1.15*182.51</f>
        <v>209.88649999999998</v>
      </c>
      <c r="J41" s="22">
        <f>G41*I41</f>
        <v>173100.25800260284</v>
      </c>
      <c r="K41" s="20"/>
    </row>
    <row r="42" spans="1:11" s="10" customFormat="1" x14ac:dyDescent="0.25">
      <c r="A42" s="24"/>
      <c r="B42" s="25"/>
      <c r="C42" s="26"/>
      <c r="D42" s="27"/>
      <c r="E42" s="27"/>
      <c r="F42" s="27"/>
      <c r="G42" s="27"/>
      <c r="H42" s="26"/>
      <c r="I42" s="26"/>
      <c r="J42" s="22"/>
      <c r="K42" s="26"/>
    </row>
    <row r="43" spans="1:11" s="10" customFormat="1" ht="15" customHeight="1" x14ac:dyDescent="0.25">
      <c r="A43" s="17">
        <v>10</v>
      </c>
      <c r="B43" s="53" t="s">
        <v>123</v>
      </c>
      <c r="C43" s="19">
        <v>1</v>
      </c>
      <c r="D43" s="1"/>
      <c r="E43" s="20"/>
      <c r="F43" s="20"/>
      <c r="G43" s="21">
        <f t="shared" ref="G43" si="5">PRODUCT(C43:F43)</f>
        <v>1</v>
      </c>
      <c r="H43" s="21" t="s">
        <v>30</v>
      </c>
      <c r="I43" s="2">
        <v>2000</v>
      </c>
      <c r="J43" s="21">
        <f>G43*I43</f>
        <v>2000</v>
      </c>
      <c r="K43" s="20"/>
    </row>
    <row r="44" spans="1:11" s="10" customFormat="1" x14ac:dyDescent="0.25">
      <c r="A44" s="24"/>
      <c r="B44" s="25"/>
      <c r="C44" s="26"/>
      <c r="D44" s="27"/>
      <c r="E44" s="27"/>
      <c r="F44" s="27"/>
      <c r="G44" s="27"/>
      <c r="H44" s="26"/>
      <c r="I44" s="26"/>
      <c r="J44" s="22"/>
      <c r="K44" s="26"/>
    </row>
    <row r="45" spans="1:11" s="10" customFormat="1" ht="15" customHeight="1" x14ac:dyDescent="0.25">
      <c r="A45" s="17">
        <v>11</v>
      </c>
      <c r="B45" s="30" t="s">
        <v>17</v>
      </c>
      <c r="C45" s="19">
        <v>1</v>
      </c>
      <c r="D45" s="1"/>
      <c r="E45" s="20"/>
      <c r="F45" s="20"/>
      <c r="G45" s="21">
        <f t="shared" ref="G45" si="6">PRODUCT(C45:F45)</f>
        <v>1</v>
      </c>
      <c r="H45" s="21" t="s">
        <v>18</v>
      </c>
      <c r="I45" s="2">
        <v>500</v>
      </c>
      <c r="J45" s="21">
        <f>G45*I45</f>
        <v>500</v>
      </c>
      <c r="K45" s="20"/>
    </row>
    <row r="46" spans="1:11" s="10" customFormat="1" x14ac:dyDescent="0.25">
      <c r="A46" s="17"/>
      <c r="B46" s="31"/>
      <c r="C46" s="19"/>
      <c r="D46" s="1"/>
      <c r="E46" s="20"/>
      <c r="F46" s="20"/>
      <c r="G46" s="2"/>
      <c r="H46" s="21"/>
      <c r="I46" s="2"/>
      <c r="J46" s="22"/>
      <c r="K46" s="20"/>
    </row>
    <row r="47" spans="1:11" s="10" customFormat="1" x14ac:dyDescent="0.25">
      <c r="A47" s="48"/>
      <c r="B47" s="33" t="s">
        <v>20</v>
      </c>
      <c r="C47" s="34"/>
      <c r="D47" s="35"/>
      <c r="E47" s="35"/>
      <c r="F47" s="35"/>
      <c r="G47" s="22"/>
      <c r="H47" s="22"/>
      <c r="I47" s="22"/>
      <c r="J47" s="22">
        <f>SUM(J13:J45)</f>
        <v>380902.30251602776</v>
      </c>
      <c r="K47" s="36"/>
    </row>
    <row r="48" spans="1:11" s="10" customFormat="1" x14ac:dyDescent="0.25">
      <c r="A48" s="44"/>
    </row>
    <row r="49" spans="1:10" s="44" customFormat="1" x14ac:dyDescent="0.25">
      <c r="A49" s="37"/>
      <c r="B49" s="38" t="s">
        <v>19</v>
      </c>
      <c r="C49" s="63">
        <f>J47</f>
        <v>380902.30251602776</v>
      </c>
      <c r="D49" s="64"/>
      <c r="E49" s="37"/>
      <c r="F49" s="40"/>
      <c r="G49" s="37"/>
      <c r="H49" s="41"/>
      <c r="I49" s="42"/>
      <c r="J49" s="43"/>
    </row>
    <row r="50" spans="1:10" s="10" customFormat="1" x14ac:dyDescent="0.25">
      <c r="A50" s="44"/>
      <c r="B50" s="54" t="s">
        <v>128</v>
      </c>
      <c r="C50" s="65">
        <f>0.13*C49</f>
        <v>49517.299327083609</v>
      </c>
      <c r="D50" s="66"/>
    </row>
    <row r="51" spans="1:10" s="10" customFormat="1" x14ac:dyDescent="0.25">
      <c r="A51" s="44"/>
      <c r="B51" s="38" t="s">
        <v>129</v>
      </c>
      <c r="C51" s="65">
        <f>SUM(C49:D50)</f>
        <v>430419.60184311139</v>
      </c>
      <c r="D51" s="66"/>
    </row>
  </sheetData>
  <mergeCells count="12">
    <mergeCell ref="A7:F7"/>
    <mergeCell ref="H7:K7"/>
    <mergeCell ref="C49:D49"/>
    <mergeCell ref="C50:D50"/>
    <mergeCell ref="C51:D5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krishi</vt:lpstr>
      <vt:lpstr>krishi thekka</vt:lpstr>
      <vt:lpstr>estimate!Print_Area</vt:lpstr>
      <vt:lpstr>krishi!Print_Area</vt:lpstr>
      <vt:lpstr>'krishi thekka'!Print_Area</vt:lpstr>
      <vt:lpstr>estimate!Print_Titles</vt:lpstr>
      <vt:lpstr>krishi!Print_Titles</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2026-04-16T05:17:22Z</dcterms:modified>
</cp:coreProperties>
</file>