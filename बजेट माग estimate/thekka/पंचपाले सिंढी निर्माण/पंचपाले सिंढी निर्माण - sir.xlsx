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E9E9C592-4CB2-48D3-9C98-208A1A0D4D31}" xr6:coauthVersionLast="47" xr6:coauthVersionMax="47" xr10:uidLastSave="{00000000-0000-0000-0000-000000000000}"/>
  <bookViews>
    <workbookView xWindow="-120" yWindow="-120" windowWidth="20730" windowHeight="11040" xr2:uid="{00000000-000D-0000-FFFF-FFFF00000000}"/>
  </bookViews>
  <sheets>
    <sheet name="estimate" sheetId="12" r:id="rId1"/>
  </sheets>
  <externalReferences>
    <externalReference r:id="rId2"/>
    <externalReference r:id="rId3"/>
    <externalReference r:id="rId4"/>
    <externalReference r:id="rId5"/>
  </externalReferences>
  <definedNames>
    <definedName name="description_103">[1]Abstract!$B$16</definedName>
    <definedName name="description_124" localSheetId="0">#REF!</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 localSheetId="0">#REF!</definedName>
    <definedName name="description_310">#REF!</definedName>
    <definedName name="description_312" localSheetId="0">#REF!</definedName>
    <definedName name="description_312">#REF!</definedName>
    <definedName name="description_4">[4]Abstract!$B$170</definedName>
    <definedName name="description_5">[1]Abstract!$B$171</definedName>
    <definedName name="description_6" localSheetId="0">#REF!</definedName>
    <definedName name="description_6">#REF!</definedName>
    <definedName name="description_759">[1]Abstract!$B$278</definedName>
    <definedName name="description_781" localSheetId="0">#REF!</definedName>
    <definedName name="description_781">#REF!</definedName>
    <definedName name="description_783">[1]Abstract!$B$301</definedName>
    <definedName name="description_784">[3]Abstract!$B$300</definedName>
    <definedName name="_xlnm.Print_Area" localSheetId="0">estimate!$A$1:$K$41</definedName>
    <definedName name="_xlnm.Print_Titles" localSheetId="0">estimate!$1:$8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5" i="12" l="1"/>
  <c r="I30" i="12"/>
  <c r="I22" i="12"/>
  <c r="I16" i="12"/>
  <c r="I12" i="12"/>
  <c r="D10" i="12"/>
  <c r="D11" i="12"/>
  <c r="E26" i="12"/>
  <c r="E20" i="12" s="1"/>
  <c r="E15" i="12" s="1"/>
  <c r="D26" i="12"/>
  <c r="C21" i="12"/>
  <c r="C29" i="12"/>
  <c r="D28" i="12"/>
  <c r="F34" i="12"/>
  <c r="E33" i="12"/>
  <c r="B20" i="12"/>
  <c r="B26" i="12" s="1"/>
  <c r="B19" i="12"/>
  <c r="B25" i="12" s="1"/>
  <c r="D19" i="12"/>
  <c r="D25" i="12" s="1"/>
  <c r="D20" i="12" l="1"/>
  <c r="D15" i="12" s="1"/>
  <c r="G15" i="12" s="1"/>
  <c r="G16" i="12" s="1"/>
  <c r="D27" i="12"/>
  <c r="D29" i="12"/>
  <c r="G29" i="12" s="1"/>
  <c r="D21" i="12"/>
  <c r="E34" i="12"/>
  <c r="G34" i="12" s="1"/>
  <c r="E28" i="12"/>
  <c r="J16" i="12" l="1"/>
  <c r="G28" i="12"/>
  <c r="E21" i="12"/>
  <c r="G21" i="12" s="1"/>
  <c r="E11" i="12"/>
  <c r="G11" i="12" s="1"/>
  <c r="F26" i="12"/>
  <c r="E19" i="12"/>
  <c r="E25" i="12" s="1"/>
  <c r="G10" i="12" l="1"/>
  <c r="G12" i="12" s="1"/>
  <c r="G25" i="12"/>
  <c r="G20" i="12" l="1"/>
  <c r="G19" i="12"/>
  <c r="G22" i="12" s="1"/>
  <c r="J22" i="12" l="1"/>
  <c r="J12" i="12"/>
  <c r="G37" i="12" l="1"/>
  <c r="J37" i="12" s="1"/>
  <c r="G33" i="12" l="1"/>
  <c r="G35" i="12" s="1"/>
  <c r="G27" i="12"/>
  <c r="G26" i="12"/>
  <c r="G30" i="12" s="1"/>
  <c r="J35" i="12" l="1"/>
  <c r="J30" i="12" l="1"/>
  <c r="J39" i="12" l="1"/>
  <c r="C41" i="12" s="1"/>
</calcChain>
</file>

<file path=xl/sharedStrings.xml><?xml version="1.0" encoding="utf-8"?>
<sst xmlns="http://schemas.openxmlformats.org/spreadsheetml/2006/main" count="43" uniqueCount="36">
  <si>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</si>
  <si>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</si>
  <si>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</si>
  <si>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</si>
  <si>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</si>
  <si>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</si>
  <si>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</si>
  <si>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</si>
  <si>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</si>
  <si>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</si>
  <si>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</si>
  <si>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</si>
  <si>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</si>
  <si>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</si>
  <si>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</si>
  <si>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</si>
  <si>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Information board (सुचना पाटि)</t>
  </si>
  <si>
    <t>no.</t>
  </si>
  <si>
    <t>Total Estimated</t>
  </si>
  <si>
    <t>Total</t>
  </si>
  <si>
    <t>F.Y.: 2082/2083</t>
  </si>
  <si>
    <t>sub-total</t>
  </si>
  <si>
    <t>cum</t>
  </si>
  <si>
    <t>Location:- Shankharapur Municipality 1</t>
  </si>
  <si>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t>
  </si>
  <si>
    <t>Providing and laying of hand pack locally available Stone soling with 150 to 200 mm thick stones and packing with smaller stone on prepared surface as per Drawing and Technical Specifications.</t>
  </si>
  <si>
    <t>Providing and laying of Plain/Reinforced Cement Concrete in Foundation complete as per Drawing and Technical Specifications, PCC Grade M 15, Manual Mixing</t>
  </si>
  <si>
    <t>-masonary wall</t>
  </si>
  <si>
    <t>Random Rubble Masonry, Providing and laying of Stone Masonry Work in the Cement Mortar 1:6 in Foundation complete as per Drawing and Technical Specifications.</t>
  </si>
  <si>
    <t xml:space="preserve">Date:2082          </t>
  </si>
  <si>
    <t>-path</t>
  </si>
  <si>
    <t>Earthwork Excavation in Cutting., Roadway Excavation in all types of Soil by Mechanical  Means ., Road way Excavation in  all types of soil as per Drawing and technical specifications  including  removal of stumps and other deleterious matter and backfilling, all lifts and lead as per Drawing and instruction of the Engineer.</t>
  </si>
  <si>
    <t>-for masonary wall</t>
  </si>
  <si>
    <t>Sub-total</t>
  </si>
  <si>
    <t>m3</t>
  </si>
  <si>
    <r>
      <t>Project:-</t>
    </r>
    <r>
      <rPr>
        <sz val="12"/>
        <rFont val="Preeti"/>
      </rPr>
      <t xml:space="preserve"> k+rkfn] l;F9L lgdf{0f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</si>
</sst>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5"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2"/>
      <name val="Calibri"/>
      <family val="2"/>
      <scheme val="minor"/>
    </font>
    <font>
      <sz val="12"/>
      <color theme="1"/>
      <name val="Times New Roman"/>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1">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4" fillId="0" borderId="0" xfId="0" applyFont="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6" fillId="0" borderId="2" xfId="0" applyFont="1" applyBorder="1" applyAlignment="1">
      <alignment vertical="center"/>
    </xf>
    <xf numFmtId="0" fontId="4" fillId="0" borderId="2" xfId="0" quotePrefix="1" applyFont="1" applyBorder="1" applyAlignment="1">
      <alignment wrapText="1"/>
    </xf>
    <xf numFmtId="0" fontId="4" fillId="0" borderId="2" xfId="0" applyFont="1" applyBorder="1"/>
    <xf numFmtId="2" fontId="3" fillId="0" borderId="2" xfId="0" applyNumberFormat="1" applyFont="1" applyBorder="1"/>
    <xf numFmtId="0" fontId="13" fillId="0" borderId="2" xfId="0" quotePrefix="1" applyFont="1" applyBorder="1" applyAlignment="1">
      <alignment horizontal="right"/>
    </xf>
    <xf numFmtId="2" fontId="4" fillId="0" borderId="2" xfId="0" applyNumberFormat="1" applyFont="1" applyBorder="1"/>
    <xf numFmtId="1" fontId="3" fillId="0" borderId="2" xfId="0" applyNumberFormat="1" applyFont="1" applyBorder="1" applyAlignment="1">
      <alignment vertical="center"/>
    </xf>
    <xf numFmtId="0" fontId="2" fillId="0" borderId="2" xfId="0" quotePrefix="1" applyFont="1" applyBorder="1" applyAlignment="1">
      <alignment horizontal="right" vertical="center"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6" fillId="0" borderId="2" xfId="0" applyNumberFormat="1" applyFont="1" applyBorder="1" applyAlignment="1">
      <alignment vertical="center"/>
    </xf>
    <xf numFmtId="2" fontId="3" fillId="0" borderId="2" xfId="0" applyNumberFormat="1" applyFont="1" applyBorder="1" applyAlignment="1">
      <alignment vertical="center"/>
    </xf>
    <xf numFmtId="0" fontId="4" fillId="0" borderId="0" xfId="0" applyFont="1" applyAlignment="1">
      <alignment vertical="center"/>
    </xf>
    <xf numFmtId="0" fontId="4" fillId="0" borderId="2" xfId="0" quotePrefix="1" applyFont="1" applyBorder="1" applyAlignment="1">
      <alignment horizontal="right"/>
    </xf>
    <xf numFmtId="0" fontId="4" fillId="0" borderId="2" xfId="0" applyFont="1" applyBorder="1" applyAlignment="1">
      <alignment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0" fontId="4" fillId="0" borderId="2" xfId="0" applyFont="1" applyBorder="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14" fillId="2" borderId="2" xfId="0" applyFont="1" applyFill="1" applyBorder="1" applyAlignment="1">
      <alignment vertical="center" wrapText="1"/>
    </xf>
    <xf numFmtId="0" fontId="2" fillId="0" borderId="2" xfId="0" quotePrefix="1" applyFont="1" applyBorder="1" applyAlignment="1">
      <alignment horizontal="right" wrapText="1"/>
    </xf>
    <xf numFmtId="0" fontId="8" fillId="0" borderId="0" xfId="0" applyFont="1" applyAlignment="1">
      <alignment horizontal="left"/>
    </xf>
    <xf numFmtId="0" fontId="8" fillId="0" borderId="0" xfId="0" applyFont="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0" fontId="8" fillId="0" borderId="1" xfId="0" applyFont="1" applyBorder="1"/>
    <xf numFmtId="0" fontId="8" fillId="0" borderId="1" xfId="0" applyFont="1" applyBorder="1" applyAlignment="1">
      <alignment horizontal="right"/>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082_083\ward1\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70">
          <cell r="B170" t="str">
            <v>Providing and laying of Plain/Reinforced Cement Concrete in Foundation complete as per Drawing and Technical Specifications, PCC Grade M 15, Manual Mixing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1"/>
  <sheetViews>
    <sheetView tabSelected="1" topLeftCell="A32" zoomScaleNormal="100" zoomScaleSheetLayoutView="95" workbookViewId="0">
      <selection activeCell="G42" sqref="G42"/>
    </sheetView>
  </sheetViews>
  <sheetFormatPr defaultColWidth="9.140625" defaultRowHeight="15" x14ac:dyDescent="0.25"/>
  <cols>
    <col min="1" max="1" width="4.7109375" style="3" customWidth="1"/>
    <col min="2" max="2" width="30.85546875" style="3" customWidth="1"/>
    <col min="3" max="3" width="4.42578125" style="3" bestFit="1" customWidth="1"/>
    <col min="4" max="4" width="8.42578125" style="3" customWidth="1"/>
    <col min="5" max="5" width="8.5703125" style="3" customWidth="1"/>
    <col min="6" max="6" width="7.28515625" style="3" customWidth="1"/>
    <col min="7" max="7" width="9.140625" style="3"/>
    <col min="8" max="8" width="5" style="3" bestFit="1" customWidth="1"/>
    <col min="9" max="9" width="9.5703125" style="3" customWidth="1"/>
    <col min="10" max="10" width="11.85546875" style="3" bestFit="1" customWidth="1"/>
    <col min="11" max="16384" width="9.140625" style="3"/>
  </cols>
  <sheetData>
    <row r="1" spans="1:11" x14ac:dyDescent="0.25">
      <c r="A1" s="43" t="s">
        <v>0</v>
      </c>
      <c r="B1" s="43"/>
      <c r="C1" s="43"/>
      <c r="D1" s="43"/>
      <c r="E1" s="43"/>
      <c r="F1" s="43"/>
      <c r="G1" s="43"/>
      <c r="H1" s="43"/>
      <c r="I1" s="43"/>
      <c r="J1" s="43"/>
      <c r="K1" s="43"/>
    </row>
    <row r="2" spans="1:11" ht="22.5" x14ac:dyDescent="0.25">
      <c r="A2" s="44" t="s">
        <v>1</v>
      </c>
      <c r="B2" s="44"/>
      <c r="C2" s="44"/>
      <c r="D2" s="44"/>
      <c r="E2" s="44"/>
      <c r="F2" s="44"/>
      <c r="G2" s="44"/>
      <c r="H2" s="44"/>
      <c r="I2" s="44"/>
      <c r="J2" s="44"/>
      <c r="K2" s="44"/>
    </row>
    <row r="3" spans="1:11" x14ac:dyDescent="0.25">
      <c r="A3" s="45" t="s">
        <v>2</v>
      </c>
      <c r="B3" s="45"/>
      <c r="C3" s="45"/>
      <c r="D3" s="45"/>
      <c r="E3" s="45"/>
      <c r="F3" s="45"/>
      <c r="G3" s="45"/>
      <c r="H3" s="45"/>
      <c r="I3" s="45"/>
      <c r="J3" s="45"/>
      <c r="K3" s="45"/>
    </row>
    <row r="4" spans="1:11" x14ac:dyDescent="0.25">
      <c r="A4" s="45" t="s">
        <v>3</v>
      </c>
      <c r="B4" s="45"/>
      <c r="C4" s="45"/>
      <c r="D4" s="45"/>
      <c r="E4" s="45"/>
      <c r="F4" s="45"/>
      <c r="G4" s="45"/>
      <c r="H4" s="45"/>
      <c r="I4" s="45"/>
      <c r="J4" s="45"/>
      <c r="K4" s="45"/>
    </row>
    <row r="5" spans="1:11" ht="18.75" x14ac:dyDescent="0.3">
      <c r="A5" s="46" t="s">
        <v>4</v>
      </c>
      <c r="B5" s="46"/>
      <c r="C5" s="46"/>
      <c r="D5" s="46"/>
      <c r="E5" s="46"/>
      <c r="F5" s="46"/>
      <c r="G5" s="46"/>
      <c r="H5" s="46"/>
      <c r="I5" s="46"/>
      <c r="J5" s="46"/>
      <c r="K5" s="46"/>
    </row>
    <row r="6" spans="1:11" ht="15.75" x14ac:dyDescent="0.25">
      <c r="A6" s="41" t="s">
        <v>35</v>
      </c>
      <c r="B6" s="41"/>
      <c r="C6" s="41"/>
      <c r="D6" s="41"/>
      <c r="E6" s="41"/>
      <c r="F6" s="41"/>
      <c r="G6" s="4"/>
      <c r="H6" s="42" t="s">
        <v>20</v>
      </c>
      <c r="I6" s="42"/>
      <c r="J6" s="42"/>
      <c r="K6" s="42"/>
    </row>
    <row r="7" spans="1:11" ht="15.75" x14ac:dyDescent="0.25">
      <c r="A7" s="49" t="s">
        <v>23</v>
      </c>
      <c r="B7" s="49"/>
      <c r="C7" s="49"/>
      <c r="D7" s="49"/>
      <c r="E7" s="49"/>
      <c r="F7" s="49"/>
      <c r="G7" s="5"/>
      <c r="H7" s="50" t="s">
        <v>29</v>
      </c>
      <c r="I7" s="50"/>
      <c r="J7" s="50"/>
      <c r="K7" s="50"/>
    </row>
    <row r="8" spans="1:11" ht="15.75" x14ac:dyDescent="0.25">
      <c r="A8" s="6" t="s">
        <v>5</v>
      </c>
      <c r="B8" s="7" t="s">
        <v>6</v>
      </c>
      <c r="C8" s="6" t="s">
        <v>7</v>
      </c>
      <c r="D8" s="8" t="s">
        <v>8</v>
      </c>
      <c r="E8" s="8" t="s">
        <v>9</v>
      </c>
      <c r="F8" s="8" t="s">
        <v>10</v>
      </c>
      <c r="G8" s="8" t="s">
        <v>11</v>
      </c>
      <c r="H8" s="6" t="s">
        <v>12</v>
      </c>
      <c r="I8" s="8" t="s">
        <v>13</v>
      </c>
      <c r="J8" s="8" t="s">
        <v>14</v>
      </c>
      <c r="K8" s="9" t="s">
        <v>15</v>
      </c>
    </row>
    <row r="9" spans="1:11" ht="150" x14ac:dyDescent="0.25">
      <c r="A9" s="10">
        <v>1</v>
      </c>
      <c r="B9" s="11" t="s">
        <v>24</v>
      </c>
      <c r="C9" s="12"/>
      <c r="D9" s="12"/>
      <c r="E9" s="12"/>
      <c r="F9" s="12"/>
      <c r="G9" s="12"/>
      <c r="H9" s="12"/>
      <c r="I9" s="12"/>
      <c r="J9" s="13"/>
      <c r="K9" s="12"/>
    </row>
    <row r="10" spans="1:11" ht="15.75" x14ac:dyDescent="0.25">
      <c r="A10" s="10"/>
      <c r="B10" s="14" t="s">
        <v>30</v>
      </c>
      <c r="C10" s="12">
        <v>1</v>
      </c>
      <c r="D10" s="15">
        <f>12+9</f>
        <v>21</v>
      </c>
      <c r="E10" s="15">
        <v>1.2</v>
      </c>
      <c r="F10" s="15">
        <v>0.15</v>
      </c>
      <c r="G10" s="15">
        <f>PRODUCT(C10:F10)</f>
        <v>3.78</v>
      </c>
      <c r="H10" s="12"/>
      <c r="I10" s="12"/>
      <c r="J10" s="13"/>
      <c r="K10" s="12"/>
    </row>
    <row r="11" spans="1:11" ht="15.75" x14ac:dyDescent="0.25">
      <c r="A11" s="10"/>
      <c r="B11" s="14" t="s">
        <v>27</v>
      </c>
      <c r="C11" s="12">
        <v>0.5</v>
      </c>
      <c r="D11" s="15">
        <f>D34</f>
        <v>5.5</v>
      </c>
      <c r="E11" s="15">
        <f>E28</f>
        <v>1.0667479427003961</v>
      </c>
      <c r="F11" s="15">
        <v>1</v>
      </c>
      <c r="G11" s="15">
        <f>PRODUCT(C11:F11)</f>
        <v>2.9335568424260892</v>
      </c>
      <c r="H11" s="12"/>
      <c r="I11" s="12"/>
      <c r="J11" s="13"/>
      <c r="K11" s="12"/>
    </row>
    <row r="12" spans="1:11" s="22" customFormat="1" x14ac:dyDescent="0.25">
      <c r="A12" s="16"/>
      <c r="B12" s="17" t="s">
        <v>21</v>
      </c>
      <c r="C12" s="18"/>
      <c r="D12" s="1"/>
      <c r="E12" s="19"/>
      <c r="F12" s="19"/>
      <c r="G12" s="20">
        <f>SUM(G10:G11)</f>
        <v>6.7135568424260885</v>
      </c>
      <c r="H12" s="21" t="s">
        <v>22</v>
      </c>
      <c r="I12" s="2">
        <f>1.15*748.9</f>
        <v>861.2349999999999</v>
      </c>
      <c r="J12" s="20">
        <f>G12*I12</f>
        <v>5781.9501271868321</v>
      </c>
      <c r="K12" s="19"/>
    </row>
    <row r="13" spans="1:11" x14ac:dyDescent="0.25">
      <c r="A13" s="10"/>
      <c r="B13" s="23"/>
      <c r="C13" s="12"/>
      <c r="D13" s="12"/>
      <c r="E13" s="12"/>
      <c r="F13" s="12"/>
      <c r="G13" s="12"/>
      <c r="H13" s="12"/>
      <c r="I13" s="12"/>
      <c r="J13" s="13"/>
      <c r="K13" s="12"/>
    </row>
    <row r="14" spans="1:11" ht="188.25" customHeight="1" x14ac:dyDescent="0.25">
      <c r="A14" s="10">
        <v>2</v>
      </c>
      <c r="B14" s="39" t="s">
        <v>31</v>
      </c>
      <c r="C14" s="12"/>
      <c r="D14" s="12"/>
      <c r="E14" s="12"/>
      <c r="F14" s="12"/>
      <c r="G14" s="12"/>
      <c r="H14" s="12"/>
      <c r="I14" s="12"/>
      <c r="J14" s="12"/>
      <c r="K14" s="12"/>
    </row>
    <row r="15" spans="1:11" x14ac:dyDescent="0.25">
      <c r="A15" s="10"/>
      <c r="B15" s="23" t="s">
        <v>32</v>
      </c>
      <c r="C15" s="12">
        <v>0.5</v>
      </c>
      <c r="D15" s="15">
        <f>D20</f>
        <v>9</v>
      </c>
      <c r="E15" s="15">
        <f>E20</f>
        <v>2.5</v>
      </c>
      <c r="F15" s="15">
        <v>1</v>
      </c>
      <c r="G15" s="15">
        <f>PRODUCT(C15:F15)</f>
        <v>11.25</v>
      </c>
      <c r="H15" s="12"/>
      <c r="I15" s="12"/>
      <c r="J15" s="12"/>
      <c r="K15" s="12"/>
    </row>
    <row r="16" spans="1:11" ht="15" customHeight="1" x14ac:dyDescent="0.25">
      <c r="A16" s="16"/>
      <c r="B16" s="40" t="s">
        <v>33</v>
      </c>
      <c r="C16" s="18"/>
      <c r="D16" s="1"/>
      <c r="E16" s="19"/>
      <c r="F16" s="19"/>
      <c r="G16" s="2">
        <f>SUM(G15:G15)</f>
        <v>11.25</v>
      </c>
      <c r="H16" s="21" t="s">
        <v>34</v>
      </c>
      <c r="I16" s="2">
        <f>1.15*62.95</f>
        <v>72.392499999999998</v>
      </c>
      <c r="J16" s="13">
        <f>G16*I16</f>
        <v>814.41562499999998</v>
      </c>
      <c r="K16" s="19"/>
    </row>
    <row r="17" spans="1:11" x14ac:dyDescent="0.25">
      <c r="A17" s="10"/>
      <c r="B17" s="23"/>
      <c r="C17" s="12"/>
      <c r="D17" s="12"/>
      <c r="E17" s="12"/>
      <c r="F17" s="12"/>
      <c r="G17" s="12"/>
      <c r="H17" s="12"/>
      <c r="I17" s="12"/>
      <c r="J17" s="13"/>
      <c r="K17" s="12"/>
    </row>
    <row r="18" spans="1:11" ht="105" x14ac:dyDescent="0.25">
      <c r="A18" s="10">
        <v>3</v>
      </c>
      <c r="B18" s="11" t="s">
        <v>25</v>
      </c>
      <c r="C18" s="12"/>
      <c r="D18" s="12"/>
      <c r="E18" s="12"/>
      <c r="F18" s="12"/>
      <c r="G18" s="12"/>
      <c r="H18" s="12"/>
      <c r="I18" s="12"/>
      <c r="J18" s="12"/>
      <c r="K18" s="12"/>
    </row>
    <row r="19" spans="1:11" ht="15.75" x14ac:dyDescent="0.25">
      <c r="A19" s="10"/>
      <c r="B19" s="14" t="str">
        <f>B10</f>
        <v>-path</v>
      </c>
      <c r="C19" s="12">
        <v>1</v>
      </c>
      <c r="D19" s="15">
        <f>D10</f>
        <v>21</v>
      </c>
      <c r="E19" s="15">
        <f>E10</f>
        <v>1.2</v>
      </c>
      <c r="F19" s="12">
        <v>0.15</v>
      </c>
      <c r="G19" s="15">
        <f t="shared" ref="G19:G21" si="0">PRODUCT(C19:F19)</f>
        <v>3.78</v>
      </c>
      <c r="H19" s="12"/>
      <c r="I19" s="12"/>
      <c r="J19" s="13"/>
      <c r="K19" s="12"/>
    </row>
    <row r="20" spans="1:11" ht="15.75" x14ac:dyDescent="0.25">
      <c r="A20" s="10"/>
      <c r="B20" s="14" t="str">
        <f>B11</f>
        <v>-masonary wall</v>
      </c>
      <c r="C20" s="12">
        <v>1</v>
      </c>
      <c r="D20" s="15">
        <f>D26</f>
        <v>9</v>
      </c>
      <c r="E20" s="15">
        <f>E26</f>
        <v>2.5</v>
      </c>
      <c r="F20" s="12">
        <v>0.15</v>
      </c>
      <c r="G20" s="15">
        <f t="shared" si="0"/>
        <v>3.375</v>
      </c>
      <c r="H20" s="12"/>
      <c r="I20" s="12"/>
      <c r="J20" s="13"/>
      <c r="K20" s="12"/>
    </row>
    <row r="21" spans="1:11" ht="15.75" x14ac:dyDescent="0.25">
      <c r="A21" s="10"/>
      <c r="B21" s="14"/>
      <c r="C21" s="12">
        <f>C28</f>
        <v>1</v>
      </c>
      <c r="D21" s="15">
        <f>D28</f>
        <v>5.5</v>
      </c>
      <c r="E21" s="15">
        <f>E28</f>
        <v>1.0667479427003961</v>
      </c>
      <c r="F21" s="12">
        <v>0.15</v>
      </c>
      <c r="G21" s="15">
        <f t="shared" si="0"/>
        <v>0.8800670527278267</v>
      </c>
      <c r="H21" s="12"/>
      <c r="I21" s="12"/>
      <c r="J21" s="13"/>
      <c r="K21" s="12"/>
    </row>
    <row r="22" spans="1:11" s="22" customFormat="1" x14ac:dyDescent="0.25">
      <c r="A22" s="16"/>
      <c r="B22" s="17" t="s">
        <v>21</v>
      </c>
      <c r="C22" s="18"/>
      <c r="D22" s="1"/>
      <c r="E22" s="19"/>
      <c r="F22" s="19"/>
      <c r="G22" s="20">
        <f>SUM(G19:G21)</f>
        <v>8.0350670527278254</v>
      </c>
      <c r="H22" s="21" t="s">
        <v>22</v>
      </c>
      <c r="I22" s="2">
        <f>1.15*4458.52</f>
        <v>5127.2979999999998</v>
      </c>
      <c r="J22" s="20">
        <f>G22*I22</f>
        <v>41198.18322931727</v>
      </c>
      <c r="K22" s="19"/>
    </row>
    <row r="23" spans="1:11" x14ac:dyDescent="0.25">
      <c r="A23" s="10"/>
      <c r="B23" s="11"/>
      <c r="C23" s="12"/>
      <c r="D23" s="12"/>
      <c r="E23" s="12"/>
      <c r="F23" s="12"/>
      <c r="G23" s="12"/>
      <c r="H23" s="12"/>
      <c r="I23" s="12"/>
      <c r="J23" s="12"/>
      <c r="K23" s="12"/>
    </row>
    <row r="24" spans="1:11" ht="90" x14ac:dyDescent="0.25">
      <c r="A24" s="10">
        <v>4</v>
      </c>
      <c r="B24" s="11" t="s">
        <v>26</v>
      </c>
      <c r="C24" s="12"/>
      <c r="D24" s="24"/>
      <c r="E24" s="24"/>
      <c r="F24" s="24"/>
      <c r="G24" s="12"/>
      <c r="H24" s="12"/>
      <c r="I24" s="12"/>
      <c r="J24" s="13"/>
      <c r="K24" s="12"/>
    </row>
    <row r="25" spans="1:11" ht="15.75" x14ac:dyDescent="0.25">
      <c r="A25" s="10"/>
      <c r="B25" s="14" t="str">
        <f>B19</f>
        <v>-path</v>
      </c>
      <c r="C25" s="12">
        <v>1</v>
      </c>
      <c r="D25" s="15">
        <f>D19</f>
        <v>21</v>
      </c>
      <c r="E25" s="15">
        <f>E19</f>
        <v>1.2</v>
      </c>
      <c r="F25" s="15">
        <v>0.1</v>
      </c>
      <c r="G25" s="15">
        <f t="shared" ref="G25" si="1">PRODUCT(C25:F25)</f>
        <v>2.52</v>
      </c>
      <c r="H25" s="12"/>
      <c r="I25" s="12"/>
      <c r="J25" s="13"/>
      <c r="K25" s="12"/>
    </row>
    <row r="26" spans="1:11" ht="15.75" x14ac:dyDescent="0.25">
      <c r="A26" s="10"/>
      <c r="B26" s="14" t="str">
        <f>B20</f>
        <v>-masonary wall</v>
      </c>
      <c r="C26" s="12">
        <v>1</v>
      </c>
      <c r="D26" s="15">
        <f>D33</f>
        <v>9</v>
      </c>
      <c r="E26" s="15">
        <f>F33/2</f>
        <v>2.5</v>
      </c>
      <c r="F26" s="15">
        <f>0.05</f>
        <v>0.05</v>
      </c>
      <c r="G26" s="15">
        <f>PRODUCT(C26:F26)</f>
        <v>1.125</v>
      </c>
      <c r="H26" s="12"/>
      <c r="I26" s="12"/>
      <c r="J26" s="13"/>
      <c r="K26" s="12"/>
    </row>
    <row r="27" spans="1:11" ht="15.75" x14ac:dyDescent="0.25">
      <c r="A27" s="10"/>
      <c r="B27" s="14"/>
      <c r="C27" s="12">
        <v>1</v>
      </c>
      <c r="D27" s="15">
        <f>D26</f>
        <v>9</v>
      </c>
      <c r="E27" s="12">
        <v>0.45</v>
      </c>
      <c r="F27" s="12">
        <v>0.05</v>
      </c>
      <c r="G27" s="15">
        <f>PRODUCT(C27:F27)</f>
        <v>0.20250000000000001</v>
      </c>
      <c r="H27" s="12"/>
      <c r="I27" s="12"/>
      <c r="J27" s="13"/>
      <c r="K27" s="12"/>
    </row>
    <row r="28" spans="1:11" ht="15.75" x14ac:dyDescent="0.25">
      <c r="A28" s="10"/>
      <c r="B28" s="14"/>
      <c r="C28" s="12">
        <v>1</v>
      </c>
      <c r="D28" s="15">
        <f>D34</f>
        <v>5.5</v>
      </c>
      <c r="E28" s="15">
        <f>F34/2</f>
        <v>1.0667479427003961</v>
      </c>
      <c r="F28" s="12">
        <v>0.05</v>
      </c>
      <c r="G28" s="15">
        <f>PRODUCT(C28:F28)</f>
        <v>0.29335568424260894</v>
      </c>
      <c r="H28" s="12"/>
      <c r="I28" s="12"/>
      <c r="J28" s="13"/>
      <c r="K28" s="12"/>
    </row>
    <row r="29" spans="1:11" ht="15.75" x14ac:dyDescent="0.25">
      <c r="A29" s="10"/>
      <c r="B29" s="14"/>
      <c r="C29" s="12">
        <f>C28</f>
        <v>1</v>
      </c>
      <c r="D29" s="15">
        <f>D28</f>
        <v>5.5</v>
      </c>
      <c r="E29" s="12">
        <v>0.45</v>
      </c>
      <c r="F29" s="12">
        <v>0.05</v>
      </c>
      <c r="G29" s="15">
        <f>PRODUCT(C29:F29)</f>
        <v>0.12375000000000001</v>
      </c>
      <c r="H29" s="12"/>
      <c r="I29" s="12"/>
      <c r="J29" s="13"/>
      <c r="K29" s="12"/>
    </row>
    <row r="30" spans="1:11" s="22" customFormat="1" x14ac:dyDescent="0.25">
      <c r="A30" s="16"/>
      <c r="B30" s="17" t="s">
        <v>21</v>
      </c>
      <c r="C30" s="18"/>
      <c r="D30" s="1"/>
      <c r="E30" s="19"/>
      <c r="F30" s="19"/>
      <c r="G30" s="20">
        <f>SUM(G25:G29)</f>
        <v>4.2646056842426097</v>
      </c>
      <c r="H30" s="21" t="s">
        <v>22</v>
      </c>
      <c r="I30" s="2">
        <f>1.15*11587.52</f>
        <v>13325.647999999999</v>
      </c>
      <c r="J30" s="20">
        <f>G30*I30</f>
        <v>56828.634207016163</v>
      </c>
      <c r="K30" s="19"/>
    </row>
    <row r="31" spans="1:11" x14ac:dyDescent="0.25">
      <c r="A31" s="10"/>
      <c r="B31" s="23"/>
      <c r="C31" s="12"/>
      <c r="D31" s="12"/>
      <c r="E31" s="12"/>
      <c r="F31" s="12"/>
      <c r="G31" s="12"/>
      <c r="H31" s="12"/>
      <c r="I31" s="12"/>
      <c r="J31" s="13"/>
      <c r="K31" s="12"/>
    </row>
    <row r="32" spans="1:11" ht="90" x14ac:dyDescent="0.25">
      <c r="A32" s="10">
        <v>5</v>
      </c>
      <c r="B32" s="11" t="s">
        <v>28</v>
      </c>
      <c r="C32" s="12"/>
      <c r="D32" s="24"/>
      <c r="E32" s="24"/>
      <c r="F32" s="24"/>
      <c r="G32" s="12"/>
      <c r="H32" s="12"/>
      <c r="I32" s="12"/>
      <c r="J32" s="13"/>
      <c r="K32" s="12"/>
    </row>
    <row r="33" spans="1:11" x14ac:dyDescent="0.25">
      <c r="A33" s="10"/>
      <c r="B33" s="17" t="s">
        <v>27</v>
      </c>
      <c r="C33" s="12">
        <v>1</v>
      </c>
      <c r="D33" s="15">
        <v>9</v>
      </c>
      <c r="E33" s="15">
        <f>(0.45+(F33/2))/2</f>
        <v>1.4750000000000001</v>
      </c>
      <c r="F33" s="15">
        <v>5</v>
      </c>
      <c r="G33" s="15">
        <f>PRODUCT(C33:F33)</f>
        <v>66.375</v>
      </c>
      <c r="H33" s="12"/>
      <c r="I33" s="12"/>
      <c r="J33" s="13"/>
      <c r="K33" s="12"/>
    </row>
    <row r="34" spans="1:11" x14ac:dyDescent="0.25">
      <c r="A34" s="10"/>
      <c r="B34" s="17"/>
      <c r="C34" s="12">
        <v>1</v>
      </c>
      <c r="D34" s="15">
        <v>5.5</v>
      </c>
      <c r="E34" s="15">
        <f>(0.45+(F34/2))/2</f>
        <v>0.75837397135019802</v>
      </c>
      <c r="F34" s="15">
        <f>7/3.281</f>
        <v>2.1334958854007922</v>
      </c>
      <c r="G34" s="15">
        <f>PRODUCT(C34:F34)</f>
        <v>8.8989326110888811</v>
      </c>
      <c r="H34" s="12"/>
      <c r="I34" s="12"/>
      <c r="J34" s="13"/>
      <c r="K34" s="12"/>
    </row>
    <row r="35" spans="1:11" s="22" customFormat="1" x14ac:dyDescent="0.25">
      <c r="A35" s="16"/>
      <c r="B35" s="17" t="s">
        <v>21</v>
      </c>
      <c r="C35" s="18"/>
      <c r="D35" s="1"/>
      <c r="E35" s="19"/>
      <c r="F35" s="19"/>
      <c r="G35" s="20">
        <f>SUM(G33:G34)</f>
        <v>75.273932611088881</v>
      </c>
      <c r="H35" s="21" t="s">
        <v>22</v>
      </c>
      <c r="I35" s="2">
        <f>1.15*8987.83</f>
        <v>10336.004499999999</v>
      </c>
      <c r="J35" s="20">
        <f>G35*I35</f>
        <v>778031.70620091131</v>
      </c>
      <c r="K35" s="19"/>
    </row>
    <row r="36" spans="1:11" x14ac:dyDescent="0.25">
      <c r="A36" s="10"/>
      <c r="B36" s="23"/>
      <c r="C36" s="12"/>
      <c r="D36" s="12"/>
      <c r="E36" s="12"/>
      <c r="F36" s="12"/>
      <c r="G36" s="12"/>
      <c r="H36" s="12"/>
      <c r="I36" s="12"/>
      <c r="J36" s="13"/>
      <c r="K36" s="12"/>
    </row>
    <row r="37" spans="1:11" ht="15" customHeight="1" x14ac:dyDescent="0.25">
      <c r="A37" s="16">
        <v>6</v>
      </c>
      <c r="B37" s="25" t="s">
        <v>16</v>
      </c>
      <c r="C37" s="18">
        <v>1</v>
      </c>
      <c r="D37" s="1"/>
      <c r="E37" s="19"/>
      <c r="F37" s="19"/>
      <c r="G37" s="21">
        <f t="shared" ref="G37" si="2">PRODUCT(C37:F37)</f>
        <v>1</v>
      </c>
      <c r="H37" s="21" t="s">
        <v>17</v>
      </c>
      <c r="I37" s="2">
        <v>500</v>
      </c>
      <c r="J37" s="21">
        <f>G37*I37</f>
        <v>500</v>
      </c>
      <c r="K37" s="19"/>
    </row>
    <row r="38" spans="1:11" x14ac:dyDescent="0.25">
      <c r="A38" s="16"/>
      <c r="B38" s="26"/>
      <c r="C38" s="18"/>
      <c r="D38" s="1"/>
      <c r="E38" s="19"/>
      <c r="F38" s="19"/>
      <c r="G38" s="2"/>
      <c r="H38" s="21"/>
      <c r="I38" s="2"/>
      <c r="J38" s="13"/>
      <c r="K38" s="19"/>
    </row>
    <row r="39" spans="1:11" x14ac:dyDescent="0.25">
      <c r="A39" s="27"/>
      <c r="B39" s="28" t="s">
        <v>19</v>
      </c>
      <c r="C39" s="29"/>
      <c r="D39" s="30"/>
      <c r="E39" s="30"/>
      <c r="F39" s="30"/>
      <c r="G39" s="13"/>
      <c r="H39" s="13"/>
      <c r="I39" s="13"/>
      <c r="J39" s="13">
        <f>SUM(J9:J37)</f>
        <v>883154.88938943157</v>
      </c>
      <c r="K39" s="31"/>
    </row>
    <row r="41" spans="1:11" s="22" customFormat="1" x14ac:dyDescent="0.25">
      <c r="A41" s="32"/>
      <c r="B41" s="33" t="s">
        <v>18</v>
      </c>
      <c r="C41" s="47">
        <f>J39</f>
        <v>883154.88938943157</v>
      </c>
      <c r="D41" s="48"/>
      <c r="E41" s="34"/>
      <c r="F41" s="32"/>
      <c r="G41" s="35"/>
      <c r="H41" s="32"/>
      <c r="I41" s="36"/>
      <c r="J41" s="37"/>
      <c r="K41" s="38"/>
    </row>
  </sheetData>
  <mergeCells count="10">
    <mergeCell ref="A7:F7"/>
    <mergeCell ref="H7:K7"/>
    <mergeCell ref="C41:D41"/>
    <mergeCell ref="A6:F6"/>
    <mergeCell ref="H6:K6"/>
    <mergeCell ref="A1:K1"/>
    <mergeCell ref="A2:K2"/>
    <mergeCell ref="A3:K3"/>
    <mergeCell ref="A4:K4"/>
    <mergeCell ref="A5:K5"/>
  </mergeCells>
  <pageMargins left="0.70866141732283505" right="0.70866141732283505" top="0.74803149606299202" bottom="0.74803149606299202" header="0.31496062992126" footer="0.31496062992126"/>
  <pageSetup paperSize="9" scale="80" orientation="portrait" verticalDpi="1200" r:id="rId1"/>
  <headerFooter>
    <oddFooter>&amp;LPrepared By:&amp;CChecked By:&amp;RApproved By: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estimate</vt:lpstr>
      <vt:lpstr>estimate!Print_Area</vt:lpstr>
      <vt:lpstr>estimate!Print_Titles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2026-03-30T06:16:59Z</dcterms:modified>
</cp:coreProperties>
</file>