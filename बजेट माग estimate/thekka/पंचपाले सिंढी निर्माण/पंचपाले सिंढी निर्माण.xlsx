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F41FFFA4-5C5C-48E9-94EF-516B61EB152E}"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estimate!$A$1:$K$57</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2" l="1"/>
  <c r="G23" i="12"/>
  <c r="G16" i="12"/>
  <c r="G12" i="12"/>
  <c r="D10" i="12"/>
  <c r="D11" i="12"/>
  <c r="E28" i="12"/>
  <c r="E21" i="12" s="1"/>
  <c r="E15" i="12" s="1"/>
  <c r="D28" i="12"/>
  <c r="C22" i="12"/>
  <c r="C31" i="12"/>
  <c r="D30" i="12"/>
  <c r="F41" i="12"/>
  <c r="E40" i="12"/>
  <c r="B21" i="12"/>
  <c r="B28" i="12" s="1"/>
  <c r="B20" i="12"/>
  <c r="B27" i="12" s="1"/>
  <c r="D20" i="12"/>
  <c r="D27" i="12" s="1"/>
  <c r="D21" i="12" l="1"/>
  <c r="D15" i="12" s="1"/>
  <c r="G15" i="12" s="1"/>
  <c r="D29" i="12"/>
  <c r="D31" i="12"/>
  <c r="G31" i="12" s="1"/>
  <c r="D22" i="12"/>
  <c r="E41" i="12"/>
  <c r="G41" i="12" s="1"/>
  <c r="E30" i="12"/>
  <c r="J17" i="12" l="1"/>
  <c r="J16" i="12"/>
  <c r="G30" i="12"/>
  <c r="E22" i="12"/>
  <c r="G22" i="12" s="1"/>
  <c r="E11" i="12"/>
  <c r="G11" i="12" s="1"/>
  <c r="F28" i="12"/>
  <c r="E20" i="12"/>
  <c r="E27" i="12" s="1"/>
  <c r="G10" i="12" l="1"/>
  <c r="G27" i="12"/>
  <c r="G21" i="12" l="1"/>
  <c r="G20" i="12"/>
  <c r="J24" i="12" l="1"/>
  <c r="J23" i="12" l="1"/>
  <c r="J12" i="12"/>
  <c r="C56" i="12" l="1"/>
  <c r="C57" i="12" l="1"/>
  <c r="C54" i="12" s="1"/>
  <c r="G48" i="12"/>
  <c r="J48" i="12" s="1"/>
  <c r="G40" i="12" l="1"/>
  <c r="G42" i="12" s="1"/>
  <c r="G29" i="12"/>
  <c r="G28" i="12"/>
  <c r="J46" i="12" l="1"/>
  <c r="J42" i="12"/>
  <c r="J43" i="12"/>
  <c r="J44" i="12"/>
  <c r="J45" i="12"/>
  <c r="J32" i="12" l="1"/>
  <c r="J33" i="12"/>
  <c r="J36" i="12"/>
  <c r="J37" i="12"/>
  <c r="J34" i="12"/>
  <c r="J35" i="12"/>
  <c r="J50" i="12" l="1"/>
  <c r="C52" i="12" s="1"/>
  <c r="C55" i="12" l="1"/>
  <c r="E54" i="12"/>
  <c r="E55" i="12" s="1"/>
</calcChain>
</file>

<file path=xl/sharedStrings.xml><?xml version="1.0" encoding="utf-8"?>
<sst xmlns="http://schemas.openxmlformats.org/spreadsheetml/2006/main" count="59" uniqueCount="49">
  <si>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</si>
  <si>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</si>
  <si>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</si>
  <si>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</si>
  <si>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</si>
  <si>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</si>
  <si>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</si>
  <si>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</si>
  <si>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</si>
  <si>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</si>
  <si>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</si>
  <si>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</si>
  <si>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</si>
  <si>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</si>
  <si>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</si>
  <si>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</si>
  <si>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</si>
  <si>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</si>
  <si>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</si>
  <si>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</si>
  <si>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</si>
  <si>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</si>
  <si>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</si>
  <si>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</si>
  <si>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</si>
  <si>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</si>
  <si>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</si>
  <si>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</si>
  <si>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</si>
  <si>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</si>
  <si>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</si>
  <si>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</si>
  <si>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</si>
  <si>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</si>
  <si>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</si>
  <si>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</si>
  <si>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-13% VAT for water</t>
  </si>
  <si>
    <t>-13% VAT for formwork</t>
  </si>
  <si>
    <t>-masonary wall</t>
  </si>
  <si>
    <t>Random Rubble Masonry, Providing and laying of Stone Masonry Work in the Cement Mortar 1:6 in Foundation complete as per Drawing and Technical Specifications.</t>
  </si>
  <si>
    <t>-13% VAT for stone</t>
  </si>
  <si>
    <t xml:space="preserve">Date:2082          </t>
  </si>
  <si>
    <t>-path</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</si>
  <si>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</si>
  <si>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-for masonary wall</t>
  </si>
  <si>
    <t>Sub-total</t>
  </si>
  <si>
    <t>m3</t>
  </si>
  <si>
    <t>-13% VAT for materials</t>
  </si>
  <si>
    <r>
      <t>Project:-</t>
    </r>
    <r>
      <rPr>
        <sz val="12"/>
        <rFont val="Preeti"/>
      </rPr>
      <t xml:space="preserve"> k+rkfn] l;F9L lgdf{0f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</si>
</sst>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14" fillId="2" borderId="2" xfId="0" applyFont="1" applyFill="1" applyBorder="1" applyAlignment="1">
      <alignment vertical="center" wrapText="1"/>
    </xf>
    <xf numFmtId="0" fontId="2" fillId="0" borderId="2" xfId="0" quotePrefix="1" applyFont="1" applyBorder="1" applyAlignment="1">
      <alignment horizontal="righ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tabSelected="1" zoomScaleNormal="100" zoomScaleSheetLayoutView="95" workbookViewId="0">
      <selection activeCell="A7" sqref="A7:F7"/>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50" t="s">
        <v>0</v>
      </c>
      <c r="B1" s="50"/>
      <c r="C1" s="50"/>
      <c r="D1" s="50"/>
      <c r="E1" s="50"/>
      <c r="F1" s="50"/>
      <c r="G1" s="50"/>
      <c r="H1" s="50"/>
      <c r="I1" s="50"/>
      <c r="J1" s="50"/>
      <c r="K1" s="50"/>
    </row>
    <row r="2" spans="1:11" ht="22.5" x14ac:dyDescent="0.25">
      <c r="A2" s="51" t="s">
        <v>1</v>
      </c>
      <c r="B2" s="51"/>
      <c r="C2" s="51"/>
      <c r="D2" s="51"/>
      <c r="E2" s="51"/>
      <c r="F2" s="51"/>
      <c r="G2" s="51"/>
      <c r="H2" s="51"/>
      <c r="I2" s="51"/>
      <c r="J2" s="51"/>
      <c r="K2" s="51"/>
    </row>
    <row r="3" spans="1:11" x14ac:dyDescent="0.25">
      <c r="A3" s="52" t="s">
        <v>2</v>
      </c>
      <c r="B3" s="52"/>
      <c r="C3" s="52"/>
      <c r="D3" s="52"/>
      <c r="E3" s="52"/>
      <c r="F3" s="52"/>
      <c r="G3" s="52"/>
      <c r="H3" s="52"/>
      <c r="I3" s="52"/>
      <c r="J3" s="52"/>
      <c r="K3" s="52"/>
    </row>
    <row r="4" spans="1:11" x14ac:dyDescent="0.25">
      <c r="A4" s="52" t="s">
        <v>3</v>
      </c>
      <c r="B4" s="52"/>
      <c r="C4" s="52"/>
      <c r="D4" s="52"/>
      <c r="E4" s="52"/>
      <c r="F4" s="52"/>
      <c r="G4" s="52"/>
      <c r="H4" s="52"/>
      <c r="I4" s="52"/>
      <c r="J4" s="52"/>
      <c r="K4" s="52"/>
    </row>
    <row r="5" spans="1:11" ht="18.75" x14ac:dyDescent="0.3">
      <c r="A5" s="53" t="s">
        <v>4</v>
      </c>
      <c r="B5" s="53"/>
      <c r="C5" s="53"/>
      <c r="D5" s="53"/>
      <c r="E5" s="53"/>
      <c r="F5" s="53"/>
      <c r="G5" s="53"/>
      <c r="H5" s="53"/>
      <c r="I5" s="53"/>
      <c r="J5" s="53"/>
      <c r="K5" s="53"/>
    </row>
    <row r="6" spans="1:11" ht="15.75" x14ac:dyDescent="0.25">
      <c r="A6" s="48" t="s">
        <v>48</v>
      </c>
      <c r="B6" s="48"/>
      <c r="C6" s="48"/>
      <c r="D6" s="48"/>
      <c r="E6" s="48"/>
      <c r="F6" s="48"/>
      <c r="G6" s="4"/>
      <c r="H6" s="49" t="s">
        <v>24</v>
      </c>
      <c r="I6" s="49"/>
      <c r="J6" s="49"/>
      <c r="K6" s="49"/>
    </row>
    <row r="7" spans="1:11" ht="15.75" x14ac:dyDescent="0.25">
      <c r="A7" s="43" t="s">
        <v>28</v>
      </c>
      <c r="B7" s="43"/>
      <c r="C7" s="43"/>
      <c r="D7" s="43"/>
      <c r="E7" s="43"/>
      <c r="F7" s="43"/>
      <c r="G7" s="5"/>
      <c r="H7" s="44" t="s">
        <v>41</v>
      </c>
      <c r="I7" s="44"/>
      <c r="J7" s="44"/>
      <c r="K7" s="44"/>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33</v>
      </c>
      <c r="C9" s="12"/>
      <c r="D9" s="12"/>
      <c r="E9" s="12"/>
      <c r="F9" s="12"/>
      <c r="G9" s="12"/>
      <c r="H9" s="12"/>
      <c r="I9" s="12"/>
      <c r="J9" s="13"/>
      <c r="K9" s="12"/>
    </row>
    <row r="10" spans="1:11" ht="15.75" x14ac:dyDescent="0.25">
      <c r="A10" s="10"/>
      <c r="B10" s="14" t="s">
        <v>42</v>
      </c>
      <c r="C10" s="12">
        <v>1</v>
      </c>
      <c r="D10" s="15">
        <f>12+9</f>
        <v>21</v>
      </c>
      <c r="E10" s="15">
        <v>1.2</v>
      </c>
      <c r="F10" s="15">
        <v>0.15</v>
      </c>
      <c r="G10" s="15">
        <f>PRODUCT(C10:F10)</f>
        <v>3.78</v>
      </c>
      <c r="H10" s="12"/>
      <c r="I10" s="12"/>
      <c r="J10" s="13"/>
      <c r="K10" s="12"/>
    </row>
    <row r="11" spans="1:11" ht="15.75" x14ac:dyDescent="0.25">
      <c r="A11" s="10"/>
      <c r="B11" s="14" t="s">
        <v>38</v>
      </c>
      <c r="C11" s="12">
        <v>0.5</v>
      </c>
      <c r="D11" s="15">
        <f>D41</f>
        <v>5.5</v>
      </c>
      <c r="E11" s="15">
        <f>E30</f>
        <v>1.0667479427003961</v>
      </c>
      <c r="F11" s="15">
        <v>1</v>
      </c>
      <c r="G11" s="15">
        <f>PRODUCT(C11:F11)</f>
        <v>2.9335568424260892</v>
      </c>
      <c r="H11" s="12"/>
      <c r="I11" s="12"/>
      <c r="J11" s="13"/>
      <c r="K11" s="12"/>
    </row>
    <row r="12" spans="1:11" s="22" customFormat="1" x14ac:dyDescent="0.25">
      <c r="A12" s="16"/>
      <c r="B12" s="17" t="s">
        <v>26</v>
      </c>
      <c r="C12" s="18"/>
      <c r="D12" s="1"/>
      <c r="E12" s="19"/>
      <c r="F12" s="19"/>
      <c r="G12" s="20">
        <f>SUM(G10:G11)</f>
        <v>6.7135568424260885</v>
      </c>
      <c r="H12" s="21" t="s">
        <v>27</v>
      </c>
      <c r="I12" s="2">
        <v>748.9</v>
      </c>
      <c r="J12" s="20">
        <f>G12*I12</f>
        <v>5027.7827192928971</v>
      </c>
      <c r="K12" s="19"/>
    </row>
    <row r="13" spans="1:11" x14ac:dyDescent="0.25">
      <c r="A13" s="10"/>
      <c r="B13" s="23"/>
      <c r="C13" s="12"/>
      <c r="D13" s="12"/>
      <c r="E13" s="12"/>
      <c r="F13" s="12"/>
      <c r="G13" s="12"/>
      <c r="H13" s="12"/>
      <c r="I13" s="12"/>
      <c r="J13" s="13"/>
      <c r="K13" s="12"/>
    </row>
    <row r="14" spans="1:11" ht="188.25" customHeight="1" x14ac:dyDescent="0.25">
      <c r="A14" s="10">
        <v>2</v>
      </c>
      <c r="B14" s="39" t="s">
        <v>43</v>
      </c>
      <c r="C14" s="12"/>
      <c r="D14" s="12"/>
      <c r="E14" s="12"/>
      <c r="F14" s="12"/>
      <c r="G14" s="12"/>
      <c r="H14" s="12"/>
      <c r="I14" s="12"/>
      <c r="J14" s="12"/>
      <c r="K14" s="12"/>
    </row>
    <row r="15" spans="1:11" x14ac:dyDescent="0.25">
      <c r="A15" s="10"/>
      <c r="B15" s="23" t="s">
        <v>44</v>
      </c>
      <c r="C15" s="12">
        <v>0.5</v>
      </c>
      <c r="D15" s="15">
        <f>D21</f>
        <v>9</v>
      </c>
      <c r="E15" s="15">
        <f>E21</f>
        <v>2.5</v>
      </c>
      <c r="F15" s="15">
        <v>1</v>
      </c>
      <c r="G15" s="15">
        <f>PRODUCT(C15:F15)</f>
        <v>11.25</v>
      </c>
      <c r="H15" s="12"/>
      <c r="I15" s="12"/>
      <c r="J15" s="12"/>
      <c r="K15" s="12"/>
    </row>
    <row r="16" spans="1:11" ht="15" customHeight="1" x14ac:dyDescent="0.25">
      <c r="A16" s="16"/>
      <c r="B16" s="40" t="s">
        <v>45</v>
      </c>
      <c r="C16" s="18"/>
      <c r="D16" s="1"/>
      <c r="E16" s="19"/>
      <c r="F16" s="19"/>
      <c r="G16" s="2">
        <f>SUM(G15:G15)</f>
        <v>11.25</v>
      </c>
      <c r="H16" s="21" t="s">
        <v>46</v>
      </c>
      <c r="I16" s="2">
        <v>62.95</v>
      </c>
      <c r="J16" s="13">
        <f>G16*I16</f>
        <v>708.1875</v>
      </c>
      <c r="K16" s="19"/>
    </row>
    <row r="17" spans="1:11" x14ac:dyDescent="0.25">
      <c r="A17" s="10"/>
      <c r="B17" s="23" t="s">
        <v>47</v>
      </c>
      <c r="C17" s="12"/>
      <c r="D17" s="12"/>
      <c r="E17" s="12"/>
      <c r="F17" s="12"/>
      <c r="G17" s="12"/>
      <c r="H17" s="12"/>
      <c r="I17" s="12"/>
      <c r="J17" s="13">
        <f>0.13*G16*(18612)/360</f>
        <v>75.611250000000013</v>
      </c>
      <c r="K17" s="12"/>
    </row>
    <row r="18" spans="1:11" x14ac:dyDescent="0.25">
      <c r="A18" s="10"/>
      <c r="B18" s="23"/>
      <c r="C18" s="12"/>
      <c r="D18" s="12"/>
      <c r="E18" s="12"/>
      <c r="F18" s="12"/>
      <c r="G18" s="12"/>
      <c r="H18" s="12"/>
      <c r="I18" s="12"/>
      <c r="J18" s="13"/>
      <c r="K18" s="12"/>
    </row>
    <row r="19" spans="1:11" ht="105" x14ac:dyDescent="0.25">
      <c r="A19" s="10">
        <v>3</v>
      </c>
      <c r="B19" s="11" t="s">
        <v>34</v>
      </c>
      <c r="C19" s="12"/>
      <c r="D19" s="12"/>
      <c r="E19" s="12"/>
      <c r="F19" s="12"/>
      <c r="G19" s="12"/>
      <c r="H19" s="12"/>
      <c r="I19" s="12"/>
      <c r="J19" s="12"/>
      <c r="K19" s="12"/>
    </row>
    <row r="20" spans="1:11" ht="15.75" x14ac:dyDescent="0.25">
      <c r="A20" s="10"/>
      <c r="B20" s="14" t="str">
        <f>B10</f>
        <v>-path</v>
      </c>
      <c r="C20" s="12">
        <v>1</v>
      </c>
      <c r="D20" s="15">
        <f>D10</f>
        <v>21</v>
      </c>
      <c r="E20" s="15">
        <f>E10</f>
        <v>1.2</v>
      </c>
      <c r="F20" s="12">
        <v>0.15</v>
      </c>
      <c r="G20" s="15">
        <f t="shared" ref="G20:G22" si="0">PRODUCT(C20:F20)</f>
        <v>3.78</v>
      </c>
      <c r="H20" s="12"/>
      <c r="I20" s="12"/>
      <c r="J20" s="13"/>
      <c r="K20" s="12"/>
    </row>
    <row r="21" spans="1:11" ht="15.75" x14ac:dyDescent="0.25">
      <c r="A21" s="10"/>
      <c r="B21" s="14" t="str">
        <f>B11</f>
        <v>-masonary wall</v>
      </c>
      <c r="C21" s="12">
        <v>1</v>
      </c>
      <c r="D21" s="15">
        <f>D28</f>
        <v>9</v>
      </c>
      <c r="E21" s="15">
        <f>E28</f>
        <v>2.5</v>
      </c>
      <c r="F21" s="12">
        <v>0.15</v>
      </c>
      <c r="G21" s="15">
        <f t="shared" si="0"/>
        <v>3.375</v>
      </c>
      <c r="H21" s="12"/>
      <c r="I21" s="12"/>
      <c r="J21" s="13"/>
      <c r="K21" s="12"/>
    </row>
    <row r="22" spans="1:11" ht="15.75" x14ac:dyDescent="0.25">
      <c r="A22" s="10"/>
      <c r="B22" s="14"/>
      <c r="C22" s="12">
        <f>C30</f>
        <v>1</v>
      </c>
      <c r="D22" s="15">
        <f>D30</f>
        <v>5.5</v>
      </c>
      <c r="E22" s="15">
        <f>E30</f>
        <v>1.0667479427003961</v>
      </c>
      <c r="F22" s="12">
        <v>0.15</v>
      </c>
      <c r="G22" s="15">
        <f t="shared" si="0"/>
        <v>0.8800670527278267</v>
      </c>
      <c r="H22" s="12"/>
      <c r="I22" s="12"/>
      <c r="J22" s="13"/>
      <c r="K22" s="12"/>
    </row>
    <row r="23" spans="1:11" s="22" customFormat="1" x14ac:dyDescent="0.25">
      <c r="A23" s="16"/>
      <c r="B23" s="17" t="s">
        <v>26</v>
      </c>
      <c r="C23" s="18"/>
      <c r="D23" s="1"/>
      <c r="E23" s="19"/>
      <c r="F23" s="19"/>
      <c r="G23" s="20">
        <f>SUM(G20:G22)</f>
        <v>8.0350670527278254</v>
      </c>
      <c r="H23" s="21" t="s">
        <v>27</v>
      </c>
      <c r="I23" s="2">
        <v>4458.5200000000004</v>
      </c>
      <c r="J23" s="20">
        <f>G23*I23</f>
        <v>35824.50715592807</v>
      </c>
      <c r="K23" s="19"/>
    </row>
    <row r="24" spans="1:11" x14ac:dyDescent="0.25">
      <c r="A24" s="10"/>
      <c r="B24" s="23" t="s">
        <v>32</v>
      </c>
      <c r="C24" s="12"/>
      <c r="D24" s="12"/>
      <c r="E24" s="12"/>
      <c r="F24" s="12"/>
      <c r="G24" s="12"/>
      <c r="H24" s="12"/>
      <c r="I24" s="12"/>
      <c r="J24" s="13">
        <f>0.13*G23*14817.6/5</f>
        <v>3095.5706485729957</v>
      </c>
      <c r="K24" s="12"/>
    </row>
    <row r="25" spans="1:11" x14ac:dyDescent="0.25">
      <c r="A25" s="10"/>
      <c r="B25" s="11"/>
      <c r="C25" s="12"/>
      <c r="D25" s="12"/>
      <c r="E25" s="12"/>
      <c r="F25" s="12"/>
      <c r="G25" s="12"/>
      <c r="H25" s="12"/>
      <c r="I25" s="12"/>
      <c r="J25" s="12"/>
      <c r="K25" s="12"/>
    </row>
    <row r="26" spans="1:11" ht="90" x14ac:dyDescent="0.25">
      <c r="A26" s="10">
        <v>4</v>
      </c>
      <c r="B26" s="11" t="s">
        <v>35</v>
      </c>
      <c r="C26" s="12"/>
      <c r="D26" s="24"/>
      <c r="E26" s="24"/>
      <c r="F26" s="24"/>
      <c r="G26" s="12"/>
      <c r="H26" s="12"/>
      <c r="I26" s="12"/>
      <c r="J26" s="13"/>
      <c r="K26" s="12"/>
    </row>
    <row r="27" spans="1:11" ht="15.75" x14ac:dyDescent="0.25">
      <c r="A27" s="10"/>
      <c r="B27" s="14" t="str">
        <f>B20</f>
        <v>-path</v>
      </c>
      <c r="C27" s="12">
        <v>1</v>
      </c>
      <c r="D27" s="15">
        <f>D20</f>
        <v>21</v>
      </c>
      <c r="E27" s="15">
        <f>E20</f>
        <v>1.2</v>
      </c>
      <c r="F27" s="15">
        <v>0.1</v>
      </c>
      <c r="G27" s="15">
        <f t="shared" ref="G27" si="1">PRODUCT(C27:F27)</f>
        <v>2.52</v>
      </c>
      <c r="H27" s="12"/>
      <c r="I27" s="12"/>
      <c r="J27" s="13"/>
      <c r="K27" s="12"/>
    </row>
    <row r="28" spans="1:11" ht="15.75" x14ac:dyDescent="0.25">
      <c r="A28" s="10"/>
      <c r="B28" s="14" t="str">
        <f>B21</f>
        <v>-masonary wall</v>
      </c>
      <c r="C28" s="12">
        <v>1</v>
      </c>
      <c r="D28" s="15">
        <f>D40</f>
        <v>9</v>
      </c>
      <c r="E28" s="15">
        <f>F40/2</f>
        <v>2.5</v>
      </c>
      <c r="F28" s="15">
        <f>0.05</f>
        <v>0.05</v>
      </c>
      <c r="G28" s="15">
        <f>PRODUCT(C28:F28)</f>
        <v>1.125</v>
      </c>
      <c r="H28" s="12"/>
      <c r="I28" s="12"/>
      <c r="J28" s="13"/>
      <c r="K28" s="12"/>
    </row>
    <row r="29" spans="1:11" ht="15.75" x14ac:dyDescent="0.25">
      <c r="A29" s="10"/>
      <c r="B29" s="14"/>
      <c r="C29" s="12">
        <v>1</v>
      </c>
      <c r="D29" s="15">
        <f>D28</f>
        <v>9</v>
      </c>
      <c r="E29" s="12">
        <v>0.45</v>
      </c>
      <c r="F29" s="12">
        <v>0.05</v>
      </c>
      <c r="G29" s="15">
        <f>PRODUCT(C29:F29)</f>
        <v>0.20250000000000001</v>
      </c>
      <c r="H29" s="12"/>
      <c r="I29" s="12"/>
      <c r="J29" s="13"/>
      <c r="K29" s="12"/>
    </row>
    <row r="30" spans="1:11" ht="15.75" x14ac:dyDescent="0.25">
      <c r="A30" s="10"/>
      <c r="B30" s="14"/>
      <c r="C30" s="12">
        <v>1</v>
      </c>
      <c r="D30" s="15">
        <f>D41</f>
        <v>5.5</v>
      </c>
      <c r="E30" s="15">
        <f>F41/2</f>
        <v>1.0667479427003961</v>
      </c>
      <c r="F30" s="12">
        <v>0.05</v>
      </c>
      <c r="G30" s="15">
        <f>PRODUCT(C30:F30)</f>
        <v>0.29335568424260894</v>
      </c>
      <c r="H30" s="12"/>
      <c r="I30" s="12"/>
      <c r="J30" s="13"/>
      <c r="K30" s="12"/>
    </row>
    <row r="31" spans="1:11" ht="15.75" x14ac:dyDescent="0.25">
      <c r="A31" s="10"/>
      <c r="B31" s="14"/>
      <c r="C31" s="12">
        <f>C30</f>
        <v>1</v>
      </c>
      <c r="D31" s="15">
        <f>D30</f>
        <v>5.5</v>
      </c>
      <c r="E31" s="12">
        <v>0.45</v>
      </c>
      <c r="F31" s="12">
        <v>0.05</v>
      </c>
      <c r="G31" s="15">
        <f>PRODUCT(C31:F31)</f>
        <v>0.12375000000000001</v>
      </c>
      <c r="H31" s="12"/>
      <c r="I31" s="12"/>
      <c r="J31" s="13"/>
      <c r="K31" s="12"/>
    </row>
    <row r="32" spans="1:11" s="22" customFormat="1" x14ac:dyDescent="0.25">
      <c r="A32" s="16"/>
      <c r="B32" s="17" t="s">
        <v>26</v>
      </c>
      <c r="C32" s="18"/>
      <c r="D32" s="1"/>
      <c r="E32" s="19"/>
      <c r="F32" s="19"/>
      <c r="G32" s="20">
        <f>SUM(G27:G31)</f>
        <v>4.2646056842426097</v>
      </c>
      <c r="H32" s="21" t="s">
        <v>27</v>
      </c>
      <c r="I32" s="2">
        <v>11587.52</v>
      </c>
      <c r="J32" s="20">
        <f>G32*I32</f>
        <v>49416.203658274928</v>
      </c>
      <c r="K32" s="19"/>
    </row>
    <row r="33" spans="1:11" x14ac:dyDescent="0.25">
      <c r="A33" s="10"/>
      <c r="B33" s="23" t="s">
        <v>30</v>
      </c>
      <c r="C33" s="12"/>
      <c r="D33" s="12"/>
      <c r="E33" s="12"/>
      <c r="F33" s="12"/>
      <c r="G33" s="12"/>
      <c r="H33" s="12"/>
      <c r="I33" s="12"/>
      <c r="J33" s="13">
        <f>0.13*G32*53818.03/15</f>
        <v>1989.1098643237406</v>
      </c>
      <c r="K33" s="12"/>
    </row>
    <row r="34" spans="1:11" x14ac:dyDescent="0.25">
      <c r="A34" s="10"/>
      <c r="B34" s="23" t="s">
        <v>29</v>
      </c>
      <c r="C34" s="12"/>
      <c r="D34" s="12"/>
      <c r="E34" s="12"/>
      <c r="F34" s="12"/>
      <c r="G34" s="12"/>
      <c r="H34" s="12"/>
      <c r="I34" s="12"/>
      <c r="J34" s="13">
        <f>0.13*G32*21432.6/15</f>
        <v>792.14709416351729</v>
      </c>
      <c r="K34" s="12"/>
    </row>
    <row r="35" spans="1:11" x14ac:dyDescent="0.25">
      <c r="A35" s="10"/>
      <c r="B35" s="23" t="s">
        <v>31</v>
      </c>
      <c r="C35" s="12"/>
      <c r="D35" s="12"/>
      <c r="E35" s="12"/>
      <c r="F35" s="12"/>
      <c r="G35" s="12"/>
      <c r="H35" s="12"/>
      <c r="I35" s="12"/>
      <c r="J35" s="13">
        <f>0.13*G32*(25719.12+13573.98+4286.52)/15</f>
        <v>1610.6990914658186</v>
      </c>
      <c r="K35" s="12"/>
    </row>
    <row r="36" spans="1:11" x14ac:dyDescent="0.25">
      <c r="A36" s="10"/>
      <c r="B36" s="23" t="s">
        <v>36</v>
      </c>
      <c r="C36" s="12"/>
      <c r="D36" s="12"/>
      <c r="E36" s="12"/>
      <c r="F36" s="12"/>
      <c r="G36" s="12"/>
      <c r="H36" s="12"/>
      <c r="I36" s="12"/>
      <c r="J36" s="13">
        <f>0.13*G32*620/15</f>
        <v>22.915147876663625</v>
      </c>
      <c r="K36" s="12"/>
    </row>
    <row r="37" spans="1:11" x14ac:dyDescent="0.25">
      <c r="A37" s="10"/>
      <c r="B37" s="23" t="s">
        <v>37</v>
      </c>
      <c r="C37" s="12"/>
      <c r="D37" s="12"/>
      <c r="E37" s="12"/>
      <c r="F37" s="12"/>
      <c r="G37" s="12"/>
      <c r="H37" s="12"/>
      <c r="I37" s="12"/>
      <c r="J37" s="13">
        <f>0.13*G32*6685.1/15</f>
        <v>247.08073398432902</v>
      </c>
      <c r="K37" s="12"/>
    </row>
    <row r="38" spans="1:11" x14ac:dyDescent="0.25">
      <c r="A38" s="10"/>
      <c r="B38" s="23"/>
      <c r="C38" s="12"/>
      <c r="D38" s="12"/>
      <c r="E38" s="12"/>
      <c r="F38" s="12"/>
      <c r="G38" s="12"/>
      <c r="H38" s="12"/>
      <c r="I38" s="12"/>
      <c r="J38" s="13"/>
      <c r="K38" s="12"/>
    </row>
    <row r="39" spans="1:11" ht="90" x14ac:dyDescent="0.25">
      <c r="A39" s="10">
        <v>5</v>
      </c>
      <c r="B39" s="11" t="s">
        <v>39</v>
      </c>
      <c r="C39" s="12"/>
      <c r="D39" s="24"/>
      <c r="E39" s="24"/>
      <c r="F39" s="24"/>
      <c r="G39" s="12"/>
      <c r="H39" s="12"/>
      <c r="I39" s="12"/>
      <c r="J39" s="13"/>
      <c r="K39" s="12"/>
    </row>
    <row r="40" spans="1:11" x14ac:dyDescent="0.25">
      <c r="A40" s="10"/>
      <c r="B40" s="17" t="s">
        <v>38</v>
      </c>
      <c r="C40" s="12">
        <v>1</v>
      </c>
      <c r="D40" s="15">
        <v>9</v>
      </c>
      <c r="E40" s="15">
        <f>(0.45+(F40/2))/2</f>
        <v>1.4750000000000001</v>
      </c>
      <c r="F40" s="15">
        <v>5</v>
      </c>
      <c r="G40" s="15">
        <f>PRODUCT(C40:F40)</f>
        <v>66.375</v>
      </c>
      <c r="H40" s="12"/>
      <c r="I40" s="12"/>
      <c r="J40" s="13"/>
      <c r="K40" s="12"/>
    </row>
    <row r="41" spans="1:11" x14ac:dyDescent="0.25">
      <c r="A41" s="10"/>
      <c r="B41" s="17"/>
      <c r="C41" s="12">
        <v>1</v>
      </c>
      <c r="D41" s="15">
        <v>5.5</v>
      </c>
      <c r="E41" s="15">
        <f>(0.45+(F41/2))/2</f>
        <v>0.75837397135019802</v>
      </c>
      <c r="F41" s="15">
        <f>7/3.281</f>
        <v>2.1334958854007922</v>
      </c>
      <c r="G41" s="15">
        <f>PRODUCT(C41:F41)</f>
        <v>8.8989326110888811</v>
      </c>
      <c r="H41" s="12"/>
      <c r="I41" s="12"/>
      <c r="J41" s="13"/>
      <c r="K41" s="12"/>
    </row>
    <row r="42" spans="1:11" s="22" customFormat="1" x14ac:dyDescent="0.25">
      <c r="A42" s="16"/>
      <c r="B42" s="17" t="s">
        <v>26</v>
      </c>
      <c r="C42" s="18"/>
      <c r="D42" s="1"/>
      <c r="E42" s="19"/>
      <c r="F42" s="19"/>
      <c r="G42" s="20">
        <f>SUM(G40:G41)</f>
        <v>75.273932611088881</v>
      </c>
      <c r="H42" s="21" t="s">
        <v>27</v>
      </c>
      <c r="I42" s="2">
        <v>8987.83</v>
      </c>
      <c r="J42" s="20">
        <f>G42*I42</f>
        <v>676549.30973992299</v>
      </c>
      <c r="K42" s="19"/>
    </row>
    <row r="43" spans="1:11" x14ac:dyDescent="0.25">
      <c r="A43" s="10"/>
      <c r="B43" s="23" t="s">
        <v>30</v>
      </c>
      <c r="C43" s="12"/>
      <c r="D43" s="12"/>
      <c r="E43" s="12"/>
      <c r="F43" s="12"/>
      <c r="G43" s="12"/>
      <c r="H43" s="12"/>
      <c r="I43" s="12"/>
      <c r="J43" s="13">
        <f>0.13*G42*(5863.95)/5</f>
        <v>11476.467005504663</v>
      </c>
      <c r="K43" s="12"/>
    </row>
    <row r="44" spans="1:11" x14ac:dyDescent="0.25">
      <c r="A44" s="10"/>
      <c r="B44" s="23" t="s">
        <v>29</v>
      </c>
      <c r="C44" s="12"/>
      <c r="D44" s="12"/>
      <c r="E44" s="12"/>
      <c r="F44" s="12"/>
      <c r="G44" s="12"/>
      <c r="H44" s="12"/>
      <c r="I44" s="12"/>
      <c r="J44" s="13">
        <f>0.13*G42*(6604.416)/5</f>
        <v>12925.64948790953</v>
      </c>
      <c r="K44" s="12"/>
    </row>
    <row r="45" spans="1:11" x14ac:dyDescent="0.25">
      <c r="A45" s="10"/>
      <c r="B45" s="23" t="s">
        <v>40</v>
      </c>
      <c r="C45" s="12"/>
      <c r="D45" s="12"/>
      <c r="E45" s="12"/>
      <c r="F45" s="12"/>
      <c r="G45" s="12"/>
      <c r="H45" s="12"/>
      <c r="I45" s="12"/>
      <c r="J45" s="13">
        <f>0.13*G42*(14808.78)/5</f>
        <v>28982.592802083462</v>
      </c>
      <c r="K45" s="12"/>
    </row>
    <row r="46" spans="1:11" x14ac:dyDescent="0.25">
      <c r="A46" s="10"/>
      <c r="B46" s="23" t="s">
        <v>36</v>
      </c>
      <c r="C46" s="12"/>
      <c r="D46" s="12"/>
      <c r="E46" s="12"/>
      <c r="F46" s="12"/>
      <c r="G46" s="12"/>
      <c r="H46" s="12"/>
      <c r="I46" s="12"/>
      <c r="J46" s="13">
        <f>0.13*G42*(310)/5</f>
        <v>606.70789684537647</v>
      </c>
      <c r="K46" s="12"/>
    </row>
    <row r="47" spans="1:11" x14ac:dyDescent="0.25">
      <c r="A47" s="10"/>
      <c r="B47" s="23"/>
      <c r="C47" s="12"/>
      <c r="D47" s="12"/>
      <c r="E47" s="12"/>
      <c r="F47" s="12"/>
      <c r="G47" s="12"/>
      <c r="H47" s="12"/>
      <c r="I47" s="12"/>
      <c r="J47" s="13"/>
      <c r="K47" s="12"/>
    </row>
    <row r="48" spans="1:11" ht="15" customHeight="1" x14ac:dyDescent="0.25">
      <c r="A48" s="16">
        <v>6</v>
      </c>
      <c r="B48" s="25" t="s">
        <v>16</v>
      </c>
      <c r="C48" s="18">
        <v>1</v>
      </c>
      <c r="D48" s="1"/>
      <c r="E48" s="19"/>
      <c r="F48" s="19"/>
      <c r="G48" s="21">
        <f t="shared" ref="G48" si="2">PRODUCT(C48:F48)</f>
        <v>1</v>
      </c>
      <c r="H48" s="21" t="s">
        <v>17</v>
      </c>
      <c r="I48" s="2">
        <v>500</v>
      </c>
      <c r="J48" s="21">
        <f>G48*I48</f>
        <v>500</v>
      </c>
      <c r="K48" s="19"/>
    </row>
    <row r="49" spans="1:11" x14ac:dyDescent="0.25">
      <c r="A49" s="16"/>
      <c r="B49" s="26"/>
      <c r="C49" s="18"/>
      <c r="D49" s="1"/>
      <c r="E49" s="19"/>
      <c r="F49" s="19"/>
      <c r="G49" s="2"/>
      <c r="H49" s="21"/>
      <c r="I49" s="2"/>
      <c r="J49" s="13"/>
      <c r="K49" s="19"/>
    </row>
    <row r="50" spans="1:11" x14ac:dyDescent="0.25">
      <c r="A50" s="27"/>
      <c r="B50" s="28" t="s">
        <v>19</v>
      </c>
      <c r="C50" s="29"/>
      <c r="D50" s="30"/>
      <c r="E50" s="30"/>
      <c r="F50" s="30"/>
      <c r="G50" s="13"/>
      <c r="H50" s="13"/>
      <c r="I50" s="13"/>
      <c r="J50" s="13">
        <f>SUM(J9:J48)</f>
        <v>829850.54179614899</v>
      </c>
      <c r="K50" s="31"/>
    </row>
    <row r="52" spans="1:11" s="22" customFormat="1" x14ac:dyDescent="0.25">
      <c r="A52" s="32"/>
      <c r="B52" s="33" t="s">
        <v>18</v>
      </c>
      <c r="C52" s="41">
        <f>J50</f>
        <v>829850.54179614899</v>
      </c>
      <c r="D52" s="42"/>
      <c r="E52" s="34">
        <v>100</v>
      </c>
      <c r="F52" s="32"/>
      <c r="G52" s="35"/>
      <c r="H52" s="32"/>
      <c r="I52" s="36"/>
      <c r="J52" s="37"/>
      <c r="K52" s="38"/>
    </row>
    <row r="53" spans="1:11" x14ac:dyDescent="0.25">
      <c r="B53" s="33" t="s">
        <v>20</v>
      </c>
      <c r="C53" s="45">
        <v>700000</v>
      </c>
      <c r="D53" s="46"/>
      <c r="E53" s="34"/>
    </row>
    <row r="54" spans="1:11" x14ac:dyDescent="0.25">
      <c r="B54" s="33" t="s">
        <v>21</v>
      </c>
      <c r="C54" s="45">
        <f>C53-C56-C57</f>
        <v>665000</v>
      </c>
      <c r="D54" s="46"/>
      <c r="E54" s="34">
        <f>C54/C52*100</f>
        <v>80.13491183131093</v>
      </c>
    </row>
    <row r="55" spans="1:11" x14ac:dyDescent="0.25">
      <c r="B55" s="33" t="s">
        <v>25</v>
      </c>
      <c r="C55" s="47">
        <f>C52-C54</f>
        <v>164850.54179614899</v>
      </c>
      <c r="D55" s="47"/>
      <c r="E55" s="34">
        <f>100-E54</f>
        <v>19.86508816868907</v>
      </c>
    </row>
    <row r="56" spans="1:11" x14ac:dyDescent="0.25">
      <c r="B56" s="33" t="s">
        <v>22</v>
      </c>
      <c r="C56" s="41">
        <f>C53*0.03</f>
        <v>21000</v>
      </c>
      <c r="D56" s="42"/>
      <c r="E56" s="34">
        <v>3</v>
      </c>
    </row>
    <row r="57" spans="1:11" x14ac:dyDescent="0.25">
      <c r="B57" s="33" t="s">
        <v>23</v>
      </c>
      <c r="C57" s="41">
        <f>C53*0.02</f>
        <v>14000</v>
      </c>
      <c r="D57" s="42"/>
      <c r="E57" s="34">
        <v>2</v>
      </c>
    </row>
  </sheetData>
  <mergeCells count="15">
    <mergeCell ref="A6:F6"/>
    <mergeCell ref="H6:K6"/>
    <mergeCell ref="A1:K1"/>
    <mergeCell ref="A2:K2"/>
    <mergeCell ref="A3:K3"/>
    <mergeCell ref="A4:K4"/>
    <mergeCell ref="A5:K5"/>
    <mergeCell ref="C56:D56"/>
    <mergeCell ref="C57:D57"/>
    <mergeCell ref="A7:F7"/>
    <mergeCell ref="H7:K7"/>
    <mergeCell ref="C52:D52"/>
    <mergeCell ref="C53:D53"/>
    <mergeCell ref="C54:D54"/>
    <mergeCell ref="C55:D5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2026-03-09T08:00:10Z</dcterms:modified>
</cp:coreProperties>
</file>