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estimate" sheetId="12" r:id="rId1"/>
  </sheets>
  <externalReferences>
    <externalReference r:id="rId2"/>
    <externalReference r:id="rId3"/>
    <externalReference r:id="rId4"/>
    <externalReference r:id="rId5"/>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4">[4]Abstract!$B$170</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estimate!$A$1:$K$44</definedName>
    <definedName name="_xlnm.Print_Titles" localSheetId="0">estimate!$1:$8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12" l="1"/>
  <c r="J33" i="12"/>
  <c r="J32" i="12"/>
  <c r="E30" i="12"/>
  <c r="E29" i="12"/>
  <c r="B29" i="12"/>
  <c r="B15" i="12"/>
  <c r="B20" i="12" s="1"/>
  <c r="E15" i="12"/>
  <c r="E20" i="12" l="1"/>
  <c r="D30" i="12" s="1"/>
  <c r="C29" i="12" s="1"/>
  <c r="D15" i="12"/>
  <c r="D20" i="12" l="1"/>
  <c r="G20" i="12" s="1"/>
  <c r="D29" i="12"/>
  <c r="C30" i="12" s="1"/>
  <c r="F30" i="12" s="1"/>
  <c r="G30" i="12" s="1"/>
  <c r="F29" i="12"/>
  <c r="G29" i="12" s="1"/>
  <c r="G31" i="12"/>
  <c r="G21" i="12"/>
  <c r="G15" i="12"/>
  <c r="G16" i="12" s="1"/>
  <c r="J17" i="12" s="1"/>
  <c r="J23" i="12" l="1"/>
  <c r="J26" i="12"/>
  <c r="J22" i="12"/>
  <c r="J25" i="12"/>
  <c r="J24" i="12"/>
  <c r="J31" i="12"/>
  <c r="J21" i="12"/>
  <c r="J16" i="12"/>
  <c r="G10" i="12" l="1"/>
  <c r="G11" i="12" s="1"/>
  <c r="J11" i="12" l="1"/>
  <c r="C43" i="12" l="1"/>
  <c r="C44" i="12" l="1"/>
  <c r="C41" i="12" s="1"/>
  <c r="G35" i="12"/>
  <c r="J35" i="12" s="1"/>
  <c r="J37" i="12" s="1"/>
  <c r="C39" i="12" l="1"/>
  <c r="C42" i="12" s="1"/>
  <c r="E41" i="12" l="1"/>
  <c r="E42" i="12" s="1"/>
</calcChain>
</file>

<file path=xl/sharedStrings.xml><?xml version="1.0" encoding="utf-8"?>
<sst xmlns="http://schemas.openxmlformats.org/spreadsheetml/2006/main" count="55" uniqueCount="49">
  <si>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</si>
  <si>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</si>
  <si>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</si>
  <si>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</si>
  <si>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</si>
  <si>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</si>
  <si>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</si>
  <si>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</si>
  <si>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</si>
  <si>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</si>
  <si>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</si>
  <si>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</si>
  <si>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</si>
  <si>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</si>
  <si>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</si>
  <si>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</si>
  <si>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Information board (सुचना पाटि)</t>
  </si>
  <si>
    <t>no.</t>
  </si>
  <si>
    <t>Total Estimated</t>
  </si>
  <si>
    <t>Total</t>
  </si>
  <si>
    <t>Budget allocated</t>
  </si>
  <si>
    <t>Municipal payment</t>
  </si>
  <si>
    <t xml:space="preserve">Contingencies </t>
  </si>
  <si>
    <t xml:space="preserve">Maintanince </t>
  </si>
  <si>
    <t>F.Y.: 2082/2083</t>
  </si>
  <si>
    <t>User contribution</t>
  </si>
  <si>
    <t>sub-total</t>
  </si>
  <si>
    <t>cum</t>
  </si>
  <si>
    <t>Location:- Shankharapur Municipality 1</t>
  </si>
  <si>
    <t>-13% VAT for sand</t>
  </si>
  <si>
    <t>-13% VAT for cement</t>
  </si>
  <si>
    <t>-13% VAT for aggregate</t>
  </si>
  <si>
    <t>-13% VAT for block stone</t>
  </si>
  <si>
    <t>Date:2082</t>
  </si>
  <si>
    <t>Providing and laying of hand pack locally available Stone soling with 150 to 200 mm thick stones and packing with smaller stone on prepared surface as per Drawing and Technical Specifications.</t>
  </si>
  <si>
    <t>-13% VAT for water</t>
  </si>
  <si>
    <t>-13% VAT for formwork</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</si>
  <si>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</si>
  <si>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Providing and laying of Plain/Reinforced Cement Concrete in Foundation complete as per Drawing and Technical Specifications., RCC Grade M 20</t>
  </si>
  <si>
    <t xml:space="preserve">Providing and laying , fitting and placing HYSD bar reinforcement in sub-structure complete as per Drawing and Technical Specifications and instruction of site engineer  </t>
  </si>
  <si>
    <t>-for road</t>
  </si>
  <si>
    <t>Length (m)</t>
  </si>
  <si>
    <t>Unit weight (Kg/m)</t>
  </si>
  <si>
    <t>Total Weight (Kg)</t>
  </si>
  <si>
    <t>tonne</t>
  </si>
  <si>
    <t>-13% VAT for HYSD bar</t>
  </si>
  <si>
    <t>-13% VAT for binding wire</t>
  </si>
  <si>
    <t>-13% VAT for excavator</t>
  </si>
  <si>
    <r>
      <t>Project:-</t>
    </r>
    <r>
      <rPr>
        <sz val="12"/>
        <rFont val="Preeti"/>
      </rPr>
      <t xml:space="preserve"> lahf}/] ;8s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</si>
</sst>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53">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4" fillId="0" borderId="0" xfId="0" applyFont="1" applyFill="1"/>
    <xf numFmtId="0" fontId="9" fillId="0" borderId="0" xfId="0" applyFont="1" applyFill="1" applyAlignment="1">
      <alignment horizontal="center"/>
    </xf>
    <xf numFmtId="164" fontId="9" fillId="0" borderId="0" xfId="1" applyFont="1" applyFill="1"/>
    <xf numFmtId="0" fontId="9" fillId="0" borderId="2" xfId="0" applyFont="1" applyFill="1" applyBorder="1" applyAlignment="1">
      <alignment horizontal="center"/>
    </xf>
    <xf numFmtId="0" fontId="9" fillId="0" borderId="2" xfId="0" applyFont="1" applyFill="1" applyBorder="1" applyAlignment="1">
      <alignment horizontal="center" vertical="top" wrapText="1"/>
    </xf>
    <xf numFmtId="164" fontId="9" fillId="0" borderId="2" xfId="1" applyFont="1" applyFill="1" applyBorder="1" applyAlignment="1">
      <alignment horizontal="center"/>
    </xf>
    <xf numFmtId="0" fontId="9" fillId="0" borderId="2" xfId="0" applyFont="1" applyFill="1" applyBorder="1" applyAlignment="1">
      <alignment horizontal="center" wrapText="1"/>
    </xf>
    <xf numFmtId="0" fontId="6" fillId="0" borderId="2" xfId="0" applyFont="1" applyFill="1" applyBorder="1" applyAlignment="1">
      <alignment vertical="center"/>
    </xf>
    <xf numFmtId="0" fontId="4" fillId="0" borderId="2" xfId="0" quotePrefix="1" applyFont="1" applyFill="1" applyBorder="1" applyAlignment="1">
      <alignment wrapText="1"/>
    </xf>
    <xf numFmtId="0" fontId="4" fillId="0" borderId="2" xfId="0" applyFont="1" applyFill="1" applyBorder="1"/>
    <xf numFmtId="2" fontId="3" fillId="0" borderId="2" xfId="0" applyNumberFormat="1" applyFont="1" applyFill="1" applyBorder="1"/>
    <xf numFmtId="2" fontId="4" fillId="0" borderId="2" xfId="0" applyNumberFormat="1" applyFont="1" applyFill="1" applyBorder="1"/>
    <xf numFmtId="1" fontId="3" fillId="0" borderId="2" xfId="0" applyNumberFormat="1" applyFont="1" applyFill="1" applyBorder="1" applyAlignment="1">
      <alignment vertical="center"/>
    </xf>
    <xf numFmtId="0" fontId="2" fillId="0" borderId="2" xfId="0" quotePrefix="1" applyFont="1" applyFill="1" applyBorder="1" applyAlignment="1">
      <alignment horizontal="right" vertical="center" wrapText="1"/>
    </xf>
    <xf numFmtId="165" fontId="2" fillId="0" borderId="2" xfId="0" applyNumberFormat="1" applyFont="1" applyFill="1" applyBorder="1" applyAlignment="1">
      <alignment vertical="center"/>
    </xf>
    <xf numFmtId="2" fontId="2" fillId="0" borderId="2" xfId="0" applyNumberFormat="1" applyFont="1" applyFill="1" applyBorder="1" applyAlignment="1">
      <alignment vertical="center"/>
    </xf>
    <xf numFmtId="2" fontId="6" fillId="0" borderId="2" xfId="0" applyNumberFormat="1" applyFont="1" applyFill="1" applyBorder="1" applyAlignment="1">
      <alignment vertical="center"/>
    </xf>
    <xf numFmtId="2" fontId="3" fillId="0" borderId="2" xfId="0" applyNumberFormat="1" applyFont="1" applyFill="1" applyBorder="1" applyAlignment="1">
      <alignment vertical="center"/>
    </xf>
    <xf numFmtId="0" fontId="4" fillId="0" borderId="0" xfId="0" applyFont="1" applyFill="1" applyAlignment="1">
      <alignment vertical="center"/>
    </xf>
    <xf numFmtId="0" fontId="4" fillId="0" borderId="2" xfId="0" quotePrefix="1" applyFont="1" applyFill="1" applyBorder="1" applyAlignment="1">
      <alignment horizontal="right"/>
    </xf>
    <xf numFmtId="0" fontId="4" fillId="0" borderId="2" xfId="0" applyFont="1" applyFill="1" applyBorder="1" applyAlignment="1">
      <alignment wrapText="1"/>
    </xf>
    <xf numFmtId="1" fontId="2" fillId="0" borderId="2" xfId="0" applyNumberFormat="1" applyFont="1" applyFill="1" applyBorder="1" applyAlignment="1">
      <alignment vertical="center" wrapText="1"/>
    </xf>
    <xf numFmtId="1" fontId="2" fillId="0" borderId="2" xfId="0" applyNumberFormat="1" applyFont="1" applyFill="1" applyBorder="1" applyAlignment="1">
      <alignment horizontal="right" vertical="center" wrapText="1"/>
    </xf>
    <xf numFmtId="0" fontId="3" fillId="0" borderId="2" xfId="0" applyFont="1" applyFill="1" applyBorder="1"/>
    <xf numFmtId="0" fontId="3" fillId="0" borderId="2" xfId="0" applyFont="1" applyFill="1" applyBorder="1" applyAlignment="1">
      <alignment horizontal="right" wrapText="1"/>
    </xf>
    <xf numFmtId="165" fontId="2" fillId="0" borderId="2" xfId="0" applyNumberFormat="1" applyFont="1" applyFill="1" applyBorder="1"/>
    <xf numFmtId="2" fontId="2" fillId="0" borderId="2" xfId="0" applyNumberFormat="1" applyFont="1" applyFill="1" applyBorder="1"/>
    <xf numFmtId="0" fontId="2" fillId="0" borderId="2" xfId="0" applyFont="1" applyFill="1" applyBorder="1"/>
    <xf numFmtId="0" fontId="2" fillId="0" borderId="0" xfId="0" applyFont="1" applyFill="1" applyAlignment="1">
      <alignment vertical="center"/>
    </xf>
    <xf numFmtId="0" fontId="4" fillId="0" borderId="2" xfId="0" applyFont="1" applyFill="1" applyBorder="1" applyAlignment="1">
      <alignment vertical="center"/>
    </xf>
    <xf numFmtId="2" fontId="4" fillId="0" borderId="2" xfId="0" applyNumberFormat="1" applyFont="1" applyFill="1" applyBorder="1" applyAlignment="1">
      <alignment vertical="center"/>
    </xf>
    <xf numFmtId="2" fontId="2" fillId="0" borderId="0" xfId="0" applyNumberFormat="1" applyFont="1" applyFill="1" applyAlignment="1">
      <alignment vertical="center"/>
    </xf>
    <xf numFmtId="0" fontId="3" fillId="0" borderId="0" xfId="0" applyFont="1" applyFill="1" applyAlignment="1">
      <alignment horizontal="right" vertical="center"/>
    </xf>
    <xf numFmtId="164" fontId="3" fillId="0" borderId="0" xfId="1" applyFont="1" applyFill="1" applyBorder="1" applyAlignment="1">
      <alignment vertical="center"/>
    </xf>
    <xf numFmtId="0" fontId="3" fillId="0" borderId="0" xfId="0" applyFont="1" applyFill="1" applyAlignment="1">
      <alignment vertical="center"/>
    </xf>
    <xf numFmtId="0" fontId="8" fillId="0" borderId="0" xfId="0" applyFont="1" applyFill="1" applyAlignment="1">
      <alignment horizontal="left"/>
    </xf>
    <xf numFmtId="0" fontId="8" fillId="0" borderId="0" xfId="0" applyFont="1" applyFill="1" applyAlignment="1">
      <alignment horizontal="right"/>
    </xf>
    <xf numFmtId="0" fontId="3" fillId="0" borderId="0" xfId="0" applyFont="1" applyFill="1" applyAlignment="1">
      <alignment horizontal="center" vertical="center"/>
    </xf>
    <xf numFmtId="0" fontId="5" fillId="0" borderId="0" xfId="0" applyFont="1" applyFill="1" applyAlignment="1">
      <alignment horizontal="center" vertical="center"/>
    </xf>
    <xf numFmtId="0" fontId="6" fillId="0" borderId="0" xfId="0" applyFont="1" applyFill="1" applyAlignment="1">
      <alignment horizontal="center" vertical="center"/>
    </xf>
    <xf numFmtId="0" fontId="7" fillId="0" borderId="0" xfId="0" applyFont="1" applyFill="1" applyAlignment="1">
      <alignment horizontal="center"/>
    </xf>
    <xf numFmtId="2" fontId="4" fillId="0" borderId="3" xfId="0" applyNumberFormat="1" applyFont="1" applyFill="1" applyBorder="1" applyAlignment="1">
      <alignment horizontal="center" vertical="center"/>
    </xf>
    <xf numFmtId="2" fontId="4" fillId="0" borderId="4" xfId="0" applyNumberFormat="1" applyFont="1" applyFill="1" applyBorder="1" applyAlignment="1">
      <alignment horizontal="center" vertical="center"/>
    </xf>
    <xf numFmtId="0" fontId="8" fillId="0" borderId="1" xfId="0" applyFont="1" applyFill="1" applyBorder="1"/>
    <xf numFmtId="0" fontId="8" fillId="0" borderId="1" xfId="0" applyFont="1" applyFill="1" applyBorder="1" applyAlignment="1">
      <alignment horizontal="right"/>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Fill="1" applyBorder="1" applyAlignment="1">
      <alignment horizontal="center" vertical="center"/>
    </xf>
    <xf numFmtId="0" fontId="4" fillId="0" borderId="2" xfId="0" quotePrefix="1" applyFont="1" applyFill="1" applyBorder="1" applyAlignment="1">
      <alignment vertical="center" wrapText="1"/>
    </xf>
    <xf numFmtId="0" fontId="4" fillId="0" borderId="2" xfId="0" applyFont="1" applyFill="1" applyBorder="1" applyAlignment="1">
      <alignment vertical="center" wrapText="1"/>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082_083\ward1\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70">
          <cell r="B170" t="str">
            <v>Providing and laying of Plain/Reinforced Cement Concrete in Foundation complete as per Drawing and Technical Specifications, PCC Grade M 15, Manual Mixing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4"/>
  <sheetViews>
    <sheetView tabSelected="1" zoomScaleNormal="100" zoomScaleSheetLayoutView="95" workbookViewId="0">
      <selection activeCell="A7" sqref="A7:F7"/>
    </sheetView>
  </sheetViews>
  <sheetFormatPr defaultColWidth="9.109375" defaultRowHeight="14.4" x14ac:dyDescent="0.3"/>
  <cols>
    <col min="1" max="1" width="4.6640625" style="3" customWidth="1"/>
    <col min="2" max="2" width="30.88671875" style="3" customWidth="1"/>
    <col min="3" max="3" width="4.44140625" style="3" bestFit="1" customWidth="1"/>
    <col min="4" max="4" width="8.44140625" style="3" customWidth="1"/>
    <col min="5" max="5" width="8.5546875" style="3" customWidth="1"/>
    <col min="6" max="6" width="7.33203125" style="3" customWidth="1"/>
    <col min="7" max="7" width="9.109375" style="3"/>
    <col min="8" max="8" width="5" style="3" bestFit="1" customWidth="1"/>
    <col min="9" max="9" width="9.5546875" style="3" customWidth="1"/>
    <col min="10" max="10" width="10.6640625" style="3" bestFit="1" customWidth="1"/>
    <col min="11" max="16384" width="9.109375" style="3"/>
  </cols>
  <sheetData>
    <row r="1" spans="1:11" x14ac:dyDescent="0.3">
      <c r="A1" s="40" t="s">
        <v>0</v>
      </c>
      <c r="B1" s="40"/>
      <c r="C1" s="40"/>
      <c r="D1" s="40"/>
      <c r="E1" s="40"/>
      <c r="F1" s="40"/>
      <c r="G1" s="40"/>
      <c r="H1" s="40"/>
      <c r="I1" s="40"/>
      <c r="J1" s="40"/>
      <c r="K1" s="40"/>
    </row>
    <row r="2" spans="1:11" ht="22.8" x14ac:dyDescent="0.3">
      <c r="A2" s="41" t="s">
        <v>1</v>
      </c>
      <c r="B2" s="41"/>
      <c r="C2" s="41"/>
      <c r="D2" s="41"/>
      <c r="E2" s="41"/>
      <c r="F2" s="41"/>
      <c r="G2" s="41"/>
      <c r="H2" s="41"/>
      <c r="I2" s="41"/>
      <c r="J2" s="41"/>
      <c r="K2" s="41"/>
    </row>
    <row r="3" spans="1:11" x14ac:dyDescent="0.3">
      <c r="A3" s="42" t="s">
        <v>2</v>
      </c>
      <c r="B3" s="42"/>
      <c r="C3" s="42"/>
      <c r="D3" s="42"/>
      <c r="E3" s="42"/>
      <c r="F3" s="42"/>
      <c r="G3" s="42"/>
      <c r="H3" s="42"/>
      <c r="I3" s="42"/>
      <c r="J3" s="42"/>
      <c r="K3" s="42"/>
    </row>
    <row r="4" spans="1:11" x14ac:dyDescent="0.3">
      <c r="A4" s="42" t="s">
        <v>3</v>
      </c>
      <c r="B4" s="42"/>
      <c r="C4" s="42"/>
      <c r="D4" s="42"/>
      <c r="E4" s="42"/>
      <c r="F4" s="42"/>
      <c r="G4" s="42"/>
      <c r="H4" s="42"/>
      <c r="I4" s="42"/>
      <c r="J4" s="42"/>
      <c r="K4" s="42"/>
    </row>
    <row r="5" spans="1:11" ht="17.399999999999999" x14ac:dyDescent="0.3">
      <c r="A5" s="43" t="s">
        <v>4</v>
      </c>
      <c r="B5" s="43"/>
      <c r="C5" s="43"/>
      <c r="D5" s="43"/>
      <c r="E5" s="43"/>
      <c r="F5" s="43"/>
      <c r="G5" s="43"/>
      <c r="H5" s="43"/>
      <c r="I5" s="43"/>
      <c r="J5" s="43"/>
      <c r="K5" s="43"/>
    </row>
    <row r="6" spans="1:11" ht="15.6" x14ac:dyDescent="0.3">
      <c r="A6" s="38" t="s">
        <v>48</v>
      </c>
      <c r="B6" s="38"/>
      <c r="C6" s="38"/>
      <c r="D6" s="38"/>
      <c r="E6" s="38"/>
      <c r="F6" s="38"/>
      <c r="G6" s="4"/>
      <c r="H6" s="39" t="s">
        <v>24</v>
      </c>
      <c r="I6" s="39"/>
      <c r="J6" s="39"/>
      <c r="K6" s="39"/>
    </row>
    <row r="7" spans="1:11" ht="15.6" x14ac:dyDescent="0.3">
      <c r="A7" s="46" t="s">
        <v>28</v>
      </c>
      <c r="B7" s="46"/>
      <c r="C7" s="46"/>
      <c r="D7" s="46"/>
      <c r="E7" s="46"/>
      <c r="F7" s="46"/>
      <c r="G7" s="5"/>
      <c r="H7" s="47" t="s">
        <v>33</v>
      </c>
      <c r="I7" s="47"/>
      <c r="J7" s="47"/>
      <c r="K7" s="47"/>
    </row>
    <row r="8" spans="1:11" ht="15.6" x14ac:dyDescent="0.3">
      <c r="A8" s="6" t="s">
        <v>5</v>
      </c>
      <c r="B8" s="7" t="s">
        <v>6</v>
      </c>
      <c r="C8" s="6" t="s">
        <v>7</v>
      </c>
      <c r="D8" s="8" t="s">
        <v>8</v>
      </c>
      <c r="E8" s="8" t="s">
        <v>9</v>
      </c>
      <c r="F8" s="8" t="s">
        <v>10</v>
      </c>
      <c r="G8" s="8" t="s">
        <v>11</v>
      </c>
      <c r="H8" s="6" t="s">
        <v>12</v>
      </c>
      <c r="I8" s="8" t="s">
        <v>13</v>
      </c>
      <c r="J8" s="8" t="s">
        <v>14</v>
      </c>
      <c r="K8" s="9" t="s">
        <v>15</v>
      </c>
    </row>
    <row r="9" spans="1:11" s="21" customFormat="1" ht="144" x14ac:dyDescent="0.3">
      <c r="A9" s="10">
        <v>1</v>
      </c>
      <c r="B9" s="51" t="s">
        <v>37</v>
      </c>
      <c r="C9" s="32"/>
      <c r="D9" s="32"/>
      <c r="E9" s="32"/>
      <c r="F9" s="32"/>
      <c r="G9" s="32"/>
      <c r="H9" s="32"/>
      <c r="I9" s="32"/>
      <c r="J9" s="32"/>
      <c r="K9" s="32"/>
    </row>
    <row r="10" spans="1:11" x14ac:dyDescent="0.3">
      <c r="A10" s="10"/>
      <c r="B10" s="16" t="s">
        <v>40</v>
      </c>
      <c r="C10" s="12">
        <v>1</v>
      </c>
      <c r="D10" s="14">
        <v>50</v>
      </c>
      <c r="E10" s="12">
        <v>3</v>
      </c>
      <c r="F10" s="12">
        <v>0.15</v>
      </c>
      <c r="G10" s="14">
        <f t="shared" ref="G10" si="0">PRODUCT(C10:F10)</f>
        <v>22.5</v>
      </c>
      <c r="H10" s="12"/>
      <c r="I10" s="12"/>
      <c r="J10" s="13"/>
      <c r="K10" s="12"/>
    </row>
    <row r="11" spans="1:11" s="21" customFormat="1" x14ac:dyDescent="0.3">
      <c r="A11" s="15"/>
      <c r="B11" s="16" t="s">
        <v>26</v>
      </c>
      <c r="C11" s="17"/>
      <c r="D11" s="1"/>
      <c r="E11" s="18"/>
      <c r="F11" s="18"/>
      <c r="G11" s="19">
        <f>SUM(G10:G10)</f>
        <v>22.5</v>
      </c>
      <c r="H11" s="20" t="s">
        <v>27</v>
      </c>
      <c r="I11" s="2">
        <v>62.95</v>
      </c>
      <c r="J11" s="19">
        <f>G11*I11</f>
        <v>1416.375</v>
      </c>
      <c r="K11" s="18"/>
    </row>
    <row r="12" spans="1:11" x14ac:dyDescent="0.3">
      <c r="A12" s="10"/>
      <c r="B12" s="22" t="s">
        <v>47</v>
      </c>
      <c r="C12" s="12"/>
      <c r="D12" s="12"/>
      <c r="E12" s="12"/>
      <c r="F12" s="12"/>
      <c r="G12" s="12"/>
      <c r="H12" s="12"/>
      <c r="I12" s="12"/>
      <c r="J12" s="13">
        <f>0.13*G11*18612/360</f>
        <v>151.22250000000003</v>
      </c>
      <c r="K12" s="12"/>
    </row>
    <row r="13" spans="1:11" x14ac:dyDescent="0.3">
      <c r="A13" s="10"/>
      <c r="B13" s="22"/>
      <c r="C13" s="12"/>
      <c r="D13" s="12"/>
      <c r="E13" s="12"/>
      <c r="F13" s="12"/>
      <c r="G13" s="12"/>
      <c r="H13" s="12"/>
      <c r="I13" s="12"/>
      <c r="J13" s="13"/>
      <c r="K13" s="12"/>
    </row>
    <row r="14" spans="1:11" ht="86.4" x14ac:dyDescent="0.3">
      <c r="A14" s="10">
        <v>2</v>
      </c>
      <c r="B14" s="11" t="s">
        <v>34</v>
      </c>
      <c r="C14" s="12"/>
      <c r="D14" s="12"/>
      <c r="E14" s="12"/>
      <c r="F14" s="12"/>
      <c r="G14" s="12"/>
      <c r="H14" s="12"/>
      <c r="I14" s="12"/>
      <c r="J14" s="12"/>
      <c r="K14" s="12"/>
    </row>
    <row r="15" spans="1:11" x14ac:dyDescent="0.3">
      <c r="A15" s="10"/>
      <c r="B15" s="16" t="str">
        <f>B10</f>
        <v>-for road</v>
      </c>
      <c r="C15" s="12">
        <v>1</v>
      </c>
      <c r="D15" s="14">
        <f>D10</f>
        <v>50</v>
      </c>
      <c r="E15" s="12">
        <f>E10</f>
        <v>3</v>
      </c>
      <c r="F15" s="12">
        <v>0.15</v>
      </c>
      <c r="G15" s="14">
        <f t="shared" ref="G15" si="1">PRODUCT(C15:F15)</f>
        <v>22.5</v>
      </c>
      <c r="H15" s="12"/>
      <c r="I15" s="12"/>
      <c r="J15" s="13"/>
      <c r="K15" s="12"/>
    </row>
    <row r="16" spans="1:11" s="21" customFormat="1" x14ac:dyDescent="0.3">
      <c r="A16" s="15"/>
      <c r="B16" s="16" t="s">
        <v>26</v>
      </c>
      <c r="C16" s="17"/>
      <c r="D16" s="1"/>
      <c r="E16" s="18"/>
      <c r="F16" s="18"/>
      <c r="G16" s="19">
        <f>SUM(G15:G15)</f>
        <v>22.5</v>
      </c>
      <c r="H16" s="20" t="s">
        <v>27</v>
      </c>
      <c r="I16" s="2">
        <v>4458.5200000000004</v>
      </c>
      <c r="J16" s="19">
        <f>G16*I16</f>
        <v>100316.70000000001</v>
      </c>
      <c r="K16" s="18"/>
    </row>
    <row r="17" spans="1:11" x14ac:dyDescent="0.3">
      <c r="A17" s="10"/>
      <c r="B17" s="22" t="s">
        <v>32</v>
      </c>
      <c r="C17" s="12"/>
      <c r="D17" s="12"/>
      <c r="E17" s="12"/>
      <c r="F17" s="12"/>
      <c r="G17" s="12"/>
      <c r="H17" s="12"/>
      <c r="I17" s="12"/>
      <c r="J17" s="13">
        <f>0.13*G16*14817.6/5</f>
        <v>8668.2960000000003</v>
      </c>
      <c r="K17" s="12"/>
    </row>
    <row r="18" spans="1:11" x14ac:dyDescent="0.3">
      <c r="A18" s="10"/>
      <c r="B18" s="11"/>
      <c r="C18" s="12"/>
      <c r="D18" s="12"/>
      <c r="E18" s="12"/>
      <c r="F18" s="12"/>
      <c r="G18" s="12"/>
      <c r="H18" s="12"/>
      <c r="I18" s="12"/>
      <c r="J18" s="12"/>
      <c r="K18" s="12"/>
    </row>
    <row r="19" spans="1:11" ht="72" x14ac:dyDescent="0.3">
      <c r="A19" s="10">
        <v>3</v>
      </c>
      <c r="B19" s="11" t="s">
        <v>38</v>
      </c>
      <c r="C19" s="12"/>
      <c r="D19" s="23"/>
      <c r="E19" s="23"/>
      <c r="F19" s="23"/>
      <c r="G19" s="12"/>
      <c r="H19" s="12"/>
      <c r="I19" s="12"/>
      <c r="J19" s="13"/>
      <c r="K19" s="12"/>
    </row>
    <row r="20" spans="1:11" x14ac:dyDescent="0.3">
      <c r="A20" s="10"/>
      <c r="B20" s="16" t="str">
        <f>B15</f>
        <v>-for road</v>
      </c>
      <c r="C20" s="12">
        <v>1</v>
      </c>
      <c r="D20" s="14">
        <f>D15</f>
        <v>50</v>
      </c>
      <c r="E20" s="12">
        <f>E15</f>
        <v>3</v>
      </c>
      <c r="F20" s="12">
        <v>0.15</v>
      </c>
      <c r="G20" s="14">
        <f t="shared" ref="G20" si="2">PRODUCT(C20:F20)</f>
        <v>22.5</v>
      </c>
      <c r="H20" s="12"/>
      <c r="I20" s="12"/>
      <c r="J20" s="13"/>
      <c r="K20" s="12"/>
    </row>
    <row r="21" spans="1:11" s="21" customFormat="1" x14ac:dyDescent="0.3">
      <c r="A21" s="15"/>
      <c r="B21" s="16" t="s">
        <v>26</v>
      </c>
      <c r="C21" s="17"/>
      <c r="D21" s="1"/>
      <c r="E21" s="18"/>
      <c r="F21" s="18"/>
      <c r="G21" s="19">
        <f>SUM(G20:G20)</f>
        <v>22.5</v>
      </c>
      <c r="H21" s="20" t="s">
        <v>27</v>
      </c>
      <c r="I21" s="2">
        <v>12000.5</v>
      </c>
      <c r="J21" s="19">
        <f>G21*I21</f>
        <v>270011.25</v>
      </c>
      <c r="K21" s="18"/>
    </row>
    <row r="22" spans="1:11" x14ac:dyDescent="0.3">
      <c r="A22" s="10"/>
      <c r="B22" s="22" t="s">
        <v>30</v>
      </c>
      <c r="C22" s="12"/>
      <c r="D22" s="12"/>
      <c r="E22" s="12"/>
      <c r="F22" s="12"/>
      <c r="G22" s="12"/>
      <c r="H22" s="12"/>
      <c r="I22" s="12"/>
      <c r="J22" s="13">
        <f>0.13*G21*67891.51/15</f>
        <v>13238.844450000001</v>
      </c>
      <c r="K22" s="12"/>
    </row>
    <row r="23" spans="1:11" x14ac:dyDescent="0.3">
      <c r="A23" s="10"/>
      <c r="B23" s="22" t="s">
        <v>29</v>
      </c>
      <c r="C23" s="12"/>
      <c r="D23" s="12"/>
      <c r="E23" s="12"/>
      <c r="F23" s="12"/>
      <c r="G23" s="12"/>
      <c r="H23" s="12"/>
      <c r="I23" s="12"/>
      <c r="J23" s="13">
        <f>0.13*G21*21432.6/15</f>
        <v>4179.357</v>
      </c>
      <c r="K23" s="12"/>
    </row>
    <row r="24" spans="1:11" x14ac:dyDescent="0.3">
      <c r="A24" s="10"/>
      <c r="B24" s="22" t="s">
        <v>31</v>
      </c>
      <c r="C24" s="12"/>
      <c r="D24" s="12"/>
      <c r="E24" s="12"/>
      <c r="F24" s="12"/>
      <c r="G24" s="12"/>
      <c r="H24" s="12"/>
      <c r="I24" s="12"/>
      <c r="J24" s="13">
        <f>0.13*G21*(27147.96+17146.08)/15</f>
        <v>8637.3378000000012</v>
      </c>
      <c r="K24" s="12"/>
    </row>
    <row r="25" spans="1:11" x14ac:dyDescent="0.3">
      <c r="A25" s="10"/>
      <c r="B25" s="22" t="s">
        <v>35</v>
      </c>
      <c r="C25" s="12"/>
      <c r="D25" s="12"/>
      <c r="E25" s="12"/>
      <c r="F25" s="12"/>
      <c r="G25" s="12"/>
      <c r="H25" s="12"/>
      <c r="I25" s="12"/>
      <c r="J25" s="13">
        <f>0.13*G21*775/15</f>
        <v>151.125</v>
      </c>
      <c r="K25" s="12"/>
    </row>
    <row r="26" spans="1:11" x14ac:dyDescent="0.3">
      <c r="A26" s="10"/>
      <c r="B26" s="22" t="s">
        <v>36</v>
      </c>
      <c r="C26" s="12"/>
      <c r="D26" s="12"/>
      <c r="E26" s="12"/>
      <c r="F26" s="12"/>
      <c r="G26" s="12"/>
      <c r="H26" s="12"/>
      <c r="I26" s="12"/>
      <c r="J26" s="13">
        <f>0.13*G21*6923.4/15</f>
        <v>1350.0629999999999</v>
      </c>
      <c r="K26" s="12"/>
    </row>
    <row r="27" spans="1:11" x14ac:dyDescent="0.3">
      <c r="A27" s="10"/>
      <c r="B27" s="22"/>
      <c r="C27" s="12"/>
      <c r="D27" s="12"/>
      <c r="E27" s="12"/>
      <c r="F27" s="12"/>
      <c r="G27" s="12"/>
      <c r="H27" s="12"/>
      <c r="I27" s="12"/>
      <c r="J27" s="13"/>
      <c r="K27" s="12"/>
    </row>
    <row r="28" spans="1:11" s="21" customFormat="1" ht="86.4" x14ac:dyDescent="0.3">
      <c r="A28" s="10">
        <v>4</v>
      </c>
      <c r="B28" s="51" t="s">
        <v>39</v>
      </c>
      <c r="C28" s="32" t="s">
        <v>7</v>
      </c>
      <c r="D28" s="52" t="s">
        <v>41</v>
      </c>
      <c r="E28" s="52" t="s">
        <v>42</v>
      </c>
      <c r="F28" s="52" t="s">
        <v>43</v>
      </c>
      <c r="G28" s="32"/>
      <c r="H28" s="32"/>
      <c r="I28" s="32"/>
      <c r="J28" s="20"/>
      <c r="K28" s="32"/>
    </row>
    <row r="29" spans="1:11" x14ac:dyDescent="0.3">
      <c r="A29" s="10"/>
      <c r="B29" s="16" t="str">
        <f>B10</f>
        <v>-for road</v>
      </c>
      <c r="C29" s="12">
        <f>TRUNC(D30/0.15,0)+1</f>
        <v>20</v>
      </c>
      <c r="D29" s="14">
        <f>D15-0.1</f>
        <v>49.9</v>
      </c>
      <c r="E29" s="14">
        <f>10*10/162</f>
        <v>0.61728395061728392</v>
      </c>
      <c r="F29" s="12">
        <f>PRODUCT(C29:E29)</f>
        <v>616.04938271604931</v>
      </c>
      <c r="G29" s="14">
        <f>F29/1000</f>
        <v>0.61604938271604925</v>
      </c>
      <c r="H29" s="12"/>
      <c r="I29" s="12"/>
      <c r="J29" s="13"/>
      <c r="K29" s="12"/>
    </row>
    <row r="30" spans="1:11" x14ac:dyDescent="0.3">
      <c r="A30" s="10"/>
      <c r="B30" s="16"/>
      <c r="C30" s="12">
        <f>TRUNC(D29/0.15,0)+1</f>
        <v>333</v>
      </c>
      <c r="D30" s="14">
        <f>E20-0.1</f>
        <v>2.9</v>
      </c>
      <c r="E30" s="14">
        <f>10*10/162</f>
        <v>0.61728395061728392</v>
      </c>
      <c r="F30" s="12">
        <f>PRODUCT(C30:E30)</f>
        <v>596.11111111111109</v>
      </c>
      <c r="G30" s="14">
        <f>F30/1000</f>
        <v>0.59611111111111104</v>
      </c>
      <c r="H30" s="12"/>
      <c r="I30" s="12"/>
      <c r="J30" s="13"/>
      <c r="K30" s="12"/>
    </row>
    <row r="31" spans="1:11" s="21" customFormat="1" x14ac:dyDescent="0.3">
      <c r="A31" s="15"/>
      <c r="B31" s="16" t="s">
        <v>26</v>
      </c>
      <c r="C31" s="17"/>
      <c r="D31" s="1"/>
      <c r="E31" s="18"/>
      <c r="F31" s="18"/>
      <c r="G31" s="19">
        <f>SUM(G29:G29)</f>
        <v>0.61604938271604925</v>
      </c>
      <c r="H31" s="20" t="s">
        <v>44</v>
      </c>
      <c r="I31" s="2">
        <v>124355</v>
      </c>
      <c r="J31" s="19">
        <f>G31*I31</f>
        <v>76608.820987654311</v>
      </c>
      <c r="K31" s="18"/>
    </row>
    <row r="32" spans="1:11" x14ac:dyDescent="0.3">
      <c r="A32" s="10"/>
      <c r="B32" s="22" t="s">
        <v>45</v>
      </c>
      <c r="C32" s="12"/>
      <c r="D32" s="12"/>
      <c r="E32" s="12"/>
      <c r="F32" s="12"/>
      <c r="G32" s="12"/>
      <c r="H32" s="12"/>
      <c r="I32" s="12"/>
      <c r="J32" s="13">
        <f>0.13*G31*110000</f>
        <v>8809.5061728395049</v>
      </c>
      <c r="K32" s="12"/>
    </row>
    <row r="33" spans="1:11" x14ac:dyDescent="0.3">
      <c r="A33" s="10"/>
      <c r="B33" s="22" t="s">
        <v>46</v>
      </c>
      <c r="C33" s="12"/>
      <c r="D33" s="12"/>
      <c r="E33" s="12"/>
      <c r="F33" s="12"/>
      <c r="G33" s="12"/>
      <c r="H33" s="12"/>
      <c r="I33" s="12"/>
      <c r="J33" s="13">
        <f>0.13*G31*960</f>
        <v>76.882962962962949</v>
      </c>
      <c r="K33" s="12"/>
    </row>
    <row r="34" spans="1:11" x14ac:dyDescent="0.3">
      <c r="A34" s="10"/>
      <c r="B34" s="22"/>
      <c r="C34" s="12"/>
      <c r="D34" s="12"/>
      <c r="E34" s="12"/>
      <c r="F34" s="12"/>
      <c r="G34" s="12"/>
      <c r="H34" s="12"/>
      <c r="I34" s="12"/>
      <c r="J34" s="13"/>
      <c r="K34" s="12"/>
    </row>
    <row r="35" spans="1:11" ht="15" customHeight="1" x14ac:dyDescent="0.3">
      <c r="A35" s="15">
        <v>5</v>
      </c>
      <c r="B35" s="24" t="s">
        <v>16</v>
      </c>
      <c r="C35" s="17">
        <v>1</v>
      </c>
      <c r="D35" s="1"/>
      <c r="E35" s="18"/>
      <c r="F35" s="18"/>
      <c r="G35" s="20">
        <f t="shared" ref="G35" si="3">PRODUCT(C35:F35)</f>
        <v>1</v>
      </c>
      <c r="H35" s="20" t="s">
        <v>17</v>
      </c>
      <c r="I35" s="2">
        <v>500</v>
      </c>
      <c r="J35" s="20">
        <f>G35*I35</f>
        <v>500</v>
      </c>
      <c r="K35" s="18"/>
    </row>
    <row r="36" spans="1:11" x14ac:dyDescent="0.3">
      <c r="A36" s="15"/>
      <c r="B36" s="25"/>
      <c r="C36" s="17"/>
      <c r="D36" s="1"/>
      <c r="E36" s="18"/>
      <c r="F36" s="18"/>
      <c r="G36" s="2"/>
      <c r="H36" s="20"/>
      <c r="I36" s="2"/>
      <c r="J36" s="13"/>
      <c r="K36" s="18"/>
    </row>
    <row r="37" spans="1:11" x14ac:dyDescent="0.3">
      <c r="A37" s="26"/>
      <c r="B37" s="27" t="s">
        <v>19</v>
      </c>
      <c r="C37" s="28"/>
      <c r="D37" s="29"/>
      <c r="E37" s="29"/>
      <c r="F37" s="29"/>
      <c r="G37" s="13"/>
      <c r="H37" s="13"/>
      <c r="I37" s="13"/>
      <c r="J37" s="13">
        <f>SUM(J9:J35)</f>
        <v>494115.7808734568</v>
      </c>
      <c r="K37" s="30"/>
    </row>
    <row r="39" spans="1:11" s="21" customFormat="1" x14ac:dyDescent="0.3">
      <c r="A39" s="31"/>
      <c r="B39" s="32" t="s">
        <v>18</v>
      </c>
      <c r="C39" s="44">
        <f>J37</f>
        <v>494115.7808734568</v>
      </c>
      <c r="D39" s="45"/>
      <c r="E39" s="33">
        <v>100</v>
      </c>
      <c r="F39" s="31"/>
      <c r="G39" s="34"/>
      <c r="H39" s="31"/>
      <c r="I39" s="35"/>
      <c r="J39" s="36"/>
      <c r="K39" s="37"/>
    </row>
    <row r="40" spans="1:11" x14ac:dyDescent="0.3">
      <c r="B40" s="32" t="s">
        <v>20</v>
      </c>
      <c r="C40" s="48">
        <v>300000</v>
      </c>
      <c r="D40" s="49"/>
      <c r="E40" s="33"/>
    </row>
    <row r="41" spans="1:11" x14ac:dyDescent="0.3">
      <c r="B41" s="32" t="s">
        <v>21</v>
      </c>
      <c r="C41" s="48">
        <f>C40-C43-C44</f>
        <v>285000</v>
      </c>
      <c r="D41" s="49"/>
      <c r="E41" s="33">
        <f>C41/C39*100</f>
        <v>57.678789270037214</v>
      </c>
    </row>
    <row r="42" spans="1:11" x14ac:dyDescent="0.3">
      <c r="B42" s="32" t="s">
        <v>25</v>
      </c>
      <c r="C42" s="50">
        <f>C39-C41</f>
        <v>209115.7808734568</v>
      </c>
      <c r="D42" s="50"/>
      <c r="E42" s="33">
        <f>100-E41</f>
        <v>42.321210729962786</v>
      </c>
    </row>
    <row r="43" spans="1:11" x14ac:dyDescent="0.3">
      <c r="B43" s="32" t="s">
        <v>22</v>
      </c>
      <c r="C43" s="44">
        <f>C40*0.03</f>
        <v>9000</v>
      </c>
      <c r="D43" s="45"/>
      <c r="E43" s="33">
        <v>3</v>
      </c>
    </row>
    <row r="44" spans="1:11" x14ac:dyDescent="0.3">
      <c r="B44" s="32" t="s">
        <v>23</v>
      </c>
      <c r="C44" s="44">
        <f>C40*0.02</f>
        <v>6000</v>
      </c>
      <c r="D44" s="45"/>
      <c r="E44" s="33">
        <v>2</v>
      </c>
    </row>
  </sheetData>
  <mergeCells count="15">
    <mergeCell ref="C43:D43"/>
    <mergeCell ref="C44:D44"/>
    <mergeCell ref="A7:F7"/>
    <mergeCell ref="H7:K7"/>
    <mergeCell ref="C39:D39"/>
    <mergeCell ref="C40:D40"/>
    <mergeCell ref="C41:D41"/>
    <mergeCell ref="C42:D42"/>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2026-01-10T13:16:12Z</dcterms:modified>
</cp:coreProperties>
</file>