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tank'!$A$1:$K$100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5" i="13" l="1"/>
  <c r="G86" i="13" s="1"/>
  <c r="J86" i="13" s="1"/>
  <c r="J87" i="13" s="1"/>
  <c r="G80" i="13"/>
  <c r="G81" i="13" s="1"/>
  <c r="J81" i="13" s="1"/>
  <c r="J82" i="13" s="1"/>
  <c r="I67" i="13"/>
  <c r="C75" i="13" l="1"/>
  <c r="C66" i="13"/>
  <c r="C74" i="13" s="1"/>
  <c r="D66" i="13"/>
  <c r="D74" i="13" s="1"/>
  <c r="G62" i="13"/>
  <c r="D70" i="13"/>
  <c r="G70" i="13" s="1"/>
  <c r="G71" i="13" s="1"/>
  <c r="J71" i="13" s="1"/>
  <c r="I71" i="13"/>
  <c r="M20" i="13"/>
  <c r="N20" i="13"/>
  <c r="P20" i="13"/>
  <c r="Q20" i="13"/>
  <c r="R20" i="13"/>
  <c r="D75" i="13" l="1"/>
  <c r="F74" i="13"/>
  <c r="G74" i="13" s="1"/>
  <c r="F75" i="13" l="1"/>
  <c r="G75" i="13" s="1"/>
  <c r="G76" i="13" s="1"/>
  <c r="G66" i="13"/>
  <c r="G67" i="13" s="1"/>
  <c r="J67" i="13" s="1"/>
  <c r="G61" i="13"/>
  <c r="G63" i="13" s="1"/>
  <c r="D40" i="13"/>
  <c r="D30" i="13"/>
  <c r="D39" i="13"/>
  <c r="C21" i="13"/>
  <c r="E21" i="13"/>
  <c r="D37" i="13"/>
  <c r="J63" i="13" l="1"/>
  <c r="J76" i="13"/>
  <c r="J77" i="13" s="1"/>
  <c r="D38" i="13"/>
  <c r="D28" i="13"/>
  <c r="D21" i="13"/>
  <c r="D29" i="13"/>
  <c r="E15" i="13"/>
  <c r="D15" i="13"/>
  <c r="E11" i="13"/>
  <c r="D11" i="13"/>
  <c r="C100" i="13" l="1"/>
  <c r="C99" i="13"/>
  <c r="G91" i="13"/>
  <c r="J91" i="13" s="1"/>
  <c r="G89" i="13"/>
  <c r="J89" i="13" s="1"/>
  <c r="C55" i="13"/>
  <c r="I51" i="13"/>
  <c r="E50" i="13"/>
  <c r="C50" i="13"/>
  <c r="I41" i="13"/>
  <c r="C39" i="13"/>
  <c r="C48" i="13" s="1"/>
  <c r="C38" i="13"/>
  <c r="C47" i="13" s="1"/>
  <c r="B38" i="13"/>
  <c r="B47" i="13" s="1"/>
  <c r="C37" i="13"/>
  <c r="B37" i="13"/>
  <c r="B46" i="13" s="1"/>
  <c r="D48" i="13"/>
  <c r="C30" i="13"/>
  <c r="B30" i="13"/>
  <c r="B39" i="13" s="1"/>
  <c r="B48" i="13" s="1"/>
  <c r="C29" i="13"/>
  <c r="C28" i="13"/>
  <c r="F38" i="13"/>
  <c r="F47" i="13" s="1"/>
  <c r="E29" i="13"/>
  <c r="D50" i="13"/>
  <c r="G11" i="13"/>
  <c r="G12" i="13" s="1"/>
  <c r="J12" i="13" s="1"/>
  <c r="C97" i="13" l="1"/>
  <c r="D55" i="13"/>
  <c r="G55" i="13" s="1"/>
  <c r="G56" i="13" s="1"/>
  <c r="J56" i="13" s="1"/>
  <c r="J57" i="13" s="1"/>
  <c r="F37" i="13"/>
  <c r="F46" i="13" s="1"/>
  <c r="F29" i="13"/>
  <c r="F40" i="13"/>
  <c r="F49" i="13" s="1"/>
  <c r="F30" i="13"/>
  <c r="G50" i="13"/>
  <c r="G29" i="13"/>
  <c r="G38" i="13"/>
  <c r="D47" i="13"/>
  <c r="G47" i="13" s="1"/>
  <c r="E28" i="13"/>
  <c r="F39" i="13"/>
  <c r="F48" i="13" s="1"/>
  <c r="G48" i="13" s="1"/>
  <c r="F28" i="13"/>
  <c r="C40" i="13"/>
  <c r="E30" i="13"/>
  <c r="G30" i="13" s="1"/>
  <c r="D49" i="13"/>
  <c r="C46" i="13"/>
  <c r="G39" i="13" l="1"/>
  <c r="G40" i="13"/>
  <c r="C49" i="13"/>
  <c r="G49" i="13" s="1"/>
  <c r="G15" i="13"/>
  <c r="G16" i="13" s="1"/>
  <c r="J18" i="13" l="1"/>
  <c r="J17" i="13"/>
  <c r="G21" i="13"/>
  <c r="G22" i="13" s="1"/>
  <c r="J16" i="13"/>
  <c r="J25" i="13" l="1"/>
  <c r="J22" i="13"/>
  <c r="J24" i="13"/>
  <c r="J23" i="13"/>
  <c r="G28" i="13"/>
  <c r="G31" i="13" s="1"/>
  <c r="J34" i="13" l="1"/>
  <c r="J32" i="13"/>
  <c r="J33" i="13"/>
  <c r="J31" i="13"/>
  <c r="D46" i="13"/>
  <c r="G46" i="13" s="1"/>
  <c r="G51" i="13" s="1"/>
  <c r="G37" i="13"/>
  <c r="G41" i="13" s="1"/>
  <c r="J43" i="13" l="1"/>
  <c r="J42" i="13"/>
  <c r="J41" i="13"/>
  <c r="J52" i="13"/>
  <c r="J51" i="13"/>
  <c r="J93" i="13" l="1"/>
  <c r="C95" i="13" s="1"/>
  <c r="C98" i="13" s="1"/>
  <c r="E97" i="13" l="1"/>
  <c r="E98" i="13" s="1"/>
</calcChain>
</file>

<file path=xl/sharedStrings.xml><?xml version="1.0" encoding="utf-8"?>
<sst xmlns="http://schemas.openxmlformats.org/spreadsheetml/2006/main" count="114" uniqueCount="83">
  <si>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</si>
  <si>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</si>
  <si>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</si>
  <si>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</si>
  <si>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</si>
  <si>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</si>
  <si>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</si>
  <si>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</si>
  <si>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</si>
  <si>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</si>
  <si>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</si>
  <si>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</si>
  <si>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</si>
  <si>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</si>
  <si>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</si>
  <si>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</si>
  <si>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</si>
  <si>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</si>
  <si>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</si>
  <si>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</si>
  <si>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</si>
  <si>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</si>
  <si>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</si>
  <si>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</si>
  <si>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</si>
  <si>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</si>
  <si>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</si>
  <si>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</si>
  <si>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</si>
  <si>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</si>
  <si>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</si>
  <si>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</si>
  <si>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</si>
  <si>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</si>
  <si>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</si>
  <si>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</si>
  <si>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</si>
  <si>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</si>
  <si>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</si>
  <si>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</si>
  <si>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-for pipe laying from source to tank</t>
  </si>
  <si>
    <t>A</t>
  </si>
  <si>
    <t>Pipe works</t>
  </si>
  <si>
    <t>B</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</si>
  <si>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</si>
  <si>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</si>
  <si>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</si>
  <si>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</si>
  <si>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</si>
  <si>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</si>
  <si>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</si>
  <si>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</si>
  <si>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</si>
  <si>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</si>
  <si>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</si>
  <si>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</si>
  <si>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</si>
  <si>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</si>
  <si>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</si>
  <si>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</si>
  <si>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</si>
  <si>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</si>
  <si>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thickness</t>
  </si>
  <si>
    <t>Date:2082</t>
  </si>
  <si>
    <t>For tap works</t>
  </si>
  <si>
    <t>Flat brick  soling</t>
  </si>
  <si>
    <t>-13% VAT for brick</t>
  </si>
  <si>
    <t>Chimney made Brick work in 1:6 cement mortar</t>
  </si>
  <si>
    <t>Width of stand tap</t>
  </si>
  <si>
    <t>-for 32mm pipe laying from source to tank</t>
  </si>
  <si>
    <t>Laying and joining of 32 mmØ HDPE pipe with butt-weld joints</t>
  </si>
  <si>
    <t>g/d k|sf/sf] Sn] / l;N6L df6f]df ;j} lsl;dsf] vGg] sfd</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</si>
  <si>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</si>
  <si>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20mm pipe laying for distribution</t>
  </si>
  <si>
    <t>-for pipe laying for tap distribution</t>
  </si>
  <si>
    <t>Laying and joining of 20 mmØ HDPE pipe with butt-weld joints</t>
  </si>
  <si>
    <t>-Roof Top PVC Water Tank</t>
  </si>
  <si>
    <t>-5000 liter capacity</t>
  </si>
  <si>
    <t>lit.</t>
  </si>
  <si>
    <t>-Submersible pump Indian</t>
  </si>
  <si>
    <t>-1.5 H.P</t>
  </si>
  <si>
    <t>set</t>
  </si>
  <si>
    <r>
      <t>Project:-</t>
    </r>
    <r>
      <rPr>
        <sz val="12"/>
        <rFont val="Preeti"/>
      </rPr>
      <t xml:space="preserve"> </t>
    </r>
    <r>
      <rPr>
        <sz val="14"/>
        <rFont val="Preeti"/>
      </rPr>
      <t>a'l9rf}/ lnˆ6 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</si>
</sst>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60">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Fill="1" applyAlignment="1">
      <alignment horizontal="center"/>
    </xf>
    <xf numFmtId="164" fontId="9" fillId="0" borderId="0" xfId="1" applyFont="1" applyFill="1"/>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164" fontId="9" fillId="0" borderId="2" xfId="1" applyFont="1" applyFill="1" applyBorder="1" applyAlignment="1">
      <alignment horizontal="center"/>
    </xf>
    <xf numFmtId="0" fontId="9" fillId="0" borderId="2" xfId="0" applyFont="1" applyFill="1" applyBorder="1" applyAlignment="1">
      <alignment horizontal="center" wrapText="1"/>
    </xf>
    <xf numFmtId="0" fontId="4" fillId="0" borderId="0" xfId="0" applyFont="1" applyFill="1"/>
    <xf numFmtId="0" fontId="4" fillId="0" borderId="0" xfId="0" applyFont="1" applyFill="1" applyAlignment="1">
      <alignment vertical="center"/>
    </xf>
    <xf numFmtId="2" fontId="4" fillId="0" borderId="0" xfId="0" applyNumberFormat="1" applyFont="1" applyFill="1"/>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2" fontId="3" fillId="0" borderId="2" xfId="0" applyNumberFormat="1" applyFont="1" applyFill="1" applyBorder="1"/>
    <xf numFmtId="0" fontId="6" fillId="0" borderId="2" xfId="0" applyFont="1" applyFill="1" applyBorder="1" applyAlignment="1">
      <alignment vertical="center"/>
    </xf>
    <xf numFmtId="0" fontId="4" fillId="0" borderId="2" xfId="0" quotePrefix="1" applyFont="1" applyFill="1" applyBorder="1" applyAlignment="1">
      <alignment horizontal="right"/>
    </xf>
    <xf numFmtId="0" fontId="4" fillId="0" borderId="2" xfId="0" applyFont="1" applyFill="1" applyBorder="1"/>
    <xf numFmtId="2" fontId="4" fillId="0" borderId="2" xfId="0" applyNumberFormat="1" applyFont="1" applyFill="1" applyBorder="1"/>
    <xf numFmtId="0" fontId="14" fillId="0" borderId="2" xfId="0" applyFont="1" applyFill="1" applyBorder="1" applyAlignment="1">
      <alignment wrapText="1"/>
    </xf>
    <xf numFmtId="0" fontId="9" fillId="0" borderId="2" xfId="0" applyFont="1" applyFill="1" applyBorder="1" applyAlignment="1">
      <alignment vertical="center"/>
    </xf>
    <xf numFmtId="164" fontId="9" fillId="0" borderId="2" xfId="1" applyFont="1" applyFill="1" applyBorder="1" applyAlignment="1">
      <alignment vertical="center"/>
    </xf>
    <xf numFmtId="0" fontId="9" fillId="0" borderId="2" xfId="0" applyFont="1" applyFill="1" applyBorder="1" applyAlignment="1">
      <alignment vertical="center" wrapText="1"/>
    </xf>
    <xf numFmtId="0" fontId="4" fillId="0" borderId="2" xfId="0" applyFont="1" applyFill="1" applyBorder="1" applyAlignment="1">
      <alignment wrapText="1"/>
    </xf>
    <xf numFmtId="0" fontId="4" fillId="0" borderId="2" xfId="0" applyFont="1" applyFill="1" applyBorder="1" applyAlignment="1">
      <alignment vertical="center"/>
    </xf>
    <xf numFmtId="1" fontId="2" fillId="0" borderId="2" xfId="0" applyNumberFormat="1" applyFont="1" applyFill="1" applyBorder="1" applyAlignment="1">
      <alignment vertical="center"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2" fontId="4" fillId="0" borderId="2" xfId="0" applyNumberFormat="1" applyFont="1" applyFill="1" applyBorder="1" applyAlignment="1">
      <alignment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164" fontId="3" fillId="0" borderId="0" xfId="1" applyFont="1" applyFill="1" applyBorder="1" applyAlignment="1">
      <alignment vertical="center"/>
    </xf>
    <xf numFmtId="0" fontId="3" fillId="0" borderId="0" xfId="0" applyFont="1" applyFill="1" applyAlignment="1">
      <alignment vertical="center"/>
    </xf>
    <xf numFmtId="0" fontId="4" fillId="0" borderId="2" xfId="0" quotePrefix="1" applyFont="1" applyFill="1" applyBorder="1" applyAlignment="1">
      <alignment wrapText="1"/>
    </xf>
    <xf numFmtId="0" fontId="2" fillId="0" borderId="2" xfId="0" quotePrefix="1" applyFont="1" applyFill="1" applyBorder="1" applyAlignment="1">
      <alignment horizontal="right" vertical="center" wrapText="1"/>
    </xf>
    <xf numFmtId="2" fontId="6" fillId="0" borderId="2" xfId="0" applyNumberFormat="1" applyFont="1" applyFill="1" applyBorder="1" applyAlignment="1">
      <alignment vertical="center"/>
    </xf>
    <xf numFmtId="0" fontId="2" fillId="0" borderId="2" xfId="0" quotePrefix="1" applyFont="1" applyFill="1" applyBorder="1" applyAlignment="1">
      <alignment vertical="center" wrapText="1"/>
    </xf>
    <xf numFmtId="1" fontId="2" fillId="0" borderId="2" xfId="0" quotePrefix="1" applyNumberFormat="1" applyFont="1" applyFill="1" applyBorder="1" applyAlignment="1">
      <alignment vertical="center" wrapText="1"/>
    </xf>
    <xf numFmtId="0" fontId="4" fillId="0" borderId="2" xfId="0" quotePrefix="1" applyFont="1" applyFill="1" applyBorder="1" applyAlignment="1">
      <alignment horizontal="right" vertical="center" wrapText="1"/>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Fill="1" applyBorder="1" applyAlignment="1">
      <alignment horizontal="center" vertical="center"/>
    </xf>
    <xf numFmtId="0" fontId="8" fillId="0" borderId="1" xfId="0" applyFont="1" applyFill="1" applyBorder="1"/>
    <xf numFmtId="0" fontId="8" fillId="0" borderId="1" xfId="0" applyFont="1" applyFill="1" applyBorder="1" applyAlignment="1">
      <alignment horizontal="right"/>
    </xf>
    <xf numFmtId="0" fontId="3" fillId="0" borderId="0" xfId="0" applyFont="1" applyFill="1" applyAlignment="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xf>
    <xf numFmtId="0" fontId="8" fillId="0" borderId="0" xfId="0" applyFont="1" applyFill="1" applyAlignment="1">
      <alignment horizontal="left"/>
    </xf>
    <xf numFmtId="0" fontId="8" fillId="0" borderId="0" xfId="0" applyFont="1" applyFill="1" applyAlignment="1">
      <alignment horizontal="right"/>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
  <sheetViews>
    <sheetView tabSelected="1" topLeftCell="A64" zoomScaleNormal="100" workbookViewId="0">
      <selection activeCell="A7" sqref="A7:F7"/>
    </sheetView>
  </sheetViews>
  <sheetFormatPr defaultColWidth="9.109375" defaultRowHeight="14.4" x14ac:dyDescent="0.3"/>
  <cols>
    <col min="1" max="1" width="4.6640625" style="9" customWidth="1"/>
    <col min="2" max="2" width="30.88671875" style="9" customWidth="1"/>
    <col min="3" max="3" width="4.44140625" style="9" bestFit="1" customWidth="1"/>
    <col min="4" max="4" width="8.44140625" style="9" customWidth="1"/>
    <col min="5" max="5" width="8.5546875" style="9" customWidth="1"/>
    <col min="6" max="6" width="7.33203125" style="9" customWidth="1"/>
    <col min="7" max="7" width="9.109375" style="9"/>
    <col min="8" max="8" width="5" style="9" bestFit="1" customWidth="1"/>
    <col min="9" max="9" width="9.5546875" style="9" customWidth="1"/>
    <col min="10" max="10" width="10.6640625" style="9" bestFit="1" customWidth="1"/>
    <col min="11" max="12" width="9.109375" style="9"/>
    <col min="13" max="13" width="6.44140625" style="9" bestFit="1" customWidth="1"/>
    <col min="14" max="14" width="7.44140625" style="9" bestFit="1" customWidth="1"/>
    <col min="15" max="16" width="8.44140625" style="9" bestFit="1" customWidth="1"/>
    <col min="17" max="17" width="9.109375" style="9"/>
    <col min="18" max="18" width="16.5546875" style="9" customWidth="1"/>
    <col min="19" max="20" width="8.5546875" style="9" bestFit="1" customWidth="1"/>
    <col min="21" max="21" width="6.5546875" style="9" customWidth="1"/>
    <col min="22" max="22" width="7.44140625" style="9" bestFit="1" customWidth="1"/>
    <col min="23" max="23" width="8.44140625" style="9" bestFit="1" customWidth="1"/>
    <col min="24" max="25" width="7.6640625" style="9" bestFit="1" customWidth="1"/>
    <col min="26" max="16384" width="9.109375" style="9"/>
  </cols>
  <sheetData>
    <row r="1" spans="1:25" x14ac:dyDescent="0.3">
      <c r="A1" s="54" t="s">
        <v>0</v>
      </c>
      <c r="B1" s="54"/>
      <c r="C1" s="54"/>
      <c r="D1" s="54"/>
      <c r="E1" s="54"/>
      <c r="F1" s="54"/>
      <c r="G1" s="54"/>
      <c r="H1" s="54"/>
      <c r="I1" s="54"/>
      <c r="J1" s="54"/>
      <c r="K1" s="54"/>
    </row>
    <row r="2" spans="1:25" ht="22.8" x14ac:dyDescent="0.3">
      <c r="A2" s="55" t="s">
        <v>1</v>
      </c>
      <c r="B2" s="55"/>
      <c r="C2" s="55"/>
      <c r="D2" s="55"/>
      <c r="E2" s="55"/>
      <c r="F2" s="55"/>
      <c r="G2" s="55"/>
      <c r="H2" s="55"/>
      <c r="I2" s="55"/>
      <c r="J2" s="55"/>
      <c r="K2" s="55"/>
    </row>
    <row r="3" spans="1:25" x14ac:dyDescent="0.3">
      <c r="A3" s="56" t="s">
        <v>2</v>
      </c>
      <c r="B3" s="56"/>
      <c r="C3" s="56"/>
      <c r="D3" s="56"/>
      <c r="E3" s="56"/>
      <c r="F3" s="56"/>
      <c r="G3" s="56"/>
      <c r="H3" s="56"/>
      <c r="I3" s="56"/>
      <c r="J3" s="56"/>
      <c r="K3" s="56"/>
    </row>
    <row r="4" spans="1:25" x14ac:dyDescent="0.3">
      <c r="A4" s="56" t="s">
        <v>3</v>
      </c>
      <c r="B4" s="56"/>
      <c r="C4" s="56"/>
      <c r="D4" s="56"/>
      <c r="E4" s="56"/>
      <c r="F4" s="56"/>
      <c r="G4" s="56"/>
      <c r="H4" s="56"/>
      <c r="I4" s="56"/>
      <c r="J4" s="56"/>
      <c r="K4" s="56"/>
    </row>
    <row r="5" spans="1:25" ht="17.399999999999999" x14ac:dyDescent="0.3">
      <c r="A5" s="57" t="s">
        <v>4</v>
      </c>
      <c r="B5" s="57"/>
      <c r="C5" s="57"/>
      <c r="D5" s="57"/>
      <c r="E5" s="57"/>
      <c r="F5" s="57"/>
      <c r="G5" s="57"/>
      <c r="H5" s="57"/>
      <c r="I5" s="57"/>
      <c r="J5" s="57"/>
      <c r="K5" s="57"/>
    </row>
    <row r="6" spans="1:25" ht="17.399999999999999" x14ac:dyDescent="0.3">
      <c r="A6" s="58" t="s">
        <v>82</v>
      </c>
      <c r="B6" s="58"/>
      <c r="C6" s="58"/>
      <c r="D6" s="58"/>
      <c r="E6" s="58"/>
      <c r="F6" s="58"/>
      <c r="G6" s="3"/>
      <c r="H6" s="59" t="s">
        <v>25</v>
      </c>
      <c r="I6" s="59"/>
      <c r="J6" s="59"/>
      <c r="K6" s="59"/>
    </row>
    <row r="7" spans="1:25" ht="15.6" x14ac:dyDescent="0.3">
      <c r="A7" s="52" t="s">
        <v>34</v>
      </c>
      <c r="B7" s="52"/>
      <c r="C7" s="52"/>
      <c r="D7" s="52"/>
      <c r="E7" s="52"/>
      <c r="F7" s="52"/>
      <c r="G7" s="4"/>
      <c r="H7" s="53" t="s">
        <v>63</v>
      </c>
      <c r="I7" s="53"/>
      <c r="J7" s="53"/>
      <c r="K7" s="53"/>
    </row>
    <row r="8" spans="1:25" ht="15.6" x14ac:dyDescent="0.3">
      <c r="A8" s="5" t="s">
        <v>5</v>
      </c>
      <c r="B8" s="6" t="s">
        <v>6</v>
      </c>
      <c r="C8" s="5" t="s">
        <v>7</v>
      </c>
      <c r="D8" s="7" t="s">
        <v>8</v>
      </c>
      <c r="E8" s="7" t="s">
        <v>9</v>
      </c>
      <c r="F8" s="7" t="s">
        <v>10</v>
      </c>
      <c r="G8" s="7" t="s">
        <v>11</v>
      </c>
      <c r="H8" s="5" t="s">
        <v>12</v>
      </c>
      <c r="I8" s="7" t="s">
        <v>13</v>
      </c>
      <c r="J8" s="7" t="s">
        <v>14</v>
      </c>
      <c r="K8" s="8" t="s">
        <v>15</v>
      </c>
      <c r="M8" s="10"/>
      <c r="N8" s="10"/>
      <c r="O8" s="10"/>
      <c r="P8" s="10"/>
      <c r="Q8" s="10"/>
      <c r="R8" s="10"/>
      <c r="S8" s="10"/>
      <c r="T8" s="10"/>
      <c r="U8" s="10"/>
      <c r="V8" s="10"/>
      <c r="W8" s="10"/>
      <c r="X8" s="10"/>
      <c r="Y8" s="10"/>
    </row>
    <row r="9" spans="1:25" ht="15.6" x14ac:dyDescent="0.3">
      <c r="A9" s="5" t="s">
        <v>41</v>
      </c>
      <c r="B9" s="6" t="s">
        <v>64</v>
      </c>
      <c r="C9" s="5"/>
      <c r="D9" s="7"/>
      <c r="E9" s="7"/>
      <c r="F9" s="7"/>
      <c r="G9" s="7"/>
      <c r="H9" s="5"/>
      <c r="I9" s="7"/>
      <c r="J9" s="7"/>
      <c r="K9" s="8"/>
    </row>
    <row r="10" spans="1:25" s="10" customFormat="1" ht="30.6" x14ac:dyDescent="0.3">
      <c r="A10" s="23">
        <v>1</v>
      </c>
      <c r="B10" s="22" t="s">
        <v>71</v>
      </c>
      <c r="C10" s="23"/>
      <c r="D10" s="24"/>
      <c r="E10" s="24"/>
      <c r="F10" s="24"/>
      <c r="G10" s="24"/>
      <c r="H10" s="23"/>
      <c r="I10" s="24"/>
      <c r="J10" s="24"/>
      <c r="K10" s="25"/>
      <c r="M10" s="9"/>
      <c r="N10" s="9"/>
      <c r="O10" s="9"/>
      <c r="P10" s="9"/>
      <c r="Q10" s="9"/>
      <c r="R10" s="9"/>
      <c r="S10" s="9"/>
      <c r="T10" s="9"/>
      <c r="U10" s="9"/>
      <c r="V10" s="9"/>
      <c r="W10" s="9"/>
      <c r="X10" s="9"/>
      <c r="Y10" s="9"/>
    </row>
    <row r="11" spans="1:25" x14ac:dyDescent="0.3">
      <c r="A11" s="18"/>
      <c r="B11" s="19" t="s">
        <v>44</v>
      </c>
      <c r="C11" s="20">
        <v>3</v>
      </c>
      <c r="D11" s="21">
        <f>M20</f>
        <v>1.6763181956720512</v>
      </c>
      <c r="E11" s="21">
        <f>N20</f>
        <v>1.6763181956720512</v>
      </c>
      <c r="F11" s="20">
        <v>0.15</v>
      </c>
      <c r="G11" s="21">
        <f>PRODUCT(C11:F11)</f>
        <v>1.2645192119135404</v>
      </c>
      <c r="H11" s="20"/>
      <c r="I11" s="20"/>
      <c r="J11" s="20"/>
      <c r="K11" s="20"/>
    </row>
    <row r="12" spans="1:25" ht="15" customHeight="1" x14ac:dyDescent="0.3">
      <c r="A12" s="12"/>
      <c r="B12" s="13" t="s">
        <v>16</v>
      </c>
      <c r="C12" s="14"/>
      <c r="D12" s="1"/>
      <c r="E12" s="15"/>
      <c r="F12" s="15"/>
      <c r="G12" s="2">
        <f>SUM(G11)</f>
        <v>1.2645192119135404</v>
      </c>
      <c r="H12" s="16" t="s">
        <v>29</v>
      </c>
      <c r="I12" s="2">
        <v>963.05</v>
      </c>
      <c r="J12" s="17">
        <f>G12*I12</f>
        <v>1217.7952270333351</v>
      </c>
      <c r="K12" s="15"/>
    </row>
    <row r="13" spans="1:25" ht="15.6" x14ac:dyDescent="0.3">
      <c r="A13" s="5"/>
      <c r="B13" s="6"/>
      <c r="C13" s="5"/>
      <c r="D13" s="7"/>
      <c r="E13" s="7"/>
      <c r="F13" s="7"/>
      <c r="G13" s="7"/>
      <c r="H13" s="5"/>
      <c r="I13" s="7"/>
      <c r="J13" s="7"/>
      <c r="K13" s="8"/>
    </row>
    <row r="14" spans="1:25" x14ac:dyDescent="0.3">
      <c r="A14" s="18">
        <v>2</v>
      </c>
      <c r="B14" s="20" t="s">
        <v>65</v>
      </c>
      <c r="C14" s="20"/>
      <c r="D14" s="20"/>
      <c r="E14" s="20"/>
      <c r="F14" s="20"/>
      <c r="G14" s="20"/>
      <c r="H14" s="20"/>
      <c r="I14" s="20"/>
      <c r="J14" s="20"/>
      <c r="K14" s="20"/>
    </row>
    <row r="15" spans="1:25" x14ac:dyDescent="0.3">
      <c r="A15" s="18"/>
      <c r="B15" s="19" t="s">
        <v>44</v>
      </c>
      <c r="C15" s="20">
        <v>3</v>
      </c>
      <c r="D15" s="21">
        <f>M20</f>
        <v>1.6763181956720512</v>
      </c>
      <c r="E15" s="21">
        <f>N20</f>
        <v>1.6763181956720512</v>
      </c>
      <c r="F15" s="20"/>
      <c r="G15" s="21">
        <f>PRODUCT(C15:F15)</f>
        <v>8.4301280794236035</v>
      </c>
      <c r="H15" s="20"/>
      <c r="I15" s="20"/>
      <c r="J15" s="20"/>
      <c r="K15" s="20"/>
    </row>
    <row r="16" spans="1:25" ht="13.8" customHeight="1" x14ac:dyDescent="0.3">
      <c r="A16" s="12"/>
      <c r="B16" s="13" t="s">
        <v>16</v>
      </c>
      <c r="C16" s="14"/>
      <c r="D16" s="1"/>
      <c r="E16" s="15"/>
      <c r="F16" s="15"/>
      <c r="G16" s="2">
        <f>SUM(G15)</f>
        <v>8.4301280794236035</v>
      </c>
      <c r="H16" s="16" t="s">
        <v>49</v>
      </c>
      <c r="I16" s="2">
        <v>1014.15</v>
      </c>
      <c r="J16" s="17">
        <f>G16*I16</f>
        <v>8549.4143917474466</v>
      </c>
      <c r="K16" s="15"/>
    </row>
    <row r="17" spans="1:18" x14ac:dyDescent="0.3">
      <c r="A17" s="18"/>
      <c r="B17" s="19" t="s">
        <v>66</v>
      </c>
      <c r="C17" s="20"/>
      <c r="D17" s="20"/>
      <c r="E17" s="20"/>
      <c r="F17" s="20"/>
      <c r="G17" s="20"/>
      <c r="H17" s="20"/>
      <c r="I17" s="20"/>
      <c r="J17" s="17">
        <f>0.13*G16*636.09</f>
        <v>697.1016221052729</v>
      </c>
      <c r="K17" s="20"/>
    </row>
    <row r="18" spans="1:18" x14ac:dyDescent="0.3">
      <c r="A18" s="18"/>
      <c r="B18" s="19" t="s">
        <v>45</v>
      </c>
      <c r="C18" s="20"/>
      <c r="D18" s="20"/>
      <c r="E18" s="20"/>
      <c r="F18" s="20"/>
      <c r="G18" s="20"/>
      <c r="H18" s="20"/>
      <c r="I18" s="20"/>
      <c r="J18" s="17">
        <f>0.13*G16*222.31</f>
        <v>243.63323053376601</v>
      </c>
      <c r="K18" s="20"/>
      <c r="M18" s="9" t="s">
        <v>53</v>
      </c>
    </row>
    <row r="19" spans="1:18" x14ac:dyDescent="0.3">
      <c r="A19" s="18"/>
      <c r="B19" s="20"/>
      <c r="C19" s="20"/>
      <c r="D19" s="20"/>
      <c r="E19" s="20"/>
      <c r="F19" s="20"/>
      <c r="G19" s="20"/>
      <c r="H19" s="20"/>
      <c r="I19" s="20"/>
      <c r="J19" s="20"/>
      <c r="K19" s="20"/>
      <c r="M19" s="9" t="s">
        <v>54</v>
      </c>
      <c r="N19" s="9" t="s">
        <v>9</v>
      </c>
      <c r="O19" s="9" t="s">
        <v>62</v>
      </c>
      <c r="P19" s="9" t="s">
        <v>55</v>
      </c>
      <c r="Q19" s="9" t="s">
        <v>56</v>
      </c>
      <c r="R19" s="9" t="s">
        <v>68</v>
      </c>
    </row>
    <row r="20" spans="1:18" x14ac:dyDescent="0.3">
      <c r="A20" s="18">
        <v>3</v>
      </c>
      <c r="B20" s="20" t="s">
        <v>46</v>
      </c>
      <c r="C20" s="20"/>
      <c r="D20" s="20"/>
      <c r="E20" s="20"/>
      <c r="F20" s="20"/>
      <c r="G20" s="20"/>
      <c r="H20" s="20"/>
      <c r="I20" s="20"/>
      <c r="J20" s="20"/>
      <c r="K20" s="20"/>
      <c r="M20" s="11">
        <f>5.5/3.281</f>
        <v>1.6763181956720512</v>
      </c>
      <c r="N20" s="11">
        <f>5.5/3.281</f>
        <v>1.6763181956720512</v>
      </c>
      <c r="O20" s="11">
        <v>0.23</v>
      </c>
      <c r="P20" s="11">
        <f>TRUNC(2/3.281,1)</f>
        <v>0.6</v>
      </c>
      <c r="Q20" s="11">
        <f>TRUNC(4/3.281,1)</f>
        <v>1.2</v>
      </c>
      <c r="R20" s="11">
        <f>1.17/3.281</f>
        <v>0.35659859798841814</v>
      </c>
    </row>
    <row r="21" spans="1:18" x14ac:dyDescent="0.3">
      <c r="A21" s="18"/>
      <c r="B21" s="19" t="s">
        <v>52</v>
      </c>
      <c r="C21" s="20">
        <f>C15</f>
        <v>3</v>
      </c>
      <c r="D21" s="21">
        <f>M20</f>
        <v>1.6763181956720512</v>
      </c>
      <c r="E21" s="21">
        <f>N20</f>
        <v>1.6763181956720512</v>
      </c>
      <c r="F21" s="21">
        <v>0.1</v>
      </c>
      <c r="G21" s="21">
        <f>PRODUCT(C21:F21)</f>
        <v>0.84301280794236044</v>
      </c>
      <c r="H21" s="20"/>
      <c r="I21" s="20"/>
      <c r="J21" s="20"/>
      <c r="K21" s="20"/>
    </row>
    <row r="22" spans="1:18" ht="15" customHeight="1" x14ac:dyDescent="0.3">
      <c r="A22" s="12"/>
      <c r="B22" s="13" t="s">
        <v>16</v>
      </c>
      <c r="C22" s="14"/>
      <c r="D22" s="1"/>
      <c r="E22" s="15"/>
      <c r="F22" s="15"/>
      <c r="G22" s="2">
        <f>SUM(G21)</f>
        <v>0.84301280794236044</v>
      </c>
      <c r="H22" s="16" t="s">
        <v>29</v>
      </c>
      <c r="I22" s="2">
        <v>13343.7</v>
      </c>
      <c r="J22" s="17">
        <f>G22*I22</f>
        <v>11248.910005340476</v>
      </c>
      <c r="K22" s="15"/>
    </row>
    <row r="23" spans="1:18" x14ac:dyDescent="0.3">
      <c r="A23" s="18"/>
      <c r="B23" s="19" t="s">
        <v>45</v>
      </c>
      <c r="C23" s="20"/>
      <c r="D23" s="20"/>
      <c r="E23" s="20"/>
      <c r="F23" s="20"/>
      <c r="G23" s="20"/>
      <c r="H23" s="20"/>
      <c r="I23" s="20"/>
      <c r="J23" s="17">
        <f>0.13*G22*1413.27</f>
        <v>154.88261244049096</v>
      </c>
      <c r="K23" s="20"/>
    </row>
    <row r="24" spans="1:18" x14ac:dyDescent="0.3">
      <c r="A24" s="18"/>
      <c r="B24" s="19" t="s">
        <v>47</v>
      </c>
      <c r="C24" s="20"/>
      <c r="D24" s="20"/>
      <c r="E24" s="20"/>
      <c r="F24" s="20"/>
      <c r="G24" s="20"/>
      <c r="H24" s="20"/>
      <c r="I24" s="20"/>
      <c r="J24" s="17">
        <f>0.13*G22*4096</f>
        <v>448.88745997314811</v>
      </c>
      <c r="K24" s="20"/>
    </row>
    <row r="25" spans="1:18" x14ac:dyDescent="0.3">
      <c r="A25" s="18"/>
      <c r="B25" s="19" t="s">
        <v>48</v>
      </c>
      <c r="C25" s="20"/>
      <c r="D25" s="20"/>
      <c r="E25" s="20"/>
      <c r="F25" s="20"/>
      <c r="G25" s="20"/>
      <c r="H25" s="20"/>
      <c r="I25" s="20"/>
      <c r="J25" s="17">
        <f>0.13*G22*(368.76+737.51+1743.21)</f>
        <v>312.27925767682768</v>
      </c>
      <c r="K25" s="20"/>
    </row>
    <row r="26" spans="1:18" x14ac:dyDescent="0.3">
      <c r="A26" s="18"/>
      <c r="B26" s="20"/>
      <c r="C26" s="20"/>
      <c r="D26" s="20"/>
      <c r="E26" s="20"/>
      <c r="F26" s="20"/>
      <c r="G26" s="20"/>
      <c r="H26" s="20"/>
      <c r="I26" s="20"/>
      <c r="J26" s="20"/>
      <c r="K26" s="20"/>
    </row>
    <row r="27" spans="1:18" ht="28.8" x14ac:dyDescent="0.3">
      <c r="A27" s="18">
        <v>4</v>
      </c>
      <c r="B27" s="26" t="s">
        <v>67</v>
      </c>
      <c r="C27" s="20"/>
      <c r="D27" s="20"/>
      <c r="E27" s="20"/>
      <c r="F27" s="20"/>
      <c r="G27" s="20"/>
      <c r="H27" s="20"/>
      <c r="I27" s="20"/>
      <c r="J27" s="20"/>
      <c r="K27" s="20"/>
    </row>
    <row r="28" spans="1:18" x14ac:dyDescent="0.3">
      <c r="A28" s="18"/>
      <c r="B28" s="19" t="s">
        <v>50</v>
      </c>
      <c r="C28" s="20">
        <f>C15*2</f>
        <v>6</v>
      </c>
      <c r="D28" s="21">
        <f>N20-O20*2</f>
        <v>1.2163181956720512</v>
      </c>
      <c r="E28" s="21">
        <f>O20</f>
        <v>0.23</v>
      </c>
      <c r="F28" s="21">
        <f>P20</f>
        <v>0.6</v>
      </c>
      <c r="G28" s="21">
        <f>PRODUCT(C28:F28)</f>
        <v>1.0071114660164584</v>
      </c>
      <c r="H28" s="20"/>
      <c r="I28" s="20"/>
      <c r="J28" s="20"/>
      <c r="K28" s="20"/>
    </row>
    <row r="29" spans="1:18" x14ac:dyDescent="0.3">
      <c r="A29" s="18"/>
      <c r="B29" s="19" t="s">
        <v>51</v>
      </c>
      <c r="C29" s="20">
        <f>C15</f>
        <v>3</v>
      </c>
      <c r="D29" s="21">
        <f>M20-R20</f>
        <v>1.3197195976836331</v>
      </c>
      <c r="E29" s="21">
        <f>O20</f>
        <v>0.23</v>
      </c>
      <c r="F29" s="21">
        <f>P20</f>
        <v>0.6</v>
      </c>
      <c r="G29" s="21">
        <f>PRODUCT(C29:F29)</f>
        <v>0.54636391344102408</v>
      </c>
      <c r="H29" s="20"/>
      <c r="I29" s="20"/>
      <c r="J29" s="20"/>
      <c r="K29" s="20"/>
    </row>
    <row r="30" spans="1:18" x14ac:dyDescent="0.3">
      <c r="A30" s="18"/>
      <c r="B30" s="19" t="str">
        <f>B21</f>
        <v>-for stand tap</v>
      </c>
      <c r="C30" s="20">
        <f>C15</f>
        <v>3</v>
      </c>
      <c r="D30" s="21">
        <f>R20</f>
        <v>0.35659859798841814</v>
      </c>
      <c r="E30" s="21">
        <f>O20</f>
        <v>0.23</v>
      </c>
      <c r="F30" s="21">
        <f>Q20</f>
        <v>1.2</v>
      </c>
      <c r="G30" s="21">
        <f>PRODUCT(C30:F30)</f>
        <v>0.29526363913441023</v>
      </c>
      <c r="H30" s="20"/>
      <c r="I30" s="20"/>
      <c r="J30" s="20"/>
      <c r="K30" s="20"/>
    </row>
    <row r="31" spans="1:18" ht="15" customHeight="1" x14ac:dyDescent="0.3">
      <c r="A31" s="12"/>
      <c r="B31" s="13" t="s">
        <v>16</v>
      </c>
      <c r="C31" s="14"/>
      <c r="D31" s="1"/>
      <c r="E31" s="15"/>
      <c r="F31" s="15"/>
      <c r="G31" s="2">
        <f>SUM(G28:G30)</f>
        <v>1.8487390185918926</v>
      </c>
      <c r="H31" s="16" t="s">
        <v>29</v>
      </c>
      <c r="I31" s="2">
        <v>12225.55</v>
      </c>
      <c r="J31" s="17">
        <f>G31*I31</f>
        <v>22601.851308746111</v>
      </c>
      <c r="K31" s="15"/>
    </row>
    <row r="32" spans="1:18" x14ac:dyDescent="0.3">
      <c r="A32" s="18"/>
      <c r="B32" s="19" t="s">
        <v>66</v>
      </c>
      <c r="C32" s="20"/>
      <c r="D32" s="20"/>
      <c r="E32" s="20"/>
      <c r="F32" s="20"/>
      <c r="G32" s="20"/>
      <c r="H32" s="20"/>
      <c r="I32" s="20"/>
      <c r="J32" s="17">
        <f>0.13*G31*8481.2</f>
        <v>2038.3382973826031</v>
      </c>
      <c r="K32" s="20"/>
    </row>
    <row r="33" spans="1:11" x14ac:dyDescent="0.3">
      <c r="A33" s="18"/>
      <c r="B33" s="19" t="s">
        <v>47</v>
      </c>
      <c r="C33" s="20"/>
      <c r="D33" s="20"/>
      <c r="E33" s="20"/>
      <c r="F33" s="20"/>
      <c r="G33" s="20"/>
      <c r="H33" s="20"/>
      <c r="I33" s="20"/>
      <c r="J33" s="17">
        <f>0.13*G31*896</f>
        <v>215.34112088558365</v>
      </c>
      <c r="K33" s="20"/>
    </row>
    <row r="34" spans="1:11" x14ac:dyDescent="0.3">
      <c r="A34" s="18"/>
      <c r="B34" s="19" t="s">
        <v>45</v>
      </c>
      <c r="C34" s="20"/>
      <c r="D34" s="20"/>
      <c r="E34" s="20"/>
      <c r="F34" s="20"/>
      <c r="G34" s="20"/>
      <c r="H34" s="20"/>
      <c r="I34" s="20"/>
      <c r="J34" s="17">
        <f>0.13*G31*952.76</f>
        <v>228.98259635596952</v>
      </c>
      <c r="K34" s="20"/>
    </row>
    <row r="35" spans="1:11" x14ac:dyDescent="0.3">
      <c r="A35" s="18"/>
      <c r="B35" s="20"/>
      <c r="C35" s="20"/>
      <c r="D35" s="20"/>
      <c r="E35" s="20"/>
      <c r="F35" s="20"/>
      <c r="G35" s="20"/>
      <c r="H35" s="20"/>
      <c r="I35" s="20"/>
      <c r="J35" s="20"/>
      <c r="K35" s="20"/>
    </row>
    <row r="36" spans="1:11" x14ac:dyDescent="0.3">
      <c r="A36" s="18">
        <v>5</v>
      </c>
      <c r="B36" s="26" t="s">
        <v>57</v>
      </c>
      <c r="C36" s="20"/>
      <c r="D36" s="20"/>
      <c r="E36" s="20"/>
      <c r="F36" s="20"/>
      <c r="G36" s="20"/>
      <c r="H36" s="20"/>
      <c r="I36" s="20"/>
      <c r="J36" s="20"/>
      <c r="K36" s="20"/>
    </row>
    <row r="37" spans="1:11" x14ac:dyDescent="0.3">
      <c r="A37" s="18"/>
      <c r="B37" s="19" t="str">
        <f>B28</f>
        <v>-for wing walls of stand tap</v>
      </c>
      <c r="C37" s="20">
        <f>C15*4</f>
        <v>12</v>
      </c>
      <c r="D37" s="21">
        <f>M20-O20*2</f>
        <v>1.2163181956720512</v>
      </c>
      <c r="E37" s="21"/>
      <c r="F37" s="21">
        <f>P20</f>
        <v>0.6</v>
      </c>
      <c r="G37" s="21">
        <f>PRODUCT(C37:F37)</f>
        <v>8.7574910088387679</v>
      </c>
      <c r="H37" s="20"/>
      <c r="I37" s="20"/>
      <c r="J37" s="20"/>
      <c r="K37" s="20"/>
    </row>
    <row r="38" spans="1:11" x14ac:dyDescent="0.3">
      <c r="A38" s="18"/>
      <c r="B38" s="19" t="str">
        <f>B29</f>
        <v>-for side wall of stand tap</v>
      </c>
      <c r="C38" s="20">
        <f>C15</f>
        <v>3</v>
      </c>
      <c r="D38" s="21">
        <f>M20-R20</f>
        <v>1.3197195976836331</v>
      </c>
      <c r="E38" s="21"/>
      <c r="F38" s="21">
        <f>P20</f>
        <v>0.6</v>
      </c>
      <c r="G38" s="21">
        <f>PRODUCT(C38:F38)</f>
        <v>2.3754952758305392</v>
      </c>
      <c r="H38" s="20"/>
      <c r="I38" s="20"/>
      <c r="J38" s="20"/>
      <c r="K38" s="20"/>
    </row>
    <row r="39" spans="1:11" x14ac:dyDescent="0.3">
      <c r="A39" s="18"/>
      <c r="B39" s="19" t="str">
        <f>B30</f>
        <v>-for stand tap</v>
      </c>
      <c r="C39" s="20">
        <f>C15</f>
        <v>3</v>
      </c>
      <c r="D39" s="21">
        <f>R20</f>
        <v>0.35659859798841814</v>
      </c>
      <c r="E39" s="21"/>
      <c r="F39" s="21">
        <f>Q20</f>
        <v>1.2</v>
      </c>
      <c r="G39" s="21">
        <f>PRODUCT(C39:F39)</f>
        <v>1.2837549527583054</v>
      </c>
      <c r="H39" s="20"/>
      <c r="I39" s="20"/>
      <c r="J39" s="20"/>
      <c r="K39" s="20"/>
    </row>
    <row r="40" spans="1:11" x14ac:dyDescent="0.3">
      <c r="A40" s="18"/>
      <c r="B40" s="19"/>
      <c r="C40" s="20">
        <f>C39</f>
        <v>3</v>
      </c>
      <c r="D40" s="21">
        <f>O20*2</f>
        <v>0.46</v>
      </c>
      <c r="E40" s="21"/>
      <c r="F40" s="21">
        <f>Q20-P20</f>
        <v>0.6</v>
      </c>
      <c r="G40" s="21">
        <f>PRODUCT(C40:F40)</f>
        <v>0.82800000000000007</v>
      </c>
      <c r="H40" s="20"/>
      <c r="I40" s="20"/>
      <c r="J40" s="20"/>
      <c r="K40" s="20"/>
    </row>
    <row r="41" spans="1:11" ht="15" customHeight="1" x14ac:dyDescent="0.3">
      <c r="A41" s="12"/>
      <c r="B41" s="13" t="s">
        <v>16</v>
      </c>
      <c r="C41" s="14"/>
      <c r="D41" s="1"/>
      <c r="E41" s="15"/>
      <c r="F41" s="15"/>
      <c r="G41" s="2">
        <f>SUM(G37:G40)</f>
        <v>13.244741237427613</v>
      </c>
      <c r="H41" s="16" t="s">
        <v>49</v>
      </c>
      <c r="I41" s="2">
        <f>49954.32/100</f>
        <v>499.54320000000001</v>
      </c>
      <c r="J41" s="17">
        <f>G41*I41</f>
        <v>6616.3204209165497</v>
      </c>
      <c r="K41" s="15"/>
    </row>
    <row r="42" spans="1:11" x14ac:dyDescent="0.3">
      <c r="A42" s="18"/>
      <c r="B42" s="19" t="s">
        <v>45</v>
      </c>
      <c r="C42" s="20"/>
      <c r="D42" s="20"/>
      <c r="E42" s="20"/>
      <c r="F42" s="20"/>
      <c r="G42" s="20"/>
      <c r="H42" s="20"/>
      <c r="I42" s="20"/>
      <c r="J42" s="17">
        <f>0.13*G41*7463.32/100</f>
        <v>128.50466482375373</v>
      </c>
      <c r="K42" s="20"/>
    </row>
    <row r="43" spans="1:11" x14ac:dyDescent="0.3">
      <c r="A43" s="18"/>
      <c r="B43" s="19" t="s">
        <v>47</v>
      </c>
      <c r="C43" s="20"/>
      <c r="D43" s="20"/>
      <c r="E43" s="20"/>
      <c r="F43" s="20"/>
      <c r="G43" s="20"/>
      <c r="H43" s="20"/>
      <c r="I43" s="20"/>
      <c r="J43" s="17">
        <f>0.13*G41*7296/100</f>
        <v>125.62372168875341</v>
      </c>
      <c r="K43" s="20"/>
    </row>
    <row r="44" spans="1:11" x14ac:dyDescent="0.3">
      <c r="A44" s="18"/>
      <c r="B44" s="20"/>
      <c r="C44" s="20"/>
      <c r="D44" s="20"/>
      <c r="E44" s="20"/>
      <c r="F44" s="20"/>
      <c r="G44" s="20"/>
      <c r="H44" s="20"/>
      <c r="I44" s="20"/>
      <c r="J44" s="20"/>
      <c r="K44" s="20"/>
    </row>
    <row r="45" spans="1:11" x14ac:dyDescent="0.3">
      <c r="A45" s="18">
        <v>6</v>
      </c>
      <c r="B45" s="26" t="s">
        <v>58</v>
      </c>
      <c r="C45" s="20"/>
      <c r="D45" s="20"/>
      <c r="E45" s="20"/>
      <c r="F45" s="20"/>
      <c r="G45" s="20"/>
      <c r="H45" s="20"/>
      <c r="I45" s="20"/>
      <c r="J45" s="20"/>
      <c r="K45" s="20"/>
    </row>
    <row r="46" spans="1:11" x14ac:dyDescent="0.3">
      <c r="A46" s="18"/>
      <c r="B46" s="19" t="str">
        <f t="shared" ref="B46:D48" si="0">B37</f>
        <v>-for wing walls of stand tap</v>
      </c>
      <c r="C46" s="20">
        <f t="shared" si="0"/>
        <v>12</v>
      </c>
      <c r="D46" s="21">
        <f t="shared" si="0"/>
        <v>1.2163181956720512</v>
      </c>
      <c r="E46" s="21"/>
      <c r="F46" s="21">
        <f>F37</f>
        <v>0.6</v>
      </c>
      <c r="G46" s="21">
        <f>PRODUCT(C46:F46)</f>
        <v>8.7574910088387679</v>
      </c>
      <c r="H46" s="20"/>
      <c r="I46" s="20"/>
      <c r="J46" s="20"/>
      <c r="K46" s="20"/>
    </row>
    <row r="47" spans="1:11" x14ac:dyDescent="0.3">
      <c r="A47" s="18"/>
      <c r="B47" s="19" t="str">
        <f t="shared" si="0"/>
        <v>-for side wall of stand tap</v>
      </c>
      <c r="C47" s="20">
        <f t="shared" si="0"/>
        <v>3</v>
      </c>
      <c r="D47" s="21">
        <f t="shared" si="0"/>
        <v>1.3197195976836331</v>
      </c>
      <c r="E47" s="21"/>
      <c r="F47" s="21">
        <f t="shared" ref="F47:F49" si="1">F38</f>
        <v>0.6</v>
      </c>
      <c r="G47" s="21">
        <f>PRODUCT(C47:F47)</f>
        <v>2.3754952758305392</v>
      </c>
      <c r="H47" s="20"/>
      <c r="I47" s="20"/>
      <c r="J47" s="20"/>
      <c r="K47" s="20"/>
    </row>
    <row r="48" spans="1:11" x14ac:dyDescent="0.3">
      <c r="A48" s="18"/>
      <c r="B48" s="19" t="str">
        <f t="shared" si="0"/>
        <v>-for stand tap</v>
      </c>
      <c r="C48" s="20">
        <f t="shared" si="0"/>
        <v>3</v>
      </c>
      <c r="D48" s="21">
        <f t="shared" si="0"/>
        <v>0.35659859798841814</v>
      </c>
      <c r="E48" s="21"/>
      <c r="F48" s="21">
        <f t="shared" si="1"/>
        <v>1.2</v>
      </c>
      <c r="G48" s="21">
        <f>PRODUCT(C48:F48)</f>
        <v>1.2837549527583054</v>
      </c>
      <c r="H48" s="20"/>
      <c r="I48" s="20"/>
      <c r="J48" s="20"/>
      <c r="K48" s="20"/>
    </row>
    <row r="49" spans="1:25" x14ac:dyDescent="0.3">
      <c r="A49" s="18"/>
      <c r="B49" s="19"/>
      <c r="C49" s="20">
        <f>C40</f>
        <v>3</v>
      </c>
      <c r="D49" s="21">
        <f>D40</f>
        <v>0.46</v>
      </c>
      <c r="E49" s="21"/>
      <c r="F49" s="21">
        <f t="shared" si="1"/>
        <v>0.6</v>
      </c>
      <c r="G49" s="21">
        <f>PRODUCT(C49:F49)</f>
        <v>0.82800000000000007</v>
      </c>
      <c r="H49" s="20"/>
      <c r="I49" s="20"/>
      <c r="J49" s="20"/>
      <c r="K49" s="20"/>
    </row>
    <row r="50" spans="1:25" x14ac:dyDescent="0.3">
      <c r="A50" s="18"/>
      <c r="B50" s="19" t="s">
        <v>59</v>
      </c>
      <c r="C50" s="20">
        <f>C15</f>
        <v>3</v>
      </c>
      <c r="D50" s="21">
        <f>M20</f>
        <v>1.6763181956720512</v>
      </c>
      <c r="E50" s="21">
        <f>N20</f>
        <v>1.6763181956720512</v>
      </c>
      <c r="F50" s="21"/>
      <c r="G50" s="21">
        <f>PRODUCT(C50:F50)</f>
        <v>8.4301280794236035</v>
      </c>
      <c r="H50" s="20"/>
      <c r="I50" s="20"/>
      <c r="J50" s="20"/>
      <c r="K50" s="20"/>
    </row>
    <row r="51" spans="1:25" ht="15" customHeight="1" x14ac:dyDescent="0.3">
      <c r="A51" s="12"/>
      <c r="B51" s="13" t="s">
        <v>16</v>
      </c>
      <c r="C51" s="14"/>
      <c r="D51" s="1"/>
      <c r="E51" s="15"/>
      <c r="F51" s="15"/>
      <c r="G51" s="2">
        <f>SUM(G46:G50)</f>
        <v>21.674869316851215</v>
      </c>
      <c r="H51" s="16" t="s">
        <v>49</v>
      </c>
      <c r="I51" s="2">
        <f>28609.6/100</f>
        <v>286.096</v>
      </c>
      <c r="J51" s="17">
        <f>G51*I51</f>
        <v>6201.0934120738648</v>
      </c>
      <c r="K51" s="15"/>
    </row>
    <row r="52" spans="1:25" x14ac:dyDescent="0.3">
      <c r="A52" s="18"/>
      <c r="B52" s="19" t="s">
        <v>47</v>
      </c>
      <c r="C52" s="20"/>
      <c r="D52" s="20"/>
      <c r="E52" s="20"/>
      <c r="F52" s="20"/>
      <c r="G52" s="20"/>
      <c r="H52" s="20"/>
      <c r="I52" s="20"/>
      <c r="J52" s="17">
        <f>0.13*G51*6809.6/100</f>
        <v>191.87634713003908</v>
      </c>
      <c r="K52" s="20"/>
    </row>
    <row r="53" spans="1:25" x14ac:dyDescent="0.3">
      <c r="A53" s="18"/>
      <c r="B53" s="20"/>
      <c r="C53" s="20"/>
      <c r="D53" s="20"/>
      <c r="E53" s="20"/>
      <c r="F53" s="20"/>
      <c r="G53" s="20"/>
      <c r="H53" s="20"/>
      <c r="I53" s="20"/>
      <c r="J53" s="20"/>
      <c r="K53" s="20"/>
    </row>
    <row r="54" spans="1:25" ht="28.8" x14ac:dyDescent="0.3">
      <c r="A54" s="18">
        <v>7</v>
      </c>
      <c r="B54" s="41" t="s">
        <v>60</v>
      </c>
      <c r="C54" s="20"/>
      <c r="D54" s="20"/>
      <c r="E54" s="20"/>
      <c r="F54" s="20"/>
      <c r="G54" s="20"/>
      <c r="H54" s="20"/>
      <c r="I54" s="20"/>
      <c r="J54" s="20"/>
      <c r="K54" s="20"/>
      <c r="M54" s="10"/>
      <c r="N54" s="10"/>
      <c r="O54" s="10"/>
      <c r="P54" s="10"/>
      <c r="Q54" s="10"/>
      <c r="R54" s="10"/>
      <c r="S54" s="10"/>
      <c r="T54" s="10"/>
      <c r="U54" s="10"/>
      <c r="V54" s="10"/>
      <c r="W54" s="10"/>
      <c r="X54" s="10"/>
      <c r="Y54" s="10"/>
    </row>
    <row r="55" spans="1:25" x14ac:dyDescent="0.3">
      <c r="A55" s="18"/>
      <c r="B55" s="19" t="s">
        <v>36</v>
      </c>
      <c r="C55" s="20">
        <f>C15</f>
        <v>3</v>
      </c>
      <c r="D55" s="21">
        <f>Q20</f>
        <v>1.2</v>
      </c>
      <c r="E55" s="20"/>
      <c r="F55" s="20"/>
      <c r="G55" s="21">
        <f t="shared" ref="G55" si="2">PRODUCT(C55:F55)</f>
        <v>3.5999999999999996</v>
      </c>
      <c r="H55" s="20"/>
      <c r="I55" s="20"/>
      <c r="J55" s="17"/>
      <c r="K55" s="20"/>
    </row>
    <row r="56" spans="1:25" s="10" customFormat="1" x14ac:dyDescent="0.3">
      <c r="A56" s="12"/>
      <c r="B56" s="42" t="s">
        <v>28</v>
      </c>
      <c r="C56" s="14"/>
      <c r="D56" s="1"/>
      <c r="E56" s="15"/>
      <c r="F56" s="15"/>
      <c r="G56" s="43">
        <f>SUM(G55:G55)</f>
        <v>3.5999999999999996</v>
      </c>
      <c r="H56" s="16" t="s">
        <v>37</v>
      </c>
      <c r="I56" s="2">
        <v>248</v>
      </c>
      <c r="J56" s="43">
        <f>G56*I56</f>
        <v>892.8</v>
      </c>
      <c r="K56" s="15"/>
      <c r="M56" s="9"/>
      <c r="N56" s="9"/>
      <c r="O56" s="9"/>
      <c r="P56" s="9"/>
      <c r="Q56" s="9"/>
      <c r="R56" s="9"/>
      <c r="S56" s="9"/>
      <c r="T56" s="9"/>
      <c r="U56" s="9"/>
      <c r="V56" s="9"/>
      <c r="W56" s="9"/>
      <c r="X56" s="9"/>
      <c r="Y56" s="9"/>
    </row>
    <row r="57" spans="1:25" x14ac:dyDescent="0.3">
      <c r="A57" s="18"/>
      <c r="B57" s="19" t="s">
        <v>61</v>
      </c>
      <c r="C57" s="20"/>
      <c r="D57" s="20"/>
      <c r="E57" s="20"/>
      <c r="F57" s="20"/>
      <c r="G57" s="20"/>
      <c r="H57" s="20"/>
      <c r="I57" s="20"/>
      <c r="J57" s="17">
        <f>0.13*J56</f>
        <v>116.06399999999999</v>
      </c>
      <c r="K57" s="20"/>
      <c r="M57" s="10"/>
      <c r="N57" s="10"/>
      <c r="O57" s="10"/>
      <c r="P57" s="10"/>
      <c r="Q57" s="10"/>
      <c r="R57" s="10"/>
      <c r="S57" s="10"/>
      <c r="T57" s="10"/>
      <c r="U57" s="10"/>
      <c r="V57" s="10"/>
      <c r="W57" s="10"/>
      <c r="X57" s="10"/>
      <c r="Y57" s="10"/>
    </row>
    <row r="58" spans="1:25" x14ac:dyDescent="0.3">
      <c r="A58" s="18"/>
      <c r="B58" s="41"/>
      <c r="C58" s="20"/>
      <c r="D58" s="20"/>
      <c r="E58" s="20"/>
      <c r="F58" s="20"/>
      <c r="G58" s="20"/>
      <c r="H58" s="20"/>
      <c r="I58" s="20"/>
      <c r="J58" s="20"/>
      <c r="K58" s="20"/>
    </row>
    <row r="59" spans="1:25" ht="15.6" x14ac:dyDescent="0.3">
      <c r="A59" s="5" t="s">
        <v>43</v>
      </c>
      <c r="B59" s="6" t="s">
        <v>42</v>
      </c>
      <c r="C59" s="5"/>
      <c r="D59" s="7"/>
      <c r="E59" s="7"/>
      <c r="F59" s="7"/>
      <c r="G59" s="7"/>
      <c r="H59" s="5"/>
      <c r="I59" s="7"/>
      <c r="J59" s="7"/>
      <c r="K59" s="8"/>
    </row>
    <row r="60" spans="1:25" ht="150" x14ac:dyDescent="0.3">
      <c r="A60" s="18">
        <v>8</v>
      </c>
      <c r="B60" s="41" t="s">
        <v>72</v>
      </c>
      <c r="C60" s="20"/>
      <c r="D60" s="20"/>
      <c r="E60" s="20"/>
      <c r="F60" s="20"/>
      <c r="G60" s="20"/>
      <c r="H60" s="20"/>
      <c r="I60" s="20"/>
      <c r="J60" s="17"/>
      <c r="K60" s="20"/>
      <c r="M60" s="10"/>
      <c r="N60" s="10"/>
      <c r="O60" s="10"/>
      <c r="P60" s="10"/>
      <c r="Q60" s="10"/>
      <c r="R60" s="10"/>
      <c r="S60" s="10"/>
      <c r="T60" s="10"/>
      <c r="U60" s="10"/>
      <c r="V60" s="10"/>
      <c r="W60" s="10"/>
      <c r="X60" s="10"/>
      <c r="Y60" s="10"/>
    </row>
    <row r="61" spans="1:25" x14ac:dyDescent="0.3">
      <c r="A61" s="18"/>
      <c r="B61" s="19" t="s">
        <v>40</v>
      </c>
      <c r="C61" s="20">
        <v>1</v>
      </c>
      <c r="D61" s="21">
        <v>200</v>
      </c>
      <c r="E61" s="20">
        <v>0.15</v>
      </c>
      <c r="F61" s="20">
        <v>0.45</v>
      </c>
      <c r="G61" s="21">
        <f t="shared" ref="G61" si="3">PRODUCT(C61:F61)</f>
        <v>13.5</v>
      </c>
      <c r="H61" s="20"/>
      <c r="I61" s="20"/>
      <c r="J61" s="17"/>
      <c r="K61" s="20"/>
    </row>
    <row r="62" spans="1:25" x14ac:dyDescent="0.3">
      <c r="A62" s="18"/>
      <c r="B62" s="19" t="s">
        <v>74</v>
      </c>
      <c r="C62" s="20">
        <v>2</v>
      </c>
      <c r="D62" s="21">
        <v>150</v>
      </c>
      <c r="E62" s="20">
        <v>0.15</v>
      </c>
      <c r="F62" s="20">
        <v>0.45</v>
      </c>
      <c r="G62" s="21">
        <f>PRODUCT(C62:F62)</f>
        <v>20.25</v>
      </c>
      <c r="H62" s="20"/>
      <c r="I62" s="20"/>
      <c r="J62" s="17"/>
      <c r="K62" s="20"/>
    </row>
    <row r="63" spans="1:25" s="10" customFormat="1" x14ac:dyDescent="0.3">
      <c r="A63" s="12"/>
      <c r="B63" s="42" t="s">
        <v>28</v>
      </c>
      <c r="C63" s="14"/>
      <c r="D63" s="1"/>
      <c r="E63" s="15"/>
      <c r="F63" s="15"/>
      <c r="G63" s="43">
        <f>SUM(G61:G62)</f>
        <v>33.75</v>
      </c>
      <c r="H63" s="16" t="s">
        <v>29</v>
      </c>
      <c r="I63" s="2">
        <v>748.9</v>
      </c>
      <c r="J63" s="43">
        <f>G63*I63</f>
        <v>25275.375</v>
      </c>
      <c r="K63" s="15"/>
      <c r="M63" s="9"/>
      <c r="N63" s="9"/>
      <c r="O63" s="9"/>
      <c r="P63" s="9"/>
      <c r="Q63" s="9"/>
      <c r="R63" s="9"/>
      <c r="S63" s="9"/>
      <c r="T63" s="9"/>
      <c r="U63" s="9"/>
      <c r="V63" s="9"/>
      <c r="W63" s="9"/>
      <c r="X63" s="9"/>
      <c r="Y63" s="9"/>
    </row>
    <row r="64" spans="1:25" x14ac:dyDescent="0.3">
      <c r="A64" s="18"/>
      <c r="B64" s="19"/>
      <c r="C64" s="20"/>
      <c r="D64" s="20"/>
      <c r="E64" s="20"/>
      <c r="F64" s="20"/>
      <c r="G64" s="20"/>
      <c r="H64" s="20"/>
      <c r="I64" s="20"/>
      <c r="J64" s="17"/>
      <c r="K64" s="20"/>
    </row>
    <row r="65" spans="1:25" ht="28.8" x14ac:dyDescent="0.3">
      <c r="A65" s="18">
        <v>9</v>
      </c>
      <c r="B65" s="41" t="s">
        <v>75</v>
      </c>
      <c r="C65" s="20"/>
      <c r="D65" s="20"/>
      <c r="E65" s="20"/>
      <c r="F65" s="20"/>
      <c r="G65" s="20"/>
      <c r="H65" s="20"/>
      <c r="I65" s="20"/>
      <c r="J65" s="20"/>
      <c r="K65" s="20"/>
      <c r="M65" s="10"/>
      <c r="N65" s="10"/>
      <c r="O65" s="10"/>
      <c r="P65" s="10"/>
      <c r="Q65" s="10"/>
      <c r="R65" s="10"/>
      <c r="S65" s="10"/>
      <c r="T65" s="10"/>
      <c r="U65" s="10"/>
      <c r="V65" s="10"/>
      <c r="W65" s="10"/>
      <c r="X65" s="10"/>
      <c r="Y65" s="10"/>
    </row>
    <row r="66" spans="1:25" x14ac:dyDescent="0.3">
      <c r="A66" s="18"/>
      <c r="B66" s="19" t="s">
        <v>36</v>
      </c>
      <c r="C66" s="20">
        <f>C62</f>
        <v>2</v>
      </c>
      <c r="D66" s="21">
        <f>D62</f>
        <v>150</v>
      </c>
      <c r="E66" s="20"/>
      <c r="F66" s="20"/>
      <c r="G66" s="21">
        <f t="shared" ref="G66" si="4">PRODUCT(C66:F66)</f>
        <v>300</v>
      </c>
      <c r="H66" s="20"/>
      <c r="I66" s="20"/>
      <c r="J66" s="17"/>
      <c r="K66" s="20"/>
    </row>
    <row r="67" spans="1:25" s="10" customFormat="1" x14ac:dyDescent="0.3">
      <c r="A67" s="12"/>
      <c r="B67" s="42" t="s">
        <v>28</v>
      </c>
      <c r="C67" s="14"/>
      <c r="D67" s="1"/>
      <c r="E67" s="15"/>
      <c r="F67" s="15"/>
      <c r="G67" s="43">
        <f>SUM(G66:G66)</f>
        <v>300</v>
      </c>
      <c r="H67" s="16" t="s">
        <v>37</v>
      </c>
      <c r="I67" s="2">
        <f>4308.15/1000</f>
        <v>4.3081499999999995</v>
      </c>
      <c r="J67" s="43">
        <f>G67*I67</f>
        <v>1292.4449999999999</v>
      </c>
      <c r="K67" s="15"/>
      <c r="M67" s="9"/>
      <c r="N67" s="9"/>
      <c r="O67" s="9"/>
      <c r="P67" s="9"/>
      <c r="Q67" s="9"/>
      <c r="R67" s="9"/>
      <c r="S67" s="9"/>
      <c r="T67" s="9"/>
      <c r="U67" s="9"/>
      <c r="V67" s="9"/>
      <c r="W67" s="9"/>
      <c r="X67" s="9"/>
      <c r="Y67" s="9"/>
    </row>
    <row r="68" spans="1:25" x14ac:dyDescent="0.3">
      <c r="A68" s="18"/>
      <c r="B68" s="41"/>
      <c r="C68" s="20"/>
      <c r="D68" s="20"/>
      <c r="E68" s="20"/>
      <c r="F68" s="20"/>
      <c r="G68" s="20"/>
      <c r="H68" s="20"/>
      <c r="I68" s="20"/>
      <c r="J68" s="20"/>
      <c r="K68" s="20"/>
      <c r="M68" s="10"/>
      <c r="N68" s="10"/>
      <c r="O68" s="10"/>
      <c r="P68" s="10"/>
      <c r="Q68" s="10"/>
      <c r="R68" s="10"/>
      <c r="S68" s="10"/>
      <c r="T68" s="10"/>
      <c r="U68" s="10"/>
      <c r="V68" s="10"/>
      <c r="W68" s="10"/>
      <c r="X68" s="10"/>
      <c r="Y68" s="10"/>
    </row>
    <row r="69" spans="1:25" ht="28.8" x14ac:dyDescent="0.3">
      <c r="A69" s="18">
        <v>10</v>
      </c>
      <c r="B69" s="41" t="s">
        <v>70</v>
      </c>
      <c r="C69" s="20"/>
      <c r="D69" s="20"/>
      <c r="E69" s="20"/>
      <c r="F69" s="20"/>
      <c r="G69" s="20"/>
      <c r="H69" s="20"/>
      <c r="I69" s="20"/>
      <c r="J69" s="20"/>
      <c r="K69" s="20"/>
      <c r="M69" s="10"/>
      <c r="N69" s="10"/>
      <c r="O69" s="10"/>
      <c r="P69" s="10"/>
      <c r="Q69" s="10"/>
      <c r="R69" s="10"/>
      <c r="S69" s="10"/>
      <c r="T69" s="10"/>
      <c r="U69" s="10"/>
      <c r="V69" s="10"/>
      <c r="W69" s="10"/>
      <c r="X69" s="10"/>
      <c r="Y69" s="10"/>
    </row>
    <row r="70" spans="1:25" x14ac:dyDescent="0.3">
      <c r="A70" s="18"/>
      <c r="B70" s="19" t="s">
        <v>36</v>
      </c>
      <c r="C70" s="20">
        <v>1</v>
      </c>
      <c r="D70" s="21">
        <f>D61</f>
        <v>200</v>
      </c>
      <c r="E70" s="20"/>
      <c r="F70" s="20"/>
      <c r="G70" s="21">
        <f t="shared" ref="G70" si="5">PRODUCT(C70:F70)</f>
        <v>200</v>
      </c>
      <c r="H70" s="20"/>
      <c r="I70" s="20"/>
      <c r="J70" s="17"/>
      <c r="K70" s="20"/>
    </row>
    <row r="71" spans="1:25" s="10" customFormat="1" x14ac:dyDescent="0.3">
      <c r="A71" s="12"/>
      <c r="B71" s="42" t="s">
        <v>28</v>
      </c>
      <c r="C71" s="14"/>
      <c r="D71" s="1"/>
      <c r="E71" s="15"/>
      <c r="F71" s="15"/>
      <c r="G71" s="43">
        <f>SUM(G70:G70)</f>
        <v>200</v>
      </c>
      <c r="H71" s="16" t="s">
        <v>37</v>
      </c>
      <c r="I71" s="2">
        <f>5319.5/1000</f>
        <v>5.3194999999999997</v>
      </c>
      <c r="J71" s="43">
        <f>G71*I71</f>
        <v>1063.8999999999999</v>
      </c>
      <c r="K71" s="15"/>
      <c r="M71" s="9"/>
      <c r="N71" s="9"/>
      <c r="O71" s="9"/>
      <c r="P71" s="9"/>
      <c r="Q71" s="9"/>
      <c r="R71" s="9"/>
      <c r="S71" s="9"/>
      <c r="T71" s="9"/>
      <c r="U71" s="9"/>
      <c r="V71" s="9"/>
      <c r="W71" s="9"/>
      <c r="X71" s="9"/>
      <c r="Y71" s="9"/>
    </row>
    <row r="72" spans="1:25" x14ac:dyDescent="0.3">
      <c r="A72" s="18"/>
      <c r="B72" s="41"/>
      <c r="C72" s="20"/>
      <c r="D72" s="20"/>
      <c r="E72" s="20"/>
      <c r="F72" s="20"/>
      <c r="G72" s="20"/>
      <c r="H72" s="20"/>
      <c r="I72" s="20"/>
      <c r="J72" s="20"/>
      <c r="K72" s="20"/>
      <c r="M72" s="10"/>
      <c r="N72" s="10"/>
      <c r="O72" s="10"/>
      <c r="P72" s="10"/>
      <c r="Q72" s="10"/>
      <c r="R72" s="10"/>
      <c r="S72" s="10"/>
      <c r="T72" s="10"/>
      <c r="U72" s="10"/>
      <c r="V72" s="10"/>
      <c r="W72" s="10"/>
      <c r="X72" s="10"/>
      <c r="Y72" s="10"/>
    </row>
    <row r="73" spans="1:25" ht="43.2" x14ac:dyDescent="0.3">
      <c r="A73" s="18">
        <v>11</v>
      </c>
      <c r="B73" s="45" t="s">
        <v>30</v>
      </c>
      <c r="C73" s="20"/>
      <c r="D73" s="26" t="s">
        <v>27</v>
      </c>
      <c r="E73" s="26" t="s">
        <v>31</v>
      </c>
      <c r="F73" s="26" t="s">
        <v>32</v>
      </c>
      <c r="G73" s="20"/>
      <c r="H73" s="20"/>
      <c r="I73" s="20"/>
      <c r="J73" s="17"/>
      <c r="K73" s="20"/>
    </row>
    <row r="74" spans="1:25" s="10" customFormat="1" ht="28.8" x14ac:dyDescent="0.3">
      <c r="A74" s="18"/>
      <c r="B74" s="46" t="s">
        <v>73</v>
      </c>
      <c r="C74" s="27">
        <f>C66</f>
        <v>2</v>
      </c>
      <c r="D74" s="36">
        <f>D66</f>
        <v>150</v>
      </c>
      <c r="E74" s="27">
        <v>0.13500000000000001</v>
      </c>
      <c r="F74" s="27">
        <f>C74*D74*E74</f>
        <v>40.5</v>
      </c>
      <c r="G74" s="36">
        <f>F74</f>
        <v>40.5</v>
      </c>
      <c r="H74" s="27"/>
      <c r="I74" s="27"/>
      <c r="J74" s="16"/>
      <c r="K74" s="27"/>
      <c r="M74" s="9"/>
      <c r="N74" s="9"/>
      <c r="O74" s="9"/>
      <c r="P74" s="9"/>
      <c r="Q74" s="9"/>
      <c r="R74" s="9"/>
      <c r="S74" s="9"/>
      <c r="T74" s="9"/>
      <c r="U74" s="9"/>
      <c r="V74" s="9"/>
      <c r="W74" s="9"/>
      <c r="X74" s="9"/>
      <c r="Y74" s="9"/>
    </row>
    <row r="75" spans="1:25" s="10" customFormat="1" ht="28.8" x14ac:dyDescent="0.3">
      <c r="A75" s="18"/>
      <c r="B75" s="46" t="s">
        <v>69</v>
      </c>
      <c r="C75" s="27">
        <f>C70</f>
        <v>1</v>
      </c>
      <c r="D75" s="36">
        <f>D70</f>
        <v>200</v>
      </c>
      <c r="E75" s="27">
        <v>0.33800000000000002</v>
      </c>
      <c r="F75" s="27">
        <f>C75*D75*E75</f>
        <v>67.600000000000009</v>
      </c>
      <c r="G75" s="36">
        <f>F75</f>
        <v>67.600000000000009</v>
      </c>
      <c r="H75" s="27"/>
      <c r="I75" s="27"/>
      <c r="J75" s="16"/>
      <c r="K75" s="27"/>
      <c r="M75" s="9"/>
      <c r="N75" s="9"/>
      <c r="O75" s="9"/>
      <c r="P75" s="9"/>
      <c r="Q75" s="9"/>
      <c r="R75" s="9"/>
      <c r="S75" s="9"/>
      <c r="T75" s="9"/>
      <c r="U75" s="9"/>
      <c r="V75" s="9"/>
      <c r="W75" s="9"/>
      <c r="X75" s="9"/>
      <c r="Y75" s="9"/>
    </row>
    <row r="76" spans="1:25" ht="15" customHeight="1" x14ac:dyDescent="0.3">
      <c r="A76" s="12"/>
      <c r="B76" s="13" t="s">
        <v>16</v>
      </c>
      <c r="C76" s="14"/>
      <c r="D76" s="1"/>
      <c r="E76" s="15"/>
      <c r="F76" s="15"/>
      <c r="G76" s="2">
        <f>SUM(G74:G75)</f>
        <v>108.10000000000001</v>
      </c>
      <c r="H76" s="16" t="s">
        <v>33</v>
      </c>
      <c r="I76" s="2">
        <v>287</v>
      </c>
      <c r="J76" s="17">
        <f>G76*I76</f>
        <v>31024.7</v>
      </c>
      <c r="K76" s="15"/>
    </row>
    <row r="77" spans="1:25" x14ac:dyDescent="0.3">
      <c r="A77" s="18"/>
      <c r="B77" s="19" t="s">
        <v>35</v>
      </c>
      <c r="C77" s="20"/>
      <c r="D77" s="20"/>
      <c r="E77" s="20"/>
      <c r="F77" s="20"/>
      <c r="G77" s="20"/>
      <c r="H77" s="20"/>
      <c r="I77" s="20"/>
      <c r="J77" s="17">
        <f>0.13*J76</f>
        <v>4033.2110000000002</v>
      </c>
      <c r="K77" s="20"/>
    </row>
    <row r="78" spans="1:25" x14ac:dyDescent="0.3">
      <c r="A78" s="18"/>
      <c r="B78" s="20"/>
      <c r="C78" s="20"/>
      <c r="D78" s="20"/>
      <c r="E78" s="20"/>
      <c r="F78" s="20"/>
      <c r="G78" s="20"/>
      <c r="H78" s="20"/>
      <c r="I78" s="20"/>
      <c r="J78" s="20"/>
      <c r="K78" s="20"/>
    </row>
    <row r="79" spans="1:25" x14ac:dyDescent="0.3">
      <c r="A79" s="18">
        <v>12</v>
      </c>
      <c r="B79" s="41" t="s">
        <v>76</v>
      </c>
      <c r="C79" s="20"/>
      <c r="D79" s="20"/>
      <c r="E79" s="20"/>
      <c r="F79" s="20"/>
      <c r="G79" s="20"/>
      <c r="H79" s="20"/>
      <c r="I79" s="20"/>
      <c r="J79" s="20"/>
      <c r="K79" s="20"/>
      <c r="M79" s="10"/>
      <c r="N79" s="10"/>
      <c r="O79" s="10"/>
      <c r="P79" s="10"/>
      <c r="Q79" s="10"/>
      <c r="R79" s="10"/>
      <c r="S79" s="10"/>
      <c r="T79" s="10"/>
      <c r="U79" s="10"/>
      <c r="V79" s="10"/>
      <c r="W79" s="10"/>
      <c r="X79" s="10"/>
      <c r="Y79" s="10"/>
    </row>
    <row r="80" spans="1:25" x14ac:dyDescent="0.3">
      <c r="A80" s="18"/>
      <c r="B80" s="19" t="s">
        <v>77</v>
      </c>
      <c r="C80" s="20">
        <v>2</v>
      </c>
      <c r="D80" s="21">
        <v>5000</v>
      </c>
      <c r="E80" s="20"/>
      <c r="F80" s="20"/>
      <c r="G80" s="21">
        <f t="shared" ref="G80" si="6">PRODUCT(C80:F80)</f>
        <v>10000</v>
      </c>
      <c r="H80" s="20"/>
      <c r="I80" s="20"/>
      <c r="J80" s="17"/>
      <c r="K80" s="20"/>
    </row>
    <row r="81" spans="1:25" s="10" customFormat="1" x14ac:dyDescent="0.3">
      <c r="A81" s="12"/>
      <c r="B81" s="42" t="s">
        <v>28</v>
      </c>
      <c r="C81" s="14"/>
      <c r="D81" s="1"/>
      <c r="E81" s="15"/>
      <c r="F81" s="15"/>
      <c r="G81" s="43">
        <f>SUM(G80:G80)</f>
        <v>10000</v>
      </c>
      <c r="H81" s="16" t="s">
        <v>78</v>
      </c>
      <c r="I81" s="2">
        <v>10</v>
      </c>
      <c r="J81" s="43">
        <f>G81*I81</f>
        <v>100000</v>
      </c>
      <c r="K81" s="15"/>
      <c r="M81" s="9"/>
      <c r="N81" s="9"/>
      <c r="O81" s="9"/>
      <c r="P81" s="9"/>
      <c r="Q81" s="9"/>
      <c r="R81" s="9"/>
      <c r="S81" s="9"/>
      <c r="T81" s="9"/>
      <c r="U81" s="9"/>
      <c r="V81" s="9"/>
      <c r="W81" s="9"/>
      <c r="X81" s="9"/>
      <c r="Y81" s="9"/>
    </row>
    <row r="82" spans="1:25" x14ac:dyDescent="0.3">
      <c r="A82" s="18"/>
      <c r="B82" s="19" t="s">
        <v>61</v>
      </c>
      <c r="C82" s="20"/>
      <c r="D82" s="20"/>
      <c r="E82" s="20"/>
      <c r="F82" s="20"/>
      <c r="G82" s="20"/>
      <c r="H82" s="20"/>
      <c r="I82" s="20"/>
      <c r="J82" s="17">
        <f>0.13*J81</f>
        <v>13000</v>
      </c>
      <c r="K82" s="20"/>
      <c r="M82" s="10"/>
      <c r="N82" s="10"/>
      <c r="O82" s="10"/>
      <c r="P82" s="10"/>
      <c r="Q82" s="10"/>
      <c r="R82" s="10"/>
      <c r="S82" s="10"/>
      <c r="T82" s="10"/>
      <c r="U82" s="10"/>
      <c r="V82" s="10"/>
      <c r="W82" s="10"/>
      <c r="X82" s="10"/>
      <c r="Y82" s="10"/>
    </row>
    <row r="83" spans="1:25" x14ac:dyDescent="0.3">
      <c r="A83" s="18"/>
      <c r="B83" s="41"/>
      <c r="C83" s="20"/>
      <c r="D83" s="20"/>
      <c r="E83" s="20"/>
      <c r="F83" s="20"/>
      <c r="G83" s="20"/>
      <c r="H83" s="20"/>
      <c r="I83" s="20"/>
      <c r="J83" s="20"/>
      <c r="K83" s="20"/>
    </row>
    <row r="84" spans="1:25" x14ac:dyDescent="0.3">
      <c r="A84" s="18">
        <v>13</v>
      </c>
      <c r="B84" s="41" t="s">
        <v>79</v>
      </c>
      <c r="C84" s="20"/>
      <c r="D84" s="20"/>
      <c r="E84" s="20"/>
      <c r="F84" s="20"/>
      <c r="G84" s="20"/>
      <c r="H84" s="20"/>
      <c r="I84" s="20"/>
      <c r="J84" s="20"/>
      <c r="K84" s="20"/>
      <c r="M84" s="10"/>
      <c r="N84" s="10"/>
      <c r="O84" s="10"/>
      <c r="P84" s="10"/>
      <c r="Q84" s="10"/>
      <c r="R84" s="10"/>
      <c r="S84" s="10"/>
      <c r="T84" s="10"/>
      <c r="U84" s="10"/>
      <c r="V84" s="10"/>
      <c r="W84" s="10"/>
      <c r="X84" s="10"/>
      <c r="Y84" s="10"/>
    </row>
    <row r="85" spans="1:25" x14ac:dyDescent="0.3">
      <c r="A85" s="18"/>
      <c r="B85" s="19" t="s">
        <v>80</v>
      </c>
      <c r="C85" s="20">
        <v>1</v>
      </c>
      <c r="D85" s="21"/>
      <c r="E85" s="20"/>
      <c r="F85" s="20"/>
      <c r="G85" s="21">
        <f t="shared" ref="G85" si="7">PRODUCT(C85:F85)</f>
        <v>1</v>
      </c>
      <c r="H85" s="20"/>
      <c r="I85" s="20"/>
      <c r="J85" s="17"/>
      <c r="K85" s="20"/>
    </row>
    <row r="86" spans="1:25" s="10" customFormat="1" x14ac:dyDescent="0.3">
      <c r="A86" s="12"/>
      <c r="B86" s="42" t="s">
        <v>28</v>
      </c>
      <c r="C86" s="14"/>
      <c r="D86" s="1"/>
      <c r="E86" s="15"/>
      <c r="F86" s="15"/>
      <c r="G86" s="43">
        <f>SUM(G85:G85)</f>
        <v>1</v>
      </c>
      <c r="H86" s="16" t="s">
        <v>81</v>
      </c>
      <c r="I86" s="2">
        <v>30930</v>
      </c>
      <c r="J86" s="43">
        <f>G86*I86</f>
        <v>30930</v>
      </c>
      <c r="K86" s="15"/>
      <c r="M86" s="9"/>
      <c r="N86" s="9"/>
      <c r="O86" s="9"/>
      <c r="P86" s="9"/>
      <c r="Q86" s="9"/>
      <c r="R86" s="9"/>
      <c r="S86" s="9"/>
      <c r="T86" s="9"/>
      <c r="U86" s="9"/>
      <c r="V86" s="9"/>
      <c r="W86" s="9"/>
      <c r="X86" s="9"/>
      <c r="Y86" s="9"/>
    </row>
    <row r="87" spans="1:25" x14ac:dyDescent="0.3">
      <c r="A87" s="18"/>
      <c r="B87" s="19" t="s">
        <v>61</v>
      </c>
      <c r="C87" s="20"/>
      <c r="D87" s="20"/>
      <c r="E87" s="20"/>
      <c r="F87" s="20"/>
      <c r="G87" s="20"/>
      <c r="H87" s="20"/>
      <c r="I87" s="20"/>
      <c r="J87" s="17">
        <f>0.13*J86</f>
        <v>4020.9</v>
      </c>
      <c r="K87" s="20"/>
      <c r="M87" s="10"/>
      <c r="N87" s="10"/>
      <c r="O87" s="10"/>
      <c r="P87" s="10"/>
      <c r="Q87" s="10"/>
      <c r="R87" s="10"/>
      <c r="S87" s="10"/>
      <c r="T87" s="10"/>
      <c r="U87" s="10"/>
      <c r="V87" s="10"/>
      <c r="W87" s="10"/>
      <c r="X87" s="10"/>
      <c r="Y87" s="10"/>
    </row>
    <row r="88" spans="1:25" x14ac:dyDescent="0.3">
      <c r="A88" s="18"/>
      <c r="B88" s="41"/>
      <c r="C88" s="20"/>
      <c r="D88" s="20"/>
      <c r="E88" s="20"/>
      <c r="F88" s="20"/>
      <c r="G88" s="20"/>
      <c r="H88" s="20"/>
      <c r="I88" s="20"/>
      <c r="J88" s="20"/>
      <c r="K88" s="20"/>
    </row>
    <row r="89" spans="1:25" s="10" customFormat="1" ht="27.6" x14ac:dyDescent="0.3">
      <c r="A89" s="12">
        <v>14</v>
      </c>
      <c r="B89" s="44" t="s">
        <v>38</v>
      </c>
      <c r="C89" s="14">
        <v>1</v>
      </c>
      <c r="D89" s="1"/>
      <c r="E89" s="15"/>
      <c r="F89" s="15"/>
      <c r="G89" s="43">
        <f t="shared" ref="G89" si="8">PRODUCT(C89:F89)</f>
        <v>1</v>
      </c>
      <c r="H89" s="16" t="s">
        <v>39</v>
      </c>
      <c r="I89" s="2">
        <v>7000</v>
      </c>
      <c r="J89" s="43">
        <f>G89*I89</f>
        <v>7000</v>
      </c>
      <c r="K89" s="15"/>
      <c r="M89" s="9"/>
      <c r="N89" s="9"/>
      <c r="O89" s="9"/>
      <c r="P89" s="9"/>
      <c r="Q89" s="9"/>
      <c r="R89" s="9"/>
      <c r="S89" s="9"/>
      <c r="T89" s="9"/>
      <c r="U89" s="9"/>
      <c r="V89" s="9"/>
      <c r="W89" s="9"/>
      <c r="X89" s="9"/>
      <c r="Y89" s="9"/>
    </row>
    <row r="90" spans="1:25" x14ac:dyDescent="0.3">
      <c r="A90" s="18"/>
      <c r="B90" s="41"/>
      <c r="C90" s="20"/>
      <c r="D90" s="20"/>
      <c r="E90" s="20"/>
      <c r="F90" s="20"/>
      <c r="G90" s="20"/>
      <c r="H90" s="20"/>
      <c r="I90" s="20"/>
      <c r="J90" s="20"/>
      <c r="K90" s="20"/>
    </row>
    <row r="91" spans="1:25" ht="15" customHeight="1" x14ac:dyDescent="0.3">
      <c r="A91" s="12">
        <v>15</v>
      </c>
      <c r="B91" s="28" t="s">
        <v>17</v>
      </c>
      <c r="C91" s="14">
        <v>1</v>
      </c>
      <c r="D91" s="1"/>
      <c r="E91" s="15"/>
      <c r="F91" s="15"/>
      <c r="G91" s="16">
        <f t="shared" ref="G91" si="9">PRODUCT(C91:F91)</f>
        <v>1</v>
      </c>
      <c r="H91" s="16" t="s">
        <v>18</v>
      </c>
      <c r="I91" s="2">
        <v>500</v>
      </c>
      <c r="J91" s="16">
        <f>G91*I91</f>
        <v>500</v>
      </c>
      <c r="K91" s="15"/>
    </row>
    <row r="92" spans="1:25" x14ac:dyDescent="0.3">
      <c r="A92" s="12"/>
      <c r="B92" s="29"/>
      <c r="C92" s="14"/>
      <c r="D92" s="1"/>
      <c r="E92" s="15"/>
      <c r="F92" s="15"/>
      <c r="G92" s="2"/>
      <c r="H92" s="16"/>
      <c r="I92" s="2"/>
      <c r="J92" s="17"/>
      <c r="K92" s="15"/>
    </row>
    <row r="93" spans="1:25" x14ac:dyDescent="0.3">
      <c r="A93" s="30"/>
      <c r="B93" s="31" t="s">
        <v>20</v>
      </c>
      <c r="C93" s="32"/>
      <c r="D93" s="33"/>
      <c r="E93" s="33"/>
      <c r="F93" s="33"/>
      <c r="G93" s="17"/>
      <c r="H93" s="17"/>
      <c r="I93" s="17"/>
      <c r="J93" s="17">
        <f>SUM(J9:J91)</f>
        <v>280370.23069685401</v>
      </c>
      <c r="K93" s="34"/>
      <c r="M93" s="10"/>
      <c r="N93" s="10"/>
      <c r="O93" s="10"/>
      <c r="P93" s="10"/>
      <c r="Q93" s="10"/>
      <c r="R93" s="10"/>
      <c r="S93" s="10"/>
      <c r="T93" s="10"/>
      <c r="U93" s="10"/>
      <c r="V93" s="10"/>
      <c r="W93" s="10"/>
      <c r="X93" s="10"/>
      <c r="Y93" s="10"/>
    </row>
    <row r="95" spans="1:25" s="10" customFormat="1" x14ac:dyDescent="0.3">
      <c r="A95" s="35"/>
      <c r="B95" s="27" t="s">
        <v>19</v>
      </c>
      <c r="C95" s="47">
        <f>J93</f>
        <v>280370.23069685401</v>
      </c>
      <c r="D95" s="48"/>
      <c r="E95" s="36">
        <v>100</v>
      </c>
      <c r="F95" s="35"/>
      <c r="G95" s="37"/>
      <c r="H95" s="35"/>
      <c r="I95" s="38"/>
      <c r="J95" s="39"/>
      <c r="K95" s="40"/>
      <c r="M95" s="9"/>
      <c r="N95" s="9"/>
      <c r="O95" s="9"/>
      <c r="P95" s="9"/>
      <c r="Q95" s="9"/>
      <c r="R95" s="9"/>
      <c r="S95" s="9"/>
      <c r="T95" s="9"/>
      <c r="U95" s="9"/>
      <c r="V95" s="9"/>
      <c r="W95" s="9"/>
      <c r="X95" s="9"/>
      <c r="Y95" s="9"/>
    </row>
    <row r="96" spans="1:25" x14ac:dyDescent="0.3">
      <c r="B96" s="27" t="s">
        <v>21</v>
      </c>
      <c r="C96" s="49">
        <v>250000</v>
      </c>
      <c r="D96" s="50"/>
      <c r="E96" s="36"/>
    </row>
    <row r="97" spans="2:5" x14ac:dyDescent="0.3">
      <c r="B97" s="27" t="s">
        <v>22</v>
      </c>
      <c r="C97" s="49">
        <f>C96-C99-C100</f>
        <v>237500</v>
      </c>
      <c r="D97" s="50"/>
      <c r="E97" s="36">
        <f>C97/C95*100</f>
        <v>84.709421328255502</v>
      </c>
    </row>
    <row r="98" spans="2:5" x14ac:dyDescent="0.3">
      <c r="B98" s="27" t="s">
        <v>26</v>
      </c>
      <c r="C98" s="51">
        <f>C95-C97</f>
        <v>42870.230696854007</v>
      </c>
      <c r="D98" s="51"/>
      <c r="E98" s="36">
        <f>100-E97</f>
        <v>15.290578671744498</v>
      </c>
    </row>
    <row r="99" spans="2:5" x14ac:dyDescent="0.3">
      <c r="B99" s="27" t="s">
        <v>23</v>
      </c>
      <c r="C99" s="47">
        <f>C96*0.03</f>
        <v>7500</v>
      </c>
      <c r="D99" s="48"/>
      <c r="E99" s="36">
        <v>3</v>
      </c>
    </row>
    <row r="100" spans="2:5" x14ac:dyDescent="0.3">
      <c r="B100" s="27" t="s">
        <v>24</v>
      </c>
      <c r="C100" s="47">
        <f>C96*0.02</f>
        <v>5000</v>
      </c>
      <c r="D100" s="48"/>
      <c r="E100" s="36">
        <v>2</v>
      </c>
    </row>
  </sheetData>
  <mergeCells count="15">
    <mergeCell ref="A7:F7"/>
    <mergeCell ref="H7:K7"/>
    <mergeCell ref="A1:K1"/>
    <mergeCell ref="A2:K2"/>
    <mergeCell ref="A3:K3"/>
    <mergeCell ref="A4:K4"/>
    <mergeCell ref="A5:K5"/>
    <mergeCell ref="A6:F6"/>
    <mergeCell ref="H6:K6"/>
    <mergeCell ref="C100:D100"/>
    <mergeCell ref="C95:D95"/>
    <mergeCell ref="C96:D96"/>
    <mergeCell ref="C97:D97"/>
    <mergeCell ref="C98:D98"/>
    <mergeCell ref="C99:D99"/>
  </mergeCells>
  <pageMargins left="0.7" right="0.7" top="0.75" bottom="0.75" header="0.3" footer="0.3"/>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water tank</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2026-01-10T12:34:38Z</dcterms:modified>
</cp:coreProperties>
</file>