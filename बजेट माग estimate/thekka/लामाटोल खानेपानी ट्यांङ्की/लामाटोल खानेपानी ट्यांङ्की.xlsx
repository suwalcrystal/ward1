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92141AC5-9464-4257-9D99-6C811BB45E6C}" xr6:coauthVersionLast="47" xr6:coauthVersionMax="47" xr10:uidLastSave="{00000000-0000-0000-0000-000000000000}"/>
  <bookViews>
    <workbookView xWindow="-120" yWindow="-120" windowWidth="20730" windowHeight="11040" xr2:uid="{00000000-000D-0000-FFFF-FFFF00000000}"/>
  </bookViews>
  <sheets>
    <sheet name="water tank" sheetId="13" r:id="rId1"/>
    <sheet name="Sheet1" sheetId="14"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3" l="1"/>
  <c r="E21" i="13"/>
  <c r="E15" i="13" s="1"/>
  <c r="D21" i="13"/>
  <c r="D15" i="13" s="1"/>
  <c r="B21" i="13"/>
  <c r="B15" i="13" s="1"/>
  <c r="E74" i="13"/>
  <c r="C66" i="13"/>
  <c r="D66" i="13"/>
  <c r="C65" i="13"/>
  <c r="D65" i="13"/>
  <c r="E66" i="13"/>
  <c r="E47" i="13"/>
  <c r="B37" i="13"/>
  <c r="A10" i="14"/>
  <c r="B10" i="14"/>
  <c r="D68" i="13" s="1"/>
  <c r="C67" i="13" s="1"/>
  <c r="B36" i="13"/>
  <c r="F30" i="13"/>
  <c r="F36" i="13" s="1"/>
  <c r="F29" i="13"/>
  <c r="F37" i="13" s="1"/>
  <c r="E68" i="13"/>
  <c r="E67" i="13"/>
  <c r="E65" i="13"/>
  <c r="E63" i="13"/>
  <c r="E64" i="13"/>
  <c r="B56" i="13"/>
  <c r="B67" i="13" s="1"/>
  <c r="F55" i="13"/>
  <c r="F54" i="13"/>
  <c r="E55" i="13"/>
  <c r="E54" i="13"/>
  <c r="F46" i="13"/>
  <c r="F45" i="13"/>
  <c r="B20" i="13"/>
  <c r="C20" i="13"/>
  <c r="C14" i="13"/>
  <c r="B14" i="13"/>
  <c r="B53" i="13" s="1"/>
  <c r="B63" i="13" s="1"/>
  <c r="F10" i="13"/>
  <c r="G15" i="13" l="1"/>
  <c r="D22" i="13"/>
  <c r="G22" i="13" s="1"/>
  <c r="G21" i="13"/>
  <c r="F66" i="13"/>
  <c r="G66" i="13" s="1"/>
  <c r="F65" i="13"/>
  <c r="G65" i="13" s="1"/>
  <c r="C30" i="13"/>
  <c r="C29" i="13"/>
  <c r="C37" i="13" s="1"/>
  <c r="E38" i="13"/>
  <c r="E56" i="13"/>
  <c r="E20" i="13"/>
  <c r="D55" i="13"/>
  <c r="G55" i="13" s="1"/>
  <c r="C64" i="13"/>
  <c r="E53" i="13"/>
  <c r="D63" i="13"/>
  <c r="E10" i="13"/>
  <c r="E14" i="13"/>
  <c r="D29" i="13"/>
  <c r="D37" i="13" s="1"/>
  <c r="C63" i="13"/>
  <c r="D64" i="13"/>
  <c r="D56" i="13"/>
  <c r="D54" i="13"/>
  <c r="G54" i="13" s="1"/>
  <c r="D53" i="13"/>
  <c r="D47" i="13"/>
  <c r="G47" i="13" s="1"/>
  <c r="D46" i="13"/>
  <c r="G46" i="13" s="1"/>
  <c r="D45" i="13"/>
  <c r="G45" i="13" s="1"/>
  <c r="D20" i="13"/>
  <c r="D67" i="13"/>
  <c r="D10" i="13"/>
  <c r="D14" i="13"/>
  <c r="D38" i="13"/>
  <c r="D30" i="13"/>
  <c r="D36" i="13" s="1"/>
  <c r="I16" i="13"/>
  <c r="G74" i="13" l="1"/>
  <c r="G75" i="13" s="1"/>
  <c r="G37" i="13"/>
  <c r="F63" i="13"/>
  <c r="G63" i="13" s="1"/>
  <c r="G20" i="13"/>
  <c r="G23" i="13" s="1"/>
  <c r="G10" i="13"/>
  <c r="G56" i="13"/>
  <c r="G53" i="13"/>
  <c r="G14" i="13"/>
  <c r="G16" i="13" s="1"/>
  <c r="G29" i="13"/>
  <c r="F67" i="13"/>
  <c r="G67" i="13" s="1"/>
  <c r="C68" i="13"/>
  <c r="F68" i="13" s="1"/>
  <c r="G68" i="13" s="1"/>
  <c r="F64" i="13"/>
  <c r="G64" i="13" s="1"/>
  <c r="C36" i="13"/>
  <c r="G30" i="13"/>
  <c r="I48" i="13"/>
  <c r="I69" i="13"/>
  <c r="J76" i="13" l="1"/>
  <c r="J78" i="13"/>
  <c r="J75" i="13"/>
  <c r="J77" i="13"/>
  <c r="G69" i="13"/>
  <c r="G36" i="13"/>
  <c r="C38" i="13"/>
  <c r="G38" i="13" s="1"/>
  <c r="G48" i="13"/>
  <c r="G57" i="13"/>
  <c r="J69" i="13" l="1"/>
  <c r="J58" i="13"/>
  <c r="J50" i="13"/>
  <c r="J60" i="13" l="1"/>
  <c r="J59" i="13"/>
  <c r="J57" i="13"/>
  <c r="J48" i="13"/>
  <c r="J49" i="13"/>
  <c r="J71" i="13"/>
  <c r="J70" i="13"/>
  <c r="G39" i="13"/>
  <c r="G31" i="13"/>
  <c r="G11" i="13"/>
  <c r="J17" i="13" l="1"/>
  <c r="J16" i="13"/>
  <c r="C89" i="13" l="1"/>
  <c r="C88" i="13"/>
  <c r="G80" i="13"/>
  <c r="J80" i="13" s="1"/>
  <c r="G42" i="13"/>
  <c r="J42" i="13" s="1"/>
  <c r="I39" i="13"/>
  <c r="I31" i="13"/>
  <c r="C86" i="13" l="1"/>
  <c r="J11" i="13"/>
  <c r="J26" i="13" l="1"/>
  <c r="J23" i="13"/>
  <c r="J25" i="13"/>
  <c r="J24" i="13"/>
  <c r="J33" i="13" l="1"/>
  <c r="J32" i="13"/>
  <c r="J31" i="13"/>
  <c r="J82" i="13" s="1"/>
  <c r="J40" i="13"/>
  <c r="J39" i="13"/>
  <c r="C84" i="13" l="1"/>
  <c r="C87" i="13" s="1"/>
  <c r="E86" i="13" l="1"/>
  <c r="E87" i="13" s="1"/>
</calcChain>
</file>

<file path=xl/sharedStrings.xml><?xml version="1.0" encoding="utf-8"?>
<sst xmlns="http://schemas.openxmlformats.org/spreadsheetml/2006/main" count="95" uniqueCount="71">
  <si>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</si>
  <si>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</si>
  <si>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</si>
  <si>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</si>
  <si>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</si>
  <si>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</si>
  <si>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</si>
  <si>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</si>
  <si>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</si>
  <si>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</si>
  <si>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</si>
  <si>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</si>
  <si>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</si>
  <si>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</si>
  <si>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</si>
  <si>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</si>
  <si>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</si>
  <si>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</si>
  <si>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</si>
  <si>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</si>
  <si>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</si>
  <si>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</si>
  <si>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</si>
  <si>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</si>
  <si>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</si>
  <si>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</si>
  <si>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</si>
  <si>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</si>
  <si>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</si>
  <si>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</si>
  <si>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Provisional sum for other unforseen works</t>
  </si>
  <si>
    <t>PS</t>
  </si>
  <si>
    <t>-13% VAT for sand</t>
  </si>
  <si>
    <t>Plain cement concrete (1:2:4)</t>
  </si>
  <si>
    <t>-13% VAT for cement</t>
  </si>
  <si>
    <t>-13% VAT for aggregate</t>
  </si>
  <si>
    <t>sqm</t>
  </si>
  <si>
    <t>length</t>
  </si>
  <si>
    <t>20mm thick cement plaster (1:6)</t>
  </si>
  <si>
    <t>3 mm thick  cement punning</t>
  </si>
  <si>
    <t>-13% VAT for block stone</t>
  </si>
  <si>
    <t>Date:2082</t>
  </si>
  <si>
    <t>Unit Weight (Kg/m)</t>
  </si>
  <si>
    <t>Total Weight (Kg)</t>
  </si>
  <si>
    <t>-13% VAT for nails</t>
  </si>
  <si>
    <t>Earthwork in Excavation in ordinary soil</t>
  </si>
  <si>
    <t>Plain cement concrete (1:1.5:3)</t>
  </si>
  <si>
    <t>Mild steel reinforcement</t>
  </si>
  <si>
    <t>Kg</t>
  </si>
  <si>
    <t>-13% VAT for MS bars</t>
  </si>
  <si>
    <t>-13% VAT for Bind wire</t>
  </si>
  <si>
    <t>Form work for concrete work</t>
  </si>
  <si>
    <t>-13% VAT for local wood</t>
  </si>
  <si>
    <t>Intake size</t>
  </si>
  <si>
    <t>breadth</t>
  </si>
  <si>
    <t>height</t>
  </si>
  <si>
    <t>wall thickness</t>
  </si>
  <si>
    <t>Dry boulder packing work</t>
  </si>
  <si>
    <t>R.R. masonry in 1:6 cement mortar</t>
  </si>
  <si>
    <t>-for intake 2 cover</t>
  </si>
  <si>
    <t>-for shear wall outer face of intake 2</t>
  </si>
  <si>
    <t>-for shear wall inner face of intake 2</t>
  </si>
  <si>
    <t>- for floor area of intake 2</t>
  </si>
  <si>
    <t>-for intake</t>
  </si>
  <si>
    <t>-for outer face wall of intake</t>
  </si>
  <si>
    <t>-for inner face wall of intake</t>
  </si>
  <si>
    <t>-for shear wall shorter side of intake</t>
  </si>
  <si>
    <t>-for shear wall longer side of intake</t>
  </si>
  <si>
    <t>-for binding shear wall of intake</t>
  </si>
  <si>
    <r>
      <t>Project:-</t>
    </r>
    <r>
      <rPr>
        <sz val="12"/>
        <rFont val="Preeti"/>
      </rPr>
      <t xml:space="preserve"> </t>
    </r>
    <r>
      <rPr>
        <sz val="14"/>
        <rFont val="Preeti"/>
      </rPr>
      <t>nfdf6f]n vfg]kfgL 6\ofª\sL</t>
    </r>
  </si>
  <si>
    <t>-for masonary wall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</si>
</sst>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4" fillId="0" borderId="0" xfId="0" applyNumberFormat="1" applyFont="1"/>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applyAlignment="1">
      <alignment vertical="center"/>
    </xf>
    <xf numFmtId="0" fontId="9" fillId="0" borderId="2" xfId="0" applyFont="1" applyBorder="1" applyAlignment="1">
      <alignment vertical="center"/>
    </xf>
    <xf numFmtId="0" fontId="4" fillId="0" borderId="2" xfId="0" quotePrefix="1" applyFont="1" applyBorder="1" applyAlignment="1">
      <alignment wrapText="1"/>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0" xfId="0" applyFont="1" applyAlignment="1">
      <alignment wrapText="1"/>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4" fillId="0" borderId="2" xfId="0" applyFont="1" applyBorder="1" applyAlignment="1">
      <alignment wrapText="1"/>
    </xf>
    <xf numFmtId="0" fontId="2" fillId="0" borderId="2" xfId="0" quotePrefix="1" applyFont="1" applyBorder="1" applyAlignment="1">
      <alignment vertical="center" wrapText="1"/>
    </xf>
    <xf numFmtId="2" fontId="6" fillId="0" borderId="2" xfId="0" applyNumberFormat="1" applyFont="1" applyBorder="1" applyAlignment="1">
      <alignment vertical="center"/>
    </xf>
    <xf numFmtId="0" fontId="4" fillId="0" borderId="2" xfId="0" applyFont="1" applyBorder="1" applyAlignment="1">
      <alignment vertical="center"/>
    </xf>
    <xf numFmtId="0" fontId="4" fillId="0" borderId="2" xfId="0" applyFont="1" applyBorder="1" applyAlignment="1">
      <alignment vertical="center" wrapText="1"/>
    </xf>
    <xf numFmtId="2" fontId="4" fillId="0" borderId="2" xfId="0" applyNumberFormat="1"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89"/>
  <sheetViews>
    <sheetView tabSelected="1" topLeftCell="A67" workbookViewId="0">
      <selection activeCell="A81" sqref="A81"/>
    </sheetView>
  </sheetViews>
  <sheetFormatPr defaultColWidth="9.140625" defaultRowHeight="15" x14ac:dyDescent="0.25"/>
  <cols>
    <col min="1" max="1" width="4.7109375" style="4" customWidth="1"/>
    <col min="2" max="2" width="30.85546875" style="4" customWidth="1"/>
    <col min="3" max="3" width="4.42578125" style="4" bestFit="1" customWidth="1"/>
    <col min="4" max="4" width="8.42578125" style="4" customWidth="1"/>
    <col min="5" max="5" width="8.5703125" style="4" customWidth="1"/>
    <col min="6" max="6" width="7.28515625" style="4" customWidth="1"/>
    <col min="7" max="7" width="9.140625" style="4"/>
    <col min="8" max="8" width="5" style="4" bestFit="1" customWidth="1"/>
    <col min="9" max="9" width="9.5703125" style="4" customWidth="1"/>
    <col min="10" max="10" width="10.7109375" style="4" bestFit="1" customWidth="1"/>
    <col min="11" max="12" width="9.140625" style="4"/>
    <col min="27" max="16384" width="9.140625" style="4"/>
  </cols>
  <sheetData>
    <row r="1" spans="1:27" x14ac:dyDescent="0.25">
      <c r="A1" s="47" t="s">
        <v>0</v>
      </c>
      <c r="B1" s="47"/>
      <c r="C1" s="47"/>
      <c r="D1" s="47"/>
      <c r="E1" s="47"/>
      <c r="F1" s="47"/>
      <c r="G1" s="47"/>
      <c r="H1" s="47"/>
      <c r="I1" s="47"/>
      <c r="J1" s="47"/>
      <c r="K1" s="47"/>
    </row>
    <row r="2" spans="1:27" ht="22.5" x14ac:dyDescent="0.25">
      <c r="A2" s="48" t="s">
        <v>1</v>
      </c>
      <c r="B2" s="48"/>
      <c r="C2" s="48"/>
      <c r="D2" s="48"/>
      <c r="E2" s="48"/>
      <c r="F2" s="48"/>
      <c r="G2" s="48"/>
      <c r="H2" s="48"/>
      <c r="I2" s="48"/>
      <c r="J2" s="48"/>
      <c r="K2" s="48"/>
    </row>
    <row r="3" spans="1:27" x14ac:dyDescent="0.25">
      <c r="A3" s="49" t="s">
        <v>2</v>
      </c>
      <c r="B3" s="49"/>
      <c r="C3" s="49"/>
      <c r="D3" s="49"/>
      <c r="E3" s="49"/>
      <c r="F3" s="49"/>
      <c r="G3" s="49"/>
      <c r="H3" s="49"/>
      <c r="I3" s="49"/>
      <c r="J3" s="49"/>
      <c r="K3" s="49"/>
    </row>
    <row r="4" spans="1:27" x14ac:dyDescent="0.25">
      <c r="A4" s="49" t="s">
        <v>3</v>
      </c>
      <c r="B4" s="49"/>
      <c r="C4" s="49"/>
      <c r="D4" s="49"/>
      <c r="E4" s="49"/>
      <c r="F4" s="49"/>
      <c r="G4" s="49"/>
      <c r="H4" s="49"/>
      <c r="I4" s="49"/>
      <c r="J4" s="49"/>
      <c r="K4" s="49"/>
    </row>
    <row r="5" spans="1:27" ht="18.75" x14ac:dyDescent="0.3">
      <c r="A5" s="50" t="s">
        <v>4</v>
      </c>
      <c r="B5" s="50"/>
      <c r="C5" s="50"/>
      <c r="D5" s="50"/>
      <c r="E5" s="50"/>
      <c r="F5" s="50"/>
      <c r="G5" s="50"/>
      <c r="H5" s="50"/>
      <c r="I5" s="50"/>
      <c r="J5" s="50"/>
      <c r="K5" s="50"/>
    </row>
    <row r="6" spans="1:27" ht="18" x14ac:dyDescent="0.25">
      <c r="A6" s="51" t="s">
        <v>69</v>
      </c>
      <c r="B6" s="51"/>
      <c r="C6" s="51"/>
      <c r="D6" s="51"/>
      <c r="E6" s="51"/>
      <c r="F6" s="51"/>
      <c r="G6" s="5"/>
      <c r="H6" s="52" t="s">
        <v>25</v>
      </c>
      <c r="I6" s="52"/>
      <c r="J6" s="52"/>
      <c r="K6" s="52"/>
    </row>
    <row r="7" spans="1:27" ht="15.75" x14ac:dyDescent="0.25">
      <c r="A7" s="45" t="s">
        <v>29</v>
      </c>
      <c r="B7" s="45"/>
      <c r="C7" s="45"/>
      <c r="D7" s="45"/>
      <c r="E7" s="45"/>
      <c r="F7" s="45"/>
      <c r="G7" s="6"/>
      <c r="H7" s="46" t="s">
        <v>41</v>
      </c>
      <c r="I7" s="46"/>
      <c r="J7" s="46"/>
      <c r="K7" s="46"/>
    </row>
    <row r="8" spans="1:27" ht="15.75" x14ac:dyDescent="0.25">
      <c r="A8" s="7" t="s">
        <v>5</v>
      </c>
      <c r="B8" s="8" t="s">
        <v>6</v>
      </c>
      <c r="C8" s="7" t="s">
        <v>7</v>
      </c>
      <c r="D8" s="9" t="s">
        <v>8</v>
      </c>
      <c r="E8" s="9" t="s">
        <v>9</v>
      </c>
      <c r="F8" s="9" t="s">
        <v>10</v>
      </c>
      <c r="G8" s="9" t="s">
        <v>11</v>
      </c>
      <c r="H8" s="7" t="s">
        <v>12</v>
      </c>
      <c r="I8" s="9" t="s">
        <v>13</v>
      </c>
      <c r="J8" s="9" t="s">
        <v>14</v>
      </c>
      <c r="K8" s="10" t="s">
        <v>15</v>
      </c>
      <c r="AA8" s="11"/>
    </row>
    <row r="9" spans="1:27" s="11" customFormat="1" ht="30" x14ac:dyDescent="0.25">
      <c r="A9" s="12">
        <v>1</v>
      </c>
      <c r="B9" s="13" t="s">
        <v>45</v>
      </c>
      <c r="C9" s="12"/>
      <c r="D9" s="14"/>
      <c r="E9" s="14"/>
      <c r="F9" s="14"/>
      <c r="G9" s="14"/>
      <c r="H9" s="12"/>
      <c r="I9" s="14"/>
      <c r="J9" s="14"/>
      <c r="K9" s="15"/>
      <c r="AA9" s="4"/>
    </row>
    <row r="10" spans="1:27" x14ac:dyDescent="0.25">
      <c r="A10" s="17"/>
      <c r="B10" s="18" t="s">
        <v>63</v>
      </c>
      <c r="C10" s="19">
        <v>1</v>
      </c>
      <c r="D10" s="20">
        <f>Sheet1!A10</f>
        <v>1.4999999999999998</v>
      </c>
      <c r="E10" s="20">
        <f>Sheet1!B10</f>
        <v>1.7999999999999998</v>
      </c>
      <c r="F10" s="20">
        <f>0.15+0.075+Sheet1!C10</f>
        <v>1.4249999999999998</v>
      </c>
      <c r="G10" s="20">
        <f>PRODUCT(C10:F10)</f>
        <v>3.8474999999999984</v>
      </c>
      <c r="H10" s="19"/>
      <c r="I10" s="19"/>
      <c r="J10" s="19"/>
      <c r="K10" s="19"/>
    </row>
    <row r="11" spans="1:27" ht="15" customHeight="1" x14ac:dyDescent="0.25">
      <c r="A11" s="21"/>
      <c r="B11" s="22" t="s">
        <v>16</v>
      </c>
      <c r="C11" s="23"/>
      <c r="D11" s="1"/>
      <c r="E11" s="24"/>
      <c r="F11" s="24"/>
      <c r="G11" s="2">
        <f>SUM(G10:G10)</f>
        <v>3.8474999999999984</v>
      </c>
      <c r="H11" s="25" t="s">
        <v>28</v>
      </c>
      <c r="I11" s="2">
        <v>963.05</v>
      </c>
      <c r="J11" s="26">
        <f>G11*I11</f>
        <v>3705.3348749999982</v>
      </c>
      <c r="K11" s="24"/>
    </row>
    <row r="12" spans="1:27" ht="15.75" x14ac:dyDescent="0.25">
      <c r="A12" s="7"/>
      <c r="B12" s="8"/>
      <c r="C12" s="7"/>
      <c r="D12" s="9"/>
      <c r="E12" s="9"/>
      <c r="F12" s="9"/>
      <c r="G12" s="9"/>
      <c r="H12" s="7"/>
      <c r="I12" s="9"/>
      <c r="J12" s="9"/>
      <c r="K12" s="10"/>
    </row>
    <row r="13" spans="1:27" x14ac:dyDescent="0.25">
      <c r="A13" s="17">
        <v>2</v>
      </c>
      <c r="B13" s="19" t="s">
        <v>57</v>
      </c>
      <c r="C13" s="19"/>
      <c r="D13" s="19"/>
      <c r="E13" s="19"/>
      <c r="F13" s="19"/>
      <c r="G13" s="19"/>
      <c r="H13" s="19"/>
      <c r="I13" s="19"/>
      <c r="J13" s="19"/>
      <c r="K13" s="19"/>
    </row>
    <row r="14" spans="1:27" x14ac:dyDescent="0.25">
      <c r="A14" s="17"/>
      <c r="B14" s="18" t="str">
        <f>B10</f>
        <v>-for intake</v>
      </c>
      <c r="C14" s="19">
        <f>C10</f>
        <v>1</v>
      </c>
      <c r="D14" s="20">
        <f>Sheet1!A10</f>
        <v>1.4999999999999998</v>
      </c>
      <c r="E14" s="20">
        <f>Sheet1!B10</f>
        <v>1.7999999999999998</v>
      </c>
      <c r="F14" s="19">
        <v>0.15</v>
      </c>
      <c r="G14" s="20">
        <f>PRODUCT(C14:F14)</f>
        <v>0.40499999999999986</v>
      </c>
      <c r="H14" s="19"/>
      <c r="I14" s="19"/>
      <c r="J14" s="19"/>
      <c r="K14" s="19"/>
    </row>
    <row r="15" spans="1:27" x14ac:dyDescent="0.25">
      <c r="A15" s="17"/>
      <c r="B15" s="18" t="str">
        <f>B21</f>
        <v>-for masonary wall</v>
      </c>
      <c r="C15" s="19">
        <f>C21</f>
        <v>1</v>
      </c>
      <c r="D15" s="20">
        <f>D21</f>
        <v>8</v>
      </c>
      <c r="E15" s="20">
        <f>E21</f>
        <v>1.5</v>
      </c>
      <c r="F15" s="19">
        <v>0.15</v>
      </c>
      <c r="G15" s="20">
        <f>PRODUCT(C15:F15)</f>
        <v>1.7999999999999998</v>
      </c>
      <c r="H15" s="19"/>
      <c r="I15" s="19"/>
      <c r="J15" s="19"/>
      <c r="K15" s="19"/>
    </row>
    <row r="16" spans="1:27" ht="15" customHeight="1" x14ac:dyDescent="0.25">
      <c r="A16" s="21"/>
      <c r="B16" s="22" t="s">
        <v>16</v>
      </c>
      <c r="C16" s="23"/>
      <c r="D16" s="1"/>
      <c r="E16" s="24"/>
      <c r="F16" s="24"/>
      <c r="G16" s="2">
        <f>SUM(G14:G15)</f>
        <v>2.2049999999999996</v>
      </c>
      <c r="H16" s="25" t="s">
        <v>28</v>
      </c>
      <c r="I16" s="2">
        <f>4493.69</f>
        <v>4493.6899999999996</v>
      </c>
      <c r="J16" s="26">
        <f>G16*I16</f>
        <v>9908.5864499999971</v>
      </c>
      <c r="K16" s="24"/>
    </row>
    <row r="17" spans="1:11" x14ac:dyDescent="0.25">
      <c r="A17" s="17"/>
      <c r="B17" s="18" t="s">
        <v>40</v>
      </c>
      <c r="C17" s="19"/>
      <c r="D17" s="19"/>
      <c r="E17" s="19"/>
      <c r="F17" s="19"/>
      <c r="G17" s="19"/>
      <c r="H17" s="19"/>
      <c r="I17" s="19"/>
      <c r="J17" s="26">
        <f>0.13*G16*3091.19</f>
        <v>886.08961349999993</v>
      </c>
      <c r="K17" s="19"/>
    </row>
    <row r="18" spans="1:11" x14ac:dyDescent="0.25">
      <c r="A18" s="17"/>
      <c r="B18" s="19"/>
      <c r="C18" s="19"/>
      <c r="D18" s="19"/>
      <c r="E18" s="19"/>
      <c r="F18" s="19"/>
      <c r="G18" s="19"/>
      <c r="H18" s="19"/>
      <c r="I18" s="19"/>
      <c r="J18" s="19"/>
      <c r="K18" s="19"/>
    </row>
    <row r="19" spans="1:11" x14ac:dyDescent="0.25">
      <c r="A19" s="17">
        <v>3</v>
      </c>
      <c r="B19" s="19" t="s">
        <v>33</v>
      </c>
      <c r="C19" s="19"/>
      <c r="D19" s="19"/>
      <c r="E19" s="19"/>
      <c r="F19" s="19"/>
      <c r="G19" s="19"/>
      <c r="H19" s="19"/>
      <c r="I19" s="19"/>
      <c r="J19" s="19"/>
      <c r="K19" s="19"/>
    </row>
    <row r="20" spans="1:11" x14ac:dyDescent="0.25">
      <c r="A20" s="17"/>
      <c r="B20" s="18" t="str">
        <f>B10</f>
        <v>-for intake</v>
      </c>
      <c r="C20" s="19">
        <f>C10</f>
        <v>1</v>
      </c>
      <c r="D20" s="20">
        <f>Sheet1!A10</f>
        <v>1.4999999999999998</v>
      </c>
      <c r="E20" s="20">
        <f>Sheet1!B10</f>
        <v>1.7999999999999998</v>
      </c>
      <c r="F20" s="20">
        <v>0.05</v>
      </c>
      <c r="G20" s="20">
        <f>PRODUCT(C20:F20)</f>
        <v>0.13499999999999998</v>
      </c>
      <c r="H20" s="19"/>
      <c r="I20" s="19"/>
      <c r="J20" s="19"/>
      <c r="K20" s="19"/>
    </row>
    <row r="21" spans="1:11" x14ac:dyDescent="0.25">
      <c r="A21" s="17"/>
      <c r="B21" s="18" t="str">
        <f>B74</f>
        <v>-for masonary wall</v>
      </c>
      <c r="C21" s="19">
        <v>1</v>
      </c>
      <c r="D21" s="20">
        <f>D74</f>
        <v>8</v>
      </c>
      <c r="E21" s="20">
        <f>F74/2</f>
        <v>1.5</v>
      </c>
      <c r="F21" s="20">
        <v>0.05</v>
      </c>
      <c r="G21" s="20">
        <f t="shared" ref="G21:G22" si="0">PRODUCT(C21:F21)</f>
        <v>0.60000000000000009</v>
      </c>
      <c r="H21" s="19"/>
      <c r="I21" s="19"/>
      <c r="J21" s="19"/>
      <c r="K21" s="19"/>
    </row>
    <row r="22" spans="1:11" x14ac:dyDescent="0.25">
      <c r="A22" s="17"/>
      <c r="B22" s="18"/>
      <c r="C22" s="19">
        <v>1</v>
      </c>
      <c r="D22" s="20">
        <f>D21</f>
        <v>8</v>
      </c>
      <c r="E22" s="20">
        <v>0.45</v>
      </c>
      <c r="F22" s="20">
        <v>0.05</v>
      </c>
      <c r="G22" s="20">
        <f t="shared" si="0"/>
        <v>0.18000000000000002</v>
      </c>
      <c r="H22" s="19"/>
      <c r="I22" s="19"/>
      <c r="J22" s="19"/>
      <c r="K22" s="19"/>
    </row>
    <row r="23" spans="1:11" ht="15" customHeight="1" x14ac:dyDescent="0.25">
      <c r="A23" s="21"/>
      <c r="B23" s="22" t="s">
        <v>16</v>
      </c>
      <c r="C23" s="23"/>
      <c r="D23" s="1"/>
      <c r="E23" s="24"/>
      <c r="F23" s="24"/>
      <c r="G23" s="2">
        <f>SUM(G20:G22)</f>
        <v>0.91500000000000015</v>
      </c>
      <c r="H23" s="25" t="s">
        <v>28</v>
      </c>
      <c r="I23" s="2">
        <v>13343.7</v>
      </c>
      <c r="J23" s="26">
        <f>G23*I23</f>
        <v>12209.485500000003</v>
      </c>
      <c r="K23" s="24"/>
    </row>
    <row r="24" spans="1:11" x14ac:dyDescent="0.25">
      <c r="A24" s="17"/>
      <c r="B24" s="18" t="s">
        <v>32</v>
      </c>
      <c r="C24" s="19"/>
      <c r="D24" s="19"/>
      <c r="E24" s="19"/>
      <c r="F24" s="19"/>
      <c r="G24" s="19"/>
      <c r="H24" s="19"/>
      <c r="I24" s="19"/>
      <c r="J24" s="26">
        <f>0.13*G23*1413.27</f>
        <v>168.10846650000005</v>
      </c>
      <c r="K24" s="19"/>
    </row>
    <row r="25" spans="1:11" x14ac:dyDescent="0.25">
      <c r="A25" s="17"/>
      <c r="B25" s="18" t="s">
        <v>34</v>
      </c>
      <c r="C25" s="19"/>
      <c r="D25" s="19"/>
      <c r="E25" s="19"/>
      <c r="F25" s="19"/>
      <c r="G25" s="19"/>
      <c r="H25" s="19"/>
      <c r="I25" s="19"/>
      <c r="J25" s="26">
        <f>0.13*G23*4096</f>
        <v>487.21920000000011</v>
      </c>
      <c r="K25" s="19"/>
    </row>
    <row r="26" spans="1:11" x14ac:dyDescent="0.25">
      <c r="A26" s="17"/>
      <c r="B26" s="18" t="s">
        <v>35</v>
      </c>
      <c r="C26" s="19"/>
      <c r="D26" s="19"/>
      <c r="E26" s="19"/>
      <c r="F26" s="19"/>
      <c r="G26" s="19"/>
      <c r="H26" s="19"/>
      <c r="I26" s="19"/>
      <c r="J26" s="26">
        <f>0.13*G23*(368.76+737.51+1743.21)</f>
        <v>338.94564600000007</v>
      </c>
      <c r="K26" s="19"/>
    </row>
    <row r="27" spans="1:11" x14ac:dyDescent="0.25">
      <c r="A27" s="17"/>
      <c r="B27" s="19"/>
      <c r="C27" s="19"/>
      <c r="D27" s="19"/>
      <c r="E27" s="19"/>
      <c r="F27" s="19"/>
      <c r="G27" s="19"/>
      <c r="H27" s="19"/>
      <c r="I27" s="19"/>
      <c r="J27" s="19"/>
      <c r="K27" s="19"/>
    </row>
    <row r="28" spans="1:11" x14ac:dyDescent="0.25">
      <c r="A28" s="17">
        <v>4</v>
      </c>
      <c r="B28" s="27" t="s">
        <v>38</v>
      </c>
      <c r="C28" s="19"/>
      <c r="D28" s="19"/>
      <c r="E28" s="19"/>
      <c r="F28" s="19"/>
      <c r="G28" s="19"/>
      <c r="H28" s="19"/>
      <c r="I28" s="19"/>
      <c r="J28" s="19"/>
      <c r="K28" s="19"/>
    </row>
    <row r="29" spans="1:11" x14ac:dyDescent="0.25">
      <c r="A29" s="17"/>
      <c r="B29" s="18" t="s">
        <v>64</v>
      </c>
      <c r="C29" s="19">
        <f>C20</f>
        <v>1</v>
      </c>
      <c r="D29" s="20">
        <f>Sheet1!A10*2+Sheet1!B10*2</f>
        <v>6.6</v>
      </c>
      <c r="E29" s="20"/>
      <c r="F29" s="20">
        <f>Sheet1!C10</f>
        <v>1.2</v>
      </c>
      <c r="G29" s="20">
        <f>PRODUCT(C29:F29)</f>
        <v>7.919999999999999</v>
      </c>
      <c r="H29" s="19"/>
      <c r="I29" s="19"/>
      <c r="J29" s="19"/>
      <c r="K29" s="19"/>
    </row>
    <row r="30" spans="1:11" x14ac:dyDescent="0.25">
      <c r="A30" s="17"/>
      <c r="B30" s="18" t="s">
        <v>65</v>
      </c>
      <c r="C30" s="19">
        <f>C20</f>
        <v>1</v>
      </c>
      <c r="D30" s="20">
        <f>2*(Sheet1!A10-Sheet1!D10-Sheet1!D10)+2*(Sheet1!B10-Sheet1!D10-Sheet1!D10)</f>
        <v>5.4</v>
      </c>
      <c r="E30" s="20"/>
      <c r="F30" s="20">
        <f>Sheet1!C10</f>
        <v>1.2</v>
      </c>
      <c r="G30" s="20">
        <f>PRODUCT(C30:F30)</f>
        <v>6.48</v>
      </c>
      <c r="H30" s="19"/>
      <c r="I30" s="19"/>
      <c r="J30" s="19"/>
      <c r="K30" s="19"/>
    </row>
    <row r="31" spans="1:11" ht="15" customHeight="1" x14ac:dyDescent="0.25">
      <c r="A31" s="21"/>
      <c r="B31" s="22" t="s">
        <v>16</v>
      </c>
      <c r="C31" s="23"/>
      <c r="D31" s="1"/>
      <c r="E31" s="24"/>
      <c r="F31" s="24"/>
      <c r="G31" s="2">
        <f>SUM(G29:G30)</f>
        <v>14.399999999999999</v>
      </c>
      <c r="H31" s="25" t="s">
        <v>36</v>
      </c>
      <c r="I31" s="2">
        <f>49954.32/100</f>
        <v>499.54320000000001</v>
      </c>
      <c r="J31" s="26">
        <f>G31*I31</f>
        <v>7193.4220799999994</v>
      </c>
      <c r="K31" s="24"/>
    </row>
    <row r="32" spans="1:11" x14ac:dyDescent="0.25">
      <c r="A32" s="17"/>
      <c r="B32" s="18" t="s">
        <v>32</v>
      </c>
      <c r="C32" s="19"/>
      <c r="D32" s="19"/>
      <c r="E32" s="19"/>
      <c r="F32" s="19"/>
      <c r="G32" s="19"/>
      <c r="H32" s="19"/>
      <c r="I32" s="19"/>
      <c r="J32" s="26">
        <f>0.13*G31*7463.32/100</f>
        <v>139.71335039999997</v>
      </c>
      <c r="K32" s="19"/>
    </row>
    <row r="33" spans="1:27" x14ac:dyDescent="0.25">
      <c r="A33" s="17"/>
      <c r="B33" s="18" t="s">
        <v>34</v>
      </c>
      <c r="C33" s="19"/>
      <c r="D33" s="19"/>
      <c r="E33" s="19"/>
      <c r="F33" s="19"/>
      <c r="G33" s="19"/>
      <c r="H33" s="19"/>
      <c r="I33" s="19"/>
      <c r="J33" s="26">
        <f>0.13*G31*7296/100</f>
        <v>136.58112</v>
      </c>
      <c r="K33" s="19"/>
    </row>
    <row r="34" spans="1:27" x14ac:dyDescent="0.25">
      <c r="A34" s="17"/>
      <c r="B34" s="19"/>
      <c r="C34" s="19"/>
      <c r="D34" s="19"/>
      <c r="E34" s="19"/>
      <c r="F34" s="19"/>
      <c r="G34" s="19"/>
      <c r="H34" s="19"/>
      <c r="I34" s="19"/>
      <c r="J34" s="19"/>
      <c r="K34" s="19"/>
    </row>
    <row r="35" spans="1:27" x14ac:dyDescent="0.25">
      <c r="A35" s="17">
        <v>5</v>
      </c>
      <c r="B35" s="27" t="s">
        <v>39</v>
      </c>
      <c r="C35" s="19"/>
      <c r="D35" s="19"/>
      <c r="E35" s="19"/>
      <c r="F35" s="19"/>
      <c r="G35" s="19"/>
      <c r="H35" s="19"/>
      <c r="I35" s="19"/>
      <c r="J35" s="19"/>
      <c r="K35" s="19"/>
    </row>
    <row r="36" spans="1:27" x14ac:dyDescent="0.25">
      <c r="A36" s="17"/>
      <c r="B36" s="18" t="str">
        <f>B30</f>
        <v>-for inner face wall of intake</v>
      </c>
      <c r="C36" s="19">
        <f>C30</f>
        <v>1</v>
      </c>
      <c r="D36" s="20">
        <f>D30</f>
        <v>5.4</v>
      </c>
      <c r="E36" s="20"/>
      <c r="F36" s="20">
        <f>F30</f>
        <v>1.2</v>
      </c>
      <c r="G36" s="20">
        <f>PRODUCT(C36:F36)</f>
        <v>6.48</v>
      </c>
      <c r="H36" s="19"/>
      <c r="I36" s="19"/>
      <c r="J36" s="19"/>
      <c r="K36" s="19"/>
    </row>
    <row r="37" spans="1:27" x14ac:dyDescent="0.25">
      <c r="A37" s="17"/>
      <c r="B37" s="18" t="str">
        <f>B29</f>
        <v>-for outer face wall of intake</v>
      </c>
      <c r="C37" s="19">
        <f>C29</f>
        <v>1</v>
      </c>
      <c r="D37" s="20">
        <f>D29</f>
        <v>6.6</v>
      </c>
      <c r="E37" s="20"/>
      <c r="F37" s="20">
        <f>F29</f>
        <v>1.2</v>
      </c>
      <c r="G37" s="20">
        <f>PRODUCT(C37:F37)</f>
        <v>7.919999999999999</v>
      </c>
      <c r="H37" s="19"/>
      <c r="I37" s="19"/>
      <c r="J37" s="19"/>
      <c r="K37" s="19"/>
    </row>
    <row r="38" spans="1:27" x14ac:dyDescent="0.25">
      <c r="A38" s="17"/>
      <c r="B38" s="18" t="s">
        <v>62</v>
      </c>
      <c r="C38" s="19">
        <f>C36</f>
        <v>1</v>
      </c>
      <c r="D38" s="20">
        <f>Sheet1!A10-Sheet1!D10-Sheet1!D10</f>
        <v>1.2</v>
      </c>
      <c r="E38" s="20">
        <f>Sheet1!B10-Sheet1!D10-Sheet1!D10</f>
        <v>1.5</v>
      </c>
      <c r="F38" s="20"/>
      <c r="G38" s="20">
        <f>PRODUCT(C38:F38)</f>
        <v>1.7999999999999998</v>
      </c>
      <c r="H38" s="19"/>
      <c r="I38" s="19"/>
      <c r="J38" s="19"/>
      <c r="K38" s="19"/>
    </row>
    <row r="39" spans="1:27" ht="15" customHeight="1" x14ac:dyDescent="0.25">
      <c r="A39" s="21"/>
      <c r="B39" s="22" t="s">
        <v>16</v>
      </c>
      <c r="C39" s="23"/>
      <c r="D39" s="1"/>
      <c r="E39" s="24"/>
      <c r="F39" s="24"/>
      <c r="G39" s="2">
        <f>SUM(G36:G38)</f>
        <v>16.2</v>
      </c>
      <c r="H39" s="25" t="s">
        <v>36</v>
      </c>
      <c r="I39" s="2">
        <f>28609.6/100</f>
        <v>286.096</v>
      </c>
      <c r="J39" s="26">
        <f>G39*I39</f>
        <v>4634.7551999999996</v>
      </c>
      <c r="K39" s="24"/>
    </row>
    <row r="40" spans="1:27" x14ac:dyDescent="0.25">
      <c r="A40" s="17"/>
      <c r="B40" s="18" t="s">
        <v>34</v>
      </c>
      <c r="C40" s="19"/>
      <c r="D40" s="19"/>
      <c r="E40" s="19"/>
      <c r="F40" s="19"/>
      <c r="G40" s="19"/>
      <c r="H40" s="19"/>
      <c r="I40" s="19"/>
      <c r="J40" s="26">
        <f>0.13*G39*6809.6/100</f>
        <v>143.41017599999998</v>
      </c>
      <c r="K40" s="19"/>
    </row>
    <row r="41" spans="1:27" x14ac:dyDescent="0.25">
      <c r="A41" s="17"/>
      <c r="B41" s="19"/>
      <c r="C41" s="19"/>
      <c r="D41" s="19"/>
      <c r="E41" s="19"/>
      <c r="F41" s="19"/>
      <c r="G41" s="19"/>
      <c r="H41" s="19"/>
      <c r="I41" s="19"/>
      <c r="J41" s="19"/>
      <c r="K41" s="19"/>
    </row>
    <row r="42" spans="1:27" s="11" customFormat="1" ht="30" x14ac:dyDescent="0.25">
      <c r="A42" s="21">
        <v>6</v>
      </c>
      <c r="B42" s="28" t="s">
        <v>30</v>
      </c>
      <c r="C42" s="23">
        <v>1</v>
      </c>
      <c r="D42" s="1"/>
      <c r="E42" s="24"/>
      <c r="F42" s="24"/>
      <c r="G42" s="29">
        <f>PRODUCT(C42:F42)</f>
        <v>1</v>
      </c>
      <c r="H42" s="25" t="s">
        <v>31</v>
      </c>
      <c r="I42" s="2">
        <v>3000</v>
      </c>
      <c r="J42" s="29">
        <f>G42*I42</f>
        <v>3000</v>
      </c>
      <c r="K42" s="24"/>
      <c r="AA42" s="4"/>
    </row>
    <row r="43" spans="1:27" x14ac:dyDescent="0.25">
      <c r="A43" s="17"/>
      <c r="B43" s="13"/>
      <c r="C43" s="19"/>
      <c r="D43" s="19"/>
      <c r="E43" s="19"/>
      <c r="F43" s="19"/>
      <c r="G43" s="19"/>
      <c r="H43" s="19"/>
      <c r="I43" s="19"/>
      <c r="J43" s="19"/>
      <c r="K43" s="19"/>
    </row>
    <row r="44" spans="1:27" x14ac:dyDescent="0.25">
      <c r="A44" s="17">
        <v>7</v>
      </c>
      <c r="B44" s="19" t="s">
        <v>51</v>
      </c>
      <c r="C44" s="19"/>
      <c r="D44" s="19"/>
      <c r="E44" s="19"/>
      <c r="F44" s="19"/>
      <c r="G44" s="19"/>
      <c r="H44" s="19"/>
      <c r="I44" s="19"/>
      <c r="J44" s="19"/>
      <c r="K44" s="19"/>
    </row>
    <row r="45" spans="1:27" x14ac:dyDescent="0.25">
      <c r="A45" s="17"/>
      <c r="B45" s="18" t="s">
        <v>60</v>
      </c>
      <c r="C45" s="19">
        <v>1</v>
      </c>
      <c r="D45" s="20">
        <f>Sheet1!A10*2+Sheet1!B10*2</f>
        <v>6.6</v>
      </c>
      <c r="E45" s="20"/>
      <c r="F45" s="20">
        <f>Sheet1!C10</f>
        <v>1.2</v>
      </c>
      <c r="G45" s="20">
        <f t="shared" ref="G45:G47" si="1">PRODUCT(C45:F45)</f>
        <v>7.919999999999999</v>
      </c>
      <c r="H45" s="19"/>
      <c r="I45" s="19"/>
      <c r="J45" s="19"/>
      <c r="K45" s="19"/>
    </row>
    <row r="46" spans="1:27" x14ac:dyDescent="0.25">
      <c r="A46" s="17"/>
      <c r="B46" s="18" t="s">
        <v>61</v>
      </c>
      <c r="C46" s="19">
        <v>1</v>
      </c>
      <c r="D46" s="20">
        <f>2*(Sheet1!A10-Sheet1!D10-Sheet1!D10)+2*(Sheet1!B10-Sheet1!D10-Sheet1!D10)</f>
        <v>5.4</v>
      </c>
      <c r="E46" s="20"/>
      <c r="F46" s="20">
        <f>Sheet1!C10</f>
        <v>1.2</v>
      </c>
      <c r="G46" s="20">
        <f t="shared" si="1"/>
        <v>6.48</v>
      </c>
      <c r="H46" s="19"/>
      <c r="I46" s="19"/>
      <c r="J46" s="19"/>
      <c r="K46" s="19"/>
    </row>
    <row r="47" spans="1:27" x14ac:dyDescent="0.25">
      <c r="A47" s="17"/>
      <c r="B47" s="18" t="s">
        <v>59</v>
      </c>
      <c r="C47" s="19">
        <v>1</v>
      </c>
      <c r="D47" s="20">
        <f>(Sheet1!A10-Sheet1!D10-Sheet1!D10)</f>
        <v>1.2</v>
      </c>
      <c r="E47" s="20">
        <f>(Sheet1!B10-Sheet1!D10-Sheet1!D10)</f>
        <v>1.5</v>
      </c>
      <c r="F47" s="20"/>
      <c r="G47" s="20">
        <f t="shared" si="1"/>
        <v>1.7999999999999998</v>
      </c>
      <c r="H47" s="19"/>
      <c r="I47" s="19"/>
      <c r="J47" s="19"/>
      <c r="K47" s="19"/>
    </row>
    <row r="48" spans="1:27" ht="15" customHeight="1" x14ac:dyDescent="0.25">
      <c r="A48" s="21"/>
      <c r="B48" s="22" t="s">
        <v>16</v>
      </c>
      <c r="C48" s="23"/>
      <c r="D48" s="1"/>
      <c r="E48" s="24"/>
      <c r="F48" s="24"/>
      <c r="G48" s="2">
        <f>SUM(G45:G47)</f>
        <v>16.2</v>
      </c>
      <c r="H48" s="25" t="s">
        <v>36</v>
      </c>
      <c r="I48" s="2">
        <f>11188.35/10</f>
        <v>1118.835</v>
      </c>
      <c r="J48" s="26">
        <f>G48*I48</f>
        <v>18125.127</v>
      </c>
      <c r="K48" s="24"/>
    </row>
    <row r="49" spans="1:11" x14ac:dyDescent="0.25">
      <c r="A49" s="17"/>
      <c r="B49" s="18" t="s">
        <v>52</v>
      </c>
      <c r="C49" s="19"/>
      <c r="D49" s="19"/>
      <c r="E49" s="19"/>
      <c r="F49" s="19"/>
      <c r="G49" s="19"/>
      <c r="H49" s="19"/>
      <c r="I49" s="19"/>
      <c r="J49" s="26">
        <f>0.13*G48*6314/10</f>
        <v>1329.7284</v>
      </c>
      <c r="K49" s="19"/>
    </row>
    <row r="50" spans="1:11" x14ac:dyDescent="0.25">
      <c r="A50" s="17"/>
      <c r="B50" s="18" t="s">
        <v>44</v>
      </c>
      <c r="C50" s="19"/>
      <c r="D50" s="19"/>
      <c r="E50" s="19"/>
      <c r="F50" s="19"/>
      <c r="G50" s="19"/>
      <c r="H50" s="19"/>
      <c r="I50" s="19"/>
      <c r="J50" s="26">
        <f>0.13*G48*330/10</f>
        <v>69.49799999999999</v>
      </c>
      <c r="K50" s="19"/>
    </row>
    <row r="51" spans="1:11" x14ac:dyDescent="0.25">
      <c r="A51" s="17"/>
      <c r="B51" s="19"/>
      <c r="C51" s="19"/>
      <c r="D51" s="19"/>
      <c r="E51" s="19"/>
      <c r="F51" s="19"/>
      <c r="G51" s="19"/>
      <c r="H51" s="19"/>
      <c r="I51" s="19"/>
      <c r="J51" s="19"/>
      <c r="K51" s="19"/>
    </row>
    <row r="52" spans="1:11" x14ac:dyDescent="0.25">
      <c r="A52" s="17">
        <v>8</v>
      </c>
      <c r="B52" s="19" t="s">
        <v>46</v>
      </c>
      <c r="C52" s="19"/>
      <c r="D52" s="19"/>
      <c r="E52" s="19"/>
      <c r="F52" s="19"/>
      <c r="G52" s="19"/>
      <c r="H52" s="19"/>
      <c r="I52" s="19"/>
      <c r="J52" s="19"/>
      <c r="K52" s="19"/>
    </row>
    <row r="53" spans="1:11" x14ac:dyDescent="0.25">
      <c r="A53" s="17"/>
      <c r="B53" s="18" t="str">
        <f>B14</f>
        <v>-for intake</v>
      </c>
      <c r="C53" s="19">
        <v>1</v>
      </c>
      <c r="D53" s="20">
        <f>Sheet1!A10</f>
        <v>1.4999999999999998</v>
      </c>
      <c r="E53" s="20">
        <f>Sheet1!B10</f>
        <v>1.7999999999999998</v>
      </c>
      <c r="F53" s="20">
        <v>0.125</v>
      </c>
      <c r="G53" s="20">
        <f t="shared" ref="G53:G56" si="2">PRODUCT(C53:F53)</f>
        <v>0.33749999999999991</v>
      </c>
      <c r="H53" s="19"/>
      <c r="I53" s="19"/>
      <c r="J53" s="19"/>
      <c r="K53" s="19"/>
    </row>
    <row r="54" spans="1:11" x14ac:dyDescent="0.25">
      <c r="A54" s="17"/>
      <c r="B54" s="18" t="s">
        <v>66</v>
      </c>
      <c r="C54" s="19">
        <v>2</v>
      </c>
      <c r="D54" s="20">
        <f>Sheet1!A10</f>
        <v>1.4999999999999998</v>
      </c>
      <c r="E54" s="20">
        <f>Sheet1!D10</f>
        <v>0.15</v>
      </c>
      <c r="F54" s="20">
        <f>Sheet1!C10</f>
        <v>1.2</v>
      </c>
      <c r="G54" s="20">
        <f t="shared" si="2"/>
        <v>0.53999999999999981</v>
      </c>
      <c r="H54" s="19"/>
      <c r="I54" s="19"/>
      <c r="J54" s="19"/>
      <c r="K54" s="19"/>
    </row>
    <row r="55" spans="1:11" x14ac:dyDescent="0.25">
      <c r="A55" s="17"/>
      <c r="B55" s="18" t="s">
        <v>67</v>
      </c>
      <c r="C55" s="19">
        <v>2</v>
      </c>
      <c r="D55" s="20">
        <f>Sheet1!B10-Sheet1!D10-Sheet1!D10</f>
        <v>1.5</v>
      </c>
      <c r="E55" s="20">
        <f>Sheet1!D10</f>
        <v>0.15</v>
      </c>
      <c r="F55" s="20">
        <f>Sheet1!C10</f>
        <v>1.2</v>
      </c>
      <c r="G55" s="20">
        <f t="shared" si="2"/>
        <v>0.53999999999999992</v>
      </c>
      <c r="H55" s="19"/>
      <c r="I55" s="19"/>
      <c r="J55" s="19"/>
      <c r="K55" s="19"/>
    </row>
    <row r="56" spans="1:11" x14ac:dyDescent="0.25">
      <c r="A56" s="17"/>
      <c r="B56" s="18" t="str">
        <f>B47</f>
        <v>-for intake 2 cover</v>
      </c>
      <c r="C56" s="19">
        <v>1</v>
      </c>
      <c r="D56" s="20">
        <f>Sheet1!A10</f>
        <v>1.4999999999999998</v>
      </c>
      <c r="E56" s="20">
        <f>Sheet1!B10</f>
        <v>1.7999999999999998</v>
      </c>
      <c r="F56" s="20">
        <v>0.125</v>
      </c>
      <c r="G56" s="20">
        <f t="shared" si="2"/>
        <v>0.33749999999999991</v>
      </c>
      <c r="H56" s="19"/>
      <c r="I56" s="19"/>
      <c r="J56" s="19"/>
      <c r="K56" s="19"/>
    </row>
    <row r="57" spans="1:11" ht="15" customHeight="1" x14ac:dyDescent="0.25">
      <c r="A57" s="21"/>
      <c r="B57" s="22" t="s">
        <v>16</v>
      </c>
      <c r="C57" s="23"/>
      <c r="D57" s="1"/>
      <c r="E57" s="24"/>
      <c r="F57" s="24"/>
      <c r="G57" s="2">
        <f>SUM(G53:G56)</f>
        <v>1.7549999999999994</v>
      </c>
      <c r="H57" s="25" t="s">
        <v>28</v>
      </c>
      <c r="I57" s="2">
        <v>14337.7</v>
      </c>
      <c r="J57" s="26">
        <f>G57*I57</f>
        <v>25162.663499999995</v>
      </c>
      <c r="K57" s="24"/>
    </row>
    <row r="58" spans="1:11" x14ac:dyDescent="0.25">
      <c r="A58" s="17"/>
      <c r="B58" s="18" t="s">
        <v>34</v>
      </c>
      <c r="C58" s="19"/>
      <c r="D58" s="19"/>
      <c r="E58" s="19"/>
      <c r="F58" s="19"/>
      <c r="G58" s="19"/>
      <c r="H58" s="19"/>
      <c r="I58" s="19"/>
      <c r="J58" s="26">
        <f>0.13*G57*5120</f>
        <v>1168.1279999999997</v>
      </c>
      <c r="K58" s="19"/>
    </row>
    <row r="59" spans="1:11" x14ac:dyDescent="0.25">
      <c r="A59" s="17"/>
      <c r="B59" s="18" t="s">
        <v>32</v>
      </c>
      <c r="C59" s="19"/>
      <c r="D59" s="19"/>
      <c r="E59" s="19"/>
      <c r="F59" s="19"/>
      <c r="G59" s="19"/>
      <c r="H59" s="19"/>
      <c r="I59" s="19"/>
      <c r="J59" s="26">
        <f>0.13*G57*1349.75</f>
        <v>307.94546249999991</v>
      </c>
      <c r="K59" s="19"/>
    </row>
    <row r="60" spans="1:11" x14ac:dyDescent="0.25">
      <c r="A60" s="17"/>
      <c r="B60" s="18" t="s">
        <v>35</v>
      </c>
      <c r="C60" s="19"/>
      <c r="D60" s="19"/>
      <c r="E60" s="19"/>
      <c r="F60" s="19"/>
      <c r="G60" s="19"/>
      <c r="H60" s="19"/>
      <c r="I60" s="19"/>
      <c r="J60" s="26">
        <f>0.13*G57*(972.17+1910.82)</f>
        <v>657.75416849999976</v>
      </c>
      <c r="K60" s="19"/>
    </row>
    <row r="61" spans="1:11" x14ac:dyDescent="0.25">
      <c r="A61" s="17"/>
      <c r="B61" s="19"/>
      <c r="C61" s="19"/>
      <c r="D61" s="19"/>
      <c r="E61" s="19"/>
      <c r="F61" s="19"/>
      <c r="G61" s="19"/>
      <c r="H61" s="19"/>
      <c r="I61" s="19"/>
      <c r="J61" s="19"/>
      <c r="K61" s="19"/>
    </row>
    <row r="62" spans="1:11" s="11" customFormat="1" ht="45" x14ac:dyDescent="0.25">
      <c r="A62" s="17">
        <v>9</v>
      </c>
      <c r="B62" s="30" t="s">
        <v>47</v>
      </c>
      <c r="C62" s="30" t="s">
        <v>7</v>
      </c>
      <c r="D62" s="31" t="s">
        <v>27</v>
      </c>
      <c r="E62" s="31" t="s">
        <v>42</v>
      </c>
      <c r="F62" s="31" t="s">
        <v>43</v>
      </c>
      <c r="G62" s="30"/>
      <c r="H62" s="30"/>
      <c r="I62" s="30"/>
      <c r="J62" s="30"/>
      <c r="K62" s="30"/>
    </row>
    <row r="63" spans="1:11" x14ac:dyDescent="0.25">
      <c r="A63" s="17"/>
      <c r="B63" s="18" t="str">
        <f>B53</f>
        <v>-for intake</v>
      </c>
      <c r="C63" s="19">
        <f>TRUNC((Sheet1!A10-0.1)/0.15,0)+1</f>
        <v>10</v>
      </c>
      <c r="D63" s="20">
        <f>(Sheet1!B10-Sheet1!D10)+(Sheet1!C10-0.05+Sheet1!D10/2)*2</f>
        <v>4.0999999999999996</v>
      </c>
      <c r="E63" s="20">
        <f t="shared" ref="E63:E68" si="3">10*10/162</f>
        <v>0.61728395061728392</v>
      </c>
      <c r="F63" s="20">
        <f t="shared" ref="F63:F68" si="4">PRODUCT(C63:E63)</f>
        <v>25.308641975308639</v>
      </c>
      <c r="G63" s="20">
        <f t="shared" ref="G63:G68" si="5">F63</f>
        <v>25.308641975308639</v>
      </c>
      <c r="H63" s="19"/>
      <c r="I63" s="19"/>
      <c r="J63" s="19"/>
      <c r="K63" s="19"/>
    </row>
    <row r="64" spans="1:11" x14ac:dyDescent="0.25">
      <c r="A64" s="17"/>
      <c r="B64" s="18"/>
      <c r="C64" s="19">
        <f>TRUNC((Sheet1!B10-0.1)/0.15,0)+1</f>
        <v>12</v>
      </c>
      <c r="D64" s="20">
        <f>(Sheet1!A10-Sheet1!D10)+(Sheet1!C10-0.05+Sheet1!D10/2)*2</f>
        <v>3.8</v>
      </c>
      <c r="E64" s="20">
        <f t="shared" si="3"/>
        <v>0.61728395061728392</v>
      </c>
      <c r="F64" s="20">
        <f t="shared" si="4"/>
        <v>28.148148148148142</v>
      </c>
      <c r="G64" s="20">
        <f t="shared" si="5"/>
        <v>28.148148148148142</v>
      </c>
      <c r="H64" s="19"/>
      <c r="I64" s="19"/>
      <c r="J64" s="19"/>
      <c r="K64" s="19"/>
    </row>
    <row r="65" spans="1:11" x14ac:dyDescent="0.25">
      <c r="A65" s="17"/>
      <c r="B65" s="18" t="s">
        <v>68</v>
      </c>
      <c r="C65" s="19">
        <f>(TRUNC((Sheet1!C10+Sheet1!D10-0.05-0.05)/0.15,0)+1)</f>
        <v>9</v>
      </c>
      <c r="D65" s="20">
        <f>(Sheet1!A10-0.05-0.05)*2</f>
        <v>2.7999999999999994</v>
      </c>
      <c r="E65" s="20">
        <f t="shared" si="3"/>
        <v>0.61728395061728392</v>
      </c>
      <c r="F65" s="20">
        <f t="shared" si="4"/>
        <v>15.555555555555552</v>
      </c>
      <c r="G65" s="20">
        <f t="shared" si="5"/>
        <v>15.555555555555552</v>
      </c>
      <c r="H65" s="19"/>
      <c r="I65" s="19"/>
      <c r="J65" s="19"/>
      <c r="K65" s="19"/>
    </row>
    <row r="66" spans="1:11" x14ac:dyDescent="0.25">
      <c r="A66" s="17"/>
      <c r="B66" s="18"/>
      <c r="C66" s="19">
        <f>(TRUNC((Sheet1!C10+Sheet1!D10-0.05-0.05)/0.15,0)+1)</f>
        <v>9</v>
      </c>
      <c r="D66" s="20">
        <f>(Sheet1!B10-0.05-0.05)*2</f>
        <v>3.3999999999999995</v>
      </c>
      <c r="E66" s="20">
        <f t="shared" si="3"/>
        <v>0.61728395061728392</v>
      </c>
      <c r="F66" s="20">
        <f t="shared" ref="F66" si="6">PRODUCT(C66:E66)</f>
        <v>18.888888888888886</v>
      </c>
      <c r="G66" s="20">
        <f t="shared" si="5"/>
        <v>18.888888888888886</v>
      </c>
      <c r="H66" s="19"/>
      <c r="I66" s="19"/>
      <c r="J66" s="19"/>
      <c r="K66" s="19"/>
    </row>
    <row r="67" spans="1:11" x14ac:dyDescent="0.25">
      <c r="A67" s="17"/>
      <c r="B67" s="18" t="str">
        <f>B56</f>
        <v>-for intake 2 cover</v>
      </c>
      <c r="C67" s="19">
        <f>TRUNC((D68)/0.15,0)+1</f>
        <v>12</v>
      </c>
      <c r="D67" s="20">
        <f>Sheet1!A10-0.1</f>
        <v>1.3999999999999997</v>
      </c>
      <c r="E67" s="20">
        <f t="shared" si="3"/>
        <v>0.61728395061728392</v>
      </c>
      <c r="F67" s="20">
        <f t="shared" si="4"/>
        <v>10.370370370370368</v>
      </c>
      <c r="G67" s="20">
        <f t="shared" si="5"/>
        <v>10.370370370370368</v>
      </c>
      <c r="H67" s="19"/>
      <c r="I67" s="19"/>
      <c r="J67" s="19"/>
      <c r="K67" s="19"/>
    </row>
    <row r="68" spans="1:11" x14ac:dyDescent="0.25">
      <c r="A68" s="17"/>
      <c r="B68" s="18"/>
      <c r="C68" s="19">
        <f>TRUNC((D67)/0.15,0)+1</f>
        <v>10</v>
      </c>
      <c r="D68" s="20">
        <f>Sheet1!B10-0.1</f>
        <v>1.6999999999999997</v>
      </c>
      <c r="E68" s="20">
        <f t="shared" si="3"/>
        <v>0.61728395061728392</v>
      </c>
      <c r="F68" s="20">
        <f t="shared" si="4"/>
        <v>10.493827160493824</v>
      </c>
      <c r="G68" s="20">
        <f t="shared" si="5"/>
        <v>10.493827160493824</v>
      </c>
      <c r="H68" s="19"/>
      <c r="I68" s="19"/>
      <c r="J68" s="19"/>
      <c r="K68" s="19"/>
    </row>
    <row r="69" spans="1:11" ht="15" customHeight="1" x14ac:dyDescent="0.25">
      <c r="A69" s="21"/>
      <c r="B69" s="22" t="s">
        <v>16</v>
      </c>
      <c r="C69" s="23"/>
      <c r="D69" s="1"/>
      <c r="E69" s="24"/>
      <c r="F69" s="24"/>
      <c r="G69" s="2">
        <f>SUM(G63:G68)</f>
        <v>108.76543209876542</v>
      </c>
      <c r="H69" s="25" t="s">
        <v>48</v>
      </c>
      <c r="I69" s="2">
        <f>9831.6/100</f>
        <v>98.316000000000003</v>
      </c>
      <c r="J69" s="26">
        <f>G69*I69</f>
        <v>10693.382222222221</v>
      </c>
      <c r="K69" s="24"/>
    </row>
    <row r="70" spans="1:11" x14ac:dyDescent="0.25">
      <c r="A70" s="17"/>
      <c r="B70" s="18" t="s">
        <v>49</v>
      </c>
      <c r="C70" s="19"/>
      <c r="D70" s="19"/>
      <c r="E70" s="19"/>
      <c r="F70" s="19"/>
      <c r="G70" s="19"/>
      <c r="H70" s="19"/>
      <c r="I70" s="19"/>
      <c r="J70" s="26">
        <f>0.13*G69*9450/100</f>
        <v>1336.1833333333332</v>
      </c>
      <c r="K70" s="19"/>
    </row>
    <row r="71" spans="1:11" x14ac:dyDescent="0.25">
      <c r="A71" s="17"/>
      <c r="B71" s="18" t="s">
        <v>50</v>
      </c>
      <c r="C71" s="19"/>
      <c r="D71" s="19"/>
      <c r="E71" s="19"/>
      <c r="F71" s="19"/>
      <c r="G71" s="19"/>
      <c r="H71" s="19"/>
      <c r="I71" s="19"/>
      <c r="J71" s="26">
        <f>0.13*G69*120/100</f>
        <v>16.967407407407407</v>
      </c>
      <c r="K71" s="19"/>
    </row>
    <row r="72" spans="1:11" x14ac:dyDescent="0.25">
      <c r="A72" s="17"/>
      <c r="B72" s="19"/>
      <c r="C72" s="19"/>
      <c r="D72" s="19"/>
      <c r="E72" s="19"/>
      <c r="F72" s="19"/>
      <c r="G72" s="19"/>
      <c r="H72" s="19"/>
      <c r="I72" s="19"/>
      <c r="J72" s="19"/>
      <c r="K72" s="19"/>
    </row>
    <row r="73" spans="1:11" ht="15" customHeight="1" x14ac:dyDescent="0.25">
      <c r="A73" s="21">
        <v>10</v>
      </c>
      <c r="B73" s="33" t="s">
        <v>58</v>
      </c>
      <c r="C73" s="23"/>
      <c r="D73" s="1"/>
      <c r="E73" s="24"/>
      <c r="F73" s="24"/>
      <c r="G73" s="25"/>
      <c r="H73" s="25"/>
      <c r="I73" s="2"/>
      <c r="J73" s="25"/>
      <c r="K73" s="24"/>
    </row>
    <row r="74" spans="1:11" x14ac:dyDescent="0.25">
      <c r="A74" s="17"/>
      <c r="B74" s="18" t="s">
        <v>70</v>
      </c>
      <c r="C74" s="19">
        <v>1</v>
      </c>
      <c r="D74" s="20">
        <v>8</v>
      </c>
      <c r="E74" s="20">
        <f>((F74/2)+0.45)/2</f>
        <v>0.97499999999999998</v>
      </c>
      <c r="F74" s="20">
        <v>3</v>
      </c>
      <c r="G74" s="20">
        <f>PRODUCT(C74:F74)</f>
        <v>23.4</v>
      </c>
      <c r="H74" s="19"/>
      <c r="I74" s="19"/>
      <c r="J74" s="19"/>
      <c r="K74" s="19"/>
    </row>
    <row r="75" spans="1:11" x14ac:dyDescent="0.25">
      <c r="A75" s="21"/>
      <c r="B75" s="22" t="s">
        <v>16</v>
      </c>
      <c r="C75" s="23"/>
      <c r="D75" s="1"/>
      <c r="E75" s="24"/>
      <c r="F75" s="24"/>
      <c r="G75" s="2">
        <f>SUM(G74:G74)</f>
        <v>23.4</v>
      </c>
      <c r="H75" s="25" t="s">
        <v>28</v>
      </c>
      <c r="I75" s="2">
        <v>12225.55</v>
      </c>
      <c r="J75" s="26">
        <f>G75*I75</f>
        <v>286077.86999999994</v>
      </c>
      <c r="K75" s="24"/>
    </row>
    <row r="76" spans="1:11" x14ac:dyDescent="0.25">
      <c r="A76" s="17"/>
      <c r="B76" s="18" t="s">
        <v>32</v>
      </c>
      <c r="C76" s="19"/>
      <c r="D76" s="19"/>
      <c r="E76" s="19"/>
      <c r="F76" s="19"/>
      <c r="G76" s="19"/>
      <c r="H76" s="19"/>
      <c r="I76" s="19"/>
      <c r="J76" s="26">
        <f>0.13*G75*1492.66</f>
        <v>4540.6717200000003</v>
      </c>
      <c r="K76" s="19"/>
    </row>
    <row r="77" spans="1:11" x14ac:dyDescent="0.25">
      <c r="A77" s="17"/>
      <c r="B77" s="18" t="s">
        <v>34</v>
      </c>
      <c r="C77" s="19"/>
      <c r="D77" s="19"/>
      <c r="E77" s="19"/>
      <c r="F77" s="19"/>
      <c r="G77" s="19"/>
      <c r="H77" s="19"/>
      <c r="I77" s="19"/>
      <c r="J77" s="26">
        <f>0.13*G75*1356.8</f>
        <v>4127.3855999999996</v>
      </c>
      <c r="K77" s="19"/>
    </row>
    <row r="78" spans="1:11" x14ac:dyDescent="0.25">
      <c r="A78" s="17"/>
      <c r="B78" s="18" t="s">
        <v>40</v>
      </c>
      <c r="C78" s="19"/>
      <c r="D78" s="19"/>
      <c r="E78" s="19"/>
      <c r="F78" s="19"/>
      <c r="G78" s="19"/>
      <c r="H78" s="19"/>
      <c r="I78" s="19"/>
      <c r="J78" s="26">
        <f>0.13*G75*2833.59</f>
        <v>8619.7807799999991</v>
      </c>
      <c r="K78" s="19"/>
    </row>
    <row r="79" spans="1:11" x14ac:dyDescent="0.25">
      <c r="A79" s="17"/>
      <c r="B79" s="19"/>
      <c r="C79" s="19"/>
      <c r="D79" s="19"/>
      <c r="E79" s="19"/>
      <c r="F79" s="19"/>
      <c r="G79" s="19"/>
      <c r="H79" s="19"/>
      <c r="I79" s="19"/>
      <c r="J79" s="19"/>
      <c r="K79" s="19"/>
    </row>
    <row r="80" spans="1:11" ht="15" customHeight="1" x14ac:dyDescent="0.25">
      <c r="A80" s="21">
        <v>11</v>
      </c>
      <c r="B80" s="33" t="s">
        <v>17</v>
      </c>
      <c r="C80" s="23">
        <v>1</v>
      </c>
      <c r="D80" s="1"/>
      <c r="E80" s="24"/>
      <c r="F80" s="24"/>
      <c r="G80" s="25">
        <f>PRODUCT(C80:F80)</f>
        <v>1</v>
      </c>
      <c r="H80" s="25" t="s">
        <v>18</v>
      </c>
      <c r="I80" s="2">
        <v>500</v>
      </c>
      <c r="J80" s="25">
        <f>G80*I80</f>
        <v>500</v>
      </c>
      <c r="K80" s="24"/>
    </row>
    <row r="81" spans="1:27" x14ac:dyDescent="0.25">
      <c r="A81" s="21"/>
      <c r="B81" s="34"/>
      <c r="C81" s="23"/>
      <c r="D81" s="1"/>
      <c r="E81" s="24"/>
      <c r="F81" s="24"/>
      <c r="G81" s="2"/>
      <c r="H81" s="25"/>
      <c r="I81" s="2"/>
      <c r="J81" s="26"/>
      <c r="K81" s="24"/>
    </row>
    <row r="82" spans="1:27" x14ac:dyDescent="0.25">
      <c r="A82" s="35"/>
      <c r="B82" s="36" t="s">
        <v>20</v>
      </c>
      <c r="C82" s="37"/>
      <c r="D82" s="38"/>
      <c r="E82" s="38"/>
      <c r="F82" s="38"/>
      <c r="G82" s="26"/>
      <c r="H82" s="26"/>
      <c r="I82" s="26"/>
      <c r="J82" s="26">
        <f>SUM(J10:J80)</f>
        <v>405684.73727136286</v>
      </c>
      <c r="K82" s="39"/>
    </row>
    <row r="83" spans="1:27" x14ac:dyDescent="0.25">
      <c r="AA83" s="11"/>
    </row>
    <row r="84" spans="1:27" s="11" customFormat="1" x14ac:dyDescent="0.25">
      <c r="A84" s="40"/>
      <c r="B84" s="30" t="s">
        <v>19</v>
      </c>
      <c r="C84" s="53">
        <f>J82</f>
        <v>405684.73727136286</v>
      </c>
      <c r="D84" s="54"/>
      <c r="E84" s="32">
        <v>100</v>
      </c>
      <c r="F84" s="40"/>
      <c r="G84" s="41"/>
      <c r="H84" s="40"/>
      <c r="I84" s="42"/>
      <c r="J84" s="43"/>
      <c r="K84" s="44"/>
      <c r="AA84" s="4"/>
    </row>
    <row r="85" spans="1:27" x14ac:dyDescent="0.25">
      <c r="B85" s="30" t="s">
        <v>21</v>
      </c>
      <c r="C85" s="55">
        <v>350000</v>
      </c>
      <c r="D85" s="56"/>
      <c r="E85" s="32"/>
    </row>
    <row r="86" spans="1:27" x14ac:dyDescent="0.25">
      <c r="B86" s="30" t="s">
        <v>22</v>
      </c>
      <c r="C86" s="55">
        <f>C85-C88-C89</f>
        <v>332500</v>
      </c>
      <c r="D86" s="56"/>
      <c r="E86" s="32">
        <f>C86/C84*100</f>
        <v>81.960194567928852</v>
      </c>
    </row>
    <row r="87" spans="1:27" x14ac:dyDescent="0.25">
      <c r="B87" s="30" t="s">
        <v>26</v>
      </c>
      <c r="C87" s="57">
        <f>C84-C86</f>
        <v>73184.737271362857</v>
      </c>
      <c r="D87" s="57"/>
      <c r="E87" s="32">
        <f>100-E86</f>
        <v>18.039805432071148</v>
      </c>
    </row>
    <row r="88" spans="1:27" x14ac:dyDescent="0.25">
      <c r="B88" s="30" t="s">
        <v>23</v>
      </c>
      <c r="C88" s="53">
        <f>C85*0.03</f>
        <v>10500</v>
      </c>
      <c r="D88" s="54"/>
      <c r="E88" s="32">
        <v>3</v>
      </c>
    </row>
    <row r="89" spans="1:27" x14ac:dyDescent="0.25">
      <c r="B89" s="30" t="s">
        <v>24</v>
      </c>
      <c r="C89" s="53">
        <f>C85*0.02</f>
        <v>7000</v>
      </c>
      <c r="D89" s="54"/>
      <c r="E89" s="32">
        <v>2</v>
      </c>
    </row>
  </sheetData>
  <mergeCells count="15">
    <mergeCell ref="C89:D89"/>
    <mergeCell ref="C84:D84"/>
    <mergeCell ref="C85:D85"/>
    <mergeCell ref="C86:D86"/>
    <mergeCell ref="C87:D87"/>
    <mergeCell ref="C88:D88"/>
    <mergeCell ref="A7:F7"/>
    <mergeCell ref="H7:K7"/>
    <mergeCell ref="A1:K1"/>
    <mergeCell ref="A2:K2"/>
    <mergeCell ref="A3:K3"/>
    <mergeCell ref="A4:K4"/>
    <mergeCell ref="A5:K5"/>
    <mergeCell ref="A6:F6"/>
    <mergeCell ref="H6:K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BCAFD-ECA5-41BF-8B70-7111445D4519}">
  <dimension ref="A8:D121"/>
  <sheetViews>
    <sheetView workbookViewId="0">
      <selection activeCell="B10" sqref="B10"/>
    </sheetView>
  </sheetViews>
  <sheetFormatPr defaultRowHeight="15" x14ac:dyDescent="0.25"/>
  <cols>
    <col min="1" max="2" width="8.5703125" style="4" customWidth="1"/>
    <col min="3" max="3" width="6.5703125" style="4" customWidth="1"/>
    <col min="4" max="4" width="9.42578125" style="4" customWidth="1"/>
  </cols>
  <sheetData>
    <row r="8" spans="1:4" x14ac:dyDescent="0.25">
      <c r="A8" s="11" t="s">
        <v>53</v>
      </c>
      <c r="B8" s="11"/>
      <c r="C8" s="11"/>
      <c r="D8" s="11"/>
    </row>
    <row r="9" spans="1:4" ht="30" x14ac:dyDescent="0.25">
      <c r="A9" s="4" t="s">
        <v>37</v>
      </c>
      <c r="B9" s="4" t="s">
        <v>54</v>
      </c>
      <c r="C9" s="4" t="s">
        <v>55</v>
      </c>
      <c r="D9" s="16" t="s">
        <v>56</v>
      </c>
    </row>
    <row r="10" spans="1:4" x14ac:dyDescent="0.25">
      <c r="A10" s="3">
        <f>1.2+D10+D10</f>
        <v>1.4999999999999998</v>
      </c>
      <c r="B10" s="3">
        <f>1.5+D10+D10</f>
        <v>1.7999999999999998</v>
      </c>
      <c r="C10" s="4">
        <v>1.2</v>
      </c>
      <c r="D10" s="3">
        <v>0.15</v>
      </c>
    </row>
    <row r="12" spans="1:4" x14ac:dyDescent="0.25">
      <c r="A12" s="3"/>
      <c r="B12" s="3"/>
      <c r="D12" s="3"/>
    </row>
    <row r="13" spans="1:4" x14ac:dyDescent="0.25">
      <c r="A13" s="3"/>
      <c r="B13" s="3"/>
      <c r="D13" s="3"/>
    </row>
    <row r="86" spans="1:4" x14ac:dyDescent="0.25">
      <c r="A86" s="11"/>
      <c r="B86" s="11"/>
      <c r="C86" s="11"/>
      <c r="D86" s="11"/>
    </row>
    <row r="106" spans="1:4" x14ac:dyDescent="0.25">
      <c r="A106" s="11"/>
      <c r="B106" s="11"/>
      <c r="C106" s="11"/>
      <c r="D106" s="11"/>
    </row>
    <row r="110" spans="1:4" x14ac:dyDescent="0.25">
      <c r="A110" s="11"/>
      <c r="B110" s="11"/>
      <c r="C110" s="11"/>
      <c r="D110" s="11"/>
    </row>
    <row r="113" spans="1:4" x14ac:dyDescent="0.25">
      <c r="A113" s="11"/>
      <c r="B113" s="11"/>
      <c r="C113" s="11"/>
      <c r="D113" s="11"/>
    </row>
    <row r="121" spans="1:4" x14ac:dyDescent="0.25">
      <c r="A121" s="11"/>
      <c r="B121" s="11"/>
      <c r="C121" s="11"/>
      <c r="D121" s="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water tank</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2026-03-30T06:28:44Z</dcterms:modified>
</cp:coreProperties>
</file>