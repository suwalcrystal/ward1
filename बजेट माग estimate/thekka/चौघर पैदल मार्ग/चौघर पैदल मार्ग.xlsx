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9C017FC2-5A09-416D-B3D7-6F67A46C4C39}" xr6:coauthVersionLast="47" xr6:coauthVersionMax="47" xr10:uidLastSave="{00000000-0000-0000-0000-000000000000}"/>
  <bookViews>
    <workbookView xWindow="-120" yWindow="-120" windowWidth="20730" windowHeight="11040" xr2:uid="{00000000-000D-0000-FFFF-FFFF00000000}"/>
  </bookViews>
  <sheets>
    <sheet name="estimate" sheetId="12" r:id="rId1"/>
  </sheets>
  <externalReferences>
    <externalReference r:id="rId2"/>
    <externalReference r:id="rId3"/>
    <externalReference r:id="rId4"/>
    <externalReference r:id="rId5"/>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4">[4]Abstract!$B$170</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estimate!$A$1:$K$51</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5" i="12" l="1"/>
  <c r="D18" i="12"/>
  <c r="D25" i="12" s="1"/>
  <c r="D17" i="12"/>
  <c r="D24" i="12" s="1"/>
  <c r="E11" i="12"/>
  <c r="E17" i="12" s="1"/>
  <c r="G11" i="12"/>
  <c r="B18" i="12"/>
  <c r="B25" i="12" s="1"/>
  <c r="B16" i="12"/>
  <c r="B23" i="12" s="1"/>
  <c r="E12" i="12"/>
  <c r="E10" i="12"/>
  <c r="D10" i="12"/>
  <c r="D16" i="12" s="1"/>
  <c r="D23" i="12" s="1"/>
  <c r="D35" i="12" l="1"/>
  <c r="G35" i="12" s="1"/>
  <c r="D26" i="12"/>
  <c r="G17" i="12"/>
  <c r="E24" i="12"/>
  <c r="G12" i="12"/>
  <c r="E18" i="12"/>
  <c r="E25" i="12" s="1"/>
  <c r="F25" i="12" l="1"/>
  <c r="C47" i="12"/>
  <c r="M35" i="12"/>
  <c r="E16" i="12"/>
  <c r="E23" i="12" s="1"/>
  <c r="C24" i="12"/>
  <c r="C18" i="12" s="1"/>
  <c r="C25" i="12" l="1"/>
  <c r="C26" i="12" s="1"/>
  <c r="G26" i="12" s="1"/>
  <c r="G10" i="12"/>
  <c r="G13" i="12" s="1"/>
  <c r="G23" i="12"/>
  <c r="G18" i="12" l="1"/>
  <c r="G16" i="12"/>
  <c r="G19" i="12" s="1"/>
  <c r="G36" i="12" l="1"/>
  <c r="J20" i="12"/>
  <c r="G24" i="12"/>
  <c r="G27" i="12" s="1"/>
  <c r="G25" i="12"/>
  <c r="J40" i="12" l="1"/>
  <c r="J37" i="12"/>
  <c r="J39" i="12"/>
  <c r="J38" i="12"/>
  <c r="J19" i="12"/>
  <c r="J36" i="12"/>
  <c r="J13" i="12"/>
  <c r="J28" i="12" l="1"/>
  <c r="J29" i="12"/>
  <c r="J32" i="12"/>
  <c r="J31" i="12"/>
  <c r="J27" i="12"/>
  <c r="J30" i="12"/>
  <c r="C50" i="12"/>
  <c r="C51" i="12" l="1"/>
  <c r="C48" i="12" s="1"/>
  <c r="G42" i="12"/>
  <c r="J42" i="12" s="1"/>
  <c r="J44" i="12" s="1"/>
  <c r="C46" i="12" l="1"/>
  <c r="C49" i="12" s="1"/>
  <c r="E48" i="12" l="1"/>
  <c r="E49" i="12" s="1"/>
</calcChain>
</file>

<file path=xl/sharedStrings.xml><?xml version="1.0" encoding="utf-8"?>
<sst xmlns="http://schemas.openxmlformats.org/spreadsheetml/2006/main" count="54" uniqueCount="44">
  <si>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</si>
  <si>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</si>
  <si>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</si>
  <si>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</si>
  <si>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</si>
  <si>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</si>
  <si>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</si>
  <si>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</si>
  <si>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</si>
  <si>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</si>
  <si>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</si>
  <si>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</si>
  <si>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</si>
  <si>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</si>
  <si>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</si>
  <si>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</si>
  <si>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Information board (सुचना पाटि)</t>
  </si>
  <si>
    <t>no.</t>
  </si>
  <si>
    <t>Total Estimated</t>
  </si>
  <si>
    <t>Total</t>
  </si>
  <si>
    <t>Budget allocated</t>
  </si>
  <si>
    <t>Municipal payment</t>
  </si>
  <si>
    <t xml:space="preserve">Contingencies </t>
  </si>
  <si>
    <t xml:space="preserve">Maintanince </t>
  </si>
  <si>
    <t>F.Y.: 2082/2083</t>
  </si>
  <si>
    <t>User contribution</t>
  </si>
  <si>
    <t>sub-total</t>
  </si>
  <si>
    <t>cum</t>
  </si>
  <si>
    <t>Location:- Shankharapur Municipality 1</t>
  </si>
  <si>
    <t>-13% VAT for sand</t>
  </si>
  <si>
    <t>-13% VAT for cement</t>
  </si>
  <si>
    <t>-13% VAT for aggregate</t>
  </si>
  <si>
    <t>-13% VAT for block stone</t>
  </si>
  <si>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</si>
  <si>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</si>
  <si>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 Manual Mixing</t>
  </si>
  <si>
    <t>-13% VAT for water</t>
  </si>
  <si>
    <t>-13% VAT for formwork</t>
  </si>
  <si>
    <t>-masonary wall</t>
  </si>
  <si>
    <t>Random Rubble Masonry, Providing and laying of Stone Masonry Work in the Cement Mortar 1:6 in Foundation complete as per Drawing and Technical Specifications.</t>
  </si>
  <si>
    <t>-13% VAT for stone</t>
  </si>
  <si>
    <t xml:space="preserve">Date:2082          </t>
  </si>
  <si>
    <t>-path</t>
  </si>
  <si>
    <r>
      <t>Project:-</t>
    </r>
    <r>
      <rPr>
        <sz val="12"/>
        <rFont val="Preeti"/>
      </rPr>
      <t xml:space="preserve"> rf}3/ k}bn dfu{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</si>
</sst>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2"/>
      <name val="Calibri"/>
      <family val="2"/>
      <scheme val="minor"/>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2">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4" fillId="0" borderId="0" xfId="0" applyFont="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quotePrefix="1" applyFont="1" applyBorder="1" applyAlignment="1">
      <alignment wrapText="1"/>
    </xf>
    <xf numFmtId="0" fontId="4" fillId="0" borderId="2" xfId="0" applyFont="1" applyBorder="1"/>
    <xf numFmtId="2" fontId="3" fillId="0" borderId="2" xfId="0" applyNumberFormat="1" applyFont="1" applyBorder="1"/>
    <xf numFmtId="0" fontId="13" fillId="0" borderId="2" xfId="0" quotePrefix="1" applyFont="1" applyBorder="1" applyAlignment="1">
      <alignment horizontal="right"/>
    </xf>
    <xf numFmtId="2" fontId="4" fillId="0" borderId="2" xfId="0" applyNumberFormat="1" applyFont="1" applyBorder="1"/>
    <xf numFmtId="1" fontId="3" fillId="0" borderId="2" xfId="0" applyNumberFormat="1" applyFont="1" applyBorder="1" applyAlignment="1">
      <alignment vertical="center"/>
    </xf>
    <xf numFmtId="0" fontId="2" fillId="0" borderId="2" xfId="0" quotePrefix="1" applyFont="1" applyBorder="1" applyAlignment="1">
      <alignment horizontal="right" vertical="center"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6" fillId="0" borderId="2" xfId="0" applyNumberFormat="1" applyFont="1" applyBorder="1" applyAlignment="1">
      <alignment vertical="center"/>
    </xf>
    <xf numFmtId="2" fontId="3" fillId="0" borderId="2" xfId="0" applyNumberFormat="1" applyFont="1" applyBorder="1" applyAlignment="1">
      <alignment vertical="center"/>
    </xf>
    <xf numFmtId="0" fontId="4" fillId="0" borderId="0" xfId="0" applyFont="1" applyAlignment="1">
      <alignment vertical="center"/>
    </xf>
    <xf numFmtId="0" fontId="4" fillId="0" borderId="2" xfId="0" quotePrefix="1" applyFont="1" applyBorder="1" applyAlignment="1">
      <alignment horizontal="right"/>
    </xf>
    <xf numFmtId="0" fontId="4" fillId="0" borderId="2" xfId="0" applyFont="1" applyBorder="1" applyAlignment="1">
      <alignment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082_083\ward1\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70">
          <cell r="B170" t="str">
            <v>Providing and laying of Plain/Reinforced Cement Concrete in Foundation complete as per Drawing and Technical Specifications, PCC Grade M 15, Manual Mixing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1"/>
  <sheetViews>
    <sheetView tabSelected="1" zoomScaleNormal="100" zoomScaleSheetLayoutView="95" workbookViewId="0">
      <selection activeCell="A7" sqref="A7:F7"/>
    </sheetView>
  </sheetViews>
  <sheetFormatPr defaultColWidth="9.140625" defaultRowHeight="15" x14ac:dyDescent="0.25"/>
  <cols>
    <col min="1" max="1" width="4.7109375" style="3" customWidth="1"/>
    <col min="2" max="2" width="30.85546875" style="3" customWidth="1"/>
    <col min="3" max="3" width="4.42578125" style="3" bestFit="1" customWidth="1"/>
    <col min="4" max="4" width="8.42578125" style="3" customWidth="1"/>
    <col min="5" max="5" width="8.5703125" style="3" customWidth="1"/>
    <col min="6" max="6" width="7.28515625" style="3" customWidth="1"/>
    <col min="7" max="7" width="9.140625" style="3"/>
    <col min="8" max="8" width="5" style="3" bestFit="1" customWidth="1"/>
    <col min="9" max="9" width="9.5703125" style="3" customWidth="1"/>
    <col min="10" max="10" width="11.85546875" style="3" bestFit="1" customWidth="1"/>
    <col min="11" max="16384" width="9.140625" style="3"/>
  </cols>
  <sheetData>
    <row r="1" spans="1:11" x14ac:dyDescent="0.25">
      <c r="A1" s="48" t="s">
        <v>0</v>
      </c>
      <c r="B1" s="48"/>
      <c r="C1" s="48"/>
      <c r="D1" s="48"/>
      <c r="E1" s="48"/>
      <c r="F1" s="48"/>
      <c r="G1" s="48"/>
      <c r="H1" s="48"/>
      <c r="I1" s="48"/>
      <c r="J1" s="48"/>
      <c r="K1" s="48"/>
    </row>
    <row r="2" spans="1:11" ht="22.5" x14ac:dyDescent="0.25">
      <c r="A2" s="49" t="s">
        <v>1</v>
      </c>
      <c r="B2" s="49"/>
      <c r="C2" s="49"/>
      <c r="D2" s="49"/>
      <c r="E2" s="49"/>
      <c r="F2" s="49"/>
      <c r="G2" s="49"/>
      <c r="H2" s="49"/>
      <c r="I2" s="49"/>
      <c r="J2" s="49"/>
      <c r="K2" s="49"/>
    </row>
    <row r="3" spans="1:11" x14ac:dyDescent="0.25">
      <c r="A3" s="50" t="s">
        <v>2</v>
      </c>
      <c r="B3" s="50"/>
      <c r="C3" s="50"/>
      <c r="D3" s="50"/>
      <c r="E3" s="50"/>
      <c r="F3" s="50"/>
      <c r="G3" s="50"/>
      <c r="H3" s="50"/>
      <c r="I3" s="50"/>
      <c r="J3" s="50"/>
      <c r="K3" s="50"/>
    </row>
    <row r="4" spans="1:11" x14ac:dyDescent="0.25">
      <c r="A4" s="50" t="s">
        <v>3</v>
      </c>
      <c r="B4" s="50"/>
      <c r="C4" s="50"/>
      <c r="D4" s="50"/>
      <c r="E4" s="50"/>
      <c r="F4" s="50"/>
      <c r="G4" s="50"/>
      <c r="H4" s="50"/>
      <c r="I4" s="50"/>
      <c r="J4" s="50"/>
      <c r="K4" s="50"/>
    </row>
    <row r="5" spans="1:11" ht="18.75" x14ac:dyDescent="0.3">
      <c r="A5" s="51" t="s">
        <v>4</v>
      </c>
      <c r="B5" s="51"/>
      <c r="C5" s="51"/>
      <c r="D5" s="51"/>
      <c r="E5" s="51"/>
      <c r="F5" s="51"/>
      <c r="G5" s="51"/>
      <c r="H5" s="51"/>
      <c r="I5" s="51"/>
      <c r="J5" s="51"/>
      <c r="K5" s="51"/>
    </row>
    <row r="6" spans="1:11" ht="15.75" x14ac:dyDescent="0.25">
      <c r="A6" s="46" t="s">
        <v>43</v>
      </c>
      <c r="B6" s="46"/>
      <c r="C6" s="46"/>
      <c r="D6" s="46"/>
      <c r="E6" s="46"/>
      <c r="F6" s="46"/>
      <c r="G6" s="4"/>
      <c r="H6" s="47" t="s">
        <v>24</v>
      </c>
      <c r="I6" s="47"/>
      <c r="J6" s="47"/>
      <c r="K6" s="47"/>
    </row>
    <row r="7" spans="1:11" ht="15.75" x14ac:dyDescent="0.25">
      <c r="A7" s="41" t="s">
        <v>28</v>
      </c>
      <c r="B7" s="41"/>
      <c r="C7" s="41"/>
      <c r="D7" s="41"/>
      <c r="E7" s="41"/>
      <c r="F7" s="41"/>
      <c r="G7" s="5"/>
      <c r="H7" s="42" t="s">
        <v>41</v>
      </c>
      <c r="I7" s="42"/>
      <c r="J7" s="42"/>
      <c r="K7" s="42"/>
    </row>
    <row r="8" spans="1:11" ht="15.75" x14ac:dyDescent="0.25">
      <c r="A8" s="6" t="s">
        <v>5</v>
      </c>
      <c r="B8" s="7" t="s">
        <v>6</v>
      </c>
      <c r="C8" s="6" t="s">
        <v>7</v>
      </c>
      <c r="D8" s="8" t="s">
        <v>8</v>
      </c>
      <c r="E8" s="8" t="s">
        <v>9</v>
      </c>
      <c r="F8" s="8" t="s">
        <v>10</v>
      </c>
      <c r="G8" s="8" t="s">
        <v>11</v>
      </c>
      <c r="H8" s="6" t="s">
        <v>12</v>
      </c>
      <c r="I8" s="8" t="s">
        <v>13</v>
      </c>
      <c r="J8" s="8" t="s">
        <v>14</v>
      </c>
      <c r="K8" s="9" t="s">
        <v>15</v>
      </c>
    </row>
    <row r="9" spans="1:11" ht="150" x14ac:dyDescent="0.25">
      <c r="A9" s="10">
        <v>1</v>
      </c>
      <c r="B9" s="11" t="s">
        <v>33</v>
      </c>
      <c r="C9" s="12"/>
      <c r="D9" s="12"/>
      <c r="E9" s="12"/>
      <c r="F9" s="12"/>
      <c r="G9" s="12"/>
      <c r="H9" s="12"/>
      <c r="I9" s="12"/>
      <c r="J9" s="13"/>
      <c r="K9" s="12"/>
    </row>
    <row r="10" spans="1:11" ht="15.75" x14ac:dyDescent="0.25">
      <c r="A10" s="10"/>
      <c r="B10" s="14" t="s">
        <v>42</v>
      </c>
      <c r="C10" s="12">
        <v>1</v>
      </c>
      <c r="D10" s="15">
        <f>6+7+7+1.5</f>
        <v>21.5</v>
      </c>
      <c r="E10" s="15">
        <f>1</f>
        <v>1</v>
      </c>
      <c r="F10" s="15">
        <v>0.15</v>
      </c>
      <c r="G10" s="15">
        <f>PRODUCT(C10:F10)</f>
        <v>3.2250000000000001</v>
      </c>
      <c r="H10" s="12"/>
      <c r="I10" s="12"/>
      <c r="J10" s="13"/>
      <c r="K10" s="12"/>
    </row>
    <row r="11" spans="1:11" ht="15.75" x14ac:dyDescent="0.25">
      <c r="A11" s="10"/>
      <c r="B11" s="14"/>
      <c r="C11" s="12">
        <v>1</v>
      </c>
      <c r="D11" s="15">
        <v>30</v>
      </c>
      <c r="E11" s="15">
        <f>1</f>
        <v>1</v>
      </c>
      <c r="F11" s="15">
        <v>0.15</v>
      </c>
      <c r="G11" s="15">
        <f>PRODUCT(C11:F11)</f>
        <v>4.5</v>
      </c>
      <c r="H11" s="12"/>
      <c r="I11" s="12"/>
      <c r="J11" s="13"/>
      <c r="K11" s="12"/>
    </row>
    <row r="12" spans="1:11" ht="15.75" x14ac:dyDescent="0.25">
      <c r="A12" s="10"/>
      <c r="B12" s="14" t="s">
        <v>38</v>
      </c>
      <c r="C12" s="12">
        <v>0.5</v>
      </c>
      <c r="D12" s="15">
        <v>7</v>
      </c>
      <c r="E12" s="15">
        <f>F12/2</f>
        <v>1</v>
      </c>
      <c r="F12" s="15">
        <v>2</v>
      </c>
      <c r="G12" s="15">
        <f>PRODUCT(C12:F12)</f>
        <v>7</v>
      </c>
      <c r="H12" s="12"/>
      <c r="I12" s="12"/>
      <c r="J12" s="13"/>
      <c r="K12" s="12"/>
    </row>
    <row r="13" spans="1:11" s="22" customFormat="1" x14ac:dyDescent="0.25">
      <c r="A13" s="16"/>
      <c r="B13" s="17" t="s">
        <v>26</v>
      </c>
      <c r="C13" s="18"/>
      <c r="D13" s="1"/>
      <c r="E13" s="19"/>
      <c r="F13" s="19"/>
      <c r="G13" s="20">
        <f>SUM(G10:G12)</f>
        <v>14.725</v>
      </c>
      <c r="H13" s="21" t="s">
        <v>27</v>
      </c>
      <c r="I13" s="2">
        <v>748.9</v>
      </c>
      <c r="J13" s="20">
        <f>G13*I13</f>
        <v>11027.5525</v>
      </c>
      <c r="K13" s="19"/>
    </row>
    <row r="14" spans="1:11" x14ac:dyDescent="0.25">
      <c r="A14" s="10"/>
      <c r="B14" s="23"/>
      <c r="C14" s="12"/>
      <c r="D14" s="12"/>
      <c r="E14" s="12"/>
      <c r="F14" s="12"/>
      <c r="G14" s="12"/>
      <c r="H14" s="12"/>
      <c r="I14" s="12"/>
      <c r="J14" s="13"/>
      <c r="K14" s="12"/>
    </row>
    <row r="15" spans="1:11" ht="105" x14ac:dyDescent="0.25">
      <c r="A15" s="10">
        <v>2</v>
      </c>
      <c r="B15" s="11" t="s">
        <v>34</v>
      </c>
      <c r="C15" s="12"/>
      <c r="D15" s="12"/>
      <c r="E15" s="12"/>
      <c r="F15" s="12"/>
      <c r="G15" s="12"/>
      <c r="H15" s="12"/>
      <c r="I15" s="12"/>
      <c r="J15" s="12"/>
      <c r="K15" s="12"/>
    </row>
    <row r="16" spans="1:11" ht="15.75" x14ac:dyDescent="0.25">
      <c r="A16" s="10"/>
      <c r="B16" s="14" t="str">
        <f>B10</f>
        <v>-path</v>
      </c>
      <c r="C16" s="12">
        <v>1</v>
      </c>
      <c r="D16" s="15">
        <f>D10</f>
        <v>21.5</v>
      </c>
      <c r="E16" s="15">
        <f>E10</f>
        <v>1</v>
      </c>
      <c r="F16" s="12">
        <v>0.15</v>
      </c>
      <c r="G16" s="15">
        <f t="shared" ref="G16:G18" si="0">PRODUCT(C16:F16)</f>
        <v>3.2250000000000001</v>
      </c>
      <c r="H16" s="12"/>
      <c r="I16" s="12"/>
      <c r="J16" s="13"/>
      <c r="K16" s="12"/>
    </row>
    <row r="17" spans="1:11" ht="15.75" x14ac:dyDescent="0.25">
      <c r="A17" s="10"/>
      <c r="B17" s="14"/>
      <c r="C17" s="12">
        <v>1</v>
      </c>
      <c r="D17" s="15">
        <f>D11</f>
        <v>30</v>
      </c>
      <c r="E17" s="15">
        <f>E11</f>
        <v>1</v>
      </c>
      <c r="F17" s="12">
        <v>0.15</v>
      </c>
      <c r="G17" s="15">
        <f t="shared" si="0"/>
        <v>4.5</v>
      </c>
      <c r="H17" s="12"/>
      <c r="I17" s="12"/>
      <c r="J17" s="13"/>
      <c r="K17" s="12"/>
    </row>
    <row r="18" spans="1:11" ht="15.75" x14ac:dyDescent="0.25">
      <c r="A18" s="10"/>
      <c r="B18" s="14" t="str">
        <f>B12</f>
        <v>-masonary wall</v>
      </c>
      <c r="C18" s="12">
        <f>C24</f>
        <v>1</v>
      </c>
      <c r="D18" s="15">
        <f>D12</f>
        <v>7</v>
      </c>
      <c r="E18" s="15">
        <f>E12</f>
        <v>1</v>
      </c>
      <c r="F18" s="12">
        <v>0.15</v>
      </c>
      <c r="G18" s="15">
        <f t="shared" si="0"/>
        <v>1.05</v>
      </c>
      <c r="H18" s="12"/>
      <c r="I18" s="12"/>
      <c r="J18" s="13"/>
      <c r="K18" s="12"/>
    </row>
    <row r="19" spans="1:11" s="22" customFormat="1" x14ac:dyDescent="0.25">
      <c r="A19" s="16"/>
      <c r="B19" s="17" t="s">
        <v>26</v>
      </c>
      <c r="C19" s="18"/>
      <c r="D19" s="1"/>
      <c r="E19" s="19"/>
      <c r="F19" s="19"/>
      <c r="G19" s="20">
        <f>SUM(G16:G18)</f>
        <v>8.7750000000000004</v>
      </c>
      <c r="H19" s="21" t="s">
        <v>27</v>
      </c>
      <c r="I19" s="2">
        <v>4458.5200000000004</v>
      </c>
      <c r="J19" s="20">
        <f>G19*I19</f>
        <v>39123.513000000006</v>
      </c>
      <c r="K19" s="19"/>
    </row>
    <row r="20" spans="1:11" x14ac:dyDescent="0.25">
      <c r="A20" s="10"/>
      <c r="B20" s="23" t="s">
        <v>32</v>
      </c>
      <c r="C20" s="12"/>
      <c r="D20" s="12"/>
      <c r="E20" s="12"/>
      <c r="F20" s="12"/>
      <c r="G20" s="12"/>
      <c r="H20" s="12"/>
      <c r="I20" s="12"/>
      <c r="J20" s="13">
        <f>0.13*G19*14817.6/5</f>
        <v>3380.6354400000005</v>
      </c>
      <c r="K20" s="12"/>
    </row>
    <row r="21" spans="1:11" x14ac:dyDescent="0.25">
      <c r="A21" s="10"/>
      <c r="B21" s="11"/>
      <c r="C21" s="12"/>
      <c r="D21" s="12"/>
      <c r="E21" s="12"/>
      <c r="F21" s="12"/>
      <c r="G21" s="12"/>
      <c r="H21" s="12"/>
      <c r="I21" s="12"/>
      <c r="J21" s="12"/>
      <c r="K21" s="12"/>
    </row>
    <row r="22" spans="1:11" ht="90" x14ac:dyDescent="0.25">
      <c r="A22" s="10">
        <v>3</v>
      </c>
      <c r="B22" s="11" t="s">
        <v>35</v>
      </c>
      <c r="C22" s="12"/>
      <c r="D22" s="24"/>
      <c r="E22" s="24"/>
      <c r="F22" s="24"/>
      <c r="G22" s="12"/>
      <c r="H22" s="12"/>
      <c r="I22" s="12"/>
      <c r="J22" s="13"/>
      <c r="K22" s="12"/>
    </row>
    <row r="23" spans="1:11" ht="15.75" x14ac:dyDescent="0.25">
      <c r="A23" s="10"/>
      <c r="B23" s="14" t="str">
        <f>B16</f>
        <v>-path</v>
      </c>
      <c r="C23" s="12">
        <v>1</v>
      </c>
      <c r="D23" s="15">
        <f>D16</f>
        <v>21.5</v>
      </c>
      <c r="E23" s="15">
        <f>E16</f>
        <v>1</v>
      </c>
      <c r="F23" s="15">
        <v>0.1</v>
      </c>
      <c r="G23" s="15">
        <f t="shared" ref="G23" si="1">PRODUCT(C23:F23)</f>
        <v>2.15</v>
      </c>
      <c r="H23" s="12"/>
      <c r="I23" s="12"/>
      <c r="J23" s="13"/>
      <c r="K23" s="12"/>
    </row>
    <row r="24" spans="1:11" ht="15.75" x14ac:dyDescent="0.25">
      <c r="A24" s="10"/>
      <c r="B24" s="14"/>
      <c r="C24" s="12">
        <f>C35</f>
        <v>1</v>
      </c>
      <c r="D24" s="15">
        <f>D17</f>
        <v>30</v>
      </c>
      <c r="E24" s="15">
        <f>E17</f>
        <v>1</v>
      </c>
      <c r="F24" s="15">
        <v>0.1</v>
      </c>
      <c r="G24" s="15">
        <f>PRODUCT(C24:F24)</f>
        <v>3</v>
      </c>
      <c r="H24" s="12"/>
      <c r="I24" s="12"/>
      <c r="J24" s="13"/>
      <c r="K24" s="12"/>
    </row>
    <row r="25" spans="1:11" ht="15.75" x14ac:dyDescent="0.25">
      <c r="A25" s="10"/>
      <c r="B25" s="14" t="str">
        <f>B18</f>
        <v>-masonary wall</v>
      </c>
      <c r="C25" s="12">
        <f>C24</f>
        <v>1</v>
      </c>
      <c r="D25" s="15">
        <f>D18</f>
        <v>7</v>
      </c>
      <c r="E25" s="15">
        <f>E18</f>
        <v>1</v>
      </c>
      <c r="F25" s="15">
        <f>0.05</f>
        <v>0.05</v>
      </c>
      <c r="G25" s="15">
        <f>PRODUCT(C25:F25)</f>
        <v>0.35000000000000003</v>
      </c>
      <c r="H25" s="12"/>
      <c r="I25" s="12"/>
      <c r="J25" s="13"/>
      <c r="K25" s="12"/>
    </row>
    <row r="26" spans="1:11" ht="15.75" x14ac:dyDescent="0.25">
      <c r="A26" s="10"/>
      <c r="B26" s="14"/>
      <c r="C26" s="12">
        <f>C25</f>
        <v>1</v>
      </c>
      <c r="D26" s="15">
        <f>D25</f>
        <v>7</v>
      </c>
      <c r="E26" s="12">
        <v>0.45</v>
      </c>
      <c r="F26" s="12">
        <v>0.05</v>
      </c>
      <c r="G26" s="15">
        <f>PRODUCT(C26:F26)</f>
        <v>0.1575</v>
      </c>
      <c r="H26" s="12"/>
      <c r="I26" s="12"/>
      <c r="J26" s="13"/>
      <c r="K26" s="12"/>
    </row>
    <row r="27" spans="1:11" s="22" customFormat="1" x14ac:dyDescent="0.25">
      <c r="A27" s="16"/>
      <c r="B27" s="17" t="s">
        <v>26</v>
      </c>
      <c r="C27" s="18"/>
      <c r="D27" s="1"/>
      <c r="E27" s="19"/>
      <c r="F27" s="19"/>
      <c r="G27" s="20">
        <f>SUM(G23:G26)</f>
        <v>5.6574999999999998</v>
      </c>
      <c r="H27" s="21" t="s">
        <v>27</v>
      </c>
      <c r="I27" s="2">
        <v>11587.52</v>
      </c>
      <c r="J27" s="20">
        <f>G27*I27</f>
        <v>65556.394400000005</v>
      </c>
      <c r="K27" s="19"/>
    </row>
    <row r="28" spans="1:11" x14ac:dyDescent="0.25">
      <c r="A28" s="10"/>
      <c r="B28" s="23" t="s">
        <v>30</v>
      </c>
      <c r="C28" s="12"/>
      <c r="D28" s="12"/>
      <c r="E28" s="12"/>
      <c r="F28" s="12"/>
      <c r="G28" s="12"/>
      <c r="H28" s="12"/>
      <c r="I28" s="12"/>
      <c r="J28" s="13">
        <f>0.13*G27*53818.03/15</f>
        <v>2638.7877076166669</v>
      </c>
      <c r="K28" s="12"/>
    </row>
    <row r="29" spans="1:11" x14ac:dyDescent="0.25">
      <c r="A29" s="10"/>
      <c r="B29" s="23" t="s">
        <v>29</v>
      </c>
      <c r="C29" s="12"/>
      <c r="D29" s="12"/>
      <c r="E29" s="12"/>
      <c r="F29" s="12"/>
      <c r="G29" s="12"/>
      <c r="H29" s="12"/>
      <c r="I29" s="12"/>
      <c r="J29" s="13">
        <f>0.13*G27*21432.6/15</f>
        <v>1050.8760989999998</v>
      </c>
      <c r="K29" s="12"/>
    </row>
    <row r="30" spans="1:11" x14ac:dyDescent="0.25">
      <c r="A30" s="10"/>
      <c r="B30" s="23" t="s">
        <v>31</v>
      </c>
      <c r="C30" s="12"/>
      <c r="D30" s="12"/>
      <c r="E30" s="12"/>
      <c r="F30" s="12"/>
      <c r="G30" s="12"/>
      <c r="H30" s="12"/>
      <c r="I30" s="12"/>
      <c r="J30" s="13">
        <f>0.13*G27*(25719.12+13573.98+4286.52)/15</f>
        <v>2136.7814012999997</v>
      </c>
      <c r="K30" s="12"/>
    </row>
    <row r="31" spans="1:11" x14ac:dyDescent="0.25">
      <c r="A31" s="10"/>
      <c r="B31" s="23" t="s">
        <v>36</v>
      </c>
      <c r="C31" s="12"/>
      <c r="D31" s="12"/>
      <c r="E31" s="12"/>
      <c r="F31" s="12"/>
      <c r="G31" s="12"/>
      <c r="H31" s="12"/>
      <c r="I31" s="12"/>
      <c r="J31" s="13">
        <f>0.13*G27*620/15</f>
        <v>30.399633333333334</v>
      </c>
      <c r="K31" s="12"/>
    </row>
    <row r="32" spans="1:11" x14ac:dyDescent="0.25">
      <c r="A32" s="10"/>
      <c r="B32" s="23" t="s">
        <v>37</v>
      </c>
      <c r="C32" s="12"/>
      <c r="D32" s="12"/>
      <c r="E32" s="12"/>
      <c r="F32" s="12"/>
      <c r="G32" s="12"/>
      <c r="H32" s="12"/>
      <c r="I32" s="12"/>
      <c r="J32" s="13">
        <f>0.13*G27*6685.1/15</f>
        <v>327.78159483333337</v>
      </c>
      <c r="K32" s="12"/>
    </row>
    <row r="33" spans="1:13" x14ac:dyDescent="0.25">
      <c r="A33" s="10"/>
      <c r="B33" s="23"/>
      <c r="C33" s="12"/>
      <c r="D33" s="12"/>
      <c r="E33" s="12"/>
      <c r="F33" s="12"/>
      <c r="G33" s="12"/>
      <c r="H33" s="12"/>
      <c r="I33" s="12"/>
      <c r="J33" s="13"/>
      <c r="K33" s="12"/>
    </row>
    <row r="34" spans="1:13" ht="90" x14ac:dyDescent="0.25">
      <c r="A34" s="10">
        <v>4</v>
      </c>
      <c r="B34" s="11" t="s">
        <v>39</v>
      </c>
      <c r="C34" s="12"/>
      <c r="D34" s="24"/>
      <c r="E34" s="24"/>
      <c r="F34" s="24"/>
      <c r="G34" s="12"/>
      <c r="H34" s="12"/>
      <c r="I34" s="12"/>
      <c r="J34" s="13"/>
      <c r="K34" s="12"/>
    </row>
    <row r="35" spans="1:13" x14ac:dyDescent="0.25">
      <c r="A35" s="10"/>
      <c r="B35" s="17" t="s">
        <v>38</v>
      </c>
      <c r="C35" s="12">
        <v>1</v>
      </c>
      <c r="D35" s="15">
        <f>D25</f>
        <v>7</v>
      </c>
      <c r="E35" s="15">
        <f>(0.45+(F35/2))/2</f>
        <v>0.72499999999999998</v>
      </c>
      <c r="F35" s="15">
        <v>2</v>
      </c>
      <c r="G35" s="15">
        <f>PRODUCT(C35:F35)</f>
        <v>10.15</v>
      </c>
      <c r="H35" s="12"/>
      <c r="I35" s="12"/>
      <c r="J35" s="13"/>
      <c r="K35" s="12"/>
      <c r="M35" s="3">
        <f>1600000/6</f>
        <v>266666.66666666669</v>
      </c>
    </row>
    <row r="36" spans="1:13" s="22" customFormat="1" x14ac:dyDescent="0.25">
      <c r="A36" s="16"/>
      <c r="B36" s="17" t="s">
        <v>26</v>
      </c>
      <c r="C36" s="18"/>
      <c r="D36" s="1"/>
      <c r="E36" s="19"/>
      <c r="F36" s="19"/>
      <c r="G36" s="20">
        <f>SUM(G35:G35)</f>
        <v>10.15</v>
      </c>
      <c r="H36" s="21" t="s">
        <v>27</v>
      </c>
      <c r="I36" s="2">
        <v>8987.83</v>
      </c>
      <c r="J36" s="20">
        <f>G36*I36</f>
        <v>91226.474499999997</v>
      </c>
      <c r="K36" s="19"/>
    </row>
    <row r="37" spans="1:13" x14ac:dyDescent="0.25">
      <c r="A37" s="10"/>
      <c r="B37" s="23" t="s">
        <v>30</v>
      </c>
      <c r="C37" s="12"/>
      <c r="D37" s="12"/>
      <c r="E37" s="12"/>
      <c r="F37" s="12"/>
      <c r="G37" s="12"/>
      <c r="H37" s="12"/>
      <c r="I37" s="12"/>
      <c r="J37" s="13">
        <f>0.13*G36*(5863.95)/5</f>
        <v>1547.4964050000001</v>
      </c>
      <c r="K37" s="12"/>
    </row>
    <row r="38" spans="1:13" x14ac:dyDescent="0.25">
      <c r="A38" s="10"/>
      <c r="B38" s="23" t="s">
        <v>29</v>
      </c>
      <c r="C38" s="12"/>
      <c r="D38" s="12"/>
      <c r="E38" s="12"/>
      <c r="F38" s="12"/>
      <c r="G38" s="12"/>
      <c r="H38" s="12"/>
      <c r="I38" s="12"/>
      <c r="J38" s="13">
        <f>0.13*G36*(6604.416)/5</f>
        <v>1742.9053824000002</v>
      </c>
      <c r="K38" s="12"/>
    </row>
    <row r="39" spans="1:13" x14ac:dyDescent="0.25">
      <c r="A39" s="10"/>
      <c r="B39" s="23" t="s">
        <v>40</v>
      </c>
      <c r="C39" s="12"/>
      <c r="D39" s="12"/>
      <c r="E39" s="12"/>
      <c r="F39" s="12"/>
      <c r="G39" s="12"/>
      <c r="H39" s="12"/>
      <c r="I39" s="12"/>
      <c r="J39" s="13">
        <f>0.13*G36*(14808.78)/5</f>
        <v>3908.0370420000008</v>
      </c>
      <c r="K39" s="12"/>
    </row>
    <row r="40" spans="1:13" x14ac:dyDescent="0.25">
      <c r="A40" s="10"/>
      <c r="B40" s="23" t="s">
        <v>36</v>
      </c>
      <c r="C40" s="12"/>
      <c r="D40" s="12"/>
      <c r="E40" s="12"/>
      <c r="F40" s="12"/>
      <c r="G40" s="12"/>
      <c r="H40" s="12"/>
      <c r="I40" s="12"/>
      <c r="J40" s="13">
        <f>0.13*G36*(310)/5</f>
        <v>81.808999999999997</v>
      </c>
      <c r="K40" s="12"/>
    </row>
    <row r="41" spans="1:13" x14ac:dyDescent="0.25">
      <c r="A41" s="10"/>
      <c r="B41" s="23"/>
      <c r="C41" s="12"/>
      <c r="D41" s="12"/>
      <c r="E41" s="12"/>
      <c r="F41" s="12"/>
      <c r="G41" s="12"/>
      <c r="H41" s="12"/>
      <c r="I41" s="12"/>
      <c r="J41" s="13"/>
      <c r="K41" s="12"/>
    </row>
    <row r="42" spans="1:13" ht="15" customHeight="1" x14ac:dyDescent="0.25">
      <c r="A42" s="16">
        <v>5</v>
      </c>
      <c r="B42" s="25" t="s">
        <v>16</v>
      </c>
      <c r="C42" s="18">
        <v>1</v>
      </c>
      <c r="D42" s="1"/>
      <c r="E42" s="19"/>
      <c r="F42" s="19"/>
      <c r="G42" s="21">
        <f t="shared" ref="G42" si="2">PRODUCT(C42:F42)</f>
        <v>1</v>
      </c>
      <c r="H42" s="21" t="s">
        <v>17</v>
      </c>
      <c r="I42" s="2">
        <v>500</v>
      </c>
      <c r="J42" s="21">
        <f>G42*I42</f>
        <v>500</v>
      </c>
      <c r="K42" s="19"/>
    </row>
    <row r="43" spans="1:13" x14ac:dyDescent="0.25">
      <c r="A43" s="16"/>
      <c r="B43" s="26"/>
      <c r="C43" s="18"/>
      <c r="D43" s="1"/>
      <c r="E43" s="19"/>
      <c r="F43" s="19"/>
      <c r="G43" s="2"/>
      <c r="H43" s="21"/>
      <c r="I43" s="2"/>
      <c r="J43" s="13"/>
      <c r="K43" s="19"/>
    </row>
    <row r="44" spans="1:13" x14ac:dyDescent="0.25">
      <c r="A44" s="27"/>
      <c r="B44" s="28" t="s">
        <v>19</v>
      </c>
      <c r="C44" s="29"/>
      <c r="D44" s="30"/>
      <c r="E44" s="30"/>
      <c r="F44" s="30"/>
      <c r="G44" s="13"/>
      <c r="H44" s="13"/>
      <c r="I44" s="13"/>
      <c r="J44" s="13">
        <f>SUM(J9:J42)</f>
        <v>224279.44410548336</v>
      </c>
      <c r="K44" s="31"/>
    </row>
    <row r="46" spans="1:13" s="22" customFormat="1" x14ac:dyDescent="0.25">
      <c r="A46" s="32"/>
      <c r="B46" s="33" t="s">
        <v>18</v>
      </c>
      <c r="C46" s="39">
        <f>J44</f>
        <v>224279.44410548336</v>
      </c>
      <c r="D46" s="40"/>
      <c r="E46" s="34">
        <v>100</v>
      </c>
      <c r="F46" s="32"/>
      <c r="G46" s="35"/>
      <c r="H46" s="32"/>
      <c r="I46" s="36"/>
      <c r="J46" s="37"/>
      <c r="K46" s="38"/>
    </row>
    <row r="47" spans="1:13" x14ac:dyDescent="0.25">
      <c r="B47" s="33" t="s">
        <v>20</v>
      </c>
      <c r="C47" s="43">
        <f>266666.67</f>
        <v>266666.67</v>
      </c>
      <c r="D47" s="44"/>
      <c r="E47" s="34"/>
    </row>
    <row r="48" spans="1:13" x14ac:dyDescent="0.25">
      <c r="B48" s="33" t="s">
        <v>21</v>
      </c>
      <c r="C48" s="43">
        <f>C47-C50-C51</f>
        <v>253333.33649999998</v>
      </c>
      <c r="D48" s="44"/>
      <c r="E48" s="34">
        <f>C48/C46*100</f>
        <v>112.95432691586838</v>
      </c>
    </row>
    <row r="49" spans="2:5" x14ac:dyDescent="0.25">
      <c r="B49" s="33" t="s">
        <v>25</v>
      </c>
      <c r="C49" s="45">
        <f>C46-C48</f>
        <v>-29053.892394516617</v>
      </c>
      <c r="D49" s="45"/>
      <c r="E49" s="34">
        <f>100-E48</f>
        <v>-12.954326915868378</v>
      </c>
    </row>
    <row r="50" spans="2:5" x14ac:dyDescent="0.25">
      <c r="B50" s="33" t="s">
        <v>22</v>
      </c>
      <c r="C50" s="39">
        <f>C47*0.03</f>
        <v>8000.0000999999993</v>
      </c>
      <c r="D50" s="40"/>
      <c r="E50" s="34">
        <v>3</v>
      </c>
    </row>
    <row r="51" spans="2:5" x14ac:dyDescent="0.25">
      <c r="B51" s="33" t="s">
        <v>23</v>
      </c>
      <c r="C51" s="39">
        <f>C47*0.02</f>
        <v>5333.3333999999995</v>
      </c>
      <c r="D51" s="40"/>
      <c r="E51" s="34">
        <v>2</v>
      </c>
    </row>
  </sheetData>
  <mergeCells count="15">
    <mergeCell ref="A6:F6"/>
    <mergeCell ref="H6:K6"/>
    <mergeCell ref="A1:K1"/>
    <mergeCell ref="A2:K2"/>
    <mergeCell ref="A3:K3"/>
    <mergeCell ref="A4:K4"/>
    <mergeCell ref="A5:K5"/>
    <mergeCell ref="C50:D50"/>
    <mergeCell ref="C51:D51"/>
    <mergeCell ref="A7:F7"/>
    <mergeCell ref="H7:K7"/>
    <mergeCell ref="C46:D46"/>
    <mergeCell ref="C47:D47"/>
    <mergeCell ref="C48:D48"/>
    <mergeCell ref="C49:D49"/>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2026-03-09T07:34:54Z</dcterms:modified>
</cp:coreProperties>
</file>