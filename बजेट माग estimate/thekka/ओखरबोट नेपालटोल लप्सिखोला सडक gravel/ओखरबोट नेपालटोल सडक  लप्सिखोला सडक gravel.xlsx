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estimate!$A$1:$K$66</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4" l="1"/>
  <c r="G24" i="14"/>
  <c r="G23" i="14"/>
  <c r="D23" i="14"/>
  <c r="J55" i="14"/>
  <c r="G55" i="14"/>
  <c r="J53" i="14"/>
  <c r="J52" i="14"/>
  <c r="J51" i="14"/>
  <c r="J50" i="14"/>
  <c r="J49" i="14"/>
  <c r="E47" i="14"/>
  <c r="D47" i="14"/>
  <c r="G47" i="14" s="1"/>
  <c r="G48" i="14" s="1"/>
  <c r="C47" i="14"/>
  <c r="J44" i="14"/>
  <c r="J43" i="14"/>
  <c r="J42" i="14"/>
  <c r="G40" i="14"/>
  <c r="G41" i="14" s="1"/>
  <c r="J37" i="14"/>
  <c r="J35" i="14"/>
  <c r="J36" i="14"/>
  <c r="J34" i="14"/>
  <c r="D32" i="14"/>
  <c r="G12" i="14"/>
  <c r="E11" i="14"/>
  <c r="D11" i="14"/>
  <c r="J48" i="14" l="1"/>
  <c r="J41" i="14"/>
  <c r="E17" i="14"/>
  <c r="E22" i="14" s="1"/>
  <c r="D17" i="14"/>
  <c r="D22" i="14" s="1"/>
  <c r="C17" i="14"/>
  <c r="B17" i="14"/>
  <c r="B22" i="14" s="1"/>
  <c r="B32" i="14" s="1"/>
  <c r="G11" i="14"/>
  <c r="G17" i="14" l="1"/>
  <c r="G18" i="14" s="1"/>
  <c r="C22" i="14"/>
  <c r="C66" i="14"/>
  <c r="C65" i="14"/>
  <c r="G57" i="14"/>
  <c r="J57" i="14" s="1"/>
  <c r="N10" i="14"/>
  <c r="M10" i="14"/>
  <c r="P10" i="14" s="1"/>
  <c r="G22" i="14" l="1"/>
  <c r="J29" i="14" s="1"/>
  <c r="G32" i="14"/>
  <c r="C63" i="14"/>
  <c r="G10" i="14"/>
  <c r="G33" i="14" l="1"/>
  <c r="J33" i="14" s="1"/>
  <c r="J28" i="14"/>
  <c r="J25" i="14"/>
  <c r="J24" i="14"/>
  <c r="J26" i="14"/>
  <c r="J27" i="14"/>
  <c r="J13" i="14"/>
  <c r="J14" i="14"/>
  <c r="J19" i="14"/>
  <c r="J18" i="14"/>
  <c r="J59" i="14" l="1"/>
  <c r="C61" i="14" s="1"/>
  <c r="E63" i="14" s="1"/>
  <c r="E64" i="14" s="1"/>
  <c r="C64" i="14" l="1"/>
</calcChain>
</file>

<file path=xl/sharedStrings.xml><?xml version="1.0" encoding="utf-8"?>
<sst xmlns="http://schemas.openxmlformats.org/spreadsheetml/2006/main" count="74" uniqueCount="60">
  <si>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</si>
  <si>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</si>
  <si>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</si>
  <si>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</si>
  <si>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</si>
  <si>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</si>
  <si>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</si>
  <si>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</si>
  <si>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</si>
  <si>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</si>
  <si>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</si>
  <si>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</si>
  <si>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</si>
  <si>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</si>
  <si>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</si>
  <si>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</si>
  <si>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</si>
  <si>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</si>
  <si>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</si>
  <si>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</si>
  <si>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</si>
  <si>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</si>
  <si>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</si>
  <si>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</si>
  <si>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</si>
  <si>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</si>
  <si>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</si>
  <si>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</si>
  <si>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</si>
  <si>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</si>
  <si>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</si>
  <si>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</si>
  <si>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</si>
  <si>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</si>
  <si>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</si>
  <si>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</si>
  <si>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Date: 2082/09/06</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</si>
  <si>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</si>
  <si>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</si>
  <si>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</si>
  <si>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r>
      <t xml:space="preserve">Project:- </t>
    </r>
    <r>
      <rPr>
        <b/>
        <sz val="14"/>
        <rFont val="Preeti"/>
      </rPr>
      <t>nK;Lvf]nf ;8s</t>
    </r>
  </si>
  <si>
    <t>-for mangaal</t>
  </si>
  <si>
    <t>-for road</t>
  </si>
  <si>
    <t>-for road levelling</t>
  </si>
  <si>
    <t>-for hume pipe</t>
  </si>
  <si>
    <t>Random Rubble Masonry, Providing and laying of Stone Masonry Work in Cement Mortar 1:6 in Foundation complete as per Drawing and Technical Specifications., Using Concrete Mixer</t>
  </si>
  <si>
    <t>-13% VAT for stone</t>
  </si>
  <si>
    <t>Providing and Laying Reinforced cement concrete NP3 Flush jointed pipe for culverts including fixing with cement mortar 1:2 as per Drawing and Technical Specifications., 450 mm  internal dia.</t>
  </si>
  <si>
    <t>rm</t>
  </si>
  <si>
    <t>-13% VAT for NP3 RCC pipe 450mm dia</t>
  </si>
  <si>
    <t>-450mm dia hume pipe</t>
  </si>
  <si>
    <t>Providing and laying  granular sub-base   on prepared surface, mixing  at OMC, and compacting  to achieve the desired density, complete as per Drawing and Technical Specifications., By Mechanical means</t>
  </si>
  <si>
    <t>cum</t>
  </si>
  <si>
    <t>-13% VAT for sub-base material S1 type or S2 type</t>
  </si>
  <si>
    <t>-13% VAT for mortar grader</t>
  </si>
  <si>
    <t>-13% VAT for vibratory road roller</t>
  </si>
  <si>
    <t>-13% VAT for tractor/loader</t>
  </si>
  <si>
    <t>Provisional sum for lab test</t>
  </si>
  <si>
    <t>PS</t>
  </si>
  <si>
    <t>-for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</si>
</sst>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applyBorder="1"/>
    <xf numFmtId="1" fontId="4" fillId="0" borderId="2" xfId="0" applyNumberFormat="1" applyFont="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4" fillId="0" borderId="2" xfId="0" quotePrefix="1" applyFont="1" applyBorder="1" applyAlignment="1">
      <alignment horizontal="right" wrapText="1"/>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6"/>
  <sheetViews>
    <sheetView tabSelected="1" topLeftCell="A49" zoomScale="90" zoomScaleNormal="90" zoomScaleSheetLayoutView="95" workbookViewId="0">
      <selection activeCell="C63" sqref="C63:D63"/>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40" t="s">
        <v>0</v>
      </c>
      <c r="B1" s="40"/>
      <c r="C1" s="40"/>
      <c r="D1" s="40"/>
      <c r="E1" s="40"/>
      <c r="F1" s="40"/>
      <c r="G1" s="40"/>
      <c r="H1" s="40"/>
      <c r="I1" s="40"/>
      <c r="J1" s="40"/>
      <c r="K1" s="40"/>
    </row>
    <row r="2" spans="1:16" ht="22.8" x14ac:dyDescent="0.3">
      <c r="A2" s="41" t="s">
        <v>1</v>
      </c>
      <c r="B2" s="41"/>
      <c r="C2" s="41"/>
      <c r="D2" s="41"/>
      <c r="E2" s="41"/>
      <c r="F2" s="41"/>
      <c r="G2" s="41"/>
      <c r="H2" s="41"/>
      <c r="I2" s="41"/>
      <c r="J2" s="41"/>
      <c r="K2" s="41"/>
    </row>
    <row r="3" spans="1:16" x14ac:dyDescent="0.3">
      <c r="A3" s="42" t="s">
        <v>2</v>
      </c>
      <c r="B3" s="42"/>
      <c r="C3" s="42"/>
      <c r="D3" s="42"/>
      <c r="E3" s="42"/>
      <c r="F3" s="42"/>
      <c r="G3" s="42"/>
      <c r="H3" s="42"/>
      <c r="I3" s="42"/>
      <c r="J3" s="42"/>
      <c r="K3" s="42"/>
    </row>
    <row r="4" spans="1:16" x14ac:dyDescent="0.3">
      <c r="A4" s="42" t="s">
        <v>3</v>
      </c>
      <c r="B4" s="42"/>
      <c r="C4" s="42"/>
      <c r="D4" s="42"/>
      <c r="E4" s="42"/>
      <c r="F4" s="42"/>
      <c r="G4" s="42"/>
      <c r="H4" s="42"/>
      <c r="I4" s="42"/>
      <c r="J4" s="42"/>
      <c r="K4" s="42"/>
    </row>
    <row r="5" spans="1:16" ht="17.399999999999999" x14ac:dyDescent="0.3">
      <c r="A5" s="43" t="s">
        <v>4</v>
      </c>
      <c r="B5" s="43"/>
      <c r="C5" s="43"/>
      <c r="D5" s="43"/>
      <c r="E5" s="43"/>
      <c r="F5" s="43"/>
      <c r="G5" s="43"/>
      <c r="H5" s="43"/>
      <c r="I5" s="43"/>
      <c r="J5" s="43"/>
      <c r="K5" s="43"/>
    </row>
    <row r="6" spans="1:16" ht="17.399999999999999" x14ac:dyDescent="0.3">
      <c r="A6" s="38" t="s">
        <v>40</v>
      </c>
      <c r="B6" s="38"/>
      <c r="C6" s="38"/>
      <c r="D6" s="38"/>
      <c r="E6" s="38"/>
      <c r="F6" s="38"/>
      <c r="G6" s="10"/>
      <c r="H6" s="39" t="s">
        <v>27</v>
      </c>
      <c r="I6" s="39"/>
      <c r="J6" s="39"/>
      <c r="K6" s="39"/>
    </row>
    <row r="7" spans="1:16" ht="15.6" x14ac:dyDescent="0.3">
      <c r="A7" s="46" t="s">
        <v>37</v>
      </c>
      <c r="B7" s="46"/>
      <c r="C7" s="46"/>
      <c r="D7" s="46"/>
      <c r="E7" s="46"/>
      <c r="F7" s="46"/>
      <c r="G7" s="11"/>
      <c r="H7" s="47" t="s">
        <v>36</v>
      </c>
      <c r="I7" s="47"/>
      <c r="J7" s="47"/>
      <c r="K7" s="47"/>
    </row>
    <row r="8" spans="1:16" ht="15.6" x14ac:dyDescent="0.3">
      <c r="A8" s="12" t="s">
        <v>5</v>
      </c>
      <c r="B8" s="13" t="s">
        <v>6</v>
      </c>
      <c r="C8" s="12" t="s">
        <v>7</v>
      </c>
      <c r="D8" s="14" t="s">
        <v>8</v>
      </c>
      <c r="E8" s="14" t="s">
        <v>9</v>
      </c>
      <c r="F8" s="14" t="s">
        <v>10</v>
      </c>
      <c r="G8" s="14" t="s">
        <v>11</v>
      </c>
      <c r="H8" s="12" t="s">
        <v>12</v>
      </c>
      <c r="I8" s="14" t="s">
        <v>13</v>
      </c>
      <c r="J8" s="14" t="s">
        <v>14</v>
      </c>
      <c r="K8" s="15" t="s">
        <v>15</v>
      </c>
    </row>
    <row r="9" spans="1:16" ht="171.6" x14ac:dyDescent="0.3">
      <c r="A9" s="16">
        <v>1</v>
      </c>
      <c r="B9" s="35" t="s">
        <v>38</v>
      </c>
      <c r="C9" s="17"/>
      <c r="D9" s="17"/>
      <c r="E9" s="17"/>
      <c r="F9" s="17"/>
      <c r="G9" s="17"/>
      <c r="H9" s="17"/>
      <c r="I9" s="17"/>
      <c r="J9" s="17"/>
      <c r="K9" s="17"/>
    </row>
    <row r="10" spans="1:16" x14ac:dyDescent="0.3">
      <c r="A10" s="16"/>
      <c r="B10" s="32" t="s">
        <v>43</v>
      </c>
      <c r="C10" s="37">
        <v>0.5</v>
      </c>
      <c r="D10" s="33">
        <v>400</v>
      </c>
      <c r="E10" s="33">
        <v>3.5</v>
      </c>
      <c r="F10" s="33">
        <v>0.15</v>
      </c>
      <c r="G10" s="33">
        <f>PRODUCT(C10:F10)</f>
        <v>105</v>
      </c>
      <c r="H10" s="17"/>
      <c r="I10" s="17"/>
      <c r="J10" s="17"/>
      <c r="K10" s="17"/>
      <c r="M10" s="33">
        <f>7</f>
        <v>7</v>
      </c>
      <c r="N10" s="33">
        <f>2</f>
        <v>2</v>
      </c>
      <c r="O10" s="33"/>
      <c r="P10" s="33">
        <f>PI()*M10*SQRT(M10^2+N10^2)</f>
        <v>160.09797821843054</v>
      </c>
    </row>
    <row r="11" spans="1:16" x14ac:dyDescent="0.3">
      <c r="A11" s="16"/>
      <c r="B11" s="32" t="s">
        <v>41</v>
      </c>
      <c r="C11" s="17">
        <v>1</v>
      </c>
      <c r="D11" s="33">
        <f>0.9+0.45+0.45</f>
        <v>1.8</v>
      </c>
      <c r="E11" s="33">
        <f>1.8</f>
        <v>1.8</v>
      </c>
      <c r="F11" s="33">
        <v>0.75</v>
      </c>
      <c r="G11" s="33">
        <f>PRODUCT(C11:F11)</f>
        <v>2.4300000000000002</v>
      </c>
      <c r="H11" s="17"/>
      <c r="I11" s="17"/>
      <c r="J11" s="17"/>
      <c r="K11" s="17"/>
      <c r="M11" s="36"/>
      <c r="N11" s="36"/>
      <c r="O11" s="36"/>
      <c r="P11" s="36"/>
    </row>
    <row r="12" spans="1:16" x14ac:dyDescent="0.3">
      <c r="A12" s="16"/>
      <c r="B12" s="32" t="s">
        <v>44</v>
      </c>
      <c r="C12" s="17">
        <v>2</v>
      </c>
      <c r="D12" s="33">
        <v>2.5</v>
      </c>
      <c r="E12" s="33">
        <v>0.5</v>
      </c>
      <c r="F12" s="33">
        <v>0.75</v>
      </c>
      <c r="G12" s="33">
        <f>PRODUCT(C12:F12)</f>
        <v>1.875</v>
      </c>
      <c r="H12" s="17"/>
      <c r="I12" s="17"/>
      <c r="J12" s="17"/>
      <c r="K12" s="17"/>
      <c r="M12" s="36"/>
      <c r="N12" s="36"/>
      <c r="O12" s="36"/>
      <c r="P12" s="36"/>
    </row>
    <row r="13" spans="1:16" ht="15" customHeight="1" x14ac:dyDescent="0.3">
      <c r="A13" s="2"/>
      <c r="B13" s="34" t="s">
        <v>16</v>
      </c>
      <c r="C13" s="3"/>
      <c r="D13" s="4"/>
      <c r="E13" s="5"/>
      <c r="F13" s="5"/>
      <c r="G13" s="6">
        <f>SUM(G10:G12)</f>
        <v>109.30500000000001</v>
      </c>
      <c r="H13" s="7" t="s">
        <v>17</v>
      </c>
      <c r="I13" s="6">
        <v>62.95</v>
      </c>
      <c r="J13" s="18">
        <f>G13*I13</f>
        <v>6880.7497500000009</v>
      </c>
      <c r="K13" s="5"/>
    </row>
    <row r="14" spans="1:16" x14ac:dyDescent="0.3">
      <c r="A14" s="16"/>
      <c r="B14" s="32" t="s">
        <v>39</v>
      </c>
      <c r="C14" s="17"/>
      <c r="D14" s="17"/>
      <c r="E14" s="17"/>
      <c r="F14" s="17"/>
      <c r="G14" s="17"/>
      <c r="H14" s="17"/>
      <c r="I14" s="17"/>
      <c r="J14" s="18">
        <f>0.13*G13*18612/360</f>
        <v>734.63890500000014</v>
      </c>
      <c r="K14" s="17"/>
    </row>
    <row r="15" spans="1:16" x14ac:dyDescent="0.3">
      <c r="A15" s="16"/>
      <c r="B15" s="17"/>
      <c r="C15" s="17"/>
      <c r="D15" s="17"/>
      <c r="E15" s="17"/>
      <c r="F15" s="17"/>
      <c r="G15" s="17"/>
      <c r="H15" s="17"/>
      <c r="I15" s="17"/>
      <c r="J15" s="17"/>
      <c r="K15" s="17"/>
    </row>
    <row r="16" spans="1:16" ht="109.2" x14ac:dyDescent="0.3">
      <c r="A16" s="16">
        <v>2</v>
      </c>
      <c r="B16" s="35" t="s">
        <v>28</v>
      </c>
      <c r="C16" s="17"/>
      <c r="D16" s="17"/>
      <c r="E16" s="17"/>
      <c r="F16" s="17"/>
      <c r="G16" s="17"/>
      <c r="H16" s="17"/>
      <c r="I16" s="17"/>
      <c r="J16" s="17"/>
      <c r="K16" s="17"/>
    </row>
    <row r="17" spans="1:16" x14ac:dyDescent="0.3">
      <c r="A17" s="16"/>
      <c r="B17" s="32" t="str">
        <f>B11</f>
        <v>-for mangaal</v>
      </c>
      <c r="C17" s="17">
        <f>C11</f>
        <v>1</v>
      </c>
      <c r="D17" s="33">
        <f>D11</f>
        <v>1.8</v>
      </c>
      <c r="E17" s="33">
        <f>E11</f>
        <v>1.8</v>
      </c>
      <c r="F17" s="33">
        <v>0.15</v>
      </c>
      <c r="G17" s="33">
        <f>PRODUCT(C17:F17)</f>
        <v>0.48599999999999999</v>
      </c>
      <c r="H17" s="17"/>
      <c r="I17" s="17"/>
      <c r="J17" s="17"/>
      <c r="K17" s="17"/>
      <c r="M17" s="36"/>
      <c r="N17" s="36"/>
      <c r="O17" s="36"/>
      <c r="P17" s="36"/>
    </row>
    <row r="18" spans="1:16" ht="15" customHeight="1" x14ac:dyDescent="0.3">
      <c r="A18" s="2"/>
      <c r="B18" s="34" t="s">
        <v>16</v>
      </c>
      <c r="C18" s="3"/>
      <c r="D18" s="4"/>
      <c r="E18" s="5"/>
      <c r="F18" s="5"/>
      <c r="G18" s="6">
        <f>SUM(G17:G17)</f>
        <v>0.48599999999999999</v>
      </c>
      <c r="H18" s="7" t="s">
        <v>17</v>
      </c>
      <c r="I18" s="6">
        <v>4458.5200000000004</v>
      </c>
      <c r="J18" s="18">
        <f>G18*I18</f>
        <v>2166.8407200000001</v>
      </c>
      <c r="K18" s="5"/>
    </row>
    <row r="19" spans="1:16" x14ac:dyDescent="0.3">
      <c r="A19" s="16"/>
      <c r="B19" s="32" t="s">
        <v>22</v>
      </c>
      <c r="C19" s="17"/>
      <c r="D19" s="17"/>
      <c r="E19" s="17"/>
      <c r="F19" s="17"/>
      <c r="G19" s="17"/>
      <c r="H19" s="17"/>
      <c r="I19" s="17"/>
      <c r="J19" s="18">
        <f>0.13*G18*(14817.6)/5</f>
        <v>187.2351936</v>
      </c>
      <c r="K19" s="17"/>
    </row>
    <row r="20" spans="1:16" x14ac:dyDescent="0.3">
      <c r="A20" s="16"/>
      <c r="B20" s="17"/>
      <c r="C20" s="17"/>
      <c r="D20" s="17"/>
      <c r="E20" s="17"/>
      <c r="F20" s="17"/>
      <c r="G20" s="17"/>
      <c r="H20" s="17"/>
      <c r="I20" s="17"/>
      <c r="J20" s="17"/>
      <c r="K20" s="17"/>
    </row>
    <row r="21" spans="1:16" ht="93.6" x14ac:dyDescent="0.3">
      <c r="A21" s="16">
        <v>3</v>
      </c>
      <c r="B21" s="35" t="s">
        <v>29</v>
      </c>
      <c r="C21" s="17"/>
      <c r="D21" s="17"/>
      <c r="E21" s="17"/>
      <c r="F21" s="17"/>
      <c r="G21" s="17"/>
      <c r="H21" s="17"/>
      <c r="I21" s="17"/>
      <c r="J21" s="17"/>
      <c r="K21" s="17"/>
    </row>
    <row r="22" spans="1:16" x14ac:dyDescent="0.3">
      <c r="A22" s="16"/>
      <c r="B22" s="32" t="str">
        <f>B17</f>
        <v>-for mangaal</v>
      </c>
      <c r="C22" s="17">
        <f>C17</f>
        <v>1</v>
      </c>
      <c r="D22" s="33">
        <f>D17</f>
        <v>1.8</v>
      </c>
      <c r="E22" s="33">
        <f>E17</f>
        <v>1.8</v>
      </c>
      <c r="F22" s="33">
        <v>0.1</v>
      </c>
      <c r="G22" s="33">
        <f>PRODUCT(C22:F22)</f>
        <v>0.32400000000000007</v>
      </c>
      <c r="H22" s="17"/>
      <c r="I22" s="17"/>
      <c r="J22" s="17"/>
      <c r="K22" s="17"/>
      <c r="M22" s="36"/>
      <c r="N22" s="36"/>
      <c r="O22" s="36"/>
      <c r="P22" s="36"/>
    </row>
    <row r="23" spans="1:16" x14ac:dyDescent="0.3">
      <c r="A23" s="16"/>
      <c r="B23" s="32" t="s">
        <v>59</v>
      </c>
      <c r="C23" s="17">
        <v>1</v>
      </c>
      <c r="D23" s="33">
        <f>1.8+1.8+0.9+0.9</f>
        <v>5.4</v>
      </c>
      <c r="E23" s="33">
        <v>0.45</v>
      </c>
      <c r="F23" s="33">
        <v>0.05</v>
      </c>
      <c r="G23" s="33">
        <f>PRODUCT(C23:F23)</f>
        <v>0.12150000000000001</v>
      </c>
      <c r="H23" s="17"/>
      <c r="I23" s="17"/>
      <c r="J23" s="17"/>
      <c r="K23" s="17"/>
      <c r="M23" s="36"/>
      <c r="N23" s="36"/>
      <c r="O23" s="36"/>
      <c r="P23" s="36"/>
    </row>
    <row r="24" spans="1:16" ht="15" customHeight="1" x14ac:dyDescent="0.3">
      <c r="A24" s="2"/>
      <c r="B24" s="34" t="s">
        <v>16</v>
      </c>
      <c r="C24" s="3"/>
      <c r="D24" s="4"/>
      <c r="E24" s="5"/>
      <c r="F24" s="5"/>
      <c r="G24" s="6">
        <f>SUM(G22:G23)</f>
        <v>0.44550000000000006</v>
      </c>
      <c r="H24" s="7" t="s">
        <v>17</v>
      </c>
      <c r="I24" s="6">
        <v>10964.46</v>
      </c>
      <c r="J24" s="18">
        <f>G24*I24</f>
        <v>4884.6669300000003</v>
      </c>
      <c r="K24" s="5"/>
    </row>
    <row r="25" spans="1:16" x14ac:dyDescent="0.3">
      <c r="A25" s="16"/>
      <c r="B25" s="32" t="s">
        <v>30</v>
      </c>
      <c r="C25" s="17"/>
      <c r="D25" s="17"/>
      <c r="E25" s="17"/>
      <c r="F25" s="17"/>
      <c r="G25" s="17"/>
      <c r="H25" s="17"/>
      <c r="I25" s="17"/>
      <c r="J25" s="18">
        <f>0.13*G24*(53818.03)/15</f>
        <v>207.79141383000004</v>
      </c>
      <c r="K25" s="17"/>
    </row>
    <row r="26" spans="1:16" x14ac:dyDescent="0.3">
      <c r="A26" s="16"/>
      <c r="B26" s="32" t="s">
        <v>31</v>
      </c>
      <c r="C26" s="17"/>
      <c r="D26" s="17"/>
      <c r="E26" s="17"/>
      <c r="F26" s="17"/>
      <c r="G26" s="17"/>
      <c r="H26" s="17"/>
      <c r="I26" s="17"/>
      <c r="J26" s="18">
        <f>0.13*G24*(21432.6)/15</f>
        <v>82.751268600000003</v>
      </c>
      <c r="K26" s="17"/>
    </row>
    <row r="27" spans="1:16" x14ac:dyDescent="0.3">
      <c r="A27" s="16"/>
      <c r="B27" s="32" t="s">
        <v>32</v>
      </c>
      <c r="C27" s="17"/>
      <c r="D27" s="17"/>
      <c r="E27" s="17"/>
      <c r="F27" s="17"/>
      <c r="G27" s="17"/>
      <c r="H27" s="17"/>
      <c r="I27" s="17"/>
      <c r="J27" s="18">
        <f>0.13*G24*(25719.12+13573.98+4286.52)/15</f>
        <v>168.26091282000002</v>
      </c>
      <c r="K27" s="17"/>
    </row>
    <row r="28" spans="1:16" x14ac:dyDescent="0.3">
      <c r="A28" s="16"/>
      <c r="B28" s="32" t="s">
        <v>33</v>
      </c>
      <c r="C28" s="17"/>
      <c r="D28" s="17"/>
      <c r="E28" s="17"/>
      <c r="F28" s="17"/>
      <c r="G28" s="17"/>
      <c r="H28" s="17"/>
      <c r="I28" s="17"/>
      <c r="J28" s="18">
        <f>0.13*G24*(6325.7)/15</f>
        <v>24.423527700000005</v>
      </c>
      <c r="K28" s="17"/>
    </row>
    <row r="29" spans="1:16" x14ac:dyDescent="0.3">
      <c r="A29" s="16"/>
      <c r="B29" s="32" t="s">
        <v>34</v>
      </c>
      <c r="C29" s="17"/>
      <c r="D29" s="17"/>
      <c r="E29" s="17"/>
      <c r="F29" s="17"/>
      <c r="G29" s="17"/>
      <c r="H29" s="17"/>
      <c r="I29" s="17"/>
      <c r="J29" s="18">
        <f>0.13*G24*(310)/5</f>
        <v>3.5907300000000006</v>
      </c>
      <c r="K29" s="17"/>
    </row>
    <row r="30" spans="1:16" x14ac:dyDescent="0.3">
      <c r="A30" s="16"/>
      <c r="B30" s="17"/>
      <c r="C30" s="17"/>
      <c r="D30" s="17"/>
      <c r="E30" s="17"/>
      <c r="F30" s="17"/>
      <c r="G30" s="17"/>
      <c r="H30" s="17"/>
      <c r="I30" s="17"/>
      <c r="J30" s="17"/>
      <c r="K30" s="17"/>
    </row>
    <row r="31" spans="1:16" ht="109.2" x14ac:dyDescent="0.3">
      <c r="A31" s="16">
        <v>4</v>
      </c>
      <c r="B31" s="35" t="s">
        <v>45</v>
      </c>
      <c r="C31" s="17"/>
      <c r="D31" s="17"/>
      <c r="E31" s="17"/>
      <c r="F31" s="17"/>
      <c r="G31" s="17"/>
      <c r="H31" s="17"/>
      <c r="I31" s="17"/>
      <c r="J31" s="17"/>
      <c r="K31" s="17"/>
    </row>
    <row r="32" spans="1:16" x14ac:dyDescent="0.3">
      <c r="A32" s="16"/>
      <c r="B32" s="32" t="str">
        <f>B22</f>
        <v>-for mangaal</v>
      </c>
      <c r="C32" s="17">
        <v>1</v>
      </c>
      <c r="D32" s="33">
        <f>0.9+0.9+1.8+1.8</f>
        <v>5.4</v>
      </c>
      <c r="E32" s="33">
        <v>0.45</v>
      </c>
      <c r="F32" s="33">
        <v>0.75</v>
      </c>
      <c r="G32" s="33">
        <f>PRODUCT(C32:F32)</f>
        <v>1.8225000000000002</v>
      </c>
      <c r="H32" s="17"/>
      <c r="I32" s="17"/>
      <c r="J32" s="17"/>
      <c r="K32" s="17"/>
      <c r="M32" s="36"/>
      <c r="N32" s="36"/>
      <c r="O32" s="36"/>
      <c r="P32" s="36"/>
    </row>
    <row r="33" spans="1:16" ht="15" customHeight="1" x14ac:dyDescent="0.3">
      <c r="A33" s="2"/>
      <c r="B33" s="34" t="s">
        <v>16</v>
      </c>
      <c r="C33" s="3"/>
      <c r="D33" s="4"/>
      <c r="E33" s="5"/>
      <c r="F33" s="5"/>
      <c r="G33" s="6">
        <f>SUM(G32:G32)</f>
        <v>1.8225000000000002</v>
      </c>
      <c r="H33" s="7" t="s">
        <v>17</v>
      </c>
      <c r="I33" s="6">
        <v>8987.83</v>
      </c>
      <c r="J33" s="18">
        <f>G33*I33</f>
        <v>16380.320175000003</v>
      </c>
      <c r="K33" s="5"/>
    </row>
    <row r="34" spans="1:16" x14ac:dyDescent="0.3">
      <c r="A34" s="16"/>
      <c r="B34" s="32" t="s">
        <v>46</v>
      </c>
      <c r="C34" s="17"/>
      <c r="D34" s="17"/>
      <c r="E34" s="17"/>
      <c r="F34" s="17"/>
      <c r="G34" s="17"/>
      <c r="H34" s="17"/>
      <c r="I34" s="17"/>
      <c r="J34" s="18">
        <f>0.13*G33*(14808.78)/5</f>
        <v>701.71404030000008</v>
      </c>
      <c r="K34" s="17"/>
    </row>
    <row r="35" spans="1:16" x14ac:dyDescent="0.3">
      <c r="A35" s="16"/>
      <c r="B35" s="32" t="s">
        <v>30</v>
      </c>
      <c r="C35" s="17"/>
      <c r="D35" s="17"/>
      <c r="E35" s="17"/>
      <c r="F35" s="17"/>
      <c r="G35" s="17"/>
      <c r="H35" s="17"/>
      <c r="I35" s="17"/>
      <c r="J35" s="18">
        <f>0.13*G33*5863.95/5</f>
        <v>277.86327075000003</v>
      </c>
      <c r="K35" s="17"/>
    </row>
    <row r="36" spans="1:16" x14ac:dyDescent="0.3">
      <c r="A36" s="16"/>
      <c r="B36" s="32" t="s">
        <v>31</v>
      </c>
      <c r="C36" s="17"/>
      <c r="D36" s="17"/>
      <c r="E36" s="17"/>
      <c r="F36" s="17"/>
      <c r="G36" s="17"/>
      <c r="H36" s="17"/>
      <c r="I36" s="17"/>
      <c r="J36" s="18">
        <f>0.13*G33*6604.416/5</f>
        <v>312.95025216000005</v>
      </c>
      <c r="K36" s="17"/>
    </row>
    <row r="37" spans="1:16" x14ac:dyDescent="0.3">
      <c r="A37" s="16"/>
      <c r="B37" s="32" t="s">
        <v>34</v>
      </c>
      <c r="C37" s="17"/>
      <c r="D37" s="17"/>
      <c r="E37" s="17"/>
      <c r="F37" s="17"/>
      <c r="G37" s="17"/>
      <c r="H37" s="17"/>
      <c r="I37" s="17"/>
      <c r="J37" s="18">
        <f>0.13*G33*310/5</f>
        <v>14.689350000000001</v>
      </c>
      <c r="K37" s="17"/>
    </row>
    <row r="38" spans="1:16" x14ac:dyDescent="0.3">
      <c r="A38" s="16"/>
      <c r="B38" s="17"/>
      <c r="C38" s="17"/>
      <c r="D38" s="17"/>
      <c r="E38" s="17"/>
      <c r="F38" s="17"/>
      <c r="G38" s="17"/>
      <c r="H38" s="17"/>
      <c r="I38" s="17"/>
      <c r="J38" s="17"/>
      <c r="K38" s="17"/>
    </row>
    <row r="39" spans="1:16" ht="109.2" x14ac:dyDescent="0.3">
      <c r="A39" s="16">
        <v>5</v>
      </c>
      <c r="B39" s="35" t="s">
        <v>47</v>
      </c>
      <c r="C39" s="17"/>
      <c r="D39" s="17"/>
      <c r="E39" s="17"/>
      <c r="F39" s="17"/>
      <c r="G39" s="17"/>
      <c r="H39" s="17"/>
      <c r="I39" s="17"/>
      <c r="J39" s="17"/>
      <c r="K39" s="17"/>
    </row>
    <row r="40" spans="1:16" x14ac:dyDescent="0.3">
      <c r="A40" s="16"/>
      <c r="B40" s="32" t="s">
        <v>50</v>
      </c>
      <c r="C40" s="17">
        <v>2</v>
      </c>
      <c r="D40" s="33">
        <v>2.5</v>
      </c>
      <c r="E40" s="33"/>
      <c r="F40" s="33"/>
      <c r="G40" s="33">
        <f>PRODUCT(C40:F40)</f>
        <v>5</v>
      </c>
      <c r="H40" s="17"/>
      <c r="I40" s="17"/>
      <c r="J40" s="17"/>
      <c r="K40" s="17"/>
      <c r="M40" s="36"/>
      <c r="N40" s="36"/>
      <c r="O40" s="36"/>
      <c r="P40" s="36"/>
    </row>
    <row r="41" spans="1:16" ht="15" customHeight="1" x14ac:dyDescent="0.3">
      <c r="A41" s="2"/>
      <c r="B41" s="34" t="s">
        <v>16</v>
      </c>
      <c r="C41" s="3"/>
      <c r="D41" s="4"/>
      <c r="E41" s="5"/>
      <c r="F41" s="5"/>
      <c r="G41" s="6">
        <f>SUM(G40:G40)</f>
        <v>5</v>
      </c>
      <c r="H41" s="7" t="s">
        <v>48</v>
      </c>
      <c r="I41" s="6">
        <v>5160.18</v>
      </c>
      <c r="J41" s="18">
        <f>G41*I41</f>
        <v>25800.9</v>
      </c>
      <c r="K41" s="5"/>
    </row>
    <row r="42" spans="1:16" ht="28.8" x14ac:dyDescent="0.3">
      <c r="A42" s="16"/>
      <c r="B42" s="51" t="s">
        <v>49</v>
      </c>
      <c r="C42" s="17"/>
      <c r="D42" s="17"/>
      <c r="E42" s="17"/>
      <c r="F42" s="17"/>
      <c r="G42" s="17"/>
      <c r="H42" s="17"/>
      <c r="I42" s="17"/>
      <c r="J42" s="18">
        <f>0.13*G41*(56250)/12.5</f>
        <v>2925</v>
      </c>
      <c r="K42" s="17"/>
    </row>
    <row r="43" spans="1:16" x14ac:dyDescent="0.3">
      <c r="A43" s="16"/>
      <c r="B43" s="32" t="s">
        <v>30</v>
      </c>
      <c r="C43" s="17"/>
      <c r="D43" s="17"/>
      <c r="E43" s="17"/>
      <c r="F43" s="17"/>
      <c r="G43" s="17"/>
      <c r="H43" s="17"/>
      <c r="I43" s="17"/>
      <c r="J43" s="18">
        <f>0.13*G41*912.17/12.5</f>
        <v>47.432839999999999</v>
      </c>
      <c r="K43" s="17"/>
    </row>
    <row r="44" spans="1:16" x14ac:dyDescent="0.3">
      <c r="A44" s="16"/>
      <c r="B44" s="32" t="s">
        <v>31</v>
      </c>
      <c r="C44" s="17"/>
      <c r="D44" s="17"/>
      <c r="E44" s="17"/>
      <c r="F44" s="17"/>
      <c r="G44" s="17"/>
      <c r="H44" s="17"/>
      <c r="I44" s="17"/>
      <c r="J44" s="18">
        <f>0.13*G41*279.4176/12.5</f>
        <v>14.5297152</v>
      </c>
      <c r="K44" s="17"/>
    </row>
    <row r="45" spans="1:16" x14ac:dyDescent="0.3">
      <c r="A45" s="16"/>
      <c r="B45" s="17"/>
      <c r="C45" s="17"/>
      <c r="D45" s="17"/>
      <c r="E45" s="17"/>
      <c r="F45" s="17"/>
      <c r="G45" s="17"/>
      <c r="H45" s="17"/>
      <c r="I45" s="17"/>
      <c r="J45" s="17"/>
      <c r="K45" s="17"/>
    </row>
    <row r="46" spans="1:16" ht="121.2" customHeight="1" x14ac:dyDescent="0.3">
      <c r="A46" s="16">
        <v>6</v>
      </c>
      <c r="B46" s="35" t="s">
        <v>51</v>
      </c>
      <c r="C46" s="17"/>
      <c r="D46" s="17"/>
      <c r="E46" s="17"/>
      <c r="F46" s="17"/>
      <c r="G46" s="17"/>
      <c r="H46" s="17"/>
      <c r="I46" s="17"/>
      <c r="J46" s="17"/>
      <c r="K46" s="17"/>
    </row>
    <row r="47" spans="1:16" x14ac:dyDescent="0.3">
      <c r="A47" s="16"/>
      <c r="B47" s="32" t="s">
        <v>42</v>
      </c>
      <c r="C47" s="37">
        <f>C10</f>
        <v>0.5</v>
      </c>
      <c r="D47" s="33">
        <f>D10</f>
        <v>400</v>
      </c>
      <c r="E47" s="33">
        <f>E10</f>
        <v>3.5</v>
      </c>
      <c r="F47" s="33">
        <v>0.15</v>
      </c>
      <c r="G47" s="33">
        <f>PRODUCT(C47:F47)</f>
        <v>105</v>
      </c>
      <c r="H47" s="17"/>
      <c r="I47" s="17"/>
      <c r="J47" s="17"/>
      <c r="K47" s="17"/>
      <c r="M47" s="36"/>
      <c r="N47" s="36"/>
      <c r="O47" s="36"/>
      <c r="P47" s="36"/>
    </row>
    <row r="48" spans="1:16" ht="15" customHeight="1" x14ac:dyDescent="0.3">
      <c r="A48" s="2"/>
      <c r="B48" s="34" t="s">
        <v>16</v>
      </c>
      <c r="C48" s="3"/>
      <c r="D48" s="4"/>
      <c r="E48" s="5"/>
      <c r="F48" s="5"/>
      <c r="G48" s="6">
        <f>SUM(G47:G47)</f>
        <v>105</v>
      </c>
      <c r="H48" s="7" t="s">
        <v>52</v>
      </c>
      <c r="I48" s="6">
        <v>2976.7</v>
      </c>
      <c r="J48" s="18">
        <f>G48*I48</f>
        <v>312553.5</v>
      </c>
      <c r="K48" s="5"/>
    </row>
    <row r="49" spans="1:19" ht="28.8" x14ac:dyDescent="0.3">
      <c r="A49" s="16"/>
      <c r="B49" s="51" t="s">
        <v>53</v>
      </c>
      <c r="C49" s="17"/>
      <c r="D49" s="17"/>
      <c r="E49" s="17"/>
      <c r="F49" s="17"/>
      <c r="G49" s="17"/>
      <c r="H49" s="17"/>
      <c r="I49" s="17"/>
      <c r="J49" s="18">
        <f>0.13*G48*826398.72/300</f>
        <v>37601.141759999999</v>
      </c>
      <c r="K49" s="17"/>
    </row>
    <row r="50" spans="1:19" x14ac:dyDescent="0.3">
      <c r="A50" s="16"/>
      <c r="B50" s="32" t="s">
        <v>34</v>
      </c>
      <c r="C50" s="17"/>
      <c r="D50" s="17"/>
      <c r="E50" s="17"/>
      <c r="F50" s="17"/>
      <c r="G50" s="17"/>
      <c r="H50" s="17"/>
      <c r="I50" s="17"/>
      <c r="J50" s="18">
        <f>0.13*G48*5580/300</f>
        <v>253.89</v>
      </c>
      <c r="K50" s="17"/>
    </row>
    <row r="51" spans="1:19" x14ac:dyDescent="0.3">
      <c r="A51" s="16"/>
      <c r="B51" s="32" t="s">
        <v>54</v>
      </c>
      <c r="C51" s="17"/>
      <c r="D51" s="17"/>
      <c r="E51" s="17"/>
      <c r="F51" s="17"/>
      <c r="G51" s="17"/>
      <c r="H51" s="17"/>
      <c r="I51" s="17"/>
      <c r="J51" s="18">
        <f>0.13*G48*17490/300</f>
        <v>795.79499999999996</v>
      </c>
      <c r="K51" s="17"/>
    </row>
    <row r="52" spans="1:19" x14ac:dyDescent="0.3">
      <c r="A52" s="16"/>
      <c r="B52" s="32" t="s">
        <v>55</v>
      </c>
      <c r="C52" s="17"/>
      <c r="D52" s="17"/>
      <c r="E52" s="17"/>
      <c r="F52" s="17"/>
      <c r="G52" s="17"/>
      <c r="H52" s="17"/>
      <c r="I52" s="17"/>
      <c r="J52" s="18">
        <f>0.13*G48*19416/300</f>
        <v>883.42800000000011</v>
      </c>
      <c r="K52" s="17"/>
    </row>
    <row r="53" spans="1:19" x14ac:dyDescent="0.3">
      <c r="A53" s="16"/>
      <c r="B53" s="32" t="s">
        <v>56</v>
      </c>
      <c r="C53" s="17"/>
      <c r="D53" s="17"/>
      <c r="E53" s="17"/>
      <c r="F53" s="17"/>
      <c r="G53" s="17"/>
      <c r="H53" s="17"/>
      <c r="I53" s="17"/>
      <c r="J53" s="18">
        <f>0.13*G48*10416/300</f>
        <v>473.928</v>
      </c>
      <c r="K53" s="17"/>
    </row>
    <row r="54" spans="1:19" x14ac:dyDescent="0.3">
      <c r="A54" s="16"/>
      <c r="B54" s="17"/>
      <c r="C54" s="17"/>
      <c r="D54" s="17"/>
      <c r="E54" s="17"/>
      <c r="F54" s="17"/>
      <c r="G54" s="17"/>
      <c r="H54" s="17"/>
      <c r="I54" s="17"/>
      <c r="J54" s="17"/>
      <c r="K54" s="17"/>
    </row>
    <row r="55" spans="1:19" ht="15" customHeight="1" x14ac:dyDescent="0.3">
      <c r="A55" s="2">
        <v>7</v>
      </c>
      <c r="B55" s="1" t="s">
        <v>57</v>
      </c>
      <c r="C55" s="3">
        <v>1</v>
      </c>
      <c r="D55" s="4"/>
      <c r="E55" s="5"/>
      <c r="F55" s="5"/>
      <c r="G55" s="7">
        <f t="shared" ref="G55" si="0">PRODUCT(C55:F55)</f>
        <v>1</v>
      </c>
      <c r="H55" s="7" t="s">
        <v>58</v>
      </c>
      <c r="I55" s="6">
        <v>5000</v>
      </c>
      <c r="J55" s="7">
        <f>G55*I55</f>
        <v>5000</v>
      </c>
      <c r="K55" s="5"/>
    </row>
    <row r="56" spans="1:19" x14ac:dyDescent="0.3">
      <c r="A56" s="2"/>
      <c r="B56" s="8"/>
      <c r="C56" s="3"/>
      <c r="D56" s="4"/>
      <c r="E56" s="5"/>
      <c r="F56" s="5"/>
      <c r="G56" s="6"/>
      <c r="H56" s="7"/>
      <c r="I56" s="6"/>
      <c r="J56" s="18"/>
      <c r="K56" s="5"/>
    </row>
    <row r="57" spans="1:19" ht="15" customHeight="1" x14ac:dyDescent="0.3">
      <c r="A57" s="2">
        <v>8</v>
      </c>
      <c r="B57" s="1" t="s">
        <v>18</v>
      </c>
      <c r="C57" s="3">
        <v>1</v>
      </c>
      <c r="D57" s="4"/>
      <c r="E57" s="5"/>
      <c r="F57" s="5"/>
      <c r="G57" s="7">
        <f t="shared" ref="G57" si="1">PRODUCT(C57:F57)</f>
        <v>1</v>
      </c>
      <c r="H57" s="7" t="s">
        <v>19</v>
      </c>
      <c r="I57" s="6">
        <v>500</v>
      </c>
      <c r="J57" s="7">
        <f>G57*I57</f>
        <v>500</v>
      </c>
      <c r="K57" s="5"/>
    </row>
    <row r="58" spans="1:19" x14ac:dyDescent="0.3">
      <c r="A58" s="2"/>
      <c r="B58" s="8"/>
      <c r="C58" s="3"/>
      <c r="D58" s="4"/>
      <c r="E58" s="5"/>
      <c r="F58" s="5"/>
      <c r="G58" s="6"/>
      <c r="H58" s="7"/>
      <c r="I58" s="6"/>
      <c r="J58" s="18"/>
      <c r="K58" s="5"/>
    </row>
    <row r="59" spans="1:19" x14ac:dyDescent="0.3">
      <c r="A59" s="21"/>
      <c r="B59" s="22" t="s">
        <v>21</v>
      </c>
      <c r="C59" s="23"/>
      <c r="D59" s="24"/>
      <c r="E59" s="24"/>
      <c r="F59" s="24"/>
      <c r="G59" s="18"/>
      <c r="H59" s="18"/>
      <c r="I59" s="18"/>
      <c r="J59" s="18">
        <f>SUM(J9:J57)</f>
        <v>419878.03175496001</v>
      </c>
      <c r="K59" s="25"/>
    </row>
    <row r="60" spans="1:19" x14ac:dyDescent="0.3">
      <c r="M60" s="20"/>
      <c r="N60" s="20"/>
      <c r="O60" s="20"/>
      <c r="P60" s="20"/>
      <c r="Q60" s="20"/>
      <c r="R60" s="20"/>
      <c r="S60" s="20"/>
    </row>
    <row r="61" spans="1:19" s="20" customFormat="1" x14ac:dyDescent="0.3">
      <c r="A61" s="26"/>
      <c r="B61" s="27" t="s">
        <v>20</v>
      </c>
      <c r="C61" s="44">
        <f>J59</f>
        <v>419878.03175496001</v>
      </c>
      <c r="D61" s="45"/>
      <c r="E61" s="9">
        <v>100</v>
      </c>
      <c r="F61" s="26"/>
      <c r="G61" s="28"/>
      <c r="H61" s="26"/>
      <c r="I61" s="29"/>
      <c r="J61" s="30"/>
      <c r="K61" s="31"/>
      <c r="M61" s="19"/>
      <c r="N61" s="19"/>
      <c r="O61" s="19"/>
      <c r="P61" s="19"/>
      <c r="Q61" s="19"/>
      <c r="R61" s="19"/>
      <c r="S61" s="19"/>
    </row>
    <row r="62" spans="1:19" x14ac:dyDescent="0.3">
      <c r="B62" s="27" t="s">
        <v>23</v>
      </c>
      <c r="C62" s="48">
        <v>800000</v>
      </c>
      <c r="D62" s="49"/>
      <c r="E62" s="9"/>
    </row>
    <row r="63" spans="1:19" x14ac:dyDescent="0.3">
      <c r="B63" s="27" t="s">
        <v>24</v>
      </c>
      <c r="C63" s="48">
        <f>C62-C65-C66</f>
        <v>760000</v>
      </c>
      <c r="D63" s="49"/>
      <c r="E63" s="9">
        <f>C63/C61*100</f>
        <v>181.00494489398162</v>
      </c>
    </row>
    <row r="64" spans="1:19" x14ac:dyDescent="0.3">
      <c r="B64" s="27" t="s">
        <v>35</v>
      </c>
      <c r="C64" s="50">
        <f>C61-C63</f>
        <v>-340121.96824503999</v>
      </c>
      <c r="D64" s="50"/>
      <c r="E64" s="9">
        <f>100-E63</f>
        <v>-81.004944893981616</v>
      </c>
    </row>
    <row r="65" spans="2:5" x14ac:dyDescent="0.3">
      <c r="B65" s="27" t="s">
        <v>25</v>
      </c>
      <c r="C65" s="44">
        <f>C62*0.03</f>
        <v>24000</v>
      </c>
      <c r="D65" s="45"/>
      <c r="E65" s="9">
        <v>3</v>
      </c>
    </row>
    <row r="66" spans="2:5" x14ac:dyDescent="0.3">
      <c r="B66" s="27" t="s">
        <v>26</v>
      </c>
      <c r="C66" s="44">
        <f>C62*0.02</f>
        <v>16000</v>
      </c>
      <c r="D66" s="45"/>
      <c r="E66" s="9">
        <v>2</v>
      </c>
    </row>
  </sheetData>
  <mergeCells count="15">
    <mergeCell ref="C65:D65"/>
    <mergeCell ref="C66:D66"/>
    <mergeCell ref="A7:F7"/>
    <mergeCell ref="H7:K7"/>
    <mergeCell ref="C61:D61"/>
    <mergeCell ref="C62:D62"/>
    <mergeCell ref="C63:D63"/>
    <mergeCell ref="C64:D6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2026-01-10T03:21:12Z</dcterms:modified>
</cp:coreProperties>
</file>