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defaultThemeVersion="124226"/>
  <xr:revisionPtr revIDLastSave="0" documentId="13_ncr:1_{002492B6-C8C6-4D72-A224-8CB481A89705}" xr6:coauthVersionLast="47" xr6:coauthVersionMax="47" xr10:uidLastSave="{00000000-0000-0000-0000-000000000000}"/>
  <bookViews>
    <workbookView xWindow="-120" yWindow="-120" windowWidth="20730" windowHeight="11040" xr2:uid="{00000000-000D-0000-FFFF-FFFF00000000}"/>
  </bookViews>
  <sheets>
    <sheet name="krishi thekka" sheetId="15" r:id="rId1"/>
  </sheets>
  <externalReferences>
    <externalReference r:id="rId2"/>
    <externalReference r:id="rId3"/>
    <externalReference r:id="rId4"/>
  </externalReferences>
  <definedNames>
    <definedName name="description_103">[1]Abstract!$B$16</definedName>
    <definedName name="description_124">#REF!</definedName>
    <definedName name="description_247">[1]Abstract!$B$22</definedName>
    <definedName name="description_248">[1]Abstract!$B$23</definedName>
    <definedName name="description_261">[2]Abstract!$B$33</definedName>
    <definedName name="description_262">[1]Abstract!$B$34</definedName>
    <definedName name="description_276">[3]Abstract!$B$40</definedName>
    <definedName name="description_3">[1]Abstract!$B$169</definedName>
    <definedName name="description_310">#REF!</definedName>
    <definedName name="description_312">#REF!</definedName>
    <definedName name="description_5">[1]Abstract!$B$171</definedName>
    <definedName name="description_6">#REF!</definedName>
    <definedName name="description_759">[1]Abstract!$B$278</definedName>
    <definedName name="description_781">#REF!</definedName>
    <definedName name="description_783">[1]Abstract!$B$301</definedName>
    <definedName name="description_784">[3]Abstract!$B$300</definedName>
    <definedName name="_xlnm.Print_Area" localSheetId="0">'krishi thekka'!$A$1:$K$114</definedName>
    <definedName name="_xlnm.Print_Titles" localSheetId="0">'krishi thekka'!$1:$8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9" i="15" l="1"/>
  <c r="C99" i="15"/>
  <c r="C98" i="15"/>
  <c r="C97" i="15"/>
  <c r="G92" i="15"/>
  <c r="F88" i="15"/>
  <c r="D88" i="15"/>
  <c r="C88" i="15"/>
  <c r="C86" i="15"/>
  <c r="G88" i="15"/>
  <c r="G86" i="15"/>
  <c r="F86" i="15"/>
  <c r="D86" i="15"/>
  <c r="F98" i="15"/>
  <c r="D98" i="15"/>
  <c r="F99" i="15"/>
  <c r="D99" i="15"/>
  <c r="B99" i="15"/>
  <c r="F97" i="15"/>
  <c r="D97" i="15"/>
  <c r="B97" i="15"/>
  <c r="D96" i="15"/>
  <c r="F96" i="15"/>
  <c r="F95" i="15"/>
  <c r="D95" i="15"/>
  <c r="G91" i="15"/>
  <c r="G90" i="15"/>
  <c r="D87" i="15"/>
  <c r="G87" i="15" s="1"/>
  <c r="F48" i="15"/>
  <c r="D85" i="15"/>
  <c r="E81" i="15"/>
  <c r="D81" i="15"/>
  <c r="B77" i="15"/>
  <c r="E73" i="15"/>
  <c r="D73" i="15"/>
  <c r="D61" i="15"/>
  <c r="C61" i="15"/>
  <c r="D56" i="15"/>
  <c r="F56" i="15" s="1"/>
  <c r="G56" i="15" s="1"/>
  <c r="D60" i="15"/>
  <c r="D59" i="15"/>
  <c r="C60" i="15"/>
  <c r="F60" i="15" s="1"/>
  <c r="G60" i="15" s="1"/>
  <c r="C58" i="15"/>
  <c r="D58" i="15"/>
  <c r="D57" i="15"/>
  <c r="C57" i="15"/>
  <c r="F57" i="15" s="1"/>
  <c r="G57" i="15" s="1"/>
  <c r="C59" i="15"/>
  <c r="D55" i="15"/>
  <c r="C55" i="15"/>
  <c r="D54" i="15"/>
  <c r="F54" i="15" s="1"/>
  <c r="G54" i="15" s="1"/>
  <c r="D53" i="15"/>
  <c r="F53" i="15" s="1"/>
  <c r="G53" i="15" s="1"/>
  <c r="D52" i="15"/>
  <c r="F52" i="15"/>
  <c r="G52" i="15" s="1"/>
  <c r="D44" i="15"/>
  <c r="G44" i="15" s="1"/>
  <c r="D40" i="15"/>
  <c r="E40" i="15"/>
  <c r="E39" i="15"/>
  <c r="D39" i="15"/>
  <c r="F85" i="15" l="1"/>
  <c r="G48" i="15"/>
  <c r="G49" i="15" s="1"/>
  <c r="J49" i="15" s="1"/>
  <c r="F61" i="15"/>
  <c r="G61" i="15" s="1"/>
  <c r="F58" i="15"/>
  <c r="G58" i="15" s="1"/>
  <c r="F59" i="15"/>
  <c r="G59" i="15" s="1"/>
  <c r="D77" i="15"/>
  <c r="G77" i="15" s="1"/>
  <c r="G78" i="15" s="1"/>
  <c r="J78" i="15" s="1"/>
  <c r="G73" i="15"/>
  <c r="G74" i="15" s="1"/>
  <c r="J74" i="15" s="1"/>
  <c r="G81" i="15"/>
  <c r="G82" i="15" s="1"/>
  <c r="J82" i="15" s="1"/>
  <c r="F55" i="15"/>
  <c r="G55" i="15" s="1"/>
  <c r="F39" i="15"/>
  <c r="G39" i="15" s="1"/>
  <c r="G45" i="15"/>
  <c r="J45" i="15" s="1"/>
  <c r="C40" i="15"/>
  <c r="F40" i="15" s="1"/>
  <c r="G40" i="15" s="1"/>
  <c r="G41" i="15" l="1"/>
  <c r="J41" i="15" s="1"/>
  <c r="G106" i="15" l="1"/>
  <c r="J106" i="15" s="1"/>
  <c r="C65" i="15"/>
  <c r="C68" i="15"/>
  <c r="I36" i="15"/>
  <c r="I32" i="15"/>
  <c r="I70" i="15"/>
  <c r="I104" i="15"/>
  <c r="I100" i="15"/>
  <c r="I27" i="15"/>
  <c r="I92" i="15"/>
  <c r="I22" i="15"/>
  <c r="I16" i="15"/>
  <c r="G108" i="15"/>
  <c r="J108" i="15" s="1"/>
  <c r="F35" i="15"/>
  <c r="D31" i="15"/>
  <c r="G31" i="15" s="1"/>
  <c r="D30" i="15"/>
  <c r="G30" i="15" s="1"/>
  <c r="D69" i="15"/>
  <c r="F69" i="15" s="1"/>
  <c r="G69" i="15" s="1"/>
  <c r="D68" i="15"/>
  <c r="D67" i="15"/>
  <c r="C67" i="15"/>
  <c r="D66" i="15"/>
  <c r="F66" i="15" s="1"/>
  <c r="G66" i="15" s="1"/>
  <c r="D65" i="15"/>
  <c r="D64" i="15"/>
  <c r="C64" i="15"/>
  <c r="F63" i="15"/>
  <c r="G63" i="15" s="1"/>
  <c r="F62" i="15"/>
  <c r="G62" i="15" s="1"/>
  <c r="F26" i="15"/>
  <c r="G26" i="15" s="1"/>
  <c r="F25" i="15"/>
  <c r="D25" i="15"/>
  <c r="C25" i="15"/>
  <c r="G85" i="15"/>
  <c r="E19" i="15"/>
  <c r="D19" i="15"/>
  <c r="D15" i="15"/>
  <c r="G15" i="15" s="1"/>
  <c r="D14" i="15"/>
  <c r="G14" i="15" s="1"/>
  <c r="E13" i="15"/>
  <c r="E21" i="15" s="1"/>
  <c r="D13" i="15"/>
  <c r="E12" i="15"/>
  <c r="E20" i="15" s="1"/>
  <c r="D12" i="15"/>
  <c r="D11" i="15"/>
  <c r="G11" i="15" s="1"/>
  <c r="D10" i="15"/>
  <c r="G10" i="15" s="1"/>
  <c r="F68" i="15" l="1"/>
  <c r="G68" i="15" s="1"/>
  <c r="G97" i="15"/>
  <c r="G98" i="15"/>
  <c r="F67" i="15"/>
  <c r="G67" i="15" s="1"/>
  <c r="F65" i="15"/>
  <c r="G65" i="15" s="1"/>
  <c r="G89" i="15"/>
  <c r="F64" i="15"/>
  <c r="G64" i="15" s="1"/>
  <c r="G19" i="15"/>
  <c r="G99" i="15"/>
  <c r="G25" i="15"/>
  <c r="G27" i="15" s="1"/>
  <c r="G35" i="15"/>
  <c r="G36" i="15" s="1"/>
  <c r="J36" i="15" s="1"/>
  <c r="D21" i="15"/>
  <c r="G21" i="15" s="1"/>
  <c r="G13" i="15"/>
  <c r="D20" i="15"/>
  <c r="G20" i="15" s="1"/>
  <c r="G12" i="15"/>
  <c r="G96" i="15"/>
  <c r="G95" i="15"/>
  <c r="G32" i="15"/>
  <c r="G100" i="15" l="1"/>
  <c r="G70" i="15"/>
  <c r="J70" i="15" s="1"/>
  <c r="J92" i="15"/>
  <c r="G22" i="15"/>
  <c r="J22" i="15" s="1"/>
  <c r="G16" i="15"/>
  <c r="J16" i="15" s="1"/>
  <c r="J27" i="15"/>
  <c r="J32" i="15"/>
  <c r="D103" i="15" l="1"/>
  <c r="G103" i="15" s="1"/>
  <c r="G104" i="15" s="1"/>
  <c r="J104" i="15" s="1"/>
  <c r="J100" i="15"/>
  <c r="J110" i="15" l="1"/>
  <c r="C112" i="15" s="1"/>
  <c r="C113" i="15" l="1"/>
  <c r="C114" i="15" s="1"/>
</calcChain>
</file>

<file path=xl/sharedStrings.xml><?xml version="1.0" encoding="utf-8"?>
<sst xmlns="http://schemas.openxmlformats.org/spreadsheetml/2006/main" count="111" uniqueCount="80">
  <si>
    <t>Government of Nepal</t>
  </si>
  <si>
    <t>Shankharapur Municipality Office</t>
  </si>
  <si>
    <t>Bagmati Province</t>
  </si>
  <si>
    <t>Sankhu, Kathmandu</t>
  </si>
  <si>
    <t>Detail Estimated Sheet</t>
  </si>
  <si>
    <t>S.N.</t>
  </si>
  <si>
    <t>Description of work</t>
  </si>
  <si>
    <t>No.</t>
  </si>
  <si>
    <t>Length</t>
  </si>
  <si>
    <t>Breadth</t>
  </si>
  <si>
    <t>Height</t>
  </si>
  <si>
    <t>Quantity</t>
  </si>
  <si>
    <t>Unit</t>
  </si>
  <si>
    <t>Rate</t>
  </si>
  <si>
    <t>Amount</t>
  </si>
  <si>
    <t>Remark</t>
  </si>
  <si>
    <t>Sub-total</t>
  </si>
  <si>
    <t>Information board (सुचना पाटि)</t>
  </si>
  <si>
    <t>no.</t>
  </si>
  <si>
    <t>Total Estimated</t>
  </si>
  <si>
    <t>Total</t>
  </si>
  <si>
    <t>F.Y.: 2082/2083</t>
  </si>
  <si>
    <t>Length (m)</t>
  </si>
  <si>
    <t>cum</t>
  </si>
  <si>
    <t>Location:- Shankharapur Municipality 1</t>
  </si>
  <si>
    <t>PS</t>
  </si>
  <si>
    <t>sqm</t>
  </si>
  <si>
    <t>!@=% dL=dL= l;d]G6 afn'jf -!M$_ Knfi6/</t>
  </si>
  <si>
    <t>e'O{+tNnfdf lrDgL e§fsf] O{+6fsf] uf/f] l;d]G6 d;nf -!M^_ df</t>
  </si>
  <si>
    <t xml:space="preserve"> Ps sf]6 k|fO{d/ ;lxt b'O{ sf]6 j]b/sf]6 k]G6 ug]{ sfd</t>
  </si>
  <si>
    <t xml:space="preserve">Date:                  </t>
  </si>
  <si>
    <t>-long wall</t>
  </si>
  <si>
    <t>-short wall</t>
  </si>
  <si>
    <t>e'O{+tNnfdf lrDgL e§fsf] O{+6fsf] uf/f] l;d]G6 d;nf -!M$_ df</t>
  </si>
  <si>
    <r>
      <t>%) dL=dL=</t>
    </r>
    <r>
      <rPr>
        <b/>
        <sz val="12"/>
        <rFont val="Times New Roman"/>
        <family val="1"/>
      </rPr>
      <t xml:space="preserve"> X</t>
    </r>
    <r>
      <rPr>
        <b/>
        <sz val="12"/>
        <rFont val="Preeti"/>
      </rPr>
      <t xml:space="preserve"> &amp;% dL=dL= cu|fvsf] k|m]d ^)) dL=dL=</t>
    </r>
    <r>
      <rPr>
        <b/>
        <sz val="12"/>
        <rFont val="Times New Roman"/>
        <family val="1"/>
      </rPr>
      <t xml:space="preserve"> X</t>
    </r>
    <r>
      <rPr>
        <b/>
        <sz val="12"/>
        <rFont val="Preeti"/>
      </rPr>
      <t xml:space="preserve"> ^)) dL=dL= df xfnL @% dL=dL= afSnf] cu|fvsf7sf] ˆn]s 5fKg] sfd</t>
    </r>
  </si>
  <si>
    <t>kfs]6 lj5\ofpg] / vfS;L nufO{ kfln; ug]{ sfd</t>
  </si>
  <si>
    <t>-flooring</t>
  </si>
  <si>
    <t>-inner face of wall</t>
  </si>
  <si>
    <t>-as of plaster</t>
  </si>
  <si>
    <t>ljleGg ;fO{hsf] kmnfd] PËn km]lj|s]zg u/L k|fOd/ k]G6 ;lxt ug]{ sfd</t>
  </si>
  <si>
    <t>Unit weight (Kg/m)</t>
  </si>
  <si>
    <t>Weight (Kg)</t>
  </si>
  <si>
    <t>Kg</t>
  </si>
  <si>
    <t>-MS square pipe for post of 75mm*75mm*5mm thickness</t>
  </si>
  <si>
    <t>-75mm*75mm*5mm size equal angle for stage binding</t>
  </si>
  <si>
    <t>-at stage</t>
  </si>
  <si>
    <t>-deduction for stage area</t>
  </si>
  <si>
    <r>
      <t>%) dL=dL=</t>
    </r>
    <r>
      <rPr>
        <b/>
        <sz val="12"/>
        <rFont val="Times New Roman"/>
        <family val="1"/>
      </rPr>
      <t xml:space="preserve"> Ø</t>
    </r>
    <r>
      <rPr>
        <b/>
        <sz val="12"/>
        <rFont val="Preeti"/>
      </rPr>
      <t xml:space="preserve"> sf] sfnf] kmnfd] kfO{k kf]i6 @ dL6/ b"/Ldf</t>
    </r>
    <r>
      <rPr>
        <b/>
        <sz val="12"/>
        <rFont val="Times New Roman"/>
        <family val="1"/>
      </rPr>
      <t xml:space="preserve"> </t>
    </r>
    <r>
      <rPr>
        <b/>
        <sz val="12"/>
        <rFont val="Preeti"/>
      </rPr>
      <t xml:space="preserve">@% </t>
    </r>
    <r>
      <rPr>
        <b/>
        <sz val="12"/>
        <rFont val="Times New Roman"/>
        <family val="1"/>
      </rPr>
      <t>x</t>
    </r>
    <r>
      <rPr>
        <b/>
        <sz val="12"/>
        <rFont val="Preeti"/>
      </rPr>
      <t xml:space="preserve"> @% </t>
    </r>
    <r>
      <rPr>
        <b/>
        <sz val="12"/>
        <rFont val="Times New Roman"/>
        <family val="1"/>
      </rPr>
      <t>x</t>
    </r>
    <r>
      <rPr>
        <b/>
        <sz val="12"/>
        <rFont val="Preeti"/>
      </rPr>
      <t xml:space="preserve"> $ dL=dL= ;fO{hsf] kmnfd] PËn k|m]ddf &amp; dL=dL=</t>
    </r>
    <r>
      <rPr>
        <b/>
        <sz val="12"/>
        <rFont val="Times New Roman"/>
        <family val="1"/>
      </rPr>
      <t>Ø</t>
    </r>
    <r>
      <rPr>
        <b/>
        <sz val="12"/>
        <rFont val="Preeti"/>
      </rPr>
      <t xml:space="preserve"> kmnfd] 808Lsf] 8fouf]gnL hfnL ^@ </t>
    </r>
    <r>
      <rPr>
        <b/>
        <sz val="12"/>
        <rFont val="Times New Roman"/>
        <family val="1"/>
      </rPr>
      <t>x</t>
    </r>
    <r>
      <rPr>
        <b/>
        <sz val="12"/>
        <rFont val="Preeti"/>
      </rPr>
      <t xml:space="preserve"> ^@ dL=dL= ;fOhdf h8fg ug]{ / #</t>
    </r>
    <r>
      <rPr>
        <b/>
        <sz val="12"/>
        <rFont val="Times New Roman"/>
        <family val="1"/>
      </rPr>
      <t>x</t>
    </r>
    <r>
      <rPr>
        <b/>
        <sz val="12"/>
        <rFont val="Preeti"/>
      </rPr>
      <t>@) sf] kmnfd] kftfsf] lu|n )=!% dL= cUnf] agfO{ dfly h8fg u/L km]lj|s]zg u/L k|fOd/ k]G6 ;lxt ;Dk"0f{ sfo{ .</t>
    </r>
  </si>
  <si>
    <t>-fencing</t>
  </si>
  <si>
    <t>-partition wall</t>
  </si>
  <si>
    <t>Provisional sum for unforseen work</t>
  </si>
  <si>
    <r>
      <t>Project:-</t>
    </r>
    <r>
      <rPr>
        <sz val="12"/>
        <rFont val="Preeti"/>
      </rPr>
      <t xml:space="preserve"> s[lif pkh ;+sng s]Gb| lgdf{0f</t>
    </r>
  </si>
  <si>
    <t>l;d]G6 jf jh|df hf]8]sf] uf/f] eTsfO{ To;af6 cfPsf] ;fdfu+|L !) dL</t>
  </si>
  <si>
    <t>-deduction for door area</t>
  </si>
  <si>
    <t>VAT 13%</t>
  </si>
  <si>
    <t>Grand total</t>
  </si>
  <si>
    <t>cf/=;L=;L= nflu kmnfd] 808L sf6\g], df]8\g] #) dL6/ ;Dd</t>
  </si>
  <si>
    <t>-stirrups for column</t>
  </si>
  <si>
    <t>MT</t>
  </si>
  <si>
    <t>kmnfd]sf] kfOk / KnfOaf]8{af6 kmdf{ agfpg] sfd</t>
  </si>
  <si>
    <t>-for column</t>
  </si>
  <si>
    <t>d]lzgsf] k|of]u u/L ;'k/ :6«Sr/df l;d]G6 s+lqm6 ug]{ sfd -!M!=%M#_</t>
  </si>
  <si>
    <t>-MS square pipe for vertical post of 3"*3"*2mm thickness</t>
  </si>
  <si>
    <t>-MS square pipe for horizontal member of 3"*3"*2mm thickness</t>
  </si>
  <si>
    <t>-MS square pipe for inclined member of 2"*2"*1.6mm thickness</t>
  </si>
  <si>
    <t>-MS square pipe for vertical member of 1.5"*1.5"*1.6mm thickness</t>
  </si>
  <si>
    <t>-MS square pipe for diagonal member of 1.5"*1.5"*1.6mm thickness</t>
  </si>
  <si>
    <t>-MS square pipe for king post of 2"*2"*1.6mm thickness</t>
  </si>
  <si>
    <t>-MS square pipe for purlins of 1.5"*1.5"*1.6mm thickness</t>
  </si>
  <si>
    <r>
      <t xml:space="preserve">dfn;fdfg pknAw u/L </t>
    </r>
    <r>
      <rPr>
        <sz val="9"/>
        <rFont val="Arial"/>
        <family val="2"/>
      </rPr>
      <t>UPVC sheet with PMMA Coating</t>
    </r>
    <r>
      <rPr>
        <sz val="9"/>
        <rFont val="Preeti"/>
      </rPr>
      <t xml:space="preserve"> </t>
    </r>
    <r>
      <rPr>
        <sz val="9"/>
        <rFont val="Arial"/>
        <family val="2"/>
      </rPr>
      <t>and mesh (Tile)</t>
    </r>
    <r>
      <rPr>
        <sz val="14"/>
        <rFont val="Preeti"/>
      </rPr>
      <t>5fgf 5fpg] sfd .</t>
    </r>
  </si>
  <si>
    <r>
      <t>5fgfdf</t>
    </r>
    <r>
      <rPr>
        <sz val="9"/>
        <rFont val="Preeti"/>
      </rPr>
      <t xml:space="preserve"> </t>
    </r>
    <r>
      <rPr>
        <sz val="9"/>
        <rFont val="Arial"/>
        <family val="2"/>
      </rPr>
      <t xml:space="preserve">Ridge cover UPVC PMMA(3MMTHICK) </t>
    </r>
    <r>
      <rPr>
        <b/>
        <sz val="9"/>
        <rFont val="Arial"/>
        <family val="2"/>
      </rPr>
      <t>Regular</t>
    </r>
    <r>
      <rPr>
        <sz val="14"/>
        <rFont val="Preeti"/>
      </rPr>
      <t xml:space="preserve"> nufpg] sfd lSnk tyf k]r cflb ;d]t k'/f sfo{ ug]{ .</t>
    </r>
  </si>
  <si>
    <t>-for roof</t>
  </si>
  <si>
    <t>rm</t>
  </si>
  <si>
    <t>Supplying and fitting of 10mm CEMENT board  for celling fixing with 3" GI metal frames  all work complete as per instruction of site engineer.</t>
  </si>
  <si>
    <t>-false ceiling</t>
  </si>
  <si>
    <t>-deduction for window</t>
  </si>
  <si>
    <t>-deduction for door</t>
  </si>
  <si>
    <t>-wall</t>
  </si>
  <si>
    <t>-outer face</t>
  </si>
  <si>
    <t>-inner face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</si>
</sst>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
  </numFmts>
  <fonts count="22" x14ac:knownFonts="1">
    <font>
      <sz val="11"/>
      <color theme="1"/>
      <name val="Calibri"/>
      <family val="2"/>
      <scheme val="minor"/>
    </font>
    <font>
      <sz val="11"/>
      <color theme="1"/>
      <name val="Calibri"/>
      <family val="2"/>
      <scheme val="minor"/>
    </font>
    <font>
      <sz val="11"/>
      <name val="Times New Roman"/>
      <family val="1"/>
    </font>
    <font>
      <b/>
      <sz val="11"/>
      <name val="Times New Roman"/>
      <family val="1"/>
    </font>
    <font>
      <sz val="11"/>
      <name val="Calibri"/>
      <family val="2"/>
      <scheme val="minor"/>
    </font>
    <font>
      <b/>
      <sz val="18"/>
      <name val="Times New Roman"/>
      <family val="1"/>
    </font>
    <font>
      <b/>
      <sz val="11"/>
      <name val="Calibri"/>
      <family val="2"/>
      <scheme val="minor"/>
    </font>
    <font>
      <b/>
      <sz val="14"/>
      <name val="Times New Roman"/>
      <family val="1"/>
    </font>
    <font>
      <sz val="12"/>
      <name val="Times New Roman"/>
      <family val="1"/>
    </font>
    <font>
      <b/>
      <sz val="12"/>
      <name val="Times New Roman"/>
      <family val="1"/>
    </font>
    <font>
      <sz val="10"/>
      <name val="Arial"/>
      <family val="2"/>
    </font>
    <font>
      <sz val="10"/>
      <name val="Arial"/>
      <family val="2"/>
    </font>
    <font>
      <sz val="12"/>
      <name val="Preeti"/>
    </font>
    <font>
      <b/>
      <sz val="11"/>
      <color theme="1"/>
      <name val="Calibri"/>
      <family val="2"/>
      <scheme val="minor"/>
    </font>
    <font>
      <b/>
      <sz val="12"/>
      <name val="Preeti"/>
    </font>
    <font>
      <sz val="11"/>
      <color rgb="FF00B050"/>
      <name val="Calibri"/>
      <family val="2"/>
      <scheme val="minor"/>
    </font>
    <font>
      <b/>
      <sz val="12"/>
      <color rgb="FF00B050"/>
      <name val="Preeti"/>
    </font>
    <font>
      <sz val="14"/>
      <name val="Preeti"/>
    </font>
    <font>
      <sz val="9"/>
      <name val="Arial"/>
      <family val="2"/>
    </font>
    <font>
      <sz val="9"/>
      <name val="Preeti"/>
    </font>
    <font>
      <b/>
      <sz val="9"/>
      <name val="Arial"/>
      <family val="2"/>
    </font>
    <font>
      <sz val="10"/>
      <name val="Times New Roman"/>
      <family val="1"/>
    </font>
  </fonts>
  <fills count="3">
    <fill>
      <patternFill patternType="none"/>
    </fill>
    <fill>
      <patternFill patternType="gray125"/>
    </fill>
    <fill>
      <patternFill patternType="solid">
        <fgColor theme="0"/>
        <bgColor indexed="64"/>
      </patternFill>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43" fontId="1" fillId="0" borderId="0" applyFont="0" applyFill="0" applyBorder="0" applyAlignment="0" applyProtection="0"/>
    <xf numFmtId="0" fontId="10" fillId="0" borderId="0"/>
    <xf numFmtId="43" fontId="11" fillId="0" borderId="0" applyFont="0" applyFill="0" applyBorder="0" applyAlignment="0" applyProtection="0"/>
    <xf numFmtId="9" fontId="11" fillId="0" borderId="0" applyFont="0" applyFill="0" applyBorder="0" applyAlignment="0" applyProtection="0"/>
    <xf numFmtId="0" fontId="11" fillId="0" borderId="0"/>
  </cellStyleXfs>
  <cellXfs count="69">
    <xf numFmtId="0" fontId="0" fillId="0" borderId="0" xfId="0"/>
    <xf numFmtId="2" fontId="2" fillId="0" borderId="2" xfId="1" applyNumberFormat="1" applyFont="1" applyFill="1" applyBorder="1" applyAlignment="1">
      <alignment vertical="center"/>
    </xf>
    <xf numFmtId="2" fontId="3" fillId="0" borderId="2" xfId="1" applyNumberFormat="1" applyFont="1" applyFill="1" applyBorder="1" applyAlignment="1">
      <alignment vertical="center"/>
    </xf>
    <xf numFmtId="2" fontId="0" fillId="0" borderId="2" xfId="0" applyNumberFormat="1" applyBorder="1"/>
    <xf numFmtId="0" fontId="9" fillId="0" borderId="0" xfId="0" applyFont="1" applyAlignment="1">
      <alignment horizontal="center"/>
    </xf>
    <xf numFmtId="43" fontId="9" fillId="0" borderId="0" xfId="1" applyFont="1" applyFill="1"/>
    <xf numFmtId="0" fontId="9" fillId="0" borderId="2" xfId="0" applyFont="1" applyBorder="1" applyAlignment="1">
      <alignment horizontal="center"/>
    </xf>
    <xf numFmtId="0" fontId="9" fillId="0" borderId="2" xfId="0" applyFont="1" applyBorder="1" applyAlignment="1">
      <alignment horizontal="center" vertical="top" wrapText="1"/>
    </xf>
    <xf numFmtId="43" fontId="9" fillId="0" borderId="2" xfId="1" applyFont="1" applyFill="1" applyBorder="1" applyAlignment="1">
      <alignment horizontal="center"/>
    </xf>
    <xf numFmtId="0" fontId="9" fillId="0" borderId="2" xfId="0" applyFont="1" applyBorder="1" applyAlignment="1">
      <alignment horizontal="center" wrapText="1"/>
    </xf>
    <xf numFmtId="0" fontId="4" fillId="0" borderId="0" xfId="0" applyFont="1"/>
    <xf numFmtId="0" fontId="13" fillId="0" borderId="2" xfId="0" applyFont="1" applyBorder="1" applyAlignment="1">
      <alignment vertical="center"/>
    </xf>
    <xf numFmtId="0" fontId="0" fillId="0" borderId="2" xfId="0" applyBorder="1" applyAlignment="1">
      <alignment vertical="center"/>
    </xf>
    <xf numFmtId="0" fontId="0" fillId="0" borderId="0" xfId="0" applyAlignment="1">
      <alignment vertical="center"/>
    </xf>
    <xf numFmtId="0" fontId="0" fillId="0" borderId="2" xfId="0" applyBorder="1"/>
    <xf numFmtId="0" fontId="0" fillId="0" borderId="2" xfId="0" quotePrefix="1" applyBorder="1" applyAlignment="1">
      <alignment horizontal="right"/>
    </xf>
    <xf numFmtId="1" fontId="3" fillId="0" borderId="2" xfId="0" applyNumberFormat="1" applyFont="1" applyBorder="1" applyAlignment="1">
      <alignment vertical="center"/>
    </xf>
    <xf numFmtId="0" fontId="2" fillId="0" borderId="2" xfId="0" quotePrefix="1" applyFont="1" applyBorder="1" applyAlignment="1">
      <alignment horizontal="right" wrapText="1"/>
    </xf>
    <xf numFmtId="164" fontId="2" fillId="0" borderId="2" xfId="0" applyNumberFormat="1" applyFont="1" applyBorder="1" applyAlignment="1">
      <alignment vertical="center"/>
    </xf>
    <xf numFmtId="2" fontId="2" fillId="0" borderId="2" xfId="0" applyNumberFormat="1" applyFont="1" applyBorder="1" applyAlignment="1">
      <alignment vertical="center"/>
    </xf>
    <xf numFmtId="2" fontId="3" fillId="0" borderId="2" xfId="0" applyNumberFormat="1" applyFont="1" applyBorder="1" applyAlignment="1">
      <alignment vertical="center"/>
    </xf>
    <xf numFmtId="2" fontId="3" fillId="0" borderId="2" xfId="0" applyNumberFormat="1" applyFont="1" applyBorder="1"/>
    <xf numFmtId="2" fontId="0" fillId="0" borderId="2" xfId="0" applyNumberFormat="1" applyBorder="1" applyAlignment="1">
      <alignment vertical="center"/>
    </xf>
    <xf numFmtId="0" fontId="6" fillId="0" borderId="2" xfId="0" applyFont="1" applyBorder="1" applyAlignment="1">
      <alignment vertical="center"/>
    </xf>
    <xf numFmtId="0" fontId="4" fillId="0" borderId="2" xfId="0" quotePrefix="1" applyFont="1" applyBorder="1" applyAlignment="1">
      <alignment horizontal="right"/>
    </xf>
    <xf numFmtId="0" fontId="4" fillId="0" borderId="2" xfId="0" applyFont="1" applyBorder="1"/>
    <xf numFmtId="2" fontId="4" fillId="0" borderId="2" xfId="0" applyNumberFormat="1" applyFont="1" applyBorder="1"/>
    <xf numFmtId="0" fontId="14" fillId="0" borderId="2" xfId="0" applyFont="1" applyBorder="1" applyAlignment="1">
      <alignment vertical="center" wrapText="1"/>
    </xf>
    <xf numFmtId="1" fontId="2" fillId="0" borderId="2" xfId="0" applyNumberFormat="1" applyFont="1" applyBorder="1" applyAlignment="1">
      <alignment vertical="center" wrapText="1"/>
    </xf>
    <xf numFmtId="1" fontId="2" fillId="0" borderId="2" xfId="0" applyNumberFormat="1" applyFont="1" applyBorder="1" applyAlignment="1">
      <alignment horizontal="right" vertical="center" wrapText="1"/>
    </xf>
    <xf numFmtId="0" fontId="3" fillId="0" borderId="2" xfId="0" applyFont="1" applyBorder="1" applyAlignment="1">
      <alignment horizontal="right" wrapText="1"/>
    </xf>
    <xf numFmtId="164" fontId="2" fillId="0" borderId="2" xfId="0" applyNumberFormat="1" applyFont="1" applyBorder="1"/>
    <xf numFmtId="2" fontId="2" fillId="0" borderId="2" xfId="0" applyNumberFormat="1" applyFont="1" applyBorder="1"/>
    <xf numFmtId="0" fontId="2" fillId="0" borderId="2" xfId="0" applyFont="1" applyBorder="1"/>
    <xf numFmtId="0" fontId="2" fillId="0" borderId="0" xfId="0" applyFont="1" applyAlignment="1">
      <alignment vertical="center"/>
    </xf>
    <xf numFmtId="0" fontId="4" fillId="0" borderId="2" xfId="0" applyFont="1" applyBorder="1" applyAlignment="1">
      <alignment vertical="center"/>
    </xf>
    <xf numFmtId="2" fontId="2" fillId="0" borderId="0" xfId="0" applyNumberFormat="1" applyFont="1" applyAlignment="1">
      <alignment vertical="center"/>
    </xf>
    <xf numFmtId="0" fontId="3" fillId="0" borderId="0" xfId="0" applyFont="1" applyAlignment="1">
      <alignment horizontal="right" vertical="center"/>
    </xf>
    <xf numFmtId="43" fontId="3" fillId="0" borderId="0" xfId="1" applyFont="1" applyFill="1" applyBorder="1" applyAlignment="1">
      <alignment vertical="center"/>
    </xf>
    <xf numFmtId="0" fontId="3" fillId="0" borderId="0" xfId="0" applyFont="1" applyAlignment="1">
      <alignment vertical="center"/>
    </xf>
    <xf numFmtId="0" fontId="4" fillId="0" borderId="0" xfId="0" applyFont="1" applyAlignment="1">
      <alignment vertical="center"/>
    </xf>
    <xf numFmtId="0" fontId="9" fillId="0" borderId="2" xfId="0" applyFont="1" applyBorder="1" applyAlignment="1">
      <alignment horizontal="center" vertical="center"/>
    </xf>
    <xf numFmtId="0" fontId="3" fillId="0" borderId="2" xfId="0" applyFont="1" applyBorder="1" applyAlignment="1">
      <alignment vertical="center"/>
    </xf>
    <xf numFmtId="0" fontId="0" fillId="0" borderId="2" xfId="0" applyBorder="1" applyAlignment="1">
      <alignment wrapText="1"/>
    </xf>
    <xf numFmtId="0" fontId="0" fillId="0" borderId="2" xfId="0" quotePrefix="1" applyBorder="1" applyAlignment="1">
      <alignment horizontal="right" wrapText="1"/>
    </xf>
    <xf numFmtId="1" fontId="2" fillId="0" borderId="2" xfId="0" applyNumberFormat="1" applyFont="1" applyBorder="1" applyAlignment="1">
      <alignment vertical="center"/>
    </xf>
    <xf numFmtId="0" fontId="4" fillId="0" borderId="2" xfId="0" quotePrefix="1" applyFont="1" applyBorder="1" applyAlignment="1">
      <alignment vertical="center"/>
    </xf>
    <xf numFmtId="0" fontId="4" fillId="0" borderId="2" xfId="0" applyFont="1" applyBorder="1" applyAlignment="1">
      <alignment vertical="center" wrapText="1"/>
    </xf>
    <xf numFmtId="2" fontId="4" fillId="0" borderId="2" xfId="0" applyNumberFormat="1" applyFont="1" applyBorder="1" applyAlignment="1">
      <alignment vertical="center" wrapText="1"/>
    </xf>
    <xf numFmtId="0" fontId="15" fillId="0" borderId="2" xfId="0" quotePrefix="1" applyFont="1" applyBorder="1" applyAlignment="1">
      <alignment horizontal="right" wrapText="1"/>
    </xf>
    <xf numFmtId="164" fontId="15" fillId="0" borderId="2" xfId="0" applyNumberFormat="1" applyFont="1" applyBorder="1"/>
    <xf numFmtId="2" fontId="15" fillId="0" borderId="2" xfId="0" applyNumberFormat="1" applyFont="1" applyBorder="1"/>
    <xf numFmtId="0" fontId="15" fillId="0" borderId="2" xfId="0" applyFont="1" applyBorder="1" applyAlignment="1">
      <alignment wrapText="1"/>
    </xf>
    <xf numFmtId="2" fontId="15" fillId="0" borderId="2" xfId="0" applyNumberFormat="1" applyFont="1" applyBorder="1" applyAlignment="1">
      <alignment wrapText="1"/>
    </xf>
    <xf numFmtId="0" fontId="16" fillId="0" borderId="2" xfId="0" applyFont="1" applyBorder="1" applyAlignment="1">
      <alignment vertical="center" wrapText="1"/>
    </xf>
    <xf numFmtId="0" fontId="4" fillId="0" borderId="2" xfId="0" quotePrefix="1" applyFont="1" applyBorder="1" applyAlignment="1">
      <alignment horizontal="right" wrapText="1"/>
    </xf>
    <xf numFmtId="0" fontId="21" fillId="2" borderId="2" xfId="0" applyFont="1" applyFill="1" applyBorder="1" applyAlignment="1">
      <alignment vertical="top" wrapText="1"/>
    </xf>
    <xf numFmtId="0" fontId="8" fillId="0" borderId="1" xfId="0" applyFont="1" applyBorder="1"/>
    <xf numFmtId="0" fontId="8" fillId="0" borderId="1" xfId="0" applyFont="1" applyBorder="1" applyAlignment="1">
      <alignment horizontal="right"/>
    </xf>
    <xf numFmtId="2" fontId="4" fillId="0" borderId="3" xfId="0" applyNumberFormat="1" applyFont="1" applyBorder="1" applyAlignment="1">
      <alignment horizontal="center" vertical="center"/>
    </xf>
    <xf numFmtId="2" fontId="4" fillId="0" borderId="4" xfId="0" applyNumberFormat="1" applyFont="1" applyBorder="1" applyAlignment="1">
      <alignment horizontal="center" vertical="center"/>
    </xf>
    <xf numFmtId="2" fontId="4" fillId="0" borderId="3" xfId="1" applyNumberFormat="1" applyFont="1" applyFill="1" applyBorder="1" applyAlignment="1">
      <alignment horizontal="center" vertical="center"/>
    </xf>
    <xf numFmtId="2" fontId="4" fillId="0" borderId="4" xfId="1" applyNumberFormat="1" applyFont="1" applyFill="1" applyBorder="1" applyAlignment="1">
      <alignment horizontal="center" vertical="center"/>
    </xf>
    <xf numFmtId="0" fontId="8" fillId="0" borderId="0" xfId="0" applyFont="1" applyAlignment="1">
      <alignment horizontal="left"/>
    </xf>
    <xf numFmtId="0" fontId="8" fillId="0" borderId="0" xfId="0" applyFont="1" applyAlignment="1">
      <alignment horizontal="right"/>
    </xf>
    <xf numFmtId="0" fontId="3"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xf>
  </cellXfs>
  <cellStyles count="6">
    <cellStyle name="Comma" xfId="1" builtinId="3"/>
    <cellStyle name="Comma 2" xfId="3" xr:uid="{00000000-0005-0000-0000-000001000000}"/>
    <cellStyle name="Normal" xfId="0" builtinId="0"/>
    <cellStyle name="Normal 2" xfId="2" xr:uid="{00000000-0005-0000-0000-000003000000}"/>
    <cellStyle name="Normal 3" xfId="5" xr:uid="{00000000-0005-0000-0000-000004000000}"/>
    <cellStyle name="Percent 2" xfId="4" xr:uid="{00000000-0005-0000-0000-000005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079-080\Rate%20Analysis\Road-rate-analysis-079-80-shankharapur-as-per-dor-norms-nnn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Dell\Desktop\Ward%209\RATE%20ANALYSIS\Road-rate-analysis-078-79-shankharapu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2082_2083\rate%20analysis\For%20all%20Road-rate%20analysis%2082%2083%20shankharapu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16">
          <cell r="B16" t="str">
            <v>Clearing and Grubbing Road Land ., Clearing and grubbing road land including uprooting rank vegetation, grass, bushes, shrubs, saplings and trees girth up to 300 mm, removal of stumps of trees cut earlier and disposal of unserviceable materials and stacking of serviceable Material to be used or auctioned, up to a lead of 30 meters including removal and disposal of top organic soil not exceeding 150 mm in thickness., By Mechanical Means, In area of light jungle (less than 15 number per 100 sqm )</v>
          </cell>
        </row>
        <row r="22">
          <cell r="B22" t="str">
            <v>Providing and Laying Reinforced cement concrete NP3 Flush jointed pipe for culverts including fixing with cement mortar 1:2 as per Drawing and Technical Specifications., 450 mm  internal dia.</v>
          </cell>
        </row>
        <row r="23">
          <cell r="B23" t="str">
            <v>Providing and Laying Reinforced cement concrete NP3 Flush jointed pipe for culverts including fixing with cement mortar 1:2 as per Drawing and Technical Specifications., 600 mm  internal dia.</v>
          </cell>
        </row>
        <row r="34">
          <cell r="B34" t="str">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ell>
        </row>
        <row r="169">
          <cell r="B169" t="str">
            <v>Providing and laying of Plain/Reinforced Cement Concrete in Foundation complete as per Drawing and Technical Specifications, PCC Grade M 15</v>
          </cell>
        </row>
        <row r="171">
          <cell r="B171" t="str">
            <v>Providing and laying of Plain/Reinforced Cement Concrete in Foundation complete as per Drawing and Technical Specifications, PCC Grade M 20</v>
          </cell>
        </row>
        <row r="278">
          <cell r="B278" t="str">
            <v>Providing and laying Brick Masonry Work in Cement mortar  in Foundation / structure complete excluding Pointing and Plastering, as per Drawing and Technical Specifications., Cement sand mortar (1:6)</v>
          </cell>
        </row>
        <row r="301">
          <cell r="B301" t="str">
            <v>Random Rubble Masonry, Providing and laying of Stone Masonry Work in Cement Mortar 1:6 in Foundation complete as per Drawing and Technical Specifications.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33">
          <cell r="B33" t="str">
            <v>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40">
          <cell r="B40" t="str">
            <v>Excavation for Structures Foundation, Earth work in excavation of foundation of structures, including  construction of shoring and bracing, removal of stumps and other deleterious matter and backfilling with approved Material as per Drawing and Technical Specifications., Ordinary soil by Mechanical Means, Depth upto 3 m</v>
          </cell>
        </row>
        <row r="300">
          <cell r="B300" t="str">
            <v>Random Rubble Masonry, Providing and laying of Stone Masonry Work in Cement Mortar 1:6 in Foundation complete as per Drawing and Technical Specifications., Using Concrete Mixer</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14"/>
  <sheetViews>
    <sheetView tabSelected="1" topLeftCell="A97" zoomScaleNormal="100" workbookViewId="0">
      <selection activeCell="D39" sqref="D39"/>
    </sheetView>
  </sheetViews>
  <sheetFormatPr defaultColWidth="9.140625" defaultRowHeight="15" x14ac:dyDescent="0.25"/>
  <cols>
    <col min="1" max="1" width="4.7109375" style="13" customWidth="1"/>
    <col min="2" max="2" width="30.85546875" customWidth="1"/>
    <col min="3" max="3" width="6.28515625" bestFit="1" customWidth="1"/>
    <col min="4" max="4" width="8.42578125" customWidth="1"/>
    <col min="5" max="5" width="8.5703125" customWidth="1"/>
    <col min="6" max="6" width="7.28515625" customWidth="1"/>
    <col min="8" max="8" width="5" bestFit="1" customWidth="1"/>
    <col min="9" max="9" width="9.5703125" customWidth="1"/>
    <col min="10" max="10" width="11.85546875" bestFit="1" customWidth="1"/>
  </cols>
  <sheetData>
    <row r="1" spans="1:11" x14ac:dyDescent="0.25">
      <c r="A1" s="65" t="s">
        <v>0</v>
      </c>
      <c r="B1" s="65"/>
      <c r="C1" s="65"/>
      <c r="D1" s="65"/>
      <c r="E1" s="65"/>
      <c r="F1" s="65"/>
      <c r="G1" s="65"/>
      <c r="H1" s="65"/>
      <c r="I1" s="65"/>
      <c r="J1" s="65"/>
      <c r="K1" s="65"/>
    </row>
    <row r="2" spans="1:11" ht="22.5" x14ac:dyDescent="0.25">
      <c r="A2" s="66" t="s">
        <v>1</v>
      </c>
      <c r="B2" s="66"/>
      <c r="C2" s="66"/>
      <c r="D2" s="66"/>
      <c r="E2" s="66"/>
      <c r="F2" s="66"/>
      <c r="G2" s="66"/>
      <c r="H2" s="66"/>
      <c r="I2" s="66"/>
      <c r="J2" s="66"/>
      <c r="K2" s="66"/>
    </row>
    <row r="3" spans="1:11" x14ac:dyDescent="0.25">
      <c r="A3" s="67" t="s">
        <v>2</v>
      </c>
      <c r="B3" s="67"/>
      <c r="C3" s="67"/>
      <c r="D3" s="67"/>
      <c r="E3" s="67"/>
      <c r="F3" s="67"/>
      <c r="G3" s="67"/>
      <c r="H3" s="67"/>
      <c r="I3" s="67"/>
      <c r="J3" s="67"/>
      <c r="K3" s="67"/>
    </row>
    <row r="4" spans="1:11" x14ac:dyDescent="0.25">
      <c r="A4" s="67" t="s">
        <v>3</v>
      </c>
      <c r="B4" s="67"/>
      <c r="C4" s="67"/>
      <c r="D4" s="67"/>
      <c r="E4" s="67"/>
      <c r="F4" s="67"/>
      <c r="G4" s="67"/>
      <c r="H4" s="67"/>
      <c r="I4" s="67"/>
      <c r="J4" s="67"/>
      <c r="K4" s="67"/>
    </row>
    <row r="5" spans="1:11" ht="18.75" x14ac:dyDescent="0.3">
      <c r="A5" s="68" t="s">
        <v>4</v>
      </c>
      <c r="B5" s="68"/>
      <c r="C5" s="68"/>
      <c r="D5" s="68"/>
      <c r="E5" s="68"/>
      <c r="F5" s="68"/>
      <c r="G5" s="68"/>
      <c r="H5" s="68"/>
      <c r="I5" s="68"/>
      <c r="J5" s="68"/>
      <c r="K5" s="68"/>
    </row>
    <row r="6" spans="1:11" ht="15.75" x14ac:dyDescent="0.25">
      <c r="A6" s="63" t="s">
        <v>51</v>
      </c>
      <c r="B6" s="63"/>
      <c r="C6" s="63"/>
      <c r="D6" s="63"/>
      <c r="E6" s="63"/>
      <c r="F6" s="63"/>
      <c r="G6" s="4"/>
      <c r="H6" s="64" t="s">
        <v>21</v>
      </c>
      <c r="I6" s="64"/>
      <c r="J6" s="64"/>
      <c r="K6" s="64"/>
    </row>
    <row r="7" spans="1:11" ht="15.75" x14ac:dyDescent="0.25">
      <c r="A7" s="57" t="s">
        <v>24</v>
      </c>
      <c r="B7" s="57"/>
      <c r="C7" s="57"/>
      <c r="D7" s="57"/>
      <c r="E7" s="57"/>
      <c r="F7" s="57"/>
      <c r="G7" s="5"/>
      <c r="H7" s="58" t="s">
        <v>30</v>
      </c>
      <c r="I7" s="58"/>
      <c r="J7" s="58"/>
      <c r="K7" s="58"/>
    </row>
    <row r="8" spans="1:11" s="10" customFormat="1" ht="15.75" x14ac:dyDescent="0.25">
      <c r="A8" s="41" t="s">
        <v>5</v>
      </c>
      <c r="B8" s="7" t="s">
        <v>6</v>
      </c>
      <c r="C8" s="6" t="s">
        <v>7</v>
      </c>
      <c r="D8" s="8" t="s">
        <v>8</v>
      </c>
      <c r="E8" s="8" t="s">
        <v>9</v>
      </c>
      <c r="F8" s="8" t="s">
        <v>10</v>
      </c>
      <c r="G8" s="8" t="s">
        <v>11</v>
      </c>
      <c r="H8" s="6" t="s">
        <v>12</v>
      </c>
      <c r="I8" s="8" t="s">
        <v>13</v>
      </c>
      <c r="J8" s="8" t="s">
        <v>14</v>
      </c>
      <c r="K8" s="9" t="s">
        <v>15</v>
      </c>
    </row>
    <row r="9" spans="1:11" s="13" customFormat="1" ht="61.5" x14ac:dyDescent="0.25">
      <c r="A9" s="11">
        <v>1</v>
      </c>
      <c r="B9" s="27" t="s">
        <v>34</v>
      </c>
      <c r="C9" s="12"/>
      <c r="D9" s="22"/>
      <c r="E9" s="22"/>
      <c r="F9" s="22"/>
      <c r="G9" s="22"/>
      <c r="H9" s="12"/>
      <c r="I9" s="12"/>
      <c r="J9" s="12"/>
      <c r="K9" s="12"/>
    </row>
    <row r="10" spans="1:11" x14ac:dyDescent="0.25">
      <c r="A10" s="12"/>
      <c r="B10" s="15" t="s">
        <v>31</v>
      </c>
      <c r="C10" s="14">
        <v>2</v>
      </c>
      <c r="D10" s="3">
        <f>(272+272)/12/3.281</f>
        <v>13.81692573402418</v>
      </c>
      <c r="E10" s="3"/>
      <c r="F10" s="3">
        <v>0.75</v>
      </c>
      <c r="G10" s="3">
        <f>PRODUCT(C10:F10)</f>
        <v>20.725388601036268</v>
      </c>
      <c r="H10" s="14"/>
      <c r="I10" s="14"/>
      <c r="J10" s="14"/>
      <c r="K10" s="14"/>
    </row>
    <row r="11" spans="1:11" x14ac:dyDescent="0.25">
      <c r="A11" s="12"/>
      <c r="B11" s="15" t="s">
        <v>32</v>
      </c>
      <c r="C11" s="14">
        <v>2</v>
      </c>
      <c r="D11" s="3">
        <f>236/12/3.281</f>
        <v>5.9941074875546079</v>
      </c>
      <c r="E11" s="3"/>
      <c r="F11" s="3">
        <v>0.75</v>
      </c>
      <c r="G11" s="3">
        <f t="shared" ref="G11:G15" si="0">PRODUCT(C11:F11)</f>
        <v>8.9911612313319118</v>
      </c>
      <c r="H11" s="14"/>
      <c r="I11" s="14"/>
      <c r="J11" s="14"/>
      <c r="K11" s="14"/>
    </row>
    <row r="12" spans="1:11" x14ac:dyDescent="0.25">
      <c r="A12" s="12"/>
      <c r="B12" s="15" t="s">
        <v>45</v>
      </c>
      <c r="C12" s="14">
        <v>1</v>
      </c>
      <c r="D12" s="3">
        <f>28.75/3.281</f>
        <v>8.7625723864675393</v>
      </c>
      <c r="E12" s="3">
        <f>6.75/3.281</f>
        <v>2.0572996037793354</v>
      </c>
      <c r="F12" s="3"/>
      <c r="G12" s="3">
        <f t="shared" si="0"/>
        <v>18.027236698767414</v>
      </c>
      <c r="H12" s="14"/>
      <c r="I12" s="14"/>
      <c r="J12" s="14"/>
      <c r="K12" s="14"/>
    </row>
    <row r="13" spans="1:11" x14ac:dyDescent="0.25">
      <c r="A13" s="12"/>
      <c r="B13" s="15"/>
      <c r="C13" s="14">
        <v>1</v>
      </c>
      <c r="D13" s="3">
        <f>32.25/3.281</f>
        <v>9.8293203291679365</v>
      </c>
      <c r="E13" s="3">
        <f>6.75/3.281</f>
        <v>2.0572996037793354</v>
      </c>
      <c r="F13" s="3"/>
      <c r="G13" s="3">
        <f t="shared" si="0"/>
        <v>20.221856818617361</v>
      </c>
      <c r="H13" s="14"/>
      <c r="I13" s="14"/>
      <c r="J13" s="14"/>
      <c r="K13" s="14"/>
    </row>
    <row r="14" spans="1:11" x14ac:dyDescent="0.25">
      <c r="A14" s="12"/>
      <c r="B14" s="15" t="s">
        <v>53</v>
      </c>
      <c r="C14" s="14">
        <v>-2</v>
      </c>
      <c r="D14" s="3">
        <f>42/12/3.281</f>
        <v>1.0667479427003961</v>
      </c>
      <c r="E14" s="3"/>
      <c r="F14" s="3">
        <v>0.75</v>
      </c>
      <c r="G14" s="3">
        <f t="shared" si="0"/>
        <v>-1.600121914050594</v>
      </c>
      <c r="H14" s="14"/>
      <c r="I14" s="14"/>
      <c r="J14" s="14"/>
      <c r="K14" s="14"/>
    </row>
    <row r="15" spans="1:11" x14ac:dyDescent="0.25">
      <c r="A15" s="12"/>
      <c r="B15" s="15"/>
      <c r="C15" s="14">
        <v>-1</v>
      </c>
      <c r="D15" s="3">
        <f>35/12/3.281</f>
        <v>0.88895661891699673</v>
      </c>
      <c r="E15" s="3"/>
      <c r="F15" s="3">
        <v>0.75</v>
      </c>
      <c r="G15" s="3">
        <f t="shared" si="0"/>
        <v>-0.66671746418774758</v>
      </c>
      <c r="H15" s="14"/>
      <c r="I15" s="14"/>
      <c r="J15" s="14"/>
      <c r="K15" s="14"/>
    </row>
    <row r="16" spans="1:11" s="10" customFormat="1" ht="15" customHeight="1" x14ac:dyDescent="0.25">
      <c r="A16" s="16"/>
      <c r="B16" s="17" t="s">
        <v>16</v>
      </c>
      <c r="C16" s="18"/>
      <c r="D16" s="1"/>
      <c r="E16" s="19"/>
      <c r="F16" s="19"/>
      <c r="G16" s="2">
        <f>SUM(G10:G15)</f>
        <v>65.698803971514621</v>
      </c>
      <c r="H16" s="20" t="s">
        <v>26</v>
      </c>
      <c r="I16" s="2">
        <f>1.15*9949.51</f>
        <v>11441.9365</v>
      </c>
      <c r="J16" s="21">
        <f>G16*I16</f>
        <v>751721.54316801811</v>
      </c>
      <c r="K16" s="19"/>
    </row>
    <row r="17" spans="1:11" x14ac:dyDescent="0.25">
      <c r="A17" s="12"/>
      <c r="B17" s="14"/>
      <c r="C17" s="14"/>
      <c r="D17" s="3"/>
      <c r="E17" s="3"/>
      <c r="F17" s="3"/>
      <c r="G17" s="3"/>
      <c r="H17" s="14"/>
      <c r="I17" s="14"/>
      <c r="J17" s="14"/>
      <c r="K17" s="14"/>
    </row>
    <row r="18" spans="1:11" s="13" customFormat="1" ht="30" x14ac:dyDescent="0.25">
      <c r="A18" s="11">
        <v>2</v>
      </c>
      <c r="B18" s="27" t="s">
        <v>35</v>
      </c>
      <c r="C18" s="12"/>
      <c r="D18" s="22"/>
      <c r="E18" s="22"/>
      <c r="F18" s="22"/>
      <c r="G18" s="22"/>
      <c r="H18" s="12"/>
      <c r="I18" s="12"/>
      <c r="J18" s="12"/>
      <c r="K18" s="12"/>
    </row>
    <row r="19" spans="1:11" x14ac:dyDescent="0.25">
      <c r="A19" s="12"/>
      <c r="B19" s="15" t="s">
        <v>36</v>
      </c>
      <c r="C19" s="14">
        <v>1</v>
      </c>
      <c r="D19" s="3">
        <f>35.083/3.281</f>
        <v>10.692776592502286</v>
      </c>
      <c r="E19" s="3">
        <f>236/12/3.281</f>
        <v>5.9941074875546079</v>
      </c>
      <c r="F19" s="3"/>
      <c r="G19" s="3">
        <f>PRODUCT(C19:F19)</f>
        <v>64.0936522358666</v>
      </c>
      <c r="H19" s="14"/>
      <c r="I19" s="14"/>
      <c r="J19" s="14"/>
      <c r="K19" s="14"/>
    </row>
    <row r="20" spans="1:11" x14ac:dyDescent="0.25">
      <c r="A20" s="12"/>
      <c r="B20" s="15" t="s">
        <v>46</v>
      </c>
      <c r="C20" s="14">
        <v>-1</v>
      </c>
      <c r="D20" s="3">
        <f>D12</f>
        <v>8.7625723864675393</v>
      </c>
      <c r="E20" s="3">
        <f>E12</f>
        <v>2.0572996037793354</v>
      </c>
      <c r="F20" s="3"/>
      <c r="G20" s="3">
        <f t="shared" ref="G20:G21" si="1">PRODUCT(C20:F20)</f>
        <v>-18.027236698767414</v>
      </c>
      <c r="H20" s="14"/>
      <c r="I20" s="14"/>
      <c r="J20" s="14"/>
      <c r="K20" s="14"/>
    </row>
    <row r="21" spans="1:11" x14ac:dyDescent="0.25">
      <c r="A21" s="12"/>
      <c r="B21" s="15"/>
      <c r="C21" s="14">
        <v>-1</v>
      </c>
      <c r="D21" s="3">
        <f>D13</f>
        <v>9.8293203291679365</v>
      </c>
      <c r="E21" s="3">
        <f>E13</f>
        <v>2.0572996037793354</v>
      </c>
      <c r="F21" s="3"/>
      <c r="G21" s="3">
        <f t="shared" si="1"/>
        <v>-20.221856818617361</v>
      </c>
      <c r="H21" s="14"/>
      <c r="I21" s="14"/>
      <c r="J21" s="14"/>
      <c r="K21" s="14"/>
    </row>
    <row r="22" spans="1:11" s="10" customFormat="1" ht="15" customHeight="1" x14ac:dyDescent="0.25">
      <c r="A22" s="16"/>
      <c r="B22" s="17" t="s">
        <v>16</v>
      </c>
      <c r="C22" s="18"/>
      <c r="D22" s="1"/>
      <c r="E22" s="19"/>
      <c r="F22" s="19"/>
      <c r="G22" s="2">
        <f>SUM(G19:G21)</f>
        <v>25.844558718481828</v>
      </c>
      <c r="H22" s="20" t="s">
        <v>26</v>
      </c>
      <c r="I22" s="2">
        <f>1.15*2808.56</f>
        <v>3229.8439999999996</v>
      </c>
      <c r="J22" s="21">
        <f>G22*I22</f>
        <v>83473.892909536211</v>
      </c>
      <c r="K22" s="19"/>
    </row>
    <row r="23" spans="1:11" x14ac:dyDescent="0.25">
      <c r="A23" s="12"/>
      <c r="B23" s="14"/>
      <c r="C23" s="14"/>
      <c r="D23" s="3"/>
      <c r="E23" s="3"/>
      <c r="F23" s="3"/>
      <c r="G23" s="3"/>
      <c r="H23" s="14"/>
      <c r="I23" s="14"/>
      <c r="J23" s="14"/>
      <c r="K23" s="14"/>
    </row>
    <row r="24" spans="1:11" ht="30" x14ac:dyDescent="0.25">
      <c r="A24" s="12">
        <v>4</v>
      </c>
      <c r="B24" s="27" t="s">
        <v>33</v>
      </c>
      <c r="C24" s="14"/>
      <c r="D24" s="14"/>
      <c r="E24" s="14"/>
      <c r="F24" s="14"/>
      <c r="G24" s="14"/>
      <c r="H24" s="14"/>
      <c r="I24" s="14"/>
      <c r="J24" s="14"/>
      <c r="K24" s="14"/>
    </row>
    <row r="25" spans="1:11" x14ac:dyDescent="0.25">
      <c r="A25" s="12"/>
      <c r="B25" s="15" t="s">
        <v>32</v>
      </c>
      <c r="C25" s="3">
        <f>2*2</f>
        <v>4</v>
      </c>
      <c r="D25" s="3">
        <f>(11.33-0.75)/3.281</f>
        <v>3.2246266382200548</v>
      </c>
      <c r="E25" s="3">
        <v>0.1</v>
      </c>
      <c r="F25" s="3">
        <f>3.5/3.281</f>
        <v>1.0667479427003961</v>
      </c>
      <c r="G25" s="3">
        <f>PRODUCT(C25:F25)</f>
        <v>1.3759455329192551</v>
      </c>
      <c r="H25" s="14"/>
      <c r="I25" s="14"/>
      <c r="J25" s="14"/>
      <c r="K25" s="14"/>
    </row>
    <row r="26" spans="1:11" x14ac:dyDescent="0.25">
      <c r="A26" s="12"/>
      <c r="B26" s="15"/>
      <c r="C26" s="3">
        <v>2</v>
      </c>
      <c r="D26" s="3">
        <v>0.23</v>
      </c>
      <c r="E26" s="3">
        <v>0.23</v>
      </c>
      <c r="F26" s="3">
        <f>3.5/3.281</f>
        <v>1.0667479427003961</v>
      </c>
      <c r="G26" s="3">
        <f>PRODUCT(C26:F26)</f>
        <v>0.11286193233770191</v>
      </c>
      <c r="H26" s="14"/>
      <c r="I26" s="14"/>
      <c r="J26" s="14"/>
      <c r="K26" s="14"/>
    </row>
    <row r="27" spans="1:11" s="10" customFormat="1" ht="15" customHeight="1" x14ac:dyDescent="0.25">
      <c r="A27" s="16"/>
      <c r="B27" s="17" t="s">
        <v>16</v>
      </c>
      <c r="C27" s="18"/>
      <c r="D27" s="1"/>
      <c r="E27" s="19"/>
      <c r="F27" s="19"/>
      <c r="G27" s="2">
        <f>SUM(G25:G26)</f>
        <v>1.488807465256957</v>
      </c>
      <c r="H27" s="20" t="s">
        <v>23</v>
      </c>
      <c r="I27" s="2">
        <f>1.15*14827.62</f>
        <v>17051.762999999999</v>
      </c>
      <c r="J27" s="21">
        <f>G27*I27</f>
        <v>25386.792050192362</v>
      </c>
      <c r="K27" s="19"/>
    </row>
    <row r="28" spans="1:11" s="10" customFormat="1" x14ac:dyDescent="0.25">
      <c r="A28" s="23"/>
      <c r="B28" s="24"/>
      <c r="C28" s="25"/>
      <c r="D28" s="26"/>
      <c r="E28" s="26"/>
      <c r="F28" s="26"/>
      <c r="G28" s="26"/>
      <c r="H28" s="25"/>
      <c r="I28" s="25"/>
      <c r="J28" s="21"/>
      <c r="K28" s="25"/>
    </row>
    <row r="29" spans="1:11" ht="138.75" x14ac:dyDescent="0.25">
      <c r="A29" s="12">
        <v>8</v>
      </c>
      <c r="B29" s="27" t="s">
        <v>47</v>
      </c>
      <c r="C29" s="14"/>
      <c r="D29" s="14"/>
      <c r="E29" s="14"/>
      <c r="F29" s="14"/>
      <c r="G29" s="14"/>
      <c r="H29" s="14"/>
      <c r="I29" s="14"/>
      <c r="J29" s="14"/>
      <c r="K29" s="14"/>
    </row>
    <row r="30" spans="1:11" x14ac:dyDescent="0.25">
      <c r="A30" s="12"/>
      <c r="B30" s="15" t="s">
        <v>48</v>
      </c>
      <c r="C30" s="3">
        <v>1</v>
      </c>
      <c r="D30" s="3">
        <f>(48.5+5+5)/3.281</f>
        <v>17.829929899420907</v>
      </c>
      <c r="E30" s="3"/>
      <c r="F30" s="3">
        <v>1.5</v>
      </c>
      <c r="G30" s="3">
        <f>PRODUCT(C30:F30)</f>
        <v>26.744894849131363</v>
      </c>
      <c r="H30" s="14"/>
      <c r="I30" s="14"/>
      <c r="J30" s="14"/>
      <c r="K30" s="14"/>
    </row>
    <row r="31" spans="1:11" x14ac:dyDescent="0.25">
      <c r="A31" s="12"/>
      <c r="B31" s="15"/>
      <c r="C31" s="3">
        <v>1</v>
      </c>
      <c r="D31" s="3">
        <f>(21.5+5)/3.281</f>
        <v>8.076805851874429</v>
      </c>
      <c r="E31" s="3"/>
      <c r="F31" s="3">
        <v>1.5</v>
      </c>
      <c r="G31" s="3">
        <f>PRODUCT(C31:F31)</f>
        <v>12.115208777811644</v>
      </c>
      <c r="H31" s="14"/>
      <c r="I31" s="14"/>
      <c r="J31" s="14"/>
      <c r="K31" s="14"/>
    </row>
    <row r="32" spans="1:11" s="10" customFormat="1" ht="15" customHeight="1" x14ac:dyDescent="0.25">
      <c r="A32" s="16"/>
      <c r="B32" s="17" t="s">
        <v>16</v>
      </c>
      <c r="C32" s="18"/>
      <c r="D32" s="1"/>
      <c r="E32" s="19"/>
      <c r="F32" s="19"/>
      <c r="G32" s="2">
        <f>SUM(G30:G31)</f>
        <v>38.860103626943008</v>
      </c>
      <c r="H32" s="20" t="s">
        <v>26</v>
      </c>
      <c r="I32" s="2">
        <f>1.15*30571.1/10</f>
        <v>3515.6764999999991</v>
      </c>
      <c r="J32" s="21">
        <f>G32*I32</f>
        <v>136619.55310880826</v>
      </c>
      <c r="K32" s="19"/>
    </row>
    <row r="33" spans="1:11" s="10" customFormat="1" x14ac:dyDescent="0.25">
      <c r="A33" s="23"/>
      <c r="B33" s="24"/>
      <c r="C33" s="25"/>
      <c r="D33" s="26"/>
      <c r="E33" s="26"/>
      <c r="F33" s="26"/>
      <c r="G33" s="26"/>
      <c r="H33" s="25"/>
      <c r="I33" s="25"/>
      <c r="J33" s="21"/>
      <c r="K33" s="25"/>
    </row>
    <row r="34" spans="1:11" s="10" customFormat="1" ht="45" x14ac:dyDescent="0.25">
      <c r="A34" s="16">
        <v>9</v>
      </c>
      <c r="B34" s="27" t="s">
        <v>52</v>
      </c>
      <c r="C34" s="18"/>
      <c r="D34" s="1"/>
      <c r="E34" s="19"/>
      <c r="F34" s="19"/>
      <c r="G34" s="20"/>
      <c r="H34" s="20"/>
      <c r="I34" s="2"/>
      <c r="J34" s="20"/>
      <c r="K34" s="19"/>
    </row>
    <row r="35" spans="1:11" x14ac:dyDescent="0.25">
      <c r="A35" s="12"/>
      <c r="B35" s="15" t="s">
        <v>49</v>
      </c>
      <c r="C35" s="3">
        <v>1</v>
      </c>
      <c r="D35" s="3">
        <v>0</v>
      </c>
      <c r="E35" s="3">
        <v>0.1</v>
      </c>
      <c r="F35" s="3">
        <f>7.5/3.281</f>
        <v>2.2858884486437061</v>
      </c>
      <c r="G35" s="3">
        <f>PRODUCT(C35:F35)</f>
        <v>0</v>
      </c>
      <c r="H35" s="14"/>
      <c r="I35" s="14"/>
      <c r="J35" s="14"/>
      <c r="K35" s="14"/>
    </row>
    <row r="36" spans="1:11" s="10" customFormat="1" ht="15" customHeight="1" x14ac:dyDescent="0.25">
      <c r="A36" s="16"/>
      <c r="B36" s="17" t="s">
        <v>16</v>
      </c>
      <c r="C36" s="18"/>
      <c r="D36" s="1"/>
      <c r="E36" s="19"/>
      <c r="F36" s="19"/>
      <c r="G36" s="2">
        <f>SUM(G34:G35)</f>
        <v>0</v>
      </c>
      <c r="H36" s="20" t="s">
        <v>23</v>
      </c>
      <c r="I36" s="2">
        <f>1.15*1982.2</f>
        <v>2279.5299999999997</v>
      </c>
      <c r="J36" s="21">
        <f>G36*I36</f>
        <v>0</v>
      </c>
      <c r="K36" s="19"/>
    </row>
    <row r="37" spans="1:11" s="10" customFormat="1" x14ac:dyDescent="0.25">
      <c r="A37" s="23"/>
      <c r="B37" s="24"/>
      <c r="C37" s="25"/>
      <c r="D37" s="26"/>
      <c r="E37" s="26"/>
      <c r="F37" s="26"/>
      <c r="G37" s="26"/>
      <c r="H37" s="25"/>
      <c r="I37" s="25"/>
      <c r="J37" s="21"/>
      <c r="K37" s="25"/>
    </row>
    <row r="38" spans="1:11" s="10" customFormat="1" ht="45" x14ac:dyDescent="0.25">
      <c r="A38" s="23"/>
      <c r="B38" s="27" t="s">
        <v>56</v>
      </c>
      <c r="C38" s="47" t="s">
        <v>7</v>
      </c>
      <c r="D38" s="48" t="s">
        <v>22</v>
      </c>
      <c r="E38" s="48" t="s">
        <v>40</v>
      </c>
      <c r="F38" s="48" t="s">
        <v>41</v>
      </c>
      <c r="G38" s="26"/>
      <c r="H38" s="25"/>
      <c r="I38" s="25"/>
      <c r="J38" s="21"/>
      <c r="K38" s="25"/>
    </row>
    <row r="39" spans="1:11" x14ac:dyDescent="0.25">
      <c r="A39" s="12"/>
      <c r="B39" s="15" t="s">
        <v>57</v>
      </c>
      <c r="C39" s="3">
        <f>6*TRUNC(3/0.42,0)</f>
        <v>42</v>
      </c>
      <c r="D39" s="3">
        <f>(7*4+2*2)/12/3.281</f>
        <v>0.81276033729553987</v>
      </c>
      <c r="E39" s="3">
        <f>8*8/162</f>
        <v>0.39506172839506171</v>
      </c>
      <c r="F39" s="3">
        <f>PRODUCT(C39:E39)</f>
        <v>13.485801152163031</v>
      </c>
      <c r="G39" s="3">
        <f>F39/1000</f>
        <v>1.3485801152163031E-2</v>
      </c>
      <c r="H39" s="14"/>
      <c r="I39" s="14"/>
      <c r="J39" s="14"/>
      <c r="K39" s="14"/>
    </row>
    <row r="40" spans="1:11" x14ac:dyDescent="0.25">
      <c r="A40" s="12"/>
      <c r="B40" s="15"/>
      <c r="C40" s="3">
        <f>C39</f>
        <v>42</v>
      </c>
      <c r="D40" s="3">
        <f>(6*4+2*2)/12/3.281</f>
        <v>0.7111652951335975</v>
      </c>
      <c r="E40" s="3">
        <f>8*8/162</f>
        <v>0.39506172839506171</v>
      </c>
      <c r="F40" s="3">
        <f>PRODUCT(C40:E40)</f>
        <v>11.800076008142655</v>
      </c>
      <c r="G40" s="3">
        <f>F40/1000</f>
        <v>1.1800076008142655E-2</v>
      </c>
      <c r="H40" s="14"/>
      <c r="I40" s="14"/>
      <c r="J40" s="14"/>
      <c r="K40" s="14"/>
    </row>
    <row r="41" spans="1:11" s="10" customFormat="1" ht="15" customHeight="1" x14ac:dyDescent="0.25">
      <c r="A41" s="16"/>
      <c r="B41" s="17" t="s">
        <v>16</v>
      </c>
      <c r="C41" s="18"/>
      <c r="D41" s="1"/>
      <c r="E41" s="19"/>
      <c r="F41" s="19"/>
      <c r="G41" s="2">
        <f>SUM(G39:G40)</f>
        <v>2.5285877160305684E-2</v>
      </c>
      <c r="H41" s="20" t="s">
        <v>58</v>
      </c>
      <c r="I41" s="2">
        <v>132360</v>
      </c>
      <c r="J41" s="21">
        <f>G41*I41</f>
        <v>3346.8387009380604</v>
      </c>
      <c r="K41" s="19"/>
    </row>
    <row r="42" spans="1:11" s="10" customFormat="1" x14ac:dyDescent="0.25">
      <c r="A42" s="23"/>
      <c r="B42" s="24"/>
      <c r="C42" s="25"/>
      <c r="D42" s="26"/>
      <c r="E42" s="26"/>
      <c r="F42" s="26"/>
      <c r="G42" s="26"/>
      <c r="H42" s="25"/>
      <c r="I42" s="25"/>
      <c r="J42" s="21"/>
      <c r="K42" s="25"/>
    </row>
    <row r="43" spans="1:11" s="10" customFormat="1" ht="30" x14ac:dyDescent="0.25">
      <c r="A43" s="23"/>
      <c r="B43" s="27" t="s">
        <v>59</v>
      </c>
      <c r="C43" s="25"/>
      <c r="D43" s="26"/>
      <c r="E43" s="26"/>
      <c r="F43" s="26"/>
      <c r="G43" s="26"/>
      <c r="H43" s="25"/>
      <c r="I43" s="25"/>
      <c r="J43" s="21"/>
      <c r="K43" s="25"/>
    </row>
    <row r="44" spans="1:11" x14ac:dyDescent="0.25">
      <c r="A44" s="12"/>
      <c r="B44" s="15" t="s">
        <v>60</v>
      </c>
      <c r="C44" s="3">
        <v>6</v>
      </c>
      <c r="D44" s="3">
        <f>0.3*4</f>
        <v>1.2</v>
      </c>
      <c r="E44" s="3"/>
      <c r="F44" s="3">
        <v>0.9</v>
      </c>
      <c r="G44" s="3">
        <f>PRODUCT(C44:F44)</f>
        <v>6.4799999999999995</v>
      </c>
      <c r="H44" s="14"/>
      <c r="I44" s="14"/>
      <c r="J44" s="14"/>
      <c r="K44" s="14"/>
    </row>
    <row r="45" spans="1:11" s="10" customFormat="1" ht="15" customHeight="1" x14ac:dyDescent="0.25">
      <c r="A45" s="16"/>
      <c r="B45" s="17" t="s">
        <v>16</v>
      </c>
      <c r="C45" s="18"/>
      <c r="D45" s="1"/>
      <c r="E45" s="19"/>
      <c r="F45" s="19"/>
      <c r="G45" s="2">
        <f>SUM(G44:G44)</f>
        <v>6.4799999999999995</v>
      </c>
      <c r="H45" s="20" t="s">
        <v>26</v>
      </c>
      <c r="I45" s="2">
        <v>922.71</v>
      </c>
      <c r="J45" s="21">
        <f>G45*I45</f>
        <v>5979.1607999999997</v>
      </c>
      <c r="K45" s="19"/>
    </row>
    <row r="46" spans="1:11" s="10" customFormat="1" x14ac:dyDescent="0.25">
      <c r="A46" s="23"/>
      <c r="B46" s="24"/>
      <c r="C46" s="25"/>
      <c r="D46" s="26"/>
      <c r="E46" s="26"/>
      <c r="F46" s="26"/>
      <c r="G46" s="26"/>
      <c r="H46" s="25"/>
      <c r="I46" s="25"/>
      <c r="J46" s="21"/>
      <c r="K46" s="25"/>
    </row>
    <row r="47" spans="1:11" s="10" customFormat="1" ht="30" x14ac:dyDescent="0.25">
      <c r="A47" s="23"/>
      <c r="B47" s="27" t="s">
        <v>61</v>
      </c>
      <c r="C47" s="25"/>
      <c r="D47" s="26"/>
      <c r="E47" s="26"/>
      <c r="F47" s="26"/>
      <c r="G47" s="26"/>
      <c r="H47" s="25"/>
      <c r="I47" s="25"/>
      <c r="J47" s="21"/>
      <c r="K47" s="25"/>
    </row>
    <row r="48" spans="1:11" x14ac:dyDescent="0.25">
      <c r="A48" s="12"/>
      <c r="B48" s="15" t="s">
        <v>60</v>
      </c>
      <c r="C48" s="3">
        <v>6</v>
      </c>
      <c r="D48" s="3">
        <v>0.3</v>
      </c>
      <c r="E48" s="3">
        <v>0.3</v>
      </c>
      <c r="F48" s="3">
        <f>F44</f>
        <v>0.9</v>
      </c>
      <c r="G48" s="3">
        <f>PRODUCT(C48:F48)</f>
        <v>0.48599999999999993</v>
      </c>
      <c r="H48" s="14"/>
      <c r="I48" s="14"/>
      <c r="J48" s="14"/>
      <c r="K48" s="14"/>
    </row>
    <row r="49" spans="1:11" s="10" customFormat="1" ht="15" customHeight="1" x14ac:dyDescent="0.25">
      <c r="A49" s="16"/>
      <c r="B49" s="17" t="s">
        <v>16</v>
      </c>
      <c r="C49" s="18"/>
      <c r="D49" s="1"/>
      <c r="E49" s="19"/>
      <c r="F49" s="19"/>
      <c r="G49" s="2">
        <f>SUM(G48:G48)</f>
        <v>0.48599999999999993</v>
      </c>
      <c r="H49" s="20" t="s">
        <v>23</v>
      </c>
      <c r="I49" s="2">
        <v>13957.29</v>
      </c>
      <c r="J49" s="21">
        <f>G49*I49</f>
        <v>6783.2429399999992</v>
      </c>
      <c r="K49" s="19"/>
    </row>
    <row r="50" spans="1:11" s="10" customFormat="1" x14ac:dyDescent="0.25">
      <c r="A50" s="23"/>
      <c r="B50" s="24"/>
      <c r="C50" s="25"/>
      <c r="D50" s="26"/>
      <c r="E50" s="26"/>
      <c r="F50" s="26"/>
      <c r="G50" s="26"/>
      <c r="H50" s="25"/>
      <c r="I50" s="25"/>
      <c r="J50" s="21"/>
      <c r="K50" s="25"/>
    </row>
    <row r="51" spans="1:11" ht="45" x14ac:dyDescent="0.25">
      <c r="A51" s="12">
        <v>7</v>
      </c>
      <c r="B51" s="27" t="s">
        <v>39</v>
      </c>
      <c r="C51" s="43" t="s">
        <v>7</v>
      </c>
      <c r="D51" s="43" t="s">
        <v>22</v>
      </c>
      <c r="E51" s="43" t="s">
        <v>40</v>
      </c>
      <c r="F51" s="43" t="s">
        <v>41</v>
      </c>
      <c r="G51" s="14"/>
      <c r="H51" s="14"/>
      <c r="I51" s="14"/>
      <c r="J51" s="14"/>
      <c r="K51" s="14"/>
    </row>
    <row r="52" spans="1:11" ht="30" x14ac:dyDescent="0.25">
      <c r="A52" s="12"/>
      <c r="B52" s="49" t="s">
        <v>62</v>
      </c>
      <c r="C52" s="50">
        <v>6</v>
      </c>
      <c r="D52" s="51">
        <f>9/3.281</f>
        <v>2.7430661383724475</v>
      </c>
      <c r="E52" s="51">
        <v>4.4000000000000004</v>
      </c>
      <c r="F52" s="51">
        <f t="shared" ref="F52:F63" si="2">PRODUCT(C52:E52)</f>
        <v>72.416946053032618</v>
      </c>
      <c r="G52" s="51">
        <f t="shared" ref="G52:G63" si="3">F52</f>
        <v>72.416946053032618</v>
      </c>
      <c r="H52" s="14"/>
      <c r="I52" s="14"/>
      <c r="J52" s="14"/>
      <c r="K52" s="14"/>
    </row>
    <row r="53" spans="1:11" ht="30" x14ac:dyDescent="0.25">
      <c r="A53" s="12"/>
      <c r="B53" s="49" t="s">
        <v>63</v>
      </c>
      <c r="C53" s="52">
        <v>2</v>
      </c>
      <c r="D53" s="53">
        <f>14.25/3.281</f>
        <v>4.3431880524230415</v>
      </c>
      <c r="E53" s="51">
        <v>4.4000000000000004</v>
      </c>
      <c r="F53" s="51">
        <f t="shared" si="2"/>
        <v>38.220054861322765</v>
      </c>
      <c r="G53" s="51">
        <f t="shared" si="3"/>
        <v>38.220054861322765</v>
      </c>
      <c r="H53" s="14"/>
      <c r="I53" s="14"/>
      <c r="J53" s="14"/>
      <c r="K53" s="14"/>
    </row>
    <row r="54" spans="1:11" x14ac:dyDescent="0.25">
      <c r="A54" s="12"/>
      <c r="B54" s="54"/>
      <c r="C54" s="52">
        <v>3</v>
      </c>
      <c r="D54" s="53">
        <f>(14.25+2.5+2)/3.281</f>
        <v>5.7147211216092648</v>
      </c>
      <c r="E54" s="51">
        <v>4.4000000000000004</v>
      </c>
      <c r="F54" s="51">
        <f t="shared" si="2"/>
        <v>75.434318805242299</v>
      </c>
      <c r="G54" s="51">
        <f t="shared" si="3"/>
        <v>75.434318805242299</v>
      </c>
      <c r="H54" s="14"/>
      <c r="I54" s="14"/>
      <c r="J54" s="14"/>
      <c r="K54" s="14"/>
    </row>
    <row r="55" spans="1:11" ht="45" x14ac:dyDescent="0.25">
      <c r="A55" s="12"/>
      <c r="B55" s="49" t="s">
        <v>64</v>
      </c>
      <c r="C55" s="50">
        <f>3*2</f>
        <v>6</v>
      </c>
      <c r="D55" s="51">
        <f>10/3.281</f>
        <v>3.047851264858275</v>
      </c>
      <c r="E55" s="51">
        <v>2.4300000000000002</v>
      </c>
      <c r="F55" s="51">
        <f t="shared" si="2"/>
        <v>44.437671441633647</v>
      </c>
      <c r="G55" s="51">
        <f t="shared" si="3"/>
        <v>44.437671441633647</v>
      </c>
      <c r="H55" s="14"/>
      <c r="I55" s="14"/>
      <c r="J55" s="14"/>
      <c r="K55" s="14"/>
    </row>
    <row r="56" spans="1:11" ht="30" x14ac:dyDescent="0.25">
      <c r="A56" s="12"/>
      <c r="B56" s="49" t="s">
        <v>67</v>
      </c>
      <c r="C56" s="50">
        <v>3</v>
      </c>
      <c r="D56" s="51">
        <f>3.5/3.281</f>
        <v>1.0667479427003961</v>
      </c>
      <c r="E56" s="51">
        <v>2.4300000000000002</v>
      </c>
      <c r="F56" s="51">
        <f t="shared" si="2"/>
        <v>7.7765925022858875</v>
      </c>
      <c r="G56" s="51">
        <f t="shared" si="3"/>
        <v>7.7765925022858875</v>
      </c>
      <c r="H56" s="14"/>
      <c r="I56" s="14"/>
      <c r="J56" s="14"/>
      <c r="K56" s="14"/>
    </row>
    <row r="57" spans="1:11" ht="45" x14ac:dyDescent="0.25">
      <c r="A57" s="12"/>
      <c r="B57" s="49" t="s">
        <v>65</v>
      </c>
      <c r="C57" s="50">
        <f>3*2</f>
        <v>6</v>
      </c>
      <c r="D57" s="51">
        <f>2.25/3.281</f>
        <v>0.68576653459311188</v>
      </c>
      <c r="E57" s="51">
        <v>1.83</v>
      </c>
      <c r="F57" s="51">
        <f t="shared" si="2"/>
        <v>7.5297165498323677</v>
      </c>
      <c r="G57" s="51">
        <f t="shared" si="3"/>
        <v>7.5297165498323677</v>
      </c>
      <c r="H57" s="14"/>
      <c r="I57" s="14"/>
      <c r="J57" s="14"/>
      <c r="K57" s="14"/>
    </row>
    <row r="58" spans="1:11" x14ac:dyDescent="0.25">
      <c r="A58" s="12"/>
      <c r="B58" s="49"/>
      <c r="C58" s="50">
        <f>3*2</f>
        <v>6</v>
      </c>
      <c r="D58" s="51">
        <f>1.083/3.281</f>
        <v>0.33008229198415112</v>
      </c>
      <c r="E58" s="51">
        <v>1.83</v>
      </c>
      <c r="F58" s="51">
        <f t="shared" si="2"/>
        <v>3.6243035659859797</v>
      </c>
      <c r="G58" s="51">
        <f t="shared" si="3"/>
        <v>3.6243035659859797</v>
      </c>
      <c r="H58" s="14"/>
      <c r="I58" s="14"/>
      <c r="J58" s="14"/>
      <c r="K58" s="14"/>
    </row>
    <row r="59" spans="1:11" ht="45" x14ac:dyDescent="0.25">
      <c r="A59" s="12"/>
      <c r="B59" s="49" t="s">
        <v>66</v>
      </c>
      <c r="C59" s="50">
        <f>3*2</f>
        <v>6</v>
      </c>
      <c r="D59" s="51">
        <f>3.917/3.281</f>
        <v>1.1938433404449862</v>
      </c>
      <c r="E59" s="51">
        <v>1.83</v>
      </c>
      <c r="F59" s="51">
        <f t="shared" si="2"/>
        <v>13.108399878085949</v>
      </c>
      <c r="G59" s="51">
        <f t="shared" si="3"/>
        <v>13.108399878085949</v>
      </c>
      <c r="H59" s="14"/>
      <c r="I59" s="14"/>
      <c r="J59" s="14"/>
      <c r="K59" s="14"/>
    </row>
    <row r="60" spans="1:11" x14ac:dyDescent="0.25">
      <c r="A60" s="12"/>
      <c r="B60" s="49"/>
      <c r="C60" s="50">
        <f>3*2</f>
        <v>6</v>
      </c>
      <c r="D60" s="51">
        <f>3.33/3.281</f>
        <v>1.0149344711978054</v>
      </c>
      <c r="E60" s="51">
        <v>1.83</v>
      </c>
      <c r="F60" s="51">
        <f t="shared" si="2"/>
        <v>11.143980493751904</v>
      </c>
      <c r="G60" s="51">
        <f t="shared" si="3"/>
        <v>11.143980493751904</v>
      </c>
      <c r="H60" s="14"/>
      <c r="I60" s="14"/>
      <c r="J60" s="14"/>
      <c r="K60" s="14"/>
    </row>
    <row r="61" spans="1:11" ht="30" x14ac:dyDescent="0.25">
      <c r="A61" s="12"/>
      <c r="B61" s="49" t="s">
        <v>68</v>
      </c>
      <c r="C61" s="50">
        <f>3*2</f>
        <v>6</v>
      </c>
      <c r="D61" s="51">
        <f>33/3.281</f>
        <v>10.057909174032307</v>
      </c>
      <c r="E61" s="51">
        <v>1.83</v>
      </c>
      <c r="F61" s="51">
        <f t="shared" si="2"/>
        <v>110.43584273087474</v>
      </c>
      <c r="G61" s="51">
        <f t="shared" si="3"/>
        <v>110.43584273087474</v>
      </c>
      <c r="H61" s="14"/>
      <c r="I61" s="14"/>
      <c r="J61" s="14"/>
      <c r="K61" s="14"/>
    </row>
    <row r="62" spans="1:11" ht="30" x14ac:dyDescent="0.25">
      <c r="A62" s="12"/>
      <c r="B62" s="55" t="s">
        <v>43</v>
      </c>
      <c r="C62" s="26">
        <v>30</v>
      </c>
      <c r="D62" s="26">
        <v>0.3</v>
      </c>
      <c r="E62" s="26">
        <v>10.5</v>
      </c>
      <c r="F62" s="26">
        <f t="shared" si="2"/>
        <v>94.5</v>
      </c>
      <c r="G62" s="26">
        <f t="shared" si="3"/>
        <v>94.5</v>
      </c>
      <c r="H62" s="14"/>
      <c r="I62" s="14"/>
      <c r="J62" s="14"/>
      <c r="K62" s="14"/>
    </row>
    <row r="63" spans="1:11" x14ac:dyDescent="0.25">
      <c r="A63" s="12"/>
      <c r="B63" s="24"/>
      <c r="C63" s="26">
        <v>33</v>
      </c>
      <c r="D63" s="26">
        <v>0.3</v>
      </c>
      <c r="E63" s="26">
        <v>10.5</v>
      </c>
      <c r="F63" s="26">
        <f t="shared" si="2"/>
        <v>103.95</v>
      </c>
      <c r="G63" s="26">
        <f t="shared" si="3"/>
        <v>103.95</v>
      </c>
      <c r="H63" s="14"/>
      <c r="I63" s="14"/>
      <c r="J63" s="14"/>
      <c r="K63" s="14"/>
    </row>
    <row r="64" spans="1:11" ht="30" x14ac:dyDescent="0.25">
      <c r="A64" s="12"/>
      <c r="B64" s="44" t="s">
        <v>44</v>
      </c>
      <c r="C64" s="3">
        <f>2*2</f>
        <v>4</v>
      </c>
      <c r="D64" s="3">
        <f>28.75/3.281</f>
        <v>8.7625723864675393</v>
      </c>
      <c r="E64" s="3">
        <v>5.8</v>
      </c>
      <c r="F64" s="3">
        <f t="shared" ref="F64:F69" si="4">PRODUCT(C64:E64)</f>
        <v>203.29167936604691</v>
      </c>
      <c r="G64" s="3">
        <f t="shared" ref="G64:G69" si="5">F64</f>
        <v>203.29167936604691</v>
      </c>
      <c r="H64" s="14"/>
      <c r="I64" s="14"/>
      <c r="J64" s="14"/>
      <c r="K64" s="14"/>
    </row>
    <row r="65" spans="1:11" x14ac:dyDescent="0.25">
      <c r="A65" s="12"/>
      <c r="B65" s="15"/>
      <c r="C65" s="3">
        <f>2*2</f>
        <v>4</v>
      </c>
      <c r="D65" s="3">
        <f>6.75/3.281</f>
        <v>2.0572996037793354</v>
      </c>
      <c r="E65" s="3">
        <v>5.8</v>
      </c>
      <c r="F65" s="3">
        <f t="shared" si="4"/>
        <v>47.729350807680582</v>
      </c>
      <c r="G65" s="3">
        <f t="shared" si="5"/>
        <v>47.729350807680582</v>
      </c>
      <c r="H65" s="14"/>
      <c r="I65" s="14"/>
      <c r="J65" s="14"/>
      <c r="K65" s="14"/>
    </row>
    <row r="66" spans="1:11" x14ac:dyDescent="0.25">
      <c r="A66" s="12"/>
      <c r="B66" s="15"/>
      <c r="C66" s="3">
        <v>8</v>
      </c>
      <c r="D66" s="3">
        <f>6.75/3.281</f>
        <v>2.0572996037793354</v>
      </c>
      <c r="E66" s="3">
        <v>5.8</v>
      </c>
      <c r="F66" s="3">
        <f t="shared" si="4"/>
        <v>95.458701615361164</v>
      </c>
      <c r="G66" s="3">
        <f t="shared" si="5"/>
        <v>95.458701615361164</v>
      </c>
      <c r="H66" s="14"/>
      <c r="I66" s="14"/>
      <c r="J66" s="14"/>
      <c r="K66" s="14"/>
    </row>
    <row r="67" spans="1:11" x14ac:dyDescent="0.25">
      <c r="A67" s="12"/>
      <c r="B67" s="15"/>
      <c r="C67" s="3">
        <f>2*2</f>
        <v>4</v>
      </c>
      <c r="D67" s="3">
        <f>32.25/3.281</f>
        <v>9.8293203291679365</v>
      </c>
      <c r="E67" s="3">
        <v>5.8</v>
      </c>
      <c r="F67" s="3">
        <f t="shared" si="4"/>
        <v>228.04023163669612</v>
      </c>
      <c r="G67" s="3">
        <f t="shared" si="5"/>
        <v>228.04023163669612</v>
      </c>
      <c r="H67" s="14"/>
      <c r="I67" s="14"/>
      <c r="J67" s="14"/>
      <c r="K67" s="14"/>
    </row>
    <row r="68" spans="1:11" x14ac:dyDescent="0.25">
      <c r="A68" s="12"/>
      <c r="B68" s="15"/>
      <c r="C68" s="3">
        <f>2*2+1</f>
        <v>5</v>
      </c>
      <c r="D68" s="3">
        <f>6.75/3.281</f>
        <v>2.0572996037793354</v>
      </c>
      <c r="E68" s="3">
        <v>5.8</v>
      </c>
      <c r="F68" s="3">
        <f t="shared" si="4"/>
        <v>59.661688509600722</v>
      </c>
      <c r="G68" s="3">
        <f t="shared" si="5"/>
        <v>59.661688509600722</v>
      </c>
      <c r="H68" s="14"/>
      <c r="I68" s="14"/>
      <c r="J68" s="14"/>
      <c r="K68" s="14"/>
    </row>
    <row r="69" spans="1:11" x14ac:dyDescent="0.25">
      <c r="A69" s="12"/>
      <c r="B69" s="15"/>
      <c r="C69" s="3">
        <v>9</v>
      </c>
      <c r="D69" s="3">
        <f>6.75/3.281</f>
        <v>2.0572996037793354</v>
      </c>
      <c r="E69" s="3">
        <v>5.8</v>
      </c>
      <c r="F69" s="3">
        <f t="shared" si="4"/>
        <v>107.3910393172813</v>
      </c>
      <c r="G69" s="3">
        <f t="shared" si="5"/>
        <v>107.3910393172813</v>
      </c>
      <c r="H69" s="14"/>
      <c r="I69" s="14"/>
      <c r="J69" s="14"/>
      <c r="K69" s="14"/>
    </row>
    <row r="70" spans="1:11" s="10" customFormat="1" ht="15" customHeight="1" x14ac:dyDescent="0.25">
      <c r="A70" s="16"/>
      <c r="B70" s="17" t="s">
        <v>16</v>
      </c>
      <c r="C70" s="18"/>
      <c r="D70" s="1"/>
      <c r="E70" s="19"/>
      <c r="F70" s="19"/>
      <c r="G70" s="2">
        <f>SUM(G52:G69)</f>
        <v>1324.1505181347147</v>
      </c>
      <c r="H70" s="20" t="s">
        <v>42</v>
      </c>
      <c r="I70" s="2">
        <f>1.15*182.51</f>
        <v>209.88649999999998</v>
      </c>
      <c r="J70" s="21">
        <f>G70*I70</f>
        <v>277921.31772448181</v>
      </c>
      <c r="K70" s="19"/>
    </row>
    <row r="71" spans="1:11" s="10" customFormat="1" ht="15" customHeight="1" x14ac:dyDescent="0.25">
      <c r="A71" s="16"/>
      <c r="B71" s="17"/>
      <c r="C71" s="18"/>
      <c r="D71" s="1"/>
      <c r="E71" s="19"/>
      <c r="F71" s="19"/>
      <c r="G71" s="2"/>
      <c r="H71" s="20"/>
      <c r="I71" s="2"/>
      <c r="J71" s="21"/>
      <c r="K71" s="19"/>
    </row>
    <row r="72" spans="1:11" s="10" customFormat="1" ht="45" x14ac:dyDescent="0.25">
      <c r="A72" s="23"/>
      <c r="B72" s="27" t="s">
        <v>69</v>
      </c>
      <c r="C72" s="27"/>
      <c r="D72" s="26"/>
      <c r="E72" s="26"/>
      <c r="F72" s="26"/>
      <c r="G72" s="26"/>
      <c r="H72" s="25"/>
      <c r="I72" s="25"/>
      <c r="J72" s="21"/>
      <c r="K72" s="25"/>
    </row>
    <row r="73" spans="1:11" x14ac:dyDescent="0.25">
      <c r="A73" s="12"/>
      <c r="B73" s="15" t="s">
        <v>71</v>
      </c>
      <c r="C73" s="3">
        <v>2</v>
      </c>
      <c r="D73" s="3">
        <f>10.17/3.281</f>
        <v>3.0996647363608654</v>
      </c>
      <c r="E73" s="3">
        <f>34/3.281</f>
        <v>10.362694300518134</v>
      </c>
      <c r="F73" s="3"/>
      <c r="G73" s="3">
        <f>PRODUCT(C73:F73)</f>
        <v>64.241756194007564</v>
      </c>
      <c r="H73" s="14"/>
      <c r="I73" s="14"/>
      <c r="J73" s="14"/>
      <c r="K73" s="14"/>
    </row>
    <row r="74" spans="1:11" s="10" customFormat="1" ht="15" customHeight="1" x14ac:dyDescent="0.25">
      <c r="A74" s="16"/>
      <c r="B74" s="17" t="s">
        <v>16</v>
      </c>
      <c r="C74" s="18"/>
      <c r="D74" s="1"/>
      <c r="E74" s="19"/>
      <c r="F74" s="19"/>
      <c r="G74" s="2">
        <f>SUM(G73:G73)</f>
        <v>64.241756194007564</v>
      </c>
      <c r="H74" s="20" t="s">
        <v>26</v>
      </c>
      <c r="I74" s="2">
        <v>1890.42</v>
      </c>
      <c r="J74" s="21">
        <f>G74*I74</f>
        <v>121443.90074427579</v>
      </c>
      <c r="K74" s="19"/>
    </row>
    <row r="75" spans="1:11" s="10" customFormat="1" x14ac:dyDescent="0.25">
      <c r="A75" s="23"/>
      <c r="B75" s="24"/>
      <c r="C75" s="25"/>
      <c r="D75" s="26"/>
      <c r="E75" s="26"/>
      <c r="F75" s="26"/>
      <c r="G75" s="26"/>
      <c r="H75" s="25"/>
      <c r="I75" s="25"/>
      <c r="J75" s="21"/>
      <c r="K75" s="25"/>
    </row>
    <row r="76" spans="1:11" s="10" customFormat="1" ht="69" x14ac:dyDescent="0.25">
      <c r="A76" s="23"/>
      <c r="B76" s="27" t="s">
        <v>70</v>
      </c>
      <c r="C76" s="27"/>
      <c r="D76" s="26"/>
      <c r="E76" s="26"/>
      <c r="F76" s="26"/>
      <c r="G76" s="26"/>
      <c r="H76" s="25"/>
      <c r="I76" s="25"/>
      <c r="J76" s="21"/>
      <c r="K76" s="25"/>
    </row>
    <row r="77" spans="1:11" x14ac:dyDescent="0.25">
      <c r="A77" s="12"/>
      <c r="B77" s="15" t="str">
        <f>B73</f>
        <v>-for roof</v>
      </c>
      <c r="C77" s="3">
        <v>1</v>
      </c>
      <c r="D77" s="3">
        <f>E73</f>
        <v>10.362694300518134</v>
      </c>
      <c r="E77" s="3"/>
      <c r="F77" s="3"/>
      <c r="G77" s="3">
        <f>PRODUCT(C77:F77)</f>
        <v>10.362694300518134</v>
      </c>
      <c r="H77" s="14"/>
      <c r="I77" s="14"/>
      <c r="J77" s="14"/>
      <c r="K77" s="14"/>
    </row>
    <row r="78" spans="1:11" s="10" customFormat="1" ht="15" customHeight="1" x14ac:dyDescent="0.25">
      <c r="A78" s="16"/>
      <c r="B78" s="17" t="s">
        <v>16</v>
      </c>
      <c r="C78" s="18"/>
      <c r="D78" s="1"/>
      <c r="E78" s="19"/>
      <c r="F78" s="19"/>
      <c r="G78" s="2">
        <f>SUM(G77:G77)</f>
        <v>10.362694300518134</v>
      </c>
      <c r="H78" s="20" t="s">
        <v>72</v>
      </c>
      <c r="I78" s="2">
        <v>2771.25</v>
      </c>
      <c r="J78" s="21">
        <f>G78*I78</f>
        <v>28717.616580310878</v>
      </c>
      <c r="K78" s="19"/>
    </row>
    <row r="79" spans="1:11" s="10" customFormat="1" x14ac:dyDescent="0.25">
      <c r="A79" s="23"/>
      <c r="B79" s="24"/>
      <c r="C79" s="25"/>
      <c r="D79" s="26"/>
      <c r="E79" s="26"/>
      <c r="F79" s="26"/>
      <c r="G79" s="26"/>
      <c r="H79" s="25"/>
      <c r="I79" s="25"/>
      <c r="J79" s="21"/>
      <c r="K79" s="25"/>
    </row>
    <row r="80" spans="1:11" s="10" customFormat="1" ht="56.45" customHeight="1" x14ac:dyDescent="0.25">
      <c r="A80" s="23"/>
      <c r="B80" s="56" t="s">
        <v>73</v>
      </c>
      <c r="C80" s="56"/>
      <c r="D80" s="26"/>
      <c r="E80" s="26"/>
      <c r="F80" s="26"/>
      <c r="G80" s="26"/>
      <c r="H80" s="25"/>
      <c r="I80" s="25"/>
      <c r="J80" s="21"/>
      <c r="K80" s="25"/>
    </row>
    <row r="81" spans="1:11" x14ac:dyDescent="0.25">
      <c r="A81" s="12"/>
      <c r="B81" s="15" t="s">
        <v>74</v>
      </c>
      <c r="C81" s="3">
        <v>1</v>
      </c>
      <c r="D81" s="3">
        <f>28.5/3.281</f>
        <v>8.686376104846083</v>
      </c>
      <c r="E81" s="3">
        <f>13.5/3.281</f>
        <v>4.1145992075586708</v>
      </c>
      <c r="F81" s="3"/>
      <c r="G81" s="3">
        <f>PRODUCT(C81:F81)</f>
        <v>35.740956237556269</v>
      </c>
      <c r="H81" s="14"/>
      <c r="I81" s="14"/>
      <c r="J81" s="14"/>
      <c r="K81" s="14"/>
    </row>
    <row r="82" spans="1:11" s="10" customFormat="1" ht="15" customHeight="1" x14ac:dyDescent="0.25">
      <c r="A82" s="16"/>
      <c r="B82" s="17" t="s">
        <v>16</v>
      </c>
      <c r="C82" s="18"/>
      <c r="D82" s="1"/>
      <c r="E82" s="19"/>
      <c r="F82" s="19"/>
      <c r="G82" s="2">
        <f>SUM(G81:G81)</f>
        <v>35.740956237556269</v>
      </c>
      <c r="H82" s="20" t="s">
        <v>26</v>
      </c>
      <c r="I82" s="2">
        <v>1422.19</v>
      </c>
      <c r="J82" s="21">
        <f>G82*I82</f>
        <v>50830.43055149015</v>
      </c>
      <c r="K82" s="19"/>
    </row>
    <row r="83" spans="1:11" s="10" customFormat="1" x14ac:dyDescent="0.25">
      <c r="A83" s="23"/>
      <c r="B83" s="24"/>
      <c r="C83" s="25"/>
      <c r="D83" s="26"/>
      <c r="E83" s="26"/>
      <c r="F83" s="26"/>
      <c r="G83" s="26"/>
      <c r="H83" s="25"/>
      <c r="I83" s="25"/>
      <c r="J83" s="21"/>
      <c r="K83" s="25"/>
    </row>
    <row r="84" spans="1:11" ht="30" x14ac:dyDescent="0.25">
      <c r="A84" s="11">
        <v>3</v>
      </c>
      <c r="B84" s="27" t="s">
        <v>28</v>
      </c>
      <c r="C84" s="14"/>
      <c r="D84" s="14"/>
      <c r="E84" s="14"/>
      <c r="F84" s="14"/>
      <c r="G84" s="14"/>
      <c r="H84" s="14"/>
      <c r="I84" s="14"/>
      <c r="J84" s="14"/>
      <c r="K84" s="14"/>
    </row>
    <row r="85" spans="1:11" x14ac:dyDescent="0.25">
      <c r="A85" s="12"/>
      <c r="B85" s="15" t="s">
        <v>77</v>
      </c>
      <c r="C85" s="3">
        <v>2</v>
      </c>
      <c r="D85" s="3">
        <f>(13/3.281)</f>
        <v>3.9622066443157573</v>
      </c>
      <c r="E85" s="3">
        <v>0.23</v>
      </c>
      <c r="F85" s="3">
        <f>F48</f>
        <v>0.9</v>
      </c>
      <c r="G85" s="3">
        <f>PRODUCT(C85:F85)</f>
        <v>1.6403535507467235</v>
      </c>
      <c r="H85" s="14"/>
      <c r="I85" s="14"/>
      <c r="J85" s="14"/>
      <c r="K85" s="14"/>
    </row>
    <row r="86" spans="1:11" x14ac:dyDescent="0.25">
      <c r="A86" s="12"/>
      <c r="B86" s="15"/>
      <c r="C86" s="3">
        <f>C85</f>
        <v>2</v>
      </c>
      <c r="D86" s="3">
        <f>(13.75/3.281)</f>
        <v>4.190795489180128</v>
      </c>
      <c r="E86" s="3">
        <v>0.23</v>
      </c>
      <c r="F86" s="3">
        <f>1.8</f>
        <v>1.8</v>
      </c>
      <c r="G86" s="3">
        <f>PRODUCT(C86:F86)</f>
        <v>3.4699786650411459</v>
      </c>
      <c r="H86" s="14"/>
      <c r="I86" s="14"/>
      <c r="J86" s="14"/>
      <c r="K86" s="14"/>
    </row>
    <row r="87" spans="1:11" x14ac:dyDescent="0.25">
      <c r="A87" s="12"/>
      <c r="B87" s="15"/>
      <c r="C87" s="3">
        <v>4</v>
      </c>
      <c r="D87" s="3">
        <f>13.5/3.281</f>
        <v>4.1145992075586708</v>
      </c>
      <c r="E87" s="3">
        <v>0.23</v>
      </c>
      <c r="F87" s="3">
        <v>0.9</v>
      </c>
      <c r="G87" s="3">
        <f>PRODUCT(C87:F87)</f>
        <v>3.4068881438585796</v>
      </c>
      <c r="H87" s="14"/>
      <c r="I87" s="14"/>
      <c r="J87" s="14"/>
      <c r="K87" s="14"/>
    </row>
    <row r="88" spans="1:11" x14ac:dyDescent="0.25">
      <c r="A88" s="12"/>
      <c r="B88" s="15"/>
      <c r="C88" s="3">
        <f>C87</f>
        <v>4</v>
      </c>
      <c r="D88" s="3">
        <f>14.25/3.281</f>
        <v>4.3431880524230415</v>
      </c>
      <c r="E88" s="3">
        <v>0.23</v>
      </c>
      <c r="F88" s="3">
        <f>F86</f>
        <v>1.8</v>
      </c>
      <c r="G88" s="3">
        <f>PRODUCT(C88:F88)</f>
        <v>7.1923194148125571</v>
      </c>
      <c r="H88" s="14"/>
      <c r="I88" s="14"/>
      <c r="J88" s="14"/>
      <c r="K88" s="14"/>
    </row>
    <row r="89" spans="1:11" x14ac:dyDescent="0.25">
      <c r="A89" s="12"/>
      <c r="B89" s="15" t="s">
        <v>75</v>
      </c>
      <c r="C89" s="3">
        <v>-2</v>
      </c>
      <c r="D89" s="3">
        <v>1.8</v>
      </c>
      <c r="E89" s="3">
        <v>0.23</v>
      </c>
      <c r="F89" s="3">
        <v>1.2</v>
      </c>
      <c r="G89" s="3">
        <f t="shared" ref="G89:G90" si="6">PRODUCT(C89:F89)</f>
        <v>-0.99360000000000004</v>
      </c>
      <c r="H89" s="14"/>
      <c r="I89" s="14"/>
      <c r="J89" s="14"/>
      <c r="K89" s="14"/>
    </row>
    <row r="90" spans="1:11" x14ac:dyDescent="0.25">
      <c r="A90" s="12"/>
      <c r="B90" s="15"/>
      <c r="C90" s="3">
        <v>-1</v>
      </c>
      <c r="D90" s="3">
        <v>1.2</v>
      </c>
      <c r="E90" s="3">
        <v>0.23</v>
      </c>
      <c r="F90" s="3">
        <v>1.2</v>
      </c>
      <c r="G90" s="3">
        <f t="shared" si="6"/>
        <v>-0.33119999999999999</v>
      </c>
      <c r="H90" s="14"/>
      <c r="I90" s="14"/>
      <c r="J90" s="14"/>
      <c r="K90" s="14"/>
    </row>
    <row r="91" spans="1:11" x14ac:dyDescent="0.25">
      <c r="A91" s="12"/>
      <c r="B91" s="15" t="s">
        <v>76</v>
      </c>
      <c r="C91" s="3">
        <v>-1</v>
      </c>
      <c r="D91" s="3">
        <v>1.2</v>
      </c>
      <c r="E91" s="3">
        <v>0.23</v>
      </c>
      <c r="F91" s="3">
        <v>2.1</v>
      </c>
      <c r="G91" s="3">
        <f t="shared" ref="G91" si="7">PRODUCT(C91:F91)</f>
        <v>-0.57960000000000012</v>
      </c>
      <c r="H91" s="14"/>
      <c r="I91" s="14"/>
      <c r="J91" s="14"/>
      <c r="K91" s="14"/>
    </row>
    <row r="92" spans="1:11" s="10" customFormat="1" ht="15" customHeight="1" x14ac:dyDescent="0.25">
      <c r="A92" s="16"/>
      <c r="B92" s="17" t="s">
        <v>16</v>
      </c>
      <c r="C92" s="18"/>
      <c r="D92" s="1"/>
      <c r="E92" s="19"/>
      <c r="F92" s="19"/>
      <c r="G92" s="2">
        <f>SUM(G85:G91)</f>
        <v>13.805139774459004</v>
      </c>
      <c r="H92" s="20" t="s">
        <v>23</v>
      </c>
      <c r="I92" s="2">
        <f>1.15*14491.84</f>
        <v>16665.615999999998</v>
      </c>
      <c r="J92" s="21">
        <f>G92*I92</f>
        <v>230071.15830746034</v>
      </c>
      <c r="K92" s="19"/>
    </row>
    <row r="93" spans="1:11" s="10" customFormat="1" x14ac:dyDescent="0.25">
      <c r="A93" s="23"/>
      <c r="B93" s="24"/>
      <c r="C93" s="25"/>
      <c r="D93" s="26"/>
      <c r="E93" s="26"/>
      <c r="F93" s="26"/>
      <c r="G93" s="26"/>
      <c r="H93" s="25"/>
      <c r="I93" s="25"/>
      <c r="J93" s="21"/>
      <c r="K93" s="25"/>
    </row>
    <row r="94" spans="1:11" ht="30" x14ac:dyDescent="0.25">
      <c r="A94" s="12">
        <v>5</v>
      </c>
      <c r="B94" s="27" t="s">
        <v>27</v>
      </c>
      <c r="C94" s="14"/>
      <c r="D94" s="14"/>
      <c r="E94" s="14"/>
      <c r="F94" s="14"/>
      <c r="G94" s="14"/>
      <c r="H94" s="14"/>
      <c r="I94" s="14"/>
      <c r="J94" s="14"/>
      <c r="K94" s="14"/>
    </row>
    <row r="95" spans="1:11" x14ac:dyDescent="0.25">
      <c r="A95" s="12"/>
      <c r="B95" s="15" t="s">
        <v>78</v>
      </c>
      <c r="C95" s="14">
        <v>1</v>
      </c>
      <c r="D95" s="3">
        <f>(30*2+15*2)/3.281</f>
        <v>27.430661383724473</v>
      </c>
      <c r="E95" s="14"/>
      <c r="F95" s="3">
        <f>9/3.281</f>
        <v>2.7430661383724475</v>
      </c>
      <c r="G95" s="3">
        <f t="shared" ref="G95:G96" si="8">PRODUCT(C95:F95)</f>
        <v>75.244118394855306</v>
      </c>
      <c r="H95" s="14"/>
      <c r="I95" s="14"/>
      <c r="J95" s="14"/>
      <c r="K95" s="14"/>
    </row>
    <row r="96" spans="1:11" x14ac:dyDescent="0.25">
      <c r="A96" s="12"/>
      <c r="B96" s="15" t="s">
        <v>79</v>
      </c>
      <c r="C96" s="14">
        <v>1</v>
      </c>
      <c r="D96" s="3">
        <f>(28.5*2+13.5*2)/3.281</f>
        <v>25.601950624809508</v>
      </c>
      <c r="E96" s="14"/>
      <c r="F96" s="3">
        <f>9/3.281</f>
        <v>2.7430661383724475</v>
      </c>
      <c r="G96" s="3">
        <f t="shared" si="8"/>
        <v>70.227843835198286</v>
      </c>
      <c r="H96" s="14"/>
      <c r="I96" s="14"/>
      <c r="J96" s="14"/>
      <c r="K96" s="14"/>
    </row>
    <row r="97" spans="1:11" x14ac:dyDescent="0.25">
      <c r="A97" s="12"/>
      <c r="B97" s="15" t="str">
        <f>B89</f>
        <v>-deduction for window</v>
      </c>
      <c r="C97" s="3">
        <f>C89*2</f>
        <v>-4</v>
      </c>
      <c r="D97" s="3">
        <f>D89</f>
        <v>1.8</v>
      </c>
      <c r="E97" s="3"/>
      <c r="F97" s="3">
        <f>F89</f>
        <v>1.2</v>
      </c>
      <c r="G97" s="3">
        <f>PRODUCT(C97:F97)</f>
        <v>-8.64</v>
      </c>
      <c r="H97" s="14"/>
      <c r="I97" s="14"/>
      <c r="J97" s="14"/>
      <c r="K97" s="14"/>
    </row>
    <row r="98" spans="1:11" x14ac:dyDescent="0.25">
      <c r="A98" s="12"/>
      <c r="B98" s="15" t="s">
        <v>37</v>
      </c>
      <c r="C98" s="3">
        <f>C90*2</f>
        <v>-2</v>
      </c>
      <c r="D98" s="3">
        <f>D90</f>
        <v>1.2</v>
      </c>
      <c r="E98" s="3"/>
      <c r="F98" s="3">
        <f>F90</f>
        <v>1.2</v>
      </c>
      <c r="G98" s="3">
        <f>PRODUCT(C98:F98)</f>
        <v>-2.88</v>
      </c>
      <c r="H98" s="14"/>
      <c r="I98" s="14"/>
      <c r="J98" s="14"/>
      <c r="K98" s="14"/>
    </row>
    <row r="99" spans="1:11" x14ac:dyDescent="0.25">
      <c r="A99" s="12"/>
      <c r="B99" s="15" t="str">
        <f>B91</f>
        <v>-deduction for door</v>
      </c>
      <c r="C99" s="3">
        <f>C91*2</f>
        <v>-2</v>
      </c>
      <c r="D99" s="3">
        <f>D91</f>
        <v>1.2</v>
      </c>
      <c r="E99" s="3"/>
      <c r="F99" s="3">
        <f>F91</f>
        <v>2.1</v>
      </c>
      <c r="G99" s="3">
        <f>PRODUCT(C99:F99)</f>
        <v>-5.04</v>
      </c>
      <c r="H99" s="14"/>
      <c r="I99" s="14"/>
      <c r="J99" s="14"/>
      <c r="K99" s="14"/>
    </row>
    <row r="100" spans="1:11" s="10" customFormat="1" ht="15" customHeight="1" x14ac:dyDescent="0.25">
      <c r="A100" s="16"/>
      <c r="B100" s="17" t="s">
        <v>16</v>
      </c>
      <c r="C100" s="18"/>
      <c r="D100" s="1"/>
      <c r="E100" s="19"/>
      <c r="F100" s="19"/>
      <c r="G100" s="2">
        <f>SUM(G95:G99)</f>
        <v>128.9119622300536</v>
      </c>
      <c r="H100" s="20" t="s">
        <v>26</v>
      </c>
      <c r="I100" s="2">
        <f>1.15*415.5</f>
        <v>477.82499999999999</v>
      </c>
      <c r="J100" s="21">
        <f>G100*I100</f>
        <v>61597.358352575364</v>
      </c>
      <c r="K100" s="19"/>
    </row>
    <row r="101" spans="1:11" s="10" customFormat="1" x14ac:dyDescent="0.25">
      <c r="A101" s="23"/>
      <c r="B101" s="24"/>
      <c r="C101" s="25"/>
      <c r="D101" s="26"/>
      <c r="E101" s="26"/>
      <c r="F101" s="26"/>
      <c r="G101" s="26"/>
      <c r="H101" s="25"/>
      <c r="I101" s="25"/>
      <c r="J101" s="21"/>
      <c r="K101" s="25"/>
    </row>
    <row r="102" spans="1:11" ht="30" x14ac:dyDescent="0.25">
      <c r="A102" s="12">
        <v>6</v>
      </c>
      <c r="B102" s="27" t="s">
        <v>29</v>
      </c>
      <c r="C102" s="14"/>
      <c r="D102" s="14"/>
      <c r="E102" s="14"/>
      <c r="F102" s="14"/>
      <c r="G102" s="14"/>
      <c r="H102" s="14"/>
      <c r="I102" s="14"/>
      <c r="J102" s="14"/>
      <c r="K102" s="14"/>
    </row>
    <row r="103" spans="1:11" x14ac:dyDescent="0.25">
      <c r="A103" s="12"/>
      <c r="B103" s="15" t="s">
        <v>38</v>
      </c>
      <c r="C103" s="3">
        <v>1</v>
      </c>
      <c r="D103" s="3">
        <f>G100</f>
        <v>128.9119622300536</v>
      </c>
      <c r="E103" s="3"/>
      <c r="F103" s="3"/>
      <c r="G103" s="3">
        <f>PRODUCT(C103:F103)</f>
        <v>128.9119622300536</v>
      </c>
      <c r="H103" s="14"/>
      <c r="I103" s="14"/>
      <c r="J103" s="14"/>
      <c r="K103" s="14"/>
    </row>
    <row r="104" spans="1:11" s="10" customFormat="1" ht="15" customHeight="1" x14ac:dyDescent="0.25">
      <c r="A104" s="16"/>
      <c r="B104" s="17" t="s">
        <v>16</v>
      </c>
      <c r="C104" s="18"/>
      <c r="D104" s="1"/>
      <c r="E104" s="19"/>
      <c r="F104" s="19"/>
      <c r="G104" s="2">
        <f>SUM(G103:G103)</f>
        <v>128.9119622300536</v>
      </c>
      <c r="H104" s="20" t="s">
        <v>26</v>
      </c>
      <c r="I104" s="2">
        <f>1.15*253.8</f>
        <v>291.87</v>
      </c>
      <c r="J104" s="21">
        <f>G104*I104</f>
        <v>37625.534416085749</v>
      </c>
      <c r="K104" s="19"/>
    </row>
    <row r="105" spans="1:11" s="10" customFormat="1" x14ac:dyDescent="0.25">
      <c r="A105" s="23"/>
      <c r="B105" s="24"/>
      <c r="C105" s="25"/>
      <c r="D105" s="26"/>
      <c r="E105" s="26"/>
      <c r="F105" s="26"/>
      <c r="G105" s="26"/>
      <c r="H105" s="25"/>
      <c r="I105" s="25"/>
      <c r="J105" s="21"/>
      <c r="K105" s="25"/>
    </row>
    <row r="106" spans="1:11" s="10" customFormat="1" ht="15" customHeight="1" x14ac:dyDescent="0.25">
      <c r="A106" s="16">
        <v>10</v>
      </c>
      <c r="B106" s="45" t="s">
        <v>50</v>
      </c>
      <c r="C106" s="18">
        <v>1</v>
      </c>
      <c r="D106" s="1"/>
      <c r="E106" s="19"/>
      <c r="F106" s="19"/>
      <c r="G106" s="20">
        <f t="shared" ref="G106" si="9">PRODUCT(C106:F106)</f>
        <v>1</v>
      </c>
      <c r="H106" s="20" t="s">
        <v>25</v>
      </c>
      <c r="I106" s="2">
        <v>2000</v>
      </c>
      <c r="J106" s="20">
        <f>G106*I106</f>
        <v>2000</v>
      </c>
      <c r="K106" s="19"/>
    </row>
    <row r="107" spans="1:11" s="10" customFormat="1" x14ac:dyDescent="0.25">
      <c r="A107" s="23"/>
      <c r="B107" s="24"/>
      <c r="C107" s="25"/>
      <c r="D107" s="26"/>
      <c r="E107" s="26"/>
      <c r="F107" s="26"/>
      <c r="G107" s="26"/>
      <c r="H107" s="25"/>
      <c r="I107" s="25"/>
      <c r="J107" s="21"/>
      <c r="K107" s="25"/>
    </row>
    <row r="108" spans="1:11" s="10" customFormat="1" ht="15" customHeight="1" x14ac:dyDescent="0.25">
      <c r="A108" s="16">
        <v>11</v>
      </c>
      <c r="B108" s="28" t="s">
        <v>17</v>
      </c>
      <c r="C108" s="18">
        <v>1</v>
      </c>
      <c r="D108" s="1"/>
      <c r="E108" s="19"/>
      <c r="F108" s="19"/>
      <c r="G108" s="20">
        <f t="shared" ref="G108" si="10">PRODUCT(C108:F108)</f>
        <v>1</v>
      </c>
      <c r="H108" s="20" t="s">
        <v>18</v>
      </c>
      <c r="I108" s="2">
        <v>500</v>
      </c>
      <c r="J108" s="20">
        <f>G108*I108</f>
        <v>500</v>
      </c>
      <c r="K108" s="19"/>
    </row>
    <row r="109" spans="1:11" s="10" customFormat="1" x14ac:dyDescent="0.25">
      <c r="A109" s="16"/>
      <c r="B109" s="29"/>
      <c r="C109" s="18"/>
      <c r="D109" s="1"/>
      <c r="E109" s="19"/>
      <c r="F109" s="19"/>
      <c r="G109" s="2"/>
      <c r="H109" s="20"/>
      <c r="I109" s="2"/>
      <c r="J109" s="21"/>
      <c r="K109" s="19"/>
    </row>
    <row r="110" spans="1:11" s="10" customFormat="1" x14ac:dyDescent="0.25">
      <c r="A110" s="42"/>
      <c r="B110" s="30" t="s">
        <v>20</v>
      </c>
      <c r="C110" s="31"/>
      <c r="D110" s="32"/>
      <c r="E110" s="32"/>
      <c r="F110" s="32"/>
      <c r="G110" s="21"/>
      <c r="H110" s="21"/>
      <c r="I110" s="21"/>
      <c r="J110" s="21">
        <f>SUM(J9:J108)</f>
        <v>1824018.3403541732</v>
      </c>
      <c r="K110" s="33"/>
    </row>
    <row r="111" spans="1:11" s="10" customFormat="1" x14ac:dyDescent="0.25">
      <c r="A111" s="40"/>
    </row>
    <row r="112" spans="1:11" s="40" customFormat="1" x14ac:dyDescent="0.25">
      <c r="A112" s="34"/>
      <c r="B112" s="35" t="s">
        <v>19</v>
      </c>
      <c r="C112" s="59">
        <f>J110</f>
        <v>1824018.3403541732</v>
      </c>
      <c r="D112" s="60"/>
      <c r="E112" s="34"/>
      <c r="F112" s="36"/>
      <c r="G112" s="34"/>
      <c r="H112" s="37"/>
      <c r="I112" s="38"/>
      <c r="J112" s="39"/>
    </row>
    <row r="113" spans="1:4" s="10" customFormat="1" x14ac:dyDescent="0.25">
      <c r="A113" s="40"/>
      <c r="B113" s="46" t="s">
        <v>54</v>
      </c>
      <c r="C113" s="61">
        <f>0.13*C112</f>
        <v>237122.38424604252</v>
      </c>
      <c r="D113" s="62"/>
    </row>
    <row r="114" spans="1:4" s="10" customFormat="1" x14ac:dyDescent="0.25">
      <c r="A114" s="40"/>
      <c r="B114" s="35" t="s">
        <v>55</v>
      </c>
      <c r="C114" s="61">
        <f>SUM(C112:D113)</f>
        <v>2061140.7246002157</v>
      </c>
      <c r="D114" s="62"/>
    </row>
  </sheetData>
  <mergeCells count="12">
    <mergeCell ref="A6:F6"/>
    <mergeCell ref="H6:K6"/>
    <mergeCell ref="A1:K1"/>
    <mergeCell ref="A2:K2"/>
    <mergeCell ref="A3:K3"/>
    <mergeCell ref="A4:K4"/>
    <mergeCell ref="A5:K5"/>
    <mergeCell ref="A7:F7"/>
    <mergeCell ref="H7:K7"/>
    <mergeCell ref="C112:D112"/>
    <mergeCell ref="C113:D113"/>
    <mergeCell ref="C114:D114"/>
  </mergeCells>
  <pageMargins left="0.7" right="0.7" top="0.75" bottom="0.75" header="0.3" footer="0.3"/>
  <pageSetup scale="80" orientation="portrait" r:id="rId1"/>
  <headerFooter>
    <oddFooter>&amp;LPrepared By:&amp;CChecked By:&amp;RApproved By:</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krishi thekka</vt:lpstr>
      <vt:lpstr>'krishi thekka'!Print_Area</vt:lpstr>
      <vt:lpstr>'krishi thekka'!Print_Titles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2026-04-06T08:21:14Z</dcterms:modified>
</cp:coreProperties>
</file>