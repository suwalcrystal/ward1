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DE3E4839-0FA8-4570-9959-02B79B3EB120}" xr6:coauthVersionLast="47" xr6:coauthVersionMax="47" xr10:uidLastSave="{00000000-0000-0000-0000-000000000000}"/>
  <bookViews>
    <workbookView xWindow="-120" yWindow="-120" windowWidth="20730" windowHeight="11040" xr2:uid="{00000000-000D-0000-FFFF-FFFF00000000}"/>
  </bookViews>
  <sheets>
    <sheet name="krishi thekka" sheetId="15"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'krishi thekka'!$A$1:$K$147</definedName>
    <definedName name="_xlnm.Print_Titles" localSheetId="0">'krishi thekka'!$1:$8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1" i="15" l="1"/>
  <c r="G111" i="15" s="1"/>
  <c r="G112" i="15"/>
  <c r="D112" i="15"/>
  <c r="C64" i="15" l="1"/>
  <c r="C65" i="15"/>
  <c r="D63" i="15"/>
  <c r="D62" i="15"/>
  <c r="C61" i="15"/>
  <c r="F61" i="15" s="1"/>
  <c r="G61" i="15" s="1"/>
  <c r="F60" i="15"/>
  <c r="G60" i="15" s="1"/>
  <c r="D123" i="15"/>
  <c r="G123" i="15" s="1"/>
  <c r="G122" i="15"/>
  <c r="D109" i="15"/>
  <c r="G109" i="15" s="1"/>
  <c r="D117" i="15"/>
  <c r="G124" i="15"/>
  <c r="F121" i="15"/>
  <c r="G121" i="15" s="1"/>
  <c r="F120" i="15"/>
  <c r="G120" i="15" s="1"/>
  <c r="G119" i="15"/>
  <c r="G118" i="15"/>
  <c r="F117" i="15"/>
  <c r="G110" i="15"/>
  <c r="F108" i="15"/>
  <c r="G108" i="15" s="1"/>
  <c r="G105" i="15"/>
  <c r="G106" i="15"/>
  <c r="F107" i="15"/>
  <c r="G107" i="15" s="1"/>
  <c r="F104" i="15"/>
  <c r="D104" i="15"/>
  <c r="C56" i="15"/>
  <c r="F56" i="15" s="1"/>
  <c r="G56" i="15" s="1"/>
  <c r="C55" i="15"/>
  <c r="F55" i="15" s="1"/>
  <c r="G55" i="15" s="1"/>
  <c r="D55" i="15"/>
  <c r="D54" i="15"/>
  <c r="C54" i="15"/>
  <c r="F54" i="15" s="1"/>
  <c r="G54" i="15" s="1"/>
  <c r="C58" i="15"/>
  <c r="F58" i="15"/>
  <c r="G58" i="15" s="1"/>
  <c r="C57" i="15"/>
  <c r="F57" i="15" s="1"/>
  <c r="G57" i="15" s="1"/>
  <c r="F63" i="15" l="1"/>
  <c r="G63" i="15" s="1"/>
  <c r="D65" i="15"/>
  <c r="F65" i="15" s="1"/>
  <c r="G65" i="15" s="1"/>
  <c r="F62" i="15"/>
  <c r="G62" i="15" s="1"/>
  <c r="D64" i="15"/>
  <c r="G104" i="15"/>
  <c r="F64" i="15"/>
  <c r="G64" i="15" s="1"/>
  <c r="G117" i="15"/>
  <c r="G136" i="15" l="1"/>
  <c r="G137" i="15" s="1"/>
  <c r="J137" i="15" s="1"/>
  <c r="G132" i="15"/>
  <c r="G133" i="15" s="1"/>
  <c r="J133" i="15" s="1"/>
  <c r="G128" i="15"/>
  <c r="G129" i="15" s="1"/>
  <c r="J129" i="15" s="1"/>
  <c r="E18" i="15"/>
  <c r="D18" i="15"/>
  <c r="E13" i="15"/>
  <c r="D13" i="15"/>
  <c r="E12" i="15"/>
  <c r="D12" i="15"/>
  <c r="D11" i="15"/>
  <c r="D10" i="15"/>
  <c r="C52" i="15"/>
  <c r="D52" i="15"/>
  <c r="C51" i="15"/>
  <c r="C50" i="15"/>
  <c r="D51" i="15"/>
  <c r="D50" i="15"/>
  <c r="C49" i="15"/>
  <c r="D49" i="15"/>
  <c r="C48" i="15"/>
  <c r="D48" i="15"/>
  <c r="C98" i="15"/>
  <c r="C97" i="15"/>
  <c r="C96" i="15"/>
  <c r="F94" i="15"/>
  <c r="D94" i="15"/>
  <c r="C94" i="15"/>
  <c r="G94" i="15" s="1"/>
  <c r="B94" i="15"/>
  <c r="F93" i="15"/>
  <c r="F92" i="15"/>
  <c r="D93" i="15"/>
  <c r="D92" i="15"/>
  <c r="C93" i="15"/>
  <c r="C92" i="15"/>
  <c r="B92" i="15"/>
  <c r="D99" i="15"/>
  <c r="G99" i="15" s="1"/>
  <c r="G92" i="15" l="1"/>
  <c r="G93" i="15"/>
  <c r="C24" i="15" l="1"/>
  <c r="D84" i="15"/>
  <c r="C84" i="15"/>
  <c r="C82" i="15"/>
  <c r="F82" i="15"/>
  <c r="F84" i="15" s="1"/>
  <c r="D82" i="15"/>
  <c r="F97" i="15"/>
  <c r="D97" i="15"/>
  <c r="F98" i="15"/>
  <c r="D98" i="15"/>
  <c r="B98" i="15"/>
  <c r="F96" i="15"/>
  <c r="D96" i="15"/>
  <c r="B96" i="15"/>
  <c r="D95" i="15"/>
  <c r="F95" i="15"/>
  <c r="F91" i="15"/>
  <c r="D91" i="15"/>
  <c r="G87" i="15"/>
  <c r="G86" i="15"/>
  <c r="D83" i="15"/>
  <c r="G83" i="15" s="1"/>
  <c r="F33" i="15"/>
  <c r="D81" i="15"/>
  <c r="E77" i="15"/>
  <c r="D77" i="15"/>
  <c r="B73" i="15"/>
  <c r="E69" i="15"/>
  <c r="D69" i="15"/>
  <c r="D46" i="15"/>
  <c r="C46" i="15"/>
  <c r="D41" i="15"/>
  <c r="F41" i="15" s="1"/>
  <c r="G41" i="15" s="1"/>
  <c r="D45" i="15"/>
  <c r="D44" i="15"/>
  <c r="C45" i="15"/>
  <c r="C43" i="15"/>
  <c r="D43" i="15"/>
  <c r="D42" i="15"/>
  <c r="C42" i="15"/>
  <c r="C44" i="15"/>
  <c r="D40" i="15"/>
  <c r="C40" i="15"/>
  <c r="D39" i="15"/>
  <c r="F39" i="15" s="1"/>
  <c r="G39" i="15" s="1"/>
  <c r="D38" i="15"/>
  <c r="F38" i="15" s="1"/>
  <c r="G38" i="15" s="1"/>
  <c r="D37" i="15"/>
  <c r="F37" i="15"/>
  <c r="G37" i="15" s="1"/>
  <c r="D29" i="15"/>
  <c r="G29" i="15" s="1"/>
  <c r="D25" i="15"/>
  <c r="E25" i="15"/>
  <c r="E24" i="15"/>
  <c r="D24" i="15"/>
  <c r="F42" i="15" l="1"/>
  <c r="G42" i="15" s="1"/>
  <c r="G84" i="15"/>
  <c r="G82" i="15"/>
  <c r="F45" i="15"/>
  <c r="G45" i="15" s="1"/>
  <c r="F81" i="15"/>
  <c r="G33" i="15"/>
  <c r="G34" i="15" s="1"/>
  <c r="J34" i="15" s="1"/>
  <c r="F46" i="15"/>
  <c r="G46" i="15" s="1"/>
  <c r="F43" i="15"/>
  <c r="G43" i="15" s="1"/>
  <c r="F44" i="15"/>
  <c r="G44" i="15" s="1"/>
  <c r="D73" i="15"/>
  <c r="G73" i="15" s="1"/>
  <c r="G74" i="15" s="1"/>
  <c r="J74" i="15" s="1"/>
  <c r="G69" i="15"/>
  <c r="G70" i="15" s="1"/>
  <c r="J70" i="15" s="1"/>
  <c r="G77" i="15"/>
  <c r="G78" i="15" s="1"/>
  <c r="J78" i="15" s="1"/>
  <c r="F40" i="15"/>
  <c r="G40" i="15" s="1"/>
  <c r="F24" i="15"/>
  <c r="G24" i="15" s="1"/>
  <c r="G26" i="15" s="1"/>
  <c r="G30" i="15"/>
  <c r="J30" i="15" s="1"/>
  <c r="C25" i="15"/>
  <c r="F25" i="15" s="1"/>
  <c r="G25" i="15" s="1"/>
  <c r="J26" i="15" l="1"/>
  <c r="G139" i="15" l="1"/>
  <c r="J139" i="15" s="1"/>
  <c r="I66" i="15"/>
  <c r="I113" i="15"/>
  <c r="I100" i="15"/>
  <c r="I88" i="15"/>
  <c r="I21" i="15"/>
  <c r="I15" i="15"/>
  <c r="G141" i="15"/>
  <c r="J141" i="15" s="1"/>
  <c r="F52" i="15"/>
  <c r="G52" i="15" s="1"/>
  <c r="F50" i="15"/>
  <c r="G50" i="15" s="1"/>
  <c r="F47" i="15"/>
  <c r="G47" i="15" s="1"/>
  <c r="G81" i="15"/>
  <c r="G14" i="15"/>
  <c r="E20" i="15"/>
  <c r="E19" i="15"/>
  <c r="G11" i="15"/>
  <c r="G10" i="15"/>
  <c r="G96" i="15" l="1"/>
  <c r="G97" i="15"/>
  <c r="F51" i="15"/>
  <c r="G51" i="15" s="1"/>
  <c r="F49" i="15"/>
  <c r="G49" i="15" s="1"/>
  <c r="G85" i="15"/>
  <c r="G88" i="15" s="1"/>
  <c r="F48" i="15"/>
  <c r="G48" i="15" s="1"/>
  <c r="G66" i="15" s="1"/>
  <c r="G18" i="15"/>
  <c r="G21" i="15" s="1"/>
  <c r="G98" i="15"/>
  <c r="D20" i="15"/>
  <c r="G20" i="15" s="1"/>
  <c r="G13" i="15"/>
  <c r="D19" i="15"/>
  <c r="G19" i="15" s="1"/>
  <c r="G12" i="15"/>
  <c r="G15" i="15" s="1"/>
  <c r="G95" i="15"/>
  <c r="G91" i="15"/>
  <c r="D103" i="15" l="1"/>
  <c r="G100" i="15"/>
  <c r="J15" i="15"/>
  <c r="J66" i="15"/>
  <c r="D116" i="15"/>
  <c r="J88" i="15"/>
  <c r="J21" i="15"/>
  <c r="G103" i="15" l="1"/>
  <c r="G113" i="15" s="1"/>
  <c r="J100" i="15"/>
  <c r="G116" i="15" l="1"/>
  <c r="G125" i="15" s="1"/>
  <c r="J125" i="15" l="1"/>
  <c r="J113" i="15"/>
  <c r="J143" i="15" l="1"/>
  <c r="C145" i="15" s="1"/>
  <c r="C146" i="15" s="1"/>
  <c r="C147" i="15" s="1"/>
</calcChain>
</file>

<file path=xl/sharedStrings.xml><?xml version="1.0" encoding="utf-8"?>
<sst xmlns="http://schemas.openxmlformats.org/spreadsheetml/2006/main" count="133" uniqueCount="92">
  <si>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</si>
  <si>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</si>
  <si>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</si>
  <si>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</si>
  <si>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</si>
  <si>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</si>
  <si>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</si>
  <si>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</si>
  <si>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</si>
  <si>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</si>
  <si>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</si>
  <si>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</si>
  <si>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</si>
  <si>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</si>
  <si>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</si>
  <si>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</si>
  <si>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</si>
  <si>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</si>
  <si>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</si>
  <si>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</si>
  <si>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</si>
  <si>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Length (m)</t>
  </si>
  <si>
    <t>cum</t>
  </si>
  <si>
    <t>Location:- Shankharapur Municipality 1</t>
  </si>
  <si>
    <t>PS</t>
  </si>
  <si>
    <t>sqm</t>
  </si>
  <si>
    <t>!@=% dL=dL= l;d]G6 afn'jf -!M$_ Knfi6/</t>
  </si>
  <si>
    <t xml:space="preserve"> Ps sf]6 k|fO{d/ ;lxt b'O{ sf]6 j]b/sf]6 k]G6 ug]{ sfd</t>
  </si>
  <si>
    <t xml:space="preserve">Date:                  </t>
  </si>
  <si>
    <t>-long wall</t>
  </si>
  <si>
    <t>-short wall</t>
  </si>
  <si>
    <r>
      <t>%) dL=dL=</t>
    </r>
    <r>
      <rPr>
        <b/>
        <sz val="12"/>
        <rFont val="Times New Roman"/>
        <family val="1"/>
      </rPr>
      <t xml:space="preserve"> X</t>
    </r>
    <r>
      <rPr>
        <b/>
        <sz val="12"/>
        <rFont val="Preeti"/>
      </rPr>
      <t xml:space="preserve"> &amp;% dL=dL= cu|fvsf] k|m]d ^)) dL=dL=</t>
    </r>
    <r>
      <rPr>
        <b/>
        <sz val="12"/>
        <rFont val="Times New Roman"/>
        <family val="1"/>
      </rPr>
      <t xml:space="preserve"> X</t>
    </r>
    <r>
      <rPr>
        <b/>
        <sz val="12"/>
        <rFont val="Preeti"/>
      </rPr>
      <t xml:space="preserve"> ^)) dL=dL= df xfnL @% dL=dL= afSnf] cu|fvsf7sf] ˆn]s 5fKg] sfd</t>
    </r>
  </si>
  <si>
    <t>kfs]6 lj5\ofpg] / vfS;L nufO{ kfln; ug]{ sfd</t>
  </si>
  <si>
    <t>-flooring</t>
  </si>
  <si>
    <t>ljleGg ;fO{hsf] kmnfd] PËn km]lj|s]zg u/L k|fOd/ k]G6 ;lxt ug]{ sfd</t>
  </si>
  <si>
    <t>Unit weight (Kg/m)</t>
  </si>
  <si>
    <t>Weight (Kg)</t>
  </si>
  <si>
    <t>Kg</t>
  </si>
  <si>
    <t>-MS square pipe for post of 75mm*75mm*5mm thickness</t>
  </si>
  <si>
    <t>-75mm*75mm*5mm size equal angle for stage binding</t>
  </si>
  <si>
    <t>-at stage</t>
  </si>
  <si>
    <t>-deduction for stage area</t>
  </si>
  <si>
    <t>Provisional sum for unforseen work</t>
  </si>
  <si>
    <r>
      <t>Project:-</t>
    </r>
    <r>
      <rPr>
        <sz val="12"/>
        <rFont val="Preeti"/>
      </rPr>
      <t xml:space="preserve"> s[lif pkh ;+sng s]Gb| lgdf{0f</t>
    </r>
  </si>
  <si>
    <t>-deduction for door area</t>
  </si>
  <si>
    <t>VAT 13%</t>
  </si>
  <si>
    <t>Grand total</t>
  </si>
  <si>
    <t>cf/=;L=;L= nflu kmnfd] 808L sf6\g], df]8\g] #) dL6/ ;Dd</t>
  </si>
  <si>
    <t>-stirrups for column</t>
  </si>
  <si>
    <t>MT</t>
  </si>
  <si>
    <t>kmnfd]sf] kfOk / KnfOaf]8{af6 kmdf{ agfpg] sfd</t>
  </si>
  <si>
    <t>-for column</t>
  </si>
  <si>
    <t>d]lzgsf] k|of]u u/L ;'k/ :6«Sr/df l;d]G6 s+lqm6 ug]{ sfd -!M!=%M#_</t>
  </si>
  <si>
    <t>-MS square pipe for vertical post of 3"*3"*2mm thickness</t>
  </si>
  <si>
    <t>-MS square pipe for horizontal member of 3"*3"*2mm thickness</t>
  </si>
  <si>
    <t>-MS square pipe for inclined member of 2"*2"*1.6mm thickness</t>
  </si>
  <si>
    <t>-MS square pipe for vertical member of 1.5"*1.5"*1.6mm thickness</t>
  </si>
  <si>
    <t>-MS square pipe for diagonal member of 1.5"*1.5"*1.6mm thickness</t>
  </si>
  <si>
    <t>-MS square pipe for king post of 2"*2"*1.6mm thickness</t>
  </si>
  <si>
    <t>-MS square pipe for purlins of 1.5"*1.5"*1.6mm thickness</t>
  </si>
  <si>
    <r>
      <t xml:space="preserve">dfn;fdfg pknAw u/L </t>
    </r>
    <r>
      <rPr>
        <sz val="9"/>
        <rFont val="Arial"/>
        <family val="2"/>
      </rPr>
      <t>UPVC sheet with PMMA Coating</t>
    </r>
    <r>
      <rPr>
        <sz val="9"/>
        <rFont val="Preeti"/>
      </rPr>
      <t xml:space="preserve"> </t>
    </r>
    <r>
      <rPr>
        <sz val="9"/>
        <rFont val="Arial"/>
        <family val="2"/>
      </rPr>
      <t>and mesh (Tile)</t>
    </r>
    <r>
      <rPr>
        <sz val="14"/>
        <rFont val="Preeti"/>
      </rPr>
      <t>5fgf 5fpg] sfd .</t>
    </r>
  </si>
  <si>
    <r>
      <t>5fgfdf</t>
    </r>
    <r>
      <rPr>
        <sz val="9"/>
        <rFont val="Preeti"/>
      </rPr>
      <t xml:space="preserve"> </t>
    </r>
    <r>
      <rPr>
        <sz val="9"/>
        <rFont val="Arial"/>
        <family val="2"/>
      </rPr>
      <t xml:space="preserve">Ridge cover UPVC PMMA(3MMTHICK) </t>
    </r>
    <r>
      <rPr>
        <b/>
        <sz val="9"/>
        <rFont val="Arial"/>
        <family val="2"/>
      </rPr>
      <t>Regular</t>
    </r>
    <r>
      <rPr>
        <sz val="14"/>
        <rFont val="Preeti"/>
      </rPr>
      <t xml:space="preserve"> nufpg] sfd lSnk tyf k]r cflb ;d]t k'/f sfo{ ug]{ .</t>
    </r>
  </si>
  <si>
    <t>-for roof</t>
  </si>
  <si>
    <t>rm</t>
  </si>
  <si>
    <t>Supplying and fitting of 10mm CEMENT board  for celling fixing with 3" GI metal frames  all work complete as per instruction of site engineer.</t>
  </si>
  <si>
    <t>-false ceiling</t>
  </si>
  <si>
    <t>-deduction for window</t>
  </si>
  <si>
    <t>-deduction for door</t>
  </si>
  <si>
    <t>-wall</t>
  </si>
  <si>
    <t>-outer face</t>
  </si>
  <si>
    <t>-inner face</t>
  </si>
  <si>
    <t>lrDgL e§fsf] O{+6fsf] uf/f] l;d]G6 d;nf -!M^_ df</t>
  </si>
  <si>
    <t>-deduction for wooden planks area</t>
  </si>
  <si>
    <t xml:space="preserve"> Ps sf]6 k|fO{d/ ;lxt b'O{ sf]6 tof/L jf;]jn l8:6]Dk/ nufpg] sfd</t>
  </si>
  <si>
    <t>-as of outer face plaster</t>
  </si>
  <si>
    <t>-as of inner face plaster</t>
  </si>
  <si>
    <t>-door</t>
  </si>
  <si>
    <t>UPVC sliding window without net (frame 60 X 60mm sash 66 X 42mm white colour with 5mm Glass)</t>
  </si>
  <si>
    <t>-window</t>
  </si>
  <si>
    <t>UPVC Casement Window(frame 60*60 mm, sash 60*78mm White Colour With 5mm Glass)</t>
  </si>
  <si>
    <t>MS Flat bar of 20mm*5mm</t>
  </si>
  <si>
    <t>Equal angle of 35mm*35mm*2mm for bench</t>
  </si>
  <si>
    <t>Equal angle of 40mm*40mm*2mm for bench</t>
  </si>
  <si>
    <t>Staircase</t>
  </si>
  <si>
    <t>-at ground floor</t>
  </si>
  <si>
    <t>-at toilet</t>
  </si>
  <si>
    <t>UPVC Single Door with full pannel (frame 60*60mm sash 60X100mm White Colour With  Panel)</t>
  </si>
  <si>
    <t>Railing</t>
  </si>
  <si>
    <t>-MS square pipe for post of 2"*2"*1.6mm thickness</t>
  </si>
  <si>
    <t>-MS square pipe for post of 1"*1"*1.6mm thickness</t>
  </si>
  <si>
    <t>-at paanipatti</t>
  </si>
  <si>
    <t>F.Y.:2082/2083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</si>
</sst>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0"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14"/>
      <name val="Preeti"/>
    </font>
    <font>
      <sz val="9"/>
      <name val="Arial"/>
      <family val="2"/>
    </font>
    <font>
      <sz val="9"/>
      <name val="Preeti"/>
    </font>
    <font>
      <b/>
      <sz val="9"/>
      <name val="Arial"/>
      <family val="2"/>
    </font>
    <font>
      <sz val="10"/>
      <name val="Times New Roman"/>
      <family val="1"/>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72">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9" fillId="0" borderId="2" xfId="0" applyFont="1" applyBorder="1" applyAlignment="1">
      <alignment horizontal="center" vertical="center"/>
    </xf>
    <xf numFmtId="0" fontId="3" fillId="0" borderId="2" xfId="0" applyFont="1" applyBorder="1" applyAlignment="1">
      <alignment vertical="center"/>
    </xf>
    <xf numFmtId="0" fontId="0" fillId="0" borderId="2" xfId="0" applyBorder="1" applyAlignment="1">
      <alignment wrapText="1"/>
    </xf>
    <xf numFmtId="0" fontId="0" fillId="0" borderId="2" xfId="0" quotePrefix="1" applyBorder="1" applyAlignment="1">
      <alignment horizontal="right" wrapText="1"/>
    </xf>
    <xf numFmtId="1" fontId="2" fillId="0" borderId="2" xfId="0" applyNumberFormat="1" applyFont="1" applyBorder="1" applyAlignment="1">
      <alignment vertical="center"/>
    </xf>
    <xf numFmtId="0" fontId="4" fillId="0" borderId="2" xfId="0" quotePrefix="1" applyFont="1" applyBorder="1" applyAlignment="1">
      <alignment vertical="center"/>
    </xf>
    <xf numFmtId="0" fontId="4" fillId="0" borderId="2" xfId="0" applyFont="1" applyBorder="1" applyAlignment="1">
      <alignment vertical="center" wrapText="1"/>
    </xf>
    <xf numFmtId="2" fontId="4" fillId="0" borderId="2" xfId="0" applyNumberFormat="1" applyFont="1" applyBorder="1" applyAlignment="1">
      <alignment vertical="center" wrapText="1"/>
    </xf>
    <xf numFmtId="0" fontId="4" fillId="0" borderId="2" xfId="0" quotePrefix="1" applyFont="1" applyBorder="1" applyAlignment="1">
      <alignment horizontal="right" wrapText="1"/>
    </xf>
    <xf numFmtId="0" fontId="19" fillId="2" borderId="2" xfId="0" applyFont="1" applyFill="1" applyBorder="1" applyAlignment="1">
      <alignment vertical="top" wrapText="1"/>
    </xf>
    <xf numFmtId="164" fontId="0" fillId="0" borderId="2" xfId="0" applyNumberFormat="1" applyBorder="1"/>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2" fontId="4" fillId="0" borderId="2" xfId="0" applyNumberFormat="1" applyFont="1" applyBorder="1" applyAlignment="1">
      <alignment vertical="center"/>
    </xf>
    <xf numFmtId="2" fontId="6" fillId="0" borderId="2" xfId="0" applyNumberFormat="1" applyFont="1" applyBorder="1" applyAlignment="1">
      <alignment vertical="center"/>
    </xf>
    <xf numFmtId="0" fontId="13" fillId="0" borderId="2" xfId="0" quotePrefix="1" applyFont="1" applyBorder="1" applyAlignment="1">
      <alignment horizontal="center"/>
    </xf>
    <xf numFmtId="164" fontId="4" fillId="0" borderId="2" xfId="0" applyNumberFormat="1" applyFont="1" applyBorder="1"/>
    <xf numFmtId="0" fontId="4" fillId="0" borderId="2" xfId="0" applyFont="1" applyBorder="1" applyAlignment="1">
      <alignment wrapText="1"/>
    </xf>
    <xf numFmtId="2" fontId="4" fillId="0" borderId="2" xfId="0" applyNumberFormat="1" applyFont="1" applyBorder="1" applyAlignment="1">
      <alignment wrapText="1"/>
    </xf>
    <xf numFmtId="0" fontId="8" fillId="0" borderId="0" xfId="0" applyFont="1" applyAlignment="1">
      <alignment horizontal="lef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1" xfId="0"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0" fontId="8" fillId="0" borderId="1" xfId="0" applyFont="1" applyBorder="1" applyAlignment="1"/>
    <xf numFmtId="0" fontId="8" fillId="0" borderId="0" xfId="0" applyFont="1" applyAlignment="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47"/>
  <sheetViews>
    <sheetView tabSelected="1" topLeftCell="A55" zoomScaleNormal="100" workbookViewId="0">
      <selection activeCell="J60" sqref="J60"/>
    </sheetView>
  </sheetViews>
  <sheetFormatPr defaultColWidth="9.140625" defaultRowHeight="15" x14ac:dyDescent="0.25"/>
  <cols>
    <col min="1" max="1" width="4.7109375" style="13" customWidth="1"/>
    <col min="2" max="2" width="30.85546875" customWidth="1"/>
    <col min="3" max="3" width="6.28515625" bestFit="1" customWidth="1"/>
    <col min="4" max="4" width="8.42578125" customWidth="1"/>
    <col min="5" max="5" width="8.5703125" customWidth="1"/>
    <col min="6" max="6" width="7.28515625" customWidth="1"/>
    <col min="8" max="8" width="5" bestFit="1" customWidth="1"/>
    <col min="9" max="9" width="9.5703125" customWidth="1"/>
    <col min="10" max="10" width="11.85546875" customWidth="1"/>
  </cols>
  <sheetData>
    <row r="1" spans="1:11" x14ac:dyDescent="0.25">
      <c r="A1" s="61" t="s">
        <v>0</v>
      </c>
      <c r="B1" s="61"/>
      <c r="C1" s="61"/>
      <c r="D1" s="61"/>
      <c r="E1" s="61"/>
      <c r="F1" s="61"/>
      <c r="G1" s="61"/>
      <c r="H1" s="61"/>
      <c r="I1" s="61"/>
      <c r="J1" s="61"/>
      <c r="K1" s="61"/>
    </row>
    <row r="2" spans="1:11" ht="22.5" x14ac:dyDescent="0.25">
      <c r="A2" s="62" t="s">
        <v>1</v>
      </c>
      <c r="B2" s="62"/>
      <c r="C2" s="62"/>
      <c r="D2" s="62"/>
      <c r="E2" s="62"/>
      <c r="F2" s="62"/>
      <c r="G2" s="62"/>
      <c r="H2" s="62"/>
      <c r="I2" s="62"/>
      <c r="J2" s="62"/>
      <c r="K2" s="62"/>
    </row>
    <row r="3" spans="1:11" x14ac:dyDescent="0.25">
      <c r="A3" s="63" t="s">
        <v>2</v>
      </c>
      <c r="B3" s="63"/>
      <c r="C3" s="63"/>
      <c r="D3" s="63"/>
      <c r="E3" s="63"/>
      <c r="F3" s="63"/>
      <c r="G3" s="63"/>
      <c r="H3" s="63"/>
      <c r="I3" s="63"/>
      <c r="J3" s="63"/>
      <c r="K3" s="63"/>
    </row>
    <row r="4" spans="1:11" x14ac:dyDescent="0.25">
      <c r="A4" s="63" t="s">
        <v>3</v>
      </c>
      <c r="B4" s="63"/>
      <c r="C4" s="63"/>
      <c r="D4" s="63"/>
      <c r="E4" s="63"/>
      <c r="F4" s="63"/>
      <c r="G4" s="63"/>
      <c r="H4" s="63"/>
      <c r="I4" s="63"/>
      <c r="J4" s="63"/>
      <c r="K4" s="63"/>
    </row>
    <row r="5" spans="1:11" ht="18.75" x14ac:dyDescent="0.3">
      <c r="A5" s="64" t="s">
        <v>4</v>
      </c>
      <c r="B5" s="64"/>
      <c r="C5" s="64"/>
      <c r="D5" s="64"/>
      <c r="E5" s="64"/>
      <c r="F5" s="64"/>
      <c r="G5" s="64"/>
      <c r="H5" s="64"/>
      <c r="I5" s="64"/>
      <c r="J5" s="64"/>
      <c r="K5" s="64"/>
    </row>
    <row r="6" spans="1:11" ht="15.75" x14ac:dyDescent="0.25">
      <c r="A6" s="60" t="s">
        <v>43</v>
      </c>
      <c r="B6" s="60"/>
      <c r="C6" s="60"/>
      <c r="D6" s="60"/>
      <c r="E6" s="60"/>
      <c r="F6" s="60"/>
      <c r="G6" s="4"/>
      <c r="H6" s="71" t="s">
        <v>91</v>
      </c>
      <c r="I6" s="71"/>
      <c r="J6" s="71"/>
    </row>
    <row r="7" spans="1:11" ht="15.75" x14ac:dyDescent="0.25">
      <c r="A7" s="65" t="s">
        <v>23</v>
      </c>
      <c r="B7" s="65"/>
      <c r="C7" s="65"/>
      <c r="D7" s="65"/>
      <c r="E7" s="65"/>
      <c r="F7" s="65"/>
      <c r="G7" s="5"/>
      <c r="H7" s="70" t="s">
        <v>28</v>
      </c>
      <c r="I7" s="70"/>
      <c r="J7" s="70"/>
    </row>
    <row r="8" spans="1:11" s="10" customFormat="1" ht="15.75" x14ac:dyDescent="0.25">
      <c r="A8" s="41" t="s">
        <v>5</v>
      </c>
      <c r="B8" s="7" t="s">
        <v>6</v>
      </c>
      <c r="C8" s="6" t="s">
        <v>7</v>
      </c>
      <c r="D8" s="8" t="s">
        <v>8</v>
      </c>
      <c r="E8" s="8" t="s">
        <v>9</v>
      </c>
      <c r="F8" s="8" t="s">
        <v>10</v>
      </c>
      <c r="G8" s="8" t="s">
        <v>11</v>
      </c>
      <c r="H8" s="6" t="s">
        <v>12</v>
      </c>
      <c r="I8" s="8" t="s">
        <v>13</v>
      </c>
      <c r="J8" s="8" t="s">
        <v>14</v>
      </c>
      <c r="K8" s="9" t="s">
        <v>15</v>
      </c>
    </row>
    <row r="9" spans="1:11" s="13" customFormat="1" ht="61.5" x14ac:dyDescent="0.25">
      <c r="A9" s="11">
        <v>1</v>
      </c>
      <c r="B9" s="27" t="s">
        <v>31</v>
      </c>
      <c r="C9" s="12"/>
      <c r="D9" s="22"/>
      <c r="E9" s="22"/>
      <c r="F9" s="22"/>
      <c r="G9" s="22"/>
      <c r="H9" s="12"/>
      <c r="I9" s="12"/>
      <c r="J9" s="12"/>
      <c r="K9" s="12"/>
    </row>
    <row r="10" spans="1:11" x14ac:dyDescent="0.25">
      <c r="A10" s="11"/>
      <c r="B10" s="15" t="s">
        <v>29</v>
      </c>
      <c r="C10" s="14">
        <v>2</v>
      </c>
      <c r="D10" s="3">
        <f>28.5/3.281</f>
        <v>8.686376104846083</v>
      </c>
      <c r="E10" s="3"/>
      <c r="F10" s="3">
        <v>0.3</v>
      </c>
      <c r="G10" s="3">
        <f>PRODUCT(C10:F10)</f>
        <v>5.2118256629076498</v>
      </c>
      <c r="H10" s="14"/>
      <c r="I10" s="14"/>
      <c r="J10" s="14"/>
      <c r="K10" s="14"/>
    </row>
    <row r="11" spans="1:11" x14ac:dyDescent="0.25">
      <c r="A11" s="11"/>
      <c r="B11" s="15" t="s">
        <v>30</v>
      </c>
      <c r="C11" s="14">
        <v>2</v>
      </c>
      <c r="D11" s="3">
        <f>13.5/3.281</f>
        <v>4.1145992075586708</v>
      </c>
      <c r="E11" s="3"/>
      <c r="F11" s="3">
        <v>0.3</v>
      </c>
      <c r="G11" s="3">
        <f t="shared" ref="G11:G14" si="0">PRODUCT(C11:F11)</f>
        <v>2.4687595245352023</v>
      </c>
      <c r="H11" s="14"/>
      <c r="I11" s="14"/>
      <c r="J11" s="14"/>
      <c r="K11" s="14"/>
    </row>
    <row r="12" spans="1:11" x14ac:dyDescent="0.25">
      <c r="A12" s="11"/>
      <c r="B12" s="15" t="s">
        <v>40</v>
      </c>
      <c r="C12" s="14">
        <v>1</v>
      </c>
      <c r="D12" s="3">
        <f>22.75/3.281</f>
        <v>6.9338616275525755</v>
      </c>
      <c r="E12" s="3">
        <f>11.5/3.281</f>
        <v>3.5050289545870159</v>
      </c>
      <c r="F12" s="3"/>
      <c r="G12" s="3">
        <f t="shared" si="0"/>
        <v>24.303385771671628</v>
      </c>
      <c r="H12" s="14"/>
      <c r="I12" s="14"/>
      <c r="J12" s="14"/>
      <c r="K12" s="14"/>
    </row>
    <row r="13" spans="1:11" x14ac:dyDescent="0.25">
      <c r="A13" s="11"/>
      <c r="B13" s="15"/>
      <c r="C13" s="14">
        <v>1</v>
      </c>
      <c r="D13" s="3">
        <f>3.75/3.281</f>
        <v>1.1429442243218531</v>
      </c>
      <c r="E13" s="3">
        <f>4/3.281</f>
        <v>1.2191405059433098</v>
      </c>
      <c r="F13" s="3"/>
      <c r="G13" s="3">
        <f t="shared" si="0"/>
        <v>1.3934095999047278</v>
      </c>
      <c r="H13" s="14"/>
      <c r="I13" s="14"/>
      <c r="J13" s="14"/>
      <c r="K13" s="14"/>
    </row>
    <row r="14" spans="1:11" x14ac:dyDescent="0.25">
      <c r="A14" s="11"/>
      <c r="B14" s="15" t="s">
        <v>44</v>
      </c>
      <c r="C14" s="14">
        <v>-1</v>
      </c>
      <c r="D14" s="3">
        <v>1.2</v>
      </c>
      <c r="E14" s="3"/>
      <c r="F14" s="3">
        <v>0.3</v>
      </c>
      <c r="G14" s="3">
        <f t="shared" si="0"/>
        <v>-0.36</v>
      </c>
      <c r="H14" s="14"/>
      <c r="I14" s="14"/>
      <c r="J14" s="14"/>
      <c r="K14" s="14"/>
    </row>
    <row r="15" spans="1:11" s="10" customFormat="1" ht="15" customHeight="1" x14ac:dyDescent="0.25">
      <c r="A15" s="16"/>
      <c r="B15" s="17" t="s">
        <v>16</v>
      </c>
      <c r="C15" s="18"/>
      <c r="D15" s="1"/>
      <c r="E15" s="19"/>
      <c r="F15" s="19"/>
      <c r="G15" s="2">
        <f>SUM(G10:G14)</f>
        <v>33.017380559019209</v>
      </c>
      <c r="H15" s="20" t="s">
        <v>25</v>
      </c>
      <c r="I15" s="2">
        <f>1.15*9949.51</f>
        <v>11441.9365</v>
      </c>
      <c r="J15" s="21">
        <f>G15*I15</f>
        <v>377782.77175263228</v>
      </c>
      <c r="K15" s="19"/>
    </row>
    <row r="16" spans="1:11" x14ac:dyDescent="0.25">
      <c r="A16" s="11"/>
      <c r="B16" s="14"/>
      <c r="C16" s="14"/>
      <c r="D16" s="3"/>
      <c r="E16" s="3"/>
      <c r="F16" s="3"/>
      <c r="G16" s="3"/>
      <c r="H16" s="14"/>
      <c r="I16" s="14"/>
      <c r="J16" s="14"/>
      <c r="K16" s="14"/>
    </row>
    <row r="17" spans="1:11" s="13" customFormat="1" ht="30" x14ac:dyDescent="0.25">
      <c r="A17" s="11">
        <v>2</v>
      </c>
      <c r="B17" s="27" t="s">
        <v>32</v>
      </c>
      <c r="C17" s="12"/>
      <c r="D17" s="22"/>
      <c r="E17" s="22"/>
      <c r="F17" s="22"/>
      <c r="G17" s="22"/>
      <c r="H17" s="12"/>
      <c r="I17" s="12"/>
      <c r="J17" s="12"/>
      <c r="K17" s="12"/>
    </row>
    <row r="18" spans="1:11" x14ac:dyDescent="0.25">
      <c r="A18" s="11"/>
      <c r="B18" s="15" t="s">
        <v>33</v>
      </c>
      <c r="C18" s="14">
        <v>1</v>
      </c>
      <c r="D18" s="3">
        <f>28.5/3.281</f>
        <v>8.686376104846083</v>
      </c>
      <c r="E18" s="3">
        <f>13.5/3.281</f>
        <v>4.1145992075586708</v>
      </c>
      <c r="F18" s="3"/>
      <c r="G18" s="3">
        <f>PRODUCT(C18:F18)</f>
        <v>35.740956237556269</v>
      </c>
      <c r="H18" s="14"/>
      <c r="I18" s="14"/>
      <c r="J18" s="14"/>
      <c r="K18" s="14"/>
    </row>
    <row r="19" spans="1:11" x14ac:dyDescent="0.25">
      <c r="A19" s="11"/>
      <c r="B19" s="15" t="s">
        <v>41</v>
      </c>
      <c r="C19" s="14">
        <v>-1</v>
      </c>
      <c r="D19" s="3">
        <f>D12</f>
        <v>6.9338616275525755</v>
      </c>
      <c r="E19" s="3">
        <f>E12</f>
        <v>3.5050289545870159</v>
      </c>
      <c r="F19" s="3"/>
      <c r="G19" s="3">
        <f t="shared" ref="G19:G20" si="1">PRODUCT(C19:F19)</f>
        <v>-24.303385771671628</v>
      </c>
      <c r="H19" s="14"/>
      <c r="I19" s="14"/>
      <c r="J19" s="14"/>
      <c r="K19" s="14"/>
    </row>
    <row r="20" spans="1:11" x14ac:dyDescent="0.25">
      <c r="A20" s="11"/>
      <c r="B20" s="15"/>
      <c r="C20" s="14">
        <v>-1</v>
      </c>
      <c r="D20" s="3">
        <f>D13</f>
        <v>1.1429442243218531</v>
      </c>
      <c r="E20" s="3">
        <f>E13</f>
        <v>1.2191405059433098</v>
      </c>
      <c r="F20" s="3"/>
      <c r="G20" s="3">
        <f t="shared" si="1"/>
        <v>-1.3934095999047278</v>
      </c>
      <c r="H20" s="14"/>
      <c r="I20" s="14"/>
      <c r="J20" s="14"/>
      <c r="K20" s="14"/>
    </row>
    <row r="21" spans="1:11" s="10" customFormat="1" ht="15" customHeight="1" x14ac:dyDescent="0.25">
      <c r="A21" s="16"/>
      <c r="B21" s="17" t="s">
        <v>16</v>
      </c>
      <c r="C21" s="18"/>
      <c r="D21" s="1"/>
      <c r="E21" s="19"/>
      <c r="F21" s="19"/>
      <c r="G21" s="2">
        <f>SUM(G18:G20)</f>
        <v>10.044160865979912</v>
      </c>
      <c r="H21" s="20" t="s">
        <v>25</v>
      </c>
      <c r="I21" s="2">
        <f>1.15*2808.56</f>
        <v>3229.8439999999996</v>
      </c>
      <c r="J21" s="21">
        <f>G21*I21</f>
        <v>32441.072708020016</v>
      </c>
      <c r="K21" s="19"/>
    </row>
    <row r="22" spans="1:11" x14ac:dyDescent="0.25">
      <c r="A22" s="11"/>
      <c r="B22" s="14"/>
      <c r="C22" s="14"/>
      <c r="D22" s="3"/>
      <c r="E22" s="3"/>
      <c r="F22" s="3"/>
      <c r="G22" s="3"/>
      <c r="H22" s="14"/>
      <c r="I22" s="14"/>
      <c r="J22" s="14"/>
      <c r="K22" s="14"/>
    </row>
    <row r="23" spans="1:11" s="10" customFormat="1" ht="45" x14ac:dyDescent="0.25">
      <c r="A23" s="23">
        <v>3</v>
      </c>
      <c r="B23" s="27" t="s">
        <v>47</v>
      </c>
      <c r="C23" s="47" t="s">
        <v>7</v>
      </c>
      <c r="D23" s="48" t="s">
        <v>21</v>
      </c>
      <c r="E23" s="48" t="s">
        <v>35</v>
      </c>
      <c r="F23" s="48" t="s">
        <v>36</v>
      </c>
      <c r="G23" s="26"/>
      <c r="H23" s="25"/>
      <c r="I23" s="25"/>
      <c r="J23" s="21"/>
      <c r="K23" s="25"/>
    </row>
    <row r="24" spans="1:11" x14ac:dyDescent="0.25">
      <c r="A24" s="11"/>
      <c r="B24" s="15" t="s">
        <v>48</v>
      </c>
      <c r="C24" s="3">
        <f>6*TRUNC(3/0.42,0)</f>
        <v>42</v>
      </c>
      <c r="D24" s="3">
        <f>(7*4+2*2)/12/3.281</f>
        <v>0.81276033729553987</v>
      </c>
      <c r="E24" s="3">
        <f>8*8/162</f>
        <v>0.39506172839506171</v>
      </c>
      <c r="F24" s="3">
        <f>PRODUCT(C24:E24)</f>
        <v>13.485801152163031</v>
      </c>
      <c r="G24" s="3">
        <f>F24/1000</f>
        <v>1.3485801152163031E-2</v>
      </c>
      <c r="H24" s="14"/>
      <c r="I24" s="14"/>
      <c r="J24" s="14"/>
      <c r="K24" s="14"/>
    </row>
    <row r="25" spans="1:11" x14ac:dyDescent="0.25">
      <c r="A25" s="11"/>
      <c r="B25" s="15"/>
      <c r="C25" s="3">
        <f>C24</f>
        <v>42</v>
      </c>
      <c r="D25" s="3">
        <f>(6*4+2*2)/12/3.281</f>
        <v>0.7111652951335975</v>
      </c>
      <c r="E25" s="3">
        <f>8*8/162</f>
        <v>0.39506172839506171</v>
      </c>
      <c r="F25" s="3">
        <f>PRODUCT(C25:E25)</f>
        <v>11.800076008142655</v>
      </c>
      <c r="G25" s="3">
        <f>F25/1000</f>
        <v>1.1800076008142655E-2</v>
      </c>
      <c r="H25" s="14"/>
      <c r="I25" s="14"/>
      <c r="J25" s="14"/>
      <c r="K25" s="14"/>
    </row>
    <row r="26" spans="1:11" s="10" customFormat="1" ht="15" customHeight="1" x14ac:dyDescent="0.25">
      <c r="A26" s="16"/>
      <c r="B26" s="17" t="s">
        <v>16</v>
      </c>
      <c r="C26" s="18"/>
      <c r="D26" s="1"/>
      <c r="E26" s="19"/>
      <c r="F26" s="19"/>
      <c r="G26" s="2">
        <f>SUM(G24:G25)</f>
        <v>2.5285877160305684E-2</v>
      </c>
      <c r="H26" s="20" t="s">
        <v>49</v>
      </c>
      <c r="I26" s="2">
        <v>132360</v>
      </c>
      <c r="J26" s="21">
        <f>G26*I26</f>
        <v>3346.8387009380604</v>
      </c>
      <c r="K26" s="19"/>
    </row>
    <row r="27" spans="1:11" s="10" customFormat="1" x14ac:dyDescent="0.25">
      <c r="A27" s="23"/>
      <c r="B27" s="24"/>
      <c r="C27" s="25"/>
      <c r="D27" s="26"/>
      <c r="E27" s="26"/>
      <c r="F27" s="26"/>
      <c r="G27" s="26"/>
      <c r="H27" s="25"/>
      <c r="I27" s="25"/>
      <c r="J27" s="21"/>
      <c r="K27" s="25"/>
    </row>
    <row r="28" spans="1:11" s="10" customFormat="1" ht="30" x14ac:dyDescent="0.25">
      <c r="A28" s="23">
        <v>4</v>
      </c>
      <c r="B28" s="27" t="s">
        <v>50</v>
      </c>
      <c r="C28" s="25"/>
      <c r="D28" s="26"/>
      <c r="E28" s="26"/>
      <c r="F28" s="26"/>
      <c r="G28" s="26"/>
      <c r="H28" s="25"/>
      <c r="I28" s="25"/>
      <c r="J28" s="21"/>
      <c r="K28" s="25"/>
    </row>
    <row r="29" spans="1:11" x14ac:dyDescent="0.25">
      <c r="A29" s="11"/>
      <c r="B29" s="15" t="s">
        <v>51</v>
      </c>
      <c r="C29" s="3">
        <v>6</v>
      </c>
      <c r="D29" s="3">
        <f>0.3*4</f>
        <v>1.2</v>
      </c>
      <c r="E29" s="3"/>
      <c r="F29" s="3">
        <v>0.9</v>
      </c>
      <c r="G29" s="3">
        <f>PRODUCT(C29:F29)</f>
        <v>6.4799999999999995</v>
      </c>
      <c r="H29" s="14"/>
      <c r="I29" s="14"/>
      <c r="J29" s="14"/>
      <c r="K29" s="14"/>
    </row>
    <row r="30" spans="1:11" s="10" customFormat="1" ht="15" customHeight="1" x14ac:dyDescent="0.25">
      <c r="A30" s="16"/>
      <c r="B30" s="17" t="s">
        <v>16</v>
      </c>
      <c r="C30" s="18"/>
      <c r="D30" s="1"/>
      <c r="E30" s="19"/>
      <c r="F30" s="19"/>
      <c r="G30" s="2">
        <f>SUM(G29:G29)</f>
        <v>6.4799999999999995</v>
      </c>
      <c r="H30" s="20" t="s">
        <v>25</v>
      </c>
      <c r="I30" s="2">
        <v>922.71</v>
      </c>
      <c r="J30" s="21">
        <f>G30*I30</f>
        <v>5979.1607999999997</v>
      </c>
      <c r="K30" s="19"/>
    </row>
    <row r="31" spans="1:11" s="10" customFormat="1" x14ac:dyDescent="0.25">
      <c r="A31" s="23"/>
      <c r="B31" s="24"/>
      <c r="C31" s="25"/>
      <c r="D31" s="26"/>
      <c r="E31" s="26"/>
      <c r="F31" s="26"/>
      <c r="G31" s="26"/>
      <c r="H31" s="25"/>
      <c r="I31" s="25"/>
      <c r="J31" s="21"/>
      <c r="K31" s="25"/>
    </row>
    <row r="32" spans="1:11" s="10" customFormat="1" ht="30" x14ac:dyDescent="0.25">
      <c r="A32" s="23">
        <v>5</v>
      </c>
      <c r="B32" s="27" t="s">
        <v>52</v>
      </c>
      <c r="C32" s="25"/>
      <c r="D32" s="26"/>
      <c r="E32" s="26"/>
      <c r="F32" s="26"/>
      <c r="G32" s="26"/>
      <c r="H32" s="25"/>
      <c r="I32" s="25"/>
      <c r="J32" s="21"/>
      <c r="K32" s="25"/>
    </row>
    <row r="33" spans="1:11" x14ac:dyDescent="0.25">
      <c r="A33" s="11"/>
      <c r="B33" s="15" t="s">
        <v>51</v>
      </c>
      <c r="C33" s="3">
        <v>6</v>
      </c>
      <c r="D33" s="3">
        <v>0.3</v>
      </c>
      <c r="E33" s="3">
        <v>0.3</v>
      </c>
      <c r="F33" s="3">
        <f>F29</f>
        <v>0.9</v>
      </c>
      <c r="G33" s="3">
        <f>PRODUCT(C33:F33)</f>
        <v>0.48599999999999993</v>
      </c>
      <c r="H33" s="14"/>
      <c r="I33" s="14"/>
      <c r="J33" s="14"/>
      <c r="K33" s="14"/>
    </row>
    <row r="34" spans="1:11" s="10" customFormat="1" ht="15" customHeight="1" x14ac:dyDescent="0.25">
      <c r="A34" s="16"/>
      <c r="B34" s="17" t="s">
        <v>16</v>
      </c>
      <c r="C34" s="18"/>
      <c r="D34" s="1"/>
      <c r="E34" s="19"/>
      <c r="F34" s="19"/>
      <c r="G34" s="2">
        <f>SUM(G33:G33)</f>
        <v>0.48599999999999993</v>
      </c>
      <c r="H34" s="20" t="s">
        <v>22</v>
      </c>
      <c r="I34" s="2">
        <v>13957.29</v>
      </c>
      <c r="J34" s="21">
        <f>G34*I34</f>
        <v>6783.2429399999992</v>
      </c>
      <c r="K34" s="19"/>
    </row>
    <row r="35" spans="1:11" s="10" customFormat="1" x14ac:dyDescent="0.25">
      <c r="A35" s="23"/>
      <c r="B35" s="24"/>
      <c r="C35" s="25"/>
      <c r="D35" s="26"/>
      <c r="E35" s="26"/>
      <c r="F35" s="26"/>
      <c r="G35" s="26"/>
      <c r="H35" s="25"/>
      <c r="I35" s="25"/>
      <c r="J35" s="21"/>
      <c r="K35" s="25"/>
    </row>
    <row r="36" spans="1:11" ht="45" x14ac:dyDescent="0.25">
      <c r="A36" s="11">
        <v>6</v>
      </c>
      <c r="B36" s="27" t="s">
        <v>34</v>
      </c>
      <c r="C36" s="43" t="s">
        <v>7</v>
      </c>
      <c r="D36" s="43" t="s">
        <v>21</v>
      </c>
      <c r="E36" s="43" t="s">
        <v>35</v>
      </c>
      <c r="F36" s="43" t="s">
        <v>36</v>
      </c>
      <c r="G36" s="14"/>
      <c r="H36" s="14"/>
      <c r="I36" s="14"/>
      <c r="J36" s="14"/>
      <c r="K36" s="14"/>
    </row>
    <row r="37" spans="1:11" ht="30" x14ac:dyDescent="0.25">
      <c r="A37" s="11"/>
      <c r="B37" s="49" t="s">
        <v>53</v>
      </c>
      <c r="C37" s="57">
        <v>6</v>
      </c>
      <c r="D37" s="26">
        <f>9/3.281</f>
        <v>2.7430661383724475</v>
      </c>
      <c r="E37" s="26">
        <v>4.4000000000000004</v>
      </c>
      <c r="F37" s="26">
        <f t="shared" ref="F37:F47" si="2">PRODUCT(C37:E37)</f>
        <v>72.416946053032618</v>
      </c>
      <c r="G37" s="26">
        <f t="shared" ref="G37:G47" si="3">F37</f>
        <v>72.416946053032618</v>
      </c>
      <c r="H37" s="14"/>
      <c r="I37" s="14"/>
      <c r="J37" s="14"/>
      <c r="K37" s="14"/>
    </row>
    <row r="38" spans="1:11" ht="30" x14ac:dyDescent="0.25">
      <c r="A38" s="11"/>
      <c r="B38" s="49" t="s">
        <v>54</v>
      </c>
      <c r="C38" s="58">
        <v>2</v>
      </c>
      <c r="D38" s="59">
        <f>14.25/3.281</f>
        <v>4.3431880524230415</v>
      </c>
      <c r="E38" s="26">
        <v>4.4000000000000004</v>
      </c>
      <c r="F38" s="26">
        <f t="shared" si="2"/>
        <v>38.220054861322765</v>
      </c>
      <c r="G38" s="26">
        <f t="shared" si="3"/>
        <v>38.220054861322765</v>
      </c>
      <c r="H38" s="14"/>
      <c r="I38" s="14"/>
      <c r="J38" s="14"/>
      <c r="K38" s="14"/>
    </row>
    <row r="39" spans="1:11" x14ac:dyDescent="0.25">
      <c r="A39" s="11"/>
      <c r="B39" s="27"/>
      <c r="C39" s="58">
        <v>3</v>
      </c>
      <c r="D39" s="59">
        <f>(14.25+2.5+2)/3.281</f>
        <v>5.7147211216092648</v>
      </c>
      <c r="E39" s="26">
        <v>4.4000000000000004</v>
      </c>
      <c r="F39" s="26">
        <f t="shared" si="2"/>
        <v>75.434318805242299</v>
      </c>
      <c r="G39" s="26">
        <f t="shared" si="3"/>
        <v>75.434318805242299</v>
      </c>
      <c r="H39" s="14"/>
      <c r="I39" s="14"/>
      <c r="J39" s="14"/>
      <c r="K39" s="14"/>
    </row>
    <row r="40" spans="1:11" ht="45" x14ac:dyDescent="0.25">
      <c r="A40" s="11"/>
      <c r="B40" s="49" t="s">
        <v>55</v>
      </c>
      <c r="C40" s="57">
        <f>3*2</f>
        <v>6</v>
      </c>
      <c r="D40" s="26">
        <f>10/3.281</f>
        <v>3.047851264858275</v>
      </c>
      <c r="E40" s="26">
        <v>2.4300000000000002</v>
      </c>
      <c r="F40" s="26">
        <f t="shared" si="2"/>
        <v>44.437671441633647</v>
      </c>
      <c r="G40" s="26">
        <f t="shared" si="3"/>
        <v>44.437671441633647</v>
      </c>
      <c r="H40" s="14"/>
      <c r="I40" s="14"/>
      <c r="J40" s="14"/>
      <c r="K40" s="14"/>
    </row>
    <row r="41" spans="1:11" ht="30" x14ac:dyDescent="0.25">
      <c r="A41" s="11"/>
      <c r="B41" s="49" t="s">
        <v>58</v>
      </c>
      <c r="C41" s="57">
        <v>3</v>
      </c>
      <c r="D41" s="26">
        <f>3.5/3.281</f>
        <v>1.0667479427003961</v>
      </c>
      <c r="E41" s="26">
        <v>2.4300000000000002</v>
      </c>
      <c r="F41" s="26">
        <f t="shared" si="2"/>
        <v>7.7765925022858875</v>
      </c>
      <c r="G41" s="26">
        <f t="shared" si="3"/>
        <v>7.7765925022858875</v>
      </c>
      <c r="H41" s="14"/>
      <c r="I41" s="14"/>
      <c r="J41" s="14"/>
      <c r="K41" s="14"/>
    </row>
    <row r="42" spans="1:11" ht="45" x14ac:dyDescent="0.25">
      <c r="A42" s="11"/>
      <c r="B42" s="49" t="s">
        <v>56</v>
      </c>
      <c r="C42" s="57">
        <f>3*2</f>
        <v>6</v>
      </c>
      <c r="D42" s="26">
        <f>2.25/3.281</f>
        <v>0.68576653459311188</v>
      </c>
      <c r="E42" s="26">
        <v>1.83</v>
      </c>
      <c r="F42" s="26">
        <f t="shared" si="2"/>
        <v>7.5297165498323677</v>
      </c>
      <c r="G42" s="26">
        <f t="shared" si="3"/>
        <v>7.5297165498323677</v>
      </c>
      <c r="H42" s="14"/>
      <c r="I42" s="14"/>
      <c r="J42" s="14"/>
      <c r="K42" s="14"/>
    </row>
    <row r="43" spans="1:11" x14ac:dyDescent="0.25">
      <c r="A43" s="11"/>
      <c r="B43" s="49"/>
      <c r="C43" s="57">
        <f>3*2</f>
        <v>6</v>
      </c>
      <c r="D43" s="26">
        <f>1.083/3.281</f>
        <v>0.33008229198415112</v>
      </c>
      <c r="E43" s="26">
        <v>1.83</v>
      </c>
      <c r="F43" s="26">
        <f t="shared" si="2"/>
        <v>3.6243035659859797</v>
      </c>
      <c r="G43" s="26">
        <f t="shared" si="3"/>
        <v>3.6243035659859797</v>
      </c>
      <c r="H43" s="14"/>
      <c r="I43" s="14"/>
      <c r="J43" s="14"/>
      <c r="K43" s="14"/>
    </row>
    <row r="44" spans="1:11" ht="45" x14ac:dyDescent="0.25">
      <c r="A44" s="11"/>
      <c r="B44" s="49" t="s">
        <v>57</v>
      </c>
      <c r="C44" s="57">
        <f>3*2</f>
        <v>6</v>
      </c>
      <c r="D44" s="26">
        <f>3.917/3.281</f>
        <v>1.1938433404449862</v>
      </c>
      <c r="E44" s="26">
        <v>1.83</v>
      </c>
      <c r="F44" s="26">
        <f t="shared" si="2"/>
        <v>13.108399878085949</v>
      </c>
      <c r="G44" s="26">
        <f t="shared" si="3"/>
        <v>13.108399878085949</v>
      </c>
      <c r="H44" s="14"/>
      <c r="I44" s="14"/>
      <c r="J44" s="14"/>
      <c r="K44" s="14"/>
    </row>
    <row r="45" spans="1:11" x14ac:dyDescent="0.25">
      <c r="A45" s="11"/>
      <c r="B45" s="49"/>
      <c r="C45" s="57">
        <f>3*2</f>
        <v>6</v>
      </c>
      <c r="D45" s="26">
        <f>3.33/3.281</f>
        <v>1.0149344711978054</v>
      </c>
      <c r="E45" s="26">
        <v>1.83</v>
      </c>
      <c r="F45" s="26">
        <f t="shared" si="2"/>
        <v>11.143980493751904</v>
      </c>
      <c r="G45" s="26">
        <f t="shared" si="3"/>
        <v>11.143980493751904</v>
      </c>
      <c r="H45" s="14"/>
      <c r="I45" s="14"/>
      <c r="J45" s="14"/>
      <c r="K45" s="14"/>
    </row>
    <row r="46" spans="1:11" ht="30" x14ac:dyDescent="0.25">
      <c r="A46" s="11"/>
      <c r="B46" s="49" t="s">
        <v>59</v>
      </c>
      <c r="C46" s="57">
        <f>3*2</f>
        <v>6</v>
      </c>
      <c r="D46" s="26">
        <f>33/3.281</f>
        <v>10.057909174032307</v>
      </c>
      <c r="E46" s="26">
        <v>1.83</v>
      </c>
      <c r="F46" s="26">
        <f t="shared" si="2"/>
        <v>110.43584273087474</v>
      </c>
      <c r="G46" s="26">
        <f t="shared" si="3"/>
        <v>110.43584273087474</v>
      </c>
      <c r="H46" s="14"/>
      <c r="I46" s="14"/>
      <c r="J46" s="14"/>
      <c r="K46" s="14"/>
    </row>
    <row r="47" spans="1:11" ht="30" x14ac:dyDescent="0.25">
      <c r="A47" s="11"/>
      <c r="B47" s="49" t="s">
        <v>38</v>
      </c>
      <c r="C47" s="26">
        <v>30</v>
      </c>
      <c r="D47" s="26">
        <v>0.3</v>
      </c>
      <c r="E47" s="26">
        <v>10.5</v>
      </c>
      <c r="F47" s="26">
        <f t="shared" si="2"/>
        <v>94.5</v>
      </c>
      <c r="G47" s="26">
        <f t="shared" si="3"/>
        <v>94.5</v>
      </c>
      <c r="H47" s="14"/>
      <c r="I47" s="14"/>
      <c r="J47" s="14"/>
      <c r="K47" s="14"/>
    </row>
    <row r="48" spans="1:11" ht="30" x14ac:dyDescent="0.25">
      <c r="A48" s="11"/>
      <c r="B48" s="44" t="s">
        <v>39</v>
      </c>
      <c r="C48" s="3">
        <f>2*2</f>
        <v>4</v>
      </c>
      <c r="D48" s="3">
        <f>26.5/3.281</f>
        <v>8.076805851874429</v>
      </c>
      <c r="E48" s="3">
        <v>5.8</v>
      </c>
      <c r="F48" s="3">
        <f t="shared" ref="F48:F57" si="4">PRODUCT(C48:E48)</f>
        <v>187.38189576348674</v>
      </c>
      <c r="G48" s="3">
        <f t="shared" ref="G48:G57" si="5">F48</f>
        <v>187.38189576348674</v>
      </c>
      <c r="H48" s="14"/>
      <c r="I48" s="14"/>
      <c r="J48" s="14"/>
      <c r="K48" s="14"/>
    </row>
    <row r="49" spans="1:11" x14ac:dyDescent="0.25">
      <c r="A49" s="11"/>
      <c r="B49" s="15"/>
      <c r="C49" s="3">
        <f>2*2</f>
        <v>4</v>
      </c>
      <c r="D49" s="3">
        <f>11.5/3.281</f>
        <v>3.5050289545870159</v>
      </c>
      <c r="E49" s="3">
        <v>5.8</v>
      </c>
      <c r="F49" s="3">
        <f t="shared" si="4"/>
        <v>81.316671746418763</v>
      </c>
      <c r="G49" s="3">
        <f t="shared" si="5"/>
        <v>81.316671746418763</v>
      </c>
      <c r="H49" s="14"/>
      <c r="I49" s="14"/>
      <c r="J49" s="14"/>
      <c r="K49" s="14"/>
    </row>
    <row r="50" spans="1:11" x14ac:dyDescent="0.25">
      <c r="A50" s="11"/>
      <c r="B50" s="15"/>
      <c r="C50" s="3">
        <f>5*2</f>
        <v>10</v>
      </c>
      <c r="D50" s="3">
        <f>11.5/3.281</f>
        <v>3.5050289545870159</v>
      </c>
      <c r="E50" s="3">
        <v>5.8</v>
      </c>
      <c r="F50" s="3">
        <f t="shared" si="4"/>
        <v>203.29167936604691</v>
      </c>
      <c r="G50" s="3">
        <f t="shared" si="5"/>
        <v>203.29167936604691</v>
      </c>
      <c r="H50" s="14"/>
      <c r="I50" s="14"/>
      <c r="J50" s="14"/>
      <c r="K50" s="14"/>
    </row>
    <row r="51" spans="1:11" x14ac:dyDescent="0.25">
      <c r="A51" s="11"/>
      <c r="B51" s="15"/>
      <c r="C51" s="3">
        <f>1*2</f>
        <v>2</v>
      </c>
      <c r="D51" s="3">
        <f>4/3.281</f>
        <v>1.2191405059433098</v>
      </c>
      <c r="E51" s="3">
        <v>5.8</v>
      </c>
      <c r="F51" s="3">
        <f t="shared" si="4"/>
        <v>14.142029868942393</v>
      </c>
      <c r="G51" s="3">
        <f t="shared" si="5"/>
        <v>14.142029868942393</v>
      </c>
      <c r="H51" s="14"/>
      <c r="I51" s="14"/>
      <c r="J51" s="14"/>
      <c r="K51" s="14"/>
    </row>
    <row r="52" spans="1:11" x14ac:dyDescent="0.25">
      <c r="A52" s="11"/>
      <c r="B52" s="15"/>
      <c r="C52" s="3">
        <f>2*2</f>
        <v>4</v>
      </c>
      <c r="D52" s="3">
        <f>22.75/3.281</f>
        <v>6.9338616275525755</v>
      </c>
      <c r="E52" s="3">
        <v>5.8</v>
      </c>
      <c r="F52" s="3">
        <f t="shared" si="4"/>
        <v>160.86558975921974</v>
      </c>
      <c r="G52" s="3">
        <f t="shared" si="5"/>
        <v>160.86558975921974</v>
      </c>
      <c r="H52" s="14"/>
      <c r="I52" s="14"/>
      <c r="J52" s="14"/>
      <c r="K52" s="14"/>
    </row>
    <row r="53" spans="1:11" x14ac:dyDescent="0.25">
      <c r="A53" s="11"/>
      <c r="B53" s="56" t="s">
        <v>83</v>
      </c>
      <c r="C53" s="3"/>
      <c r="D53" s="3"/>
      <c r="E53" s="3"/>
      <c r="F53" s="3"/>
      <c r="G53" s="3"/>
      <c r="H53" s="14"/>
      <c r="I53" s="14"/>
      <c r="J53" s="14"/>
      <c r="K53" s="14"/>
    </row>
    <row r="54" spans="1:11" s="13" customFormat="1" ht="30" x14ac:dyDescent="0.25">
      <c r="A54" s="23"/>
      <c r="B54" s="52" t="s">
        <v>82</v>
      </c>
      <c r="C54" s="53">
        <f>2*2</f>
        <v>4</v>
      </c>
      <c r="D54" s="54">
        <f>12.17/3.281</f>
        <v>3.7092349893325203</v>
      </c>
      <c r="E54" s="54">
        <v>1.19</v>
      </c>
      <c r="F54" s="54">
        <f>PRODUCT(C54:E54)</f>
        <v>17.655958549222795</v>
      </c>
      <c r="G54" s="54">
        <f>F54</f>
        <v>17.655958549222795</v>
      </c>
      <c r="H54" s="55"/>
      <c r="I54" s="55"/>
      <c r="J54" s="55"/>
      <c r="K54" s="35"/>
    </row>
    <row r="55" spans="1:11" s="13" customFormat="1" ht="30" x14ac:dyDescent="0.25">
      <c r="A55" s="23"/>
      <c r="B55" s="52" t="s">
        <v>81</v>
      </c>
      <c r="C55" s="53">
        <f>2*14</f>
        <v>28</v>
      </c>
      <c r="D55" s="54">
        <f>0.9</f>
        <v>0.9</v>
      </c>
      <c r="E55" s="54">
        <v>1.04</v>
      </c>
      <c r="F55" s="54">
        <f t="shared" ref="F55" si="6">PRODUCT(C55:E55)</f>
        <v>26.207999999999998</v>
      </c>
      <c r="G55" s="54">
        <f t="shared" ref="G55" si="7">F55</f>
        <v>26.207999999999998</v>
      </c>
      <c r="H55" s="55"/>
      <c r="I55" s="55"/>
      <c r="J55" s="55"/>
      <c r="K55" s="35"/>
    </row>
    <row r="56" spans="1:11" s="13" customFormat="1" x14ac:dyDescent="0.25">
      <c r="A56" s="23"/>
      <c r="B56" s="52"/>
      <c r="C56" s="53">
        <f>2*14</f>
        <v>28</v>
      </c>
      <c r="D56" s="54">
        <v>0.15</v>
      </c>
      <c r="E56" s="54">
        <v>1.04</v>
      </c>
      <c r="F56" s="54">
        <f t="shared" ref="F56" si="8">PRODUCT(C56:E56)</f>
        <v>4.3680000000000003</v>
      </c>
      <c r="G56" s="54">
        <f t="shared" ref="G56" si="9">F56</f>
        <v>4.3680000000000003</v>
      </c>
      <c r="H56" s="55"/>
      <c r="I56" s="55"/>
      <c r="J56" s="55"/>
      <c r="K56" s="35"/>
    </row>
    <row r="57" spans="1:11" s="13" customFormat="1" x14ac:dyDescent="0.25">
      <c r="A57" s="23"/>
      <c r="B57" s="52" t="s">
        <v>80</v>
      </c>
      <c r="C57" s="53">
        <f>14*2</f>
        <v>28</v>
      </c>
      <c r="D57" s="54">
        <v>0.9</v>
      </c>
      <c r="E57" s="54">
        <v>0.78</v>
      </c>
      <c r="F57" s="54">
        <f t="shared" si="4"/>
        <v>19.655999999999999</v>
      </c>
      <c r="G57" s="54">
        <f t="shared" si="5"/>
        <v>19.655999999999999</v>
      </c>
      <c r="H57" s="55"/>
      <c r="I57" s="55"/>
      <c r="J57" s="55"/>
      <c r="K57" s="35"/>
    </row>
    <row r="58" spans="1:11" s="13" customFormat="1" x14ac:dyDescent="0.25">
      <c r="A58" s="23"/>
      <c r="B58" s="52"/>
      <c r="C58" s="53">
        <f>14*2</f>
        <v>28</v>
      </c>
      <c r="D58" s="54">
        <v>0.15</v>
      </c>
      <c r="E58" s="54">
        <v>0.78</v>
      </c>
      <c r="F58" s="54">
        <f t="shared" ref="F58" si="10">PRODUCT(C58:E58)</f>
        <v>3.2760000000000002</v>
      </c>
      <c r="G58" s="54">
        <f t="shared" ref="G58" si="11">F58</f>
        <v>3.2760000000000002</v>
      </c>
      <c r="H58" s="55"/>
      <c r="I58" s="55"/>
      <c r="J58" s="55"/>
      <c r="K58" s="35"/>
    </row>
    <row r="59" spans="1:11" s="13" customFormat="1" x14ac:dyDescent="0.25">
      <c r="A59" s="23"/>
      <c r="B59" s="56" t="s">
        <v>87</v>
      </c>
      <c r="C59" s="53"/>
      <c r="D59" s="54"/>
      <c r="E59" s="54"/>
      <c r="F59" s="54"/>
      <c r="G59" s="54"/>
      <c r="H59" s="55"/>
      <c r="I59" s="55"/>
      <c r="J59" s="55"/>
      <c r="K59" s="35"/>
    </row>
    <row r="60" spans="1:11" ht="30" x14ac:dyDescent="0.25">
      <c r="A60" s="11"/>
      <c r="B60" s="49" t="s">
        <v>88</v>
      </c>
      <c r="C60" s="57">
        <v>5</v>
      </c>
      <c r="D60" s="26">
        <v>0.9</v>
      </c>
      <c r="E60" s="26">
        <v>2.4300000000000002</v>
      </c>
      <c r="F60" s="26">
        <f t="shared" ref="F60" si="12">PRODUCT(C60:E60)</f>
        <v>10.935</v>
      </c>
      <c r="G60" s="26">
        <f t="shared" ref="G60" si="13">F60</f>
        <v>10.935</v>
      </c>
      <c r="H60" s="14"/>
      <c r="I60" s="14"/>
      <c r="J60" s="14"/>
      <c r="K60" s="14"/>
    </row>
    <row r="61" spans="1:11" x14ac:dyDescent="0.25">
      <c r="A61" s="11"/>
      <c r="B61" s="49"/>
      <c r="C61" s="57">
        <f>3*2</f>
        <v>6</v>
      </c>
      <c r="D61" s="26">
        <v>0.9</v>
      </c>
      <c r="E61" s="26">
        <v>2.4300000000000002</v>
      </c>
      <c r="F61" s="26">
        <f t="shared" ref="F61" si="14">PRODUCT(C61:E61)</f>
        <v>13.122000000000002</v>
      </c>
      <c r="G61" s="26">
        <f t="shared" ref="G61" si="15">F61</f>
        <v>13.122000000000002</v>
      </c>
      <c r="H61" s="14"/>
      <c r="I61" s="14"/>
      <c r="J61" s="14"/>
      <c r="K61" s="14"/>
    </row>
    <row r="62" spans="1:11" x14ac:dyDescent="0.25">
      <c r="A62" s="11"/>
      <c r="B62" s="49"/>
      <c r="C62" s="57">
        <v>1</v>
      </c>
      <c r="D62" s="26">
        <f>30/3.281</f>
        <v>9.1435537945748244</v>
      </c>
      <c r="E62" s="26">
        <v>2.4300000000000002</v>
      </c>
      <c r="F62" s="26">
        <f t="shared" ref="F62:F64" si="16">PRODUCT(C62:E62)</f>
        <v>22.218835720816823</v>
      </c>
      <c r="G62" s="26">
        <f t="shared" ref="G62:G64" si="17">F62</f>
        <v>22.218835720816823</v>
      </c>
      <c r="H62" s="14"/>
      <c r="I62" s="14"/>
      <c r="J62" s="14"/>
      <c r="K62" s="14"/>
    </row>
    <row r="63" spans="1:11" x14ac:dyDescent="0.25">
      <c r="A63" s="11"/>
      <c r="B63" s="49"/>
      <c r="C63" s="57">
        <v>2</v>
      </c>
      <c r="D63" s="26">
        <f>12.17/3.281</f>
        <v>3.7092349893325203</v>
      </c>
      <c r="E63" s="26">
        <v>2.4300000000000002</v>
      </c>
      <c r="F63" s="26">
        <f t="shared" si="16"/>
        <v>18.02688204815605</v>
      </c>
      <c r="G63" s="26">
        <f t="shared" si="17"/>
        <v>18.02688204815605</v>
      </c>
      <c r="H63" s="14"/>
      <c r="I63" s="14"/>
      <c r="J63" s="14"/>
      <c r="K63" s="14"/>
    </row>
    <row r="64" spans="1:11" ht="30" x14ac:dyDescent="0.25">
      <c r="A64" s="11"/>
      <c r="B64" s="49" t="s">
        <v>89</v>
      </c>
      <c r="C64" s="57">
        <f>C62*2</f>
        <v>2</v>
      </c>
      <c r="D64" s="26">
        <f>D62-C60*0.075</f>
        <v>8.7685537945748244</v>
      </c>
      <c r="E64" s="26">
        <v>1.18</v>
      </c>
      <c r="F64" s="26">
        <f t="shared" si="16"/>
        <v>20.693786955196586</v>
      </c>
      <c r="G64" s="26">
        <f t="shared" si="17"/>
        <v>20.693786955196586</v>
      </c>
      <c r="H64" s="14"/>
      <c r="I64" s="14"/>
      <c r="J64" s="14"/>
      <c r="K64" s="14"/>
    </row>
    <row r="65" spans="1:11" x14ac:dyDescent="0.25">
      <c r="A65" s="11"/>
      <c r="B65" s="49"/>
      <c r="C65" s="57">
        <f>C63*2</f>
        <v>4</v>
      </c>
      <c r="D65" s="26">
        <f>D63-C61*0.075</f>
        <v>3.2592349893325201</v>
      </c>
      <c r="E65" s="26">
        <v>1.18</v>
      </c>
      <c r="F65" s="26">
        <f t="shared" ref="F65" si="18">PRODUCT(C65:E65)</f>
        <v>15.383589149649493</v>
      </c>
      <c r="G65" s="26">
        <f t="shared" ref="G65" si="19">F65</f>
        <v>15.383589149649493</v>
      </c>
      <c r="H65" s="14"/>
      <c r="I65" s="14"/>
      <c r="J65" s="14"/>
      <c r="K65" s="14"/>
    </row>
    <row r="66" spans="1:11" s="10" customFormat="1" ht="15" customHeight="1" x14ac:dyDescent="0.25">
      <c r="A66" s="16"/>
      <c r="B66" s="17" t="s">
        <v>16</v>
      </c>
      <c r="C66" s="18"/>
      <c r="D66" s="1"/>
      <c r="E66" s="19"/>
      <c r="F66" s="19"/>
      <c r="G66" s="2">
        <f>SUM(G37:G65)</f>
        <v>1297.1697458092044</v>
      </c>
      <c r="H66" s="20" t="s">
        <v>37</v>
      </c>
      <c r="I66" s="2">
        <f>1.15*182.51</f>
        <v>209.88649999999998</v>
      </c>
      <c r="J66" s="21">
        <f>G66*I66</f>
        <v>272258.41785378358</v>
      </c>
      <c r="K66" s="19"/>
    </row>
    <row r="67" spans="1:11" s="10" customFormat="1" ht="15" customHeight="1" x14ac:dyDescent="0.25">
      <c r="A67" s="16"/>
      <c r="B67" s="17"/>
      <c r="C67" s="18"/>
      <c r="D67" s="1"/>
      <c r="E67" s="19"/>
      <c r="F67" s="19"/>
      <c r="G67" s="2"/>
      <c r="H67" s="20"/>
      <c r="I67" s="2"/>
      <c r="J67" s="21"/>
      <c r="K67" s="19"/>
    </row>
    <row r="68" spans="1:11" s="10" customFormat="1" ht="45" x14ac:dyDescent="0.25">
      <c r="A68" s="23">
        <v>7</v>
      </c>
      <c r="B68" s="27" t="s">
        <v>60</v>
      </c>
      <c r="C68" s="27"/>
      <c r="D68" s="26"/>
      <c r="E68" s="26"/>
      <c r="F68" s="26"/>
      <c r="G68" s="26"/>
      <c r="H68" s="25"/>
      <c r="I68" s="25"/>
      <c r="J68" s="21"/>
      <c r="K68" s="25"/>
    </row>
    <row r="69" spans="1:11" x14ac:dyDescent="0.25">
      <c r="A69" s="11"/>
      <c r="B69" s="15" t="s">
        <v>62</v>
      </c>
      <c r="C69" s="3">
        <v>2</v>
      </c>
      <c r="D69" s="3">
        <f>10.17/3.281</f>
        <v>3.0996647363608654</v>
      </c>
      <c r="E69" s="3">
        <f>34/3.281</f>
        <v>10.362694300518134</v>
      </c>
      <c r="F69" s="3"/>
      <c r="G69" s="3">
        <f>PRODUCT(C69:F69)</f>
        <v>64.241756194007564</v>
      </c>
      <c r="H69" s="14"/>
      <c r="I69" s="14"/>
      <c r="J69" s="14"/>
      <c r="K69" s="14"/>
    </row>
    <row r="70" spans="1:11" s="10" customFormat="1" ht="15" customHeight="1" x14ac:dyDescent="0.25">
      <c r="A70" s="16"/>
      <c r="B70" s="17" t="s">
        <v>16</v>
      </c>
      <c r="C70" s="18"/>
      <c r="D70" s="1"/>
      <c r="E70" s="19"/>
      <c r="F70" s="19"/>
      <c r="G70" s="2">
        <f>SUM(G69:G69)</f>
        <v>64.241756194007564</v>
      </c>
      <c r="H70" s="20" t="s">
        <v>25</v>
      </c>
      <c r="I70" s="2">
        <v>1890.42</v>
      </c>
      <c r="J70" s="21">
        <f>G70*I70</f>
        <v>121443.90074427579</v>
      </c>
      <c r="K70" s="19"/>
    </row>
    <row r="71" spans="1:11" s="10" customFormat="1" x14ac:dyDescent="0.25">
      <c r="A71" s="23"/>
      <c r="B71" s="24"/>
      <c r="C71" s="25"/>
      <c r="D71" s="26"/>
      <c r="E71" s="26"/>
      <c r="F71" s="26"/>
      <c r="G71" s="26"/>
      <c r="H71" s="25"/>
      <c r="I71" s="25"/>
      <c r="J71" s="21"/>
      <c r="K71" s="25"/>
    </row>
    <row r="72" spans="1:11" s="10" customFormat="1" ht="69" x14ac:dyDescent="0.25">
      <c r="A72" s="23">
        <v>8</v>
      </c>
      <c r="B72" s="27" t="s">
        <v>61</v>
      </c>
      <c r="C72" s="27"/>
      <c r="D72" s="26"/>
      <c r="E72" s="26"/>
      <c r="F72" s="26"/>
      <c r="G72" s="26"/>
      <c r="H72" s="25"/>
      <c r="I72" s="25"/>
      <c r="J72" s="21"/>
      <c r="K72" s="25"/>
    </row>
    <row r="73" spans="1:11" x14ac:dyDescent="0.25">
      <c r="A73" s="11"/>
      <c r="B73" s="15" t="str">
        <f>B69</f>
        <v>-for roof</v>
      </c>
      <c r="C73" s="3">
        <v>1</v>
      </c>
      <c r="D73" s="3">
        <f>E69</f>
        <v>10.362694300518134</v>
      </c>
      <c r="E73" s="3"/>
      <c r="F73" s="3"/>
      <c r="G73" s="3">
        <f>PRODUCT(C73:F73)</f>
        <v>10.362694300518134</v>
      </c>
      <c r="H73" s="14"/>
      <c r="I73" s="14"/>
      <c r="J73" s="14"/>
      <c r="K73" s="14"/>
    </row>
    <row r="74" spans="1:11" s="10" customFormat="1" ht="15" customHeight="1" x14ac:dyDescent="0.25">
      <c r="A74" s="16"/>
      <c r="B74" s="17" t="s">
        <v>16</v>
      </c>
      <c r="C74" s="18"/>
      <c r="D74" s="1"/>
      <c r="E74" s="19"/>
      <c r="F74" s="19"/>
      <c r="G74" s="2">
        <f>SUM(G73:G73)</f>
        <v>10.362694300518134</v>
      </c>
      <c r="H74" s="20" t="s">
        <v>63</v>
      </c>
      <c r="I74" s="2">
        <v>2771.25</v>
      </c>
      <c r="J74" s="21">
        <f>G74*I74</f>
        <v>28717.616580310878</v>
      </c>
      <c r="K74" s="19"/>
    </row>
    <row r="75" spans="1:11" s="10" customFormat="1" x14ac:dyDescent="0.25">
      <c r="A75" s="23"/>
      <c r="B75" s="24"/>
      <c r="C75" s="25"/>
      <c r="D75" s="26"/>
      <c r="E75" s="26"/>
      <c r="F75" s="26"/>
      <c r="G75" s="26"/>
      <c r="H75" s="25"/>
      <c r="I75" s="25"/>
      <c r="J75" s="21"/>
      <c r="K75" s="25"/>
    </row>
    <row r="76" spans="1:11" s="10" customFormat="1" ht="56.45" customHeight="1" x14ac:dyDescent="0.25">
      <c r="A76" s="23">
        <v>9</v>
      </c>
      <c r="B76" s="50" t="s">
        <v>64</v>
      </c>
      <c r="C76" s="50"/>
      <c r="D76" s="26"/>
      <c r="E76" s="26"/>
      <c r="F76" s="26"/>
      <c r="G76" s="26"/>
      <c r="H76" s="25"/>
      <c r="I76" s="25"/>
      <c r="J76" s="21"/>
      <c r="K76" s="25"/>
    </row>
    <row r="77" spans="1:11" x14ac:dyDescent="0.25">
      <c r="A77" s="11"/>
      <c r="B77" s="15" t="s">
        <v>65</v>
      </c>
      <c r="C77" s="3">
        <v>1</v>
      </c>
      <c r="D77" s="3">
        <f>28.5/3.281</f>
        <v>8.686376104846083</v>
      </c>
      <c r="E77" s="3">
        <f>13.5/3.281</f>
        <v>4.1145992075586708</v>
      </c>
      <c r="F77" s="3"/>
      <c r="G77" s="3">
        <f>PRODUCT(C77:F77)</f>
        <v>35.740956237556269</v>
      </c>
      <c r="H77" s="14"/>
      <c r="I77" s="14"/>
      <c r="J77" s="14"/>
      <c r="K77" s="14"/>
    </row>
    <row r="78" spans="1:11" s="10" customFormat="1" ht="15" customHeight="1" x14ac:dyDescent="0.25">
      <c r="A78" s="16"/>
      <c r="B78" s="17" t="s">
        <v>16</v>
      </c>
      <c r="C78" s="18"/>
      <c r="D78" s="1"/>
      <c r="E78" s="19"/>
      <c r="F78" s="19"/>
      <c r="G78" s="2">
        <f>SUM(G77:G77)</f>
        <v>35.740956237556269</v>
      </c>
      <c r="H78" s="20" t="s">
        <v>25</v>
      </c>
      <c r="I78" s="2">
        <v>1422.19</v>
      </c>
      <c r="J78" s="21">
        <f>G78*I78</f>
        <v>50830.43055149015</v>
      </c>
      <c r="K78" s="19"/>
    </row>
    <row r="79" spans="1:11" s="10" customFormat="1" x14ac:dyDescent="0.25">
      <c r="A79" s="23"/>
      <c r="B79" s="24"/>
      <c r="C79" s="25"/>
      <c r="D79" s="26"/>
      <c r="E79" s="26"/>
      <c r="F79" s="26"/>
      <c r="G79" s="26"/>
      <c r="H79" s="25"/>
      <c r="I79" s="25"/>
      <c r="J79" s="21"/>
      <c r="K79" s="25"/>
    </row>
    <row r="80" spans="1:11" ht="30" x14ac:dyDescent="0.25">
      <c r="A80" s="11">
        <v>10</v>
      </c>
      <c r="B80" s="27" t="s">
        <v>71</v>
      </c>
      <c r="C80" s="14"/>
      <c r="D80" s="14"/>
      <c r="E80" s="14"/>
      <c r="F80" s="14"/>
      <c r="G80" s="14"/>
      <c r="H80" s="14"/>
      <c r="I80" s="14"/>
      <c r="J80" s="14"/>
      <c r="K80" s="14"/>
    </row>
    <row r="81" spans="1:11" x14ac:dyDescent="0.25">
      <c r="A81" s="11"/>
      <c r="B81" s="15" t="s">
        <v>68</v>
      </c>
      <c r="C81" s="3">
        <v>2</v>
      </c>
      <c r="D81" s="3">
        <f>(13/3.281)</f>
        <v>3.9622066443157573</v>
      </c>
      <c r="E81" s="3">
        <v>0.23</v>
      </c>
      <c r="F81" s="3">
        <f>F33</f>
        <v>0.9</v>
      </c>
      <c r="G81" s="3">
        <f>PRODUCT(C81:F81)</f>
        <v>1.6403535507467235</v>
      </c>
      <c r="H81" s="14"/>
      <c r="I81" s="14"/>
      <c r="J81" s="14"/>
      <c r="K81" s="14"/>
    </row>
    <row r="82" spans="1:11" x14ac:dyDescent="0.25">
      <c r="A82" s="11"/>
      <c r="B82" s="15"/>
      <c r="C82" s="3">
        <f>C81</f>
        <v>2</v>
      </c>
      <c r="D82" s="3">
        <f>(13.75/3.281)</f>
        <v>4.190795489180128</v>
      </c>
      <c r="E82" s="3">
        <v>0.23</v>
      </c>
      <c r="F82" s="3">
        <f>1.8</f>
        <v>1.8</v>
      </c>
      <c r="G82" s="3">
        <f>PRODUCT(C82:F82)</f>
        <v>3.4699786650411459</v>
      </c>
      <c r="H82" s="14"/>
      <c r="I82" s="14"/>
      <c r="J82" s="14"/>
      <c r="K82" s="14"/>
    </row>
    <row r="83" spans="1:11" x14ac:dyDescent="0.25">
      <c r="A83" s="11"/>
      <c r="B83" s="15"/>
      <c r="C83" s="3">
        <v>4</v>
      </c>
      <c r="D83" s="3">
        <f>13.5/3.281</f>
        <v>4.1145992075586708</v>
      </c>
      <c r="E83" s="3">
        <v>0.23</v>
      </c>
      <c r="F83" s="3">
        <v>0.9</v>
      </c>
      <c r="G83" s="3">
        <f>PRODUCT(C83:F83)</f>
        <v>3.4068881438585796</v>
      </c>
      <c r="H83" s="14"/>
      <c r="I83" s="14"/>
      <c r="J83" s="14"/>
      <c r="K83" s="14"/>
    </row>
    <row r="84" spans="1:11" x14ac:dyDescent="0.25">
      <c r="A84" s="11"/>
      <c r="B84" s="15"/>
      <c r="C84" s="3">
        <f>C83</f>
        <v>4</v>
      </c>
      <c r="D84" s="3">
        <f>14.25/3.281</f>
        <v>4.3431880524230415</v>
      </c>
      <c r="E84" s="3">
        <v>0.23</v>
      </c>
      <c r="F84" s="3">
        <f>F82</f>
        <v>1.8</v>
      </c>
      <c r="G84" s="3">
        <f>PRODUCT(C84:F84)</f>
        <v>7.1923194148125571</v>
      </c>
      <c r="H84" s="14"/>
      <c r="I84" s="14"/>
      <c r="J84" s="14"/>
      <c r="K84" s="14"/>
    </row>
    <row r="85" spans="1:11" x14ac:dyDescent="0.25">
      <c r="A85" s="11"/>
      <c r="B85" s="15" t="s">
        <v>66</v>
      </c>
      <c r="C85" s="3">
        <v>-2</v>
      </c>
      <c r="D85" s="3">
        <v>1.8</v>
      </c>
      <c r="E85" s="3">
        <v>0.23</v>
      </c>
      <c r="F85" s="3">
        <v>1.2</v>
      </c>
      <c r="G85" s="3">
        <f t="shared" ref="G85:G86" si="20">PRODUCT(C85:F85)</f>
        <v>-0.99360000000000004</v>
      </c>
      <c r="H85" s="14"/>
      <c r="I85" s="14"/>
      <c r="J85" s="14"/>
      <c r="K85" s="14"/>
    </row>
    <row r="86" spans="1:11" x14ac:dyDescent="0.25">
      <c r="A86" s="11"/>
      <c r="B86" s="15"/>
      <c r="C86" s="3">
        <v>-2</v>
      </c>
      <c r="D86" s="3">
        <v>1.2</v>
      </c>
      <c r="E86" s="3">
        <v>0.23</v>
      </c>
      <c r="F86" s="3">
        <v>1.2</v>
      </c>
      <c r="G86" s="3">
        <f t="shared" si="20"/>
        <v>-0.66239999999999999</v>
      </c>
      <c r="H86" s="14"/>
      <c r="I86" s="14"/>
      <c r="J86" s="14"/>
      <c r="K86" s="14"/>
    </row>
    <row r="87" spans="1:11" x14ac:dyDescent="0.25">
      <c r="A87" s="11"/>
      <c r="B87" s="15" t="s">
        <v>67</v>
      </c>
      <c r="C87" s="3">
        <v>-1</v>
      </c>
      <c r="D87" s="3">
        <v>1.2</v>
      </c>
      <c r="E87" s="3">
        <v>0.23</v>
      </c>
      <c r="F87" s="3">
        <v>2.1</v>
      </c>
      <c r="G87" s="3">
        <f t="shared" ref="G87" si="21">PRODUCT(C87:F87)</f>
        <v>-0.57960000000000012</v>
      </c>
      <c r="H87" s="14"/>
      <c r="I87" s="14"/>
      <c r="J87" s="14"/>
      <c r="K87" s="14"/>
    </row>
    <row r="88" spans="1:11" s="10" customFormat="1" ht="15" customHeight="1" x14ac:dyDescent="0.25">
      <c r="A88" s="16"/>
      <c r="B88" s="17" t="s">
        <v>16</v>
      </c>
      <c r="C88" s="18"/>
      <c r="D88" s="1"/>
      <c r="E88" s="19"/>
      <c r="F88" s="19"/>
      <c r="G88" s="2">
        <f>SUM(G81:G87)</f>
        <v>13.473939774459005</v>
      </c>
      <c r="H88" s="20" t="s">
        <v>22</v>
      </c>
      <c r="I88" s="2">
        <f>1.15*14491.84</f>
        <v>16665.615999999998</v>
      </c>
      <c r="J88" s="21">
        <f>G88*I88</f>
        <v>224551.50628826037</v>
      </c>
      <c r="K88" s="19"/>
    </row>
    <row r="89" spans="1:11" s="10" customFormat="1" x14ac:dyDescent="0.25">
      <c r="A89" s="23"/>
      <c r="B89" s="24"/>
      <c r="C89" s="25"/>
      <c r="D89" s="26"/>
      <c r="E89" s="26"/>
      <c r="F89" s="26"/>
      <c r="G89" s="26"/>
      <c r="H89" s="25"/>
      <c r="I89" s="25"/>
      <c r="J89" s="21"/>
      <c r="K89" s="25"/>
    </row>
    <row r="90" spans="1:11" ht="30" x14ac:dyDescent="0.25">
      <c r="A90" s="11">
        <v>11</v>
      </c>
      <c r="B90" s="27" t="s">
        <v>26</v>
      </c>
      <c r="C90" s="14"/>
      <c r="D90" s="14"/>
      <c r="E90" s="14"/>
      <c r="F90" s="14"/>
      <c r="G90" s="14"/>
      <c r="H90" s="14"/>
      <c r="I90" s="14"/>
      <c r="J90" s="14"/>
      <c r="K90" s="14"/>
    </row>
    <row r="91" spans="1:11" x14ac:dyDescent="0.25">
      <c r="A91" s="11"/>
      <c r="B91" s="15" t="s">
        <v>69</v>
      </c>
      <c r="C91" s="51">
        <v>1</v>
      </c>
      <c r="D91" s="3">
        <f>(30*2+15*2)/3.281</f>
        <v>27.430661383724473</v>
      </c>
      <c r="E91" s="14"/>
      <c r="F91" s="3">
        <f>9/3.281</f>
        <v>2.7430661383724475</v>
      </c>
      <c r="G91" s="3">
        <f t="shared" ref="G91:G95" si="22">PRODUCT(C91:F91)</f>
        <v>75.244118394855306</v>
      </c>
      <c r="H91" s="14"/>
      <c r="I91" s="14"/>
      <c r="J91" s="14"/>
      <c r="K91" s="14"/>
    </row>
    <row r="92" spans="1:11" x14ac:dyDescent="0.25">
      <c r="A92" s="11"/>
      <c r="B92" s="15" t="str">
        <f>B85</f>
        <v>-deduction for window</v>
      </c>
      <c r="C92" s="51">
        <f>C85</f>
        <v>-2</v>
      </c>
      <c r="D92" s="3">
        <f>D85</f>
        <v>1.8</v>
      </c>
      <c r="E92" s="3"/>
      <c r="F92" s="3">
        <f>F85</f>
        <v>1.2</v>
      </c>
      <c r="G92" s="3">
        <f>PRODUCT(C92:F92)</f>
        <v>-4.32</v>
      </c>
      <c r="H92" s="14"/>
      <c r="I92" s="14"/>
      <c r="J92" s="14"/>
      <c r="K92" s="14"/>
    </row>
    <row r="93" spans="1:11" x14ac:dyDescent="0.25">
      <c r="A93" s="11"/>
      <c r="B93" s="15"/>
      <c r="C93" s="51">
        <f>C86</f>
        <v>-2</v>
      </c>
      <c r="D93" s="3">
        <f>D86</f>
        <v>1.2</v>
      </c>
      <c r="E93" s="3"/>
      <c r="F93" s="3">
        <f>F86</f>
        <v>1.2</v>
      </c>
      <c r="G93" s="3">
        <f>PRODUCT(C93:F93)</f>
        <v>-2.88</v>
      </c>
      <c r="H93" s="14"/>
      <c r="I93" s="14"/>
      <c r="J93" s="14"/>
      <c r="K93" s="14"/>
    </row>
    <row r="94" spans="1:11" x14ac:dyDescent="0.25">
      <c r="A94" s="11"/>
      <c r="B94" s="15" t="str">
        <f>B87</f>
        <v>-deduction for door</v>
      </c>
      <c r="C94" s="51">
        <f>C87</f>
        <v>-1</v>
      </c>
      <c r="D94" s="3">
        <f>D87</f>
        <v>1.2</v>
      </c>
      <c r="E94" s="3"/>
      <c r="F94" s="3">
        <f>F87</f>
        <v>2.1</v>
      </c>
      <c r="G94" s="3">
        <f>PRODUCT(C94:F94)</f>
        <v>-2.52</v>
      </c>
      <c r="H94" s="14"/>
      <c r="I94" s="14"/>
      <c r="J94" s="14"/>
      <c r="K94" s="14"/>
    </row>
    <row r="95" spans="1:11" x14ac:dyDescent="0.25">
      <c r="A95" s="11"/>
      <c r="B95" s="15" t="s">
        <v>70</v>
      </c>
      <c r="C95" s="51">
        <v>1</v>
      </c>
      <c r="D95" s="3">
        <f>(28.5*2+13.5*2)/3.281</f>
        <v>25.601950624809508</v>
      </c>
      <c r="E95" s="14"/>
      <c r="F95" s="3">
        <f>9/3.281</f>
        <v>2.7430661383724475</v>
      </c>
      <c r="G95" s="3">
        <f t="shared" si="22"/>
        <v>70.227843835198286</v>
      </c>
      <c r="H95" s="14"/>
      <c r="I95" s="14"/>
      <c r="J95" s="14"/>
      <c r="K95" s="14"/>
    </row>
    <row r="96" spans="1:11" x14ac:dyDescent="0.25">
      <c r="A96" s="11"/>
      <c r="B96" s="15" t="str">
        <f>B85</f>
        <v>-deduction for window</v>
      </c>
      <c r="C96" s="51">
        <f>C85</f>
        <v>-2</v>
      </c>
      <c r="D96" s="3">
        <f>D85</f>
        <v>1.8</v>
      </c>
      <c r="E96" s="3"/>
      <c r="F96" s="3">
        <f>F85</f>
        <v>1.2</v>
      </c>
      <c r="G96" s="3">
        <f>PRODUCT(C96:F96)</f>
        <v>-4.32</v>
      </c>
      <c r="H96" s="14"/>
      <c r="I96" s="14"/>
      <c r="J96" s="14"/>
      <c r="K96" s="14"/>
    </row>
    <row r="97" spans="1:11" x14ac:dyDescent="0.25">
      <c r="A97" s="11"/>
      <c r="B97" s="15"/>
      <c r="C97" s="51">
        <f>C86</f>
        <v>-2</v>
      </c>
      <c r="D97" s="3">
        <f>D86</f>
        <v>1.2</v>
      </c>
      <c r="E97" s="3"/>
      <c r="F97" s="3">
        <f>F86</f>
        <v>1.2</v>
      </c>
      <c r="G97" s="3">
        <f>PRODUCT(C97:F97)</f>
        <v>-2.88</v>
      </c>
      <c r="H97" s="14"/>
      <c r="I97" s="14"/>
      <c r="J97" s="14"/>
      <c r="K97" s="14"/>
    </row>
    <row r="98" spans="1:11" x14ac:dyDescent="0.25">
      <c r="A98" s="11"/>
      <c r="B98" s="15" t="str">
        <f>B87</f>
        <v>-deduction for door</v>
      </c>
      <c r="C98" s="51">
        <f>C87</f>
        <v>-1</v>
      </c>
      <c r="D98" s="3">
        <f>D87</f>
        <v>1.2</v>
      </c>
      <c r="E98" s="3"/>
      <c r="F98" s="3">
        <f>F87</f>
        <v>2.1</v>
      </c>
      <c r="G98" s="3">
        <f>PRODUCT(C98:F98)</f>
        <v>-2.52</v>
      </c>
      <c r="H98" s="14"/>
      <c r="I98" s="14"/>
      <c r="J98" s="14"/>
      <c r="K98" s="14"/>
    </row>
    <row r="99" spans="1:11" x14ac:dyDescent="0.25">
      <c r="A99" s="11"/>
      <c r="B99" s="15" t="s">
        <v>72</v>
      </c>
      <c r="C99" s="51">
        <v>-1</v>
      </c>
      <c r="D99" s="3">
        <f>((28.33*2+13.33*2)/3.281)-1.2</f>
        <v>24.194696738799145</v>
      </c>
      <c r="E99" s="3"/>
      <c r="F99" s="3">
        <v>0.9</v>
      </c>
      <c r="G99" s="3">
        <f>PRODUCT(C99:F99)</f>
        <v>-21.775227064919232</v>
      </c>
      <c r="H99" s="14"/>
      <c r="I99" s="14"/>
      <c r="J99" s="14"/>
      <c r="K99" s="14"/>
    </row>
    <row r="100" spans="1:11" s="10" customFormat="1" ht="15" customHeight="1" x14ac:dyDescent="0.25">
      <c r="A100" s="16"/>
      <c r="B100" s="17" t="s">
        <v>16</v>
      </c>
      <c r="C100" s="18"/>
      <c r="D100" s="1"/>
      <c r="E100" s="19"/>
      <c r="F100" s="19"/>
      <c r="G100" s="2">
        <f>SUM(G91:G99)</f>
        <v>104.25673516513439</v>
      </c>
      <c r="H100" s="20" t="s">
        <v>25</v>
      </c>
      <c r="I100" s="2">
        <f>1.15*415.5</f>
        <v>477.82499999999999</v>
      </c>
      <c r="J100" s="21">
        <f>G100*I100</f>
        <v>49816.47448028034</v>
      </c>
      <c r="K100" s="19"/>
    </row>
    <row r="101" spans="1:11" s="10" customFormat="1" x14ac:dyDescent="0.25">
      <c r="A101" s="23"/>
      <c r="B101" s="24"/>
      <c r="C101" s="25"/>
      <c r="D101" s="26"/>
      <c r="E101" s="26"/>
      <c r="F101" s="26"/>
      <c r="G101" s="26"/>
      <c r="H101" s="25"/>
      <c r="I101" s="25"/>
      <c r="J101" s="21"/>
      <c r="K101" s="25"/>
    </row>
    <row r="102" spans="1:11" ht="30" x14ac:dyDescent="0.25">
      <c r="A102" s="11">
        <v>12</v>
      </c>
      <c r="B102" s="27" t="s">
        <v>27</v>
      </c>
      <c r="C102" s="14"/>
      <c r="D102" s="14"/>
      <c r="E102" s="14"/>
      <c r="F102" s="14"/>
      <c r="G102" s="14"/>
      <c r="H102" s="14"/>
      <c r="I102" s="14"/>
      <c r="J102" s="14"/>
      <c r="K102" s="14"/>
    </row>
    <row r="103" spans="1:11" x14ac:dyDescent="0.25">
      <c r="A103" s="11"/>
      <c r="B103" s="15" t="s">
        <v>74</v>
      </c>
      <c r="C103" s="3">
        <v>1</v>
      </c>
      <c r="D103" s="3">
        <f>SUM(G91:G94)</f>
        <v>65.524118394855307</v>
      </c>
      <c r="E103" s="3"/>
      <c r="F103" s="3"/>
      <c r="G103" s="3">
        <f>PRODUCT(C103:F103)</f>
        <v>65.524118394855307</v>
      </c>
      <c r="H103" s="14"/>
      <c r="I103" s="14"/>
      <c r="J103" s="14"/>
      <c r="K103" s="14"/>
    </row>
    <row r="104" spans="1:11" x14ac:dyDescent="0.25">
      <c r="A104" s="11"/>
      <c r="B104" s="15" t="s">
        <v>84</v>
      </c>
      <c r="C104" s="3">
        <v>1</v>
      </c>
      <c r="D104" s="3">
        <f>(30*2+15*2)/3.281</f>
        <v>27.430661383724473</v>
      </c>
      <c r="E104" s="3"/>
      <c r="F104" s="3">
        <f>8.583/3.281</f>
        <v>2.6159707406278572</v>
      </c>
      <c r="G104" s="3">
        <f>PRODUCT(C104:F104)</f>
        <v>71.757807575893665</v>
      </c>
      <c r="H104" s="14"/>
      <c r="I104" s="14"/>
      <c r="J104" s="14"/>
      <c r="K104" s="14"/>
    </row>
    <row r="105" spans="1:11" x14ac:dyDescent="0.25">
      <c r="A105" s="11"/>
      <c r="B105" s="15" t="s">
        <v>66</v>
      </c>
      <c r="C105" s="3">
        <v>-2</v>
      </c>
      <c r="D105" s="3">
        <v>1.8</v>
      </c>
      <c r="E105" s="3"/>
      <c r="F105" s="3">
        <v>1.2</v>
      </c>
      <c r="G105" s="3">
        <f t="shared" ref="G105:G109" si="23">PRODUCT(C105:F105)</f>
        <v>-4.32</v>
      </c>
      <c r="H105" s="14"/>
      <c r="I105" s="14"/>
      <c r="J105" s="14"/>
      <c r="K105" s="14"/>
    </row>
    <row r="106" spans="1:11" x14ac:dyDescent="0.25">
      <c r="A106" s="11"/>
      <c r="B106" s="15"/>
      <c r="C106" s="3">
        <v>-1</v>
      </c>
      <c r="D106" s="3">
        <v>1.2</v>
      </c>
      <c r="E106" s="3"/>
      <c r="F106" s="3">
        <v>1.2</v>
      </c>
      <c r="G106" s="3">
        <f t="shared" si="23"/>
        <v>-1.44</v>
      </c>
      <c r="H106" s="14"/>
      <c r="I106" s="14"/>
      <c r="J106" s="14"/>
      <c r="K106" s="14"/>
    </row>
    <row r="107" spans="1:11" x14ac:dyDescent="0.25">
      <c r="A107" s="11"/>
      <c r="B107" s="15" t="s">
        <v>67</v>
      </c>
      <c r="C107" s="3">
        <v>-1</v>
      </c>
      <c r="D107" s="3">
        <v>1.5</v>
      </c>
      <c r="E107" s="3"/>
      <c r="F107" s="3">
        <f>7.833/3.281</f>
        <v>2.3873818957634869</v>
      </c>
      <c r="G107" s="3">
        <f t="shared" si="23"/>
        <v>-3.5810728436452304</v>
      </c>
      <c r="H107" s="14"/>
      <c r="I107" s="14"/>
      <c r="J107" s="14"/>
      <c r="K107" s="14"/>
    </row>
    <row r="108" spans="1:11" x14ac:dyDescent="0.25">
      <c r="A108" s="11"/>
      <c r="B108" s="15"/>
      <c r="C108" s="3">
        <v>-1</v>
      </c>
      <c r="D108" s="3">
        <v>1.2</v>
      </c>
      <c r="E108" s="3"/>
      <c r="F108" s="3">
        <f>7.833/3.281</f>
        <v>2.3873818957634869</v>
      </c>
      <c r="G108" s="3">
        <f t="shared" si="23"/>
        <v>-2.8648582749161844</v>
      </c>
      <c r="H108" s="14"/>
      <c r="I108" s="14"/>
      <c r="J108" s="14"/>
      <c r="K108" s="14"/>
    </row>
    <row r="109" spans="1:11" x14ac:dyDescent="0.25">
      <c r="A109" s="11"/>
      <c r="B109" s="15" t="s">
        <v>85</v>
      </c>
      <c r="C109" s="3">
        <v>2</v>
      </c>
      <c r="D109" s="3">
        <f>(5.75*2)/3.281</f>
        <v>3.5050289545870159</v>
      </c>
      <c r="E109" s="3"/>
      <c r="F109" s="3">
        <v>1.8</v>
      </c>
      <c r="G109" s="3">
        <f t="shared" si="23"/>
        <v>12.618104236513258</v>
      </c>
      <c r="H109" s="14"/>
      <c r="I109" s="14"/>
      <c r="J109" s="14"/>
      <c r="K109" s="14"/>
    </row>
    <row r="110" spans="1:11" x14ac:dyDescent="0.25">
      <c r="A110" s="11"/>
      <c r="B110" s="15" t="s">
        <v>67</v>
      </c>
      <c r="C110" s="3">
        <v>-1</v>
      </c>
      <c r="D110" s="3">
        <v>0.75</v>
      </c>
      <c r="E110" s="3"/>
      <c r="F110" s="3">
        <v>1.8</v>
      </c>
      <c r="G110" s="3">
        <f>PRODUCT(C110:F110)</f>
        <v>-1.35</v>
      </c>
      <c r="H110" s="14"/>
      <c r="I110" s="14"/>
      <c r="J110" s="14"/>
      <c r="K110" s="14"/>
    </row>
    <row r="111" spans="1:11" x14ac:dyDescent="0.25">
      <c r="A111" s="11"/>
      <c r="B111" s="15" t="s">
        <v>90</v>
      </c>
      <c r="C111" s="3">
        <v>1</v>
      </c>
      <c r="D111" s="3">
        <f>((30+2+2)*2+(15+2.5+2)*2)/3.281</f>
        <v>32.612008533983541</v>
      </c>
      <c r="E111" s="3"/>
      <c r="F111" s="3">
        <v>0.125</v>
      </c>
      <c r="G111" s="3">
        <f>PRODUCT(C111:F111)</f>
        <v>4.0765010667479427</v>
      </c>
      <c r="H111" s="14"/>
      <c r="I111" s="14"/>
      <c r="J111" s="14"/>
      <c r="K111" s="14"/>
    </row>
    <row r="112" spans="1:11" x14ac:dyDescent="0.25">
      <c r="A112" s="11"/>
      <c r="B112" s="15"/>
      <c r="C112" s="3">
        <v>1</v>
      </c>
      <c r="D112" s="3">
        <f>(7*2+(6.5+1.5+0.75))/3.281</f>
        <v>6.9338616275525755</v>
      </c>
      <c r="E112" s="3"/>
      <c r="F112" s="3">
        <v>0.1</v>
      </c>
      <c r="G112" s="3">
        <f>PRODUCT(C112:F112)</f>
        <v>0.69338616275525755</v>
      </c>
      <c r="H112" s="14"/>
      <c r="I112" s="14"/>
      <c r="J112" s="14"/>
      <c r="K112" s="14"/>
    </row>
    <row r="113" spans="1:11" s="10" customFormat="1" ht="15" customHeight="1" x14ac:dyDescent="0.25">
      <c r="A113" s="16"/>
      <c r="B113" s="17" t="s">
        <v>16</v>
      </c>
      <c r="C113" s="18"/>
      <c r="D113" s="1"/>
      <c r="E113" s="19"/>
      <c r="F113" s="19"/>
      <c r="G113" s="2">
        <f>SUM(G103:G112)</f>
        <v>141.11398631820401</v>
      </c>
      <c r="H113" s="20" t="s">
        <v>25</v>
      </c>
      <c r="I113" s="2">
        <f>1.15*253.8</f>
        <v>291.87</v>
      </c>
      <c r="J113" s="21">
        <f>G113*I113</f>
        <v>41186.939186694202</v>
      </c>
      <c r="K113" s="19"/>
    </row>
    <row r="114" spans="1:11" s="10" customFormat="1" x14ac:dyDescent="0.25">
      <c r="A114" s="23"/>
      <c r="B114" s="24"/>
      <c r="C114" s="25"/>
      <c r="D114" s="26"/>
      <c r="E114" s="26"/>
      <c r="F114" s="26"/>
      <c r="G114" s="26"/>
      <c r="H114" s="25"/>
      <c r="I114" s="25"/>
      <c r="J114" s="21"/>
      <c r="K114" s="25"/>
    </row>
    <row r="115" spans="1:11" ht="45" x14ac:dyDescent="0.25">
      <c r="A115" s="11">
        <v>13</v>
      </c>
      <c r="B115" s="27" t="s">
        <v>73</v>
      </c>
      <c r="C115" s="14"/>
      <c r="D115" s="14"/>
      <c r="E115" s="14"/>
      <c r="F115" s="14"/>
      <c r="G115" s="14"/>
      <c r="H115" s="14"/>
      <c r="I115" s="14"/>
      <c r="J115" s="14"/>
      <c r="K115" s="14"/>
    </row>
    <row r="116" spans="1:11" x14ac:dyDescent="0.25">
      <c r="A116" s="11"/>
      <c r="B116" s="15" t="s">
        <v>75</v>
      </c>
      <c r="C116" s="3">
        <v>1</v>
      </c>
      <c r="D116" s="3">
        <f>SUM(G95:G99)</f>
        <v>38.732616770279051</v>
      </c>
      <c r="E116" s="3"/>
      <c r="F116" s="3"/>
      <c r="G116" s="3">
        <f>PRODUCT(C116:F116)</f>
        <v>38.732616770279051</v>
      </c>
      <c r="H116" s="14"/>
      <c r="I116" s="14"/>
      <c r="J116" s="14"/>
      <c r="K116" s="14"/>
    </row>
    <row r="117" spans="1:11" x14ac:dyDescent="0.25">
      <c r="A117" s="11"/>
      <c r="B117" s="15" t="s">
        <v>84</v>
      </c>
      <c r="C117" s="3">
        <v>1</v>
      </c>
      <c r="D117" s="3">
        <f>(28.5*2-0.115*2+13.5*2*2)/3.281</f>
        <v>33.761048460835113</v>
      </c>
      <c r="E117" s="3"/>
      <c r="F117" s="3">
        <f>8.583/3.281</f>
        <v>2.6159707406278572</v>
      </c>
      <c r="G117" s="3">
        <f>PRODUCT(C117:F117)</f>
        <v>88.317914946463802</v>
      </c>
      <c r="H117" s="14"/>
      <c r="I117" s="14"/>
      <c r="J117" s="14"/>
      <c r="K117" s="14"/>
    </row>
    <row r="118" spans="1:11" x14ac:dyDescent="0.25">
      <c r="A118" s="11"/>
      <c r="B118" s="15" t="s">
        <v>66</v>
      </c>
      <c r="C118" s="3">
        <v>-2</v>
      </c>
      <c r="D118" s="3">
        <v>1.8</v>
      </c>
      <c r="E118" s="3"/>
      <c r="F118" s="3">
        <v>1.2</v>
      </c>
      <c r="G118" s="3">
        <f t="shared" ref="G118:G123" si="24">PRODUCT(C118:F118)</f>
        <v>-4.32</v>
      </c>
      <c r="H118" s="14"/>
      <c r="I118" s="14"/>
      <c r="J118" s="14"/>
      <c r="K118" s="14"/>
    </row>
    <row r="119" spans="1:11" x14ac:dyDescent="0.25">
      <c r="A119" s="11"/>
      <c r="B119" s="15"/>
      <c r="C119" s="3">
        <v>-1</v>
      </c>
      <c r="D119" s="3">
        <v>1.2</v>
      </c>
      <c r="E119" s="3"/>
      <c r="F119" s="3">
        <v>1.2</v>
      </c>
      <c r="G119" s="3">
        <f t="shared" si="24"/>
        <v>-1.44</v>
      </c>
      <c r="H119" s="14"/>
      <c r="I119" s="14"/>
      <c r="J119" s="14"/>
      <c r="K119" s="14"/>
    </row>
    <row r="120" spans="1:11" x14ac:dyDescent="0.25">
      <c r="A120" s="11"/>
      <c r="B120" s="15" t="s">
        <v>67</v>
      </c>
      <c r="C120" s="3">
        <v>-1</v>
      </c>
      <c r="D120" s="3">
        <v>1.5</v>
      </c>
      <c r="E120" s="3"/>
      <c r="F120" s="3">
        <f>7.833/3.281</f>
        <v>2.3873818957634869</v>
      </c>
      <c r="G120" s="3">
        <f t="shared" si="24"/>
        <v>-3.5810728436452304</v>
      </c>
      <c r="H120" s="14"/>
      <c r="I120" s="14"/>
      <c r="J120" s="14"/>
      <c r="K120" s="14"/>
    </row>
    <row r="121" spans="1:11" x14ac:dyDescent="0.25">
      <c r="A121" s="11"/>
      <c r="B121" s="15"/>
      <c r="C121" s="3">
        <v>-1</v>
      </c>
      <c r="D121" s="3">
        <v>1.2</v>
      </c>
      <c r="E121" s="3"/>
      <c r="F121" s="3">
        <f>7.833/3.281</f>
        <v>2.3873818957634869</v>
      </c>
      <c r="G121" s="3">
        <f t="shared" si="24"/>
        <v>-2.8648582749161844</v>
      </c>
      <c r="H121" s="14"/>
      <c r="I121" s="14"/>
      <c r="J121" s="14"/>
      <c r="K121" s="14"/>
    </row>
    <row r="122" spans="1:11" x14ac:dyDescent="0.25">
      <c r="A122" s="11"/>
      <c r="B122" s="15"/>
      <c r="C122" s="3">
        <v>-2</v>
      </c>
      <c r="D122" s="3">
        <v>0.9</v>
      </c>
      <c r="E122" s="3"/>
      <c r="F122" s="3">
        <v>2.1</v>
      </c>
      <c r="G122" s="3">
        <f t="shared" si="24"/>
        <v>-3.7800000000000002</v>
      </c>
      <c r="H122" s="14"/>
      <c r="I122" s="14"/>
      <c r="J122" s="14"/>
      <c r="K122" s="14"/>
    </row>
    <row r="123" spans="1:11" x14ac:dyDescent="0.25">
      <c r="A123" s="11"/>
      <c r="B123" s="15" t="s">
        <v>85</v>
      </c>
      <c r="C123" s="3">
        <v>2</v>
      </c>
      <c r="D123" s="3">
        <f>((6.5-0.75)+(5.75-0.75)*2)/3.281</f>
        <v>4.8003657421517829</v>
      </c>
      <c r="E123" s="3"/>
      <c r="F123" s="3">
        <v>1.8</v>
      </c>
      <c r="G123" s="3">
        <f t="shared" si="24"/>
        <v>17.281316671746421</v>
      </c>
      <c r="H123" s="14"/>
      <c r="I123" s="14"/>
      <c r="J123" s="14"/>
      <c r="K123" s="14"/>
    </row>
    <row r="124" spans="1:11" x14ac:dyDescent="0.25">
      <c r="A124" s="11"/>
      <c r="B124" s="15" t="s">
        <v>67</v>
      </c>
      <c r="C124" s="3">
        <v>-1</v>
      </c>
      <c r="D124" s="3">
        <v>0.75</v>
      </c>
      <c r="E124" s="3"/>
      <c r="F124" s="3">
        <v>1.8</v>
      </c>
      <c r="G124" s="3">
        <f>PRODUCT(C124:F124)</f>
        <v>-1.35</v>
      </c>
      <c r="H124" s="14"/>
      <c r="I124" s="14"/>
      <c r="J124" s="14"/>
      <c r="K124" s="14"/>
    </row>
    <row r="125" spans="1:11" s="10" customFormat="1" ht="15" customHeight="1" x14ac:dyDescent="0.25">
      <c r="A125" s="16"/>
      <c r="B125" s="17" t="s">
        <v>16</v>
      </c>
      <c r="C125" s="18"/>
      <c r="D125" s="1"/>
      <c r="E125" s="19"/>
      <c r="F125" s="19"/>
      <c r="G125" s="2">
        <f>SUM(G116:G124)</f>
        <v>126.99591726992787</v>
      </c>
      <c r="H125" s="20" t="s">
        <v>25</v>
      </c>
      <c r="I125" s="2">
        <v>214.41</v>
      </c>
      <c r="J125" s="21">
        <f>G125*I125</f>
        <v>27229.194621845236</v>
      </c>
      <c r="K125" s="19"/>
    </row>
    <row r="126" spans="1:11" s="10" customFormat="1" x14ac:dyDescent="0.25">
      <c r="A126" s="23"/>
      <c r="B126" s="24"/>
      <c r="C126" s="25"/>
      <c r="D126" s="26"/>
      <c r="E126" s="26"/>
      <c r="F126" s="26"/>
      <c r="G126" s="26"/>
      <c r="H126" s="25"/>
      <c r="I126" s="25"/>
      <c r="J126" s="21"/>
      <c r="K126" s="25"/>
    </row>
    <row r="127" spans="1:11" s="10" customFormat="1" ht="38.25" x14ac:dyDescent="0.25">
      <c r="A127" s="23">
        <v>14</v>
      </c>
      <c r="B127" s="50" t="s">
        <v>86</v>
      </c>
      <c r="C127" s="50"/>
      <c r="D127" s="26"/>
      <c r="E127" s="26"/>
      <c r="F127" s="26"/>
      <c r="G127" s="26"/>
      <c r="H127" s="25"/>
      <c r="I127" s="25"/>
      <c r="J127" s="21"/>
      <c r="K127" s="25"/>
    </row>
    <row r="128" spans="1:11" x14ac:dyDescent="0.25">
      <c r="A128" s="11"/>
      <c r="B128" s="15" t="s">
        <v>76</v>
      </c>
      <c r="C128" s="3">
        <v>1</v>
      </c>
      <c r="D128" s="3">
        <v>1.2</v>
      </c>
      <c r="E128" s="3"/>
      <c r="F128" s="3">
        <v>2.1</v>
      </c>
      <c r="G128" s="3">
        <f>PRODUCT(C128:F128)</f>
        <v>2.52</v>
      </c>
      <c r="H128" s="14"/>
      <c r="I128" s="14"/>
      <c r="J128" s="14"/>
      <c r="K128" s="14"/>
    </row>
    <row r="129" spans="1:11" s="10" customFormat="1" ht="15" customHeight="1" x14ac:dyDescent="0.25">
      <c r="A129" s="16"/>
      <c r="B129" s="17" t="s">
        <v>16</v>
      </c>
      <c r="C129" s="18"/>
      <c r="D129" s="1"/>
      <c r="E129" s="19"/>
      <c r="F129" s="19"/>
      <c r="G129" s="2">
        <f>SUM(G128:G128)</f>
        <v>2.52</v>
      </c>
      <c r="H129" s="20" t="s">
        <v>25</v>
      </c>
      <c r="I129" s="2">
        <v>10055.6</v>
      </c>
      <c r="J129" s="21">
        <f>G129*I129</f>
        <v>25340.112000000001</v>
      </c>
      <c r="K129" s="19"/>
    </row>
    <row r="130" spans="1:11" s="10" customFormat="1" x14ac:dyDescent="0.25">
      <c r="A130" s="23"/>
      <c r="B130" s="24"/>
      <c r="C130" s="25"/>
      <c r="D130" s="26"/>
      <c r="E130" s="26"/>
      <c r="F130" s="26"/>
      <c r="G130" s="26"/>
      <c r="H130" s="25"/>
      <c r="I130" s="25"/>
      <c r="J130" s="21"/>
      <c r="K130" s="25"/>
    </row>
    <row r="131" spans="1:11" s="10" customFormat="1" ht="38.25" x14ac:dyDescent="0.25">
      <c r="A131" s="23">
        <v>15</v>
      </c>
      <c r="B131" s="50" t="s">
        <v>77</v>
      </c>
      <c r="C131" s="50"/>
      <c r="D131" s="26"/>
      <c r="E131" s="26"/>
      <c r="F131" s="26"/>
      <c r="G131" s="26"/>
      <c r="H131" s="25"/>
      <c r="I131" s="25"/>
      <c r="J131" s="21"/>
      <c r="K131" s="25"/>
    </row>
    <row r="132" spans="1:11" x14ac:dyDescent="0.25">
      <c r="A132" s="11"/>
      <c r="B132" s="15" t="s">
        <v>78</v>
      </c>
      <c r="C132" s="3">
        <v>2</v>
      </c>
      <c r="D132" s="3">
        <v>1.8</v>
      </c>
      <c r="E132" s="3"/>
      <c r="F132" s="3">
        <v>1.2</v>
      </c>
      <c r="G132" s="3">
        <f>PRODUCT(C132:F132)</f>
        <v>4.32</v>
      </c>
      <c r="H132" s="14"/>
      <c r="I132" s="14"/>
      <c r="J132" s="14"/>
      <c r="K132" s="14"/>
    </row>
    <row r="133" spans="1:11" s="10" customFormat="1" ht="15" customHeight="1" x14ac:dyDescent="0.25">
      <c r="A133" s="16"/>
      <c r="B133" s="17" t="s">
        <v>16</v>
      </c>
      <c r="C133" s="18"/>
      <c r="D133" s="1"/>
      <c r="E133" s="19"/>
      <c r="F133" s="19"/>
      <c r="G133" s="2">
        <f>SUM(G132:G132)</f>
        <v>4.32</v>
      </c>
      <c r="H133" s="20" t="s">
        <v>25</v>
      </c>
      <c r="I133" s="2">
        <v>8046.55</v>
      </c>
      <c r="J133" s="21">
        <f>G133*I133</f>
        <v>34761.096000000005</v>
      </c>
      <c r="K133" s="19"/>
    </row>
    <row r="134" spans="1:11" s="10" customFormat="1" x14ac:dyDescent="0.25">
      <c r="A134" s="23"/>
      <c r="B134" s="24"/>
      <c r="C134" s="25"/>
      <c r="D134" s="26"/>
      <c r="E134" s="26"/>
      <c r="F134" s="26"/>
      <c r="G134" s="26"/>
      <c r="H134" s="25"/>
      <c r="I134" s="25"/>
      <c r="J134" s="21"/>
      <c r="K134" s="25"/>
    </row>
    <row r="135" spans="1:11" s="10" customFormat="1" ht="38.25" x14ac:dyDescent="0.25">
      <c r="A135" s="23">
        <v>16</v>
      </c>
      <c r="B135" s="50" t="s">
        <v>79</v>
      </c>
      <c r="C135" s="50"/>
      <c r="D135" s="26"/>
      <c r="E135" s="26"/>
      <c r="F135" s="26"/>
      <c r="G135" s="26"/>
      <c r="H135" s="25"/>
      <c r="I135" s="25"/>
      <c r="J135" s="21"/>
      <c r="K135" s="25"/>
    </row>
    <row r="136" spans="1:11" x14ac:dyDescent="0.25">
      <c r="A136" s="11"/>
      <c r="B136" s="15" t="s">
        <v>78</v>
      </c>
      <c r="C136" s="3">
        <v>2</v>
      </c>
      <c r="D136" s="3">
        <v>1.2</v>
      </c>
      <c r="E136" s="3"/>
      <c r="F136" s="3">
        <v>1.2</v>
      </c>
      <c r="G136" s="3">
        <f>PRODUCT(C136:F136)</f>
        <v>2.88</v>
      </c>
      <c r="H136" s="14"/>
      <c r="I136" s="14"/>
      <c r="J136" s="14"/>
      <c r="K136" s="14"/>
    </row>
    <row r="137" spans="1:11" s="10" customFormat="1" ht="15" customHeight="1" x14ac:dyDescent="0.25">
      <c r="A137" s="16"/>
      <c r="B137" s="17" t="s">
        <v>16</v>
      </c>
      <c r="C137" s="18"/>
      <c r="D137" s="1"/>
      <c r="E137" s="19"/>
      <c r="F137" s="19"/>
      <c r="G137" s="2">
        <f>SUM(G136:G136)</f>
        <v>2.88</v>
      </c>
      <c r="H137" s="20" t="s">
        <v>25</v>
      </c>
      <c r="I137" s="2">
        <v>8046.55</v>
      </c>
      <c r="J137" s="21">
        <f>G137*I137</f>
        <v>23174.063999999998</v>
      </c>
      <c r="K137" s="19"/>
    </row>
    <row r="138" spans="1:11" s="10" customFormat="1" ht="14.45" customHeight="1" x14ac:dyDescent="0.25">
      <c r="A138" s="23"/>
      <c r="B138" s="24"/>
      <c r="C138" s="25"/>
      <c r="D138" s="26"/>
      <c r="E138" s="26"/>
      <c r="F138" s="26"/>
      <c r="G138" s="26"/>
      <c r="H138" s="25"/>
      <c r="I138" s="25"/>
      <c r="J138" s="21"/>
      <c r="K138" s="25"/>
    </row>
    <row r="139" spans="1:11" s="10" customFormat="1" ht="15" customHeight="1" x14ac:dyDescent="0.25">
      <c r="A139" s="16">
        <v>17</v>
      </c>
      <c r="B139" s="45" t="s">
        <v>42</v>
      </c>
      <c r="C139" s="18">
        <v>1</v>
      </c>
      <c r="D139" s="1"/>
      <c r="E139" s="19"/>
      <c r="F139" s="19"/>
      <c r="G139" s="20">
        <f t="shared" ref="G139" si="25">PRODUCT(C139:F139)</f>
        <v>1</v>
      </c>
      <c r="H139" s="20" t="s">
        <v>24</v>
      </c>
      <c r="I139" s="2">
        <v>5000</v>
      </c>
      <c r="J139" s="20">
        <f>G139*I139</f>
        <v>5000</v>
      </c>
      <c r="K139" s="19"/>
    </row>
    <row r="140" spans="1:11" s="10" customFormat="1" x14ac:dyDescent="0.25">
      <c r="A140" s="23"/>
      <c r="B140" s="24"/>
      <c r="C140" s="25"/>
      <c r="D140" s="26"/>
      <c r="E140" s="26"/>
      <c r="F140" s="26"/>
      <c r="G140" s="26"/>
      <c r="H140" s="25"/>
      <c r="I140" s="25"/>
      <c r="J140" s="21"/>
      <c r="K140" s="25"/>
    </row>
    <row r="141" spans="1:11" s="10" customFormat="1" ht="15" customHeight="1" x14ac:dyDescent="0.25">
      <c r="A141" s="16">
        <v>18</v>
      </c>
      <c r="B141" s="28" t="s">
        <v>17</v>
      </c>
      <c r="C141" s="18">
        <v>1</v>
      </c>
      <c r="D141" s="1"/>
      <c r="E141" s="19"/>
      <c r="F141" s="19"/>
      <c r="G141" s="20">
        <f t="shared" ref="G141" si="26">PRODUCT(C141:F141)</f>
        <v>1</v>
      </c>
      <c r="H141" s="20" t="s">
        <v>18</v>
      </c>
      <c r="I141" s="2">
        <v>500</v>
      </c>
      <c r="J141" s="20">
        <f>G141*I141</f>
        <v>500</v>
      </c>
      <c r="K141" s="19"/>
    </row>
    <row r="142" spans="1:11" s="10" customFormat="1" x14ac:dyDescent="0.25">
      <c r="A142" s="16"/>
      <c r="B142" s="29"/>
      <c r="C142" s="18"/>
      <c r="D142" s="1"/>
      <c r="E142" s="19"/>
      <c r="F142" s="19"/>
      <c r="G142" s="2"/>
      <c r="H142" s="20"/>
      <c r="I142" s="2"/>
      <c r="J142" s="21"/>
      <c r="K142" s="19"/>
    </row>
    <row r="143" spans="1:11" s="10" customFormat="1" x14ac:dyDescent="0.25">
      <c r="A143" s="42"/>
      <c r="B143" s="30" t="s">
        <v>20</v>
      </c>
      <c r="C143" s="31"/>
      <c r="D143" s="32"/>
      <c r="E143" s="32"/>
      <c r="F143" s="32"/>
      <c r="G143" s="21"/>
      <c r="H143" s="21"/>
      <c r="I143" s="21"/>
      <c r="J143" s="21">
        <f>SUM(J9:J141)</f>
        <v>1331142.8392085307</v>
      </c>
      <c r="K143" s="33"/>
    </row>
    <row r="144" spans="1:11" s="10" customFormat="1" x14ac:dyDescent="0.25">
      <c r="A144" s="40"/>
    </row>
    <row r="145" spans="1:10" s="40" customFormat="1" x14ac:dyDescent="0.25">
      <c r="A145" s="34"/>
      <c r="B145" s="35" t="s">
        <v>19</v>
      </c>
      <c r="C145" s="66">
        <f>J143</f>
        <v>1331142.8392085307</v>
      </c>
      <c r="D145" s="67"/>
      <c r="E145" s="34"/>
      <c r="F145" s="36"/>
      <c r="G145" s="34"/>
      <c r="H145" s="37"/>
      <c r="I145" s="38"/>
      <c r="J145" s="39"/>
    </row>
    <row r="146" spans="1:10" s="10" customFormat="1" x14ac:dyDescent="0.25">
      <c r="A146" s="40"/>
      <c r="B146" s="46" t="s">
        <v>45</v>
      </c>
      <c r="C146" s="68">
        <f>0.13*C145</f>
        <v>173048.56909710899</v>
      </c>
      <c r="D146" s="69"/>
    </row>
    <row r="147" spans="1:10" s="10" customFormat="1" x14ac:dyDescent="0.25">
      <c r="A147" s="40"/>
      <c r="B147" s="35" t="s">
        <v>46</v>
      </c>
      <c r="C147" s="68">
        <f>SUM(C145:D146)</f>
        <v>1504191.4083056396</v>
      </c>
      <c r="D147" s="69"/>
    </row>
  </sheetData>
  <mergeCells count="10">
    <mergeCell ref="A7:F7"/>
    <mergeCell ref="C145:D145"/>
    <mergeCell ref="C146:D146"/>
    <mergeCell ref="C147:D147"/>
    <mergeCell ref="A6:F6"/>
    <mergeCell ref="A1:K1"/>
    <mergeCell ref="A2:K2"/>
    <mergeCell ref="A3:K3"/>
    <mergeCell ref="A4:K4"/>
    <mergeCell ref="A5:K5"/>
  </mergeCells>
  <pageMargins left="0.7" right="0.7" top="0.75" bottom="0.75" header="0.3" footer="0.3"/>
  <pageSetup paperSize="9" scale="9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krishi thekka</vt:lpstr>
      <vt:lpstr>'krishi thekka'!Print_Area</vt:lpstr>
      <vt:lpstr>'krishi thekka'!Print_Titles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2026-04-20T05:16:12Z</dcterms:modified>
</cp:coreProperties>
</file>