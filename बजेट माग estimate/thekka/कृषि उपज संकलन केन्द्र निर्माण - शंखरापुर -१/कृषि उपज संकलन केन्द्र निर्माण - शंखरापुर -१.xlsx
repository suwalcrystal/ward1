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0" windowHeight="11040" activeTab="1"/>
  </bookViews>
  <sheets>
    <sheet name="estimate" sheetId="13" r:id="rId1"/>
    <sheet name="krishi" sheetId="14"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estimate!$A$1:$K$158</definedName>
    <definedName name="_xlnm.Print_Area" localSheetId="1">krishi!$A$1:$K$53</definedName>
    <definedName name="_xlnm.Print_Titles" localSheetId="0">estimate!$1:$8</definedName>
    <definedName name="_xlnm.Print_Titles" localSheetId="1">krishi!$1:$8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6" i="14" l="1"/>
  <c r="J19" i="14"/>
  <c r="J21" i="14"/>
  <c r="J20" i="14"/>
  <c r="E17" i="14"/>
  <c r="G17" i="14"/>
  <c r="G18" i="14" s="1"/>
  <c r="D17" i="14"/>
  <c r="G10" i="14"/>
  <c r="D10" i="14"/>
  <c r="D11" i="14"/>
  <c r="C37" i="14"/>
  <c r="D37" i="14"/>
  <c r="F37" i="14"/>
  <c r="J18" i="14" l="1"/>
  <c r="G37" i="14"/>
  <c r="G38" i="14" s="1"/>
  <c r="J42" i="14" l="1"/>
  <c r="J41" i="14"/>
  <c r="J40" i="14"/>
  <c r="J38" i="14"/>
  <c r="J39" i="14"/>
  <c r="D27" i="14" l="1"/>
  <c r="F28" i="14"/>
  <c r="G28" i="14"/>
  <c r="F29" i="14"/>
  <c r="C29" i="14"/>
  <c r="G29" i="14" s="1"/>
  <c r="F27" i="14"/>
  <c r="G27" i="14" s="1"/>
  <c r="C25" i="14"/>
  <c r="C26" i="14"/>
  <c r="F26" i="14"/>
  <c r="F25" i="14"/>
  <c r="F24" i="14"/>
  <c r="D24" i="14"/>
  <c r="G24" i="14" s="1"/>
  <c r="G26" i="14" l="1"/>
  <c r="C53" i="14"/>
  <c r="C52" i="14"/>
  <c r="G44" i="14"/>
  <c r="J44" i="14" s="1"/>
  <c r="I30" i="14"/>
  <c r="G62" i="13"/>
  <c r="G44" i="13"/>
  <c r="G27" i="13"/>
  <c r="G18" i="13"/>
  <c r="G12" i="13"/>
  <c r="G88" i="13"/>
  <c r="G147" i="13"/>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C50" i="14" l="1"/>
  <c r="G11" i="14"/>
  <c r="G12" i="14" s="1"/>
  <c r="G25" i="14"/>
  <c r="F80" i="13"/>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J13" i="14" l="1"/>
  <c r="J14" i="14"/>
  <c r="J140" i="13"/>
  <c r="J139" i="13"/>
  <c r="G132" i="13"/>
  <c r="G16" i="13"/>
  <c r="D54" i="13"/>
  <c r="D38" i="13"/>
  <c r="G24" i="13"/>
  <c r="C35" i="13"/>
  <c r="D56" i="13" l="1"/>
  <c r="C79" i="13" s="1"/>
  <c r="F79" i="13" s="1"/>
  <c r="G79" i="13" s="1"/>
  <c r="D39" i="13"/>
  <c r="J132" i="13"/>
  <c r="J134" i="13"/>
  <c r="J133" i="13"/>
  <c r="C76" i="13"/>
  <c r="C77" i="13"/>
  <c r="F77" i="13" s="1"/>
  <c r="G77" i="13" s="1"/>
  <c r="C54" i="13"/>
  <c r="C115" i="13"/>
  <c r="G30" i="14" l="1"/>
  <c r="D57" i="13"/>
  <c r="G57" i="13" s="1"/>
  <c r="G39" i="13"/>
  <c r="J31" i="14" l="1"/>
  <c r="J33" i="14"/>
  <c r="J32" i="14"/>
  <c r="J34" i="14"/>
  <c r="J30" i="14"/>
  <c r="C158" i="13"/>
  <c r="C157" i="13"/>
  <c r="G149" i="13"/>
  <c r="J149" i="13" s="1"/>
  <c r="C155" i="13" l="1"/>
  <c r="G115" i="13"/>
  <c r="G121" i="13" s="1"/>
  <c r="J12" i="14" l="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C48" i="14" l="1"/>
  <c r="C51" i="14" s="1"/>
  <c r="J62" i="13"/>
  <c r="J106" i="13"/>
  <c r="G109" i="13"/>
  <c r="G110" i="13" s="1"/>
  <c r="J112" i="13" s="1"/>
  <c r="F72" i="13"/>
  <c r="G72" i="13" s="1"/>
  <c r="J94" i="13"/>
  <c r="J96" i="13"/>
  <c r="J97" i="13"/>
  <c r="J95" i="13"/>
  <c r="G10" i="13"/>
  <c r="G15" i="13"/>
  <c r="G23" i="13"/>
  <c r="F69" i="13"/>
  <c r="G69" i="13" s="1"/>
  <c r="G36" i="13"/>
  <c r="G35" i="13"/>
  <c r="G34" i="13"/>
  <c r="G37" i="13"/>
  <c r="F70" i="13"/>
  <c r="G70" i="13" s="1"/>
  <c r="E50" i="14" l="1"/>
  <c r="E51" i="14" s="1"/>
  <c r="J88" i="13"/>
  <c r="J27" i="13"/>
  <c r="J20" i="13"/>
  <c r="J19" i="13"/>
  <c r="J110" i="13"/>
  <c r="J111" i="13"/>
  <c r="J104" i="13"/>
  <c r="J105" i="13"/>
  <c r="J28" i="13"/>
  <c r="J30" i="13"/>
  <c r="J29" i="13"/>
  <c r="J31" i="13"/>
  <c r="J12" i="13"/>
  <c r="J63" i="13"/>
  <c r="J64" i="13"/>
  <c r="J65" i="13"/>
  <c r="J66" i="13"/>
  <c r="J18" i="13"/>
  <c r="G38" i="13"/>
  <c r="J44" i="13" l="1"/>
  <c r="J90" i="13"/>
  <c r="J89" i="13"/>
  <c r="J47" i="13"/>
  <c r="J50" i="13"/>
  <c r="J46" i="13"/>
  <c r="J48" i="13"/>
  <c r="J151" i="13" s="1"/>
  <c r="J45" i="13"/>
  <c r="J49" i="13"/>
  <c r="C153" i="13" l="1"/>
  <c r="C156" i="13" s="1"/>
  <c r="E155" i="13" l="1"/>
  <c r="E156" i="13" s="1"/>
</calcChain>
</file>

<file path=xl/sharedStrings.xml><?xml version="1.0" encoding="utf-8"?>
<sst xmlns="http://schemas.openxmlformats.org/spreadsheetml/2006/main" count="200" uniqueCount="102">
  <si>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</si>
  <si>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</si>
  <si>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</si>
  <si>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</si>
  <si>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</si>
  <si>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</si>
  <si>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</si>
  <si>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</si>
  <si>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</si>
  <si>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</si>
  <si>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</si>
  <si>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</si>
  <si>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</si>
  <si>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</si>
  <si>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</si>
  <si>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</si>
  <si>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</si>
  <si>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</si>
  <si>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</si>
  <si>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</si>
  <si>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</si>
  <si>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</si>
  <si>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</si>
  <si>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</si>
  <si>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</si>
  <si>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</si>
  <si>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</si>
  <si>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</si>
  <si>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</si>
  <si>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</si>
  <si>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</si>
  <si>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</si>
  <si>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</si>
  <si>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</si>
  <si>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</si>
  <si>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</si>
  <si>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</si>
  <si>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</si>
  <si>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</si>
  <si>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</si>
  <si>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</si>
  <si>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</si>
  <si>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</si>
  <si>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</si>
  <si>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</si>
  <si>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</si>
  <si>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</si>
  <si>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</si>
  <si>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</si>
  <si>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</si>
  <si>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</si>
  <si>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</si>
  <si>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</si>
  <si>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</si>
  <si>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</si>
  <si>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</si>
  <si>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</si>
  <si>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</si>
  <si>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</si>
  <si>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</si>
  <si>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</si>
  <si>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</si>
  <si>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</si>
  <si>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</si>
  <si>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</si>
  <si>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</si>
  <si>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</si>
  <si>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</si>
  <si>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</si>
  <si>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</si>
  <si>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</si>
  <si>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</si>
  <si>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</si>
  <si>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</si>
  <si>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</si>
  <si>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</si>
  <si>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</si>
  <si>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</si>
  <si>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</si>
  <si>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</si>
  <si>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</si>
  <si>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</si>
  <si>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</si>
  <si>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</si>
  <si>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</si>
  <si>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</si>
  <si>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</si>
  <si>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</si>
  <si>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</si>
  <si>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-long wall</t>
  </si>
  <si>
    <t>-deduction for 14" wall</t>
  </si>
  <si>
    <t>- 14" wall</t>
  </si>
  <si>
    <t>-short wall</t>
  </si>
  <si>
    <t>e'O{+tNnfdf lrDgL e§fsf] O{+6fsf] uf/f] l;d]G6 d;nf -!M$_ df</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</si>
  <si>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</si>
  <si>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-13% VAT for killa kaanti</t>
  </si>
  <si>
    <t>-13% VAT for agrakh kaath</t>
  </si>
  <si>
    <t>kfs]6 lj5\ofpg] / vfS;L nufO{ kfln; ug]{ sfd</t>
  </si>
  <si>
    <t>-flooring</t>
  </si>
  <si>
    <t>-13% VAT for parquete</t>
  </si>
  <si>
    <t>-13% VAT for main polish</t>
  </si>
  <si>
    <t>-13% VAT for khakshi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</si>
</sst>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164"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5"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5" fontId="0" fillId="0" borderId="2" xfId="0" applyNumberFormat="1" applyBorder="1"/>
    <xf numFmtId="165" fontId="3" fillId="0" borderId="2" xfId="1" applyNumberFormat="1" applyFont="1" applyFill="1" applyBorder="1" applyAlignment="1">
      <alignment vertic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8"/>
  <sheetViews>
    <sheetView topLeftCell="A65" zoomScaleNormal="100" workbookViewId="0">
      <selection activeCell="G63" sqref="G6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4" t="s">
        <v>0</v>
      </c>
      <c r="B1" s="54"/>
      <c r="C1" s="54"/>
      <c r="D1" s="54"/>
      <c r="E1" s="54"/>
      <c r="F1" s="54"/>
      <c r="G1" s="54"/>
      <c r="H1" s="54"/>
      <c r="I1" s="54"/>
      <c r="J1" s="54"/>
      <c r="K1" s="54"/>
    </row>
    <row r="2" spans="1:11" ht="22.5" x14ac:dyDescent="0.25">
      <c r="A2" s="55" t="s">
        <v>1</v>
      </c>
      <c r="B2" s="55"/>
      <c r="C2" s="55"/>
      <c r="D2" s="55"/>
      <c r="E2" s="55"/>
      <c r="F2" s="55"/>
      <c r="G2" s="55"/>
      <c r="H2" s="55"/>
      <c r="I2" s="55"/>
      <c r="J2" s="55"/>
      <c r="K2" s="55"/>
    </row>
    <row r="3" spans="1:11" x14ac:dyDescent="0.25">
      <c r="A3" s="56" t="s">
        <v>2</v>
      </c>
      <c r="B3" s="56"/>
      <c r="C3" s="56"/>
      <c r="D3" s="56"/>
      <c r="E3" s="56"/>
      <c r="F3" s="56"/>
      <c r="G3" s="56"/>
      <c r="H3" s="56"/>
      <c r="I3" s="56"/>
      <c r="J3" s="56"/>
      <c r="K3" s="56"/>
    </row>
    <row r="4" spans="1:11" x14ac:dyDescent="0.25">
      <c r="A4" s="56" t="s">
        <v>3</v>
      </c>
      <c r="B4" s="56"/>
      <c r="C4" s="56"/>
      <c r="D4" s="56"/>
      <c r="E4" s="56"/>
      <c r="F4" s="56"/>
      <c r="G4" s="56"/>
      <c r="H4" s="56"/>
      <c r="I4" s="56"/>
      <c r="J4" s="56"/>
      <c r="K4" s="56"/>
    </row>
    <row r="5" spans="1:11" ht="18.75" x14ac:dyDescent="0.3">
      <c r="A5" s="57" t="s">
        <v>4</v>
      </c>
      <c r="B5" s="57"/>
      <c r="C5" s="57"/>
      <c r="D5" s="57"/>
      <c r="E5" s="57"/>
      <c r="F5" s="57"/>
      <c r="G5" s="57"/>
      <c r="H5" s="57"/>
      <c r="I5" s="57"/>
      <c r="J5" s="57"/>
      <c r="K5" s="57"/>
    </row>
    <row r="6" spans="1:11" ht="15.75" x14ac:dyDescent="0.25">
      <c r="A6" s="58" t="s">
        <v>86</v>
      </c>
      <c r="B6" s="58"/>
      <c r="C6" s="58"/>
      <c r="D6" s="58"/>
      <c r="E6" s="58"/>
      <c r="F6" s="58"/>
      <c r="G6" s="4"/>
      <c r="H6" s="59" t="s">
        <v>25</v>
      </c>
      <c r="I6" s="59"/>
      <c r="J6" s="59"/>
      <c r="K6" s="59"/>
    </row>
    <row r="7" spans="1:11" ht="15.75" x14ac:dyDescent="0.25">
      <c r="A7" s="52" t="s">
        <v>29</v>
      </c>
      <c r="B7" s="52"/>
      <c r="C7" s="52"/>
      <c r="D7" s="52"/>
      <c r="E7" s="52"/>
      <c r="F7" s="52"/>
      <c r="G7" s="5"/>
      <c r="H7" s="53" t="s">
        <v>88</v>
      </c>
      <c r="I7" s="53"/>
      <c r="J7" s="53"/>
      <c r="K7" s="53"/>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0*SUM(G10:G11)</f>
        <v>0</v>
      </c>
      <c r="H12" s="21" t="s">
        <v>28</v>
      </c>
      <c r="I12" s="2">
        <v>674.12</v>
      </c>
      <c r="J12" s="22">
        <f>G12*I12</f>
        <v>0</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0*SUM(G15:G17)</f>
        <v>0</v>
      </c>
      <c r="H18" s="21" t="s">
        <v>34</v>
      </c>
      <c r="I18" s="2">
        <v>1017.47</v>
      </c>
      <c r="J18" s="22">
        <f>G18*I18</f>
        <v>0</v>
      </c>
      <c r="K18" s="20"/>
    </row>
    <row r="19" spans="1:11" s="10" customFormat="1" x14ac:dyDescent="0.25">
      <c r="A19" s="24"/>
      <c r="B19" s="25" t="s">
        <v>55</v>
      </c>
      <c r="C19" s="26"/>
      <c r="D19" s="27"/>
      <c r="E19" s="27"/>
      <c r="F19" s="27"/>
      <c r="G19" s="27"/>
      <c r="H19" s="26"/>
      <c r="I19" s="26"/>
      <c r="J19" s="22">
        <f>0.13*G18*6360.9/10</f>
        <v>0</v>
      </c>
      <c r="K19" s="26"/>
    </row>
    <row r="20" spans="1:11" x14ac:dyDescent="0.25">
      <c r="A20" s="15"/>
      <c r="B20" s="25" t="s">
        <v>31</v>
      </c>
      <c r="C20" s="15"/>
      <c r="D20" s="3"/>
      <c r="E20" s="3"/>
      <c r="F20" s="3"/>
      <c r="G20" s="3"/>
      <c r="H20" s="15"/>
      <c r="I20" s="15"/>
      <c r="J20" s="22">
        <f>0.13*G18*2256.3/10</f>
        <v>0</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0*SUM(G23:G26)</f>
        <v>0</v>
      </c>
      <c r="H27" s="21" t="s">
        <v>28</v>
      </c>
      <c r="I27" s="2">
        <v>4495.6400000000003</v>
      </c>
      <c r="J27" s="22">
        <f>G27*I27</f>
        <v>0</v>
      </c>
      <c r="K27" s="20"/>
    </row>
    <row r="28" spans="1:11" s="10" customFormat="1" x14ac:dyDescent="0.25">
      <c r="A28" s="24"/>
      <c r="B28" s="25" t="s">
        <v>32</v>
      </c>
      <c r="C28" s="26"/>
      <c r="D28" s="27"/>
      <c r="E28" s="27"/>
      <c r="F28" s="27"/>
      <c r="G28" s="27"/>
      <c r="H28" s="26"/>
      <c r="I28" s="26"/>
      <c r="J28" s="22">
        <f>0.13*G27*2866.82</f>
        <v>0</v>
      </c>
      <c r="K28" s="26"/>
    </row>
    <row r="29" spans="1:11" s="10" customFormat="1" x14ac:dyDescent="0.25">
      <c r="A29" s="24"/>
      <c r="B29" s="25" t="s">
        <v>33</v>
      </c>
      <c r="C29" s="26"/>
      <c r="D29" s="27"/>
      <c r="E29" s="27"/>
      <c r="F29" s="27"/>
      <c r="G29" s="27"/>
      <c r="H29" s="26"/>
      <c r="I29" s="26"/>
      <c r="J29" s="22">
        <f>0.13*G27*(2065.63+805.06)</f>
        <v>0</v>
      </c>
      <c r="K29" s="26"/>
    </row>
    <row r="30" spans="1:11" s="10" customFormat="1" x14ac:dyDescent="0.25">
      <c r="A30" s="24"/>
      <c r="B30" s="25" t="s">
        <v>31</v>
      </c>
      <c r="C30" s="26"/>
      <c r="D30" s="27"/>
      <c r="E30" s="27"/>
      <c r="F30" s="27"/>
      <c r="G30" s="27"/>
      <c r="H30" s="26"/>
      <c r="I30" s="26"/>
      <c r="J30" s="22">
        <f>0.13*G27*1493.61</f>
        <v>0</v>
      </c>
      <c r="K30" s="26"/>
    </row>
    <row r="31" spans="1:11" x14ac:dyDescent="0.25">
      <c r="A31" s="15"/>
      <c r="B31" s="25" t="s">
        <v>36</v>
      </c>
      <c r="C31" s="15"/>
      <c r="D31" s="3"/>
      <c r="E31" s="3"/>
      <c r="F31" s="3"/>
      <c r="G31" s="3"/>
      <c r="H31" s="15"/>
      <c r="I31" s="15"/>
      <c r="J31" s="22">
        <f>0.13*G27*33.6</f>
        <v>0</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0*SUM(G34:G43)</f>
        <v>0</v>
      </c>
      <c r="H44" s="21" t="s">
        <v>28</v>
      </c>
      <c r="I44" s="2">
        <v>13957.29</v>
      </c>
      <c r="J44" s="22">
        <f>G44*I44</f>
        <v>0</v>
      </c>
      <c r="K44" s="20"/>
    </row>
    <row r="45" spans="1:13" s="10" customFormat="1" x14ac:dyDescent="0.25">
      <c r="A45" s="24"/>
      <c r="B45" s="25" t="s">
        <v>32</v>
      </c>
      <c r="C45" s="26"/>
      <c r="D45" s="27"/>
      <c r="E45" s="27"/>
      <c r="F45" s="27"/>
      <c r="G45" s="27"/>
      <c r="H45" s="26"/>
      <c r="I45" s="26"/>
      <c r="J45" s="22">
        <f>0.13*G44*5212.4</f>
        <v>0</v>
      </c>
      <c r="K45" s="26"/>
    </row>
    <row r="46" spans="1:13" s="10" customFormat="1" x14ac:dyDescent="0.25">
      <c r="A46" s="24"/>
      <c r="B46" s="25" t="s">
        <v>33</v>
      </c>
      <c r="C46" s="26"/>
      <c r="D46" s="27"/>
      <c r="E46" s="27"/>
      <c r="F46" s="27"/>
      <c r="G46" s="27"/>
      <c r="H46" s="26"/>
      <c r="I46" s="26"/>
      <c r="J46" s="22">
        <f>0.13*G44*(1912.03+921.59)</f>
        <v>0</v>
      </c>
      <c r="K46" s="26"/>
    </row>
    <row r="47" spans="1:13" s="10" customFormat="1" x14ac:dyDescent="0.25">
      <c r="A47" s="24"/>
      <c r="B47" s="25" t="s">
        <v>31</v>
      </c>
      <c r="C47" s="26"/>
      <c r="D47" s="27"/>
      <c r="E47" s="27"/>
      <c r="F47" s="27"/>
      <c r="G47" s="27"/>
      <c r="H47" s="26"/>
      <c r="I47" s="26"/>
      <c r="J47" s="22">
        <f>0.13*G44*1350.6</f>
        <v>0</v>
      </c>
      <c r="K47" s="26"/>
    </row>
    <row r="48" spans="1:13" x14ac:dyDescent="0.25">
      <c r="A48" s="15"/>
      <c r="B48" s="25" t="s">
        <v>36</v>
      </c>
      <c r="C48" s="15"/>
      <c r="D48" s="3"/>
      <c r="E48" s="3"/>
      <c r="F48" s="3"/>
      <c r="G48" s="3"/>
      <c r="H48" s="15"/>
      <c r="I48" s="15"/>
      <c r="J48" s="22">
        <f>0.13*G44*56</f>
        <v>0</v>
      </c>
      <c r="K48" s="15"/>
    </row>
    <row r="49" spans="1:11" s="10" customFormat="1" x14ac:dyDescent="0.25">
      <c r="A49" s="24"/>
      <c r="B49" s="25" t="s">
        <v>44</v>
      </c>
      <c r="C49" s="26"/>
      <c r="D49" s="27"/>
      <c r="E49" s="27"/>
      <c r="F49" s="27"/>
      <c r="G49" s="27"/>
      <c r="H49" s="26"/>
      <c r="I49" s="26"/>
      <c r="J49" s="22">
        <f>0.13*G44*392.92</f>
        <v>0</v>
      </c>
      <c r="K49" s="26"/>
    </row>
    <row r="50" spans="1:11" x14ac:dyDescent="0.25">
      <c r="A50" s="15"/>
      <c r="B50" s="25" t="s">
        <v>45</v>
      </c>
      <c r="C50" s="15"/>
      <c r="D50" s="3"/>
      <c r="E50" s="3"/>
      <c r="F50" s="3"/>
      <c r="G50" s="3"/>
      <c r="H50" s="15"/>
      <c r="I50" s="15"/>
      <c r="J50" s="22">
        <f>0.13*G44*14.15</f>
        <v>0</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0*SUM(G53:G61)</f>
        <v>0</v>
      </c>
      <c r="H62" s="21" t="s">
        <v>34</v>
      </c>
      <c r="I62" s="2">
        <v>922.71</v>
      </c>
      <c r="J62" s="22">
        <f>G62*I62</f>
        <v>0</v>
      </c>
      <c r="K62" s="20"/>
    </row>
    <row r="63" spans="1:11" s="10" customFormat="1" x14ac:dyDescent="0.25">
      <c r="A63" s="24"/>
      <c r="B63" s="25" t="s">
        <v>47</v>
      </c>
      <c r="C63" s="26"/>
      <c r="D63" s="27"/>
      <c r="E63" s="27"/>
      <c r="F63" s="27"/>
      <c r="G63" s="27"/>
      <c r="H63" s="26"/>
      <c r="I63" s="26"/>
      <c r="J63" s="22">
        <f>0.13*G62*20062.02/100</f>
        <v>0</v>
      </c>
      <c r="K63" s="26"/>
    </row>
    <row r="64" spans="1:11" s="10" customFormat="1" x14ac:dyDescent="0.25">
      <c r="A64" s="24"/>
      <c r="B64" s="25" t="s">
        <v>48</v>
      </c>
      <c r="C64" s="26"/>
      <c r="D64" s="27"/>
      <c r="E64" s="27"/>
      <c r="F64" s="27"/>
      <c r="G64" s="27"/>
      <c r="H64" s="26"/>
      <c r="I64" s="26"/>
      <c r="J64" s="22">
        <f>0.13*G62*13328.25/100</f>
        <v>0</v>
      </c>
      <c r="K64" s="26"/>
    </row>
    <row r="65" spans="1:13" s="10" customFormat="1" x14ac:dyDescent="0.25">
      <c r="A65" s="24"/>
      <c r="B65" s="25" t="s">
        <v>49</v>
      </c>
      <c r="C65" s="26"/>
      <c r="D65" s="27"/>
      <c r="E65" s="27"/>
      <c r="F65" s="27"/>
      <c r="G65" s="27"/>
      <c r="H65" s="26"/>
      <c r="I65" s="26"/>
      <c r="J65" s="22">
        <f>0.13*G62*10137.6/100</f>
        <v>0</v>
      </c>
      <c r="K65" s="26"/>
    </row>
    <row r="66" spans="1:13" x14ac:dyDescent="0.25">
      <c r="A66" s="15"/>
      <c r="B66" s="25" t="s">
        <v>50</v>
      </c>
      <c r="C66" s="15"/>
      <c r="D66" s="3"/>
      <c r="E66" s="3"/>
      <c r="F66" s="3"/>
      <c r="G66" s="3"/>
      <c r="H66" s="15"/>
      <c r="I66" s="15"/>
      <c r="J66" s="22">
        <f>0.13*G62*3300/100</f>
        <v>0</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520268.58119831659</v>
      </c>
      <c r="K151" s="36"/>
    </row>
    <row r="152" spans="1:11" s="10" customFormat="1" x14ac:dyDescent="0.25"/>
    <row r="153" spans="1:11" s="44" customFormat="1" x14ac:dyDescent="0.25">
      <c r="A153" s="37"/>
      <c r="B153" s="38" t="s">
        <v>19</v>
      </c>
      <c r="C153" s="47">
        <f>J151</f>
        <v>520268.58119831659</v>
      </c>
      <c r="D153" s="48"/>
      <c r="E153" s="39">
        <v>100</v>
      </c>
      <c r="F153" s="37"/>
      <c r="G153" s="40"/>
      <c r="H153" s="37"/>
      <c r="I153" s="41"/>
      <c r="J153" s="42"/>
      <c r="K153" s="43"/>
    </row>
    <row r="154" spans="1:11" s="10" customFormat="1" x14ac:dyDescent="0.25">
      <c r="B154" s="38" t="s">
        <v>21</v>
      </c>
      <c r="C154" s="49">
        <v>700000</v>
      </c>
      <c r="D154" s="50"/>
      <c r="E154" s="39"/>
    </row>
    <row r="155" spans="1:11" s="10" customFormat="1" x14ac:dyDescent="0.25">
      <c r="B155" s="38" t="s">
        <v>22</v>
      </c>
      <c r="C155" s="49">
        <f>C154-C157-C158</f>
        <v>665000</v>
      </c>
      <c r="D155" s="50"/>
      <c r="E155" s="39">
        <f>C155/C153*100</f>
        <v>127.81859678482381</v>
      </c>
    </row>
    <row r="156" spans="1:11" s="10" customFormat="1" x14ac:dyDescent="0.25">
      <c r="B156" s="38" t="s">
        <v>26</v>
      </c>
      <c r="C156" s="51">
        <f>C153-C155</f>
        <v>-144731.41880168341</v>
      </c>
      <c r="D156" s="51"/>
      <c r="E156" s="39">
        <f>100-E155</f>
        <v>-27.818596784823811</v>
      </c>
    </row>
    <row r="157" spans="1:11" s="10" customFormat="1" x14ac:dyDescent="0.25">
      <c r="B157" s="38" t="s">
        <v>23</v>
      </c>
      <c r="C157" s="47">
        <f>C154*0.03</f>
        <v>21000</v>
      </c>
      <c r="D157" s="48"/>
      <c r="E157" s="39">
        <v>3</v>
      </c>
    </row>
    <row r="158" spans="1:11" s="10" customFormat="1" x14ac:dyDescent="0.25">
      <c r="B158" s="38" t="s">
        <v>24</v>
      </c>
      <c r="C158" s="47">
        <f>C154*0.02</f>
        <v>14000</v>
      </c>
      <c r="D158" s="48"/>
      <c r="E158" s="39">
        <v>2</v>
      </c>
    </row>
  </sheetData>
  <mergeCells count="15">
    <mergeCell ref="A7:F7"/>
    <mergeCell ref="H7:K7"/>
    <mergeCell ref="A1:K1"/>
    <mergeCell ref="A2:K2"/>
    <mergeCell ref="A3:K3"/>
    <mergeCell ref="A4:K4"/>
    <mergeCell ref="A5:K5"/>
    <mergeCell ref="A6:F6"/>
    <mergeCell ref="H6:K6"/>
    <mergeCell ref="C158:D158"/>
    <mergeCell ref="C153:D153"/>
    <mergeCell ref="C154:D154"/>
    <mergeCell ref="C155:D155"/>
    <mergeCell ref="C156:D156"/>
    <mergeCell ref="C157:D157"/>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3"/>
  <sheetViews>
    <sheetView tabSelected="1" topLeftCell="A23" zoomScaleNormal="100" workbookViewId="0">
      <selection activeCell="A44" sqref="A44"/>
    </sheetView>
  </sheetViews>
  <sheetFormatPr defaultColWidth="9.140625" defaultRowHeight="15" x14ac:dyDescent="0.25"/>
  <cols>
    <col min="1" max="1" width="4.7109375"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4" t="s">
        <v>0</v>
      </c>
      <c r="B1" s="54"/>
      <c r="C1" s="54"/>
      <c r="D1" s="54"/>
      <c r="E1" s="54"/>
      <c r="F1" s="54"/>
      <c r="G1" s="54"/>
      <c r="H1" s="54"/>
      <c r="I1" s="54"/>
      <c r="J1" s="54"/>
      <c r="K1" s="54"/>
    </row>
    <row r="2" spans="1:11" ht="22.5" x14ac:dyDescent="0.25">
      <c r="A2" s="55" t="s">
        <v>1</v>
      </c>
      <c r="B2" s="55"/>
      <c r="C2" s="55"/>
      <c r="D2" s="55"/>
      <c r="E2" s="55"/>
      <c r="F2" s="55"/>
      <c r="G2" s="55"/>
      <c r="H2" s="55"/>
      <c r="I2" s="55"/>
      <c r="J2" s="55"/>
      <c r="K2" s="55"/>
    </row>
    <row r="3" spans="1:11" x14ac:dyDescent="0.25">
      <c r="A3" s="56" t="s">
        <v>2</v>
      </c>
      <c r="B3" s="56"/>
      <c r="C3" s="56"/>
      <c r="D3" s="56"/>
      <c r="E3" s="56"/>
      <c r="F3" s="56"/>
      <c r="G3" s="56"/>
      <c r="H3" s="56"/>
      <c r="I3" s="56"/>
      <c r="J3" s="56"/>
      <c r="K3" s="56"/>
    </row>
    <row r="4" spans="1:11" x14ac:dyDescent="0.25">
      <c r="A4" s="56" t="s">
        <v>3</v>
      </c>
      <c r="B4" s="56"/>
      <c r="C4" s="56"/>
      <c r="D4" s="56"/>
      <c r="E4" s="56"/>
      <c r="F4" s="56"/>
      <c r="G4" s="56"/>
      <c r="H4" s="56"/>
      <c r="I4" s="56"/>
      <c r="J4" s="56"/>
      <c r="K4" s="56"/>
    </row>
    <row r="5" spans="1:11" ht="18.75" x14ac:dyDescent="0.3">
      <c r="A5" s="57" t="s">
        <v>4</v>
      </c>
      <c r="B5" s="57"/>
      <c r="C5" s="57"/>
      <c r="D5" s="57"/>
      <c r="E5" s="57"/>
      <c r="F5" s="57"/>
      <c r="G5" s="57"/>
      <c r="H5" s="57"/>
      <c r="I5" s="57"/>
      <c r="J5" s="57"/>
      <c r="K5" s="57"/>
    </row>
    <row r="6" spans="1:11" ht="15.75" x14ac:dyDescent="0.25">
      <c r="A6" s="58" t="s">
        <v>86</v>
      </c>
      <c r="B6" s="58"/>
      <c r="C6" s="58"/>
      <c r="D6" s="58"/>
      <c r="E6" s="58"/>
      <c r="F6" s="58"/>
      <c r="G6" s="4"/>
      <c r="H6" s="59" t="s">
        <v>25</v>
      </c>
      <c r="I6" s="59"/>
      <c r="J6" s="59"/>
      <c r="K6" s="59"/>
    </row>
    <row r="7" spans="1:11" ht="15.75" x14ac:dyDescent="0.25">
      <c r="A7" s="52" t="s">
        <v>29</v>
      </c>
      <c r="B7" s="52"/>
      <c r="C7" s="52"/>
      <c r="D7" s="52"/>
      <c r="E7" s="52"/>
      <c r="F7" s="52"/>
      <c r="G7" s="5"/>
      <c r="H7" s="53" t="s">
        <v>88</v>
      </c>
      <c r="I7" s="53"/>
      <c r="J7" s="53"/>
      <c r="K7" s="53"/>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61.5" x14ac:dyDescent="0.25">
      <c r="A9" s="11">
        <v>1</v>
      </c>
      <c r="B9" s="28" t="s">
        <v>94</v>
      </c>
      <c r="C9" s="13"/>
      <c r="D9" s="23"/>
      <c r="E9" s="23"/>
      <c r="F9" s="23"/>
      <c r="G9" s="23"/>
      <c r="H9" s="13"/>
      <c r="I9" s="13"/>
      <c r="J9" s="13"/>
      <c r="K9" s="13"/>
    </row>
    <row r="10" spans="1:11" x14ac:dyDescent="0.25">
      <c r="A10" s="15"/>
      <c r="B10" s="16" t="s">
        <v>89</v>
      </c>
      <c r="C10" s="15">
        <v>2</v>
      </c>
      <c r="D10" s="3">
        <f>(272+272)/12/3.281</f>
        <v>13.81692573402418</v>
      </c>
      <c r="E10" s="3"/>
      <c r="F10" s="3">
        <v>0.75</v>
      </c>
      <c r="G10" s="3">
        <f>PRODUCT(C10:F10)</f>
        <v>20.725388601036268</v>
      </c>
      <c r="H10" s="15"/>
      <c r="I10" s="15"/>
      <c r="J10" s="15"/>
      <c r="K10" s="15"/>
    </row>
    <row r="11" spans="1:11" x14ac:dyDescent="0.25">
      <c r="A11" s="15"/>
      <c r="B11" s="16" t="s">
        <v>92</v>
      </c>
      <c r="C11" s="15">
        <v>2</v>
      </c>
      <c r="D11" s="3">
        <f>236/12/3.281</f>
        <v>5.9941074875546079</v>
      </c>
      <c r="E11" s="3"/>
      <c r="F11" s="3">
        <v>0.75</v>
      </c>
      <c r="G11" s="3">
        <f t="shared" ref="G11" si="0">PRODUCT(C11:F11)</f>
        <v>8.9911612313319118</v>
      </c>
      <c r="H11" s="15"/>
      <c r="I11" s="15"/>
      <c r="J11" s="15"/>
      <c r="K11" s="15"/>
    </row>
    <row r="12" spans="1:11" s="10" customFormat="1" ht="15" customHeight="1" x14ac:dyDescent="0.25">
      <c r="A12" s="17"/>
      <c r="B12" s="18" t="s">
        <v>16</v>
      </c>
      <c r="C12" s="19"/>
      <c r="D12" s="1"/>
      <c r="E12" s="20"/>
      <c r="F12" s="20"/>
      <c r="G12" s="2">
        <f>SUM(G10:G11)</f>
        <v>29.71654983236818</v>
      </c>
      <c r="H12" s="21" t="s">
        <v>34</v>
      </c>
      <c r="I12" s="2">
        <v>9949.51</v>
      </c>
      <c r="J12" s="22">
        <f>G12*I12</f>
        <v>295665.10972264555</v>
      </c>
      <c r="K12" s="20"/>
    </row>
    <row r="13" spans="1:11" s="10" customFormat="1" x14ac:dyDescent="0.25">
      <c r="A13" s="24"/>
      <c r="B13" s="25" t="s">
        <v>96</v>
      </c>
      <c r="C13" s="26"/>
      <c r="D13" s="27"/>
      <c r="E13" s="27"/>
      <c r="F13" s="27"/>
      <c r="G13" s="27"/>
      <c r="H13" s="26"/>
      <c r="I13" s="26"/>
      <c r="J13" s="22">
        <f>0.13*G12*90530.95/10</f>
        <v>34973.47733160622</v>
      </c>
      <c r="K13" s="26"/>
    </row>
    <row r="14" spans="1:11" s="10" customFormat="1" x14ac:dyDescent="0.25">
      <c r="A14" s="24"/>
      <c r="B14" s="25" t="s">
        <v>95</v>
      </c>
      <c r="C14" s="26"/>
      <c r="D14" s="27"/>
      <c r="E14" s="27"/>
      <c r="F14" s="27"/>
      <c r="G14" s="27"/>
      <c r="H14" s="26"/>
      <c r="I14" s="26"/>
      <c r="J14" s="22">
        <f>0.13*G12*264/10</f>
        <v>101.98719902468761</v>
      </c>
      <c r="K14" s="26"/>
    </row>
    <row r="15" spans="1:11" x14ac:dyDescent="0.25">
      <c r="A15" s="15"/>
      <c r="B15" s="15"/>
      <c r="C15" s="15"/>
      <c r="D15" s="3"/>
      <c r="E15" s="3"/>
      <c r="F15" s="3"/>
      <c r="G15" s="3"/>
      <c r="H15" s="15"/>
      <c r="I15" s="15"/>
      <c r="J15" s="15"/>
      <c r="K15" s="15"/>
    </row>
    <row r="16" spans="1:11" s="14" customFormat="1" ht="30" x14ac:dyDescent="0.25">
      <c r="A16" s="11">
        <v>2</v>
      </c>
      <c r="B16" s="28" t="s">
        <v>97</v>
      </c>
      <c r="C16" s="13"/>
      <c r="D16" s="23"/>
      <c r="E16" s="23"/>
      <c r="F16" s="23"/>
      <c r="G16" s="23"/>
      <c r="H16" s="13"/>
      <c r="I16" s="13"/>
      <c r="J16" s="13"/>
      <c r="K16" s="13"/>
    </row>
    <row r="17" spans="1:11" x14ac:dyDescent="0.25">
      <c r="A17" s="15"/>
      <c r="B17" s="16" t="s">
        <v>98</v>
      </c>
      <c r="C17" s="15">
        <v>1</v>
      </c>
      <c r="D17" s="3">
        <f>35.083/3.281</f>
        <v>10.692776592502286</v>
      </c>
      <c r="E17" s="3">
        <f>236/12/3.281</f>
        <v>5.9941074875546079</v>
      </c>
      <c r="F17" s="3"/>
      <c r="G17" s="3">
        <f>PRODUCT(C17:F17)</f>
        <v>64.0936522358666</v>
      </c>
      <c r="H17" s="15"/>
      <c r="I17" s="15"/>
      <c r="J17" s="15"/>
      <c r="K17" s="15"/>
    </row>
    <row r="18" spans="1:11" s="10" customFormat="1" ht="15" customHeight="1" x14ac:dyDescent="0.25">
      <c r="A18" s="17"/>
      <c r="B18" s="18" t="s">
        <v>16</v>
      </c>
      <c r="C18" s="19"/>
      <c r="D18" s="1"/>
      <c r="E18" s="20"/>
      <c r="F18" s="20"/>
      <c r="G18" s="2">
        <f>SUM(G17:G17)</f>
        <v>64.0936522358666</v>
      </c>
      <c r="H18" s="21" t="s">
        <v>34</v>
      </c>
      <c r="I18" s="2">
        <v>2808.56</v>
      </c>
      <c r="J18" s="22">
        <f>G18*I18</f>
        <v>180010.8679235655</v>
      </c>
      <c r="K18" s="20"/>
    </row>
    <row r="19" spans="1:11" s="10" customFormat="1" x14ac:dyDescent="0.25">
      <c r="A19" s="24"/>
      <c r="B19" s="25" t="s">
        <v>99</v>
      </c>
      <c r="C19" s="26"/>
      <c r="D19" s="27"/>
      <c r="E19" s="27"/>
      <c r="F19" s="27"/>
      <c r="G19" s="27"/>
      <c r="H19" s="26"/>
      <c r="I19" s="26"/>
      <c r="J19" s="22">
        <f>0.13*G18*24855.6/10</f>
        <v>20710.120372679477</v>
      </c>
      <c r="K19" s="26"/>
    </row>
    <row r="20" spans="1:11" s="10" customFormat="1" x14ac:dyDescent="0.25">
      <c r="A20" s="24"/>
      <c r="B20" s="25" t="s">
        <v>101</v>
      </c>
      <c r="C20" s="26"/>
      <c r="D20" s="27"/>
      <c r="E20" s="27"/>
      <c r="F20" s="27"/>
      <c r="G20" s="27"/>
      <c r="H20" s="26"/>
      <c r="I20" s="26"/>
      <c r="J20" s="22">
        <f>0.13*G18*50/10</f>
        <v>41.660873953313299</v>
      </c>
      <c r="K20" s="26"/>
    </row>
    <row r="21" spans="1:11" s="10" customFormat="1" x14ac:dyDescent="0.25">
      <c r="A21" s="24"/>
      <c r="B21" s="25" t="s">
        <v>100</v>
      </c>
      <c r="C21" s="26"/>
      <c r="D21" s="27"/>
      <c r="E21" s="27"/>
      <c r="F21" s="27"/>
      <c r="G21" s="27"/>
      <c r="H21" s="26"/>
      <c r="I21" s="26"/>
      <c r="J21" s="22">
        <f>0.13*G18*300/10</f>
        <v>249.96524371987977</v>
      </c>
      <c r="K21" s="26"/>
    </row>
    <row r="22" spans="1:11" x14ac:dyDescent="0.25">
      <c r="A22" s="15"/>
      <c r="B22" s="15"/>
      <c r="C22" s="15"/>
      <c r="D22" s="3"/>
      <c r="E22" s="3"/>
      <c r="F22" s="3"/>
      <c r="G22" s="3"/>
      <c r="H22" s="15"/>
      <c r="I22" s="15"/>
      <c r="J22" s="15"/>
      <c r="K22" s="15"/>
    </row>
    <row r="23" spans="1:11" ht="30" x14ac:dyDescent="0.25">
      <c r="A23" s="11">
        <v>3</v>
      </c>
      <c r="B23" s="28" t="s">
        <v>63</v>
      </c>
      <c r="C23" s="15"/>
      <c r="D23" s="15"/>
      <c r="E23" s="15"/>
      <c r="F23" s="15"/>
      <c r="G23" s="15"/>
      <c r="H23" s="15"/>
      <c r="I23" s="15"/>
      <c r="J23" s="15"/>
      <c r="K23" s="15"/>
    </row>
    <row r="24" spans="1:11" x14ac:dyDescent="0.25">
      <c r="A24" s="15"/>
      <c r="B24" s="16" t="s">
        <v>89</v>
      </c>
      <c r="C24" s="3">
        <v>2</v>
      </c>
      <c r="D24" s="3">
        <f>(48.5/3.281)</f>
        <v>14.782078634562632</v>
      </c>
      <c r="E24" s="3">
        <v>0.23</v>
      </c>
      <c r="F24" s="3">
        <f>2.75/3.281</f>
        <v>0.8381590978360256</v>
      </c>
      <c r="G24" s="3">
        <f>PRODUCT(C24:F24)</f>
        <v>5.6992774985436547</v>
      </c>
      <c r="H24" s="15"/>
      <c r="I24" s="15"/>
      <c r="J24" s="15"/>
      <c r="K24" s="15"/>
    </row>
    <row r="25" spans="1:11" x14ac:dyDescent="0.25">
      <c r="A25" s="15"/>
      <c r="B25" s="16" t="s">
        <v>90</v>
      </c>
      <c r="C25" s="3">
        <f>-5*2</f>
        <v>-10</v>
      </c>
      <c r="D25" s="3">
        <v>0.35</v>
      </c>
      <c r="E25" s="3">
        <v>0.23</v>
      </c>
      <c r="F25" s="3">
        <f>2.75/3.281</f>
        <v>0.8381590978360256</v>
      </c>
      <c r="G25" s="3">
        <f t="shared" ref="G25" si="1">PRODUCT(C25:F25)</f>
        <v>-0.67471807375800064</v>
      </c>
      <c r="H25" s="15"/>
      <c r="I25" s="15"/>
      <c r="J25" s="15"/>
      <c r="K25" s="15"/>
    </row>
    <row r="26" spans="1:11" x14ac:dyDescent="0.25">
      <c r="A26" s="15"/>
      <c r="B26" s="16" t="s">
        <v>91</v>
      </c>
      <c r="C26" s="3">
        <f>5*2</f>
        <v>10</v>
      </c>
      <c r="D26" s="3">
        <v>0.35</v>
      </c>
      <c r="E26" s="3">
        <v>0.35</v>
      </c>
      <c r="F26" s="3">
        <f>2.75/3.281</f>
        <v>0.8381590978360256</v>
      </c>
      <c r="G26" s="3">
        <f t="shared" ref="G26" si="2">PRODUCT(C26:F26)</f>
        <v>1.0267448948491313</v>
      </c>
      <c r="H26" s="15"/>
      <c r="I26" s="15"/>
      <c r="J26" s="15"/>
      <c r="K26" s="15"/>
    </row>
    <row r="27" spans="1:11" x14ac:dyDescent="0.25">
      <c r="A27" s="15"/>
      <c r="B27" s="16" t="s">
        <v>92</v>
      </c>
      <c r="C27" s="3">
        <v>2</v>
      </c>
      <c r="D27" s="3">
        <f>((21.5-1.25*3)/3.281)</f>
        <v>5.4099359951234378</v>
      </c>
      <c r="E27" s="3">
        <v>0.23</v>
      </c>
      <c r="F27" s="3">
        <f>2.75/3.281</f>
        <v>0.8381590978360256</v>
      </c>
      <c r="G27" s="3">
        <f>PRODUCT(C27:F27)</f>
        <v>2.0858180535907187</v>
      </c>
      <c r="H27" s="15"/>
      <c r="I27" s="15"/>
      <c r="J27" s="15"/>
      <c r="K27" s="15"/>
    </row>
    <row r="28" spans="1:11" x14ac:dyDescent="0.25">
      <c r="A28" s="15"/>
      <c r="B28" s="16" t="s">
        <v>91</v>
      </c>
      <c r="C28" s="3">
        <v>1</v>
      </c>
      <c r="D28" s="3">
        <v>0.35</v>
      </c>
      <c r="E28" s="3">
        <v>0.35</v>
      </c>
      <c r="F28" s="3">
        <f>2.75/3.281</f>
        <v>0.8381590978360256</v>
      </c>
      <c r="G28" s="3">
        <f>PRODUCT(C28:F28)</f>
        <v>0.10267448948491312</v>
      </c>
      <c r="H28" s="15"/>
      <c r="I28" s="15"/>
      <c r="J28" s="15"/>
      <c r="K28" s="15"/>
    </row>
    <row r="29" spans="1:11" x14ac:dyDescent="0.25">
      <c r="A29" s="15"/>
      <c r="B29" s="16" t="s">
        <v>90</v>
      </c>
      <c r="C29" s="3">
        <f>-5*2</f>
        <v>-10</v>
      </c>
      <c r="D29" s="3">
        <v>0.35</v>
      </c>
      <c r="E29" s="3">
        <v>0.23</v>
      </c>
      <c r="F29" s="3">
        <f>2.75/3.281</f>
        <v>0.8381590978360256</v>
      </c>
      <c r="G29" s="3">
        <f t="shared" ref="G29" si="3">PRODUCT(C29:F29)</f>
        <v>-0.67471807375800064</v>
      </c>
      <c r="H29" s="15"/>
      <c r="I29" s="15"/>
      <c r="J29" s="15"/>
      <c r="K29" s="15"/>
    </row>
    <row r="30" spans="1:11" s="10" customFormat="1" ht="15" customHeight="1" x14ac:dyDescent="0.25">
      <c r="A30" s="17"/>
      <c r="B30" s="18" t="s">
        <v>16</v>
      </c>
      <c r="C30" s="19"/>
      <c r="D30" s="1"/>
      <c r="E30" s="20"/>
      <c r="F30" s="20"/>
      <c r="G30" s="2">
        <f>SUM(G24:G29)</f>
        <v>7.565078788952416</v>
      </c>
      <c r="H30" s="21" t="s">
        <v>28</v>
      </c>
      <c r="I30" s="2">
        <f>14491.84</f>
        <v>14491.84</v>
      </c>
      <c r="J30" s="22">
        <f>G30*I30</f>
        <v>109631.91139689219</v>
      </c>
      <c r="K30" s="20"/>
    </row>
    <row r="31" spans="1:11" s="10" customFormat="1" x14ac:dyDescent="0.25">
      <c r="A31" s="24"/>
      <c r="B31" s="25" t="s">
        <v>55</v>
      </c>
      <c r="C31" s="26"/>
      <c r="D31" s="27"/>
      <c r="E31" s="27"/>
      <c r="F31" s="27"/>
      <c r="G31" s="27"/>
      <c r="H31" s="26"/>
      <c r="I31" s="26"/>
      <c r="J31" s="22">
        <f>0.13*G30*8481.2</f>
        <v>8340.9230092322214</v>
      </c>
      <c r="K31" s="26"/>
    </row>
    <row r="32" spans="1:11" s="10" customFormat="1" x14ac:dyDescent="0.25">
      <c r="A32" s="24"/>
      <c r="B32" s="25" t="s">
        <v>32</v>
      </c>
      <c r="C32" s="26"/>
      <c r="D32" s="27"/>
      <c r="E32" s="27"/>
      <c r="F32" s="27"/>
      <c r="G32" s="27"/>
      <c r="H32" s="26"/>
      <c r="I32" s="26"/>
      <c r="J32" s="22">
        <f>0.13*G30*912.17</f>
        <v>897.08292945943435</v>
      </c>
      <c r="K32" s="26"/>
    </row>
    <row r="33" spans="1:11" s="10" customFormat="1" x14ac:dyDescent="0.25">
      <c r="A33" s="24"/>
      <c r="B33" s="25" t="s">
        <v>64</v>
      </c>
      <c r="C33" s="26"/>
      <c r="D33" s="27"/>
      <c r="E33" s="27"/>
      <c r="F33" s="27"/>
      <c r="G33" s="27"/>
      <c r="H33" s="26"/>
      <c r="I33" s="26"/>
      <c r="J33" s="22">
        <f>0.13*G30*953.37</f>
        <v>937.60149145306355</v>
      </c>
      <c r="K33" s="26"/>
    </row>
    <row r="34" spans="1:11" s="10" customFormat="1" x14ac:dyDescent="0.25">
      <c r="A34" s="24"/>
      <c r="B34" s="25" t="s">
        <v>36</v>
      </c>
      <c r="C34" s="26"/>
      <c r="D34" s="27"/>
      <c r="E34" s="27"/>
      <c r="F34" s="27"/>
      <c r="G34" s="27"/>
      <c r="H34" s="26"/>
      <c r="I34" s="26"/>
      <c r="J34" s="22">
        <f>0.13*G30*28</f>
        <v>27.536886791786795</v>
      </c>
      <c r="K34" s="26"/>
    </row>
    <row r="35" spans="1:11" s="10" customFormat="1" x14ac:dyDescent="0.25">
      <c r="A35" s="24"/>
      <c r="B35" s="25"/>
      <c r="C35" s="26"/>
      <c r="D35" s="27"/>
      <c r="E35" s="27"/>
      <c r="F35" s="27"/>
      <c r="G35" s="27"/>
      <c r="H35" s="26"/>
      <c r="I35" s="26"/>
      <c r="J35" s="22"/>
      <c r="K35" s="26"/>
    </row>
    <row r="36" spans="1:11" ht="30" x14ac:dyDescent="0.25">
      <c r="A36" s="15">
        <v>4</v>
      </c>
      <c r="B36" s="28" t="s">
        <v>93</v>
      </c>
      <c r="C36" s="15"/>
      <c r="D36" s="15"/>
      <c r="E36" s="15"/>
      <c r="F36" s="15"/>
      <c r="G36" s="15"/>
      <c r="H36" s="15"/>
      <c r="I36" s="15"/>
      <c r="J36" s="15"/>
      <c r="K36" s="15"/>
    </row>
    <row r="37" spans="1:11" x14ac:dyDescent="0.25">
      <c r="A37" s="15"/>
      <c r="B37" s="16" t="s">
        <v>92</v>
      </c>
      <c r="C37" s="3">
        <f>2*2</f>
        <v>4</v>
      </c>
      <c r="D37" s="3">
        <f>11.33/3.281</f>
        <v>3.4532154830844255</v>
      </c>
      <c r="E37" s="3">
        <v>0.1</v>
      </c>
      <c r="F37" s="3">
        <f>3.5/3.281</f>
        <v>1.0667479427003961</v>
      </c>
      <c r="G37" s="3">
        <f>PRODUCT(C37:F37)</f>
        <v>1.4734842049125862</v>
      </c>
      <c r="H37" s="15"/>
      <c r="I37" s="15"/>
      <c r="J37" s="15"/>
      <c r="K37" s="15"/>
    </row>
    <row r="38" spans="1:11" s="10" customFormat="1" ht="15" customHeight="1" x14ac:dyDescent="0.25">
      <c r="A38" s="17"/>
      <c r="B38" s="18" t="s">
        <v>16</v>
      </c>
      <c r="C38" s="19"/>
      <c r="D38" s="1"/>
      <c r="E38" s="20"/>
      <c r="F38" s="20"/>
      <c r="G38" s="2">
        <f>SUM(G37:G37)</f>
        <v>1.4734842049125862</v>
      </c>
      <c r="H38" s="21" t="s">
        <v>28</v>
      </c>
      <c r="I38" s="2">
        <v>14827.62</v>
      </c>
      <c r="J38" s="22">
        <f>G38*I38</f>
        <v>21848.263866445963</v>
      </c>
      <c r="K38" s="20"/>
    </row>
    <row r="39" spans="1:11" s="10" customFormat="1" x14ac:dyDescent="0.25">
      <c r="A39" s="24"/>
      <c r="B39" s="25" t="s">
        <v>55</v>
      </c>
      <c r="C39" s="26"/>
      <c r="D39" s="27"/>
      <c r="E39" s="27"/>
      <c r="F39" s="27"/>
      <c r="G39" s="27"/>
      <c r="H39" s="26"/>
      <c r="I39" s="26"/>
      <c r="J39" s="22">
        <f>0.13*G38*8481.2</f>
        <v>1624.5988510316017</v>
      </c>
      <c r="K39" s="26"/>
    </row>
    <row r="40" spans="1:11" s="10" customFormat="1" x14ac:dyDescent="0.25">
      <c r="A40" s="24"/>
      <c r="B40" s="25" t="s">
        <v>32</v>
      </c>
      <c r="C40" s="26"/>
      <c r="D40" s="27"/>
      <c r="E40" s="27"/>
      <c r="F40" s="27"/>
      <c r="G40" s="27"/>
      <c r="H40" s="26"/>
      <c r="I40" s="26"/>
      <c r="J40" s="22">
        <f>0.13*G38*1303.1</f>
        <v>249.61264476480684</v>
      </c>
      <c r="K40" s="26"/>
    </row>
    <row r="41" spans="1:11" s="10" customFormat="1" x14ac:dyDescent="0.25">
      <c r="A41" s="24"/>
      <c r="B41" s="25" t="s">
        <v>64</v>
      </c>
      <c r="C41" s="26"/>
      <c r="D41" s="27"/>
      <c r="E41" s="27"/>
      <c r="F41" s="27"/>
      <c r="G41" s="27"/>
      <c r="H41" s="26"/>
      <c r="I41" s="26"/>
      <c r="J41" s="22">
        <f>0.13*G38*889.81</f>
        <v>170.44572744852491</v>
      </c>
      <c r="K41" s="26"/>
    </row>
    <row r="42" spans="1:11" s="10" customFormat="1" x14ac:dyDescent="0.25">
      <c r="A42" s="24"/>
      <c r="B42" s="25" t="s">
        <v>36</v>
      </c>
      <c r="C42" s="26"/>
      <c r="D42" s="27"/>
      <c r="E42" s="27"/>
      <c r="F42" s="27"/>
      <c r="G42" s="27"/>
      <c r="H42" s="26"/>
      <c r="I42" s="26"/>
      <c r="J42" s="22">
        <f>0.13*G38*36.4</f>
        <v>6.9725272576463588</v>
      </c>
      <c r="K42" s="26"/>
    </row>
    <row r="43" spans="1:11" s="10" customFormat="1" x14ac:dyDescent="0.25">
      <c r="A43" s="24"/>
      <c r="B43" s="25"/>
      <c r="C43" s="26"/>
      <c r="D43" s="27"/>
      <c r="E43" s="27"/>
      <c r="F43" s="27"/>
      <c r="G43" s="27"/>
      <c r="H43" s="26"/>
      <c r="I43" s="26"/>
      <c r="J43" s="22"/>
      <c r="K43" s="26"/>
    </row>
    <row r="44" spans="1:11" s="10" customFormat="1" ht="15" customHeight="1" x14ac:dyDescent="0.25">
      <c r="A44" s="17">
        <v>15</v>
      </c>
      <c r="B44" s="30" t="s">
        <v>17</v>
      </c>
      <c r="C44" s="19">
        <v>1</v>
      </c>
      <c r="D44" s="1"/>
      <c r="E44" s="20"/>
      <c r="F44" s="20"/>
      <c r="G44" s="21">
        <f t="shared" ref="G44" si="4">PRODUCT(C44:F44)</f>
        <v>1</v>
      </c>
      <c r="H44" s="21" t="s">
        <v>18</v>
      </c>
      <c r="I44" s="2">
        <v>500</v>
      </c>
      <c r="J44" s="21">
        <f>G44*I44</f>
        <v>500</v>
      </c>
      <c r="K44" s="20"/>
    </row>
    <row r="45" spans="1:11" s="10" customFormat="1" x14ac:dyDescent="0.25">
      <c r="A45" s="17"/>
      <c r="B45" s="31"/>
      <c r="C45" s="19"/>
      <c r="D45" s="1"/>
      <c r="E45" s="20"/>
      <c r="F45" s="20"/>
      <c r="G45" s="2"/>
      <c r="H45" s="21"/>
      <c r="I45" s="2"/>
      <c r="J45" s="22"/>
      <c r="K45" s="20"/>
    </row>
    <row r="46" spans="1:11" s="10" customFormat="1" x14ac:dyDescent="0.25">
      <c r="A46" s="32"/>
      <c r="B46" s="33" t="s">
        <v>20</v>
      </c>
      <c r="C46" s="34"/>
      <c r="D46" s="35"/>
      <c r="E46" s="35"/>
      <c r="F46" s="35"/>
      <c r="G46" s="22"/>
      <c r="H46" s="22"/>
      <c r="I46" s="22"/>
      <c r="J46" s="22">
        <f>SUM(J9:J44)</f>
        <v>675988.13799797196</v>
      </c>
      <c r="K46" s="36"/>
    </row>
    <row r="47" spans="1:11" s="10" customFormat="1" x14ac:dyDescent="0.25"/>
    <row r="48" spans="1:11" s="44" customFormat="1" x14ac:dyDescent="0.25">
      <c r="A48" s="37"/>
      <c r="B48" s="38" t="s">
        <v>19</v>
      </c>
      <c r="C48" s="47">
        <f>J46</f>
        <v>675988.13799797196</v>
      </c>
      <c r="D48" s="48"/>
      <c r="E48" s="39">
        <v>100</v>
      </c>
      <c r="F48" s="37"/>
      <c r="G48" s="40"/>
      <c r="H48" s="37"/>
      <c r="I48" s="41"/>
      <c r="J48" s="42"/>
      <c r="K48" s="43"/>
    </row>
    <row r="49" spans="2:5" s="10" customFormat="1" x14ac:dyDescent="0.25">
      <c r="B49" s="38" t="s">
        <v>21</v>
      </c>
      <c r="C49" s="49">
        <v>700000</v>
      </c>
      <c r="D49" s="50"/>
      <c r="E49" s="39"/>
    </row>
    <row r="50" spans="2:5" s="10" customFormat="1" x14ac:dyDescent="0.25">
      <c r="B50" s="38" t="s">
        <v>22</v>
      </c>
      <c r="C50" s="49">
        <f>C49-C52-C53</f>
        <v>665000</v>
      </c>
      <c r="D50" s="50"/>
      <c r="E50" s="39">
        <f>C50/C48*100</f>
        <v>98.374507276042621</v>
      </c>
    </row>
    <row r="51" spans="2:5" s="10" customFormat="1" x14ac:dyDescent="0.25">
      <c r="B51" s="38" t="s">
        <v>26</v>
      </c>
      <c r="C51" s="51">
        <f>C48-C50</f>
        <v>10988.137997971964</v>
      </c>
      <c r="D51" s="51"/>
      <c r="E51" s="39">
        <f>100-E50</f>
        <v>1.6254927239573789</v>
      </c>
    </row>
    <row r="52" spans="2:5" s="10" customFormat="1" x14ac:dyDescent="0.25">
      <c r="B52" s="38" t="s">
        <v>23</v>
      </c>
      <c r="C52" s="47">
        <f>C49*0.03</f>
        <v>21000</v>
      </c>
      <c r="D52" s="48"/>
      <c r="E52" s="39">
        <v>3</v>
      </c>
    </row>
    <row r="53" spans="2:5" s="10" customFormat="1" x14ac:dyDescent="0.25">
      <c r="B53" s="38" t="s">
        <v>24</v>
      </c>
      <c r="C53" s="47">
        <f>C49*0.02</f>
        <v>14000</v>
      </c>
      <c r="D53" s="48"/>
      <c r="E53" s="39">
        <v>2</v>
      </c>
    </row>
  </sheetData>
  <mergeCells count="15">
    <mergeCell ref="A6:F6"/>
    <mergeCell ref="H6:K6"/>
    <mergeCell ref="A1:K1"/>
    <mergeCell ref="A2:K2"/>
    <mergeCell ref="A3:K3"/>
    <mergeCell ref="A4:K4"/>
    <mergeCell ref="A5:K5"/>
    <mergeCell ref="C52:D52"/>
    <mergeCell ref="C53:D53"/>
    <mergeCell ref="A7:F7"/>
    <mergeCell ref="H7:K7"/>
    <mergeCell ref="C48:D48"/>
    <mergeCell ref="C49:D49"/>
    <mergeCell ref="C50:D50"/>
    <mergeCell ref="C51:D51"/>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krishi</vt:lpstr>
      <vt:lpstr>estimate!Print_Area</vt:lpstr>
      <vt:lpstr>krishi!Print_Area</vt:lpstr>
      <vt:lpstr>estimate!Print_Titles</vt:lpstr>
      <vt:lpstr>krishi!Print_Titles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2026-03-10T02:18:27Z</dcterms:modified>
</cp:coreProperties>
</file>