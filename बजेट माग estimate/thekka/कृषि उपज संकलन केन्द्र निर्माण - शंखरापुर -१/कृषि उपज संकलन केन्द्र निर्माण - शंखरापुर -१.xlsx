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B28BCEBB-9567-465C-BDDB-4D8E34D9559D}" xr6:coauthVersionLast="47" xr6:coauthVersionMax="47" xr10:uidLastSave="{00000000-0000-0000-0000-000000000000}"/>
  <bookViews>
    <workbookView xWindow="-120" yWindow="-120" windowWidth="20730" windowHeight="11040" activeTab="1" xr2:uid="{00000000-000D-0000-FFFF-FFFF00000000}"/>
  </bookViews>
  <sheets>
    <sheet name="estimate" sheetId="13" r:id="rId1"/>
    <sheet name="krishi" sheetId="14"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estimate!$A$1:$K$158</definedName>
    <definedName name="_xlnm.Print_Area" localSheetId="1">krishi!$A$1:$K$54</definedName>
    <definedName name="_xlnm.Print_Titles" localSheetId="0">estimate!$1:$8</definedName>
    <definedName name="_xlnm.Print_Titles" localSheetId="1">krishi!$1:$8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4" i="14" l="1"/>
  <c r="C53" i="14"/>
  <c r="C51" i="14"/>
  <c r="G45" i="14"/>
  <c r="J45" i="14" s="1"/>
  <c r="G43" i="14"/>
  <c r="J43" i="14" s="1"/>
  <c r="F39" i="14"/>
  <c r="G39" i="14" s="1"/>
  <c r="G40" i="14" s="1"/>
  <c r="J40" i="14" s="1"/>
  <c r="J41" i="14" s="1"/>
  <c r="I32" i="14"/>
  <c r="F31" i="14"/>
  <c r="D31" i="14"/>
  <c r="G31" i="14" s="1"/>
  <c r="F30" i="14"/>
  <c r="D30" i="14"/>
  <c r="F28" i="14"/>
  <c r="D28" i="14"/>
  <c r="F27" i="14"/>
  <c r="D27" i="14"/>
  <c r="G27" i="14" s="1"/>
  <c r="B26" i="14"/>
  <c r="E18" i="14"/>
  <c r="C18" i="14"/>
  <c r="E17" i="14"/>
  <c r="C17" i="14"/>
  <c r="B17" i="14"/>
  <c r="C16" i="14"/>
  <c r="B16" i="14"/>
  <c r="F15" i="14"/>
  <c r="C15" i="14"/>
  <c r="B15" i="14"/>
  <c r="F14" i="14"/>
  <c r="C14" i="14"/>
  <c r="B14" i="14"/>
  <c r="F13" i="14"/>
  <c r="C13" i="14"/>
  <c r="B13" i="14"/>
  <c r="D12" i="14"/>
  <c r="C12" i="14"/>
  <c r="B12" i="14"/>
  <c r="F11" i="14"/>
  <c r="B11" i="14"/>
  <c r="C10" i="14"/>
  <c r="B10" i="14"/>
  <c r="F16" i="14"/>
  <c r="F10" i="14"/>
  <c r="G62" i="13"/>
  <c r="G44" i="13"/>
  <c r="G27" i="13"/>
  <c r="G18" i="13"/>
  <c r="G12" i="13"/>
  <c r="G88" i="13"/>
  <c r="G147" i="13"/>
  <c r="J147" i="13" s="1"/>
  <c r="E85" i="13"/>
  <c r="E86" i="13"/>
  <c r="F86" i="13"/>
  <c r="G86" i="13" s="1"/>
  <c r="E87" i="13"/>
  <c r="C85" i="13"/>
  <c r="C87" i="13" s="1"/>
  <c r="F87" i="13" s="1"/>
  <c r="G87" i="13" s="1"/>
  <c r="D86" i="13"/>
  <c r="F84" i="13"/>
  <c r="G84" i="13" s="1"/>
  <c r="E84" i="13"/>
  <c r="D84" i="13"/>
  <c r="E61" i="13"/>
  <c r="E60" i="13"/>
  <c r="C61" i="13"/>
  <c r="C60" i="13"/>
  <c r="B60" i="13"/>
  <c r="D43" i="13"/>
  <c r="G43" i="13" s="1"/>
  <c r="D42" i="13"/>
  <c r="G42" i="13" s="1"/>
  <c r="E83" i="13"/>
  <c r="E82" i="13"/>
  <c r="B82" i="13"/>
  <c r="F59" i="13"/>
  <c r="D83" i="13" s="1"/>
  <c r="C82" i="13" s="1"/>
  <c r="F82" i="13" s="1"/>
  <c r="G82" i="13" s="1"/>
  <c r="D59" i="13"/>
  <c r="D82" i="13" s="1"/>
  <c r="C83" i="13" s="1"/>
  <c r="C59" i="13"/>
  <c r="B59" i="13"/>
  <c r="G41" i="13"/>
  <c r="F41" i="13"/>
  <c r="D41" i="13"/>
  <c r="E81" i="13"/>
  <c r="D81" i="13"/>
  <c r="E80" i="13"/>
  <c r="D80" i="13"/>
  <c r="C81" i="13" s="1"/>
  <c r="F81" i="13" s="1"/>
  <c r="G81" i="13" s="1"/>
  <c r="C80" i="13"/>
  <c r="B80" i="13"/>
  <c r="F58" i="13"/>
  <c r="G58" i="13" s="1"/>
  <c r="D58" i="13"/>
  <c r="C58" i="13"/>
  <c r="B58" i="13"/>
  <c r="G40" i="13"/>
  <c r="D40" i="13"/>
  <c r="E79" i="13"/>
  <c r="D79" i="13"/>
  <c r="F78" i="13"/>
  <c r="G78" i="13" s="1"/>
  <c r="E78" i="13"/>
  <c r="D78" i="13"/>
  <c r="C78" i="13"/>
  <c r="B78" i="13"/>
  <c r="F57" i="13"/>
  <c r="C57" i="13"/>
  <c r="B57" i="13"/>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D18" i="14" l="1"/>
  <c r="G18" i="14" s="1"/>
  <c r="G30" i="14"/>
  <c r="G28" i="14"/>
  <c r="D29" i="14"/>
  <c r="G29" i="14" s="1"/>
  <c r="D17" i="14"/>
  <c r="G17" i="14" s="1"/>
  <c r="D16" i="14"/>
  <c r="D15" i="14"/>
  <c r="G15" i="14" s="1"/>
  <c r="F12" i="14"/>
  <c r="G12" i="14" s="1"/>
  <c r="D10" i="14"/>
  <c r="G10" i="14" s="1"/>
  <c r="F80" i="13"/>
  <c r="G80" i="13" s="1"/>
  <c r="G59" i="13"/>
  <c r="D60" i="13"/>
  <c r="G60" i="13" s="1"/>
  <c r="D61" i="13"/>
  <c r="G61" i="13" s="1"/>
  <c r="F83" i="13"/>
  <c r="G83" i="13" s="1"/>
  <c r="F85" i="13"/>
  <c r="G85" i="13" s="1"/>
  <c r="G116" i="13"/>
  <c r="D118" i="13"/>
  <c r="G118" i="13" s="1"/>
  <c r="J144" i="13"/>
  <c r="J145" i="13" s="1"/>
  <c r="C73" i="13"/>
  <c r="G131" i="13"/>
  <c r="G138" i="13"/>
  <c r="G139" i="13" s="1"/>
  <c r="G120" i="13"/>
  <c r="G129" i="13"/>
  <c r="G119" i="13"/>
  <c r="D26" i="13"/>
  <c r="G130" i="13"/>
  <c r="G102" i="13"/>
  <c r="G117" i="13"/>
  <c r="E109" i="13"/>
  <c r="F100" i="13"/>
  <c r="F128" i="13" s="1"/>
  <c r="G128" i="13" s="1"/>
  <c r="G103" i="13"/>
  <c r="G26" i="13"/>
  <c r="G11" i="13"/>
  <c r="G17" i="13"/>
  <c r="D16" i="13"/>
  <c r="D24" i="13" s="1"/>
  <c r="D35" i="13" s="1"/>
  <c r="D115" i="13" s="1"/>
  <c r="G25" i="13"/>
  <c r="C24" i="13"/>
  <c r="G16" i="14" l="1"/>
  <c r="J140" i="13"/>
  <c r="J139" i="13"/>
  <c r="G132" i="13"/>
  <c r="G16" i="13"/>
  <c r="D54" i="13"/>
  <c r="D38" i="13"/>
  <c r="G24" i="13"/>
  <c r="C35" i="13"/>
  <c r="C11" i="14" l="1"/>
  <c r="G11" i="14" s="1"/>
  <c r="C26" i="14"/>
  <c r="D26" i="14"/>
  <c r="D11" i="14"/>
  <c r="D56" i="13"/>
  <c r="C79" i="13" s="1"/>
  <c r="F79" i="13" s="1"/>
  <c r="G79" i="13" s="1"/>
  <c r="D39" i="13"/>
  <c r="J132" i="13"/>
  <c r="J134" i="13"/>
  <c r="J133" i="13"/>
  <c r="C76" i="13"/>
  <c r="C77" i="13"/>
  <c r="F77" i="13" s="1"/>
  <c r="G77" i="13" s="1"/>
  <c r="C54" i="13"/>
  <c r="C115" i="13"/>
  <c r="D13" i="14" l="1"/>
  <c r="G26" i="14"/>
  <c r="G32" i="14" s="1"/>
  <c r="D57" i="13"/>
  <c r="G57" i="13" s="1"/>
  <c r="G39" i="13"/>
  <c r="D14" i="14" l="1"/>
  <c r="G14" i="14" s="1"/>
  <c r="G13" i="14"/>
  <c r="J36" i="14"/>
  <c r="J35" i="14"/>
  <c r="J34" i="14"/>
  <c r="J33" i="14"/>
  <c r="J32" i="14"/>
  <c r="C158" i="13"/>
  <c r="C157" i="13"/>
  <c r="G149" i="13"/>
  <c r="J149" i="13" s="1"/>
  <c r="G19" i="14" l="1"/>
  <c r="C155" i="13"/>
  <c r="G115" i="13"/>
  <c r="G121" i="13" s="1"/>
  <c r="J19" i="14" l="1"/>
  <c r="J20" i="14"/>
  <c r="J21" i="14"/>
  <c r="J22" i="14"/>
  <c r="J23" i="14"/>
  <c r="J47" i="14" s="1"/>
  <c r="C49" i="14" s="1"/>
  <c r="J124" i="13"/>
  <c r="J122" i="13"/>
  <c r="J123" i="13"/>
  <c r="J125" i="13"/>
  <c r="G56" i="13"/>
  <c r="F76" i="13"/>
  <c r="G76" i="13" s="1"/>
  <c r="F74" i="13"/>
  <c r="G74" i="13" s="1"/>
  <c r="J121" i="13"/>
  <c r="F73" i="13"/>
  <c r="G73" i="13" s="1"/>
  <c r="F75" i="13"/>
  <c r="G75" i="13" s="1"/>
  <c r="G93" i="13"/>
  <c r="G94" i="13" s="1"/>
  <c r="G101" i="13"/>
  <c r="G100" i="13"/>
  <c r="G104" i="13" s="1"/>
  <c r="F71" i="13"/>
  <c r="G71" i="13" s="1"/>
  <c r="G53" i="13"/>
  <c r="G54" i="13"/>
  <c r="G55" i="13"/>
  <c r="C52" i="14" l="1"/>
  <c r="E51" i="14"/>
  <c r="E52" i="14" s="1"/>
  <c r="J62" i="13"/>
  <c r="J106" i="13"/>
  <c r="G109" i="13"/>
  <c r="G110" i="13" s="1"/>
  <c r="J112" i="13" s="1"/>
  <c r="F72" i="13"/>
  <c r="G72" i="13" s="1"/>
  <c r="J94" i="13"/>
  <c r="J96" i="13"/>
  <c r="J97" i="13"/>
  <c r="J95" i="13"/>
  <c r="G10" i="13"/>
  <c r="G15" i="13"/>
  <c r="G23" i="13"/>
  <c r="F69" i="13"/>
  <c r="G69" i="13" s="1"/>
  <c r="G36" i="13"/>
  <c r="G35" i="13"/>
  <c r="G34" i="13"/>
  <c r="G37" i="13"/>
  <c r="F70" i="13"/>
  <c r="G70" i="13" s="1"/>
  <c r="J88" i="13" l="1"/>
  <c r="J27" i="13"/>
  <c r="J20" i="13"/>
  <c r="J19" i="13"/>
  <c r="J110" i="13"/>
  <c r="J111" i="13"/>
  <c r="J104" i="13"/>
  <c r="J105" i="13"/>
  <c r="J28" i="13"/>
  <c r="J30" i="13"/>
  <c r="J29" i="13"/>
  <c r="J31" i="13"/>
  <c r="J12" i="13"/>
  <c r="J63" i="13"/>
  <c r="J64" i="13"/>
  <c r="J65" i="13"/>
  <c r="J66" i="13"/>
  <c r="J18" i="13"/>
  <c r="G38" i="13"/>
  <c r="J44" i="13" l="1"/>
  <c r="J90" i="13"/>
  <c r="J89" i="13"/>
  <c r="J47" i="13"/>
  <c r="J50" i="13"/>
  <c r="J46" i="13"/>
  <c r="J48" i="13"/>
  <c r="J151" i="13" s="1"/>
  <c r="J45" i="13"/>
  <c r="J49" i="13"/>
  <c r="C153" i="13" l="1"/>
  <c r="C156" i="13" s="1"/>
  <c r="E155" i="13" l="1"/>
  <c r="E156" i="13" s="1"/>
</calcChain>
</file>

<file path=xl/sharedStrings.xml><?xml version="1.0" encoding="utf-8"?>
<sst xmlns="http://schemas.openxmlformats.org/spreadsheetml/2006/main" count="190" uniqueCount="89">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</sst>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6"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0">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topLeftCell="A65" zoomScaleNormal="100" workbookViewId="0">
      <selection activeCell="G63" sqref="G63"/>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49" t="s">
        <v>0</v>
      </c>
      <c r="B1" s="49"/>
      <c r="C1" s="49"/>
      <c r="D1" s="49"/>
      <c r="E1" s="49"/>
      <c r="F1" s="49"/>
      <c r="G1" s="49"/>
      <c r="H1" s="49"/>
      <c r="I1" s="49"/>
      <c r="J1" s="49"/>
      <c r="K1" s="49"/>
    </row>
    <row r="2" spans="1:11" ht="22.5" x14ac:dyDescent="0.25">
      <c r="A2" s="50" t="s">
        <v>1</v>
      </c>
      <c r="B2" s="50"/>
      <c r="C2" s="50"/>
      <c r="D2" s="50"/>
      <c r="E2" s="50"/>
      <c r="F2" s="50"/>
      <c r="G2" s="50"/>
      <c r="H2" s="50"/>
      <c r="I2" s="50"/>
      <c r="J2" s="50"/>
      <c r="K2" s="50"/>
    </row>
    <row r="3" spans="1:11" x14ac:dyDescent="0.25">
      <c r="A3" s="51" t="s">
        <v>2</v>
      </c>
      <c r="B3" s="51"/>
      <c r="C3" s="51"/>
      <c r="D3" s="51"/>
      <c r="E3" s="51"/>
      <c r="F3" s="51"/>
      <c r="G3" s="51"/>
      <c r="H3" s="51"/>
      <c r="I3" s="51"/>
      <c r="J3" s="51"/>
      <c r="K3" s="51"/>
    </row>
    <row r="4" spans="1:11" x14ac:dyDescent="0.25">
      <c r="A4" s="51" t="s">
        <v>3</v>
      </c>
      <c r="B4" s="51"/>
      <c r="C4" s="51"/>
      <c r="D4" s="51"/>
      <c r="E4" s="51"/>
      <c r="F4" s="51"/>
      <c r="G4" s="51"/>
      <c r="H4" s="51"/>
      <c r="I4" s="51"/>
      <c r="J4" s="51"/>
      <c r="K4" s="51"/>
    </row>
    <row r="5" spans="1:11" ht="18.75" x14ac:dyDescent="0.3">
      <c r="A5" s="52" t="s">
        <v>4</v>
      </c>
      <c r="B5" s="52"/>
      <c r="C5" s="52"/>
      <c r="D5" s="52"/>
      <c r="E5" s="52"/>
      <c r="F5" s="52"/>
      <c r="G5" s="52"/>
      <c r="H5" s="52"/>
      <c r="I5" s="52"/>
      <c r="J5" s="52"/>
      <c r="K5" s="52"/>
    </row>
    <row r="6" spans="1:11" ht="15.75" x14ac:dyDescent="0.25">
      <c r="A6" s="53" t="s">
        <v>86</v>
      </c>
      <c r="B6" s="53"/>
      <c r="C6" s="53"/>
      <c r="D6" s="53"/>
      <c r="E6" s="53"/>
      <c r="F6" s="53"/>
      <c r="G6" s="4"/>
      <c r="H6" s="54" t="s">
        <v>25</v>
      </c>
      <c r="I6" s="54"/>
      <c r="J6" s="54"/>
      <c r="K6" s="54"/>
    </row>
    <row r="7" spans="1:11" ht="15.75" x14ac:dyDescent="0.25">
      <c r="A7" s="47" t="s">
        <v>29</v>
      </c>
      <c r="B7" s="47"/>
      <c r="C7" s="47"/>
      <c r="D7" s="47"/>
      <c r="E7" s="47"/>
      <c r="F7" s="47"/>
      <c r="G7" s="5"/>
      <c r="H7" s="48" t="s">
        <v>88</v>
      </c>
      <c r="I7" s="48"/>
      <c r="J7" s="48"/>
      <c r="K7" s="48"/>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0*SUM(G10:G11)</f>
        <v>0</v>
      </c>
      <c r="H12" s="21" t="s">
        <v>28</v>
      </c>
      <c r="I12" s="2">
        <v>674.12</v>
      </c>
      <c r="J12" s="22">
        <f>G12*I12</f>
        <v>0</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0*SUM(G15:G17)</f>
        <v>0</v>
      </c>
      <c r="H18" s="21" t="s">
        <v>34</v>
      </c>
      <c r="I18" s="2">
        <v>1017.47</v>
      </c>
      <c r="J18" s="22">
        <f>G18*I18</f>
        <v>0</v>
      </c>
      <c r="K18" s="20"/>
    </row>
    <row r="19" spans="1:11" s="10" customFormat="1" x14ac:dyDescent="0.25">
      <c r="A19" s="24"/>
      <c r="B19" s="25" t="s">
        <v>55</v>
      </c>
      <c r="C19" s="26"/>
      <c r="D19" s="27"/>
      <c r="E19" s="27"/>
      <c r="F19" s="27"/>
      <c r="G19" s="27"/>
      <c r="H19" s="26"/>
      <c r="I19" s="26"/>
      <c r="J19" s="22">
        <f>0.13*G18*6360.9/10</f>
        <v>0</v>
      </c>
      <c r="K19" s="26"/>
    </row>
    <row r="20" spans="1:11" x14ac:dyDescent="0.25">
      <c r="A20" s="15"/>
      <c r="B20" s="25" t="s">
        <v>31</v>
      </c>
      <c r="C20" s="15"/>
      <c r="D20" s="3"/>
      <c r="E20" s="3"/>
      <c r="F20" s="3"/>
      <c r="G20" s="3"/>
      <c r="H20" s="15"/>
      <c r="I20" s="15"/>
      <c r="J20" s="22">
        <f>0.13*G18*2256.3/10</f>
        <v>0</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0*SUM(G23:G26)</f>
        <v>0</v>
      </c>
      <c r="H27" s="21" t="s">
        <v>28</v>
      </c>
      <c r="I27" s="2">
        <v>4495.6400000000003</v>
      </c>
      <c r="J27" s="22">
        <f>G27*I27</f>
        <v>0</v>
      </c>
      <c r="K27" s="20"/>
    </row>
    <row r="28" spans="1:11" s="10" customFormat="1" x14ac:dyDescent="0.25">
      <c r="A28" s="24"/>
      <c r="B28" s="25" t="s">
        <v>32</v>
      </c>
      <c r="C28" s="26"/>
      <c r="D28" s="27"/>
      <c r="E28" s="27"/>
      <c r="F28" s="27"/>
      <c r="G28" s="27"/>
      <c r="H28" s="26"/>
      <c r="I28" s="26"/>
      <c r="J28" s="22">
        <f>0.13*G27*2866.82</f>
        <v>0</v>
      </c>
      <c r="K28" s="26"/>
    </row>
    <row r="29" spans="1:11" s="10" customFormat="1" x14ac:dyDescent="0.25">
      <c r="A29" s="24"/>
      <c r="B29" s="25" t="s">
        <v>33</v>
      </c>
      <c r="C29" s="26"/>
      <c r="D29" s="27"/>
      <c r="E29" s="27"/>
      <c r="F29" s="27"/>
      <c r="G29" s="27"/>
      <c r="H29" s="26"/>
      <c r="I29" s="26"/>
      <c r="J29" s="22">
        <f>0.13*G27*(2065.63+805.06)</f>
        <v>0</v>
      </c>
      <c r="K29" s="26"/>
    </row>
    <row r="30" spans="1:11" s="10" customFormat="1" x14ac:dyDescent="0.25">
      <c r="A30" s="24"/>
      <c r="B30" s="25" t="s">
        <v>31</v>
      </c>
      <c r="C30" s="26"/>
      <c r="D30" s="27"/>
      <c r="E30" s="27"/>
      <c r="F30" s="27"/>
      <c r="G30" s="27"/>
      <c r="H30" s="26"/>
      <c r="I30" s="26"/>
      <c r="J30" s="22">
        <f>0.13*G27*1493.61</f>
        <v>0</v>
      </c>
      <c r="K30" s="26"/>
    </row>
    <row r="31" spans="1:11" x14ac:dyDescent="0.25">
      <c r="A31" s="15"/>
      <c r="B31" s="25" t="s">
        <v>36</v>
      </c>
      <c r="C31" s="15"/>
      <c r="D31" s="3"/>
      <c r="E31" s="3"/>
      <c r="F31" s="3"/>
      <c r="G31" s="3"/>
      <c r="H31" s="15"/>
      <c r="I31" s="15"/>
      <c r="J31" s="22">
        <f>0.13*G27*33.6</f>
        <v>0</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0*SUM(G34:G43)</f>
        <v>0</v>
      </c>
      <c r="H44" s="21" t="s">
        <v>28</v>
      </c>
      <c r="I44" s="2">
        <v>13957.29</v>
      </c>
      <c r="J44" s="22">
        <f>G44*I44</f>
        <v>0</v>
      </c>
      <c r="K44" s="20"/>
    </row>
    <row r="45" spans="1:13" s="10" customFormat="1" x14ac:dyDescent="0.25">
      <c r="A45" s="24"/>
      <c r="B45" s="25" t="s">
        <v>32</v>
      </c>
      <c r="C45" s="26"/>
      <c r="D45" s="27"/>
      <c r="E45" s="27"/>
      <c r="F45" s="27"/>
      <c r="G45" s="27"/>
      <c r="H45" s="26"/>
      <c r="I45" s="26"/>
      <c r="J45" s="22">
        <f>0.13*G44*5212.4</f>
        <v>0</v>
      </c>
      <c r="K45" s="26"/>
    </row>
    <row r="46" spans="1:13" s="10" customFormat="1" x14ac:dyDescent="0.25">
      <c r="A46" s="24"/>
      <c r="B46" s="25" t="s">
        <v>33</v>
      </c>
      <c r="C46" s="26"/>
      <c r="D46" s="27"/>
      <c r="E46" s="27"/>
      <c r="F46" s="27"/>
      <c r="G46" s="27"/>
      <c r="H46" s="26"/>
      <c r="I46" s="26"/>
      <c r="J46" s="22">
        <f>0.13*G44*(1912.03+921.59)</f>
        <v>0</v>
      </c>
      <c r="K46" s="26"/>
    </row>
    <row r="47" spans="1:13" s="10" customFormat="1" x14ac:dyDescent="0.25">
      <c r="A47" s="24"/>
      <c r="B47" s="25" t="s">
        <v>31</v>
      </c>
      <c r="C47" s="26"/>
      <c r="D47" s="27"/>
      <c r="E47" s="27"/>
      <c r="F47" s="27"/>
      <c r="G47" s="27"/>
      <c r="H47" s="26"/>
      <c r="I47" s="26"/>
      <c r="J47" s="22">
        <f>0.13*G44*1350.6</f>
        <v>0</v>
      </c>
      <c r="K47" s="26"/>
    </row>
    <row r="48" spans="1:13" x14ac:dyDescent="0.25">
      <c r="A48" s="15"/>
      <c r="B48" s="25" t="s">
        <v>36</v>
      </c>
      <c r="C48" s="15"/>
      <c r="D48" s="3"/>
      <c r="E48" s="3"/>
      <c r="F48" s="3"/>
      <c r="G48" s="3"/>
      <c r="H48" s="15"/>
      <c r="I48" s="15"/>
      <c r="J48" s="22">
        <f>0.13*G44*56</f>
        <v>0</v>
      </c>
      <c r="K48" s="15"/>
    </row>
    <row r="49" spans="1:11" s="10" customFormat="1" x14ac:dyDescent="0.25">
      <c r="A49" s="24"/>
      <c r="B49" s="25" t="s">
        <v>44</v>
      </c>
      <c r="C49" s="26"/>
      <c r="D49" s="27"/>
      <c r="E49" s="27"/>
      <c r="F49" s="27"/>
      <c r="G49" s="27"/>
      <c r="H49" s="26"/>
      <c r="I49" s="26"/>
      <c r="J49" s="22">
        <f>0.13*G44*392.92</f>
        <v>0</v>
      </c>
      <c r="K49" s="26"/>
    </row>
    <row r="50" spans="1:11" x14ac:dyDescent="0.25">
      <c r="A50" s="15"/>
      <c r="B50" s="25" t="s">
        <v>45</v>
      </c>
      <c r="C50" s="15"/>
      <c r="D50" s="3"/>
      <c r="E50" s="3"/>
      <c r="F50" s="3"/>
      <c r="G50" s="3"/>
      <c r="H50" s="15"/>
      <c r="I50" s="15"/>
      <c r="J50" s="22">
        <f>0.13*G44*14.15</f>
        <v>0</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0*SUM(G53:G61)</f>
        <v>0</v>
      </c>
      <c r="H62" s="21" t="s">
        <v>34</v>
      </c>
      <c r="I62" s="2">
        <v>922.71</v>
      </c>
      <c r="J62" s="22">
        <f>G62*I62</f>
        <v>0</v>
      </c>
      <c r="K62" s="20"/>
    </row>
    <row r="63" spans="1:11" s="10" customFormat="1" x14ac:dyDescent="0.25">
      <c r="A63" s="24"/>
      <c r="B63" s="25" t="s">
        <v>47</v>
      </c>
      <c r="C63" s="26"/>
      <c r="D63" s="27"/>
      <c r="E63" s="27"/>
      <c r="F63" s="27"/>
      <c r="G63" s="27"/>
      <c r="H63" s="26"/>
      <c r="I63" s="26"/>
      <c r="J63" s="22">
        <f>0.13*G62*20062.02/100</f>
        <v>0</v>
      </c>
      <c r="K63" s="26"/>
    </row>
    <row r="64" spans="1:11" s="10" customFormat="1" x14ac:dyDescent="0.25">
      <c r="A64" s="24"/>
      <c r="B64" s="25" t="s">
        <v>48</v>
      </c>
      <c r="C64" s="26"/>
      <c r="D64" s="27"/>
      <c r="E64" s="27"/>
      <c r="F64" s="27"/>
      <c r="G64" s="27"/>
      <c r="H64" s="26"/>
      <c r="I64" s="26"/>
      <c r="J64" s="22">
        <f>0.13*G62*13328.25/100</f>
        <v>0</v>
      </c>
      <c r="K64" s="26"/>
    </row>
    <row r="65" spans="1:13" s="10" customFormat="1" x14ac:dyDescent="0.25">
      <c r="A65" s="24"/>
      <c r="B65" s="25" t="s">
        <v>49</v>
      </c>
      <c r="C65" s="26"/>
      <c r="D65" s="27"/>
      <c r="E65" s="27"/>
      <c r="F65" s="27"/>
      <c r="G65" s="27"/>
      <c r="H65" s="26"/>
      <c r="I65" s="26"/>
      <c r="J65" s="22">
        <f>0.13*G62*10137.6/100</f>
        <v>0</v>
      </c>
      <c r="K65" s="26"/>
    </row>
    <row r="66" spans="1:13" x14ac:dyDescent="0.25">
      <c r="A66" s="15"/>
      <c r="B66" s="25" t="s">
        <v>50</v>
      </c>
      <c r="C66" s="15"/>
      <c r="D66" s="3"/>
      <c r="E66" s="3"/>
      <c r="F66" s="3"/>
      <c r="G66" s="3"/>
      <c r="H66" s="15"/>
      <c r="I66" s="15"/>
      <c r="J66" s="22">
        <f>0.13*G62*3300/100</f>
        <v>0</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520268.58119831659</v>
      </c>
      <c r="K151" s="36"/>
    </row>
    <row r="152" spans="1:11" s="10" customFormat="1" x14ac:dyDescent="0.25"/>
    <row r="153" spans="1:11" s="44" customFormat="1" x14ac:dyDescent="0.25">
      <c r="A153" s="37"/>
      <c r="B153" s="38" t="s">
        <v>19</v>
      </c>
      <c r="C153" s="55">
        <f>J151</f>
        <v>520268.58119831659</v>
      </c>
      <c r="D153" s="56"/>
      <c r="E153" s="39">
        <v>100</v>
      </c>
      <c r="F153" s="37"/>
      <c r="G153" s="40"/>
      <c r="H153" s="37"/>
      <c r="I153" s="41"/>
      <c r="J153" s="42"/>
      <c r="K153" s="43"/>
    </row>
    <row r="154" spans="1:11" s="10" customFormat="1" x14ac:dyDescent="0.25">
      <c r="B154" s="38" t="s">
        <v>21</v>
      </c>
      <c r="C154" s="57">
        <v>700000</v>
      </c>
      <c r="D154" s="58"/>
      <c r="E154" s="39"/>
    </row>
    <row r="155" spans="1:11" s="10" customFormat="1" x14ac:dyDescent="0.25">
      <c r="B155" s="38" t="s">
        <v>22</v>
      </c>
      <c r="C155" s="57">
        <f>C154-C157-C158</f>
        <v>665000</v>
      </c>
      <c r="D155" s="58"/>
      <c r="E155" s="39">
        <f>C155/C153*100</f>
        <v>127.81859678482381</v>
      </c>
    </row>
    <row r="156" spans="1:11" s="10" customFormat="1" x14ac:dyDescent="0.25">
      <c r="B156" s="38" t="s">
        <v>26</v>
      </c>
      <c r="C156" s="59">
        <f>C153-C155</f>
        <v>-144731.41880168341</v>
      </c>
      <c r="D156" s="59"/>
      <c r="E156" s="39">
        <f>100-E155</f>
        <v>-27.818596784823811</v>
      </c>
    </row>
    <row r="157" spans="1:11" s="10" customFormat="1" x14ac:dyDescent="0.25">
      <c r="B157" s="38" t="s">
        <v>23</v>
      </c>
      <c r="C157" s="55">
        <f>C154*0.03</f>
        <v>21000</v>
      </c>
      <c r="D157" s="56"/>
      <c r="E157" s="39">
        <v>3</v>
      </c>
    </row>
    <row r="158" spans="1:11" s="10" customFormat="1" x14ac:dyDescent="0.25">
      <c r="B158" s="38" t="s">
        <v>24</v>
      </c>
      <c r="C158" s="55">
        <f>C154*0.02</f>
        <v>14000</v>
      </c>
      <c r="D158" s="56"/>
      <c r="E158" s="39">
        <v>2</v>
      </c>
    </row>
  </sheetData>
  <mergeCells count="15">
    <mergeCell ref="C158:D158"/>
    <mergeCell ref="C153:D153"/>
    <mergeCell ref="C154:D154"/>
    <mergeCell ref="C155:D155"/>
    <mergeCell ref="C156:D156"/>
    <mergeCell ref="C157:D157"/>
    <mergeCell ref="A7:F7"/>
    <mergeCell ref="H7:K7"/>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501D-94C1-43B5-8F9B-D23B4DCB59C4}">
  <dimension ref="A1:K54"/>
  <sheetViews>
    <sheetView tabSelected="1" topLeftCell="A31" zoomScaleNormal="100" workbookViewId="0">
      <selection activeCell="B38" sqref="B38"/>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49" t="s">
        <v>0</v>
      </c>
      <c r="B1" s="49"/>
      <c r="C1" s="49"/>
      <c r="D1" s="49"/>
      <c r="E1" s="49"/>
      <c r="F1" s="49"/>
      <c r="G1" s="49"/>
      <c r="H1" s="49"/>
      <c r="I1" s="49"/>
      <c r="J1" s="49"/>
      <c r="K1" s="49"/>
    </row>
    <row r="2" spans="1:11" ht="22.5" x14ac:dyDescent="0.25">
      <c r="A2" s="50" t="s">
        <v>1</v>
      </c>
      <c r="B2" s="50"/>
      <c r="C2" s="50"/>
      <c r="D2" s="50"/>
      <c r="E2" s="50"/>
      <c r="F2" s="50"/>
      <c r="G2" s="50"/>
      <c r="H2" s="50"/>
      <c r="I2" s="50"/>
      <c r="J2" s="50"/>
      <c r="K2" s="50"/>
    </row>
    <row r="3" spans="1:11" x14ac:dyDescent="0.25">
      <c r="A3" s="51" t="s">
        <v>2</v>
      </c>
      <c r="B3" s="51"/>
      <c r="C3" s="51"/>
      <c r="D3" s="51"/>
      <c r="E3" s="51"/>
      <c r="F3" s="51"/>
      <c r="G3" s="51"/>
      <c r="H3" s="51"/>
      <c r="I3" s="51"/>
      <c r="J3" s="51"/>
      <c r="K3" s="51"/>
    </row>
    <row r="4" spans="1:11" x14ac:dyDescent="0.25">
      <c r="A4" s="51" t="s">
        <v>3</v>
      </c>
      <c r="B4" s="51"/>
      <c r="C4" s="51"/>
      <c r="D4" s="51"/>
      <c r="E4" s="51"/>
      <c r="F4" s="51"/>
      <c r="G4" s="51"/>
      <c r="H4" s="51"/>
      <c r="I4" s="51"/>
      <c r="J4" s="51"/>
      <c r="K4" s="51"/>
    </row>
    <row r="5" spans="1:11" ht="18.75" x14ac:dyDescent="0.3">
      <c r="A5" s="52" t="s">
        <v>4</v>
      </c>
      <c r="B5" s="52"/>
      <c r="C5" s="52"/>
      <c r="D5" s="52"/>
      <c r="E5" s="52"/>
      <c r="F5" s="52"/>
      <c r="G5" s="52"/>
      <c r="H5" s="52"/>
      <c r="I5" s="52"/>
      <c r="J5" s="52"/>
      <c r="K5" s="52"/>
    </row>
    <row r="6" spans="1:11" ht="15.75" x14ac:dyDescent="0.25">
      <c r="A6" s="53" t="s">
        <v>86</v>
      </c>
      <c r="B6" s="53"/>
      <c r="C6" s="53"/>
      <c r="D6" s="53"/>
      <c r="E6" s="53"/>
      <c r="F6" s="53"/>
      <c r="G6" s="4"/>
      <c r="H6" s="54" t="s">
        <v>25</v>
      </c>
      <c r="I6" s="54"/>
      <c r="J6" s="54"/>
      <c r="K6" s="54"/>
    </row>
    <row r="7" spans="1:11" ht="15.75" x14ac:dyDescent="0.25">
      <c r="A7" s="47" t="s">
        <v>29</v>
      </c>
      <c r="B7" s="47"/>
      <c r="C7" s="47"/>
      <c r="D7" s="47"/>
      <c r="E7" s="47"/>
      <c r="F7" s="47"/>
      <c r="G7" s="5"/>
      <c r="H7" s="48" t="s">
        <v>88</v>
      </c>
      <c r="I7" s="48"/>
      <c r="J7" s="48"/>
      <c r="K7" s="48"/>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5</v>
      </c>
      <c r="B9" s="12" t="s">
        <v>46</v>
      </c>
      <c r="C9" s="13"/>
      <c r="D9" s="23"/>
      <c r="E9" s="23"/>
      <c r="F9" s="23"/>
      <c r="G9" s="23"/>
      <c r="H9" s="13"/>
      <c r="I9" s="13"/>
      <c r="J9" s="13"/>
      <c r="K9" s="13"/>
    </row>
    <row r="10" spans="1:11" x14ac:dyDescent="0.25">
      <c r="A10" s="15"/>
      <c r="B10" s="16" t="e">
        <f>#REF!</f>
        <v>#REF!</v>
      </c>
      <c r="C10" s="15" t="e">
        <f>#REF!</f>
        <v>#REF!</v>
      </c>
      <c r="D10" s="3" t="e">
        <f>#REF!</f>
        <v>#REF!</v>
      </c>
      <c r="E10" s="3"/>
      <c r="F10" s="3" t="e">
        <f>#REF!-0.23</f>
        <v>#REF!</v>
      </c>
      <c r="G10" s="3" t="e">
        <f>PRODUCT(C10:F10)</f>
        <v>#REF!</v>
      </c>
      <c r="H10" s="15"/>
      <c r="I10" s="15"/>
      <c r="J10" s="15"/>
      <c r="K10" s="15"/>
    </row>
    <row r="11" spans="1:11" x14ac:dyDescent="0.25">
      <c r="A11" s="15"/>
      <c r="B11" s="16" t="e">
        <f>#REF!</f>
        <v>#REF!</v>
      </c>
      <c r="C11" s="15" t="e">
        <f>#REF!</f>
        <v>#REF!</v>
      </c>
      <c r="D11" s="3" t="e">
        <f>#REF!</f>
        <v>#REF!</v>
      </c>
      <c r="E11" s="3"/>
      <c r="F11" s="3">
        <f>0.23*2</f>
        <v>0.46</v>
      </c>
      <c r="G11" s="3" t="e">
        <f>PRODUCT(C11:F11)</f>
        <v>#REF!</v>
      </c>
      <c r="H11" s="15"/>
      <c r="I11" s="15"/>
      <c r="J11" s="15"/>
      <c r="K11" s="15"/>
    </row>
    <row r="12" spans="1:11" x14ac:dyDescent="0.25">
      <c r="A12" s="15"/>
      <c r="B12" s="16" t="e">
        <f>#REF!</f>
        <v>#REF!</v>
      </c>
      <c r="C12" s="15" t="e">
        <f>#REF!</f>
        <v>#REF!</v>
      </c>
      <c r="D12" s="3">
        <f>0.35*4</f>
        <v>1.4</v>
      </c>
      <c r="E12" s="3"/>
      <c r="F12" s="3" t="e">
        <f>#REF!</f>
        <v>#REF!</v>
      </c>
      <c r="G12" s="3" t="e">
        <f t="shared" ref="G12:G18" si="0">PRODUCT(C12:F12)</f>
        <v>#REF!</v>
      </c>
      <c r="H12" s="15"/>
      <c r="I12" s="15"/>
      <c r="J12" s="15"/>
      <c r="K12" s="15"/>
    </row>
    <row r="13" spans="1:11" x14ac:dyDescent="0.25">
      <c r="A13" s="15"/>
      <c r="B13" s="16" t="e">
        <f>#REF!</f>
        <v>#REF!</v>
      </c>
      <c r="C13" s="15" t="e">
        <f>#REF!</f>
        <v>#REF!</v>
      </c>
      <c r="D13" s="3" t="e">
        <f>#REF!</f>
        <v>#REF!</v>
      </c>
      <c r="E13" s="3"/>
      <c r="F13" s="3">
        <f>0.23*2</f>
        <v>0.46</v>
      </c>
      <c r="G13" s="3" t="e">
        <f t="shared" si="0"/>
        <v>#REF!</v>
      </c>
      <c r="H13" s="15"/>
      <c r="I13" s="15"/>
      <c r="J13" s="15"/>
      <c r="K13" s="15"/>
    </row>
    <row r="14" spans="1:11" x14ac:dyDescent="0.25">
      <c r="A14" s="15"/>
      <c r="B14" s="16" t="e">
        <f>#REF!</f>
        <v>#REF!</v>
      </c>
      <c r="C14" s="15" t="e">
        <f>#REF!</f>
        <v>#REF!</v>
      </c>
      <c r="D14" s="3" t="e">
        <f>#REF!</f>
        <v>#REF!</v>
      </c>
      <c r="E14" s="3"/>
      <c r="F14" s="3">
        <f>0.23*2</f>
        <v>0.46</v>
      </c>
      <c r="G14" s="3" t="e">
        <f t="shared" si="0"/>
        <v>#REF!</v>
      </c>
      <c r="H14" s="15"/>
      <c r="I14" s="15"/>
      <c r="J14" s="15"/>
      <c r="K14" s="15"/>
    </row>
    <row r="15" spans="1:11" x14ac:dyDescent="0.25">
      <c r="A15" s="15"/>
      <c r="B15" s="16" t="e">
        <f>#REF!</f>
        <v>#REF!</v>
      </c>
      <c r="C15" s="15" t="e">
        <f>#REF!</f>
        <v>#REF!</v>
      </c>
      <c r="D15" s="3" t="e">
        <f>#REF!</f>
        <v>#REF!</v>
      </c>
      <c r="E15" s="3"/>
      <c r="F15" s="3" t="e">
        <f>#REF!</f>
        <v>#REF!</v>
      </c>
      <c r="G15" s="3" t="e">
        <f t="shared" si="0"/>
        <v>#REF!</v>
      </c>
      <c r="H15" s="15"/>
      <c r="I15" s="15"/>
      <c r="J15" s="15"/>
      <c r="K15" s="15"/>
    </row>
    <row r="16" spans="1:11" x14ac:dyDescent="0.25">
      <c r="A16" s="15"/>
      <c r="B16" s="16" t="e">
        <f>#REF!</f>
        <v>#REF!</v>
      </c>
      <c r="C16" s="15" t="e">
        <f>#REF!</f>
        <v>#REF!</v>
      </c>
      <c r="D16" s="3" t="e">
        <f>#REF!</f>
        <v>#REF!</v>
      </c>
      <c r="E16" s="3"/>
      <c r="F16" s="3" t="e">
        <f>#REF!</f>
        <v>#REF!</v>
      </c>
      <c r="G16" s="3" t="e">
        <f t="shared" si="0"/>
        <v>#REF!</v>
      </c>
      <c r="H16" s="15"/>
      <c r="I16" s="15"/>
      <c r="J16" s="15"/>
      <c r="K16" s="15"/>
    </row>
    <row r="17" spans="1:11" x14ac:dyDescent="0.25">
      <c r="A17" s="15"/>
      <c r="B17" s="16" t="e">
        <f>#REF!</f>
        <v>#REF!</v>
      </c>
      <c r="C17" s="15" t="e">
        <f>#REF!</f>
        <v>#REF!</v>
      </c>
      <c r="D17" s="3" t="e">
        <f>#REF!</f>
        <v>#REF!</v>
      </c>
      <c r="E17" s="3" t="e">
        <f>#REF!</f>
        <v>#REF!</v>
      </c>
      <c r="F17" s="3"/>
      <c r="G17" s="3" t="e">
        <f t="shared" si="0"/>
        <v>#REF!</v>
      </c>
      <c r="H17" s="15"/>
      <c r="I17" s="15"/>
      <c r="J17" s="15"/>
      <c r="K17" s="15"/>
    </row>
    <row r="18" spans="1:11" x14ac:dyDescent="0.25">
      <c r="A18" s="15"/>
      <c r="B18" s="16"/>
      <c r="C18" s="15" t="e">
        <f>#REF!</f>
        <v>#REF!</v>
      </c>
      <c r="D18" s="3" t="e">
        <f>#REF!</f>
        <v>#REF!</v>
      </c>
      <c r="E18" s="3" t="e">
        <f>#REF!</f>
        <v>#REF!</v>
      </c>
      <c r="F18" s="3"/>
      <c r="G18" s="3" t="e">
        <f t="shared" si="0"/>
        <v>#REF!</v>
      </c>
      <c r="H18" s="15"/>
      <c r="I18" s="15"/>
      <c r="J18" s="15"/>
      <c r="K18" s="15"/>
    </row>
    <row r="19" spans="1:11" s="10" customFormat="1" ht="15" customHeight="1" x14ac:dyDescent="0.25">
      <c r="A19" s="17"/>
      <c r="B19" s="18" t="s">
        <v>16</v>
      </c>
      <c r="C19" s="19"/>
      <c r="D19" s="1"/>
      <c r="E19" s="20"/>
      <c r="F19" s="20"/>
      <c r="G19" s="2" t="e">
        <f>0*SUM(G10:G18)</f>
        <v>#REF!</v>
      </c>
      <c r="H19" s="21" t="s">
        <v>34</v>
      </c>
      <c r="I19" s="2">
        <v>922.71</v>
      </c>
      <c r="J19" s="22" t="e">
        <f>G19*I19</f>
        <v>#REF!</v>
      </c>
      <c r="K19" s="20"/>
    </row>
    <row r="20" spans="1:11" s="10" customFormat="1" x14ac:dyDescent="0.25">
      <c r="A20" s="24"/>
      <c r="B20" s="25" t="s">
        <v>47</v>
      </c>
      <c r="C20" s="26"/>
      <c r="D20" s="27"/>
      <c r="E20" s="27"/>
      <c r="F20" s="27"/>
      <c r="G20" s="27"/>
      <c r="H20" s="26"/>
      <c r="I20" s="26"/>
      <c r="J20" s="22" t="e">
        <f>0.13*G19*20062.02/100</f>
        <v>#REF!</v>
      </c>
      <c r="K20" s="26"/>
    </row>
    <row r="21" spans="1:11" s="10" customFormat="1" x14ac:dyDescent="0.25">
      <c r="A21" s="24"/>
      <c r="B21" s="25" t="s">
        <v>48</v>
      </c>
      <c r="C21" s="26"/>
      <c r="D21" s="27"/>
      <c r="E21" s="27"/>
      <c r="F21" s="27"/>
      <c r="G21" s="27"/>
      <c r="H21" s="26"/>
      <c r="I21" s="26"/>
      <c r="J21" s="22" t="e">
        <f>0.13*G19*13328.25/100</f>
        <v>#REF!</v>
      </c>
      <c r="K21" s="26"/>
    </row>
    <row r="22" spans="1:11" s="10" customFormat="1" x14ac:dyDescent="0.25">
      <c r="A22" s="24"/>
      <c r="B22" s="25" t="s">
        <v>49</v>
      </c>
      <c r="C22" s="26"/>
      <c r="D22" s="27"/>
      <c r="E22" s="27"/>
      <c r="F22" s="27"/>
      <c r="G22" s="27"/>
      <c r="H22" s="26"/>
      <c r="I22" s="26"/>
      <c r="J22" s="22" t="e">
        <f>0.13*G19*10137.6/100</f>
        <v>#REF!</v>
      </c>
      <c r="K22" s="26"/>
    </row>
    <row r="23" spans="1:11" x14ac:dyDescent="0.25">
      <c r="A23" s="15"/>
      <c r="B23" s="25" t="s">
        <v>50</v>
      </c>
      <c r="C23" s="15"/>
      <c r="D23" s="3"/>
      <c r="E23" s="3"/>
      <c r="F23" s="3"/>
      <c r="G23" s="3"/>
      <c r="H23" s="15"/>
      <c r="I23" s="15"/>
      <c r="J23" s="22" t="e">
        <f>0.13*G19*3300/100</f>
        <v>#REF!</v>
      </c>
      <c r="K23" s="15"/>
    </row>
    <row r="24" spans="1:11" x14ac:dyDescent="0.25">
      <c r="A24" s="15"/>
      <c r="B24" s="15"/>
      <c r="C24" s="15"/>
      <c r="D24" s="3"/>
      <c r="E24" s="3"/>
      <c r="F24" s="3"/>
      <c r="G24" s="3"/>
      <c r="H24" s="15"/>
      <c r="I24" s="15"/>
      <c r="J24" s="15"/>
      <c r="K24" s="15"/>
    </row>
    <row r="25" spans="1:11" ht="30" x14ac:dyDescent="0.25">
      <c r="A25" s="11">
        <v>10</v>
      </c>
      <c r="B25" s="28" t="s">
        <v>63</v>
      </c>
      <c r="C25" s="15"/>
      <c r="D25" s="15"/>
      <c r="E25" s="15"/>
      <c r="F25" s="15"/>
      <c r="G25" s="15"/>
      <c r="H25" s="15"/>
      <c r="I25" s="15"/>
      <c r="J25" s="15"/>
      <c r="K25" s="15"/>
    </row>
    <row r="26" spans="1:11" x14ac:dyDescent="0.25">
      <c r="A26" s="15"/>
      <c r="B26" s="16" t="e">
        <f>#REF!</f>
        <v>#REF!</v>
      </c>
      <c r="C26" s="3" t="e">
        <f>#REF!</f>
        <v>#REF!</v>
      </c>
      <c r="D26" s="3" t="e">
        <f>#REF!</f>
        <v>#REF!</v>
      </c>
      <c r="E26" s="3">
        <v>0.23</v>
      </c>
      <c r="F26" s="3">
        <v>0.9</v>
      </c>
      <c r="G26" s="3" t="e">
        <f t="shared" ref="G26:G31" si="1">PRODUCT(C26:F26)</f>
        <v>#REF!</v>
      </c>
      <c r="H26" s="15"/>
      <c r="I26" s="15"/>
      <c r="J26" s="15"/>
      <c r="K26" s="15"/>
    </row>
    <row r="27" spans="1:11" x14ac:dyDescent="0.25">
      <c r="A27" s="15"/>
      <c r="B27" s="16" t="s">
        <v>65</v>
      </c>
      <c r="C27" s="3">
        <v>2</v>
      </c>
      <c r="D27" s="3">
        <f>18.5/3.281</f>
        <v>5.6385248399878085</v>
      </c>
      <c r="E27" s="3">
        <v>0.23</v>
      </c>
      <c r="F27" s="3">
        <f>7.5/3.281</f>
        <v>2.2858884486437061</v>
      </c>
      <c r="G27" s="3">
        <f t="shared" si="1"/>
        <v>5.9289578475946181</v>
      </c>
      <c r="H27" s="15"/>
      <c r="I27" s="15"/>
      <c r="J27" s="15"/>
      <c r="K27" s="15"/>
    </row>
    <row r="28" spans="1:11" x14ac:dyDescent="0.25">
      <c r="A28" s="15"/>
      <c r="B28" s="16"/>
      <c r="C28" s="3">
        <v>2</v>
      </c>
      <c r="D28" s="3">
        <f>(8.75+17.5)/3.281</f>
        <v>8.0006095702529709</v>
      </c>
      <c r="E28" s="3">
        <v>0.23</v>
      </c>
      <c r="F28" s="3">
        <f>7.5/3.281</f>
        <v>2.2858884486437061</v>
      </c>
      <c r="G28" s="3">
        <f t="shared" si="1"/>
        <v>8.4127104594247939</v>
      </c>
      <c r="H28" s="15"/>
      <c r="I28" s="15"/>
      <c r="J28" s="15"/>
      <c r="K28" s="15"/>
    </row>
    <row r="29" spans="1:11" x14ac:dyDescent="0.25">
      <c r="A29" s="15"/>
      <c r="B29" s="16" t="s">
        <v>80</v>
      </c>
      <c r="C29" s="3">
        <v>1</v>
      </c>
      <c r="D29" s="3">
        <f>D28</f>
        <v>8.0006095702529709</v>
      </c>
      <c r="E29" s="3">
        <v>0.3</v>
      </c>
      <c r="F29" s="3">
        <v>0.45</v>
      </c>
      <c r="G29" s="3">
        <f t="shared" si="1"/>
        <v>1.0800822919841511</v>
      </c>
      <c r="H29" s="15"/>
      <c r="I29" s="15"/>
      <c r="J29" s="15"/>
      <c r="K29" s="15"/>
    </row>
    <row r="30" spans="1:11" x14ac:dyDescent="0.25">
      <c r="A30" s="15"/>
      <c r="B30" s="16" t="s">
        <v>68</v>
      </c>
      <c r="C30" s="3">
        <v>-2</v>
      </c>
      <c r="D30" s="3">
        <f>1.8</f>
        <v>1.8</v>
      </c>
      <c r="E30" s="3">
        <v>0.23</v>
      </c>
      <c r="F30" s="3">
        <f>4.5/3.281</f>
        <v>1.3715330691862238</v>
      </c>
      <c r="G30" s="3">
        <f t="shared" si="1"/>
        <v>-1.1356293812861933</v>
      </c>
      <c r="H30" s="15"/>
      <c r="I30" s="15"/>
      <c r="J30" s="15"/>
      <c r="K30" s="15"/>
    </row>
    <row r="31" spans="1:11" x14ac:dyDescent="0.25">
      <c r="A31" s="15"/>
      <c r="B31" s="16" t="s">
        <v>69</v>
      </c>
      <c r="C31" s="3">
        <v>-1</v>
      </c>
      <c r="D31" s="3">
        <f>8/3.281</f>
        <v>2.4382810118866196</v>
      </c>
      <c r="E31" s="3">
        <v>0.23</v>
      </c>
      <c r="F31" s="3">
        <f>4.5/3.281</f>
        <v>1.3715330691862238</v>
      </c>
      <c r="G31" s="3">
        <f t="shared" si="1"/>
        <v>-0.76916209914740985</v>
      </c>
      <c r="H31" s="15"/>
      <c r="I31" s="15"/>
      <c r="J31" s="15"/>
      <c r="K31" s="15"/>
    </row>
    <row r="32" spans="1:11" s="10" customFormat="1" ht="15" customHeight="1" x14ac:dyDescent="0.25">
      <c r="A32" s="17"/>
      <c r="B32" s="18" t="s">
        <v>16</v>
      </c>
      <c r="C32" s="19"/>
      <c r="D32" s="1"/>
      <c r="E32" s="20"/>
      <c r="F32" s="20"/>
      <c r="G32" s="2" t="e">
        <f>SUM(G26:G31)</f>
        <v>#REF!</v>
      </c>
      <c r="H32" s="21" t="s">
        <v>28</v>
      </c>
      <c r="I32" s="2">
        <f>14491.84</f>
        <v>14491.84</v>
      </c>
      <c r="J32" s="22" t="e">
        <f>G32*I32</f>
        <v>#REF!</v>
      </c>
      <c r="K32" s="20"/>
    </row>
    <row r="33" spans="1:11" s="10" customFormat="1" x14ac:dyDescent="0.25">
      <c r="A33" s="24"/>
      <c r="B33" s="25" t="s">
        <v>55</v>
      </c>
      <c r="C33" s="26"/>
      <c r="D33" s="27"/>
      <c r="E33" s="27"/>
      <c r="F33" s="27"/>
      <c r="G33" s="27"/>
      <c r="H33" s="26"/>
      <c r="I33" s="26"/>
      <c r="J33" s="22" t="e">
        <f>0.13*G32*8481.2</f>
        <v>#REF!</v>
      </c>
      <c r="K33" s="26"/>
    </row>
    <row r="34" spans="1:11" s="10" customFormat="1" x14ac:dyDescent="0.25">
      <c r="A34" s="24"/>
      <c r="B34" s="25" t="s">
        <v>32</v>
      </c>
      <c r="C34" s="26"/>
      <c r="D34" s="27"/>
      <c r="E34" s="27"/>
      <c r="F34" s="27"/>
      <c r="G34" s="27"/>
      <c r="H34" s="26"/>
      <c r="I34" s="26"/>
      <c r="J34" s="22" t="e">
        <f>0.13*G32*912.17</f>
        <v>#REF!</v>
      </c>
      <c r="K34" s="26"/>
    </row>
    <row r="35" spans="1:11" s="10" customFormat="1" x14ac:dyDescent="0.25">
      <c r="A35" s="24"/>
      <c r="B35" s="25" t="s">
        <v>64</v>
      </c>
      <c r="C35" s="26"/>
      <c r="D35" s="27"/>
      <c r="E35" s="27"/>
      <c r="F35" s="27"/>
      <c r="G35" s="27"/>
      <c r="H35" s="26"/>
      <c r="I35" s="26"/>
      <c r="J35" s="22" t="e">
        <f>0.13*G32*953.37</f>
        <v>#REF!</v>
      </c>
      <c r="K35" s="26"/>
    </row>
    <row r="36" spans="1:11" s="10" customFormat="1" x14ac:dyDescent="0.25">
      <c r="A36" s="24"/>
      <c r="B36" s="25" t="s">
        <v>36</v>
      </c>
      <c r="C36" s="26"/>
      <c r="D36" s="27"/>
      <c r="E36" s="27"/>
      <c r="F36" s="27"/>
      <c r="G36" s="27"/>
      <c r="H36" s="26"/>
      <c r="I36" s="26"/>
      <c r="J36" s="22" t="e">
        <f>0.13*G32*28</f>
        <v>#REF!</v>
      </c>
      <c r="K36" s="26"/>
    </row>
    <row r="37" spans="1:11" x14ac:dyDescent="0.25">
      <c r="A37" s="15"/>
      <c r="B37" s="15"/>
      <c r="C37" s="15"/>
      <c r="D37" s="15"/>
      <c r="E37" s="15"/>
      <c r="F37" s="15"/>
      <c r="G37" s="15"/>
      <c r="H37" s="15"/>
      <c r="I37" s="15"/>
      <c r="J37" s="15"/>
      <c r="K37" s="15"/>
    </row>
    <row r="38" spans="1:11" s="10" customFormat="1" ht="30.75" x14ac:dyDescent="0.25">
      <c r="A38" s="24">
        <v>13</v>
      </c>
      <c r="B38" s="28" t="s">
        <v>78</v>
      </c>
      <c r="C38" s="26"/>
      <c r="D38" s="27"/>
      <c r="E38" s="27"/>
      <c r="F38" s="27"/>
      <c r="G38" s="27"/>
      <c r="H38" s="26"/>
      <c r="I38" s="26"/>
      <c r="J38" s="22"/>
      <c r="K38" s="26"/>
    </row>
    <row r="39" spans="1:11" x14ac:dyDescent="0.25">
      <c r="A39" s="15"/>
      <c r="B39" s="16" t="s">
        <v>79</v>
      </c>
      <c r="C39" s="3">
        <v>2</v>
      </c>
      <c r="D39" s="3">
        <v>1.8</v>
      </c>
      <c r="E39" s="3"/>
      <c r="F39" s="3">
        <f>4.5/3.281</f>
        <v>1.3715330691862238</v>
      </c>
      <c r="G39" s="3">
        <f>PRODUCT(C39:F39)</f>
        <v>4.9375190490704055</v>
      </c>
      <c r="H39" s="15"/>
      <c r="I39" s="15"/>
      <c r="J39" s="15"/>
      <c r="K39" s="15"/>
    </row>
    <row r="40" spans="1:11" s="10" customFormat="1" ht="15" customHeight="1" x14ac:dyDescent="0.25">
      <c r="A40" s="17"/>
      <c r="B40" s="18" t="s">
        <v>16</v>
      </c>
      <c r="C40" s="19"/>
      <c r="D40" s="1"/>
      <c r="E40" s="20"/>
      <c r="F40" s="20"/>
      <c r="G40" s="2">
        <f>SUM(G38:G39)</f>
        <v>4.9375190490704055</v>
      </c>
      <c r="H40" s="21" t="s">
        <v>34</v>
      </c>
      <c r="I40" s="2">
        <v>2485.56</v>
      </c>
      <c r="J40" s="22">
        <f>G40*I40</f>
        <v>12272.499847607436</v>
      </c>
      <c r="K40" s="20"/>
    </row>
    <row r="41" spans="1:11" s="10" customFormat="1" x14ac:dyDescent="0.25">
      <c r="A41" s="24"/>
      <c r="B41" s="25" t="s">
        <v>74</v>
      </c>
      <c r="C41" s="26"/>
      <c r="D41" s="27"/>
      <c r="E41" s="27"/>
      <c r="F41" s="27"/>
      <c r="G41" s="27"/>
      <c r="H41" s="26"/>
      <c r="I41" s="26"/>
      <c r="J41" s="22">
        <f>0.13*J40</f>
        <v>1595.4249801889669</v>
      </c>
      <c r="K41" s="26"/>
    </row>
    <row r="42" spans="1:11" s="10" customFormat="1" x14ac:dyDescent="0.25">
      <c r="A42" s="24"/>
      <c r="B42" s="25"/>
      <c r="C42" s="26"/>
      <c r="D42" s="27"/>
      <c r="E42" s="27"/>
      <c r="F42" s="27"/>
      <c r="G42" s="27"/>
      <c r="H42" s="26"/>
      <c r="I42" s="26"/>
      <c r="J42" s="22"/>
      <c r="K42" s="26"/>
    </row>
    <row r="43" spans="1:11" s="10" customFormat="1" ht="15" customHeight="1" x14ac:dyDescent="0.25">
      <c r="A43" s="17">
        <v>14</v>
      </c>
      <c r="B43" s="30" t="s">
        <v>85</v>
      </c>
      <c r="C43" s="19">
        <v>1</v>
      </c>
      <c r="D43" s="1"/>
      <c r="E43" s="20"/>
      <c r="F43" s="20"/>
      <c r="G43" s="21">
        <f t="shared" ref="G43" si="2">PRODUCT(C43:F43)</f>
        <v>1</v>
      </c>
      <c r="H43" s="21" t="s">
        <v>30</v>
      </c>
      <c r="I43" s="2">
        <v>5000</v>
      </c>
      <c r="J43" s="21">
        <f>G43*I43</f>
        <v>5000</v>
      </c>
      <c r="K43" s="20"/>
    </row>
    <row r="44" spans="1:11" s="10" customFormat="1" x14ac:dyDescent="0.25">
      <c r="A44" s="17"/>
      <c r="B44" s="31"/>
      <c r="C44" s="19"/>
      <c r="D44" s="1"/>
      <c r="E44" s="20"/>
      <c r="F44" s="20"/>
      <c r="G44" s="2"/>
      <c r="H44" s="21"/>
      <c r="I44" s="2"/>
      <c r="J44" s="22"/>
      <c r="K44" s="20"/>
    </row>
    <row r="45" spans="1:11" s="10" customFormat="1" ht="15" customHeight="1" x14ac:dyDescent="0.25">
      <c r="A45" s="17">
        <v>15</v>
      </c>
      <c r="B45" s="30" t="s">
        <v>17</v>
      </c>
      <c r="C45" s="19">
        <v>1</v>
      </c>
      <c r="D45" s="1"/>
      <c r="E45" s="20"/>
      <c r="F45" s="20"/>
      <c r="G45" s="21">
        <f t="shared" ref="G45" si="3">PRODUCT(C45:F45)</f>
        <v>1</v>
      </c>
      <c r="H45" s="21" t="s">
        <v>18</v>
      </c>
      <c r="I45" s="2">
        <v>500</v>
      </c>
      <c r="J45" s="21">
        <f>G45*I45</f>
        <v>500</v>
      </c>
      <c r="K45" s="20"/>
    </row>
    <row r="46" spans="1:11" s="10" customFormat="1" x14ac:dyDescent="0.25">
      <c r="A46" s="17"/>
      <c r="B46" s="31"/>
      <c r="C46" s="19"/>
      <c r="D46" s="1"/>
      <c r="E46" s="20"/>
      <c r="F46" s="20"/>
      <c r="G46" s="2"/>
      <c r="H46" s="21"/>
      <c r="I46" s="2"/>
      <c r="J46" s="22"/>
      <c r="K46" s="20"/>
    </row>
    <row r="47" spans="1:11" s="10" customFormat="1" x14ac:dyDescent="0.25">
      <c r="A47" s="32"/>
      <c r="B47" s="33" t="s">
        <v>20</v>
      </c>
      <c r="C47" s="34"/>
      <c r="D47" s="35"/>
      <c r="E47" s="35"/>
      <c r="F47" s="35"/>
      <c r="G47" s="22"/>
      <c r="H47" s="22"/>
      <c r="I47" s="22"/>
      <c r="J47" s="22" t="e">
        <f>SUM(J9:J45)</f>
        <v>#REF!</v>
      </c>
      <c r="K47" s="36"/>
    </row>
    <row r="48" spans="1:11" s="10" customFormat="1" x14ac:dyDescent="0.25"/>
    <row r="49" spans="1:11" s="44" customFormat="1" x14ac:dyDescent="0.25">
      <c r="A49" s="37"/>
      <c r="B49" s="38" t="s">
        <v>19</v>
      </c>
      <c r="C49" s="55" t="e">
        <f>J47</f>
        <v>#REF!</v>
      </c>
      <c r="D49" s="56"/>
      <c r="E49" s="39">
        <v>100</v>
      </c>
      <c r="F49" s="37"/>
      <c r="G49" s="40"/>
      <c r="H49" s="37"/>
      <c r="I49" s="41"/>
      <c r="J49" s="42"/>
      <c r="K49" s="43"/>
    </row>
    <row r="50" spans="1:11" s="10" customFormat="1" x14ac:dyDescent="0.25">
      <c r="B50" s="38" t="s">
        <v>21</v>
      </c>
      <c r="C50" s="57">
        <v>700000</v>
      </c>
      <c r="D50" s="58"/>
      <c r="E50" s="39"/>
    </row>
    <row r="51" spans="1:11" s="10" customFormat="1" x14ac:dyDescent="0.25">
      <c r="B51" s="38" t="s">
        <v>22</v>
      </c>
      <c r="C51" s="57">
        <f>C50-C53-C54</f>
        <v>665000</v>
      </c>
      <c r="D51" s="58"/>
      <c r="E51" s="39" t="e">
        <f>C51/C49*100</f>
        <v>#REF!</v>
      </c>
    </row>
    <row r="52" spans="1:11" s="10" customFormat="1" x14ac:dyDescent="0.25">
      <c r="B52" s="38" t="s">
        <v>26</v>
      </c>
      <c r="C52" s="59" t="e">
        <f>C49-C51</f>
        <v>#REF!</v>
      </c>
      <c r="D52" s="59"/>
      <c r="E52" s="39" t="e">
        <f>100-E51</f>
        <v>#REF!</v>
      </c>
    </row>
    <row r="53" spans="1:11" s="10" customFormat="1" x14ac:dyDescent="0.25">
      <c r="B53" s="38" t="s">
        <v>23</v>
      </c>
      <c r="C53" s="55">
        <f>C50*0.03</f>
        <v>21000</v>
      </c>
      <c r="D53" s="56"/>
      <c r="E53" s="39">
        <v>3</v>
      </c>
    </row>
    <row r="54" spans="1:11" s="10" customFormat="1" x14ac:dyDescent="0.25">
      <c r="B54" s="38" t="s">
        <v>24</v>
      </c>
      <c r="C54" s="55">
        <f>C50*0.02</f>
        <v>14000</v>
      </c>
      <c r="D54" s="56"/>
      <c r="E54" s="39">
        <v>2</v>
      </c>
    </row>
  </sheetData>
  <mergeCells count="15">
    <mergeCell ref="C53:D53"/>
    <mergeCell ref="C54:D54"/>
    <mergeCell ref="A7:F7"/>
    <mergeCell ref="H7:K7"/>
    <mergeCell ref="C49:D49"/>
    <mergeCell ref="C50:D50"/>
    <mergeCell ref="C51:D51"/>
    <mergeCell ref="C52:D52"/>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krishi</vt:lpstr>
      <vt:lpstr>estimate!Print_Area</vt:lpstr>
      <vt:lpstr>krishi!Print_Area</vt:lpstr>
      <vt:lpstr>estimate!Print_Titles</vt:lpstr>
      <vt:lpstr>krishi!Print_Titles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2026-03-09T07:35:04Z</dcterms:modified>
</cp:coreProperties>
</file>