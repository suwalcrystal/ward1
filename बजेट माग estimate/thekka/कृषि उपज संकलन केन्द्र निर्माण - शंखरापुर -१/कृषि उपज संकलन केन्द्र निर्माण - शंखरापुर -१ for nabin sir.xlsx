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B754ED2B-D9B0-4189-9069-0D172092CF18}" xr6:coauthVersionLast="47" xr6:coauthVersionMax="47" xr10:uidLastSave="{00000000-0000-0000-0000-000000000000}"/>
  <bookViews>
    <workbookView xWindow="-120" yWindow="-120" windowWidth="20730" windowHeight="11040" xr2:uid="{00000000-000D-0000-FFFF-FFFF00000000}"/>
  </bookViews>
  <sheets>
    <sheet name="krishi thekka" sheetId="15"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'krishi thekka'!$A$1:$K$77</definedName>
    <definedName name="_xlnm.Print_Titles" localSheetId="0">'krishi thekka'!$1:$8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9" i="15" l="1"/>
  <c r="J69" i="15" s="1"/>
  <c r="C53" i="15"/>
  <c r="C56" i="15"/>
  <c r="F56" i="15"/>
  <c r="G56" i="15" s="1"/>
  <c r="I67" i="15"/>
  <c r="I63" i="15"/>
  <c r="I58" i="15"/>
  <c r="I47" i="15"/>
  <c r="I43" i="15"/>
  <c r="I35" i="15"/>
  <c r="I30" i="15"/>
  <c r="I22" i="15"/>
  <c r="I16" i="15"/>
  <c r="G71" i="15"/>
  <c r="J71" i="15" s="1"/>
  <c r="F66" i="15"/>
  <c r="D62" i="15"/>
  <c r="G62" i="15" s="1"/>
  <c r="D61" i="15"/>
  <c r="G61" i="15" s="1"/>
  <c r="D57" i="15"/>
  <c r="F57" i="15" s="1"/>
  <c r="G57" i="15" s="1"/>
  <c r="D56" i="15"/>
  <c r="D55" i="15"/>
  <c r="C55" i="15"/>
  <c r="F55" i="15" s="1"/>
  <c r="G55" i="15" s="1"/>
  <c r="D54" i="15"/>
  <c r="F54" i="15" s="1"/>
  <c r="G54" i="15" s="1"/>
  <c r="D53" i="15"/>
  <c r="D52" i="15"/>
  <c r="C52" i="15"/>
  <c r="F51" i="15"/>
  <c r="G51" i="15" s="1"/>
  <c r="F50" i="15"/>
  <c r="G50" i="15" s="1"/>
  <c r="F41" i="15"/>
  <c r="D41" i="15"/>
  <c r="G41" i="15" s="1"/>
  <c r="F40" i="15"/>
  <c r="D40" i="15"/>
  <c r="G40" i="15" s="1"/>
  <c r="D39" i="15"/>
  <c r="D38" i="15"/>
  <c r="F34" i="15"/>
  <c r="G34" i="15" s="1"/>
  <c r="F33" i="15"/>
  <c r="F42" i="15" s="1"/>
  <c r="D33" i="15"/>
  <c r="D42" i="15" s="1"/>
  <c r="C33" i="15"/>
  <c r="F29" i="15"/>
  <c r="G29" i="15" s="1"/>
  <c r="F28" i="15"/>
  <c r="F38" i="15" s="1"/>
  <c r="F39" i="15" s="1"/>
  <c r="D28" i="15"/>
  <c r="F27" i="15"/>
  <c r="C27" i="15"/>
  <c r="G27" i="15" s="1"/>
  <c r="F26" i="15"/>
  <c r="C26" i="15"/>
  <c r="F25" i="15"/>
  <c r="D25" i="15"/>
  <c r="G25" i="15" s="1"/>
  <c r="E19" i="15"/>
  <c r="D19" i="15"/>
  <c r="D15" i="15"/>
  <c r="G15" i="15" s="1"/>
  <c r="D14" i="15"/>
  <c r="G14" i="15" s="1"/>
  <c r="E13" i="15"/>
  <c r="E21" i="15" s="1"/>
  <c r="D13" i="15"/>
  <c r="E12" i="15"/>
  <c r="E20" i="15" s="1"/>
  <c r="D12" i="15"/>
  <c r="D11" i="15"/>
  <c r="G11" i="15" s="1"/>
  <c r="D10" i="15"/>
  <c r="G10" i="15" s="1"/>
  <c r="F53" i="15" l="1"/>
  <c r="G53" i="15" s="1"/>
  <c r="G26" i="15"/>
  <c r="F52" i="15"/>
  <c r="G52" i="15" s="1"/>
  <c r="G19" i="15"/>
  <c r="C42" i="15"/>
  <c r="G42" i="15" s="1"/>
  <c r="G33" i="15"/>
  <c r="G35" i="15" s="1"/>
  <c r="G28" i="15"/>
  <c r="G30" i="15" s="1"/>
  <c r="J30" i="15" s="1"/>
  <c r="D66" i="15"/>
  <c r="G66" i="15" s="1"/>
  <c r="G67" i="15" s="1"/>
  <c r="J67" i="15" s="1"/>
  <c r="D21" i="15"/>
  <c r="G21" i="15" s="1"/>
  <c r="G13" i="15"/>
  <c r="D20" i="15"/>
  <c r="G20" i="15" s="1"/>
  <c r="G12" i="15"/>
  <c r="G39" i="15"/>
  <c r="G38" i="15"/>
  <c r="G63" i="15"/>
  <c r="G22" i="15" l="1"/>
  <c r="G58" i="15"/>
  <c r="G43" i="15"/>
  <c r="G16" i="15"/>
  <c r="J16" i="15" s="1"/>
  <c r="J35" i="15"/>
  <c r="J22" i="15"/>
  <c r="J58" i="15"/>
  <c r="J63" i="15"/>
  <c r="D46" i="15" l="1"/>
  <c r="G46" i="15" s="1"/>
  <c r="G47" i="15" s="1"/>
  <c r="J47" i="15" s="1"/>
  <c r="J43" i="15"/>
  <c r="J73" i="15" l="1"/>
  <c r="C75" i="15" s="1"/>
  <c r="C76" i="15" l="1"/>
  <c r="C77" i="15" s="1"/>
</calcChain>
</file>

<file path=xl/sharedStrings.xml><?xml version="1.0" encoding="utf-8"?>
<sst xmlns="http://schemas.openxmlformats.org/spreadsheetml/2006/main" count="80" uniqueCount="60">
  <si>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</si>
  <si>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</si>
  <si>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</si>
  <si>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</si>
  <si>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</si>
  <si>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</si>
  <si>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</si>
  <si>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</si>
  <si>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</si>
  <si>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</si>
  <si>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</si>
  <si>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</si>
  <si>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</si>
  <si>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</si>
  <si>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</si>
  <si>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</si>
  <si>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</si>
  <si>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</si>
  <si>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</si>
  <si>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</si>
  <si>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</si>
  <si>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F.Y.: 2082/2083</t>
  </si>
  <si>
    <t>Length (m)</t>
  </si>
  <si>
    <t>cum</t>
  </si>
  <si>
    <t>Location:- Shankharapur Municipality 1</t>
  </si>
  <si>
    <t>PS</t>
  </si>
  <si>
    <t>sqm</t>
  </si>
  <si>
    <t>!@=% dL=dL= l;d]G6 afn'jf -!M$_ Knfi6/</t>
  </si>
  <si>
    <t>e'O{+tNnfdf lrDgL e§fsf] O{+6fsf] uf/f] l;d]G6 d;nf -!M^_ df</t>
  </si>
  <si>
    <t xml:space="preserve"> Ps sf]6 k|fO{d/ ;lxt b'O{ sf]6 j]b/sf]6 k]G6 ug]{ sfd</t>
  </si>
  <si>
    <t xml:space="preserve">Date:                  </t>
  </si>
  <si>
    <t>-long wall</t>
  </si>
  <si>
    <t>-deduction for 14" wall</t>
  </si>
  <si>
    <t>- 14" wall</t>
  </si>
  <si>
    <t>-short wall</t>
  </si>
  <si>
    <t>e'O{+tNnfdf lrDgL e§fsf] O{+6fsf] uf/f] l;d]G6 d;nf -!M$_ df</t>
  </si>
  <si>
    <r>
      <t>%) dL=dL=</t>
    </r>
    <r>
      <rPr>
        <b/>
        <sz val="12"/>
        <rFont val="Times New Roman"/>
        <family val="1"/>
      </rPr>
      <t xml:space="preserve"> X</t>
    </r>
    <r>
      <rPr>
        <b/>
        <sz val="12"/>
        <rFont val="Preeti"/>
      </rPr>
      <t xml:space="preserve"> &amp;% dL=dL= cu|fvsf] k|m]d ^)) dL=dL=</t>
    </r>
    <r>
      <rPr>
        <b/>
        <sz val="12"/>
        <rFont val="Times New Roman"/>
        <family val="1"/>
      </rPr>
      <t xml:space="preserve"> X</t>
    </r>
    <r>
      <rPr>
        <b/>
        <sz val="12"/>
        <rFont val="Preeti"/>
      </rPr>
      <t xml:space="preserve"> ^)) dL=dL= df xfnL @% dL=dL= afSnf] cu|fvsf7sf] ˆn]s 5fKg] sfd</t>
    </r>
  </si>
  <si>
    <t>kfs]6 lj5\ofpg] / vfS;L nufO{ kfln; ug]{ sfd</t>
  </si>
  <si>
    <t>-flooring</t>
  </si>
  <si>
    <t>-outer face of wall</t>
  </si>
  <si>
    <t>-inner face of wall</t>
  </si>
  <si>
    <t>-as of plaster</t>
  </si>
  <si>
    <t>ljleGg ;fO{hsf] kmnfd] PËn km]lj|s]zg u/L k|fOd/ k]G6 ;lxt ug]{ sfd</t>
  </si>
  <si>
    <t>Unit weight (Kg/m)</t>
  </si>
  <si>
    <t>Weight (Kg)</t>
  </si>
  <si>
    <t>Kg</t>
  </si>
  <si>
    <t>-MS square pipe for post of 75mm*75mm*5mm thickness</t>
  </si>
  <si>
    <t>-75mm*75mm*5mm size equal angle for stage binding</t>
  </si>
  <si>
    <t>-at stage</t>
  </si>
  <si>
    <t>-deduction for stage area</t>
  </si>
  <si>
    <r>
      <t>%) dL=dL=</t>
    </r>
    <r>
      <rPr>
        <b/>
        <sz val="12"/>
        <rFont val="Times New Roman"/>
        <family val="1"/>
      </rPr>
      <t xml:space="preserve"> Ø</t>
    </r>
    <r>
      <rPr>
        <b/>
        <sz val="12"/>
        <rFont val="Preeti"/>
      </rPr>
      <t xml:space="preserve"> sf] sfnf] kmnfd] kfO{k kf]i6 @ dL6/ b"/Ldf</t>
    </r>
    <r>
      <rPr>
        <b/>
        <sz val="12"/>
        <rFont val="Times New Roman"/>
        <family val="1"/>
      </rPr>
      <t xml:space="preserve"> </t>
    </r>
    <r>
      <rPr>
        <b/>
        <sz val="12"/>
        <rFont val="Preeti"/>
      </rPr>
      <t xml:space="preserve">@% </t>
    </r>
    <r>
      <rPr>
        <b/>
        <sz val="12"/>
        <rFont val="Times New Roman"/>
        <family val="1"/>
      </rPr>
      <t>x</t>
    </r>
    <r>
      <rPr>
        <b/>
        <sz val="12"/>
        <rFont val="Preeti"/>
      </rPr>
      <t xml:space="preserve"> @% </t>
    </r>
    <r>
      <rPr>
        <b/>
        <sz val="12"/>
        <rFont val="Times New Roman"/>
        <family val="1"/>
      </rPr>
      <t>x</t>
    </r>
    <r>
      <rPr>
        <b/>
        <sz val="12"/>
        <rFont val="Preeti"/>
      </rPr>
      <t xml:space="preserve"> $ dL=dL= ;fO{hsf] kmnfd] PËn k|m]ddf &amp; dL=dL=</t>
    </r>
    <r>
      <rPr>
        <b/>
        <sz val="12"/>
        <rFont val="Times New Roman"/>
        <family val="1"/>
      </rPr>
      <t>Ø</t>
    </r>
    <r>
      <rPr>
        <b/>
        <sz val="12"/>
        <rFont val="Preeti"/>
      </rPr>
      <t xml:space="preserve"> kmnfd] 808Lsf] 8fouf]gnL hfnL ^@ </t>
    </r>
    <r>
      <rPr>
        <b/>
        <sz val="12"/>
        <rFont val="Times New Roman"/>
        <family val="1"/>
      </rPr>
      <t>x</t>
    </r>
    <r>
      <rPr>
        <b/>
        <sz val="12"/>
        <rFont val="Preeti"/>
      </rPr>
      <t xml:space="preserve"> ^@ dL=dL= ;fOhdf h8fg ug]{ / #</t>
    </r>
    <r>
      <rPr>
        <b/>
        <sz val="12"/>
        <rFont val="Times New Roman"/>
        <family val="1"/>
      </rPr>
      <t>x</t>
    </r>
    <r>
      <rPr>
        <b/>
        <sz val="12"/>
        <rFont val="Preeti"/>
      </rPr>
      <t>@) sf] kmnfd] kftfsf] lu|n )=!% dL= cUnf] agfO{ dfly h8fg u/L km]lj|s]zg u/L k|fOd/ k]G6 ;lxt ;Dk"0f{ sfo{ .</t>
    </r>
  </si>
  <si>
    <t>-fencing</t>
  </si>
  <si>
    <t>-partition wall</t>
  </si>
  <si>
    <t>- 9" wall</t>
  </si>
  <si>
    <t>Provisional sum for unforseen work</t>
  </si>
  <si>
    <r>
      <t>Project:-</t>
    </r>
    <r>
      <rPr>
        <sz val="12"/>
        <rFont val="Preeti"/>
      </rPr>
      <t xml:space="preserve"> s[lif pkh ;+sng s]Gb| lgdf{0f</t>
    </r>
  </si>
  <si>
    <t>l;d]G6 jf jh|df hf]8]sf] uf/f] eTsfO{ To;af6 cfPsf] ;fdfu+|L !) dL</t>
  </si>
  <si>
    <t>-deduction for door area</t>
  </si>
  <si>
    <t>VAT 13%</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</si>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</sst>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b/>
      <sz val="11"/>
      <color theme="1"/>
      <name val="Calibri"/>
      <family val="2"/>
      <scheme val="minor"/>
    </font>
    <font>
      <b/>
      <sz val="12"/>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9">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0" fillId="0" borderId="2" xfId="0" applyNumberFormat="1" applyBorder="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13" fillId="0" borderId="2" xfId="0" applyFont="1" applyBorder="1" applyAlignment="1">
      <alignment vertical="center"/>
    </xf>
    <xf numFmtId="0" fontId="0" fillId="0" borderId="2" xfId="0" applyBorder="1" applyAlignment="1">
      <alignment vertical="center"/>
    </xf>
    <xf numFmtId="0" fontId="0" fillId="0" borderId="0" xfId="0" applyAlignment="1">
      <alignment vertical="center"/>
    </xf>
    <xf numFmtId="0" fontId="0" fillId="0" borderId="2" xfId="0" applyBorder="1"/>
    <xf numFmtId="0" fontId="0" fillId="0" borderId="2" xfId="0" quotePrefix="1" applyBorder="1" applyAlignment="1">
      <alignment horizontal="right"/>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2" fontId="0" fillId="0" borderId="2" xfId="0" applyNumberFormat="1" applyBorder="1" applyAlignment="1">
      <alignment vertical="center"/>
    </xf>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4" fillId="0" borderId="2" xfId="0" applyFont="1" applyBorder="1" applyAlignment="1">
      <alignment vertical="center"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0" xfId="0" applyFont="1" applyAlignment="1">
      <alignment vertical="center"/>
    </xf>
    <xf numFmtId="0" fontId="9" fillId="0" borderId="2" xfId="0" applyFont="1" applyBorder="1" applyAlignment="1">
      <alignment horizontal="center" vertical="center"/>
    </xf>
    <xf numFmtId="0" fontId="3" fillId="0" borderId="2" xfId="0" applyFont="1" applyBorder="1" applyAlignment="1">
      <alignment vertical="center"/>
    </xf>
    <xf numFmtId="0" fontId="0" fillId="0" borderId="2" xfId="0" applyBorder="1" applyAlignment="1">
      <alignment wrapText="1"/>
    </xf>
    <xf numFmtId="0" fontId="0" fillId="0" borderId="2" xfId="0" quotePrefix="1" applyBorder="1" applyAlignment="1">
      <alignment horizontal="right" wrapText="1"/>
    </xf>
    <xf numFmtId="1" fontId="2" fillId="0" borderId="2" xfId="0" applyNumberFormat="1" applyFont="1" applyBorder="1" applyAlignment="1">
      <alignment vertical="center"/>
    </xf>
    <xf numFmtId="0" fontId="4" fillId="0" borderId="2" xfId="0" quotePrefix="1" applyFont="1" applyBorder="1" applyAlignment="1">
      <alignment vertical="center"/>
    </xf>
    <xf numFmtId="0" fontId="8" fillId="0" borderId="1" xfId="0" applyFont="1" applyBorder="1"/>
    <xf numFmtId="0" fontId="8" fillId="0" borderId="1" xfId="0" applyFont="1" applyBorder="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C7C2F-1478-4A13-8446-41B228967A5A}">
  <dimension ref="A1:K77"/>
  <sheetViews>
    <sheetView tabSelected="1" topLeftCell="A65" zoomScaleNormal="100" workbookViewId="0">
      <selection activeCell="D80" sqref="D80"/>
    </sheetView>
  </sheetViews>
  <sheetFormatPr defaultColWidth="9.140625" defaultRowHeight="15" x14ac:dyDescent="0.25"/>
  <cols>
    <col min="1" max="1" width="4.7109375" style="13" customWidth="1"/>
    <col min="2" max="2" width="30.85546875" customWidth="1"/>
    <col min="3" max="3" width="6.28515625" bestFit="1" customWidth="1"/>
    <col min="4" max="4" width="8.42578125" customWidth="1"/>
    <col min="5" max="5" width="8.5703125" customWidth="1"/>
    <col min="6" max="6" width="7.28515625" customWidth="1"/>
    <col min="8" max="8" width="5" bestFit="1" customWidth="1"/>
    <col min="9" max="9" width="9.5703125" customWidth="1"/>
    <col min="10" max="10" width="11.85546875" bestFit="1" customWidth="1"/>
  </cols>
  <sheetData>
    <row r="1" spans="1:11" x14ac:dyDescent="0.25">
      <c r="A1" s="53" t="s">
        <v>0</v>
      </c>
      <c r="B1" s="53"/>
      <c r="C1" s="53"/>
      <c r="D1" s="53"/>
      <c r="E1" s="53"/>
      <c r="F1" s="53"/>
      <c r="G1" s="53"/>
      <c r="H1" s="53"/>
      <c r="I1" s="53"/>
      <c r="J1" s="53"/>
      <c r="K1" s="53"/>
    </row>
    <row r="2" spans="1:11" ht="22.5" x14ac:dyDescent="0.25">
      <c r="A2" s="54" t="s">
        <v>1</v>
      </c>
      <c r="B2" s="54"/>
      <c r="C2" s="54"/>
      <c r="D2" s="54"/>
      <c r="E2" s="54"/>
      <c r="F2" s="54"/>
      <c r="G2" s="54"/>
      <c r="H2" s="54"/>
      <c r="I2" s="54"/>
      <c r="J2" s="54"/>
      <c r="K2" s="54"/>
    </row>
    <row r="3" spans="1:11" x14ac:dyDescent="0.25">
      <c r="A3" s="55" t="s">
        <v>2</v>
      </c>
      <c r="B3" s="55"/>
      <c r="C3" s="55"/>
      <c r="D3" s="55"/>
      <c r="E3" s="55"/>
      <c r="F3" s="55"/>
      <c r="G3" s="55"/>
      <c r="H3" s="55"/>
      <c r="I3" s="55"/>
      <c r="J3" s="55"/>
      <c r="K3" s="55"/>
    </row>
    <row r="4" spans="1:11" x14ac:dyDescent="0.25">
      <c r="A4" s="55" t="s">
        <v>3</v>
      </c>
      <c r="B4" s="55"/>
      <c r="C4" s="55"/>
      <c r="D4" s="55"/>
      <c r="E4" s="55"/>
      <c r="F4" s="55"/>
      <c r="G4" s="55"/>
      <c r="H4" s="55"/>
      <c r="I4" s="55"/>
      <c r="J4" s="55"/>
      <c r="K4" s="55"/>
    </row>
    <row r="5" spans="1:11" ht="18.75" x14ac:dyDescent="0.3">
      <c r="A5" s="56" t="s">
        <v>4</v>
      </c>
      <c r="B5" s="56"/>
      <c r="C5" s="56"/>
      <c r="D5" s="56"/>
      <c r="E5" s="56"/>
      <c r="F5" s="56"/>
      <c r="G5" s="56"/>
      <c r="H5" s="56"/>
      <c r="I5" s="56"/>
      <c r="J5" s="56"/>
      <c r="K5" s="56"/>
    </row>
    <row r="6" spans="1:11" ht="15.75" x14ac:dyDescent="0.25">
      <c r="A6" s="57" t="s">
        <v>55</v>
      </c>
      <c r="B6" s="57"/>
      <c r="C6" s="57"/>
      <c r="D6" s="57"/>
      <c r="E6" s="57"/>
      <c r="F6" s="57"/>
      <c r="G6" s="4"/>
      <c r="H6" s="58" t="s">
        <v>21</v>
      </c>
      <c r="I6" s="58"/>
      <c r="J6" s="58"/>
      <c r="K6" s="58"/>
    </row>
    <row r="7" spans="1:11" ht="15.75" x14ac:dyDescent="0.25">
      <c r="A7" s="47" t="s">
        <v>24</v>
      </c>
      <c r="B7" s="47"/>
      <c r="C7" s="47"/>
      <c r="D7" s="47"/>
      <c r="E7" s="47"/>
      <c r="F7" s="47"/>
      <c r="G7" s="5"/>
      <c r="H7" s="48" t="s">
        <v>30</v>
      </c>
      <c r="I7" s="48"/>
      <c r="J7" s="48"/>
      <c r="K7" s="48"/>
    </row>
    <row r="8" spans="1:11" s="10" customFormat="1" ht="15.75" x14ac:dyDescent="0.25">
      <c r="A8" s="41" t="s">
        <v>5</v>
      </c>
      <c r="B8" s="7" t="s">
        <v>6</v>
      </c>
      <c r="C8" s="6" t="s">
        <v>7</v>
      </c>
      <c r="D8" s="8" t="s">
        <v>8</v>
      </c>
      <c r="E8" s="8" t="s">
        <v>9</v>
      </c>
      <c r="F8" s="8" t="s">
        <v>10</v>
      </c>
      <c r="G8" s="8" t="s">
        <v>11</v>
      </c>
      <c r="H8" s="6" t="s">
        <v>12</v>
      </c>
      <c r="I8" s="8" t="s">
        <v>13</v>
      </c>
      <c r="J8" s="8" t="s">
        <v>14</v>
      </c>
      <c r="K8" s="9" t="s">
        <v>15</v>
      </c>
    </row>
    <row r="9" spans="1:11" s="13" customFormat="1" ht="61.5" x14ac:dyDescent="0.25">
      <c r="A9" s="11">
        <v>1</v>
      </c>
      <c r="B9" s="27" t="s">
        <v>36</v>
      </c>
      <c r="C9" s="12"/>
      <c r="D9" s="22"/>
      <c r="E9" s="22"/>
      <c r="F9" s="22"/>
      <c r="G9" s="22"/>
      <c r="H9" s="12"/>
      <c r="I9" s="12"/>
      <c r="J9" s="12"/>
      <c r="K9" s="12"/>
    </row>
    <row r="10" spans="1:11" x14ac:dyDescent="0.25">
      <c r="A10" s="12"/>
      <c r="B10" s="15" t="s">
        <v>31</v>
      </c>
      <c r="C10" s="14">
        <v>2</v>
      </c>
      <c r="D10" s="3">
        <f>(272+272)/12/3.281</f>
        <v>13.81692573402418</v>
      </c>
      <c r="E10" s="3"/>
      <c r="F10" s="3">
        <v>0.75</v>
      </c>
      <c r="G10" s="3">
        <f>PRODUCT(C10:F10)</f>
        <v>20.725388601036268</v>
      </c>
      <c r="H10" s="14"/>
      <c r="I10" s="14"/>
      <c r="J10" s="14"/>
      <c r="K10" s="14"/>
    </row>
    <row r="11" spans="1:11" x14ac:dyDescent="0.25">
      <c r="A11" s="12"/>
      <c r="B11" s="15" t="s">
        <v>34</v>
      </c>
      <c r="C11" s="14">
        <v>2</v>
      </c>
      <c r="D11" s="3">
        <f>236/12/3.281</f>
        <v>5.9941074875546079</v>
      </c>
      <c r="E11" s="3"/>
      <c r="F11" s="3">
        <v>0.75</v>
      </c>
      <c r="G11" s="3">
        <f t="shared" ref="G11:G15" si="0">PRODUCT(C11:F11)</f>
        <v>8.9911612313319118</v>
      </c>
      <c r="H11" s="14"/>
      <c r="I11" s="14"/>
      <c r="J11" s="14"/>
      <c r="K11" s="14"/>
    </row>
    <row r="12" spans="1:11" x14ac:dyDescent="0.25">
      <c r="A12" s="12"/>
      <c r="B12" s="15" t="s">
        <v>48</v>
      </c>
      <c r="C12" s="14">
        <v>1</v>
      </c>
      <c r="D12" s="3">
        <f>28.75/3.281</f>
        <v>8.7625723864675393</v>
      </c>
      <c r="E12" s="3">
        <f>6.75/3.281</f>
        <v>2.0572996037793354</v>
      </c>
      <c r="F12" s="3"/>
      <c r="G12" s="3">
        <f t="shared" si="0"/>
        <v>18.027236698767414</v>
      </c>
      <c r="H12" s="14"/>
      <c r="I12" s="14"/>
      <c r="J12" s="14"/>
      <c r="K12" s="14"/>
    </row>
    <row r="13" spans="1:11" x14ac:dyDescent="0.25">
      <c r="A13" s="12"/>
      <c r="B13" s="15"/>
      <c r="C13" s="14">
        <v>1</v>
      </c>
      <c r="D13" s="3">
        <f>32.25/3.281</f>
        <v>9.8293203291679365</v>
      </c>
      <c r="E13" s="3">
        <f>6.75/3.281</f>
        <v>2.0572996037793354</v>
      </c>
      <c r="F13" s="3"/>
      <c r="G13" s="3">
        <f t="shared" si="0"/>
        <v>20.221856818617361</v>
      </c>
      <c r="H13" s="14"/>
      <c r="I13" s="14"/>
      <c r="J13" s="14"/>
      <c r="K13" s="14"/>
    </row>
    <row r="14" spans="1:11" x14ac:dyDescent="0.25">
      <c r="A14" s="12"/>
      <c r="B14" s="15" t="s">
        <v>57</v>
      </c>
      <c r="C14" s="14">
        <v>-2</v>
      </c>
      <c r="D14" s="3">
        <f>42/12/3.281</f>
        <v>1.0667479427003961</v>
      </c>
      <c r="E14" s="3"/>
      <c r="F14" s="3">
        <v>0.75</v>
      </c>
      <c r="G14" s="3">
        <f t="shared" si="0"/>
        <v>-1.600121914050594</v>
      </c>
      <c r="H14" s="14"/>
      <c r="I14" s="14"/>
      <c r="J14" s="14"/>
      <c r="K14" s="14"/>
    </row>
    <row r="15" spans="1:11" x14ac:dyDescent="0.25">
      <c r="A15" s="12"/>
      <c r="B15" s="15"/>
      <c r="C15" s="14">
        <v>-1</v>
      </c>
      <c r="D15" s="3">
        <f>35/12/3.281</f>
        <v>0.88895661891699673</v>
      </c>
      <c r="E15" s="3"/>
      <c r="F15" s="3">
        <v>0.75</v>
      </c>
      <c r="G15" s="3">
        <f t="shared" si="0"/>
        <v>-0.66671746418774758</v>
      </c>
      <c r="H15" s="14"/>
      <c r="I15" s="14"/>
      <c r="J15" s="14"/>
      <c r="K15" s="14"/>
    </row>
    <row r="16" spans="1:11" s="10" customFormat="1" ht="15" customHeight="1" x14ac:dyDescent="0.25">
      <c r="A16" s="16"/>
      <c r="B16" s="17" t="s">
        <v>16</v>
      </c>
      <c r="C16" s="18"/>
      <c r="D16" s="1"/>
      <c r="E16" s="19"/>
      <c r="F16" s="19"/>
      <c r="G16" s="2">
        <f>SUM(G10:G15)</f>
        <v>65.698803971514621</v>
      </c>
      <c r="H16" s="20" t="s">
        <v>26</v>
      </c>
      <c r="I16" s="2">
        <f>1.15*9949.51</f>
        <v>11441.9365</v>
      </c>
      <c r="J16" s="21">
        <f>G16*I16</f>
        <v>751721.54316801811</v>
      </c>
      <c r="K16" s="19"/>
    </row>
    <row r="17" spans="1:11" x14ac:dyDescent="0.25">
      <c r="A17" s="12"/>
      <c r="B17" s="14"/>
      <c r="C17" s="14"/>
      <c r="D17" s="3"/>
      <c r="E17" s="3"/>
      <c r="F17" s="3"/>
      <c r="G17" s="3"/>
      <c r="H17" s="14"/>
      <c r="I17" s="14"/>
      <c r="J17" s="14"/>
      <c r="K17" s="14"/>
    </row>
    <row r="18" spans="1:11" s="13" customFormat="1" ht="30" x14ac:dyDescent="0.25">
      <c r="A18" s="11">
        <v>2</v>
      </c>
      <c r="B18" s="27" t="s">
        <v>37</v>
      </c>
      <c r="C18" s="12"/>
      <c r="D18" s="22"/>
      <c r="E18" s="22"/>
      <c r="F18" s="22"/>
      <c r="G18" s="22"/>
      <c r="H18" s="12"/>
      <c r="I18" s="12"/>
      <c r="J18" s="12"/>
      <c r="K18" s="12"/>
    </row>
    <row r="19" spans="1:11" x14ac:dyDescent="0.25">
      <c r="A19" s="12"/>
      <c r="B19" s="15" t="s">
        <v>38</v>
      </c>
      <c r="C19" s="14">
        <v>1</v>
      </c>
      <c r="D19" s="3">
        <f>35.083/3.281</f>
        <v>10.692776592502286</v>
      </c>
      <c r="E19" s="3">
        <f>236/12/3.281</f>
        <v>5.9941074875546079</v>
      </c>
      <c r="F19" s="3"/>
      <c r="G19" s="3">
        <f>PRODUCT(C19:F19)</f>
        <v>64.0936522358666</v>
      </c>
      <c r="H19" s="14"/>
      <c r="I19" s="14"/>
      <c r="J19" s="14"/>
      <c r="K19" s="14"/>
    </row>
    <row r="20" spans="1:11" x14ac:dyDescent="0.25">
      <c r="A20" s="12"/>
      <c r="B20" s="15" t="s">
        <v>49</v>
      </c>
      <c r="C20" s="14">
        <v>-1</v>
      </c>
      <c r="D20" s="3">
        <f>D12</f>
        <v>8.7625723864675393</v>
      </c>
      <c r="E20" s="3">
        <f>E12</f>
        <v>2.0572996037793354</v>
      </c>
      <c r="F20" s="3"/>
      <c r="G20" s="3">
        <f t="shared" ref="G20:G21" si="1">PRODUCT(C20:F20)</f>
        <v>-18.027236698767414</v>
      </c>
      <c r="H20" s="14"/>
      <c r="I20" s="14"/>
      <c r="J20" s="14"/>
      <c r="K20" s="14"/>
    </row>
    <row r="21" spans="1:11" x14ac:dyDescent="0.25">
      <c r="A21" s="12"/>
      <c r="B21" s="15"/>
      <c r="C21" s="14">
        <v>-1</v>
      </c>
      <c r="D21" s="3">
        <f>D13</f>
        <v>9.8293203291679365</v>
      </c>
      <c r="E21" s="3">
        <f>E13</f>
        <v>2.0572996037793354</v>
      </c>
      <c r="F21" s="3"/>
      <c r="G21" s="3">
        <f t="shared" si="1"/>
        <v>-20.221856818617361</v>
      </c>
      <c r="H21" s="14"/>
      <c r="I21" s="14"/>
      <c r="J21" s="14"/>
      <c r="K21" s="14"/>
    </row>
    <row r="22" spans="1:11" s="10" customFormat="1" ht="15" customHeight="1" x14ac:dyDescent="0.25">
      <c r="A22" s="16"/>
      <c r="B22" s="17" t="s">
        <v>16</v>
      </c>
      <c r="C22" s="18"/>
      <c r="D22" s="1"/>
      <c r="E22" s="19"/>
      <c r="F22" s="19"/>
      <c r="G22" s="2">
        <f>SUM(G19:G21)</f>
        <v>25.844558718481828</v>
      </c>
      <c r="H22" s="20" t="s">
        <v>26</v>
      </c>
      <c r="I22" s="2">
        <f>1.15*2808.56</f>
        <v>3229.8439999999996</v>
      </c>
      <c r="J22" s="21">
        <f>G22*I22</f>
        <v>83473.892909536211</v>
      </c>
      <c r="K22" s="19"/>
    </row>
    <row r="23" spans="1:11" x14ac:dyDescent="0.25">
      <c r="A23" s="12"/>
      <c r="B23" s="14"/>
      <c r="C23" s="14"/>
      <c r="D23" s="3"/>
      <c r="E23" s="3"/>
      <c r="F23" s="3"/>
      <c r="G23" s="3"/>
      <c r="H23" s="14"/>
      <c r="I23" s="14"/>
      <c r="J23" s="14"/>
      <c r="K23" s="14"/>
    </row>
    <row r="24" spans="1:11" ht="30" x14ac:dyDescent="0.25">
      <c r="A24" s="11">
        <v>3</v>
      </c>
      <c r="B24" s="27" t="s">
        <v>28</v>
      </c>
      <c r="C24" s="14"/>
      <c r="D24" s="14"/>
      <c r="E24" s="14"/>
      <c r="F24" s="14"/>
      <c r="G24" s="14"/>
      <c r="H24" s="14"/>
      <c r="I24" s="14"/>
      <c r="J24" s="14"/>
      <c r="K24" s="14"/>
    </row>
    <row r="25" spans="1:11" x14ac:dyDescent="0.25">
      <c r="A25" s="12"/>
      <c r="B25" s="15" t="s">
        <v>31</v>
      </c>
      <c r="C25" s="3">
        <v>2</v>
      </c>
      <c r="D25" s="3">
        <f>(48.5/3.281)</f>
        <v>14.782078634562632</v>
      </c>
      <c r="E25" s="3">
        <v>0.23</v>
      </c>
      <c r="F25" s="3">
        <f t="shared" ref="F25:F27" si="2">2.75/3.281</f>
        <v>0.8381590978360256</v>
      </c>
      <c r="G25" s="3">
        <f>PRODUCT(C25:F25)</f>
        <v>5.6992774985436547</v>
      </c>
      <c r="H25" s="14"/>
      <c r="I25" s="14"/>
      <c r="J25" s="14"/>
      <c r="K25" s="14"/>
    </row>
    <row r="26" spans="1:11" x14ac:dyDescent="0.25">
      <c r="A26" s="12"/>
      <c r="B26" s="15" t="s">
        <v>32</v>
      </c>
      <c r="C26" s="3">
        <f>-5*2</f>
        <v>-10</v>
      </c>
      <c r="D26" s="3">
        <v>0.35</v>
      </c>
      <c r="E26" s="3">
        <v>0.23</v>
      </c>
      <c r="F26" s="3">
        <f t="shared" si="2"/>
        <v>0.8381590978360256</v>
      </c>
      <c r="G26" s="3">
        <f t="shared" ref="G26:G27" si="3">PRODUCT(C26:F26)</f>
        <v>-0.67471807375800064</v>
      </c>
      <c r="H26" s="14"/>
      <c r="I26" s="14"/>
      <c r="J26" s="14"/>
      <c r="K26" s="14"/>
    </row>
    <row r="27" spans="1:11" x14ac:dyDescent="0.25">
      <c r="A27" s="12"/>
      <c r="B27" s="15" t="s">
        <v>33</v>
      </c>
      <c r="C27" s="3">
        <f>5*2</f>
        <v>10</v>
      </c>
      <c r="D27" s="3">
        <v>0.35</v>
      </c>
      <c r="E27" s="3">
        <v>0.35</v>
      </c>
      <c r="F27" s="3">
        <f t="shared" si="2"/>
        <v>0.8381590978360256</v>
      </c>
      <c r="G27" s="3">
        <f t="shared" si="3"/>
        <v>1.0267448948491313</v>
      </c>
      <c r="H27" s="14"/>
      <c r="I27" s="14"/>
      <c r="J27" s="14"/>
      <c r="K27" s="14"/>
    </row>
    <row r="28" spans="1:11" x14ac:dyDescent="0.25">
      <c r="A28" s="12"/>
      <c r="B28" s="15" t="s">
        <v>34</v>
      </c>
      <c r="C28" s="3">
        <v>1</v>
      </c>
      <c r="D28" s="3">
        <f>((19.17-0.75)/3.281)</f>
        <v>5.6141420298689431</v>
      </c>
      <c r="E28" s="3">
        <v>0.1</v>
      </c>
      <c r="F28" s="3">
        <f>(7.5+2.75)/3.281</f>
        <v>3.1240475464797317</v>
      </c>
      <c r="G28" s="3">
        <f>PRODUCT(C28:F28)</f>
        <v>1.7538846634000815</v>
      </c>
      <c r="H28" s="14"/>
      <c r="I28" s="14"/>
      <c r="J28" s="14"/>
      <c r="K28" s="14"/>
    </row>
    <row r="29" spans="1:11" x14ac:dyDescent="0.25">
      <c r="A29" s="12"/>
      <c r="B29" s="15" t="s">
        <v>53</v>
      </c>
      <c r="C29" s="3">
        <v>1</v>
      </c>
      <c r="D29" s="3">
        <v>0.23</v>
      </c>
      <c r="E29" s="3">
        <v>0.23</v>
      </c>
      <c r="F29" s="3">
        <f>(7.5+2.75)/3.281</f>
        <v>3.1240475464797317</v>
      </c>
      <c r="G29" s="3">
        <f>PRODUCT(C29:F29)</f>
        <v>0.16526211520877782</v>
      </c>
      <c r="H29" s="14"/>
      <c r="I29" s="14"/>
      <c r="J29" s="14"/>
      <c r="K29" s="14"/>
    </row>
    <row r="30" spans="1:11" s="10" customFormat="1" ht="15" customHeight="1" x14ac:dyDescent="0.25">
      <c r="A30" s="16"/>
      <c r="B30" s="17" t="s">
        <v>16</v>
      </c>
      <c r="C30" s="18"/>
      <c r="D30" s="1"/>
      <c r="E30" s="19"/>
      <c r="F30" s="19"/>
      <c r="G30" s="2">
        <f>SUM(G25:G29)</f>
        <v>7.9704510982436449</v>
      </c>
      <c r="H30" s="20" t="s">
        <v>23</v>
      </c>
      <c r="I30" s="2">
        <f>1.15*14491.84</f>
        <v>16665.615999999998</v>
      </c>
      <c r="J30" s="21">
        <f>G30*I30</f>
        <v>132832.47735010684</v>
      </c>
      <c r="K30" s="19"/>
    </row>
    <row r="31" spans="1:11" s="10" customFormat="1" x14ac:dyDescent="0.25">
      <c r="A31" s="23"/>
      <c r="B31" s="24"/>
      <c r="C31" s="25"/>
      <c r="D31" s="26"/>
      <c r="E31" s="26"/>
      <c r="F31" s="26"/>
      <c r="G31" s="26"/>
      <c r="H31" s="25"/>
      <c r="I31" s="25"/>
      <c r="J31" s="21"/>
      <c r="K31" s="25"/>
    </row>
    <row r="32" spans="1:11" ht="30" x14ac:dyDescent="0.25">
      <c r="A32" s="12">
        <v>4</v>
      </c>
      <c r="B32" s="27" t="s">
        <v>35</v>
      </c>
      <c r="C32" s="14"/>
      <c r="D32" s="14"/>
      <c r="E32" s="14"/>
      <c r="F32" s="14"/>
      <c r="G32" s="14"/>
      <c r="H32" s="14"/>
      <c r="I32" s="14"/>
      <c r="J32" s="14"/>
      <c r="K32" s="14"/>
    </row>
    <row r="33" spans="1:11" x14ac:dyDescent="0.25">
      <c r="A33" s="12"/>
      <c r="B33" s="15" t="s">
        <v>34</v>
      </c>
      <c r="C33" s="3">
        <f>2*2</f>
        <v>4</v>
      </c>
      <c r="D33" s="3">
        <f>(11.33-0.75)/3.281</f>
        <v>3.2246266382200548</v>
      </c>
      <c r="E33" s="3">
        <v>0.1</v>
      </c>
      <c r="F33" s="3">
        <f>3.5/3.281</f>
        <v>1.0667479427003961</v>
      </c>
      <c r="G33" s="3">
        <f>PRODUCT(C33:F33)</f>
        <v>1.3759455329192551</v>
      </c>
      <c r="H33" s="14"/>
      <c r="I33" s="14"/>
      <c r="J33" s="14"/>
      <c r="K33" s="14"/>
    </row>
    <row r="34" spans="1:11" x14ac:dyDescent="0.25">
      <c r="A34" s="12"/>
      <c r="B34" s="15"/>
      <c r="C34" s="3">
        <v>2</v>
      </c>
      <c r="D34" s="3">
        <v>0.23</v>
      </c>
      <c r="E34" s="3">
        <v>0.23</v>
      </c>
      <c r="F34" s="3">
        <f>3.5/3.281</f>
        <v>1.0667479427003961</v>
      </c>
      <c r="G34" s="3">
        <f>PRODUCT(C34:F34)</f>
        <v>0.11286193233770191</v>
      </c>
      <c r="H34" s="14"/>
      <c r="I34" s="14"/>
      <c r="J34" s="14"/>
      <c r="K34" s="14"/>
    </row>
    <row r="35" spans="1:11" s="10" customFormat="1" ht="15" customHeight="1" x14ac:dyDescent="0.25">
      <c r="A35" s="16"/>
      <c r="B35" s="17" t="s">
        <v>16</v>
      </c>
      <c r="C35" s="18"/>
      <c r="D35" s="1"/>
      <c r="E35" s="19"/>
      <c r="F35" s="19"/>
      <c r="G35" s="2">
        <f>SUM(G33:G34)</f>
        <v>1.488807465256957</v>
      </c>
      <c r="H35" s="20" t="s">
        <v>23</v>
      </c>
      <c r="I35" s="2">
        <f>1.15*14827.62</f>
        <v>17051.762999999999</v>
      </c>
      <c r="J35" s="21">
        <f>G35*I35</f>
        <v>25386.792050192362</v>
      </c>
      <c r="K35" s="19"/>
    </row>
    <row r="36" spans="1:11" s="10" customFormat="1" x14ac:dyDescent="0.25">
      <c r="A36" s="23"/>
      <c r="B36" s="24"/>
      <c r="C36" s="25"/>
      <c r="D36" s="26"/>
      <c r="E36" s="26"/>
      <c r="F36" s="26"/>
      <c r="G36" s="26"/>
      <c r="H36" s="25"/>
      <c r="I36" s="25"/>
      <c r="J36" s="21"/>
      <c r="K36" s="25"/>
    </row>
    <row r="37" spans="1:11" ht="30" x14ac:dyDescent="0.25">
      <c r="A37" s="12">
        <v>5</v>
      </c>
      <c r="B37" s="27" t="s">
        <v>27</v>
      </c>
      <c r="C37" s="14"/>
      <c r="D37" s="14"/>
      <c r="E37" s="14"/>
      <c r="F37" s="14"/>
      <c r="G37" s="14"/>
      <c r="H37" s="14"/>
      <c r="I37" s="14"/>
      <c r="J37" s="14"/>
      <c r="K37" s="14"/>
    </row>
    <row r="38" spans="1:11" x14ac:dyDescent="0.25">
      <c r="A38" s="12"/>
      <c r="B38" s="15" t="s">
        <v>52</v>
      </c>
      <c r="C38" s="14">
        <v>1</v>
      </c>
      <c r="D38" s="3">
        <f>19.17/3.281</f>
        <v>5.8427308747333129</v>
      </c>
      <c r="E38" s="14"/>
      <c r="F38" s="3">
        <f>F28</f>
        <v>3.1240475464797317</v>
      </c>
      <c r="G38" s="3">
        <f t="shared" ref="G38:G39" si="4">PRODUCT(C38:F38)</f>
        <v>18.252969053951983</v>
      </c>
      <c r="H38" s="14"/>
      <c r="I38" s="14"/>
      <c r="J38" s="14"/>
      <c r="K38" s="14"/>
    </row>
    <row r="39" spans="1:11" x14ac:dyDescent="0.25">
      <c r="A39" s="12"/>
      <c r="B39" s="15"/>
      <c r="C39" s="14">
        <v>1</v>
      </c>
      <c r="D39" s="3">
        <f>19.17/3.281</f>
        <v>5.8427308747333129</v>
      </c>
      <c r="E39" s="14"/>
      <c r="F39" s="3">
        <f>F38-2.5/3.281</f>
        <v>2.3620847302651629</v>
      </c>
      <c r="G39" s="3">
        <f t="shared" si="4"/>
        <v>13.801025382256377</v>
      </c>
      <c r="H39" s="14"/>
      <c r="I39" s="14"/>
      <c r="J39" s="14"/>
      <c r="K39" s="14"/>
    </row>
    <row r="40" spans="1:11" x14ac:dyDescent="0.25">
      <c r="A40" s="12"/>
      <c r="B40" s="15" t="s">
        <v>39</v>
      </c>
      <c r="C40" s="3">
        <v>2</v>
      </c>
      <c r="D40" s="3">
        <f>(48.5)/3.281</f>
        <v>14.782078634562632</v>
      </c>
      <c r="E40" s="3"/>
      <c r="F40" s="3">
        <f>3.5/3.281</f>
        <v>1.0667479427003961</v>
      </c>
      <c r="G40" s="3">
        <f>PRODUCT(C40:F40)</f>
        <v>31.537503944510334</v>
      </c>
      <c r="H40" s="14"/>
      <c r="I40" s="14"/>
      <c r="J40" s="14"/>
      <c r="K40" s="14"/>
    </row>
    <row r="41" spans="1:11" x14ac:dyDescent="0.25">
      <c r="A41" s="12"/>
      <c r="B41" s="15" t="s">
        <v>40</v>
      </c>
      <c r="C41" s="3">
        <v>2</v>
      </c>
      <c r="D41" s="3">
        <f>(48.5-0.75*2)/3.281</f>
        <v>14.324900944833891</v>
      </c>
      <c r="E41" s="3"/>
      <c r="F41" s="3">
        <f>3.5/3.281</f>
        <v>1.0667479427003961</v>
      </c>
      <c r="G41" s="3">
        <f>PRODUCT(C41:F41)</f>
        <v>30.562117224577026</v>
      </c>
      <c r="H41" s="14"/>
      <c r="I41" s="14"/>
      <c r="J41" s="14"/>
      <c r="K41" s="14"/>
    </row>
    <row r="42" spans="1:11" x14ac:dyDescent="0.25">
      <c r="A42" s="12"/>
      <c r="B42" s="15" t="s">
        <v>34</v>
      </c>
      <c r="C42" s="3">
        <f>C33</f>
        <v>4</v>
      </c>
      <c r="D42" s="3">
        <f>D33</f>
        <v>3.2246266382200548</v>
      </c>
      <c r="E42" s="3"/>
      <c r="F42" s="3">
        <f>F33</f>
        <v>1.0667479427003961</v>
      </c>
      <c r="G42" s="3">
        <f>PRODUCT(C42:F42)</f>
        <v>13.759455329192551</v>
      </c>
      <c r="H42" s="14"/>
      <c r="I42" s="14"/>
      <c r="J42" s="14"/>
      <c r="K42" s="14"/>
    </row>
    <row r="43" spans="1:11" s="10" customFormat="1" ht="15" customHeight="1" x14ac:dyDescent="0.25">
      <c r="A43" s="16"/>
      <c r="B43" s="17" t="s">
        <v>16</v>
      </c>
      <c r="C43" s="18"/>
      <c r="D43" s="1"/>
      <c r="E43" s="19"/>
      <c r="F43" s="19"/>
      <c r="G43" s="2">
        <f>SUM(G38:G42)</f>
        <v>107.91307093448826</v>
      </c>
      <c r="H43" s="20" t="s">
        <v>26</v>
      </c>
      <c r="I43" s="2">
        <f>1.15*415.5</f>
        <v>477.82499999999999</v>
      </c>
      <c r="J43" s="21">
        <f>G43*I43</f>
        <v>51563.56311927185</v>
      </c>
      <c r="K43" s="19"/>
    </row>
    <row r="44" spans="1:11" s="10" customFormat="1" x14ac:dyDescent="0.25">
      <c r="A44" s="23"/>
      <c r="B44" s="24"/>
      <c r="C44" s="25"/>
      <c r="D44" s="26"/>
      <c r="E44" s="26"/>
      <c r="F44" s="26"/>
      <c r="G44" s="26"/>
      <c r="H44" s="25"/>
      <c r="I44" s="25"/>
      <c r="J44" s="21"/>
      <c r="K44" s="25"/>
    </row>
    <row r="45" spans="1:11" ht="30" x14ac:dyDescent="0.25">
      <c r="A45" s="12">
        <v>6</v>
      </c>
      <c r="B45" s="27" t="s">
        <v>29</v>
      </c>
      <c r="C45" s="14"/>
      <c r="D45" s="14"/>
      <c r="E45" s="14"/>
      <c r="F45" s="14"/>
      <c r="G45" s="14"/>
      <c r="H45" s="14"/>
      <c r="I45" s="14"/>
      <c r="J45" s="14"/>
      <c r="K45" s="14"/>
    </row>
    <row r="46" spans="1:11" x14ac:dyDescent="0.25">
      <c r="A46" s="12"/>
      <c r="B46" s="15" t="s">
        <v>41</v>
      </c>
      <c r="C46" s="3">
        <v>1</v>
      </c>
      <c r="D46" s="3">
        <f>G43</f>
        <v>107.91307093448826</v>
      </c>
      <c r="E46" s="3"/>
      <c r="F46" s="3"/>
      <c r="G46" s="3">
        <f>PRODUCT(C46:F46)</f>
        <v>107.91307093448826</v>
      </c>
      <c r="H46" s="14"/>
      <c r="I46" s="14"/>
      <c r="J46" s="14"/>
      <c r="K46" s="14"/>
    </row>
    <row r="47" spans="1:11" s="10" customFormat="1" ht="15" customHeight="1" x14ac:dyDescent="0.25">
      <c r="A47" s="16"/>
      <c r="B47" s="17" t="s">
        <v>16</v>
      </c>
      <c r="C47" s="18"/>
      <c r="D47" s="1"/>
      <c r="E47" s="19"/>
      <c r="F47" s="19"/>
      <c r="G47" s="2">
        <f>SUM(G46:G46)</f>
        <v>107.91307093448826</v>
      </c>
      <c r="H47" s="20" t="s">
        <v>26</v>
      </c>
      <c r="I47" s="2">
        <f>1.15*253.8</f>
        <v>291.87</v>
      </c>
      <c r="J47" s="21">
        <f>G47*I47</f>
        <v>31496.588013649089</v>
      </c>
      <c r="K47" s="19"/>
    </row>
    <row r="48" spans="1:11" s="10" customFormat="1" x14ac:dyDescent="0.25">
      <c r="A48" s="23"/>
      <c r="B48" s="24"/>
      <c r="C48" s="25"/>
      <c r="D48" s="26"/>
      <c r="E48" s="26"/>
      <c r="F48" s="26"/>
      <c r="G48" s="26"/>
      <c r="H48" s="25"/>
      <c r="I48" s="25"/>
      <c r="J48" s="21"/>
      <c r="K48" s="25"/>
    </row>
    <row r="49" spans="1:11" ht="45" x14ac:dyDescent="0.25">
      <c r="A49" s="12">
        <v>7</v>
      </c>
      <c r="B49" s="27" t="s">
        <v>42</v>
      </c>
      <c r="C49" s="43" t="s">
        <v>7</v>
      </c>
      <c r="D49" s="43" t="s">
        <v>22</v>
      </c>
      <c r="E49" s="43" t="s">
        <v>43</v>
      </c>
      <c r="F49" s="43" t="s">
        <v>44</v>
      </c>
      <c r="G49" s="14"/>
      <c r="H49" s="14"/>
      <c r="I49" s="14"/>
      <c r="J49" s="14"/>
      <c r="K49" s="14"/>
    </row>
    <row r="50" spans="1:11" ht="30" x14ac:dyDescent="0.25">
      <c r="A50" s="12"/>
      <c r="B50" s="44" t="s">
        <v>46</v>
      </c>
      <c r="C50" s="3">
        <v>30</v>
      </c>
      <c r="D50" s="3">
        <v>0.3</v>
      </c>
      <c r="E50" s="3">
        <v>10.5</v>
      </c>
      <c r="F50" s="3">
        <f>PRODUCT(C50:E50)</f>
        <v>94.5</v>
      </c>
      <c r="G50" s="3">
        <f>F50</f>
        <v>94.5</v>
      </c>
      <c r="H50" s="14"/>
      <c r="I50" s="14"/>
      <c r="J50" s="14"/>
      <c r="K50" s="14"/>
    </row>
    <row r="51" spans="1:11" x14ac:dyDescent="0.25">
      <c r="A51" s="12"/>
      <c r="B51" s="15"/>
      <c r="C51" s="3">
        <v>33</v>
      </c>
      <c r="D51" s="3">
        <v>0.3</v>
      </c>
      <c r="E51" s="3">
        <v>10.5</v>
      </c>
      <c r="F51" s="3">
        <f>PRODUCT(C51:E51)</f>
        <v>103.95</v>
      </c>
      <c r="G51" s="3">
        <f>F51</f>
        <v>103.95</v>
      </c>
      <c r="H51" s="14"/>
      <c r="I51" s="14"/>
      <c r="J51" s="14"/>
      <c r="K51" s="14"/>
    </row>
    <row r="52" spans="1:11" ht="30" x14ac:dyDescent="0.25">
      <c r="A52" s="12"/>
      <c r="B52" s="44" t="s">
        <v>47</v>
      </c>
      <c r="C52" s="3">
        <f>2*2</f>
        <v>4</v>
      </c>
      <c r="D52" s="3">
        <f>28.75/3.281</f>
        <v>8.7625723864675393</v>
      </c>
      <c r="E52" s="3">
        <v>5.8</v>
      </c>
      <c r="F52" s="3">
        <f t="shared" ref="F52:F57" si="5">PRODUCT(C52:E52)</f>
        <v>203.29167936604691</v>
      </c>
      <c r="G52" s="3">
        <f t="shared" ref="G52:G57" si="6">F52</f>
        <v>203.29167936604691</v>
      </c>
      <c r="H52" s="14"/>
      <c r="I52" s="14"/>
      <c r="J52" s="14"/>
      <c r="K52" s="14"/>
    </row>
    <row r="53" spans="1:11" x14ac:dyDescent="0.25">
      <c r="A53" s="12"/>
      <c r="B53" s="15"/>
      <c r="C53" s="3">
        <f>2*2</f>
        <v>4</v>
      </c>
      <c r="D53" s="3">
        <f>6.75/3.281</f>
        <v>2.0572996037793354</v>
      </c>
      <c r="E53" s="3">
        <v>5.8</v>
      </c>
      <c r="F53" s="3">
        <f t="shared" si="5"/>
        <v>47.729350807680582</v>
      </c>
      <c r="G53" s="3">
        <f t="shared" si="6"/>
        <v>47.729350807680582</v>
      </c>
      <c r="H53" s="14"/>
      <c r="I53" s="14"/>
      <c r="J53" s="14"/>
      <c r="K53" s="14"/>
    </row>
    <row r="54" spans="1:11" x14ac:dyDescent="0.25">
      <c r="A54" s="12"/>
      <c r="B54" s="15"/>
      <c r="C54" s="3">
        <v>8</v>
      </c>
      <c r="D54" s="3">
        <f>6.75/3.281</f>
        <v>2.0572996037793354</v>
      </c>
      <c r="E54" s="3">
        <v>5.8</v>
      </c>
      <c r="F54" s="3">
        <f t="shared" si="5"/>
        <v>95.458701615361164</v>
      </c>
      <c r="G54" s="3">
        <f t="shared" si="6"/>
        <v>95.458701615361164</v>
      </c>
      <c r="H54" s="14"/>
      <c r="I54" s="14"/>
      <c r="J54" s="14"/>
      <c r="K54" s="14"/>
    </row>
    <row r="55" spans="1:11" x14ac:dyDescent="0.25">
      <c r="A55" s="12"/>
      <c r="B55" s="15"/>
      <c r="C55" s="3">
        <f>2*2</f>
        <v>4</v>
      </c>
      <c r="D55" s="3">
        <f>32.25/3.281</f>
        <v>9.8293203291679365</v>
      </c>
      <c r="E55" s="3">
        <v>5.8</v>
      </c>
      <c r="F55" s="3">
        <f t="shared" si="5"/>
        <v>228.04023163669612</v>
      </c>
      <c r="G55" s="3">
        <f t="shared" si="6"/>
        <v>228.04023163669612</v>
      </c>
      <c r="H55" s="14"/>
      <c r="I55" s="14"/>
      <c r="J55" s="14"/>
      <c r="K55" s="14"/>
    </row>
    <row r="56" spans="1:11" x14ac:dyDescent="0.25">
      <c r="A56" s="12"/>
      <c r="B56" s="15"/>
      <c r="C56" s="3">
        <f>2*2+1</f>
        <v>5</v>
      </c>
      <c r="D56" s="3">
        <f>6.75/3.281</f>
        <v>2.0572996037793354</v>
      </c>
      <c r="E56" s="3">
        <v>5.8</v>
      </c>
      <c r="F56" s="3">
        <f t="shared" si="5"/>
        <v>59.661688509600722</v>
      </c>
      <c r="G56" s="3">
        <f t="shared" si="6"/>
        <v>59.661688509600722</v>
      </c>
      <c r="H56" s="14"/>
      <c r="I56" s="14"/>
      <c r="J56" s="14"/>
      <c r="K56" s="14"/>
    </row>
    <row r="57" spans="1:11" x14ac:dyDescent="0.25">
      <c r="A57" s="12"/>
      <c r="B57" s="15"/>
      <c r="C57" s="3">
        <v>9</v>
      </c>
      <c r="D57" s="3">
        <f>6.75/3.281</f>
        <v>2.0572996037793354</v>
      </c>
      <c r="E57" s="3">
        <v>5.8</v>
      </c>
      <c r="F57" s="3">
        <f t="shared" si="5"/>
        <v>107.3910393172813</v>
      </c>
      <c r="G57" s="3">
        <f t="shared" si="6"/>
        <v>107.3910393172813</v>
      </c>
      <c r="H57" s="14"/>
      <c r="I57" s="14"/>
      <c r="J57" s="14"/>
      <c r="K57" s="14"/>
    </row>
    <row r="58" spans="1:11" s="10" customFormat="1" ht="15" customHeight="1" x14ac:dyDescent="0.25">
      <c r="A58" s="16"/>
      <c r="B58" s="17" t="s">
        <v>16</v>
      </c>
      <c r="C58" s="18"/>
      <c r="D58" s="1"/>
      <c r="E58" s="19"/>
      <c r="F58" s="19"/>
      <c r="G58" s="2">
        <f>SUM(G50:G57)</f>
        <v>940.02269125266685</v>
      </c>
      <c r="H58" s="20" t="s">
        <v>45</v>
      </c>
      <c r="I58" s="2">
        <f>1.15*182.51</f>
        <v>209.88649999999998</v>
      </c>
      <c r="J58" s="21">
        <f>G58*I58</f>
        <v>197298.07258760286</v>
      </c>
      <c r="K58" s="19"/>
    </row>
    <row r="59" spans="1:11" s="10" customFormat="1" x14ac:dyDescent="0.25">
      <c r="A59" s="23"/>
      <c r="B59" s="24"/>
      <c r="C59" s="25"/>
      <c r="D59" s="26"/>
      <c r="E59" s="26"/>
      <c r="F59" s="26"/>
      <c r="G59" s="26"/>
      <c r="H59" s="25"/>
      <c r="I59" s="25"/>
      <c r="J59" s="21"/>
      <c r="K59" s="25"/>
    </row>
    <row r="60" spans="1:11" ht="154.5" x14ac:dyDescent="0.25">
      <c r="A60" s="12">
        <v>8</v>
      </c>
      <c r="B60" s="27" t="s">
        <v>50</v>
      </c>
      <c r="C60" s="14"/>
      <c r="D60" s="14"/>
      <c r="E60" s="14"/>
      <c r="F60" s="14"/>
      <c r="G60" s="14"/>
      <c r="H60" s="14"/>
      <c r="I60" s="14"/>
      <c r="J60" s="14"/>
      <c r="K60" s="14"/>
    </row>
    <row r="61" spans="1:11" x14ac:dyDescent="0.25">
      <c r="A61" s="12"/>
      <c r="B61" s="15" t="s">
        <v>51</v>
      </c>
      <c r="C61" s="3">
        <v>1</v>
      </c>
      <c r="D61" s="3">
        <f>(48.5+5+5)/3.281</f>
        <v>17.829929899420907</v>
      </c>
      <c r="E61" s="3"/>
      <c r="F61" s="3">
        <v>1.5</v>
      </c>
      <c r="G61" s="3">
        <f>PRODUCT(C61:F61)</f>
        <v>26.744894849131363</v>
      </c>
      <c r="H61" s="14"/>
      <c r="I61" s="14"/>
      <c r="J61" s="14"/>
      <c r="K61" s="14"/>
    </row>
    <row r="62" spans="1:11" x14ac:dyDescent="0.25">
      <c r="A62" s="12"/>
      <c r="B62" s="15"/>
      <c r="C62" s="3">
        <v>1</v>
      </c>
      <c r="D62" s="3">
        <f>(21.5+5)/3.281</f>
        <v>8.076805851874429</v>
      </c>
      <c r="E62" s="3"/>
      <c r="F62" s="3">
        <v>1.5</v>
      </c>
      <c r="G62" s="3">
        <f>PRODUCT(C62:F62)</f>
        <v>12.115208777811644</v>
      </c>
      <c r="H62" s="14"/>
      <c r="I62" s="14"/>
      <c r="J62" s="14"/>
      <c r="K62" s="14"/>
    </row>
    <row r="63" spans="1:11" s="10" customFormat="1" ht="15" customHeight="1" x14ac:dyDescent="0.25">
      <c r="A63" s="16"/>
      <c r="B63" s="17" t="s">
        <v>16</v>
      </c>
      <c r="C63" s="18"/>
      <c r="D63" s="1"/>
      <c r="E63" s="19"/>
      <c r="F63" s="19"/>
      <c r="G63" s="2">
        <f>SUM(G61:G62)</f>
        <v>38.860103626943008</v>
      </c>
      <c r="H63" s="20" t="s">
        <v>26</v>
      </c>
      <c r="I63" s="2">
        <f>1.15*30571.1/10</f>
        <v>3515.6764999999991</v>
      </c>
      <c r="J63" s="21">
        <f>G63*I63</f>
        <v>136619.55310880826</v>
      </c>
      <c r="K63" s="19"/>
    </row>
    <row r="64" spans="1:11" s="10" customFormat="1" x14ac:dyDescent="0.25">
      <c r="A64" s="23"/>
      <c r="B64" s="24"/>
      <c r="C64" s="25"/>
      <c r="D64" s="26"/>
      <c r="E64" s="26"/>
      <c r="F64" s="26"/>
      <c r="G64" s="26"/>
      <c r="H64" s="25"/>
      <c r="I64" s="25"/>
      <c r="J64" s="21"/>
      <c r="K64" s="25"/>
    </row>
    <row r="65" spans="1:11" s="10" customFormat="1" ht="45" x14ac:dyDescent="0.25">
      <c r="A65" s="16">
        <v>9</v>
      </c>
      <c r="B65" s="27" t="s">
        <v>56</v>
      </c>
      <c r="C65" s="18"/>
      <c r="D65" s="1"/>
      <c r="E65" s="19"/>
      <c r="F65" s="19"/>
      <c r="G65" s="20"/>
      <c r="H65" s="20"/>
      <c r="I65" s="2"/>
      <c r="J65" s="20"/>
      <c r="K65" s="19"/>
    </row>
    <row r="66" spans="1:11" x14ac:dyDescent="0.25">
      <c r="A66" s="12"/>
      <c r="B66" s="15" t="s">
        <v>52</v>
      </c>
      <c r="C66" s="3">
        <v>1</v>
      </c>
      <c r="D66" s="3">
        <f>D28</f>
        <v>5.6141420298689431</v>
      </c>
      <c r="E66" s="3">
        <v>0.1</v>
      </c>
      <c r="F66" s="3">
        <f>7.5/3.281</f>
        <v>2.2858884486437061</v>
      </c>
      <c r="G66" s="3">
        <f>PRODUCT(C66:F66)</f>
        <v>1.2833302415122547</v>
      </c>
      <c r="H66" s="14"/>
      <c r="I66" s="14"/>
      <c r="J66" s="14"/>
      <c r="K66" s="14"/>
    </row>
    <row r="67" spans="1:11" s="10" customFormat="1" ht="15" customHeight="1" x14ac:dyDescent="0.25">
      <c r="A67" s="16"/>
      <c r="B67" s="17" t="s">
        <v>16</v>
      </c>
      <c r="C67" s="18"/>
      <c r="D67" s="1"/>
      <c r="E67" s="19"/>
      <c r="F67" s="19"/>
      <c r="G67" s="2">
        <f>SUM(G65:G66)</f>
        <v>1.2833302415122547</v>
      </c>
      <c r="H67" s="20" t="s">
        <v>23</v>
      </c>
      <c r="I67" s="2">
        <f>1.15*1982.2</f>
        <v>2279.5299999999997</v>
      </c>
      <c r="J67" s="21">
        <f>G67*I67</f>
        <v>2925.3897854344295</v>
      </c>
      <c r="K67" s="19"/>
    </row>
    <row r="68" spans="1:11" s="10" customFormat="1" x14ac:dyDescent="0.25">
      <c r="A68" s="23"/>
      <c r="B68" s="24"/>
      <c r="C68" s="25"/>
      <c r="D68" s="26"/>
      <c r="E68" s="26"/>
      <c r="F68" s="26"/>
      <c r="G68" s="26"/>
      <c r="H68" s="25"/>
      <c r="I68" s="25"/>
      <c r="J68" s="21"/>
      <c r="K68" s="25"/>
    </row>
    <row r="69" spans="1:11" s="10" customFormat="1" ht="15" customHeight="1" x14ac:dyDescent="0.25">
      <c r="A69" s="16">
        <v>10</v>
      </c>
      <c r="B69" s="45" t="s">
        <v>54</v>
      </c>
      <c r="C69" s="18">
        <v>1</v>
      </c>
      <c r="D69" s="1"/>
      <c r="E69" s="19"/>
      <c r="F69" s="19"/>
      <c r="G69" s="20">
        <f t="shared" ref="G69" si="7">PRODUCT(C69:F69)</f>
        <v>1</v>
      </c>
      <c r="H69" s="20" t="s">
        <v>25</v>
      </c>
      <c r="I69" s="2">
        <v>2000</v>
      </c>
      <c r="J69" s="20">
        <f>G69*I69</f>
        <v>2000</v>
      </c>
      <c r="K69" s="19"/>
    </row>
    <row r="70" spans="1:11" s="10" customFormat="1" x14ac:dyDescent="0.25">
      <c r="A70" s="23"/>
      <c r="B70" s="24"/>
      <c r="C70" s="25"/>
      <c r="D70" s="26"/>
      <c r="E70" s="26"/>
      <c r="F70" s="26"/>
      <c r="G70" s="26"/>
      <c r="H70" s="25"/>
      <c r="I70" s="25"/>
      <c r="J70" s="21"/>
      <c r="K70" s="25"/>
    </row>
    <row r="71" spans="1:11" s="10" customFormat="1" ht="15" customHeight="1" x14ac:dyDescent="0.25">
      <c r="A71" s="16">
        <v>11</v>
      </c>
      <c r="B71" s="28" t="s">
        <v>17</v>
      </c>
      <c r="C71" s="18">
        <v>1</v>
      </c>
      <c r="D71" s="1"/>
      <c r="E71" s="19"/>
      <c r="F71" s="19"/>
      <c r="G71" s="20">
        <f t="shared" ref="G71" si="8">PRODUCT(C71:F71)</f>
        <v>1</v>
      </c>
      <c r="H71" s="20" t="s">
        <v>18</v>
      </c>
      <c r="I71" s="2">
        <v>500</v>
      </c>
      <c r="J71" s="20">
        <f>G71*I71</f>
        <v>500</v>
      </c>
      <c r="K71" s="19"/>
    </row>
    <row r="72" spans="1:11" s="10" customFormat="1" x14ac:dyDescent="0.25">
      <c r="A72" s="16"/>
      <c r="B72" s="29"/>
      <c r="C72" s="18"/>
      <c r="D72" s="1"/>
      <c r="E72" s="19"/>
      <c r="F72" s="19"/>
      <c r="G72" s="2"/>
      <c r="H72" s="20"/>
      <c r="I72" s="2"/>
      <c r="J72" s="21"/>
      <c r="K72" s="19"/>
    </row>
    <row r="73" spans="1:11" s="10" customFormat="1" x14ac:dyDescent="0.25">
      <c r="A73" s="42"/>
      <c r="B73" s="30" t="s">
        <v>20</v>
      </c>
      <c r="C73" s="31"/>
      <c r="D73" s="32"/>
      <c r="E73" s="32"/>
      <c r="F73" s="32"/>
      <c r="G73" s="21"/>
      <c r="H73" s="21"/>
      <c r="I73" s="21"/>
      <c r="J73" s="21">
        <f>SUM(J9:J71)</f>
        <v>1415817.87209262</v>
      </c>
      <c r="K73" s="33"/>
    </row>
    <row r="74" spans="1:11" s="10" customFormat="1" x14ac:dyDescent="0.25">
      <c r="A74" s="40"/>
    </row>
    <row r="75" spans="1:11" s="40" customFormat="1" x14ac:dyDescent="0.25">
      <c r="A75" s="34"/>
      <c r="B75" s="35" t="s">
        <v>19</v>
      </c>
      <c r="C75" s="49">
        <f>J73</f>
        <v>1415817.87209262</v>
      </c>
      <c r="D75" s="50"/>
      <c r="E75" s="34"/>
      <c r="F75" s="36"/>
      <c r="G75" s="34"/>
      <c r="H75" s="37"/>
      <c r="I75" s="38"/>
      <c r="J75" s="39"/>
    </row>
    <row r="76" spans="1:11" s="10" customFormat="1" x14ac:dyDescent="0.25">
      <c r="A76" s="40"/>
      <c r="B76" s="46" t="s">
        <v>58</v>
      </c>
      <c r="C76" s="51">
        <f>0.13*C75</f>
        <v>184056.32337204061</v>
      </c>
      <c r="D76" s="52"/>
    </row>
    <row r="77" spans="1:11" s="10" customFormat="1" x14ac:dyDescent="0.25">
      <c r="A77" s="40"/>
      <c r="B77" s="35" t="s">
        <v>59</v>
      </c>
      <c r="C77" s="51">
        <f>SUM(C75:D76)</f>
        <v>1599874.1954646606</v>
      </c>
      <c r="D77" s="52"/>
    </row>
  </sheetData>
  <mergeCells count="12">
    <mergeCell ref="A6:F6"/>
    <mergeCell ref="H6:K6"/>
    <mergeCell ref="A1:K1"/>
    <mergeCell ref="A2:K2"/>
    <mergeCell ref="A3:K3"/>
    <mergeCell ref="A4:K4"/>
    <mergeCell ref="A5:K5"/>
    <mergeCell ref="A7:F7"/>
    <mergeCell ref="H7:K7"/>
    <mergeCell ref="C75:D75"/>
    <mergeCell ref="C76:D76"/>
    <mergeCell ref="C77:D77"/>
  </mergeCells>
  <pageMargins left="0.7" right="0.7" top="0.75" bottom="0.75" header="0.3" footer="0.3"/>
  <pageSetup scale="80" orientation="portrait"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krishi thekka</vt:lpstr>
      <vt:lpstr>'krishi thekka'!Print_Area</vt:lpstr>
      <vt:lpstr>'krishi thekka'!Print_Titles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2026-03-11T05:15:33Z</dcterms:modified>
</cp:coreProperties>
</file>