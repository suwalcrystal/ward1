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E8401786-6298-40AB-BC9F-6BE0B541160D}" xr6:coauthVersionLast="47" xr6:coauthVersionMax="47" xr10:uidLastSave="{00000000-0000-0000-0000-000000000000}"/>
  <bookViews>
    <workbookView xWindow="-120" yWindow="-120" windowWidth="20730" windowHeight="11040" xr2:uid="{00000000-000D-0000-FFFF-FFFF00000000}"/>
  </bookViews>
  <sheets>
    <sheet name="estimate"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0" i="13" l="1"/>
  <c r="I116" i="13"/>
  <c r="I105" i="13"/>
  <c r="I97" i="13"/>
  <c r="I90" i="13"/>
  <c r="I84" i="13"/>
  <c r="I80" i="13"/>
  <c r="I76" i="13"/>
  <c r="I71" i="13"/>
  <c r="I67" i="13"/>
  <c r="I61" i="13"/>
  <c r="I56" i="13"/>
  <c r="I52" i="13"/>
  <c r="I36" i="13"/>
  <c r="I29" i="13"/>
  <c r="I19" i="13"/>
  <c r="I15" i="13"/>
  <c r="I11" i="13"/>
  <c r="F113" i="14"/>
  <c r="E113" i="14"/>
  <c r="D113" i="14"/>
  <c r="B113" i="14"/>
  <c r="A113" i="14"/>
  <c r="M10" i="14"/>
  <c r="L10" i="14"/>
  <c r="K10" i="14"/>
  <c r="J10" i="14"/>
  <c r="I10" i="14"/>
  <c r="B10" i="14"/>
  <c r="A10" i="14"/>
  <c r="D123" i="13"/>
  <c r="F123" i="13" s="1"/>
  <c r="G123" i="13" s="1"/>
  <c r="G124" i="13" s="1"/>
  <c r="J124" i="13" s="1"/>
  <c r="B123" i="13"/>
  <c r="G119" i="13"/>
  <c r="G120" i="13" s="1"/>
  <c r="J120" i="13" s="1"/>
  <c r="D119" i="13"/>
  <c r="G115" i="13"/>
  <c r="G116" i="13" s="1"/>
  <c r="C83" i="13"/>
  <c r="J116" i="13" l="1"/>
  <c r="G126" i="13"/>
  <c r="J126" i="13" s="1"/>
  <c r="G111" i="13"/>
  <c r="J111" i="13" s="1"/>
  <c r="C108" i="13"/>
  <c r="C104" i="13"/>
  <c r="C95" i="13"/>
  <c r="C102" i="13" s="1"/>
  <c r="C94" i="13"/>
  <c r="C101" i="13" s="1"/>
  <c r="B94" i="13"/>
  <c r="B101" i="13" s="1"/>
  <c r="C93" i="13"/>
  <c r="B93" i="13"/>
  <c r="B100" i="13" s="1"/>
  <c r="D102" i="13"/>
  <c r="C89" i="13"/>
  <c r="B89" i="13"/>
  <c r="B95" i="13" s="1"/>
  <c r="B102" i="13" s="1"/>
  <c r="C88" i="13"/>
  <c r="C87" i="13"/>
  <c r="F101" i="13"/>
  <c r="G75" i="13"/>
  <c r="G76" i="13" s="1"/>
  <c r="J76" i="13" s="1"/>
  <c r="G108" i="13" l="1"/>
  <c r="G109" i="13" s="1"/>
  <c r="J109" i="13" s="1"/>
  <c r="F100" i="13"/>
  <c r="F103" i="13"/>
  <c r="G104" i="13"/>
  <c r="G88" i="13"/>
  <c r="G94" i="13"/>
  <c r="D101" i="13"/>
  <c r="G101" i="13" s="1"/>
  <c r="C96" i="13"/>
  <c r="G89" i="13"/>
  <c r="D103" i="13"/>
  <c r="C100" i="13"/>
  <c r="G70" i="13"/>
  <c r="G71" i="13" s="1"/>
  <c r="E50" i="13"/>
  <c r="E51" i="13"/>
  <c r="E48" i="13"/>
  <c r="E49" i="13"/>
  <c r="E47" i="13"/>
  <c r="E46" i="13"/>
  <c r="E45" i="13"/>
  <c r="E44" i="13"/>
  <c r="E43" i="13"/>
  <c r="E41" i="13"/>
  <c r="E42" i="13"/>
  <c r="E40" i="13"/>
  <c r="E39" i="13"/>
  <c r="F102" i="13" l="1"/>
  <c r="G102" i="13" s="1"/>
  <c r="G95" i="13"/>
  <c r="G28" i="13"/>
  <c r="G35" i="13"/>
  <c r="G96" i="13"/>
  <c r="C103" i="13"/>
  <c r="G103" i="13" s="1"/>
  <c r="G79" i="13"/>
  <c r="G80" i="13" s="1"/>
  <c r="F51" i="13"/>
  <c r="G51" i="13" s="1"/>
  <c r="F46" i="13"/>
  <c r="G46" i="13" s="1"/>
  <c r="G65" i="13"/>
  <c r="G66" i="13"/>
  <c r="F44" i="13"/>
  <c r="G44" i="13" s="1"/>
  <c r="F50" i="13"/>
  <c r="G50" i="13" s="1"/>
  <c r="F47" i="13"/>
  <c r="G47" i="13" s="1"/>
  <c r="J71" i="13"/>
  <c r="F43" i="13"/>
  <c r="G43" i="13" s="1"/>
  <c r="F45" i="13"/>
  <c r="G45" i="13" s="1"/>
  <c r="G60" i="13"/>
  <c r="G59" i="13"/>
  <c r="G32" i="13"/>
  <c r="G33" i="13"/>
  <c r="G34" i="13"/>
  <c r="G55" i="13" l="1"/>
  <c r="G56" i="13" s="1"/>
  <c r="F41" i="13"/>
  <c r="G41" i="13" s="1"/>
  <c r="G64" i="13"/>
  <c r="G67" i="13" s="1"/>
  <c r="G61" i="13"/>
  <c r="G83" i="13"/>
  <c r="G84" i="13" s="1"/>
  <c r="J80" i="13"/>
  <c r="G36" i="13"/>
  <c r="J36" i="13" s="1"/>
  <c r="F49" i="13"/>
  <c r="G49" i="13" s="1"/>
  <c r="F42" i="13"/>
  <c r="G42" i="13" s="1"/>
  <c r="F48" i="13"/>
  <c r="G48" i="13" s="1"/>
  <c r="G10" i="13"/>
  <c r="G14" i="13"/>
  <c r="G15" i="13" s="1"/>
  <c r="G18" i="13"/>
  <c r="G19" i="13" s="1"/>
  <c r="J19" i="13" s="1"/>
  <c r="F39" i="13"/>
  <c r="G39" i="13" s="1"/>
  <c r="G25" i="13"/>
  <c r="G23" i="13"/>
  <c r="G22" i="13"/>
  <c r="G26" i="13"/>
  <c r="G24" i="13"/>
  <c r="F40" i="13"/>
  <c r="G40" i="13" s="1"/>
  <c r="J56" i="13" l="1"/>
  <c r="J84" i="13"/>
  <c r="G87" i="13"/>
  <c r="G90" i="13" s="1"/>
  <c r="G52" i="13"/>
  <c r="J52" i="13" s="1"/>
  <c r="G11" i="13"/>
  <c r="J67" i="13"/>
  <c r="J61" i="13"/>
  <c r="J15" i="13"/>
  <c r="G27" i="13"/>
  <c r="G29" i="13" s="1"/>
  <c r="J29" i="13" s="1"/>
  <c r="J11" i="13" l="1"/>
  <c r="J90" i="13"/>
  <c r="D100" i="13"/>
  <c r="G100" i="13" s="1"/>
  <c r="G105" i="13" s="1"/>
  <c r="G93" i="13"/>
  <c r="G97" i="13" s="1"/>
  <c r="J97" i="13" l="1"/>
  <c r="J128" i="13" s="1"/>
  <c r="J105" i="13"/>
  <c r="C130" i="13" l="1"/>
</calcChain>
</file>

<file path=xl/sharedStrings.xml><?xml version="1.0" encoding="utf-8"?>
<sst xmlns="http://schemas.openxmlformats.org/spreadsheetml/2006/main" count="155" uniqueCount="96">
  <si>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</si>
  <si>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</si>
  <si>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</si>
  <si>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</si>
  <si>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</si>
  <si>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</si>
  <si>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</si>
  <si>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</si>
  <si>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</si>
  <si>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</si>
  <si>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</si>
  <si>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</si>
  <si>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</si>
  <si>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</si>
  <si>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</si>
  <si>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</si>
  <si>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</si>
  <si>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</si>
  <si>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</si>
  <si>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</si>
  <si>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</si>
  <si>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F.Y.: 2082/2083</t>
  </si>
  <si>
    <t>Length (m)</t>
  </si>
  <si>
    <t>sub-total</t>
  </si>
  <si>
    <t>cum</t>
  </si>
  <si>
    <t>-High Density Polythene Pipe NS 40 pipe material PE 100, PN 16</t>
  </si>
  <si>
    <t>Weight (Kg/m)</t>
  </si>
  <si>
    <t>Total weight (Kg)</t>
  </si>
  <si>
    <t>kg</t>
  </si>
  <si>
    <t>Location:- Shankharapur Municipality 1</t>
  </si>
  <si>
    <t>-for pipe laying</t>
  </si>
  <si>
    <t>rm</t>
  </si>
  <si>
    <t>Provisional sum for other unforseen works</t>
  </si>
  <si>
    <t>PS</t>
  </si>
  <si>
    <t>-for pipe laying from source to tank</t>
  </si>
  <si>
    <t>A</t>
  </si>
  <si>
    <t>Pipe works</t>
  </si>
  <si>
    <t>B</t>
  </si>
  <si>
    <t>-for stand taps</t>
  </si>
  <si>
    <t>Plain cement concrete (1:2:4)</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</si>
  <si>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</si>
  <si>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</si>
  <si>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</si>
  <si>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</si>
  <si>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</si>
  <si>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</si>
  <si>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</si>
  <si>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</si>
  <si>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</si>
  <si>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</si>
  <si>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</si>
  <si>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20mm GI pipe threaded-Medium class</t>
  </si>
  <si>
    <t>thickness</t>
  </si>
  <si>
    <t>Date:2082</t>
  </si>
  <si>
    <r>
      <t>Project:-</t>
    </r>
    <r>
      <rPr>
        <sz val="12"/>
        <rFont val="Preeti"/>
      </rPr>
      <t xml:space="preserve"> </t>
    </r>
    <r>
      <rPr>
        <sz val="14"/>
        <rFont val="Preeti"/>
      </rPr>
      <t>5fke~Hofª vfg]kfgL</t>
    </r>
  </si>
  <si>
    <t>-for water tank</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</si>
  <si>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</si>
  <si>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husf] vf8ndf 9'+uf eg]{ / n]en ug]{ sfddf</t>
  </si>
  <si>
    <t>hu leQf kvf{ndf l;d]G6 s+lqm6 ug]{ sfd-lk=;L=;L= +!M#M^_</t>
  </si>
  <si>
    <t>cf/=;L=;L= nflu kmnfd] 808L sf6\g], df]8\g] #) dL6/ ;Dd</t>
  </si>
  <si>
    <t>Unit Weight (Kg/m)</t>
  </si>
  <si>
    <t>Total Weight (Kg)</t>
  </si>
  <si>
    <t>MT</t>
  </si>
  <si>
    <t>-at shorter side of water tank</t>
  </si>
  <si>
    <t>-at longer side of water tank</t>
  </si>
  <si>
    <t>-for water tank floor</t>
  </si>
  <si>
    <t>-for shear wall shorter side</t>
  </si>
  <si>
    <t>-for shear wall longer side</t>
  </si>
  <si>
    <t>freeboard</t>
  </si>
  <si>
    <t>length offset for excavation</t>
  </si>
  <si>
    <t>d]lzgsf] k|of]u u/L ;'k/ :6«Sr/df l;d]G6 s+lqm6 ug]{ sfd -!M!=%M#_</t>
  </si>
  <si>
    <t>-for slab cover</t>
  </si>
  <si>
    <t>kmnfd]sf] kfOk / KnfOaf]8{af6 kmdf{ agfpg] sfd</t>
  </si>
  <si>
    <t>-for outer face of shear wall</t>
  </si>
  <si>
    <t>-for binding vertical bars</t>
  </si>
  <si>
    <t>-for fillet portion</t>
  </si>
  <si>
    <t>-for binding fillet</t>
  </si>
  <si>
    <t>l;d]G6 s+qmL6 ˆnf]l/Ë -!M@M$_ -#* dL=dL=_</t>
  </si>
  <si>
    <t>-for flooring</t>
  </si>
  <si>
    <t>!@=% dL=dL= l;d]G6 afn'jf -!M$_ Knfi6/</t>
  </si>
  <si>
    <t>-for shear wall inner side shorter wall</t>
  </si>
  <si>
    <t>-for shear wall inner side longer wall</t>
  </si>
  <si>
    <t># dL=dL= df]6fO{ d;Lgf] l;d]G6 3f]6\g] sfd</t>
  </si>
  <si>
    <t>-deduction for manhole cover</t>
  </si>
  <si>
    <t>manhole length</t>
  </si>
  <si>
    <t>manhole breadth</t>
  </si>
  <si>
    <t>Square frame medium duty CI manhole cover including frame</t>
  </si>
  <si>
    <t>-24"*24" (24 kg)</t>
  </si>
  <si>
    <t>Water tank size</t>
  </si>
  <si>
    <t>For tap works</t>
  </si>
  <si>
    <t>Earthwork in Excavation in ordinary soil</t>
  </si>
  <si>
    <t>Flat brick  soling</t>
  </si>
  <si>
    <t>Chimney made Brick work in 1:6 cement mortar</t>
  </si>
  <si>
    <t>Width of stand tap</t>
  </si>
  <si>
    <t>Laying and joining of 25 mmØ HDPE pipe with butt-weld joints</t>
  </si>
  <si>
    <r>
      <t>Earthwork in Excavation in ordinary soil (</t>
    </r>
    <r>
      <rPr>
        <b/>
        <sz val="14"/>
        <rFont val="Preeti"/>
      </rPr>
      <t>vGg] k'g{] sfo{</t>
    </r>
    <r>
      <rPr>
        <sz val="1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</si>
</sst>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2"/>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3">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4" fillId="0" borderId="2" xfId="0" applyNumberFormat="1" applyFont="1" applyBorder="1"/>
    <xf numFmtId="0" fontId="4" fillId="0" borderId="0" xfId="0" applyFont="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applyAlignment="1">
      <alignment vertical="center"/>
    </xf>
    <xf numFmtId="0" fontId="6" fillId="0" borderId="2" xfId="0" applyFont="1" applyBorder="1" applyAlignment="1">
      <alignment vertical="center"/>
    </xf>
    <xf numFmtId="0" fontId="4" fillId="0" borderId="2" xfId="0" applyFont="1" applyBorder="1" applyAlignment="1">
      <alignment vertical="center" wrapText="1"/>
    </xf>
    <xf numFmtId="0" fontId="4" fillId="0" borderId="2" xfId="0" applyFont="1" applyBorder="1" applyAlignment="1">
      <alignment vertical="center"/>
    </xf>
    <xf numFmtId="0" fontId="4" fillId="0" borderId="0" xfId="0" applyFont="1" applyAlignment="1">
      <alignment vertical="center" wrapText="1"/>
    </xf>
    <xf numFmtId="0" fontId="4" fillId="0" borderId="2" xfId="0" applyFont="1" applyBorder="1"/>
    <xf numFmtId="0" fontId="4" fillId="0" borderId="2" xfId="0" quotePrefix="1" applyFont="1" applyBorder="1" applyAlignment="1">
      <alignment horizontal="right"/>
    </xf>
    <xf numFmtId="2" fontId="4" fillId="0" borderId="0" xfId="0" applyNumberFormat="1" applyFont="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14" fillId="0" borderId="2" xfId="0" applyFont="1" applyBorder="1" applyAlignment="1">
      <alignment wrapText="1"/>
    </xf>
    <xf numFmtId="2" fontId="4" fillId="0" borderId="2" xfId="0" applyNumberFormat="1" applyFont="1" applyBorder="1" applyAlignment="1">
      <alignment vertical="center"/>
    </xf>
    <xf numFmtId="0" fontId="14" fillId="0" borderId="2" xfId="0" applyFont="1" applyBorder="1" applyAlignment="1">
      <alignment vertical="center" wrapText="1"/>
    </xf>
    <xf numFmtId="2" fontId="4" fillId="0" borderId="2" xfId="0" applyNumberFormat="1" applyFont="1" applyBorder="1" applyAlignment="1">
      <alignment vertical="center" wrapText="1"/>
    </xf>
    <xf numFmtId="165" fontId="4" fillId="0" borderId="2" xfId="0" applyNumberFormat="1" applyFont="1" applyBorder="1"/>
    <xf numFmtId="0" fontId="9" fillId="0" borderId="2" xfId="0" applyFont="1" applyBorder="1" applyAlignment="1">
      <alignment vertical="center"/>
    </xf>
    <xf numFmtId="0" fontId="4" fillId="0" borderId="2" xfId="0" quotePrefix="1" applyFont="1" applyBorder="1" applyAlignment="1">
      <alignment wrapText="1"/>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2" xfId="0"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1" fontId="2" fillId="0" borderId="2" xfId="0" quotePrefix="1" applyNumberFormat="1" applyFont="1" applyBorder="1" applyAlignment="1">
      <alignment vertical="center" wrapText="1"/>
    </xf>
    <xf numFmtId="0" fontId="6" fillId="0" borderId="2" xfId="0" applyFont="1" applyBorder="1"/>
    <xf numFmtId="0" fontId="4" fillId="0" borderId="2" xfId="0" quotePrefix="1" applyFont="1" applyBorder="1" applyAlignment="1">
      <alignment horizontal="right"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30"/>
  <sheetViews>
    <sheetView tabSelected="1" topLeftCell="A122" workbookViewId="0">
      <selection activeCell="G131" sqref="G131"/>
    </sheetView>
  </sheetViews>
  <sheetFormatPr defaultColWidth="9.140625" defaultRowHeight="15" x14ac:dyDescent="0.25"/>
  <cols>
    <col min="1" max="1" width="4.7109375" style="4" customWidth="1"/>
    <col min="2" max="2" width="30.85546875" style="4" customWidth="1"/>
    <col min="3" max="3" width="4.42578125" style="4" bestFit="1" customWidth="1"/>
    <col min="4" max="4" width="8.42578125" style="4" customWidth="1"/>
    <col min="5" max="5" width="8.5703125" style="4" customWidth="1"/>
    <col min="6" max="6" width="7.28515625" style="4" customWidth="1"/>
    <col min="7" max="7" width="9.140625" style="4"/>
    <col min="8" max="8" width="5" style="4" bestFit="1" customWidth="1"/>
    <col min="9" max="9" width="9.5703125" style="4" customWidth="1"/>
    <col min="10" max="10" width="10.7109375" style="4" bestFit="1" customWidth="1"/>
    <col min="11" max="12" width="9.140625" style="4"/>
    <col min="26" max="16384" width="9.140625" style="4"/>
  </cols>
  <sheetData>
    <row r="1" spans="1:11" x14ac:dyDescent="0.25">
      <c r="A1" s="57" t="s">
        <v>0</v>
      </c>
      <c r="B1" s="57"/>
      <c r="C1" s="57"/>
      <c r="D1" s="57"/>
      <c r="E1" s="57"/>
      <c r="F1" s="57"/>
      <c r="G1" s="57"/>
      <c r="H1" s="57"/>
      <c r="I1" s="57"/>
      <c r="J1" s="57"/>
      <c r="K1" s="57"/>
    </row>
    <row r="2" spans="1:11" ht="22.5" x14ac:dyDescent="0.25">
      <c r="A2" s="58" t="s">
        <v>1</v>
      </c>
      <c r="B2" s="58"/>
      <c r="C2" s="58"/>
      <c r="D2" s="58"/>
      <c r="E2" s="58"/>
      <c r="F2" s="58"/>
      <c r="G2" s="58"/>
      <c r="H2" s="58"/>
      <c r="I2" s="58"/>
      <c r="J2" s="58"/>
      <c r="K2" s="58"/>
    </row>
    <row r="3" spans="1:11" x14ac:dyDescent="0.25">
      <c r="A3" s="59" t="s">
        <v>2</v>
      </c>
      <c r="B3" s="59"/>
      <c r="C3" s="59"/>
      <c r="D3" s="59"/>
      <c r="E3" s="59"/>
      <c r="F3" s="59"/>
      <c r="G3" s="59"/>
      <c r="H3" s="59"/>
      <c r="I3" s="59"/>
      <c r="J3" s="59"/>
      <c r="K3" s="59"/>
    </row>
    <row r="4" spans="1:11" x14ac:dyDescent="0.25">
      <c r="A4" s="59" t="s">
        <v>3</v>
      </c>
      <c r="B4" s="59"/>
      <c r="C4" s="59"/>
      <c r="D4" s="59"/>
      <c r="E4" s="59"/>
      <c r="F4" s="59"/>
      <c r="G4" s="59"/>
      <c r="H4" s="59"/>
      <c r="I4" s="59"/>
      <c r="J4" s="59"/>
      <c r="K4" s="59"/>
    </row>
    <row r="5" spans="1:11" ht="18.75" x14ac:dyDescent="0.3">
      <c r="A5" s="60" t="s">
        <v>4</v>
      </c>
      <c r="B5" s="60"/>
      <c r="C5" s="60"/>
      <c r="D5" s="60"/>
      <c r="E5" s="60"/>
      <c r="F5" s="60"/>
      <c r="G5" s="60"/>
      <c r="H5" s="60"/>
      <c r="I5" s="60"/>
      <c r="J5" s="60"/>
      <c r="K5" s="60"/>
    </row>
    <row r="6" spans="1:11" ht="18" x14ac:dyDescent="0.25">
      <c r="A6" s="61" t="s">
        <v>54</v>
      </c>
      <c r="B6" s="61"/>
      <c r="C6" s="61"/>
      <c r="D6" s="61"/>
      <c r="E6" s="61"/>
      <c r="F6" s="61"/>
      <c r="G6" s="5"/>
      <c r="H6" s="62" t="s">
        <v>21</v>
      </c>
      <c r="I6" s="62"/>
      <c r="J6" s="62"/>
      <c r="K6" s="62"/>
    </row>
    <row r="7" spans="1:11" ht="15.75" x14ac:dyDescent="0.25">
      <c r="A7" s="55" t="s">
        <v>29</v>
      </c>
      <c r="B7" s="55"/>
      <c r="C7" s="55"/>
      <c r="D7" s="55"/>
      <c r="E7" s="55"/>
      <c r="F7" s="55"/>
      <c r="G7" s="6"/>
      <c r="H7" s="56" t="s">
        <v>53</v>
      </c>
      <c r="I7" s="56"/>
      <c r="J7" s="56"/>
      <c r="K7" s="56"/>
    </row>
    <row r="8" spans="1:11" ht="15.75" x14ac:dyDescent="0.25">
      <c r="A8" s="7" t="s">
        <v>5</v>
      </c>
      <c r="B8" s="8" t="s">
        <v>6</v>
      </c>
      <c r="C8" s="7" t="s">
        <v>7</v>
      </c>
      <c r="D8" s="9" t="s">
        <v>8</v>
      </c>
      <c r="E8" s="9" t="s">
        <v>9</v>
      </c>
      <c r="F8" s="9" t="s">
        <v>10</v>
      </c>
      <c r="G8" s="9" t="s">
        <v>11</v>
      </c>
      <c r="H8" s="7" t="s">
        <v>12</v>
      </c>
      <c r="I8" s="9" t="s">
        <v>13</v>
      </c>
      <c r="J8" s="9" t="s">
        <v>14</v>
      </c>
      <c r="K8" s="10" t="s">
        <v>15</v>
      </c>
    </row>
    <row r="9" spans="1:11" s="11" customFormat="1" ht="150" x14ac:dyDescent="0.25">
      <c r="A9" s="12">
        <v>1</v>
      </c>
      <c r="B9" s="13" t="s">
        <v>56</v>
      </c>
      <c r="C9" s="14"/>
      <c r="D9" s="14"/>
      <c r="E9" s="14"/>
      <c r="F9" s="14"/>
      <c r="G9" s="14"/>
      <c r="H9" s="14"/>
      <c r="I9" s="14"/>
      <c r="J9" s="14"/>
      <c r="K9" s="14"/>
    </row>
    <row r="10" spans="1:11" x14ac:dyDescent="0.25">
      <c r="A10" s="16"/>
      <c r="B10" s="17" t="s">
        <v>55</v>
      </c>
      <c r="C10" s="16">
        <v>1</v>
      </c>
      <c r="D10" s="3">
        <v>5.3000000000000007</v>
      </c>
      <c r="E10" s="3">
        <v>5.3000000000000007</v>
      </c>
      <c r="F10" s="3">
        <v>3.1749999999999998</v>
      </c>
      <c r="G10" s="3">
        <f>PRODUCT(C10:F10)</f>
        <v>89.185750000000013</v>
      </c>
      <c r="H10" s="16"/>
      <c r="I10" s="16"/>
      <c r="J10" s="16"/>
      <c r="K10" s="16"/>
    </row>
    <row r="11" spans="1:11" ht="15" customHeight="1" x14ac:dyDescent="0.25">
      <c r="A11" s="19"/>
      <c r="B11" s="20" t="s">
        <v>16</v>
      </c>
      <c r="C11" s="21"/>
      <c r="D11" s="1"/>
      <c r="E11" s="22"/>
      <c r="F11" s="22"/>
      <c r="G11" s="2">
        <f>SUM(G10:G10)</f>
        <v>89.185750000000013</v>
      </c>
      <c r="H11" s="23" t="s">
        <v>24</v>
      </c>
      <c r="I11" s="2">
        <f>1.15*62.95</f>
        <v>72.392499999999998</v>
      </c>
      <c r="J11" s="24">
        <f>G11*I11</f>
        <v>6456.3794068750012</v>
      </c>
      <c r="K11" s="22"/>
    </row>
    <row r="12" spans="1:11" x14ac:dyDescent="0.25">
      <c r="A12" s="16"/>
      <c r="B12" s="16"/>
      <c r="C12" s="16"/>
      <c r="D12" s="3"/>
      <c r="E12" s="3"/>
      <c r="F12" s="3"/>
      <c r="G12" s="3"/>
      <c r="H12" s="16"/>
      <c r="I12" s="16"/>
      <c r="J12" s="16"/>
      <c r="K12" s="16"/>
    </row>
    <row r="13" spans="1:11" s="11" customFormat="1" ht="30" x14ac:dyDescent="0.2">
      <c r="A13" s="12">
        <v>2</v>
      </c>
      <c r="B13" s="25" t="s">
        <v>57</v>
      </c>
      <c r="C13" s="14"/>
      <c r="D13" s="26"/>
      <c r="E13" s="26"/>
      <c r="F13" s="26"/>
      <c r="G13" s="26"/>
      <c r="H13" s="14"/>
      <c r="I13" s="14"/>
      <c r="J13" s="14"/>
      <c r="K13" s="14"/>
    </row>
    <row r="14" spans="1:11" x14ac:dyDescent="0.25">
      <c r="A14" s="16"/>
      <c r="B14" s="17" t="s">
        <v>55</v>
      </c>
      <c r="C14" s="16">
        <v>1</v>
      </c>
      <c r="D14" s="3">
        <v>4.8000000000000007</v>
      </c>
      <c r="E14" s="3">
        <v>4.8000000000000007</v>
      </c>
      <c r="F14" s="3">
        <v>0.15</v>
      </c>
      <c r="G14" s="3">
        <f>PRODUCT(C14:F14)</f>
        <v>3.4560000000000008</v>
      </c>
      <c r="H14" s="16"/>
      <c r="I14" s="16"/>
      <c r="J14" s="16"/>
      <c r="K14" s="16"/>
    </row>
    <row r="15" spans="1:11" ht="15" customHeight="1" x14ac:dyDescent="0.25">
      <c r="A15" s="19"/>
      <c r="B15" s="20" t="s">
        <v>16</v>
      </c>
      <c r="C15" s="21"/>
      <c r="D15" s="1"/>
      <c r="E15" s="22"/>
      <c r="F15" s="22"/>
      <c r="G15" s="2">
        <f>SUM(G14)</f>
        <v>3.4560000000000008</v>
      </c>
      <c r="H15" s="23" t="s">
        <v>24</v>
      </c>
      <c r="I15" s="2">
        <f>1.15*4495.64</f>
        <v>5169.9859999999999</v>
      </c>
      <c r="J15" s="24">
        <f>G15*I15</f>
        <v>17867.471616000003</v>
      </c>
      <c r="K15" s="22"/>
    </row>
    <row r="16" spans="1:11" x14ac:dyDescent="0.25">
      <c r="A16" s="16"/>
      <c r="B16" s="16"/>
      <c r="C16" s="16"/>
      <c r="D16" s="3"/>
      <c r="E16" s="3"/>
      <c r="F16" s="3"/>
      <c r="G16" s="3"/>
      <c r="H16" s="16"/>
      <c r="I16" s="16"/>
      <c r="J16" s="16"/>
      <c r="K16" s="16"/>
    </row>
    <row r="17" spans="1:11" s="11" customFormat="1" ht="30" x14ac:dyDescent="0.2">
      <c r="A17" s="12">
        <v>3</v>
      </c>
      <c r="B17" s="25" t="s">
        <v>58</v>
      </c>
      <c r="C17" s="14"/>
      <c r="D17" s="26"/>
      <c r="E17" s="26"/>
      <c r="F17" s="26"/>
      <c r="G17" s="26"/>
      <c r="H17" s="14"/>
      <c r="I17" s="14"/>
      <c r="J17" s="14"/>
      <c r="K17" s="14"/>
    </row>
    <row r="18" spans="1:11" x14ac:dyDescent="0.25">
      <c r="A18" s="16"/>
      <c r="B18" s="17" t="s">
        <v>55</v>
      </c>
      <c r="C18" s="16">
        <v>1</v>
      </c>
      <c r="D18" s="3">
        <v>4.8000000000000007</v>
      </c>
      <c r="E18" s="3">
        <v>4.8000000000000007</v>
      </c>
      <c r="F18" s="3">
        <v>7.4999999999999997E-2</v>
      </c>
      <c r="G18" s="3">
        <f>PRODUCT(C18:F18)</f>
        <v>1.7280000000000004</v>
      </c>
      <c r="H18" s="16"/>
      <c r="I18" s="16"/>
      <c r="J18" s="16"/>
      <c r="K18" s="16"/>
    </row>
    <row r="19" spans="1:11" ht="15" customHeight="1" x14ac:dyDescent="0.25">
      <c r="A19" s="19"/>
      <c r="B19" s="20" t="s">
        <v>16</v>
      </c>
      <c r="C19" s="21"/>
      <c r="D19" s="1"/>
      <c r="E19" s="22"/>
      <c r="F19" s="22"/>
      <c r="G19" s="2">
        <f>SUM(G18)</f>
        <v>1.7280000000000004</v>
      </c>
      <c r="H19" s="23" t="s">
        <v>24</v>
      </c>
      <c r="I19" s="2">
        <f>1.15*4495.64</f>
        <v>5169.9859999999999</v>
      </c>
      <c r="J19" s="24">
        <f>G19*I19</f>
        <v>8933.7358080000013</v>
      </c>
      <c r="K19" s="22"/>
    </row>
    <row r="20" spans="1:11" x14ac:dyDescent="0.25">
      <c r="A20" s="16"/>
      <c r="B20" s="16"/>
      <c r="C20" s="16"/>
      <c r="D20" s="3"/>
      <c r="E20" s="3"/>
      <c r="F20" s="3"/>
      <c r="G20" s="3"/>
      <c r="H20" s="16"/>
      <c r="I20" s="16"/>
      <c r="J20" s="16"/>
      <c r="K20" s="16"/>
    </row>
    <row r="21" spans="1:11" s="11" customFormat="1" ht="30" x14ac:dyDescent="0.2">
      <c r="A21" s="12">
        <v>4</v>
      </c>
      <c r="B21" s="25" t="s">
        <v>70</v>
      </c>
      <c r="C21" s="14"/>
      <c r="D21" s="26"/>
      <c r="E21" s="26"/>
      <c r="F21" s="26"/>
      <c r="G21" s="26"/>
      <c r="H21" s="14"/>
      <c r="I21" s="14"/>
      <c r="J21" s="14"/>
      <c r="K21" s="14"/>
    </row>
    <row r="22" spans="1:11" x14ac:dyDescent="0.25">
      <c r="A22" s="16"/>
      <c r="B22" s="17" t="s">
        <v>65</v>
      </c>
      <c r="C22" s="16">
        <v>1</v>
      </c>
      <c r="D22" s="3">
        <v>4.8000000000000007</v>
      </c>
      <c r="E22" s="3">
        <v>4.8000000000000007</v>
      </c>
      <c r="F22" s="3">
        <v>0.15</v>
      </c>
      <c r="G22" s="3">
        <f t="shared" ref="G22:G28" si="0">PRODUCT(C22:F22)</f>
        <v>3.4560000000000008</v>
      </c>
      <c r="H22" s="16"/>
      <c r="I22" s="16"/>
      <c r="J22" s="16"/>
      <c r="K22" s="16"/>
    </row>
    <row r="23" spans="1:11" x14ac:dyDescent="0.25">
      <c r="A23" s="16"/>
      <c r="B23" s="17" t="s">
        <v>66</v>
      </c>
      <c r="C23" s="16">
        <v>2</v>
      </c>
      <c r="D23" s="3">
        <v>4.5</v>
      </c>
      <c r="E23" s="3">
        <v>0.15</v>
      </c>
      <c r="F23" s="3">
        <v>2.8</v>
      </c>
      <c r="G23" s="3">
        <f t="shared" si="0"/>
        <v>3.7799999999999994</v>
      </c>
      <c r="H23" s="16"/>
      <c r="I23" s="16"/>
      <c r="J23" s="16"/>
      <c r="K23" s="16"/>
    </row>
    <row r="24" spans="1:11" x14ac:dyDescent="0.25">
      <c r="A24" s="16"/>
      <c r="B24" s="17" t="s">
        <v>67</v>
      </c>
      <c r="C24" s="16">
        <v>2</v>
      </c>
      <c r="D24" s="3">
        <v>4.8000000000000007</v>
      </c>
      <c r="E24" s="3">
        <v>0.15</v>
      </c>
      <c r="F24" s="3">
        <v>2.8</v>
      </c>
      <c r="G24" s="3">
        <f t="shared" si="0"/>
        <v>4.032</v>
      </c>
      <c r="H24" s="16"/>
      <c r="I24" s="16"/>
      <c r="J24" s="16"/>
      <c r="K24" s="16"/>
    </row>
    <row r="25" spans="1:11" x14ac:dyDescent="0.25">
      <c r="A25" s="16"/>
      <c r="B25" s="17" t="s">
        <v>75</v>
      </c>
      <c r="C25" s="16">
        <v>0.5</v>
      </c>
      <c r="D25" s="3">
        <v>4.5000000000000009</v>
      </c>
      <c r="E25" s="3">
        <v>0.3</v>
      </c>
      <c r="F25" s="3">
        <v>0.3</v>
      </c>
      <c r="G25" s="3">
        <f t="shared" si="0"/>
        <v>0.20250000000000004</v>
      </c>
      <c r="H25" s="16"/>
      <c r="I25" s="16"/>
      <c r="J25" s="16"/>
      <c r="K25" s="16"/>
    </row>
    <row r="26" spans="1:11" x14ac:dyDescent="0.25">
      <c r="A26" s="16"/>
      <c r="B26" s="17"/>
      <c r="C26" s="16">
        <v>0.5</v>
      </c>
      <c r="D26" s="3">
        <v>4.5000000000000009</v>
      </c>
      <c r="E26" s="3">
        <v>0.3</v>
      </c>
      <c r="F26" s="3">
        <v>0.3</v>
      </c>
      <c r="G26" s="3">
        <f t="shared" si="0"/>
        <v>0.20250000000000004</v>
      </c>
      <c r="H26" s="16"/>
      <c r="I26" s="16"/>
      <c r="J26" s="16"/>
      <c r="K26" s="16"/>
    </row>
    <row r="27" spans="1:11" x14ac:dyDescent="0.25">
      <c r="A27" s="16"/>
      <c r="B27" s="17" t="s">
        <v>71</v>
      </c>
      <c r="C27" s="16">
        <v>1</v>
      </c>
      <c r="D27" s="3">
        <v>4.8000000000000007</v>
      </c>
      <c r="E27" s="3">
        <v>4.8000000000000007</v>
      </c>
      <c r="F27" s="3">
        <v>0.125</v>
      </c>
      <c r="G27" s="3">
        <f t="shared" si="0"/>
        <v>2.8800000000000008</v>
      </c>
      <c r="H27" s="16"/>
      <c r="I27" s="16"/>
      <c r="J27" s="16"/>
      <c r="K27" s="16"/>
    </row>
    <row r="28" spans="1:11" x14ac:dyDescent="0.25">
      <c r="A28" s="16"/>
      <c r="B28" s="17" t="s">
        <v>83</v>
      </c>
      <c r="C28" s="16">
        <v>-1</v>
      </c>
      <c r="D28" s="3">
        <v>0.6</v>
      </c>
      <c r="E28" s="3">
        <v>0.6</v>
      </c>
      <c r="F28" s="3">
        <v>0.125</v>
      </c>
      <c r="G28" s="3">
        <f t="shared" si="0"/>
        <v>-4.4999999999999998E-2</v>
      </c>
      <c r="H28" s="16"/>
      <c r="I28" s="16"/>
      <c r="J28" s="16"/>
      <c r="K28" s="16"/>
    </row>
    <row r="29" spans="1:11" ht="15" customHeight="1" x14ac:dyDescent="0.25">
      <c r="A29" s="19"/>
      <c r="B29" s="20" t="s">
        <v>16</v>
      </c>
      <c r="C29" s="21"/>
      <c r="D29" s="1"/>
      <c r="E29" s="22"/>
      <c r="F29" s="22"/>
      <c r="G29" s="2">
        <f>SUM(G22:G28)</f>
        <v>14.508000000000003</v>
      </c>
      <c r="H29" s="23" t="s">
        <v>24</v>
      </c>
      <c r="I29" s="2">
        <f>1.15*13957.29</f>
        <v>16050.8835</v>
      </c>
      <c r="J29" s="24">
        <f>G29*I29</f>
        <v>232866.21781800003</v>
      </c>
      <c r="K29" s="22"/>
    </row>
    <row r="30" spans="1:11" x14ac:dyDescent="0.25">
      <c r="A30" s="16"/>
      <c r="B30" s="16"/>
      <c r="C30" s="16"/>
      <c r="D30" s="3"/>
      <c r="E30" s="3"/>
      <c r="F30" s="3"/>
      <c r="G30" s="3"/>
      <c r="H30" s="16"/>
      <c r="I30" s="16"/>
      <c r="J30" s="16"/>
      <c r="K30" s="16"/>
    </row>
    <row r="31" spans="1:11" s="11" customFormat="1" ht="30" x14ac:dyDescent="0.2">
      <c r="A31" s="12">
        <v>5</v>
      </c>
      <c r="B31" s="25" t="s">
        <v>72</v>
      </c>
      <c r="C31" s="14"/>
      <c r="D31" s="26"/>
      <c r="E31" s="26"/>
      <c r="F31" s="26"/>
      <c r="G31" s="26"/>
      <c r="H31" s="14"/>
      <c r="I31" s="14"/>
      <c r="J31" s="14"/>
      <c r="K31" s="14"/>
    </row>
    <row r="32" spans="1:11" x14ac:dyDescent="0.25">
      <c r="A32" s="16"/>
      <c r="B32" s="17" t="s">
        <v>73</v>
      </c>
      <c r="C32" s="16">
        <v>1</v>
      </c>
      <c r="D32" s="3">
        <v>19.200000000000003</v>
      </c>
      <c r="E32" s="3"/>
      <c r="F32" s="3">
        <v>2.8</v>
      </c>
      <c r="G32" s="3">
        <f>PRODUCT(C32:F32)</f>
        <v>53.760000000000005</v>
      </c>
      <c r="H32" s="16"/>
      <c r="I32" s="16"/>
      <c r="J32" s="16"/>
      <c r="K32" s="16"/>
    </row>
    <row r="33" spans="1:11" x14ac:dyDescent="0.25">
      <c r="A33" s="16"/>
      <c r="B33" s="17" t="s">
        <v>67</v>
      </c>
      <c r="C33" s="16">
        <v>1</v>
      </c>
      <c r="D33" s="3">
        <v>18.000000000000004</v>
      </c>
      <c r="E33" s="3"/>
      <c r="F33" s="3">
        <v>2.5</v>
      </c>
      <c r="G33" s="3">
        <f>PRODUCT(C33:F33)</f>
        <v>45.000000000000007</v>
      </c>
      <c r="H33" s="16"/>
      <c r="I33" s="16"/>
      <c r="J33" s="16"/>
      <c r="K33" s="16"/>
    </row>
    <row r="34" spans="1:11" x14ac:dyDescent="0.25">
      <c r="A34" s="16"/>
      <c r="B34" s="17" t="s">
        <v>71</v>
      </c>
      <c r="C34" s="16">
        <v>1</v>
      </c>
      <c r="D34" s="3">
        <v>4.5</v>
      </c>
      <c r="E34" s="3">
        <v>4.5</v>
      </c>
      <c r="F34" s="3"/>
      <c r="G34" s="3">
        <f>PRODUCT(C34:F34)</f>
        <v>20.25</v>
      </c>
      <c r="H34" s="16"/>
      <c r="I34" s="16"/>
      <c r="J34" s="16"/>
      <c r="K34" s="16"/>
    </row>
    <row r="35" spans="1:11" x14ac:dyDescent="0.25">
      <c r="A35" s="16"/>
      <c r="B35" s="17" t="s">
        <v>83</v>
      </c>
      <c r="C35" s="16">
        <v>-1</v>
      </c>
      <c r="D35" s="3">
        <v>0.6</v>
      </c>
      <c r="E35" s="3">
        <v>0.6</v>
      </c>
      <c r="F35" s="3"/>
      <c r="G35" s="3">
        <f>PRODUCT(C35:F35)</f>
        <v>-0.36</v>
      </c>
      <c r="H35" s="16"/>
      <c r="I35" s="16"/>
      <c r="J35" s="16"/>
      <c r="K35" s="16"/>
    </row>
    <row r="36" spans="1:11" ht="15" customHeight="1" x14ac:dyDescent="0.25">
      <c r="A36" s="19"/>
      <c r="B36" s="20" t="s">
        <v>16</v>
      </c>
      <c r="C36" s="21"/>
      <c r="D36" s="1"/>
      <c r="E36" s="22"/>
      <c r="F36" s="22"/>
      <c r="G36" s="2">
        <f>SUM(G32:G35)</f>
        <v>118.65000000000002</v>
      </c>
      <c r="H36" s="23" t="s">
        <v>40</v>
      </c>
      <c r="I36" s="2">
        <f>1.15*922.71</f>
        <v>1061.1164999999999</v>
      </c>
      <c r="J36" s="24">
        <f>G36*I36</f>
        <v>125901.472725</v>
      </c>
      <c r="K36" s="22"/>
    </row>
    <row r="37" spans="1:11" x14ac:dyDescent="0.25">
      <c r="A37" s="16"/>
      <c r="B37" s="16"/>
      <c r="C37" s="16"/>
      <c r="D37" s="3"/>
      <c r="E37" s="3"/>
      <c r="F37" s="3"/>
      <c r="G37" s="3"/>
      <c r="H37" s="16"/>
      <c r="I37" s="16"/>
      <c r="J37" s="16"/>
      <c r="K37" s="16"/>
    </row>
    <row r="38" spans="1:11" s="11" customFormat="1" ht="45" x14ac:dyDescent="0.25">
      <c r="A38" s="12">
        <v>6</v>
      </c>
      <c r="B38" s="27" t="s">
        <v>59</v>
      </c>
      <c r="C38" s="14" t="s">
        <v>7</v>
      </c>
      <c r="D38" s="28" t="s">
        <v>22</v>
      </c>
      <c r="E38" s="28" t="s">
        <v>60</v>
      </c>
      <c r="F38" s="28" t="s">
        <v>61</v>
      </c>
      <c r="G38" s="26"/>
      <c r="H38" s="14"/>
      <c r="I38" s="14"/>
      <c r="J38" s="14"/>
      <c r="K38" s="14"/>
    </row>
    <row r="39" spans="1:11" x14ac:dyDescent="0.25">
      <c r="A39" s="16"/>
      <c r="B39" s="17" t="s">
        <v>63</v>
      </c>
      <c r="C39" s="16">
        <v>32</v>
      </c>
      <c r="D39" s="3">
        <v>10.55</v>
      </c>
      <c r="E39" s="3">
        <f t="shared" ref="E39:E51" si="1">10*10/162</f>
        <v>0.61728395061728392</v>
      </c>
      <c r="F39" s="3">
        <f t="shared" ref="F39:F51" si="2">PRODUCT(C39:E39)</f>
        <v>208.39506172839506</v>
      </c>
      <c r="G39" s="3">
        <f t="shared" ref="G39:G51" si="3">F39/1000</f>
        <v>0.20839506172839506</v>
      </c>
      <c r="H39" s="16"/>
      <c r="I39" s="16"/>
      <c r="J39" s="16"/>
      <c r="K39" s="16"/>
    </row>
    <row r="40" spans="1:11" x14ac:dyDescent="0.25">
      <c r="A40" s="16"/>
      <c r="B40" s="17"/>
      <c r="C40" s="16">
        <v>31</v>
      </c>
      <c r="D40" s="3">
        <v>10.25</v>
      </c>
      <c r="E40" s="3">
        <f t="shared" si="1"/>
        <v>0.61728395061728392</v>
      </c>
      <c r="F40" s="3">
        <f t="shared" si="2"/>
        <v>196.14197530864197</v>
      </c>
      <c r="G40" s="3">
        <f t="shared" si="3"/>
        <v>0.19614197530864197</v>
      </c>
      <c r="H40" s="16"/>
      <c r="I40" s="16"/>
      <c r="J40" s="16"/>
      <c r="K40" s="16"/>
    </row>
    <row r="41" spans="1:11" x14ac:dyDescent="0.25">
      <c r="A41" s="16"/>
      <c r="B41" s="17" t="s">
        <v>64</v>
      </c>
      <c r="C41" s="16">
        <v>32</v>
      </c>
      <c r="D41" s="3">
        <v>10.55</v>
      </c>
      <c r="E41" s="3">
        <f t="shared" si="1"/>
        <v>0.61728395061728392</v>
      </c>
      <c r="F41" s="3">
        <f t="shared" si="2"/>
        <v>208.39506172839506</v>
      </c>
      <c r="G41" s="3">
        <f t="shared" si="3"/>
        <v>0.20839506172839506</v>
      </c>
      <c r="H41" s="16"/>
      <c r="I41" s="16"/>
      <c r="J41" s="16"/>
      <c r="K41" s="16"/>
    </row>
    <row r="42" spans="1:11" x14ac:dyDescent="0.25">
      <c r="A42" s="16"/>
      <c r="B42" s="17"/>
      <c r="C42" s="16">
        <v>31</v>
      </c>
      <c r="D42" s="3">
        <v>10.25</v>
      </c>
      <c r="E42" s="3">
        <f t="shared" si="1"/>
        <v>0.61728395061728392</v>
      </c>
      <c r="F42" s="3">
        <f t="shared" si="2"/>
        <v>196.14197530864197</v>
      </c>
      <c r="G42" s="3">
        <f t="shared" si="3"/>
        <v>0.19614197530864197</v>
      </c>
      <c r="H42" s="16"/>
      <c r="I42" s="16"/>
      <c r="J42" s="16"/>
      <c r="K42" s="16"/>
    </row>
    <row r="43" spans="1:11" x14ac:dyDescent="0.25">
      <c r="A43" s="16"/>
      <c r="B43" s="17" t="s">
        <v>74</v>
      </c>
      <c r="C43" s="16">
        <v>19</v>
      </c>
      <c r="D43" s="3">
        <v>18.89</v>
      </c>
      <c r="E43" s="3">
        <f t="shared" si="1"/>
        <v>0.61728395061728392</v>
      </c>
      <c r="F43" s="3">
        <f t="shared" si="2"/>
        <v>221.54938271604939</v>
      </c>
      <c r="G43" s="3">
        <f t="shared" si="3"/>
        <v>0.2215493827160494</v>
      </c>
      <c r="H43" s="16"/>
      <c r="I43" s="16"/>
      <c r="J43" s="16"/>
      <c r="K43" s="16"/>
    </row>
    <row r="44" spans="1:11" x14ac:dyDescent="0.25">
      <c r="A44" s="16"/>
      <c r="B44" s="17"/>
      <c r="C44" s="16">
        <v>18</v>
      </c>
      <c r="D44" s="3">
        <v>18.3</v>
      </c>
      <c r="E44" s="3">
        <f t="shared" si="1"/>
        <v>0.61728395061728392</v>
      </c>
      <c r="F44" s="3">
        <f t="shared" si="2"/>
        <v>203.33333333333334</v>
      </c>
      <c r="G44" s="3">
        <f t="shared" si="3"/>
        <v>0.20333333333333334</v>
      </c>
      <c r="H44" s="16"/>
      <c r="I44" s="16"/>
      <c r="J44" s="16"/>
      <c r="K44" s="16"/>
    </row>
    <row r="45" spans="1:11" x14ac:dyDescent="0.25">
      <c r="A45" s="16"/>
      <c r="B45" s="17" t="s">
        <v>75</v>
      </c>
      <c r="C45" s="16">
        <v>58</v>
      </c>
      <c r="D45" s="3">
        <v>1.35</v>
      </c>
      <c r="E45" s="3">
        <f t="shared" si="1"/>
        <v>0.61728395061728392</v>
      </c>
      <c r="F45" s="3">
        <f t="shared" si="2"/>
        <v>48.333333333333336</v>
      </c>
      <c r="G45" s="3">
        <f t="shared" si="3"/>
        <v>4.8333333333333332E-2</v>
      </c>
      <c r="H45" s="16"/>
      <c r="I45" s="16"/>
      <c r="J45" s="16"/>
      <c r="K45" s="16"/>
    </row>
    <row r="46" spans="1:11" x14ac:dyDescent="0.25">
      <c r="A46" s="16"/>
      <c r="B46" s="17"/>
      <c r="C46" s="16">
        <v>58</v>
      </c>
      <c r="D46" s="3">
        <v>1.35</v>
      </c>
      <c r="E46" s="3">
        <f t="shared" si="1"/>
        <v>0.61728395061728392</v>
      </c>
      <c r="F46" s="3">
        <f t="shared" si="2"/>
        <v>48.333333333333336</v>
      </c>
      <c r="G46" s="3">
        <f t="shared" si="3"/>
        <v>4.8333333333333332E-2</v>
      </c>
      <c r="H46" s="16"/>
      <c r="I46" s="16"/>
      <c r="J46" s="16"/>
      <c r="K46" s="16"/>
    </row>
    <row r="47" spans="1:11" x14ac:dyDescent="0.25">
      <c r="A47" s="16"/>
      <c r="B47" s="17" t="s">
        <v>76</v>
      </c>
      <c r="C47" s="16">
        <v>2</v>
      </c>
      <c r="D47" s="3">
        <v>16.799999999999997</v>
      </c>
      <c r="E47" s="3">
        <f t="shared" si="1"/>
        <v>0.61728395061728392</v>
      </c>
      <c r="F47" s="3">
        <f t="shared" si="2"/>
        <v>20.740740740740737</v>
      </c>
      <c r="G47" s="3">
        <f t="shared" si="3"/>
        <v>2.0740740740740737E-2</v>
      </c>
      <c r="H47" s="16"/>
      <c r="I47" s="16"/>
      <c r="J47" s="16"/>
      <c r="K47" s="16"/>
    </row>
    <row r="48" spans="1:11" x14ac:dyDescent="0.25">
      <c r="A48" s="16"/>
      <c r="B48" s="17" t="s">
        <v>71</v>
      </c>
      <c r="C48" s="16">
        <v>64</v>
      </c>
      <c r="D48" s="3">
        <v>4.8000000000000007</v>
      </c>
      <c r="E48" s="3">
        <f t="shared" si="1"/>
        <v>0.61728395061728392</v>
      </c>
      <c r="F48" s="3">
        <f t="shared" si="2"/>
        <v>189.62962962962965</v>
      </c>
      <c r="G48" s="3">
        <f t="shared" si="3"/>
        <v>0.18962962962962965</v>
      </c>
      <c r="H48" s="16"/>
      <c r="I48" s="16"/>
      <c r="J48" s="16"/>
      <c r="K48" s="16"/>
    </row>
    <row r="49" spans="1:11" x14ac:dyDescent="0.25">
      <c r="A49" s="16"/>
      <c r="B49" s="17"/>
      <c r="C49" s="16">
        <v>64</v>
      </c>
      <c r="D49" s="3">
        <v>4.8000000000000007</v>
      </c>
      <c r="E49" s="3">
        <f t="shared" si="1"/>
        <v>0.61728395061728392</v>
      </c>
      <c r="F49" s="3">
        <f t="shared" si="2"/>
        <v>189.62962962962965</v>
      </c>
      <c r="G49" s="3">
        <f t="shared" si="3"/>
        <v>0.18962962962962965</v>
      </c>
      <c r="H49" s="16"/>
      <c r="I49" s="16"/>
      <c r="J49" s="16"/>
      <c r="K49" s="16"/>
    </row>
    <row r="50" spans="1:11" x14ac:dyDescent="0.25">
      <c r="A50" s="16"/>
      <c r="B50" s="17" t="s">
        <v>83</v>
      </c>
      <c r="C50" s="16">
        <v>-10</v>
      </c>
      <c r="D50" s="3">
        <v>0.6</v>
      </c>
      <c r="E50" s="3">
        <f t="shared" si="1"/>
        <v>0.61728395061728392</v>
      </c>
      <c r="F50" s="3">
        <f t="shared" si="2"/>
        <v>-3.7037037037037033</v>
      </c>
      <c r="G50" s="29">
        <f t="shared" si="3"/>
        <v>-3.7037037037037034E-3</v>
      </c>
      <c r="H50" s="16"/>
      <c r="I50" s="16"/>
      <c r="J50" s="16"/>
      <c r="K50" s="16"/>
    </row>
    <row r="51" spans="1:11" x14ac:dyDescent="0.25">
      <c r="A51" s="16"/>
      <c r="B51" s="17"/>
      <c r="C51" s="16">
        <v>-10</v>
      </c>
      <c r="D51" s="3">
        <v>0.6</v>
      </c>
      <c r="E51" s="3">
        <f t="shared" si="1"/>
        <v>0.61728395061728392</v>
      </c>
      <c r="F51" s="3">
        <f t="shared" si="2"/>
        <v>-3.7037037037037033</v>
      </c>
      <c r="G51" s="29">
        <f t="shared" si="3"/>
        <v>-3.7037037037037034E-3</v>
      </c>
      <c r="H51" s="16"/>
      <c r="I51" s="16"/>
      <c r="J51" s="16"/>
      <c r="K51" s="16"/>
    </row>
    <row r="52" spans="1:11" ht="15" customHeight="1" x14ac:dyDescent="0.25">
      <c r="A52" s="19"/>
      <c r="B52" s="20" t="s">
        <v>16</v>
      </c>
      <c r="C52" s="21"/>
      <c r="D52" s="1"/>
      <c r="E52" s="22"/>
      <c r="F52" s="22"/>
      <c r="G52" s="2">
        <f>SUM(G39:G51)</f>
        <v>1.7232160493827158</v>
      </c>
      <c r="H52" s="23" t="s">
        <v>62</v>
      </c>
      <c r="I52" s="2">
        <f>1.15*132360</f>
        <v>152214</v>
      </c>
      <c r="J52" s="24">
        <f>G52*I52</f>
        <v>262297.6077407407</v>
      </c>
      <c r="K52" s="22"/>
    </row>
    <row r="53" spans="1:11" x14ac:dyDescent="0.25">
      <c r="A53" s="16"/>
      <c r="B53" s="16"/>
      <c r="C53" s="16"/>
      <c r="D53" s="16"/>
      <c r="E53" s="16"/>
      <c r="F53" s="16"/>
      <c r="G53" s="16"/>
      <c r="H53" s="16"/>
      <c r="I53" s="16"/>
      <c r="J53" s="16"/>
      <c r="K53" s="16"/>
    </row>
    <row r="54" spans="1:11" ht="30" x14ac:dyDescent="0.25">
      <c r="A54" s="12">
        <v>7</v>
      </c>
      <c r="B54" s="27" t="s">
        <v>77</v>
      </c>
      <c r="C54" s="16"/>
      <c r="D54" s="16"/>
      <c r="E54" s="16"/>
      <c r="F54" s="16"/>
      <c r="G54" s="16"/>
      <c r="H54" s="16"/>
      <c r="I54" s="16"/>
      <c r="J54" s="16"/>
      <c r="K54" s="16"/>
    </row>
    <row r="55" spans="1:11" x14ac:dyDescent="0.25">
      <c r="A55" s="16"/>
      <c r="B55" s="17" t="s">
        <v>78</v>
      </c>
      <c r="C55" s="16">
        <v>1</v>
      </c>
      <c r="D55" s="3">
        <v>3.9000000000000004</v>
      </c>
      <c r="E55" s="3">
        <v>3.9000000000000004</v>
      </c>
      <c r="F55" s="16"/>
      <c r="G55" s="3">
        <f>PRODUCT(C55:F55)</f>
        <v>15.210000000000003</v>
      </c>
      <c r="H55" s="16"/>
      <c r="I55" s="16"/>
      <c r="J55" s="16"/>
      <c r="K55" s="16"/>
    </row>
    <row r="56" spans="1:11" ht="15" customHeight="1" x14ac:dyDescent="0.25">
      <c r="A56" s="19"/>
      <c r="B56" s="20" t="s">
        <v>16</v>
      </c>
      <c r="C56" s="21"/>
      <c r="D56" s="1"/>
      <c r="E56" s="22"/>
      <c r="F56" s="22"/>
      <c r="G56" s="2">
        <f>SUM(G55)</f>
        <v>15.210000000000003</v>
      </c>
      <c r="H56" s="23" t="s">
        <v>40</v>
      </c>
      <c r="I56" s="2">
        <f>1.15*689.98</f>
        <v>793.47699999999998</v>
      </c>
      <c r="J56" s="24">
        <f>G56*I56</f>
        <v>12068.785170000001</v>
      </c>
      <c r="K56" s="22"/>
    </row>
    <row r="57" spans="1:11" x14ac:dyDescent="0.25">
      <c r="A57" s="16"/>
      <c r="B57" s="16"/>
      <c r="C57" s="16"/>
      <c r="D57" s="16"/>
      <c r="E57" s="16"/>
      <c r="F57" s="16"/>
      <c r="G57" s="16"/>
      <c r="H57" s="16"/>
      <c r="I57" s="16"/>
      <c r="J57" s="16"/>
      <c r="K57" s="16"/>
    </row>
    <row r="58" spans="1:11" ht="30" x14ac:dyDescent="0.25">
      <c r="A58" s="12">
        <v>8</v>
      </c>
      <c r="B58" s="27" t="s">
        <v>79</v>
      </c>
      <c r="C58" s="16"/>
      <c r="D58" s="16"/>
      <c r="E58" s="16"/>
      <c r="F58" s="16"/>
      <c r="G58" s="16"/>
      <c r="H58" s="16"/>
      <c r="I58" s="16"/>
      <c r="J58" s="16"/>
      <c r="K58" s="16"/>
    </row>
    <row r="59" spans="1:11" x14ac:dyDescent="0.25">
      <c r="A59" s="16"/>
      <c r="B59" s="17" t="s">
        <v>80</v>
      </c>
      <c r="C59" s="16">
        <v>2</v>
      </c>
      <c r="D59" s="3">
        <v>4.5</v>
      </c>
      <c r="E59" s="3"/>
      <c r="F59" s="3">
        <v>2.93</v>
      </c>
      <c r="G59" s="3">
        <f>PRODUCT(C59:F59)</f>
        <v>26.37</v>
      </c>
      <c r="H59" s="16"/>
      <c r="I59" s="16"/>
      <c r="J59" s="16"/>
      <c r="K59" s="16"/>
    </row>
    <row r="60" spans="1:11" x14ac:dyDescent="0.25">
      <c r="A60" s="16"/>
      <c r="B60" s="17" t="s">
        <v>81</v>
      </c>
      <c r="C60" s="16">
        <v>2</v>
      </c>
      <c r="D60" s="3">
        <v>4.5</v>
      </c>
      <c r="E60" s="3"/>
      <c r="F60" s="3">
        <v>2.93</v>
      </c>
      <c r="G60" s="3">
        <f>PRODUCT(C60:F60)</f>
        <v>26.37</v>
      </c>
      <c r="H60" s="16"/>
      <c r="I60" s="16"/>
      <c r="J60" s="16"/>
      <c r="K60" s="16"/>
    </row>
    <row r="61" spans="1:11" ht="15" customHeight="1" x14ac:dyDescent="0.25">
      <c r="A61" s="19"/>
      <c r="B61" s="20" t="s">
        <v>16</v>
      </c>
      <c r="C61" s="21"/>
      <c r="D61" s="1"/>
      <c r="E61" s="22"/>
      <c r="F61" s="22"/>
      <c r="G61" s="2">
        <f>SUM(G59:G60)</f>
        <v>52.74</v>
      </c>
      <c r="H61" s="23" t="s">
        <v>40</v>
      </c>
      <c r="I61" s="2">
        <f>1.15*415.5</f>
        <v>477.82499999999999</v>
      </c>
      <c r="J61" s="24">
        <f>G61*I61</f>
        <v>25200.4905</v>
      </c>
      <c r="K61" s="22"/>
    </row>
    <row r="62" spans="1:11" x14ac:dyDescent="0.25">
      <c r="A62" s="16"/>
      <c r="B62" s="16"/>
      <c r="C62" s="16"/>
      <c r="D62" s="16"/>
      <c r="E62" s="16"/>
      <c r="F62" s="16"/>
      <c r="G62" s="16"/>
      <c r="H62" s="16"/>
      <c r="I62" s="16"/>
      <c r="J62" s="16"/>
      <c r="K62" s="16"/>
    </row>
    <row r="63" spans="1:11" ht="30" x14ac:dyDescent="0.25">
      <c r="A63" s="12">
        <v>9</v>
      </c>
      <c r="B63" s="27" t="s">
        <v>82</v>
      </c>
      <c r="C63" s="16"/>
      <c r="D63" s="16"/>
      <c r="E63" s="16"/>
      <c r="F63" s="16"/>
      <c r="G63" s="16"/>
      <c r="H63" s="16"/>
      <c r="I63" s="16"/>
      <c r="J63" s="16"/>
      <c r="K63" s="16"/>
    </row>
    <row r="64" spans="1:11" x14ac:dyDescent="0.25">
      <c r="A64" s="16"/>
      <c r="B64" s="17" t="s">
        <v>78</v>
      </c>
      <c r="C64" s="16">
        <v>1</v>
      </c>
      <c r="D64" s="3">
        <v>3.9000000000000004</v>
      </c>
      <c r="E64" s="3">
        <v>3.9000000000000004</v>
      </c>
      <c r="F64" s="16"/>
      <c r="G64" s="3">
        <f>PRODUCT(C64:F64)</f>
        <v>15.210000000000003</v>
      </c>
      <c r="H64" s="16"/>
      <c r="I64" s="16"/>
      <c r="J64" s="16"/>
      <c r="K64" s="16"/>
    </row>
    <row r="65" spans="1:11" x14ac:dyDescent="0.25">
      <c r="A65" s="16"/>
      <c r="B65" s="17" t="s">
        <v>80</v>
      </c>
      <c r="C65" s="16">
        <v>2</v>
      </c>
      <c r="D65" s="3">
        <v>4.5</v>
      </c>
      <c r="E65" s="3"/>
      <c r="F65" s="3">
        <v>2.93</v>
      </c>
      <c r="G65" s="3">
        <f>PRODUCT(C65:F65)</f>
        <v>26.37</v>
      </c>
      <c r="H65" s="16"/>
      <c r="I65" s="16"/>
      <c r="J65" s="16"/>
      <c r="K65" s="16"/>
    </row>
    <row r="66" spans="1:11" x14ac:dyDescent="0.25">
      <c r="A66" s="16"/>
      <c r="B66" s="17" t="s">
        <v>81</v>
      </c>
      <c r="C66" s="16">
        <v>2</v>
      </c>
      <c r="D66" s="3">
        <v>4.5</v>
      </c>
      <c r="E66" s="3"/>
      <c r="F66" s="3">
        <v>2.93</v>
      </c>
      <c r="G66" s="3">
        <f>PRODUCT(C66:F66)</f>
        <v>26.37</v>
      </c>
      <c r="H66" s="16"/>
      <c r="I66" s="16"/>
      <c r="J66" s="16"/>
      <c r="K66" s="16"/>
    </row>
    <row r="67" spans="1:11" ht="15" customHeight="1" x14ac:dyDescent="0.25">
      <c r="A67" s="19"/>
      <c r="B67" s="20" t="s">
        <v>16</v>
      </c>
      <c r="C67" s="21"/>
      <c r="D67" s="1"/>
      <c r="E67" s="22"/>
      <c r="F67" s="22"/>
      <c r="G67" s="2">
        <f>SUM(G64:G66)</f>
        <v>67.95</v>
      </c>
      <c r="H67" s="23" t="s">
        <v>40</v>
      </c>
      <c r="I67" s="2">
        <f>1.15*287.32</f>
        <v>330.41799999999995</v>
      </c>
      <c r="J67" s="24">
        <f>G67*I67</f>
        <v>22451.903099999996</v>
      </c>
      <c r="K67" s="22"/>
    </row>
    <row r="68" spans="1:11" x14ac:dyDescent="0.25">
      <c r="A68" s="16"/>
      <c r="B68" s="16"/>
      <c r="C68" s="16"/>
      <c r="D68" s="16"/>
      <c r="E68" s="16"/>
      <c r="F68" s="16"/>
      <c r="G68" s="16"/>
      <c r="H68" s="16"/>
      <c r="I68" s="16"/>
      <c r="J68" s="16"/>
      <c r="K68" s="16"/>
    </row>
    <row r="69" spans="1:11" ht="30" x14ac:dyDescent="0.25">
      <c r="A69" s="12">
        <v>10</v>
      </c>
      <c r="B69" s="13" t="s">
        <v>86</v>
      </c>
      <c r="C69" s="16"/>
      <c r="D69" s="16"/>
      <c r="E69" s="16"/>
      <c r="F69" s="16"/>
      <c r="G69" s="16"/>
      <c r="H69" s="16"/>
      <c r="I69" s="16"/>
      <c r="J69" s="16"/>
      <c r="K69" s="16"/>
    </row>
    <row r="70" spans="1:11" x14ac:dyDescent="0.25">
      <c r="A70" s="16"/>
      <c r="B70" s="17" t="s">
        <v>87</v>
      </c>
      <c r="C70" s="16">
        <v>1</v>
      </c>
      <c r="D70" s="3"/>
      <c r="E70" s="3"/>
      <c r="F70" s="16"/>
      <c r="G70" s="3">
        <f>PRODUCT(C70:F70)</f>
        <v>1</v>
      </c>
      <c r="H70" s="16"/>
      <c r="I70" s="16"/>
      <c r="J70" s="16"/>
      <c r="K70" s="16"/>
    </row>
    <row r="71" spans="1:11" ht="15" customHeight="1" x14ac:dyDescent="0.25">
      <c r="A71" s="19"/>
      <c r="B71" s="20" t="s">
        <v>16</v>
      </c>
      <c r="C71" s="21"/>
      <c r="D71" s="1"/>
      <c r="E71" s="22"/>
      <c r="F71" s="22"/>
      <c r="G71" s="2">
        <f>SUM(G70)</f>
        <v>1</v>
      </c>
      <c r="H71" s="23" t="s">
        <v>40</v>
      </c>
      <c r="I71" s="2">
        <f>1.15*4659</f>
        <v>5357.8499999999995</v>
      </c>
      <c r="J71" s="24">
        <f>G71*I71</f>
        <v>5357.8499999999995</v>
      </c>
      <c r="K71" s="22"/>
    </row>
    <row r="72" spans="1:11" x14ac:dyDescent="0.25">
      <c r="A72" s="16"/>
      <c r="B72" s="16"/>
      <c r="C72" s="16"/>
      <c r="D72" s="16"/>
      <c r="E72" s="16"/>
      <c r="F72" s="16"/>
      <c r="G72" s="16"/>
      <c r="H72" s="16"/>
      <c r="I72" s="16"/>
      <c r="J72" s="16"/>
      <c r="K72" s="16"/>
    </row>
    <row r="73" spans="1:11" ht="15.75" x14ac:dyDescent="0.25">
      <c r="A73" s="7" t="s">
        <v>37</v>
      </c>
      <c r="B73" s="8" t="s">
        <v>89</v>
      </c>
      <c r="C73" s="7"/>
      <c r="D73" s="9"/>
      <c r="E73" s="9"/>
      <c r="F73" s="9"/>
      <c r="G73" s="9"/>
      <c r="H73" s="7"/>
      <c r="I73" s="9"/>
      <c r="J73" s="9"/>
      <c r="K73" s="10"/>
    </row>
    <row r="74" spans="1:11" s="11" customFormat="1" ht="30" x14ac:dyDescent="0.25">
      <c r="A74" s="30">
        <v>11</v>
      </c>
      <c r="B74" s="31" t="s">
        <v>90</v>
      </c>
      <c r="C74" s="30"/>
      <c r="D74" s="32"/>
      <c r="E74" s="32"/>
      <c r="F74" s="32"/>
      <c r="G74" s="32"/>
      <c r="H74" s="30"/>
      <c r="I74" s="32"/>
      <c r="J74" s="32"/>
      <c r="K74" s="33"/>
    </row>
    <row r="75" spans="1:11" x14ac:dyDescent="0.25">
      <c r="A75" s="12"/>
      <c r="B75" s="17" t="s">
        <v>38</v>
      </c>
      <c r="C75" s="16">
        <v>2</v>
      </c>
      <c r="D75" s="3">
        <v>1.68</v>
      </c>
      <c r="E75" s="3">
        <v>1.68</v>
      </c>
      <c r="F75" s="16">
        <v>0.15</v>
      </c>
      <c r="G75" s="3">
        <f>PRODUCT(C75:F75)</f>
        <v>0.84671999999999981</v>
      </c>
      <c r="H75" s="16"/>
      <c r="I75" s="16"/>
      <c r="J75" s="16"/>
      <c r="K75" s="16"/>
    </row>
    <row r="76" spans="1:11" ht="15" customHeight="1" x14ac:dyDescent="0.25">
      <c r="A76" s="19"/>
      <c r="B76" s="20" t="s">
        <v>16</v>
      </c>
      <c r="C76" s="21"/>
      <c r="D76" s="1"/>
      <c r="E76" s="22"/>
      <c r="F76" s="22"/>
      <c r="G76" s="2">
        <f>SUM(G75)</f>
        <v>0.84671999999999981</v>
      </c>
      <c r="H76" s="23" t="s">
        <v>24</v>
      </c>
      <c r="I76" s="2">
        <f>1.15*963.05</f>
        <v>1107.5074999999999</v>
      </c>
      <c r="J76" s="24">
        <f>G76*I76</f>
        <v>937.74875039999972</v>
      </c>
      <c r="K76" s="22"/>
    </row>
    <row r="77" spans="1:11" ht="15.75" x14ac:dyDescent="0.25">
      <c r="A77" s="7"/>
      <c r="B77" s="8"/>
      <c r="C77" s="7"/>
      <c r="D77" s="9"/>
      <c r="E77" s="9"/>
      <c r="F77" s="9"/>
      <c r="G77" s="9"/>
      <c r="H77" s="7"/>
      <c r="I77" s="9"/>
      <c r="J77" s="9"/>
      <c r="K77" s="10"/>
    </row>
    <row r="78" spans="1:11" x14ac:dyDescent="0.25">
      <c r="A78" s="12">
        <v>12</v>
      </c>
      <c r="B78" s="16" t="s">
        <v>91</v>
      </c>
      <c r="C78" s="16"/>
      <c r="D78" s="16"/>
      <c r="E78" s="16"/>
      <c r="F78" s="16"/>
      <c r="G78" s="16"/>
      <c r="H78" s="16"/>
      <c r="I78" s="16"/>
      <c r="J78" s="16"/>
      <c r="K78" s="16"/>
    </row>
    <row r="79" spans="1:11" x14ac:dyDescent="0.25">
      <c r="A79" s="12"/>
      <c r="B79" s="17" t="s">
        <v>38</v>
      </c>
      <c r="C79" s="16">
        <v>2</v>
      </c>
      <c r="D79" s="3">
        <v>1.68</v>
      </c>
      <c r="E79" s="3">
        <v>1.68</v>
      </c>
      <c r="F79" s="16"/>
      <c r="G79" s="3">
        <f>PRODUCT(C79:F79)</f>
        <v>5.6447999999999992</v>
      </c>
      <c r="H79" s="16"/>
      <c r="I79" s="16"/>
      <c r="J79" s="16"/>
      <c r="K79" s="16"/>
    </row>
    <row r="80" spans="1:11" ht="13.9" customHeight="1" x14ac:dyDescent="0.25">
      <c r="A80" s="19"/>
      <c r="B80" s="20" t="s">
        <v>16</v>
      </c>
      <c r="C80" s="21"/>
      <c r="D80" s="1"/>
      <c r="E80" s="22"/>
      <c r="F80" s="22"/>
      <c r="G80" s="2">
        <f>SUM(G79)</f>
        <v>5.6447999999999992</v>
      </c>
      <c r="H80" s="23" t="s">
        <v>40</v>
      </c>
      <c r="I80" s="2">
        <f>1.15*1014.15</f>
        <v>1166.2724999999998</v>
      </c>
      <c r="J80" s="24">
        <f>G80*I80</f>
        <v>6583.3750079999982</v>
      </c>
      <c r="K80" s="22"/>
    </row>
    <row r="81" spans="1:11" x14ac:dyDescent="0.25">
      <c r="A81" s="12"/>
      <c r="B81" s="16"/>
      <c r="C81" s="16"/>
      <c r="D81" s="16"/>
      <c r="E81" s="16"/>
      <c r="F81" s="16"/>
      <c r="G81" s="16"/>
      <c r="H81" s="16"/>
      <c r="I81" s="16"/>
      <c r="J81" s="16"/>
      <c r="K81" s="16"/>
    </row>
    <row r="82" spans="1:11" x14ac:dyDescent="0.25">
      <c r="A82" s="12">
        <v>13</v>
      </c>
      <c r="B82" s="16" t="s">
        <v>39</v>
      </c>
      <c r="C82" s="16"/>
      <c r="D82" s="16"/>
      <c r="E82" s="16"/>
      <c r="F82" s="16"/>
      <c r="G82" s="16"/>
      <c r="H82" s="16"/>
      <c r="I82" s="16"/>
      <c r="J82" s="16"/>
      <c r="K82" s="16"/>
    </row>
    <row r="83" spans="1:11" x14ac:dyDescent="0.25">
      <c r="A83" s="12"/>
      <c r="B83" s="17" t="s">
        <v>43</v>
      </c>
      <c r="C83" s="16">
        <f>C79</f>
        <v>2</v>
      </c>
      <c r="D83" s="3">
        <v>1.68</v>
      </c>
      <c r="E83" s="3">
        <v>1.68</v>
      </c>
      <c r="F83" s="3">
        <v>0.1</v>
      </c>
      <c r="G83" s="3">
        <f>PRODUCT(C83:F83)</f>
        <v>0.56447999999999998</v>
      </c>
      <c r="H83" s="16"/>
      <c r="I83" s="16"/>
      <c r="J83" s="16"/>
      <c r="K83" s="16"/>
    </row>
    <row r="84" spans="1:11" ht="15" customHeight="1" x14ac:dyDescent="0.25">
      <c r="A84" s="19"/>
      <c r="B84" s="20" t="s">
        <v>16</v>
      </c>
      <c r="C84" s="21"/>
      <c r="D84" s="1"/>
      <c r="E84" s="22"/>
      <c r="F84" s="22"/>
      <c r="G84" s="2">
        <f>SUM(G83)</f>
        <v>0.56447999999999998</v>
      </c>
      <c r="H84" s="23" t="s">
        <v>24</v>
      </c>
      <c r="I84" s="2">
        <f>1.15*13343.7</f>
        <v>15345.254999999999</v>
      </c>
      <c r="J84" s="24">
        <f>G84*I84</f>
        <v>8662.0895423999991</v>
      </c>
      <c r="K84" s="22"/>
    </row>
    <row r="85" spans="1:11" x14ac:dyDescent="0.25">
      <c r="A85" s="12"/>
      <c r="B85" s="16"/>
      <c r="C85" s="16"/>
      <c r="D85" s="16"/>
      <c r="E85" s="16"/>
      <c r="F85" s="16"/>
      <c r="G85" s="16"/>
      <c r="H85" s="16"/>
      <c r="I85" s="16"/>
      <c r="J85" s="16"/>
      <c r="K85" s="16"/>
    </row>
    <row r="86" spans="1:11" ht="30" x14ac:dyDescent="0.25">
      <c r="A86" s="12">
        <v>14</v>
      </c>
      <c r="B86" s="34" t="s">
        <v>92</v>
      </c>
      <c r="C86" s="16"/>
      <c r="D86" s="16"/>
      <c r="E86" s="16"/>
      <c r="F86" s="16"/>
      <c r="G86" s="16"/>
      <c r="H86" s="16"/>
      <c r="I86" s="16"/>
      <c r="J86" s="16"/>
      <c r="K86" s="16"/>
    </row>
    <row r="87" spans="1:11" x14ac:dyDescent="0.25">
      <c r="A87" s="12"/>
      <c r="B87" s="17" t="s">
        <v>41</v>
      </c>
      <c r="C87" s="16">
        <f>C79*2</f>
        <v>4</v>
      </c>
      <c r="D87" s="3">
        <v>1.2</v>
      </c>
      <c r="E87" s="3">
        <v>0.23</v>
      </c>
      <c r="F87" s="3">
        <v>0.6</v>
      </c>
      <c r="G87" s="3">
        <f>PRODUCT(C87:F87)</f>
        <v>0.66239999999999999</v>
      </c>
      <c r="H87" s="16"/>
      <c r="I87" s="16"/>
      <c r="J87" s="16"/>
      <c r="K87" s="16"/>
    </row>
    <row r="88" spans="1:11" x14ac:dyDescent="0.25">
      <c r="A88" s="12"/>
      <c r="B88" s="17" t="s">
        <v>42</v>
      </c>
      <c r="C88" s="16">
        <f>C79</f>
        <v>2</v>
      </c>
      <c r="D88" s="3">
        <v>1.32</v>
      </c>
      <c r="E88" s="3">
        <v>0.23</v>
      </c>
      <c r="F88" s="3">
        <v>0.6</v>
      </c>
      <c r="G88" s="3">
        <f>PRODUCT(C88:F88)</f>
        <v>0.36432000000000003</v>
      </c>
      <c r="H88" s="16"/>
      <c r="I88" s="16"/>
      <c r="J88" s="16"/>
      <c r="K88" s="16"/>
    </row>
    <row r="89" spans="1:11" x14ac:dyDescent="0.25">
      <c r="A89" s="12"/>
      <c r="B89" s="17" t="str">
        <f>B83</f>
        <v>-for stand tap</v>
      </c>
      <c r="C89" s="16">
        <f>C79</f>
        <v>2</v>
      </c>
      <c r="D89" s="3">
        <v>0.35</v>
      </c>
      <c r="E89" s="3">
        <v>0.23</v>
      </c>
      <c r="F89" s="3">
        <v>1.2</v>
      </c>
      <c r="G89" s="3">
        <f>PRODUCT(C89:F89)</f>
        <v>0.19320000000000001</v>
      </c>
      <c r="H89" s="16"/>
      <c r="I89" s="16"/>
      <c r="J89" s="16"/>
      <c r="K89" s="16"/>
    </row>
    <row r="90" spans="1:11" ht="15" customHeight="1" x14ac:dyDescent="0.25">
      <c r="A90" s="19"/>
      <c r="B90" s="20" t="s">
        <v>16</v>
      </c>
      <c r="C90" s="21"/>
      <c r="D90" s="1"/>
      <c r="E90" s="22"/>
      <c r="F90" s="22"/>
      <c r="G90" s="2">
        <f>SUM(G87:G89)</f>
        <v>1.2199200000000001</v>
      </c>
      <c r="H90" s="23" t="s">
        <v>24</v>
      </c>
      <c r="I90" s="2">
        <f>1.15*12225.55</f>
        <v>14059.382499999998</v>
      </c>
      <c r="J90" s="24">
        <f>G90*I90</f>
        <v>17151.321899399998</v>
      </c>
      <c r="K90" s="22"/>
    </row>
    <row r="91" spans="1:11" x14ac:dyDescent="0.25">
      <c r="A91" s="12"/>
      <c r="B91" s="16"/>
      <c r="C91" s="16"/>
      <c r="D91" s="16"/>
      <c r="E91" s="16"/>
      <c r="F91" s="16"/>
      <c r="G91" s="16"/>
      <c r="H91" s="16"/>
      <c r="I91" s="16"/>
      <c r="J91" s="16"/>
      <c r="K91" s="16"/>
    </row>
    <row r="92" spans="1:11" x14ac:dyDescent="0.25">
      <c r="A92" s="12">
        <v>15</v>
      </c>
      <c r="B92" s="34" t="s">
        <v>48</v>
      </c>
      <c r="C92" s="16"/>
      <c r="D92" s="16"/>
      <c r="E92" s="16"/>
      <c r="F92" s="16"/>
      <c r="G92" s="16"/>
      <c r="H92" s="16"/>
      <c r="I92" s="16"/>
      <c r="J92" s="16"/>
      <c r="K92" s="16"/>
    </row>
    <row r="93" spans="1:11" x14ac:dyDescent="0.25">
      <c r="A93" s="12"/>
      <c r="B93" s="17" t="str">
        <f>B87</f>
        <v>-for wing walls of stand tap</v>
      </c>
      <c r="C93" s="16">
        <f>C79*4</f>
        <v>8</v>
      </c>
      <c r="D93" s="3">
        <v>1.2</v>
      </c>
      <c r="E93" s="3"/>
      <c r="F93" s="3">
        <v>0.6</v>
      </c>
      <c r="G93" s="3">
        <f>PRODUCT(C93:F93)</f>
        <v>5.76</v>
      </c>
      <c r="H93" s="16"/>
      <c r="I93" s="16"/>
      <c r="J93" s="16"/>
      <c r="K93" s="16"/>
    </row>
    <row r="94" spans="1:11" x14ac:dyDescent="0.25">
      <c r="A94" s="12"/>
      <c r="B94" s="17" t="str">
        <f>B88</f>
        <v>-for side wall of stand tap</v>
      </c>
      <c r="C94" s="16">
        <f>C79</f>
        <v>2</v>
      </c>
      <c r="D94" s="3">
        <v>1.32</v>
      </c>
      <c r="E94" s="3"/>
      <c r="F94" s="3">
        <v>0.6</v>
      </c>
      <c r="G94" s="3">
        <f>PRODUCT(C94:F94)</f>
        <v>1.5840000000000001</v>
      </c>
      <c r="H94" s="16"/>
      <c r="I94" s="16"/>
      <c r="J94" s="16"/>
      <c r="K94" s="16"/>
    </row>
    <row r="95" spans="1:11" x14ac:dyDescent="0.25">
      <c r="A95" s="12"/>
      <c r="B95" s="17" t="str">
        <f>B89</f>
        <v>-for stand tap</v>
      </c>
      <c r="C95" s="16">
        <f>C79</f>
        <v>2</v>
      </c>
      <c r="D95" s="3">
        <v>0.35</v>
      </c>
      <c r="E95" s="3"/>
      <c r="F95" s="3">
        <v>1.2</v>
      </c>
      <c r="G95" s="3">
        <f>PRODUCT(C95:F95)</f>
        <v>0.84</v>
      </c>
      <c r="H95" s="16"/>
      <c r="I95" s="16"/>
      <c r="J95" s="16"/>
      <c r="K95" s="16"/>
    </row>
    <row r="96" spans="1:11" x14ac:dyDescent="0.25">
      <c r="A96" s="12"/>
      <c r="B96" s="17"/>
      <c r="C96" s="16">
        <f>C95</f>
        <v>2</v>
      </c>
      <c r="D96" s="3">
        <v>0.46</v>
      </c>
      <c r="E96" s="3"/>
      <c r="F96" s="3">
        <v>0.6</v>
      </c>
      <c r="G96" s="3">
        <f>PRODUCT(C96:F96)</f>
        <v>0.55200000000000005</v>
      </c>
      <c r="H96" s="16"/>
      <c r="I96" s="16"/>
      <c r="J96" s="16"/>
      <c r="K96" s="16"/>
    </row>
    <row r="97" spans="1:11" ht="15" customHeight="1" x14ac:dyDescent="0.25">
      <c r="A97" s="19"/>
      <c r="B97" s="20" t="s">
        <v>16</v>
      </c>
      <c r="C97" s="21"/>
      <c r="D97" s="1"/>
      <c r="E97" s="22"/>
      <c r="F97" s="22"/>
      <c r="G97" s="2">
        <f>SUM(G93:G96)</f>
        <v>8.7359999999999989</v>
      </c>
      <c r="H97" s="23" t="s">
        <v>40</v>
      </c>
      <c r="I97" s="2">
        <f>1.15*49954.32/100</f>
        <v>574.47467999999992</v>
      </c>
      <c r="J97" s="24">
        <f>G97*I97</f>
        <v>5018.6108044799985</v>
      </c>
      <c r="K97" s="22"/>
    </row>
    <row r="98" spans="1:11" x14ac:dyDescent="0.25">
      <c r="A98" s="12"/>
      <c r="B98" s="16"/>
      <c r="C98" s="16"/>
      <c r="D98" s="16"/>
      <c r="E98" s="16"/>
      <c r="F98" s="16"/>
      <c r="G98" s="16"/>
      <c r="H98" s="16"/>
      <c r="I98" s="16"/>
      <c r="J98" s="16"/>
      <c r="K98" s="16"/>
    </row>
    <row r="99" spans="1:11" x14ac:dyDescent="0.25">
      <c r="A99" s="12">
        <v>16</v>
      </c>
      <c r="B99" s="34" t="s">
        <v>49</v>
      </c>
      <c r="C99" s="16"/>
      <c r="D99" s="16"/>
      <c r="E99" s="16"/>
      <c r="F99" s="16"/>
      <c r="G99" s="16"/>
      <c r="H99" s="16"/>
      <c r="I99" s="16"/>
      <c r="J99" s="16"/>
      <c r="K99" s="16"/>
    </row>
    <row r="100" spans="1:11" x14ac:dyDescent="0.25">
      <c r="A100" s="12"/>
      <c r="B100" s="17" t="str">
        <f t="shared" ref="B100:D102" si="4">B93</f>
        <v>-for wing walls of stand tap</v>
      </c>
      <c r="C100" s="16">
        <f t="shared" si="4"/>
        <v>8</v>
      </c>
      <c r="D100" s="3">
        <f t="shared" si="4"/>
        <v>1.2</v>
      </c>
      <c r="E100" s="3"/>
      <c r="F100" s="3">
        <f>F93</f>
        <v>0.6</v>
      </c>
      <c r="G100" s="3">
        <f>PRODUCT(C100:F100)</f>
        <v>5.76</v>
      </c>
      <c r="H100" s="16"/>
      <c r="I100" s="16"/>
      <c r="J100" s="16"/>
      <c r="K100" s="16"/>
    </row>
    <row r="101" spans="1:11" x14ac:dyDescent="0.25">
      <c r="A101" s="12"/>
      <c r="B101" s="17" t="str">
        <f t="shared" si="4"/>
        <v>-for side wall of stand tap</v>
      </c>
      <c r="C101" s="16">
        <f t="shared" si="4"/>
        <v>2</v>
      </c>
      <c r="D101" s="3">
        <f t="shared" si="4"/>
        <v>1.32</v>
      </c>
      <c r="E101" s="3"/>
      <c r="F101" s="3">
        <f>F94</f>
        <v>0.6</v>
      </c>
      <c r="G101" s="3">
        <f>PRODUCT(C101:F101)</f>
        <v>1.5840000000000001</v>
      </c>
      <c r="H101" s="16"/>
      <c r="I101" s="16"/>
      <c r="J101" s="16"/>
      <c r="K101" s="16"/>
    </row>
    <row r="102" spans="1:11" x14ac:dyDescent="0.25">
      <c r="A102" s="12"/>
      <c r="B102" s="17" t="str">
        <f t="shared" si="4"/>
        <v>-for stand tap</v>
      </c>
      <c r="C102" s="16">
        <f t="shared" si="4"/>
        <v>2</v>
      </c>
      <c r="D102" s="3">
        <f t="shared" si="4"/>
        <v>0.35</v>
      </c>
      <c r="E102" s="3"/>
      <c r="F102" s="3">
        <f>F95</f>
        <v>1.2</v>
      </c>
      <c r="G102" s="3">
        <f>PRODUCT(C102:F102)</f>
        <v>0.84</v>
      </c>
      <c r="H102" s="16"/>
      <c r="I102" s="16"/>
      <c r="J102" s="16"/>
      <c r="K102" s="16"/>
    </row>
    <row r="103" spans="1:11" x14ac:dyDescent="0.25">
      <c r="A103" s="12"/>
      <c r="B103" s="17"/>
      <c r="C103" s="16">
        <f>C96</f>
        <v>2</v>
      </c>
      <c r="D103" s="3">
        <f>D96</f>
        <v>0.46</v>
      </c>
      <c r="E103" s="3"/>
      <c r="F103" s="3">
        <f>F96</f>
        <v>0.6</v>
      </c>
      <c r="G103" s="3">
        <f>PRODUCT(C103:F103)</f>
        <v>0.55200000000000005</v>
      </c>
      <c r="H103" s="16"/>
      <c r="I103" s="16"/>
      <c r="J103" s="16"/>
      <c r="K103" s="16"/>
    </row>
    <row r="104" spans="1:11" x14ac:dyDescent="0.25">
      <c r="A104" s="12"/>
      <c r="B104" s="17" t="s">
        <v>50</v>
      </c>
      <c r="C104" s="16">
        <f>C79</f>
        <v>2</v>
      </c>
      <c r="D104" s="3">
        <v>1.68</v>
      </c>
      <c r="E104" s="3">
        <v>1.68</v>
      </c>
      <c r="F104" s="3"/>
      <c r="G104" s="3">
        <f>PRODUCT(C104:F104)</f>
        <v>5.6447999999999992</v>
      </c>
      <c r="H104" s="16"/>
      <c r="I104" s="16"/>
      <c r="J104" s="16"/>
      <c r="K104" s="16"/>
    </row>
    <row r="105" spans="1:11" ht="15" customHeight="1" x14ac:dyDescent="0.25">
      <c r="A105" s="19"/>
      <c r="B105" s="20" t="s">
        <v>16</v>
      </c>
      <c r="C105" s="21"/>
      <c r="D105" s="1"/>
      <c r="E105" s="22"/>
      <c r="F105" s="22"/>
      <c r="G105" s="2">
        <f>SUM(G100:G104)</f>
        <v>14.380799999999997</v>
      </c>
      <c r="H105" s="23" t="s">
        <v>40</v>
      </c>
      <c r="I105" s="2">
        <f>1.15*28609.6/100</f>
        <v>329.01039999999995</v>
      </c>
      <c r="J105" s="24">
        <f>G105*I105</f>
        <v>4731.4327603199981</v>
      </c>
      <c r="K105" s="22"/>
    </row>
    <row r="106" spans="1:11" x14ac:dyDescent="0.25">
      <c r="A106" s="12"/>
      <c r="B106" s="16"/>
      <c r="C106" s="16"/>
      <c r="D106" s="16"/>
      <c r="E106" s="16"/>
      <c r="F106" s="16"/>
      <c r="G106" s="16"/>
      <c r="H106" s="16"/>
      <c r="I106" s="16"/>
      <c r="J106" s="16"/>
      <c r="K106" s="16"/>
    </row>
    <row r="107" spans="1:11" ht="30" x14ac:dyDescent="0.25">
      <c r="A107" s="12">
        <v>17</v>
      </c>
      <c r="B107" s="31" t="s">
        <v>51</v>
      </c>
      <c r="C107" s="16"/>
      <c r="D107" s="16"/>
      <c r="E107" s="16"/>
      <c r="F107" s="16"/>
      <c r="G107" s="16"/>
      <c r="H107" s="16"/>
      <c r="I107" s="16"/>
      <c r="J107" s="16"/>
      <c r="K107" s="16"/>
    </row>
    <row r="108" spans="1:11" x14ac:dyDescent="0.25">
      <c r="A108" s="12"/>
      <c r="B108" s="17" t="s">
        <v>30</v>
      </c>
      <c r="C108" s="16">
        <f>C79</f>
        <v>2</v>
      </c>
      <c r="D108" s="3">
        <v>1.2</v>
      </c>
      <c r="E108" s="16"/>
      <c r="F108" s="16"/>
      <c r="G108" s="3">
        <f>PRODUCT(C108:F108)</f>
        <v>2.4</v>
      </c>
      <c r="H108" s="16"/>
      <c r="I108" s="16"/>
      <c r="J108" s="24"/>
      <c r="K108" s="16"/>
    </row>
    <row r="109" spans="1:11" s="11" customFormat="1" x14ac:dyDescent="0.25">
      <c r="A109" s="19"/>
      <c r="B109" s="35" t="s">
        <v>23</v>
      </c>
      <c r="C109" s="21"/>
      <c r="D109" s="1"/>
      <c r="E109" s="22"/>
      <c r="F109" s="22"/>
      <c r="G109" s="36">
        <f>SUM(G108:G108)</f>
        <v>2.4</v>
      </c>
      <c r="H109" s="23" t="s">
        <v>31</v>
      </c>
      <c r="I109" s="2">
        <v>248</v>
      </c>
      <c r="J109" s="36">
        <f>G109*I109</f>
        <v>595.19999999999993</v>
      </c>
      <c r="K109" s="22"/>
    </row>
    <row r="110" spans="1:11" x14ac:dyDescent="0.25">
      <c r="A110" s="12"/>
      <c r="B110" s="31"/>
      <c r="C110" s="16"/>
      <c r="D110" s="16"/>
      <c r="E110" s="16"/>
      <c r="F110" s="16"/>
      <c r="G110" s="16"/>
      <c r="H110" s="16"/>
      <c r="I110" s="16"/>
      <c r="J110" s="16"/>
      <c r="K110" s="16"/>
    </row>
    <row r="111" spans="1:11" s="11" customFormat="1" ht="30" x14ac:dyDescent="0.25">
      <c r="A111" s="19">
        <v>18</v>
      </c>
      <c r="B111" s="37" t="s">
        <v>32</v>
      </c>
      <c r="C111" s="21">
        <v>1</v>
      </c>
      <c r="D111" s="1"/>
      <c r="E111" s="22"/>
      <c r="F111" s="22"/>
      <c r="G111" s="36">
        <f>PRODUCT(C111:F111)</f>
        <v>1</v>
      </c>
      <c r="H111" s="23" t="s">
        <v>33</v>
      </c>
      <c r="I111" s="2">
        <v>3000</v>
      </c>
      <c r="J111" s="36">
        <f>G111*I111</f>
        <v>3000</v>
      </c>
      <c r="K111" s="22"/>
    </row>
    <row r="112" spans="1:11" x14ac:dyDescent="0.25">
      <c r="A112" s="12"/>
      <c r="B112" s="31"/>
      <c r="C112" s="16"/>
      <c r="D112" s="16"/>
      <c r="E112" s="16"/>
      <c r="F112" s="16"/>
      <c r="G112" s="16"/>
      <c r="H112" s="16"/>
      <c r="I112" s="16"/>
      <c r="J112" s="16"/>
      <c r="K112" s="16"/>
    </row>
    <row r="113" spans="1:25" ht="15.75" x14ac:dyDescent="0.25">
      <c r="A113" s="7" t="s">
        <v>35</v>
      </c>
      <c r="B113" s="8" t="s">
        <v>36</v>
      </c>
      <c r="C113" s="7"/>
      <c r="D113" s="9"/>
      <c r="E113" s="9"/>
      <c r="F113" s="9"/>
      <c r="G113" s="9"/>
      <c r="H113" s="7"/>
      <c r="I113" s="9"/>
      <c r="J113" s="9"/>
      <c r="K113" s="10"/>
    </row>
    <row r="114" spans="1:25" ht="33" x14ac:dyDescent="0.25">
      <c r="A114" s="12">
        <v>19</v>
      </c>
      <c r="B114" s="31" t="s">
        <v>95</v>
      </c>
      <c r="C114" s="16"/>
      <c r="D114" s="16"/>
      <c r="E114" s="16"/>
      <c r="F114" s="16"/>
      <c r="G114" s="16"/>
      <c r="H114" s="16"/>
      <c r="I114" s="16"/>
      <c r="J114" s="24"/>
      <c r="K114" s="16"/>
    </row>
    <row r="115" spans="1:25" x14ac:dyDescent="0.25">
      <c r="A115" s="12"/>
      <c r="B115" s="17" t="s">
        <v>34</v>
      </c>
      <c r="C115" s="16">
        <v>1</v>
      </c>
      <c r="D115" s="3">
        <v>100</v>
      </c>
      <c r="E115" s="16">
        <v>0.3</v>
      </c>
      <c r="F115" s="16">
        <v>0.45</v>
      </c>
      <c r="G115" s="3">
        <f>PRODUCT(C115:F115)</f>
        <v>13.5</v>
      </c>
      <c r="H115" s="16"/>
      <c r="I115" s="16"/>
      <c r="J115" s="24"/>
      <c r="K115" s="16"/>
    </row>
    <row r="116" spans="1:25" s="11" customFormat="1" x14ac:dyDescent="0.25">
      <c r="A116" s="19"/>
      <c r="B116" s="35" t="s">
        <v>23</v>
      </c>
      <c r="C116" s="21"/>
      <c r="D116" s="1"/>
      <c r="E116" s="22"/>
      <c r="F116" s="22"/>
      <c r="G116" s="36">
        <f>SUM(G115:G115)</f>
        <v>13.5</v>
      </c>
      <c r="H116" s="23" t="s">
        <v>24</v>
      </c>
      <c r="I116" s="2">
        <f>1.15*963.05</f>
        <v>1107.5074999999999</v>
      </c>
      <c r="J116" s="36">
        <f>G116*I116</f>
        <v>14951.35125</v>
      </c>
      <c r="K116" s="22"/>
    </row>
    <row r="117" spans="1:25" x14ac:dyDescent="0.25">
      <c r="A117" s="12"/>
      <c r="B117" s="17"/>
      <c r="C117" s="16"/>
      <c r="D117" s="16"/>
      <c r="E117" s="16"/>
      <c r="F117" s="16"/>
      <c r="G117" s="16"/>
      <c r="H117" s="16"/>
      <c r="I117" s="16"/>
      <c r="J117" s="24"/>
      <c r="K117" s="16"/>
    </row>
    <row r="118" spans="1:25" ht="30" x14ac:dyDescent="0.25">
      <c r="A118" s="12">
        <v>20</v>
      </c>
      <c r="B118" s="31" t="s">
        <v>94</v>
      </c>
      <c r="C118" s="16"/>
      <c r="D118" s="16"/>
      <c r="E118" s="16"/>
      <c r="F118" s="16"/>
      <c r="G118" s="16"/>
      <c r="H118" s="16"/>
      <c r="I118" s="16"/>
      <c r="J118" s="16"/>
      <c r="K118" s="16"/>
    </row>
    <row r="119" spans="1:25" x14ac:dyDescent="0.25">
      <c r="A119" s="12"/>
      <c r="B119" s="17" t="s">
        <v>30</v>
      </c>
      <c r="C119" s="16">
        <v>1</v>
      </c>
      <c r="D119" s="3">
        <f>D115</f>
        <v>100</v>
      </c>
      <c r="E119" s="16"/>
      <c r="F119" s="16"/>
      <c r="G119" s="3">
        <f>PRODUCT(C119:F119)</f>
        <v>100</v>
      </c>
      <c r="H119" s="16"/>
      <c r="I119" s="16"/>
      <c r="J119" s="24"/>
      <c r="K119" s="16"/>
    </row>
    <row r="120" spans="1:25" s="11" customFormat="1" x14ac:dyDescent="0.25">
      <c r="A120" s="19"/>
      <c r="B120" s="35" t="s">
        <v>23</v>
      </c>
      <c r="C120" s="21"/>
      <c r="D120" s="1"/>
      <c r="E120" s="22"/>
      <c r="F120" s="22"/>
      <c r="G120" s="36">
        <f>SUM(G119:G119)</f>
        <v>100</v>
      </c>
      <c r="H120" s="23" t="s">
        <v>31</v>
      </c>
      <c r="I120" s="2">
        <f>1.15*4308.15/1000</f>
        <v>4.9543724999999998</v>
      </c>
      <c r="J120" s="36">
        <f>G120*I120</f>
        <v>495.43725000000001</v>
      </c>
      <c r="K120" s="22"/>
    </row>
    <row r="121" spans="1:25" x14ac:dyDescent="0.25">
      <c r="A121" s="12"/>
      <c r="B121" s="31"/>
      <c r="C121" s="16"/>
      <c r="D121" s="16"/>
      <c r="E121" s="16"/>
      <c r="F121" s="16"/>
      <c r="G121" s="16"/>
      <c r="H121" s="16"/>
      <c r="I121" s="16"/>
      <c r="J121" s="16"/>
      <c r="K121" s="16"/>
    </row>
    <row r="122" spans="1:25" ht="45" x14ac:dyDescent="0.25">
      <c r="A122" s="12">
        <v>21</v>
      </c>
      <c r="B122" s="38" t="s">
        <v>25</v>
      </c>
      <c r="C122" s="16"/>
      <c r="D122" s="34" t="s">
        <v>22</v>
      </c>
      <c r="E122" s="34" t="s">
        <v>26</v>
      </c>
      <c r="F122" s="34" t="s">
        <v>27</v>
      </c>
      <c r="G122" s="16"/>
      <c r="H122" s="16"/>
      <c r="I122" s="16"/>
      <c r="J122" s="24"/>
      <c r="K122" s="16"/>
    </row>
    <row r="123" spans="1:25" ht="30" x14ac:dyDescent="0.25">
      <c r="A123" s="39"/>
      <c r="B123" s="40" t="str">
        <f>B115</f>
        <v>-for pipe laying from source to tank</v>
      </c>
      <c r="C123" s="16">
        <v>1</v>
      </c>
      <c r="D123" s="3">
        <f>D115</f>
        <v>100</v>
      </c>
      <c r="E123" s="16">
        <v>0.20799999999999999</v>
      </c>
      <c r="F123" s="16">
        <f>C123*D123*E123</f>
        <v>20.8</v>
      </c>
      <c r="G123" s="3">
        <f>F123</f>
        <v>20.8</v>
      </c>
      <c r="H123" s="16"/>
      <c r="I123" s="16"/>
      <c r="J123" s="24"/>
      <c r="K123" s="16"/>
      <c r="M123" s="4"/>
      <c r="N123" s="4"/>
      <c r="O123" s="4"/>
      <c r="P123" s="4"/>
      <c r="Q123" s="4"/>
      <c r="R123" s="4"/>
      <c r="S123" s="4"/>
      <c r="T123" s="4"/>
      <c r="U123" s="4"/>
      <c r="V123" s="4"/>
      <c r="W123" s="4"/>
      <c r="X123" s="4"/>
      <c r="Y123" s="4"/>
    </row>
    <row r="124" spans="1:25" ht="15" customHeight="1" x14ac:dyDescent="0.25">
      <c r="A124" s="19"/>
      <c r="B124" s="20" t="s">
        <v>16</v>
      </c>
      <c r="C124" s="21"/>
      <c r="D124" s="1"/>
      <c r="E124" s="22"/>
      <c r="F124" s="22"/>
      <c r="G124" s="2">
        <f>SUM(G123:G123)</f>
        <v>20.8</v>
      </c>
      <c r="H124" s="23" t="s">
        <v>28</v>
      </c>
      <c r="I124" s="2">
        <v>287</v>
      </c>
      <c r="J124" s="24">
        <f>G124*I124</f>
        <v>5969.6</v>
      </c>
      <c r="K124" s="22"/>
    </row>
    <row r="125" spans="1:25" x14ac:dyDescent="0.25">
      <c r="A125" s="12"/>
      <c r="B125" s="16"/>
      <c r="C125" s="16"/>
      <c r="D125" s="16"/>
      <c r="E125" s="16"/>
      <c r="F125" s="16"/>
      <c r="G125" s="16"/>
      <c r="H125" s="16"/>
      <c r="I125" s="16"/>
      <c r="J125" s="16"/>
      <c r="K125" s="16"/>
    </row>
    <row r="126" spans="1:25" ht="15" customHeight="1" x14ac:dyDescent="0.25">
      <c r="A126" s="19">
        <v>22</v>
      </c>
      <c r="B126" s="41" t="s">
        <v>17</v>
      </c>
      <c r="C126" s="21">
        <v>1</v>
      </c>
      <c r="D126" s="1"/>
      <c r="E126" s="22"/>
      <c r="F126" s="22"/>
      <c r="G126" s="23">
        <f>PRODUCT(C126:F126)</f>
        <v>1</v>
      </c>
      <c r="H126" s="23" t="s">
        <v>18</v>
      </c>
      <c r="I126" s="2">
        <v>500</v>
      </c>
      <c r="J126" s="23">
        <f>G126*I126</f>
        <v>500</v>
      </c>
      <c r="K126" s="22"/>
    </row>
    <row r="127" spans="1:25" x14ac:dyDescent="0.25">
      <c r="A127" s="19"/>
      <c r="B127" s="42"/>
      <c r="C127" s="21"/>
      <c r="D127" s="1"/>
      <c r="E127" s="22"/>
      <c r="F127" s="22"/>
      <c r="G127" s="2"/>
      <c r="H127" s="23"/>
      <c r="I127" s="2"/>
      <c r="J127" s="24"/>
      <c r="K127" s="22"/>
    </row>
    <row r="128" spans="1:25" x14ac:dyDescent="0.25">
      <c r="A128" s="43"/>
      <c r="B128" s="44" t="s">
        <v>20</v>
      </c>
      <c r="C128" s="45"/>
      <c r="D128" s="46"/>
      <c r="E128" s="46"/>
      <c r="F128" s="46"/>
      <c r="G128" s="24"/>
      <c r="H128" s="24"/>
      <c r="I128" s="24"/>
      <c r="J128" s="24">
        <f>SUM(J10:J126)</f>
        <v>787998.08114961558</v>
      </c>
      <c r="K128" s="47"/>
    </row>
    <row r="130" spans="1:11" s="11" customFormat="1" x14ac:dyDescent="0.25">
      <c r="A130" s="48"/>
      <c r="B130" s="14" t="s">
        <v>19</v>
      </c>
      <c r="C130" s="53">
        <f>J128</f>
        <v>787998.08114961558</v>
      </c>
      <c r="D130" s="54"/>
      <c r="E130" s="26"/>
      <c r="F130" s="48"/>
      <c r="G130" s="49"/>
      <c r="H130" s="48"/>
      <c r="I130" s="50"/>
      <c r="J130" s="51"/>
      <c r="K130" s="52"/>
    </row>
  </sheetData>
  <mergeCells count="10">
    <mergeCell ref="A7:F7"/>
    <mergeCell ref="H7:K7"/>
    <mergeCell ref="A1:K1"/>
    <mergeCell ref="A2:K2"/>
    <mergeCell ref="A3:K3"/>
    <mergeCell ref="A4:K4"/>
    <mergeCell ref="A5:K5"/>
    <mergeCell ref="A6:F6"/>
    <mergeCell ref="H6:K6"/>
    <mergeCell ref="C130:D13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342E1-DF6C-4C13-8B50-6433137EED18}">
  <dimension ref="A8:M170"/>
  <sheetViews>
    <sheetView workbookViewId="0">
      <selection activeCell="L5" sqref="L5"/>
    </sheetView>
  </sheetViews>
  <sheetFormatPr defaultRowHeight="15" x14ac:dyDescent="0.25"/>
  <cols>
    <col min="1" max="1" width="6.42578125" style="4" bestFit="1" customWidth="1"/>
    <col min="2" max="2" width="7.42578125" style="4" bestFit="1" customWidth="1"/>
    <col min="3" max="4" width="8.42578125" style="4" bestFit="1" customWidth="1"/>
    <col min="5" max="5" width="9.140625" style="4"/>
    <col min="6" max="6" width="16.5703125" style="4" customWidth="1"/>
    <col min="7" max="8" width="8.5703125" style="4" bestFit="1" customWidth="1"/>
    <col min="9" max="9" width="6.5703125" style="4" customWidth="1"/>
    <col min="10" max="10" width="7.42578125" style="4" bestFit="1" customWidth="1"/>
    <col min="11" max="11" width="8.42578125" style="4" bestFit="1" customWidth="1"/>
    <col min="12" max="13" width="7.7109375" style="4" bestFit="1" customWidth="1"/>
  </cols>
  <sheetData>
    <row r="8" spans="1:13" x14ac:dyDescent="0.25">
      <c r="A8" s="11" t="s">
        <v>88</v>
      </c>
      <c r="I8" s="11" t="s">
        <v>44</v>
      </c>
    </row>
    <row r="9" spans="1:13" ht="45" x14ac:dyDescent="0.25">
      <c r="A9" s="11" t="s">
        <v>8</v>
      </c>
      <c r="B9" s="11" t="s">
        <v>9</v>
      </c>
      <c r="C9" s="11" t="s">
        <v>10</v>
      </c>
      <c r="D9" s="11" t="s">
        <v>52</v>
      </c>
      <c r="E9" s="11" t="s">
        <v>68</v>
      </c>
      <c r="F9" s="15" t="s">
        <v>69</v>
      </c>
      <c r="G9" s="15" t="s">
        <v>84</v>
      </c>
      <c r="H9" s="15" t="s">
        <v>85</v>
      </c>
      <c r="I9" s="4" t="s">
        <v>45</v>
      </c>
      <c r="J9" s="4" t="s">
        <v>9</v>
      </c>
      <c r="K9" s="4" t="s">
        <v>52</v>
      </c>
      <c r="L9" s="4" t="s">
        <v>46</v>
      </c>
      <c r="M9" s="4" t="s">
        <v>47</v>
      </c>
    </row>
    <row r="10" spans="1:13" x14ac:dyDescent="0.25">
      <c r="A10" s="4">
        <f>4.5+D10+D10</f>
        <v>4.8000000000000007</v>
      </c>
      <c r="B10" s="4">
        <f>4.5+D10+D10</f>
        <v>4.8000000000000007</v>
      </c>
      <c r="C10" s="4">
        <v>2.5</v>
      </c>
      <c r="D10" s="4">
        <v>0.15</v>
      </c>
      <c r="E10" s="4">
        <v>0.3</v>
      </c>
      <c r="F10" s="4">
        <v>0.5</v>
      </c>
      <c r="G10" s="4">
        <v>0.6</v>
      </c>
      <c r="H10" s="4">
        <v>0.6</v>
      </c>
      <c r="I10" s="18">
        <f>6.33/3.281</f>
        <v>1.929289850655288</v>
      </c>
      <c r="J10" s="18">
        <f>6.33/3.281</f>
        <v>1.929289850655288</v>
      </c>
      <c r="K10" s="18">
        <f>1.17/3.281</f>
        <v>0.35659859798841814</v>
      </c>
      <c r="L10" s="18">
        <f>TRUNC(2/3.281,1)</f>
        <v>0.6</v>
      </c>
      <c r="M10" s="18">
        <f>TRUNC(4/3.281,1)</f>
        <v>1.2</v>
      </c>
    </row>
    <row r="14" spans="1:13" x14ac:dyDescent="0.25">
      <c r="A14" s="11"/>
      <c r="B14" s="11"/>
      <c r="C14" s="11"/>
      <c r="D14" s="11"/>
      <c r="E14" s="11"/>
      <c r="F14" s="11"/>
      <c r="G14" s="11"/>
      <c r="H14" s="11"/>
      <c r="I14" s="11"/>
      <c r="J14" s="11"/>
      <c r="K14" s="11"/>
      <c r="L14" s="11"/>
      <c r="M14" s="11"/>
    </row>
    <row r="20" spans="1:13" x14ac:dyDescent="0.25">
      <c r="A20" s="11"/>
      <c r="B20" s="11"/>
      <c r="C20" s="11"/>
      <c r="D20" s="11"/>
      <c r="E20" s="11"/>
      <c r="F20" s="11"/>
      <c r="G20" s="11"/>
      <c r="H20" s="11"/>
      <c r="I20" s="11"/>
      <c r="J20" s="11"/>
      <c r="K20" s="11"/>
      <c r="L20" s="11"/>
      <c r="M20" s="11"/>
    </row>
    <row r="28" spans="1:13" x14ac:dyDescent="0.25">
      <c r="A28" s="11"/>
      <c r="B28" s="11"/>
      <c r="C28" s="11"/>
      <c r="D28" s="11"/>
      <c r="E28" s="11"/>
      <c r="F28" s="11"/>
      <c r="G28" s="11"/>
      <c r="H28" s="11"/>
      <c r="I28" s="11"/>
      <c r="J28" s="11"/>
      <c r="K28" s="11"/>
      <c r="L28" s="11"/>
      <c r="M28" s="11"/>
    </row>
    <row r="44" spans="1:13" x14ac:dyDescent="0.25">
      <c r="A44" s="11"/>
      <c r="B44" s="11"/>
      <c r="C44" s="11"/>
      <c r="D44" s="11"/>
      <c r="E44" s="11"/>
      <c r="F44" s="11"/>
      <c r="G44" s="11"/>
      <c r="H44" s="11"/>
      <c r="I44" s="11"/>
      <c r="J44" s="11"/>
      <c r="K44" s="11"/>
      <c r="L44" s="11"/>
      <c r="M44" s="11"/>
    </row>
    <row r="55" spans="1:13" x14ac:dyDescent="0.25">
      <c r="A55" s="11"/>
      <c r="B55" s="11"/>
      <c r="C55" s="11"/>
      <c r="D55" s="11"/>
      <c r="E55" s="11"/>
      <c r="F55" s="11"/>
      <c r="G55" s="11"/>
      <c r="H55" s="11"/>
      <c r="I55" s="11"/>
      <c r="J55" s="11"/>
      <c r="K55" s="11"/>
      <c r="L55" s="11"/>
      <c r="M55" s="11"/>
    </row>
    <row r="101" spans="1:13" x14ac:dyDescent="0.25">
      <c r="A101" s="11"/>
      <c r="B101" s="11"/>
      <c r="C101" s="11"/>
      <c r="D101" s="11"/>
      <c r="E101" s="11"/>
      <c r="F101" s="11"/>
      <c r="G101" s="11"/>
      <c r="H101" s="11"/>
      <c r="I101" s="11"/>
      <c r="J101" s="11"/>
      <c r="K101" s="11"/>
      <c r="L101" s="11"/>
      <c r="M101" s="11"/>
    </row>
    <row r="111" spans="1:13" x14ac:dyDescent="0.25">
      <c r="A111" s="4" t="s">
        <v>44</v>
      </c>
    </row>
    <row r="112" spans="1:13" x14ac:dyDescent="0.25">
      <c r="A112" s="4" t="s">
        <v>45</v>
      </c>
      <c r="B112" s="4" t="s">
        <v>9</v>
      </c>
      <c r="C112" s="4" t="s">
        <v>52</v>
      </c>
      <c r="D112" s="4" t="s">
        <v>46</v>
      </c>
      <c r="E112" s="4" t="s">
        <v>47</v>
      </c>
      <c r="F112" s="4" t="s">
        <v>93</v>
      </c>
    </row>
    <row r="113" spans="1:6" x14ac:dyDescent="0.25">
      <c r="A113" s="18">
        <f>5.5/3.281</f>
        <v>1.6763181956720512</v>
      </c>
      <c r="B113" s="18">
        <f>5.5/3.281</f>
        <v>1.6763181956720512</v>
      </c>
      <c r="C113" s="18">
        <v>0.23</v>
      </c>
      <c r="D113" s="18">
        <f>TRUNC(2/3.281,1)</f>
        <v>0.6</v>
      </c>
      <c r="E113" s="18">
        <f>TRUNC(4/3.281,1)</f>
        <v>1.2</v>
      </c>
      <c r="F113" s="18">
        <f>1.17/3.281</f>
        <v>0.35659859798841814</v>
      </c>
    </row>
    <row r="147" spans="1:13" x14ac:dyDescent="0.25">
      <c r="A147" s="11"/>
      <c r="B147" s="11"/>
      <c r="C147" s="11"/>
      <c r="D147" s="11"/>
      <c r="E147" s="11"/>
      <c r="F147" s="11"/>
      <c r="G147" s="11"/>
      <c r="H147" s="11"/>
      <c r="I147" s="11"/>
      <c r="J147" s="11"/>
      <c r="K147" s="11"/>
      <c r="L147" s="11"/>
      <c r="M147" s="11"/>
    </row>
    <row r="150" spans="1:13" x14ac:dyDescent="0.25">
      <c r="A150" s="11"/>
      <c r="B150" s="11"/>
      <c r="C150" s="11"/>
      <c r="D150" s="11"/>
      <c r="E150" s="11"/>
      <c r="F150" s="11"/>
      <c r="G150" s="11"/>
      <c r="H150" s="11"/>
      <c r="I150" s="11"/>
      <c r="J150" s="11"/>
      <c r="K150" s="11"/>
      <c r="L150" s="11"/>
      <c r="M150" s="11"/>
    </row>
    <row r="155" spans="1:13" x14ac:dyDescent="0.25">
      <c r="A155" s="11"/>
      <c r="B155" s="11"/>
      <c r="C155" s="11"/>
      <c r="D155" s="11"/>
      <c r="E155" s="11"/>
      <c r="F155" s="11"/>
      <c r="G155" s="11"/>
      <c r="H155" s="11"/>
      <c r="I155" s="11"/>
      <c r="J155" s="11"/>
      <c r="K155" s="11"/>
      <c r="L155" s="11"/>
      <c r="M155" s="11"/>
    </row>
    <row r="159" spans="1:13" x14ac:dyDescent="0.25">
      <c r="A159" s="11"/>
      <c r="B159" s="11"/>
      <c r="C159" s="11"/>
      <c r="D159" s="11"/>
      <c r="E159" s="11"/>
      <c r="F159" s="11"/>
      <c r="G159" s="11"/>
      <c r="H159" s="11"/>
      <c r="I159" s="11"/>
      <c r="J159" s="11"/>
      <c r="K159" s="11"/>
      <c r="L159" s="11"/>
      <c r="M159" s="11"/>
    </row>
    <row r="170" spans="1:13" x14ac:dyDescent="0.25">
      <c r="A170" s="11"/>
      <c r="B170" s="11"/>
      <c r="C170" s="11"/>
      <c r="D170" s="11"/>
      <c r="E170" s="11"/>
      <c r="F170" s="11"/>
      <c r="G170" s="11"/>
      <c r="H170" s="11"/>
      <c r="I170" s="11"/>
      <c r="J170" s="11"/>
      <c r="K170" s="11"/>
      <c r="L170" s="11"/>
      <c r="M170" s="11"/>
    </row>
  </sheetData>
  <sheetProtection algorithmName="SHA-512" hashValue="5hCnV+CIJECPjTLlEINCdBZGP58N6/324FGyuUb7tramg8+fTHTecVJxdJ5vcNAVkTpHXXpRNp9Z13rhODEHZg==" saltValue="a6gYld4TTe8wMRU7UkV1bA=="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estimate</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2026-03-30T05:48:01Z</dcterms:modified>
</cp:coreProperties>
</file>