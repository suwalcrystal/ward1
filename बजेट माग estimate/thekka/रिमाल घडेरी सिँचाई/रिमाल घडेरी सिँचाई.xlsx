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2" i="13" l="1"/>
  <c r="F62" i="13" s="1"/>
  <c r="G62" i="13" s="1"/>
  <c r="C61" i="13"/>
  <c r="F61" i="13" s="1"/>
  <c r="G61" i="13" s="1"/>
  <c r="E61" i="13"/>
  <c r="E62" i="13"/>
  <c r="D62" i="13"/>
  <c r="D61" i="13"/>
  <c r="G53" i="13"/>
  <c r="G52" i="13"/>
  <c r="E52" i="13"/>
  <c r="F52" i="13"/>
  <c r="D52" i="13"/>
  <c r="G63" i="13" l="1"/>
  <c r="D17" i="13"/>
  <c r="D60" i="13"/>
  <c r="D59" i="13"/>
  <c r="M10" i="13"/>
  <c r="F26" i="13"/>
  <c r="C26" i="13"/>
  <c r="F18" i="13"/>
  <c r="F10" i="13"/>
  <c r="F37" i="13"/>
  <c r="F13" i="13" s="1"/>
  <c r="F36" i="13"/>
  <c r="E36" i="13" s="1"/>
  <c r="C37" i="13"/>
  <c r="C36" i="13"/>
  <c r="B37" i="13"/>
  <c r="B36" i="13"/>
  <c r="C18" i="13"/>
  <c r="G18" i="13" s="1"/>
  <c r="C19" i="13"/>
  <c r="C20" i="13"/>
  <c r="B18" i="13"/>
  <c r="B52" i="13" s="1"/>
  <c r="B19" i="13"/>
  <c r="B26" i="13" s="1"/>
  <c r="B20" i="13"/>
  <c r="B28" i="13" s="1"/>
  <c r="D13" i="13"/>
  <c r="D37" i="13" s="1"/>
  <c r="D29" i="13" s="1"/>
  <c r="G29" i="13" s="1"/>
  <c r="D12" i="13"/>
  <c r="D19" i="13" s="1"/>
  <c r="E11" i="13"/>
  <c r="E18" i="13" s="1"/>
  <c r="D11" i="13"/>
  <c r="D18" i="13" s="1"/>
  <c r="E26" i="13" l="1"/>
  <c r="D36" i="13"/>
  <c r="D26" i="13" s="1"/>
  <c r="E28" i="13"/>
  <c r="D27" i="13"/>
  <c r="G27" i="13" s="1"/>
  <c r="G26" i="13"/>
  <c r="E13" i="13"/>
  <c r="E20" i="13" s="1"/>
  <c r="F20" i="13"/>
  <c r="E37" i="13"/>
  <c r="D28" i="13"/>
  <c r="F12" i="13"/>
  <c r="D20" i="13"/>
  <c r="G11" i="13"/>
  <c r="E60" i="13"/>
  <c r="E59" i="13"/>
  <c r="C44" i="13"/>
  <c r="B44" i="13"/>
  <c r="F51" i="13"/>
  <c r="F44" i="13" s="1"/>
  <c r="E51" i="13"/>
  <c r="F50" i="13"/>
  <c r="N10" i="13"/>
  <c r="C59" i="13"/>
  <c r="B17" i="13"/>
  <c r="B25" i="13" s="1"/>
  <c r="B59" i="13" s="1"/>
  <c r="C17" i="13"/>
  <c r="C25" i="13" s="1"/>
  <c r="C50" i="13" s="1"/>
  <c r="G13" i="13" l="1"/>
  <c r="G20" i="13"/>
  <c r="G28" i="13"/>
  <c r="F19" i="13"/>
  <c r="E12" i="13"/>
  <c r="E17" i="13"/>
  <c r="E25" i="13"/>
  <c r="E50" i="13" s="1"/>
  <c r="D10" i="13"/>
  <c r="E10" i="13"/>
  <c r="D51" i="13"/>
  <c r="D25" i="13"/>
  <c r="D50" i="13" s="1"/>
  <c r="F59" i="13"/>
  <c r="G59" i="13" s="1"/>
  <c r="C60" i="13"/>
  <c r="I21" i="13"/>
  <c r="E19" i="13" l="1"/>
  <c r="G19" i="13" s="1"/>
  <c r="G12" i="13"/>
  <c r="G50" i="13"/>
  <c r="G10" i="13"/>
  <c r="G14" i="13" s="1"/>
  <c r="G17" i="13"/>
  <c r="F60" i="13"/>
  <c r="G60" i="13" s="1"/>
  <c r="G25" i="13"/>
  <c r="G30" i="13" s="1"/>
  <c r="G51" i="13"/>
  <c r="D44" i="13"/>
  <c r="I45" i="13"/>
  <c r="I63" i="13"/>
  <c r="G21" i="13" l="1"/>
  <c r="G44" i="13"/>
  <c r="G45" i="13" l="1"/>
  <c r="J47" i="13" s="1"/>
  <c r="J54" i="13"/>
  <c r="G37" i="13"/>
  <c r="G36" i="13"/>
  <c r="J63" i="13" l="1"/>
  <c r="G38" i="13"/>
  <c r="J38" i="13" s="1"/>
  <c r="J56" i="13"/>
  <c r="J55" i="13"/>
  <c r="J53" i="13"/>
  <c r="J45" i="13"/>
  <c r="J46" i="13"/>
  <c r="J64" i="13" l="1"/>
  <c r="J65" i="13"/>
  <c r="J41" i="13"/>
  <c r="J40" i="13"/>
  <c r="J39" i="13"/>
  <c r="J22" i="13"/>
  <c r="J21" i="13"/>
  <c r="C78" i="13" l="1"/>
  <c r="C77" i="13"/>
  <c r="G69" i="13"/>
  <c r="J69" i="13" s="1"/>
  <c r="G67" i="13"/>
  <c r="J67" i="13" s="1"/>
  <c r="C75" i="13" l="1"/>
  <c r="J14" i="13"/>
  <c r="J33" i="13" l="1"/>
  <c r="J30" i="13"/>
  <c r="J32" i="13"/>
  <c r="J31" i="13"/>
  <c r="J71" i="13" l="1"/>
  <c r="C73" i="13" s="1"/>
  <c r="C76" i="13" s="1"/>
  <c r="E75" i="13" l="1"/>
  <c r="E76" i="13" s="1"/>
</calcChain>
</file>

<file path=xl/sharedStrings.xml><?xml version="1.0" encoding="utf-8"?>
<sst xmlns="http://schemas.openxmlformats.org/spreadsheetml/2006/main" count="83" uniqueCount="66">
  <si>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</si>
  <si>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</si>
  <si>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</si>
  <si>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</si>
  <si>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</si>
  <si>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</si>
  <si>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</si>
  <si>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</si>
  <si>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</si>
  <si>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</si>
  <si>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</si>
  <si>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</si>
  <si>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</si>
  <si>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</si>
  <si>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</si>
  <si>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</si>
  <si>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</si>
  <si>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</si>
  <si>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</si>
  <si>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</si>
  <si>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</si>
  <si>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</si>
  <si>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</si>
  <si>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</si>
  <si>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</si>
  <si>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</si>
  <si>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</si>
  <si>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</si>
  <si>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</si>
  <si>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</si>
  <si>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</si>
  <si>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</si>
  <si>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Plain cement concrete (1:2:4)</t>
  </si>
  <si>
    <t>-13% VAT for cement</t>
  </si>
  <si>
    <t>-13% VAT for aggregate</t>
  </si>
  <si>
    <t>sqm</t>
  </si>
  <si>
    <t>length</t>
  </si>
  <si>
    <t>-13% VAT for block stone</t>
  </si>
  <si>
    <t>thickness</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</si>
  <si>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</si>
  <si>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</si>
  <si>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</si>
  <si>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</si>
  <si>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</si>
  <si>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</si>
  <si>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</si>
  <si>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</si>
  <si>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</si>
  <si>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</si>
  <si>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</si>
  <si>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</si>
  <si>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breadth</t>
  </si>
  <si>
    <t>height</t>
  </si>
  <si>
    <t>Dry boulder packing work</t>
  </si>
  <si>
    <t>R.R. masonry in 1:6 cement mortar</t>
  </si>
  <si>
    <t>-for kulo</t>
  </si>
  <si>
    <t>kulo</t>
  </si>
  <si>
    <t>-for kulo base</t>
  </si>
  <si>
    <t>-for kulo shear wall</t>
  </si>
  <si>
    <t>-distribution bars</t>
  </si>
  <si>
    <t>- for causeway</t>
  </si>
  <si>
    <t>-for masonary wall 1</t>
  </si>
  <si>
    <t>-for masonary wall 2</t>
  </si>
  <si>
    <t>Provisional sum for other unforseen works and lab tests</t>
  </si>
  <si>
    <r>
      <t>Project:-</t>
    </r>
    <r>
      <rPr>
        <sz val="12"/>
        <rFont val="Preeti"/>
      </rPr>
      <t xml:space="preserve"> l/dfn 38]/L l;FrfO{</t>
    </r>
  </si>
  <si>
    <t>-for causeway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</si>
</sst>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164"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4" fillId="0" borderId="0" xfId="0"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9" fillId="0" borderId="2" xfId="0" applyFont="1" applyFill="1" applyBorder="1" applyAlignment="1">
      <alignment vertical="center"/>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6" fillId="0" borderId="2" xfId="0" applyFont="1" applyFill="1" applyBorder="1" applyAlignment="1">
      <alignment vertical="center"/>
    </xf>
    <xf numFmtId="0" fontId="4" fillId="0" borderId="2" xfId="0" quotePrefix="1" applyFont="1" applyFill="1" applyBorder="1" applyAlignment="1">
      <alignment horizontal="right"/>
    </xf>
    <xf numFmtId="1" fontId="4" fillId="0" borderId="2" xfId="0" applyNumberFormat="1" applyFont="1" applyFill="1" applyBorder="1"/>
    <xf numFmtId="2" fontId="4" fillId="0" borderId="2" xfId="0" applyNumberFormat="1" applyFont="1" applyFill="1" applyBorder="1"/>
    <xf numFmtId="0" fontId="4" fillId="0" borderId="2" xfId="0"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4" fillId="0" borderId="2" xfId="0" applyFont="1" applyFill="1" applyBorder="1" applyAlignment="1">
      <alignment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2" xfId="0" quotePrefix="1" applyFont="1" applyFill="1" applyBorder="1" applyAlignment="1">
      <alignment wrapText="1"/>
    </xf>
    <xf numFmtId="0" fontId="4" fillId="0" borderId="2" xfId="0" applyFont="1" applyFill="1" applyBorder="1" applyAlignment="1">
      <alignment vertical="center" wrapText="1"/>
    </xf>
    <xf numFmtId="0" fontId="2" fillId="0" borderId="2" xfId="0" quotePrefix="1" applyFont="1" applyFill="1" applyBorder="1" applyAlignment="1">
      <alignment vertical="center" wrapText="1"/>
    </xf>
    <xf numFmtId="2" fontId="6"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tabSelected="1" topLeftCell="A47" workbookViewId="0">
      <selection activeCell="C63" sqref="C63"/>
    </sheetView>
  </sheetViews>
  <sheetFormatPr defaultColWidth="9.109375"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 min="13" max="13" width="8.44140625" bestFit="1" customWidth="1"/>
    <col min="14" max="15" width="7.6640625" bestFit="1" customWidth="1"/>
  </cols>
  <sheetData>
    <row r="1" spans="1:17" x14ac:dyDescent="0.3">
      <c r="A1" s="49" t="s">
        <v>0</v>
      </c>
      <c r="B1" s="49"/>
      <c r="C1" s="49"/>
      <c r="D1" s="49"/>
      <c r="E1" s="49"/>
      <c r="F1" s="49"/>
      <c r="G1" s="49"/>
      <c r="H1" s="49"/>
      <c r="I1" s="49"/>
      <c r="J1" s="49"/>
      <c r="K1" s="49"/>
    </row>
    <row r="2" spans="1:17" ht="22.8" x14ac:dyDescent="0.3">
      <c r="A2" s="50" t="s">
        <v>1</v>
      </c>
      <c r="B2" s="50"/>
      <c r="C2" s="50"/>
      <c r="D2" s="50"/>
      <c r="E2" s="50"/>
      <c r="F2" s="50"/>
      <c r="G2" s="50"/>
      <c r="H2" s="50"/>
      <c r="I2" s="50"/>
      <c r="J2" s="50"/>
      <c r="K2" s="50"/>
    </row>
    <row r="3" spans="1:17" x14ac:dyDescent="0.3">
      <c r="A3" s="51" t="s">
        <v>2</v>
      </c>
      <c r="B3" s="51"/>
      <c r="C3" s="51"/>
      <c r="D3" s="51"/>
      <c r="E3" s="51"/>
      <c r="F3" s="51"/>
      <c r="G3" s="51"/>
      <c r="H3" s="51"/>
      <c r="I3" s="51"/>
      <c r="J3" s="51"/>
      <c r="K3" s="51"/>
    </row>
    <row r="4" spans="1:17" x14ac:dyDescent="0.3">
      <c r="A4" s="51" t="s">
        <v>3</v>
      </c>
      <c r="B4" s="51"/>
      <c r="C4" s="51"/>
      <c r="D4" s="51"/>
      <c r="E4" s="51"/>
      <c r="F4" s="51"/>
      <c r="G4" s="51"/>
      <c r="H4" s="51"/>
      <c r="I4" s="51"/>
      <c r="J4" s="51"/>
      <c r="K4" s="51"/>
    </row>
    <row r="5" spans="1:17" ht="17.399999999999999" x14ac:dyDescent="0.3">
      <c r="A5" s="52" t="s">
        <v>4</v>
      </c>
      <c r="B5" s="52"/>
      <c r="C5" s="52"/>
      <c r="D5" s="52"/>
      <c r="E5" s="52"/>
      <c r="F5" s="52"/>
      <c r="G5" s="52"/>
      <c r="H5" s="52"/>
      <c r="I5" s="52"/>
      <c r="J5" s="52"/>
      <c r="K5" s="52"/>
    </row>
    <row r="6" spans="1:17" ht="15.6" x14ac:dyDescent="0.3">
      <c r="A6" s="53" t="s">
        <v>64</v>
      </c>
      <c r="B6" s="53"/>
      <c r="C6" s="53"/>
      <c r="D6" s="53"/>
      <c r="E6" s="53"/>
      <c r="F6" s="53"/>
      <c r="G6" s="3"/>
      <c r="H6" s="54" t="s">
        <v>25</v>
      </c>
      <c r="I6" s="54"/>
      <c r="J6" s="54"/>
      <c r="K6" s="54"/>
    </row>
    <row r="7" spans="1:17" ht="15.6" x14ac:dyDescent="0.3">
      <c r="A7" s="47" t="s">
        <v>29</v>
      </c>
      <c r="B7" s="47"/>
      <c r="C7" s="47"/>
      <c r="D7" s="47"/>
      <c r="E7" s="47"/>
      <c r="F7" s="47"/>
      <c r="G7" s="4"/>
      <c r="H7" s="48" t="s">
        <v>39</v>
      </c>
      <c r="I7" s="48"/>
      <c r="J7" s="48"/>
      <c r="K7" s="48"/>
    </row>
    <row r="8" spans="1:17" s="5" customFormat="1" ht="15.6" x14ac:dyDescent="0.3">
      <c r="A8" s="10" t="s">
        <v>5</v>
      </c>
      <c r="B8" s="11" t="s">
        <v>6</v>
      </c>
      <c r="C8" s="10" t="s">
        <v>7</v>
      </c>
      <c r="D8" s="12" t="s">
        <v>8</v>
      </c>
      <c r="E8" s="12" t="s">
        <v>9</v>
      </c>
      <c r="F8" s="12" t="s">
        <v>10</v>
      </c>
      <c r="G8" s="12" t="s">
        <v>11</v>
      </c>
      <c r="H8" s="10" t="s">
        <v>12</v>
      </c>
      <c r="I8" s="12" t="s">
        <v>13</v>
      </c>
      <c r="J8" s="12" t="s">
        <v>14</v>
      </c>
      <c r="K8" s="13" t="s">
        <v>15</v>
      </c>
      <c r="M8" s="6" t="s">
        <v>56</v>
      </c>
      <c r="N8" s="6"/>
      <c r="O8" s="6"/>
      <c r="P8" s="6"/>
      <c r="Q8" s="6"/>
    </row>
    <row r="9" spans="1:17" s="6" customFormat="1" ht="28.8" x14ac:dyDescent="0.3">
      <c r="A9" s="14">
        <v>1</v>
      </c>
      <c r="B9" s="42" t="s">
        <v>43</v>
      </c>
      <c r="C9" s="14"/>
      <c r="D9" s="15"/>
      <c r="E9" s="15"/>
      <c r="F9" s="15"/>
      <c r="G9" s="15"/>
      <c r="H9" s="14"/>
      <c r="I9" s="15"/>
      <c r="J9" s="15"/>
      <c r="K9" s="16"/>
      <c r="M9" s="5" t="s">
        <v>36</v>
      </c>
      <c r="N9" s="5" t="s">
        <v>51</v>
      </c>
      <c r="O9" s="5" t="s">
        <v>52</v>
      </c>
      <c r="P9" s="5" t="s">
        <v>38</v>
      </c>
      <c r="Q9" s="5"/>
    </row>
    <row r="10" spans="1:17" s="5" customFormat="1" x14ac:dyDescent="0.3">
      <c r="A10" s="17"/>
      <c r="B10" s="18" t="s">
        <v>55</v>
      </c>
      <c r="C10" s="19">
        <v>0.5</v>
      </c>
      <c r="D10" s="20">
        <f>M10</f>
        <v>145</v>
      </c>
      <c r="E10" s="20">
        <f>N10</f>
        <v>0.54999999999999993</v>
      </c>
      <c r="F10" s="20">
        <f>O10+P10+F17+F25</f>
        <v>0.67499999999999993</v>
      </c>
      <c r="G10" s="20">
        <f>PRODUCT(C10:F10)</f>
        <v>26.915624999999991</v>
      </c>
      <c r="H10" s="21"/>
      <c r="I10" s="21"/>
      <c r="J10" s="21"/>
      <c r="K10" s="21"/>
      <c r="M10" s="7">
        <f>TRUNC((8+37/3.281+112/3.281+30/3.281+28/3.281+47/3.281+60),0)</f>
        <v>145</v>
      </c>
      <c r="N10" s="5">
        <f>0.35+P10+P10</f>
        <v>0.54999999999999993</v>
      </c>
      <c r="O10" s="5">
        <v>0.35</v>
      </c>
      <c r="P10" s="5">
        <v>0.1</v>
      </c>
    </row>
    <row r="11" spans="1:17" s="5" customFormat="1" x14ac:dyDescent="0.3">
      <c r="A11" s="17"/>
      <c r="B11" s="18" t="s">
        <v>60</v>
      </c>
      <c r="C11" s="19">
        <v>1</v>
      </c>
      <c r="D11" s="20">
        <f>10/3.281</f>
        <v>3.047851264858275</v>
      </c>
      <c r="E11" s="20">
        <f>12/3.281</f>
        <v>3.6574215178299299</v>
      </c>
      <c r="F11" s="20">
        <v>0.15</v>
      </c>
      <c r="G11" s="20">
        <f>PRODUCT(C11:F11)</f>
        <v>1.6720915198856736</v>
      </c>
      <c r="H11" s="21"/>
      <c r="I11" s="21"/>
      <c r="J11" s="21"/>
      <c r="K11" s="21"/>
    </row>
    <row r="12" spans="1:17" s="5" customFormat="1" x14ac:dyDescent="0.3">
      <c r="A12" s="17"/>
      <c r="B12" s="18" t="s">
        <v>61</v>
      </c>
      <c r="C12" s="19">
        <v>0.5</v>
      </c>
      <c r="D12" s="20">
        <f>10/3.281</f>
        <v>3.047851264858275</v>
      </c>
      <c r="E12" s="20">
        <f>F12/2</f>
        <v>1.5239256324291375</v>
      </c>
      <c r="F12" s="20">
        <f>F36</f>
        <v>3.047851264858275</v>
      </c>
      <c r="G12" s="20">
        <f>PRODUCT(C12:F12)</f>
        <v>7.0781753525588131</v>
      </c>
      <c r="H12" s="21"/>
      <c r="I12" s="21"/>
      <c r="J12" s="21"/>
      <c r="K12" s="21"/>
    </row>
    <row r="13" spans="1:17" s="5" customFormat="1" x14ac:dyDescent="0.3">
      <c r="A13" s="17"/>
      <c r="B13" s="18" t="s">
        <v>62</v>
      </c>
      <c r="C13" s="19">
        <v>0.5</v>
      </c>
      <c r="D13" s="20">
        <f>12/3.281</f>
        <v>3.6574215178299299</v>
      </c>
      <c r="E13" s="20">
        <f>F13/2</f>
        <v>0.75</v>
      </c>
      <c r="F13" s="20">
        <f>F37</f>
        <v>1.5</v>
      </c>
      <c r="G13" s="20">
        <f>PRODUCT(C13:F13)</f>
        <v>2.0572996037793354</v>
      </c>
      <c r="H13" s="21"/>
      <c r="I13" s="21"/>
      <c r="J13" s="21"/>
      <c r="K13" s="21"/>
    </row>
    <row r="14" spans="1:17" s="5" customFormat="1" ht="15" customHeight="1" x14ac:dyDescent="0.3">
      <c r="A14" s="22"/>
      <c r="B14" s="23" t="s">
        <v>16</v>
      </c>
      <c r="C14" s="24"/>
      <c r="D14" s="1"/>
      <c r="E14" s="25"/>
      <c r="F14" s="25"/>
      <c r="G14" s="2">
        <f>SUM(G10:G13)</f>
        <v>37.723191476223811</v>
      </c>
      <c r="H14" s="26" t="s">
        <v>28</v>
      </c>
      <c r="I14" s="2">
        <v>963.05</v>
      </c>
      <c r="J14" s="27">
        <f>G14*I14</f>
        <v>36329.319551177337</v>
      </c>
      <c r="K14" s="25"/>
    </row>
    <row r="15" spans="1:17" s="5" customFormat="1" ht="15.6" x14ac:dyDescent="0.3">
      <c r="A15" s="10"/>
      <c r="B15" s="11"/>
      <c r="C15" s="10"/>
      <c r="D15" s="12"/>
      <c r="E15" s="12"/>
      <c r="F15" s="12"/>
      <c r="G15" s="12"/>
      <c r="H15" s="10"/>
      <c r="I15" s="12"/>
      <c r="J15" s="12"/>
      <c r="K15" s="13"/>
    </row>
    <row r="16" spans="1:17" s="5" customFormat="1" x14ac:dyDescent="0.3">
      <c r="A16" s="17">
        <v>2</v>
      </c>
      <c r="B16" s="21" t="s">
        <v>53</v>
      </c>
      <c r="C16" s="21"/>
      <c r="D16" s="21"/>
      <c r="E16" s="21"/>
      <c r="F16" s="21"/>
      <c r="G16" s="21"/>
      <c r="H16" s="21"/>
      <c r="I16" s="21"/>
      <c r="J16" s="21"/>
      <c r="K16" s="21"/>
    </row>
    <row r="17" spans="1:11" s="5" customFormat="1" x14ac:dyDescent="0.3">
      <c r="A17" s="17"/>
      <c r="B17" s="18" t="str">
        <f>B10</f>
        <v>-for kulo</v>
      </c>
      <c r="C17" s="19">
        <f>C10</f>
        <v>0.5</v>
      </c>
      <c r="D17" s="20">
        <f>D10</f>
        <v>145</v>
      </c>
      <c r="E17" s="20">
        <f>N10</f>
        <v>0.54999999999999993</v>
      </c>
      <c r="F17" s="21">
        <v>0.15</v>
      </c>
      <c r="G17" s="20">
        <f>PRODUCT(C17:F17)</f>
        <v>5.9812499999999984</v>
      </c>
      <c r="H17" s="21"/>
      <c r="I17" s="21"/>
      <c r="J17" s="21"/>
      <c r="K17" s="21"/>
    </row>
    <row r="18" spans="1:11" s="5" customFormat="1" x14ac:dyDescent="0.3">
      <c r="A18" s="17"/>
      <c r="B18" s="18" t="str">
        <f t="shared" ref="B18:C20" si="0">B11</f>
        <v>- for causeway</v>
      </c>
      <c r="C18" s="19">
        <f t="shared" si="0"/>
        <v>1</v>
      </c>
      <c r="D18" s="20">
        <f>D11</f>
        <v>3.047851264858275</v>
      </c>
      <c r="E18" s="20">
        <f>E11</f>
        <v>3.6574215178299299</v>
      </c>
      <c r="F18" s="20">
        <f>F11</f>
        <v>0.15</v>
      </c>
      <c r="G18" s="20">
        <f t="shared" ref="G18:G20" si="1">PRODUCT(C18:F18)</f>
        <v>1.6720915198856736</v>
      </c>
      <c r="H18" s="21"/>
      <c r="I18" s="21"/>
      <c r="J18" s="21"/>
      <c r="K18" s="21"/>
    </row>
    <row r="19" spans="1:11" s="5" customFormat="1" x14ac:dyDescent="0.3">
      <c r="A19" s="17"/>
      <c r="B19" s="18" t="str">
        <f t="shared" si="0"/>
        <v>-for masonary wall 1</v>
      </c>
      <c r="C19" s="19">
        <f t="shared" si="0"/>
        <v>0.5</v>
      </c>
      <c r="D19" s="20">
        <f>D12</f>
        <v>3.047851264858275</v>
      </c>
      <c r="E19" s="20">
        <f t="shared" ref="E19:F19" si="2">E12</f>
        <v>1.5239256324291375</v>
      </c>
      <c r="F19" s="20">
        <f t="shared" si="2"/>
        <v>3.047851264858275</v>
      </c>
      <c r="G19" s="20">
        <f t="shared" si="1"/>
        <v>7.0781753525588131</v>
      </c>
      <c r="H19" s="21"/>
      <c r="I19" s="21"/>
      <c r="J19" s="21"/>
      <c r="K19" s="21"/>
    </row>
    <row r="20" spans="1:11" s="5" customFormat="1" x14ac:dyDescent="0.3">
      <c r="A20" s="17"/>
      <c r="B20" s="18" t="str">
        <f t="shared" si="0"/>
        <v>-for masonary wall 2</v>
      </c>
      <c r="C20" s="19">
        <f t="shared" si="0"/>
        <v>0.5</v>
      </c>
      <c r="D20" s="20">
        <f>D13</f>
        <v>3.6574215178299299</v>
      </c>
      <c r="E20" s="20">
        <f t="shared" ref="E20:F20" si="3">E13</f>
        <v>0.75</v>
      </c>
      <c r="F20" s="20">
        <f t="shared" si="3"/>
        <v>1.5</v>
      </c>
      <c r="G20" s="20">
        <f t="shared" si="1"/>
        <v>2.0572996037793354</v>
      </c>
      <c r="H20" s="21"/>
      <c r="I20" s="21"/>
      <c r="J20" s="21"/>
      <c r="K20" s="21"/>
    </row>
    <row r="21" spans="1:11" s="5" customFormat="1" ht="15" customHeight="1" x14ac:dyDescent="0.3">
      <c r="A21" s="22"/>
      <c r="B21" s="23" t="s">
        <v>16</v>
      </c>
      <c r="C21" s="24"/>
      <c r="D21" s="1"/>
      <c r="E21" s="25"/>
      <c r="F21" s="25"/>
      <c r="G21" s="2">
        <f>SUM(G17:G20)</f>
        <v>16.788816476223818</v>
      </c>
      <c r="H21" s="26" t="s">
        <v>28</v>
      </c>
      <c r="I21" s="2">
        <f>4493.69</f>
        <v>4493.6899999999996</v>
      </c>
      <c r="J21" s="27">
        <f>G21*I21</f>
        <v>75443.736711042206</v>
      </c>
      <c r="K21" s="25"/>
    </row>
    <row r="22" spans="1:11" s="5" customFormat="1" x14ac:dyDescent="0.3">
      <c r="A22" s="17"/>
      <c r="B22" s="18" t="s">
        <v>37</v>
      </c>
      <c r="C22" s="21"/>
      <c r="D22" s="21"/>
      <c r="E22" s="21"/>
      <c r="F22" s="21"/>
      <c r="G22" s="21"/>
      <c r="H22" s="21"/>
      <c r="I22" s="21"/>
      <c r="J22" s="27">
        <f>0.13*G21*3091.19</f>
        <v>6746.6648084079798</v>
      </c>
      <c r="K22" s="21"/>
    </row>
    <row r="23" spans="1:11" s="5" customFormat="1" x14ac:dyDescent="0.3">
      <c r="A23" s="17"/>
      <c r="B23" s="21"/>
      <c r="C23" s="21"/>
      <c r="D23" s="21"/>
      <c r="E23" s="21"/>
      <c r="F23" s="21"/>
      <c r="G23" s="21"/>
      <c r="H23" s="21"/>
      <c r="I23" s="21"/>
      <c r="J23" s="21"/>
      <c r="K23" s="21"/>
    </row>
    <row r="24" spans="1:11" s="5" customFormat="1" x14ac:dyDescent="0.3">
      <c r="A24" s="17">
        <v>3</v>
      </c>
      <c r="B24" s="21" t="s">
        <v>32</v>
      </c>
      <c r="C24" s="21"/>
      <c r="D24" s="21"/>
      <c r="E24" s="21"/>
      <c r="F24" s="21"/>
      <c r="G24" s="21"/>
      <c r="H24" s="21"/>
      <c r="I24" s="21"/>
      <c r="J24" s="21"/>
      <c r="K24" s="21"/>
    </row>
    <row r="25" spans="1:11" s="5" customFormat="1" x14ac:dyDescent="0.3">
      <c r="A25" s="17"/>
      <c r="B25" s="18" t="str">
        <f>B17</f>
        <v>-for kulo</v>
      </c>
      <c r="C25" s="19">
        <f>C17</f>
        <v>0.5</v>
      </c>
      <c r="D25" s="20">
        <f>M10</f>
        <v>145</v>
      </c>
      <c r="E25" s="20">
        <f>N10</f>
        <v>0.54999999999999993</v>
      </c>
      <c r="F25" s="21">
        <v>7.4999999999999997E-2</v>
      </c>
      <c r="G25" s="20">
        <f>PRODUCT(C25:F25)</f>
        <v>2.9906249999999992</v>
      </c>
      <c r="H25" s="21"/>
      <c r="I25" s="21"/>
      <c r="J25" s="21"/>
      <c r="K25" s="21"/>
    </row>
    <row r="26" spans="1:11" s="5" customFormat="1" x14ac:dyDescent="0.3">
      <c r="A26" s="17"/>
      <c r="B26" s="18" t="str">
        <f>B19</f>
        <v>-for masonary wall 1</v>
      </c>
      <c r="C26" s="19">
        <f>1</f>
        <v>1</v>
      </c>
      <c r="D26" s="20">
        <f>D36</f>
        <v>3.047851264858275</v>
      </c>
      <c r="E26" s="20">
        <f>F36/2</f>
        <v>1.5239256324291375</v>
      </c>
      <c r="F26" s="21">
        <f>0.05</f>
        <v>0.05</v>
      </c>
      <c r="G26" s="20">
        <f t="shared" ref="G26:G29" si="4">PRODUCT(C26:F26)</f>
        <v>0.23223493331745468</v>
      </c>
      <c r="H26" s="21"/>
      <c r="I26" s="21"/>
      <c r="J26" s="21"/>
      <c r="K26" s="21"/>
    </row>
    <row r="27" spans="1:11" s="5" customFormat="1" x14ac:dyDescent="0.3">
      <c r="A27" s="17"/>
      <c r="B27" s="18"/>
      <c r="C27" s="19">
        <v>1</v>
      </c>
      <c r="D27" s="20">
        <f>D26</f>
        <v>3.047851264858275</v>
      </c>
      <c r="E27" s="9">
        <v>0.45</v>
      </c>
      <c r="F27" s="21">
        <v>0.05</v>
      </c>
      <c r="G27" s="20">
        <f t="shared" si="4"/>
        <v>6.8576653459311188E-2</v>
      </c>
      <c r="H27" s="21"/>
      <c r="I27" s="21"/>
      <c r="J27" s="21"/>
      <c r="K27" s="21"/>
    </row>
    <row r="28" spans="1:11" s="5" customFormat="1" x14ac:dyDescent="0.3">
      <c r="A28" s="17"/>
      <c r="B28" s="18" t="str">
        <f>B20</f>
        <v>-for masonary wall 2</v>
      </c>
      <c r="C28" s="19">
        <v>1</v>
      </c>
      <c r="D28" s="20">
        <f>D37</f>
        <v>3.6574215178299299</v>
      </c>
      <c r="E28" s="20">
        <f>F37/2</f>
        <v>0.75</v>
      </c>
      <c r="F28" s="21">
        <v>0.05</v>
      </c>
      <c r="G28" s="20">
        <f t="shared" si="4"/>
        <v>0.13715330691862238</v>
      </c>
      <c r="H28" s="21"/>
      <c r="I28" s="21"/>
      <c r="J28" s="21"/>
      <c r="K28" s="21"/>
    </row>
    <row r="29" spans="1:11" s="5" customFormat="1" x14ac:dyDescent="0.3">
      <c r="A29" s="17"/>
      <c r="B29" s="18"/>
      <c r="C29" s="19">
        <v>1</v>
      </c>
      <c r="D29" s="20">
        <f>D37</f>
        <v>3.6574215178299299</v>
      </c>
      <c r="E29" s="20">
        <v>0.45</v>
      </c>
      <c r="F29" s="21">
        <v>0.05</v>
      </c>
      <c r="G29" s="20">
        <f t="shared" si="4"/>
        <v>8.2291984151173433E-2</v>
      </c>
      <c r="H29" s="21"/>
      <c r="I29" s="21"/>
      <c r="J29" s="21"/>
      <c r="K29" s="21"/>
    </row>
    <row r="30" spans="1:11" s="5" customFormat="1" ht="15" customHeight="1" x14ac:dyDescent="0.3">
      <c r="A30" s="22"/>
      <c r="B30" s="23" t="s">
        <v>16</v>
      </c>
      <c r="C30" s="24"/>
      <c r="D30" s="1"/>
      <c r="E30" s="25"/>
      <c r="F30" s="25"/>
      <c r="G30" s="2">
        <f>SUM(G25:G29)</f>
        <v>3.5108818778465611</v>
      </c>
      <c r="H30" s="26" t="s">
        <v>28</v>
      </c>
      <c r="I30" s="2">
        <v>13343.7</v>
      </c>
      <c r="J30" s="27">
        <f>G30*I30</f>
        <v>46848.154513421163</v>
      </c>
      <c r="K30" s="25"/>
    </row>
    <row r="31" spans="1:11" s="5" customFormat="1" x14ac:dyDescent="0.3">
      <c r="A31" s="17"/>
      <c r="B31" s="18" t="s">
        <v>31</v>
      </c>
      <c r="C31" s="21"/>
      <c r="D31" s="21"/>
      <c r="E31" s="21"/>
      <c r="F31" s="21"/>
      <c r="G31" s="21"/>
      <c r="H31" s="21"/>
      <c r="I31" s="21"/>
      <c r="J31" s="27">
        <f>0.13*G30*1413.27</f>
        <v>645.03712409554726</v>
      </c>
      <c r="K31" s="21"/>
    </row>
    <row r="32" spans="1:11" s="5" customFormat="1" x14ac:dyDescent="0.3">
      <c r="A32" s="17"/>
      <c r="B32" s="18" t="s">
        <v>33</v>
      </c>
      <c r="C32" s="21"/>
      <c r="D32" s="21"/>
      <c r="E32" s="21"/>
      <c r="F32" s="21"/>
      <c r="G32" s="21"/>
      <c r="H32" s="21"/>
      <c r="I32" s="21"/>
      <c r="J32" s="27">
        <f>0.13*G30*4096</f>
        <v>1869.4743823157369</v>
      </c>
      <c r="K32" s="21"/>
    </row>
    <row r="33" spans="1:11" s="5" customFormat="1" x14ac:dyDescent="0.3">
      <c r="A33" s="17"/>
      <c r="B33" s="18" t="s">
        <v>34</v>
      </c>
      <c r="C33" s="21"/>
      <c r="D33" s="21"/>
      <c r="E33" s="21"/>
      <c r="F33" s="21"/>
      <c r="G33" s="21"/>
      <c r="H33" s="21"/>
      <c r="I33" s="21"/>
      <c r="J33" s="27">
        <f>0.13*G30*(368.76+737.51+1743.21)</f>
        <v>1300.5444001272085</v>
      </c>
      <c r="K33" s="21"/>
    </row>
    <row r="34" spans="1:11" s="5" customFormat="1" x14ac:dyDescent="0.3">
      <c r="A34" s="17"/>
      <c r="B34" s="21"/>
      <c r="C34" s="21"/>
      <c r="D34" s="21"/>
      <c r="E34" s="21"/>
      <c r="F34" s="21"/>
      <c r="G34" s="21"/>
      <c r="H34" s="21"/>
      <c r="I34" s="21"/>
      <c r="J34" s="21"/>
      <c r="K34" s="21"/>
    </row>
    <row r="35" spans="1:11" s="5" customFormat="1" x14ac:dyDescent="0.3">
      <c r="A35" s="17">
        <v>4</v>
      </c>
      <c r="B35" s="28" t="s">
        <v>54</v>
      </c>
      <c r="C35" s="21"/>
      <c r="D35" s="21"/>
      <c r="E35" s="21"/>
      <c r="F35" s="21"/>
      <c r="G35" s="21"/>
      <c r="H35" s="21"/>
      <c r="I35" s="21"/>
      <c r="J35" s="21"/>
      <c r="K35" s="21"/>
    </row>
    <row r="36" spans="1:11" s="5" customFormat="1" x14ac:dyDescent="0.3">
      <c r="A36" s="17"/>
      <c r="B36" s="18" t="str">
        <f t="shared" ref="B36:D37" si="5">B12</f>
        <v>-for masonary wall 1</v>
      </c>
      <c r="C36" s="19">
        <f t="shared" si="5"/>
        <v>0.5</v>
      </c>
      <c r="D36" s="20">
        <f t="shared" si="5"/>
        <v>3.047851264858275</v>
      </c>
      <c r="E36" s="20">
        <f>((F36/2)+0.45)/2</f>
        <v>0.98696281621456872</v>
      </c>
      <c r="F36" s="20">
        <f>10/3.281</f>
        <v>3.047851264858275</v>
      </c>
      <c r="G36" s="20">
        <f>PRODUCT(C36:F36)</f>
        <v>4.5841448762079526</v>
      </c>
      <c r="H36" s="21"/>
      <c r="I36" s="21"/>
      <c r="J36" s="21"/>
      <c r="K36" s="21"/>
    </row>
    <row r="37" spans="1:11" s="5" customFormat="1" x14ac:dyDescent="0.3">
      <c r="A37" s="17"/>
      <c r="B37" s="18" t="str">
        <f t="shared" si="5"/>
        <v>-for masonary wall 2</v>
      </c>
      <c r="C37" s="19">
        <f t="shared" si="5"/>
        <v>0.5</v>
      </c>
      <c r="D37" s="20">
        <f t="shared" si="5"/>
        <v>3.6574215178299299</v>
      </c>
      <c r="E37" s="20">
        <f>((F37/2)+0.45)/2</f>
        <v>0.6</v>
      </c>
      <c r="F37" s="20">
        <f>1.5</f>
        <v>1.5</v>
      </c>
      <c r="G37" s="20">
        <f>PRODUCT(C37:F37)</f>
        <v>1.6458396830234685</v>
      </c>
      <c r="H37" s="21"/>
      <c r="I37" s="21"/>
      <c r="J37" s="21"/>
      <c r="K37" s="21"/>
    </row>
    <row r="38" spans="1:11" s="5" customFormat="1" ht="15" customHeight="1" x14ac:dyDescent="0.3">
      <c r="A38" s="22"/>
      <c r="B38" s="23" t="s">
        <v>16</v>
      </c>
      <c r="C38" s="24"/>
      <c r="D38" s="1"/>
      <c r="E38" s="25"/>
      <c r="F38" s="25"/>
      <c r="G38" s="2">
        <f>SUM(G36:G37)</f>
        <v>6.2299845592314211</v>
      </c>
      <c r="H38" s="26" t="s">
        <v>28</v>
      </c>
      <c r="I38" s="2">
        <v>12225.55</v>
      </c>
      <c r="J38" s="27">
        <f>G38*I38</f>
        <v>76164.987728111693</v>
      </c>
      <c r="K38" s="25"/>
    </row>
    <row r="39" spans="1:11" s="5" customFormat="1" x14ac:dyDescent="0.3">
      <c r="A39" s="17"/>
      <c r="B39" s="18" t="s">
        <v>31</v>
      </c>
      <c r="C39" s="21"/>
      <c r="D39" s="21"/>
      <c r="E39" s="21"/>
      <c r="F39" s="21"/>
      <c r="G39" s="21"/>
      <c r="H39" s="21"/>
      <c r="I39" s="21"/>
      <c r="J39" s="27">
        <f>0.13*G38*1492.66</f>
        <v>1208.9023377837086</v>
      </c>
      <c r="K39" s="21"/>
    </row>
    <row r="40" spans="1:11" s="5" customFormat="1" x14ac:dyDescent="0.3">
      <c r="A40" s="17"/>
      <c r="B40" s="18" t="s">
        <v>33</v>
      </c>
      <c r="C40" s="21"/>
      <c r="D40" s="21"/>
      <c r="E40" s="21"/>
      <c r="F40" s="21"/>
      <c r="G40" s="21"/>
      <c r="H40" s="21"/>
      <c r="I40" s="21"/>
      <c r="J40" s="27">
        <f>0.13*G38*1356.8</f>
        <v>1098.869596495475</v>
      </c>
      <c r="K40" s="21"/>
    </row>
    <row r="41" spans="1:11" s="5" customFormat="1" x14ac:dyDescent="0.3">
      <c r="A41" s="17"/>
      <c r="B41" s="18" t="s">
        <v>37</v>
      </c>
      <c r="C41" s="21"/>
      <c r="D41" s="21"/>
      <c r="E41" s="21"/>
      <c r="F41" s="21"/>
      <c r="G41" s="21"/>
      <c r="H41" s="21"/>
      <c r="I41" s="21"/>
      <c r="J41" s="27">
        <f>0.13*G38*2833.59</f>
        <v>2294.9188531350333</v>
      </c>
      <c r="K41" s="21"/>
    </row>
    <row r="42" spans="1:11" s="5" customFormat="1" x14ac:dyDescent="0.3">
      <c r="A42" s="17"/>
      <c r="B42" s="21"/>
      <c r="C42" s="21"/>
      <c r="D42" s="21"/>
      <c r="E42" s="21"/>
      <c r="F42" s="21"/>
      <c r="G42" s="21"/>
      <c r="H42" s="21"/>
      <c r="I42" s="21"/>
      <c r="J42" s="21"/>
      <c r="K42" s="21"/>
    </row>
    <row r="43" spans="1:11" s="5" customFormat="1" x14ac:dyDescent="0.3">
      <c r="A43" s="17">
        <v>5</v>
      </c>
      <c r="B43" s="21" t="s">
        <v>49</v>
      </c>
      <c r="C43" s="21"/>
      <c r="D43" s="21"/>
      <c r="E43" s="21"/>
      <c r="F43" s="21"/>
      <c r="G43" s="21"/>
      <c r="H43" s="21"/>
      <c r="I43" s="21"/>
      <c r="J43" s="21"/>
      <c r="K43" s="21"/>
    </row>
    <row r="44" spans="1:11" s="5" customFormat="1" x14ac:dyDescent="0.3">
      <c r="A44" s="17"/>
      <c r="B44" s="18" t="str">
        <f>B51</f>
        <v>-for kulo shear wall</v>
      </c>
      <c r="C44" s="21">
        <f>C51*2</f>
        <v>4</v>
      </c>
      <c r="D44" s="20">
        <f>D51</f>
        <v>145</v>
      </c>
      <c r="E44" s="20"/>
      <c r="F44" s="20">
        <f>F51</f>
        <v>0.35</v>
      </c>
      <c r="G44" s="20">
        <f>PRODUCT(C44:F44)</f>
        <v>203</v>
      </c>
      <c r="H44" s="21"/>
      <c r="I44" s="21"/>
      <c r="J44" s="21"/>
      <c r="K44" s="21"/>
    </row>
    <row r="45" spans="1:11" s="5" customFormat="1" ht="15" customHeight="1" x14ac:dyDescent="0.3">
      <c r="A45" s="22"/>
      <c r="B45" s="23" t="s">
        <v>16</v>
      </c>
      <c r="C45" s="24"/>
      <c r="D45" s="1"/>
      <c r="E45" s="25"/>
      <c r="F45" s="25"/>
      <c r="G45" s="2">
        <f>SUM(G44:G44)</f>
        <v>203</v>
      </c>
      <c r="H45" s="26" t="s">
        <v>35</v>
      </c>
      <c r="I45" s="2">
        <f>11188.35/10</f>
        <v>1118.835</v>
      </c>
      <c r="J45" s="27">
        <f>G45*I45</f>
        <v>227123.505</v>
      </c>
      <c r="K45" s="25"/>
    </row>
    <row r="46" spans="1:11" s="5" customFormat="1" x14ac:dyDescent="0.3">
      <c r="A46" s="17"/>
      <c r="B46" s="18" t="s">
        <v>50</v>
      </c>
      <c r="C46" s="21"/>
      <c r="D46" s="21"/>
      <c r="E46" s="21"/>
      <c r="F46" s="21"/>
      <c r="G46" s="21"/>
      <c r="H46" s="21"/>
      <c r="I46" s="21"/>
      <c r="J46" s="27">
        <f>0.13*G45*6314/10</f>
        <v>16662.646000000001</v>
      </c>
      <c r="K46" s="21"/>
    </row>
    <row r="47" spans="1:11" s="5" customFormat="1" x14ac:dyDescent="0.3">
      <c r="A47" s="17"/>
      <c r="B47" s="18" t="s">
        <v>42</v>
      </c>
      <c r="C47" s="21"/>
      <c r="D47" s="21"/>
      <c r="E47" s="21"/>
      <c r="F47" s="21"/>
      <c r="G47" s="21"/>
      <c r="H47" s="21"/>
      <c r="I47" s="21"/>
      <c r="J47" s="27">
        <f>0.13*G45*330/10</f>
        <v>870.87000000000012</v>
      </c>
      <c r="K47" s="21"/>
    </row>
    <row r="48" spans="1:11" s="5" customFormat="1" x14ac:dyDescent="0.3">
      <c r="A48" s="17"/>
      <c r="B48" s="21"/>
      <c r="C48" s="21"/>
      <c r="D48" s="21"/>
      <c r="E48" s="21"/>
      <c r="F48" s="21"/>
      <c r="G48" s="21"/>
      <c r="H48" s="21"/>
      <c r="I48" s="21"/>
      <c r="J48" s="21"/>
      <c r="K48" s="21"/>
    </row>
    <row r="49" spans="1:11" s="5" customFormat="1" x14ac:dyDescent="0.3">
      <c r="A49" s="17">
        <v>6</v>
      </c>
      <c r="B49" s="21" t="s">
        <v>44</v>
      </c>
      <c r="C49" s="21"/>
      <c r="D49" s="21"/>
      <c r="E49" s="21"/>
      <c r="F49" s="21"/>
      <c r="G49" s="21"/>
      <c r="H49" s="21"/>
      <c r="I49" s="21"/>
      <c r="J49" s="21"/>
      <c r="K49" s="21"/>
    </row>
    <row r="50" spans="1:11" s="5" customFormat="1" x14ac:dyDescent="0.3">
      <c r="A50" s="17"/>
      <c r="B50" s="18" t="s">
        <v>57</v>
      </c>
      <c r="C50" s="19">
        <f>C25</f>
        <v>0.5</v>
      </c>
      <c r="D50" s="20">
        <f>D25</f>
        <v>145</v>
      </c>
      <c r="E50" s="20">
        <f>E25</f>
        <v>0.54999999999999993</v>
      </c>
      <c r="F50" s="20">
        <f>P10</f>
        <v>0.1</v>
      </c>
      <c r="G50" s="20">
        <f>PRODUCT(C50:F50)</f>
        <v>3.9874999999999994</v>
      </c>
      <c r="H50" s="21"/>
      <c r="I50" s="21"/>
      <c r="J50" s="21"/>
      <c r="K50" s="21"/>
    </row>
    <row r="51" spans="1:11" s="5" customFormat="1" x14ac:dyDescent="0.3">
      <c r="A51" s="17"/>
      <c r="B51" s="18" t="s">
        <v>58</v>
      </c>
      <c r="C51" s="19">
        <v>2</v>
      </c>
      <c r="D51" s="20">
        <f>M10</f>
        <v>145</v>
      </c>
      <c r="E51" s="20">
        <f>P10</f>
        <v>0.1</v>
      </c>
      <c r="F51" s="20">
        <f>O10</f>
        <v>0.35</v>
      </c>
      <c r="G51" s="20">
        <f>PRODUCT(C51:F51)</f>
        <v>10.149999999999999</v>
      </c>
      <c r="H51" s="21"/>
      <c r="I51" s="21"/>
      <c r="J51" s="21"/>
      <c r="K51" s="21"/>
    </row>
    <row r="52" spans="1:11" s="5" customFormat="1" x14ac:dyDescent="0.3">
      <c r="A52" s="17"/>
      <c r="B52" s="18" t="str">
        <f>B18</f>
        <v>- for causeway</v>
      </c>
      <c r="C52" s="19">
        <v>1</v>
      </c>
      <c r="D52" s="20">
        <f>D11</f>
        <v>3.047851264858275</v>
      </c>
      <c r="E52" s="20">
        <f t="shared" ref="E52:F52" si="6">E11</f>
        <v>3.6574215178299299</v>
      </c>
      <c r="F52" s="20">
        <f t="shared" si="6"/>
        <v>0.15</v>
      </c>
      <c r="G52" s="20">
        <f>PRODUCT(C52:F52)</f>
        <v>1.6720915198856736</v>
      </c>
      <c r="H52" s="21"/>
      <c r="I52" s="21"/>
      <c r="J52" s="21"/>
      <c r="K52" s="21"/>
    </row>
    <row r="53" spans="1:11" s="5" customFormat="1" ht="15" customHeight="1" x14ac:dyDescent="0.3">
      <c r="A53" s="22"/>
      <c r="B53" s="23" t="s">
        <v>16</v>
      </c>
      <c r="C53" s="24"/>
      <c r="D53" s="1"/>
      <c r="E53" s="25"/>
      <c r="F53" s="25"/>
      <c r="G53" s="2">
        <f>SUM(G50:G52)</f>
        <v>15.809591519885672</v>
      </c>
      <c r="H53" s="26" t="s">
        <v>28</v>
      </c>
      <c r="I53" s="2">
        <v>14337.7</v>
      </c>
      <c r="J53" s="27">
        <f>G53*I53</f>
        <v>226673.18033466479</v>
      </c>
      <c r="K53" s="25"/>
    </row>
    <row r="54" spans="1:11" s="5" customFormat="1" x14ac:dyDescent="0.3">
      <c r="A54" s="17"/>
      <c r="B54" s="18" t="s">
        <v>33</v>
      </c>
      <c r="C54" s="21"/>
      <c r="D54" s="21"/>
      <c r="E54" s="21"/>
      <c r="F54" s="21"/>
      <c r="G54" s="21"/>
      <c r="H54" s="21"/>
      <c r="I54" s="21"/>
      <c r="J54" s="27">
        <f>0.13*G53*5120</f>
        <v>10522.864115635903</v>
      </c>
      <c r="K54" s="21"/>
    </row>
    <row r="55" spans="1:11" s="5" customFormat="1" x14ac:dyDescent="0.3">
      <c r="A55" s="17"/>
      <c r="B55" s="18" t="s">
        <v>31</v>
      </c>
      <c r="C55" s="21"/>
      <c r="D55" s="21"/>
      <c r="E55" s="21"/>
      <c r="F55" s="21"/>
      <c r="G55" s="21"/>
      <c r="H55" s="21"/>
      <c r="I55" s="21"/>
      <c r="J55" s="27">
        <f>0.13*G53*1349.75</f>
        <v>2774.0695000155388</v>
      </c>
      <c r="K55" s="21"/>
    </row>
    <row r="56" spans="1:11" s="5" customFormat="1" x14ac:dyDescent="0.3">
      <c r="A56" s="17"/>
      <c r="B56" s="18" t="s">
        <v>34</v>
      </c>
      <c r="C56" s="21"/>
      <c r="D56" s="21"/>
      <c r="E56" s="21"/>
      <c r="F56" s="21"/>
      <c r="G56" s="21"/>
      <c r="H56" s="21"/>
      <c r="I56" s="21"/>
      <c r="J56" s="27">
        <f>0.13*G53*(972.17+1910.82)</f>
        <v>5925.2562532689744</v>
      </c>
      <c r="K56" s="21"/>
    </row>
    <row r="57" spans="1:11" s="5" customFormat="1" x14ac:dyDescent="0.3">
      <c r="A57" s="17"/>
      <c r="B57" s="21"/>
      <c r="C57" s="21"/>
      <c r="D57" s="21"/>
      <c r="E57" s="21"/>
      <c r="F57" s="21"/>
      <c r="G57" s="21"/>
      <c r="H57" s="21"/>
      <c r="I57" s="21"/>
      <c r="J57" s="21"/>
      <c r="K57" s="21"/>
    </row>
    <row r="58" spans="1:11" s="6" customFormat="1" ht="43.2" x14ac:dyDescent="0.3">
      <c r="A58" s="17">
        <v>7</v>
      </c>
      <c r="B58" s="36" t="s">
        <v>45</v>
      </c>
      <c r="C58" s="36" t="s">
        <v>7</v>
      </c>
      <c r="D58" s="43" t="s">
        <v>27</v>
      </c>
      <c r="E58" s="43" t="s">
        <v>40</v>
      </c>
      <c r="F58" s="43" t="s">
        <v>41</v>
      </c>
      <c r="G58" s="36"/>
      <c r="H58" s="36"/>
      <c r="I58" s="36"/>
      <c r="J58" s="36"/>
      <c r="K58" s="36"/>
    </row>
    <row r="59" spans="1:11" s="5" customFormat="1" x14ac:dyDescent="0.3">
      <c r="A59" s="17"/>
      <c r="B59" s="18" t="str">
        <f>B25</f>
        <v>-for kulo</v>
      </c>
      <c r="C59" s="21">
        <f>TRUNC((M10-0.1)/0.15,0)+1</f>
        <v>967</v>
      </c>
      <c r="D59" s="20">
        <f>(N10-0.1)+(O10-0.05+P10/2)*2</f>
        <v>1.1499999999999999</v>
      </c>
      <c r="E59" s="20">
        <f>10*10/162</f>
        <v>0.61728395061728392</v>
      </c>
      <c r="F59" s="20">
        <f>PRODUCT(C59:E59)</f>
        <v>686.45061728395058</v>
      </c>
      <c r="G59" s="20">
        <f>F59</f>
        <v>686.45061728395058</v>
      </c>
      <c r="H59" s="21"/>
      <c r="I59" s="21"/>
      <c r="J59" s="21"/>
      <c r="K59" s="21"/>
    </row>
    <row r="60" spans="1:11" s="5" customFormat="1" x14ac:dyDescent="0.3">
      <c r="A60" s="17"/>
      <c r="B60" s="18" t="s">
        <v>59</v>
      </c>
      <c r="C60" s="21">
        <f>(TRUNC((N10-P10)/0.15,0)+1)+2*(TRUNC((O10/0.15),0)+1)</f>
        <v>10</v>
      </c>
      <c r="D60" s="20">
        <f>M10-0.1</f>
        <v>144.9</v>
      </c>
      <c r="E60" s="20">
        <f>10*10/162</f>
        <v>0.61728395061728392</v>
      </c>
      <c r="F60" s="20">
        <f>PRODUCT(C60:E60)</f>
        <v>894.44444444444434</v>
      </c>
      <c r="G60" s="20">
        <f>F60</f>
        <v>894.44444444444434</v>
      </c>
      <c r="H60" s="21"/>
      <c r="I60" s="21"/>
      <c r="J60" s="21"/>
      <c r="K60" s="21"/>
    </row>
    <row r="61" spans="1:11" s="5" customFormat="1" x14ac:dyDescent="0.3">
      <c r="A61" s="17"/>
      <c r="B61" s="18" t="s">
        <v>65</v>
      </c>
      <c r="C61" s="21">
        <f>TRUNC((D62)/0.15,0)</f>
        <v>23</v>
      </c>
      <c r="D61" s="20">
        <f>D52-0.1</f>
        <v>2.9478512648582749</v>
      </c>
      <c r="E61" s="20">
        <f t="shared" ref="E61:E62" si="7">10*10/162</f>
        <v>0.61728395061728392</v>
      </c>
      <c r="F61" s="20">
        <f t="shared" ref="F61:F62" si="8">PRODUCT(C61:E61)</f>
        <v>41.852209315889084</v>
      </c>
      <c r="G61" s="20">
        <f t="shared" ref="G61:G62" si="9">F61</f>
        <v>41.852209315889084</v>
      </c>
      <c r="H61" s="21"/>
      <c r="I61" s="21"/>
      <c r="J61" s="21"/>
      <c r="K61" s="21"/>
    </row>
    <row r="62" spans="1:11" s="5" customFormat="1" x14ac:dyDescent="0.3">
      <c r="A62" s="17"/>
      <c r="B62" s="18"/>
      <c r="C62" s="21">
        <f>TRUNC((D61)/0.15,0)</f>
        <v>19</v>
      </c>
      <c r="D62" s="20">
        <f>E52-0.1</f>
        <v>3.5574215178299298</v>
      </c>
      <c r="E62" s="20">
        <f t="shared" si="7"/>
        <v>0.61728395061728392</v>
      </c>
      <c r="F62" s="20">
        <f t="shared" si="8"/>
        <v>41.722844962202871</v>
      </c>
      <c r="G62" s="20">
        <f t="shared" si="9"/>
        <v>41.722844962202871</v>
      </c>
      <c r="H62" s="21"/>
      <c r="I62" s="21"/>
      <c r="J62" s="21"/>
      <c r="K62" s="21"/>
    </row>
    <row r="63" spans="1:11" s="5" customFormat="1" ht="15" customHeight="1" x14ac:dyDescent="0.3">
      <c r="A63" s="22"/>
      <c r="B63" s="23" t="s">
        <v>16</v>
      </c>
      <c r="C63" s="24"/>
      <c r="D63" s="1"/>
      <c r="E63" s="25"/>
      <c r="F63" s="25"/>
      <c r="G63" s="2">
        <f>SUM(G59:G62)</f>
        <v>1664.4701160064867</v>
      </c>
      <c r="H63" s="26" t="s">
        <v>46</v>
      </c>
      <c r="I63" s="2">
        <f>9831.6/100</f>
        <v>98.316000000000003</v>
      </c>
      <c r="J63" s="27">
        <f>G63*I63</f>
        <v>163644.04392529375</v>
      </c>
      <c r="K63" s="25"/>
    </row>
    <row r="64" spans="1:11" s="5" customFormat="1" x14ac:dyDescent="0.3">
      <c r="A64" s="17"/>
      <c r="B64" s="18" t="s">
        <v>47</v>
      </c>
      <c r="C64" s="21"/>
      <c r="D64" s="21"/>
      <c r="E64" s="21"/>
      <c r="F64" s="21"/>
      <c r="G64" s="21"/>
      <c r="H64" s="21"/>
      <c r="I64" s="21"/>
      <c r="J64" s="27">
        <f>0.13*G63*9450/100</f>
        <v>20448.01537513969</v>
      </c>
      <c r="K64" s="21"/>
    </row>
    <row r="65" spans="1:17" s="5" customFormat="1" x14ac:dyDescent="0.3">
      <c r="A65" s="17"/>
      <c r="B65" s="18" t="s">
        <v>48</v>
      </c>
      <c r="C65" s="21"/>
      <c r="D65" s="21"/>
      <c r="E65" s="21"/>
      <c r="F65" s="21"/>
      <c r="G65" s="21"/>
      <c r="H65" s="21"/>
      <c r="I65" s="21"/>
      <c r="J65" s="27">
        <f>0.13*G63*120/100</f>
        <v>259.65733809701192</v>
      </c>
      <c r="K65" s="21"/>
    </row>
    <row r="66" spans="1:17" s="5" customFormat="1" x14ac:dyDescent="0.3">
      <c r="A66" s="17"/>
      <c r="B66" s="21"/>
      <c r="C66" s="21"/>
      <c r="D66" s="21"/>
      <c r="E66" s="21"/>
      <c r="F66" s="21"/>
      <c r="G66" s="21"/>
      <c r="H66" s="21"/>
      <c r="I66" s="21"/>
      <c r="J66" s="21"/>
      <c r="K66" s="21"/>
    </row>
    <row r="67" spans="1:17" s="8" customFormat="1" ht="27.6" x14ac:dyDescent="0.3">
      <c r="A67" s="22">
        <v>8</v>
      </c>
      <c r="B67" s="44" t="s">
        <v>63</v>
      </c>
      <c r="C67" s="24">
        <v>1</v>
      </c>
      <c r="D67" s="1"/>
      <c r="E67" s="25"/>
      <c r="F67" s="25"/>
      <c r="G67" s="45">
        <f t="shared" ref="G67" si="10">PRODUCT(C67:F67)</f>
        <v>1</v>
      </c>
      <c r="H67" s="26" t="s">
        <v>30</v>
      </c>
      <c r="I67" s="2">
        <v>5000</v>
      </c>
      <c r="J67" s="45">
        <f>G67*I67</f>
        <v>5000</v>
      </c>
      <c r="K67" s="25"/>
      <c r="M67" s="5"/>
      <c r="N67" s="5"/>
      <c r="O67" s="5"/>
      <c r="P67" s="5"/>
      <c r="Q67" s="5"/>
    </row>
    <row r="68" spans="1:17" s="5" customFormat="1" x14ac:dyDescent="0.3">
      <c r="A68" s="17"/>
      <c r="B68" s="42"/>
      <c r="C68" s="21"/>
      <c r="D68" s="21"/>
      <c r="E68" s="21"/>
      <c r="F68" s="21"/>
      <c r="G68" s="21"/>
      <c r="H68" s="21"/>
      <c r="I68" s="21"/>
      <c r="J68" s="21"/>
      <c r="K68" s="21"/>
    </row>
    <row r="69" spans="1:17" s="5" customFormat="1" ht="15" customHeight="1" x14ac:dyDescent="0.3">
      <c r="A69" s="22">
        <v>9</v>
      </c>
      <c r="B69" s="46" t="s">
        <v>17</v>
      </c>
      <c r="C69" s="24">
        <v>1</v>
      </c>
      <c r="D69" s="1"/>
      <c r="E69" s="25"/>
      <c r="F69" s="25"/>
      <c r="G69" s="26">
        <f t="shared" ref="G69" si="11">PRODUCT(C69:F69)</f>
        <v>1</v>
      </c>
      <c r="H69" s="26" t="s">
        <v>18</v>
      </c>
      <c r="I69" s="2">
        <v>500</v>
      </c>
      <c r="J69" s="26">
        <f>G69*I69</f>
        <v>500</v>
      </c>
      <c r="K69" s="25"/>
    </row>
    <row r="70" spans="1:17" s="5" customFormat="1" x14ac:dyDescent="0.3">
      <c r="A70" s="22"/>
      <c r="B70" s="29"/>
      <c r="C70" s="24"/>
      <c r="D70" s="1"/>
      <c r="E70" s="25"/>
      <c r="F70" s="25"/>
      <c r="G70" s="2"/>
      <c r="H70" s="26"/>
      <c r="I70" s="2"/>
      <c r="J70" s="27"/>
      <c r="K70" s="25"/>
    </row>
    <row r="71" spans="1:17" s="5" customFormat="1" x14ac:dyDescent="0.3">
      <c r="A71" s="30"/>
      <c r="B71" s="31" t="s">
        <v>20</v>
      </c>
      <c r="C71" s="32"/>
      <c r="D71" s="33"/>
      <c r="E71" s="33"/>
      <c r="F71" s="33"/>
      <c r="G71" s="27"/>
      <c r="H71" s="27"/>
      <c r="I71" s="27"/>
      <c r="J71" s="27">
        <f>SUM(J10:J69)</f>
        <v>930354.71784822864</v>
      </c>
      <c r="K71" s="34"/>
    </row>
    <row r="72" spans="1:17" s="5" customFormat="1" x14ac:dyDescent="0.3">
      <c r="A72" s="9"/>
      <c r="B72" s="9"/>
      <c r="C72" s="9"/>
      <c r="D72" s="9"/>
      <c r="E72" s="9"/>
      <c r="F72" s="9"/>
      <c r="G72" s="9"/>
      <c r="H72" s="9"/>
      <c r="I72" s="9"/>
      <c r="J72" s="9"/>
      <c r="K72" s="9"/>
      <c r="M72" s="6"/>
      <c r="N72" s="6"/>
      <c r="O72" s="6"/>
      <c r="P72" s="6"/>
      <c r="Q72" s="6"/>
    </row>
    <row r="73" spans="1:17" s="6" customFormat="1" x14ac:dyDescent="0.3">
      <c r="A73" s="35"/>
      <c r="B73" s="36" t="s">
        <v>19</v>
      </c>
      <c r="C73" s="55">
        <f>J71</f>
        <v>930354.71784822864</v>
      </c>
      <c r="D73" s="56"/>
      <c r="E73" s="37">
        <v>100</v>
      </c>
      <c r="F73" s="35"/>
      <c r="G73" s="38"/>
      <c r="H73" s="35"/>
      <c r="I73" s="39"/>
      <c r="J73" s="40"/>
      <c r="K73" s="41"/>
      <c r="M73" s="5"/>
      <c r="N73" s="5"/>
      <c r="O73" s="5"/>
      <c r="P73" s="5"/>
      <c r="Q73" s="5"/>
    </row>
    <row r="74" spans="1:17" s="5" customFormat="1" x14ac:dyDescent="0.3">
      <c r="A74" s="9"/>
      <c r="B74" s="36" t="s">
        <v>21</v>
      </c>
      <c r="C74" s="57">
        <v>750000</v>
      </c>
      <c r="D74" s="58"/>
      <c r="E74" s="37"/>
      <c r="F74" s="9"/>
      <c r="G74" s="9"/>
      <c r="H74" s="9"/>
      <c r="I74" s="9"/>
      <c r="J74" s="9"/>
      <c r="K74" s="9"/>
    </row>
    <row r="75" spans="1:17" s="5" customFormat="1" x14ac:dyDescent="0.3">
      <c r="A75" s="9"/>
      <c r="B75" s="36" t="s">
        <v>22</v>
      </c>
      <c r="C75" s="57">
        <f>C74-C77-C78</f>
        <v>712500</v>
      </c>
      <c r="D75" s="58"/>
      <c r="E75" s="37">
        <f>C75/C73*100</f>
        <v>76.583692900263458</v>
      </c>
      <c r="F75" s="9"/>
      <c r="G75" s="9"/>
      <c r="H75" s="9"/>
      <c r="I75" s="9"/>
      <c r="J75" s="9"/>
      <c r="K75" s="9"/>
    </row>
    <row r="76" spans="1:17" s="5" customFormat="1" x14ac:dyDescent="0.3">
      <c r="A76" s="9"/>
      <c r="B76" s="36" t="s">
        <v>26</v>
      </c>
      <c r="C76" s="59">
        <f>C73-C75</f>
        <v>217854.71784822864</v>
      </c>
      <c r="D76" s="59"/>
      <c r="E76" s="37">
        <f>100-E75</f>
        <v>23.416307099736542</v>
      </c>
      <c r="F76" s="9"/>
      <c r="G76" s="9"/>
      <c r="H76" s="9"/>
      <c r="I76" s="9"/>
      <c r="J76" s="9"/>
      <c r="K76" s="9"/>
    </row>
    <row r="77" spans="1:17" s="5" customFormat="1" x14ac:dyDescent="0.3">
      <c r="A77" s="9"/>
      <c r="B77" s="36" t="s">
        <v>23</v>
      </c>
      <c r="C77" s="55">
        <f>C74*0.03</f>
        <v>22500</v>
      </c>
      <c r="D77" s="56"/>
      <c r="E77" s="37">
        <v>3</v>
      </c>
      <c r="F77" s="9"/>
      <c r="G77" s="9"/>
      <c r="H77" s="9"/>
      <c r="I77" s="9"/>
      <c r="J77" s="9"/>
      <c r="K77" s="9"/>
    </row>
    <row r="78" spans="1:17" s="5" customFormat="1" x14ac:dyDescent="0.3">
      <c r="A78" s="9"/>
      <c r="B78" s="36" t="s">
        <v>24</v>
      </c>
      <c r="C78" s="55">
        <f>C74*0.02</f>
        <v>15000</v>
      </c>
      <c r="D78" s="56"/>
      <c r="E78" s="37">
        <v>2</v>
      </c>
      <c r="F78" s="9"/>
      <c r="G78" s="9"/>
      <c r="H78" s="9"/>
      <c r="I78" s="9"/>
      <c r="J78" s="9"/>
      <c r="K78" s="9"/>
      <c r="M78"/>
      <c r="N78"/>
      <c r="O78"/>
      <c r="P78"/>
      <c r="Q78"/>
    </row>
  </sheetData>
  <mergeCells count="15">
    <mergeCell ref="C78:D78"/>
    <mergeCell ref="C73:D73"/>
    <mergeCell ref="C74:D74"/>
    <mergeCell ref="C75:D75"/>
    <mergeCell ref="C76:D76"/>
    <mergeCell ref="C77:D77"/>
    <mergeCell ref="A7:F7"/>
    <mergeCell ref="H7:K7"/>
    <mergeCell ref="A1:K1"/>
    <mergeCell ref="A2:K2"/>
    <mergeCell ref="A3:K3"/>
    <mergeCell ref="A4:K4"/>
    <mergeCell ref="A5:K5"/>
    <mergeCell ref="A6:F6"/>
    <mergeCell ref="H6: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2026-01-10T04:08:12Z</dcterms:modified>
</cp:coreProperties>
</file>