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91B4D1D2-9CB2-4F6F-BCBF-F2E11CBC9A40}"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0" i="13" l="1"/>
  <c r="I107" i="13"/>
  <c r="G106" i="13"/>
  <c r="G107" i="13" s="1"/>
  <c r="J107" i="13" s="1"/>
  <c r="D106" i="13"/>
  <c r="D110" i="13" s="1"/>
  <c r="G102" i="13"/>
  <c r="G103" i="13" s="1"/>
  <c r="J103" i="13" s="1"/>
  <c r="G96" i="13"/>
  <c r="G97" i="13" s="1"/>
  <c r="J97" i="13" s="1"/>
  <c r="J98" i="13" s="1"/>
  <c r="G92" i="13"/>
  <c r="G93" i="13" s="1"/>
  <c r="J93" i="13" s="1"/>
  <c r="J94" i="13" s="1"/>
  <c r="G88" i="13"/>
  <c r="G89" i="13" s="1"/>
  <c r="J89" i="13" s="1"/>
  <c r="J90" i="13" s="1"/>
  <c r="G84" i="13"/>
  <c r="G85" i="13" s="1"/>
  <c r="J85" i="13" s="1"/>
  <c r="J86" i="13" s="1"/>
  <c r="G80" i="13"/>
  <c r="G81" i="13" s="1"/>
  <c r="J81" i="13" s="1"/>
  <c r="J82" i="13" s="1"/>
  <c r="C76" i="13"/>
  <c r="G76" i="13" s="1"/>
  <c r="G77" i="13" s="1"/>
  <c r="J77" i="13" s="1"/>
  <c r="J78" i="13" s="1"/>
  <c r="C72" i="13"/>
  <c r="G72" i="13" s="1"/>
  <c r="G73" i="13" s="1"/>
  <c r="J73" i="13" s="1"/>
  <c r="J74" i="13" s="1"/>
  <c r="C10" i="14"/>
  <c r="B10" i="14"/>
  <c r="G114" i="13"/>
  <c r="J114" i="13" s="1"/>
  <c r="C64" i="13"/>
  <c r="D64" i="13"/>
  <c r="C63" i="13"/>
  <c r="D63" i="13"/>
  <c r="E64" i="13"/>
  <c r="E45" i="13"/>
  <c r="B35" i="13"/>
  <c r="A10" i="14"/>
  <c r="D66" i="13"/>
  <c r="C65" i="13" s="1"/>
  <c r="B34" i="13"/>
  <c r="F28" i="13"/>
  <c r="F34" i="13" s="1"/>
  <c r="F27" i="13"/>
  <c r="F35" i="13" s="1"/>
  <c r="E66" i="13"/>
  <c r="E65" i="13"/>
  <c r="E63" i="13"/>
  <c r="E61" i="13"/>
  <c r="E62" i="13"/>
  <c r="B54" i="13"/>
  <c r="B65" i="13" s="1"/>
  <c r="F53" i="13"/>
  <c r="F52" i="13"/>
  <c r="E53" i="13"/>
  <c r="E52" i="13"/>
  <c r="F44" i="13"/>
  <c r="F43" i="13"/>
  <c r="B20" i="13"/>
  <c r="C20" i="13"/>
  <c r="C15" i="13"/>
  <c r="B15" i="13"/>
  <c r="B51" i="13" s="1"/>
  <c r="B61" i="13" s="1"/>
  <c r="F11" i="13"/>
  <c r="F110" i="13" l="1"/>
  <c r="G110" i="13" s="1"/>
  <c r="G111" i="13" s="1"/>
  <c r="J111" i="13" s="1"/>
  <c r="J112" i="13" s="1"/>
  <c r="F64" i="13"/>
  <c r="G64" i="13" s="1"/>
  <c r="F63" i="13"/>
  <c r="G63" i="13" s="1"/>
  <c r="C28" i="13"/>
  <c r="C27" i="13"/>
  <c r="C35" i="13" s="1"/>
  <c r="E36" i="13"/>
  <c r="E54" i="13"/>
  <c r="E20" i="13"/>
  <c r="D53" i="13"/>
  <c r="G53" i="13" s="1"/>
  <c r="C62" i="13"/>
  <c r="E51" i="13"/>
  <c r="D61" i="13"/>
  <c r="E11" i="13"/>
  <c r="E15" i="13"/>
  <c r="D27" i="13"/>
  <c r="D35" i="13" s="1"/>
  <c r="C61" i="13"/>
  <c r="D62" i="13"/>
  <c r="D54" i="13"/>
  <c r="D52" i="13"/>
  <c r="G52" i="13" s="1"/>
  <c r="D51" i="13"/>
  <c r="D45" i="13"/>
  <c r="G45" i="13" s="1"/>
  <c r="D44" i="13"/>
  <c r="G44" i="13" s="1"/>
  <c r="D43" i="13"/>
  <c r="G43" i="13" s="1"/>
  <c r="D20" i="13"/>
  <c r="D65" i="13"/>
  <c r="D11" i="13"/>
  <c r="D15" i="13"/>
  <c r="D36" i="13"/>
  <c r="D28" i="13"/>
  <c r="D34" i="13" s="1"/>
  <c r="I16" i="13"/>
  <c r="G35" i="13" l="1"/>
  <c r="F61" i="13"/>
  <c r="G61" i="13" s="1"/>
  <c r="G20" i="13"/>
  <c r="G21" i="13" s="1"/>
  <c r="G11" i="13"/>
  <c r="G54" i="13"/>
  <c r="G51" i="13"/>
  <c r="G15" i="13"/>
  <c r="G16" i="13" s="1"/>
  <c r="G27" i="13"/>
  <c r="F65" i="13"/>
  <c r="G65" i="13" s="1"/>
  <c r="C66" i="13"/>
  <c r="F66" i="13" s="1"/>
  <c r="G66" i="13" s="1"/>
  <c r="F62" i="13"/>
  <c r="G62" i="13" s="1"/>
  <c r="C34" i="13"/>
  <c r="G28" i="13"/>
  <c r="I46" i="13"/>
  <c r="I67" i="13"/>
  <c r="G67" i="13" l="1"/>
  <c r="G34" i="13"/>
  <c r="C36" i="13"/>
  <c r="G36" i="13" s="1"/>
  <c r="G46" i="13"/>
  <c r="G55" i="13"/>
  <c r="J67" i="13" l="1"/>
  <c r="J56" i="13"/>
  <c r="J48" i="13"/>
  <c r="J58" i="13" l="1"/>
  <c r="J57" i="13"/>
  <c r="J55" i="13"/>
  <c r="J46" i="13"/>
  <c r="J47" i="13"/>
  <c r="J69" i="13"/>
  <c r="J68" i="13"/>
  <c r="G37" i="13"/>
  <c r="G29" i="13"/>
  <c r="G12" i="13"/>
  <c r="J17" i="13" l="1"/>
  <c r="J16" i="13"/>
  <c r="C125" i="13" l="1"/>
  <c r="C124" i="13"/>
  <c r="G116" i="13"/>
  <c r="J116" i="13" s="1"/>
  <c r="G40" i="13"/>
  <c r="J40" i="13" s="1"/>
  <c r="I37" i="13"/>
  <c r="I29" i="13"/>
  <c r="C122" i="13" l="1"/>
  <c r="J12" i="13"/>
  <c r="J24" i="13" l="1"/>
  <c r="J21" i="13"/>
  <c r="J23" i="13"/>
  <c r="J22" i="13"/>
  <c r="J31" i="13" l="1"/>
  <c r="J30" i="13"/>
  <c r="J29" i="13"/>
  <c r="J118" i="13" s="1"/>
  <c r="J38" i="13"/>
  <c r="J37" i="13"/>
  <c r="C120" i="13" l="1"/>
  <c r="C123" i="13" s="1"/>
  <c r="E122" i="13" l="1"/>
  <c r="E12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84" authorId="0" shapeId="0" xr:uid="{DFD13EF2-7E1C-49CD-87E8-C8810E1F86A0}">
      <text>
        <r>
          <rPr>
            <b/>
            <sz val="9"/>
            <color indexed="81"/>
            <rFont val="Tahoma"/>
            <family val="2"/>
          </rPr>
          <t>Author:</t>
        </r>
        <r>
          <rPr>
            <sz val="9"/>
            <color indexed="81"/>
            <rFont val="Tahoma"/>
            <family val="2"/>
          </rPr>
          <t xml:space="preserve">
saddle clamp- 3/4 1/2</t>
        </r>
      </text>
    </comment>
  </commentList>
</comments>
</file>

<file path=xl/sharedStrings.xml><?xml version="1.0" encoding="utf-8"?>
<sst xmlns="http://schemas.openxmlformats.org/spreadsheetml/2006/main" count="146" uniqueCount="96">
  <si>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</si>
  <si>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</si>
  <si>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</si>
  <si>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</si>
  <si>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</si>
  <si>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</si>
  <si>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</si>
  <si>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</si>
  <si>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</si>
  <si>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</si>
  <si>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</si>
  <si>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</si>
  <si>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</si>
  <si>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</si>
  <si>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</si>
  <si>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</si>
  <si>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</si>
  <si>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</si>
  <si>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</si>
  <si>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</si>
  <si>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</si>
  <si>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</si>
  <si>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</si>
  <si>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</si>
  <si>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</si>
  <si>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</si>
  <si>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</si>
  <si>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</si>
  <si>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</si>
  <si>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</si>
  <si>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Provisional sum for other unforseen works</t>
  </si>
  <si>
    <t>PS</t>
  </si>
  <si>
    <t>-13% VAT for sand</t>
  </si>
  <si>
    <t>Plain cement concrete (1:2:4)</t>
  </si>
  <si>
    <t>-13% VAT for cement</t>
  </si>
  <si>
    <t>-13% VAT for aggregate</t>
  </si>
  <si>
    <t>sqm</t>
  </si>
  <si>
    <t>length</t>
  </si>
  <si>
    <t>20mm thick cement plaster (1:6)</t>
  </si>
  <si>
    <t>3 mm thick  cement punning</t>
  </si>
  <si>
    <t>-13% VAT for block stone</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</si>
  <si>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</si>
  <si>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</si>
  <si>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</si>
  <si>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</si>
  <si>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</si>
  <si>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</si>
  <si>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</si>
  <si>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</si>
  <si>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</si>
  <si>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</si>
  <si>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</si>
  <si>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</si>
  <si>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Intake size</t>
  </si>
  <si>
    <t>breadth</t>
  </si>
  <si>
    <t>height</t>
  </si>
  <si>
    <t>wall thickness</t>
  </si>
  <si>
    <t>Dry boulder packing work</t>
  </si>
  <si>
    <t>-for intake 2 cover</t>
  </si>
  <si>
    <t>-for shear wall outer face of intake 2</t>
  </si>
  <si>
    <t>-for shear wall inner face of intake 2</t>
  </si>
  <si>
    <t>- for floor area of intake 2</t>
  </si>
  <si>
    <t>-for intake</t>
  </si>
  <si>
    <t>-for outer face wall of intake</t>
  </si>
  <si>
    <t>-for inner face wall of intake</t>
  </si>
  <si>
    <t>-for shear wall shorter side of intake</t>
  </si>
  <si>
    <t>-for shear wall longer side of intake</t>
  </si>
  <si>
    <t>-for binding shear wall of intake</t>
  </si>
  <si>
    <t>Provisional sum for unforseen works</t>
  </si>
  <si>
    <r>
      <t>Project:-</t>
    </r>
    <r>
      <rPr>
        <sz val="12"/>
        <rFont val="Preeti"/>
      </rPr>
      <t xml:space="preserve"> </t>
    </r>
    <r>
      <rPr>
        <sz val="14"/>
        <rFont val="Preeti"/>
      </rPr>
      <t>nfdf6f]n vfg]kfgL 6\ofª\sL</t>
    </r>
  </si>
  <si>
    <t>A</t>
  </si>
  <si>
    <t>-Fittings for HPDE pipeline maintainance</t>
  </si>
  <si>
    <t>-G.I. Union 20mm</t>
  </si>
  <si>
    <t>pcs.</t>
  </si>
  <si>
    <t>-13% VAT for material</t>
  </si>
  <si>
    <t>-G.I. Socket 20mm</t>
  </si>
  <si>
    <t>-Brass ferrule cock</t>
  </si>
  <si>
    <t>-1/2"/(25-50mm dia)HDPE saddle</t>
  </si>
  <si>
    <t>-G.I. nipple medium class- 2" long  20mm</t>
  </si>
  <si>
    <t>-brass tap 1/2" ordinary</t>
  </si>
  <si>
    <t>- Air Vent system C.I air valve heavy 20 mm</t>
  </si>
  <si>
    <t>B</t>
  </si>
  <si>
    <t>Pipe works</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</si>
  <si>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</si>
  <si>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pipe laying to chihaan</t>
  </si>
  <si>
    <t>sub-total</t>
  </si>
  <si>
    <t>Laying and joining of 20,25 mmØ HDPE pipe with butt-weld joints</t>
  </si>
  <si>
    <t>-for pipe laying</t>
  </si>
  <si>
    <t>rm</t>
  </si>
  <si>
    <t>-High Density Polythene Pipe NS 40 pipe material PE 100, PN 16</t>
  </si>
  <si>
    <t>Weight (Kg/m)</t>
  </si>
  <si>
    <t>Total weight (Kg)</t>
  </si>
  <si>
    <t>-for 20mm pipe laying</t>
  </si>
  <si>
    <t>kg</t>
  </si>
  <si>
    <t>Intake works</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</si>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</sst>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sz val="11"/>
      <color rgb="FFFF0000"/>
      <name val="Calibri"/>
      <family val="2"/>
      <scheme val="minor"/>
    </font>
    <font>
      <b/>
      <sz val="14"/>
      <name val="Preeti"/>
    </font>
    <font>
      <b/>
      <sz val="9"/>
      <color indexed="81"/>
      <name val="Tahoma"/>
      <family val="2"/>
    </font>
    <font>
      <sz val="9"/>
      <color indexed="81"/>
      <name val="Tahoma"/>
      <family val="2"/>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3">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applyAlignment="1">
      <alignment vertical="center"/>
    </xf>
    <xf numFmtId="0" fontId="9" fillId="0" borderId="2" xfId="0" applyFont="1" applyBorder="1" applyAlignment="1">
      <alignment vertical="center"/>
    </xf>
    <xf numFmtId="0" fontId="4" fillId="0" borderId="2" xfId="0" quotePrefix="1" applyFont="1" applyBorder="1" applyAlignment="1">
      <alignment wrapText="1"/>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0" xfId="0" applyFont="1" applyAlignment="1">
      <alignment wrapText="1"/>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0" fontId="4" fillId="0" borderId="2" xfId="0" applyFont="1" applyBorder="1" applyAlignment="1">
      <alignment vertical="center"/>
    </xf>
    <xf numFmtId="0" fontId="4" fillId="0" borderId="2" xfId="0" applyFont="1" applyBorder="1" applyAlignment="1">
      <alignment vertical="center" wrapText="1"/>
    </xf>
    <xf numFmtId="2" fontId="4" fillId="0" borderId="2" xfId="0" applyNumberFormat="1"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4" fillId="0" borderId="2" xfId="0" quotePrefix="1" applyFont="1" applyBorder="1" applyAlignment="1">
      <alignment horizontal="right" wrapText="1"/>
    </xf>
    <xf numFmtId="0" fontId="14" fillId="0" borderId="2" xfId="0" quotePrefix="1" applyFont="1" applyBorder="1" applyAlignment="1">
      <alignment horizontal="right" wrapText="1"/>
    </xf>
    <xf numFmtId="0" fontId="2" fillId="0" borderId="2" xfId="0" quotePrefix="1" applyFont="1" applyBorder="1" applyAlignment="1">
      <alignment horizontal="righ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5"/>
  <sheetViews>
    <sheetView tabSelected="1" topLeftCell="A70" workbookViewId="0">
      <selection activeCell="F76" sqref="F76"/>
    </sheetView>
  </sheetViews>
  <sheetFormatPr defaultColWidth="9.140625" defaultRowHeight="15" x14ac:dyDescent="0.25"/>
  <cols>
    <col min="1" max="1" width="4.7109375" style="4" customWidth="1"/>
    <col min="2" max="2" width="30.85546875" style="4" customWidth="1"/>
    <col min="3" max="3" width="4.42578125" style="4" bestFit="1" customWidth="1"/>
    <col min="4" max="4" width="8.42578125" style="4" customWidth="1"/>
    <col min="5" max="5" width="8.5703125" style="4" customWidth="1"/>
    <col min="6" max="6" width="7.28515625" style="4" customWidth="1"/>
    <col min="7" max="7" width="9.140625" style="4"/>
    <col min="8" max="8" width="5" style="4" bestFit="1" customWidth="1"/>
    <col min="9" max="9" width="9.5703125" style="4" customWidth="1"/>
    <col min="10" max="10" width="10.7109375" style="4" bestFit="1" customWidth="1"/>
    <col min="11" max="12" width="9.140625" style="4"/>
    <col min="27" max="16384" width="9.140625" style="4"/>
  </cols>
  <sheetData>
    <row r="1" spans="1:27" x14ac:dyDescent="0.25">
      <c r="A1" s="47" t="s">
        <v>0</v>
      </c>
      <c r="B1" s="47"/>
      <c r="C1" s="47"/>
      <c r="D1" s="47"/>
      <c r="E1" s="47"/>
      <c r="F1" s="47"/>
      <c r="G1" s="47"/>
      <c r="H1" s="47"/>
      <c r="I1" s="47"/>
      <c r="J1" s="47"/>
      <c r="K1" s="47"/>
    </row>
    <row r="2" spans="1:27" ht="22.5" x14ac:dyDescent="0.25">
      <c r="A2" s="48" t="s">
        <v>1</v>
      </c>
      <c r="B2" s="48"/>
      <c r="C2" s="48"/>
      <c r="D2" s="48"/>
      <c r="E2" s="48"/>
      <c r="F2" s="48"/>
      <c r="G2" s="48"/>
      <c r="H2" s="48"/>
      <c r="I2" s="48"/>
      <c r="J2" s="48"/>
      <c r="K2" s="48"/>
    </row>
    <row r="3" spans="1:27" x14ac:dyDescent="0.25">
      <c r="A3" s="49" t="s">
        <v>2</v>
      </c>
      <c r="B3" s="49"/>
      <c r="C3" s="49"/>
      <c r="D3" s="49"/>
      <c r="E3" s="49"/>
      <c r="F3" s="49"/>
      <c r="G3" s="49"/>
      <c r="H3" s="49"/>
      <c r="I3" s="49"/>
      <c r="J3" s="49"/>
      <c r="K3" s="49"/>
    </row>
    <row r="4" spans="1:27" x14ac:dyDescent="0.25">
      <c r="A4" s="49" t="s">
        <v>3</v>
      </c>
      <c r="B4" s="49"/>
      <c r="C4" s="49"/>
      <c r="D4" s="49"/>
      <c r="E4" s="49"/>
      <c r="F4" s="49"/>
      <c r="G4" s="49"/>
      <c r="H4" s="49"/>
      <c r="I4" s="49"/>
      <c r="J4" s="49"/>
      <c r="K4" s="49"/>
    </row>
    <row r="5" spans="1:27" ht="18.75" x14ac:dyDescent="0.3">
      <c r="A5" s="50" t="s">
        <v>4</v>
      </c>
      <c r="B5" s="50"/>
      <c r="C5" s="50"/>
      <c r="D5" s="50"/>
      <c r="E5" s="50"/>
      <c r="F5" s="50"/>
      <c r="G5" s="50"/>
      <c r="H5" s="50"/>
      <c r="I5" s="50"/>
      <c r="J5" s="50"/>
      <c r="K5" s="50"/>
    </row>
    <row r="6" spans="1:27" ht="18" x14ac:dyDescent="0.25">
      <c r="A6" s="51" t="s">
        <v>69</v>
      </c>
      <c r="B6" s="51"/>
      <c r="C6" s="51"/>
      <c r="D6" s="51"/>
      <c r="E6" s="51"/>
      <c r="F6" s="51"/>
      <c r="G6" s="5"/>
      <c r="H6" s="52" t="s">
        <v>25</v>
      </c>
      <c r="I6" s="52"/>
      <c r="J6" s="52"/>
      <c r="K6" s="52"/>
    </row>
    <row r="7" spans="1:27" ht="15.75" x14ac:dyDescent="0.25">
      <c r="A7" s="45" t="s">
        <v>29</v>
      </c>
      <c r="B7" s="45"/>
      <c r="C7" s="45"/>
      <c r="D7" s="45"/>
      <c r="E7" s="45"/>
      <c r="F7" s="45"/>
      <c r="G7" s="6"/>
      <c r="H7" s="46" t="s">
        <v>41</v>
      </c>
      <c r="I7" s="46"/>
      <c r="J7" s="46"/>
      <c r="K7" s="46"/>
    </row>
    <row r="8" spans="1:27" ht="15.75" x14ac:dyDescent="0.25">
      <c r="A8" s="7" t="s">
        <v>5</v>
      </c>
      <c r="B8" s="8" t="s">
        <v>6</v>
      </c>
      <c r="C8" s="7" t="s">
        <v>7</v>
      </c>
      <c r="D8" s="9" t="s">
        <v>8</v>
      </c>
      <c r="E8" s="9" t="s">
        <v>9</v>
      </c>
      <c r="F8" s="9" t="s">
        <v>10</v>
      </c>
      <c r="G8" s="9" t="s">
        <v>11</v>
      </c>
      <c r="H8" s="7" t="s">
        <v>12</v>
      </c>
      <c r="I8" s="9" t="s">
        <v>13</v>
      </c>
      <c r="J8" s="9" t="s">
        <v>14</v>
      </c>
      <c r="K8" s="10" t="s">
        <v>15</v>
      </c>
      <c r="AA8" s="11"/>
    </row>
    <row r="9" spans="1:27" x14ac:dyDescent="0.25">
      <c r="A9" s="17" t="s">
        <v>70</v>
      </c>
      <c r="B9" s="13" t="s">
        <v>94</v>
      </c>
      <c r="C9" s="19"/>
      <c r="D9" s="19"/>
      <c r="E9" s="19"/>
      <c r="F9" s="19"/>
      <c r="G9" s="19"/>
      <c r="H9" s="19"/>
      <c r="I9" s="19"/>
      <c r="J9" s="26"/>
      <c r="K9" s="19"/>
      <c r="M9" s="11"/>
      <c r="N9" s="11"/>
      <c r="O9" s="11"/>
      <c r="P9" s="11"/>
      <c r="Q9" s="11"/>
      <c r="R9" s="11"/>
      <c r="S9" s="11"/>
      <c r="T9" s="11"/>
      <c r="U9" s="11"/>
      <c r="V9" s="11"/>
      <c r="W9" s="11"/>
      <c r="X9" s="11"/>
      <c r="Y9" s="11"/>
      <c r="Z9" s="4"/>
    </row>
    <row r="10" spans="1:27" s="11" customFormat="1" ht="30" x14ac:dyDescent="0.25">
      <c r="A10" s="12">
        <v>1</v>
      </c>
      <c r="B10" s="13" t="s">
        <v>45</v>
      </c>
      <c r="C10" s="12"/>
      <c r="D10" s="14"/>
      <c r="E10" s="14"/>
      <c r="F10" s="14"/>
      <c r="G10" s="14"/>
      <c r="H10" s="12"/>
      <c r="I10" s="14"/>
      <c r="J10" s="14"/>
      <c r="K10" s="15"/>
      <c r="AA10" s="4"/>
    </row>
    <row r="11" spans="1:27" x14ac:dyDescent="0.25">
      <c r="A11" s="17"/>
      <c r="B11" s="18" t="s">
        <v>62</v>
      </c>
      <c r="C11" s="19">
        <v>1</v>
      </c>
      <c r="D11" s="20">
        <f>Sheet1!A10</f>
        <v>1.4999999999999998</v>
      </c>
      <c r="E11" s="20">
        <f>Sheet1!B10</f>
        <v>1.4999999999999998</v>
      </c>
      <c r="F11" s="20">
        <f>0.15+0.075+Sheet1!C10</f>
        <v>1.2917479427003959</v>
      </c>
      <c r="G11" s="20">
        <f>PRODUCT(C11:F11)</f>
        <v>2.9064328710758898</v>
      </c>
      <c r="H11" s="19"/>
      <c r="I11" s="19"/>
      <c r="J11" s="19"/>
      <c r="K11" s="19"/>
    </row>
    <row r="12" spans="1:27" ht="15" customHeight="1" x14ac:dyDescent="0.25">
      <c r="A12" s="21"/>
      <c r="B12" s="22" t="s">
        <v>16</v>
      </c>
      <c r="C12" s="23"/>
      <c r="D12" s="1"/>
      <c r="E12" s="24"/>
      <c r="F12" s="24"/>
      <c r="G12" s="2">
        <f>SUM(G11:G11)</f>
        <v>2.9064328710758898</v>
      </c>
      <c r="H12" s="25" t="s">
        <v>28</v>
      </c>
      <c r="I12" s="2">
        <v>963.05</v>
      </c>
      <c r="J12" s="26">
        <f>G12*I12</f>
        <v>2799.0401764896355</v>
      </c>
      <c r="K12" s="24"/>
    </row>
    <row r="13" spans="1:27" ht="15.75" x14ac:dyDescent="0.25">
      <c r="A13" s="7"/>
      <c r="B13" s="8"/>
      <c r="C13" s="7"/>
      <c r="D13" s="9"/>
      <c r="E13" s="9"/>
      <c r="F13" s="9"/>
      <c r="G13" s="9"/>
      <c r="H13" s="7"/>
      <c r="I13" s="9"/>
      <c r="J13" s="9"/>
      <c r="K13" s="10"/>
    </row>
    <row r="14" spans="1:27" x14ac:dyDescent="0.25">
      <c r="A14" s="17">
        <v>2</v>
      </c>
      <c r="B14" s="19" t="s">
        <v>57</v>
      </c>
      <c r="C14" s="19"/>
      <c r="D14" s="19"/>
      <c r="E14" s="19"/>
      <c r="F14" s="19"/>
      <c r="G14" s="19"/>
      <c r="H14" s="19"/>
      <c r="I14" s="19"/>
      <c r="J14" s="19"/>
      <c r="K14" s="19"/>
    </row>
    <row r="15" spans="1:27" x14ac:dyDescent="0.25">
      <c r="A15" s="17"/>
      <c r="B15" s="18" t="str">
        <f>B11</f>
        <v>-for intake</v>
      </c>
      <c r="C15" s="19">
        <f>C11</f>
        <v>1</v>
      </c>
      <c r="D15" s="20">
        <f>Sheet1!A10</f>
        <v>1.4999999999999998</v>
      </c>
      <c r="E15" s="20">
        <f>Sheet1!B10</f>
        <v>1.4999999999999998</v>
      </c>
      <c r="F15" s="19">
        <v>0.15</v>
      </c>
      <c r="G15" s="20">
        <f>PRODUCT(C15:F15)</f>
        <v>0.33749999999999986</v>
      </c>
      <c r="H15" s="19"/>
      <c r="I15" s="19"/>
      <c r="J15" s="19"/>
      <c r="K15" s="19"/>
    </row>
    <row r="16" spans="1:27" ht="15" customHeight="1" x14ac:dyDescent="0.25">
      <c r="A16" s="21"/>
      <c r="B16" s="22" t="s">
        <v>16</v>
      </c>
      <c r="C16" s="23"/>
      <c r="D16" s="1"/>
      <c r="E16" s="24"/>
      <c r="F16" s="24"/>
      <c r="G16" s="2">
        <f>SUM(G15:G15)</f>
        <v>0.33749999999999986</v>
      </c>
      <c r="H16" s="25" t="s">
        <v>28</v>
      </c>
      <c r="I16" s="2">
        <f>4493.69</f>
        <v>4493.6899999999996</v>
      </c>
      <c r="J16" s="26">
        <f>G16*I16</f>
        <v>1516.6203749999993</v>
      </c>
      <c r="K16" s="24"/>
    </row>
    <row r="17" spans="1:11" x14ac:dyDescent="0.25">
      <c r="A17" s="17"/>
      <c r="B17" s="18" t="s">
        <v>40</v>
      </c>
      <c r="C17" s="19"/>
      <c r="D17" s="19"/>
      <c r="E17" s="19"/>
      <c r="F17" s="19"/>
      <c r="G17" s="19"/>
      <c r="H17" s="19"/>
      <c r="I17" s="19"/>
      <c r="J17" s="26">
        <f>0.13*G16*3091.19</f>
        <v>135.62596124999996</v>
      </c>
      <c r="K17" s="19"/>
    </row>
    <row r="18" spans="1:11" x14ac:dyDescent="0.25">
      <c r="A18" s="17"/>
      <c r="B18" s="19"/>
      <c r="C18" s="19"/>
      <c r="D18" s="19"/>
      <c r="E18" s="19"/>
      <c r="F18" s="19"/>
      <c r="G18" s="19"/>
      <c r="H18" s="19"/>
      <c r="I18" s="19"/>
      <c r="J18" s="19"/>
      <c r="K18" s="19"/>
    </row>
    <row r="19" spans="1:11" x14ac:dyDescent="0.25">
      <c r="A19" s="17">
        <v>3</v>
      </c>
      <c r="B19" s="19" t="s">
        <v>33</v>
      </c>
      <c r="C19" s="19"/>
      <c r="D19" s="19"/>
      <c r="E19" s="19"/>
      <c r="F19" s="19"/>
      <c r="G19" s="19"/>
      <c r="H19" s="19"/>
      <c r="I19" s="19"/>
      <c r="J19" s="19"/>
      <c r="K19" s="19"/>
    </row>
    <row r="20" spans="1:11" x14ac:dyDescent="0.25">
      <c r="A20" s="17"/>
      <c r="B20" s="18" t="str">
        <f>B11</f>
        <v>-for intake</v>
      </c>
      <c r="C20" s="19">
        <f>C11</f>
        <v>1</v>
      </c>
      <c r="D20" s="20">
        <f>Sheet1!A10</f>
        <v>1.4999999999999998</v>
      </c>
      <c r="E20" s="20">
        <f>Sheet1!B10</f>
        <v>1.4999999999999998</v>
      </c>
      <c r="F20" s="20">
        <v>0.05</v>
      </c>
      <c r="G20" s="20">
        <f>PRODUCT(C20:F20)</f>
        <v>0.11249999999999996</v>
      </c>
      <c r="H20" s="19"/>
      <c r="I20" s="19"/>
      <c r="J20" s="19"/>
      <c r="K20" s="19"/>
    </row>
    <row r="21" spans="1:11" ht="15" customHeight="1" x14ac:dyDescent="0.25">
      <c r="A21" s="21"/>
      <c r="B21" s="22" t="s">
        <v>16</v>
      </c>
      <c r="C21" s="23"/>
      <c r="D21" s="1"/>
      <c r="E21" s="24"/>
      <c r="F21" s="24"/>
      <c r="G21" s="2">
        <f>SUM(G20:G20)</f>
        <v>0.11249999999999996</v>
      </c>
      <c r="H21" s="25" t="s">
        <v>28</v>
      </c>
      <c r="I21" s="2">
        <v>13343.7</v>
      </c>
      <c r="J21" s="26">
        <f>G21*I21</f>
        <v>1501.1662499999995</v>
      </c>
      <c r="K21" s="24"/>
    </row>
    <row r="22" spans="1:11" x14ac:dyDescent="0.25">
      <c r="A22" s="17"/>
      <c r="B22" s="18" t="s">
        <v>32</v>
      </c>
      <c r="C22" s="19"/>
      <c r="D22" s="19"/>
      <c r="E22" s="19"/>
      <c r="F22" s="19"/>
      <c r="G22" s="19"/>
      <c r="H22" s="19"/>
      <c r="I22" s="19"/>
      <c r="J22" s="26">
        <f>0.13*G21*1413.27</f>
        <v>20.669073749999992</v>
      </c>
      <c r="K22" s="19"/>
    </row>
    <row r="23" spans="1:11" x14ac:dyDescent="0.25">
      <c r="A23" s="17"/>
      <c r="B23" s="18" t="s">
        <v>34</v>
      </c>
      <c r="C23" s="19"/>
      <c r="D23" s="19"/>
      <c r="E23" s="19"/>
      <c r="F23" s="19"/>
      <c r="G23" s="19"/>
      <c r="H23" s="19"/>
      <c r="I23" s="19"/>
      <c r="J23" s="26">
        <f>0.13*G21*4096</f>
        <v>59.903999999999982</v>
      </c>
      <c r="K23" s="19"/>
    </row>
    <row r="24" spans="1:11" x14ac:dyDescent="0.25">
      <c r="A24" s="17"/>
      <c r="B24" s="18" t="s">
        <v>35</v>
      </c>
      <c r="C24" s="19"/>
      <c r="D24" s="19"/>
      <c r="E24" s="19"/>
      <c r="F24" s="19"/>
      <c r="G24" s="19"/>
      <c r="H24" s="19"/>
      <c r="I24" s="19"/>
      <c r="J24" s="26">
        <f>0.13*G21*(368.76+737.51+1743.21)</f>
        <v>41.673644999999986</v>
      </c>
      <c r="K24" s="19"/>
    </row>
    <row r="25" spans="1:11" x14ac:dyDescent="0.25">
      <c r="A25" s="17"/>
      <c r="B25" s="19"/>
      <c r="C25" s="19"/>
      <c r="D25" s="19"/>
      <c r="E25" s="19"/>
      <c r="F25" s="19"/>
      <c r="G25" s="19"/>
      <c r="H25" s="19"/>
      <c r="I25" s="19"/>
      <c r="J25" s="19"/>
      <c r="K25" s="19"/>
    </row>
    <row r="26" spans="1:11" x14ac:dyDescent="0.25">
      <c r="A26" s="17">
        <v>4</v>
      </c>
      <c r="B26" s="27" t="s">
        <v>38</v>
      </c>
      <c r="C26" s="19"/>
      <c r="D26" s="19"/>
      <c r="E26" s="19"/>
      <c r="F26" s="19"/>
      <c r="G26" s="19"/>
      <c r="H26" s="19"/>
      <c r="I26" s="19"/>
      <c r="J26" s="19"/>
      <c r="K26" s="19"/>
    </row>
    <row r="27" spans="1:11" x14ac:dyDescent="0.25">
      <c r="A27" s="17"/>
      <c r="B27" s="18" t="s">
        <v>63</v>
      </c>
      <c r="C27" s="19">
        <f>C20</f>
        <v>1</v>
      </c>
      <c r="D27" s="20">
        <f>Sheet1!A10*2+Sheet1!B10*2</f>
        <v>5.9999999999999991</v>
      </c>
      <c r="E27" s="20"/>
      <c r="F27" s="20">
        <f>Sheet1!C10</f>
        <v>1.0667479427003961</v>
      </c>
      <c r="G27" s="20">
        <f>PRODUCT(C27:F27)</f>
        <v>6.4004876562023751</v>
      </c>
      <c r="H27" s="19"/>
      <c r="I27" s="19"/>
      <c r="J27" s="19"/>
      <c r="K27" s="19"/>
    </row>
    <row r="28" spans="1:11" x14ac:dyDescent="0.25">
      <c r="A28" s="17"/>
      <c r="B28" s="18" t="s">
        <v>64</v>
      </c>
      <c r="C28" s="19">
        <f>C20</f>
        <v>1</v>
      </c>
      <c r="D28" s="20">
        <f>2*(Sheet1!A10-Sheet1!D10-Sheet1!D10)+2*(Sheet1!B10-Sheet1!D10-Sheet1!D10)</f>
        <v>4.8</v>
      </c>
      <c r="E28" s="20"/>
      <c r="F28" s="20">
        <f>Sheet1!C10</f>
        <v>1.0667479427003961</v>
      </c>
      <c r="G28" s="20">
        <f>PRODUCT(C28:F28)</f>
        <v>5.1203901249619008</v>
      </c>
      <c r="H28" s="19"/>
      <c r="I28" s="19"/>
      <c r="J28" s="19"/>
      <c r="K28" s="19"/>
    </row>
    <row r="29" spans="1:11" ht="15" customHeight="1" x14ac:dyDescent="0.25">
      <c r="A29" s="21"/>
      <c r="B29" s="22" t="s">
        <v>16</v>
      </c>
      <c r="C29" s="23"/>
      <c r="D29" s="1"/>
      <c r="E29" s="24"/>
      <c r="F29" s="24"/>
      <c r="G29" s="2">
        <f>SUM(G27:G28)</f>
        <v>11.520877781164277</v>
      </c>
      <c r="H29" s="25" t="s">
        <v>36</v>
      </c>
      <c r="I29" s="2">
        <f>49954.32/100</f>
        <v>499.54320000000001</v>
      </c>
      <c r="J29" s="26">
        <f>G29*I29</f>
        <v>5755.1761536117028</v>
      </c>
      <c r="K29" s="24"/>
    </row>
    <row r="30" spans="1:11" x14ac:dyDescent="0.25">
      <c r="A30" s="17"/>
      <c r="B30" s="18" t="s">
        <v>32</v>
      </c>
      <c r="C30" s="19"/>
      <c r="D30" s="19"/>
      <c r="E30" s="19"/>
      <c r="F30" s="19"/>
      <c r="G30" s="19"/>
      <c r="H30" s="19"/>
      <c r="I30" s="19"/>
      <c r="J30" s="26">
        <f>0.13*G29*7463.32/100</f>
        <v>111.77919683023467</v>
      </c>
      <c r="K30" s="19"/>
    </row>
    <row r="31" spans="1:11" x14ac:dyDescent="0.25">
      <c r="A31" s="17"/>
      <c r="B31" s="18" t="s">
        <v>34</v>
      </c>
      <c r="C31" s="19"/>
      <c r="D31" s="19"/>
      <c r="E31" s="19"/>
      <c r="F31" s="19"/>
      <c r="G31" s="19"/>
      <c r="H31" s="19"/>
      <c r="I31" s="19"/>
      <c r="J31" s="26">
        <f>0.13*G29*7296/100</f>
        <v>109.27322157878694</v>
      </c>
      <c r="K31" s="19"/>
    </row>
    <row r="32" spans="1:11" x14ac:dyDescent="0.25">
      <c r="A32" s="17"/>
      <c r="B32" s="19"/>
      <c r="C32" s="19"/>
      <c r="D32" s="19"/>
      <c r="E32" s="19"/>
      <c r="F32" s="19"/>
      <c r="G32" s="19"/>
      <c r="H32" s="19"/>
      <c r="I32" s="19"/>
      <c r="J32" s="19"/>
      <c r="K32" s="19"/>
    </row>
    <row r="33" spans="1:27" x14ac:dyDescent="0.25">
      <c r="A33" s="17">
        <v>5</v>
      </c>
      <c r="B33" s="27" t="s">
        <v>39</v>
      </c>
      <c r="C33" s="19"/>
      <c r="D33" s="19"/>
      <c r="E33" s="19"/>
      <c r="F33" s="19"/>
      <c r="G33" s="19"/>
      <c r="H33" s="19"/>
      <c r="I33" s="19"/>
      <c r="J33" s="19"/>
      <c r="K33" s="19"/>
    </row>
    <row r="34" spans="1:27" x14ac:dyDescent="0.25">
      <c r="A34" s="17"/>
      <c r="B34" s="18" t="str">
        <f>B28</f>
        <v>-for inner face wall of intake</v>
      </c>
      <c r="C34" s="19">
        <f>C28</f>
        <v>1</v>
      </c>
      <c r="D34" s="20">
        <f>D28</f>
        <v>4.8</v>
      </c>
      <c r="E34" s="20"/>
      <c r="F34" s="20">
        <f>F28</f>
        <v>1.0667479427003961</v>
      </c>
      <c r="G34" s="20">
        <f>PRODUCT(C34:F34)</f>
        <v>5.1203901249619008</v>
      </c>
      <c r="H34" s="19"/>
      <c r="I34" s="19"/>
      <c r="J34" s="19"/>
      <c r="K34" s="19"/>
    </row>
    <row r="35" spans="1:27" x14ac:dyDescent="0.25">
      <c r="A35" s="17"/>
      <c r="B35" s="18" t="str">
        <f>B27</f>
        <v>-for outer face wall of intake</v>
      </c>
      <c r="C35" s="19">
        <f>C27</f>
        <v>1</v>
      </c>
      <c r="D35" s="20">
        <f>D27</f>
        <v>5.9999999999999991</v>
      </c>
      <c r="E35" s="20"/>
      <c r="F35" s="20">
        <f>F27</f>
        <v>1.0667479427003961</v>
      </c>
      <c r="G35" s="20">
        <f>PRODUCT(C35:F35)</f>
        <v>6.4004876562023751</v>
      </c>
      <c r="H35" s="19"/>
      <c r="I35" s="19"/>
      <c r="J35" s="19"/>
      <c r="K35" s="19"/>
    </row>
    <row r="36" spans="1:27" x14ac:dyDescent="0.25">
      <c r="A36" s="17"/>
      <c r="B36" s="18" t="s">
        <v>61</v>
      </c>
      <c r="C36" s="19">
        <f>C34</f>
        <v>1</v>
      </c>
      <c r="D36" s="20">
        <f>Sheet1!A10-Sheet1!D10-Sheet1!D10</f>
        <v>1.2</v>
      </c>
      <c r="E36" s="20">
        <f>Sheet1!B10-Sheet1!D10-Sheet1!D10</f>
        <v>1.2</v>
      </c>
      <c r="F36" s="20"/>
      <c r="G36" s="20">
        <f>PRODUCT(C36:F36)</f>
        <v>1.44</v>
      </c>
      <c r="H36" s="19"/>
      <c r="I36" s="19"/>
      <c r="J36" s="19"/>
      <c r="K36" s="19"/>
    </row>
    <row r="37" spans="1:27" ht="15" customHeight="1" x14ac:dyDescent="0.25">
      <c r="A37" s="21"/>
      <c r="B37" s="22" t="s">
        <v>16</v>
      </c>
      <c r="C37" s="23"/>
      <c r="D37" s="1"/>
      <c r="E37" s="24"/>
      <c r="F37" s="24"/>
      <c r="G37" s="2">
        <f>SUM(G34:G36)</f>
        <v>12.960877781164276</v>
      </c>
      <c r="H37" s="25" t="s">
        <v>36</v>
      </c>
      <c r="I37" s="2">
        <f>28609.6/100</f>
        <v>286.096</v>
      </c>
      <c r="J37" s="26">
        <f>G37*I37</f>
        <v>3708.055289679975</v>
      </c>
      <c r="K37" s="24"/>
    </row>
    <row r="38" spans="1:27" x14ac:dyDescent="0.25">
      <c r="A38" s="17"/>
      <c r="B38" s="18" t="s">
        <v>34</v>
      </c>
      <c r="C38" s="19"/>
      <c r="D38" s="19"/>
      <c r="E38" s="19"/>
      <c r="F38" s="19"/>
      <c r="G38" s="19"/>
      <c r="H38" s="19"/>
      <c r="I38" s="19"/>
      <c r="J38" s="26">
        <f>0.13*G37*6809.6/100</f>
        <v>114.73591134020114</v>
      </c>
      <c r="K38" s="19"/>
    </row>
    <row r="39" spans="1:27" x14ac:dyDescent="0.25">
      <c r="A39" s="17"/>
      <c r="B39" s="19"/>
      <c r="C39" s="19"/>
      <c r="D39" s="19"/>
      <c r="E39" s="19"/>
      <c r="F39" s="19"/>
      <c r="G39" s="19"/>
      <c r="H39" s="19"/>
      <c r="I39" s="19"/>
      <c r="J39" s="19"/>
      <c r="K39" s="19"/>
    </row>
    <row r="40" spans="1:27" s="11" customFormat="1" ht="30" x14ac:dyDescent="0.25">
      <c r="A40" s="21">
        <v>6</v>
      </c>
      <c r="B40" s="28" t="s">
        <v>30</v>
      </c>
      <c r="C40" s="23">
        <v>1</v>
      </c>
      <c r="D40" s="1"/>
      <c r="E40" s="24"/>
      <c r="F40" s="24"/>
      <c r="G40" s="29">
        <f>PRODUCT(C40:F40)</f>
        <v>1</v>
      </c>
      <c r="H40" s="25" t="s">
        <v>31</v>
      </c>
      <c r="I40" s="2">
        <v>3000</v>
      </c>
      <c r="J40" s="29">
        <f>G40*I40</f>
        <v>3000</v>
      </c>
      <c r="K40" s="24"/>
      <c r="AA40" s="4"/>
    </row>
    <row r="41" spans="1:27" x14ac:dyDescent="0.25">
      <c r="A41" s="17"/>
      <c r="B41" s="13"/>
      <c r="C41" s="19"/>
      <c r="D41" s="19"/>
      <c r="E41" s="19"/>
      <c r="F41" s="19"/>
      <c r="G41" s="19"/>
      <c r="H41" s="19"/>
      <c r="I41" s="19"/>
      <c r="J41" s="19"/>
      <c r="K41" s="19"/>
    </row>
    <row r="42" spans="1:27" x14ac:dyDescent="0.25">
      <c r="A42" s="17">
        <v>7</v>
      </c>
      <c r="B42" s="19" t="s">
        <v>51</v>
      </c>
      <c r="C42" s="19"/>
      <c r="D42" s="19"/>
      <c r="E42" s="19"/>
      <c r="F42" s="19"/>
      <c r="G42" s="19"/>
      <c r="H42" s="19"/>
      <c r="I42" s="19"/>
      <c r="J42" s="19"/>
      <c r="K42" s="19"/>
    </row>
    <row r="43" spans="1:27" x14ac:dyDescent="0.25">
      <c r="A43" s="17"/>
      <c r="B43" s="18" t="s">
        <v>59</v>
      </c>
      <c r="C43" s="19">
        <v>1</v>
      </c>
      <c r="D43" s="20">
        <f>Sheet1!A10*2+Sheet1!B10*2</f>
        <v>5.9999999999999991</v>
      </c>
      <c r="E43" s="20"/>
      <c r="F43" s="20">
        <f>Sheet1!C10</f>
        <v>1.0667479427003961</v>
      </c>
      <c r="G43" s="20">
        <f t="shared" ref="G43:G45" si="0">PRODUCT(C43:F43)</f>
        <v>6.4004876562023751</v>
      </c>
      <c r="H43" s="19"/>
      <c r="I43" s="19"/>
      <c r="J43" s="19"/>
      <c r="K43" s="19"/>
    </row>
    <row r="44" spans="1:27" x14ac:dyDescent="0.25">
      <c r="A44" s="17"/>
      <c r="B44" s="18" t="s">
        <v>60</v>
      </c>
      <c r="C44" s="19">
        <v>1</v>
      </c>
      <c r="D44" s="20">
        <f>2*(Sheet1!A10-Sheet1!D10-Sheet1!D10)+2*(Sheet1!B10-Sheet1!D10-Sheet1!D10)</f>
        <v>4.8</v>
      </c>
      <c r="E44" s="20"/>
      <c r="F44" s="20">
        <f>Sheet1!C10</f>
        <v>1.0667479427003961</v>
      </c>
      <c r="G44" s="20">
        <f t="shared" si="0"/>
        <v>5.1203901249619008</v>
      </c>
      <c r="H44" s="19"/>
      <c r="I44" s="19"/>
      <c r="J44" s="19"/>
      <c r="K44" s="19"/>
    </row>
    <row r="45" spans="1:27" x14ac:dyDescent="0.25">
      <c r="A45" s="17"/>
      <c r="B45" s="18" t="s">
        <v>58</v>
      </c>
      <c r="C45" s="19">
        <v>1</v>
      </c>
      <c r="D45" s="20">
        <f>(Sheet1!A10-Sheet1!D10-Sheet1!D10)</f>
        <v>1.2</v>
      </c>
      <c r="E45" s="20">
        <f>(Sheet1!B10-Sheet1!D10-Sheet1!D10)</f>
        <v>1.2</v>
      </c>
      <c r="F45" s="20"/>
      <c r="G45" s="20">
        <f t="shared" si="0"/>
        <v>1.44</v>
      </c>
      <c r="H45" s="19"/>
      <c r="I45" s="19"/>
      <c r="J45" s="19"/>
      <c r="K45" s="19"/>
    </row>
    <row r="46" spans="1:27" ht="15" customHeight="1" x14ac:dyDescent="0.25">
      <c r="A46" s="21"/>
      <c r="B46" s="22" t="s">
        <v>16</v>
      </c>
      <c r="C46" s="23"/>
      <c r="D46" s="1"/>
      <c r="E46" s="24"/>
      <c r="F46" s="24"/>
      <c r="G46" s="2">
        <f>SUM(G43:G45)</f>
        <v>12.960877781164276</v>
      </c>
      <c r="H46" s="25" t="s">
        <v>36</v>
      </c>
      <c r="I46" s="2">
        <f>11188.35/10</f>
        <v>1118.835</v>
      </c>
      <c r="J46" s="26">
        <f>G46*I46</f>
        <v>14501.083692288934</v>
      </c>
      <c r="K46" s="24"/>
    </row>
    <row r="47" spans="1:27" x14ac:dyDescent="0.25">
      <c r="A47" s="17"/>
      <c r="B47" s="18" t="s">
        <v>52</v>
      </c>
      <c r="C47" s="19"/>
      <c r="D47" s="19"/>
      <c r="E47" s="19"/>
      <c r="F47" s="19"/>
      <c r="G47" s="19"/>
      <c r="H47" s="19"/>
      <c r="I47" s="19"/>
      <c r="J47" s="26">
        <f>0.13*G46*6314/10</f>
        <v>1063.8547700335262</v>
      </c>
      <c r="K47" s="19"/>
    </row>
    <row r="48" spans="1:27" x14ac:dyDescent="0.25">
      <c r="A48" s="17"/>
      <c r="B48" s="18" t="s">
        <v>44</v>
      </c>
      <c r="C48" s="19"/>
      <c r="D48" s="19"/>
      <c r="E48" s="19"/>
      <c r="F48" s="19"/>
      <c r="G48" s="19"/>
      <c r="H48" s="19"/>
      <c r="I48" s="19"/>
      <c r="J48" s="26">
        <f>0.13*G46*330/10</f>
        <v>55.602165681194741</v>
      </c>
      <c r="K48" s="19"/>
    </row>
    <row r="49" spans="1:11" x14ac:dyDescent="0.25">
      <c r="A49" s="17"/>
      <c r="B49" s="19"/>
      <c r="C49" s="19"/>
      <c r="D49" s="19"/>
      <c r="E49" s="19"/>
      <c r="F49" s="19"/>
      <c r="G49" s="19"/>
      <c r="H49" s="19"/>
      <c r="I49" s="19"/>
      <c r="J49" s="19"/>
      <c r="K49" s="19"/>
    </row>
    <row r="50" spans="1:11" x14ac:dyDescent="0.25">
      <c r="A50" s="17">
        <v>8</v>
      </c>
      <c r="B50" s="19" t="s">
        <v>46</v>
      </c>
      <c r="C50" s="19"/>
      <c r="D50" s="19"/>
      <c r="E50" s="19"/>
      <c r="F50" s="19"/>
      <c r="G50" s="19"/>
      <c r="H50" s="19"/>
      <c r="I50" s="19"/>
      <c r="J50" s="19"/>
      <c r="K50" s="19"/>
    </row>
    <row r="51" spans="1:11" x14ac:dyDescent="0.25">
      <c r="A51" s="17"/>
      <c r="B51" s="18" t="str">
        <f>B15</f>
        <v>-for intake</v>
      </c>
      <c r="C51" s="19">
        <v>1</v>
      </c>
      <c r="D51" s="20">
        <f>Sheet1!A10</f>
        <v>1.4999999999999998</v>
      </c>
      <c r="E51" s="20">
        <f>Sheet1!B10</f>
        <v>1.4999999999999998</v>
      </c>
      <c r="F51" s="20">
        <v>0.125</v>
      </c>
      <c r="G51" s="20">
        <f t="shared" ref="G51:G54" si="1">PRODUCT(C51:F51)</f>
        <v>0.28124999999999989</v>
      </c>
      <c r="H51" s="19"/>
      <c r="I51" s="19"/>
      <c r="J51" s="19"/>
      <c r="K51" s="19"/>
    </row>
    <row r="52" spans="1:11" x14ac:dyDescent="0.25">
      <c r="A52" s="17"/>
      <c r="B52" s="18" t="s">
        <v>65</v>
      </c>
      <c r="C52" s="19">
        <v>2</v>
      </c>
      <c r="D52" s="20">
        <f>Sheet1!A10</f>
        <v>1.4999999999999998</v>
      </c>
      <c r="E52" s="20">
        <f>Sheet1!D10</f>
        <v>0.15</v>
      </c>
      <c r="F52" s="20">
        <f>Sheet1!C10</f>
        <v>1.0667479427003961</v>
      </c>
      <c r="G52" s="20">
        <f t="shared" si="1"/>
        <v>0.48003657421517815</v>
      </c>
      <c r="H52" s="19"/>
      <c r="I52" s="19"/>
      <c r="J52" s="19"/>
      <c r="K52" s="19"/>
    </row>
    <row r="53" spans="1:11" x14ac:dyDescent="0.25">
      <c r="A53" s="17"/>
      <c r="B53" s="18" t="s">
        <v>66</v>
      </c>
      <c r="C53" s="19">
        <v>2</v>
      </c>
      <c r="D53" s="20">
        <f>Sheet1!B10-Sheet1!D10-Sheet1!D10</f>
        <v>1.2</v>
      </c>
      <c r="E53" s="20">
        <f>Sheet1!D10</f>
        <v>0.15</v>
      </c>
      <c r="F53" s="20">
        <f>Sheet1!C10</f>
        <v>1.0667479427003961</v>
      </c>
      <c r="G53" s="20">
        <f t="shared" si="1"/>
        <v>0.38402925937214255</v>
      </c>
      <c r="H53" s="19"/>
      <c r="I53" s="19"/>
      <c r="J53" s="19"/>
      <c r="K53" s="19"/>
    </row>
    <row r="54" spans="1:11" x14ac:dyDescent="0.25">
      <c r="A54" s="17"/>
      <c r="B54" s="18" t="str">
        <f>B45</f>
        <v>-for intake 2 cover</v>
      </c>
      <c r="C54" s="19">
        <v>1</v>
      </c>
      <c r="D54" s="20">
        <f>Sheet1!A10</f>
        <v>1.4999999999999998</v>
      </c>
      <c r="E54" s="20">
        <f>Sheet1!B10</f>
        <v>1.4999999999999998</v>
      </c>
      <c r="F54" s="20">
        <v>0.125</v>
      </c>
      <c r="G54" s="20">
        <f t="shared" si="1"/>
        <v>0.28124999999999989</v>
      </c>
      <c r="H54" s="19"/>
      <c r="I54" s="19"/>
      <c r="J54" s="19"/>
      <c r="K54" s="19"/>
    </row>
    <row r="55" spans="1:11" ht="15" customHeight="1" x14ac:dyDescent="0.25">
      <c r="A55" s="21"/>
      <c r="B55" s="22" t="s">
        <v>16</v>
      </c>
      <c r="C55" s="23"/>
      <c r="D55" s="1"/>
      <c r="E55" s="24"/>
      <c r="F55" s="24"/>
      <c r="G55" s="2">
        <f>SUM(G51:G54)</f>
        <v>1.4265658335873206</v>
      </c>
      <c r="H55" s="25" t="s">
        <v>28</v>
      </c>
      <c r="I55" s="2">
        <v>14337.7</v>
      </c>
      <c r="J55" s="26">
        <f>G55*I55</f>
        <v>20453.672952224926</v>
      </c>
      <c r="K55" s="24"/>
    </row>
    <row r="56" spans="1:11" x14ac:dyDescent="0.25">
      <c r="A56" s="17"/>
      <c r="B56" s="18" t="s">
        <v>34</v>
      </c>
      <c r="C56" s="19"/>
      <c r="D56" s="19"/>
      <c r="E56" s="19"/>
      <c r="F56" s="19"/>
      <c r="G56" s="19"/>
      <c r="H56" s="19"/>
      <c r="I56" s="19"/>
      <c r="J56" s="26">
        <f>0.13*G55*5120</f>
        <v>949.52221883572065</v>
      </c>
      <c r="K56" s="19"/>
    </row>
    <row r="57" spans="1:11" x14ac:dyDescent="0.25">
      <c r="A57" s="17"/>
      <c r="B57" s="18" t="s">
        <v>32</v>
      </c>
      <c r="C57" s="19"/>
      <c r="D57" s="19"/>
      <c r="E57" s="19"/>
      <c r="F57" s="19"/>
      <c r="G57" s="19"/>
      <c r="H57" s="19"/>
      <c r="I57" s="19"/>
      <c r="J57" s="26">
        <f>0.13*G55*1349.75</f>
        <v>250.31594040498319</v>
      </c>
      <c r="K57" s="19"/>
    </row>
    <row r="58" spans="1:11" x14ac:dyDescent="0.25">
      <c r="A58" s="17"/>
      <c r="B58" s="18" t="s">
        <v>35</v>
      </c>
      <c r="C58" s="19"/>
      <c r="D58" s="19"/>
      <c r="E58" s="19"/>
      <c r="F58" s="19"/>
      <c r="G58" s="19"/>
      <c r="H58" s="19"/>
      <c r="I58" s="19"/>
      <c r="J58" s="26">
        <f>0.13*G55*(972.17+1910.82)</f>
        <v>534.66075423460825</v>
      </c>
      <c r="K58" s="19"/>
    </row>
    <row r="59" spans="1:11" x14ac:dyDescent="0.25">
      <c r="A59" s="17"/>
      <c r="B59" s="19"/>
      <c r="C59" s="19"/>
      <c r="D59" s="19"/>
      <c r="E59" s="19"/>
      <c r="F59" s="19"/>
      <c r="G59" s="19"/>
      <c r="H59" s="19"/>
      <c r="I59" s="19"/>
      <c r="J59" s="19"/>
      <c r="K59" s="19"/>
    </row>
    <row r="60" spans="1:11" s="11" customFormat="1" ht="45" x14ac:dyDescent="0.25">
      <c r="A60" s="17">
        <v>9</v>
      </c>
      <c r="B60" s="30" t="s">
        <v>47</v>
      </c>
      <c r="C60" s="30" t="s">
        <v>7</v>
      </c>
      <c r="D60" s="31" t="s">
        <v>27</v>
      </c>
      <c r="E60" s="31" t="s">
        <v>42</v>
      </c>
      <c r="F60" s="31" t="s">
        <v>43</v>
      </c>
      <c r="G60" s="30"/>
      <c r="H60" s="30"/>
      <c r="I60" s="30"/>
      <c r="J60" s="30"/>
      <c r="K60" s="30"/>
    </row>
    <row r="61" spans="1:11" x14ac:dyDescent="0.25">
      <c r="A61" s="17"/>
      <c r="B61" s="18" t="str">
        <f>B51</f>
        <v>-for intake</v>
      </c>
      <c r="C61" s="19">
        <f>TRUNC((Sheet1!A10-0.1)/0.15,0)+1</f>
        <v>10</v>
      </c>
      <c r="D61" s="20">
        <f>(Sheet1!B10-Sheet1!D10)+(Sheet1!C10-0.05+Sheet1!D10/2)*2</f>
        <v>3.5334958854007921</v>
      </c>
      <c r="E61" s="20">
        <f t="shared" ref="E61:E66" si="2">10*10/162</f>
        <v>0.61728395061728392</v>
      </c>
      <c r="F61" s="20">
        <f t="shared" ref="F61:F66" si="3">PRODUCT(C61:E61)</f>
        <v>21.811702996301186</v>
      </c>
      <c r="G61" s="20">
        <f t="shared" ref="G61:G66" si="4">F61</f>
        <v>21.811702996301186</v>
      </c>
      <c r="H61" s="19"/>
      <c r="I61" s="19"/>
      <c r="J61" s="19"/>
      <c r="K61" s="19"/>
    </row>
    <row r="62" spans="1:11" x14ac:dyDescent="0.25">
      <c r="A62" s="17"/>
      <c r="B62" s="18"/>
      <c r="C62" s="19">
        <f>TRUNC((Sheet1!B10-0.1)/0.15,0)+1</f>
        <v>10</v>
      </c>
      <c r="D62" s="20">
        <f>(Sheet1!A10-Sheet1!D10)+(Sheet1!C10-0.05+Sheet1!D10/2)*2</f>
        <v>3.5334958854007921</v>
      </c>
      <c r="E62" s="20">
        <f t="shared" si="2"/>
        <v>0.61728395061728392</v>
      </c>
      <c r="F62" s="20">
        <f t="shared" si="3"/>
        <v>21.811702996301186</v>
      </c>
      <c r="G62" s="20">
        <f t="shared" si="4"/>
        <v>21.811702996301186</v>
      </c>
      <c r="H62" s="19"/>
      <c r="I62" s="19"/>
      <c r="J62" s="19"/>
      <c r="K62" s="19"/>
    </row>
    <row r="63" spans="1:11" x14ac:dyDescent="0.25">
      <c r="A63" s="17"/>
      <c r="B63" s="18" t="s">
        <v>67</v>
      </c>
      <c r="C63" s="19">
        <f>(TRUNC((Sheet1!C10+Sheet1!D10-0.05-0.05)/0.15,0)+1)</f>
        <v>8</v>
      </c>
      <c r="D63" s="20">
        <f>(Sheet1!A10-0.05-0.05)*2</f>
        <v>2.7999999999999994</v>
      </c>
      <c r="E63" s="20">
        <f t="shared" si="2"/>
        <v>0.61728395061728392</v>
      </c>
      <c r="F63" s="20">
        <f t="shared" si="3"/>
        <v>13.827160493827156</v>
      </c>
      <c r="G63" s="20">
        <f t="shared" si="4"/>
        <v>13.827160493827156</v>
      </c>
      <c r="H63" s="19"/>
      <c r="I63" s="19"/>
      <c r="J63" s="19"/>
      <c r="K63" s="19"/>
    </row>
    <row r="64" spans="1:11" x14ac:dyDescent="0.25">
      <c r="A64" s="17"/>
      <c r="B64" s="18"/>
      <c r="C64" s="19">
        <f>(TRUNC((Sheet1!C10+Sheet1!D10-0.05-0.05)/0.15,0)+1)</f>
        <v>8</v>
      </c>
      <c r="D64" s="20">
        <f>(Sheet1!B10-0.05-0.05)*2</f>
        <v>2.7999999999999994</v>
      </c>
      <c r="E64" s="20">
        <f t="shared" si="2"/>
        <v>0.61728395061728392</v>
      </c>
      <c r="F64" s="20">
        <f t="shared" ref="F64" si="5">PRODUCT(C64:E64)</f>
        <v>13.827160493827156</v>
      </c>
      <c r="G64" s="20">
        <f t="shared" si="4"/>
        <v>13.827160493827156</v>
      </c>
      <c r="H64" s="19"/>
      <c r="I64" s="19"/>
      <c r="J64" s="19"/>
      <c r="K64" s="19"/>
    </row>
    <row r="65" spans="1:26" x14ac:dyDescent="0.25">
      <c r="A65" s="17"/>
      <c r="B65" s="18" t="str">
        <f>B54</f>
        <v>-for intake 2 cover</v>
      </c>
      <c r="C65" s="19">
        <f>TRUNC((D66)/0.15,0)+1</f>
        <v>10</v>
      </c>
      <c r="D65" s="20">
        <f>Sheet1!A10-0.1</f>
        <v>1.3999999999999997</v>
      </c>
      <c r="E65" s="20">
        <f t="shared" si="2"/>
        <v>0.61728395061728392</v>
      </c>
      <c r="F65" s="20">
        <f t="shared" si="3"/>
        <v>8.6419753086419728</v>
      </c>
      <c r="G65" s="20">
        <f t="shared" si="4"/>
        <v>8.6419753086419728</v>
      </c>
      <c r="H65" s="19"/>
      <c r="I65" s="19"/>
      <c r="J65" s="19"/>
      <c r="K65" s="19"/>
    </row>
    <row r="66" spans="1:26" x14ac:dyDescent="0.25">
      <c r="A66" s="17"/>
      <c r="B66" s="18"/>
      <c r="C66" s="19">
        <f>TRUNC((D65)/0.15,0)+1</f>
        <v>10</v>
      </c>
      <c r="D66" s="20">
        <f>Sheet1!B10-0.1</f>
        <v>1.3999999999999997</v>
      </c>
      <c r="E66" s="20">
        <f t="shared" si="2"/>
        <v>0.61728395061728392</v>
      </c>
      <c r="F66" s="20">
        <f t="shared" si="3"/>
        <v>8.6419753086419728</v>
      </c>
      <c r="G66" s="20">
        <f t="shared" si="4"/>
        <v>8.6419753086419728</v>
      </c>
      <c r="H66" s="19"/>
      <c r="I66" s="19"/>
      <c r="J66" s="19"/>
      <c r="K66" s="19"/>
    </row>
    <row r="67" spans="1:26" ht="15" customHeight="1" x14ac:dyDescent="0.25">
      <c r="A67" s="21"/>
      <c r="B67" s="22" t="s">
        <v>16</v>
      </c>
      <c r="C67" s="23"/>
      <c r="D67" s="1"/>
      <c r="E67" s="24"/>
      <c r="F67" s="24"/>
      <c r="G67" s="2">
        <f>SUM(G61:G66)</f>
        <v>88.561677597540637</v>
      </c>
      <c r="H67" s="25" t="s">
        <v>48</v>
      </c>
      <c r="I67" s="2">
        <f>9831.6/100</f>
        <v>98.316000000000003</v>
      </c>
      <c r="J67" s="26">
        <f>G67*I67</f>
        <v>8707.0298946798048</v>
      </c>
      <c r="K67" s="24"/>
    </row>
    <row r="68" spans="1:26" x14ac:dyDescent="0.25">
      <c r="A68" s="17"/>
      <c r="B68" s="18" t="s">
        <v>49</v>
      </c>
      <c r="C68" s="19"/>
      <c r="D68" s="19"/>
      <c r="E68" s="19"/>
      <c r="F68" s="19"/>
      <c r="G68" s="19"/>
      <c r="H68" s="19"/>
      <c r="I68" s="19"/>
      <c r="J68" s="26">
        <f>0.13*G67*9450/100</f>
        <v>1087.9802092857867</v>
      </c>
      <c r="K68" s="19"/>
    </row>
    <row r="69" spans="1:26" x14ac:dyDescent="0.25">
      <c r="A69" s="17"/>
      <c r="B69" s="18" t="s">
        <v>50</v>
      </c>
      <c r="C69" s="19"/>
      <c r="D69" s="19"/>
      <c r="E69" s="19"/>
      <c r="F69" s="19"/>
      <c r="G69" s="19"/>
      <c r="H69" s="19"/>
      <c r="I69" s="19"/>
      <c r="J69" s="26">
        <f>0.13*G67*120/100</f>
        <v>13.815621705216341</v>
      </c>
      <c r="K69" s="19"/>
    </row>
    <row r="70" spans="1:26" x14ac:dyDescent="0.25">
      <c r="A70" s="17"/>
      <c r="B70" s="19"/>
      <c r="C70" s="19"/>
      <c r="D70" s="19"/>
      <c r="E70" s="19"/>
      <c r="F70" s="19"/>
      <c r="G70" s="19"/>
      <c r="H70" s="19"/>
      <c r="I70" s="19"/>
      <c r="J70" s="19"/>
      <c r="K70" s="19"/>
    </row>
    <row r="71" spans="1:26" ht="30" x14ac:dyDescent="0.25">
      <c r="A71" s="17" t="s">
        <v>81</v>
      </c>
      <c r="B71" s="13" t="s">
        <v>71</v>
      </c>
      <c r="C71" s="19"/>
      <c r="D71" s="19"/>
      <c r="E71" s="19"/>
      <c r="F71" s="19"/>
      <c r="G71" s="19"/>
      <c r="H71" s="19"/>
      <c r="I71" s="19"/>
      <c r="J71" s="26"/>
      <c r="K71" s="19"/>
      <c r="M71" s="11"/>
      <c r="N71" s="11"/>
      <c r="O71" s="11"/>
      <c r="P71" s="11"/>
      <c r="Q71" s="11"/>
      <c r="R71" s="11"/>
      <c r="S71" s="11"/>
      <c r="T71" s="11"/>
      <c r="U71" s="11"/>
      <c r="V71" s="11"/>
      <c r="W71" s="11"/>
      <c r="X71" s="11"/>
      <c r="Y71" s="11"/>
      <c r="Z71" s="4"/>
    </row>
    <row r="72" spans="1:26" x14ac:dyDescent="0.25">
      <c r="A72" s="17">
        <v>10</v>
      </c>
      <c r="B72" s="18" t="s">
        <v>72</v>
      </c>
      <c r="C72" s="19">
        <f>2+1</f>
        <v>3</v>
      </c>
      <c r="D72" s="20"/>
      <c r="E72" s="19"/>
      <c r="F72" s="19"/>
      <c r="G72" s="20">
        <f>PRODUCT(C72:F72)</f>
        <v>3</v>
      </c>
      <c r="H72" s="19"/>
      <c r="I72" s="29"/>
      <c r="J72" s="29"/>
      <c r="K72" s="19"/>
      <c r="M72" s="4"/>
      <c r="N72" s="4"/>
      <c r="O72" s="4"/>
      <c r="P72" s="4"/>
      <c r="Q72" s="4"/>
      <c r="R72" s="4"/>
      <c r="S72" s="4"/>
      <c r="T72" s="4"/>
      <c r="U72" s="4"/>
      <c r="V72" s="4"/>
      <c r="W72" s="4"/>
      <c r="X72" s="4"/>
      <c r="Y72" s="4"/>
      <c r="Z72" s="4"/>
    </row>
    <row r="73" spans="1:26" ht="15" customHeight="1" x14ac:dyDescent="0.25">
      <c r="A73" s="21"/>
      <c r="B73" s="22" t="s">
        <v>16</v>
      </c>
      <c r="C73" s="23"/>
      <c r="D73" s="1"/>
      <c r="E73" s="24"/>
      <c r="F73" s="24"/>
      <c r="G73" s="2">
        <f>SUM(G72:G72)</f>
        <v>3</v>
      </c>
      <c r="H73" s="25" t="s">
        <v>73</v>
      </c>
      <c r="I73" s="2">
        <v>153</v>
      </c>
      <c r="J73" s="26">
        <f>G73*I73</f>
        <v>459</v>
      </c>
      <c r="K73" s="24"/>
      <c r="M73" s="4"/>
      <c r="N73" s="4"/>
      <c r="O73" s="4"/>
      <c r="P73" s="4"/>
      <c r="Q73" s="4"/>
      <c r="R73" s="4"/>
      <c r="S73" s="4"/>
      <c r="T73" s="4"/>
      <c r="U73" s="4"/>
      <c r="V73" s="4"/>
      <c r="W73" s="4"/>
      <c r="X73" s="4"/>
      <c r="Y73" s="4"/>
      <c r="Z73" s="4"/>
    </row>
    <row r="74" spans="1:26" x14ac:dyDescent="0.25">
      <c r="A74" s="17"/>
      <c r="B74" s="18" t="s">
        <v>74</v>
      </c>
      <c r="C74" s="19"/>
      <c r="D74" s="19"/>
      <c r="E74" s="19"/>
      <c r="F74" s="19"/>
      <c r="G74" s="19"/>
      <c r="H74" s="19"/>
      <c r="I74" s="19"/>
      <c r="J74" s="26">
        <f>0.13*J73</f>
        <v>59.67</v>
      </c>
      <c r="K74" s="19"/>
      <c r="M74" s="4"/>
      <c r="N74" s="4"/>
      <c r="O74" s="4"/>
      <c r="P74" s="4"/>
      <c r="Q74" s="4"/>
      <c r="R74" s="4"/>
      <c r="S74" s="4"/>
      <c r="T74" s="4"/>
      <c r="U74" s="4"/>
      <c r="V74" s="4"/>
      <c r="W74" s="4"/>
      <c r="X74" s="4"/>
      <c r="Y74" s="4"/>
      <c r="Z74" s="4"/>
    </row>
    <row r="75" spans="1:26" x14ac:dyDescent="0.25">
      <c r="A75" s="17"/>
      <c r="B75" s="18"/>
      <c r="C75" s="19"/>
      <c r="D75" s="19"/>
      <c r="E75" s="19"/>
      <c r="F75" s="19"/>
      <c r="G75" s="19"/>
      <c r="H75" s="19"/>
      <c r="I75" s="19"/>
      <c r="J75" s="26"/>
      <c r="K75" s="19"/>
      <c r="M75" s="4"/>
      <c r="N75" s="4"/>
      <c r="O75" s="4"/>
      <c r="P75" s="4"/>
      <c r="Q75" s="4"/>
      <c r="R75" s="4"/>
      <c r="S75" s="4"/>
      <c r="T75" s="4"/>
      <c r="U75" s="4"/>
      <c r="V75" s="4"/>
      <c r="W75" s="4"/>
      <c r="X75" s="4"/>
      <c r="Y75" s="4"/>
      <c r="Z75" s="4"/>
    </row>
    <row r="76" spans="1:26" x14ac:dyDescent="0.25">
      <c r="A76" s="17">
        <v>11</v>
      </c>
      <c r="B76" s="18" t="s">
        <v>75</v>
      </c>
      <c r="C76" s="19">
        <f>1+3</f>
        <v>4</v>
      </c>
      <c r="D76" s="20"/>
      <c r="E76" s="19"/>
      <c r="F76" s="19"/>
      <c r="G76" s="20">
        <f t="shared" ref="G76:G80" si="6">PRODUCT(C76:F76)</f>
        <v>4</v>
      </c>
      <c r="H76" s="19" t="s">
        <v>73</v>
      </c>
      <c r="I76" s="29"/>
      <c r="J76" s="29"/>
      <c r="K76" s="19"/>
      <c r="M76" s="4"/>
      <c r="N76" s="4"/>
      <c r="O76" s="4"/>
      <c r="P76" s="4"/>
      <c r="Q76" s="4"/>
      <c r="R76" s="4"/>
      <c r="S76" s="4"/>
      <c r="T76" s="4"/>
      <c r="U76" s="4"/>
      <c r="V76" s="4"/>
      <c r="W76" s="4"/>
      <c r="X76" s="4"/>
      <c r="Y76" s="4"/>
      <c r="Z76" s="4"/>
    </row>
    <row r="77" spans="1:26" ht="15" customHeight="1" x14ac:dyDescent="0.25">
      <c r="A77" s="21"/>
      <c r="B77" s="22" t="s">
        <v>16</v>
      </c>
      <c r="C77" s="23"/>
      <c r="D77" s="1"/>
      <c r="E77" s="24"/>
      <c r="F77" s="24"/>
      <c r="G77" s="2">
        <f>SUM(G76:G76)</f>
        <v>4</v>
      </c>
      <c r="H77" s="25" t="s">
        <v>73</v>
      </c>
      <c r="I77" s="2">
        <v>57</v>
      </c>
      <c r="J77" s="26">
        <f>G77*I77</f>
        <v>228</v>
      </c>
      <c r="K77" s="24"/>
      <c r="M77" s="4"/>
      <c r="N77" s="4"/>
      <c r="O77" s="4"/>
      <c r="P77" s="4"/>
      <c r="Q77" s="4"/>
      <c r="R77" s="4"/>
      <c r="S77" s="4"/>
      <c r="T77" s="4"/>
      <c r="U77" s="4"/>
      <c r="V77" s="4"/>
      <c r="W77" s="4"/>
      <c r="X77" s="4"/>
      <c r="Y77" s="4"/>
      <c r="Z77" s="4"/>
    </row>
    <row r="78" spans="1:26" x14ac:dyDescent="0.25">
      <c r="A78" s="17"/>
      <c r="B78" s="18" t="s">
        <v>74</v>
      </c>
      <c r="C78" s="19"/>
      <c r="D78" s="19"/>
      <c r="E78" s="19"/>
      <c r="F78" s="19"/>
      <c r="G78" s="19"/>
      <c r="H78" s="19"/>
      <c r="I78" s="19"/>
      <c r="J78" s="26">
        <f>0.13*J77</f>
        <v>29.64</v>
      </c>
      <c r="K78" s="19"/>
      <c r="M78" s="4"/>
      <c r="N78" s="4"/>
      <c r="O78" s="4"/>
      <c r="P78" s="4"/>
      <c r="Q78" s="4"/>
      <c r="R78" s="4"/>
      <c r="S78" s="4"/>
      <c r="T78" s="4"/>
      <c r="U78" s="4"/>
      <c r="V78" s="4"/>
      <c r="W78" s="4"/>
      <c r="X78" s="4"/>
      <c r="Y78" s="4"/>
      <c r="Z78" s="4"/>
    </row>
    <row r="79" spans="1:26" x14ac:dyDescent="0.25">
      <c r="A79" s="17"/>
      <c r="B79" s="18"/>
      <c r="C79" s="19"/>
      <c r="D79" s="19"/>
      <c r="E79" s="19"/>
      <c r="F79" s="19"/>
      <c r="G79" s="19"/>
      <c r="H79" s="19"/>
      <c r="I79" s="19"/>
      <c r="J79" s="26"/>
      <c r="K79" s="19"/>
      <c r="M79" s="4"/>
      <c r="N79" s="4"/>
      <c r="O79" s="4"/>
      <c r="P79" s="4"/>
      <c r="Q79" s="4"/>
      <c r="R79" s="4"/>
      <c r="S79" s="4"/>
      <c r="T79" s="4"/>
      <c r="U79" s="4"/>
      <c r="V79" s="4"/>
      <c r="W79" s="4"/>
      <c r="X79" s="4"/>
      <c r="Y79" s="4"/>
      <c r="Z79" s="4"/>
    </row>
    <row r="80" spans="1:26" x14ac:dyDescent="0.25">
      <c r="A80" s="17">
        <v>12</v>
      </c>
      <c r="B80" s="18" t="s">
        <v>76</v>
      </c>
      <c r="C80" s="19">
        <v>6</v>
      </c>
      <c r="D80" s="20"/>
      <c r="E80" s="19"/>
      <c r="F80" s="19"/>
      <c r="G80" s="20">
        <f t="shared" si="6"/>
        <v>6</v>
      </c>
      <c r="H80" s="19" t="s">
        <v>73</v>
      </c>
      <c r="I80" s="29"/>
      <c r="J80" s="29"/>
      <c r="K80" s="19"/>
      <c r="M80" s="4"/>
      <c r="N80" s="4"/>
      <c r="O80" s="4"/>
      <c r="P80" s="4"/>
      <c r="Q80" s="4"/>
      <c r="R80" s="4"/>
      <c r="S80" s="4"/>
      <c r="T80" s="4"/>
      <c r="U80" s="4"/>
      <c r="V80" s="4"/>
      <c r="W80" s="4"/>
      <c r="X80" s="4"/>
      <c r="Y80" s="4"/>
      <c r="Z80" s="4"/>
    </row>
    <row r="81" spans="1:26" ht="15" customHeight="1" x14ac:dyDescent="0.25">
      <c r="A81" s="21"/>
      <c r="B81" s="22" t="s">
        <v>16</v>
      </c>
      <c r="C81" s="23"/>
      <c r="D81" s="1"/>
      <c r="E81" s="24"/>
      <c r="F81" s="24"/>
      <c r="G81" s="2">
        <f>SUM(G80:G80)</f>
        <v>6</v>
      </c>
      <c r="H81" s="25" t="s">
        <v>73</v>
      </c>
      <c r="I81" s="2">
        <v>600</v>
      </c>
      <c r="J81" s="26">
        <f>G81*I81</f>
        <v>3600</v>
      </c>
      <c r="K81" s="24"/>
      <c r="M81" s="4"/>
      <c r="N81" s="4"/>
      <c r="O81" s="4"/>
      <c r="P81" s="4"/>
      <c r="Q81" s="4"/>
      <c r="R81" s="4"/>
      <c r="S81" s="4"/>
      <c r="T81" s="4"/>
      <c r="U81" s="4"/>
      <c r="V81" s="4"/>
      <c r="W81" s="4"/>
      <c r="X81" s="4"/>
      <c r="Y81" s="4"/>
      <c r="Z81" s="4"/>
    </row>
    <row r="82" spans="1:26" x14ac:dyDescent="0.25">
      <c r="A82" s="17"/>
      <c r="B82" s="18" t="s">
        <v>74</v>
      </c>
      <c r="C82" s="19"/>
      <c r="D82" s="19"/>
      <c r="E82" s="19"/>
      <c r="F82" s="19"/>
      <c r="G82" s="19"/>
      <c r="H82" s="19"/>
      <c r="I82" s="19"/>
      <c r="J82" s="26">
        <f>0.13*J81</f>
        <v>468</v>
      </c>
      <c r="K82" s="19"/>
      <c r="M82" s="4"/>
      <c r="N82" s="4"/>
      <c r="O82" s="4"/>
      <c r="P82" s="4"/>
      <c r="Q82" s="4"/>
      <c r="R82" s="4"/>
      <c r="S82" s="4"/>
      <c r="T82" s="4"/>
      <c r="U82" s="4"/>
      <c r="V82" s="4"/>
      <c r="W82" s="4"/>
      <c r="X82" s="4"/>
      <c r="Y82" s="4"/>
      <c r="Z82" s="4"/>
    </row>
    <row r="83" spans="1:26" x14ac:dyDescent="0.25">
      <c r="A83" s="17"/>
      <c r="B83" s="18"/>
      <c r="C83" s="19"/>
      <c r="D83" s="19"/>
      <c r="E83" s="19"/>
      <c r="F83" s="19"/>
      <c r="G83" s="19"/>
      <c r="H83" s="19"/>
      <c r="I83" s="19"/>
      <c r="J83" s="26"/>
      <c r="K83" s="19"/>
      <c r="M83" s="4"/>
      <c r="N83" s="4"/>
      <c r="O83" s="4"/>
      <c r="P83" s="4"/>
      <c r="Q83" s="4"/>
      <c r="R83" s="4"/>
      <c r="S83" s="4"/>
      <c r="T83" s="4"/>
      <c r="U83" s="4"/>
      <c r="V83" s="4"/>
      <c r="W83" s="4"/>
      <c r="X83" s="4"/>
      <c r="Y83" s="4"/>
      <c r="Z83" s="4"/>
    </row>
    <row r="84" spans="1:26" x14ac:dyDescent="0.25">
      <c r="A84" s="17">
        <v>13</v>
      </c>
      <c r="B84" s="18" t="s">
        <v>77</v>
      </c>
      <c r="C84" s="19">
        <v>1</v>
      </c>
      <c r="D84" s="20"/>
      <c r="E84" s="19"/>
      <c r="F84" s="19"/>
      <c r="G84" s="20">
        <f t="shared" ref="G84:G96" si="7">PRODUCT(C84:F84)</f>
        <v>1</v>
      </c>
      <c r="H84" s="19" t="s">
        <v>73</v>
      </c>
      <c r="I84" s="29"/>
      <c r="J84" s="29"/>
      <c r="K84" s="19"/>
      <c r="M84" s="4"/>
      <c r="N84" s="4"/>
      <c r="O84" s="4"/>
      <c r="P84" s="4"/>
      <c r="Q84" s="4"/>
      <c r="R84" s="4"/>
      <c r="S84" s="4"/>
      <c r="T84" s="4"/>
      <c r="U84" s="4"/>
      <c r="V84" s="4"/>
      <c r="W84" s="4"/>
      <c r="X84" s="4"/>
      <c r="Y84" s="4"/>
      <c r="Z84" s="4"/>
    </row>
    <row r="85" spans="1:26" ht="15" customHeight="1" x14ac:dyDescent="0.25">
      <c r="A85" s="21"/>
      <c r="B85" s="22" t="s">
        <v>16</v>
      </c>
      <c r="C85" s="23"/>
      <c r="D85" s="1"/>
      <c r="E85" s="24"/>
      <c r="F85" s="24"/>
      <c r="G85" s="2">
        <f>SUM(G84:G84)</f>
        <v>1</v>
      </c>
      <c r="H85" s="25" t="s">
        <v>73</v>
      </c>
      <c r="I85" s="2">
        <v>180</v>
      </c>
      <c r="J85" s="26">
        <f>G85*I85</f>
        <v>180</v>
      </c>
      <c r="K85" s="24"/>
      <c r="M85" s="4"/>
      <c r="N85" s="4"/>
      <c r="O85" s="4"/>
      <c r="P85" s="4"/>
      <c r="Q85" s="4"/>
      <c r="R85" s="4"/>
      <c r="S85" s="4"/>
      <c r="T85" s="4"/>
      <c r="U85" s="4"/>
      <c r="V85" s="4"/>
      <c r="W85" s="4"/>
      <c r="X85" s="4"/>
      <c r="Y85" s="4"/>
      <c r="Z85" s="4"/>
    </row>
    <row r="86" spans="1:26" x14ac:dyDescent="0.25">
      <c r="A86" s="17"/>
      <c r="B86" s="18" t="s">
        <v>74</v>
      </c>
      <c r="C86" s="19"/>
      <c r="D86" s="19"/>
      <c r="E86" s="19"/>
      <c r="F86" s="19"/>
      <c r="G86" s="19"/>
      <c r="H86" s="19"/>
      <c r="I86" s="19"/>
      <c r="J86" s="26">
        <f>0.13*J85</f>
        <v>23.400000000000002</v>
      </c>
      <c r="K86" s="19"/>
      <c r="M86" s="4"/>
      <c r="N86" s="4"/>
      <c r="O86" s="4"/>
      <c r="P86" s="4"/>
      <c r="Q86" s="4"/>
      <c r="R86" s="4"/>
      <c r="S86" s="4"/>
      <c r="T86" s="4"/>
      <c r="U86" s="4"/>
      <c r="V86" s="4"/>
      <c r="W86" s="4"/>
      <c r="X86" s="4"/>
      <c r="Y86" s="4"/>
      <c r="Z86" s="4"/>
    </row>
    <row r="87" spans="1:26" x14ac:dyDescent="0.25">
      <c r="A87" s="17"/>
      <c r="B87" s="18"/>
      <c r="C87" s="19"/>
      <c r="D87" s="19"/>
      <c r="E87" s="19"/>
      <c r="F87" s="19"/>
      <c r="G87" s="19"/>
      <c r="H87" s="19"/>
      <c r="I87" s="19"/>
      <c r="J87" s="26"/>
      <c r="K87" s="19"/>
      <c r="M87" s="4"/>
      <c r="N87" s="4"/>
      <c r="O87" s="4"/>
      <c r="P87" s="4"/>
      <c r="Q87" s="4"/>
      <c r="R87" s="4"/>
      <c r="S87" s="4"/>
      <c r="T87" s="4"/>
      <c r="U87" s="4"/>
      <c r="V87" s="4"/>
      <c r="W87" s="4"/>
      <c r="X87" s="4"/>
      <c r="Y87" s="4"/>
      <c r="Z87" s="4"/>
    </row>
    <row r="88" spans="1:26" ht="30" x14ac:dyDescent="0.25">
      <c r="A88" s="17">
        <v>14</v>
      </c>
      <c r="B88" s="58" t="s">
        <v>78</v>
      </c>
      <c r="C88" s="19">
        <v>1</v>
      </c>
      <c r="D88" s="20"/>
      <c r="E88" s="19"/>
      <c r="F88" s="19"/>
      <c r="G88" s="20">
        <f t="shared" si="7"/>
        <v>1</v>
      </c>
      <c r="H88" s="19" t="s">
        <v>73</v>
      </c>
      <c r="I88" s="29"/>
      <c r="J88" s="29"/>
      <c r="K88" s="19"/>
      <c r="M88" s="4"/>
      <c r="N88" s="4"/>
      <c r="O88" s="4"/>
      <c r="P88" s="4"/>
      <c r="Q88" s="4"/>
      <c r="R88" s="4"/>
      <c r="S88" s="4"/>
      <c r="T88" s="4"/>
      <c r="U88" s="4"/>
      <c r="V88" s="4"/>
      <c r="W88" s="4"/>
      <c r="X88" s="4"/>
      <c r="Y88" s="4"/>
      <c r="Z88" s="4"/>
    </row>
    <row r="89" spans="1:26" ht="15" customHeight="1" x14ac:dyDescent="0.25">
      <c r="A89" s="21"/>
      <c r="B89" s="22" t="s">
        <v>16</v>
      </c>
      <c r="C89" s="23"/>
      <c r="D89" s="1"/>
      <c r="E89" s="24"/>
      <c r="F89" s="24"/>
      <c r="G89" s="2">
        <f>SUM(G88:G88)</f>
        <v>1</v>
      </c>
      <c r="H89" s="25" t="s">
        <v>73</v>
      </c>
      <c r="I89" s="2">
        <v>34</v>
      </c>
      <c r="J89" s="26">
        <f>G89*I89</f>
        <v>34</v>
      </c>
      <c r="K89" s="24"/>
      <c r="M89" s="4"/>
      <c r="N89" s="4"/>
      <c r="O89" s="4"/>
      <c r="P89" s="4"/>
      <c r="Q89" s="4"/>
      <c r="R89" s="4"/>
      <c r="S89" s="4"/>
      <c r="T89" s="4"/>
      <c r="U89" s="4"/>
      <c r="V89" s="4"/>
      <c r="W89" s="4"/>
      <c r="X89" s="4"/>
      <c r="Y89" s="4"/>
      <c r="Z89" s="4"/>
    </row>
    <row r="90" spans="1:26" x14ac:dyDescent="0.25">
      <c r="A90" s="17"/>
      <c r="B90" s="18" t="s">
        <v>74</v>
      </c>
      <c r="C90" s="19"/>
      <c r="D90" s="19"/>
      <c r="E90" s="19"/>
      <c r="F90" s="19"/>
      <c r="G90" s="19"/>
      <c r="H90" s="19"/>
      <c r="I90" s="19"/>
      <c r="J90" s="26">
        <f>0.13*J89</f>
        <v>4.42</v>
      </c>
      <c r="K90" s="19"/>
      <c r="M90" s="4"/>
      <c r="N90" s="4"/>
      <c r="O90" s="4"/>
      <c r="P90" s="4"/>
      <c r="Q90" s="4"/>
      <c r="R90" s="4"/>
      <c r="S90" s="4"/>
      <c r="T90" s="4"/>
      <c r="U90" s="4"/>
      <c r="V90" s="4"/>
      <c r="W90" s="4"/>
      <c r="X90" s="4"/>
      <c r="Y90" s="4"/>
      <c r="Z90" s="4"/>
    </row>
    <row r="91" spans="1:26" x14ac:dyDescent="0.25">
      <c r="A91" s="17"/>
      <c r="B91" s="18"/>
      <c r="C91" s="19"/>
      <c r="D91" s="19"/>
      <c r="E91" s="19"/>
      <c r="F91" s="19"/>
      <c r="G91" s="19"/>
      <c r="H91" s="19"/>
      <c r="I91" s="19"/>
      <c r="J91" s="26"/>
      <c r="K91" s="19"/>
      <c r="M91" s="4"/>
      <c r="N91" s="4"/>
      <c r="O91" s="4"/>
      <c r="P91" s="4"/>
      <c r="Q91" s="4"/>
      <c r="R91" s="4"/>
      <c r="S91" s="4"/>
      <c r="T91" s="4"/>
      <c r="U91" s="4"/>
      <c r="V91" s="4"/>
      <c r="W91" s="4"/>
      <c r="X91" s="4"/>
      <c r="Y91" s="4"/>
      <c r="Z91" s="4"/>
    </row>
    <row r="92" spans="1:26" x14ac:dyDescent="0.25">
      <c r="A92" s="17">
        <v>15</v>
      </c>
      <c r="B92" s="18" t="s">
        <v>79</v>
      </c>
      <c r="C92" s="19">
        <v>1</v>
      </c>
      <c r="D92" s="20"/>
      <c r="E92" s="19"/>
      <c r="F92" s="19"/>
      <c r="G92" s="20">
        <f t="shared" si="7"/>
        <v>1</v>
      </c>
      <c r="H92" s="19" t="s">
        <v>73</v>
      </c>
      <c r="I92" s="29"/>
      <c r="J92" s="29"/>
      <c r="K92" s="19"/>
      <c r="M92" s="4"/>
      <c r="N92" s="4"/>
      <c r="O92" s="4"/>
      <c r="P92" s="4"/>
      <c r="Q92" s="4"/>
      <c r="R92" s="4"/>
      <c r="S92" s="4"/>
      <c r="T92" s="4"/>
      <c r="U92" s="4"/>
      <c r="V92" s="4"/>
      <c r="W92" s="4"/>
      <c r="X92" s="4"/>
      <c r="Y92" s="4"/>
      <c r="Z92" s="4"/>
    </row>
    <row r="93" spans="1:26" ht="15" customHeight="1" x14ac:dyDescent="0.25">
      <c r="A93" s="21"/>
      <c r="B93" s="22" t="s">
        <v>16</v>
      </c>
      <c r="C93" s="23"/>
      <c r="D93" s="1"/>
      <c r="E93" s="24"/>
      <c r="F93" s="24"/>
      <c r="G93" s="2">
        <f>SUM(G92:G92)</f>
        <v>1</v>
      </c>
      <c r="H93" s="25" t="s">
        <v>73</v>
      </c>
      <c r="I93" s="2">
        <v>205</v>
      </c>
      <c r="J93" s="26">
        <f>G93*I93</f>
        <v>205</v>
      </c>
      <c r="K93" s="24"/>
      <c r="M93" s="4"/>
      <c r="N93" s="4"/>
      <c r="O93" s="4"/>
      <c r="P93" s="4"/>
      <c r="Q93" s="4"/>
      <c r="R93" s="4"/>
      <c r="S93" s="4"/>
      <c r="T93" s="4"/>
      <c r="U93" s="4"/>
      <c r="V93" s="4"/>
      <c r="W93" s="4"/>
      <c r="X93" s="4"/>
      <c r="Y93" s="4"/>
      <c r="Z93" s="4"/>
    </row>
    <row r="94" spans="1:26" x14ac:dyDescent="0.25">
      <c r="A94" s="17"/>
      <c r="B94" s="18" t="s">
        <v>74</v>
      </c>
      <c r="C94" s="19"/>
      <c r="D94" s="19"/>
      <c r="E94" s="19"/>
      <c r="F94" s="19"/>
      <c r="G94" s="19"/>
      <c r="H94" s="19"/>
      <c r="I94" s="19"/>
      <c r="J94" s="26">
        <f>0.13*J93</f>
        <v>26.650000000000002</v>
      </c>
      <c r="K94" s="19"/>
      <c r="M94" s="4"/>
      <c r="N94" s="4"/>
      <c r="O94" s="4"/>
      <c r="P94" s="4"/>
      <c r="Q94" s="4"/>
      <c r="R94" s="4"/>
      <c r="S94" s="4"/>
      <c r="T94" s="4"/>
      <c r="U94" s="4"/>
      <c r="V94" s="4"/>
      <c r="W94" s="4"/>
      <c r="X94" s="4"/>
      <c r="Y94" s="4"/>
      <c r="Z94" s="4"/>
    </row>
    <row r="95" spans="1:26" x14ac:dyDescent="0.25">
      <c r="A95" s="17"/>
      <c r="B95" s="18"/>
      <c r="C95" s="19"/>
      <c r="D95" s="19"/>
      <c r="E95" s="19"/>
      <c r="F95" s="19"/>
      <c r="G95" s="19"/>
      <c r="H95" s="19"/>
      <c r="I95" s="19"/>
      <c r="J95" s="26"/>
      <c r="K95" s="19"/>
      <c r="M95" s="4"/>
      <c r="N95" s="4"/>
      <c r="O95" s="4"/>
      <c r="P95" s="4"/>
      <c r="Q95" s="4"/>
      <c r="R95" s="4"/>
      <c r="S95" s="4"/>
      <c r="T95" s="4"/>
      <c r="U95" s="4"/>
      <c r="V95" s="4"/>
      <c r="W95" s="4"/>
      <c r="X95" s="4"/>
      <c r="Y95" s="4"/>
      <c r="Z95" s="4"/>
    </row>
    <row r="96" spans="1:26" ht="30" x14ac:dyDescent="0.25">
      <c r="A96" s="17">
        <v>16</v>
      </c>
      <c r="B96" s="59" t="s">
        <v>80</v>
      </c>
      <c r="C96" s="19">
        <v>1</v>
      </c>
      <c r="D96" s="20"/>
      <c r="E96" s="19"/>
      <c r="F96" s="19"/>
      <c r="G96" s="20">
        <f t="shared" si="7"/>
        <v>1</v>
      </c>
      <c r="H96" s="19" t="s">
        <v>73</v>
      </c>
      <c r="I96" s="29"/>
      <c r="J96" s="29"/>
      <c r="K96" s="19"/>
      <c r="M96" s="4"/>
      <c r="N96" s="4"/>
      <c r="O96" s="4"/>
      <c r="P96" s="4"/>
      <c r="Q96" s="4"/>
      <c r="R96" s="4"/>
      <c r="S96" s="4"/>
      <c r="T96" s="4"/>
      <c r="U96" s="4"/>
      <c r="V96" s="4"/>
      <c r="W96" s="4"/>
      <c r="X96" s="4"/>
      <c r="Y96" s="4"/>
      <c r="Z96" s="4"/>
    </row>
    <row r="97" spans="1:26" ht="15" customHeight="1" x14ac:dyDescent="0.25">
      <c r="A97" s="21"/>
      <c r="B97" s="22" t="s">
        <v>16</v>
      </c>
      <c r="C97" s="23"/>
      <c r="D97" s="1"/>
      <c r="E97" s="24"/>
      <c r="F97" s="24"/>
      <c r="G97" s="2">
        <f>SUM(G96:G96)</f>
        <v>1</v>
      </c>
      <c r="H97" s="25" t="s">
        <v>73</v>
      </c>
      <c r="I97" s="2">
        <v>5182</v>
      </c>
      <c r="J97" s="26">
        <f>G97*I97</f>
        <v>5182</v>
      </c>
      <c r="K97" s="24"/>
      <c r="M97" s="4"/>
      <c r="N97" s="4"/>
      <c r="O97" s="4"/>
      <c r="P97" s="4"/>
      <c r="Q97" s="4"/>
      <c r="R97" s="4"/>
      <c r="S97" s="4"/>
      <c r="T97" s="4"/>
      <c r="U97" s="4"/>
      <c r="V97" s="4"/>
      <c r="W97" s="4"/>
      <c r="X97" s="4"/>
      <c r="Y97" s="4"/>
      <c r="Z97" s="4"/>
    </row>
    <row r="98" spans="1:26" x14ac:dyDescent="0.25">
      <c r="A98" s="17"/>
      <c r="B98" s="18" t="s">
        <v>74</v>
      </c>
      <c r="C98" s="19"/>
      <c r="D98" s="19"/>
      <c r="E98" s="19"/>
      <c r="F98" s="19"/>
      <c r="G98" s="19"/>
      <c r="H98" s="19"/>
      <c r="I98" s="19"/>
      <c r="J98" s="26">
        <f>0.13*J97</f>
        <v>673.66</v>
      </c>
      <c r="K98" s="19"/>
      <c r="M98" s="4"/>
      <c r="N98" s="4"/>
      <c r="O98" s="4"/>
      <c r="P98" s="4"/>
      <c r="Q98" s="4"/>
      <c r="R98" s="4"/>
      <c r="S98" s="4"/>
      <c r="T98" s="4"/>
      <c r="U98" s="4"/>
      <c r="V98" s="4"/>
      <c r="W98" s="4"/>
      <c r="X98" s="4"/>
      <c r="Y98" s="4"/>
      <c r="Z98" s="4"/>
    </row>
    <row r="99" spans="1:26" ht="15.75" x14ac:dyDescent="0.25">
      <c r="A99" s="7"/>
      <c r="B99" s="8"/>
      <c r="C99" s="7"/>
      <c r="D99" s="9"/>
      <c r="E99" s="9"/>
      <c r="F99" s="9"/>
      <c r="G99" s="9"/>
      <c r="H99" s="7"/>
      <c r="I99" s="9"/>
      <c r="J99" s="9"/>
      <c r="K99" s="10"/>
      <c r="M99" s="11"/>
      <c r="N99" s="11"/>
      <c r="O99" s="11"/>
      <c r="P99" s="11"/>
      <c r="Q99" s="11"/>
      <c r="R99" s="11"/>
      <c r="S99" s="11"/>
      <c r="T99" s="11"/>
      <c r="U99" s="11"/>
      <c r="V99" s="11"/>
      <c r="W99" s="11"/>
      <c r="X99" s="11"/>
      <c r="Y99" s="11"/>
      <c r="Z99" s="4"/>
    </row>
    <row r="100" spans="1:26" ht="15.75" x14ac:dyDescent="0.25">
      <c r="A100" s="7" t="s">
        <v>95</v>
      </c>
      <c r="B100" s="8" t="s">
        <v>82</v>
      </c>
      <c r="C100" s="7"/>
      <c r="D100" s="9"/>
      <c r="E100" s="9"/>
      <c r="F100" s="9"/>
      <c r="G100" s="9"/>
      <c r="H100" s="7"/>
      <c r="I100" s="9"/>
      <c r="J100" s="9"/>
      <c r="K100" s="10"/>
      <c r="M100" s="4"/>
      <c r="N100" s="4"/>
      <c r="O100" s="4"/>
      <c r="P100" s="4"/>
      <c r="Q100" s="4"/>
      <c r="R100" s="4"/>
      <c r="S100" s="4"/>
      <c r="T100" s="4"/>
      <c r="U100" s="4"/>
      <c r="V100" s="4"/>
      <c r="W100" s="4"/>
      <c r="X100" s="4"/>
      <c r="Y100" s="4"/>
      <c r="Z100" s="4"/>
    </row>
    <row r="101" spans="1:26" ht="168" x14ac:dyDescent="0.25">
      <c r="A101" s="17">
        <v>17</v>
      </c>
      <c r="B101" s="13" t="s">
        <v>83</v>
      </c>
      <c r="C101" s="19"/>
      <c r="D101" s="19"/>
      <c r="E101" s="19"/>
      <c r="F101" s="19"/>
      <c r="G101" s="19"/>
      <c r="H101" s="19"/>
      <c r="I101" s="19"/>
      <c r="J101" s="26"/>
      <c r="K101" s="19"/>
      <c r="M101" s="11"/>
      <c r="N101" s="11"/>
      <c r="O101" s="11"/>
      <c r="P101" s="11"/>
      <c r="Q101" s="11"/>
      <c r="R101" s="11"/>
      <c r="S101" s="11"/>
      <c r="T101" s="11"/>
      <c r="U101" s="11"/>
      <c r="V101" s="11"/>
      <c r="W101" s="11"/>
      <c r="X101" s="11"/>
      <c r="Y101" s="11"/>
      <c r="Z101" s="4"/>
    </row>
    <row r="102" spans="1:26" x14ac:dyDescent="0.25">
      <c r="A102" s="17"/>
      <c r="B102" s="18" t="s">
        <v>84</v>
      </c>
      <c r="C102" s="19">
        <v>1</v>
      </c>
      <c r="D102" s="20">
        <v>180</v>
      </c>
      <c r="E102" s="19">
        <v>0.23</v>
      </c>
      <c r="F102" s="19">
        <v>0.45</v>
      </c>
      <c r="G102" s="20">
        <f>PRODUCT(C102:F102)</f>
        <v>18.63</v>
      </c>
      <c r="H102" s="19"/>
      <c r="I102" s="19"/>
      <c r="J102" s="26"/>
      <c r="K102" s="19"/>
      <c r="M102" s="4"/>
      <c r="N102" s="4"/>
      <c r="O102" s="4"/>
      <c r="P102" s="4"/>
      <c r="Q102" s="4"/>
      <c r="R102" s="4"/>
      <c r="S102" s="4"/>
      <c r="T102" s="4"/>
      <c r="U102" s="4"/>
      <c r="V102" s="4"/>
      <c r="W102" s="4"/>
      <c r="X102" s="4"/>
      <c r="Y102" s="4"/>
      <c r="Z102" s="4"/>
    </row>
    <row r="103" spans="1:26" s="11" customFormat="1" x14ac:dyDescent="0.25">
      <c r="A103" s="21"/>
      <c r="B103" s="60" t="s">
        <v>85</v>
      </c>
      <c r="C103" s="23"/>
      <c r="D103" s="1"/>
      <c r="E103" s="24"/>
      <c r="F103" s="24"/>
      <c r="G103" s="29">
        <f>SUM(G102:G102)</f>
        <v>18.63</v>
      </c>
      <c r="H103" s="25" t="s">
        <v>28</v>
      </c>
      <c r="I103" s="2">
        <v>748.9</v>
      </c>
      <c r="J103" s="29">
        <f>G103*I103</f>
        <v>13952.007</v>
      </c>
      <c r="K103" s="24"/>
      <c r="M103" s="4"/>
      <c r="N103" s="4"/>
      <c r="O103" s="4"/>
      <c r="P103" s="4"/>
      <c r="Q103" s="4"/>
      <c r="R103" s="4"/>
      <c r="S103" s="4"/>
      <c r="T103" s="4"/>
      <c r="U103" s="4"/>
      <c r="V103" s="4"/>
      <c r="W103" s="4"/>
      <c r="X103" s="4"/>
      <c r="Y103" s="4"/>
    </row>
    <row r="104" spans="1:26" x14ac:dyDescent="0.25">
      <c r="A104" s="17"/>
      <c r="B104" s="18"/>
      <c r="C104" s="19"/>
      <c r="D104" s="19"/>
      <c r="E104" s="19"/>
      <c r="F104" s="19"/>
      <c r="G104" s="19"/>
      <c r="H104" s="19"/>
      <c r="I104" s="19"/>
      <c r="J104" s="26"/>
      <c r="K104" s="19"/>
      <c r="M104" s="4"/>
      <c r="N104" s="4"/>
      <c r="O104" s="4"/>
      <c r="P104" s="4"/>
      <c r="Q104" s="4"/>
      <c r="R104" s="4"/>
      <c r="S104" s="4"/>
      <c r="T104" s="4"/>
      <c r="U104" s="4"/>
      <c r="V104" s="4"/>
      <c r="W104" s="4"/>
      <c r="X104" s="4"/>
      <c r="Y104" s="4"/>
      <c r="Z104" s="4"/>
    </row>
    <row r="105" spans="1:26" ht="30" x14ac:dyDescent="0.25">
      <c r="A105" s="17">
        <v>18</v>
      </c>
      <c r="B105" s="13" t="s">
        <v>86</v>
      </c>
      <c r="C105" s="19"/>
      <c r="D105" s="19"/>
      <c r="E105" s="19"/>
      <c r="F105" s="19"/>
      <c r="G105" s="19"/>
      <c r="H105" s="19"/>
      <c r="I105" s="19"/>
      <c r="J105" s="19"/>
      <c r="K105" s="19"/>
      <c r="M105" s="11"/>
      <c r="N105" s="11"/>
      <c r="O105" s="11"/>
      <c r="P105" s="11"/>
      <c r="Q105" s="11"/>
      <c r="R105" s="11"/>
      <c r="S105" s="11"/>
      <c r="T105" s="11"/>
      <c r="U105" s="11"/>
      <c r="V105" s="11"/>
      <c r="W105" s="11"/>
      <c r="X105" s="11"/>
      <c r="Y105" s="11"/>
      <c r="Z105" s="4"/>
    </row>
    <row r="106" spans="1:26" x14ac:dyDescent="0.25">
      <c r="A106" s="17"/>
      <c r="B106" s="18" t="s">
        <v>87</v>
      </c>
      <c r="C106" s="19">
        <v>1</v>
      </c>
      <c r="D106" s="20">
        <f>D102</f>
        <v>180</v>
      </c>
      <c r="E106" s="19"/>
      <c r="F106" s="19"/>
      <c r="G106" s="20">
        <f t="shared" ref="G106" si="8">PRODUCT(C106:F106)</f>
        <v>180</v>
      </c>
      <c r="H106" s="19"/>
      <c r="I106" s="19"/>
      <c r="J106" s="26"/>
      <c r="K106" s="19"/>
      <c r="M106" s="4"/>
      <c r="N106" s="4"/>
      <c r="O106" s="4"/>
      <c r="P106" s="4"/>
      <c r="Q106" s="4"/>
      <c r="R106" s="4"/>
      <c r="S106" s="4"/>
      <c r="T106" s="4"/>
      <c r="U106" s="4"/>
      <c r="V106" s="4"/>
      <c r="W106" s="4"/>
      <c r="X106" s="4"/>
      <c r="Y106" s="4"/>
      <c r="Z106" s="4"/>
    </row>
    <row r="107" spans="1:26" s="11" customFormat="1" x14ac:dyDescent="0.25">
      <c r="A107" s="21"/>
      <c r="B107" s="60" t="s">
        <v>85</v>
      </c>
      <c r="C107" s="23"/>
      <c r="D107" s="1"/>
      <c r="E107" s="24"/>
      <c r="F107" s="24"/>
      <c r="G107" s="29">
        <f>SUM(G106:G106)</f>
        <v>180</v>
      </c>
      <c r="H107" s="25" t="s">
        <v>88</v>
      </c>
      <c r="I107" s="2">
        <f>4308.15/1000</f>
        <v>4.3081499999999995</v>
      </c>
      <c r="J107" s="29">
        <f>G107*I107</f>
        <v>775.46699999999987</v>
      </c>
      <c r="K107" s="24"/>
      <c r="M107" s="4"/>
      <c r="N107" s="4"/>
      <c r="O107" s="4"/>
      <c r="P107" s="4"/>
      <c r="Q107" s="4"/>
      <c r="R107" s="4"/>
      <c r="S107" s="4"/>
      <c r="T107" s="4"/>
      <c r="U107" s="4"/>
      <c r="V107" s="4"/>
      <c r="W107" s="4"/>
      <c r="X107" s="4"/>
      <c r="Y107" s="4"/>
    </row>
    <row r="108" spans="1:26" x14ac:dyDescent="0.25">
      <c r="A108" s="17"/>
      <c r="B108" s="13"/>
      <c r="C108" s="19"/>
      <c r="D108" s="19"/>
      <c r="E108" s="19"/>
      <c r="F108" s="19"/>
      <c r="G108" s="19"/>
      <c r="H108" s="19"/>
      <c r="I108" s="19"/>
      <c r="J108" s="19"/>
      <c r="K108" s="19"/>
      <c r="M108" s="11"/>
      <c r="N108" s="11"/>
      <c r="O108" s="11"/>
      <c r="P108" s="11"/>
      <c r="Q108" s="11"/>
      <c r="R108" s="11"/>
      <c r="S108" s="11"/>
      <c r="T108" s="11"/>
      <c r="U108" s="11"/>
      <c r="V108" s="11"/>
      <c r="W108" s="11"/>
      <c r="X108" s="11"/>
      <c r="Y108" s="11"/>
      <c r="Z108" s="4"/>
    </row>
    <row r="109" spans="1:26" ht="45" x14ac:dyDescent="0.25">
      <c r="A109" s="17">
        <v>19</v>
      </c>
      <c r="B109" s="61" t="s">
        <v>89</v>
      </c>
      <c r="C109" s="19"/>
      <c r="D109" s="27" t="s">
        <v>27</v>
      </c>
      <c r="E109" s="27" t="s">
        <v>90</v>
      </c>
      <c r="F109" s="27" t="s">
        <v>91</v>
      </c>
      <c r="G109" s="19"/>
      <c r="H109" s="19"/>
      <c r="I109" s="19"/>
      <c r="J109" s="26"/>
      <c r="K109" s="19"/>
      <c r="M109" s="4"/>
      <c r="N109" s="4"/>
      <c r="O109" s="4"/>
      <c r="P109" s="4"/>
      <c r="Q109" s="4"/>
      <c r="R109" s="4"/>
      <c r="S109" s="4"/>
      <c r="T109" s="4"/>
      <c r="U109" s="4"/>
      <c r="V109" s="4"/>
      <c r="W109" s="4"/>
      <c r="X109" s="4"/>
      <c r="Y109" s="4"/>
      <c r="Z109" s="4"/>
    </row>
    <row r="110" spans="1:26" s="11" customFormat="1" x14ac:dyDescent="0.25">
      <c r="A110" s="17"/>
      <c r="B110" s="62" t="s">
        <v>92</v>
      </c>
      <c r="C110" s="30">
        <f>C106</f>
        <v>1</v>
      </c>
      <c r="D110" s="32">
        <f>D106</f>
        <v>180</v>
      </c>
      <c r="E110" s="30">
        <v>0.13500000000000001</v>
      </c>
      <c r="F110" s="30">
        <f>C110*D110*E110</f>
        <v>24.3</v>
      </c>
      <c r="G110" s="32">
        <f>F110</f>
        <v>24.3</v>
      </c>
      <c r="H110" s="30"/>
      <c r="I110" s="30"/>
      <c r="J110" s="25"/>
      <c r="K110" s="30"/>
      <c r="M110" s="4"/>
      <c r="N110" s="4"/>
      <c r="O110" s="4"/>
      <c r="P110" s="4"/>
      <c r="Q110" s="4"/>
      <c r="R110" s="4"/>
      <c r="S110" s="4"/>
      <c r="T110" s="4"/>
      <c r="U110" s="4"/>
      <c r="V110" s="4"/>
      <c r="W110" s="4"/>
      <c r="X110" s="4"/>
      <c r="Y110" s="4"/>
    </row>
    <row r="111" spans="1:26" ht="15" customHeight="1" x14ac:dyDescent="0.25">
      <c r="A111" s="21"/>
      <c r="B111" s="22" t="s">
        <v>16</v>
      </c>
      <c r="C111" s="23"/>
      <c r="D111" s="1"/>
      <c r="E111" s="24"/>
      <c r="F111" s="24"/>
      <c r="G111" s="2">
        <f>SUM(G110:G110)</f>
        <v>24.3</v>
      </c>
      <c r="H111" s="25" t="s">
        <v>93</v>
      </c>
      <c r="I111" s="2">
        <v>287</v>
      </c>
      <c r="J111" s="26">
        <f>G111*I111</f>
        <v>6974.1</v>
      </c>
      <c r="K111" s="24"/>
      <c r="M111" s="4"/>
      <c r="N111" s="4"/>
      <c r="O111" s="4"/>
      <c r="P111" s="4"/>
      <c r="Q111" s="4"/>
      <c r="R111" s="4"/>
      <c r="S111" s="4"/>
      <c r="T111" s="4"/>
      <c r="U111" s="4"/>
      <c r="V111" s="4"/>
      <c r="W111" s="4"/>
      <c r="X111" s="4"/>
      <c r="Y111" s="4"/>
      <c r="Z111" s="4"/>
    </row>
    <row r="112" spans="1:26" x14ac:dyDescent="0.25">
      <c r="A112" s="17"/>
      <c r="B112" s="18" t="s">
        <v>74</v>
      </c>
      <c r="C112" s="19"/>
      <c r="D112" s="19"/>
      <c r="E112" s="19"/>
      <c r="F112" s="19"/>
      <c r="G112" s="19"/>
      <c r="H112" s="19"/>
      <c r="I112" s="19"/>
      <c r="J112" s="26">
        <f>0.13*J111</f>
        <v>906.63300000000004</v>
      </c>
      <c r="K112" s="19"/>
      <c r="M112" s="4"/>
      <c r="N112" s="4"/>
      <c r="O112" s="4"/>
      <c r="P112" s="4"/>
      <c r="Q112" s="4"/>
      <c r="R112" s="4"/>
      <c r="S112" s="4"/>
      <c r="T112" s="4"/>
      <c r="U112" s="4"/>
      <c r="V112" s="4"/>
      <c r="W112" s="4"/>
      <c r="X112" s="4"/>
      <c r="Y112" s="4"/>
      <c r="Z112" s="4"/>
    </row>
    <row r="113" spans="1:27" x14ac:dyDescent="0.25">
      <c r="A113" s="17"/>
      <c r="B113" s="19"/>
      <c r="C113" s="19"/>
      <c r="D113" s="19"/>
      <c r="E113" s="19"/>
      <c r="F113" s="19"/>
      <c r="G113" s="19"/>
      <c r="H113" s="19"/>
      <c r="I113" s="19"/>
      <c r="J113" s="19"/>
      <c r="K113" s="19"/>
      <c r="M113" s="4"/>
      <c r="N113" s="4"/>
      <c r="O113" s="4"/>
      <c r="P113" s="4"/>
      <c r="Q113" s="4"/>
      <c r="R113" s="4"/>
      <c r="S113" s="4"/>
      <c r="T113" s="4"/>
      <c r="U113" s="4"/>
      <c r="V113" s="4"/>
      <c r="W113" s="4"/>
      <c r="X113" s="4"/>
      <c r="Y113" s="4"/>
      <c r="Z113" s="4"/>
    </row>
    <row r="114" spans="1:27" ht="30" x14ac:dyDescent="0.25">
      <c r="A114" s="21">
        <v>20</v>
      </c>
      <c r="B114" s="33" t="s">
        <v>68</v>
      </c>
      <c r="C114" s="23">
        <v>1</v>
      </c>
      <c r="D114" s="1"/>
      <c r="E114" s="24"/>
      <c r="F114" s="24"/>
      <c r="G114" s="25">
        <f>PRODUCT(C114:F114)</f>
        <v>1</v>
      </c>
      <c r="H114" s="25" t="s">
        <v>18</v>
      </c>
      <c r="I114" s="2">
        <v>2000</v>
      </c>
      <c r="J114" s="25">
        <f>G114*I114</f>
        <v>2000</v>
      </c>
      <c r="K114" s="24"/>
    </row>
    <row r="115" spans="1:27" x14ac:dyDescent="0.25">
      <c r="A115" s="21"/>
      <c r="B115" s="34"/>
      <c r="C115" s="23"/>
      <c r="D115" s="1"/>
      <c r="E115" s="24"/>
      <c r="F115" s="24"/>
      <c r="G115" s="2"/>
      <c r="H115" s="25"/>
      <c r="I115" s="2"/>
      <c r="J115" s="26"/>
      <c r="K115" s="24"/>
    </row>
    <row r="116" spans="1:27" ht="15" customHeight="1" x14ac:dyDescent="0.25">
      <c r="A116" s="21">
        <v>21</v>
      </c>
      <c r="B116" s="33" t="s">
        <v>17</v>
      </c>
      <c r="C116" s="23">
        <v>1</v>
      </c>
      <c r="D116" s="1"/>
      <c r="E116" s="24"/>
      <c r="F116" s="24"/>
      <c r="G116" s="25">
        <f>PRODUCT(C116:F116)</f>
        <v>1</v>
      </c>
      <c r="H116" s="25" t="s">
        <v>18</v>
      </c>
      <c r="I116" s="2">
        <v>500</v>
      </c>
      <c r="J116" s="25">
        <f>G116*I116</f>
        <v>500</v>
      </c>
      <c r="K116" s="24"/>
    </row>
    <row r="117" spans="1:27" x14ac:dyDescent="0.25">
      <c r="A117" s="21"/>
      <c r="B117" s="34"/>
      <c r="C117" s="23"/>
      <c r="D117" s="1"/>
      <c r="E117" s="24"/>
      <c r="F117" s="24"/>
      <c r="G117" s="2"/>
      <c r="H117" s="25"/>
      <c r="I117" s="2"/>
      <c r="J117" s="26"/>
      <c r="K117" s="24"/>
    </row>
    <row r="118" spans="1:27" x14ac:dyDescent="0.25">
      <c r="A118" s="35"/>
      <c r="B118" s="36" t="s">
        <v>20</v>
      </c>
      <c r="C118" s="37"/>
      <c r="D118" s="38"/>
      <c r="E118" s="38"/>
      <c r="F118" s="38"/>
      <c r="G118" s="26"/>
      <c r="H118" s="26"/>
      <c r="I118" s="26"/>
      <c r="J118" s="26">
        <f>SUM(J11:J116)</f>
        <v>102772.90447390525</v>
      </c>
      <c r="K118" s="39"/>
    </row>
    <row r="119" spans="1:27" x14ac:dyDescent="0.25">
      <c r="AA119" s="11"/>
    </row>
    <row r="120" spans="1:27" s="11" customFormat="1" x14ac:dyDescent="0.25">
      <c r="A120" s="40"/>
      <c r="B120" s="30" t="s">
        <v>19</v>
      </c>
      <c r="C120" s="53">
        <f>J118</f>
        <v>102772.90447390525</v>
      </c>
      <c r="D120" s="54"/>
      <c r="E120" s="32">
        <v>100</v>
      </c>
      <c r="F120" s="40"/>
      <c r="G120" s="41"/>
      <c r="H120" s="40"/>
      <c r="I120" s="42"/>
      <c r="J120" s="43"/>
      <c r="K120" s="44"/>
      <c r="AA120" s="4"/>
    </row>
    <row r="121" spans="1:27" x14ac:dyDescent="0.25">
      <c r="B121" s="30" t="s">
        <v>21</v>
      </c>
      <c r="C121" s="55">
        <v>350000</v>
      </c>
      <c r="D121" s="56"/>
      <c r="E121" s="32"/>
    </row>
    <row r="122" spans="1:27" x14ac:dyDescent="0.25">
      <c r="B122" s="30" t="s">
        <v>22</v>
      </c>
      <c r="C122" s="55">
        <f>C121-C124-C125</f>
        <v>332500</v>
      </c>
      <c r="D122" s="56"/>
      <c r="E122" s="32">
        <f>C122/C120*100</f>
        <v>323.52885393486577</v>
      </c>
    </row>
    <row r="123" spans="1:27" x14ac:dyDescent="0.25">
      <c r="B123" s="30" t="s">
        <v>26</v>
      </c>
      <c r="C123" s="57">
        <f>C120-C122</f>
        <v>-229727.09552609475</v>
      </c>
      <c r="D123" s="57"/>
      <c r="E123" s="32">
        <f>100-E122</f>
        <v>-223.52885393486577</v>
      </c>
    </row>
    <row r="124" spans="1:27" x14ac:dyDescent="0.25">
      <c r="B124" s="30" t="s">
        <v>23</v>
      </c>
      <c r="C124" s="53">
        <f>C121*0.03</f>
        <v>10500</v>
      </c>
      <c r="D124" s="54"/>
      <c r="E124" s="32">
        <v>3</v>
      </c>
    </row>
    <row r="125" spans="1:27" x14ac:dyDescent="0.25">
      <c r="B125" s="30" t="s">
        <v>24</v>
      </c>
      <c r="C125" s="53">
        <f>C121*0.02</f>
        <v>7000</v>
      </c>
      <c r="D125" s="54"/>
      <c r="E125" s="32">
        <v>2</v>
      </c>
    </row>
  </sheetData>
  <mergeCells count="15">
    <mergeCell ref="C125:D125"/>
    <mergeCell ref="C120:D120"/>
    <mergeCell ref="C121:D121"/>
    <mergeCell ref="C122:D122"/>
    <mergeCell ref="C123:D123"/>
    <mergeCell ref="C124:D124"/>
    <mergeCell ref="A7:F7"/>
    <mergeCell ref="H7:K7"/>
    <mergeCell ref="A1:K1"/>
    <mergeCell ref="A2:K2"/>
    <mergeCell ref="A3:K3"/>
    <mergeCell ref="A4:K4"/>
    <mergeCell ref="A5:K5"/>
    <mergeCell ref="A6:F6"/>
    <mergeCell ref="H6:K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CAFD-ECA5-41BF-8B70-7111445D4519}">
  <dimension ref="A8:D121"/>
  <sheetViews>
    <sheetView workbookViewId="0">
      <selection activeCell="C10" sqref="C10"/>
    </sheetView>
  </sheetViews>
  <sheetFormatPr defaultRowHeight="15" x14ac:dyDescent="0.25"/>
  <cols>
    <col min="1" max="2" width="8.5703125" style="4" customWidth="1"/>
    <col min="3" max="3" width="6.5703125" style="4" customWidth="1"/>
    <col min="4" max="4" width="9.42578125" style="4" customWidth="1"/>
  </cols>
  <sheetData>
    <row r="8" spans="1:4" x14ac:dyDescent="0.25">
      <c r="A8" s="11" t="s">
        <v>53</v>
      </c>
      <c r="B8" s="11"/>
      <c r="C8" s="11"/>
      <c r="D8" s="11"/>
    </row>
    <row r="9" spans="1:4" ht="30" x14ac:dyDescent="0.25">
      <c r="A9" s="4" t="s">
        <v>37</v>
      </c>
      <c r="B9" s="4" t="s">
        <v>54</v>
      </c>
      <c r="C9" s="4" t="s">
        <v>55</v>
      </c>
      <c r="D9" s="16" t="s">
        <v>56</v>
      </c>
    </row>
    <row r="10" spans="1:4" x14ac:dyDescent="0.25">
      <c r="A10" s="3">
        <f>1.2+D10+D10</f>
        <v>1.4999999999999998</v>
      </c>
      <c r="B10" s="3">
        <f>1.2+D10+D10</f>
        <v>1.4999999999999998</v>
      </c>
      <c r="C10" s="4">
        <f>3.5/3.281</f>
        <v>1.0667479427003961</v>
      </c>
      <c r="D10" s="3">
        <v>0.15</v>
      </c>
    </row>
    <row r="12" spans="1:4" x14ac:dyDescent="0.25">
      <c r="A12" s="3"/>
      <c r="B12" s="3"/>
      <c r="D12" s="3"/>
    </row>
    <row r="13" spans="1:4" x14ac:dyDescent="0.25">
      <c r="A13" s="3"/>
      <c r="B13" s="3"/>
      <c r="D13" s="3"/>
    </row>
    <row r="86" spans="1:4" x14ac:dyDescent="0.25">
      <c r="A86" s="11"/>
      <c r="B86" s="11"/>
      <c r="C86" s="11"/>
      <c r="D86" s="11"/>
    </row>
    <row r="106" spans="1:4" x14ac:dyDescent="0.25">
      <c r="A106" s="11"/>
      <c r="B106" s="11"/>
      <c r="C106" s="11"/>
      <c r="D106" s="11"/>
    </row>
    <row r="110" spans="1:4" x14ac:dyDescent="0.25">
      <c r="A110" s="11"/>
      <c r="B110" s="11"/>
      <c r="C110" s="11"/>
      <c r="D110" s="11"/>
    </row>
    <row r="113" spans="1:4" x14ac:dyDescent="0.25">
      <c r="A113" s="11"/>
      <c r="B113" s="11"/>
      <c r="C113" s="11"/>
      <c r="D113" s="11"/>
    </row>
    <row r="121" spans="1:4" x14ac:dyDescent="0.25">
      <c r="A121" s="11"/>
      <c r="B121" s="11"/>
      <c r="C121" s="11"/>
      <c r="D121"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2026-03-29T09:59:32Z</dcterms:modified>
</cp:coreProperties>
</file>