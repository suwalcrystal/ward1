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124226"/>
  <xr:revisionPtr revIDLastSave="0" documentId="13_ncr:1_{F44035C2-6740-49B6-8542-49C344BEEF10}" xr6:coauthVersionLast="47" xr6:coauthVersionMax="47" xr10:uidLastSave="{00000000-0000-0000-0000-000000000000}"/>
  <bookViews>
    <workbookView xWindow="-120" yWindow="-120" windowWidth="20730" windowHeight="11040" xr2:uid="{00000000-000D-0000-FFFF-FFFF00000000}"/>
  </bookViews>
  <sheets>
    <sheet name="water tank" sheetId="13" r:id="rId1"/>
  </sheets>
  <externalReferences>
    <externalReference r:id="rId2"/>
    <externalReference r:id="rId3"/>
    <externalReference r:id="rId4"/>
  </externalReferences>
  <definedNames>
    <definedName name="description_103">[1]Abstract!$B$16</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#REF!</definedName>
    <definedName name="description_312">#REF!</definedName>
    <definedName name="description_5">[1]Abstract!$B$171</definedName>
    <definedName name="description_6">#REF!</definedName>
    <definedName name="description_759">[1]Abstract!$B$278</definedName>
    <definedName name="description_781">#REF!</definedName>
    <definedName name="description_783">[1]Abstract!$B$301</definedName>
    <definedName name="description_784">[3]Abstract!$B$300</definedName>
    <definedName name="_xlnm.Print_Area" localSheetId="0">'water tank'!$A$1:$K$95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1" i="13" l="1"/>
  <c r="G49" i="13"/>
  <c r="G48" i="13"/>
  <c r="E48" i="13"/>
  <c r="D48" i="13"/>
  <c r="F47" i="13"/>
  <c r="F59" i="13" s="1"/>
  <c r="F46" i="13"/>
  <c r="G47" i="13"/>
  <c r="D47" i="13"/>
  <c r="D59" i="13" s="1"/>
  <c r="D46" i="13"/>
  <c r="G46" i="13" s="1"/>
  <c r="D35" i="13"/>
  <c r="G35" i="13" s="1"/>
  <c r="D34" i="13"/>
  <c r="G34" i="13" s="1"/>
  <c r="C17" i="13"/>
  <c r="C24" i="13" s="1"/>
  <c r="B17" i="13"/>
  <c r="B24" i="13" s="1"/>
  <c r="B34" i="13" s="1"/>
  <c r="B46" i="13" s="1"/>
  <c r="B59" i="13" s="1"/>
  <c r="E12" i="13"/>
  <c r="E17" i="13" s="1"/>
  <c r="E24" i="13" s="1"/>
  <c r="D12" i="13"/>
  <c r="D76" i="13"/>
  <c r="D80" i="13" s="1"/>
  <c r="G72" i="13"/>
  <c r="C16" i="13"/>
  <c r="Q22" i="13"/>
  <c r="N22" i="13"/>
  <c r="E58" i="13" s="1"/>
  <c r="M22" i="13"/>
  <c r="D58" i="13" s="1"/>
  <c r="I77" i="13"/>
  <c r="G59" i="13" l="1"/>
  <c r="D60" i="13"/>
  <c r="G60" i="13" s="1"/>
  <c r="E60" i="13"/>
  <c r="G12" i="13"/>
  <c r="D17" i="13"/>
  <c r="C76" i="13"/>
  <c r="C80" i="13" s="1"/>
  <c r="P22" i="13"/>
  <c r="R22" i="13"/>
  <c r="G17" i="13" l="1"/>
  <c r="D24" i="13"/>
  <c r="G24" i="13" s="1"/>
  <c r="F80" i="13"/>
  <c r="G80" i="13" s="1"/>
  <c r="G81" i="13" l="1"/>
  <c r="G76" i="13"/>
  <c r="G77" i="13" s="1"/>
  <c r="J77" i="13" s="1"/>
  <c r="G71" i="13"/>
  <c r="G73" i="13" s="1"/>
  <c r="D45" i="13"/>
  <c r="D33" i="13"/>
  <c r="D44" i="13"/>
  <c r="C23" i="13"/>
  <c r="E23" i="13"/>
  <c r="D42" i="13"/>
  <c r="J73" i="13" l="1"/>
  <c r="J81" i="13"/>
  <c r="J82" i="13" s="1"/>
  <c r="D43" i="13"/>
  <c r="D31" i="13"/>
  <c r="D23" i="13"/>
  <c r="G23" i="13" s="1"/>
  <c r="G25" i="13" s="1"/>
  <c r="D32" i="13"/>
  <c r="E16" i="13"/>
  <c r="D16" i="13"/>
  <c r="E11" i="13"/>
  <c r="D11" i="13"/>
  <c r="G11" i="13" s="1"/>
  <c r="G13" i="13" s="1"/>
  <c r="C95" i="13" l="1"/>
  <c r="C94" i="13"/>
  <c r="G86" i="13"/>
  <c r="J86" i="13" s="1"/>
  <c r="G84" i="13"/>
  <c r="J84" i="13" s="1"/>
  <c r="C65" i="13"/>
  <c r="I61" i="13"/>
  <c r="C58" i="13"/>
  <c r="I49" i="13"/>
  <c r="C44" i="13"/>
  <c r="C56" i="13" s="1"/>
  <c r="C43" i="13"/>
  <c r="C55" i="13" s="1"/>
  <c r="B43" i="13"/>
  <c r="B55" i="13" s="1"/>
  <c r="C42" i="13"/>
  <c r="B42" i="13"/>
  <c r="B54" i="13" s="1"/>
  <c r="D56" i="13"/>
  <c r="C33" i="13"/>
  <c r="B33" i="13"/>
  <c r="B44" i="13" s="1"/>
  <c r="B56" i="13" s="1"/>
  <c r="C32" i="13"/>
  <c r="C31" i="13"/>
  <c r="F43" i="13"/>
  <c r="F55" i="13" s="1"/>
  <c r="E32" i="13"/>
  <c r="J13" i="13"/>
  <c r="C92" i="13" l="1"/>
  <c r="D65" i="13"/>
  <c r="G65" i="13" s="1"/>
  <c r="G66" i="13" s="1"/>
  <c r="J66" i="13" s="1"/>
  <c r="J67" i="13" s="1"/>
  <c r="F42" i="13"/>
  <c r="F54" i="13" s="1"/>
  <c r="F32" i="13"/>
  <c r="G32" i="13" s="1"/>
  <c r="F45" i="13"/>
  <c r="F57" i="13" s="1"/>
  <c r="F33" i="13"/>
  <c r="G58" i="13"/>
  <c r="G43" i="13"/>
  <c r="D55" i="13"/>
  <c r="G55" i="13" s="1"/>
  <c r="E31" i="13"/>
  <c r="F44" i="13"/>
  <c r="F56" i="13" s="1"/>
  <c r="G56" i="13" s="1"/>
  <c r="F31" i="13"/>
  <c r="C45" i="13"/>
  <c r="E33" i="13"/>
  <c r="D57" i="13"/>
  <c r="C54" i="13"/>
  <c r="G33" i="13" l="1"/>
  <c r="G44" i="13"/>
  <c r="G45" i="13"/>
  <c r="C57" i="13"/>
  <c r="G57" i="13" s="1"/>
  <c r="G16" i="13"/>
  <c r="G18" i="13" s="1"/>
  <c r="J20" i="13" l="1"/>
  <c r="J19" i="13"/>
  <c r="J18" i="13"/>
  <c r="J28" i="13" l="1"/>
  <c r="J25" i="13"/>
  <c r="J27" i="13"/>
  <c r="J26" i="13"/>
  <c r="G31" i="13"/>
  <c r="G36" i="13" s="1"/>
  <c r="J39" i="13" l="1"/>
  <c r="J37" i="13"/>
  <c r="J38" i="13"/>
  <c r="J36" i="13"/>
  <c r="D54" i="13"/>
  <c r="G54" i="13" s="1"/>
  <c r="G42" i="13"/>
  <c r="J51" i="13" l="1"/>
  <c r="J50" i="13"/>
  <c r="J49" i="13"/>
  <c r="J62" i="13"/>
  <c r="J61" i="13"/>
  <c r="J88" i="13" l="1"/>
  <c r="C90" i="13" s="1"/>
  <c r="C93" i="13" s="1"/>
  <c r="E92" i="13" l="1"/>
  <c r="E93" i="1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48" authorId="0" shapeId="0" xr:uid="{89DBFC99-8F77-41F9-8C1E-D5BA31B7A7BA}">
      <text>
        <r>
          <rPr>
            <b/>
            <sz val="9"/>
            <color indexed="81"/>
            <rFont val="Tahoma"/>
          </rPr>
          <t>Author:</t>
        </r>
        <r>
          <rPr>
            <sz val="9"/>
            <color indexed="81"/>
            <rFont val="Tahoma"/>
          </rPr>
          <t xml:space="preserve">
flooring</t>
        </r>
      </text>
    </comment>
  </commentList>
</comments>
</file>

<file path=xl/sharedStrings.xml><?xml version="1.0" encoding="utf-8"?>
<sst xmlns="http://schemas.openxmlformats.org/spreadsheetml/2006/main" count="100" uniqueCount="75">
  <si>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</si>
  <si>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</si>
  <si>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</si>
  <si>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</si>
  <si>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</si>
  <si>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</si>
  <si>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</si>
  <si>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</si>
  <si>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</si>
  <si>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</si>
  <si>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</si>
  <si>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</si>
  <si>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</si>
  <si>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</si>
  <si>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</si>
  <si>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</si>
  <si>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</si>
  <si>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</si>
  <si>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</si>
  <si>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</si>
  <si>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</si>
  <si>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Budget allocated</t>
  </si>
  <si>
    <t>Municipal payment</t>
  </si>
  <si>
    <t xml:space="preserve">Contingencies </t>
  </si>
  <si>
    <t xml:space="preserve">Maintanince </t>
  </si>
  <si>
    <t>F.Y.: 2082/2083</t>
  </si>
  <si>
    <t>User contribution</t>
  </si>
  <si>
    <t>Length (m)</t>
  </si>
  <si>
    <t>sub-total</t>
  </si>
  <si>
    <t>cum</t>
  </si>
  <si>
    <t>-High Density Polythene Pipe NS 40 pipe material PE 100, PN 16</t>
  </si>
  <si>
    <t>Weight (Kg/m)</t>
  </si>
  <si>
    <t>Total weight (Kg)</t>
  </si>
  <si>
    <t>kg</t>
  </si>
  <si>
    <t>Location:- Shankharapur Municipality 1</t>
  </si>
  <si>
    <t>-13% VAT for material</t>
  </si>
  <si>
    <t>-for pipe laying</t>
  </si>
  <si>
    <t>rm</t>
  </si>
  <si>
    <t>Provisional sum for other unforseen works</t>
  </si>
  <si>
    <t>PS</t>
  </si>
  <si>
    <t>A</t>
  </si>
  <si>
    <t>Pipe works</t>
  </si>
  <si>
    <t>B</t>
  </si>
  <si>
    <t>-for stand taps</t>
  </si>
  <si>
    <t>-13% VAT for sand</t>
  </si>
  <si>
    <t>Plain cement concrete (1:2:4)</t>
  </si>
  <si>
    <t>-13% VAT for cement</t>
  </si>
  <si>
    <t>-13% VAT for aggregate</t>
  </si>
  <si>
    <t>sqm</t>
  </si>
  <si>
    <t>-for wing walls of stand tap</t>
  </si>
  <si>
    <t>-for side wall of stand tap</t>
  </si>
  <si>
    <t>-for stand tap</t>
  </si>
  <si>
    <t>Water tap size</t>
  </si>
  <si>
    <t>length</t>
  </si>
  <si>
    <t>Height 1</t>
  </si>
  <si>
    <t>Height 2</t>
  </si>
  <si>
    <t>20mm thick cement plaster (1:6)</t>
  </si>
  <si>
    <t>3 mm thick  cement punning</t>
  </si>
  <si>
    <t>-for floor area</t>
  </si>
  <si>
    <t>20mm GI pipe threaded-Medium class</t>
  </si>
  <si>
    <t>-13% VAT</t>
  </si>
  <si>
    <t>thickness</t>
  </si>
  <si>
    <t>Date:2082</t>
  </si>
  <si>
    <t>For tap works</t>
  </si>
  <si>
    <t>Flat brick  soling</t>
  </si>
  <si>
    <t>-13% VAT for brick</t>
  </si>
  <si>
    <t>Chimney made Brick work in 1:6 cement mortar</t>
  </si>
  <si>
    <t>Width of stand tap</t>
  </si>
  <si>
    <t>g/d k|sf/sf] Sn] / l;N6L df6f]df ;j} lsl;dsf] vGg] sfd</t>
  </si>
  <si>
    <r>
      <t>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Engineer.l (</t>
    </r>
    <r>
      <rPr>
        <b/>
        <sz val="14"/>
        <rFont val="Preeti"/>
      </rPr>
      <t>vGg] k'g{] sfo{</t>
    </r>
    <r>
      <rPr>
        <sz val="11"/>
        <rFont val="Calibri"/>
        <family val="2"/>
        <scheme val="minor"/>
      </rPr>
      <t>)</t>
    </r>
  </si>
  <si>
    <t>-for 20mm pipe laying for distribution</t>
  </si>
  <si>
    <t>-for pipe laying for tap distribution</t>
  </si>
  <si>
    <t>Laying and joining of 20 mmØ HDPE pipe with butt-weld joints</t>
  </si>
  <si>
    <t>-for intake</t>
  </si>
  <si>
    <r>
      <t>Project:-</t>
    </r>
    <r>
      <rPr>
        <sz val="12"/>
        <rFont val="Preeti"/>
      </rPr>
      <t xml:space="preserve"> </t>
    </r>
    <r>
      <rPr>
        <sz val="14"/>
        <rFont val="Preeti"/>
      </rPr>
      <t>9sfn ufFp vfg]kfgL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</si>
</sst>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8"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
      <sz val="14"/>
      <name val="Preeti"/>
    </font>
    <font>
      <b/>
      <sz val="12"/>
      <name val="Preeti"/>
    </font>
    <font>
      <b/>
      <sz val="14"/>
      <name val="Preeti"/>
    </font>
    <font>
      <sz val="9"/>
      <color indexed="81"/>
      <name val="Tahoma"/>
    </font>
    <font>
      <b/>
      <sz val="9"/>
      <color indexed="81"/>
      <name val="Tahoma"/>
    </font>
  </fonts>
  <fills count="2">
    <fill>
      <patternFill patternType="none"/>
    </fill>
    <fill>
      <patternFill patternType="gray125"/>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60">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0" fontId="9" fillId="0" borderId="0" xfId="0" applyFont="1" applyAlignment="1">
      <alignment horizontal="center"/>
    </xf>
    <xf numFmtId="43" fontId="9" fillId="0" borderId="0" xfId="1" applyFont="1" applyFill="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Fill="1" applyBorder="1" applyAlignment="1">
      <alignment horizontal="center"/>
    </xf>
    <xf numFmtId="0" fontId="9" fillId="0" borderId="2" xfId="0" applyFont="1" applyBorder="1" applyAlignment="1">
      <alignment horizontal="center" wrapText="1"/>
    </xf>
    <xf numFmtId="0" fontId="4" fillId="0" borderId="0" xfId="0" applyFont="1"/>
    <xf numFmtId="0" fontId="4" fillId="0" borderId="0" xfId="0" applyFont="1" applyAlignment="1">
      <alignment vertical="center"/>
    </xf>
    <xf numFmtId="2" fontId="4" fillId="0" borderId="0" xfId="0" applyNumberFormat="1" applyFont="1"/>
    <xf numFmtId="1" fontId="3" fillId="0" borderId="2" xfId="0" applyNumberFormat="1" applyFont="1" applyBorder="1" applyAlignment="1">
      <alignment vertical="center"/>
    </xf>
    <xf numFmtId="0" fontId="2" fillId="0" borderId="2" xfId="0" quotePrefix="1" applyFont="1" applyBorder="1" applyAlignment="1">
      <alignment horizontal="right" wrapText="1"/>
    </xf>
    <xf numFmtId="164" fontId="2" fillId="0" borderId="2" xfId="0" applyNumberFormat="1" applyFont="1" applyBorder="1" applyAlignment="1">
      <alignment vertical="center"/>
    </xf>
    <xf numFmtId="2" fontId="2" fillId="0" borderId="2" xfId="0" applyNumberFormat="1" applyFont="1" applyBorder="1" applyAlignment="1">
      <alignment vertical="center"/>
    </xf>
    <xf numFmtId="2" fontId="3" fillId="0" borderId="2" xfId="0" applyNumberFormat="1" applyFont="1" applyBorder="1" applyAlignment="1">
      <alignment vertical="center"/>
    </xf>
    <xf numFmtId="2" fontId="3" fillId="0" borderId="2" xfId="0" applyNumberFormat="1" applyFont="1" applyBorder="1"/>
    <xf numFmtId="0" fontId="6" fillId="0" borderId="2" xfId="0" applyFont="1" applyBorder="1" applyAlignment="1">
      <alignment vertical="center"/>
    </xf>
    <xf numFmtId="0" fontId="4" fillId="0" borderId="2" xfId="0" quotePrefix="1" applyFont="1" applyBorder="1" applyAlignment="1">
      <alignment horizontal="right"/>
    </xf>
    <xf numFmtId="0" fontId="4" fillId="0" borderId="2" xfId="0" applyFont="1" applyBorder="1"/>
    <xf numFmtId="2" fontId="4" fillId="0" borderId="2" xfId="0" applyNumberFormat="1" applyFont="1" applyBorder="1"/>
    <xf numFmtId="0" fontId="14" fillId="0" borderId="2" xfId="0" applyFont="1" applyBorder="1" applyAlignment="1">
      <alignment wrapText="1"/>
    </xf>
    <xf numFmtId="0" fontId="9" fillId="0" borderId="2" xfId="0" applyFont="1" applyBorder="1" applyAlignment="1">
      <alignment vertical="center"/>
    </xf>
    <xf numFmtId="43" fontId="9" fillId="0" borderId="2" xfId="1" applyFont="1" applyFill="1" applyBorder="1" applyAlignment="1">
      <alignment vertical="center"/>
    </xf>
    <xf numFmtId="0" fontId="9" fillId="0" borderId="2" xfId="0" applyFont="1" applyBorder="1" applyAlignment="1">
      <alignment vertical="center" wrapText="1"/>
    </xf>
    <xf numFmtId="0" fontId="4" fillId="0" borderId="2" xfId="0" applyFont="1" applyBorder="1" applyAlignment="1">
      <alignment wrapText="1"/>
    </xf>
    <xf numFmtId="0" fontId="4" fillId="0" borderId="2" xfId="0" applyFont="1" applyBorder="1" applyAlignment="1">
      <alignment vertical="center"/>
    </xf>
    <xf numFmtId="1" fontId="2" fillId="0" borderId="2" xfId="0" applyNumberFormat="1" applyFont="1" applyBorder="1" applyAlignment="1">
      <alignment vertical="center" wrapText="1"/>
    </xf>
    <xf numFmtId="1" fontId="2" fillId="0" borderId="2" xfId="0" applyNumberFormat="1" applyFont="1" applyBorder="1" applyAlignment="1">
      <alignment horizontal="right" vertical="center" wrapText="1"/>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2" fontId="4" fillId="0" borderId="2" xfId="0" applyNumberFormat="1"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Fill="1" applyBorder="1" applyAlignment="1">
      <alignment vertical="center"/>
    </xf>
    <xf numFmtId="0" fontId="3" fillId="0" borderId="0" xfId="0" applyFont="1" applyAlignment="1">
      <alignment vertical="center"/>
    </xf>
    <xf numFmtId="0" fontId="4" fillId="0" borderId="2" xfId="0" quotePrefix="1" applyFont="1" applyBorder="1" applyAlignment="1">
      <alignment wrapText="1"/>
    </xf>
    <xf numFmtId="0" fontId="2" fillId="0" borderId="2" xfId="0" quotePrefix="1" applyFont="1" applyBorder="1" applyAlignment="1">
      <alignment horizontal="right" vertical="center" wrapText="1"/>
    </xf>
    <xf numFmtId="2" fontId="6" fillId="0" borderId="2" xfId="0" applyNumberFormat="1" applyFont="1" applyBorder="1" applyAlignment="1">
      <alignment vertical="center"/>
    </xf>
    <xf numFmtId="0" fontId="2" fillId="0" borderId="2" xfId="0" quotePrefix="1" applyFont="1" applyBorder="1" applyAlignment="1">
      <alignment vertical="center" wrapText="1"/>
    </xf>
    <xf numFmtId="1" fontId="2" fillId="0" borderId="2" xfId="0" quotePrefix="1" applyNumberFormat="1" applyFont="1" applyBorder="1" applyAlignment="1">
      <alignment vertical="center" wrapText="1"/>
    </xf>
    <xf numFmtId="0" fontId="4" fillId="0" borderId="2" xfId="0" quotePrefix="1" applyFont="1" applyBorder="1" applyAlignment="1">
      <alignment horizontal="right" vertical="center" wrapText="1"/>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2" fontId="4" fillId="0" borderId="3" xfId="1" applyNumberFormat="1" applyFont="1" applyFill="1" applyBorder="1" applyAlignment="1">
      <alignment horizontal="center" vertical="center"/>
    </xf>
    <xf numFmtId="2" fontId="4" fillId="0" borderId="4" xfId="1" applyNumberFormat="1" applyFont="1" applyFill="1" applyBorder="1" applyAlignment="1">
      <alignment horizontal="center" vertical="center"/>
    </xf>
    <xf numFmtId="2" fontId="4" fillId="0" borderId="2"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0" fontId="8" fillId="0" borderId="0" xfId="0" applyFont="1" applyAlignment="1">
      <alignment horizontal="left"/>
    </xf>
    <xf numFmtId="0" fontId="8" fillId="0" borderId="0" xfId="0" applyFont="1" applyAlignment="1">
      <alignment horizontal="right"/>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95"/>
  <sheetViews>
    <sheetView tabSelected="1" zoomScaleNormal="100" workbookViewId="0">
      <selection activeCell="A7" sqref="A7:F7"/>
    </sheetView>
  </sheetViews>
  <sheetFormatPr defaultColWidth="9.140625" defaultRowHeight="15" x14ac:dyDescent="0.25"/>
  <cols>
    <col min="1" max="1" width="4.7109375" style="9" customWidth="1"/>
    <col min="2" max="2" width="30.85546875" style="9" customWidth="1"/>
    <col min="3" max="3" width="4.42578125" style="9" bestFit="1" customWidth="1"/>
    <col min="4" max="4" width="8.42578125" style="9" customWidth="1"/>
    <col min="5" max="5" width="8.5703125" style="9" customWidth="1"/>
    <col min="6" max="6" width="7.28515625" style="9" customWidth="1"/>
    <col min="7" max="7" width="9.140625" style="9"/>
    <col min="8" max="8" width="5" style="9" bestFit="1" customWidth="1"/>
    <col min="9" max="9" width="9.5703125" style="9" customWidth="1"/>
    <col min="10" max="10" width="10.7109375" style="9" bestFit="1" customWidth="1"/>
    <col min="11" max="12" width="9.140625" style="9"/>
    <col min="13" max="13" width="6.42578125" style="9" bestFit="1" customWidth="1"/>
    <col min="14" max="14" width="7.42578125" style="9" bestFit="1" customWidth="1"/>
    <col min="15" max="16" width="8.42578125" style="9" bestFit="1" customWidth="1"/>
    <col min="17" max="17" width="9.140625" style="9"/>
    <col min="18" max="18" width="16.5703125" style="9" customWidth="1"/>
    <col min="19" max="20" width="8.5703125" style="9" bestFit="1" customWidth="1"/>
    <col min="21" max="21" width="6.5703125" style="9" customWidth="1"/>
    <col min="22" max="22" width="7.42578125" style="9" bestFit="1" customWidth="1"/>
    <col min="23" max="23" width="8.42578125" style="9" bestFit="1" customWidth="1"/>
    <col min="24" max="25" width="7.7109375" style="9" bestFit="1" customWidth="1"/>
    <col min="26" max="16384" width="9.140625" style="9"/>
  </cols>
  <sheetData>
    <row r="1" spans="1:25" x14ac:dyDescent="0.25">
      <c r="A1" s="54" t="s">
        <v>0</v>
      </c>
      <c r="B1" s="54"/>
      <c r="C1" s="54"/>
      <c r="D1" s="54"/>
      <c r="E1" s="54"/>
      <c r="F1" s="54"/>
      <c r="G1" s="54"/>
      <c r="H1" s="54"/>
      <c r="I1" s="54"/>
      <c r="J1" s="54"/>
      <c r="K1" s="54"/>
    </row>
    <row r="2" spans="1:25" ht="22.5" x14ac:dyDescent="0.25">
      <c r="A2" s="55" t="s">
        <v>1</v>
      </c>
      <c r="B2" s="55"/>
      <c r="C2" s="55"/>
      <c r="D2" s="55"/>
      <c r="E2" s="55"/>
      <c r="F2" s="55"/>
      <c r="G2" s="55"/>
      <c r="H2" s="55"/>
      <c r="I2" s="55"/>
      <c r="J2" s="55"/>
      <c r="K2" s="55"/>
    </row>
    <row r="3" spans="1:25" x14ac:dyDescent="0.25">
      <c r="A3" s="56" t="s">
        <v>2</v>
      </c>
      <c r="B3" s="56"/>
      <c r="C3" s="56"/>
      <c r="D3" s="56"/>
      <c r="E3" s="56"/>
      <c r="F3" s="56"/>
      <c r="G3" s="56"/>
      <c r="H3" s="56"/>
      <c r="I3" s="56"/>
      <c r="J3" s="56"/>
      <c r="K3" s="56"/>
    </row>
    <row r="4" spans="1:25" x14ac:dyDescent="0.25">
      <c r="A4" s="56" t="s">
        <v>3</v>
      </c>
      <c r="B4" s="56"/>
      <c r="C4" s="56"/>
      <c r="D4" s="56"/>
      <c r="E4" s="56"/>
      <c r="F4" s="56"/>
      <c r="G4" s="56"/>
      <c r="H4" s="56"/>
      <c r="I4" s="56"/>
      <c r="J4" s="56"/>
      <c r="K4" s="56"/>
    </row>
    <row r="5" spans="1:25" ht="18.75" x14ac:dyDescent="0.3">
      <c r="A5" s="57" t="s">
        <v>4</v>
      </c>
      <c r="B5" s="57"/>
      <c r="C5" s="57"/>
      <c r="D5" s="57"/>
      <c r="E5" s="57"/>
      <c r="F5" s="57"/>
      <c r="G5" s="57"/>
      <c r="H5" s="57"/>
      <c r="I5" s="57"/>
      <c r="J5" s="57"/>
      <c r="K5" s="57"/>
    </row>
    <row r="6" spans="1:25" ht="18" x14ac:dyDescent="0.25">
      <c r="A6" s="58" t="s">
        <v>74</v>
      </c>
      <c r="B6" s="58"/>
      <c r="C6" s="58"/>
      <c r="D6" s="58"/>
      <c r="E6" s="58"/>
      <c r="F6" s="58"/>
      <c r="G6" s="3"/>
      <c r="H6" s="59" t="s">
        <v>25</v>
      </c>
      <c r="I6" s="59"/>
      <c r="J6" s="59"/>
      <c r="K6" s="59"/>
    </row>
    <row r="7" spans="1:25" ht="15.75" x14ac:dyDescent="0.25">
      <c r="A7" s="52" t="s">
        <v>34</v>
      </c>
      <c r="B7" s="52"/>
      <c r="C7" s="52"/>
      <c r="D7" s="52"/>
      <c r="E7" s="52"/>
      <c r="F7" s="52"/>
      <c r="G7" s="4"/>
      <c r="H7" s="53" t="s">
        <v>62</v>
      </c>
      <c r="I7" s="53"/>
      <c r="J7" s="53"/>
      <c r="K7" s="53"/>
    </row>
    <row r="8" spans="1:25" ht="15.75" x14ac:dyDescent="0.25">
      <c r="A8" s="5" t="s">
        <v>5</v>
      </c>
      <c r="B8" s="6" t="s">
        <v>6</v>
      </c>
      <c r="C8" s="5" t="s">
        <v>7</v>
      </c>
      <c r="D8" s="7" t="s">
        <v>8</v>
      </c>
      <c r="E8" s="7" t="s">
        <v>9</v>
      </c>
      <c r="F8" s="7" t="s">
        <v>10</v>
      </c>
      <c r="G8" s="7" t="s">
        <v>11</v>
      </c>
      <c r="H8" s="5" t="s">
        <v>12</v>
      </c>
      <c r="I8" s="7" t="s">
        <v>13</v>
      </c>
      <c r="J8" s="7" t="s">
        <v>14</v>
      </c>
      <c r="K8" s="8" t="s">
        <v>15</v>
      </c>
      <c r="M8" s="10"/>
      <c r="N8" s="10"/>
      <c r="O8" s="10"/>
      <c r="P8" s="10"/>
      <c r="Q8" s="10"/>
      <c r="R8" s="10"/>
      <c r="S8" s="10"/>
      <c r="T8" s="10"/>
      <c r="U8" s="10"/>
      <c r="V8" s="10"/>
      <c r="W8" s="10"/>
      <c r="X8" s="10"/>
      <c r="Y8" s="10"/>
    </row>
    <row r="9" spans="1:25" ht="15.75" x14ac:dyDescent="0.25">
      <c r="A9" s="5" t="s">
        <v>40</v>
      </c>
      <c r="B9" s="6" t="s">
        <v>63</v>
      </c>
      <c r="C9" s="5"/>
      <c r="D9" s="7"/>
      <c r="E9" s="7"/>
      <c r="F9" s="7"/>
      <c r="G9" s="7"/>
      <c r="H9" s="5"/>
      <c r="I9" s="7"/>
      <c r="J9" s="7"/>
      <c r="K9" s="8"/>
    </row>
    <row r="10" spans="1:25" s="10" customFormat="1" ht="30.75" x14ac:dyDescent="0.25">
      <c r="A10" s="23">
        <v>1</v>
      </c>
      <c r="B10" s="22" t="s">
        <v>68</v>
      </c>
      <c r="C10" s="23"/>
      <c r="D10" s="24"/>
      <c r="E10" s="24"/>
      <c r="F10" s="24"/>
      <c r="G10" s="24"/>
      <c r="H10" s="23"/>
      <c r="I10" s="24"/>
      <c r="J10" s="24"/>
      <c r="K10" s="25"/>
      <c r="M10" s="9"/>
      <c r="N10" s="9"/>
      <c r="O10" s="9"/>
      <c r="P10" s="9"/>
      <c r="Q10" s="9"/>
      <c r="R10" s="9"/>
      <c r="S10" s="9"/>
      <c r="T10" s="9"/>
      <c r="U10" s="9"/>
      <c r="V10" s="9"/>
      <c r="W10" s="9"/>
      <c r="X10" s="9"/>
      <c r="Y10" s="9"/>
    </row>
    <row r="11" spans="1:25" x14ac:dyDescent="0.25">
      <c r="A11" s="18"/>
      <c r="B11" s="19" t="s">
        <v>43</v>
      </c>
      <c r="C11" s="20">
        <v>2</v>
      </c>
      <c r="D11" s="21">
        <f>M22</f>
        <v>1.8287107589149649</v>
      </c>
      <c r="E11" s="21">
        <f>N22</f>
        <v>1.8287107589149649</v>
      </c>
      <c r="F11" s="20">
        <v>0.15</v>
      </c>
      <c r="G11" s="21">
        <f>PRODUCT(C11:F11)</f>
        <v>1.003254911931404</v>
      </c>
      <c r="H11" s="20"/>
      <c r="I11" s="20"/>
      <c r="J11" s="20"/>
      <c r="K11" s="20"/>
    </row>
    <row r="12" spans="1:25" x14ac:dyDescent="0.25">
      <c r="A12" s="18"/>
      <c r="B12" s="19" t="s">
        <v>73</v>
      </c>
      <c r="C12" s="20">
        <v>1</v>
      </c>
      <c r="D12" s="21">
        <f>4.5/3.281</f>
        <v>1.3715330691862238</v>
      </c>
      <c r="E12" s="21">
        <f>4.5/3.281</f>
        <v>1.3715330691862238</v>
      </c>
      <c r="F12" s="20">
        <v>0.15</v>
      </c>
      <c r="G12" s="21">
        <f>PRODUCT(C12:F12)</f>
        <v>0.28216544398070742</v>
      </c>
      <c r="H12" s="20"/>
      <c r="I12" s="20"/>
      <c r="J12" s="20"/>
      <c r="K12" s="20"/>
    </row>
    <row r="13" spans="1:25" ht="15" customHeight="1" x14ac:dyDescent="0.25">
      <c r="A13" s="12"/>
      <c r="B13" s="13" t="s">
        <v>16</v>
      </c>
      <c r="C13" s="14"/>
      <c r="D13" s="1"/>
      <c r="E13" s="15"/>
      <c r="F13" s="15"/>
      <c r="G13" s="2">
        <f>SUM(G11:G12)</f>
        <v>1.2854203559121116</v>
      </c>
      <c r="H13" s="16" t="s">
        <v>29</v>
      </c>
      <c r="I13" s="2">
        <v>963.05</v>
      </c>
      <c r="J13" s="17">
        <f>G13*I13</f>
        <v>1237.924073761159</v>
      </c>
      <c r="K13" s="15"/>
    </row>
    <row r="14" spans="1:25" ht="15.75" x14ac:dyDescent="0.25">
      <c r="A14" s="5"/>
      <c r="B14" s="6"/>
      <c r="C14" s="5"/>
      <c r="D14" s="7"/>
      <c r="E14" s="7"/>
      <c r="F14" s="7"/>
      <c r="G14" s="7"/>
      <c r="H14" s="5"/>
      <c r="I14" s="7"/>
      <c r="J14" s="7"/>
      <c r="K14" s="8"/>
    </row>
    <row r="15" spans="1:25" x14ac:dyDescent="0.25">
      <c r="A15" s="18">
        <v>2</v>
      </c>
      <c r="B15" s="20" t="s">
        <v>64</v>
      </c>
      <c r="C15" s="20"/>
      <c r="D15" s="20"/>
      <c r="E15" s="20"/>
      <c r="F15" s="20"/>
      <c r="G15" s="20"/>
      <c r="H15" s="20"/>
      <c r="I15" s="20"/>
      <c r="J15" s="20"/>
      <c r="K15" s="20"/>
    </row>
    <row r="16" spans="1:25" x14ac:dyDescent="0.25">
      <c r="A16" s="18"/>
      <c r="B16" s="19" t="s">
        <v>43</v>
      </c>
      <c r="C16" s="20">
        <f>C11</f>
        <v>2</v>
      </c>
      <c r="D16" s="21">
        <f>M22</f>
        <v>1.8287107589149649</v>
      </c>
      <c r="E16" s="21">
        <f>N22</f>
        <v>1.8287107589149649</v>
      </c>
      <c r="F16" s="20"/>
      <c r="G16" s="21">
        <f>PRODUCT(C16:F16)</f>
        <v>6.6883660795426936</v>
      </c>
      <c r="H16" s="20"/>
      <c r="I16" s="20"/>
      <c r="J16" s="20"/>
      <c r="K16" s="20"/>
    </row>
    <row r="17" spans="1:18" x14ac:dyDescent="0.25">
      <c r="A17" s="18"/>
      <c r="B17" s="19" t="str">
        <f>B12</f>
        <v>-for intake</v>
      </c>
      <c r="C17" s="20">
        <f>C12</f>
        <v>1</v>
      </c>
      <c r="D17" s="21">
        <f>D12</f>
        <v>1.3715330691862238</v>
      </c>
      <c r="E17" s="21">
        <f>E12</f>
        <v>1.3715330691862238</v>
      </c>
      <c r="F17" s="20"/>
      <c r="G17" s="21">
        <f>PRODUCT(C17:F17)</f>
        <v>1.8811029598713829</v>
      </c>
      <c r="H17" s="20"/>
      <c r="I17" s="20"/>
      <c r="J17" s="20"/>
      <c r="K17" s="20"/>
    </row>
    <row r="18" spans="1:18" ht="13.9" customHeight="1" x14ac:dyDescent="0.25">
      <c r="A18" s="12"/>
      <c r="B18" s="13" t="s">
        <v>16</v>
      </c>
      <c r="C18" s="14"/>
      <c r="D18" s="1"/>
      <c r="E18" s="15"/>
      <c r="F18" s="15"/>
      <c r="G18" s="2">
        <f>SUM(G16:G17)</f>
        <v>8.5694690394140771</v>
      </c>
      <c r="H18" s="16" t="s">
        <v>48</v>
      </c>
      <c r="I18" s="2">
        <v>1014.15</v>
      </c>
      <c r="J18" s="17">
        <f>G18*I18</f>
        <v>8690.727026321787</v>
      </c>
      <c r="K18" s="15"/>
    </row>
    <row r="19" spans="1:18" x14ac:dyDescent="0.25">
      <c r="A19" s="18"/>
      <c r="B19" s="19" t="s">
        <v>65</v>
      </c>
      <c r="C19" s="20"/>
      <c r="D19" s="20"/>
      <c r="E19" s="20"/>
      <c r="F19" s="20"/>
      <c r="G19" s="20"/>
      <c r="H19" s="20"/>
      <c r="I19" s="20"/>
      <c r="J19" s="17">
        <f>0.13*G18*636.09</f>
        <v>708.62396296651707</v>
      </c>
      <c r="K19" s="20"/>
    </row>
    <row r="20" spans="1:18" x14ac:dyDescent="0.25">
      <c r="A20" s="18"/>
      <c r="B20" s="19" t="s">
        <v>44</v>
      </c>
      <c r="C20" s="20"/>
      <c r="D20" s="20"/>
      <c r="E20" s="20"/>
      <c r="F20" s="20"/>
      <c r="G20" s="20"/>
      <c r="H20" s="20"/>
      <c r="I20" s="20"/>
      <c r="J20" s="17">
        <f>0.13*G18*222.31</f>
        <v>247.66022607977865</v>
      </c>
      <c r="K20" s="20"/>
      <c r="M20" s="9" t="s">
        <v>52</v>
      </c>
    </row>
    <row r="21" spans="1:18" x14ac:dyDescent="0.25">
      <c r="A21" s="18"/>
      <c r="B21" s="20"/>
      <c r="C21" s="20"/>
      <c r="D21" s="20"/>
      <c r="E21" s="20"/>
      <c r="F21" s="20"/>
      <c r="G21" s="20"/>
      <c r="H21" s="20"/>
      <c r="I21" s="20"/>
      <c r="J21" s="20"/>
      <c r="K21" s="20"/>
      <c r="M21" s="9" t="s">
        <v>53</v>
      </c>
      <c r="N21" s="9" t="s">
        <v>9</v>
      </c>
      <c r="O21" s="9" t="s">
        <v>61</v>
      </c>
      <c r="P21" s="9" t="s">
        <v>54</v>
      </c>
      <c r="Q21" s="9" t="s">
        <v>55</v>
      </c>
      <c r="R21" s="9" t="s">
        <v>67</v>
      </c>
    </row>
    <row r="22" spans="1:18" x14ac:dyDescent="0.25">
      <c r="A22" s="18">
        <v>3</v>
      </c>
      <c r="B22" s="20" t="s">
        <v>45</v>
      </c>
      <c r="C22" s="20"/>
      <c r="D22" s="20"/>
      <c r="E22" s="20"/>
      <c r="F22" s="20"/>
      <c r="G22" s="20"/>
      <c r="H22" s="20"/>
      <c r="I22" s="20"/>
      <c r="J22" s="20"/>
      <c r="K22" s="20"/>
      <c r="M22" s="11">
        <f>6/3.281</f>
        <v>1.8287107589149649</v>
      </c>
      <c r="N22" s="11">
        <f>6/3.281</f>
        <v>1.8287107589149649</v>
      </c>
      <c r="O22" s="11">
        <v>0.23</v>
      </c>
      <c r="P22" s="11">
        <f>TRUNC(2/3.281,1)</f>
        <v>0.6</v>
      </c>
      <c r="Q22" s="11">
        <f>TRUNC(4.5/3.281,1)</f>
        <v>1.3</v>
      </c>
      <c r="R22" s="11">
        <f>1.17/3.281</f>
        <v>0.35659859798841814</v>
      </c>
    </row>
    <row r="23" spans="1:18" x14ac:dyDescent="0.25">
      <c r="A23" s="18"/>
      <c r="B23" s="19" t="s">
        <v>51</v>
      </c>
      <c r="C23" s="20">
        <f>C16</f>
        <v>2</v>
      </c>
      <c r="D23" s="21">
        <f>M22</f>
        <v>1.8287107589149649</v>
      </c>
      <c r="E23" s="21">
        <f>N22</f>
        <v>1.8287107589149649</v>
      </c>
      <c r="F23" s="21">
        <v>0.1</v>
      </c>
      <c r="G23" s="21">
        <f>PRODUCT(C23:F23)</f>
        <v>0.66883660795426936</v>
      </c>
      <c r="H23" s="20"/>
      <c r="I23" s="20"/>
      <c r="J23" s="20"/>
      <c r="K23" s="20"/>
    </row>
    <row r="24" spans="1:18" x14ac:dyDescent="0.25">
      <c r="A24" s="18"/>
      <c r="B24" s="19" t="str">
        <f>B17</f>
        <v>-for intake</v>
      </c>
      <c r="C24" s="20">
        <f>C17</f>
        <v>1</v>
      </c>
      <c r="D24" s="21">
        <f>D17</f>
        <v>1.3715330691862238</v>
      </c>
      <c r="E24" s="21">
        <f>E17</f>
        <v>1.3715330691862238</v>
      </c>
      <c r="F24" s="21">
        <v>0.1</v>
      </c>
      <c r="G24" s="21">
        <f>PRODUCT(C24:F24)</f>
        <v>0.1881102959871383</v>
      </c>
      <c r="H24" s="20"/>
      <c r="I24" s="20"/>
      <c r="J24" s="20"/>
      <c r="K24" s="20"/>
    </row>
    <row r="25" spans="1:18" ht="15" customHeight="1" x14ac:dyDescent="0.25">
      <c r="A25" s="12"/>
      <c r="B25" s="13" t="s">
        <v>16</v>
      </c>
      <c r="C25" s="14"/>
      <c r="D25" s="1"/>
      <c r="E25" s="15"/>
      <c r="F25" s="15"/>
      <c r="G25" s="2">
        <f>SUM(G23:G24)</f>
        <v>0.85694690394140771</v>
      </c>
      <c r="H25" s="16" t="s">
        <v>29</v>
      </c>
      <c r="I25" s="2">
        <v>13343.7</v>
      </c>
      <c r="J25" s="17">
        <f>G25*I25</f>
        <v>11434.842402122962</v>
      </c>
      <c r="K25" s="15"/>
    </row>
    <row r="26" spans="1:18" x14ac:dyDescent="0.25">
      <c r="A26" s="18"/>
      <c r="B26" s="19" t="s">
        <v>44</v>
      </c>
      <c r="C26" s="20"/>
      <c r="D26" s="20"/>
      <c r="E26" s="20"/>
      <c r="F26" s="20"/>
      <c r="G26" s="20"/>
      <c r="H26" s="20"/>
      <c r="I26" s="20"/>
      <c r="J26" s="17">
        <f>0.13*G25*1413.27</f>
        <v>157.44265562132551</v>
      </c>
      <c r="K26" s="20"/>
    </row>
    <row r="27" spans="1:18" x14ac:dyDescent="0.25">
      <c r="A27" s="18"/>
      <c r="B27" s="19" t="s">
        <v>46</v>
      </c>
      <c r="C27" s="20"/>
      <c r="D27" s="20"/>
      <c r="E27" s="20"/>
      <c r="F27" s="20"/>
      <c r="G27" s="20"/>
      <c r="H27" s="20"/>
      <c r="I27" s="20"/>
      <c r="J27" s="17">
        <f>0.13*G25*4096</f>
        <v>456.30708741072078</v>
      </c>
      <c r="K27" s="20"/>
    </row>
    <row r="28" spans="1:18" x14ac:dyDescent="0.25">
      <c r="A28" s="18"/>
      <c r="B28" s="19" t="s">
        <v>47</v>
      </c>
      <c r="C28" s="20"/>
      <c r="D28" s="20"/>
      <c r="E28" s="20"/>
      <c r="F28" s="20"/>
      <c r="G28" s="20"/>
      <c r="H28" s="20"/>
      <c r="I28" s="20"/>
      <c r="J28" s="17">
        <f>0.13*G25*(368.76+737.51+1743.21)</f>
        <v>317.44089829958511</v>
      </c>
      <c r="K28" s="20"/>
    </row>
    <row r="29" spans="1:18" x14ac:dyDescent="0.25">
      <c r="A29" s="18"/>
      <c r="B29" s="20"/>
      <c r="C29" s="20"/>
      <c r="D29" s="20"/>
      <c r="E29" s="20"/>
      <c r="F29" s="20"/>
      <c r="G29" s="20"/>
      <c r="H29" s="20"/>
      <c r="I29" s="20"/>
      <c r="J29" s="20"/>
      <c r="K29" s="20"/>
    </row>
    <row r="30" spans="1:18" ht="30" x14ac:dyDescent="0.25">
      <c r="A30" s="18">
        <v>4</v>
      </c>
      <c r="B30" s="26" t="s">
        <v>66</v>
      </c>
      <c r="C30" s="20"/>
      <c r="D30" s="20"/>
      <c r="E30" s="20"/>
      <c r="F30" s="20"/>
      <c r="G30" s="20"/>
      <c r="H30" s="20"/>
      <c r="I30" s="20"/>
      <c r="J30" s="20"/>
      <c r="K30" s="20"/>
    </row>
    <row r="31" spans="1:18" x14ac:dyDescent="0.25">
      <c r="A31" s="18"/>
      <c r="B31" s="19" t="s">
        <v>49</v>
      </c>
      <c r="C31" s="20">
        <f>C16*2</f>
        <v>4</v>
      </c>
      <c r="D31" s="21">
        <f>N22-O22*2</f>
        <v>1.368710758914965</v>
      </c>
      <c r="E31" s="21">
        <f>O22</f>
        <v>0.23</v>
      </c>
      <c r="F31" s="21">
        <f>P22</f>
        <v>0.6</v>
      </c>
      <c r="G31" s="21">
        <f>PRODUCT(C31:F31)</f>
        <v>0.75552833892106064</v>
      </c>
      <c r="H31" s="20"/>
      <c r="I31" s="20"/>
      <c r="J31" s="20"/>
      <c r="K31" s="20"/>
    </row>
    <row r="32" spans="1:18" x14ac:dyDescent="0.25">
      <c r="A32" s="18"/>
      <c r="B32" s="19" t="s">
        <v>50</v>
      </c>
      <c r="C32" s="20">
        <f>C16</f>
        <v>2</v>
      </c>
      <c r="D32" s="21">
        <f>M22-R22</f>
        <v>1.4721121609265468</v>
      </c>
      <c r="E32" s="21">
        <f>O22</f>
        <v>0.23</v>
      </c>
      <c r="F32" s="21">
        <f>P22</f>
        <v>0.6</v>
      </c>
      <c r="G32" s="21">
        <f>PRODUCT(C32:F32)</f>
        <v>0.40630295641572695</v>
      </c>
      <c r="H32" s="20"/>
      <c r="I32" s="20"/>
      <c r="J32" s="20"/>
      <c r="K32" s="20"/>
    </row>
    <row r="33" spans="1:11" x14ac:dyDescent="0.25">
      <c r="A33" s="18"/>
      <c r="B33" s="19" t="str">
        <f>B23</f>
        <v>-for stand tap</v>
      </c>
      <c r="C33" s="20">
        <f>C16</f>
        <v>2</v>
      </c>
      <c r="D33" s="21">
        <f>R22</f>
        <v>0.35659859798841814</v>
      </c>
      <c r="E33" s="21">
        <f>O22</f>
        <v>0.23</v>
      </c>
      <c r="F33" s="21">
        <f>Q22</f>
        <v>1.3</v>
      </c>
      <c r="G33" s="21">
        <f>PRODUCT(C33:F33)</f>
        <v>0.21324596159707407</v>
      </c>
      <c r="H33" s="20"/>
      <c r="I33" s="20"/>
      <c r="J33" s="20"/>
      <c r="K33" s="20"/>
    </row>
    <row r="34" spans="1:11" x14ac:dyDescent="0.25">
      <c r="A34" s="18"/>
      <c r="B34" s="19" t="str">
        <f>B24</f>
        <v>-for intake</v>
      </c>
      <c r="C34" s="20">
        <v>2</v>
      </c>
      <c r="D34" s="21">
        <f>3/3.281</f>
        <v>0.91435537945748246</v>
      </c>
      <c r="E34" s="21">
        <v>0.23</v>
      </c>
      <c r="F34" s="21">
        <v>0.9</v>
      </c>
      <c r="G34" s="21">
        <f t="shared" ref="G34:G35" si="0">PRODUCT(C34:F34)</f>
        <v>0.37854312709539778</v>
      </c>
      <c r="H34" s="20"/>
      <c r="I34" s="20"/>
      <c r="J34" s="20"/>
      <c r="K34" s="20"/>
    </row>
    <row r="35" spans="1:11" x14ac:dyDescent="0.25">
      <c r="A35" s="18"/>
      <c r="B35" s="19"/>
      <c r="C35" s="20">
        <v>2</v>
      </c>
      <c r="D35" s="21">
        <f>4.5/3.281</f>
        <v>1.3715330691862238</v>
      </c>
      <c r="E35" s="21">
        <v>0.23</v>
      </c>
      <c r="F35" s="21">
        <v>0.9</v>
      </c>
      <c r="G35" s="21">
        <f t="shared" si="0"/>
        <v>0.56781469064309664</v>
      </c>
      <c r="H35" s="20"/>
      <c r="I35" s="20"/>
      <c r="J35" s="20"/>
      <c r="K35" s="20"/>
    </row>
    <row r="36" spans="1:11" ht="15" customHeight="1" x14ac:dyDescent="0.25">
      <c r="A36" s="12"/>
      <c r="B36" s="13" t="s">
        <v>16</v>
      </c>
      <c r="C36" s="14"/>
      <c r="D36" s="1"/>
      <c r="E36" s="15"/>
      <c r="F36" s="15"/>
      <c r="G36" s="2">
        <f>SUM(G31:G35)</f>
        <v>2.321435074672356</v>
      </c>
      <c r="H36" s="16" t="s">
        <v>29</v>
      </c>
      <c r="I36" s="2">
        <v>12225.55</v>
      </c>
      <c r="J36" s="17">
        <f>G36*I36</f>
        <v>28380.820577160619</v>
      </c>
      <c r="K36" s="15"/>
    </row>
    <row r="37" spans="1:11" x14ac:dyDescent="0.25">
      <c r="A37" s="18"/>
      <c r="B37" s="19" t="s">
        <v>65</v>
      </c>
      <c r="C37" s="20"/>
      <c r="D37" s="20"/>
      <c r="E37" s="20"/>
      <c r="F37" s="20"/>
      <c r="G37" s="20"/>
      <c r="H37" s="20"/>
      <c r="I37" s="20"/>
      <c r="J37" s="17">
        <f>0.13*G36*8481.2</f>
        <v>2559.5121701904545</v>
      </c>
      <c r="K37" s="20"/>
    </row>
    <row r="38" spans="1:11" x14ac:dyDescent="0.25">
      <c r="A38" s="18"/>
      <c r="B38" s="19" t="s">
        <v>46</v>
      </c>
      <c r="C38" s="20"/>
      <c r="D38" s="20"/>
      <c r="E38" s="20"/>
      <c r="F38" s="20"/>
      <c r="G38" s="20"/>
      <c r="H38" s="20"/>
      <c r="I38" s="20"/>
      <c r="J38" s="17">
        <f>0.13*G36*896</f>
        <v>270.40075749783603</v>
      </c>
      <c r="K38" s="20"/>
    </row>
    <row r="39" spans="1:11" x14ac:dyDescent="0.25">
      <c r="A39" s="18"/>
      <c r="B39" s="19" t="s">
        <v>44</v>
      </c>
      <c r="C39" s="20"/>
      <c r="D39" s="20"/>
      <c r="E39" s="20"/>
      <c r="F39" s="20"/>
      <c r="G39" s="20"/>
      <c r="H39" s="20"/>
      <c r="I39" s="20"/>
      <c r="J39" s="17">
        <f>0.13*G36*952.76</f>
        <v>287.53016262682843</v>
      </c>
      <c r="K39" s="20"/>
    </row>
    <row r="40" spans="1:11" x14ac:dyDescent="0.25">
      <c r="A40" s="18"/>
      <c r="B40" s="20"/>
      <c r="C40" s="20"/>
      <c r="D40" s="20"/>
      <c r="E40" s="20"/>
      <c r="F40" s="20"/>
      <c r="G40" s="20"/>
      <c r="H40" s="20"/>
      <c r="I40" s="20"/>
      <c r="J40" s="20"/>
      <c r="K40" s="20"/>
    </row>
    <row r="41" spans="1:11" x14ac:dyDescent="0.25">
      <c r="A41" s="18">
        <v>5</v>
      </c>
      <c r="B41" s="26" t="s">
        <v>56</v>
      </c>
      <c r="C41" s="20"/>
      <c r="D41" s="20"/>
      <c r="E41" s="20"/>
      <c r="F41" s="20"/>
      <c r="G41" s="20"/>
      <c r="H41" s="20"/>
      <c r="I41" s="20"/>
      <c r="J41" s="20"/>
      <c r="K41" s="20"/>
    </row>
    <row r="42" spans="1:11" x14ac:dyDescent="0.25">
      <c r="A42" s="18"/>
      <c r="B42" s="19" t="str">
        <f>B31</f>
        <v>-for wing walls of stand tap</v>
      </c>
      <c r="C42" s="20">
        <f>C16*4</f>
        <v>8</v>
      </c>
      <c r="D42" s="21">
        <f>M22-O22*2</f>
        <v>1.368710758914965</v>
      </c>
      <c r="E42" s="21"/>
      <c r="F42" s="21">
        <f>P22</f>
        <v>0.6</v>
      </c>
      <c r="G42" s="21">
        <f>PRODUCT(C42:F42)</f>
        <v>6.5698116427918318</v>
      </c>
      <c r="H42" s="20"/>
      <c r="I42" s="20"/>
      <c r="J42" s="20"/>
      <c r="K42" s="20"/>
    </row>
    <row r="43" spans="1:11" x14ac:dyDescent="0.25">
      <c r="A43" s="18"/>
      <c r="B43" s="19" t="str">
        <f>B32</f>
        <v>-for side wall of stand tap</v>
      </c>
      <c r="C43" s="20">
        <f>C16</f>
        <v>2</v>
      </c>
      <c r="D43" s="21">
        <f>M22-R22</f>
        <v>1.4721121609265468</v>
      </c>
      <c r="E43" s="21"/>
      <c r="F43" s="21">
        <f>P22</f>
        <v>0.6</v>
      </c>
      <c r="G43" s="21">
        <f>PRODUCT(C43:F43)</f>
        <v>1.7665345931118561</v>
      </c>
      <c r="H43" s="20"/>
      <c r="I43" s="20"/>
      <c r="J43" s="20"/>
      <c r="K43" s="20"/>
    </row>
    <row r="44" spans="1:11" x14ac:dyDescent="0.25">
      <c r="A44" s="18"/>
      <c r="B44" s="19" t="str">
        <f>B33</f>
        <v>-for stand tap</v>
      </c>
      <c r="C44" s="20">
        <f>C16</f>
        <v>2</v>
      </c>
      <c r="D44" s="21">
        <f>R22</f>
        <v>0.35659859798841814</v>
      </c>
      <c r="E44" s="21"/>
      <c r="F44" s="21">
        <f>Q22</f>
        <v>1.3</v>
      </c>
      <c r="G44" s="21">
        <f>PRODUCT(C44:F44)</f>
        <v>0.92715635476988723</v>
      </c>
      <c r="H44" s="20"/>
      <c r="I44" s="20"/>
      <c r="J44" s="20"/>
      <c r="K44" s="20"/>
    </row>
    <row r="45" spans="1:11" x14ac:dyDescent="0.25">
      <c r="A45" s="18"/>
      <c r="B45" s="19"/>
      <c r="C45" s="20">
        <f>C44</f>
        <v>2</v>
      </c>
      <c r="D45" s="21">
        <f>O22*2</f>
        <v>0.46</v>
      </c>
      <c r="E45" s="21"/>
      <c r="F45" s="21">
        <f>Q22-P22</f>
        <v>0.70000000000000007</v>
      </c>
      <c r="G45" s="21">
        <f>PRODUCT(C45:F45)</f>
        <v>0.64400000000000013</v>
      </c>
      <c r="H45" s="20"/>
      <c r="I45" s="20"/>
      <c r="J45" s="20"/>
      <c r="K45" s="20"/>
    </row>
    <row r="46" spans="1:11" x14ac:dyDescent="0.25">
      <c r="A46" s="18"/>
      <c r="B46" s="19" t="str">
        <f>B34</f>
        <v>-for intake</v>
      </c>
      <c r="C46" s="20">
        <v>4</v>
      </c>
      <c r="D46" s="21">
        <f>4.5/3.281</f>
        <v>1.3715330691862238</v>
      </c>
      <c r="E46" s="21"/>
      <c r="F46" s="21">
        <f>2.75/3.281</f>
        <v>0.8381590978360256</v>
      </c>
      <c r="G46" s="21">
        <f t="shared" ref="G46:G48" si="1">PRODUCT(C46:F46)</f>
        <v>4.5982516796856023</v>
      </c>
      <c r="H46" s="20"/>
      <c r="I46" s="20"/>
      <c r="J46" s="20"/>
      <c r="K46" s="20"/>
    </row>
    <row r="47" spans="1:11" x14ac:dyDescent="0.25">
      <c r="A47" s="18"/>
      <c r="B47" s="19"/>
      <c r="C47" s="20">
        <v>4</v>
      </c>
      <c r="D47" s="21">
        <f>3/3.281</f>
        <v>0.91435537945748246</v>
      </c>
      <c r="E47" s="21"/>
      <c r="F47" s="21">
        <f>2.75/3.281</f>
        <v>0.8381590978360256</v>
      </c>
      <c r="G47" s="21">
        <f t="shared" si="1"/>
        <v>3.0655011197904014</v>
      </c>
      <c r="H47" s="20"/>
      <c r="I47" s="20"/>
      <c r="J47" s="20"/>
      <c r="K47" s="20"/>
    </row>
    <row r="48" spans="1:11" x14ac:dyDescent="0.25">
      <c r="A48" s="18"/>
      <c r="B48" s="19"/>
      <c r="C48" s="20">
        <v>1</v>
      </c>
      <c r="D48" s="21">
        <f>D47</f>
        <v>0.91435537945748246</v>
      </c>
      <c r="E48" s="21">
        <f>D47</f>
        <v>0.91435537945748246</v>
      </c>
      <c r="F48" s="21"/>
      <c r="G48" s="21">
        <f t="shared" si="1"/>
        <v>0.8360457599428367</v>
      </c>
      <c r="H48" s="20"/>
      <c r="I48" s="20"/>
      <c r="J48" s="20"/>
      <c r="K48" s="20"/>
    </row>
    <row r="49" spans="1:25" ht="15" customHeight="1" x14ac:dyDescent="0.25">
      <c r="A49" s="12"/>
      <c r="B49" s="13" t="s">
        <v>16</v>
      </c>
      <c r="C49" s="14"/>
      <c r="D49" s="1"/>
      <c r="E49" s="15"/>
      <c r="F49" s="15"/>
      <c r="G49" s="2">
        <f>SUM(G42:G48)</f>
        <v>18.407301150092415</v>
      </c>
      <c r="H49" s="16" t="s">
        <v>48</v>
      </c>
      <c r="I49" s="2">
        <f>49954.32/100</f>
        <v>499.54320000000001</v>
      </c>
      <c r="J49" s="17">
        <f>G49*I49</f>
        <v>9195.2421198808461</v>
      </c>
      <c r="K49" s="15"/>
    </row>
    <row r="50" spans="1:25" x14ac:dyDescent="0.25">
      <c r="A50" s="18"/>
      <c r="B50" s="19" t="s">
        <v>44</v>
      </c>
      <c r="C50" s="20"/>
      <c r="D50" s="20"/>
      <c r="E50" s="20"/>
      <c r="F50" s="20"/>
      <c r="G50" s="20"/>
      <c r="H50" s="20"/>
      <c r="I50" s="20"/>
      <c r="J50" s="17">
        <f>0.13*G49*7463.32/100</f>
        <v>178.59345246536006</v>
      </c>
      <c r="K50" s="20"/>
    </row>
    <row r="51" spans="1:25" x14ac:dyDescent="0.25">
      <c r="A51" s="18"/>
      <c r="B51" s="19" t="s">
        <v>46</v>
      </c>
      <c r="C51" s="20"/>
      <c r="D51" s="20"/>
      <c r="E51" s="20"/>
      <c r="F51" s="20"/>
      <c r="G51" s="20"/>
      <c r="H51" s="20"/>
      <c r="I51" s="20"/>
      <c r="J51" s="17">
        <f>0.13*G49*7296/100</f>
        <v>174.58956994839656</v>
      </c>
      <c r="K51" s="20"/>
    </row>
    <row r="52" spans="1:25" x14ac:dyDescent="0.25">
      <c r="A52" s="18"/>
      <c r="B52" s="20"/>
      <c r="C52" s="20"/>
      <c r="D52" s="20"/>
      <c r="E52" s="20"/>
      <c r="F52" s="20"/>
      <c r="G52" s="20"/>
      <c r="H52" s="20"/>
      <c r="I52" s="20"/>
      <c r="J52" s="20"/>
      <c r="K52" s="20"/>
    </row>
    <row r="53" spans="1:25" x14ac:dyDescent="0.25">
      <c r="A53" s="18">
        <v>6</v>
      </c>
      <c r="B53" s="26" t="s">
        <v>57</v>
      </c>
      <c r="C53" s="20"/>
      <c r="D53" s="20"/>
      <c r="E53" s="20"/>
      <c r="F53" s="20"/>
      <c r="G53" s="20"/>
      <c r="H53" s="20"/>
      <c r="I53" s="20"/>
      <c r="J53" s="20"/>
      <c r="K53" s="20"/>
    </row>
    <row r="54" spans="1:25" x14ac:dyDescent="0.25">
      <c r="A54" s="18"/>
      <c r="B54" s="19" t="str">
        <f t="shared" ref="B54:D56" si="2">B42</f>
        <v>-for wing walls of stand tap</v>
      </c>
      <c r="C54" s="20">
        <f t="shared" si="2"/>
        <v>8</v>
      </c>
      <c r="D54" s="21">
        <f t="shared" si="2"/>
        <v>1.368710758914965</v>
      </c>
      <c r="E54" s="21"/>
      <c r="F54" s="21">
        <f>F42</f>
        <v>0.6</v>
      </c>
      <c r="G54" s="21">
        <f>PRODUCT(C54:F54)</f>
        <v>6.5698116427918318</v>
      </c>
      <c r="H54" s="20"/>
      <c r="I54" s="20"/>
      <c r="J54" s="20"/>
      <c r="K54" s="20"/>
    </row>
    <row r="55" spans="1:25" x14ac:dyDescent="0.25">
      <c r="A55" s="18"/>
      <c r="B55" s="19" t="str">
        <f t="shared" si="2"/>
        <v>-for side wall of stand tap</v>
      </c>
      <c r="C55" s="20">
        <f t="shared" si="2"/>
        <v>2</v>
      </c>
      <c r="D55" s="21">
        <f t="shared" si="2"/>
        <v>1.4721121609265468</v>
      </c>
      <c r="E55" s="21"/>
      <c r="F55" s="21">
        <f>F43</f>
        <v>0.6</v>
      </c>
      <c r="G55" s="21">
        <f>PRODUCT(C55:F55)</f>
        <v>1.7665345931118561</v>
      </c>
      <c r="H55" s="20"/>
      <c r="I55" s="20"/>
      <c r="J55" s="20"/>
      <c r="K55" s="20"/>
    </row>
    <row r="56" spans="1:25" x14ac:dyDescent="0.25">
      <c r="A56" s="18"/>
      <c r="B56" s="19" t="str">
        <f t="shared" si="2"/>
        <v>-for stand tap</v>
      </c>
      <c r="C56" s="20">
        <f t="shared" si="2"/>
        <v>2</v>
      </c>
      <c r="D56" s="21">
        <f t="shared" si="2"/>
        <v>0.35659859798841814</v>
      </c>
      <c r="E56" s="21"/>
      <c r="F56" s="21">
        <f>F44</f>
        <v>1.3</v>
      </c>
      <c r="G56" s="21">
        <f>PRODUCT(C56:F56)</f>
        <v>0.92715635476988723</v>
      </c>
      <c r="H56" s="20"/>
      <c r="I56" s="20"/>
      <c r="J56" s="20"/>
      <c r="K56" s="20"/>
    </row>
    <row r="57" spans="1:25" x14ac:dyDescent="0.25">
      <c r="A57" s="18"/>
      <c r="B57" s="19"/>
      <c r="C57" s="20">
        <f>C45</f>
        <v>2</v>
      </c>
      <c r="D57" s="21">
        <f>D45</f>
        <v>0.46</v>
      </c>
      <c r="E57" s="21"/>
      <c r="F57" s="21">
        <f>F45</f>
        <v>0.70000000000000007</v>
      </c>
      <c r="G57" s="21">
        <f>PRODUCT(C57:F57)</f>
        <v>0.64400000000000013</v>
      </c>
      <c r="H57" s="20"/>
      <c r="I57" s="20"/>
      <c r="J57" s="20"/>
      <c r="K57" s="20"/>
    </row>
    <row r="58" spans="1:25" x14ac:dyDescent="0.25">
      <c r="A58" s="18"/>
      <c r="B58" s="19" t="s">
        <v>58</v>
      </c>
      <c r="C58" s="20">
        <f>C16</f>
        <v>2</v>
      </c>
      <c r="D58" s="21">
        <f>M22-O22*2</f>
        <v>1.368710758914965</v>
      </c>
      <c r="E58" s="21">
        <f>N22-O22</f>
        <v>1.5987107589149649</v>
      </c>
      <c r="F58" s="21"/>
      <c r="G58" s="21">
        <f>PRODUCT(C58:F58)</f>
        <v>4.3763452322400429</v>
      </c>
      <c r="H58" s="20"/>
      <c r="I58" s="20"/>
      <c r="J58" s="20"/>
      <c r="K58" s="20"/>
    </row>
    <row r="59" spans="1:25" x14ac:dyDescent="0.25">
      <c r="A59" s="18"/>
      <c r="B59" s="19" t="str">
        <f>B46</f>
        <v>-for intake</v>
      </c>
      <c r="C59" s="20">
        <v>4</v>
      </c>
      <c r="D59" s="21">
        <f>D47</f>
        <v>0.91435537945748246</v>
      </c>
      <c r="E59" s="21"/>
      <c r="F59" s="21">
        <f>F47</f>
        <v>0.8381590978360256</v>
      </c>
      <c r="G59" s="21">
        <f t="shared" ref="G59:G60" si="3">PRODUCT(C59:F59)</f>
        <v>3.0655011197904014</v>
      </c>
      <c r="H59" s="20"/>
      <c r="I59" s="20"/>
      <c r="J59" s="20"/>
      <c r="K59" s="20"/>
    </row>
    <row r="60" spans="1:25" x14ac:dyDescent="0.25">
      <c r="A60" s="18"/>
      <c r="B60" s="19"/>
      <c r="C60" s="20">
        <v>1</v>
      </c>
      <c r="D60" s="21">
        <f>D59</f>
        <v>0.91435537945748246</v>
      </c>
      <c r="E60" s="21">
        <f>D59</f>
        <v>0.91435537945748246</v>
      </c>
      <c r="F60" s="21"/>
      <c r="G60" s="21">
        <f t="shared" si="3"/>
        <v>0.8360457599428367</v>
      </c>
      <c r="H60" s="20"/>
      <c r="I60" s="20"/>
      <c r="J60" s="20"/>
      <c r="K60" s="20"/>
    </row>
    <row r="61" spans="1:25" ht="15" customHeight="1" x14ac:dyDescent="0.25">
      <c r="A61" s="12"/>
      <c r="B61" s="13" t="s">
        <v>16</v>
      </c>
      <c r="C61" s="14"/>
      <c r="D61" s="1"/>
      <c r="E61" s="15"/>
      <c r="F61" s="15"/>
      <c r="G61" s="2">
        <f>SUM(G54:G60)</f>
        <v>18.185394702646857</v>
      </c>
      <c r="H61" s="16" t="s">
        <v>48</v>
      </c>
      <c r="I61" s="2">
        <f>28609.6/100</f>
        <v>286.096</v>
      </c>
      <c r="J61" s="17">
        <f>G61*I61</f>
        <v>5202.7686828484548</v>
      </c>
      <c r="K61" s="15"/>
    </row>
    <row r="62" spans="1:25" x14ac:dyDescent="0.25">
      <c r="A62" s="18"/>
      <c r="B62" s="19" t="s">
        <v>46</v>
      </c>
      <c r="C62" s="20"/>
      <c r="D62" s="20"/>
      <c r="E62" s="20"/>
      <c r="F62" s="20"/>
      <c r="G62" s="20"/>
      <c r="H62" s="20"/>
      <c r="I62" s="20"/>
      <c r="J62" s="17">
        <f>0.13*G61*6809.6/100</f>
        <v>160.98584289728728</v>
      </c>
      <c r="K62" s="20"/>
    </row>
    <row r="63" spans="1:25" x14ac:dyDescent="0.25">
      <c r="A63" s="18"/>
      <c r="B63" s="20"/>
      <c r="C63" s="20"/>
      <c r="D63" s="20"/>
      <c r="E63" s="20"/>
      <c r="F63" s="20"/>
      <c r="G63" s="20"/>
      <c r="H63" s="20"/>
      <c r="I63" s="20"/>
      <c r="J63" s="20"/>
      <c r="K63" s="20"/>
    </row>
    <row r="64" spans="1:25" ht="30" x14ac:dyDescent="0.25">
      <c r="A64" s="18">
        <v>7</v>
      </c>
      <c r="B64" s="41" t="s">
        <v>59</v>
      </c>
      <c r="C64" s="20"/>
      <c r="D64" s="20"/>
      <c r="E64" s="20"/>
      <c r="F64" s="20"/>
      <c r="G64" s="20"/>
      <c r="H64" s="20"/>
      <c r="I64" s="20"/>
      <c r="J64" s="20"/>
      <c r="K64" s="20"/>
      <c r="M64" s="10"/>
      <c r="N64" s="10"/>
      <c r="O64" s="10"/>
      <c r="P64" s="10"/>
      <c r="Q64" s="10"/>
      <c r="R64" s="10"/>
      <c r="S64" s="10"/>
      <c r="T64" s="10"/>
      <c r="U64" s="10"/>
      <c r="V64" s="10"/>
      <c r="W64" s="10"/>
      <c r="X64" s="10"/>
      <c r="Y64" s="10"/>
    </row>
    <row r="65" spans="1:25" x14ac:dyDescent="0.25">
      <c r="A65" s="18"/>
      <c r="B65" s="19" t="s">
        <v>36</v>
      </c>
      <c r="C65" s="20">
        <f>C16</f>
        <v>2</v>
      </c>
      <c r="D65" s="21">
        <f>Q22</f>
        <v>1.3</v>
      </c>
      <c r="E65" s="20"/>
      <c r="F65" s="20"/>
      <c r="G65" s="21">
        <f t="shared" ref="G65" si="4">PRODUCT(C65:F65)</f>
        <v>2.6</v>
      </c>
      <c r="H65" s="20"/>
      <c r="I65" s="20"/>
      <c r="J65" s="17"/>
      <c r="K65" s="20"/>
    </row>
    <row r="66" spans="1:25" s="10" customFormat="1" x14ac:dyDescent="0.25">
      <c r="A66" s="12"/>
      <c r="B66" s="42" t="s">
        <v>28</v>
      </c>
      <c r="C66" s="14"/>
      <c r="D66" s="1"/>
      <c r="E66" s="15"/>
      <c r="F66" s="15"/>
      <c r="G66" s="43">
        <f>SUM(G65:G65)</f>
        <v>2.6</v>
      </c>
      <c r="H66" s="16" t="s">
        <v>37</v>
      </c>
      <c r="I66" s="2">
        <v>248</v>
      </c>
      <c r="J66" s="43">
        <f>G66*I66</f>
        <v>644.80000000000007</v>
      </c>
      <c r="K66" s="15"/>
      <c r="M66" s="9"/>
      <c r="N66" s="9"/>
      <c r="O66" s="9"/>
      <c r="P66" s="9"/>
      <c r="Q66" s="9"/>
      <c r="R66" s="9"/>
      <c r="S66" s="9"/>
      <c r="T66" s="9"/>
      <c r="U66" s="9"/>
      <c r="V66" s="9"/>
      <c r="W66" s="9"/>
      <c r="X66" s="9"/>
      <c r="Y66" s="9"/>
    </row>
    <row r="67" spans="1:25" x14ac:dyDescent="0.25">
      <c r="A67" s="18"/>
      <c r="B67" s="19" t="s">
        <v>60</v>
      </c>
      <c r="C67" s="20"/>
      <c r="D67" s="20"/>
      <c r="E67" s="20"/>
      <c r="F67" s="20"/>
      <c r="G67" s="20"/>
      <c r="H67" s="20"/>
      <c r="I67" s="20"/>
      <c r="J67" s="17">
        <f>0.13*J66</f>
        <v>83.824000000000012</v>
      </c>
      <c r="K67" s="20"/>
      <c r="M67" s="10"/>
      <c r="N67" s="10"/>
      <c r="O67" s="10"/>
      <c r="P67" s="10"/>
      <c r="Q67" s="10"/>
      <c r="R67" s="10"/>
      <c r="S67" s="10"/>
      <c r="T67" s="10"/>
      <c r="U67" s="10"/>
      <c r="V67" s="10"/>
      <c r="W67" s="10"/>
      <c r="X67" s="10"/>
      <c r="Y67" s="10"/>
    </row>
    <row r="68" spans="1:25" x14ac:dyDescent="0.25">
      <c r="A68" s="18"/>
      <c r="B68" s="41"/>
      <c r="C68" s="20"/>
      <c r="D68" s="20"/>
      <c r="E68" s="20"/>
      <c r="F68" s="20"/>
      <c r="G68" s="20"/>
      <c r="H68" s="20"/>
      <c r="I68" s="20"/>
      <c r="J68" s="20"/>
      <c r="K68" s="20"/>
    </row>
    <row r="69" spans="1:25" ht="15.75" x14ac:dyDescent="0.25">
      <c r="A69" s="5" t="s">
        <v>42</v>
      </c>
      <c r="B69" s="6" t="s">
        <v>41</v>
      </c>
      <c r="C69" s="5"/>
      <c r="D69" s="7"/>
      <c r="E69" s="7"/>
      <c r="F69" s="7"/>
      <c r="G69" s="7"/>
      <c r="H69" s="5"/>
      <c r="I69" s="7"/>
      <c r="J69" s="7"/>
      <c r="K69" s="8"/>
    </row>
    <row r="70" spans="1:25" ht="168" x14ac:dyDescent="0.25">
      <c r="A70" s="18">
        <v>8</v>
      </c>
      <c r="B70" s="41" t="s">
        <v>69</v>
      </c>
      <c r="C70" s="20"/>
      <c r="D70" s="20"/>
      <c r="E70" s="20"/>
      <c r="F70" s="20"/>
      <c r="G70" s="20"/>
      <c r="H70" s="20"/>
      <c r="I70" s="20"/>
      <c r="J70" s="17"/>
      <c r="K70" s="20"/>
      <c r="M70" s="10"/>
      <c r="N70" s="10"/>
      <c r="O70" s="10"/>
      <c r="P70" s="10"/>
      <c r="Q70" s="10"/>
      <c r="R70" s="10"/>
      <c r="S70" s="10"/>
      <c r="T70" s="10"/>
      <c r="U70" s="10"/>
      <c r="V70" s="10"/>
      <c r="W70" s="10"/>
      <c r="X70" s="10"/>
      <c r="Y70" s="10"/>
    </row>
    <row r="71" spans="1:25" x14ac:dyDescent="0.25">
      <c r="A71" s="18"/>
      <c r="B71" s="19" t="s">
        <v>71</v>
      </c>
      <c r="C71" s="20">
        <v>1</v>
      </c>
      <c r="D71" s="21">
        <v>200</v>
      </c>
      <c r="E71" s="20">
        <v>0.15</v>
      </c>
      <c r="F71" s="20">
        <v>0.45</v>
      </c>
      <c r="G71" s="21">
        <f t="shared" ref="G71" si="5">PRODUCT(C71:F71)</f>
        <v>13.5</v>
      </c>
      <c r="H71" s="20"/>
      <c r="I71" s="20"/>
      <c r="J71" s="17"/>
      <c r="K71" s="20"/>
    </row>
    <row r="72" spans="1:25" x14ac:dyDescent="0.25">
      <c r="A72" s="18"/>
      <c r="B72" s="19" t="s">
        <v>71</v>
      </c>
      <c r="C72" s="20">
        <v>1</v>
      </c>
      <c r="D72" s="21">
        <v>50</v>
      </c>
      <c r="E72" s="20">
        <v>0.15</v>
      </c>
      <c r="F72" s="20">
        <v>0.45</v>
      </c>
      <c r="G72" s="21">
        <f>PRODUCT(C72:F72)</f>
        <v>3.375</v>
      </c>
      <c r="H72" s="20"/>
      <c r="I72" s="20"/>
      <c r="J72" s="17"/>
      <c r="K72" s="20"/>
    </row>
    <row r="73" spans="1:25" s="10" customFormat="1" x14ac:dyDescent="0.25">
      <c r="A73" s="12"/>
      <c r="B73" s="42" t="s">
        <v>28</v>
      </c>
      <c r="C73" s="14"/>
      <c r="D73" s="1"/>
      <c r="E73" s="15"/>
      <c r="F73" s="15"/>
      <c r="G73" s="43">
        <f>SUM(G71:G72)</f>
        <v>16.875</v>
      </c>
      <c r="H73" s="16" t="s">
        <v>29</v>
      </c>
      <c r="I73" s="2">
        <v>748.9</v>
      </c>
      <c r="J73" s="43">
        <f>G73*I73</f>
        <v>12637.6875</v>
      </c>
      <c r="K73" s="15"/>
      <c r="M73" s="9"/>
      <c r="N73" s="9"/>
      <c r="O73" s="9"/>
      <c r="P73" s="9"/>
      <c r="Q73" s="9"/>
      <c r="R73" s="9"/>
      <c r="S73" s="9"/>
      <c r="T73" s="9"/>
      <c r="U73" s="9"/>
      <c r="V73" s="9"/>
      <c r="W73" s="9"/>
      <c r="X73" s="9"/>
      <c r="Y73" s="9"/>
    </row>
    <row r="74" spans="1:25" x14ac:dyDescent="0.25">
      <c r="A74" s="18"/>
      <c r="B74" s="19"/>
      <c r="C74" s="20"/>
      <c r="D74" s="20"/>
      <c r="E74" s="20"/>
      <c r="F74" s="20"/>
      <c r="G74" s="20"/>
      <c r="H74" s="20"/>
      <c r="I74" s="20"/>
      <c r="J74" s="17"/>
      <c r="K74" s="20"/>
    </row>
    <row r="75" spans="1:25" ht="30" x14ac:dyDescent="0.25">
      <c r="A75" s="18">
        <v>9</v>
      </c>
      <c r="B75" s="41" t="s">
        <v>72</v>
      </c>
      <c r="C75" s="20"/>
      <c r="D75" s="20"/>
      <c r="E75" s="20"/>
      <c r="F75" s="20"/>
      <c r="G75" s="20"/>
      <c r="H75" s="20"/>
      <c r="I75" s="20"/>
      <c r="J75" s="20"/>
      <c r="K75" s="20"/>
      <c r="M75" s="10"/>
      <c r="N75" s="10"/>
      <c r="O75" s="10"/>
      <c r="P75" s="10"/>
      <c r="Q75" s="10"/>
      <c r="R75" s="10"/>
      <c r="S75" s="10"/>
      <c r="T75" s="10"/>
      <c r="U75" s="10"/>
      <c r="V75" s="10"/>
      <c r="W75" s="10"/>
      <c r="X75" s="10"/>
      <c r="Y75" s="10"/>
    </row>
    <row r="76" spans="1:25" x14ac:dyDescent="0.25">
      <c r="A76" s="18"/>
      <c r="B76" s="19" t="s">
        <v>36</v>
      </c>
      <c r="C76" s="20">
        <f>C72</f>
        <v>1</v>
      </c>
      <c r="D76" s="21">
        <f>D71+D72</f>
        <v>250</v>
      </c>
      <c r="E76" s="20"/>
      <c r="F76" s="20"/>
      <c r="G76" s="21">
        <f t="shared" ref="G76" si="6">PRODUCT(C76:F76)</f>
        <v>250</v>
      </c>
      <c r="H76" s="20"/>
      <c r="I76" s="20"/>
      <c r="J76" s="17"/>
      <c r="K76" s="20"/>
    </row>
    <row r="77" spans="1:25" s="10" customFormat="1" x14ac:dyDescent="0.25">
      <c r="A77" s="12"/>
      <c r="B77" s="42" t="s">
        <v>28</v>
      </c>
      <c r="C77" s="14"/>
      <c r="D77" s="1"/>
      <c r="E77" s="15"/>
      <c r="F77" s="15"/>
      <c r="G77" s="43">
        <f>SUM(G76:G76)</f>
        <v>250</v>
      </c>
      <c r="H77" s="16" t="s">
        <v>37</v>
      </c>
      <c r="I77" s="2">
        <f>4308.15/1000</f>
        <v>4.3081499999999995</v>
      </c>
      <c r="J77" s="43">
        <f>G77*I77</f>
        <v>1077.0374999999999</v>
      </c>
      <c r="K77" s="15"/>
      <c r="M77" s="9"/>
      <c r="N77" s="9"/>
      <c r="O77" s="9"/>
      <c r="P77" s="9"/>
      <c r="Q77" s="9"/>
      <c r="R77" s="9"/>
      <c r="S77" s="9"/>
      <c r="T77" s="9"/>
      <c r="U77" s="9"/>
      <c r="V77" s="9"/>
      <c r="W77" s="9"/>
      <c r="X77" s="9"/>
      <c r="Y77" s="9"/>
    </row>
    <row r="78" spans="1:25" x14ac:dyDescent="0.25">
      <c r="A78" s="18"/>
      <c r="B78" s="41"/>
      <c r="C78" s="20"/>
      <c r="D78" s="20"/>
      <c r="E78" s="20"/>
      <c r="F78" s="20"/>
      <c r="G78" s="20"/>
      <c r="H78" s="20"/>
      <c r="I78" s="20"/>
      <c r="J78" s="20"/>
      <c r="K78" s="20"/>
      <c r="M78" s="10"/>
      <c r="N78" s="10"/>
      <c r="O78" s="10"/>
      <c r="P78" s="10"/>
      <c r="Q78" s="10"/>
      <c r="R78" s="10"/>
      <c r="S78" s="10"/>
      <c r="T78" s="10"/>
      <c r="U78" s="10"/>
      <c r="V78" s="10"/>
      <c r="W78" s="10"/>
      <c r="X78" s="10"/>
      <c r="Y78" s="10"/>
    </row>
    <row r="79" spans="1:25" ht="45" x14ac:dyDescent="0.25">
      <c r="A79" s="18">
        <v>10</v>
      </c>
      <c r="B79" s="45" t="s">
        <v>30</v>
      </c>
      <c r="C79" s="20"/>
      <c r="D79" s="26" t="s">
        <v>27</v>
      </c>
      <c r="E79" s="26" t="s">
        <v>31</v>
      </c>
      <c r="F79" s="26" t="s">
        <v>32</v>
      </c>
      <c r="G79" s="20"/>
      <c r="H79" s="20"/>
      <c r="I79" s="20"/>
      <c r="J79" s="17"/>
      <c r="K79" s="20"/>
    </row>
    <row r="80" spans="1:25" s="10" customFormat="1" ht="30" x14ac:dyDescent="0.25">
      <c r="A80" s="18"/>
      <c r="B80" s="46" t="s">
        <v>70</v>
      </c>
      <c r="C80" s="27">
        <f>C76</f>
        <v>1</v>
      </c>
      <c r="D80" s="36">
        <f>D76</f>
        <v>250</v>
      </c>
      <c r="E80" s="27">
        <v>0.13500000000000001</v>
      </c>
      <c r="F80" s="27">
        <f>C80*D80*E80</f>
        <v>33.75</v>
      </c>
      <c r="G80" s="36">
        <f>F80</f>
        <v>33.75</v>
      </c>
      <c r="H80" s="27"/>
      <c r="I80" s="27"/>
      <c r="J80" s="16"/>
      <c r="K80" s="27"/>
      <c r="M80" s="9"/>
      <c r="N80" s="9"/>
      <c r="O80" s="9"/>
      <c r="P80" s="9"/>
      <c r="Q80" s="9"/>
      <c r="R80" s="9"/>
      <c r="S80" s="9"/>
      <c r="T80" s="9"/>
      <c r="U80" s="9"/>
      <c r="V80" s="9"/>
      <c r="W80" s="9"/>
      <c r="X80" s="9"/>
      <c r="Y80" s="9"/>
    </row>
    <row r="81" spans="1:25" ht="15" customHeight="1" x14ac:dyDescent="0.25">
      <c r="A81" s="12"/>
      <c r="B81" s="13" t="s">
        <v>16</v>
      </c>
      <c r="C81" s="14"/>
      <c r="D81" s="1"/>
      <c r="E81" s="15"/>
      <c r="F81" s="15"/>
      <c r="G81" s="2">
        <f>SUM(G80:G80)</f>
        <v>33.75</v>
      </c>
      <c r="H81" s="16" t="s">
        <v>33</v>
      </c>
      <c r="I81" s="2">
        <v>287</v>
      </c>
      <c r="J81" s="17">
        <f>G81*I81</f>
        <v>9686.25</v>
      </c>
      <c r="K81" s="15"/>
    </row>
    <row r="82" spans="1:25" x14ac:dyDescent="0.25">
      <c r="A82" s="18"/>
      <c r="B82" s="19" t="s">
        <v>35</v>
      </c>
      <c r="C82" s="20"/>
      <c r="D82" s="20"/>
      <c r="E82" s="20"/>
      <c r="F82" s="20"/>
      <c r="G82" s="20"/>
      <c r="H82" s="20"/>
      <c r="I82" s="20"/>
      <c r="J82" s="17">
        <f>0.13*J81</f>
        <v>1259.2125000000001</v>
      </c>
      <c r="K82" s="20"/>
    </row>
    <row r="83" spans="1:25" x14ac:dyDescent="0.25">
      <c r="A83" s="18"/>
      <c r="B83" s="20"/>
      <c r="C83" s="20"/>
      <c r="D83" s="20"/>
      <c r="E83" s="20"/>
      <c r="F83" s="20"/>
      <c r="G83" s="20"/>
      <c r="H83" s="20"/>
      <c r="I83" s="20"/>
      <c r="J83" s="20"/>
      <c r="K83" s="20"/>
    </row>
    <row r="84" spans="1:25" s="10" customFormat="1" ht="30" x14ac:dyDescent="0.25">
      <c r="A84" s="12">
        <v>11</v>
      </c>
      <c r="B84" s="44" t="s">
        <v>38</v>
      </c>
      <c r="C84" s="14">
        <v>1</v>
      </c>
      <c r="D84" s="1"/>
      <c r="E84" s="15"/>
      <c r="F84" s="15"/>
      <c r="G84" s="43">
        <f t="shared" ref="G84" si="7">PRODUCT(C84:F84)</f>
        <v>1</v>
      </c>
      <c r="H84" s="16" t="s">
        <v>39</v>
      </c>
      <c r="I84" s="2">
        <v>2000</v>
      </c>
      <c r="J84" s="43">
        <f>G84*I84</f>
        <v>2000</v>
      </c>
      <c r="K84" s="15"/>
      <c r="M84" s="9"/>
      <c r="N84" s="9"/>
      <c r="O84" s="9"/>
      <c r="P84" s="9"/>
      <c r="Q84" s="9"/>
      <c r="R84" s="9"/>
      <c r="S84" s="9"/>
      <c r="T84" s="9"/>
      <c r="U84" s="9"/>
      <c r="V84" s="9"/>
      <c r="W84" s="9"/>
      <c r="X84" s="9"/>
      <c r="Y84" s="9"/>
    </row>
    <row r="85" spans="1:25" x14ac:dyDescent="0.25">
      <c r="A85" s="18"/>
      <c r="B85" s="41"/>
      <c r="C85" s="20"/>
      <c r="D85" s="20"/>
      <c r="E85" s="20"/>
      <c r="F85" s="20"/>
      <c r="G85" s="20"/>
      <c r="H85" s="20"/>
      <c r="I85" s="20"/>
      <c r="J85" s="20"/>
      <c r="K85" s="20"/>
    </row>
    <row r="86" spans="1:25" ht="15" customHeight="1" x14ac:dyDescent="0.25">
      <c r="A86" s="12">
        <v>12</v>
      </c>
      <c r="B86" s="28" t="s">
        <v>17</v>
      </c>
      <c r="C86" s="14">
        <v>1</v>
      </c>
      <c r="D86" s="1"/>
      <c r="E86" s="15"/>
      <c r="F86" s="15"/>
      <c r="G86" s="16">
        <f t="shared" ref="G86" si="8">PRODUCT(C86:F86)</f>
        <v>1</v>
      </c>
      <c r="H86" s="16" t="s">
        <v>18</v>
      </c>
      <c r="I86" s="2">
        <v>500</v>
      </c>
      <c r="J86" s="16">
        <f>G86*I86</f>
        <v>500</v>
      </c>
      <c r="K86" s="15"/>
    </row>
    <row r="87" spans="1:25" x14ac:dyDescent="0.25">
      <c r="A87" s="12"/>
      <c r="B87" s="29"/>
      <c r="C87" s="14"/>
      <c r="D87" s="1"/>
      <c r="E87" s="15"/>
      <c r="F87" s="15"/>
      <c r="G87" s="2"/>
      <c r="H87" s="16"/>
      <c r="I87" s="2"/>
      <c r="J87" s="17"/>
      <c r="K87" s="15"/>
    </row>
    <row r="88" spans="1:25" x14ac:dyDescent="0.25">
      <c r="A88" s="30"/>
      <c r="B88" s="31" t="s">
        <v>20</v>
      </c>
      <c r="C88" s="32"/>
      <c r="D88" s="33"/>
      <c r="E88" s="33"/>
      <c r="F88" s="33"/>
      <c r="G88" s="17"/>
      <c r="H88" s="17"/>
      <c r="I88" s="17"/>
      <c r="J88" s="17">
        <f>SUM(J9:J86)</f>
        <v>97550.22316809991</v>
      </c>
      <c r="K88" s="34"/>
      <c r="M88" s="10"/>
      <c r="N88" s="10"/>
      <c r="O88" s="10"/>
      <c r="P88" s="10"/>
      <c r="Q88" s="10"/>
      <c r="R88" s="10"/>
      <c r="S88" s="10"/>
      <c r="T88" s="10"/>
      <c r="U88" s="10"/>
      <c r="V88" s="10"/>
      <c r="W88" s="10"/>
      <c r="X88" s="10"/>
      <c r="Y88" s="10"/>
    </row>
    <row r="90" spans="1:25" s="10" customFormat="1" x14ac:dyDescent="0.25">
      <c r="A90" s="35"/>
      <c r="B90" s="27" t="s">
        <v>19</v>
      </c>
      <c r="C90" s="47">
        <f>J88</f>
        <v>97550.22316809991</v>
      </c>
      <c r="D90" s="48"/>
      <c r="E90" s="36">
        <v>100</v>
      </c>
      <c r="F90" s="35"/>
      <c r="G90" s="37"/>
      <c r="H90" s="35"/>
      <c r="I90" s="38"/>
      <c r="J90" s="39"/>
      <c r="K90" s="40"/>
      <c r="M90" s="9"/>
      <c r="N90" s="9"/>
      <c r="O90" s="9"/>
      <c r="P90" s="9"/>
      <c r="Q90" s="9"/>
      <c r="R90" s="9"/>
      <c r="S90" s="9"/>
      <c r="T90" s="9"/>
      <c r="U90" s="9"/>
      <c r="V90" s="9"/>
      <c r="W90" s="9"/>
      <c r="X90" s="9"/>
      <c r="Y90" s="9"/>
    </row>
    <row r="91" spans="1:25" x14ac:dyDescent="0.25">
      <c r="B91" s="27" t="s">
        <v>21</v>
      </c>
      <c r="C91" s="49">
        <v>85000</v>
      </c>
      <c r="D91" s="50"/>
      <c r="E91" s="36"/>
    </row>
    <row r="92" spans="1:25" x14ac:dyDescent="0.25">
      <c r="B92" s="27" t="s">
        <v>22</v>
      </c>
      <c r="C92" s="49">
        <f>C91-C94-C95</f>
        <v>80750</v>
      </c>
      <c r="D92" s="50"/>
      <c r="E92" s="36">
        <f>C92/C90*100</f>
        <v>82.777873158578501</v>
      </c>
    </row>
    <row r="93" spans="1:25" x14ac:dyDescent="0.25">
      <c r="B93" s="27" t="s">
        <v>26</v>
      </c>
      <c r="C93" s="51">
        <f>C90-C92</f>
        <v>16800.22316809991</v>
      </c>
      <c r="D93" s="51"/>
      <c r="E93" s="36">
        <f>100-E92</f>
        <v>17.222126841421499</v>
      </c>
    </row>
    <row r="94" spans="1:25" x14ac:dyDescent="0.25">
      <c r="B94" s="27" t="s">
        <v>23</v>
      </c>
      <c r="C94" s="47">
        <f>C91*0.03</f>
        <v>2550</v>
      </c>
      <c r="D94" s="48"/>
      <c r="E94" s="36">
        <v>3</v>
      </c>
    </row>
    <row r="95" spans="1:25" x14ac:dyDescent="0.25">
      <c r="B95" s="27" t="s">
        <v>24</v>
      </c>
      <c r="C95" s="47">
        <f>C91*0.02</f>
        <v>1700</v>
      </c>
      <c r="D95" s="48"/>
      <c r="E95" s="36">
        <v>2</v>
      </c>
    </row>
  </sheetData>
  <mergeCells count="15">
    <mergeCell ref="A7:F7"/>
    <mergeCell ref="H7:K7"/>
    <mergeCell ref="A1:K1"/>
    <mergeCell ref="A2:K2"/>
    <mergeCell ref="A3:K3"/>
    <mergeCell ref="A4:K4"/>
    <mergeCell ref="A5:K5"/>
    <mergeCell ref="A6:F6"/>
    <mergeCell ref="H6:K6"/>
    <mergeCell ref="C95:D95"/>
    <mergeCell ref="C90:D90"/>
    <mergeCell ref="C91:D91"/>
    <mergeCell ref="C92:D92"/>
    <mergeCell ref="C93:D93"/>
    <mergeCell ref="C94:D94"/>
  </mergeCells>
  <pageMargins left="0.7" right="0.7" top="0.75" bottom="0.75" header="0.3" footer="0.3"/>
  <pageSetup scale="80"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water tank</vt:lpstr>
      <vt:lpstr>'water tank'!Print_Area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2026-03-09T08:39:26Z</dcterms:modified>
</cp:coreProperties>
</file>